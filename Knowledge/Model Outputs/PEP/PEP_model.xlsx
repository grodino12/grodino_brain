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11">
        <f>'QTR P&amp;L'!AL10+'QTR P&amp;L'!AM10+'QTR P&amp;L'!AN10+'QTR P&amp;L'!AO10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11">
        <f>'QTR P&amp;L'!AL12+'QTR P&amp;L'!AM12+'QTR P&amp;L'!AN12+'QTR P&amp;L'!AO12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11">
        <f>'QTR P&amp;L'!AL14+'QTR P&amp;L'!AM14+'QTR P&amp;L'!AN14+'QTR P&amp;L'!AO14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Raw Materials</t>
        </is>
      </c>
      <c r="B5" s="4" t="n">
        <v>2366</v>
      </c>
      <c r="C5" s="4" t="n">
        <v>2388</v>
      </c>
      <c r="D5" s="4" t="n">
        <v>2440</v>
      </c>
      <c r="E5" s="4" t="n">
        <v>2581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Work in Process</t>
        </is>
      </c>
      <c r="B6" s="4" t="n">
        <v>114</v>
      </c>
      <c r="C6" s="4" t="n">
        <v>104</v>
      </c>
      <c r="D6" s="4" t="n">
        <v>104</v>
      </c>
      <c r="E6" s="4" t="n">
        <v>143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Finished Goods</t>
        </is>
      </c>
      <c r="B7" s="4" t="n">
        <v>2742</v>
      </c>
      <c r="C7" s="4" t="n">
        <v>2842</v>
      </c>
      <c r="D7" s="4" t="n">
        <v>2762</v>
      </c>
      <c r="E7" s="4" t="n">
        <v>3121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</row>
    <row r="8">
      <c r="A8" s="3" t="inlineStr">
        <is>
          <t>Inventories</t>
        </is>
      </c>
      <c r="B8" s="6">
        <f>SUM(B5,B6,B7)</f>
        <v/>
      </c>
      <c r="C8" s="6">
        <f>SUM(C5,C6,C7)</f>
        <v/>
      </c>
      <c r="D8" s="6">
        <f>SUM(D5,D6,D7)</f>
        <v/>
      </c>
      <c r="E8" s="6">
        <f>SUM(E5,E6,E7)</f>
        <v/>
      </c>
      <c r="F8" s="7">
        <f>'QTR BS'!R8</f>
        <v/>
      </c>
      <c r="G8" s="7">
        <f>'QTR BS'!V8</f>
        <v/>
      </c>
      <c r="H8" s="7">
        <f>'QTR BS'!Z8</f>
        <v/>
      </c>
      <c r="I8" s="7">
        <f>'QTR BS'!AD8</f>
        <v/>
      </c>
      <c r="J8" s="7">
        <f>'QTR BS'!AH8</f>
        <v/>
      </c>
      <c r="K8" s="7">
        <f>'QTR BS'!AL8</f>
        <v/>
      </c>
    </row>
    <row r="9">
      <c r="A9" s="3" t="inlineStr">
        <is>
          <t>Prepaid Expenses</t>
        </is>
      </c>
      <c r="B9" s="4" t="n">
        <v>806</v>
      </c>
      <c r="C9" s="4" t="n">
        <v>798</v>
      </c>
      <c r="D9" s="4" t="n">
        <v>921</v>
      </c>
      <c r="E9" s="4" t="n">
        <v>1068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Total Current Assets</t>
        </is>
      </c>
      <c r="B10" s="6">
        <f>SUM(B2:B9)</f>
        <v/>
      </c>
      <c r="C10" s="6">
        <f>SUM(C2:C9)</f>
        <v/>
      </c>
      <c r="D10" s="6">
        <f>SUM(D2:D9)</f>
        <v/>
      </c>
      <c r="E10" s="6">
        <f>SUM(E2:E9)</f>
        <v/>
      </c>
      <c r="F10" s="7">
        <f>SUM(F2:F9)</f>
        <v/>
      </c>
      <c r="G10" s="7">
        <f>SUM(G2:G9)</f>
        <v/>
      </c>
      <c r="H10" s="7">
        <f>SUM(H2:H9)</f>
        <v/>
      </c>
      <c r="I10" s="7">
        <f>SUM(I2:I9)</f>
        <v/>
      </c>
      <c r="J10" s="7">
        <f>SUM(J2:J9)</f>
        <v/>
      </c>
      <c r="K10" s="7">
        <f>SUM(K2:K9)</f>
        <v/>
      </c>
    </row>
    <row r="11">
      <c r="A11" s="3" t="inlineStr">
        <is>
          <t>Net PP&amp;E</t>
        </is>
      </c>
      <c r="B11" s="4" t="n">
        <v>24291</v>
      </c>
      <c r="C11" s="4" t="n">
        <v>27039</v>
      </c>
      <c r="D11" s="4" t="n">
        <v>28008</v>
      </c>
      <c r="E11" s="4" t="n">
        <v>29905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Intangible Assets</t>
        </is>
      </c>
      <c r="B12" s="4" t="n">
        <v>15586</v>
      </c>
      <c r="C12" s="4" t="n">
        <v>14929</v>
      </c>
      <c r="D12" s="4" t="n">
        <v>14801</v>
      </c>
      <c r="E12" s="4" t="n">
        <v>15066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Goodwill</t>
        </is>
      </c>
      <c r="B13" s="4" t="n">
        <v>18202</v>
      </c>
      <c r="C13" s="4" t="n">
        <v>17728</v>
      </c>
      <c r="D13" s="4" t="n">
        <v>17534</v>
      </c>
      <c r="E13" s="4" t="n">
        <v>18916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Equity Method Investments</t>
        </is>
      </c>
      <c r="B14" s="4" t="n">
        <v>3073</v>
      </c>
      <c r="C14" s="4" t="n">
        <v>2714</v>
      </c>
      <c r="D14" s="4" t="n">
        <v>1985</v>
      </c>
      <c r="E14" s="4" t="n">
        <v>2038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</row>
    <row r="15">
      <c r="A15" s="3" t="inlineStr">
        <is>
          <t>Deferred Tax Assets</t>
        </is>
      </c>
      <c r="B15" s="4" t="n">
        <v>4204</v>
      </c>
      <c r="C15" s="4" t="n">
        <v>4474</v>
      </c>
      <c r="D15" s="4" t="n">
        <v>4362</v>
      </c>
      <c r="E15" s="4" t="n">
        <v>4541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Other Non-Current Assets</t>
        </is>
      </c>
      <c r="B16" s="4" t="n">
        <v>5292</v>
      </c>
      <c r="C16" s="4" t="n">
        <v>6661</v>
      </c>
      <c r="D16" s="4" t="n">
        <v>6951</v>
      </c>
      <c r="E16" s="4" t="n">
        <v>8984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Total Assets</t>
        </is>
      </c>
      <c r="B17" s="6">
        <f>B10+SUM(B11:B16)</f>
        <v/>
      </c>
      <c r="C17" s="6">
        <f>C10+SUM(C11:C16)</f>
        <v/>
      </c>
      <c r="D17" s="6">
        <f>D10+SUM(D11:D16)</f>
        <v/>
      </c>
      <c r="E17" s="6">
        <f>E10+SUM(E11:E16)</f>
        <v/>
      </c>
      <c r="F17" s="7">
        <f>F10+SUM(F11:F16)</f>
        <v/>
      </c>
      <c r="G17" s="7">
        <f>G10+SUM(G11:G16)</f>
        <v/>
      </c>
      <c r="H17" s="7">
        <f>H10+SUM(H11:H16)</f>
        <v/>
      </c>
      <c r="I17" s="7">
        <f>I10+SUM(I11:I16)</f>
        <v/>
      </c>
      <c r="J17" s="7">
        <f>J10+SUM(J11:J16)</f>
        <v/>
      </c>
      <c r="K17" s="7">
        <f>K10+SUM(K11:K16)</f>
        <v/>
      </c>
    </row>
    <row r="18">
      <c r="A18" s="3" t="inlineStr">
        <is>
          <t>Short-Term Debt Obligations</t>
        </is>
      </c>
      <c r="B18" s="4" t="n">
        <v>3414</v>
      </c>
      <c r="C18" s="4" t="n">
        <v>6510</v>
      </c>
      <c r="D18" s="4" t="n">
        <v>7082</v>
      </c>
      <c r="E18" s="4" t="n">
        <v>6861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Accrued Expenses</t>
        </is>
      </c>
      <c r="B19" s="4" t="n">
        <v>23371</v>
      </c>
      <c r="C19" s="4" t="n">
        <v>25137</v>
      </c>
      <c r="D19" s="4" t="n">
        <v>24454</v>
      </c>
      <c r="E19" s="4" t="n">
        <v>25903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Total Current Liabilities</t>
        </is>
      </c>
      <c r="B20" s="6">
        <f>SUM(B18:B19)</f>
        <v/>
      </c>
      <c r="C20" s="6">
        <f>SUM(C18:C19)</f>
        <v/>
      </c>
      <c r="D20" s="6">
        <f>SUM(D18:D19)</f>
        <v/>
      </c>
      <c r="E20" s="6">
        <f>SUM(E18:E19)</f>
        <v/>
      </c>
      <c r="F20" s="7">
        <f>SUM(F18:F19)</f>
        <v/>
      </c>
      <c r="G20" s="7">
        <f>SUM(G18:G19)</f>
        <v/>
      </c>
      <c r="H20" s="7">
        <f>SUM(H18:H19)</f>
        <v/>
      </c>
      <c r="I20" s="7">
        <f>SUM(I18:I19)</f>
        <v/>
      </c>
      <c r="J20" s="7">
        <f>SUM(J18:J19)</f>
        <v/>
      </c>
      <c r="K20" s="7">
        <f>SUM(K18:K19)</f>
        <v/>
      </c>
    </row>
    <row r="21">
      <c r="A21" s="3" t="inlineStr">
        <is>
          <t>Long-Term Debt</t>
        </is>
      </c>
      <c r="B21" s="4" t="n">
        <v>35657</v>
      </c>
      <c r="C21" s="4" t="n">
        <v>37595</v>
      </c>
      <c r="D21" s="4" t="n">
        <v>37224</v>
      </c>
      <c r="E21" s="4" t="n">
        <v>42321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Deferred Tax Liability</t>
        </is>
      </c>
      <c r="B22" s="4" t="n">
        <v>4133</v>
      </c>
      <c r="C22" s="4" t="n">
        <v>3895</v>
      </c>
      <c r="D22" s="4" t="n">
        <v>3484</v>
      </c>
      <c r="E22" s="4" t="n">
        <v>3802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Other Non-Current Liabilities</t>
        </is>
      </c>
      <c r="B23" s="4" t="n">
        <v>8339</v>
      </c>
      <c r="C23" s="4" t="n">
        <v>8721</v>
      </c>
      <c r="D23" s="4" t="n">
        <v>9052</v>
      </c>
      <c r="E23" s="4" t="n">
        <v>7965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Total Liabilities</t>
        </is>
      </c>
      <c r="B24" s="6">
        <f>B20+SUM(B21:B23)</f>
        <v/>
      </c>
      <c r="C24" s="6">
        <f>C20+SUM(C21:C23)</f>
        <v/>
      </c>
      <c r="D24" s="6">
        <f>D20+SUM(D21:D23)</f>
        <v/>
      </c>
      <c r="E24" s="6">
        <f>E20+SUM(E21:E23)</f>
        <v/>
      </c>
      <c r="F24" s="7">
        <f>F20+SUM(F21:F23)</f>
        <v/>
      </c>
      <c r="G24" s="7">
        <f>G20+SUM(G21:G23)</f>
        <v/>
      </c>
      <c r="H24" s="7">
        <f>H20+SUM(H21:H23)</f>
        <v/>
      </c>
      <c r="I24" s="7">
        <f>I20+SUM(I21:I23)</f>
        <v/>
      </c>
      <c r="J24" s="7">
        <f>J20+SUM(J21:J23)</f>
        <v/>
      </c>
      <c r="K24" s="7">
        <f>K20+SUM(K21:K23)</f>
        <v/>
      </c>
    </row>
    <row r="25">
      <c r="A25" s="3" t="inlineStr">
        <is>
          <t>Common Stock</t>
        </is>
      </c>
      <c r="B25" s="4" t="n">
        <v>23</v>
      </c>
      <c r="C25" s="4" t="n">
        <v>23</v>
      </c>
      <c r="D25" s="4" t="n">
        <v>23</v>
      </c>
      <c r="E25" s="4" t="n">
        <v>23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Additional Paid-in Capital</t>
        </is>
      </c>
      <c r="B26" s="4" t="n">
        <v>4134</v>
      </c>
      <c r="C26" s="4" t="n">
        <v>4261</v>
      </c>
      <c r="D26" s="4" t="n">
        <v>4385</v>
      </c>
      <c r="E26" s="4" t="n">
        <v>4451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Retained Earnings (Accumulated Deficit)</t>
        </is>
      </c>
      <c r="B27" s="4" t="n">
        <v>67800</v>
      </c>
      <c r="C27" s="4" t="n">
        <v>70035</v>
      </c>
      <c r="D27" s="4" t="n">
        <v>72266</v>
      </c>
      <c r="E27" s="4" t="n">
        <v>72788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Accumulated Other Comprehensive Income (Loss)</t>
        </is>
      </c>
      <c r="B28" s="4" t="n">
        <v>-15302</v>
      </c>
      <c r="C28" s="4" t="n">
        <v>-15534</v>
      </c>
      <c r="D28" s="4" t="n">
        <v>-17612</v>
      </c>
      <c r="E28" s="4" t="n">
        <v>-15024</v>
      </c>
      <c r="F28" s="11">
        <f>'QTR BS'!R28</f>
        <v/>
      </c>
      <c r="G28" s="11">
        <f>'QTR BS'!V28</f>
        <v/>
      </c>
      <c r="H28" s="11">
        <f>'QTR BS'!Z28</f>
        <v/>
      </c>
      <c r="I28" s="11">
        <f>'QTR BS'!AD28</f>
        <v/>
      </c>
      <c r="J28" s="11">
        <f>'QTR BS'!AH28</f>
        <v/>
      </c>
      <c r="K28" s="11">
        <f>'QTR BS'!AL28</f>
        <v/>
      </c>
    </row>
    <row r="29">
      <c r="A29" s="3" t="inlineStr">
        <is>
          <t>Treasury Stock</t>
        </is>
      </c>
      <c r="B29" s="4" t="n">
        <v>-39506</v>
      </c>
      <c r="C29" s="4" t="n">
        <v>-40282</v>
      </c>
      <c r="D29" s="4" t="n">
        <v>-41021</v>
      </c>
      <c r="E29" s="4" t="n">
        <v>-41832</v>
      </c>
      <c r="F29" s="11">
        <f>'QTR BS'!R29</f>
        <v/>
      </c>
      <c r="G29" s="11">
        <f>'QTR BS'!V29</f>
        <v/>
      </c>
      <c r="H29" s="11">
        <f>'QTR BS'!Z29</f>
        <v/>
      </c>
      <c r="I29" s="11">
        <f>'QTR BS'!AD29</f>
        <v/>
      </c>
      <c r="J29" s="11">
        <f>'QTR BS'!AH29</f>
        <v/>
      </c>
      <c r="K29" s="11">
        <f>'QTR BS'!AL29</f>
        <v/>
      </c>
    </row>
    <row r="30">
      <c r="A30" s="3" t="inlineStr">
        <is>
          <t>Noncontrolling Interest</t>
        </is>
      </c>
      <c r="B30" s="4" t="n">
        <v>124</v>
      </c>
      <c r="C30" s="4" t="n">
        <v>134</v>
      </c>
      <c r="D30" s="4" t="n">
        <v>130</v>
      </c>
      <c r="E30" s="4" t="n">
        <v>141</v>
      </c>
      <c r="F30" s="11">
        <f>'QTR BS'!R30</f>
        <v/>
      </c>
      <c r="G30" s="11">
        <f>'QTR BS'!V30</f>
        <v/>
      </c>
      <c r="H30" s="11">
        <f>'QTR BS'!Z30</f>
        <v/>
      </c>
      <c r="I30" s="11">
        <f>'QTR BS'!AD30</f>
        <v/>
      </c>
      <c r="J30" s="11">
        <f>'QTR BS'!AH30</f>
        <v/>
      </c>
      <c r="K30" s="11">
        <f>'QTR BS'!AL30</f>
        <v/>
      </c>
    </row>
    <row r="31">
      <c r="A31" s="3" t="inlineStr">
        <is>
          <t>Total Stockholders' Equity</t>
        </is>
      </c>
      <c r="B31" s="6">
        <f>SUM(B25:B30)</f>
        <v/>
      </c>
      <c r="C31" s="6">
        <f>SUM(C25:C30)</f>
        <v/>
      </c>
      <c r="D31" s="6">
        <f>SUM(D25:D30)</f>
        <v/>
      </c>
      <c r="E31" s="6">
        <f>SUM(E25:E30)</f>
        <v/>
      </c>
      <c r="F31" s="7">
        <f>SUM(F25:F30)</f>
        <v/>
      </c>
      <c r="G31" s="7">
        <f>SUM(G25:G30)</f>
        <v/>
      </c>
      <c r="H31" s="7">
        <f>SUM(H25:H30)</f>
        <v/>
      </c>
      <c r="I31" s="7">
        <f>SUM(I25:I30)</f>
        <v/>
      </c>
      <c r="J31" s="7">
        <f>SUM(J25:J30)</f>
        <v/>
      </c>
      <c r="K31" s="7">
        <f>SUM(K25:K30)</f>
        <v/>
      </c>
    </row>
    <row r="32">
      <c r="A32" s="3" t="inlineStr">
        <is>
          <t>Total Liabilities, Mezzanine &amp; Stockholders' Equity</t>
        </is>
      </c>
      <c r="B32" s="6">
        <f>B24+B31</f>
        <v/>
      </c>
      <c r="C32" s="6">
        <f>C24+C31</f>
        <v/>
      </c>
      <c r="D32" s="6">
        <f>D24+D31</f>
        <v/>
      </c>
      <c r="E32" s="6">
        <f>E24+E31</f>
        <v/>
      </c>
      <c r="F32" s="7">
        <f>F24+F31</f>
        <v/>
      </c>
      <c r="G32" s="7">
        <f>G24+G31</f>
        <v/>
      </c>
      <c r="H32" s="7">
        <f>H24+H31</f>
        <v/>
      </c>
      <c r="I32" s="7">
        <f>I24+I31</f>
        <v/>
      </c>
      <c r="J32" s="7">
        <f>J24+J31</f>
        <v/>
      </c>
      <c r="K32" s="7">
        <f>K24+K31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Non-Cash Lease Expense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11">
        <f>'QTR CF'!AL14+'QTR CF'!AM14+'QTR CF'!AN14+'QTR CF'!AO14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11">
        <f>'QTR CF'!AL18+'QTR CF'!AM18+'QTR CF'!AN18+'QTR CF'!AO18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11">
        <f>'QTR CF'!AL19+'QTR CF'!AM19+'QTR CF'!AN19+'QTR CF'!AO19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11">
        <f>'QTR CF'!AL20+'QTR CF'!AM20+'QTR CF'!AN20+'QTR CF'!AO20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11">
        <f>'QTR CF'!AL21+'QTR CF'!AM21+'QTR CF'!AN21+'QTR CF'!AO21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11">
        <f>'QTR CF'!AL22+'QTR CF'!AM22+'QTR CF'!AN22+'QTR CF'!AO22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11">
        <f>'QTR CF'!AL23+'QTR CF'!AM23+'QTR CF'!AN23+'QTR CF'!AO23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11">
        <f>'QTR CF'!AL24+'QTR CF'!AM24+'QTR CF'!AN24+'QTR CF'!AO24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11">
        <f>'QTR CF'!AL25+'QTR CF'!AM25+'QTR CF'!AN25+'QTR CF'!AO25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11">
        <f>'QTR CF'!AL27+'QTR CF'!AM27+'QTR CF'!AN27+'QTR CF'!AO27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11">
        <f>'QTR CF'!AL28+'QTR CF'!AM28+'QTR CF'!AN28+'QTR CF'!AO28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11">
        <f>'QTR CF'!AL29+'QTR CF'!AM29+'QTR CF'!AN29+'QTR CF'!AO29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11">
        <f>'QTR CF'!AL30+'QTR CF'!AM30+'QTR CF'!AN30+'QTR CF'!AO30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11">
        <f>'QTR CF'!AL31+'QTR CF'!AM31+'QTR CF'!AN31+'QTR CF'!AO31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11">
        <f>'QTR CF'!AL32+'QTR CF'!AM32+'QTR CF'!AN32+'QTR CF'!AO32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11">
        <f>'QTR CF'!AL33+'QTR CF'!AM33+'QTR CF'!AN33+'QTR CF'!AO33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11">
        <f>'QTR CF'!AL35+'QTR CF'!AM35+'QTR CF'!AN35+'QTR CF'!AO35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11">
        <f>'QTR CF'!AL36+'QTR CF'!AM36+'QTR CF'!AN36+'QTR CF'!AO36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11">
        <f>'QTR CF'!AL37+'QTR CF'!AM37+'QTR CF'!AN37+'QTR CF'!AO37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11">
        <f>'QTR CF'!AL38+'QTR CF'!AM38+'QTR CF'!AN38+'QTR CF'!AO38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11">
        <f>'QTR CF'!AL39+'QTR CF'!AM39+'QTR CF'!AN39+'QTR CF'!AO39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11">
        <f>'QTR CF'!AL40+'QTR CF'!AM40+'QTR CF'!AN40+'QTR CF'!AO40</f>
        <v/>
      </c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11">
        <f>'QTR CF'!AL41+'QTR CF'!AM41+'QTR CF'!AN41+'QTR CF'!AO41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11">
        <f>'QTR CF'!AL42+'QTR CF'!AM42+'QTR CF'!AN42+'QTR CF'!AO42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11">
        <f>'QTR CF'!AL43+'QTR CF'!AM43+'QTR CF'!AN43+'QTR CF'!AO43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11">
        <f>'QTR CF'!AL44+'QTR CF'!AM44+'QTR CF'!AN44+'QTR CF'!AO44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11">
        <f>'QTR CF'!AL45+'QTR CF'!AM45+'QTR CF'!AN45+'QTR CF'!AO45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11">
        <f>'QTR CF'!AL47+'QTR CF'!AM47+'QTR CF'!AN47+'QTR CF'!AO47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Raw Materials</t>
        </is>
      </c>
      <c r="B5" s="4" t="n">
        <v>2366</v>
      </c>
      <c r="C5" s="4" t="n">
        <v>2435</v>
      </c>
      <c r="D5" s="4" t="n">
        <v>2638</v>
      </c>
      <c r="E5" s="4" t="n">
        <v>2456</v>
      </c>
      <c r="F5" s="4" t="n">
        <v>2388</v>
      </c>
      <c r="G5" s="4" t="n">
        <v>2465</v>
      </c>
      <c r="H5" s="4" t="n">
        <v>2635</v>
      </c>
      <c r="I5" s="4" t="n">
        <v>2559</v>
      </c>
      <c r="J5" s="4" t="n">
        <v>2440</v>
      </c>
      <c r="K5" s="4" t="n">
        <v>2673</v>
      </c>
      <c r="L5" s="4" t="n">
        <v>2940</v>
      </c>
      <c r="M5" s="4" t="n">
        <v>2805</v>
      </c>
      <c r="N5" s="4" t="n">
        <v>2581</v>
      </c>
      <c r="O5" s="4" t="n">
        <v>2714</v>
      </c>
    </row>
    <row r="6">
      <c r="A6" s="3" t="inlineStr">
        <is>
          <t>Work in Process</t>
        </is>
      </c>
      <c r="B6" s="4" t="n">
        <v>114</v>
      </c>
      <c r="C6" s="4" t="n">
        <v>115</v>
      </c>
      <c r="D6" s="4" t="n">
        <v>110</v>
      </c>
      <c r="E6" s="4" t="n">
        <v>119</v>
      </c>
      <c r="F6" s="4" t="n">
        <v>104</v>
      </c>
      <c r="G6" s="4" t="n">
        <v>97</v>
      </c>
      <c r="H6" s="4" t="n">
        <v>121</v>
      </c>
      <c r="I6" s="4" t="n">
        <v>131</v>
      </c>
      <c r="J6" s="4" t="n">
        <v>104</v>
      </c>
      <c r="K6" s="4" t="n">
        <v>118</v>
      </c>
      <c r="L6" s="4" t="n">
        <v>135</v>
      </c>
      <c r="M6" s="4" t="n">
        <v>154</v>
      </c>
      <c r="N6" s="4" t="n">
        <v>143</v>
      </c>
      <c r="O6" s="4" t="n">
        <v>133</v>
      </c>
    </row>
    <row r="7">
      <c r="A7" s="3" t="inlineStr">
        <is>
          <t>Finished Goods</t>
        </is>
      </c>
      <c r="B7" s="4" t="n">
        <v>2742</v>
      </c>
      <c r="C7" s="4" t="n">
        <v>3147</v>
      </c>
      <c r="D7" s="4" t="n">
        <v>3221</v>
      </c>
      <c r="E7" s="4" t="n">
        <v>2983</v>
      </c>
      <c r="F7" s="4" t="n">
        <v>2842</v>
      </c>
      <c r="G7" s="4" t="n">
        <v>3007</v>
      </c>
      <c r="H7" s="4" t="n">
        <v>3131</v>
      </c>
      <c r="I7" s="4" t="n">
        <v>2954</v>
      </c>
      <c r="J7" s="4" t="n">
        <v>2762</v>
      </c>
      <c r="K7" s="4" t="n">
        <v>2869</v>
      </c>
      <c r="L7" s="4" t="n">
        <v>3412</v>
      </c>
      <c r="M7" s="4" t="n">
        <v>3134</v>
      </c>
      <c r="N7" s="4" t="n">
        <v>3121</v>
      </c>
      <c r="O7" s="4" t="n">
        <v>3364</v>
      </c>
    </row>
    <row r="8">
      <c r="A8" s="3" t="inlineStr">
        <is>
          <t>Inventories</t>
        </is>
      </c>
      <c r="B8" s="6">
        <f>SUM(B5,B6,B7)</f>
        <v/>
      </c>
      <c r="C8" s="6">
        <f>SUM(C5,C6,C7)</f>
        <v/>
      </c>
      <c r="D8" s="6">
        <f>SUM(D5,D6,D7)</f>
        <v/>
      </c>
      <c r="E8" s="6">
        <f>SUM(E5,E6,E7)</f>
        <v/>
      </c>
      <c r="F8" s="6">
        <f>SUM(F5,F6,F7)</f>
        <v/>
      </c>
      <c r="G8" s="6">
        <f>SUM(G5,G6,G7)</f>
        <v/>
      </c>
      <c r="H8" s="6">
        <f>SUM(H5,H6,H7)</f>
        <v/>
      </c>
      <c r="I8" s="6">
        <f>SUM(I5,I6,I7)</f>
        <v/>
      </c>
      <c r="J8" s="6">
        <f>SUM(J5,J6,J7)</f>
        <v/>
      </c>
      <c r="K8" s="6">
        <f>SUM(K5,K6,K7)</f>
        <v/>
      </c>
      <c r="L8" s="6">
        <f>SUM(L5,L6,L7)</f>
        <v/>
      </c>
      <c r="M8" s="6">
        <f>SUM(M5,M6,M7)</f>
        <v/>
      </c>
      <c r="N8" s="6">
        <f>SUM(N5,N6,N7)</f>
        <v/>
      </c>
      <c r="O8" s="6">
        <f>SUM(O5,O6,O7)</f>
        <v/>
      </c>
    </row>
    <row r="9">
      <c r="A9" s="3" t="inlineStr">
        <is>
          <t>Prepaid Expenses</t>
        </is>
      </c>
      <c r="B9" s="4" t="n">
        <v>806</v>
      </c>
      <c r="C9" s="4" t="n">
        <v>1057</v>
      </c>
      <c r="D9" s="4" t="n">
        <v>1075</v>
      </c>
      <c r="E9" s="4" t="n">
        <v>1026</v>
      </c>
      <c r="F9" s="4" t="n">
        <v>798</v>
      </c>
      <c r="G9" s="4" t="n">
        <v>1148</v>
      </c>
      <c r="H9" s="4" t="n">
        <v>1206</v>
      </c>
      <c r="I9" s="4" t="n">
        <v>1069</v>
      </c>
      <c r="J9" s="4" t="n">
        <v>921</v>
      </c>
      <c r="K9" s="4" t="n">
        <v>1246</v>
      </c>
      <c r="L9" s="4" t="n">
        <v>1360</v>
      </c>
      <c r="M9" s="4" t="n">
        <v>1334</v>
      </c>
      <c r="N9" s="4" t="n">
        <v>1068</v>
      </c>
      <c r="O9" s="4" t="n">
        <v>1706</v>
      </c>
    </row>
    <row r="10">
      <c r="A10" s="3" t="inlineStr">
        <is>
          <t>Total Current Assets</t>
        </is>
      </c>
      <c r="B10" s="6">
        <f>SUM(B2:B9)</f>
        <v/>
      </c>
      <c r="C10" s="6">
        <f>SUM(C2:C9)</f>
        <v/>
      </c>
      <c r="D10" s="6">
        <f>SUM(D2:D9)</f>
        <v/>
      </c>
      <c r="E10" s="6">
        <f>SUM(E2:E9)</f>
        <v/>
      </c>
      <c r="F10" s="6">
        <f>SUM(F2:F9)</f>
        <v/>
      </c>
      <c r="G10" s="6">
        <f>SUM(G2:G9)</f>
        <v/>
      </c>
      <c r="H10" s="6">
        <f>SUM(H2:H9)</f>
        <v/>
      </c>
      <c r="I10" s="6">
        <f>SUM(I2:I9)</f>
        <v/>
      </c>
      <c r="J10" s="6">
        <f>SUM(J2:J9)</f>
        <v/>
      </c>
      <c r="K10" s="6">
        <f>SUM(K2:K9)</f>
        <v/>
      </c>
      <c r="L10" s="6">
        <f>SUM(L2:L9)</f>
        <v/>
      </c>
      <c r="M10" s="6">
        <f>SUM(M2:M9)</f>
        <v/>
      </c>
      <c r="N10" s="6">
        <f>SUM(N2:N9)</f>
        <v/>
      </c>
      <c r="O10" s="6">
        <f>SUM(O2:O9)</f>
        <v/>
      </c>
    </row>
    <row r="11">
      <c r="A11" s="3" t="inlineStr">
        <is>
          <t>Net PP&amp;E</t>
        </is>
      </c>
      <c r="B11" s="4" t="n">
        <v>24291</v>
      </c>
      <c r="C11" s="4" t="n">
        <v>24228</v>
      </c>
      <c r="D11" s="4" t="n">
        <v>24500</v>
      </c>
      <c r="E11" s="4" t="n">
        <v>24853</v>
      </c>
      <c r="F11" s="4" t="n">
        <v>27039</v>
      </c>
      <c r="G11" s="4" t="n">
        <v>26792</v>
      </c>
      <c r="H11" s="4" t="n">
        <v>27042</v>
      </c>
      <c r="I11" s="4" t="n">
        <v>27188</v>
      </c>
      <c r="J11" s="4" t="n">
        <v>28008</v>
      </c>
      <c r="K11" s="4" t="n">
        <v>28213</v>
      </c>
      <c r="L11" s="4" t="n">
        <v>28797</v>
      </c>
      <c r="M11" s="4" t="n">
        <v>29053</v>
      </c>
      <c r="N11" s="4" t="n">
        <v>29905</v>
      </c>
      <c r="O11" s="4" t="n">
        <v>29807</v>
      </c>
    </row>
    <row r="12">
      <c r="A12" s="3" t="inlineStr">
        <is>
          <t>Intangible Assets</t>
        </is>
      </c>
      <c r="B12" s="4" t="n">
        <v>15586</v>
      </c>
      <c r="C12" s="4" t="n">
        <v>15523</v>
      </c>
      <c r="D12" s="4" t="n">
        <v>15562</v>
      </c>
      <c r="E12" s="4" t="n">
        <v>15501</v>
      </c>
      <c r="F12" s="4" t="n">
        <v>14929</v>
      </c>
      <c r="G12" s="4" t="n">
        <v>14853</v>
      </c>
      <c r="H12" s="4" t="n">
        <v>14826</v>
      </c>
      <c r="I12" s="4" t="n">
        <v>14857</v>
      </c>
      <c r="J12" s="4" t="n">
        <v>14801</v>
      </c>
      <c r="K12" s="4" t="n">
        <v>15363</v>
      </c>
      <c r="L12" s="4" t="n">
        <v>15523</v>
      </c>
      <c r="M12" s="4" t="n">
        <v>14852</v>
      </c>
      <c r="N12" s="4" t="n">
        <v>15066</v>
      </c>
      <c r="O12" s="4" t="n">
        <v>15143</v>
      </c>
    </row>
    <row r="13">
      <c r="A13" s="3" t="inlineStr">
        <is>
          <t>Goodwill</t>
        </is>
      </c>
      <c r="B13" s="4" t="n">
        <v>18202</v>
      </c>
      <c r="C13" s="4" t="n">
        <v>18089</v>
      </c>
      <c r="D13" s="4" t="n">
        <v>17997</v>
      </c>
      <c r="E13" s="4" t="n">
        <v>17892</v>
      </c>
      <c r="F13" s="4" t="n">
        <v>17728</v>
      </c>
      <c r="G13" s="4" t="n">
        <v>17646</v>
      </c>
      <c r="H13" s="4" t="n">
        <v>17648</v>
      </c>
      <c r="I13" s="4" t="n">
        <v>17709</v>
      </c>
      <c r="J13" s="4" t="n">
        <v>17534</v>
      </c>
      <c r="K13" s="4" t="n">
        <v>18364</v>
      </c>
      <c r="L13" s="4" t="n">
        <v>18952</v>
      </c>
      <c r="M13" s="4" t="n">
        <v>18845</v>
      </c>
      <c r="N13" s="4" t="n">
        <v>18916</v>
      </c>
      <c r="O13" s="4" t="n">
        <v>19021</v>
      </c>
    </row>
    <row r="14">
      <c r="A14" s="3" t="inlineStr">
        <is>
          <t>Equity Method Investments</t>
        </is>
      </c>
      <c r="B14" s="4" t="n">
        <v>3073</v>
      </c>
      <c r="C14" s="4" t="n">
        <v>3123</v>
      </c>
      <c r="D14" s="4" t="n">
        <v>3038</v>
      </c>
      <c r="E14" s="4" t="n">
        <v>2955</v>
      </c>
      <c r="F14" s="4" t="n">
        <v>2714</v>
      </c>
      <c r="G14" s="4" t="n">
        <v>2734</v>
      </c>
      <c r="H14" s="4" t="n">
        <v>2674</v>
      </c>
      <c r="I14" s="4" t="n">
        <v>2645</v>
      </c>
      <c r="J14" s="4" t="n">
        <v>1985</v>
      </c>
      <c r="K14" s="4" t="n">
        <v>1996</v>
      </c>
      <c r="L14" s="4" t="n">
        <v>2061</v>
      </c>
      <c r="M14" s="4" t="n">
        <v>2084</v>
      </c>
      <c r="N14" s="4" t="n">
        <v>2038</v>
      </c>
      <c r="O14" s="4" t="n">
        <v>2135</v>
      </c>
    </row>
    <row r="15">
      <c r="A15" s="3" t="inlineStr">
        <is>
          <t>Deferred Tax Assets</t>
        </is>
      </c>
      <c r="B15" s="4" t="n">
        <v>4204</v>
      </c>
      <c r="C15" s="4" t="n">
        <v>4211</v>
      </c>
      <c r="D15" s="4" t="n">
        <v>4186</v>
      </c>
      <c r="E15" s="4" t="n">
        <v>4165</v>
      </c>
      <c r="F15" s="4" t="n">
        <v>4474</v>
      </c>
      <c r="G15" s="4" t="n">
        <v>4444</v>
      </c>
      <c r="H15" s="4" t="n">
        <v>4465</v>
      </c>
      <c r="I15" s="4" t="n">
        <v>4321</v>
      </c>
      <c r="J15" s="4" t="n">
        <v>4362</v>
      </c>
      <c r="K15" s="4" t="n">
        <v>4350</v>
      </c>
      <c r="L15" s="4" t="n">
        <v>4293</v>
      </c>
      <c r="M15" s="4" t="n">
        <v>4341</v>
      </c>
      <c r="N15" s="4" t="n">
        <v>4541</v>
      </c>
      <c r="O15" s="4" t="n">
        <v>4560</v>
      </c>
    </row>
    <row r="16">
      <c r="A16" s="3" t="inlineStr">
        <is>
          <t>Other Non-Current Assets</t>
        </is>
      </c>
      <c r="B16" s="4" t="n">
        <v>5292</v>
      </c>
      <c r="C16" s="4" t="n">
        <v>5441</v>
      </c>
      <c r="D16" s="4" t="n">
        <v>5669</v>
      </c>
      <c r="E16" s="4" t="n">
        <v>5938</v>
      </c>
      <c r="F16" s="4" t="n">
        <v>6661</v>
      </c>
      <c r="G16" s="4" t="n">
        <v>7566</v>
      </c>
      <c r="H16" s="4" t="n">
        <v>7175</v>
      </c>
      <c r="I16" s="4" t="n">
        <v>6941</v>
      </c>
      <c r="J16" s="4" t="n">
        <v>6951</v>
      </c>
      <c r="K16" s="4" t="n">
        <v>7163</v>
      </c>
      <c r="L16" s="4" t="n">
        <v>7509</v>
      </c>
      <c r="M16" s="4" t="n">
        <v>8661</v>
      </c>
      <c r="N16" s="4" t="n">
        <v>8984</v>
      </c>
      <c r="O16" s="4" t="n">
        <v>9064</v>
      </c>
    </row>
    <row r="17">
      <c r="A17" s="3" t="inlineStr">
        <is>
          <t>Total Assets</t>
        </is>
      </c>
      <c r="B17" s="6">
        <f>B10+SUM(B11:B16)</f>
        <v/>
      </c>
      <c r="C17" s="6">
        <f>C10+SUM(C11:C16)</f>
        <v/>
      </c>
      <c r="D17" s="6">
        <f>D10+SUM(D11:D16)</f>
        <v/>
      </c>
      <c r="E17" s="6">
        <f>E10+SUM(E11:E16)</f>
        <v/>
      </c>
      <c r="F17" s="6">
        <f>F10+SUM(F11:F16)</f>
        <v/>
      </c>
      <c r="G17" s="6">
        <f>G10+SUM(G11:G16)</f>
        <v/>
      </c>
      <c r="H17" s="6">
        <f>H10+SUM(H11:H16)</f>
        <v/>
      </c>
      <c r="I17" s="6">
        <f>I10+SUM(I11:I16)</f>
        <v/>
      </c>
      <c r="J17" s="6">
        <f>J10+SUM(J11:J16)</f>
        <v/>
      </c>
      <c r="K17" s="6">
        <f>K10+SUM(K11:K16)</f>
        <v/>
      </c>
      <c r="L17" s="6">
        <f>L10+SUM(L11:L16)</f>
        <v/>
      </c>
      <c r="M17" s="6">
        <f>M10+SUM(M11:M16)</f>
        <v/>
      </c>
      <c r="N17" s="6">
        <f>N10+SUM(N11:N16)</f>
        <v/>
      </c>
      <c r="O17" s="6">
        <f>O10+SUM(O11:O16)</f>
        <v/>
      </c>
    </row>
    <row r="18">
      <c r="A18" s="3" t="inlineStr">
        <is>
          <t>Short-Term Debt Obligations</t>
        </is>
      </c>
      <c r="B18" s="4" t="n">
        <v>3414</v>
      </c>
      <c r="C18" s="4" t="n">
        <v>4281</v>
      </c>
      <c r="D18" s="4" t="n">
        <v>7613</v>
      </c>
      <c r="E18" s="4" t="n">
        <v>8937</v>
      </c>
      <c r="F18" s="4" t="n">
        <v>6510</v>
      </c>
      <c r="G18" s="4" t="n">
        <v>8161</v>
      </c>
      <c r="H18" s="4" t="n">
        <v>8289</v>
      </c>
      <c r="I18" s="4" t="n">
        <v>6524</v>
      </c>
      <c r="J18" s="4" t="n">
        <v>7082</v>
      </c>
      <c r="K18" s="4" t="n">
        <v>9099</v>
      </c>
      <c r="L18" s="4" t="n">
        <v>12056</v>
      </c>
      <c r="M18" s="4" t="n">
        <v>6736</v>
      </c>
      <c r="N18" s="4" t="n">
        <v>6861</v>
      </c>
      <c r="O18" s="4" t="n">
        <v>10151</v>
      </c>
    </row>
    <row r="19">
      <c r="A19" s="3" t="inlineStr">
        <is>
          <t>Accrued Expenses</t>
        </is>
      </c>
      <c r="B19" s="4" t="n">
        <v>23371</v>
      </c>
      <c r="C19" s="4" t="n">
        <v>21556</v>
      </c>
      <c r="D19" s="4" t="n">
        <v>22005</v>
      </c>
      <c r="E19" s="4" t="n">
        <v>23723</v>
      </c>
      <c r="F19" s="4" t="n">
        <v>25137</v>
      </c>
      <c r="G19" s="4" t="n">
        <v>22073</v>
      </c>
      <c r="H19" s="4" t="n">
        <v>22859</v>
      </c>
      <c r="I19" s="4" t="n">
        <v>23791</v>
      </c>
      <c r="J19" s="4" t="n">
        <v>24454</v>
      </c>
      <c r="K19" s="4" t="n">
        <v>22412</v>
      </c>
      <c r="L19" s="4" t="n">
        <v>24340</v>
      </c>
      <c r="M19" s="4" t="n">
        <v>24763</v>
      </c>
      <c r="N19" s="4" t="n">
        <v>25903</v>
      </c>
      <c r="O19" s="4" t="n">
        <v>24326</v>
      </c>
    </row>
    <row r="20">
      <c r="A20" s="3" t="inlineStr">
        <is>
          <t>Total Current Liabilities</t>
        </is>
      </c>
      <c r="B20" s="6">
        <f>SUM(B18:B19)</f>
        <v/>
      </c>
      <c r="C20" s="6">
        <f>SUM(C18:C19)</f>
        <v/>
      </c>
      <c r="D20" s="6">
        <f>SUM(D18:D19)</f>
        <v/>
      </c>
      <c r="E20" s="6">
        <f>SUM(E18:E19)</f>
        <v/>
      </c>
      <c r="F20" s="6">
        <f>SUM(F18:F19)</f>
        <v/>
      </c>
      <c r="G20" s="6">
        <f>SUM(G18:G19)</f>
        <v/>
      </c>
      <c r="H20" s="6">
        <f>SUM(H18:H19)</f>
        <v/>
      </c>
      <c r="I20" s="6">
        <f>SUM(I18:I19)</f>
        <v/>
      </c>
      <c r="J20" s="6">
        <f>SUM(J18:J19)</f>
        <v/>
      </c>
      <c r="K20" s="6">
        <f>SUM(K18:K19)</f>
        <v/>
      </c>
      <c r="L20" s="6">
        <f>SUM(L18:L19)</f>
        <v/>
      </c>
      <c r="M20" s="6">
        <f>SUM(M18:M19)</f>
        <v/>
      </c>
      <c r="N20" s="6">
        <f>SUM(N18:N19)</f>
        <v/>
      </c>
      <c r="O20" s="6">
        <f>SUM(O18:O19)</f>
        <v/>
      </c>
    </row>
    <row r="21">
      <c r="A21" s="3" t="inlineStr">
        <is>
          <t>Long-Term Debt</t>
        </is>
      </c>
      <c r="B21" s="4" t="n">
        <v>35657</v>
      </c>
      <c r="C21" s="4" t="n">
        <v>37486</v>
      </c>
      <c r="D21" s="4" t="n">
        <v>36008</v>
      </c>
      <c r="E21" s="4" t="n">
        <v>35837</v>
      </c>
      <c r="F21" s="4" t="n">
        <v>37595</v>
      </c>
      <c r="G21" s="4" t="n">
        <v>37707</v>
      </c>
      <c r="H21" s="4" t="n">
        <v>36638</v>
      </c>
      <c r="I21" s="4" t="n">
        <v>38490</v>
      </c>
      <c r="J21" s="4" t="n">
        <v>37224</v>
      </c>
      <c r="K21" s="4" t="n">
        <v>39419</v>
      </c>
      <c r="L21" s="4" t="n">
        <v>39328</v>
      </c>
      <c r="M21" s="4" t="n">
        <v>44113</v>
      </c>
      <c r="N21" s="4" t="n">
        <v>42321</v>
      </c>
      <c r="O21" s="4" t="n">
        <v>42577</v>
      </c>
    </row>
    <row r="22">
      <c r="A22" s="3" t="inlineStr">
        <is>
          <t>Deferred Tax Liability</t>
        </is>
      </c>
      <c r="B22" s="4" t="n">
        <v>4133</v>
      </c>
      <c r="C22" s="4" t="n">
        <v>4039</v>
      </c>
      <c r="D22" s="4" t="n">
        <v>4113</v>
      </c>
      <c r="E22" s="4" t="n">
        <v>4047</v>
      </c>
      <c r="F22" s="4" t="n">
        <v>3895</v>
      </c>
      <c r="G22" s="4" t="n">
        <v>4087</v>
      </c>
      <c r="H22" s="4" t="n">
        <v>3908</v>
      </c>
      <c r="I22" s="4" t="n">
        <v>3684</v>
      </c>
      <c r="J22" s="4" t="n">
        <v>3484</v>
      </c>
      <c r="K22" s="4" t="n">
        <v>3541</v>
      </c>
      <c r="L22" s="4" t="n">
        <v>3102</v>
      </c>
      <c r="M22" s="4" t="n">
        <v>3474</v>
      </c>
      <c r="N22" s="4" t="n">
        <v>3802</v>
      </c>
      <c r="O22" s="4" t="n">
        <v>4048</v>
      </c>
    </row>
    <row r="23">
      <c r="A23" s="3" t="inlineStr">
        <is>
          <t>Other Non-Current Liabilities</t>
        </is>
      </c>
      <c r="B23" s="4" t="n">
        <v>8339</v>
      </c>
      <c r="C23" s="4" t="n">
        <v>8505</v>
      </c>
      <c r="D23" s="4" t="n">
        <v>8342</v>
      </c>
      <c r="E23" s="4" t="n">
        <v>8439</v>
      </c>
      <c r="F23" s="4" t="n">
        <v>8721</v>
      </c>
      <c r="G23" s="4" t="n">
        <v>8822</v>
      </c>
      <c r="H23" s="4" t="n">
        <v>8259</v>
      </c>
      <c r="I23" s="4" t="n">
        <v>8419</v>
      </c>
      <c r="J23" s="4" t="n">
        <v>9052</v>
      </c>
      <c r="K23" s="4" t="n">
        <v>8737</v>
      </c>
      <c r="L23" s="4" t="n">
        <v>7960</v>
      </c>
      <c r="M23" s="4" t="n">
        <v>7929</v>
      </c>
      <c r="N23" s="4" t="n">
        <v>7965</v>
      </c>
      <c r="O23" s="4" t="n">
        <v>8008</v>
      </c>
    </row>
    <row r="24">
      <c r="A24" s="3" t="inlineStr">
        <is>
          <t>Total Liabilities</t>
        </is>
      </c>
      <c r="B24" s="6">
        <f>B20+SUM(B21:B23)</f>
        <v/>
      </c>
      <c r="C24" s="6">
        <f>C20+SUM(C21:C23)</f>
        <v/>
      </c>
      <c r="D24" s="6">
        <f>D20+SUM(D21:D23)</f>
        <v/>
      </c>
      <c r="E24" s="6">
        <f>E20+SUM(E21:E23)</f>
        <v/>
      </c>
      <c r="F24" s="6">
        <f>F20+SUM(F21:F23)</f>
        <v/>
      </c>
      <c r="G24" s="6">
        <f>G20+SUM(G21:G23)</f>
        <v/>
      </c>
      <c r="H24" s="6">
        <f>H20+SUM(H21:H23)</f>
        <v/>
      </c>
      <c r="I24" s="6">
        <f>I20+SUM(I21:I23)</f>
        <v/>
      </c>
      <c r="J24" s="6">
        <f>J20+SUM(J21:J23)</f>
        <v/>
      </c>
      <c r="K24" s="6">
        <f>K20+SUM(K21:K23)</f>
        <v/>
      </c>
      <c r="L24" s="6">
        <f>L20+SUM(L21:L23)</f>
        <v/>
      </c>
      <c r="M24" s="6">
        <f>M20+SUM(M21:M23)</f>
        <v/>
      </c>
      <c r="N24" s="6">
        <f>N20+SUM(N21:N23)</f>
        <v/>
      </c>
      <c r="O24" s="6">
        <f>O20+SUM(O21:O23)</f>
        <v/>
      </c>
    </row>
    <row r="25">
      <c r="A25" s="3" t="inlineStr">
        <is>
          <t>Common Stock</t>
        </is>
      </c>
      <c r="B25" s="4" t="n">
        <v>23</v>
      </c>
      <c r="C25" s="4" t="n">
        <v>23</v>
      </c>
      <c r="D25" s="4" t="n">
        <v>23</v>
      </c>
      <c r="E25" s="4" t="n">
        <v>23</v>
      </c>
      <c r="F25" s="4" t="n">
        <v>23</v>
      </c>
      <c r="G25" s="4" t="n">
        <v>23</v>
      </c>
      <c r="H25" s="4" t="n">
        <v>23</v>
      </c>
      <c r="I25" s="4" t="n">
        <v>23</v>
      </c>
      <c r="J25" s="4" t="n">
        <v>23</v>
      </c>
      <c r="K25" s="4" t="n">
        <v>23</v>
      </c>
      <c r="L25" s="4" t="n">
        <v>23</v>
      </c>
      <c r="M25" s="4" t="n">
        <v>23</v>
      </c>
      <c r="N25" s="4" t="n">
        <v>23</v>
      </c>
      <c r="O25" s="4" t="n">
        <v>23</v>
      </c>
    </row>
    <row r="26">
      <c r="A26" s="3" t="inlineStr">
        <is>
          <t>Additional Paid-in Capital</t>
        </is>
      </c>
      <c r="B26" s="4" t="n">
        <v>4134</v>
      </c>
      <c r="C26" s="4" t="n">
        <v>3996</v>
      </c>
      <c r="D26" s="4" t="n">
        <v>4082</v>
      </c>
      <c r="E26" s="4" t="n">
        <v>4154</v>
      </c>
      <c r="F26" s="4" t="n">
        <v>4261</v>
      </c>
      <c r="G26" s="4" t="n">
        <v>4132</v>
      </c>
      <c r="H26" s="4" t="n">
        <v>4203</v>
      </c>
      <c r="I26" s="4" t="n">
        <v>4281</v>
      </c>
      <c r="J26" s="4" t="n">
        <v>4385</v>
      </c>
      <c r="K26" s="4" t="n">
        <v>4274</v>
      </c>
      <c r="L26" s="4" t="n">
        <v>4299</v>
      </c>
      <c r="M26" s="4" t="n">
        <v>4374</v>
      </c>
      <c r="N26" s="4" t="n">
        <v>4451</v>
      </c>
      <c r="O26" s="4" t="n">
        <v>4401</v>
      </c>
    </row>
    <row r="27">
      <c r="A27" s="3" t="inlineStr">
        <is>
          <t>Retained Earnings (Accumulated Deficit)</t>
        </is>
      </c>
      <c r="B27" s="4" t="n">
        <v>67800</v>
      </c>
      <c r="C27" s="4" t="n">
        <v>68142</v>
      </c>
      <c r="D27" s="4" t="n">
        <v>69135</v>
      </c>
      <c r="E27" s="4" t="n">
        <v>70479</v>
      </c>
      <c r="F27" s="4" t="n">
        <v>70035</v>
      </c>
      <c r="G27" s="4" t="n">
        <v>70331</v>
      </c>
      <c r="H27" s="4" t="n">
        <v>71545</v>
      </c>
      <c r="I27" s="4" t="n">
        <v>72607</v>
      </c>
      <c r="J27" s="4" t="n">
        <v>72266</v>
      </c>
      <c r="K27" s="4" t="n">
        <v>72238</v>
      </c>
      <c r="L27" s="4" t="n">
        <v>71547</v>
      </c>
      <c r="M27" s="4" t="n">
        <v>72197</v>
      </c>
      <c r="N27" s="4" t="n">
        <v>72788</v>
      </c>
      <c r="O27" s="4" t="n">
        <v>73165</v>
      </c>
    </row>
    <row r="28">
      <c r="A28" s="3" t="inlineStr">
        <is>
          <t>Accumulated Other Comprehensive Income (Loss)</t>
        </is>
      </c>
      <c r="B28" s="4" t="n">
        <v>-15302</v>
      </c>
      <c r="C28" s="4" t="n">
        <v>-15601</v>
      </c>
      <c r="D28" s="4" t="n">
        <v>-15780</v>
      </c>
      <c r="E28" s="4" t="n">
        <v>-15794</v>
      </c>
      <c r="F28" s="4" t="n">
        <v>-15534</v>
      </c>
      <c r="G28" s="4" t="n">
        <v>-15179</v>
      </c>
      <c r="H28" s="4" t="n">
        <v>-15786</v>
      </c>
      <c r="I28" s="4" t="n">
        <v>-16652</v>
      </c>
      <c r="J28" s="4" t="n">
        <v>-17612</v>
      </c>
      <c r="K28" s="4" t="n">
        <v>-17078</v>
      </c>
      <c r="L28" s="4" t="n">
        <v>-16090</v>
      </c>
      <c r="M28" s="4" t="n">
        <v>-15597</v>
      </c>
      <c r="N28" s="4" t="n">
        <v>-15024</v>
      </c>
      <c r="O28" s="4" t="n">
        <v>-14342</v>
      </c>
    </row>
    <row r="29">
      <c r="A29" s="3" t="inlineStr">
        <is>
          <t>Treasury Stock</t>
        </is>
      </c>
      <c r="B29" s="4" t="n">
        <v>-39506</v>
      </c>
      <c r="C29" s="4" t="n">
        <v>-39518</v>
      </c>
      <c r="D29" s="4" t="n">
        <v>-39775</v>
      </c>
      <c r="E29" s="4" t="n">
        <v>-40056</v>
      </c>
      <c r="F29" s="4" t="n">
        <v>-40282</v>
      </c>
      <c r="G29" s="4" t="n">
        <v>-40260</v>
      </c>
      <c r="H29" s="4" t="n">
        <v>-40539</v>
      </c>
      <c r="I29" s="4" t="n">
        <v>-40806</v>
      </c>
      <c r="J29" s="4" t="n">
        <v>-41021</v>
      </c>
      <c r="K29" s="4" t="n">
        <v>-41068</v>
      </c>
      <c r="L29" s="4" t="n">
        <v>-41361</v>
      </c>
      <c r="M29" s="4" t="n">
        <v>-41609</v>
      </c>
      <c r="N29" s="4" t="n">
        <v>-41832</v>
      </c>
      <c r="O29" s="4" t="n">
        <v>-41864</v>
      </c>
    </row>
    <row r="30">
      <c r="A30" s="3" t="inlineStr">
        <is>
          <t>Noncontrolling Interest</t>
        </is>
      </c>
      <c r="B30" s="4" t="n">
        <v>124</v>
      </c>
      <c r="C30" s="4" t="n">
        <v>133</v>
      </c>
      <c r="D30" s="4" t="n">
        <v>140</v>
      </c>
      <c r="E30" s="4" t="n">
        <v>164</v>
      </c>
      <c r="F30" s="4" t="n">
        <v>134</v>
      </c>
      <c r="G30" s="4" t="n">
        <v>143</v>
      </c>
      <c r="H30" s="4" t="n">
        <v>134</v>
      </c>
      <c r="I30" s="4" t="n">
        <v>152</v>
      </c>
      <c r="J30" s="4" t="n">
        <v>130</v>
      </c>
      <c r="K30" s="4" t="n">
        <v>140</v>
      </c>
      <c r="L30" s="4" t="n">
        <v>141</v>
      </c>
      <c r="M30" s="4" t="n">
        <v>155</v>
      </c>
      <c r="N30" s="4" t="n">
        <v>141</v>
      </c>
      <c r="O30" s="4" t="n">
        <v>153</v>
      </c>
    </row>
    <row r="31">
      <c r="A31" s="3" t="inlineStr">
        <is>
          <t>Total Stockholders' Equity</t>
        </is>
      </c>
      <c r="B31" s="6">
        <f>SUM(B25:B30)</f>
        <v/>
      </c>
      <c r="C31" s="6">
        <f>SUM(C25:C30)</f>
        <v/>
      </c>
      <c r="D31" s="6">
        <f>SUM(D25:D30)</f>
        <v/>
      </c>
      <c r="E31" s="6">
        <f>SUM(E25:E30)</f>
        <v/>
      </c>
      <c r="F31" s="6">
        <f>SUM(F25:F30)</f>
        <v/>
      </c>
      <c r="G31" s="6">
        <f>SUM(G25:G30)</f>
        <v/>
      </c>
      <c r="H31" s="6">
        <f>SUM(H25:H30)</f>
        <v/>
      </c>
      <c r="I31" s="6">
        <f>SUM(I25:I30)</f>
        <v/>
      </c>
      <c r="J31" s="6">
        <f>SUM(J25:J30)</f>
        <v/>
      </c>
      <c r="K31" s="6">
        <f>SUM(K25:K30)</f>
        <v/>
      </c>
      <c r="L31" s="6">
        <f>SUM(L25:L30)</f>
        <v/>
      </c>
      <c r="M31" s="6">
        <f>SUM(M25:M30)</f>
        <v/>
      </c>
      <c r="N31" s="6">
        <f>SUM(N25:N30)</f>
        <v/>
      </c>
      <c r="O31" s="6">
        <f>SUM(O25:O30)</f>
        <v/>
      </c>
    </row>
    <row r="32">
      <c r="A32" s="3" t="inlineStr">
        <is>
          <t>Total Liabilities, Mezzanine &amp; Stockholders' Equity</t>
        </is>
      </c>
      <c r="B32" s="6">
        <f>B24+B31</f>
        <v/>
      </c>
      <c r="C32" s="6">
        <f>C24+C31</f>
        <v/>
      </c>
      <c r="D32" s="6">
        <f>D24+D31</f>
        <v/>
      </c>
      <c r="E32" s="6">
        <f>E24+E31</f>
        <v/>
      </c>
      <c r="F32" s="6">
        <f>F24+F31</f>
        <v/>
      </c>
      <c r="G32" s="6">
        <f>G24+G31</f>
        <v/>
      </c>
      <c r="H32" s="6">
        <f>H24+H31</f>
        <v/>
      </c>
      <c r="I32" s="6">
        <f>I24+I31</f>
        <v/>
      </c>
      <c r="J32" s="6">
        <f>J24+J31</f>
        <v/>
      </c>
      <c r="K32" s="6">
        <f>K24+K31</f>
        <v/>
      </c>
      <c r="L32" s="6">
        <f>L24+L31</f>
        <v/>
      </c>
      <c r="M32" s="6">
        <f>M24+M31</f>
        <v/>
      </c>
      <c r="N32" s="6">
        <f>N24+N31</f>
        <v/>
      </c>
      <c r="O32" s="6">
        <f>O24+O31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Non-Cash Lease Expense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  <c r="AL6" s="11">
        <f>'IS DRIVERS'!AM5</f>
        <v/>
      </c>
      <c r="AM6" s="11">
        <f>'IS DRIVERS'!AN5</f>
        <v/>
      </c>
      <c r="AN6" s="11">
        <f>'IS DRIVERS'!AO5</f>
        <v/>
      </c>
      <c r="AO6" s="11">
        <f>'IS DRIVERS'!AP5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  <c r="AL8" s="7">
        <f>AL4+SUM(AL5:AL7)</f>
        <v/>
      </c>
      <c r="AM8" s="7">
        <f>AM4+SUM(AM5:AM7)</f>
        <v/>
      </c>
      <c r="AN8" s="7">
        <f>AN4+SUM(AN5:AN7)</f>
        <v/>
      </c>
      <c r="AO8" s="7">
        <f>AO4+SUM(AO5:AO7)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  <c r="AL10" s="11">
        <f>'IS DRIVERS'!AM8</f>
        <v/>
      </c>
      <c r="AM10" s="11">
        <f>'IS DRIVERS'!AN8</f>
        <v/>
      </c>
      <c r="AN10" s="11">
        <f>'IS DRIVERS'!AO8</f>
        <v/>
      </c>
      <c r="AO10" s="11">
        <f>'IS DRIVERS'!AP8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  <c r="AL11" s="7">
        <f>AL8+SUM(AL9:AL10)</f>
        <v/>
      </c>
      <c r="AM11" s="7">
        <f>AM8+SUM(AM9:AM10)</f>
        <v/>
      </c>
      <c r="AN11" s="7">
        <f>AN8+SUM(AN9:AN10)</f>
        <v/>
      </c>
      <c r="AO11" s="7">
        <f>AO8+SUM(AO9:AO10)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  <c r="AL12" s="11">
        <f>'QTR P&amp;L'!AL11*'IS DRIVERS'!AM9</f>
        <v/>
      </c>
      <c r="AM12" s="11">
        <f>'QTR P&amp;L'!AM11*'IS DRIVERS'!AN9</f>
        <v/>
      </c>
      <c r="AN12" s="11">
        <f>'QTR P&amp;L'!AN11*'IS DRIVERS'!AO9</f>
        <v/>
      </c>
      <c r="AO12" s="11">
        <f>'QTR P&amp;L'!AO11*'IS DRIVERS'!AP9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  <c r="AL13" s="7">
        <f>AL11+AL12</f>
        <v/>
      </c>
      <c r="AM13" s="7">
        <f>AM11+AM12</f>
        <v/>
      </c>
      <c r="AN13" s="7">
        <f>AN11+AN12</f>
        <v/>
      </c>
      <c r="AO13" s="7">
        <f>AO11+AO12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  <c r="AL14" s="11">
        <f>'IS DRIVERS'!AM10</f>
        <v/>
      </c>
      <c r="AM14" s="11">
        <f>'IS DRIVERS'!AN10</f>
        <v/>
      </c>
      <c r="AN14" s="11">
        <f>'IS DRIVERS'!AO10</f>
        <v/>
      </c>
      <c r="AO14" s="11">
        <f>'IS DRIVERS'!AP10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</row>
    <row r="5">
      <c r="A5" s="3" t="inlineStr">
        <is>
          <t>Raw Materials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BS'!P8*'BS DRIVERS'!P5</f>
        <v/>
      </c>
      <c r="Q5" s="11">
        <f>'QTR BS'!Q8*'BS DRIVERS'!Q5</f>
        <v/>
      </c>
      <c r="R5" s="11">
        <f>'QTR BS'!R8*'BS DRIVERS'!R5</f>
        <v/>
      </c>
      <c r="S5" s="11">
        <f>'QTR BS'!S8*'BS DRIVERS'!S5</f>
        <v/>
      </c>
      <c r="T5" s="11">
        <f>'QTR BS'!T8*'BS DRIVERS'!T5</f>
        <v/>
      </c>
      <c r="U5" s="11">
        <f>'QTR BS'!U8*'BS DRIVERS'!U5</f>
        <v/>
      </c>
      <c r="V5" s="11">
        <f>'QTR BS'!V8*'BS DRIVERS'!V5</f>
        <v/>
      </c>
      <c r="W5" s="11">
        <f>'QTR BS'!W8*'BS DRIVERS'!W5</f>
        <v/>
      </c>
      <c r="X5" s="11">
        <f>'QTR BS'!X8*'BS DRIVERS'!X5</f>
        <v/>
      </c>
      <c r="Y5" s="11">
        <f>'QTR BS'!Y8*'BS DRIVERS'!Y5</f>
        <v/>
      </c>
      <c r="Z5" s="11">
        <f>'QTR BS'!Z8*'BS DRIVERS'!Z5</f>
        <v/>
      </c>
      <c r="AA5" s="11">
        <f>'QTR BS'!AA8*'BS DRIVERS'!AA5</f>
        <v/>
      </c>
      <c r="AB5" s="11">
        <f>'QTR BS'!AB8*'BS DRIVERS'!AB5</f>
        <v/>
      </c>
      <c r="AC5" s="11">
        <f>'QTR BS'!AC8*'BS DRIVERS'!AC5</f>
        <v/>
      </c>
      <c r="AD5" s="11">
        <f>'QTR BS'!AD8*'BS DRIVERS'!AD5</f>
        <v/>
      </c>
      <c r="AE5" s="11">
        <f>'QTR BS'!AE8*'BS DRIVERS'!AE5</f>
        <v/>
      </c>
      <c r="AF5" s="11">
        <f>'QTR BS'!AF8*'BS DRIVERS'!AF5</f>
        <v/>
      </c>
      <c r="AG5" s="11">
        <f>'QTR BS'!AG8*'BS DRIVERS'!AG5</f>
        <v/>
      </c>
      <c r="AH5" s="11">
        <f>'QTR BS'!AH8*'BS DRIVERS'!AH5</f>
        <v/>
      </c>
      <c r="AI5" s="11">
        <f>'QTR BS'!AI8*'BS DRIVERS'!AI5</f>
        <v/>
      </c>
      <c r="AJ5" s="11">
        <f>'QTR BS'!AJ8*'BS DRIVERS'!AJ5</f>
        <v/>
      </c>
      <c r="AK5" s="11">
        <f>'QTR BS'!AK8*'BS DRIVERS'!AK5</f>
        <v/>
      </c>
      <c r="AL5" s="11">
        <f>'QTR BS'!AL8*'BS DRIVERS'!AL5</f>
        <v/>
      </c>
    </row>
    <row r="6">
      <c r="A6" s="3" t="inlineStr">
        <is>
          <t>Work in Process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BS'!P8*'BS DRIVERS'!P6</f>
        <v/>
      </c>
      <c r="Q6" s="11">
        <f>'QTR BS'!Q8*'BS DRIVERS'!Q6</f>
        <v/>
      </c>
      <c r="R6" s="11">
        <f>'QTR BS'!R8*'BS DRIVERS'!R6</f>
        <v/>
      </c>
      <c r="S6" s="11">
        <f>'QTR BS'!S8*'BS DRIVERS'!S6</f>
        <v/>
      </c>
      <c r="T6" s="11">
        <f>'QTR BS'!T8*'BS DRIVERS'!T6</f>
        <v/>
      </c>
      <c r="U6" s="11">
        <f>'QTR BS'!U8*'BS DRIVERS'!U6</f>
        <v/>
      </c>
      <c r="V6" s="11">
        <f>'QTR BS'!V8*'BS DRIVERS'!V6</f>
        <v/>
      </c>
      <c r="W6" s="11">
        <f>'QTR BS'!W8*'BS DRIVERS'!W6</f>
        <v/>
      </c>
      <c r="X6" s="11">
        <f>'QTR BS'!X8*'BS DRIVERS'!X6</f>
        <v/>
      </c>
      <c r="Y6" s="11">
        <f>'QTR BS'!Y8*'BS DRIVERS'!Y6</f>
        <v/>
      </c>
      <c r="Z6" s="11">
        <f>'QTR BS'!Z8*'BS DRIVERS'!Z6</f>
        <v/>
      </c>
      <c r="AA6" s="11">
        <f>'QTR BS'!AA8*'BS DRIVERS'!AA6</f>
        <v/>
      </c>
      <c r="AB6" s="11">
        <f>'QTR BS'!AB8*'BS DRIVERS'!AB6</f>
        <v/>
      </c>
      <c r="AC6" s="11">
        <f>'QTR BS'!AC8*'BS DRIVERS'!AC6</f>
        <v/>
      </c>
      <c r="AD6" s="11">
        <f>'QTR BS'!AD8*'BS DRIVERS'!AD6</f>
        <v/>
      </c>
      <c r="AE6" s="11">
        <f>'QTR BS'!AE8*'BS DRIVERS'!AE6</f>
        <v/>
      </c>
      <c r="AF6" s="11">
        <f>'QTR BS'!AF8*'BS DRIVERS'!AF6</f>
        <v/>
      </c>
      <c r="AG6" s="11">
        <f>'QTR BS'!AG8*'BS DRIVERS'!AG6</f>
        <v/>
      </c>
      <c r="AH6" s="11">
        <f>'QTR BS'!AH8*'BS DRIVERS'!AH6</f>
        <v/>
      </c>
      <c r="AI6" s="11">
        <f>'QTR BS'!AI8*'BS DRIVERS'!AI6</f>
        <v/>
      </c>
      <c r="AJ6" s="11">
        <f>'QTR BS'!AJ8*'BS DRIVERS'!AJ6</f>
        <v/>
      </c>
      <c r="AK6" s="11">
        <f>'QTR BS'!AK8*'BS DRIVERS'!AK6</f>
        <v/>
      </c>
      <c r="AL6" s="11">
        <f>'QTR BS'!AL8*'BS DRIVERS'!AL6</f>
        <v/>
      </c>
    </row>
    <row r="7">
      <c r="A7" s="3" t="inlineStr">
        <is>
          <t>Finished Goods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11">
        <f>'QTR BS'!P8*'BS DRIVERS'!P7</f>
        <v/>
      </c>
      <c r="Q7" s="11">
        <f>'QTR BS'!Q8*'BS DRIVERS'!Q7</f>
        <v/>
      </c>
      <c r="R7" s="11">
        <f>'QTR BS'!R8*'BS DRIVERS'!R7</f>
        <v/>
      </c>
      <c r="S7" s="11">
        <f>'QTR BS'!S8*'BS DRIVERS'!S7</f>
        <v/>
      </c>
      <c r="T7" s="11">
        <f>'QTR BS'!T8*'BS DRIVERS'!T7</f>
        <v/>
      </c>
      <c r="U7" s="11">
        <f>'QTR BS'!U8*'BS DRIVERS'!U7</f>
        <v/>
      </c>
      <c r="V7" s="11">
        <f>'QTR BS'!V8*'BS DRIVERS'!V7</f>
        <v/>
      </c>
      <c r="W7" s="11">
        <f>'QTR BS'!W8*'BS DRIVERS'!W7</f>
        <v/>
      </c>
      <c r="X7" s="11">
        <f>'QTR BS'!X8*'BS DRIVERS'!X7</f>
        <v/>
      </c>
      <c r="Y7" s="11">
        <f>'QTR BS'!Y8*'BS DRIVERS'!Y7</f>
        <v/>
      </c>
      <c r="Z7" s="11">
        <f>'QTR BS'!Z8*'BS DRIVERS'!Z7</f>
        <v/>
      </c>
      <c r="AA7" s="11">
        <f>'QTR BS'!AA8*'BS DRIVERS'!AA7</f>
        <v/>
      </c>
      <c r="AB7" s="11">
        <f>'QTR BS'!AB8*'BS DRIVERS'!AB7</f>
        <v/>
      </c>
      <c r="AC7" s="11">
        <f>'QTR BS'!AC8*'BS DRIVERS'!AC7</f>
        <v/>
      </c>
      <c r="AD7" s="11">
        <f>'QTR BS'!AD8*'BS DRIVERS'!AD7</f>
        <v/>
      </c>
      <c r="AE7" s="11">
        <f>'QTR BS'!AE8*'BS DRIVERS'!AE7</f>
        <v/>
      </c>
      <c r="AF7" s="11">
        <f>'QTR BS'!AF8*'BS DRIVERS'!AF7</f>
        <v/>
      </c>
      <c r="AG7" s="11">
        <f>'QTR BS'!AG8*'BS DRIVERS'!AG7</f>
        <v/>
      </c>
      <c r="AH7" s="11">
        <f>'QTR BS'!AH8*'BS DRIVERS'!AH7</f>
        <v/>
      </c>
      <c r="AI7" s="11">
        <f>'QTR BS'!AI8*'BS DRIVERS'!AI7</f>
        <v/>
      </c>
      <c r="AJ7" s="11">
        <f>'QTR BS'!AJ8*'BS DRIVERS'!AJ7</f>
        <v/>
      </c>
      <c r="AK7" s="11">
        <f>'QTR BS'!AK8*'BS DRIVERS'!AK7</f>
        <v/>
      </c>
      <c r="AL7" s="11">
        <f>'QTR BS'!AL8*'BS DRIVERS'!AL7</f>
        <v/>
      </c>
    </row>
    <row r="8">
      <c r="A8" s="3" t="inlineStr">
        <is>
          <t>Inventories</t>
        </is>
      </c>
      <c r="B8" s="6">
        <f>'BALANCE SHEET'!B8</f>
        <v/>
      </c>
      <c r="C8" s="6">
        <f>'YTD BS'!C8</f>
        <v/>
      </c>
      <c r="D8" s="6">
        <f>'YTD BS'!D8</f>
        <v/>
      </c>
      <c r="E8" s="6">
        <f>'YTD BS'!E8</f>
        <v/>
      </c>
      <c r="F8" s="6">
        <f>'BALANCE SHEET'!C8</f>
        <v/>
      </c>
      <c r="G8" s="6">
        <f>'YTD BS'!G8</f>
        <v/>
      </c>
      <c r="H8" s="6">
        <f>'YTD BS'!H8</f>
        <v/>
      </c>
      <c r="I8" s="6">
        <f>'YTD BS'!I8</f>
        <v/>
      </c>
      <c r="J8" s="6">
        <f>'BALANCE SHEET'!D8</f>
        <v/>
      </c>
      <c r="K8" s="6">
        <f>'YTD BS'!K8</f>
        <v/>
      </c>
      <c r="L8" s="6">
        <f>'YTD BS'!L8</f>
        <v/>
      </c>
      <c r="M8" s="6">
        <f>'YTD BS'!M8</f>
        <v/>
      </c>
      <c r="N8" s="6">
        <f>'BALANCE SHEET'!E8</f>
        <v/>
      </c>
      <c r="O8" s="6">
        <f>'YTD BS'!O8</f>
        <v/>
      </c>
      <c r="P8" s="7">
        <f>'QTR P&amp;L'!S3*'BS DRIVERS'!P8/ASSUMPTIONS!$B$2</f>
        <v/>
      </c>
      <c r="Q8" s="7">
        <f>'QTR P&amp;L'!T3*'BS DRIVERS'!Q8/ASSUMPTIONS!$B$2</f>
        <v/>
      </c>
      <c r="R8" s="7">
        <f>'QTR P&amp;L'!U3*'BS DRIVERS'!R8/ASSUMPTIONS!$B$2</f>
        <v/>
      </c>
      <c r="S8" s="7">
        <f>'QTR P&amp;L'!V3*'BS DRIVERS'!S8/ASSUMPTIONS!$B$2</f>
        <v/>
      </c>
      <c r="T8" s="7">
        <f>'QTR P&amp;L'!W3*'BS DRIVERS'!T8/ASSUMPTIONS!$B$2</f>
        <v/>
      </c>
      <c r="U8" s="7">
        <f>'QTR P&amp;L'!X3*'BS DRIVERS'!U8/ASSUMPTIONS!$B$2</f>
        <v/>
      </c>
      <c r="V8" s="7">
        <f>'QTR P&amp;L'!Y3*'BS DRIVERS'!V8/ASSUMPTIONS!$B$2</f>
        <v/>
      </c>
      <c r="W8" s="7">
        <f>'QTR P&amp;L'!Z3*'BS DRIVERS'!W8/ASSUMPTIONS!$B$2</f>
        <v/>
      </c>
      <c r="X8" s="7">
        <f>'QTR P&amp;L'!AA3*'BS DRIVERS'!X8/ASSUMPTIONS!$B$2</f>
        <v/>
      </c>
      <c r="Y8" s="7">
        <f>'QTR P&amp;L'!AB3*'BS DRIVERS'!Y8/ASSUMPTIONS!$B$2</f>
        <v/>
      </c>
      <c r="Z8" s="7">
        <f>'QTR P&amp;L'!AC3*'BS DRIVERS'!Z8/ASSUMPTIONS!$B$2</f>
        <v/>
      </c>
      <c r="AA8" s="7">
        <f>'QTR P&amp;L'!AD3*'BS DRIVERS'!AA8/ASSUMPTIONS!$B$2</f>
        <v/>
      </c>
      <c r="AB8" s="7">
        <f>'QTR P&amp;L'!AE3*'BS DRIVERS'!AB8/ASSUMPTIONS!$B$2</f>
        <v/>
      </c>
      <c r="AC8" s="7">
        <f>'QTR P&amp;L'!AF3*'BS DRIVERS'!AC8/ASSUMPTIONS!$B$2</f>
        <v/>
      </c>
      <c r="AD8" s="7">
        <f>'QTR P&amp;L'!AG3*'BS DRIVERS'!AD8/ASSUMPTIONS!$B$2</f>
        <v/>
      </c>
      <c r="AE8" s="7">
        <f>'QTR P&amp;L'!AH3*'BS DRIVERS'!AE8/ASSUMPTIONS!$B$2</f>
        <v/>
      </c>
      <c r="AF8" s="7">
        <f>'QTR P&amp;L'!AI3*'BS DRIVERS'!AF8/ASSUMPTIONS!$B$2</f>
        <v/>
      </c>
      <c r="AG8" s="7">
        <f>'QTR P&amp;L'!AJ3*'BS DRIVERS'!AG8/ASSUMPTIONS!$B$2</f>
        <v/>
      </c>
      <c r="AH8" s="7">
        <f>'QTR P&amp;L'!AK3*'BS DRIVERS'!AH8/ASSUMPTIONS!$B$2</f>
        <v/>
      </c>
      <c r="AI8" s="7">
        <f>'QTR P&amp;L'!AL3*'BS DRIVERS'!AI8/ASSUMPTIONS!$B$2</f>
        <v/>
      </c>
      <c r="AJ8" s="7">
        <f>'QTR P&amp;L'!AM3*'BS DRIVERS'!AJ8/ASSUMPTIONS!$B$2</f>
        <v/>
      </c>
      <c r="AK8" s="7">
        <f>'QTR P&amp;L'!AN3*'BS DRIVERS'!AK8/ASSUMPTIONS!$B$2</f>
        <v/>
      </c>
      <c r="AL8" s="7">
        <f>'QTR P&amp;L'!AO3*'BS DRIVERS'!AL8/ASSUMPTIONS!$B$2</f>
        <v/>
      </c>
    </row>
    <row r="9">
      <c r="A9" s="3" t="inlineStr">
        <is>
          <t>Prepaid Expenses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'QTR P&amp;L'!S2*'BS DRIVERS'!P9</f>
        <v/>
      </c>
      <c r="Q9" s="11">
        <f>'QTR P&amp;L'!T2*'BS DRIVERS'!Q9</f>
        <v/>
      </c>
      <c r="R9" s="11">
        <f>'QTR P&amp;L'!U2*'BS DRIVERS'!R9</f>
        <v/>
      </c>
      <c r="S9" s="11">
        <f>'QTR P&amp;L'!V2*'BS DRIVERS'!S9</f>
        <v/>
      </c>
      <c r="T9" s="11">
        <f>'QTR P&amp;L'!W2*'BS DRIVERS'!T9</f>
        <v/>
      </c>
      <c r="U9" s="11">
        <f>'QTR P&amp;L'!X2*'BS DRIVERS'!U9</f>
        <v/>
      </c>
      <c r="V9" s="11">
        <f>'QTR P&amp;L'!Y2*'BS DRIVERS'!V9</f>
        <v/>
      </c>
      <c r="W9" s="11">
        <f>'QTR P&amp;L'!Z2*'BS DRIVERS'!W9</f>
        <v/>
      </c>
      <c r="X9" s="11">
        <f>'QTR P&amp;L'!AA2*'BS DRIVERS'!X9</f>
        <v/>
      </c>
      <c r="Y9" s="11">
        <f>'QTR P&amp;L'!AB2*'BS DRIVERS'!Y9</f>
        <v/>
      </c>
      <c r="Z9" s="11">
        <f>'QTR P&amp;L'!AC2*'BS DRIVERS'!Z9</f>
        <v/>
      </c>
      <c r="AA9" s="11">
        <f>'QTR P&amp;L'!AD2*'BS DRIVERS'!AA9</f>
        <v/>
      </c>
      <c r="AB9" s="11">
        <f>'QTR P&amp;L'!AE2*'BS DRIVERS'!AB9</f>
        <v/>
      </c>
      <c r="AC9" s="11">
        <f>'QTR P&amp;L'!AF2*'BS DRIVERS'!AC9</f>
        <v/>
      </c>
      <c r="AD9" s="11">
        <f>'QTR P&amp;L'!AG2*'BS DRIVERS'!AD9</f>
        <v/>
      </c>
      <c r="AE9" s="11">
        <f>'QTR P&amp;L'!AH2*'BS DRIVERS'!AE9</f>
        <v/>
      </c>
      <c r="AF9" s="11">
        <f>'QTR P&amp;L'!AI2*'BS DRIVERS'!AF9</f>
        <v/>
      </c>
      <c r="AG9" s="11">
        <f>'QTR P&amp;L'!AJ2*'BS DRIVERS'!AG9</f>
        <v/>
      </c>
      <c r="AH9" s="11">
        <f>'QTR P&amp;L'!AK2*'BS DRIVERS'!AH9</f>
        <v/>
      </c>
      <c r="AI9" s="11">
        <f>'QTR P&amp;L'!AL2*'BS DRIVERS'!AI9</f>
        <v/>
      </c>
      <c r="AJ9" s="11">
        <f>'QTR P&amp;L'!AM2*'BS DRIVERS'!AJ9</f>
        <v/>
      </c>
      <c r="AK9" s="11">
        <f>'QTR P&amp;L'!AN2*'BS DRIVERS'!AK9</f>
        <v/>
      </c>
      <c r="AL9" s="11">
        <f>'QTR P&amp;L'!AO2*'BS DRIVERS'!AL9</f>
        <v/>
      </c>
    </row>
    <row r="10">
      <c r="A10" s="3" t="inlineStr">
        <is>
          <t>Total Current Assets</t>
        </is>
      </c>
      <c r="B10" s="6">
        <f>'BALANCE SHEET'!B10</f>
        <v/>
      </c>
      <c r="C10" s="6">
        <f>'YTD BS'!C10</f>
        <v/>
      </c>
      <c r="D10" s="6">
        <f>'YTD BS'!D10</f>
        <v/>
      </c>
      <c r="E10" s="6">
        <f>'YTD BS'!E10</f>
        <v/>
      </c>
      <c r="F10" s="6">
        <f>'BALANCE SHEET'!C10</f>
        <v/>
      </c>
      <c r="G10" s="6">
        <f>'YTD BS'!G10</f>
        <v/>
      </c>
      <c r="H10" s="6">
        <f>'YTD BS'!H10</f>
        <v/>
      </c>
      <c r="I10" s="6">
        <f>'YTD BS'!I10</f>
        <v/>
      </c>
      <c r="J10" s="6">
        <f>'BALANCE SHEET'!D10</f>
        <v/>
      </c>
      <c r="K10" s="6">
        <f>'YTD BS'!K10</f>
        <v/>
      </c>
      <c r="L10" s="6">
        <f>'YTD BS'!L10</f>
        <v/>
      </c>
      <c r="M10" s="6">
        <f>'YTD BS'!M10</f>
        <v/>
      </c>
      <c r="N10" s="6">
        <f>'BALANCE SHEET'!E10</f>
        <v/>
      </c>
      <c r="O10" s="6">
        <f>'YTD BS'!O10</f>
        <v/>
      </c>
      <c r="P10" s="7">
        <f>SUM(P2:P9)</f>
        <v/>
      </c>
      <c r="Q10" s="7">
        <f>SUM(Q2:Q9)</f>
        <v/>
      </c>
      <c r="R10" s="7">
        <f>SUM(R2:R9)</f>
        <v/>
      </c>
      <c r="S10" s="7">
        <f>SUM(S2:S9)</f>
        <v/>
      </c>
      <c r="T10" s="7">
        <f>SUM(T2:T9)</f>
        <v/>
      </c>
      <c r="U10" s="7">
        <f>SUM(U2:U9)</f>
        <v/>
      </c>
      <c r="V10" s="7">
        <f>SUM(V2:V9)</f>
        <v/>
      </c>
      <c r="W10" s="7">
        <f>SUM(W2:W9)</f>
        <v/>
      </c>
      <c r="X10" s="7">
        <f>SUM(X2:X9)</f>
        <v/>
      </c>
      <c r="Y10" s="7">
        <f>SUM(Y2:Y9)</f>
        <v/>
      </c>
      <c r="Z10" s="7">
        <f>SUM(Z2:Z9)</f>
        <v/>
      </c>
      <c r="AA10" s="7">
        <f>SUM(AA2:AA9)</f>
        <v/>
      </c>
      <c r="AB10" s="7">
        <f>SUM(AB2:AB9)</f>
        <v/>
      </c>
      <c r="AC10" s="7">
        <f>SUM(AC2:AC9)</f>
        <v/>
      </c>
      <c r="AD10" s="7">
        <f>SUM(AD2:AD9)</f>
        <v/>
      </c>
      <c r="AE10" s="7">
        <f>SUM(AE2:AE9)</f>
        <v/>
      </c>
      <c r="AF10" s="7">
        <f>SUM(AF2:AF9)</f>
        <v/>
      </c>
      <c r="AG10" s="7">
        <f>SUM(AG2:AG9)</f>
        <v/>
      </c>
      <c r="AH10" s="7">
        <f>SUM(AH2:AH9)</f>
        <v/>
      </c>
      <c r="AI10" s="7">
        <f>SUM(AI2:AI9)</f>
        <v/>
      </c>
      <c r="AJ10" s="7">
        <f>SUM(AJ2:AJ9)</f>
        <v/>
      </c>
      <c r="AK10" s="7">
        <f>SUM(AK2:AK9)</f>
        <v/>
      </c>
      <c r="AL10" s="7">
        <f>SUM(AL2:AL9)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Intangible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Goodwill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'BS DRIVERS'!P12</f>
        <v/>
      </c>
      <c r="Q13" s="11">
        <f>'BS DRIVERS'!Q12</f>
        <v/>
      </c>
      <c r="R13" s="11">
        <f>'BS DRIVERS'!R12</f>
        <v/>
      </c>
      <c r="S13" s="11">
        <f>'BS DRIVERS'!S12</f>
        <v/>
      </c>
      <c r="T13" s="11">
        <f>'BS DRIVERS'!T12</f>
        <v/>
      </c>
      <c r="U13" s="11">
        <f>'BS DRIVERS'!U12</f>
        <v/>
      </c>
      <c r="V13" s="11">
        <f>'BS DRIVERS'!V12</f>
        <v/>
      </c>
      <c r="W13" s="11">
        <f>'BS DRIVERS'!W12</f>
        <v/>
      </c>
      <c r="X13" s="11">
        <f>'BS DRIVERS'!X12</f>
        <v/>
      </c>
      <c r="Y13" s="11">
        <f>'BS DRIVERS'!Y12</f>
        <v/>
      </c>
      <c r="Z13" s="11">
        <f>'BS DRIVERS'!Z12</f>
        <v/>
      </c>
      <c r="AA13" s="11">
        <f>'BS DRIVERS'!AA12</f>
        <v/>
      </c>
      <c r="AB13" s="11">
        <f>'BS DRIVERS'!AB12</f>
        <v/>
      </c>
      <c r="AC13" s="11">
        <f>'BS DRIVERS'!AC12</f>
        <v/>
      </c>
      <c r="AD13" s="11">
        <f>'BS DRIVERS'!AD12</f>
        <v/>
      </c>
      <c r="AE13" s="11">
        <f>'BS DRIVERS'!AE12</f>
        <v/>
      </c>
      <c r="AF13" s="11">
        <f>'BS DRIVERS'!AF12</f>
        <v/>
      </c>
      <c r="AG13" s="11">
        <f>'BS DRIVERS'!AG12</f>
        <v/>
      </c>
      <c r="AH13" s="11">
        <f>'BS DRIVERS'!AH12</f>
        <v/>
      </c>
      <c r="AI13" s="11">
        <f>'BS DRIVERS'!AI12</f>
        <v/>
      </c>
      <c r="AJ13" s="11">
        <f>'BS DRIVERS'!AJ12</f>
        <v/>
      </c>
      <c r="AK13" s="11">
        <f>'BS DRIVERS'!AK12</f>
        <v/>
      </c>
      <c r="AL13" s="11">
        <f>'BS DRIVERS'!AL12</f>
        <v/>
      </c>
    </row>
    <row r="14">
      <c r="A14" s="3" t="inlineStr">
        <is>
          <t>Equity Method Investments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11">
        <f>'BS DRIVERS'!P13</f>
        <v/>
      </c>
      <c r="Q14" s="11">
        <f>'BS DRIVERS'!Q13</f>
        <v/>
      </c>
      <c r="R14" s="11">
        <f>'BS DRIVERS'!R13</f>
        <v/>
      </c>
      <c r="S14" s="11">
        <f>'BS DRIVERS'!S13</f>
        <v/>
      </c>
      <c r="T14" s="11">
        <f>'BS DRIVERS'!T13</f>
        <v/>
      </c>
      <c r="U14" s="11">
        <f>'BS DRIVERS'!U13</f>
        <v/>
      </c>
      <c r="V14" s="11">
        <f>'BS DRIVERS'!V13</f>
        <v/>
      </c>
      <c r="W14" s="11">
        <f>'BS DRIVERS'!W13</f>
        <v/>
      </c>
      <c r="X14" s="11">
        <f>'BS DRIVERS'!X13</f>
        <v/>
      </c>
      <c r="Y14" s="11">
        <f>'BS DRIVERS'!Y13</f>
        <v/>
      </c>
      <c r="Z14" s="11">
        <f>'BS DRIVERS'!Z13</f>
        <v/>
      </c>
      <c r="AA14" s="11">
        <f>'BS DRIVERS'!AA13</f>
        <v/>
      </c>
      <c r="AB14" s="11">
        <f>'BS DRIVERS'!AB13</f>
        <v/>
      </c>
      <c r="AC14" s="11">
        <f>'BS DRIVERS'!AC13</f>
        <v/>
      </c>
      <c r="AD14" s="11">
        <f>'BS DRIVERS'!AD13</f>
        <v/>
      </c>
      <c r="AE14" s="11">
        <f>'BS DRIVERS'!AE13</f>
        <v/>
      </c>
      <c r="AF14" s="11">
        <f>'BS DRIVERS'!AF13</f>
        <v/>
      </c>
      <c r="AG14" s="11">
        <f>'BS DRIVERS'!AG13</f>
        <v/>
      </c>
      <c r="AH14" s="11">
        <f>'BS DRIVERS'!AH13</f>
        <v/>
      </c>
      <c r="AI14" s="11">
        <f>'BS DRIVERS'!AI13</f>
        <v/>
      </c>
      <c r="AJ14" s="11">
        <f>'BS DRIVERS'!AJ13</f>
        <v/>
      </c>
      <c r="AK14" s="11">
        <f>'BS DRIVERS'!AK13</f>
        <v/>
      </c>
      <c r="AL14" s="11">
        <f>'BS DRIVERS'!AL13</f>
        <v/>
      </c>
    </row>
    <row r="15">
      <c r="A15" s="3" t="inlineStr">
        <is>
          <t>Deferred Tax Assets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DRIVERS'!P14</f>
        <v/>
      </c>
      <c r="Q15" s="11">
        <f>'BS DRIVERS'!Q14</f>
        <v/>
      </c>
      <c r="R15" s="11">
        <f>'BS DRIVERS'!R14</f>
        <v/>
      </c>
      <c r="S15" s="11">
        <f>'BS DRIVERS'!S14</f>
        <v/>
      </c>
      <c r="T15" s="11">
        <f>'BS DRIVERS'!T14</f>
        <v/>
      </c>
      <c r="U15" s="11">
        <f>'BS DRIVERS'!U14</f>
        <v/>
      </c>
      <c r="V15" s="11">
        <f>'BS DRIVERS'!V14</f>
        <v/>
      </c>
      <c r="W15" s="11">
        <f>'BS DRIVERS'!W14</f>
        <v/>
      </c>
      <c r="X15" s="11">
        <f>'BS DRIVERS'!X14</f>
        <v/>
      </c>
      <c r="Y15" s="11">
        <f>'BS DRIVERS'!Y14</f>
        <v/>
      </c>
      <c r="Z15" s="11">
        <f>'BS DRIVERS'!Z14</f>
        <v/>
      </c>
      <c r="AA15" s="11">
        <f>'BS DRIVERS'!AA14</f>
        <v/>
      </c>
      <c r="AB15" s="11">
        <f>'BS DRIVERS'!AB14</f>
        <v/>
      </c>
      <c r="AC15" s="11">
        <f>'BS DRIVERS'!AC14</f>
        <v/>
      </c>
      <c r="AD15" s="11">
        <f>'BS DRIVERS'!AD14</f>
        <v/>
      </c>
      <c r="AE15" s="11">
        <f>'BS DRIVERS'!AE14</f>
        <v/>
      </c>
      <c r="AF15" s="11">
        <f>'BS DRIVERS'!AF14</f>
        <v/>
      </c>
      <c r="AG15" s="11">
        <f>'BS DRIVERS'!AG14</f>
        <v/>
      </c>
      <c r="AH15" s="11">
        <f>'BS DRIVERS'!AH14</f>
        <v/>
      </c>
      <c r="AI15" s="11">
        <f>'BS DRIVERS'!AI14</f>
        <v/>
      </c>
      <c r="AJ15" s="11">
        <f>'BS DRIVERS'!AJ14</f>
        <v/>
      </c>
      <c r="AK15" s="11">
        <f>'BS DRIVERS'!AK14</f>
        <v/>
      </c>
      <c r="AL15" s="11">
        <f>'BS DRIVERS'!AL14</f>
        <v/>
      </c>
    </row>
    <row r="16">
      <c r="A16" s="3" t="inlineStr">
        <is>
          <t>Other Non-Current Assets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DRIVERS'!P15</f>
        <v/>
      </c>
      <c r="Q16" s="11">
        <f>'QTR P&amp;L'!T2*'BS DRIVERS'!Q15</f>
        <v/>
      </c>
      <c r="R16" s="11">
        <f>'QTR P&amp;L'!U2*'BS DRIVERS'!R15</f>
        <v/>
      </c>
      <c r="S16" s="11">
        <f>'QTR P&amp;L'!V2*'BS DRIVERS'!S15</f>
        <v/>
      </c>
      <c r="T16" s="11">
        <f>'QTR P&amp;L'!W2*'BS DRIVERS'!T15</f>
        <v/>
      </c>
      <c r="U16" s="11">
        <f>'QTR P&amp;L'!X2*'BS DRIVERS'!U15</f>
        <v/>
      </c>
      <c r="V16" s="11">
        <f>'QTR P&amp;L'!Y2*'BS DRIVERS'!V15</f>
        <v/>
      </c>
      <c r="W16" s="11">
        <f>'QTR P&amp;L'!Z2*'BS DRIVERS'!W15</f>
        <v/>
      </c>
      <c r="X16" s="11">
        <f>'QTR P&amp;L'!AA2*'BS DRIVERS'!X15</f>
        <v/>
      </c>
      <c r="Y16" s="11">
        <f>'QTR P&amp;L'!AB2*'BS DRIVERS'!Y15</f>
        <v/>
      </c>
      <c r="Z16" s="11">
        <f>'QTR P&amp;L'!AC2*'BS DRIVERS'!Z15</f>
        <v/>
      </c>
      <c r="AA16" s="11">
        <f>'QTR P&amp;L'!AD2*'BS DRIVERS'!AA15</f>
        <v/>
      </c>
      <c r="AB16" s="11">
        <f>'QTR P&amp;L'!AE2*'BS DRIVERS'!AB15</f>
        <v/>
      </c>
      <c r="AC16" s="11">
        <f>'QTR P&amp;L'!AF2*'BS DRIVERS'!AC15</f>
        <v/>
      </c>
      <c r="AD16" s="11">
        <f>'QTR P&amp;L'!AG2*'BS DRIVERS'!AD15</f>
        <v/>
      </c>
      <c r="AE16" s="11">
        <f>'QTR P&amp;L'!AH2*'BS DRIVERS'!AE15</f>
        <v/>
      </c>
      <c r="AF16" s="11">
        <f>'QTR P&amp;L'!AI2*'BS DRIVERS'!AF15</f>
        <v/>
      </c>
      <c r="AG16" s="11">
        <f>'QTR P&amp;L'!AJ2*'BS DRIVERS'!AG15</f>
        <v/>
      </c>
      <c r="AH16" s="11">
        <f>'QTR P&amp;L'!AK2*'BS DRIVERS'!AH15</f>
        <v/>
      </c>
      <c r="AI16" s="11">
        <f>'QTR P&amp;L'!AL2*'BS DRIVERS'!AI15</f>
        <v/>
      </c>
      <c r="AJ16" s="11">
        <f>'QTR P&amp;L'!AM2*'BS DRIVERS'!AJ15</f>
        <v/>
      </c>
      <c r="AK16" s="11">
        <f>'QTR P&amp;L'!AN2*'BS DRIVERS'!AK15</f>
        <v/>
      </c>
      <c r="AL16" s="11">
        <f>'QTR P&amp;L'!AO2*'BS DRIVERS'!AL15</f>
        <v/>
      </c>
    </row>
    <row r="17">
      <c r="A17" s="3" t="inlineStr">
        <is>
          <t>Total Assets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P10+SUM(P11:P16)</f>
        <v/>
      </c>
      <c r="Q17" s="7">
        <f>Q10+SUM(Q11:Q16)</f>
        <v/>
      </c>
      <c r="R17" s="7">
        <f>R10+SUM(R11:R16)</f>
        <v/>
      </c>
      <c r="S17" s="7">
        <f>S10+SUM(S11:S16)</f>
        <v/>
      </c>
      <c r="T17" s="7">
        <f>T10+SUM(T11:T16)</f>
        <v/>
      </c>
      <c r="U17" s="7">
        <f>U10+SUM(U11:U16)</f>
        <v/>
      </c>
      <c r="V17" s="7">
        <f>V10+SUM(V11:V16)</f>
        <v/>
      </c>
      <c r="W17" s="7">
        <f>W10+SUM(W11:W16)</f>
        <v/>
      </c>
      <c r="X17" s="7">
        <f>X10+SUM(X11:X16)</f>
        <v/>
      </c>
      <c r="Y17" s="7">
        <f>Y10+SUM(Y11:Y16)</f>
        <v/>
      </c>
      <c r="Z17" s="7">
        <f>Z10+SUM(Z11:Z16)</f>
        <v/>
      </c>
      <c r="AA17" s="7">
        <f>AA10+SUM(AA11:AA16)</f>
        <v/>
      </c>
      <c r="AB17" s="7">
        <f>AB10+SUM(AB11:AB16)</f>
        <v/>
      </c>
      <c r="AC17" s="7">
        <f>AC10+SUM(AC11:AC16)</f>
        <v/>
      </c>
      <c r="AD17" s="7">
        <f>AD10+SUM(AD11:AD16)</f>
        <v/>
      </c>
      <c r="AE17" s="7">
        <f>AE10+SUM(AE11:AE16)</f>
        <v/>
      </c>
      <c r="AF17" s="7">
        <f>AF10+SUM(AF11:AF16)</f>
        <v/>
      </c>
      <c r="AG17" s="7">
        <f>AG10+SUM(AG11:AG16)</f>
        <v/>
      </c>
      <c r="AH17" s="7">
        <f>AH10+SUM(AH11:AH16)</f>
        <v/>
      </c>
      <c r="AI17" s="7">
        <f>AI10+SUM(AI11:AI16)</f>
        <v/>
      </c>
      <c r="AJ17" s="7">
        <f>AJ10+SUM(AJ11:AJ16)</f>
        <v/>
      </c>
      <c r="AK17" s="7">
        <f>AK10+SUM(AK11:AK16)</f>
        <v/>
      </c>
      <c r="AL17" s="7">
        <f>AL10+SUM(AL11:AL16)</f>
        <v/>
      </c>
    </row>
    <row r="18">
      <c r="A18" s="3" t="inlineStr">
        <is>
          <t>Short-Term Debt Obligations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DRIVERS'!P16</f>
        <v/>
      </c>
      <c r="Q18" s="11">
        <f>'BS DRIVERS'!Q16</f>
        <v/>
      </c>
      <c r="R18" s="11">
        <f>'BS DRIVERS'!R16</f>
        <v/>
      </c>
      <c r="S18" s="11">
        <f>'BS DRIVERS'!S16</f>
        <v/>
      </c>
      <c r="T18" s="11">
        <f>'BS DRIVERS'!T16</f>
        <v/>
      </c>
      <c r="U18" s="11">
        <f>'BS DRIVERS'!U16</f>
        <v/>
      </c>
      <c r="V18" s="11">
        <f>'BS DRIVERS'!V16</f>
        <v/>
      </c>
      <c r="W18" s="11">
        <f>'BS DRIVERS'!W16</f>
        <v/>
      </c>
      <c r="X18" s="11">
        <f>'BS DRIVERS'!X16</f>
        <v/>
      </c>
      <c r="Y18" s="11">
        <f>'BS DRIVERS'!Y16</f>
        <v/>
      </c>
      <c r="Z18" s="11">
        <f>'BS DRIVERS'!Z16</f>
        <v/>
      </c>
      <c r="AA18" s="11">
        <f>'BS DRIVERS'!AA16</f>
        <v/>
      </c>
      <c r="AB18" s="11">
        <f>'BS DRIVERS'!AB16</f>
        <v/>
      </c>
      <c r="AC18" s="11">
        <f>'BS DRIVERS'!AC16</f>
        <v/>
      </c>
      <c r="AD18" s="11">
        <f>'BS DRIVERS'!AD16</f>
        <v/>
      </c>
      <c r="AE18" s="11">
        <f>'BS DRIVERS'!AE16</f>
        <v/>
      </c>
      <c r="AF18" s="11">
        <f>'BS DRIVERS'!AF16</f>
        <v/>
      </c>
      <c r="AG18" s="11">
        <f>'BS DRIVERS'!AG16</f>
        <v/>
      </c>
      <c r="AH18" s="11">
        <f>'BS DRIVERS'!AH16</f>
        <v/>
      </c>
      <c r="AI18" s="11">
        <f>'BS DRIVERS'!AI16</f>
        <v/>
      </c>
      <c r="AJ18" s="11">
        <f>'BS DRIVERS'!AJ16</f>
        <v/>
      </c>
      <c r="AK18" s="11">
        <f>'BS DRIVERS'!AK16</f>
        <v/>
      </c>
      <c r="AL18" s="11">
        <f>'BS DRIVERS'!AL16</f>
        <v/>
      </c>
    </row>
    <row r="19">
      <c r="A19" s="3" t="inlineStr">
        <is>
          <t>Accrued Expenses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'QTR P&amp;L'!S2*'BS DRIVERS'!P17</f>
        <v/>
      </c>
      <c r="Q19" s="11">
        <f>'QTR P&amp;L'!T2*'BS DRIVERS'!Q17</f>
        <v/>
      </c>
      <c r="R19" s="11">
        <f>'QTR P&amp;L'!U2*'BS DRIVERS'!R17</f>
        <v/>
      </c>
      <c r="S19" s="11">
        <f>'QTR P&amp;L'!V2*'BS DRIVERS'!S17</f>
        <v/>
      </c>
      <c r="T19" s="11">
        <f>'QTR P&amp;L'!W2*'BS DRIVERS'!T17</f>
        <v/>
      </c>
      <c r="U19" s="11">
        <f>'QTR P&amp;L'!X2*'BS DRIVERS'!U17</f>
        <v/>
      </c>
      <c r="V19" s="11">
        <f>'QTR P&amp;L'!Y2*'BS DRIVERS'!V17</f>
        <v/>
      </c>
      <c r="W19" s="11">
        <f>'QTR P&amp;L'!Z2*'BS DRIVERS'!W17</f>
        <v/>
      </c>
      <c r="X19" s="11">
        <f>'QTR P&amp;L'!AA2*'BS DRIVERS'!X17</f>
        <v/>
      </c>
      <c r="Y19" s="11">
        <f>'QTR P&amp;L'!AB2*'BS DRIVERS'!Y17</f>
        <v/>
      </c>
      <c r="Z19" s="11">
        <f>'QTR P&amp;L'!AC2*'BS DRIVERS'!Z17</f>
        <v/>
      </c>
      <c r="AA19" s="11">
        <f>'QTR P&amp;L'!AD2*'BS DRIVERS'!AA17</f>
        <v/>
      </c>
      <c r="AB19" s="11">
        <f>'QTR P&amp;L'!AE2*'BS DRIVERS'!AB17</f>
        <v/>
      </c>
      <c r="AC19" s="11">
        <f>'QTR P&amp;L'!AF2*'BS DRIVERS'!AC17</f>
        <v/>
      </c>
      <c r="AD19" s="11">
        <f>'QTR P&amp;L'!AG2*'BS DRIVERS'!AD17</f>
        <v/>
      </c>
      <c r="AE19" s="11">
        <f>'QTR P&amp;L'!AH2*'BS DRIVERS'!AE17</f>
        <v/>
      </c>
      <c r="AF19" s="11">
        <f>'QTR P&amp;L'!AI2*'BS DRIVERS'!AF17</f>
        <v/>
      </c>
      <c r="AG19" s="11">
        <f>'QTR P&amp;L'!AJ2*'BS DRIVERS'!AG17</f>
        <v/>
      </c>
      <c r="AH19" s="11">
        <f>'QTR P&amp;L'!AK2*'BS DRIVERS'!AH17</f>
        <v/>
      </c>
      <c r="AI19" s="11">
        <f>'QTR P&amp;L'!AL2*'BS DRIVERS'!AI17</f>
        <v/>
      </c>
      <c r="AJ19" s="11">
        <f>'QTR P&amp;L'!AM2*'BS DRIVERS'!AJ17</f>
        <v/>
      </c>
      <c r="AK19" s="11">
        <f>'QTR P&amp;L'!AN2*'BS DRIVERS'!AK17</f>
        <v/>
      </c>
      <c r="AL19" s="11">
        <f>'QTR P&amp;L'!AO2*'BS DRIVERS'!AL17</f>
        <v/>
      </c>
    </row>
    <row r="20">
      <c r="A20" s="3" t="inlineStr">
        <is>
          <t>Total Current Liabilities</t>
        </is>
      </c>
      <c r="B20" s="6">
        <f>'BALANCE SHEET'!B20</f>
        <v/>
      </c>
      <c r="C20" s="6">
        <f>'YTD BS'!C20</f>
        <v/>
      </c>
      <c r="D20" s="6">
        <f>'YTD BS'!D20</f>
        <v/>
      </c>
      <c r="E20" s="6">
        <f>'YTD BS'!E20</f>
        <v/>
      </c>
      <c r="F20" s="6">
        <f>'BALANCE SHEET'!C20</f>
        <v/>
      </c>
      <c r="G20" s="6">
        <f>'YTD BS'!G20</f>
        <v/>
      </c>
      <c r="H20" s="6">
        <f>'YTD BS'!H20</f>
        <v/>
      </c>
      <c r="I20" s="6">
        <f>'YTD BS'!I20</f>
        <v/>
      </c>
      <c r="J20" s="6">
        <f>'BALANCE SHEET'!D20</f>
        <v/>
      </c>
      <c r="K20" s="6">
        <f>'YTD BS'!K20</f>
        <v/>
      </c>
      <c r="L20" s="6">
        <f>'YTD BS'!L20</f>
        <v/>
      </c>
      <c r="M20" s="6">
        <f>'YTD BS'!M20</f>
        <v/>
      </c>
      <c r="N20" s="6">
        <f>'BALANCE SHEET'!E20</f>
        <v/>
      </c>
      <c r="O20" s="6">
        <f>'YTD BS'!O20</f>
        <v/>
      </c>
      <c r="P20" s="7">
        <f>SUM(P18:P19)</f>
        <v/>
      </c>
      <c r="Q20" s="7">
        <f>SUM(Q18:Q19)</f>
        <v/>
      </c>
      <c r="R20" s="7">
        <f>SUM(R18:R19)</f>
        <v/>
      </c>
      <c r="S20" s="7">
        <f>SUM(S18:S19)</f>
        <v/>
      </c>
      <c r="T20" s="7">
        <f>SUM(T18:T19)</f>
        <v/>
      </c>
      <c r="U20" s="7">
        <f>SUM(U18:U19)</f>
        <v/>
      </c>
      <c r="V20" s="7">
        <f>SUM(V18:V19)</f>
        <v/>
      </c>
      <c r="W20" s="7">
        <f>SUM(W18:W19)</f>
        <v/>
      </c>
      <c r="X20" s="7">
        <f>SUM(X18:X19)</f>
        <v/>
      </c>
      <c r="Y20" s="7">
        <f>SUM(Y18:Y19)</f>
        <v/>
      </c>
      <c r="Z20" s="7">
        <f>SUM(Z18:Z19)</f>
        <v/>
      </c>
      <c r="AA20" s="7">
        <f>SUM(AA18:AA19)</f>
        <v/>
      </c>
      <c r="AB20" s="7">
        <f>SUM(AB18:AB19)</f>
        <v/>
      </c>
      <c r="AC20" s="7">
        <f>SUM(AC18:AC19)</f>
        <v/>
      </c>
      <c r="AD20" s="7">
        <f>SUM(AD18:AD19)</f>
        <v/>
      </c>
      <c r="AE20" s="7">
        <f>SUM(AE18:AE19)</f>
        <v/>
      </c>
      <c r="AF20" s="7">
        <f>SUM(AF18:AF19)</f>
        <v/>
      </c>
      <c r="AG20" s="7">
        <f>SUM(AG18:AG19)</f>
        <v/>
      </c>
      <c r="AH20" s="7">
        <f>SUM(AH18:AH19)</f>
        <v/>
      </c>
      <c r="AI20" s="7">
        <f>SUM(AI18:AI19)</f>
        <v/>
      </c>
      <c r="AJ20" s="7">
        <f>SUM(AJ18:AJ19)</f>
        <v/>
      </c>
      <c r="AK20" s="7">
        <f>SUM(AK18:AK19)</f>
        <v/>
      </c>
      <c r="AL20" s="7">
        <f>SUM(AL18:AL19)</f>
        <v/>
      </c>
    </row>
    <row r="21">
      <c r="A21" s="3" t="inlineStr">
        <is>
          <t>Long-Term Debt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11">
        <f>'BS DRIVERS'!P18</f>
        <v/>
      </c>
      <c r="Q21" s="11">
        <f>'BS DRIVERS'!Q18</f>
        <v/>
      </c>
      <c r="R21" s="11">
        <f>'BS DRIVERS'!R18</f>
        <v/>
      </c>
      <c r="S21" s="11">
        <f>'BS DRIVERS'!S18</f>
        <v/>
      </c>
      <c r="T21" s="11">
        <f>'BS DRIVERS'!T18</f>
        <v/>
      </c>
      <c r="U21" s="11">
        <f>'BS DRIVERS'!U18</f>
        <v/>
      </c>
      <c r="V21" s="11">
        <f>'BS DRIVERS'!V18</f>
        <v/>
      </c>
      <c r="W21" s="11">
        <f>'BS DRIVERS'!W18</f>
        <v/>
      </c>
      <c r="X21" s="11">
        <f>'BS DRIVERS'!X18</f>
        <v/>
      </c>
      <c r="Y21" s="11">
        <f>'BS DRIVERS'!Y18</f>
        <v/>
      </c>
      <c r="Z21" s="11">
        <f>'BS DRIVERS'!Z18</f>
        <v/>
      </c>
      <c r="AA21" s="11">
        <f>'BS DRIVERS'!AA18</f>
        <v/>
      </c>
      <c r="AB21" s="11">
        <f>'BS DRIVERS'!AB18</f>
        <v/>
      </c>
      <c r="AC21" s="11">
        <f>'BS DRIVERS'!AC18</f>
        <v/>
      </c>
      <c r="AD21" s="11">
        <f>'BS DRIVERS'!AD18</f>
        <v/>
      </c>
      <c r="AE21" s="11">
        <f>'BS DRIVERS'!AE18</f>
        <v/>
      </c>
      <c r="AF21" s="11">
        <f>'BS DRIVERS'!AF18</f>
        <v/>
      </c>
      <c r="AG21" s="11">
        <f>'BS DRIVERS'!AG18</f>
        <v/>
      </c>
      <c r="AH21" s="11">
        <f>'BS DRIVERS'!AH18</f>
        <v/>
      </c>
      <c r="AI21" s="11">
        <f>'BS DRIVERS'!AI18</f>
        <v/>
      </c>
      <c r="AJ21" s="11">
        <f>'BS DRIVERS'!AJ18</f>
        <v/>
      </c>
      <c r="AK21" s="11">
        <f>'BS DRIVERS'!AK18</f>
        <v/>
      </c>
      <c r="AL21" s="11">
        <f>'BS DRIVERS'!AL18</f>
        <v/>
      </c>
    </row>
    <row r="22">
      <c r="A22" s="3" t="inlineStr">
        <is>
          <t>Deferred Tax Liability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DRIVERS'!P19</f>
        <v/>
      </c>
      <c r="Q22" s="11">
        <f>'BS DRIVERS'!Q19</f>
        <v/>
      </c>
      <c r="R22" s="11">
        <f>'BS DRIVERS'!R19</f>
        <v/>
      </c>
      <c r="S22" s="11">
        <f>'BS DRIVERS'!S19</f>
        <v/>
      </c>
      <c r="T22" s="11">
        <f>'BS DRIVERS'!T19</f>
        <v/>
      </c>
      <c r="U22" s="11">
        <f>'BS DRIVERS'!U19</f>
        <v/>
      </c>
      <c r="V22" s="11">
        <f>'BS DRIVERS'!V19</f>
        <v/>
      </c>
      <c r="W22" s="11">
        <f>'BS DRIVERS'!W19</f>
        <v/>
      </c>
      <c r="X22" s="11">
        <f>'BS DRIVERS'!X19</f>
        <v/>
      </c>
      <c r="Y22" s="11">
        <f>'BS DRIVERS'!Y19</f>
        <v/>
      </c>
      <c r="Z22" s="11">
        <f>'BS DRIVERS'!Z19</f>
        <v/>
      </c>
      <c r="AA22" s="11">
        <f>'BS DRIVERS'!AA19</f>
        <v/>
      </c>
      <c r="AB22" s="11">
        <f>'BS DRIVERS'!AB19</f>
        <v/>
      </c>
      <c r="AC22" s="11">
        <f>'BS DRIVERS'!AC19</f>
        <v/>
      </c>
      <c r="AD22" s="11">
        <f>'BS DRIVERS'!AD19</f>
        <v/>
      </c>
      <c r="AE22" s="11">
        <f>'BS DRIVERS'!AE19</f>
        <v/>
      </c>
      <c r="AF22" s="11">
        <f>'BS DRIVERS'!AF19</f>
        <v/>
      </c>
      <c r="AG22" s="11">
        <f>'BS DRIVERS'!AG19</f>
        <v/>
      </c>
      <c r="AH22" s="11">
        <f>'BS DRIVERS'!AH19</f>
        <v/>
      </c>
      <c r="AI22" s="11">
        <f>'BS DRIVERS'!AI19</f>
        <v/>
      </c>
      <c r="AJ22" s="11">
        <f>'BS DRIVERS'!AJ19</f>
        <v/>
      </c>
      <c r="AK22" s="11">
        <f>'BS DRIVERS'!AK19</f>
        <v/>
      </c>
      <c r="AL22" s="11">
        <f>'BS DRIVERS'!AL19</f>
        <v/>
      </c>
    </row>
    <row r="23">
      <c r="A23" s="3" t="inlineStr">
        <is>
          <t>Other Non-Current Liabilities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'QTR P&amp;L'!S2*'BS DRIVERS'!P20</f>
        <v/>
      </c>
      <c r="Q23" s="11">
        <f>'QTR P&amp;L'!T2*'BS DRIVERS'!Q20</f>
        <v/>
      </c>
      <c r="R23" s="11">
        <f>'QTR P&amp;L'!U2*'BS DRIVERS'!R20</f>
        <v/>
      </c>
      <c r="S23" s="11">
        <f>'QTR P&amp;L'!V2*'BS DRIVERS'!S20</f>
        <v/>
      </c>
      <c r="T23" s="11">
        <f>'QTR P&amp;L'!W2*'BS DRIVERS'!T20</f>
        <v/>
      </c>
      <c r="U23" s="11">
        <f>'QTR P&amp;L'!X2*'BS DRIVERS'!U20</f>
        <v/>
      </c>
      <c r="V23" s="11">
        <f>'QTR P&amp;L'!Y2*'BS DRIVERS'!V20</f>
        <v/>
      </c>
      <c r="W23" s="11">
        <f>'QTR P&amp;L'!Z2*'BS DRIVERS'!W20</f>
        <v/>
      </c>
      <c r="X23" s="11">
        <f>'QTR P&amp;L'!AA2*'BS DRIVERS'!X20</f>
        <v/>
      </c>
      <c r="Y23" s="11">
        <f>'QTR P&amp;L'!AB2*'BS DRIVERS'!Y20</f>
        <v/>
      </c>
      <c r="Z23" s="11">
        <f>'QTR P&amp;L'!AC2*'BS DRIVERS'!Z20</f>
        <v/>
      </c>
      <c r="AA23" s="11">
        <f>'QTR P&amp;L'!AD2*'BS DRIVERS'!AA20</f>
        <v/>
      </c>
      <c r="AB23" s="11">
        <f>'QTR P&amp;L'!AE2*'BS DRIVERS'!AB20</f>
        <v/>
      </c>
      <c r="AC23" s="11">
        <f>'QTR P&amp;L'!AF2*'BS DRIVERS'!AC20</f>
        <v/>
      </c>
      <c r="AD23" s="11">
        <f>'QTR P&amp;L'!AG2*'BS DRIVERS'!AD20</f>
        <v/>
      </c>
      <c r="AE23" s="11">
        <f>'QTR P&amp;L'!AH2*'BS DRIVERS'!AE20</f>
        <v/>
      </c>
      <c r="AF23" s="11">
        <f>'QTR P&amp;L'!AI2*'BS DRIVERS'!AF20</f>
        <v/>
      </c>
      <c r="AG23" s="11">
        <f>'QTR P&amp;L'!AJ2*'BS DRIVERS'!AG20</f>
        <v/>
      </c>
      <c r="AH23" s="11">
        <f>'QTR P&amp;L'!AK2*'BS DRIVERS'!AH20</f>
        <v/>
      </c>
      <c r="AI23" s="11">
        <f>'QTR P&amp;L'!AL2*'BS DRIVERS'!AI20</f>
        <v/>
      </c>
      <c r="AJ23" s="11">
        <f>'QTR P&amp;L'!AM2*'BS DRIVERS'!AJ20</f>
        <v/>
      </c>
      <c r="AK23" s="11">
        <f>'QTR P&amp;L'!AN2*'BS DRIVERS'!AK20</f>
        <v/>
      </c>
      <c r="AL23" s="11">
        <f>'QTR P&amp;L'!AO2*'BS DRIVERS'!AL20</f>
        <v/>
      </c>
    </row>
    <row r="24">
      <c r="A24" s="3" t="inlineStr">
        <is>
          <t>Total Liabilities</t>
        </is>
      </c>
      <c r="B24" s="6">
        <f>'BALANCE SHEET'!B24</f>
        <v/>
      </c>
      <c r="C24" s="6">
        <f>'YTD BS'!C24</f>
        <v/>
      </c>
      <c r="D24" s="6">
        <f>'YTD BS'!D24</f>
        <v/>
      </c>
      <c r="E24" s="6">
        <f>'YTD BS'!E24</f>
        <v/>
      </c>
      <c r="F24" s="6">
        <f>'BALANCE SHEET'!C24</f>
        <v/>
      </c>
      <c r="G24" s="6">
        <f>'YTD BS'!G24</f>
        <v/>
      </c>
      <c r="H24" s="6">
        <f>'YTD BS'!H24</f>
        <v/>
      </c>
      <c r="I24" s="6">
        <f>'YTD BS'!I24</f>
        <v/>
      </c>
      <c r="J24" s="6">
        <f>'BALANCE SHEET'!D24</f>
        <v/>
      </c>
      <c r="K24" s="6">
        <f>'YTD BS'!K24</f>
        <v/>
      </c>
      <c r="L24" s="6">
        <f>'YTD BS'!L24</f>
        <v/>
      </c>
      <c r="M24" s="6">
        <f>'YTD BS'!M24</f>
        <v/>
      </c>
      <c r="N24" s="6">
        <f>'BALANCE SHEET'!E24</f>
        <v/>
      </c>
      <c r="O24" s="6">
        <f>'YTD BS'!O24</f>
        <v/>
      </c>
      <c r="P24" s="7">
        <f>P20+SUM(P21:P23)</f>
        <v/>
      </c>
      <c r="Q24" s="7">
        <f>Q20+SUM(Q21:Q23)</f>
        <v/>
      </c>
      <c r="R24" s="7">
        <f>R20+SUM(R21:R23)</f>
        <v/>
      </c>
      <c r="S24" s="7">
        <f>S20+SUM(S21:S23)</f>
        <v/>
      </c>
      <c r="T24" s="7">
        <f>T20+SUM(T21:T23)</f>
        <v/>
      </c>
      <c r="U24" s="7">
        <f>U20+SUM(U21:U23)</f>
        <v/>
      </c>
      <c r="V24" s="7">
        <f>V20+SUM(V21:V23)</f>
        <v/>
      </c>
      <c r="W24" s="7">
        <f>W20+SUM(W21:W23)</f>
        <v/>
      </c>
      <c r="X24" s="7">
        <f>X20+SUM(X21:X23)</f>
        <v/>
      </c>
      <c r="Y24" s="7">
        <f>Y20+SUM(Y21:Y23)</f>
        <v/>
      </c>
      <c r="Z24" s="7">
        <f>Z20+SUM(Z21:Z23)</f>
        <v/>
      </c>
      <c r="AA24" s="7">
        <f>AA20+SUM(AA21:AA23)</f>
        <v/>
      </c>
      <c r="AB24" s="7">
        <f>AB20+SUM(AB21:AB23)</f>
        <v/>
      </c>
      <c r="AC24" s="7">
        <f>AC20+SUM(AC21:AC23)</f>
        <v/>
      </c>
      <c r="AD24" s="7">
        <f>AD20+SUM(AD21:AD23)</f>
        <v/>
      </c>
      <c r="AE24" s="7">
        <f>AE20+SUM(AE21:AE23)</f>
        <v/>
      </c>
      <c r="AF24" s="7">
        <f>AF20+SUM(AF21:AF23)</f>
        <v/>
      </c>
      <c r="AG24" s="7">
        <f>AG20+SUM(AG21:AG23)</f>
        <v/>
      </c>
      <c r="AH24" s="7">
        <f>AH20+SUM(AH21:AH23)</f>
        <v/>
      </c>
      <c r="AI24" s="7">
        <f>AI20+SUM(AI21:AI23)</f>
        <v/>
      </c>
      <c r="AJ24" s="7">
        <f>AJ20+SUM(AJ21:AJ23)</f>
        <v/>
      </c>
      <c r="AK24" s="7">
        <f>AK20+SUM(AK21:AK23)</f>
        <v/>
      </c>
      <c r="AL24" s="7">
        <f>AL20+SUM(AL21:AL23)</f>
        <v/>
      </c>
    </row>
    <row r="25">
      <c r="A25" s="3" t="inlineStr">
        <is>
          <t>Common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Additional Paid-in Capital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Retained Earnings (Accumulated Deficit)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Accumulated Other Comprehensive Income (Loss)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4">
        <f>'YTD BS'!O28</f>
        <v/>
      </c>
      <c r="P28" s="11">
        <f>'BS DRIVERS'!P24</f>
        <v/>
      </c>
      <c r="Q28" s="11">
        <f>'BS DRIVERS'!Q24</f>
        <v/>
      </c>
      <c r="R28" s="11">
        <f>'BS DRIVERS'!R24</f>
        <v/>
      </c>
      <c r="S28" s="11">
        <f>'BS DRIVERS'!S24</f>
        <v/>
      </c>
      <c r="T28" s="11">
        <f>'BS DRIVERS'!T24</f>
        <v/>
      </c>
      <c r="U28" s="11">
        <f>'BS DRIVERS'!U24</f>
        <v/>
      </c>
      <c r="V28" s="11">
        <f>'BS DRIVERS'!V24</f>
        <v/>
      </c>
      <c r="W28" s="11">
        <f>'BS DRIVERS'!W24</f>
        <v/>
      </c>
      <c r="X28" s="11">
        <f>'BS DRIVERS'!X24</f>
        <v/>
      </c>
      <c r="Y28" s="11">
        <f>'BS DRIVERS'!Y24</f>
        <v/>
      </c>
      <c r="Z28" s="11">
        <f>'BS DRIVERS'!Z24</f>
        <v/>
      </c>
      <c r="AA28" s="11">
        <f>'BS DRIVERS'!AA24</f>
        <v/>
      </c>
      <c r="AB28" s="11">
        <f>'BS DRIVERS'!AB24</f>
        <v/>
      </c>
      <c r="AC28" s="11">
        <f>'BS DRIVERS'!AC24</f>
        <v/>
      </c>
      <c r="AD28" s="11">
        <f>'BS DRIVERS'!AD24</f>
        <v/>
      </c>
      <c r="AE28" s="11">
        <f>'BS DRIVERS'!AE24</f>
        <v/>
      </c>
      <c r="AF28" s="11">
        <f>'BS DRIVERS'!AF24</f>
        <v/>
      </c>
      <c r="AG28" s="11">
        <f>'BS DRIVERS'!AG24</f>
        <v/>
      </c>
      <c r="AH28" s="11">
        <f>'BS DRIVERS'!AH24</f>
        <v/>
      </c>
      <c r="AI28" s="11">
        <f>'BS DRIVERS'!AI24</f>
        <v/>
      </c>
      <c r="AJ28" s="11">
        <f>'BS DRIVERS'!AJ24</f>
        <v/>
      </c>
      <c r="AK28" s="11">
        <f>'BS DRIVERS'!AK24</f>
        <v/>
      </c>
      <c r="AL28" s="11">
        <f>'BS DRIVERS'!AL24</f>
        <v/>
      </c>
    </row>
    <row r="29">
      <c r="A29" s="3" t="inlineStr">
        <is>
          <t>Treasury Stock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4">
        <f>'YTD BS'!O29</f>
        <v/>
      </c>
      <c r="P29" s="11">
        <f>'BS DRIVERS'!P25</f>
        <v/>
      </c>
      <c r="Q29" s="11">
        <f>'BS DRIVERS'!Q25</f>
        <v/>
      </c>
      <c r="R29" s="11">
        <f>'BS DRIVERS'!R25</f>
        <v/>
      </c>
      <c r="S29" s="11">
        <f>'BS DRIVERS'!S25</f>
        <v/>
      </c>
      <c r="T29" s="11">
        <f>'BS DRIVERS'!T25</f>
        <v/>
      </c>
      <c r="U29" s="11">
        <f>'BS DRIVERS'!U25</f>
        <v/>
      </c>
      <c r="V29" s="11">
        <f>'BS DRIVERS'!V25</f>
        <v/>
      </c>
      <c r="W29" s="11">
        <f>'BS DRIVERS'!W25</f>
        <v/>
      </c>
      <c r="X29" s="11">
        <f>'BS DRIVERS'!X25</f>
        <v/>
      </c>
      <c r="Y29" s="11">
        <f>'BS DRIVERS'!Y25</f>
        <v/>
      </c>
      <c r="Z29" s="11">
        <f>'BS DRIVERS'!Z25</f>
        <v/>
      </c>
      <c r="AA29" s="11">
        <f>'BS DRIVERS'!AA25</f>
        <v/>
      </c>
      <c r="AB29" s="11">
        <f>'BS DRIVERS'!AB25</f>
        <v/>
      </c>
      <c r="AC29" s="11">
        <f>'BS DRIVERS'!AC25</f>
        <v/>
      </c>
      <c r="AD29" s="11">
        <f>'BS DRIVERS'!AD25</f>
        <v/>
      </c>
      <c r="AE29" s="11">
        <f>'BS DRIVERS'!AE25</f>
        <v/>
      </c>
      <c r="AF29" s="11">
        <f>'BS DRIVERS'!AF25</f>
        <v/>
      </c>
      <c r="AG29" s="11">
        <f>'BS DRIVERS'!AG25</f>
        <v/>
      </c>
      <c r="AH29" s="11">
        <f>'BS DRIVERS'!AH25</f>
        <v/>
      </c>
      <c r="AI29" s="11">
        <f>'BS DRIVERS'!AI25</f>
        <v/>
      </c>
      <c r="AJ29" s="11">
        <f>'BS DRIVERS'!AJ25</f>
        <v/>
      </c>
      <c r="AK29" s="11">
        <f>'BS DRIVERS'!AK25</f>
        <v/>
      </c>
      <c r="AL29" s="11">
        <f>'BS DRIVERS'!AL25</f>
        <v/>
      </c>
    </row>
    <row r="30">
      <c r="A30" s="3" t="inlineStr">
        <is>
          <t>Noncontrolling Interest</t>
        </is>
      </c>
      <c r="B30" s="4">
        <f>'BALANCE SHEET'!B30</f>
        <v/>
      </c>
      <c r="C30" s="4">
        <f>'YTD BS'!C30</f>
        <v/>
      </c>
      <c r="D30" s="4">
        <f>'YTD BS'!D30</f>
        <v/>
      </c>
      <c r="E30" s="4">
        <f>'YTD BS'!E30</f>
        <v/>
      </c>
      <c r="F30" s="4">
        <f>'BALANCE SHEET'!C30</f>
        <v/>
      </c>
      <c r="G30" s="4">
        <f>'YTD BS'!G30</f>
        <v/>
      </c>
      <c r="H30" s="4">
        <f>'YTD BS'!H30</f>
        <v/>
      </c>
      <c r="I30" s="4">
        <f>'YTD BS'!I30</f>
        <v/>
      </c>
      <c r="J30" s="4">
        <f>'BALANCE SHEET'!D30</f>
        <v/>
      </c>
      <c r="K30" s="4">
        <f>'YTD BS'!K30</f>
        <v/>
      </c>
      <c r="L30" s="4">
        <f>'YTD BS'!L30</f>
        <v/>
      </c>
      <c r="M30" s="4">
        <f>'YTD BS'!M30</f>
        <v/>
      </c>
      <c r="N30" s="4">
        <f>'BALANCE SHEET'!E30</f>
        <v/>
      </c>
      <c r="O30" s="4">
        <f>'YTD BS'!O30</f>
        <v/>
      </c>
      <c r="P30" s="11">
        <f>'BS DRIVERS'!P26</f>
        <v/>
      </c>
      <c r="Q30" s="11">
        <f>'BS DRIVERS'!Q26</f>
        <v/>
      </c>
      <c r="R30" s="11">
        <f>'BS DRIVERS'!R26</f>
        <v/>
      </c>
      <c r="S30" s="11">
        <f>'BS DRIVERS'!S26</f>
        <v/>
      </c>
      <c r="T30" s="11">
        <f>'BS DRIVERS'!T26</f>
        <v/>
      </c>
      <c r="U30" s="11">
        <f>'BS DRIVERS'!U26</f>
        <v/>
      </c>
      <c r="V30" s="11">
        <f>'BS DRIVERS'!V26</f>
        <v/>
      </c>
      <c r="W30" s="11">
        <f>'BS DRIVERS'!W26</f>
        <v/>
      </c>
      <c r="X30" s="11">
        <f>'BS DRIVERS'!X26</f>
        <v/>
      </c>
      <c r="Y30" s="11">
        <f>'BS DRIVERS'!Y26</f>
        <v/>
      </c>
      <c r="Z30" s="11">
        <f>'BS DRIVERS'!Z26</f>
        <v/>
      </c>
      <c r="AA30" s="11">
        <f>'BS DRIVERS'!AA26</f>
        <v/>
      </c>
      <c r="AB30" s="11">
        <f>'BS DRIVERS'!AB26</f>
        <v/>
      </c>
      <c r="AC30" s="11">
        <f>'BS DRIVERS'!AC26</f>
        <v/>
      </c>
      <c r="AD30" s="11">
        <f>'BS DRIVERS'!AD26</f>
        <v/>
      </c>
      <c r="AE30" s="11">
        <f>'BS DRIVERS'!AE26</f>
        <v/>
      </c>
      <c r="AF30" s="11">
        <f>'BS DRIVERS'!AF26</f>
        <v/>
      </c>
      <c r="AG30" s="11">
        <f>'BS DRIVERS'!AG26</f>
        <v/>
      </c>
      <c r="AH30" s="11">
        <f>'BS DRIVERS'!AH26</f>
        <v/>
      </c>
      <c r="AI30" s="11">
        <f>'BS DRIVERS'!AI26</f>
        <v/>
      </c>
      <c r="AJ30" s="11">
        <f>'BS DRIVERS'!AJ26</f>
        <v/>
      </c>
      <c r="AK30" s="11">
        <f>'BS DRIVERS'!AK26</f>
        <v/>
      </c>
      <c r="AL30" s="11">
        <f>'BS DRIVERS'!AL26</f>
        <v/>
      </c>
    </row>
    <row r="31">
      <c r="A31" s="3" t="inlineStr">
        <is>
          <t>Total Stockholders' Equity</t>
        </is>
      </c>
      <c r="B31" s="6">
        <f>'BALANCE SHEET'!B31</f>
        <v/>
      </c>
      <c r="C31" s="6">
        <f>'YTD BS'!C31</f>
        <v/>
      </c>
      <c r="D31" s="6">
        <f>'YTD BS'!D31</f>
        <v/>
      </c>
      <c r="E31" s="6">
        <f>'YTD BS'!E31</f>
        <v/>
      </c>
      <c r="F31" s="6">
        <f>'BALANCE SHEET'!C31</f>
        <v/>
      </c>
      <c r="G31" s="6">
        <f>'YTD BS'!G31</f>
        <v/>
      </c>
      <c r="H31" s="6">
        <f>'YTD BS'!H31</f>
        <v/>
      </c>
      <c r="I31" s="6">
        <f>'YTD BS'!I31</f>
        <v/>
      </c>
      <c r="J31" s="6">
        <f>'BALANCE SHEET'!D31</f>
        <v/>
      </c>
      <c r="K31" s="6">
        <f>'YTD BS'!K31</f>
        <v/>
      </c>
      <c r="L31" s="6">
        <f>'YTD BS'!L31</f>
        <v/>
      </c>
      <c r="M31" s="6">
        <f>'YTD BS'!M31</f>
        <v/>
      </c>
      <c r="N31" s="6">
        <f>'BALANCE SHEET'!E31</f>
        <v/>
      </c>
      <c r="O31" s="6">
        <f>'YTD BS'!O31</f>
        <v/>
      </c>
      <c r="P31" s="7">
        <f>SUM(P25:P30)</f>
        <v/>
      </c>
      <c r="Q31" s="7">
        <f>SUM(Q25:Q30)</f>
        <v/>
      </c>
      <c r="R31" s="7">
        <f>SUM(R25:R30)</f>
        <v/>
      </c>
      <c r="S31" s="7">
        <f>SUM(S25:S30)</f>
        <v/>
      </c>
      <c r="T31" s="7">
        <f>SUM(T25:T30)</f>
        <v/>
      </c>
      <c r="U31" s="7">
        <f>SUM(U25:U30)</f>
        <v/>
      </c>
      <c r="V31" s="7">
        <f>SUM(V25:V30)</f>
        <v/>
      </c>
      <c r="W31" s="7">
        <f>SUM(W25:W30)</f>
        <v/>
      </c>
      <c r="X31" s="7">
        <f>SUM(X25:X30)</f>
        <v/>
      </c>
      <c r="Y31" s="7">
        <f>SUM(Y25:Y30)</f>
        <v/>
      </c>
      <c r="Z31" s="7">
        <f>SUM(Z25:Z30)</f>
        <v/>
      </c>
      <c r="AA31" s="7">
        <f>SUM(AA25:AA30)</f>
        <v/>
      </c>
      <c r="AB31" s="7">
        <f>SUM(AB25:AB30)</f>
        <v/>
      </c>
      <c r="AC31" s="7">
        <f>SUM(AC25:AC30)</f>
        <v/>
      </c>
      <c r="AD31" s="7">
        <f>SUM(AD25:AD30)</f>
        <v/>
      </c>
      <c r="AE31" s="7">
        <f>SUM(AE25:AE30)</f>
        <v/>
      </c>
      <c r="AF31" s="7">
        <f>SUM(AF25:AF30)</f>
        <v/>
      </c>
      <c r="AG31" s="7">
        <f>SUM(AG25:AG30)</f>
        <v/>
      </c>
      <c r="AH31" s="7">
        <f>SUM(AH25:AH30)</f>
        <v/>
      </c>
      <c r="AI31" s="7">
        <f>SUM(AI25:AI30)</f>
        <v/>
      </c>
      <c r="AJ31" s="7">
        <f>SUM(AJ25:AJ30)</f>
        <v/>
      </c>
      <c r="AK31" s="7">
        <f>SUM(AK25:AK30)</f>
        <v/>
      </c>
      <c r="AL31" s="7">
        <f>SUM(AL25:AL30)</f>
        <v/>
      </c>
    </row>
    <row r="32">
      <c r="A32" s="3" t="inlineStr">
        <is>
          <t>Total Liabilities, Mezzanine &amp; Stockholders' Equity</t>
        </is>
      </c>
      <c r="B32" s="6">
        <f>'BALANCE SHEET'!B32</f>
        <v/>
      </c>
      <c r="C32" s="6">
        <f>'YTD BS'!C32</f>
        <v/>
      </c>
      <c r="D32" s="6">
        <f>'YTD BS'!D32</f>
        <v/>
      </c>
      <c r="E32" s="6">
        <f>'YTD BS'!E32</f>
        <v/>
      </c>
      <c r="F32" s="6">
        <f>'BALANCE SHEET'!C32</f>
        <v/>
      </c>
      <c r="G32" s="6">
        <f>'YTD BS'!G32</f>
        <v/>
      </c>
      <c r="H32" s="6">
        <f>'YTD BS'!H32</f>
        <v/>
      </c>
      <c r="I32" s="6">
        <f>'YTD BS'!I32</f>
        <v/>
      </c>
      <c r="J32" s="6">
        <f>'BALANCE SHEET'!D32</f>
        <v/>
      </c>
      <c r="K32" s="6">
        <f>'YTD BS'!K32</f>
        <v/>
      </c>
      <c r="L32" s="6">
        <f>'YTD BS'!L32</f>
        <v/>
      </c>
      <c r="M32" s="6">
        <f>'YTD BS'!M32</f>
        <v/>
      </c>
      <c r="N32" s="6">
        <f>'BALANCE SHEET'!E32</f>
        <v/>
      </c>
      <c r="O32" s="6">
        <f>'YTD BS'!O32</f>
        <v/>
      </c>
      <c r="P32" s="7">
        <f>P24+P31</f>
        <v/>
      </c>
      <c r="Q32" s="7">
        <f>Q24+Q31</f>
        <v/>
      </c>
      <c r="R32" s="7">
        <f>R24+R31</f>
        <v/>
      </c>
      <c r="S32" s="7">
        <f>S24+S31</f>
        <v/>
      </c>
      <c r="T32" s="7">
        <f>T24+T31</f>
        <v/>
      </c>
      <c r="U32" s="7">
        <f>U24+U31</f>
        <v/>
      </c>
      <c r="V32" s="7">
        <f>V24+V31</f>
        <v/>
      </c>
      <c r="W32" s="7">
        <f>W24+W31</f>
        <v/>
      </c>
      <c r="X32" s="7">
        <f>X24+X31</f>
        <v/>
      </c>
      <c r="Y32" s="7">
        <f>Y24+Y31</f>
        <v/>
      </c>
      <c r="Z32" s="7">
        <f>Z24+Z31</f>
        <v/>
      </c>
      <c r="AA32" s="7">
        <f>AA24+AA31</f>
        <v/>
      </c>
      <c r="AB32" s="7">
        <f>AB24+AB31</f>
        <v/>
      </c>
      <c r="AC32" s="7">
        <f>AC24+AC31</f>
        <v/>
      </c>
      <c r="AD32" s="7">
        <f>AD24+AD31</f>
        <v/>
      </c>
      <c r="AE32" s="7">
        <f>AE24+AE31</f>
        <v/>
      </c>
      <c r="AF32" s="7">
        <f>AF24+AF31</f>
        <v/>
      </c>
      <c r="AG32" s="7">
        <f>AG24+AG31</f>
        <v/>
      </c>
      <c r="AH32" s="7">
        <f>AH24+AH31</f>
        <v/>
      </c>
      <c r="AI32" s="7">
        <f>AI24+AI31</f>
        <v/>
      </c>
      <c r="AJ32" s="7">
        <f>AJ24+AJ31</f>
        <v/>
      </c>
      <c r="AK32" s="7">
        <f>AK24+AK31</f>
        <v/>
      </c>
      <c r="AL32" s="7">
        <f>AL24+AL31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Non-Cash Lease Expense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  <c r="AL10" s="11">
        <f>'QTR P&amp;L'!AL2*'CF DRIVERS'!AL10</f>
        <v/>
      </c>
      <c r="AM10" s="11">
        <f>'QTR P&amp;L'!AM2*'CF DRIVERS'!AM10</f>
        <v/>
      </c>
      <c r="AN10" s="11">
        <f>'QTR P&amp;L'!AN2*'CF DRIVERS'!AN10</f>
        <v/>
      </c>
      <c r="AO10" s="11">
        <f>'QTR P&amp;L'!AO2*'CF DRIVERS'!AO10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  <c r="AL26" s="7">
        <f>SUM(AL2:AL25)</f>
        <v/>
      </c>
      <c r="AM26" s="7">
        <f>SUM(AM2:AM25)</f>
        <v/>
      </c>
      <c r="AN26" s="7">
        <f>SUM(AN2:AN25)</f>
        <v/>
      </c>
      <c r="AO26" s="7">
        <f>SUM(AO2:AO25)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  <c r="AL27" s="11">
        <f>'QTR P&amp;L'!AL2*'CF DRIVERS'!AL26</f>
        <v/>
      </c>
      <c r="AM27" s="11">
        <f>'QTR P&amp;L'!AM2*'CF DRIVERS'!AM26</f>
        <v/>
      </c>
      <c r="AN27" s="11">
        <f>'QTR P&amp;L'!AN2*'CF DRIVERS'!AN26</f>
        <v/>
      </c>
      <c r="AO27" s="11">
        <f>'QTR P&amp;L'!AO2*'CF DRIVERS'!AO26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  <c r="AL29" s="11">
        <f>'CF DRIVERS'!AL28</f>
        <v/>
      </c>
      <c r="AM29" s="11">
        <f>'CF DRIVERS'!AM28</f>
        <v/>
      </c>
      <c r="AN29" s="11">
        <f>'CF DRIVERS'!AN28</f>
        <v/>
      </c>
      <c r="AO29" s="11">
        <f>'CF DRIVERS'!AO28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  <c r="AL33" s="11">
        <f>'CF DRIVERS'!AL32</f>
        <v/>
      </c>
      <c r="AM33" s="11">
        <f>'CF DRIVERS'!AM32</f>
        <v/>
      </c>
      <c r="AN33" s="11">
        <f>'CF DRIVERS'!AN32</f>
        <v/>
      </c>
      <c r="AO33" s="11">
        <f>'CF DRIVERS'!AO32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  <c r="AL34" s="7">
        <f>SUM(AL27:AL33)</f>
        <v/>
      </c>
      <c r="AM34" s="7">
        <f>SUM(AM27:AM33)</f>
        <v/>
      </c>
      <c r="AN34" s="7">
        <f>SUM(AN27:AN33)</f>
        <v/>
      </c>
      <c r="AO34" s="7">
        <f>SUM(AO27:AO33)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  <c r="AL41" s="11">
        <f>'QTR P&amp;L'!AL13*'CF DRIVERS'!AL39</f>
        <v/>
      </c>
      <c r="AM41" s="11">
        <f>'QTR P&amp;L'!AM13*'CF DRIVERS'!AM39</f>
        <v/>
      </c>
      <c r="AN41" s="11">
        <f>'QTR P&amp;L'!AN13*'CF DRIVERS'!AN39</f>
        <v/>
      </c>
      <c r="AO41" s="11">
        <f>'QTR P&amp;L'!AO13*'CF DRIVERS'!AO39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  <c r="AL46" s="7">
        <f>SUM(AL35:AL45)</f>
        <v/>
      </c>
      <c r="AM46" s="7">
        <f>SUM(AM35:AM45)</f>
        <v/>
      </c>
      <c r="AN46" s="7">
        <f>SUM(AN35:AN45)</f>
        <v/>
      </c>
      <c r="AO46" s="7">
        <f>SUM(AO35:AO45)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  <c r="AL47" s="11">
        <f>'CF DRIVERS'!AL44</f>
        <v/>
      </c>
      <c r="AM47" s="11">
        <f>'CF DRIVERS'!AM44</f>
        <v/>
      </c>
      <c r="AN47" s="11">
        <f>'CF DRIVERS'!AN44</f>
        <v/>
      </c>
      <c r="AO47" s="11">
        <f>'CF DRIVERS'!AO44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  <c r="AL48" s="7">
        <f>AL26+AL34+AL46+AL47</f>
        <v/>
      </c>
      <c r="AM48" s="7">
        <f>AM26+AM34+AM46+AM47</f>
        <v/>
      </c>
      <c r="AN48" s="7">
        <f>AN26+AN34+AN46+AN47</f>
        <v/>
      </c>
      <c r="AO48" s="7">
        <f>AO26+AO34+AO46+AO47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  <c r="AM8" s="15">
        <f>AL8</f>
        <v/>
      </c>
      <c r="AN8" s="15">
        <f>AM8</f>
        <v/>
      </c>
      <c r="AO8" s="15">
        <f>AN8</f>
        <v/>
      </c>
      <c r="AP8" s="15">
        <f>AO8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  <c r="AI2" s="4">
        <f>AH2+'QTR CF'!AL48</f>
        <v/>
      </c>
      <c r="AJ2" s="4">
        <f>AI2+'QTR CF'!AM48</f>
        <v/>
      </c>
      <c r="AK2" s="4">
        <f>AJ2+'QTR CF'!AN48</f>
        <v/>
      </c>
      <c r="AL2" s="4">
        <f>AK2+'QTR CF'!AO48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P3</f>
        <v/>
      </c>
      <c r="R3" s="15">
        <f>Q3</f>
        <v/>
      </c>
      <c r="S3" s="15">
        <f>R3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Raw Materials — % of Parent</t>
        </is>
      </c>
      <c r="B5" s="13">
        <f>IFERROR('QTR BS'!B5/'QTR BS'!B8,"")</f>
        <v/>
      </c>
      <c r="C5" s="13">
        <f>IFERROR('QTR BS'!C5/'QTR BS'!C8,"")</f>
        <v/>
      </c>
      <c r="D5" s="13">
        <f>IFERROR('QTR BS'!D5/'QTR BS'!D8,"")</f>
        <v/>
      </c>
      <c r="E5" s="13">
        <f>IFERROR('QTR BS'!E5/'QTR BS'!E8,"")</f>
        <v/>
      </c>
      <c r="F5" s="13">
        <f>IFERROR('QTR BS'!F5/'QTR BS'!F8,"")</f>
        <v/>
      </c>
      <c r="G5" s="13">
        <f>IFERROR('QTR BS'!G5/'QTR BS'!G8,"")</f>
        <v/>
      </c>
      <c r="H5" s="13">
        <f>IFERROR('QTR BS'!H5/'QTR BS'!H8,"")</f>
        <v/>
      </c>
      <c r="I5" s="13">
        <f>IFERROR('QTR BS'!I5/'QTR BS'!I8,"")</f>
        <v/>
      </c>
      <c r="J5" s="13">
        <f>IFERROR('QTR BS'!J5/'QTR BS'!J8,"")</f>
        <v/>
      </c>
      <c r="K5" s="13">
        <f>IFERROR('QTR BS'!K5/'QTR BS'!K8,"")</f>
        <v/>
      </c>
      <c r="L5" s="13">
        <f>IFERROR('QTR BS'!L5/'QTR BS'!L8,"")</f>
        <v/>
      </c>
      <c r="M5" s="13">
        <f>IFERROR('QTR BS'!M5/'QTR BS'!M8,"")</f>
        <v/>
      </c>
      <c r="N5" s="13">
        <f>IFERROR('QTR BS'!N5/'QTR BS'!N8,"")</f>
        <v/>
      </c>
      <c r="O5" s="13">
        <f>IFERROR('QTR BS'!O5/'QTR BS'!O8,"")</f>
        <v/>
      </c>
      <c r="P5" s="14">
        <f>O5</f>
        <v/>
      </c>
      <c r="Q5" s="14">
        <f>P5</f>
        <v/>
      </c>
      <c r="R5" s="14">
        <f>Q5</f>
        <v/>
      </c>
      <c r="S5" s="14">
        <f>R5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</row>
    <row r="6">
      <c r="A6" s="3" t="inlineStr">
        <is>
          <t>Work in Process — % of Parent</t>
        </is>
      </c>
      <c r="B6" s="13">
        <f>IFERROR('QTR BS'!B6/'QTR BS'!B8,"")</f>
        <v/>
      </c>
      <c r="C6" s="13">
        <f>IFERROR('QTR BS'!C6/'QTR BS'!C8,"")</f>
        <v/>
      </c>
      <c r="D6" s="13">
        <f>IFERROR('QTR BS'!D6/'QTR BS'!D8,"")</f>
        <v/>
      </c>
      <c r="E6" s="13">
        <f>IFERROR('QTR BS'!E6/'QTR BS'!E8,"")</f>
        <v/>
      </c>
      <c r="F6" s="13">
        <f>IFERROR('QTR BS'!F6/'QTR BS'!F8,"")</f>
        <v/>
      </c>
      <c r="G6" s="13">
        <f>IFERROR('QTR BS'!G6/'QTR BS'!G8,"")</f>
        <v/>
      </c>
      <c r="H6" s="13">
        <f>IFERROR('QTR BS'!H6/'QTR BS'!H8,"")</f>
        <v/>
      </c>
      <c r="I6" s="13">
        <f>IFERROR('QTR BS'!I6/'QTR BS'!I8,"")</f>
        <v/>
      </c>
      <c r="J6" s="13">
        <f>IFERROR('QTR BS'!J6/'QTR BS'!J8,"")</f>
        <v/>
      </c>
      <c r="K6" s="13">
        <f>IFERROR('QTR BS'!K6/'QTR BS'!K8,"")</f>
        <v/>
      </c>
      <c r="L6" s="13">
        <f>IFERROR('QTR BS'!L6/'QTR BS'!L8,"")</f>
        <v/>
      </c>
      <c r="M6" s="13">
        <f>IFERROR('QTR BS'!M6/'QTR BS'!M8,"")</f>
        <v/>
      </c>
      <c r="N6" s="13">
        <f>IFERROR('QTR BS'!N6/'QTR BS'!N8,"")</f>
        <v/>
      </c>
      <c r="O6" s="13">
        <f>IFERROR('QTR BS'!O6/'QTR BS'!O8,"")</f>
        <v/>
      </c>
      <c r="P6" s="14">
        <f>O6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Finished Goods — % of Parent</t>
        </is>
      </c>
      <c r="B7" s="13">
        <f>IFERROR('QTR BS'!B7/'QTR BS'!B8,"")</f>
        <v/>
      </c>
      <c r="C7" s="13">
        <f>IFERROR('QTR BS'!C7/'QTR BS'!C8,"")</f>
        <v/>
      </c>
      <c r="D7" s="13">
        <f>IFERROR('QTR BS'!D7/'QTR BS'!D8,"")</f>
        <v/>
      </c>
      <c r="E7" s="13">
        <f>IFERROR('QTR BS'!E7/'QTR BS'!E8,"")</f>
        <v/>
      </c>
      <c r="F7" s="13">
        <f>IFERROR('QTR BS'!F7/'QTR BS'!F8,"")</f>
        <v/>
      </c>
      <c r="G7" s="13">
        <f>IFERROR('QTR BS'!G7/'QTR BS'!G8,"")</f>
        <v/>
      </c>
      <c r="H7" s="13">
        <f>IFERROR('QTR BS'!H7/'QTR BS'!H8,"")</f>
        <v/>
      </c>
      <c r="I7" s="13">
        <f>IFERROR('QTR BS'!I7/'QTR BS'!I8,"")</f>
        <v/>
      </c>
      <c r="J7" s="13">
        <f>IFERROR('QTR BS'!J7/'QTR BS'!J8,"")</f>
        <v/>
      </c>
      <c r="K7" s="13">
        <f>IFERROR('QTR BS'!K7/'QTR BS'!K8,"")</f>
        <v/>
      </c>
      <c r="L7" s="13">
        <f>IFERROR('QTR BS'!L7/'QTR BS'!L8,"")</f>
        <v/>
      </c>
      <c r="M7" s="13">
        <f>IFERROR('QTR BS'!M7/'QTR BS'!M8,"")</f>
        <v/>
      </c>
      <c r="N7" s="13">
        <f>IFERROR('QTR BS'!N7/'QTR BS'!N8,"")</f>
        <v/>
      </c>
      <c r="O7" s="13">
        <f>IFERROR('QTR BS'!O7/'QTR BS'!O8,"")</f>
        <v/>
      </c>
      <c r="P7" s="14">
        <f>O7</f>
        <v/>
      </c>
      <c r="Q7" s="14">
        <f>P7</f>
        <v/>
      </c>
      <c r="R7" s="14">
        <f>Q7</f>
        <v/>
      </c>
      <c r="S7" s="14">
        <f>R7</f>
        <v/>
      </c>
      <c r="T7" s="14">
        <f>S7</f>
        <v/>
      </c>
      <c r="U7" s="14">
        <f>T7</f>
        <v/>
      </c>
      <c r="V7" s="14">
        <f>U7</f>
        <v/>
      </c>
      <c r="W7" s="14">
        <f>V7</f>
        <v/>
      </c>
      <c r="X7" s="14">
        <f>W7</f>
        <v/>
      </c>
      <c r="Y7" s="14">
        <f>X7</f>
        <v/>
      </c>
      <c r="Z7" s="14">
        <f>Y7</f>
        <v/>
      </c>
      <c r="AA7" s="14">
        <f>Z7</f>
        <v/>
      </c>
      <c r="AB7" s="14">
        <f>AA7</f>
        <v/>
      </c>
      <c r="AC7" s="14">
        <f>AB7</f>
        <v/>
      </c>
      <c r="AD7" s="14">
        <f>AC7</f>
        <v/>
      </c>
      <c r="AE7" s="14">
        <f>AD7</f>
        <v/>
      </c>
      <c r="AF7" s="14">
        <f>AE7</f>
        <v/>
      </c>
      <c r="AG7" s="14">
        <f>AF7</f>
        <v/>
      </c>
      <c r="AH7" s="14">
        <f>AG7</f>
        <v/>
      </c>
      <c r="AI7" s="14">
        <f>AH7</f>
        <v/>
      </c>
      <c r="AJ7" s="14">
        <f>AI7</f>
        <v/>
      </c>
      <c r="AK7" s="14">
        <f>AJ7</f>
        <v/>
      </c>
      <c r="AL7" s="14">
        <f>AK7</f>
        <v/>
      </c>
    </row>
    <row r="8">
      <c r="A8" s="3" t="inlineStr">
        <is>
          <t>Inventories — DIO (days)</t>
        </is>
      </c>
      <c r="B8" s="16">
        <f>IFERROR('QTR BS'!B8/'QTR P&amp;L'!E3*ASSUMPTIONS!$B$2,"")</f>
        <v/>
      </c>
      <c r="C8" s="16">
        <f>IFERROR('QTR BS'!C8/'QTR P&amp;L'!F3*ASSUMPTIONS!$B$2,"")</f>
        <v/>
      </c>
      <c r="D8" s="16">
        <f>IFERROR('QTR BS'!D8/'QTR P&amp;L'!G3*ASSUMPTIONS!$B$2,"")</f>
        <v/>
      </c>
      <c r="E8" s="16">
        <f>IFERROR('QTR BS'!E8/'QTR P&amp;L'!H3*ASSUMPTIONS!$B$2,"")</f>
        <v/>
      </c>
      <c r="F8" s="16">
        <f>IFERROR('QTR BS'!F8/'QTR P&amp;L'!I3*ASSUMPTIONS!$B$2,"")</f>
        <v/>
      </c>
      <c r="G8" s="16">
        <f>IFERROR('QTR BS'!G8/'QTR P&amp;L'!J3*ASSUMPTIONS!$B$2,"")</f>
        <v/>
      </c>
      <c r="H8" s="16">
        <f>IFERROR('QTR BS'!H8/'QTR P&amp;L'!K3*ASSUMPTIONS!$B$2,"")</f>
        <v/>
      </c>
      <c r="I8" s="16">
        <f>IFERROR('QTR BS'!I8/'QTR P&amp;L'!L3*ASSUMPTIONS!$B$2,"")</f>
        <v/>
      </c>
      <c r="J8" s="16">
        <f>IFERROR('QTR BS'!J8/'QTR P&amp;L'!M3*ASSUMPTIONS!$B$2,"")</f>
        <v/>
      </c>
      <c r="K8" s="16">
        <f>IFERROR('QTR BS'!K8/'QTR P&amp;L'!N3*ASSUMPTIONS!$B$2,"")</f>
        <v/>
      </c>
      <c r="L8" s="16">
        <f>IFERROR('QTR BS'!L8/'QTR P&amp;L'!O3*ASSUMPTIONS!$B$2,"")</f>
        <v/>
      </c>
      <c r="M8" s="16">
        <f>IFERROR('QTR BS'!M8/'QTR P&amp;L'!P3*ASSUMPTIONS!$B$2,"")</f>
        <v/>
      </c>
      <c r="N8" s="16">
        <f>IFERROR('QTR BS'!N8/'QTR P&amp;L'!Q3*ASSUMPTIONS!$B$2,"")</f>
        <v/>
      </c>
      <c r="O8" s="16">
        <f>IFERROR('QTR BS'!O8/'QTR P&amp;L'!R3*ASSUMPTIONS!$B$2,"")</f>
        <v/>
      </c>
      <c r="P8" s="17">
        <f>O8</f>
        <v/>
      </c>
      <c r="Q8" s="17">
        <f>P8</f>
        <v/>
      </c>
      <c r="R8" s="17">
        <f>Q8</f>
        <v/>
      </c>
      <c r="S8" s="17">
        <f>R8</f>
        <v/>
      </c>
      <c r="T8" s="17">
        <f>S8</f>
        <v/>
      </c>
      <c r="U8" s="17">
        <f>T8</f>
        <v/>
      </c>
      <c r="V8" s="17">
        <f>U8</f>
        <v/>
      </c>
      <c r="W8" s="17">
        <f>V8</f>
        <v/>
      </c>
      <c r="X8" s="17">
        <f>W8</f>
        <v/>
      </c>
      <c r="Y8" s="17">
        <f>X8</f>
        <v/>
      </c>
      <c r="Z8" s="17">
        <f>Y8</f>
        <v/>
      </c>
      <c r="AA8" s="17">
        <f>Z8</f>
        <v/>
      </c>
      <c r="AB8" s="17">
        <f>AA8</f>
        <v/>
      </c>
      <c r="AC8" s="17">
        <f>AB8</f>
        <v/>
      </c>
      <c r="AD8" s="17">
        <f>AC8</f>
        <v/>
      </c>
      <c r="AE8" s="17">
        <f>AD8</f>
        <v/>
      </c>
      <c r="AF8" s="17">
        <f>AE8</f>
        <v/>
      </c>
      <c r="AG8" s="17">
        <f>AF8</f>
        <v/>
      </c>
      <c r="AH8" s="17">
        <f>AG8</f>
        <v/>
      </c>
      <c r="AI8" s="17">
        <f>AH8</f>
        <v/>
      </c>
      <c r="AJ8" s="17">
        <f>AI8</f>
        <v/>
      </c>
      <c r="AK8" s="17">
        <f>AJ8</f>
        <v/>
      </c>
      <c r="AL8" s="17">
        <f>AK8</f>
        <v/>
      </c>
    </row>
    <row r="9">
      <c r="A9" s="3" t="inlineStr">
        <is>
          <t>Prepaid Expenses — % of Revenue</t>
        </is>
      </c>
      <c r="B9" s="13">
        <f>IFERROR('QTR BS'!B9/'QTR P&amp;L'!E2,"")</f>
        <v/>
      </c>
      <c r="C9" s="13">
        <f>IFERROR('QTR BS'!C9/'QTR P&amp;L'!F2,"")</f>
        <v/>
      </c>
      <c r="D9" s="13">
        <f>IFERROR('QTR BS'!D9/'QTR P&amp;L'!G2,"")</f>
        <v/>
      </c>
      <c r="E9" s="13">
        <f>IFERROR('QTR BS'!E9/'QTR P&amp;L'!H2,"")</f>
        <v/>
      </c>
      <c r="F9" s="13">
        <f>IFERROR('QTR BS'!F9/'QTR P&amp;L'!I2,"")</f>
        <v/>
      </c>
      <c r="G9" s="13">
        <f>IFERROR('QTR BS'!G9/'QTR P&amp;L'!J2,"")</f>
        <v/>
      </c>
      <c r="H9" s="13">
        <f>IFERROR('QTR BS'!H9/'QTR P&amp;L'!K2,"")</f>
        <v/>
      </c>
      <c r="I9" s="13">
        <f>IFERROR('QTR BS'!I9/'QTR P&amp;L'!L2,"")</f>
        <v/>
      </c>
      <c r="J9" s="13">
        <f>IFERROR('QTR BS'!J9/'QTR P&amp;L'!M2,"")</f>
        <v/>
      </c>
      <c r="K9" s="13">
        <f>IFERROR('QTR BS'!K9/'QTR P&amp;L'!N2,"")</f>
        <v/>
      </c>
      <c r="L9" s="13">
        <f>IFERROR('QTR BS'!L9/'QTR P&amp;L'!O2,"")</f>
        <v/>
      </c>
      <c r="M9" s="13">
        <f>IFERROR('QTR BS'!M9/'QTR P&amp;L'!P2,"")</f>
        <v/>
      </c>
      <c r="N9" s="13">
        <f>IFERROR('QTR BS'!N9/'QTR P&amp;L'!Q2,"")</f>
        <v/>
      </c>
      <c r="O9" s="13">
        <f>IFERROR('QTR BS'!O9/'QTR P&amp;L'!R2,"")</f>
        <v/>
      </c>
      <c r="P9" s="14">
        <f>O9</f>
        <v/>
      </c>
      <c r="Q9" s="14">
        <f>P9</f>
        <v/>
      </c>
      <c r="R9" s="14">
        <f>Q9</f>
        <v/>
      </c>
      <c r="S9" s="14">
        <f>R9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4">
        <f>O10-'QTR CF'!S27-'QTR CF'!S3</f>
        <v/>
      </c>
      <c r="Q10" s="4">
        <f>P10-'QTR CF'!T27-'QTR CF'!T3</f>
        <v/>
      </c>
      <c r="R10" s="4">
        <f>Q10-'QTR CF'!U27-'QTR CF'!U3</f>
        <v/>
      </c>
      <c r="S10" s="4">
        <f>R10-'QTR CF'!V27-'QTR CF'!V3</f>
        <v/>
      </c>
      <c r="T10" s="4">
        <f>S10-'QTR CF'!W27-'QTR CF'!W3</f>
        <v/>
      </c>
      <c r="U10" s="4">
        <f>T10-'QTR CF'!X27-'QTR CF'!X3</f>
        <v/>
      </c>
      <c r="V10" s="4">
        <f>U10-'QTR CF'!Y27-'QTR CF'!Y3</f>
        <v/>
      </c>
      <c r="W10" s="4">
        <f>V10-'QTR CF'!Z27-'QTR CF'!Z3</f>
        <v/>
      </c>
      <c r="X10" s="4">
        <f>W10-'QTR CF'!AA27-'QTR CF'!AA3</f>
        <v/>
      </c>
      <c r="Y10" s="4">
        <f>X10-'QTR CF'!AB27-'QTR CF'!AB3</f>
        <v/>
      </c>
      <c r="Z10" s="4">
        <f>Y10-'QTR CF'!AC27-'QTR CF'!AC3</f>
        <v/>
      </c>
      <c r="AA10" s="4">
        <f>Z10-'QTR CF'!AD27-'QTR CF'!AD3</f>
        <v/>
      </c>
      <c r="AB10" s="4">
        <f>AA10-'QTR CF'!AE27-'QTR CF'!AE3</f>
        <v/>
      </c>
      <c r="AC10" s="4">
        <f>AB10-'QTR CF'!AF27-'QTR CF'!AF3</f>
        <v/>
      </c>
      <c r="AD10" s="4">
        <f>AC10-'QTR CF'!AG27-'QTR CF'!AG3</f>
        <v/>
      </c>
      <c r="AE10" s="4">
        <f>AD10-'QTR CF'!AH27-'QTR CF'!AH3</f>
        <v/>
      </c>
      <c r="AF10" s="4">
        <f>AE10-'QTR CF'!AI27-'QTR CF'!AI3</f>
        <v/>
      </c>
      <c r="AG10" s="4">
        <f>AF10-'QTR CF'!AJ27-'QTR CF'!AJ3</f>
        <v/>
      </c>
      <c r="AH10" s="4">
        <f>AG10-'QTR CF'!AK27-'QTR CF'!AK3</f>
        <v/>
      </c>
      <c r="AI10" s="4">
        <f>AH10-'QTR CF'!AL27-'QTR CF'!AL3</f>
        <v/>
      </c>
      <c r="AJ10" s="4">
        <f>AI10-'QTR CF'!AM27-'QTR CF'!AM3</f>
        <v/>
      </c>
      <c r="AK10" s="4">
        <f>AJ10-'QTR CF'!AN27-'QTR CF'!AN3</f>
        <v/>
      </c>
      <c r="AL10" s="4">
        <f>AK10-'QTR CF'!AO27-'QTR CF'!AO3</f>
        <v/>
      </c>
    </row>
    <row r="11">
      <c r="A11" s="3" t="inlineStr">
        <is>
          <t>Intangible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15">
        <f>O11</f>
        <v/>
      </c>
      <c r="Q11" s="15">
        <f>P11</f>
        <v/>
      </c>
      <c r="R11" s="15">
        <f>Q11</f>
        <v/>
      </c>
      <c r="S11" s="15">
        <f>R11</f>
        <v/>
      </c>
      <c r="T11" s="15">
        <f>S11</f>
        <v/>
      </c>
      <c r="U11" s="15">
        <f>T11</f>
        <v/>
      </c>
      <c r="V11" s="15">
        <f>U11</f>
        <v/>
      </c>
      <c r="W11" s="15">
        <f>V11</f>
        <v/>
      </c>
      <c r="X11" s="15">
        <f>W11</f>
        <v/>
      </c>
      <c r="Y11" s="15">
        <f>X11</f>
        <v/>
      </c>
      <c r="Z11" s="15">
        <f>Y11</f>
        <v/>
      </c>
      <c r="AA11" s="15">
        <f>Z11</f>
        <v/>
      </c>
      <c r="AB11" s="15">
        <f>AA11</f>
        <v/>
      </c>
      <c r="AC11" s="15">
        <f>AB11</f>
        <v/>
      </c>
      <c r="AD11" s="15">
        <f>AC11</f>
        <v/>
      </c>
      <c r="AE11" s="15">
        <f>AD11</f>
        <v/>
      </c>
      <c r="AF11" s="15">
        <f>AE11</f>
        <v/>
      </c>
      <c r="AG11" s="15">
        <f>AF11</f>
        <v/>
      </c>
      <c r="AH11" s="15">
        <f>AG11</f>
        <v/>
      </c>
      <c r="AI11" s="15">
        <f>AH11</f>
        <v/>
      </c>
      <c r="AJ11" s="15">
        <f>AI11</f>
        <v/>
      </c>
      <c r="AK11" s="15">
        <f>AJ11</f>
        <v/>
      </c>
      <c r="AL11" s="15">
        <f>AK11</f>
        <v/>
      </c>
    </row>
    <row r="12">
      <c r="A12" s="3" t="inlineStr">
        <is>
          <t>Goodwill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4">
        <f>'QTR BS'!O13</f>
        <v/>
      </c>
      <c r="P12" s="15">
        <f>O12</f>
        <v/>
      </c>
      <c r="Q12" s="15">
        <f>P12</f>
        <v/>
      </c>
      <c r="R12" s="15">
        <f>Q12</f>
        <v/>
      </c>
      <c r="S12" s="15">
        <f>R12</f>
        <v/>
      </c>
      <c r="T12" s="15">
        <f>S12</f>
        <v/>
      </c>
      <c r="U12" s="15">
        <f>T12</f>
        <v/>
      </c>
      <c r="V12" s="15">
        <f>U12</f>
        <v/>
      </c>
      <c r="W12" s="15">
        <f>V12</f>
        <v/>
      </c>
      <c r="X12" s="15">
        <f>W12</f>
        <v/>
      </c>
      <c r="Y12" s="15">
        <f>X12</f>
        <v/>
      </c>
      <c r="Z12" s="15">
        <f>Y12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</row>
    <row r="13">
      <c r="A13" s="3" t="inlineStr">
        <is>
          <t>Equity Method Investments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4">
        <f>'QTR BS'!O14</f>
        <v/>
      </c>
      <c r="P13" s="15">
        <f>O13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Deferred Tax Assets</t>
        </is>
      </c>
      <c r="B14" s="4">
        <f>'QTR BS'!B15</f>
        <v/>
      </c>
      <c r="C14" s="4">
        <f>'QTR BS'!C15</f>
        <v/>
      </c>
      <c r="D14" s="4">
        <f>'QTR BS'!D15</f>
        <v/>
      </c>
      <c r="E14" s="4">
        <f>'QTR BS'!E15</f>
        <v/>
      </c>
      <c r="F14" s="4">
        <f>'QTR BS'!F15</f>
        <v/>
      </c>
      <c r="G14" s="4">
        <f>'QTR BS'!G15</f>
        <v/>
      </c>
      <c r="H14" s="4">
        <f>'QTR BS'!H15</f>
        <v/>
      </c>
      <c r="I14" s="4">
        <f>'QTR BS'!I15</f>
        <v/>
      </c>
      <c r="J14" s="4">
        <f>'QTR BS'!J15</f>
        <v/>
      </c>
      <c r="K14" s="4">
        <f>'QTR BS'!K15</f>
        <v/>
      </c>
      <c r="L14" s="4">
        <f>'QTR BS'!L15</f>
        <v/>
      </c>
      <c r="M14" s="4">
        <f>'QTR BS'!M15</f>
        <v/>
      </c>
      <c r="N14" s="4">
        <f>'QTR BS'!N15</f>
        <v/>
      </c>
      <c r="O14" s="4">
        <f>'QTR BS'!O15</f>
        <v/>
      </c>
      <c r="P14" s="4">
        <f>O14-'QTR CF'!S17</f>
        <v/>
      </c>
      <c r="Q14" s="4">
        <f>P14-'QTR CF'!T17</f>
        <v/>
      </c>
      <c r="R14" s="4">
        <f>Q14-'QTR CF'!U17</f>
        <v/>
      </c>
      <c r="S14" s="4">
        <f>R14-'QTR CF'!V17</f>
        <v/>
      </c>
      <c r="T14" s="4">
        <f>S14-'QTR CF'!W17</f>
        <v/>
      </c>
      <c r="U14" s="4">
        <f>T14-'QTR CF'!X17</f>
        <v/>
      </c>
      <c r="V14" s="4">
        <f>U14-'QTR CF'!Y17</f>
        <v/>
      </c>
      <c r="W14" s="4">
        <f>V14-'QTR CF'!Z17</f>
        <v/>
      </c>
      <c r="X14" s="4">
        <f>W14-'QTR CF'!AA17</f>
        <v/>
      </c>
      <c r="Y14" s="4">
        <f>X14-'QTR CF'!AB17</f>
        <v/>
      </c>
      <c r="Z14" s="4">
        <f>Y14-'QTR CF'!AC17</f>
        <v/>
      </c>
      <c r="AA14" s="4">
        <f>Z14-'QTR CF'!AD17</f>
        <v/>
      </c>
      <c r="AB14" s="4">
        <f>AA14-'QTR CF'!AE17</f>
        <v/>
      </c>
      <c r="AC14" s="4">
        <f>AB14-'QTR CF'!AF17</f>
        <v/>
      </c>
      <c r="AD14" s="4">
        <f>AC14-'QTR CF'!AG17</f>
        <v/>
      </c>
      <c r="AE14" s="4">
        <f>AD14-'QTR CF'!AH17</f>
        <v/>
      </c>
      <c r="AF14" s="4">
        <f>AE14-'QTR CF'!AI17</f>
        <v/>
      </c>
      <c r="AG14" s="4">
        <f>AF14-'QTR CF'!AJ17</f>
        <v/>
      </c>
      <c r="AH14" s="4">
        <f>AG14-'QTR CF'!AK17</f>
        <v/>
      </c>
      <c r="AI14" s="4">
        <f>AH14-'QTR CF'!AL17</f>
        <v/>
      </c>
      <c r="AJ14" s="4">
        <f>AI14-'QTR CF'!AM17</f>
        <v/>
      </c>
      <c r="AK14" s="4">
        <f>AJ14-'QTR CF'!AN17</f>
        <v/>
      </c>
      <c r="AL14" s="4">
        <f>AK14-'QTR CF'!AO17</f>
        <v/>
      </c>
    </row>
    <row r="15">
      <c r="A15" s="3" t="inlineStr">
        <is>
          <t>Other Non-Current Assets — % of Revenue</t>
        </is>
      </c>
      <c r="B15" s="13">
        <f>IFERROR('QTR BS'!B16/'QTR P&amp;L'!E2,"")</f>
        <v/>
      </c>
      <c r="C15" s="13">
        <f>IFERROR('QTR BS'!C16/'QTR P&amp;L'!F2,"")</f>
        <v/>
      </c>
      <c r="D15" s="13">
        <f>IFERROR('QTR BS'!D16/'QTR P&amp;L'!G2,"")</f>
        <v/>
      </c>
      <c r="E15" s="13">
        <f>IFERROR('QTR BS'!E16/'QTR P&amp;L'!H2,"")</f>
        <v/>
      </c>
      <c r="F15" s="13">
        <f>IFERROR('QTR BS'!F16/'QTR P&amp;L'!I2,"")</f>
        <v/>
      </c>
      <c r="G15" s="13">
        <f>IFERROR('QTR BS'!G16/'QTR P&amp;L'!J2,"")</f>
        <v/>
      </c>
      <c r="H15" s="13">
        <f>IFERROR('QTR BS'!H16/'QTR P&amp;L'!K2,"")</f>
        <v/>
      </c>
      <c r="I15" s="13">
        <f>IFERROR('QTR BS'!I16/'QTR P&amp;L'!L2,"")</f>
        <v/>
      </c>
      <c r="J15" s="13">
        <f>IFERROR('QTR BS'!J16/'QTR P&amp;L'!M2,"")</f>
        <v/>
      </c>
      <c r="K15" s="13">
        <f>IFERROR('QTR BS'!K16/'QTR P&amp;L'!N2,"")</f>
        <v/>
      </c>
      <c r="L15" s="13">
        <f>IFERROR('QTR BS'!L16/'QTR P&amp;L'!O2,"")</f>
        <v/>
      </c>
      <c r="M15" s="13">
        <f>IFERROR('QTR BS'!M16/'QTR P&amp;L'!P2,"")</f>
        <v/>
      </c>
      <c r="N15" s="13">
        <f>IFERROR('QTR BS'!N16/'QTR P&amp;L'!Q2,"")</f>
        <v/>
      </c>
      <c r="O15" s="13">
        <f>IFERROR('QTR BS'!O16/'QTR P&amp;L'!R2,"")</f>
        <v/>
      </c>
      <c r="P15" s="14">
        <f>O15</f>
        <v/>
      </c>
      <c r="Q15" s="14">
        <f>P15</f>
        <v/>
      </c>
      <c r="R15" s="14">
        <f>Q15</f>
        <v/>
      </c>
      <c r="S15" s="14">
        <f>R15</f>
        <v/>
      </c>
      <c r="T15" s="14">
        <f>S15</f>
        <v/>
      </c>
      <c r="U15" s="14">
        <f>T15</f>
        <v/>
      </c>
      <c r="V15" s="14">
        <f>U15</f>
        <v/>
      </c>
      <c r="W15" s="14">
        <f>V15</f>
        <v/>
      </c>
      <c r="X15" s="14">
        <f>W15</f>
        <v/>
      </c>
      <c r="Y15" s="14">
        <f>X15</f>
        <v/>
      </c>
      <c r="Z15" s="14">
        <f>Y15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</row>
    <row r="16">
      <c r="A16" s="3" t="inlineStr">
        <is>
          <t>Short-Term Debt Obligations</t>
        </is>
      </c>
      <c r="B16" s="4">
        <f>'QTR BS'!B18</f>
        <v/>
      </c>
      <c r="C16" s="4">
        <f>'QTR BS'!C18</f>
        <v/>
      </c>
      <c r="D16" s="4">
        <f>'QTR BS'!D18</f>
        <v/>
      </c>
      <c r="E16" s="4">
        <f>'QTR BS'!E18</f>
        <v/>
      </c>
      <c r="F16" s="4">
        <f>'QTR BS'!F18</f>
        <v/>
      </c>
      <c r="G16" s="4">
        <f>'QTR BS'!G18</f>
        <v/>
      </c>
      <c r="H16" s="4">
        <f>'QTR BS'!H18</f>
        <v/>
      </c>
      <c r="I16" s="4">
        <f>'QTR BS'!I18</f>
        <v/>
      </c>
      <c r="J16" s="4">
        <f>'QTR BS'!J18</f>
        <v/>
      </c>
      <c r="K16" s="4">
        <f>'QTR BS'!K18</f>
        <v/>
      </c>
      <c r="L16" s="4">
        <f>'QTR BS'!L18</f>
        <v/>
      </c>
      <c r="M16" s="4">
        <f>'QTR BS'!M18</f>
        <v/>
      </c>
      <c r="N16" s="4">
        <f>'QTR BS'!N18</f>
        <v/>
      </c>
      <c r="O16" s="4">
        <f>'QTR BS'!O18</f>
        <v/>
      </c>
      <c r="P16" s="15">
        <f>O16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Accrued Expenses — % of Revenue</t>
        </is>
      </c>
      <c r="B17" s="13">
        <f>IFERROR('QTR BS'!B19/'QTR P&amp;L'!E2,"")</f>
        <v/>
      </c>
      <c r="C17" s="13">
        <f>IFERROR('QTR BS'!C19/'QTR P&amp;L'!F2,"")</f>
        <v/>
      </c>
      <c r="D17" s="13">
        <f>IFERROR('QTR BS'!D19/'QTR P&amp;L'!G2,"")</f>
        <v/>
      </c>
      <c r="E17" s="13">
        <f>IFERROR('QTR BS'!E19/'QTR P&amp;L'!H2,"")</f>
        <v/>
      </c>
      <c r="F17" s="13">
        <f>IFERROR('QTR BS'!F19/'QTR P&amp;L'!I2,"")</f>
        <v/>
      </c>
      <c r="G17" s="13">
        <f>IFERROR('QTR BS'!G19/'QTR P&amp;L'!J2,"")</f>
        <v/>
      </c>
      <c r="H17" s="13">
        <f>IFERROR('QTR BS'!H19/'QTR P&amp;L'!K2,"")</f>
        <v/>
      </c>
      <c r="I17" s="13">
        <f>IFERROR('QTR BS'!I19/'QTR P&amp;L'!L2,"")</f>
        <v/>
      </c>
      <c r="J17" s="13">
        <f>IFERROR('QTR BS'!J19/'QTR P&amp;L'!M2,"")</f>
        <v/>
      </c>
      <c r="K17" s="13">
        <f>IFERROR('QTR BS'!K19/'QTR P&amp;L'!N2,"")</f>
        <v/>
      </c>
      <c r="L17" s="13">
        <f>IFERROR('QTR BS'!L19/'QTR P&amp;L'!O2,"")</f>
        <v/>
      </c>
      <c r="M17" s="13">
        <f>IFERROR('QTR BS'!M19/'QTR P&amp;L'!P2,"")</f>
        <v/>
      </c>
      <c r="N17" s="13">
        <f>IFERROR('QTR BS'!N19/'QTR P&amp;L'!Q2,"")</f>
        <v/>
      </c>
      <c r="O17" s="13">
        <f>IFERROR('QTR BS'!O19/'QTR P&amp;L'!R2,"")</f>
        <v/>
      </c>
      <c r="P17" s="14">
        <f>O17</f>
        <v/>
      </c>
      <c r="Q17" s="14">
        <f>P17</f>
        <v/>
      </c>
      <c r="R17" s="14">
        <f>Q17</f>
        <v/>
      </c>
      <c r="S17" s="14">
        <f>R17</f>
        <v/>
      </c>
      <c r="T17" s="14">
        <f>S17</f>
        <v/>
      </c>
      <c r="U17" s="14">
        <f>T17</f>
        <v/>
      </c>
      <c r="V17" s="14">
        <f>U17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</row>
    <row r="18">
      <c r="A18" s="3" t="inlineStr">
        <is>
          <t>Long-Term Debt</t>
        </is>
      </c>
      <c r="B18" s="4">
        <f>'QTR BS'!B21</f>
        <v/>
      </c>
      <c r="C18" s="4">
        <f>'QTR BS'!C21</f>
        <v/>
      </c>
      <c r="D18" s="4">
        <f>'QTR BS'!D21</f>
        <v/>
      </c>
      <c r="E18" s="4">
        <f>'QTR BS'!E21</f>
        <v/>
      </c>
      <c r="F18" s="4">
        <f>'QTR BS'!F21</f>
        <v/>
      </c>
      <c r="G18" s="4">
        <f>'QTR BS'!G21</f>
        <v/>
      </c>
      <c r="H18" s="4">
        <f>'QTR BS'!H21</f>
        <v/>
      </c>
      <c r="I18" s="4">
        <f>'QTR BS'!I21</f>
        <v/>
      </c>
      <c r="J18" s="4">
        <f>'QTR BS'!J21</f>
        <v/>
      </c>
      <c r="K18" s="4">
        <f>'QTR BS'!K21</f>
        <v/>
      </c>
      <c r="L18" s="4">
        <f>'QTR BS'!L21</f>
        <v/>
      </c>
      <c r="M18" s="4">
        <f>'QTR BS'!M21</f>
        <v/>
      </c>
      <c r="N18" s="4">
        <f>'QTR BS'!N21</f>
        <v/>
      </c>
      <c r="O18" s="4">
        <f>'QTR BS'!O21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  <c r="AI18" s="15">
        <f>AH18</f>
        <v/>
      </c>
      <c r="AJ18" s="15">
        <f>AI18</f>
        <v/>
      </c>
      <c r="AK18" s="15">
        <f>AJ18</f>
        <v/>
      </c>
      <c r="AL18" s="15">
        <f>AK18</f>
        <v/>
      </c>
    </row>
    <row r="19">
      <c r="A19" s="3" t="inlineStr">
        <is>
          <t>Deferred Tax Liability</t>
        </is>
      </c>
      <c r="B19" s="4">
        <f>'QTR BS'!B22</f>
        <v/>
      </c>
      <c r="C19" s="4">
        <f>'QTR BS'!C22</f>
        <v/>
      </c>
      <c r="D19" s="4">
        <f>'QTR BS'!D22</f>
        <v/>
      </c>
      <c r="E19" s="4">
        <f>'QTR BS'!E22</f>
        <v/>
      </c>
      <c r="F19" s="4">
        <f>'QTR BS'!F22</f>
        <v/>
      </c>
      <c r="G19" s="4">
        <f>'QTR BS'!G22</f>
        <v/>
      </c>
      <c r="H19" s="4">
        <f>'QTR BS'!H22</f>
        <v/>
      </c>
      <c r="I19" s="4">
        <f>'QTR BS'!I22</f>
        <v/>
      </c>
      <c r="J19" s="4">
        <f>'QTR BS'!J22</f>
        <v/>
      </c>
      <c r="K19" s="4">
        <f>'QTR BS'!K22</f>
        <v/>
      </c>
      <c r="L19" s="4">
        <f>'QTR BS'!L22</f>
        <v/>
      </c>
      <c r="M19" s="4">
        <f>'QTR BS'!M22</f>
        <v/>
      </c>
      <c r="N19" s="4">
        <f>'QTR BS'!N22</f>
        <v/>
      </c>
      <c r="O19" s="4">
        <f>'QTR BS'!O22</f>
        <v/>
      </c>
      <c r="P19" s="15">
        <f>O19</f>
        <v/>
      </c>
      <c r="Q19" s="15">
        <f>P19</f>
        <v/>
      </c>
      <c r="R19" s="15">
        <f>Q19</f>
        <v/>
      </c>
      <c r="S19" s="15">
        <f>R19</f>
        <v/>
      </c>
      <c r="T19" s="15">
        <f>S19</f>
        <v/>
      </c>
      <c r="U19" s="15">
        <f>T19</f>
        <v/>
      </c>
      <c r="V19" s="15">
        <f>U19</f>
        <v/>
      </c>
      <c r="W19" s="15">
        <f>V19</f>
        <v/>
      </c>
      <c r="X19" s="15">
        <f>W19</f>
        <v/>
      </c>
      <c r="Y19" s="15">
        <f>X19</f>
        <v/>
      </c>
      <c r="Z19" s="15">
        <f>Y19</f>
        <v/>
      </c>
      <c r="AA19" s="15">
        <f>Z19</f>
        <v/>
      </c>
      <c r="AB19" s="15">
        <f>AA19</f>
        <v/>
      </c>
      <c r="AC19" s="15">
        <f>AB19</f>
        <v/>
      </c>
      <c r="AD19" s="15">
        <f>AC19</f>
        <v/>
      </c>
      <c r="AE19" s="15">
        <f>AD19</f>
        <v/>
      </c>
      <c r="AF19" s="15">
        <f>AE19</f>
        <v/>
      </c>
      <c r="AG19" s="15">
        <f>AF19</f>
        <v/>
      </c>
      <c r="AH19" s="15">
        <f>AG19</f>
        <v/>
      </c>
      <c r="AI19" s="15">
        <f>AH19</f>
        <v/>
      </c>
      <c r="AJ19" s="15">
        <f>AI19</f>
        <v/>
      </c>
      <c r="AK19" s="15">
        <f>AJ19</f>
        <v/>
      </c>
      <c r="AL19" s="15">
        <f>AK19</f>
        <v/>
      </c>
    </row>
    <row r="20">
      <c r="A20" s="3" t="inlineStr">
        <is>
          <t>Other Non-Current Liabilities — % of Revenue</t>
        </is>
      </c>
      <c r="B20" s="13">
        <f>IFERROR('QTR BS'!B23/'QTR P&amp;L'!E2,"")</f>
        <v/>
      </c>
      <c r="C20" s="13">
        <f>IFERROR('QTR BS'!C23/'QTR P&amp;L'!F2,"")</f>
        <v/>
      </c>
      <c r="D20" s="13">
        <f>IFERROR('QTR BS'!D23/'QTR P&amp;L'!G2,"")</f>
        <v/>
      </c>
      <c r="E20" s="13">
        <f>IFERROR('QTR BS'!E23/'QTR P&amp;L'!H2,"")</f>
        <v/>
      </c>
      <c r="F20" s="13">
        <f>IFERROR('QTR BS'!F23/'QTR P&amp;L'!I2,"")</f>
        <v/>
      </c>
      <c r="G20" s="13">
        <f>IFERROR('QTR BS'!G23/'QTR P&amp;L'!J2,"")</f>
        <v/>
      </c>
      <c r="H20" s="13">
        <f>IFERROR('QTR BS'!H23/'QTR P&amp;L'!K2,"")</f>
        <v/>
      </c>
      <c r="I20" s="13">
        <f>IFERROR('QTR BS'!I23/'QTR P&amp;L'!L2,"")</f>
        <v/>
      </c>
      <c r="J20" s="13">
        <f>IFERROR('QTR BS'!J23/'QTR P&amp;L'!M2,"")</f>
        <v/>
      </c>
      <c r="K20" s="13">
        <f>IFERROR('QTR BS'!K23/'QTR P&amp;L'!N2,"")</f>
        <v/>
      </c>
      <c r="L20" s="13">
        <f>IFERROR('QTR BS'!L23/'QTR P&amp;L'!O2,"")</f>
        <v/>
      </c>
      <c r="M20" s="13">
        <f>IFERROR('QTR BS'!M23/'QTR P&amp;L'!P2,"")</f>
        <v/>
      </c>
      <c r="N20" s="13">
        <f>IFERROR('QTR BS'!N23/'QTR P&amp;L'!Q2,"")</f>
        <v/>
      </c>
      <c r="O20" s="13">
        <f>IFERROR('QTR BS'!O23/'QTR P&amp;L'!R2,"")</f>
        <v/>
      </c>
      <c r="P20" s="14">
        <f>O20</f>
        <v/>
      </c>
      <c r="Q20" s="14">
        <f>P20</f>
        <v/>
      </c>
      <c r="R20" s="14">
        <f>Q20</f>
        <v/>
      </c>
      <c r="S20" s="14">
        <f>R20</f>
        <v/>
      </c>
      <c r="T20" s="14">
        <f>S20</f>
        <v/>
      </c>
      <c r="U20" s="14">
        <f>T20</f>
        <v/>
      </c>
      <c r="V20" s="14">
        <f>U20</f>
        <v/>
      </c>
      <c r="W20" s="14">
        <f>V20</f>
        <v/>
      </c>
      <c r="X20" s="14">
        <f>W20</f>
        <v/>
      </c>
      <c r="Y20" s="14">
        <f>X20</f>
        <v/>
      </c>
      <c r="Z20" s="14">
        <f>Y20</f>
        <v/>
      </c>
      <c r="AA20" s="14">
        <f>Z20</f>
        <v/>
      </c>
      <c r="AB20" s="14">
        <f>AA20</f>
        <v/>
      </c>
      <c r="AC20" s="14">
        <f>AB20</f>
        <v/>
      </c>
      <c r="AD20" s="14">
        <f>AC20</f>
        <v/>
      </c>
      <c r="AE20" s="14">
        <f>AD20</f>
        <v/>
      </c>
      <c r="AF20" s="14">
        <f>AE20</f>
        <v/>
      </c>
      <c r="AG20" s="14">
        <f>AF20</f>
        <v/>
      </c>
      <c r="AH20" s="14">
        <f>AG20</f>
        <v/>
      </c>
      <c r="AI20" s="14">
        <f>AH20</f>
        <v/>
      </c>
      <c r="AJ20" s="14">
        <f>AI20</f>
        <v/>
      </c>
      <c r="AK20" s="14">
        <f>AJ20</f>
        <v/>
      </c>
      <c r="AL20" s="14">
        <f>AK20</f>
        <v/>
      </c>
    </row>
    <row r="21">
      <c r="A21" s="3" t="inlineStr">
        <is>
          <t>Common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15">
        <f>O21</f>
        <v/>
      </c>
      <c r="Q21" s="15">
        <f>P21</f>
        <v/>
      </c>
      <c r="R21" s="15">
        <f>Q21</f>
        <v/>
      </c>
      <c r="S21" s="15">
        <f>R21</f>
        <v/>
      </c>
      <c r="T21" s="15">
        <f>S21</f>
        <v/>
      </c>
      <c r="U21" s="15">
        <f>T21</f>
        <v/>
      </c>
      <c r="V21" s="15">
        <f>U21</f>
        <v/>
      </c>
      <c r="W21" s="15">
        <f>V21</f>
        <v/>
      </c>
      <c r="X21" s="15">
        <f>W21</f>
        <v/>
      </c>
      <c r="Y21" s="15">
        <f>X21</f>
        <v/>
      </c>
      <c r="Z21" s="15">
        <f>Y21</f>
        <v/>
      </c>
      <c r="AA21" s="15">
        <f>Z21</f>
        <v/>
      </c>
      <c r="AB21" s="15">
        <f>AA21</f>
        <v/>
      </c>
      <c r="AC21" s="15">
        <f>AB21</f>
        <v/>
      </c>
      <c r="AD21" s="15">
        <f>AC21</f>
        <v/>
      </c>
      <c r="AE21" s="15">
        <f>AD21</f>
        <v/>
      </c>
      <c r="AF21" s="15">
        <f>AE21</f>
        <v/>
      </c>
      <c r="AG21" s="15">
        <f>AF21</f>
        <v/>
      </c>
      <c r="AH21" s="15">
        <f>AG21</f>
        <v/>
      </c>
      <c r="AI21" s="15">
        <f>AH21</f>
        <v/>
      </c>
      <c r="AJ21" s="15">
        <f>AI21</f>
        <v/>
      </c>
      <c r="AK21" s="15">
        <f>AJ21</f>
        <v/>
      </c>
      <c r="AL21" s="15">
        <f>AK21</f>
        <v/>
      </c>
    </row>
    <row r="22">
      <c r="A22" s="3" t="inlineStr">
        <is>
          <t>Additional Paid-in Capital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O22+'QTR CF'!S10</f>
        <v/>
      </c>
      <c r="Q22" s="4">
        <f>P22+'QTR CF'!T10</f>
        <v/>
      </c>
      <c r="R22" s="4">
        <f>Q22+'QTR CF'!U10</f>
        <v/>
      </c>
      <c r="S22" s="4">
        <f>R22+'QTR CF'!V10</f>
        <v/>
      </c>
      <c r="T22" s="4">
        <f>S22+'QTR CF'!W10</f>
        <v/>
      </c>
      <c r="U22" s="4">
        <f>T22+'QTR CF'!X10</f>
        <v/>
      </c>
      <c r="V22" s="4">
        <f>U22+'QTR CF'!Y10</f>
        <v/>
      </c>
      <c r="W22" s="4">
        <f>V22+'QTR CF'!Z10</f>
        <v/>
      </c>
      <c r="X22" s="4">
        <f>W22+'QTR CF'!AA10</f>
        <v/>
      </c>
      <c r="Y22" s="4">
        <f>X22+'QTR CF'!AB10</f>
        <v/>
      </c>
      <c r="Z22" s="4">
        <f>Y22+'QTR CF'!AC10</f>
        <v/>
      </c>
      <c r="AA22" s="4">
        <f>Z22+'QTR CF'!AD10</f>
        <v/>
      </c>
      <c r="AB22" s="4">
        <f>AA22+'QTR CF'!AE10</f>
        <v/>
      </c>
      <c r="AC22" s="4">
        <f>AB22+'QTR CF'!AF10</f>
        <v/>
      </c>
      <c r="AD22" s="4">
        <f>AC22+'QTR CF'!AG10</f>
        <v/>
      </c>
      <c r="AE22" s="4">
        <f>AD22+'QTR CF'!AH10</f>
        <v/>
      </c>
      <c r="AF22" s="4">
        <f>AE22+'QTR CF'!AI10</f>
        <v/>
      </c>
      <c r="AG22" s="4">
        <f>AF22+'QTR CF'!AJ10</f>
        <v/>
      </c>
      <c r="AH22" s="4">
        <f>AG22+'QTR CF'!AK10</f>
        <v/>
      </c>
      <c r="AI22" s="4">
        <f>AH22+'QTR CF'!AL10</f>
        <v/>
      </c>
      <c r="AJ22" s="4">
        <f>AI22+'QTR CF'!AM10</f>
        <v/>
      </c>
      <c r="AK22" s="4">
        <f>AJ22+'QTR CF'!AN10</f>
        <v/>
      </c>
      <c r="AL22" s="4">
        <f>AK22+'QTR CF'!AO10</f>
        <v/>
      </c>
    </row>
    <row r="23">
      <c r="A23" s="3" t="inlineStr">
        <is>
          <t>Retained Earnings (Accumulated Deficit)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O23+'QTR P&amp;L'!S13+'QTR CF'!S41</f>
        <v/>
      </c>
      <c r="Q23" s="4">
        <f>P23+'QTR P&amp;L'!T13+'QTR CF'!T41</f>
        <v/>
      </c>
      <c r="R23" s="4">
        <f>Q23+'QTR P&amp;L'!U13+'QTR CF'!U41</f>
        <v/>
      </c>
      <c r="S23" s="4">
        <f>R23+'QTR P&amp;L'!V13+'QTR CF'!V41</f>
        <v/>
      </c>
      <c r="T23" s="4">
        <f>S23+'QTR P&amp;L'!W13+'QTR CF'!W41</f>
        <v/>
      </c>
      <c r="U23" s="4">
        <f>T23+'QTR P&amp;L'!X13+'QTR CF'!X41</f>
        <v/>
      </c>
      <c r="V23" s="4">
        <f>U23+'QTR P&amp;L'!Y13+'QTR CF'!Y41</f>
        <v/>
      </c>
      <c r="W23" s="4">
        <f>V23+'QTR P&amp;L'!Z13+'QTR CF'!Z41</f>
        <v/>
      </c>
      <c r="X23" s="4">
        <f>W23+'QTR P&amp;L'!AA13+'QTR CF'!AA41</f>
        <v/>
      </c>
      <c r="Y23" s="4">
        <f>X23+'QTR P&amp;L'!AB13+'QTR CF'!AB41</f>
        <v/>
      </c>
      <c r="Z23" s="4">
        <f>Y23+'QTR P&amp;L'!AC13+'QTR CF'!AC41</f>
        <v/>
      </c>
      <c r="AA23" s="4">
        <f>Z23+'QTR P&amp;L'!AD13+'QTR CF'!AD41</f>
        <v/>
      </c>
      <c r="AB23" s="4">
        <f>AA23+'QTR P&amp;L'!AE13+'QTR CF'!AE41</f>
        <v/>
      </c>
      <c r="AC23" s="4">
        <f>AB23+'QTR P&amp;L'!AF13+'QTR CF'!AF41</f>
        <v/>
      </c>
      <c r="AD23" s="4">
        <f>AC23+'QTR P&amp;L'!AG13+'QTR CF'!AG41</f>
        <v/>
      </c>
      <c r="AE23" s="4">
        <f>AD23+'QTR P&amp;L'!AH13+'QTR CF'!AH41</f>
        <v/>
      </c>
      <c r="AF23" s="4">
        <f>AE23+'QTR P&amp;L'!AI13+'QTR CF'!AI41</f>
        <v/>
      </c>
      <c r="AG23" s="4">
        <f>AF23+'QTR P&amp;L'!AJ13+'QTR CF'!AJ41</f>
        <v/>
      </c>
      <c r="AH23" s="4">
        <f>AG23+'QTR P&amp;L'!AK13+'QTR CF'!AK41</f>
        <v/>
      </c>
      <c r="AI23" s="4">
        <f>AH23+'QTR P&amp;L'!AL13+'QTR CF'!AL41</f>
        <v/>
      </c>
      <c r="AJ23" s="4">
        <f>AI23+'QTR P&amp;L'!AM13+'QTR CF'!AM41</f>
        <v/>
      </c>
      <c r="AK23" s="4">
        <f>AJ23+'QTR P&amp;L'!AN13+'QTR CF'!AN41</f>
        <v/>
      </c>
      <c r="AL23" s="4">
        <f>AK23+'QTR P&amp;L'!AO13+'QTR CF'!AO41</f>
        <v/>
      </c>
    </row>
    <row r="24">
      <c r="A24" s="3" t="inlineStr">
        <is>
          <t>Accumulated Other Comprehensive Income (Loss)</t>
        </is>
      </c>
      <c r="B24" s="4">
        <f>'QTR BS'!B28</f>
        <v/>
      </c>
      <c r="C24" s="4">
        <f>'QTR BS'!C28</f>
        <v/>
      </c>
      <c r="D24" s="4">
        <f>'QTR BS'!D28</f>
        <v/>
      </c>
      <c r="E24" s="4">
        <f>'QTR BS'!E28</f>
        <v/>
      </c>
      <c r="F24" s="4">
        <f>'QTR BS'!F28</f>
        <v/>
      </c>
      <c r="G24" s="4">
        <f>'QTR BS'!G28</f>
        <v/>
      </c>
      <c r="H24" s="4">
        <f>'QTR BS'!H28</f>
        <v/>
      </c>
      <c r="I24" s="4">
        <f>'QTR BS'!I28</f>
        <v/>
      </c>
      <c r="J24" s="4">
        <f>'QTR BS'!J28</f>
        <v/>
      </c>
      <c r="K24" s="4">
        <f>'QTR BS'!K28</f>
        <v/>
      </c>
      <c r="L24" s="4">
        <f>'QTR BS'!L28</f>
        <v/>
      </c>
      <c r="M24" s="4">
        <f>'QTR BS'!M28</f>
        <v/>
      </c>
      <c r="N24" s="4">
        <f>'QTR BS'!N28</f>
        <v/>
      </c>
      <c r="O24" s="4">
        <f>'QTR BS'!O28</f>
        <v/>
      </c>
      <c r="P24" s="4">
        <f>O24+'QTR CF'!S47</f>
        <v/>
      </c>
      <c r="Q24" s="4">
        <f>P24+'QTR CF'!T47</f>
        <v/>
      </c>
      <c r="R24" s="4">
        <f>Q24+'QTR CF'!U47</f>
        <v/>
      </c>
      <c r="S24" s="4">
        <f>R24+'QTR CF'!V47</f>
        <v/>
      </c>
      <c r="T24" s="4">
        <f>S24+'QTR CF'!W47</f>
        <v/>
      </c>
      <c r="U24" s="4">
        <f>T24+'QTR CF'!X47</f>
        <v/>
      </c>
      <c r="V24" s="4">
        <f>U24+'QTR CF'!Y47</f>
        <v/>
      </c>
      <c r="W24" s="4">
        <f>V24+'QTR CF'!Z47</f>
        <v/>
      </c>
      <c r="X24" s="4">
        <f>W24+'QTR CF'!AA47</f>
        <v/>
      </c>
      <c r="Y24" s="4">
        <f>X24+'QTR CF'!AB47</f>
        <v/>
      </c>
      <c r="Z24" s="4">
        <f>Y24+'QTR CF'!AC47</f>
        <v/>
      </c>
      <c r="AA24" s="4">
        <f>Z24+'QTR CF'!AD47</f>
        <v/>
      </c>
      <c r="AB24" s="4">
        <f>AA24+'QTR CF'!AE47</f>
        <v/>
      </c>
      <c r="AC24" s="4">
        <f>AB24+'QTR CF'!AF47</f>
        <v/>
      </c>
      <c r="AD24" s="4">
        <f>AC24+'QTR CF'!AG47</f>
        <v/>
      </c>
      <c r="AE24" s="4">
        <f>AD24+'QTR CF'!AH47</f>
        <v/>
      </c>
      <c r="AF24" s="4">
        <f>AE24+'QTR CF'!AI47</f>
        <v/>
      </c>
      <c r="AG24" s="4">
        <f>AF24+'QTR CF'!AJ47</f>
        <v/>
      </c>
      <c r="AH24" s="4">
        <f>AG24+'QTR CF'!AK47</f>
        <v/>
      </c>
      <c r="AI24" s="4">
        <f>AH24+'QTR CF'!AL47</f>
        <v/>
      </c>
      <c r="AJ24" s="4">
        <f>AI24+'QTR CF'!AM47</f>
        <v/>
      </c>
      <c r="AK24" s="4">
        <f>AJ24+'QTR CF'!AN47</f>
        <v/>
      </c>
      <c r="AL24" s="4">
        <f>AK24+'QTR CF'!AO47</f>
        <v/>
      </c>
    </row>
    <row r="25">
      <c r="A25" s="3" t="inlineStr">
        <is>
          <t>Treasury Stock</t>
        </is>
      </c>
      <c r="B25" s="4">
        <f>'QTR BS'!B29</f>
        <v/>
      </c>
      <c r="C25" s="4">
        <f>'QTR BS'!C29</f>
        <v/>
      </c>
      <c r="D25" s="4">
        <f>'QTR BS'!D29</f>
        <v/>
      </c>
      <c r="E25" s="4">
        <f>'QTR BS'!E29</f>
        <v/>
      </c>
      <c r="F25" s="4">
        <f>'QTR BS'!F29</f>
        <v/>
      </c>
      <c r="G25" s="4">
        <f>'QTR BS'!G29</f>
        <v/>
      </c>
      <c r="H25" s="4">
        <f>'QTR BS'!H29</f>
        <v/>
      </c>
      <c r="I25" s="4">
        <f>'QTR BS'!I29</f>
        <v/>
      </c>
      <c r="J25" s="4">
        <f>'QTR BS'!J29</f>
        <v/>
      </c>
      <c r="K25" s="4">
        <f>'QTR BS'!K29</f>
        <v/>
      </c>
      <c r="L25" s="4">
        <f>'QTR BS'!L29</f>
        <v/>
      </c>
      <c r="M25" s="4">
        <f>'QTR BS'!M29</f>
        <v/>
      </c>
      <c r="N25" s="4">
        <f>'QTR BS'!N29</f>
        <v/>
      </c>
      <c r="O25" s="4">
        <f>'QTR BS'!O29</f>
        <v/>
      </c>
      <c r="P25" s="15">
        <f>O25</f>
        <v/>
      </c>
      <c r="Q25" s="15">
        <f>P25</f>
        <v/>
      </c>
      <c r="R25" s="15">
        <f>Q25</f>
        <v/>
      </c>
      <c r="S25" s="15">
        <f>R25</f>
        <v/>
      </c>
      <c r="T25" s="15">
        <f>S25</f>
        <v/>
      </c>
      <c r="U25" s="15">
        <f>T25</f>
        <v/>
      </c>
      <c r="V25" s="15">
        <f>U25</f>
        <v/>
      </c>
      <c r="W25" s="15">
        <f>V25</f>
        <v/>
      </c>
      <c r="X25" s="15">
        <f>W25</f>
        <v/>
      </c>
      <c r="Y25" s="15">
        <f>X25</f>
        <v/>
      </c>
      <c r="Z25" s="15">
        <f>Y25</f>
        <v/>
      </c>
      <c r="AA25" s="15">
        <f>Z25</f>
        <v/>
      </c>
      <c r="AB25" s="15">
        <f>AA25</f>
        <v/>
      </c>
      <c r="AC25" s="15">
        <f>AB25</f>
        <v/>
      </c>
      <c r="AD25" s="15">
        <f>AC25</f>
        <v/>
      </c>
      <c r="AE25" s="15">
        <f>AD25</f>
        <v/>
      </c>
      <c r="AF25" s="15">
        <f>AE25</f>
        <v/>
      </c>
      <c r="AG25" s="15">
        <f>AF25</f>
        <v/>
      </c>
      <c r="AH25" s="15">
        <f>AG25</f>
        <v/>
      </c>
      <c r="AI25" s="15">
        <f>AH25</f>
        <v/>
      </c>
      <c r="AJ25" s="15">
        <f>AI25</f>
        <v/>
      </c>
      <c r="AK25" s="15">
        <f>AJ25</f>
        <v/>
      </c>
      <c r="AL25" s="15">
        <f>AK25</f>
        <v/>
      </c>
    </row>
    <row r="26">
      <c r="A26" s="3" t="inlineStr">
        <is>
          <t>Noncontrolling Interest</t>
        </is>
      </c>
      <c r="B26" s="4">
        <f>'QTR BS'!B30</f>
        <v/>
      </c>
      <c r="C26" s="4">
        <f>'QTR BS'!C30</f>
        <v/>
      </c>
      <c r="D26" s="4">
        <f>'QTR BS'!D30</f>
        <v/>
      </c>
      <c r="E26" s="4">
        <f>'QTR BS'!E30</f>
        <v/>
      </c>
      <c r="F26" s="4">
        <f>'QTR BS'!F30</f>
        <v/>
      </c>
      <c r="G26" s="4">
        <f>'QTR BS'!G30</f>
        <v/>
      </c>
      <c r="H26" s="4">
        <f>'QTR BS'!H30</f>
        <v/>
      </c>
      <c r="I26" s="4">
        <f>'QTR BS'!I30</f>
        <v/>
      </c>
      <c r="J26" s="4">
        <f>'QTR BS'!J30</f>
        <v/>
      </c>
      <c r="K26" s="4">
        <f>'QTR BS'!K30</f>
        <v/>
      </c>
      <c r="L26" s="4">
        <f>'QTR BS'!L30</f>
        <v/>
      </c>
      <c r="M26" s="4">
        <f>'QTR BS'!M30</f>
        <v/>
      </c>
      <c r="N26" s="4">
        <f>'QTR BS'!N30</f>
        <v/>
      </c>
      <c r="O26" s="4">
        <f>'QTR BS'!O30</f>
        <v/>
      </c>
      <c r="P26" s="15">
        <f>O26</f>
        <v/>
      </c>
      <c r="Q26" s="15">
        <f>P26</f>
        <v/>
      </c>
      <c r="R26" s="15">
        <f>Q26</f>
        <v/>
      </c>
      <c r="S26" s="15">
        <f>R26</f>
        <v/>
      </c>
      <c r="T26" s="15">
        <f>S26</f>
        <v/>
      </c>
      <c r="U26" s="15">
        <f>T26</f>
        <v/>
      </c>
      <c r="V26" s="15">
        <f>U26</f>
        <v/>
      </c>
      <c r="W26" s="15">
        <f>V26</f>
        <v/>
      </c>
      <c r="X26" s="15">
        <f>W26</f>
        <v/>
      </c>
      <c r="Y26" s="15">
        <f>X26</f>
        <v/>
      </c>
      <c r="Z26" s="15">
        <f>Y26</f>
        <v/>
      </c>
      <c r="AA26" s="15">
        <f>Z26</f>
        <v/>
      </c>
      <c r="AB26" s="15">
        <f>AA26</f>
        <v/>
      </c>
      <c r="AC26" s="15">
        <f>AB26</f>
        <v/>
      </c>
      <c r="AD26" s="15">
        <f>AC26</f>
        <v/>
      </c>
      <c r="AE26" s="15">
        <f>AD26</f>
        <v/>
      </c>
      <c r="AF26" s="15">
        <f>AE26</f>
        <v/>
      </c>
      <c r="AG26" s="15">
        <f>AF26</f>
        <v/>
      </c>
      <c r="AH26" s="15">
        <f>AG26</f>
        <v/>
      </c>
      <c r="AI26" s="15">
        <f>AH26</f>
        <v/>
      </c>
      <c r="AJ26" s="15">
        <f>AI26</f>
        <v/>
      </c>
      <c r="AK26" s="15">
        <f>AJ26</f>
        <v/>
      </c>
      <c r="AL26" s="15">
        <f>AK26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  <c r="AL2" s="4">
        <f>'QTR P&amp;L'!AL13</f>
        <v/>
      </c>
      <c r="AM2" s="4">
        <f>'QTR P&amp;L'!AM13</f>
        <v/>
      </c>
      <c r="AN2" s="4">
        <f>'QTR P&amp;L'!AN13</f>
        <v/>
      </c>
      <c r="AO2" s="4">
        <f>'QTR P&amp;L'!AO13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Non-Cash Lease Expense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S10</f>
        <v/>
      </c>
      <c r="U10" s="14">
        <f>T10</f>
        <v/>
      </c>
      <c r="V10" s="14">
        <f>U10</f>
        <v/>
      </c>
      <c r="W10" s="14">
        <f>V10</f>
        <v/>
      </c>
      <c r="X10" s="14">
        <f>W10</f>
        <v/>
      </c>
      <c r="Y10" s="14">
        <f>X10</f>
        <v/>
      </c>
      <c r="Z10" s="14">
        <f>Y10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  <c r="AN17" s="15">
        <f>AM17</f>
        <v/>
      </c>
      <c r="AO17" s="15">
        <f>AN17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  <c r="AL20" s="4">
        <f>-('QTR BS'!AI4-'QTR BS'!AH4)</f>
        <v/>
      </c>
      <c r="AM20" s="4">
        <f>-('QTR BS'!AJ4-'QTR BS'!AI4)</f>
        <v/>
      </c>
      <c r="AN20" s="4">
        <f>-('QTR BS'!AK4-'QTR BS'!AJ4)</f>
        <v/>
      </c>
      <c r="AO20" s="4">
        <f>-('QTR BS'!AL4-'QTR BS'!AK4)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BS'!P8-'QTR BS'!O8)</f>
        <v/>
      </c>
      <c r="T21" s="4">
        <f>-('QTR BS'!Q8-'QTR BS'!P8)</f>
        <v/>
      </c>
      <c r="U21" s="4">
        <f>-('QTR BS'!R8-'QTR BS'!Q8)</f>
        <v/>
      </c>
      <c r="V21" s="4">
        <f>-('QTR BS'!S8-'QTR BS'!R8)</f>
        <v/>
      </c>
      <c r="W21" s="4">
        <f>-('QTR BS'!T8-'QTR BS'!S8)</f>
        <v/>
      </c>
      <c r="X21" s="4">
        <f>-('QTR BS'!U8-'QTR BS'!T8)</f>
        <v/>
      </c>
      <c r="Y21" s="4">
        <f>-('QTR BS'!V8-'QTR BS'!U8)</f>
        <v/>
      </c>
      <c r="Z21" s="4">
        <f>-('QTR BS'!W8-'QTR BS'!V8)</f>
        <v/>
      </c>
      <c r="AA21" s="4">
        <f>-('QTR BS'!X8-'QTR BS'!W8)</f>
        <v/>
      </c>
      <c r="AB21" s="4">
        <f>-('QTR BS'!Y8-'QTR BS'!X8)</f>
        <v/>
      </c>
      <c r="AC21" s="4">
        <f>-('QTR BS'!Z8-'QTR BS'!Y8)</f>
        <v/>
      </c>
      <c r="AD21" s="4">
        <f>-('QTR BS'!AA8-'QTR BS'!Z8)</f>
        <v/>
      </c>
      <c r="AE21" s="4">
        <f>-('QTR BS'!AB8-'QTR BS'!AA8)</f>
        <v/>
      </c>
      <c r="AF21" s="4">
        <f>-('QTR BS'!AC8-'QTR BS'!AB8)</f>
        <v/>
      </c>
      <c r="AG21" s="4">
        <f>-('QTR BS'!AD8-'QTR BS'!AC8)</f>
        <v/>
      </c>
      <c r="AH21" s="4">
        <f>-('QTR BS'!AE8-'QTR BS'!AD8)</f>
        <v/>
      </c>
      <c r="AI21" s="4">
        <f>-('QTR BS'!AF8-'QTR BS'!AE8)</f>
        <v/>
      </c>
      <c r="AJ21" s="4">
        <f>-('QTR BS'!AG8-'QTR BS'!AF8)</f>
        <v/>
      </c>
      <c r="AK21" s="4">
        <f>-('QTR BS'!AH8-'QTR BS'!AG8)</f>
        <v/>
      </c>
      <c r="AL21" s="4">
        <f>-('QTR BS'!AI8-'QTR BS'!AH8)</f>
        <v/>
      </c>
      <c r="AM21" s="4">
        <f>-('QTR BS'!AJ8-'QTR BS'!AI8)</f>
        <v/>
      </c>
      <c r="AN21" s="4">
        <f>-('QTR BS'!AK8-'QTR BS'!AJ8)</f>
        <v/>
      </c>
      <c r="AO21" s="4">
        <f>-('QTR BS'!AL8-'QTR BS'!AK8)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BS'!P9-'QTR BS'!O9)</f>
        <v/>
      </c>
      <c r="T22" s="4">
        <f>-('QTR BS'!Q9-'QTR BS'!P9)</f>
        <v/>
      </c>
      <c r="U22" s="4">
        <f>-('QTR BS'!R9-'QTR BS'!Q9)</f>
        <v/>
      </c>
      <c r="V22" s="4">
        <f>-('QTR BS'!S9-'QTR BS'!R9)</f>
        <v/>
      </c>
      <c r="W22" s="4">
        <f>-('QTR BS'!T9-'QTR BS'!S9)</f>
        <v/>
      </c>
      <c r="X22" s="4">
        <f>-('QTR BS'!U9-'QTR BS'!T9)</f>
        <v/>
      </c>
      <c r="Y22" s="4">
        <f>-('QTR BS'!V9-'QTR BS'!U9)</f>
        <v/>
      </c>
      <c r="Z22" s="4">
        <f>-('QTR BS'!W9-'QTR BS'!V9)</f>
        <v/>
      </c>
      <c r="AA22" s="4">
        <f>-('QTR BS'!X9-'QTR BS'!W9)</f>
        <v/>
      </c>
      <c r="AB22" s="4">
        <f>-('QTR BS'!Y9-'QTR BS'!X9)</f>
        <v/>
      </c>
      <c r="AC22" s="4">
        <f>-('QTR BS'!Z9-'QTR BS'!Y9)</f>
        <v/>
      </c>
      <c r="AD22" s="4">
        <f>-('QTR BS'!AA9-'QTR BS'!Z9)</f>
        <v/>
      </c>
      <c r="AE22" s="4">
        <f>-('QTR BS'!AB9-'QTR BS'!AA9)</f>
        <v/>
      </c>
      <c r="AF22" s="4">
        <f>-('QTR BS'!AC9-'QTR BS'!AB9)</f>
        <v/>
      </c>
      <c r="AG22" s="4">
        <f>-('QTR BS'!AD9-'QTR BS'!AC9)</f>
        <v/>
      </c>
      <c r="AH22" s="4">
        <f>-('QTR BS'!AE9-'QTR BS'!AD9)</f>
        <v/>
      </c>
      <c r="AI22" s="4">
        <f>-('QTR BS'!AF9-'QTR BS'!AE9)</f>
        <v/>
      </c>
      <c r="AJ22" s="4">
        <f>-('QTR BS'!AG9-'QTR BS'!AF9)</f>
        <v/>
      </c>
      <c r="AK22" s="4">
        <f>-('QTR BS'!AH9-'QTR BS'!AG9)</f>
        <v/>
      </c>
      <c r="AL22" s="4">
        <f>-('QTR BS'!AI9-'QTR BS'!AH9)</f>
        <v/>
      </c>
      <c r="AM22" s="4">
        <f>-('QTR BS'!AJ9-'QTR BS'!AI9)</f>
        <v/>
      </c>
      <c r="AN22" s="4">
        <f>-('QTR BS'!AK9-'QTR BS'!AJ9)</f>
        <v/>
      </c>
      <c r="AO22" s="4">
        <f>-('QTR BS'!AL9-'QTR BS'!AK9)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BS'!P19-'QTR BS'!O19)</f>
        <v/>
      </c>
      <c r="T23" s="4">
        <f>('QTR BS'!Q19-'QTR BS'!P19)</f>
        <v/>
      </c>
      <c r="U23" s="4">
        <f>('QTR BS'!R19-'QTR BS'!Q19)</f>
        <v/>
      </c>
      <c r="V23" s="4">
        <f>('QTR BS'!S19-'QTR BS'!R19)</f>
        <v/>
      </c>
      <c r="W23" s="4">
        <f>('QTR BS'!T19-'QTR BS'!S19)</f>
        <v/>
      </c>
      <c r="X23" s="4">
        <f>('QTR BS'!U19-'QTR BS'!T19)</f>
        <v/>
      </c>
      <c r="Y23" s="4">
        <f>('QTR BS'!V19-'QTR BS'!U19)</f>
        <v/>
      </c>
      <c r="Z23" s="4">
        <f>('QTR BS'!W19-'QTR BS'!V19)</f>
        <v/>
      </c>
      <c r="AA23" s="4">
        <f>('QTR BS'!X19-'QTR BS'!W19)</f>
        <v/>
      </c>
      <c r="AB23" s="4">
        <f>('QTR BS'!Y19-'QTR BS'!X19)</f>
        <v/>
      </c>
      <c r="AC23" s="4">
        <f>('QTR BS'!Z19-'QTR BS'!Y19)</f>
        <v/>
      </c>
      <c r="AD23" s="4">
        <f>('QTR BS'!AA19-'QTR BS'!Z19)</f>
        <v/>
      </c>
      <c r="AE23" s="4">
        <f>('QTR BS'!AB19-'QTR BS'!AA19)</f>
        <v/>
      </c>
      <c r="AF23" s="4">
        <f>('QTR BS'!AC19-'QTR BS'!AB19)</f>
        <v/>
      </c>
      <c r="AG23" s="4">
        <f>('QTR BS'!AD19-'QTR BS'!AC19)</f>
        <v/>
      </c>
      <c r="AH23" s="4">
        <f>('QTR BS'!AE19-'QTR BS'!AD19)</f>
        <v/>
      </c>
      <c r="AI23" s="4">
        <f>('QTR BS'!AF19-'QTR BS'!AE19)</f>
        <v/>
      </c>
      <c r="AJ23" s="4">
        <f>('QTR BS'!AG19-'QTR BS'!AF19)</f>
        <v/>
      </c>
      <c r="AK23" s="4">
        <f>('QTR BS'!AH19-'QTR BS'!AG19)</f>
        <v/>
      </c>
      <c r="AL23" s="4">
        <f>('QTR BS'!AI19-'QTR BS'!AH19)</f>
        <v/>
      </c>
      <c r="AM23" s="4">
        <f>('QTR BS'!AJ19-'QTR BS'!AI19)</f>
        <v/>
      </c>
      <c r="AN23" s="4">
        <f>('QTR BS'!AK19-'QTR BS'!AJ19)</f>
        <v/>
      </c>
      <c r="AO23" s="4">
        <f>('QTR BS'!AL19-'QTR BS'!AK19)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BS'!P16-'QTR BS'!O16)+('QTR BS'!P23-'QTR BS'!O23)-('QTR BS'!P3-'QTR BS'!O3)-('QTR BS'!P5-'QTR BS'!O5)-('QTR BS'!P6-'QTR BS'!O6)-('QTR BS'!P7-'QTR BS'!O7)-('QTR BS'!P12-'QTR BS'!O12)-('QTR BS'!P13-'QTR BS'!O13)-('QTR BS'!P14-'QTR BS'!O14)+('QTR BS'!P18-'QTR BS'!O18)+('QTR BS'!P21-'QTR BS'!O21)+('QTR BS'!P22-'QTR BS'!O22)+('QTR BS'!P25-'QTR BS'!O25)+('QTR BS'!P29-'QTR BS'!O29)+('QTR BS'!P30-'QTR BS'!O30)</f>
        <v/>
      </c>
      <c r="T25" s="4">
        <f>-('QTR BS'!Q16-'QTR BS'!P16)+('QTR BS'!Q23-'QTR BS'!P23)-('QTR BS'!Q3-'QTR BS'!P3)-('QTR BS'!Q5-'QTR BS'!P5)-('QTR BS'!Q6-'QTR BS'!P6)-('QTR BS'!Q7-'QTR BS'!P7)-('QTR BS'!Q12-'QTR BS'!P12)-('QTR BS'!Q13-'QTR BS'!P13)-('QTR BS'!Q14-'QTR BS'!P14)+('QTR BS'!Q18-'QTR BS'!P18)+('QTR BS'!Q21-'QTR BS'!P21)+('QTR BS'!Q22-'QTR BS'!P22)+('QTR BS'!Q25-'QTR BS'!P25)+('QTR BS'!Q29-'QTR BS'!P29)+('QTR BS'!Q30-'QTR BS'!P30)</f>
        <v/>
      </c>
      <c r="U25" s="4">
        <f>-('QTR BS'!R16-'QTR BS'!Q16)+('QTR BS'!R23-'QTR BS'!Q23)-('QTR BS'!R3-'QTR BS'!Q3)-('QTR BS'!R5-'QTR BS'!Q5)-('QTR BS'!R6-'QTR BS'!Q6)-('QTR BS'!R7-'QTR BS'!Q7)-('QTR BS'!R12-'QTR BS'!Q12)-('QTR BS'!R13-'QTR BS'!Q13)-('QTR BS'!R14-'QTR BS'!Q14)+('QTR BS'!R18-'QTR BS'!Q18)+('QTR BS'!R21-'QTR BS'!Q21)+('QTR BS'!R22-'QTR BS'!Q22)+('QTR BS'!R25-'QTR BS'!Q25)+('QTR BS'!R29-'QTR BS'!Q29)+('QTR BS'!R30-'QTR BS'!Q30)</f>
        <v/>
      </c>
      <c r="V25" s="4">
        <f>-('QTR BS'!S16-'QTR BS'!R16)+('QTR BS'!S23-'QTR BS'!R23)-('QTR BS'!S3-'QTR BS'!R3)-('QTR BS'!S5-'QTR BS'!R5)-('QTR BS'!S6-'QTR BS'!R6)-('QTR BS'!S7-'QTR BS'!R7)-('QTR BS'!S12-'QTR BS'!R12)-('QTR BS'!S13-'QTR BS'!R13)-('QTR BS'!S14-'QTR BS'!R14)+('QTR BS'!S18-'QTR BS'!R18)+('QTR BS'!S21-'QTR BS'!R21)+('QTR BS'!S22-'QTR BS'!R22)+('QTR BS'!S25-'QTR BS'!R25)+('QTR BS'!S29-'QTR BS'!R29)+('QTR BS'!S30-'QTR BS'!R30)</f>
        <v/>
      </c>
      <c r="W25" s="4">
        <f>-('QTR BS'!T16-'QTR BS'!S16)+('QTR BS'!T23-'QTR BS'!S23)-('QTR BS'!T3-'QTR BS'!S3)-('QTR BS'!T5-'QTR BS'!S5)-('QTR BS'!T6-'QTR BS'!S6)-('QTR BS'!T7-'QTR BS'!S7)-('QTR BS'!T12-'QTR BS'!S12)-('QTR BS'!T13-'QTR BS'!S13)-('QTR BS'!T14-'QTR BS'!S14)+('QTR BS'!T18-'QTR BS'!S18)+('QTR BS'!T21-'QTR BS'!S21)+('QTR BS'!T22-'QTR BS'!S22)+('QTR BS'!T25-'QTR BS'!S25)+('QTR BS'!T29-'QTR BS'!S29)+('QTR BS'!T30-'QTR BS'!S30)</f>
        <v/>
      </c>
      <c r="X25" s="4">
        <f>-('QTR BS'!U16-'QTR BS'!T16)+('QTR BS'!U23-'QTR BS'!T23)-('QTR BS'!U3-'QTR BS'!T3)-('QTR BS'!U5-'QTR BS'!T5)-('QTR BS'!U6-'QTR BS'!T6)-('QTR BS'!U7-'QTR BS'!T7)-('QTR BS'!U12-'QTR BS'!T12)-('QTR BS'!U13-'QTR BS'!T13)-('QTR BS'!U14-'QTR BS'!T14)+('QTR BS'!U18-'QTR BS'!T18)+('QTR BS'!U21-'QTR BS'!T21)+('QTR BS'!U22-'QTR BS'!T22)+('QTR BS'!U25-'QTR BS'!T25)+('QTR BS'!U29-'QTR BS'!T29)+('QTR BS'!U30-'QTR BS'!T30)</f>
        <v/>
      </c>
      <c r="Y25" s="4">
        <f>-('QTR BS'!V16-'QTR BS'!U16)+('QTR BS'!V23-'QTR BS'!U23)-('QTR BS'!V3-'QTR BS'!U3)-('QTR BS'!V5-'QTR BS'!U5)-('QTR BS'!V6-'QTR BS'!U6)-('QTR BS'!V7-'QTR BS'!U7)-('QTR BS'!V12-'QTR BS'!U12)-('QTR BS'!V13-'QTR BS'!U13)-('QTR BS'!V14-'QTR BS'!U14)+('QTR BS'!V18-'QTR BS'!U18)+('QTR BS'!V21-'QTR BS'!U21)+('QTR BS'!V22-'QTR BS'!U22)+('QTR BS'!V25-'QTR BS'!U25)+('QTR BS'!V29-'QTR BS'!U29)+('QTR BS'!V30-'QTR BS'!U30)</f>
        <v/>
      </c>
      <c r="Z25" s="4">
        <f>-('QTR BS'!W16-'QTR BS'!V16)+('QTR BS'!W23-'QTR BS'!V23)-('QTR BS'!W3-'QTR BS'!V3)-('QTR BS'!W5-'QTR BS'!V5)-('QTR BS'!W6-'QTR BS'!V6)-('QTR BS'!W7-'QTR BS'!V7)-('QTR BS'!W12-'QTR BS'!V12)-('QTR BS'!W13-'QTR BS'!V13)-('QTR BS'!W14-'QTR BS'!V14)+('QTR BS'!W18-'QTR BS'!V18)+('QTR BS'!W21-'QTR BS'!V21)+('QTR BS'!W22-'QTR BS'!V22)+('QTR BS'!W25-'QTR BS'!V25)+('QTR BS'!W29-'QTR BS'!V29)+('QTR BS'!W30-'QTR BS'!V30)</f>
        <v/>
      </c>
      <c r="AA25" s="4">
        <f>-('QTR BS'!X16-'QTR BS'!W16)+('QTR BS'!X23-'QTR BS'!W23)-('QTR BS'!X3-'QTR BS'!W3)-('QTR BS'!X5-'QTR BS'!W5)-('QTR BS'!X6-'QTR BS'!W6)-('QTR BS'!X7-'QTR BS'!W7)-('QTR BS'!X12-'QTR BS'!W12)-('QTR BS'!X13-'QTR BS'!W13)-('QTR BS'!X14-'QTR BS'!W14)+('QTR BS'!X18-'QTR BS'!W18)+('QTR BS'!X21-'QTR BS'!W21)+('QTR BS'!X22-'QTR BS'!W22)+('QTR BS'!X25-'QTR BS'!W25)+('QTR BS'!X29-'QTR BS'!W29)+('QTR BS'!X30-'QTR BS'!W30)</f>
        <v/>
      </c>
      <c r="AB25" s="4">
        <f>-('QTR BS'!Y16-'QTR BS'!X16)+('QTR BS'!Y23-'QTR BS'!X23)-('QTR BS'!Y3-'QTR BS'!X3)-('QTR BS'!Y5-'QTR BS'!X5)-('QTR BS'!Y6-'QTR BS'!X6)-('QTR BS'!Y7-'QTR BS'!X7)-('QTR BS'!Y12-'QTR BS'!X12)-('QTR BS'!Y13-'QTR BS'!X13)-('QTR BS'!Y14-'QTR BS'!X14)+('QTR BS'!Y18-'QTR BS'!X18)+('QTR BS'!Y21-'QTR BS'!X21)+('QTR BS'!Y22-'QTR BS'!X22)+('QTR BS'!Y25-'QTR BS'!X25)+('QTR BS'!Y29-'QTR BS'!X29)+('QTR BS'!Y30-'QTR BS'!X30)</f>
        <v/>
      </c>
      <c r="AC25" s="4">
        <f>-('QTR BS'!Z16-'QTR BS'!Y16)+('QTR BS'!Z23-'QTR BS'!Y23)-('QTR BS'!Z3-'QTR BS'!Y3)-('QTR BS'!Z5-'QTR BS'!Y5)-('QTR BS'!Z6-'QTR BS'!Y6)-('QTR BS'!Z7-'QTR BS'!Y7)-('QTR BS'!Z12-'QTR BS'!Y12)-('QTR BS'!Z13-'QTR BS'!Y13)-('QTR BS'!Z14-'QTR BS'!Y14)+('QTR BS'!Z18-'QTR BS'!Y18)+('QTR BS'!Z21-'QTR BS'!Y21)+('QTR BS'!Z22-'QTR BS'!Y22)+('QTR BS'!Z25-'QTR BS'!Y25)+('QTR BS'!Z29-'QTR BS'!Y29)+('QTR BS'!Z30-'QTR BS'!Y30)</f>
        <v/>
      </c>
      <c r="AD25" s="4">
        <f>-('QTR BS'!AA16-'QTR BS'!Z16)+('QTR BS'!AA23-'QTR BS'!Z23)-('QTR BS'!AA3-'QTR BS'!Z3)-('QTR BS'!AA5-'QTR BS'!Z5)-('QTR BS'!AA6-'QTR BS'!Z6)-('QTR BS'!AA7-'QTR BS'!Z7)-('QTR BS'!AA12-'QTR BS'!Z12)-('QTR BS'!AA13-'QTR BS'!Z13)-('QTR BS'!AA14-'QTR BS'!Z14)+('QTR BS'!AA18-'QTR BS'!Z18)+('QTR BS'!AA21-'QTR BS'!Z21)+('QTR BS'!AA22-'QTR BS'!Z22)+('QTR BS'!AA25-'QTR BS'!Z25)+('QTR BS'!AA29-'QTR BS'!Z29)+('QTR BS'!AA30-'QTR BS'!Z30)</f>
        <v/>
      </c>
      <c r="AE25" s="4">
        <f>-('QTR BS'!AB16-'QTR BS'!AA16)+('QTR BS'!AB23-'QTR BS'!AA23)-('QTR BS'!AB3-'QTR BS'!AA3)-('QTR BS'!AB5-'QTR BS'!AA5)-('QTR BS'!AB6-'QTR BS'!AA6)-('QTR BS'!AB7-'QTR BS'!AA7)-('QTR BS'!AB12-'QTR BS'!AA12)-('QTR BS'!AB13-'QTR BS'!AA13)-('QTR BS'!AB14-'QTR BS'!AA14)+('QTR BS'!AB18-'QTR BS'!AA18)+('QTR BS'!AB21-'QTR BS'!AA21)+('QTR BS'!AB22-'QTR BS'!AA22)+('QTR BS'!AB25-'QTR BS'!AA25)+('QTR BS'!AB29-'QTR BS'!AA29)+('QTR BS'!AB30-'QTR BS'!AA30)</f>
        <v/>
      </c>
      <c r="AF25" s="4">
        <f>-('QTR BS'!AC16-'QTR BS'!AB16)+('QTR BS'!AC23-'QTR BS'!AB23)-('QTR BS'!AC3-'QTR BS'!AB3)-('QTR BS'!AC5-'QTR BS'!AB5)-('QTR BS'!AC6-'QTR BS'!AB6)-('QTR BS'!AC7-'QTR BS'!AB7)-('QTR BS'!AC12-'QTR BS'!AB12)-('QTR BS'!AC13-'QTR BS'!AB13)-('QTR BS'!AC14-'QTR BS'!AB14)+('QTR BS'!AC18-'QTR BS'!AB18)+('QTR BS'!AC21-'QTR BS'!AB21)+('QTR BS'!AC22-'QTR BS'!AB22)+('QTR BS'!AC25-'QTR BS'!AB25)+('QTR BS'!AC29-'QTR BS'!AB29)+('QTR BS'!AC30-'QTR BS'!AB30)</f>
        <v/>
      </c>
      <c r="AG25" s="4">
        <f>-('QTR BS'!AD16-'QTR BS'!AC16)+('QTR BS'!AD23-'QTR BS'!AC23)-('QTR BS'!AD3-'QTR BS'!AC3)-('QTR BS'!AD5-'QTR BS'!AC5)-('QTR BS'!AD6-'QTR BS'!AC6)-('QTR BS'!AD7-'QTR BS'!AC7)-('QTR BS'!AD12-'QTR BS'!AC12)-('QTR BS'!AD13-'QTR BS'!AC13)-('QTR BS'!AD14-'QTR BS'!AC14)+('QTR BS'!AD18-'QTR BS'!AC18)+('QTR BS'!AD21-'QTR BS'!AC21)+('QTR BS'!AD22-'QTR BS'!AC22)+('QTR BS'!AD25-'QTR BS'!AC25)+('QTR BS'!AD29-'QTR BS'!AC29)+('QTR BS'!AD30-'QTR BS'!AC30)</f>
        <v/>
      </c>
      <c r="AH25" s="4">
        <f>-('QTR BS'!AE16-'QTR BS'!AD16)+('QTR BS'!AE23-'QTR BS'!AD23)-('QTR BS'!AE3-'QTR BS'!AD3)-('QTR BS'!AE5-'QTR BS'!AD5)-('QTR BS'!AE6-'QTR BS'!AD6)-('QTR BS'!AE7-'QTR BS'!AD7)-('QTR BS'!AE12-'QTR BS'!AD12)-('QTR BS'!AE13-'QTR BS'!AD13)-('QTR BS'!AE14-'QTR BS'!AD14)+('QTR BS'!AE18-'QTR BS'!AD18)+('QTR BS'!AE21-'QTR BS'!AD21)+('QTR BS'!AE22-'QTR BS'!AD22)+('QTR BS'!AE25-'QTR BS'!AD25)+('QTR BS'!AE29-'QTR BS'!AD29)+('QTR BS'!AE30-'QTR BS'!AD30)</f>
        <v/>
      </c>
      <c r="AI25" s="4">
        <f>-('QTR BS'!AF16-'QTR BS'!AE16)+('QTR BS'!AF23-'QTR BS'!AE23)-('QTR BS'!AF3-'QTR BS'!AE3)-('QTR BS'!AF5-'QTR BS'!AE5)-('QTR BS'!AF6-'QTR BS'!AE6)-('QTR BS'!AF7-'QTR BS'!AE7)-('QTR BS'!AF12-'QTR BS'!AE12)-('QTR BS'!AF13-'QTR BS'!AE13)-('QTR BS'!AF14-'QTR BS'!AE14)+('QTR BS'!AF18-'QTR BS'!AE18)+('QTR BS'!AF21-'QTR BS'!AE21)+('QTR BS'!AF22-'QTR BS'!AE22)+('QTR BS'!AF25-'QTR BS'!AE25)+('QTR BS'!AF29-'QTR BS'!AE29)+('QTR BS'!AF30-'QTR BS'!AE30)</f>
        <v/>
      </c>
      <c r="AJ25" s="4">
        <f>-('QTR BS'!AG16-'QTR BS'!AF16)+('QTR BS'!AG23-'QTR BS'!AF23)-('QTR BS'!AG3-'QTR BS'!AF3)-('QTR BS'!AG5-'QTR BS'!AF5)-('QTR BS'!AG6-'QTR BS'!AF6)-('QTR BS'!AG7-'QTR BS'!AF7)-('QTR BS'!AG12-'QTR BS'!AF12)-('QTR BS'!AG13-'QTR BS'!AF13)-('QTR BS'!AG14-'QTR BS'!AF14)+('QTR BS'!AG18-'QTR BS'!AF18)+('QTR BS'!AG21-'QTR BS'!AF21)+('QTR BS'!AG22-'QTR BS'!AF22)+('QTR BS'!AG25-'QTR BS'!AF25)+('QTR BS'!AG29-'QTR BS'!AF29)+('QTR BS'!AG30-'QTR BS'!AF30)</f>
        <v/>
      </c>
      <c r="AK25" s="4">
        <f>-('QTR BS'!AH16-'QTR BS'!AG16)+('QTR BS'!AH23-'QTR BS'!AG23)-('QTR BS'!AH3-'QTR BS'!AG3)-('QTR BS'!AH5-'QTR BS'!AG5)-('QTR BS'!AH6-'QTR BS'!AG6)-('QTR BS'!AH7-'QTR BS'!AG7)-('QTR BS'!AH12-'QTR BS'!AG12)-('QTR BS'!AH13-'QTR BS'!AG13)-('QTR BS'!AH14-'QTR BS'!AG14)+('QTR BS'!AH18-'QTR BS'!AG18)+('QTR BS'!AH21-'QTR BS'!AG21)+('QTR BS'!AH22-'QTR BS'!AG22)+('QTR BS'!AH25-'QTR BS'!AG25)+('QTR BS'!AH29-'QTR BS'!AG29)+('QTR BS'!AH30-'QTR BS'!AG30)</f>
        <v/>
      </c>
      <c r="AL25" s="4">
        <f>-('QTR BS'!AI16-'QTR BS'!AH16)+('QTR BS'!AI23-'QTR BS'!AH23)-('QTR BS'!AI3-'QTR BS'!AH3)-('QTR BS'!AI5-'QTR BS'!AH5)-('QTR BS'!AI6-'QTR BS'!AH6)-('QTR BS'!AI7-'QTR BS'!AH7)-('QTR BS'!AI12-'QTR BS'!AH12)-('QTR BS'!AI13-'QTR BS'!AH13)-('QTR BS'!AI14-'QTR BS'!AH14)+('QTR BS'!AI18-'QTR BS'!AH18)+('QTR BS'!AI21-'QTR BS'!AH21)+('QTR BS'!AI22-'QTR BS'!AH22)+('QTR BS'!AI25-'QTR BS'!AH25)+('QTR BS'!AI29-'QTR BS'!AH29)+('QTR BS'!AI30-'QTR BS'!AH30)</f>
        <v/>
      </c>
      <c r="AM25" s="4">
        <f>-('QTR BS'!AJ16-'QTR BS'!AI16)+('QTR BS'!AJ23-'QTR BS'!AI23)-('QTR BS'!AJ3-'QTR BS'!AI3)-('QTR BS'!AJ5-'QTR BS'!AI5)-('QTR BS'!AJ6-'QTR BS'!AI6)-('QTR BS'!AJ7-'QTR BS'!AI7)-('QTR BS'!AJ12-'QTR BS'!AI12)-('QTR BS'!AJ13-'QTR BS'!AI13)-('QTR BS'!AJ14-'QTR BS'!AI14)+('QTR BS'!AJ18-'QTR BS'!AI18)+('QTR BS'!AJ21-'QTR BS'!AI21)+('QTR BS'!AJ22-'QTR BS'!AI22)+('QTR BS'!AJ25-'QTR BS'!AI25)+('QTR BS'!AJ29-'QTR BS'!AI29)+('QTR BS'!AJ30-'QTR BS'!AI30)</f>
        <v/>
      </c>
      <c r="AN25" s="4">
        <f>-('QTR BS'!AK16-'QTR BS'!AJ16)+('QTR BS'!AK23-'QTR BS'!AJ23)-('QTR BS'!AK3-'QTR BS'!AJ3)-('QTR BS'!AK5-'QTR BS'!AJ5)-('QTR BS'!AK6-'QTR BS'!AJ6)-('QTR BS'!AK7-'QTR BS'!AJ7)-('QTR BS'!AK12-'QTR BS'!AJ12)-('QTR BS'!AK13-'QTR BS'!AJ13)-('QTR BS'!AK14-'QTR BS'!AJ14)+('QTR BS'!AK18-'QTR BS'!AJ18)+('QTR BS'!AK21-'QTR BS'!AJ21)+('QTR BS'!AK22-'QTR BS'!AJ22)+('QTR BS'!AK25-'QTR BS'!AJ25)+('QTR BS'!AK29-'QTR BS'!AJ29)+('QTR BS'!AK30-'QTR BS'!AJ30)</f>
        <v/>
      </c>
      <c r="AO25" s="4">
        <f>-('QTR BS'!AL16-'QTR BS'!AK16)+('QTR BS'!AL23-'QTR BS'!AK23)-('QTR BS'!AL3-'QTR BS'!AK3)-('QTR BS'!AL5-'QTR BS'!AK5)-('QTR BS'!AL6-'QTR BS'!AK6)-('QTR BS'!AL7-'QTR BS'!AK7)-('QTR BS'!AL12-'QTR BS'!AK12)-('QTR BS'!AL13-'QTR BS'!AK13)-('QTR BS'!AL14-'QTR BS'!AK14)+('QTR BS'!AL18-'QTR BS'!AK18)+('QTR BS'!AL21-'QTR BS'!AK21)+('QTR BS'!AL22-'QTR BS'!AK22)+('QTR BS'!AL25-'QTR BS'!AK25)+('QTR BS'!AL29-'QTR BS'!AK29)+('QTR BS'!AL30-'QTR BS'!AK30)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S26</f>
        <v/>
      </c>
      <c r="U26" s="14">
        <f>T26</f>
        <v/>
      </c>
      <c r="V26" s="14">
        <f>U26</f>
        <v/>
      </c>
      <c r="W26" s="14">
        <f>V26</f>
        <v/>
      </c>
      <c r="X26" s="14">
        <f>W26</f>
        <v/>
      </c>
      <c r="Y26" s="14">
        <f>X26</f>
        <v/>
      </c>
      <c r="Z26" s="14">
        <f>Y26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  <c r="AL28" s="15" t="n">
        <v>0</v>
      </c>
      <c r="AM28" s="15" t="n">
        <v>0</v>
      </c>
      <c r="AN28" s="15" t="n">
        <v>0</v>
      </c>
      <c r="AO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S39</f>
        <v/>
      </c>
      <c r="U39" s="14">
        <f>T39</f>
        <v/>
      </c>
      <c r="V39" s="14">
        <f>U39</f>
        <v/>
      </c>
      <c r="W39" s="14">
        <f>V39</f>
        <v/>
      </c>
      <c r="X39" s="14">
        <f>W39</f>
        <v/>
      </c>
      <c r="Y39" s="14">
        <f>X39</f>
        <v/>
      </c>
      <c r="Z39" s="14">
        <f>Y39</f>
        <v/>
      </c>
      <c r="AA39" s="14">
        <f>Z39</f>
        <v/>
      </c>
      <c r="AB39" s="14">
        <f>AA39</f>
        <v/>
      </c>
      <c r="AC39" s="14">
        <f>AB39</f>
        <v/>
      </c>
      <c r="AD39" s="14">
        <f>AC39</f>
        <v/>
      </c>
      <c r="AE39" s="14">
        <f>AD39</f>
        <v/>
      </c>
      <c r="AF39" s="14">
        <f>AE39</f>
        <v/>
      </c>
      <c r="AG39" s="14">
        <f>AF39</f>
        <v/>
      </c>
      <c r="AH39" s="14">
        <f>AG39</f>
        <v/>
      </c>
      <c r="AI39" s="14">
        <f>AH39</f>
        <v/>
      </c>
      <c r="AJ39" s="14">
        <f>AI39</f>
        <v/>
      </c>
      <c r="AK39" s="14">
        <f>AJ39</f>
        <v/>
      </c>
      <c r="AL39" s="14">
        <f>AK39</f>
        <v/>
      </c>
      <c r="AM39" s="14">
        <f>AL39</f>
        <v/>
      </c>
      <c r="AN39" s="14">
        <f>AM39</f>
        <v/>
      </c>
      <c r="AO39" s="14">
        <f>AN39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S44</f>
        <v/>
      </c>
      <c r="U44" s="15">
        <f>T44</f>
        <v/>
      </c>
      <c r="V44" s="15">
        <f>U44</f>
        <v/>
      </c>
      <c r="W44" s="15">
        <f>V44</f>
        <v/>
      </c>
      <c r="X44" s="15">
        <f>W44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2026-04-29T16:26:04Z</dcterms:created>
  <dcterms:modified xmlns:dcterms="http://purl.org/dc/terms/" xmlns:xsi="http://www.w3.org/2001/XMLSchema-instance" xsi:type="dcterms:W3CDTF">2026-04-29T16:27:03Z</dcterms:modified>
</cp:coreProperties>
</file>