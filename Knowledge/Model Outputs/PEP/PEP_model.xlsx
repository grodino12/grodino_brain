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din\Desktop\Brain\Knowledge\Model Outputs\PEP\"/>
    </mc:Choice>
  </mc:AlternateContent>
  <xr:revisionPtr revIDLastSave="0" documentId="13_ncr:1_{E58034E6-CE2B-4A62-BA48-64112B50CD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SSUMPTIONS" sheetId="1" r:id="rId1"/>
    <sheet name="ANNL P&amp;L" sheetId="2" r:id="rId2"/>
    <sheet name="BALANCE SHEET" sheetId="3" r:id="rId3"/>
    <sheet name="CASH FLOW" sheetId="4" r:id="rId4"/>
    <sheet name="YTD P&amp;L" sheetId="5" r:id="rId5"/>
    <sheet name="YTD BS" sheetId="6" r:id="rId6"/>
    <sheet name="YTD CF" sheetId="7" r:id="rId7"/>
    <sheet name="QTR P&amp;L" sheetId="8" r:id="rId8"/>
    <sheet name="QTR BS" sheetId="9" r:id="rId9"/>
    <sheet name="QTR CF" sheetId="10" r:id="rId10"/>
    <sheet name="IS DRIVERS" sheetId="11" r:id="rId11"/>
    <sheet name="BS DRIVERS" sheetId="12" r:id="rId12"/>
    <sheet name="CF DRIV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7" i="10" l="1"/>
  <c r="Y47" i="10"/>
  <c r="R47" i="10"/>
  <c r="R44" i="13" s="1"/>
  <c r="S44" i="13" s="1"/>
  <c r="T44" i="13" s="1"/>
  <c r="U44" i="13" s="1"/>
  <c r="V44" i="13" s="1"/>
  <c r="W44" i="13" s="1"/>
  <c r="X44" i="13" s="1"/>
  <c r="Y44" i="13" s="1"/>
  <c r="Z44" i="13" s="1"/>
  <c r="AA44" i="13" s="1"/>
  <c r="AB44" i="13" s="1"/>
  <c r="AC44" i="13" s="1"/>
  <c r="AD44" i="13" s="1"/>
  <c r="AE44" i="13" s="1"/>
  <c r="AF44" i="13" s="1"/>
  <c r="AG44" i="13" s="1"/>
  <c r="AH44" i="13" s="1"/>
  <c r="AI44" i="13" s="1"/>
  <c r="AJ44" i="13" s="1"/>
  <c r="AK44" i="13" s="1"/>
  <c r="AL44" i="13" s="1"/>
  <c r="AM44" i="13" s="1"/>
  <c r="AN44" i="13" s="1"/>
  <c r="AO44" i="13" s="1"/>
  <c r="AO47" i="10" s="1"/>
  <c r="Q47" i="10"/>
  <c r="Q44" i="13" s="1"/>
  <c r="P47" i="10"/>
  <c r="P44" i="13" s="1"/>
  <c r="O47" i="10"/>
  <c r="O44" i="13" s="1"/>
  <c r="N47" i="10"/>
  <c r="N44" i="13" s="1"/>
  <c r="M47" i="10"/>
  <c r="M44" i="13" s="1"/>
  <c r="L47" i="10"/>
  <c r="L44" i="13" s="1"/>
  <c r="K47" i="10"/>
  <c r="K44" i="13" s="1"/>
  <c r="J47" i="10"/>
  <c r="J44" i="13" s="1"/>
  <c r="I47" i="10"/>
  <c r="I44" i="13" s="1"/>
  <c r="H47" i="10"/>
  <c r="H44" i="13" s="1"/>
  <c r="G47" i="10"/>
  <c r="G44" i="13" s="1"/>
  <c r="F47" i="10"/>
  <c r="F44" i="13" s="1"/>
  <c r="E47" i="10"/>
  <c r="E44" i="13" s="1"/>
  <c r="D47" i="10"/>
  <c r="D44" i="13" s="1"/>
  <c r="C47" i="10"/>
  <c r="C44" i="13" s="1"/>
  <c r="B47" i="10"/>
  <c r="B44" i="13" s="1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R43" i="13" s="1"/>
  <c r="Q45" i="10"/>
  <c r="Q43" i="13" s="1"/>
  <c r="P45" i="10"/>
  <c r="P43" i="13" s="1"/>
  <c r="O45" i="10"/>
  <c r="O43" i="13" s="1"/>
  <c r="N45" i="10"/>
  <c r="N43" i="13" s="1"/>
  <c r="M45" i="10"/>
  <c r="M43" i="13" s="1"/>
  <c r="L45" i="10"/>
  <c r="L43" i="13" s="1"/>
  <c r="K45" i="10"/>
  <c r="K43" i="13" s="1"/>
  <c r="J45" i="10"/>
  <c r="J43" i="13" s="1"/>
  <c r="I45" i="10"/>
  <c r="I43" i="13" s="1"/>
  <c r="H45" i="10"/>
  <c r="H43" i="13" s="1"/>
  <c r="G45" i="10"/>
  <c r="G43" i="13" s="1"/>
  <c r="F45" i="10"/>
  <c r="F43" i="13" s="1"/>
  <c r="E45" i="10"/>
  <c r="E43" i="13" s="1"/>
  <c r="D45" i="10"/>
  <c r="D43" i="13" s="1"/>
  <c r="C45" i="10"/>
  <c r="C43" i="13" s="1"/>
  <c r="B45" i="10"/>
  <c r="B43" i="13" s="1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R42" i="13" s="1"/>
  <c r="Q44" i="10"/>
  <c r="Q42" i="13" s="1"/>
  <c r="P44" i="10"/>
  <c r="P42" i="13" s="1"/>
  <c r="O44" i="10"/>
  <c r="O42" i="13" s="1"/>
  <c r="N44" i="10"/>
  <c r="N42" i="13" s="1"/>
  <c r="M44" i="10"/>
  <c r="M42" i="13" s="1"/>
  <c r="L44" i="10"/>
  <c r="L42" i="13" s="1"/>
  <c r="K44" i="10"/>
  <c r="K42" i="13" s="1"/>
  <c r="J44" i="10"/>
  <c r="J42" i="13" s="1"/>
  <c r="I44" i="10"/>
  <c r="I42" i="13" s="1"/>
  <c r="H44" i="10"/>
  <c r="H42" i="13" s="1"/>
  <c r="G44" i="10"/>
  <c r="G42" i="13" s="1"/>
  <c r="F44" i="10"/>
  <c r="F42" i="13" s="1"/>
  <c r="E44" i="10"/>
  <c r="E42" i="13" s="1"/>
  <c r="D44" i="10"/>
  <c r="D42" i="13" s="1"/>
  <c r="C44" i="10"/>
  <c r="C42" i="13" s="1"/>
  <c r="B44" i="10"/>
  <c r="B42" i="13" s="1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R41" i="13" s="1"/>
  <c r="Q43" i="10"/>
  <c r="Q41" i="13" s="1"/>
  <c r="P43" i="10"/>
  <c r="P41" i="13" s="1"/>
  <c r="O43" i="10"/>
  <c r="O41" i="13" s="1"/>
  <c r="N43" i="10"/>
  <c r="N41" i="13" s="1"/>
  <c r="M43" i="10"/>
  <c r="M41" i="13" s="1"/>
  <c r="L43" i="10"/>
  <c r="L41" i="13" s="1"/>
  <c r="K43" i="10"/>
  <c r="K41" i="13" s="1"/>
  <c r="J43" i="10"/>
  <c r="J41" i="13" s="1"/>
  <c r="I43" i="10"/>
  <c r="I41" i="13" s="1"/>
  <c r="H43" i="10"/>
  <c r="H41" i="13" s="1"/>
  <c r="G43" i="10"/>
  <c r="G41" i="13" s="1"/>
  <c r="F43" i="10"/>
  <c r="F41" i="13" s="1"/>
  <c r="E43" i="10"/>
  <c r="E41" i="13" s="1"/>
  <c r="D43" i="10"/>
  <c r="D41" i="13" s="1"/>
  <c r="C43" i="10"/>
  <c r="C41" i="13" s="1"/>
  <c r="B43" i="10"/>
  <c r="B41" i="13" s="1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R40" i="13" s="1"/>
  <c r="Q42" i="10"/>
  <c r="Q40" i="13" s="1"/>
  <c r="P42" i="10"/>
  <c r="P40" i="13" s="1"/>
  <c r="O42" i="10"/>
  <c r="O40" i="13" s="1"/>
  <c r="N42" i="10"/>
  <c r="N40" i="13" s="1"/>
  <c r="M42" i="10"/>
  <c r="M40" i="13" s="1"/>
  <c r="L42" i="10"/>
  <c r="L40" i="13" s="1"/>
  <c r="K42" i="10"/>
  <c r="K40" i="13" s="1"/>
  <c r="J42" i="10"/>
  <c r="J40" i="13" s="1"/>
  <c r="I42" i="10"/>
  <c r="I40" i="13" s="1"/>
  <c r="H42" i="10"/>
  <c r="H40" i="13" s="1"/>
  <c r="G42" i="10"/>
  <c r="G40" i="13" s="1"/>
  <c r="F42" i="10"/>
  <c r="F40" i="13" s="1"/>
  <c r="E42" i="10"/>
  <c r="E40" i="13" s="1"/>
  <c r="D42" i="10"/>
  <c r="D40" i="13" s="1"/>
  <c r="C42" i="10"/>
  <c r="C40" i="13" s="1"/>
  <c r="B42" i="10"/>
  <c r="B40" i="13" s="1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R38" i="13" s="1"/>
  <c r="Q40" i="10"/>
  <c r="Q38" i="13" s="1"/>
  <c r="P40" i="10"/>
  <c r="P38" i="13" s="1"/>
  <c r="O40" i="10"/>
  <c r="O38" i="13" s="1"/>
  <c r="N40" i="10"/>
  <c r="N38" i="13" s="1"/>
  <c r="M40" i="10"/>
  <c r="M38" i="13" s="1"/>
  <c r="L40" i="10"/>
  <c r="L38" i="13" s="1"/>
  <c r="K40" i="10"/>
  <c r="K38" i="13" s="1"/>
  <c r="J40" i="10"/>
  <c r="J38" i="13" s="1"/>
  <c r="I40" i="10"/>
  <c r="I38" i="13" s="1"/>
  <c r="H40" i="10"/>
  <c r="H38" i="13" s="1"/>
  <c r="G40" i="10"/>
  <c r="G38" i="13" s="1"/>
  <c r="F40" i="10"/>
  <c r="F38" i="13" s="1"/>
  <c r="E40" i="10"/>
  <c r="E38" i="13" s="1"/>
  <c r="D40" i="10"/>
  <c r="D38" i="13" s="1"/>
  <c r="C40" i="10"/>
  <c r="C38" i="13" s="1"/>
  <c r="B40" i="10"/>
  <c r="B38" i="13" s="1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R37" i="13" s="1"/>
  <c r="Q39" i="10"/>
  <c r="Q37" i="13" s="1"/>
  <c r="P39" i="10"/>
  <c r="P37" i="13" s="1"/>
  <c r="O39" i="10"/>
  <c r="O37" i="13" s="1"/>
  <c r="N39" i="10"/>
  <c r="N37" i="13" s="1"/>
  <c r="M39" i="10"/>
  <c r="M37" i="13" s="1"/>
  <c r="L39" i="10"/>
  <c r="L37" i="13" s="1"/>
  <c r="K39" i="10"/>
  <c r="K37" i="13" s="1"/>
  <c r="J39" i="10"/>
  <c r="J37" i="13" s="1"/>
  <c r="I39" i="10"/>
  <c r="I37" i="13" s="1"/>
  <c r="H39" i="10"/>
  <c r="H37" i="13" s="1"/>
  <c r="G39" i="10"/>
  <c r="G37" i="13" s="1"/>
  <c r="F39" i="10"/>
  <c r="F37" i="13" s="1"/>
  <c r="E39" i="10"/>
  <c r="E37" i="13" s="1"/>
  <c r="D39" i="10"/>
  <c r="D37" i="13" s="1"/>
  <c r="C39" i="10"/>
  <c r="C37" i="13" s="1"/>
  <c r="B39" i="10"/>
  <c r="B37" i="13" s="1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R36" i="13" s="1"/>
  <c r="Q38" i="10"/>
  <c r="Q36" i="13" s="1"/>
  <c r="P38" i="10"/>
  <c r="P36" i="13" s="1"/>
  <c r="O38" i="10"/>
  <c r="O36" i="13" s="1"/>
  <c r="N38" i="10"/>
  <c r="N36" i="13" s="1"/>
  <c r="M38" i="10"/>
  <c r="M36" i="13" s="1"/>
  <c r="L38" i="10"/>
  <c r="L36" i="13" s="1"/>
  <c r="K38" i="10"/>
  <c r="K36" i="13" s="1"/>
  <c r="J38" i="10"/>
  <c r="J36" i="13" s="1"/>
  <c r="I38" i="10"/>
  <c r="I36" i="13" s="1"/>
  <c r="H38" i="10"/>
  <c r="H36" i="13" s="1"/>
  <c r="G38" i="10"/>
  <c r="G36" i="13" s="1"/>
  <c r="F38" i="10"/>
  <c r="F36" i="13" s="1"/>
  <c r="E38" i="10"/>
  <c r="E36" i="13" s="1"/>
  <c r="D38" i="10"/>
  <c r="D36" i="13" s="1"/>
  <c r="C38" i="10"/>
  <c r="C36" i="13" s="1"/>
  <c r="B38" i="10"/>
  <c r="B36" i="13" s="1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R35" i="13" s="1"/>
  <c r="Q37" i="10"/>
  <c r="Q35" i="13" s="1"/>
  <c r="P37" i="10"/>
  <c r="P35" i="13" s="1"/>
  <c r="O37" i="10"/>
  <c r="O35" i="13" s="1"/>
  <c r="N37" i="10"/>
  <c r="N35" i="13" s="1"/>
  <c r="M37" i="10"/>
  <c r="M35" i="13" s="1"/>
  <c r="L37" i="10"/>
  <c r="L35" i="13" s="1"/>
  <c r="K37" i="10"/>
  <c r="K35" i="13" s="1"/>
  <c r="J37" i="10"/>
  <c r="J35" i="13" s="1"/>
  <c r="I37" i="10"/>
  <c r="I35" i="13" s="1"/>
  <c r="H37" i="10"/>
  <c r="H35" i="13" s="1"/>
  <c r="G37" i="10"/>
  <c r="G35" i="13" s="1"/>
  <c r="F37" i="10"/>
  <c r="F35" i="13" s="1"/>
  <c r="E37" i="10"/>
  <c r="E35" i="13" s="1"/>
  <c r="D37" i="10"/>
  <c r="D35" i="13" s="1"/>
  <c r="C37" i="10"/>
  <c r="C35" i="13" s="1"/>
  <c r="B37" i="10"/>
  <c r="B35" i="13" s="1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R34" i="13" s="1"/>
  <c r="Q36" i="10"/>
  <c r="Q34" i="13" s="1"/>
  <c r="P36" i="10"/>
  <c r="P34" i="13" s="1"/>
  <c r="O36" i="10"/>
  <c r="O34" i="13" s="1"/>
  <c r="N36" i="10"/>
  <c r="N34" i="13" s="1"/>
  <c r="M36" i="10"/>
  <c r="M34" i="13" s="1"/>
  <c r="L36" i="10"/>
  <c r="L34" i="13" s="1"/>
  <c r="K36" i="10"/>
  <c r="K34" i="13" s="1"/>
  <c r="J36" i="10"/>
  <c r="J34" i="13" s="1"/>
  <c r="I36" i="10"/>
  <c r="I34" i="13" s="1"/>
  <c r="H36" i="10"/>
  <c r="H34" i="13" s="1"/>
  <c r="G36" i="10"/>
  <c r="G34" i="13" s="1"/>
  <c r="F36" i="10"/>
  <c r="F34" i="13" s="1"/>
  <c r="E36" i="10"/>
  <c r="E34" i="13" s="1"/>
  <c r="D36" i="10"/>
  <c r="D34" i="13" s="1"/>
  <c r="C36" i="10"/>
  <c r="C34" i="13" s="1"/>
  <c r="B36" i="10"/>
  <c r="B34" i="13" s="1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R33" i="13" s="1"/>
  <c r="Q35" i="10"/>
  <c r="Q33" i="13" s="1"/>
  <c r="P35" i="10"/>
  <c r="P33" i="13" s="1"/>
  <c r="O35" i="10"/>
  <c r="O33" i="13" s="1"/>
  <c r="N35" i="10"/>
  <c r="N33" i="13" s="1"/>
  <c r="M35" i="10"/>
  <c r="M33" i="13" s="1"/>
  <c r="L35" i="10"/>
  <c r="L33" i="13" s="1"/>
  <c r="K35" i="10"/>
  <c r="K33" i="13" s="1"/>
  <c r="J35" i="10"/>
  <c r="J33" i="13" s="1"/>
  <c r="I35" i="10"/>
  <c r="I33" i="13" s="1"/>
  <c r="H35" i="10"/>
  <c r="H33" i="13" s="1"/>
  <c r="G35" i="10"/>
  <c r="G33" i="13" s="1"/>
  <c r="F35" i="10"/>
  <c r="F33" i="13" s="1"/>
  <c r="E35" i="10"/>
  <c r="E33" i="13" s="1"/>
  <c r="D35" i="10"/>
  <c r="D33" i="13" s="1"/>
  <c r="C35" i="10"/>
  <c r="C33" i="13" s="1"/>
  <c r="B35" i="10"/>
  <c r="B33" i="13" s="1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R32" i="13" s="1"/>
  <c r="Q33" i="10"/>
  <c r="Q32" i="13" s="1"/>
  <c r="P33" i="10"/>
  <c r="P32" i="13" s="1"/>
  <c r="O33" i="10"/>
  <c r="O32" i="13" s="1"/>
  <c r="N33" i="10"/>
  <c r="N32" i="13" s="1"/>
  <c r="M33" i="10"/>
  <c r="M32" i="13" s="1"/>
  <c r="L33" i="10"/>
  <c r="L32" i="13" s="1"/>
  <c r="K33" i="10"/>
  <c r="K32" i="13" s="1"/>
  <c r="J33" i="10"/>
  <c r="J32" i="13" s="1"/>
  <c r="I33" i="10"/>
  <c r="I32" i="13" s="1"/>
  <c r="H33" i="10"/>
  <c r="H32" i="13" s="1"/>
  <c r="G33" i="10"/>
  <c r="G32" i="13" s="1"/>
  <c r="F33" i="10"/>
  <c r="F32" i="13" s="1"/>
  <c r="E33" i="10"/>
  <c r="E32" i="13" s="1"/>
  <c r="D33" i="10"/>
  <c r="D32" i="13" s="1"/>
  <c r="C33" i="10"/>
  <c r="C32" i="13" s="1"/>
  <c r="B33" i="10"/>
  <c r="B32" i="13" s="1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R31" i="13" s="1"/>
  <c r="Q32" i="10"/>
  <c r="Q31" i="13" s="1"/>
  <c r="P32" i="10"/>
  <c r="P31" i="13" s="1"/>
  <c r="O32" i="10"/>
  <c r="O31" i="13" s="1"/>
  <c r="N32" i="10"/>
  <c r="N31" i="13" s="1"/>
  <c r="M32" i="10"/>
  <c r="M31" i="13" s="1"/>
  <c r="L32" i="10"/>
  <c r="L31" i="13" s="1"/>
  <c r="K32" i="10"/>
  <c r="K31" i="13" s="1"/>
  <c r="J32" i="10"/>
  <c r="J31" i="13" s="1"/>
  <c r="I32" i="10"/>
  <c r="I31" i="13" s="1"/>
  <c r="H32" i="10"/>
  <c r="H31" i="13" s="1"/>
  <c r="G32" i="10"/>
  <c r="G31" i="13" s="1"/>
  <c r="F32" i="10"/>
  <c r="F31" i="13" s="1"/>
  <c r="E32" i="10"/>
  <c r="E31" i="13" s="1"/>
  <c r="D32" i="10"/>
  <c r="D31" i="13" s="1"/>
  <c r="C32" i="10"/>
  <c r="C31" i="13" s="1"/>
  <c r="B32" i="10"/>
  <c r="B31" i="13" s="1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R30" i="13" s="1"/>
  <c r="Q31" i="10"/>
  <c r="Q30" i="13" s="1"/>
  <c r="P31" i="10"/>
  <c r="P30" i="13" s="1"/>
  <c r="O31" i="10"/>
  <c r="O30" i="13" s="1"/>
  <c r="N31" i="10"/>
  <c r="N30" i="13" s="1"/>
  <c r="M31" i="10"/>
  <c r="M30" i="13" s="1"/>
  <c r="L31" i="10"/>
  <c r="L30" i="13" s="1"/>
  <c r="K31" i="10"/>
  <c r="K30" i="13" s="1"/>
  <c r="J31" i="10"/>
  <c r="J30" i="13" s="1"/>
  <c r="I31" i="10"/>
  <c r="I30" i="13" s="1"/>
  <c r="H31" i="10"/>
  <c r="H30" i="13" s="1"/>
  <c r="G31" i="10"/>
  <c r="G30" i="13" s="1"/>
  <c r="F31" i="10"/>
  <c r="F30" i="13" s="1"/>
  <c r="E31" i="10"/>
  <c r="E30" i="13" s="1"/>
  <c r="D31" i="10"/>
  <c r="D30" i="13" s="1"/>
  <c r="C31" i="10"/>
  <c r="C30" i="13" s="1"/>
  <c r="B31" i="10"/>
  <c r="B30" i="13" s="1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R29" i="13" s="1"/>
  <c r="Q30" i="10"/>
  <c r="Q29" i="13" s="1"/>
  <c r="P30" i="10"/>
  <c r="P29" i="13" s="1"/>
  <c r="O30" i="10"/>
  <c r="O29" i="13" s="1"/>
  <c r="N30" i="10"/>
  <c r="N29" i="13" s="1"/>
  <c r="M30" i="10"/>
  <c r="M29" i="13" s="1"/>
  <c r="L30" i="10"/>
  <c r="L29" i="13" s="1"/>
  <c r="K30" i="10"/>
  <c r="K29" i="13" s="1"/>
  <c r="J30" i="10"/>
  <c r="J29" i="13" s="1"/>
  <c r="I30" i="10"/>
  <c r="I29" i="13" s="1"/>
  <c r="H30" i="10"/>
  <c r="H29" i="13" s="1"/>
  <c r="G30" i="10"/>
  <c r="G29" i="13" s="1"/>
  <c r="F30" i="10"/>
  <c r="F29" i="13" s="1"/>
  <c r="E30" i="10"/>
  <c r="E29" i="13" s="1"/>
  <c r="D30" i="10"/>
  <c r="D29" i="13" s="1"/>
  <c r="C30" i="10"/>
  <c r="C29" i="13" s="1"/>
  <c r="B30" i="10"/>
  <c r="B29" i="13" s="1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R28" i="13" s="1"/>
  <c r="Q29" i="10"/>
  <c r="Q28" i="13" s="1"/>
  <c r="P29" i="10"/>
  <c r="P28" i="13" s="1"/>
  <c r="O29" i="10"/>
  <c r="O28" i="13" s="1"/>
  <c r="N29" i="10"/>
  <c r="N28" i="13" s="1"/>
  <c r="M29" i="10"/>
  <c r="M28" i="13" s="1"/>
  <c r="L29" i="10"/>
  <c r="L28" i="13" s="1"/>
  <c r="K29" i="10"/>
  <c r="K28" i="13" s="1"/>
  <c r="J29" i="10"/>
  <c r="J28" i="13" s="1"/>
  <c r="I29" i="10"/>
  <c r="I28" i="13" s="1"/>
  <c r="H29" i="10"/>
  <c r="H28" i="13" s="1"/>
  <c r="G29" i="10"/>
  <c r="G28" i="13" s="1"/>
  <c r="F29" i="10"/>
  <c r="F28" i="13" s="1"/>
  <c r="E29" i="10"/>
  <c r="E28" i="13" s="1"/>
  <c r="D29" i="10"/>
  <c r="D28" i="13" s="1"/>
  <c r="C29" i="10"/>
  <c r="C28" i="13" s="1"/>
  <c r="B29" i="10"/>
  <c r="B28" i="13" s="1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R27" i="13" s="1"/>
  <c r="Q28" i="10"/>
  <c r="Q27" i="13" s="1"/>
  <c r="P28" i="10"/>
  <c r="P27" i="13" s="1"/>
  <c r="O28" i="10"/>
  <c r="O27" i="13" s="1"/>
  <c r="N28" i="10"/>
  <c r="N27" i="13" s="1"/>
  <c r="M28" i="10"/>
  <c r="M27" i="13" s="1"/>
  <c r="L28" i="10"/>
  <c r="L27" i="13" s="1"/>
  <c r="K28" i="10"/>
  <c r="K27" i="13" s="1"/>
  <c r="J28" i="10"/>
  <c r="J27" i="13" s="1"/>
  <c r="I28" i="10"/>
  <c r="I27" i="13" s="1"/>
  <c r="H28" i="10"/>
  <c r="H27" i="13" s="1"/>
  <c r="G28" i="10"/>
  <c r="G27" i="13" s="1"/>
  <c r="F28" i="10"/>
  <c r="F27" i="13" s="1"/>
  <c r="E28" i="10"/>
  <c r="E27" i="13" s="1"/>
  <c r="D28" i="10"/>
  <c r="D27" i="13" s="1"/>
  <c r="C28" i="10"/>
  <c r="C27" i="13" s="1"/>
  <c r="B28" i="10"/>
  <c r="B27" i="13" s="1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R25" i="10"/>
  <c r="R25" i="13" s="1"/>
  <c r="Q25" i="10"/>
  <c r="Q25" i="13" s="1"/>
  <c r="P25" i="10"/>
  <c r="P25" i="13" s="1"/>
  <c r="O25" i="10"/>
  <c r="O25" i="13" s="1"/>
  <c r="N25" i="10"/>
  <c r="N25" i="13" s="1"/>
  <c r="M25" i="10"/>
  <c r="M25" i="13" s="1"/>
  <c r="L25" i="10"/>
  <c r="L25" i="13" s="1"/>
  <c r="K25" i="10"/>
  <c r="K25" i="13" s="1"/>
  <c r="J25" i="10"/>
  <c r="J25" i="13" s="1"/>
  <c r="I25" i="10"/>
  <c r="I25" i="13" s="1"/>
  <c r="H25" i="10"/>
  <c r="H25" i="13" s="1"/>
  <c r="G25" i="10"/>
  <c r="G25" i="13" s="1"/>
  <c r="F25" i="10"/>
  <c r="F25" i="13" s="1"/>
  <c r="E25" i="10"/>
  <c r="E25" i="13" s="1"/>
  <c r="D25" i="10"/>
  <c r="D25" i="13" s="1"/>
  <c r="C25" i="10"/>
  <c r="C25" i="13" s="1"/>
  <c r="B25" i="10"/>
  <c r="B25" i="13" s="1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R24" i="13" s="1"/>
  <c r="Q24" i="10"/>
  <c r="Q24" i="13" s="1"/>
  <c r="P24" i="10"/>
  <c r="P24" i="13" s="1"/>
  <c r="O24" i="10"/>
  <c r="O24" i="13" s="1"/>
  <c r="N24" i="10"/>
  <c r="N24" i="13" s="1"/>
  <c r="M24" i="10"/>
  <c r="M24" i="13" s="1"/>
  <c r="L24" i="10"/>
  <c r="L24" i="13" s="1"/>
  <c r="K24" i="10"/>
  <c r="K24" i="13" s="1"/>
  <c r="J24" i="10"/>
  <c r="J24" i="13" s="1"/>
  <c r="I24" i="10"/>
  <c r="I24" i="13" s="1"/>
  <c r="H24" i="10"/>
  <c r="H24" i="13" s="1"/>
  <c r="G24" i="10"/>
  <c r="G24" i="13" s="1"/>
  <c r="F24" i="10"/>
  <c r="F24" i="13" s="1"/>
  <c r="E24" i="10"/>
  <c r="E24" i="13" s="1"/>
  <c r="D24" i="10"/>
  <c r="D24" i="13" s="1"/>
  <c r="C24" i="10"/>
  <c r="C24" i="13" s="1"/>
  <c r="B24" i="10"/>
  <c r="B24" i="13" s="1"/>
  <c r="R23" i="10"/>
  <c r="R23" i="13" s="1"/>
  <c r="Q23" i="10"/>
  <c r="Q23" i="13" s="1"/>
  <c r="P23" i="10"/>
  <c r="P23" i="13" s="1"/>
  <c r="O23" i="10"/>
  <c r="O23" i="13" s="1"/>
  <c r="N23" i="10"/>
  <c r="N23" i="13" s="1"/>
  <c r="M23" i="10"/>
  <c r="M23" i="13" s="1"/>
  <c r="L23" i="10"/>
  <c r="L23" i="13" s="1"/>
  <c r="K23" i="10"/>
  <c r="K23" i="13" s="1"/>
  <c r="J23" i="10"/>
  <c r="J23" i="13" s="1"/>
  <c r="I23" i="10"/>
  <c r="I23" i="13" s="1"/>
  <c r="H23" i="10"/>
  <c r="H23" i="13" s="1"/>
  <c r="G23" i="10"/>
  <c r="G23" i="13" s="1"/>
  <c r="F23" i="10"/>
  <c r="F23" i="13" s="1"/>
  <c r="E23" i="10"/>
  <c r="E23" i="13" s="1"/>
  <c r="D23" i="10"/>
  <c r="D23" i="13" s="1"/>
  <c r="C23" i="10"/>
  <c r="C23" i="13" s="1"/>
  <c r="B23" i="10"/>
  <c r="B23" i="13" s="1"/>
  <c r="R22" i="10"/>
  <c r="R22" i="13" s="1"/>
  <c r="Q22" i="10"/>
  <c r="Q22" i="13" s="1"/>
  <c r="P22" i="10"/>
  <c r="P22" i="13" s="1"/>
  <c r="O22" i="10"/>
  <c r="O22" i="13" s="1"/>
  <c r="N22" i="10"/>
  <c r="N22" i="13" s="1"/>
  <c r="M22" i="10"/>
  <c r="M22" i="13" s="1"/>
  <c r="L22" i="10"/>
  <c r="L22" i="13" s="1"/>
  <c r="K22" i="10"/>
  <c r="K22" i="13" s="1"/>
  <c r="J22" i="10"/>
  <c r="J22" i="13" s="1"/>
  <c r="I22" i="10"/>
  <c r="I22" i="13" s="1"/>
  <c r="H22" i="10"/>
  <c r="H22" i="13" s="1"/>
  <c r="G22" i="10"/>
  <c r="G22" i="13" s="1"/>
  <c r="F22" i="10"/>
  <c r="F22" i="13" s="1"/>
  <c r="E22" i="10"/>
  <c r="E22" i="13" s="1"/>
  <c r="D22" i="10"/>
  <c r="D22" i="13" s="1"/>
  <c r="C22" i="10"/>
  <c r="C22" i="13" s="1"/>
  <c r="B22" i="10"/>
  <c r="B22" i="13" s="1"/>
  <c r="R21" i="10"/>
  <c r="R21" i="13" s="1"/>
  <c r="Q21" i="10"/>
  <c r="Q21" i="13" s="1"/>
  <c r="P21" i="10"/>
  <c r="P21" i="13" s="1"/>
  <c r="O21" i="10"/>
  <c r="O21" i="13" s="1"/>
  <c r="N21" i="10"/>
  <c r="N21" i="13" s="1"/>
  <c r="M21" i="10"/>
  <c r="M21" i="13" s="1"/>
  <c r="L21" i="10"/>
  <c r="L21" i="13" s="1"/>
  <c r="K21" i="10"/>
  <c r="K21" i="13" s="1"/>
  <c r="J21" i="10"/>
  <c r="J21" i="13" s="1"/>
  <c r="I21" i="10"/>
  <c r="I21" i="13" s="1"/>
  <c r="H21" i="10"/>
  <c r="H21" i="13" s="1"/>
  <c r="G21" i="10"/>
  <c r="G21" i="13" s="1"/>
  <c r="F21" i="10"/>
  <c r="F21" i="13" s="1"/>
  <c r="E21" i="10"/>
  <c r="E21" i="13" s="1"/>
  <c r="D21" i="10"/>
  <c r="D21" i="13" s="1"/>
  <c r="C21" i="10"/>
  <c r="C21" i="13" s="1"/>
  <c r="B21" i="10"/>
  <c r="B21" i="13" s="1"/>
  <c r="R20" i="10"/>
  <c r="R20" i="13" s="1"/>
  <c r="Q20" i="10"/>
  <c r="Q20" i="13" s="1"/>
  <c r="P20" i="10"/>
  <c r="P20" i="13" s="1"/>
  <c r="O20" i="10"/>
  <c r="O20" i="13" s="1"/>
  <c r="N20" i="10"/>
  <c r="N20" i="13" s="1"/>
  <c r="M20" i="10"/>
  <c r="M20" i="13" s="1"/>
  <c r="L20" i="10"/>
  <c r="L20" i="13" s="1"/>
  <c r="K20" i="10"/>
  <c r="K20" i="13" s="1"/>
  <c r="J20" i="10"/>
  <c r="J20" i="13" s="1"/>
  <c r="I20" i="10"/>
  <c r="I20" i="13" s="1"/>
  <c r="H20" i="10"/>
  <c r="H20" i="13" s="1"/>
  <c r="G20" i="10"/>
  <c r="G20" i="13" s="1"/>
  <c r="F20" i="10"/>
  <c r="F20" i="13" s="1"/>
  <c r="E20" i="10"/>
  <c r="E20" i="13" s="1"/>
  <c r="D20" i="10"/>
  <c r="D20" i="13" s="1"/>
  <c r="C20" i="10"/>
  <c r="C20" i="13" s="1"/>
  <c r="B20" i="10"/>
  <c r="B20" i="13" s="1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R19" i="13" s="1"/>
  <c r="Q19" i="10"/>
  <c r="Q19" i="13" s="1"/>
  <c r="P19" i="10"/>
  <c r="P19" i="13" s="1"/>
  <c r="O19" i="10"/>
  <c r="O19" i="13" s="1"/>
  <c r="N19" i="10"/>
  <c r="N19" i="13" s="1"/>
  <c r="M19" i="10"/>
  <c r="M19" i="13" s="1"/>
  <c r="L19" i="10"/>
  <c r="L19" i="13" s="1"/>
  <c r="K19" i="10"/>
  <c r="K19" i="13" s="1"/>
  <c r="J19" i="10"/>
  <c r="J19" i="13" s="1"/>
  <c r="I19" i="10"/>
  <c r="I19" i="13" s="1"/>
  <c r="H19" i="10"/>
  <c r="H19" i="13" s="1"/>
  <c r="G19" i="10"/>
  <c r="G19" i="13" s="1"/>
  <c r="F19" i="10"/>
  <c r="F19" i="13" s="1"/>
  <c r="E19" i="10"/>
  <c r="E19" i="13" s="1"/>
  <c r="D19" i="10"/>
  <c r="D19" i="13" s="1"/>
  <c r="C19" i="10"/>
  <c r="C19" i="13" s="1"/>
  <c r="B19" i="10"/>
  <c r="B19" i="13" s="1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H18" i="4" s="1"/>
  <c r="W18" i="10"/>
  <c r="V18" i="10"/>
  <c r="U18" i="10"/>
  <c r="T18" i="10"/>
  <c r="S18" i="10"/>
  <c r="R18" i="10"/>
  <c r="R18" i="13" s="1"/>
  <c r="Q18" i="10"/>
  <c r="Q18" i="13" s="1"/>
  <c r="P18" i="10"/>
  <c r="P18" i="13" s="1"/>
  <c r="O18" i="10"/>
  <c r="O18" i="13" s="1"/>
  <c r="N18" i="10"/>
  <c r="N18" i="13" s="1"/>
  <c r="M18" i="10"/>
  <c r="M18" i="13" s="1"/>
  <c r="L18" i="10"/>
  <c r="L18" i="13" s="1"/>
  <c r="K18" i="10"/>
  <c r="K18" i="13" s="1"/>
  <c r="J18" i="10"/>
  <c r="J18" i="13" s="1"/>
  <c r="I18" i="10"/>
  <c r="I18" i="13" s="1"/>
  <c r="H18" i="10"/>
  <c r="H18" i="13" s="1"/>
  <c r="G18" i="10"/>
  <c r="G18" i="13" s="1"/>
  <c r="F18" i="10"/>
  <c r="F18" i="13" s="1"/>
  <c r="E18" i="10"/>
  <c r="E18" i="13" s="1"/>
  <c r="D18" i="10"/>
  <c r="D18" i="13" s="1"/>
  <c r="C18" i="10"/>
  <c r="C18" i="13" s="1"/>
  <c r="B18" i="10"/>
  <c r="B18" i="13" s="1"/>
  <c r="AM17" i="10"/>
  <c r="AI17" i="10"/>
  <c r="AH17" i="10"/>
  <c r="AG17" i="10"/>
  <c r="AA17" i="10"/>
  <c r="W17" i="10"/>
  <c r="V17" i="10"/>
  <c r="U17" i="10"/>
  <c r="R17" i="10"/>
  <c r="R17" i="13" s="1"/>
  <c r="S17" i="13" s="1"/>
  <c r="T17" i="13" s="1"/>
  <c r="U17" i="13" s="1"/>
  <c r="V17" i="13" s="1"/>
  <c r="W17" i="13" s="1"/>
  <c r="X17" i="13" s="1"/>
  <c r="Y17" i="13" s="1"/>
  <c r="Z17" i="13" s="1"/>
  <c r="AA17" i="13" s="1"/>
  <c r="AB17" i="13" s="1"/>
  <c r="AC17" i="13" s="1"/>
  <c r="AD17" i="13" s="1"/>
  <c r="AE17" i="13" s="1"/>
  <c r="AF17" i="13" s="1"/>
  <c r="AG17" i="13" s="1"/>
  <c r="AH17" i="13" s="1"/>
  <c r="AI17" i="13" s="1"/>
  <c r="AJ17" i="13" s="1"/>
  <c r="AK17" i="13" s="1"/>
  <c r="AL17" i="13" s="1"/>
  <c r="AM17" i="13" s="1"/>
  <c r="AN17" i="13" s="1"/>
  <c r="AO17" i="13" s="1"/>
  <c r="AO17" i="10" s="1"/>
  <c r="Q17" i="10"/>
  <c r="Q17" i="13" s="1"/>
  <c r="P17" i="10"/>
  <c r="P17" i="13" s="1"/>
  <c r="O17" i="10"/>
  <c r="O17" i="13" s="1"/>
  <c r="N17" i="10"/>
  <c r="N17" i="13" s="1"/>
  <c r="M17" i="10"/>
  <c r="M17" i="13" s="1"/>
  <c r="L17" i="10"/>
  <c r="L17" i="13" s="1"/>
  <c r="K17" i="10"/>
  <c r="K17" i="13" s="1"/>
  <c r="J17" i="10"/>
  <c r="J17" i="13" s="1"/>
  <c r="I17" i="10"/>
  <c r="I17" i="13" s="1"/>
  <c r="H17" i="10"/>
  <c r="H17" i="13" s="1"/>
  <c r="G17" i="10"/>
  <c r="G17" i="13" s="1"/>
  <c r="F17" i="10"/>
  <c r="F17" i="13" s="1"/>
  <c r="E17" i="10"/>
  <c r="E17" i="13" s="1"/>
  <c r="D17" i="10"/>
  <c r="D17" i="13" s="1"/>
  <c r="C17" i="10"/>
  <c r="C17" i="13" s="1"/>
  <c r="B17" i="10"/>
  <c r="B17" i="13" s="1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R16" i="13" s="1"/>
  <c r="Q16" i="10"/>
  <c r="Q16" i="13" s="1"/>
  <c r="P16" i="10"/>
  <c r="P16" i="13" s="1"/>
  <c r="O16" i="10"/>
  <c r="O16" i="13" s="1"/>
  <c r="N16" i="10"/>
  <c r="N16" i="13" s="1"/>
  <c r="M16" i="10"/>
  <c r="M16" i="13" s="1"/>
  <c r="L16" i="10"/>
  <c r="L16" i="13" s="1"/>
  <c r="K16" i="10"/>
  <c r="K16" i="13" s="1"/>
  <c r="J16" i="10"/>
  <c r="J16" i="13" s="1"/>
  <c r="I16" i="10"/>
  <c r="I16" i="13" s="1"/>
  <c r="H16" i="10"/>
  <c r="H16" i="13" s="1"/>
  <c r="G16" i="10"/>
  <c r="G16" i="13" s="1"/>
  <c r="F16" i="10"/>
  <c r="F16" i="13" s="1"/>
  <c r="E16" i="10"/>
  <c r="E16" i="13" s="1"/>
  <c r="D16" i="10"/>
  <c r="D16" i="13" s="1"/>
  <c r="C16" i="10"/>
  <c r="C16" i="13" s="1"/>
  <c r="B16" i="10"/>
  <c r="B16" i="13" s="1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R15" i="13" s="1"/>
  <c r="Q15" i="10"/>
  <c r="Q15" i="13" s="1"/>
  <c r="P15" i="10"/>
  <c r="P15" i="13" s="1"/>
  <c r="O15" i="10"/>
  <c r="O15" i="13" s="1"/>
  <c r="N15" i="10"/>
  <c r="N15" i="13" s="1"/>
  <c r="M15" i="10"/>
  <c r="M15" i="13" s="1"/>
  <c r="L15" i="10"/>
  <c r="L15" i="13" s="1"/>
  <c r="K15" i="10"/>
  <c r="K15" i="13" s="1"/>
  <c r="J15" i="10"/>
  <c r="J15" i="13" s="1"/>
  <c r="I15" i="10"/>
  <c r="I15" i="13" s="1"/>
  <c r="H15" i="10"/>
  <c r="H15" i="13" s="1"/>
  <c r="G15" i="10"/>
  <c r="G15" i="13" s="1"/>
  <c r="F15" i="10"/>
  <c r="F15" i="13" s="1"/>
  <c r="E15" i="10"/>
  <c r="E15" i="13" s="1"/>
  <c r="D15" i="10"/>
  <c r="D15" i="13" s="1"/>
  <c r="C15" i="10"/>
  <c r="C15" i="13" s="1"/>
  <c r="B15" i="10"/>
  <c r="B15" i="13" s="1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R14" i="13" s="1"/>
  <c r="Q14" i="10"/>
  <c r="Q14" i="13" s="1"/>
  <c r="P14" i="10"/>
  <c r="P14" i="13" s="1"/>
  <c r="O14" i="10"/>
  <c r="O14" i="13" s="1"/>
  <c r="N14" i="10"/>
  <c r="N14" i="13" s="1"/>
  <c r="M14" i="10"/>
  <c r="M14" i="13" s="1"/>
  <c r="L14" i="10"/>
  <c r="L14" i="13" s="1"/>
  <c r="K14" i="10"/>
  <c r="K14" i="13" s="1"/>
  <c r="J14" i="10"/>
  <c r="J14" i="13" s="1"/>
  <c r="I14" i="10"/>
  <c r="I14" i="13" s="1"/>
  <c r="H14" i="10"/>
  <c r="H14" i="13" s="1"/>
  <c r="G14" i="10"/>
  <c r="G14" i="13" s="1"/>
  <c r="F14" i="10"/>
  <c r="F14" i="13" s="1"/>
  <c r="E14" i="10"/>
  <c r="E14" i="13" s="1"/>
  <c r="D14" i="10"/>
  <c r="D14" i="13" s="1"/>
  <c r="C14" i="10"/>
  <c r="C14" i="13" s="1"/>
  <c r="B14" i="10"/>
  <c r="B14" i="13" s="1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R13" i="13" s="1"/>
  <c r="Q13" i="10"/>
  <c r="Q13" i="13" s="1"/>
  <c r="P13" i="10"/>
  <c r="P13" i="13" s="1"/>
  <c r="O13" i="10"/>
  <c r="O13" i="13" s="1"/>
  <c r="N13" i="10"/>
  <c r="N13" i="13" s="1"/>
  <c r="M13" i="10"/>
  <c r="M13" i="13" s="1"/>
  <c r="L13" i="10"/>
  <c r="L13" i="13" s="1"/>
  <c r="K13" i="10"/>
  <c r="K13" i="13" s="1"/>
  <c r="J13" i="10"/>
  <c r="J13" i="13" s="1"/>
  <c r="I13" i="10"/>
  <c r="I13" i="13" s="1"/>
  <c r="H13" i="10"/>
  <c r="H13" i="13" s="1"/>
  <c r="G13" i="10"/>
  <c r="G13" i="13" s="1"/>
  <c r="F13" i="10"/>
  <c r="F13" i="13" s="1"/>
  <c r="E13" i="10"/>
  <c r="E13" i="13" s="1"/>
  <c r="D13" i="10"/>
  <c r="D13" i="13" s="1"/>
  <c r="C13" i="10"/>
  <c r="C13" i="13" s="1"/>
  <c r="B13" i="10"/>
  <c r="B13" i="13" s="1"/>
  <c r="AO12" i="10"/>
  <c r="AN12" i="10"/>
  <c r="AM12" i="10"/>
  <c r="AL12" i="10"/>
  <c r="AK12" i="10"/>
  <c r="AJ12" i="10"/>
  <c r="AI12" i="10"/>
  <c r="AH12" i="10"/>
  <c r="AG12" i="10"/>
  <c r="J12" i="4" s="1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R12" i="13" s="1"/>
  <c r="Q12" i="10"/>
  <c r="Q12" i="13" s="1"/>
  <c r="P12" i="10"/>
  <c r="P12" i="13" s="1"/>
  <c r="O12" i="10"/>
  <c r="O12" i="13" s="1"/>
  <c r="N12" i="10"/>
  <c r="N12" i="13" s="1"/>
  <c r="M12" i="10"/>
  <c r="M12" i="13" s="1"/>
  <c r="L12" i="10"/>
  <c r="L12" i="13" s="1"/>
  <c r="K12" i="10"/>
  <c r="K12" i="13" s="1"/>
  <c r="J12" i="10"/>
  <c r="J12" i="13" s="1"/>
  <c r="I12" i="10"/>
  <c r="I12" i="13" s="1"/>
  <c r="H12" i="10"/>
  <c r="H12" i="13" s="1"/>
  <c r="G12" i="10"/>
  <c r="G12" i="13" s="1"/>
  <c r="F12" i="10"/>
  <c r="F12" i="13" s="1"/>
  <c r="E12" i="10"/>
  <c r="E12" i="13" s="1"/>
  <c r="D12" i="10"/>
  <c r="D12" i="13" s="1"/>
  <c r="C12" i="10"/>
  <c r="C12" i="13" s="1"/>
  <c r="B12" i="10"/>
  <c r="B12" i="13" s="1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H11" i="4" s="1"/>
  <c r="X11" i="10"/>
  <c r="W11" i="10"/>
  <c r="V11" i="10"/>
  <c r="U11" i="10"/>
  <c r="T11" i="10"/>
  <c r="S11" i="10"/>
  <c r="R11" i="10"/>
  <c r="R11" i="13" s="1"/>
  <c r="Q11" i="10"/>
  <c r="Q11" i="13" s="1"/>
  <c r="P11" i="10"/>
  <c r="P11" i="13" s="1"/>
  <c r="O11" i="10"/>
  <c r="O11" i="13" s="1"/>
  <c r="N11" i="10"/>
  <c r="N11" i="13" s="1"/>
  <c r="M11" i="10"/>
  <c r="M11" i="13" s="1"/>
  <c r="L11" i="10"/>
  <c r="L11" i="13" s="1"/>
  <c r="K11" i="10"/>
  <c r="K11" i="13" s="1"/>
  <c r="J11" i="10"/>
  <c r="J11" i="13" s="1"/>
  <c r="I11" i="10"/>
  <c r="I11" i="13" s="1"/>
  <c r="H11" i="10"/>
  <c r="H11" i="13" s="1"/>
  <c r="G11" i="10"/>
  <c r="G11" i="13" s="1"/>
  <c r="F11" i="10"/>
  <c r="F11" i="13" s="1"/>
  <c r="E11" i="10"/>
  <c r="E11" i="13" s="1"/>
  <c r="D11" i="10"/>
  <c r="D11" i="13" s="1"/>
  <c r="C11" i="10"/>
  <c r="C11" i="13" s="1"/>
  <c r="B11" i="10"/>
  <c r="B11" i="13" s="1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R9" i="13" s="1"/>
  <c r="Q9" i="10"/>
  <c r="Q9" i="13" s="1"/>
  <c r="P9" i="10"/>
  <c r="P9" i="13" s="1"/>
  <c r="O9" i="10"/>
  <c r="O9" i="13" s="1"/>
  <c r="N9" i="10"/>
  <c r="N9" i="13" s="1"/>
  <c r="M9" i="10"/>
  <c r="M9" i="13" s="1"/>
  <c r="L9" i="10"/>
  <c r="L9" i="13" s="1"/>
  <c r="K9" i="10"/>
  <c r="K9" i="13" s="1"/>
  <c r="J9" i="10"/>
  <c r="J9" i="13" s="1"/>
  <c r="I9" i="10"/>
  <c r="I9" i="13" s="1"/>
  <c r="H9" i="10"/>
  <c r="H9" i="13" s="1"/>
  <c r="G9" i="10"/>
  <c r="G9" i="13" s="1"/>
  <c r="F9" i="10"/>
  <c r="F9" i="13" s="1"/>
  <c r="E9" i="10"/>
  <c r="E9" i="13" s="1"/>
  <c r="D9" i="10"/>
  <c r="D9" i="13" s="1"/>
  <c r="C9" i="10"/>
  <c r="C9" i="13" s="1"/>
  <c r="B9" i="10"/>
  <c r="B9" i="13" s="1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R8" i="13" s="1"/>
  <c r="Q8" i="10"/>
  <c r="Q8" i="13" s="1"/>
  <c r="P8" i="10"/>
  <c r="P8" i="13" s="1"/>
  <c r="O8" i="10"/>
  <c r="O8" i="13" s="1"/>
  <c r="N8" i="10"/>
  <c r="N8" i="13" s="1"/>
  <c r="M8" i="10"/>
  <c r="M8" i="13" s="1"/>
  <c r="L8" i="10"/>
  <c r="L8" i="13" s="1"/>
  <c r="K8" i="10"/>
  <c r="K8" i="13" s="1"/>
  <c r="J8" i="10"/>
  <c r="J8" i="13" s="1"/>
  <c r="I8" i="10"/>
  <c r="I8" i="13" s="1"/>
  <c r="H8" i="10"/>
  <c r="H8" i="13" s="1"/>
  <c r="G8" i="10"/>
  <c r="G8" i="13" s="1"/>
  <c r="F8" i="10"/>
  <c r="F8" i="13" s="1"/>
  <c r="E8" i="10"/>
  <c r="E8" i="13" s="1"/>
  <c r="D8" i="10"/>
  <c r="D8" i="13" s="1"/>
  <c r="C8" i="10"/>
  <c r="C8" i="13" s="1"/>
  <c r="B8" i="10"/>
  <c r="B8" i="13" s="1"/>
  <c r="AO7" i="10"/>
  <c r="AN7" i="10"/>
  <c r="AM7" i="10"/>
  <c r="AL7" i="10"/>
  <c r="AK7" i="10"/>
  <c r="AJ7" i="10"/>
  <c r="AI7" i="10"/>
  <c r="AH7" i="10"/>
  <c r="AG7" i="10"/>
  <c r="AF7" i="10"/>
  <c r="AE7" i="10"/>
  <c r="AD7" i="10"/>
  <c r="J7" i="4" s="1"/>
  <c r="AC7" i="10"/>
  <c r="AB7" i="10"/>
  <c r="AA7" i="10"/>
  <c r="Z7" i="10"/>
  <c r="Y7" i="10"/>
  <c r="X7" i="10"/>
  <c r="W7" i="10"/>
  <c r="V7" i="10"/>
  <c r="U7" i="10"/>
  <c r="T7" i="10"/>
  <c r="S7" i="10"/>
  <c r="R7" i="10"/>
  <c r="R7" i="13" s="1"/>
  <c r="Q7" i="10"/>
  <c r="Q7" i="13" s="1"/>
  <c r="P7" i="10"/>
  <c r="P7" i="13" s="1"/>
  <c r="O7" i="10"/>
  <c r="O7" i="13" s="1"/>
  <c r="N7" i="10"/>
  <c r="N7" i="13" s="1"/>
  <c r="M7" i="10"/>
  <c r="M7" i="13" s="1"/>
  <c r="L7" i="10"/>
  <c r="L7" i="13" s="1"/>
  <c r="K7" i="10"/>
  <c r="K7" i="13" s="1"/>
  <c r="J7" i="10"/>
  <c r="J7" i="13" s="1"/>
  <c r="I7" i="10"/>
  <c r="I7" i="13" s="1"/>
  <c r="H7" i="10"/>
  <c r="H7" i="13" s="1"/>
  <c r="G7" i="10"/>
  <c r="G7" i="13" s="1"/>
  <c r="F7" i="10"/>
  <c r="F7" i="13" s="1"/>
  <c r="E7" i="10"/>
  <c r="E7" i="13" s="1"/>
  <c r="D7" i="10"/>
  <c r="D7" i="13" s="1"/>
  <c r="C7" i="10"/>
  <c r="C7" i="13" s="1"/>
  <c r="B7" i="10"/>
  <c r="B7" i="13" s="1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H6" i="4" s="1"/>
  <c r="U6" i="10"/>
  <c r="T6" i="10"/>
  <c r="S6" i="10"/>
  <c r="R6" i="10"/>
  <c r="R6" i="13" s="1"/>
  <c r="Q6" i="10"/>
  <c r="Q6" i="13" s="1"/>
  <c r="P6" i="10"/>
  <c r="P6" i="13" s="1"/>
  <c r="O6" i="10"/>
  <c r="O6" i="13" s="1"/>
  <c r="N6" i="10"/>
  <c r="N6" i="13" s="1"/>
  <c r="M6" i="10"/>
  <c r="M6" i="13" s="1"/>
  <c r="L6" i="10"/>
  <c r="L6" i="13" s="1"/>
  <c r="K6" i="10"/>
  <c r="K6" i="13" s="1"/>
  <c r="J6" i="10"/>
  <c r="J6" i="13" s="1"/>
  <c r="I6" i="10"/>
  <c r="I6" i="13" s="1"/>
  <c r="H6" i="10"/>
  <c r="H6" i="13" s="1"/>
  <c r="G6" i="10"/>
  <c r="G6" i="13" s="1"/>
  <c r="F6" i="10"/>
  <c r="F6" i="13" s="1"/>
  <c r="E6" i="10"/>
  <c r="E6" i="13" s="1"/>
  <c r="D6" i="10"/>
  <c r="D6" i="13" s="1"/>
  <c r="C6" i="10"/>
  <c r="C6" i="13" s="1"/>
  <c r="B6" i="10"/>
  <c r="B6" i="13" s="1"/>
  <c r="AO5" i="10"/>
  <c r="AN5" i="10"/>
  <c r="AM5" i="10"/>
  <c r="AL5" i="10"/>
  <c r="L5" i="4" s="1"/>
  <c r="AK5" i="10"/>
  <c r="AJ5" i="10"/>
  <c r="AI5" i="10"/>
  <c r="AH5" i="10"/>
  <c r="AG5" i="10"/>
  <c r="AF5" i="10"/>
  <c r="AE5" i="10"/>
  <c r="AD5" i="10"/>
  <c r="AC5" i="10"/>
  <c r="AB5" i="10"/>
  <c r="AA5" i="10"/>
  <c r="I5" i="4" s="1"/>
  <c r="Z5" i="10"/>
  <c r="Y5" i="10"/>
  <c r="X5" i="10"/>
  <c r="W5" i="10"/>
  <c r="V5" i="10"/>
  <c r="U5" i="10"/>
  <c r="T5" i="10"/>
  <c r="S5" i="10"/>
  <c r="R5" i="10"/>
  <c r="R5" i="13" s="1"/>
  <c r="Q5" i="10"/>
  <c r="Q5" i="13" s="1"/>
  <c r="P5" i="10"/>
  <c r="P5" i="13" s="1"/>
  <c r="O5" i="10"/>
  <c r="O5" i="13" s="1"/>
  <c r="N5" i="10"/>
  <c r="N5" i="13" s="1"/>
  <c r="M5" i="10"/>
  <c r="M5" i="13" s="1"/>
  <c r="L5" i="10"/>
  <c r="L5" i="13" s="1"/>
  <c r="K5" i="10"/>
  <c r="K5" i="13" s="1"/>
  <c r="J5" i="10"/>
  <c r="J5" i="13" s="1"/>
  <c r="I5" i="10"/>
  <c r="I5" i="13" s="1"/>
  <c r="H5" i="10"/>
  <c r="H5" i="13" s="1"/>
  <c r="G5" i="10"/>
  <c r="G5" i="13" s="1"/>
  <c r="F5" i="10"/>
  <c r="F5" i="13" s="1"/>
  <c r="E5" i="10"/>
  <c r="E5" i="13" s="1"/>
  <c r="D5" i="10"/>
  <c r="D5" i="13" s="1"/>
  <c r="C5" i="10"/>
  <c r="C5" i="13" s="1"/>
  <c r="B5" i="10"/>
  <c r="B5" i="13" s="1"/>
  <c r="AO4" i="10"/>
  <c r="AN4" i="10"/>
  <c r="AM4" i="10"/>
  <c r="AL4" i="10"/>
  <c r="AK4" i="10"/>
  <c r="AJ4" i="10"/>
  <c r="AI4" i="10"/>
  <c r="AH4" i="10"/>
  <c r="AG4" i="10"/>
  <c r="AF4" i="10"/>
  <c r="AE4" i="10"/>
  <c r="AD4" i="10"/>
  <c r="J4" i="4" s="1"/>
  <c r="AC4" i="10"/>
  <c r="AB4" i="10"/>
  <c r="AA4" i="10"/>
  <c r="Z4" i="10"/>
  <c r="Y4" i="10"/>
  <c r="X4" i="10"/>
  <c r="W4" i="10"/>
  <c r="V4" i="10"/>
  <c r="H4" i="4" s="1"/>
  <c r="U4" i="10"/>
  <c r="T4" i="10"/>
  <c r="S4" i="10"/>
  <c r="R4" i="10"/>
  <c r="R4" i="13" s="1"/>
  <c r="Q4" i="10"/>
  <c r="Q4" i="13" s="1"/>
  <c r="P4" i="10"/>
  <c r="P4" i="13" s="1"/>
  <c r="O4" i="10"/>
  <c r="O4" i="13" s="1"/>
  <c r="N4" i="10"/>
  <c r="N4" i="13" s="1"/>
  <c r="M4" i="10"/>
  <c r="M4" i="13" s="1"/>
  <c r="L4" i="10"/>
  <c r="L4" i="13" s="1"/>
  <c r="K4" i="10"/>
  <c r="K4" i="13" s="1"/>
  <c r="J4" i="10"/>
  <c r="J4" i="13" s="1"/>
  <c r="I4" i="10"/>
  <c r="I4" i="13" s="1"/>
  <c r="H4" i="10"/>
  <c r="H4" i="13" s="1"/>
  <c r="G4" i="10"/>
  <c r="G4" i="13" s="1"/>
  <c r="F4" i="10"/>
  <c r="F4" i="13" s="1"/>
  <c r="E4" i="10"/>
  <c r="E4" i="13" s="1"/>
  <c r="D4" i="10"/>
  <c r="D4" i="13" s="1"/>
  <c r="C4" i="10"/>
  <c r="C4" i="13" s="1"/>
  <c r="B4" i="10"/>
  <c r="B4" i="13" s="1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R2" i="10"/>
  <c r="R2" i="13" s="1"/>
  <c r="Q2" i="10"/>
  <c r="Q2" i="13" s="1"/>
  <c r="P2" i="10"/>
  <c r="P2" i="13" s="1"/>
  <c r="O2" i="10"/>
  <c r="O2" i="13" s="1"/>
  <c r="N2" i="10"/>
  <c r="N2" i="13" s="1"/>
  <c r="M2" i="10"/>
  <c r="M2" i="13" s="1"/>
  <c r="L2" i="10"/>
  <c r="L2" i="13" s="1"/>
  <c r="K2" i="10"/>
  <c r="K2" i="13" s="1"/>
  <c r="J2" i="10"/>
  <c r="J2" i="13" s="1"/>
  <c r="I2" i="10"/>
  <c r="I2" i="13" s="1"/>
  <c r="H2" i="10"/>
  <c r="H2" i="13" s="1"/>
  <c r="G2" i="10"/>
  <c r="G2" i="13" s="1"/>
  <c r="F2" i="10"/>
  <c r="F2" i="13" s="1"/>
  <c r="E2" i="10"/>
  <c r="E2" i="13" s="1"/>
  <c r="D2" i="10"/>
  <c r="D2" i="13" s="1"/>
  <c r="C2" i="10"/>
  <c r="C2" i="13" s="1"/>
  <c r="B2" i="10"/>
  <c r="B2" i="13" s="1"/>
  <c r="AB27" i="9"/>
  <c r="Z27" i="9"/>
  <c r="X27" i="9"/>
  <c r="U27" i="9"/>
  <c r="S27" i="9"/>
  <c r="R27" i="9"/>
  <c r="P27" i="9"/>
  <c r="O27" i="9"/>
  <c r="O23" i="12" s="1"/>
  <c r="P23" i="12" s="1"/>
  <c r="Q23" i="12" s="1"/>
  <c r="R23" i="12" s="1"/>
  <c r="S23" i="12" s="1"/>
  <c r="T23" i="12" s="1"/>
  <c r="U23" i="12" s="1"/>
  <c r="V23" i="12" s="1"/>
  <c r="W23" i="12" s="1"/>
  <c r="X23" i="12" s="1"/>
  <c r="Y23" i="12" s="1"/>
  <c r="Z23" i="12" s="1"/>
  <c r="AA23" i="12" s="1"/>
  <c r="AB23" i="12" s="1"/>
  <c r="AC23" i="12" s="1"/>
  <c r="AD23" i="12" s="1"/>
  <c r="AE23" i="12" s="1"/>
  <c r="AF23" i="12" s="1"/>
  <c r="AG23" i="12" s="1"/>
  <c r="AH23" i="12" s="1"/>
  <c r="AI23" i="12" s="1"/>
  <c r="AJ23" i="12" s="1"/>
  <c r="AK23" i="12" s="1"/>
  <c r="AL23" i="12" s="1"/>
  <c r="AL27" i="9" s="1"/>
  <c r="K27" i="3" s="1"/>
  <c r="N27" i="9"/>
  <c r="N23" i="12" s="1"/>
  <c r="M27" i="9"/>
  <c r="M23" i="12" s="1"/>
  <c r="L27" i="9"/>
  <c r="L23" i="12" s="1"/>
  <c r="K27" i="9"/>
  <c r="K23" i="12" s="1"/>
  <c r="J27" i="9"/>
  <c r="J23" i="12" s="1"/>
  <c r="I27" i="9"/>
  <c r="I23" i="12" s="1"/>
  <c r="H27" i="9"/>
  <c r="H23" i="12" s="1"/>
  <c r="G27" i="9"/>
  <c r="G23" i="12" s="1"/>
  <c r="F27" i="9"/>
  <c r="F23" i="12" s="1"/>
  <c r="E27" i="9"/>
  <c r="E23" i="12" s="1"/>
  <c r="D27" i="9"/>
  <c r="D23" i="12" s="1"/>
  <c r="C27" i="9"/>
  <c r="C23" i="12" s="1"/>
  <c r="B27" i="9"/>
  <c r="B23" i="12" s="1"/>
  <c r="O26" i="9"/>
  <c r="O22" i="12" s="1"/>
  <c r="P22" i="12" s="1"/>
  <c r="N26" i="9"/>
  <c r="N22" i="12" s="1"/>
  <c r="M26" i="9"/>
  <c r="M22" i="12" s="1"/>
  <c r="L26" i="9"/>
  <c r="L22" i="12" s="1"/>
  <c r="K26" i="9"/>
  <c r="K22" i="12" s="1"/>
  <c r="J26" i="9"/>
  <c r="J22" i="12" s="1"/>
  <c r="I26" i="9"/>
  <c r="I22" i="12" s="1"/>
  <c r="H26" i="9"/>
  <c r="H22" i="12" s="1"/>
  <c r="G26" i="9"/>
  <c r="G22" i="12" s="1"/>
  <c r="F26" i="9"/>
  <c r="F22" i="12" s="1"/>
  <c r="E26" i="9"/>
  <c r="E22" i="12" s="1"/>
  <c r="D26" i="9"/>
  <c r="D22" i="12" s="1"/>
  <c r="C26" i="9"/>
  <c r="C22" i="12" s="1"/>
  <c r="B26" i="9"/>
  <c r="B22" i="12" s="1"/>
  <c r="O25" i="9"/>
  <c r="O21" i="12" s="1"/>
  <c r="N25" i="9"/>
  <c r="N21" i="12" s="1"/>
  <c r="M25" i="9"/>
  <c r="M21" i="12" s="1"/>
  <c r="L25" i="9"/>
  <c r="L21" i="12" s="1"/>
  <c r="K25" i="9"/>
  <c r="K21" i="12" s="1"/>
  <c r="J25" i="9"/>
  <c r="J21" i="12" s="1"/>
  <c r="I25" i="9"/>
  <c r="I21" i="12" s="1"/>
  <c r="H25" i="9"/>
  <c r="H21" i="12" s="1"/>
  <c r="G25" i="9"/>
  <c r="G21" i="12" s="1"/>
  <c r="F25" i="9"/>
  <c r="F21" i="12" s="1"/>
  <c r="E25" i="9"/>
  <c r="E21" i="12" s="1"/>
  <c r="D25" i="9"/>
  <c r="D21" i="12" s="1"/>
  <c r="C25" i="9"/>
  <c r="C21" i="12" s="1"/>
  <c r="B25" i="9"/>
  <c r="B21" i="12" s="1"/>
  <c r="O24" i="9"/>
  <c r="O20" i="12" s="1"/>
  <c r="N24" i="9"/>
  <c r="N20" i="12" s="1"/>
  <c r="M24" i="9"/>
  <c r="M20" i="12" s="1"/>
  <c r="L24" i="9"/>
  <c r="L20" i="12" s="1"/>
  <c r="K24" i="9"/>
  <c r="K20" i="12" s="1"/>
  <c r="J24" i="9"/>
  <c r="J20" i="12" s="1"/>
  <c r="I24" i="9"/>
  <c r="I20" i="12" s="1"/>
  <c r="H24" i="9"/>
  <c r="H20" i="12" s="1"/>
  <c r="G24" i="9"/>
  <c r="G20" i="12" s="1"/>
  <c r="F24" i="9"/>
  <c r="F20" i="12" s="1"/>
  <c r="E24" i="9"/>
  <c r="E20" i="12" s="1"/>
  <c r="D24" i="9"/>
  <c r="D20" i="12" s="1"/>
  <c r="C24" i="9"/>
  <c r="C20" i="12" s="1"/>
  <c r="B24" i="9"/>
  <c r="B20" i="12" s="1"/>
  <c r="O23" i="9"/>
  <c r="O19" i="12" s="1"/>
  <c r="N23" i="9"/>
  <c r="N19" i="12" s="1"/>
  <c r="M23" i="9"/>
  <c r="M19" i="12" s="1"/>
  <c r="L23" i="9"/>
  <c r="L19" i="12" s="1"/>
  <c r="K23" i="9"/>
  <c r="K19" i="12" s="1"/>
  <c r="J23" i="9"/>
  <c r="J19" i="12" s="1"/>
  <c r="I23" i="9"/>
  <c r="I19" i="12" s="1"/>
  <c r="H23" i="9"/>
  <c r="H19" i="12" s="1"/>
  <c r="G23" i="9"/>
  <c r="G19" i="12" s="1"/>
  <c r="F23" i="9"/>
  <c r="F19" i="12" s="1"/>
  <c r="E23" i="9"/>
  <c r="E19" i="12" s="1"/>
  <c r="D23" i="9"/>
  <c r="D19" i="12" s="1"/>
  <c r="C23" i="9"/>
  <c r="C19" i="12" s="1"/>
  <c r="B23" i="9"/>
  <c r="B19" i="12" s="1"/>
  <c r="O22" i="9"/>
  <c r="O18" i="12" s="1"/>
  <c r="P18" i="12" s="1"/>
  <c r="N22" i="9"/>
  <c r="N18" i="12" s="1"/>
  <c r="M22" i="9"/>
  <c r="M18" i="12" s="1"/>
  <c r="L22" i="9"/>
  <c r="L18" i="12" s="1"/>
  <c r="K22" i="9"/>
  <c r="K18" i="12" s="1"/>
  <c r="J22" i="9"/>
  <c r="J18" i="12" s="1"/>
  <c r="I22" i="9"/>
  <c r="I18" i="12" s="1"/>
  <c r="H22" i="9"/>
  <c r="H18" i="12" s="1"/>
  <c r="G22" i="9"/>
  <c r="G18" i="12" s="1"/>
  <c r="F22" i="9"/>
  <c r="F18" i="12" s="1"/>
  <c r="E22" i="9"/>
  <c r="E18" i="12" s="1"/>
  <c r="D22" i="9"/>
  <c r="D18" i="12" s="1"/>
  <c r="C22" i="9"/>
  <c r="C18" i="12" s="1"/>
  <c r="B22" i="9"/>
  <c r="B18" i="12" s="1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O19" i="9"/>
  <c r="O16" i="12" s="1"/>
  <c r="P16" i="12" s="1"/>
  <c r="N19" i="9"/>
  <c r="N16" i="12" s="1"/>
  <c r="M19" i="9"/>
  <c r="M16" i="12" s="1"/>
  <c r="L19" i="9"/>
  <c r="L16" i="12" s="1"/>
  <c r="K19" i="9"/>
  <c r="K16" i="12" s="1"/>
  <c r="J19" i="9"/>
  <c r="J16" i="12" s="1"/>
  <c r="I19" i="9"/>
  <c r="I16" i="12" s="1"/>
  <c r="H19" i="9"/>
  <c r="H16" i="12" s="1"/>
  <c r="G19" i="9"/>
  <c r="G16" i="12" s="1"/>
  <c r="F19" i="9"/>
  <c r="F16" i="12" s="1"/>
  <c r="E19" i="9"/>
  <c r="E16" i="12" s="1"/>
  <c r="D19" i="9"/>
  <c r="D16" i="12" s="1"/>
  <c r="C19" i="9"/>
  <c r="C16" i="12" s="1"/>
  <c r="B19" i="9"/>
  <c r="B16" i="12" s="1"/>
  <c r="O18" i="9"/>
  <c r="O15" i="12" s="1"/>
  <c r="P15" i="12" s="1"/>
  <c r="N18" i="9"/>
  <c r="N15" i="12" s="1"/>
  <c r="M18" i="9"/>
  <c r="M15" i="12" s="1"/>
  <c r="L18" i="9"/>
  <c r="L15" i="12" s="1"/>
  <c r="K18" i="9"/>
  <c r="K15" i="12" s="1"/>
  <c r="J18" i="9"/>
  <c r="J15" i="12" s="1"/>
  <c r="I18" i="9"/>
  <c r="I15" i="12" s="1"/>
  <c r="H18" i="9"/>
  <c r="H15" i="12" s="1"/>
  <c r="G18" i="9"/>
  <c r="G15" i="12" s="1"/>
  <c r="F18" i="9"/>
  <c r="F15" i="12" s="1"/>
  <c r="E18" i="9"/>
  <c r="E15" i="12" s="1"/>
  <c r="D18" i="9"/>
  <c r="D15" i="12" s="1"/>
  <c r="C18" i="9"/>
  <c r="C15" i="12" s="1"/>
  <c r="B18" i="9"/>
  <c r="B15" i="12" s="1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O15" i="9"/>
  <c r="O13" i="12" s="1"/>
  <c r="P13" i="12" s="1"/>
  <c r="N15" i="9"/>
  <c r="N13" i="12" s="1"/>
  <c r="M15" i="9"/>
  <c r="M13" i="12" s="1"/>
  <c r="L15" i="9"/>
  <c r="L13" i="12" s="1"/>
  <c r="K15" i="9"/>
  <c r="K13" i="12" s="1"/>
  <c r="J15" i="9"/>
  <c r="J13" i="12" s="1"/>
  <c r="I15" i="9"/>
  <c r="I13" i="12" s="1"/>
  <c r="H15" i="9"/>
  <c r="H13" i="12" s="1"/>
  <c r="G15" i="9"/>
  <c r="G13" i="12" s="1"/>
  <c r="F15" i="9"/>
  <c r="F13" i="12" s="1"/>
  <c r="E15" i="9"/>
  <c r="E13" i="12" s="1"/>
  <c r="D15" i="9"/>
  <c r="D13" i="12" s="1"/>
  <c r="C15" i="9"/>
  <c r="C13" i="12" s="1"/>
  <c r="B15" i="9"/>
  <c r="B13" i="12" s="1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O12" i="9"/>
  <c r="O11" i="12" s="1"/>
  <c r="N12" i="9"/>
  <c r="N11" i="12" s="1"/>
  <c r="M12" i="9"/>
  <c r="M11" i="12" s="1"/>
  <c r="L12" i="9"/>
  <c r="L11" i="12" s="1"/>
  <c r="K12" i="9"/>
  <c r="K11" i="12" s="1"/>
  <c r="J12" i="9"/>
  <c r="J11" i="12" s="1"/>
  <c r="I12" i="9"/>
  <c r="I11" i="12" s="1"/>
  <c r="H12" i="9"/>
  <c r="H11" i="12" s="1"/>
  <c r="G12" i="9"/>
  <c r="G11" i="12" s="1"/>
  <c r="F12" i="9"/>
  <c r="F11" i="12" s="1"/>
  <c r="E12" i="9"/>
  <c r="E11" i="12" s="1"/>
  <c r="D12" i="9"/>
  <c r="D11" i="12" s="1"/>
  <c r="C12" i="9"/>
  <c r="C11" i="12" s="1"/>
  <c r="B12" i="9"/>
  <c r="B11" i="12" s="1"/>
  <c r="T11" i="9"/>
  <c r="P11" i="9"/>
  <c r="O11" i="9"/>
  <c r="O10" i="12" s="1"/>
  <c r="P10" i="12" s="1"/>
  <c r="Q10" i="12" s="1"/>
  <c r="R10" i="12" s="1"/>
  <c r="S10" i="12" s="1"/>
  <c r="T10" i="12" s="1"/>
  <c r="U10" i="12" s="1"/>
  <c r="N11" i="9"/>
  <c r="N10" i="12" s="1"/>
  <c r="M11" i="9"/>
  <c r="M10" i="12" s="1"/>
  <c r="L11" i="9"/>
  <c r="L10" i="12" s="1"/>
  <c r="K11" i="9"/>
  <c r="K10" i="12" s="1"/>
  <c r="J11" i="9"/>
  <c r="J10" i="12" s="1"/>
  <c r="I11" i="9"/>
  <c r="I10" i="12" s="1"/>
  <c r="H11" i="9"/>
  <c r="H10" i="12" s="1"/>
  <c r="G11" i="9"/>
  <c r="G10" i="12" s="1"/>
  <c r="F11" i="9"/>
  <c r="F10" i="12" s="1"/>
  <c r="E11" i="9"/>
  <c r="E10" i="12" s="1"/>
  <c r="D11" i="9"/>
  <c r="D10" i="12" s="1"/>
  <c r="C11" i="9"/>
  <c r="C10" i="12" s="1"/>
  <c r="B11" i="9"/>
  <c r="B10" i="12" s="1"/>
  <c r="U10" i="9"/>
  <c r="T10" i="9"/>
  <c r="S10" i="9"/>
  <c r="Q10" i="9"/>
  <c r="P10" i="9"/>
  <c r="O10" i="9"/>
  <c r="O9" i="12" s="1"/>
  <c r="P9" i="12" s="1"/>
  <c r="Q9" i="12" s="1"/>
  <c r="R9" i="12" s="1"/>
  <c r="S9" i="12" s="1"/>
  <c r="T9" i="12" s="1"/>
  <c r="U9" i="12" s="1"/>
  <c r="V9" i="12" s="1"/>
  <c r="N10" i="9"/>
  <c r="N9" i="12" s="1"/>
  <c r="M10" i="9"/>
  <c r="M9" i="12" s="1"/>
  <c r="L10" i="9"/>
  <c r="L9" i="12" s="1"/>
  <c r="K10" i="9"/>
  <c r="K9" i="12" s="1"/>
  <c r="J10" i="9"/>
  <c r="J9" i="12" s="1"/>
  <c r="I10" i="9"/>
  <c r="I9" i="12" s="1"/>
  <c r="H10" i="9"/>
  <c r="H9" i="12" s="1"/>
  <c r="G10" i="9"/>
  <c r="G9" i="12" s="1"/>
  <c r="F10" i="9"/>
  <c r="F9" i="12" s="1"/>
  <c r="E10" i="9"/>
  <c r="E9" i="12" s="1"/>
  <c r="D10" i="9"/>
  <c r="D9" i="12" s="1"/>
  <c r="C10" i="9"/>
  <c r="C9" i="12" s="1"/>
  <c r="B10" i="9"/>
  <c r="B9" i="12" s="1"/>
  <c r="T9" i="9"/>
  <c r="P9" i="9"/>
  <c r="O9" i="9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N9" i="9"/>
  <c r="N8" i="12" s="1"/>
  <c r="M9" i="9"/>
  <c r="M8" i="12" s="1"/>
  <c r="L9" i="9"/>
  <c r="L8" i="12" s="1"/>
  <c r="K9" i="9"/>
  <c r="K8" i="12" s="1"/>
  <c r="J9" i="9"/>
  <c r="J8" i="12" s="1"/>
  <c r="I9" i="9"/>
  <c r="I8" i="12" s="1"/>
  <c r="H9" i="9"/>
  <c r="H8" i="12" s="1"/>
  <c r="G9" i="9"/>
  <c r="G8" i="12" s="1"/>
  <c r="F9" i="9"/>
  <c r="F8" i="12" s="1"/>
  <c r="E9" i="9"/>
  <c r="E8" i="12" s="1"/>
  <c r="D9" i="9"/>
  <c r="D8" i="12" s="1"/>
  <c r="C9" i="9"/>
  <c r="C8" i="12" s="1"/>
  <c r="B9" i="9"/>
  <c r="B8" i="12" s="1"/>
  <c r="O8" i="9"/>
  <c r="O7" i="12" s="1"/>
  <c r="N8" i="9"/>
  <c r="N7" i="12" s="1"/>
  <c r="M8" i="9"/>
  <c r="M7" i="12" s="1"/>
  <c r="L8" i="9"/>
  <c r="L7" i="12" s="1"/>
  <c r="K8" i="9"/>
  <c r="K7" i="12" s="1"/>
  <c r="J8" i="9"/>
  <c r="J7" i="12" s="1"/>
  <c r="I8" i="9"/>
  <c r="I7" i="12" s="1"/>
  <c r="H8" i="9"/>
  <c r="H7" i="12" s="1"/>
  <c r="G8" i="9"/>
  <c r="G7" i="12" s="1"/>
  <c r="F8" i="9"/>
  <c r="F7" i="12" s="1"/>
  <c r="E8" i="9"/>
  <c r="E7" i="12" s="1"/>
  <c r="D8" i="9"/>
  <c r="D7" i="12" s="1"/>
  <c r="C8" i="9"/>
  <c r="C7" i="12" s="1"/>
  <c r="B8" i="9"/>
  <c r="B7" i="12" s="1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O5" i="9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N5" i="9"/>
  <c r="M5" i="9"/>
  <c r="L5" i="9"/>
  <c r="K5" i="9"/>
  <c r="J5" i="9"/>
  <c r="I5" i="9"/>
  <c r="H5" i="9"/>
  <c r="G5" i="9"/>
  <c r="F5" i="9"/>
  <c r="E5" i="9"/>
  <c r="D5" i="9"/>
  <c r="C5" i="9"/>
  <c r="C5" i="12" s="1"/>
  <c r="B5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AL3" i="9"/>
  <c r="AK3" i="9"/>
  <c r="AI3" i="9"/>
  <c r="AH3" i="9"/>
  <c r="AG3" i="9"/>
  <c r="AF3" i="9"/>
  <c r="AB3" i="9"/>
  <c r="Z3" i="9"/>
  <c r="Y3" i="9"/>
  <c r="W3" i="9"/>
  <c r="V3" i="9"/>
  <c r="U3" i="9"/>
  <c r="T3" i="9"/>
  <c r="S3" i="9"/>
  <c r="Q3" i="9"/>
  <c r="P3" i="9"/>
  <c r="O3" i="9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AG3" i="12" s="1"/>
  <c r="AH3" i="12" s="1"/>
  <c r="AI3" i="12" s="1"/>
  <c r="AJ3" i="12" s="1"/>
  <c r="AK3" i="12" s="1"/>
  <c r="AL3" i="12" s="1"/>
  <c r="N3" i="9"/>
  <c r="N3" i="12" s="1"/>
  <c r="M3" i="9"/>
  <c r="M3" i="12" s="1"/>
  <c r="L3" i="9"/>
  <c r="L3" i="12" s="1"/>
  <c r="K3" i="9"/>
  <c r="K3" i="12" s="1"/>
  <c r="J3" i="9"/>
  <c r="J3" i="12" s="1"/>
  <c r="I3" i="9"/>
  <c r="I3" i="12" s="1"/>
  <c r="H3" i="9"/>
  <c r="H3" i="12" s="1"/>
  <c r="G3" i="9"/>
  <c r="G3" i="12" s="1"/>
  <c r="F3" i="9"/>
  <c r="F3" i="12" s="1"/>
  <c r="E3" i="9"/>
  <c r="E3" i="12" s="1"/>
  <c r="D3" i="9"/>
  <c r="D3" i="12" s="1"/>
  <c r="C3" i="9"/>
  <c r="C3" i="12" s="1"/>
  <c r="B3" i="9"/>
  <c r="B3" i="12" s="1"/>
  <c r="O2" i="9"/>
  <c r="O2" i="12" s="1"/>
  <c r="N2" i="9"/>
  <c r="N2" i="12" s="1"/>
  <c r="M2" i="9"/>
  <c r="M2" i="12" s="1"/>
  <c r="L2" i="9"/>
  <c r="L2" i="12" s="1"/>
  <c r="K2" i="9"/>
  <c r="K2" i="12" s="1"/>
  <c r="J2" i="9"/>
  <c r="J2" i="12" s="1"/>
  <c r="I2" i="9"/>
  <c r="I2" i="12" s="1"/>
  <c r="H2" i="9"/>
  <c r="H2" i="12" s="1"/>
  <c r="G2" i="9"/>
  <c r="G2" i="12" s="1"/>
  <c r="F2" i="9"/>
  <c r="F2" i="12" s="1"/>
  <c r="E2" i="9"/>
  <c r="E2" i="12" s="1"/>
  <c r="D2" i="9"/>
  <c r="D2" i="12" s="1"/>
  <c r="C2" i="9"/>
  <c r="C2" i="12" s="1"/>
  <c r="B2" i="9"/>
  <c r="B2" i="12" s="1"/>
  <c r="R14" i="8"/>
  <c r="S10" i="11" s="1"/>
  <c r="T10" i="11" s="1"/>
  <c r="U10" i="11" s="1"/>
  <c r="Q14" i="8"/>
  <c r="R10" i="11" s="1"/>
  <c r="P14" i="8"/>
  <c r="Q10" i="11" s="1"/>
  <c r="O14" i="8"/>
  <c r="P10" i="11" s="1"/>
  <c r="N14" i="8"/>
  <c r="O10" i="11" s="1"/>
  <c r="M14" i="8"/>
  <c r="N10" i="11" s="1"/>
  <c r="L14" i="8"/>
  <c r="M10" i="11" s="1"/>
  <c r="K14" i="8"/>
  <c r="L10" i="11" s="1"/>
  <c r="J14" i="8"/>
  <c r="K10" i="11" s="1"/>
  <c r="I14" i="8"/>
  <c r="J10" i="11" s="1"/>
  <c r="H14" i="8"/>
  <c r="I10" i="11" s="1"/>
  <c r="G14" i="8"/>
  <c r="H10" i="11" s="1"/>
  <c r="F14" i="8"/>
  <c r="G10" i="11" s="1"/>
  <c r="E14" i="8"/>
  <c r="F10" i="11" s="1"/>
  <c r="D14" i="8"/>
  <c r="E10" i="11" s="1"/>
  <c r="C14" i="8"/>
  <c r="D10" i="11" s="1"/>
  <c r="B14" i="8"/>
  <c r="C10" i="11" s="1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S10" i="8"/>
  <c r="R10" i="8"/>
  <c r="S8" i="11" s="1"/>
  <c r="T8" i="11" s="1"/>
  <c r="U8" i="11" s="1"/>
  <c r="Q10" i="8"/>
  <c r="R8" i="11" s="1"/>
  <c r="P10" i="8"/>
  <c r="Q8" i="11" s="1"/>
  <c r="O10" i="8"/>
  <c r="P8" i="11" s="1"/>
  <c r="N10" i="8"/>
  <c r="O8" i="11" s="1"/>
  <c r="M10" i="8"/>
  <c r="N8" i="11" s="1"/>
  <c r="L10" i="8"/>
  <c r="M8" i="11" s="1"/>
  <c r="K10" i="8"/>
  <c r="L8" i="11" s="1"/>
  <c r="J10" i="8"/>
  <c r="K8" i="11" s="1"/>
  <c r="I10" i="8"/>
  <c r="J8" i="11" s="1"/>
  <c r="H10" i="8"/>
  <c r="I8" i="11" s="1"/>
  <c r="G10" i="8"/>
  <c r="H8" i="11" s="1"/>
  <c r="F10" i="8"/>
  <c r="G8" i="11" s="1"/>
  <c r="E10" i="8"/>
  <c r="F8" i="11" s="1"/>
  <c r="D10" i="8"/>
  <c r="E8" i="11" s="1"/>
  <c r="C10" i="8"/>
  <c r="D8" i="11" s="1"/>
  <c r="B10" i="8"/>
  <c r="C8" i="11" s="1"/>
  <c r="AO9" i="8"/>
  <c r="AN9" i="8"/>
  <c r="AM9" i="8"/>
  <c r="AL9" i="8"/>
  <c r="AH9" i="8"/>
  <c r="AF9" i="8"/>
  <c r="AC9" i="8"/>
  <c r="AB9" i="8"/>
  <c r="AA9" i="8"/>
  <c r="Z9" i="8"/>
  <c r="I9" i="2" s="1"/>
  <c r="Y9" i="8"/>
  <c r="W9" i="8"/>
  <c r="V9" i="8"/>
  <c r="T9" i="8"/>
  <c r="R9" i="8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Q9" i="8"/>
  <c r="R7" i="11" s="1"/>
  <c r="P9" i="8"/>
  <c r="Q7" i="11" s="1"/>
  <c r="O9" i="8"/>
  <c r="P7" i="11" s="1"/>
  <c r="N9" i="8"/>
  <c r="O7" i="11" s="1"/>
  <c r="M9" i="8"/>
  <c r="N7" i="11" s="1"/>
  <c r="L9" i="8"/>
  <c r="M7" i="11" s="1"/>
  <c r="K9" i="8"/>
  <c r="L7" i="11" s="1"/>
  <c r="J9" i="8"/>
  <c r="K7" i="11" s="1"/>
  <c r="I9" i="8"/>
  <c r="J7" i="11" s="1"/>
  <c r="H9" i="8"/>
  <c r="I7" i="11" s="1"/>
  <c r="G9" i="8"/>
  <c r="H7" i="11" s="1"/>
  <c r="F9" i="8"/>
  <c r="G7" i="11" s="1"/>
  <c r="E9" i="8"/>
  <c r="F7" i="11" s="1"/>
  <c r="D9" i="8"/>
  <c r="E7" i="11" s="1"/>
  <c r="C9" i="8"/>
  <c r="D7" i="11" s="1"/>
  <c r="B9" i="8"/>
  <c r="C7" i="11" s="1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O6" i="8"/>
  <c r="AN6" i="8"/>
  <c r="AM6" i="8"/>
  <c r="AL6" i="8"/>
  <c r="AK6" i="8"/>
  <c r="AJ6" i="8"/>
  <c r="AI6" i="8"/>
  <c r="AH6" i="8"/>
  <c r="AG6" i="8"/>
  <c r="AF6" i="8"/>
  <c r="AE6" i="8"/>
  <c r="AD6" i="8"/>
  <c r="J6" i="2" s="1"/>
  <c r="AC6" i="8"/>
  <c r="AB6" i="8"/>
  <c r="AA6" i="8"/>
  <c r="Z6" i="8"/>
  <c r="Y6" i="8"/>
  <c r="X6" i="8"/>
  <c r="W6" i="8"/>
  <c r="V6" i="8"/>
  <c r="H6" i="2" s="1"/>
  <c r="U6" i="8"/>
  <c r="T6" i="8"/>
  <c r="S6" i="8"/>
  <c r="R6" i="8"/>
  <c r="S5" i="11" s="1"/>
  <c r="Q6" i="8"/>
  <c r="R5" i="11" s="1"/>
  <c r="P6" i="8"/>
  <c r="Q5" i="11" s="1"/>
  <c r="O6" i="8"/>
  <c r="P5" i="11" s="1"/>
  <c r="N6" i="8"/>
  <c r="O5" i="11" s="1"/>
  <c r="M6" i="8"/>
  <c r="N5" i="11" s="1"/>
  <c r="L6" i="8"/>
  <c r="M5" i="11" s="1"/>
  <c r="K6" i="8"/>
  <c r="L5" i="11" s="1"/>
  <c r="J6" i="8"/>
  <c r="K5" i="11" s="1"/>
  <c r="I6" i="8"/>
  <c r="J5" i="11" s="1"/>
  <c r="H6" i="8"/>
  <c r="I5" i="11" s="1"/>
  <c r="G6" i="8"/>
  <c r="H5" i="11" s="1"/>
  <c r="F6" i="8"/>
  <c r="G5" i="11" s="1"/>
  <c r="E6" i="8"/>
  <c r="F5" i="11" s="1"/>
  <c r="D6" i="8"/>
  <c r="E5" i="11" s="1"/>
  <c r="C6" i="8"/>
  <c r="D5" i="11" s="1"/>
  <c r="B6" i="8"/>
  <c r="C5" i="11" s="1"/>
  <c r="R5" i="8"/>
  <c r="Q5" i="8"/>
  <c r="P5" i="8"/>
  <c r="O5" i="8"/>
  <c r="N5" i="8"/>
  <c r="M5" i="8"/>
  <c r="N4" i="11" s="1"/>
  <c r="L5" i="8"/>
  <c r="M4" i="11" s="1"/>
  <c r="K5" i="8"/>
  <c r="J5" i="8"/>
  <c r="I5" i="8"/>
  <c r="H5" i="8"/>
  <c r="G5" i="8"/>
  <c r="H4" i="11" s="1"/>
  <c r="F5" i="8"/>
  <c r="E5" i="8"/>
  <c r="D5" i="8"/>
  <c r="C5" i="8"/>
  <c r="B5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R2" i="8"/>
  <c r="Q2" i="8"/>
  <c r="R2" i="11" s="1"/>
  <c r="P2" i="8"/>
  <c r="O2" i="8"/>
  <c r="N2" i="8"/>
  <c r="M2" i="8"/>
  <c r="L2" i="8"/>
  <c r="K2" i="8"/>
  <c r="J2" i="8"/>
  <c r="I2" i="8"/>
  <c r="H2" i="8"/>
  <c r="I2" i="11" s="1"/>
  <c r="G2" i="8"/>
  <c r="F2" i="8"/>
  <c r="E2" i="8"/>
  <c r="F2" i="11" s="1"/>
  <c r="D2" i="8"/>
  <c r="C2" i="8"/>
  <c r="B2" i="8"/>
  <c r="N46" i="7"/>
  <c r="R46" i="10" s="1"/>
  <c r="M46" i="7"/>
  <c r="L46" i="7"/>
  <c r="O46" i="10" s="1"/>
  <c r="K46" i="7"/>
  <c r="N46" i="10" s="1"/>
  <c r="J46" i="7"/>
  <c r="I46" i="7"/>
  <c r="H46" i="7"/>
  <c r="J46" i="10" s="1"/>
  <c r="G46" i="7"/>
  <c r="F46" i="7"/>
  <c r="E46" i="7"/>
  <c r="F46" i="10" s="1"/>
  <c r="D46" i="7"/>
  <c r="C46" i="7"/>
  <c r="B46" i="7"/>
  <c r="B46" i="10" s="1"/>
  <c r="N34" i="7"/>
  <c r="R34" i="10" s="1"/>
  <c r="M34" i="7"/>
  <c r="P34" i="10" s="1"/>
  <c r="L34" i="7"/>
  <c r="K34" i="7"/>
  <c r="J34" i="7"/>
  <c r="I34" i="7"/>
  <c r="K34" i="10" s="1"/>
  <c r="H34" i="7"/>
  <c r="J34" i="10" s="1"/>
  <c r="G34" i="7"/>
  <c r="F34" i="7"/>
  <c r="E34" i="7"/>
  <c r="F34" i="10" s="1"/>
  <c r="D34" i="7"/>
  <c r="C34" i="7"/>
  <c r="C34" i="10" s="1"/>
  <c r="B34" i="7"/>
  <c r="B34" i="10" s="1"/>
  <c r="N26" i="7"/>
  <c r="M26" i="7"/>
  <c r="L26" i="7"/>
  <c r="K26" i="7"/>
  <c r="N26" i="10" s="1"/>
  <c r="J26" i="7"/>
  <c r="L26" i="10" s="1"/>
  <c r="I26" i="7"/>
  <c r="H26" i="7"/>
  <c r="J26" i="10" s="1"/>
  <c r="G26" i="7"/>
  <c r="F26" i="7"/>
  <c r="F48" i="7" s="1"/>
  <c r="E26" i="7"/>
  <c r="D26" i="7"/>
  <c r="D26" i="10" s="1"/>
  <c r="C26" i="7"/>
  <c r="B26" i="7"/>
  <c r="B26" i="10" s="1"/>
  <c r="O28" i="6"/>
  <c r="O28" i="9" s="1"/>
  <c r="N28" i="6"/>
  <c r="M28" i="6"/>
  <c r="M28" i="9" s="1"/>
  <c r="L28" i="6"/>
  <c r="L28" i="9" s="1"/>
  <c r="K28" i="6"/>
  <c r="K28" i="9" s="1"/>
  <c r="J28" i="6"/>
  <c r="I28" i="6"/>
  <c r="I28" i="9" s="1"/>
  <c r="H28" i="6"/>
  <c r="H28" i="9" s="1"/>
  <c r="G28" i="6"/>
  <c r="G28" i="9" s="1"/>
  <c r="F28" i="6"/>
  <c r="E28" i="6"/>
  <c r="E28" i="9" s="1"/>
  <c r="D28" i="6"/>
  <c r="D28" i="9" s="1"/>
  <c r="C28" i="6"/>
  <c r="C28" i="9" s="1"/>
  <c r="B28" i="6"/>
  <c r="O21" i="6"/>
  <c r="O21" i="9" s="1"/>
  <c r="C21" i="6"/>
  <c r="C21" i="9" s="1"/>
  <c r="O17" i="6"/>
  <c r="O17" i="9" s="1"/>
  <c r="N17" i="6"/>
  <c r="N21" i="6" s="1"/>
  <c r="N29" i="6" s="1"/>
  <c r="M17" i="6"/>
  <c r="L17" i="6"/>
  <c r="L17" i="9" s="1"/>
  <c r="K17" i="6"/>
  <c r="K17" i="9" s="1"/>
  <c r="J17" i="6"/>
  <c r="J21" i="6" s="1"/>
  <c r="J29" i="6" s="1"/>
  <c r="I17" i="6"/>
  <c r="I17" i="9" s="1"/>
  <c r="H17" i="6"/>
  <c r="H17" i="9" s="1"/>
  <c r="G17" i="6"/>
  <c r="G17" i="9" s="1"/>
  <c r="F17" i="6"/>
  <c r="F21" i="6" s="1"/>
  <c r="F29" i="6" s="1"/>
  <c r="E17" i="6"/>
  <c r="E21" i="6" s="1"/>
  <c r="D17" i="6"/>
  <c r="C17" i="6"/>
  <c r="C17" i="9" s="1"/>
  <c r="B17" i="6"/>
  <c r="B21" i="6" s="1"/>
  <c r="B29" i="6" s="1"/>
  <c r="O14" i="6"/>
  <c r="O14" i="9" s="1"/>
  <c r="C14" i="6"/>
  <c r="C14" i="9" s="1"/>
  <c r="O7" i="6"/>
  <c r="O7" i="9" s="1"/>
  <c r="N7" i="6"/>
  <c r="N14" i="6" s="1"/>
  <c r="M7" i="6"/>
  <c r="M7" i="9" s="1"/>
  <c r="L7" i="6"/>
  <c r="L7" i="9" s="1"/>
  <c r="K7" i="6"/>
  <c r="K7" i="9" s="1"/>
  <c r="J7" i="6"/>
  <c r="J14" i="6" s="1"/>
  <c r="I7" i="6"/>
  <c r="I7" i="9" s="1"/>
  <c r="H7" i="6"/>
  <c r="G7" i="6"/>
  <c r="G7" i="9" s="1"/>
  <c r="F7" i="6"/>
  <c r="F14" i="6" s="1"/>
  <c r="E7" i="6"/>
  <c r="D7" i="6"/>
  <c r="D7" i="9" s="1"/>
  <c r="C7" i="6"/>
  <c r="C7" i="9" s="1"/>
  <c r="B7" i="6"/>
  <c r="B14" i="6" s="1"/>
  <c r="N8" i="5"/>
  <c r="N11" i="5" s="1"/>
  <c r="R11" i="8" s="1"/>
  <c r="N4" i="5"/>
  <c r="R4" i="8" s="1"/>
  <c r="M4" i="5"/>
  <c r="M8" i="5" s="1"/>
  <c r="L4" i="5"/>
  <c r="O4" i="8" s="1"/>
  <c r="K4" i="5"/>
  <c r="N4" i="8" s="1"/>
  <c r="J4" i="5"/>
  <c r="J8" i="5" s="1"/>
  <c r="I4" i="5"/>
  <c r="L4" i="8" s="1"/>
  <c r="H4" i="5"/>
  <c r="H8" i="5" s="1"/>
  <c r="G4" i="5"/>
  <c r="F4" i="5"/>
  <c r="G4" i="8" s="1"/>
  <c r="E4" i="5"/>
  <c r="D4" i="5"/>
  <c r="D4" i="8" s="1"/>
  <c r="C4" i="5"/>
  <c r="C8" i="5" s="1"/>
  <c r="B4" i="5"/>
  <c r="B4" i="8" s="1"/>
  <c r="F46" i="4"/>
  <c r="Q46" i="10" s="1"/>
  <c r="E46" i="4"/>
  <c r="D46" i="4"/>
  <c r="I46" i="10" s="1"/>
  <c r="C46" i="4"/>
  <c r="E46" i="10" s="1"/>
  <c r="B46" i="4"/>
  <c r="L45" i="4"/>
  <c r="K45" i="4"/>
  <c r="J45" i="4"/>
  <c r="I45" i="4"/>
  <c r="H45" i="4"/>
  <c r="G45" i="4"/>
  <c r="L44" i="4"/>
  <c r="K44" i="4"/>
  <c r="J44" i="4"/>
  <c r="I44" i="4"/>
  <c r="H44" i="4"/>
  <c r="G44" i="4"/>
  <c r="L43" i="4"/>
  <c r="K43" i="4"/>
  <c r="J43" i="4"/>
  <c r="I43" i="4"/>
  <c r="H43" i="4"/>
  <c r="G43" i="4"/>
  <c r="L42" i="4"/>
  <c r="K42" i="4"/>
  <c r="J42" i="4"/>
  <c r="I42" i="4"/>
  <c r="H42" i="4"/>
  <c r="G42" i="4"/>
  <c r="L40" i="4"/>
  <c r="K40" i="4"/>
  <c r="J40" i="4"/>
  <c r="I40" i="4"/>
  <c r="H40" i="4"/>
  <c r="G40" i="4"/>
  <c r="L39" i="4"/>
  <c r="K39" i="4"/>
  <c r="J39" i="4"/>
  <c r="I39" i="4"/>
  <c r="H39" i="4"/>
  <c r="G39" i="4"/>
  <c r="L38" i="4"/>
  <c r="K38" i="4"/>
  <c r="J38" i="4"/>
  <c r="I38" i="4"/>
  <c r="H38" i="4"/>
  <c r="G38" i="4"/>
  <c r="L37" i="4"/>
  <c r="K37" i="4"/>
  <c r="J37" i="4"/>
  <c r="I37" i="4"/>
  <c r="H37" i="4"/>
  <c r="G37" i="4"/>
  <c r="L36" i="4"/>
  <c r="K36" i="4"/>
  <c r="J36" i="4"/>
  <c r="I36" i="4"/>
  <c r="H36" i="4"/>
  <c r="G36" i="4"/>
  <c r="L35" i="4"/>
  <c r="K35" i="4"/>
  <c r="J35" i="4"/>
  <c r="I35" i="4"/>
  <c r="H35" i="4"/>
  <c r="G35" i="4"/>
  <c r="F34" i="4"/>
  <c r="E34" i="4"/>
  <c r="D34" i="4"/>
  <c r="C34" i="4"/>
  <c r="B34" i="4"/>
  <c r="L33" i="4"/>
  <c r="K33" i="4"/>
  <c r="J33" i="4"/>
  <c r="I33" i="4"/>
  <c r="H33" i="4"/>
  <c r="G33" i="4"/>
  <c r="L32" i="4"/>
  <c r="K32" i="4"/>
  <c r="J32" i="4"/>
  <c r="I32" i="4"/>
  <c r="H32" i="4"/>
  <c r="G32" i="4"/>
  <c r="L31" i="4"/>
  <c r="K31" i="4"/>
  <c r="J31" i="4"/>
  <c r="I31" i="4"/>
  <c r="H31" i="4"/>
  <c r="G31" i="4"/>
  <c r="L30" i="4"/>
  <c r="K30" i="4"/>
  <c r="J30" i="4"/>
  <c r="I30" i="4"/>
  <c r="H30" i="4"/>
  <c r="G30" i="4"/>
  <c r="L29" i="4"/>
  <c r="K29" i="4"/>
  <c r="J29" i="4"/>
  <c r="I29" i="4"/>
  <c r="H29" i="4"/>
  <c r="G29" i="4"/>
  <c r="L28" i="4"/>
  <c r="K28" i="4"/>
  <c r="J28" i="4"/>
  <c r="I28" i="4"/>
  <c r="H28" i="4"/>
  <c r="G28" i="4"/>
  <c r="F26" i="4"/>
  <c r="F48" i="4" s="1"/>
  <c r="E26" i="4"/>
  <c r="D26" i="4"/>
  <c r="I26" i="10" s="1"/>
  <c r="C26" i="4"/>
  <c r="B26" i="4"/>
  <c r="L24" i="4"/>
  <c r="K24" i="4"/>
  <c r="J24" i="4"/>
  <c r="I24" i="4"/>
  <c r="H24" i="4"/>
  <c r="G24" i="4"/>
  <c r="L19" i="4"/>
  <c r="K19" i="4"/>
  <c r="J19" i="4"/>
  <c r="I19" i="4"/>
  <c r="H19" i="4"/>
  <c r="G19" i="4"/>
  <c r="L18" i="4"/>
  <c r="K18" i="4"/>
  <c r="J18" i="4"/>
  <c r="I18" i="4"/>
  <c r="G18" i="4"/>
  <c r="L16" i="4"/>
  <c r="K16" i="4"/>
  <c r="J16" i="4"/>
  <c r="I16" i="4"/>
  <c r="H16" i="4"/>
  <c r="G16" i="4"/>
  <c r="L15" i="4"/>
  <c r="K15" i="4"/>
  <c r="J15" i="4"/>
  <c r="I15" i="4"/>
  <c r="H15" i="4"/>
  <c r="G15" i="4"/>
  <c r="L14" i="4"/>
  <c r="K14" i="4"/>
  <c r="J14" i="4"/>
  <c r="I14" i="4"/>
  <c r="H14" i="4"/>
  <c r="G14" i="4"/>
  <c r="L13" i="4"/>
  <c r="K13" i="4"/>
  <c r="J13" i="4"/>
  <c r="I13" i="4"/>
  <c r="H13" i="4"/>
  <c r="G13" i="4"/>
  <c r="L12" i="4"/>
  <c r="K12" i="4"/>
  <c r="I12" i="4"/>
  <c r="H12" i="4"/>
  <c r="G12" i="4"/>
  <c r="L11" i="4"/>
  <c r="K11" i="4"/>
  <c r="J11" i="4"/>
  <c r="I11" i="4"/>
  <c r="G11" i="4"/>
  <c r="L9" i="4"/>
  <c r="K9" i="4"/>
  <c r="J9" i="4"/>
  <c r="I9" i="4"/>
  <c r="H9" i="4"/>
  <c r="G9" i="4"/>
  <c r="L8" i="4"/>
  <c r="K8" i="4"/>
  <c r="J8" i="4"/>
  <c r="I8" i="4"/>
  <c r="H8" i="4"/>
  <c r="G8" i="4"/>
  <c r="L7" i="4"/>
  <c r="K7" i="4"/>
  <c r="I7" i="4"/>
  <c r="H7" i="4"/>
  <c r="G7" i="4"/>
  <c r="L6" i="4"/>
  <c r="K6" i="4"/>
  <c r="J6" i="4"/>
  <c r="I6" i="4"/>
  <c r="G6" i="4"/>
  <c r="K5" i="4"/>
  <c r="J5" i="4"/>
  <c r="H5" i="4"/>
  <c r="G5" i="4"/>
  <c r="L4" i="4"/>
  <c r="K4" i="4"/>
  <c r="I4" i="4"/>
  <c r="G4" i="4"/>
  <c r="E28" i="3"/>
  <c r="N28" i="9" s="1"/>
  <c r="D28" i="3"/>
  <c r="J28" i="9" s="1"/>
  <c r="C28" i="3"/>
  <c r="F28" i="9" s="1"/>
  <c r="B28" i="3"/>
  <c r="B28" i="9" s="1"/>
  <c r="H27" i="3"/>
  <c r="F27" i="3"/>
  <c r="C21" i="3"/>
  <c r="E17" i="3"/>
  <c r="D17" i="3"/>
  <c r="J17" i="9" s="1"/>
  <c r="C17" i="3"/>
  <c r="F17" i="9" s="1"/>
  <c r="B17" i="3"/>
  <c r="B17" i="9" s="1"/>
  <c r="D14" i="3"/>
  <c r="J14" i="9" s="1"/>
  <c r="C14" i="3"/>
  <c r="F14" i="9" s="1"/>
  <c r="E7" i="3"/>
  <c r="N7" i="9" s="1"/>
  <c r="D7" i="3"/>
  <c r="J7" i="9" s="1"/>
  <c r="C7" i="3"/>
  <c r="F7" i="9" s="1"/>
  <c r="B7" i="3"/>
  <c r="K3" i="3"/>
  <c r="J3" i="3"/>
  <c r="H3" i="3"/>
  <c r="G3" i="3"/>
  <c r="E11" i="2"/>
  <c r="E8" i="2"/>
  <c r="M8" i="8" s="1"/>
  <c r="C8" i="2"/>
  <c r="C11" i="2" s="1"/>
  <c r="I6" i="2"/>
  <c r="F4" i="2"/>
  <c r="F8" i="2" s="1"/>
  <c r="Q8" i="8" s="1"/>
  <c r="E4" i="2"/>
  <c r="D4" i="2"/>
  <c r="I4" i="8" s="1"/>
  <c r="C4" i="2"/>
  <c r="E4" i="8" s="1"/>
  <c r="B4" i="2"/>
  <c r="B8" i="2" s="1"/>
  <c r="B11" i="2" s="1"/>
  <c r="B13" i="2" s="1"/>
  <c r="B15" i="2" s="1"/>
  <c r="J8" i="8" l="1"/>
  <c r="H11" i="5"/>
  <c r="L8" i="5"/>
  <c r="P8" i="8" s="1"/>
  <c r="P4" i="8"/>
  <c r="E6" i="11"/>
  <c r="Q6" i="11"/>
  <c r="I5" i="12"/>
  <c r="M14" i="12"/>
  <c r="G17" i="12"/>
  <c r="C29" i="6"/>
  <c r="C29" i="9" s="1"/>
  <c r="Z47" i="10"/>
  <c r="F11" i="2"/>
  <c r="O26" i="10"/>
  <c r="L46" i="10"/>
  <c r="M4" i="12"/>
  <c r="R9" i="9"/>
  <c r="F9" i="3" s="1"/>
  <c r="AA47" i="10"/>
  <c r="E14" i="3"/>
  <c r="N14" i="9" s="1"/>
  <c r="M26" i="10"/>
  <c r="N13" i="5"/>
  <c r="O29" i="6"/>
  <c r="O29" i="9" s="1"/>
  <c r="O3" i="11"/>
  <c r="K6" i="2"/>
  <c r="H6" i="11"/>
  <c r="R8" i="8"/>
  <c r="S9" i="9"/>
  <c r="P21" i="12"/>
  <c r="P25" i="9" s="1"/>
  <c r="AC47" i="10"/>
  <c r="M4" i="8"/>
  <c r="J2" i="11"/>
  <c r="E3" i="11"/>
  <c r="Q3" i="11"/>
  <c r="J6" i="11"/>
  <c r="V9" i="9"/>
  <c r="G9" i="3" s="1"/>
  <c r="S11" i="9"/>
  <c r="AD27" i="9"/>
  <c r="I27" i="3" s="1"/>
  <c r="AE47" i="10"/>
  <c r="G21" i="6"/>
  <c r="F3" i="11"/>
  <c r="K6" i="11"/>
  <c r="Y9" i="9"/>
  <c r="AE27" i="9"/>
  <c r="AI47" i="10"/>
  <c r="I34" i="10"/>
  <c r="C8" i="8"/>
  <c r="B8" i="5"/>
  <c r="B8" i="8" s="1"/>
  <c r="D14" i="6"/>
  <c r="D14" i="9" s="1"/>
  <c r="K21" i="6"/>
  <c r="K21" i="9" s="1"/>
  <c r="B48" i="7"/>
  <c r="B48" i="10" s="1"/>
  <c r="L2" i="11"/>
  <c r="AI9" i="8"/>
  <c r="AC3" i="9"/>
  <c r="AG27" i="9"/>
  <c r="AK47" i="10"/>
  <c r="B21" i="3"/>
  <c r="B21" i="9" s="1"/>
  <c r="M34" i="10"/>
  <c r="D8" i="5"/>
  <c r="L21" i="6"/>
  <c r="L21" i="9" s="1"/>
  <c r="L6" i="2"/>
  <c r="M6" i="11"/>
  <c r="AK9" i="8"/>
  <c r="AE3" i="9"/>
  <c r="G4" i="12"/>
  <c r="E5" i="12"/>
  <c r="I14" i="12"/>
  <c r="AJ27" i="9"/>
  <c r="AL47" i="10"/>
  <c r="L47" i="4" s="1"/>
  <c r="F8" i="5"/>
  <c r="F11" i="5" s="1"/>
  <c r="G14" i="6"/>
  <c r="G14" i="9" s="1"/>
  <c r="L48" i="7"/>
  <c r="J4" i="8"/>
  <c r="N6" i="11"/>
  <c r="AM47" i="10"/>
  <c r="O2" i="11"/>
  <c r="K4" i="8"/>
  <c r="L9" i="2"/>
  <c r="E17" i="12"/>
  <c r="S47" i="10"/>
  <c r="AN47" i="10"/>
  <c r="I8" i="5"/>
  <c r="K14" i="6"/>
  <c r="K14" i="9" s="1"/>
  <c r="K26" i="10"/>
  <c r="H46" i="10"/>
  <c r="K3" i="11"/>
  <c r="G6" i="2"/>
  <c r="W47" i="10"/>
  <c r="B14" i="3"/>
  <c r="B14" i="9" s="1"/>
  <c r="B7" i="9"/>
  <c r="D8" i="8"/>
  <c r="D11" i="5"/>
  <c r="E11" i="8" s="1"/>
  <c r="F9" i="11" s="1"/>
  <c r="L3" i="11"/>
  <c r="E8" i="5"/>
  <c r="F4" i="8"/>
  <c r="H7" i="9"/>
  <c r="H14" i="6"/>
  <c r="H14" i="9" s="1"/>
  <c r="R26" i="10"/>
  <c r="N48" i="7"/>
  <c r="R48" i="10" s="1"/>
  <c r="E8" i="8"/>
  <c r="E26" i="10"/>
  <c r="C48" i="4"/>
  <c r="E48" i="10" s="1"/>
  <c r="N15" i="5"/>
  <c r="R15" i="8" s="1"/>
  <c r="R13" i="8"/>
  <c r="R39" i="13" s="1"/>
  <c r="S39" i="13" s="1"/>
  <c r="T39" i="13" s="1"/>
  <c r="U39" i="13" s="1"/>
  <c r="V39" i="13" s="1"/>
  <c r="W39" i="13" s="1"/>
  <c r="X39" i="13" s="1"/>
  <c r="Y39" i="13" s="1"/>
  <c r="Z39" i="13" s="1"/>
  <c r="AA39" i="13" s="1"/>
  <c r="AB39" i="13" s="1"/>
  <c r="AC39" i="13" s="1"/>
  <c r="AD39" i="13" s="1"/>
  <c r="AE39" i="13" s="1"/>
  <c r="AF39" i="13" s="1"/>
  <c r="AG39" i="13" s="1"/>
  <c r="AH39" i="13" s="1"/>
  <c r="AI39" i="13" s="1"/>
  <c r="AJ39" i="13" s="1"/>
  <c r="AK39" i="13" s="1"/>
  <c r="AL39" i="13" s="1"/>
  <c r="AM39" i="13" s="1"/>
  <c r="AN39" i="13" s="1"/>
  <c r="AO39" i="13" s="1"/>
  <c r="H4" i="8"/>
  <c r="G8" i="5"/>
  <c r="K8" i="8"/>
  <c r="I11" i="5"/>
  <c r="L14" i="6"/>
  <c r="L14" i="9" s="1"/>
  <c r="C3" i="11"/>
  <c r="F26" i="10"/>
  <c r="E48" i="7"/>
  <c r="F48" i="10" s="1"/>
  <c r="C13" i="2"/>
  <c r="F13" i="2"/>
  <c r="Q11" i="8"/>
  <c r="R9" i="11" s="1"/>
  <c r="D8" i="2"/>
  <c r="D48" i="4"/>
  <c r="L8" i="8"/>
  <c r="J11" i="5"/>
  <c r="M11" i="8" s="1"/>
  <c r="N9" i="11" s="1"/>
  <c r="C11" i="5"/>
  <c r="L11" i="5"/>
  <c r="M17" i="9"/>
  <c r="M21" i="6"/>
  <c r="D17" i="9"/>
  <c r="D21" i="6"/>
  <c r="E13" i="2"/>
  <c r="D34" i="10"/>
  <c r="D48" i="7"/>
  <c r="J11" i="8"/>
  <c r="H13" i="5"/>
  <c r="E21" i="9"/>
  <c r="E29" i="6"/>
  <c r="E29" i="9" s="1"/>
  <c r="C46" i="10"/>
  <c r="C48" i="7"/>
  <c r="C48" i="10" s="1"/>
  <c r="M11" i="5"/>
  <c r="B48" i="4"/>
  <c r="M46" i="10"/>
  <c r="E48" i="4"/>
  <c r="E7" i="9"/>
  <c r="E14" i="6"/>
  <c r="E14" i="9" s="1"/>
  <c r="E21" i="3"/>
  <c r="N17" i="9"/>
  <c r="F21" i="9"/>
  <c r="C29" i="3"/>
  <c r="F29" i="9" s="1"/>
  <c r="H21" i="6"/>
  <c r="N34" i="10"/>
  <c r="K48" i="7"/>
  <c r="N48" i="10" s="1"/>
  <c r="G26" i="10"/>
  <c r="D46" i="10"/>
  <c r="D2" i="11"/>
  <c r="P2" i="11"/>
  <c r="D3" i="11"/>
  <c r="P3" i="11"/>
  <c r="C4" i="8"/>
  <c r="Q4" i="8"/>
  <c r="F4" i="11"/>
  <c r="R4" i="11"/>
  <c r="V10" i="11"/>
  <c r="T14" i="8"/>
  <c r="H12" i="12"/>
  <c r="Q13" i="12"/>
  <c r="P15" i="9"/>
  <c r="K8" i="5"/>
  <c r="H26" i="10"/>
  <c r="G34" i="10"/>
  <c r="G4" i="11"/>
  <c r="S4" i="1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V8" i="11"/>
  <c r="T10" i="8"/>
  <c r="S14" i="8"/>
  <c r="D4" i="12"/>
  <c r="E17" i="9"/>
  <c r="R3" i="11"/>
  <c r="B6" i="12"/>
  <c r="N6" i="12"/>
  <c r="B29" i="3"/>
  <c r="B29" i="9" s="1"/>
  <c r="G48" i="7"/>
  <c r="H48" i="10" s="1"/>
  <c r="G2" i="11"/>
  <c r="S2" i="11"/>
  <c r="T2" i="11" s="1"/>
  <c r="I4" i="11"/>
  <c r="F4" i="12"/>
  <c r="L29" i="6"/>
  <c r="L29" i="9" s="1"/>
  <c r="H48" i="7"/>
  <c r="J48" i="10" s="1"/>
  <c r="H2" i="11"/>
  <c r="H3" i="11"/>
  <c r="J4" i="11"/>
  <c r="D6" i="12"/>
  <c r="K14" i="12"/>
  <c r="Q26" i="10"/>
  <c r="I14" i="6"/>
  <c r="I14" i="9" s="1"/>
  <c r="L34" i="10"/>
  <c r="K46" i="10"/>
  <c r="I48" i="7"/>
  <c r="K48" i="10" s="1"/>
  <c r="I3" i="11"/>
  <c r="G6" i="11"/>
  <c r="S6" i="1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H4" i="12"/>
  <c r="F5" i="12"/>
  <c r="E6" i="12"/>
  <c r="J48" i="7"/>
  <c r="J3" i="11"/>
  <c r="L4" i="11"/>
  <c r="G5" i="12"/>
  <c r="F6" i="12"/>
  <c r="B12" i="12"/>
  <c r="N12" i="12"/>
  <c r="I17" i="12"/>
  <c r="E34" i="10"/>
  <c r="P26" i="10"/>
  <c r="O34" i="10"/>
  <c r="J4" i="12"/>
  <c r="H6" i="12"/>
  <c r="D12" i="12"/>
  <c r="C14" i="12"/>
  <c r="O14" i="12"/>
  <c r="P14" i="12" s="1"/>
  <c r="Q14" i="12" s="1"/>
  <c r="R14" i="12" s="1"/>
  <c r="S14" i="12" s="1"/>
  <c r="T14" i="12" s="1"/>
  <c r="U14" i="12" s="1"/>
  <c r="V14" i="12" s="1"/>
  <c r="W14" i="12" s="1"/>
  <c r="X14" i="12" s="1"/>
  <c r="Y14" i="12" s="1"/>
  <c r="Z14" i="12" s="1"/>
  <c r="AA14" i="12" s="1"/>
  <c r="AB14" i="12" s="1"/>
  <c r="AC14" i="12" s="1"/>
  <c r="AD14" i="12" s="1"/>
  <c r="AE14" i="12" s="1"/>
  <c r="AF14" i="12" s="1"/>
  <c r="AG14" i="12" s="1"/>
  <c r="AH14" i="12" s="1"/>
  <c r="AI14" i="12" s="1"/>
  <c r="AJ14" i="12" s="1"/>
  <c r="AK14" i="12" s="1"/>
  <c r="AL14" i="12" s="1"/>
  <c r="K17" i="12"/>
  <c r="D21" i="3"/>
  <c r="M14" i="6"/>
  <c r="M14" i="9" s="1"/>
  <c r="I21" i="6"/>
  <c r="C26" i="10"/>
  <c r="P46" i="10"/>
  <c r="M48" i="7"/>
  <c r="P48" i="10" s="1"/>
  <c r="M2" i="11"/>
  <c r="C4" i="11"/>
  <c r="O4" i="11"/>
  <c r="Q34" i="10"/>
  <c r="N2" i="11"/>
  <c r="N3" i="11"/>
  <c r="D4" i="11"/>
  <c r="P4" i="11"/>
  <c r="L6" i="11"/>
  <c r="F12" i="12"/>
  <c r="Q15" i="12"/>
  <c r="P18" i="9"/>
  <c r="K9" i="11"/>
  <c r="L5" i="12"/>
  <c r="K6" i="12"/>
  <c r="Q22" i="12"/>
  <c r="P26" i="9"/>
  <c r="L3" i="13"/>
  <c r="E12" i="12"/>
  <c r="B3" i="13"/>
  <c r="N3" i="13"/>
  <c r="I4" i="12"/>
  <c r="H5" i="12"/>
  <c r="G6" i="12"/>
  <c r="U9" i="9"/>
  <c r="B14" i="12"/>
  <c r="N14" i="12"/>
  <c r="Q16" i="12"/>
  <c r="P19" i="9"/>
  <c r="J17" i="12"/>
  <c r="C10" i="13"/>
  <c r="O10" i="13"/>
  <c r="K2" i="11"/>
  <c r="G3" i="11"/>
  <c r="S3" i="1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K4" i="11"/>
  <c r="C6" i="11"/>
  <c r="O6" i="11"/>
  <c r="AD9" i="8"/>
  <c r="S9" i="1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X3" i="9"/>
  <c r="AJ3" i="9"/>
  <c r="K4" i="12"/>
  <c r="J5" i="12"/>
  <c r="I6" i="12"/>
  <c r="W9" i="9"/>
  <c r="V10" i="12"/>
  <c r="U11" i="9"/>
  <c r="I12" i="12"/>
  <c r="E10" i="13"/>
  <c r="D6" i="11"/>
  <c r="P6" i="11"/>
  <c r="S9" i="8"/>
  <c r="G9" i="2" s="1"/>
  <c r="AE9" i="8"/>
  <c r="L4" i="12"/>
  <c r="K5" i="12"/>
  <c r="J6" i="12"/>
  <c r="X9" i="9"/>
  <c r="E14" i="12"/>
  <c r="Q11" i="9"/>
  <c r="K12" i="12"/>
  <c r="F14" i="12"/>
  <c r="B17" i="12"/>
  <c r="N17" i="12"/>
  <c r="G3" i="13"/>
  <c r="F6" i="11"/>
  <c r="R6" i="11"/>
  <c r="U9" i="8"/>
  <c r="AG9" i="8"/>
  <c r="AA3" i="9"/>
  <c r="B4" i="12"/>
  <c r="N4" i="12"/>
  <c r="M5" i="12"/>
  <c r="L6" i="12"/>
  <c r="W9" i="12"/>
  <c r="V10" i="9"/>
  <c r="G10" i="3" s="1"/>
  <c r="R11" i="9"/>
  <c r="F11" i="3" s="1"/>
  <c r="L12" i="12"/>
  <c r="C4" i="12"/>
  <c r="O4" i="12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B5" i="12"/>
  <c r="N5" i="12"/>
  <c r="M6" i="12"/>
  <c r="AA8" i="12"/>
  <c r="Z9" i="9"/>
  <c r="H9" i="3" s="1"/>
  <c r="M12" i="12"/>
  <c r="H14" i="12"/>
  <c r="D17" i="12"/>
  <c r="Q18" i="12"/>
  <c r="P22" i="9"/>
  <c r="I3" i="13"/>
  <c r="H34" i="10"/>
  <c r="G46" i="10"/>
  <c r="E2" i="11"/>
  <c r="Q2" i="11"/>
  <c r="M3" i="11"/>
  <c r="E4" i="11"/>
  <c r="Q4" i="11"/>
  <c r="I6" i="11"/>
  <c r="X9" i="8"/>
  <c r="H9" i="2" s="1"/>
  <c r="AJ9" i="8"/>
  <c r="K9" i="2" s="1"/>
  <c r="R3" i="9"/>
  <c r="F3" i="3" s="1"/>
  <c r="AD3" i="9"/>
  <c r="I3" i="3" s="1"/>
  <c r="E4" i="12"/>
  <c r="D5" i="12"/>
  <c r="C6" i="12"/>
  <c r="O6" i="12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AH6" i="12" s="1"/>
  <c r="AI6" i="12" s="1"/>
  <c r="AJ6" i="12" s="1"/>
  <c r="AK6" i="12" s="1"/>
  <c r="AL6" i="12" s="1"/>
  <c r="Q9" i="9"/>
  <c r="R10" i="9"/>
  <c r="F10" i="3" s="1"/>
  <c r="H10" i="13"/>
  <c r="AB17" i="10"/>
  <c r="AN17" i="10"/>
  <c r="J26" i="13"/>
  <c r="J12" i="12"/>
  <c r="G14" i="12"/>
  <c r="C17" i="12"/>
  <c r="O17" i="12"/>
  <c r="P17" i="12" s="1"/>
  <c r="Q17" i="12" s="1"/>
  <c r="R17" i="12" s="1"/>
  <c r="S17" i="12" s="1"/>
  <c r="T17" i="12" s="1"/>
  <c r="U17" i="12" s="1"/>
  <c r="V17" i="12" s="1"/>
  <c r="W17" i="12" s="1"/>
  <c r="X17" i="12" s="1"/>
  <c r="Y17" i="12" s="1"/>
  <c r="Z17" i="12" s="1"/>
  <c r="AA17" i="12" s="1"/>
  <c r="AB17" i="12" s="1"/>
  <c r="AC17" i="12" s="1"/>
  <c r="AD17" i="12" s="1"/>
  <c r="AE17" i="12" s="1"/>
  <c r="AF17" i="12" s="1"/>
  <c r="AG17" i="12" s="1"/>
  <c r="AH17" i="12" s="1"/>
  <c r="AI17" i="12" s="1"/>
  <c r="AJ17" i="12" s="1"/>
  <c r="AK17" i="12" s="1"/>
  <c r="AL17" i="12" s="1"/>
  <c r="T27" i="9"/>
  <c r="AF27" i="9"/>
  <c r="M3" i="13"/>
  <c r="I10" i="13"/>
  <c r="AC17" i="10"/>
  <c r="K26" i="13"/>
  <c r="J10" i="13"/>
  <c r="AD17" i="10"/>
  <c r="L26" i="13"/>
  <c r="V27" i="9"/>
  <c r="G27" i="3" s="1"/>
  <c r="AH27" i="9"/>
  <c r="J27" i="3" s="1"/>
  <c r="C3" i="13"/>
  <c r="O3" i="13"/>
  <c r="K10" i="13"/>
  <c r="S17" i="10"/>
  <c r="AE17" i="10"/>
  <c r="J14" i="12"/>
  <c r="F17" i="12"/>
  <c r="W27" i="9"/>
  <c r="AI27" i="9"/>
  <c r="D3" i="13"/>
  <c r="P3" i="13"/>
  <c r="L10" i="13"/>
  <c r="T17" i="10"/>
  <c r="AF17" i="10"/>
  <c r="B26" i="13"/>
  <c r="N26" i="13"/>
  <c r="E3" i="13"/>
  <c r="Q3" i="13"/>
  <c r="M10" i="13"/>
  <c r="C26" i="13"/>
  <c r="O26" i="13"/>
  <c r="C12" i="12"/>
  <c r="O12" i="12"/>
  <c r="P12" i="12" s="1"/>
  <c r="Q12" i="12" s="1"/>
  <c r="R12" i="12" s="1"/>
  <c r="S12" i="12" s="1"/>
  <c r="T12" i="12" s="1"/>
  <c r="U12" i="12" s="1"/>
  <c r="V12" i="12" s="1"/>
  <c r="W12" i="12" s="1"/>
  <c r="X12" i="12" s="1"/>
  <c r="Y12" i="12" s="1"/>
  <c r="Z12" i="12" s="1"/>
  <c r="AA12" i="12" s="1"/>
  <c r="AB12" i="12" s="1"/>
  <c r="AC12" i="12" s="1"/>
  <c r="AD12" i="12" s="1"/>
  <c r="AE12" i="12" s="1"/>
  <c r="AF12" i="12" s="1"/>
  <c r="AG12" i="12" s="1"/>
  <c r="AH12" i="12" s="1"/>
  <c r="AI12" i="12" s="1"/>
  <c r="AJ12" i="12" s="1"/>
  <c r="AK12" i="12" s="1"/>
  <c r="AL12" i="12" s="1"/>
  <c r="L14" i="12"/>
  <c r="H17" i="12"/>
  <c r="Y27" i="9"/>
  <c r="AK27" i="9"/>
  <c r="F3" i="13"/>
  <c r="R3" i="13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AI3" i="13" s="1"/>
  <c r="AJ3" i="13" s="1"/>
  <c r="AK3" i="13" s="1"/>
  <c r="AL3" i="13" s="1"/>
  <c r="AM3" i="13" s="1"/>
  <c r="AN3" i="13" s="1"/>
  <c r="AO3" i="13" s="1"/>
  <c r="B10" i="13"/>
  <c r="N10" i="13"/>
  <c r="D26" i="13"/>
  <c r="E26" i="13"/>
  <c r="Q26" i="13"/>
  <c r="AA27" i="9"/>
  <c r="H3" i="13"/>
  <c r="D10" i="13"/>
  <c r="P10" i="13"/>
  <c r="X17" i="10"/>
  <c r="H17" i="4" s="1"/>
  <c r="AJ17" i="10"/>
  <c r="F26" i="13"/>
  <c r="R26" i="13"/>
  <c r="S26" i="13" s="1"/>
  <c r="T26" i="13" s="1"/>
  <c r="U26" i="13" s="1"/>
  <c r="V26" i="13" s="1"/>
  <c r="W26" i="13" s="1"/>
  <c r="X26" i="13" s="1"/>
  <c r="Y26" i="13" s="1"/>
  <c r="Z26" i="13" s="1"/>
  <c r="AA26" i="13" s="1"/>
  <c r="AB26" i="13" s="1"/>
  <c r="AC26" i="13" s="1"/>
  <c r="AD26" i="13" s="1"/>
  <c r="AE26" i="13" s="1"/>
  <c r="AF26" i="13" s="1"/>
  <c r="AG26" i="13" s="1"/>
  <c r="AH26" i="13" s="1"/>
  <c r="AI26" i="13" s="1"/>
  <c r="AJ26" i="13" s="1"/>
  <c r="AK26" i="13" s="1"/>
  <c r="AL26" i="13" s="1"/>
  <c r="AM26" i="13" s="1"/>
  <c r="AN26" i="13" s="1"/>
  <c r="AO26" i="13" s="1"/>
  <c r="Q10" i="13"/>
  <c r="Y17" i="10"/>
  <c r="AK17" i="10"/>
  <c r="G26" i="13"/>
  <c r="G12" i="12"/>
  <c r="D14" i="12"/>
  <c r="L17" i="12"/>
  <c r="Q27" i="9"/>
  <c r="AC27" i="9"/>
  <c r="J3" i="13"/>
  <c r="F10" i="13"/>
  <c r="R10" i="13"/>
  <c r="S10" i="13" s="1"/>
  <c r="T10" i="13" s="1"/>
  <c r="U10" i="13" s="1"/>
  <c r="V10" i="13" s="1"/>
  <c r="W10" i="13" s="1"/>
  <c r="X10" i="13" s="1"/>
  <c r="Y10" i="13" s="1"/>
  <c r="Z10" i="13" s="1"/>
  <c r="AA10" i="13" s="1"/>
  <c r="AB10" i="13" s="1"/>
  <c r="AC10" i="13" s="1"/>
  <c r="AD10" i="13" s="1"/>
  <c r="AE10" i="13" s="1"/>
  <c r="AF10" i="13" s="1"/>
  <c r="AG10" i="13" s="1"/>
  <c r="AH10" i="13" s="1"/>
  <c r="AI10" i="13" s="1"/>
  <c r="AJ10" i="13" s="1"/>
  <c r="AK10" i="13" s="1"/>
  <c r="AL10" i="13" s="1"/>
  <c r="AM10" i="13" s="1"/>
  <c r="AN10" i="13" s="1"/>
  <c r="AO10" i="13" s="1"/>
  <c r="Z17" i="10"/>
  <c r="AL17" i="10"/>
  <c r="L17" i="4" s="1"/>
  <c r="M17" i="12"/>
  <c r="K3" i="13"/>
  <c r="G10" i="13"/>
  <c r="P26" i="13"/>
  <c r="T47" i="10"/>
  <c r="Q21" i="12" s="1"/>
  <c r="AF47" i="10"/>
  <c r="U47" i="10"/>
  <c r="AG47" i="10"/>
  <c r="V47" i="10"/>
  <c r="H47" i="4" s="1"/>
  <c r="AH47" i="10"/>
  <c r="H26" i="13"/>
  <c r="X47" i="10"/>
  <c r="AJ47" i="10"/>
  <c r="I26" i="13"/>
  <c r="M26" i="13"/>
  <c r="AD47" i="10"/>
  <c r="I47" i="4" l="1"/>
  <c r="G8" i="8"/>
  <c r="K29" i="6"/>
  <c r="K29" i="9" s="1"/>
  <c r="G21" i="9"/>
  <c r="G29" i="6"/>
  <c r="G29" i="9" s="1"/>
  <c r="J9" i="2"/>
  <c r="K47" i="4"/>
  <c r="B11" i="5"/>
  <c r="B11" i="8" s="1"/>
  <c r="C9" i="11" s="1"/>
  <c r="R21" i="12"/>
  <c r="Q25" i="9"/>
  <c r="K11" i="8"/>
  <c r="L9" i="11" s="1"/>
  <c r="I13" i="5"/>
  <c r="W10" i="12"/>
  <c r="V11" i="9"/>
  <c r="G11" i="3" s="1"/>
  <c r="D21" i="9"/>
  <c r="D29" i="6"/>
  <c r="D29" i="9" s="1"/>
  <c r="I48" i="10"/>
  <c r="R22" i="12"/>
  <c r="Q26" i="9"/>
  <c r="P11" i="8"/>
  <c r="Q9" i="11" s="1"/>
  <c r="M13" i="5"/>
  <c r="Q13" i="8" s="1"/>
  <c r="Q39" i="13" s="1"/>
  <c r="K17" i="4"/>
  <c r="G17" i="4"/>
  <c r="N8" i="8"/>
  <c r="K11" i="5"/>
  <c r="G11" i="5"/>
  <c r="H8" i="8"/>
  <c r="F13" i="5"/>
  <c r="Q48" i="10"/>
  <c r="I8" i="8"/>
  <c r="D11" i="2"/>
  <c r="R18" i="12"/>
  <c r="Q22" i="9"/>
  <c r="R15" i="12"/>
  <c r="Q18" i="9"/>
  <c r="L48" i="10"/>
  <c r="R13" i="12"/>
  <c r="Q15" i="9"/>
  <c r="F15" i="2"/>
  <c r="M21" i="9"/>
  <c r="M29" i="6"/>
  <c r="M29" i="9" s="1"/>
  <c r="I17" i="4"/>
  <c r="J13" i="8"/>
  <c r="J39" i="13" s="1"/>
  <c r="H15" i="5"/>
  <c r="J15" i="8" s="1"/>
  <c r="O11" i="8"/>
  <c r="P9" i="11" s="1"/>
  <c r="L13" i="5"/>
  <c r="B13" i="5"/>
  <c r="F8" i="8"/>
  <c r="E11" i="5"/>
  <c r="X9" i="12"/>
  <c r="W10" i="9"/>
  <c r="U2" i="11"/>
  <c r="S2" i="8"/>
  <c r="P11" i="12"/>
  <c r="O8" i="8"/>
  <c r="C15" i="2"/>
  <c r="N21" i="9"/>
  <c r="E29" i="3"/>
  <c r="N29" i="9" s="1"/>
  <c r="I21" i="9"/>
  <c r="I29" i="6"/>
  <c r="I29" i="9" s="1"/>
  <c r="M48" i="10"/>
  <c r="D11" i="8"/>
  <c r="E9" i="11" s="1"/>
  <c r="D13" i="5"/>
  <c r="E13" i="8" s="1"/>
  <c r="E39" i="13" s="1"/>
  <c r="J47" i="4"/>
  <c r="G47" i="4"/>
  <c r="R16" i="12"/>
  <c r="Q19" i="9"/>
  <c r="W8" i="11"/>
  <c r="U10" i="8"/>
  <c r="G10" i="2" s="1"/>
  <c r="W10" i="11"/>
  <c r="U14" i="8"/>
  <c r="G14" i="2" s="1"/>
  <c r="D48" i="10"/>
  <c r="O48" i="10"/>
  <c r="AB8" i="12"/>
  <c r="AA9" i="9"/>
  <c r="J21" i="9"/>
  <c r="D29" i="3"/>
  <c r="J29" i="9" s="1"/>
  <c r="C13" i="5"/>
  <c r="C11" i="8"/>
  <c r="D9" i="11" s="1"/>
  <c r="J17" i="4"/>
  <c r="G48" i="10"/>
  <c r="H21" i="9"/>
  <c r="H29" i="6"/>
  <c r="H29" i="9" s="1"/>
  <c r="E15" i="2"/>
  <c r="L11" i="8"/>
  <c r="M9" i="11" s="1"/>
  <c r="J13" i="5"/>
  <c r="M13" i="8" s="1"/>
  <c r="M39" i="13" s="1"/>
  <c r="X10" i="11" l="1"/>
  <c r="V14" i="8"/>
  <c r="E13" i="5"/>
  <c r="G13" i="8" s="1"/>
  <c r="G39" i="13" s="1"/>
  <c r="F11" i="8"/>
  <c r="G9" i="11" s="1"/>
  <c r="G11" i="8"/>
  <c r="H9" i="11" s="1"/>
  <c r="F15" i="5"/>
  <c r="X8" i="11"/>
  <c r="V10" i="8"/>
  <c r="B13" i="8"/>
  <c r="B39" i="13" s="1"/>
  <c r="B15" i="5"/>
  <c r="B15" i="8" s="1"/>
  <c r="S13" i="12"/>
  <c r="R15" i="9"/>
  <c r="H11" i="8"/>
  <c r="I9" i="11" s="1"/>
  <c r="G13" i="5"/>
  <c r="C13" i="8"/>
  <c r="C39" i="13" s="1"/>
  <c r="C15" i="5"/>
  <c r="S16" i="12"/>
  <c r="R19" i="9"/>
  <c r="F19" i="3" s="1"/>
  <c r="L15" i="5"/>
  <c r="N11" i="8"/>
  <c r="O9" i="11" s="1"/>
  <c r="K13" i="5"/>
  <c r="O13" i="8" s="1"/>
  <c r="O39" i="13" s="1"/>
  <c r="X10" i="12"/>
  <c r="W11" i="9"/>
  <c r="K13" i="8"/>
  <c r="K39" i="13" s="1"/>
  <c r="I15" i="5"/>
  <c r="K15" i="8" s="1"/>
  <c r="Y9" i="12"/>
  <c r="X10" i="9"/>
  <c r="Q11" i="12"/>
  <c r="P12" i="9"/>
  <c r="S15" i="12"/>
  <c r="R18" i="9"/>
  <c r="F18" i="3" s="1"/>
  <c r="S22" i="12"/>
  <c r="R26" i="9"/>
  <c r="F26" i="3" s="1"/>
  <c r="L13" i="8"/>
  <c r="L39" i="13" s="1"/>
  <c r="J15" i="5"/>
  <c r="L15" i="8" s="1"/>
  <c r="D13" i="8"/>
  <c r="D39" i="13" s="1"/>
  <c r="D15" i="5"/>
  <c r="AC8" i="12"/>
  <c r="AB9" i="9"/>
  <c r="S10" i="10"/>
  <c r="P16" i="9"/>
  <c r="S27" i="10"/>
  <c r="P20" i="9"/>
  <c r="S3" i="10"/>
  <c r="P13" i="9"/>
  <c r="S7" i="8"/>
  <c r="P6" i="9"/>
  <c r="S22" i="13" s="1"/>
  <c r="S22" i="10" s="1"/>
  <c r="S3" i="8"/>
  <c r="S4" i="8" s="1"/>
  <c r="S8" i="8" s="1"/>
  <c r="S11" i="8" s="1"/>
  <c r="S5" i="8"/>
  <c r="P4" i="9"/>
  <c r="S20" i="13" s="1"/>
  <c r="S20" i="10" s="1"/>
  <c r="S18" i="12"/>
  <c r="R22" i="9"/>
  <c r="P13" i="8"/>
  <c r="P39" i="13" s="1"/>
  <c r="M15" i="5"/>
  <c r="P15" i="8" s="1"/>
  <c r="V2" i="11"/>
  <c r="T2" i="8"/>
  <c r="I11" i="8"/>
  <c r="J9" i="11" s="1"/>
  <c r="D13" i="2"/>
  <c r="S21" i="12"/>
  <c r="R25" i="9"/>
  <c r="F25" i="3" s="1"/>
  <c r="S25" i="13" l="1"/>
  <c r="S25" i="10" s="1"/>
  <c r="R11" i="12"/>
  <c r="Q12" i="9"/>
  <c r="S12" i="8"/>
  <c r="S13" i="8" s="1"/>
  <c r="C15" i="8"/>
  <c r="T21" i="12"/>
  <c r="S25" i="9"/>
  <c r="Z9" i="12"/>
  <c r="Y10" i="9"/>
  <c r="D15" i="2"/>
  <c r="I13" i="8"/>
  <c r="I39" i="13" s="1"/>
  <c r="P5" i="9"/>
  <c r="S21" i="13" s="1"/>
  <c r="S21" i="10" s="1"/>
  <c r="D15" i="8"/>
  <c r="E15" i="8"/>
  <c r="H13" i="8"/>
  <c r="H39" i="13" s="1"/>
  <c r="G15" i="5"/>
  <c r="H15" i="8" s="1"/>
  <c r="T18" i="12"/>
  <c r="S22" i="9"/>
  <c r="AD8" i="12"/>
  <c r="AC9" i="9"/>
  <c r="T27" i="10"/>
  <c r="T34" i="10" s="1"/>
  <c r="T3" i="10"/>
  <c r="T10" i="10"/>
  <c r="Q4" i="9"/>
  <c r="T20" i="13" s="1"/>
  <c r="T20" i="10" s="1"/>
  <c r="T7" i="8"/>
  <c r="Q16" i="9"/>
  <c r="Q13" i="9"/>
  <c r="Q6" i="9"/>
  <c r="T22" i="13" s="1"/>
  <c r="T22" i="10" s="1"/>
  <c r="T3" i="8"/>
  <c r="Q5" i="9" s="1"/>
  <c r="T21" i="13" s="1"/>
  <c r="T21" i="10" s="1"/>
  <c r="T5" i="8"/>
  <c r="Q20" i="9"/>
  <c r="Q15" i="8"/>
  <c r="S23" i="13"/>
  <c r="S23" i="10" s="1"/>
  <c r="P17" i="9"/>
  <c r="P21" i="9" s="1"/>
  <c r="P19" i="12"/>
  <c r="Y8" i="11"/>
  <c r="W10" i="8"/>
  <c r="T16" i="12"/>
  <c r="S19" i="9"/>
  <c r="W2" i="11"/>
  <c r="U2" i="8"/>
  <c r="Y10" i="12"/>
  <c r="X11" i="9"/>
  <c r="F15" i="3"/>
  <c r="N13" i="8"/>
  <c r="N39" i="13" s="1"/>
  <c r="K15" i="5"/>
  <c r="N15" i="8" s="1"/>
  <c r="T13" i="12"/>
  <c r="S15" i="9"/>
  <c r="T22" i="12"/>
  <c r="S26" i="9"/>
  <c r="M15" i="8"/>
  <c r="T15" i="12"/>
  <c r="S18" i="9"/>
  <c r="F13" i="8"/>
  <c r="F39" i="13" s="1"/>
  <c r="E15" i="5"/>
  <c r="F15" i="8" s="1"/>
  <c r="F22" i="3"/>
  <c r="S34" i="10"/>
  <c r="P7" i="12"/>
  <c r="Y10" i="11"/>
  <c r="W14" i="8"/>
  <c r="T25" i="13" l="1"/>
  <c r="T25" i="10" s="1"/>
  <c r="I15" i="8"/>
  <c r="G15" i="8"/>
  <c r="U22" i="12"/>
  <c r="T26" i="9"/>
  <c r="AE8" i="12"/>
  <c r="AD9" i="9"/>
  <c r="I9" i="3" s="1"/>
  <c r="Z8" i="11"/>
  <c r="X10" i="8"/>
  <c r="T23" i="13"/>
  <c r="T23" i="10" s="1"/>
  <c r="Q17" i="9"/>
  <c r="Q21" i="9" s="1"/>
  <c r="AA9" i="12"/>
  <c r="Z10" i="9"/>
  <c r="H10" i="3" s="1"/>
  <c r="Q19" i="12"/>
  <c r="P23" i="9"/>
  <c r="T4" i="8"/>
  <c r="T8" i="8" s="1"/>
  <c r="T11" i="8" s="1"/>
  <c r="U18" i="12"/>
  <c r="T22" i="9"/>
  <c r="U21" i="12"/>
  <c r="T25" i="9"/>
  <c r="U13" i="12"/>
  <c r="T15" i="9"/>
  <c r="Z10" i="11"/>
  <c r="X14" i="8"/>
  <c r="Z10" i="12"/>
  <c r="Y11" i="9"/>
  <c r="U15" i="12"/>
  <c r="T18" i="9"/>
  <c r="O15" i="8"/>
  <c r="U27" i="10"/>
  <c r="R20" i="9"/>
  <c r="F20" i="3" s="1"/>
  <c r="U10" i="10"/>
  <c r="G10" i="4" s="1"/>
  <c r="U3" i="10"/>
  <c r="G3" i="4" s="1"/>
  <c r="R16" i="9"/>
  <c r="R13" i="9"/>
  <c r="U7" i="8"/>
  <c r="G7" i="2" s="1"/>
  <c r="R6" i="9"/>
  <c r="U3" i="8"/>
  <c r="R5" i="9" s="1"/>
  <c r="U5" i="8"/>
  <c r="G5" i="2" s="1"/>
  <c r="R4" i="9"/>
  <c r="G2" i="2"/>
  <c r="U16" i="12"/>
  <c r="T19" i="9"/>
  <c r="S2" i="13"/>
  <c r="S2" i="10" s="1"/>
  <c r="S41" i="10"/>
  <c r="P20" i="12"/>
  <c r="Q7" i="12"/>
  <c r="P8" i="9"/>
  <c r="X2" i="11"/>
  <c r="V2" i="8"/>
  <c r="S11" i="12"/>
  <c r="R12" i="9"/>
  <c r="F12" i="3" s="1"/>
  <c r="U4" i="8" l="1"/>
  <c r="U8" i="8" s="1"/>
  <c r="U11" i="8" s="1"/>
  <c r="U13" i="8" s="1"/>
  <c r="Y2" i="11"/>
  <c r="W2" i="8"/>
  <c r="U20" i="13"/>
  <c r="U20" i="10" s="1"/>
  <c r="G20" i="4" s="1"/>
  <c r="F4" i="3"/>
  <c r="V18" i="12"/>
  <c r="U22" i="9"/>
  <c r="S26" i="10"/>
  <c r="S48" i="10" s="1"/>
  <c r="P2" i="12" s="1"/>
  <c r="U22" i="13"/>
  <c r="U22" i="10" s="1"/>
  <c r="G22" i="4" s="1"/>
  <c r="F6" i="3"/>
  <c r="T12" i="8"/>
  <c r="P24" i="9"/>
  <c r="P28" i="9" s="1"/>
  <c r="P29" i="9" s="1"/>
  <c r="S46" i="10"/>
  <c r="AA10" i="12"/>
  <c r="Z11" i="9"/>
  <c r="H11" i="3" s="1"/>
  <c r="V22" i="12"/>
  <c r="U26" i="9"/>
  <c r="U21" i="13"/>
  <c r="U21" i="10" s="1"/>
  <c r="G21" i="4" s="1"/>
  <c r="F5" i="3"/>
  <c r="AF8" i="12"/>
  <c r="AE9" i="9"/>
  <c r="U25" i="13"/>
  <c r="U25" i="10" s="1"/>
  <c r="G25" i="4" s="1"/>
  <c r="F13" i="3"/>
  <c r="R19" i="12"/>
  <c r="Q23" i="9"/>
  <c r="V13" i="12"/>
  <c r="U15" i="9"/>
  <c r="AA8" i="11"/>
  <c r="Y10" i="8"/>
  <c r="H10" i="2" s="1"/>
  <c r="U34" i="10"/>
  <c r="G27" i="4"/>
  <c r="G34" i="4" s="1"/>
  <c r="R7" i="12"/>
  <c r="Q8" i="9"/>
  <c r="V16" i="12"/>
  <c r="U19" i="9"/>
  <c r="AA10" i="11"/>
  <c r="Y14" i="8"/>
  <c r="H14" i="2" s="1"/>
  <c r="AB9" i="12"/>
  <c r="AA10" i="9"/>
  <c r="U12" i="8"/>
  <c r="V21" i="12"/>
  <c r="U25" i="9"/>
  <c r="V15" i="12"/>
  <c r="U18" i="9"/>
  <c r="U23" i="13"/>
  <c r="U23" i="10" s="1"/>
  <c r="G23" i="4" s="1"/>
  <c r="F16" i="3"/>
  <c r="F17" i="3" s="1"/>
  <c r="F21" i="3" s="1"/>
  <c r="R17" i="9"/>
  <c r="R21" i="9" s="1"/>
  <c r="T11" i="12"/>
  <c r="S12" i="9"/>
  <c r="V27" i="10"/>
  <c r="V3" i="10"/>
  <c r="S13" i="9"/>
  <c r="V10" i="10"/>
  <c r="S16" i="9"/>
  <c r="S20" i="9"/>
  <c r="V5" i="8"/>
  <c r="S6" i="9"/>
  <c r="V22" i="13" s="1"/>
  <c r="V22" i="10" s="1"/>
  <c r="V7" i="8"/>
  <c r="V3" i="8"/>
  <c r="V4" i="8" s="1"/>
  <c r="V8" i="8" s="1"/>
  <c r="V11" i="8" s="1"/>
  <c r="S4" i="9"/>
  <c r="V20" i="13" s="1"/>
  <c r="V20" i="10" s="1"/>
  <c r="G3" i="2"/>
  <c r="G4" i="2" s="1"/>
  <c r="G8" i="2" s="1"/>
  <c r="G11" i="2" s="1"/>
  <c r="G12" i="2" l="1"/>
  <c r="G13" i="2" s="1"/>
  <c r="G15" i="2" s="1"/>
  <c r="AB8" i="11"/>
  <c r="Z10" i="8"/>
  <c r="AC9" i="12"/>
  <c r="AB10" i="9"/>
  <c r="W22" i="12"/>
  <c r="V26" i="9"/>
  <c r="G26" i="3" s="1"/>
  <c r="V12" i="8"/>
  <c r="AB10" i="12"/>
  <c r="AA11" i="9"/>
  <c r="W18" i="12"/>
  <c r="V22" i="9"/>
  <c r="W16" i="12"/>
  <c r="V19" i="9"/>
  <c r="G19" i="3" s="1"/>
  <c r="S19" i="12"/>
  <c r="R23" i="9"/>
  <c r="P2" i="9"/>
  <c r="P7" i="9" s="1"/>
  <c r="P14" i="9" s="1"/>
  <c r="S5" i="9"/>
  <c r="V21" i="13" s="1"/>
  <c r="V21" i="10" s="1"/>
  <c r="W13" i="12"/>
  <c r="V15" i="9"/>
  <c r="AB10" i="11"/>
  <c r="Z14" i="8"/>
  <c r="W15" i="12"/>
  <c r="V18" i="9"/>
  <c r="G18" i="3" s="1"/>
  <c r="S7" i="12"/>
  <c r="R8" i="9"/>
  <c r="F8" i="3" s="1"/>
  <c r="W27" i="10"/>
  <c r="W34" i="10" s="1"/>
  <c r="W3" i="10"/>
  <c r="T20" i="9"/>
  <c r="W10" i="10"/>
  <c r="T16" i="9"/>
  <c r="T13" i="9"/>
  <c r="W7" i="8"/>
  <c r="T6" i="9"/>
  <c r="W22" i="13" s="1"/>
  <c r="W22" i="10" s="1"/>
  <c r="W5" i="8"/>
  <c r="T4" i="9"/>
  <c r="W20" i="13" s="1"/>
  <c r="W20" i="10" s="1"/>
  <c r="W3" i="8"/>
  <c r="T5" i="9" s="1"/>
  <c r="V34" i="10"/>
  <c r="V23" i="13"/>
  <c r="V23" i="10" s="1"/>
  <c r="S17" i="9"/>
  <c r="S21" i="9" s="1"/>
  <c r="Z2" i="11"/>
  <c r="X2" i="8"/>
  <c r="W21" i="12"/>
  <c r="V25" i="9"/>
  <c r="G25" i="3" s="1"/>
  <c r="AG8" i="12"/>
  <c r="AF9" i="9"/>
  <c r="V25" i="13"/>
  <c r="V25" i="10" s="1"/>
  <c r="U2" i="13"/>
  <c r="U2" i="10" s="1"/>
  <c r="U26" i="10" s="1"/>
  <c r="U41" i="10"/>
  <c r="U46" i="10" s="1"/>
  <c r="T13" i="8"/>
  <c r="U11" i="12"/>
  <c r="T12" i="9"/>
  <c r="W25" i="13" l="1"/>
  <c r="W25" i="10" s="1"/>
  <c r="W21" i="13"/>
  <c r="W21" i="10" s="1"/>
  <c r="AH8" i="12"/>
  <c r="AG9" i="9"/>
  <c r="W4" i="8"/>
  <c r="W8" i="8" s="1"/>
  <c r="W11" i="8" s="1"/>
  <c r="X15" i="12"/>
  <c r="W18" i="9"/>
  <c r="F23" i="3"/>
  <c r="X16" i="12"/>
  <c r="W19" i="9"/>
  <c r="AA2" i="11"/>
  <c r="Y2" i="8"/>
  <c r="V11" i="12"/>
  <c r="U12" i="9"/>
  <c r="X13" i="12"/>
  <c r="W15" i="9"/>
  <c r="G22" i="3"/>
  <c r="V13" i="8"/>
  <c r="X10" i="10"/>
  <c r="X27" i="10"/>
  <c r="X3" i="8"/>
  <c r="U5" i="9" s="1"/>
  <c r="X21" i="13" s="1"/>
  <c r="X21" i="10" s="1"/>
  <c r="X3" i="10"/>
  <c r="U16" i="9"/>
  <c r="U6" i="9"/>
  <c r="X22" i="13" s="1"/>
  <c r="X22" i="10" s="1"/>
  <c r="U4" i="9"/>
  <c r="X20" i="13" s="1"/>
  <c r="X20" i="10" s="1"/>
  <c r="U13" i="9"/>
  <c r="X7" i="8"/>
  <c r="X5" i="8"/>
  <c r="U20" i="9"/>
  <c r="AC10" i="11"/>
  <c r="AA14" i="8"/>
  <c r="W23" i="13"/>
  <c r="W23" i="10" s="1"/>
  <c r="T17" i="9"/>
  <c r="T21" i="9" s="1"/>
  <c r="G15" i="3"/>
  <c r="X22" i="12"/>
  <c r="W26" i="9"/>
  <c r="T2" i="13"/>
  <c r="T2" i="10" s="1"/>
  <c r="T41" i="10"/>
  <c r="X18" i="12"/>
  <c r="W22" i="9"/>
  <c r="T19" i="12"/>
  <c r="S23" i="9"/>
  <c r="AD9" i="12"/>
  <c r="AC10" i="9"/>
  <c r="AC10" i="12"/>
  <c r="AB11" i="9"/>
  <c r="X21" i="12"/>
  <c r="W25" i="9"/>
  <c r="U48" i="10"/>
  <c r="T7" i="12"/>
  <c r="S8" i="9"/>
  <c r="AC8" i="11"/>
  <c r="AA10" i="8"/>
  <c r="X4" i="8" l="1"/>
  <c r="X8" i="8" s="1"/>
  <c r="X11" i="8" s="1"/>
  <c r="X25" i="13"/>
  <c r="X25" i="10" s="1"/>
  <c r="X12" i="8"/>
  <c r="X13" i="8"/>
  <c r="T26" i="10"/>
  <c r="G2" i="4"/>
  <c r="G26" i="4" s="1"/>
  <c r="G48" i="4" s="1"/>
  <c r="T46" i="10"/>
  <c r="G41" i="4"/>
  <c r="G46" i="4" s="1"/>
  <c r="Y13" i="12"/>
  <c r="X15" i="9"/>
  <c r="X23" i="13"/>
  <c r="X23" i="10" s="1"/>
  <c r="U17" i="9"/>
  <c r="U21" i="9" s="1"/>
  <c r="W11" i="12"/>
  <c r="V12" i="9"/>
  <c r="G12" i="3" s="1"/>
  <c r="AI8" i="12"/>
  <c r="AH9" i="9"/>
  <c r="J9" i="3" s="1"/>
  <c r="AD10" i="12"/>
  <c r="AC11" i="9"/>
  <c r="Y27" i="10"/>
  <c r="Y34" i="10" s="1"/>
  <c r="Y10" i="10"/>
  <c r="H10" i="4" s="1"/>
  <c r="V16" i="9"/>
  <c r="Y3" i="10"/>
  <c r="H3" i="4" s="1"/>
  <c r="V13" i="9"/>
  <c r="V6" i="9"/>
  <c r="V20" i="9"/>
  <c r="G20" i="3" s="1"/>
  <c r="Y3" i="8"/>
  <c r="Y5" i="8"/>
  <c r="H5" i="2" s="1"/>
  <c r="Y4" i="8"/>
  <c r="V4" i="9"/>
  <c r="Y7" i="8"/>
  <c r="H7" i="2" s="1"/>
  <c r="AD8" i="11"/>
  <c r="AB10" i="8"/>
  <c r="AE9" i="12"/>
  <c r="AD10" i="9"/>
  <c r="I10" i="3" s="1"/>
  <c r="Y18" i="12"/>
  <c r="X22" i="9"/>
  <c r="AD10" i="11"/>
  <c r="AB14" i="8"/>
  <c r="X34" i="10"/>
  <c r="Y15" i="12"/>
  <c r="X18" i="9"/>
  <c r="U7" i="12"/>
  <c r="T8" i="9"/>
  <c r="U19" i="12"/>
  <c r="T23" i="9"/>
  <c r="AB2" i="11"/>
  <c r="Z2" i="8"/>
  <c r="H2" i="2"/>
  <c r="Y16" i="12"/>
  <c r="X19" i="9"/>
  <c r="Y22" i="12"/>
  <c r="X26" i="9"/>
  <c r="W12" i="8"/>
  <c r="W13" i="8" s="1"/>
  <c r="Y21" i="12"/>
  <c r="X25" i="9"/>
  <c r="Q20" i="12"/>
  <c r="V2" i="13"/>
  <c r="V2" i="10" s="1"/>
  <c r="V41" i="10"/>
  <c r="W2" i="13" l="1"/>
  <c r="W2" i="10" s="1"/>
  <c r="W26" i="10" s="1"/>
  <c r="W41" i="10"/>
  <c r="W46" i="10" s="1"/>
  <c r="AE10" i="11"/>
  <c r="AC14" i="8"/>
  <c r="I14" i="2" s="1"/>
  <c r="Z21" i="12"/>
  <c r="Y25" i="9"/>
  <c r="Z15" i="12"/>
  <c r="Y18" i="9"/>
  <c r="AC2" i="11"/>
  <c r="AA2" i="8"/>
  <c r="X11" i="12"/>
  <c r="W12" i="9"/>
  <c r="Z18" i="12"/>
  <c r="Y22" i="9"/>
  <c r="Y25" i="13"/>
  <c r="Y25" i="10" s="1"/>
  <c r="H25" i="4" s="1"/>
  <c r="G13" i="3"/>
  <c r="Y23" i="13"/>
  <c r="Y23" i="10" s="1"/>
  <c r="H23" i="4" s="1"/>
  <c r="G16" i="3"/>
  <c r="G17" i="3" s="1"/>
  <c r="G21" i="3" s="1"/>
  <c r="V17" i="9"/>
  <c r="V21" i="9" s="1"/>
  <c r="Z22" i="12"/>
  <c r="Y26" i="9"/>
  <c r="Y22" i="13"/>
  <c r="Y22" i="10" s="1"/>
  <c r="H22" i="4" s="1"/>
  <c r="G6" i="3"/>
  <c r="X2" i="13"/>
  <c r="X2" i="10" s="1"/>
  <c r="X26" i="10" s="1"/>
  <c r="X41" i="10"/>
  <c r="X46" i="10" s="1"/>
  <c r="AF9" i="12"/>
  <c r="AE10" i="9"/>
  <c r="V7" i="12"/>
  <c r="U8" i="9"/>
  <c r="AE8" i="11"/>
  <c r="AC10" i="8"/>
  <c r="I10" i="2" s="1"/>
  <c r="Z13" i="12"/>
  <c r="Y15" i="9"/>
  <c r="V46" i="10"/>
  <c r="Y20" i="13"/>
  <c r="Y20" i="10" s="1"/>
  <c r="H20" i="4" s="1"/>
  <c r="G4" i="3"/>
  <c r="Y8" i="8"/>
  <c r="Y11" i="8" s="1"/>
  <c r="R20" i="12"/>
  <c r="Q24" i="9"/>
  <c r="Q28" i="9" s="1"/>
  <c r="Q29" i="9" s="1"/>
  <c r="T48" i="10"/>
  <c r="Q2" i="12" s="1"/>
  <c r="V19" i="12"/>
  <c r="U23" i="9"/>
  <c r="Z16" i="12"/>
  <c r="Y19" i="9"/>
  <c r="V26" i="10"/>
  <c r="V48" i="10" s="1"/>
  <c r="H27" i="4"/>
  <c r="H34" i="4" s="1"/>
  <c r="AE10" i="12"/>
  <c r="AD11" i="9"/>
  <c r="I11" i="3" s="1"/>
  <c r="Z10" i="10"/>
  <c r="Z27" i="10"/>
  <c r="Z3" i="10"/>
  <c r="W16" i="9"/>
  <c r="W13" i="9"/>
  <c r="W4" i="9"/>
  <c r="Z20" i="13" s="1"/>
  <c r="Z20" i="10" s="1"/>
  <c r="Z7" i="8"/>
  <c r="Z3" i="8"/>
  <c r="Z5" i="8"/>
  <c r="W6" i="9"/>
  <c r="Z22" i="13" s="1"/>
  <c r="Z22" i="10" s="1"/>
  <c r="W20" i="9"/>
  <c r="V5" i="9"/>
  <c r="H3" i="2"/>
  <c r="H4" i="2" s="1"/>
  <c r="H8" i="2" s="1"/>
  <c r="H11" i="2" s="1"/>
  <c r="AJ8" i="12"/>
  <c r="AI9" i="9"/>
  <c r="AA22" i="12" l="1"/>
  <c r="Z26" i="9"/>
  <c r="H26" i="3" s="1"/>
  <c r="S20" i="12"/>
  <c r="R24" i="9"/>
  <c r="W7" i="12"/>
  <c r="V8" i="9"/>
  <c r="G8" i="3" s="1"/>
  <c r="AF10" i="12"/>
  <c r="AE11" i="9"/>
  <c r="Y12" i="8"/>
  <c r="H12" i="2" s="1"/>
  <c r="H13" i="2" s="1"/>
  <c r="H15" i="2" s="1"/>
  <c r="AA21" i="12"/>
  <c r="Z25" i="9"/>
  <c r="H25" i="3" s="1"/>
  <c r="Y21" i="13"/>
  <c r="Y21" i="10" s="1"/>
  <c r="H21" i="4" s="1"/>
  <c r="G5" i="3"/>
  <c r="W5" i="9"/>
  <c r="Z21" i="13" s="1"/>
  <c r="Z21" i="10" s="1"/>
  <c r="Z4" i="8"/>
  <c r="Z8" i="8" s="1"/>
  <c r="Z11" i="8" s="1"/>
  <c r="AA18" i="12"/>
  <c r="Z22" i="9"/>
  <c r="Z34" i="10"/>
  <c r="AA15" i="12"/>
  <c r="Z18" i="9"/>
  <c r="H18" i="3" s="1"/>
  <c r="X48" i="10"/>
  <c r="AF10" i="11"/>
  <c r="AD14" i="8"/>
  <c r="W19" i="12"/>
  <c r="V23" i="9"/>
  <c r="AF8" i="11"/>
  <c r="AD10" i="8"/>
  <c r="AG9" i="12"/>
  <c r="AF10" i="9"/>
  <c r="Y11" i="12"/>
  <c r="X12" i="9"/>
  <c r="AA16" i="12"/>
  <c r="Z19" i="9"/>
  <c r="H19" i="3" s="1"/>
  <c r="X20" i="9"/>
  <c r="X16" i="9"/>
  <c r="AA3" i="10"/>
  <c r="AA27" i="10"/>
  <c r="AA34" i="10" s="1"/>
  <c r="X6" i="9"/>
  <c r="AA22" i="13" s="1"/>
  <c r="AA22" i="10" s="1"/>
  <c r="AA10" i="10"/>
  <c r="X13" i="9"/>
  <c r="X4" i="9"/>
  <c r="AA20" i="13" s="1"/>
  <c r="AA20" i="10" s="1"/>
  <c r="AA7" i="8"/>
  <c r="AA5" i="8"/>
  <c r="AA3" i="8"/>
  <c r="X5" i="9" s="1"/>
  <c r="AA21" i="13" s="1"/>
  <c r="AA21" i="10" s="1"/>
  <c r="AA4" i="8"/>
  <c r="AA8" i="8" s="1"/>
  <c r="AA11" i="8" s="1"/>
  <c r="W48" i="10"/>
  <c r="R2" i="12"/>
  <c r="Q2" i="9"/>
  <c r="Q7" i="9" s="1"/>
  <c r="Q14" i="9" s="1"/>
  <c r="Z25" i="13"/>
  <c r="Z25" i="10" s="1"/>
  <c r="AK8" i="12"/>
  <c r="AJ9" i="9"/>
  <c r="Z23" i="13"/>
  <c r="Z23" i="10" s="1"/>
  <c r="W17" i="9"/>
  <c r="W21" i="9" s="1"/>
  <c r="AA13" i="12"/>
  <c r="Z15" i="9"/>
  <c r="AD2" i="11"/>
  <c r="AB2" i="8"/>
  <c r="Y13" i="8" l="1"/>
  <c r="H15" i="3"/>
  <c r="AG8" i="11"/>
  <c r="AE10" i="8"/>
  <c r="AB13" i="12"/>
  <c r="AA15" i="9"/>
  <c r="S2" i="12"/>
  <c r="R2" i="9"/>
  <c r="G23" i="3"/>
  <c r="H22" i="3"/>
  <c r="AA23" i="13"/>
  <c r="AA23" i="10" s="1"/>
  <c r="X17" i="9"/>
  <c r="X21" i="9" s="1"/>
  <c r="X19" i="12"/>
  <c r="W23" i="9"/>
  <c r="AB18" i="12"/>
  <c r="AA22" i="9"/>
  <c r="AG10" i="12"/>
  <c r="AF11" i="9"/>
  <c r="Z12" i="8"/>
  <c r="AG10" i="11"/>
  <c r="AE14" i="8"/>
  <c r="X7" i="12"/>
  <c r="W8" i="9"/>
  <c r="AL8" i="12"/>
  <c r="AL9" i="9" s="1"/>
  <c r="K9" i="3" s="1"/>
  <c r="AK9" i="9"/>
  <c r="F24" i="3"/>
  <c r="F28" i="3" s="1"/>
  <c r="F29" i="3" s="1"/>
  <c r="R28" i="9"/>
  <c r="R29" i="9" s="1"/>
  <c r="AB16" i="12"/>
  <c r="AA19" i="9"/>
  <c r="Z11" i="12"/>
  <c r="Y12" i="9"/>
  <c r="T20" i="12"/>
  <c r="S24" i="9"/>
  <c r="S28" i="9" s="1"/>
  <c r="S29" i="9" s="1"/>
  <c r="AA25" i="13"/>
  <c r="AA25" i="10" s="1"/>
  <c r="AH9" i="12"/>
  <c r="AG10" i="9"/>
  <c r="AB22" i="12"/>
  <c r="AA26" i="9"/>
  <c r="AE2" i="11"/>
  <c r="AC2" i="8"/>
  <c r="AA12" i="8"/>
  <c r="AA13" i="8" s="1"/>
  <c r="AB27" i="10"/>
  <c r="Y20" i="9"/>
  <c r="AB10" i="10"/>
  <c r="AB3" i="10"/>
  <c r="AB5" i="8"/>
  <c r="Y6" i="9"/>
  <c r="AB22" i="13" s="1"/>
  <c r="AB22" i="10" s="1"/>
  <c r="Y13" i="9"/>
  <c r="Y16" i="9"/>
  <c r="Y4" i="9"/>
  <c r="AB20" i="13" s="1"/>
  <c r="AB20" i="10" s="1"/>
  <c r="AB7" i="8"/>
  <c r="AB3" i="8"/>
  <c r="AB4" i="8" s="1"/>
  <c r="I2" i="2"/>
  <c r="AB15" i="12"/>
  <c r="AA18" i="9"/>
  <c r="AB21" i="12"/>
  <c r="AA25" i="9"/>
  <c r="AB8" i="8" l="1"/>
  <c r="AB11" i="8" s="1"/>
  <c r="AA2" i="13"/>
  <c r="AA2" i="10" s="1"/>
  <c r="AA26" i="10" s="1"/>
  <c r="AA41" i="10"/>
  <c r="AA46" i="10" s="1"/>
  <c r="AB12" i="8"/>
  <c r="AB13" i="8"/>
  <c r="AC15" i="12"/>
  <c r="AB18" i="9"/>
  <c r="AH8" i="11"/>
  <c r="AF10" i="8"/>
  <c r="AC18" i="12"/>
  <c r="AB22" i="9"/>
  <c r="U20" i="12"/>
  <c r="T24" i="9"/>
  <c r="T28" i="9" s="1"/>
  <c r="T29" i="9" s="1"/>
  <c r="AB34" i="10"/>
  <c r="AB23" i="13"/>
  <c r="AB23" i="10" s="1"/>
  <c r="Y17" i="9"/>
  <c r="Y21" i="9" s="1"/>
  <c r="AB25" i="13"/>
  <c r="AB25" i="10" s="1"/>
  <c r="R7" i="9"/>
  <c r="R14" i="9" s="1"/>
  <c r="F2" i="3"/>
  <c r="F7" i="3" s="1"/>
  <c r="F14" i="3" s="1"/>
  <c r="Y7" i="12"/>
  <c r="X8" i="9"/>
  <c r="Y5" i="9"/>
  <c r="AB21" i="13" s="1"/>
  <c r="AB21" i="10" s="1"/>
  <c r="AC10" i="10"/>
  <c r="I10" i="4" s="1"/>
  <c r="AC3" i="10"/>
  <c r="I3" i="4" s="1"/>
  <c r="AC27" i="10"/>
  <c r="AC34" i="10" s="1"/>
  <c r="Z16" i="9"/>
  <c r="Z13" i="9"/>
  <c r="Z4" i="9"/>
  <c r="AC7" i="8"/>
  <c r="I7" i="2" s="1"/>
  <c r="Z20" i="9"/>
  <c r="H20" i="3" s="1"/>
  <c r="AC5" i="8"/>
  <c r="I5" i="2" s="1"/>
  <c r="Z6" i="9"/>
  <c r="AC3" i="8"/>
  <c r="Z5" i="9" s="1"/>
  <c r="Y2" i="13"/>
  <c r="Y2" i="10" s="1"/>
  <c r="Y41" i="10"/>
  <c r="AC16" i="12"/>
  <c r="AB19" i="9"/>
  <c r="AI9" i="12"/>
  <c r="AH10" i="9"/>
  <c r="J10" i="3" s="1"/>
  <c r="AH10" i="12"/>
  <c r="AG11" i="9"/>
  <c r="T2" i="12"/>
  <c r="S2" i="9"/>
  <c r="S7" i="9" s="1"/>
  <c r="S14" i="9" s="1"/>
  <c r="AC13" i="12"/>
  <c r="AB15" i="9"/>
  <c r="Y19" i="12"/>
  <c r="X23" i="9"/>
  <c r="AA11" i="12"/>
  <c r="Z12" i="9"/>
  <c r="H12" i="3" s="1"/>
  <c r="AH10" i="11"/>
  <c r="AF14" i="8"/>
  <c r="AF2" i="11"/>
  <c r="AD2" i="8"/>
  <c r="Z13" i="8"/>
  <c r="AC22" i="12"/>
  <c r="AB26" i="9"/>
  <c r="AC21" i="12"/>
  <c r="AB25" i="9"/>
  <c r="AD10" i="10" l="1"/>
  <c r="AD3" i="10"/>
  <c r="AA13" i="9"/>
  <c r="AD27" i="10"/>
  <c r="AA20" i="9"/>
  <c r="AA6" i="9"/>
  <c r="AD22" i="13" s="1"/>
  <c r="AD22" i="10" s="1"/>
  <c r="AA4" i="9"/>
  <c r="AD20" i="13" s="1"/>
  <c r="AD20" i="10" s="1"/>
  <c r="AD3" i="8"/>
  <c r="AD4" i="8" s="1"/>
  <c r="AD8" i="8" s="1"/>
  <c r="AD11" i="8" s="1"/>
  <c r="AA16" i="9"/>
  <c r="AD7" i="8"/>
  <c r="AD5" i="8"/>
  <c r="Z7" i="12"/>
  <c r="Y8" i="9"/>
  <c r="V20" i="12"/>
  <c r="U24" i="9"/>
  <c r="U28" i="9" s="1"/>
  <c r="U29" i="9" s="1"/>
  <c r="I3" i="2"/>
  <c r="I4" i="2" s="1"/>
  <c r="I8" i="2" s="1"/>
  <c r="I11" i="2" s="1"/>
  <c r="Z2" i="13"/>
  <c r="Z2" i="10" s="1"/>
  <c r="Z41" i="10"/>
  <c r="AC22" i="13"/>
  <c r="AC22" i="10" s="1"/>
  <c r="I22" i="4" s="1"/>
  <c r="H6" i="3"/>
  <c r="AC4" i="8"/>
  <c r="AC8" i="8" s="1"/>
  <c r="AC11" i="8" s="1"/>
  <c r="AI10" i="12"/>
  <c r="AH11" i="9"/>
  <c r="J11" i="3" s="1"/>
  <c r="AB11" i="12"/>
  <c r="AA12" i="9"/>
  <c r="AC25" i="13"/>
  <c r="AC25" i="10" s="1"/>
  <c r="I25" i="4" s="1"/>
  <c r="H13" i="3"/>
  <c r="AA48" i="10"/>
  <c r="U2" i="12"/>
  <c r="T2" i="9"/>
  <c r="T7" i="9" s="1"/>
  <c r="T14" i="9" s="1"/>
  <c r="AJ9" i="12"/>
  <c r="AI10" i="9"/>
  <c r="AC23" i="13"/>
  <c r="AC23" i="10" s="1"/>
  <c r="I23" i="4" s="1"/>
  <c r="H16" i="3"/>
  <c r="H17" i="3" s="1"/>
  <c r="H21" i="3" s="1"/>
  <c r="Z17" i="9"/>
  <c r="Z21" i="9" s="1"/>
  <c r="AD18" i="12"/>
  <c r="AC22" i="9"/>
  <c r="AC21" i="13"/>
  <c r="AC21" i="10" s="1"/>
  <c r="H5" i="3"/>
  <c r="AD15" i="12"/>
  <c r="AC18" i="9"/>
  <c r="AD13" i="12"/>
  <c r="AC15" i="9"/>
  <c r="AB2" i="13"/>
  <c r="AB2" i="10" s="1"/>
  <c r="AB26" i="10" s="1"/>
  <c r="AB41" i="10"/>
  <c r="AB46" i="10" s="1"/>
  <c r="AI10" i="11"/>
  <c r="AG14" i="8"/>
  <c r="J14" i="2" s="1"/>
  <c r="AG2" i="11"/>
  <c r="AE2" i="8"/>
  <c r="AC20" i="13"/>
  <c r="AC20" i="10" s="1"/>
  <c r="I20" i="4" s="1"/>
  <c r="H4" i="3"/>
  <c r="AD21" i="12"/>
  <c r="AC25" i="9"/>
  <c r="Z19" i="12"/>
  <c r="Y23" i="9"/>
  <c r="Y46" i="10"/>
  <c r="H41" i="4"/>
  <c r="H46" i="4" s="1"/>
  <c r="AI8" i="11"/>
  <c r="AG10" i="8"/>
  <c r="J10" i="2" s="1"/>
  <c r="AD22" i="12"/>
  <c r="AC26" i="9"/>
  <c r="I21" i="4"/>
  <c r="AD16" i="12"/>
  <c r="AC19" i="9"/>
  <c r="Y26" i="10"/>
  <c r="H2" i="4"/>
  <c r="H26" i="4" s="1"/>
  <c r="I27" i="4"/>
  <c r="I34" i="4" s="1"/>
  <c r="Y48" i="10" l="1"/>
  <c r="AD23" i="13"/>
  <c r="AD23" i="10" s="1"/>
  <c r="AA17" i="9"/>
  <c r="AA21" i="9" s="1"/>
  <c r="Z46" i="10"/>
  <c r="AA5" i="9"/>
  <c r="AD21" i="13" s="1"/>
  <c r="AD21" i="10" s="1"/>
  <c r="AJ8" i="11"/>
  <c r="AH10" i="8"/>
  <c r="AE22" i="12"/>
  <c r="AD26" i="9"/>
  <c r="I26" i="3" s="1"/>
  <c r="AJ10" i="11"/>
  <c r="AH14" i="8"/>
  <c r="AC11" i="12"/>
  <c r="AB12" i="9"/>
  <c r="W20" i="12"/>
  <c r="V24" i="9"/>
  <c r="AD34" i="10"/>
  <c r="AD25" i="13"/>
  <c r="AD25" i="10" s="1"/>
  <c r="AB48" i="10"/>
  <c r="AJ10" i="12"/>
  <c r="AI11" i="9"/>
  <c r="AA7" i="12"/>
  <c r="Z8" i="9"/>
  <c r="H8" i="3" s="1"/>
  <c r="AH2" i="11"/>
  <c r="AF2" i="8"/>
  <c r="H48" i="4"/>
  <c r="AA19" i="12"/>
  <c r="Z23" i="9"/>
  <c r="AK9" i="12"/>
  <c r="AJ10" i="9"/>
  <c r="AE13" i="12"/>
  <c r="AD15" i="9"/>
  <c r="AD12" i="8"/>
  <c r="AD13" i="8" s="1"/>
  <c r="Z26" i="10"/>
  <c r="AE18" i="12"/>
  <c r="AD22" i="9"/>
  <c r="AE21" i="12"/>
  <c r="AD25" i="9"/>
  <c r="I25" i="3" s="1"/>
  <c r="V2" i="12"/>
  <c r="U2" i="9"/>
  <c r="U7" i="9" s="1"/>
  <c r="U14" i="9" s="1"/>
  <c r="AC12" i="8"/>
  <c r="I12" i="2" s="1"/>
  <c r="I13" i="2" s="1"/>
  <c r="I15" i="2" s="1"/>
  <c r="AE10" i="10"/>
  <c r="AB16" i="9"/>
  <c r="AE27" i="10"/>
  <c r="AE34" i="10" s="1"/>
  <c r="AE3" i="10"/>
  <c r="AB13" i="9"/>
  <c r="AE25" i="13" s="1"/>
  <c r="AE25" i="10" s="1"/>
  <c r="AB6" i="9"/>
  <c r="AE22" i="13" s="1"/>
  <c r="AE22" i="10" s="1"/>
  <c r="AB4" i="9"/>
  <c r="AE20" i="13" s="1"/>
  <c r="AE20" i="10" s="1"/>
  <c r="AB20" i="9"/>
  <c r="AE7" i="8"/>
  <c r="AE5" i="8"/>
  <c r="AE3" i="8"/>
  <c r="AB5" i="9" s="1"/>
  <c r="AE21" i="13" s="1"/>
  <c r="AE21" i="10" s="1"/>
  <c r="AE16" i="12"/>
  <c r="AD19" i="9"/>
  <c r="I19" i="3" s="1"/>
  <c r="AE15" i="12"/>
  <c r="AD18" i="9"/>
  <c r="I18" i="3" s="1"/>
  <c r="Z48" i="10" l="1"/>
  <c r="AL9" i="12"/>
  <c r="AL10" i="9" s="1"/>
  <c r="K10" i="3" s="1"/>
  <c r="AK10" i="9"/>
  <c r="AF15" i="12"/>
  <c r="AE18" i="9"/>
  <c r="H23" i="3"/>
  <c r="AE23" i="13"/>
  <c r="AE23" i="10" s="1"/>
  <c r="AB17" i="9"/>
  <c r="AB21" i="9" s="1"/>
  <c r="AB19" i="12"/>
  <c r="AA23" i="9"/>
  <c r="AF22" i="12"/>
  <c r="AE26" i="9"/>
  <c r="AF27" i="10"/>
  <c r="AF34" i="10" s="1"/>
  <c r="AF3" i="10"/>
  <c r="AC6" i="9"/>
  <c r="AF22" i="13" s="1"/>
  <c r="AF22" i="10" s="1"/>
  <c r="AF10" i="10"/>
  <c r="AC4" i="9"/>
  <c r="AF20" i="13" s="1"/>
  <c r="AF20" i="10" s="1"/>
  <c r="AF7" i="8"/>
  <c r="AC20" i="9"/>
  <c r="AC16" i="9"/>
  <c r="AC13" i="9"/>
  <c r="AF25" i="13" s="1"/>
  <c r="AF25" i="10" s="1"/>
  <c r="AF3" i="8"/>
  <c r="AC5" i="9" s="1"/>
  <c r="AF21" i="13" s="1"/>
  <c r="AF21" i="10" s="1"/>
  <c r="AF5" i="8"/>
  <c r="I22" i="3"/>
  <c r="AK10" i="12"/>
  <c r="AJ11" i="9"/>
  <c r="AF18" i="12"/>
  <c r="AE22" i="9"/>
  <c r="AD2" i="13"/>
  <c r="AD2" i="10" s="1"/>
  <c r="AD41" i="10"/>
  <c r="AK8" i="11"/>
  <c r="AI10" i="8"/>
  <c r="AI2" i="11"/>
  <c r="AG2" i="8"/>
  <c r="AC13" i="8"/>
  <c r="X20" i="12"/>
  <c r="W24" i="9"/>
  <c r="W28" i="9" s="1"/>
  <c r="W29" i="9" s="1"/>
  <c r="I15" i="3"/>
  <c r="AF13" i="12"/>
  <c r="AE15" i="9"/>
  <c r="G24" i="3"/>
  <c r="G28" i="3" s="1"/>
  <c r="G29" i="3" s="1"/>
  <c r="V28" i="9"/>
  <c r="V29" i="9" s="1"/>
  <c r="W2" i="12"/>
  <c r="V2" i="9"/>
  <c r="AF16" i="12"/>
  <c r="AE19" i="9"/>
  <c r="AE4" i="8"/>
  <c r="AE8" i="8" s="1"/>
  <c r="AE11" i="8" s="1"/>
  <c r="AB7" i="12"/>
  <c r="AA8" i="9"/>
  <c r="AD11" i="12"/>
  <c r="AC12" i="9"/>
  <c r="AF21" i="12"/>
  <c r="AE25" i="9"/>
  <c r="AK10" i="11"/>
  <c r="AI14" i="8"/>
  <c r="AF4" i="8" l="1"/>
  <c r="AD26" i="10"/>
  <c r="AF23" i="13"/>
  <c r="AF23" i="10" s="1"/>
  <c r="AC17" i="9"/>
  <c r="AC21" i="9" s="1"/>
  <c r="AG16" i="12"/>
  <c r="AF19" i="9"/>
  <c r="AG18" i="12"/>
  <c r="AF22" i="9"/>
  <c r="AF8" i="8"/>
  <c r="AF11" i="8" s="1"/>
  <c r="AL10" i="12"/>
  <c r="AL11" i="9" s="1"/>
  <c r="K11" i="3" s="1"/>
  <c r="AK11" i="9"/>
  <c r="X2" i="12"/>
  <c r="W2" i="9"/>
  <c r="W7" i="9" s="1"/>
  <c r="W14" i="9" s="1"/>
  <c r="AC2" i="13"/>
  <c r="AC2" i="10" s="1"/>
  <c r="AC41" i="10"/>
  <c r="AG27" i="10"/>
  <c r="AD20" i="9"/>
  <c r="I20" i="3" s="1"/>
  <c r="AG10" i="10"/>
  <c r="J10" i="4" s="1"/>
  <c r="AD13" i="9"/>
  <c r="AD16" i="9"/>
  <c r="AD6" i="9"/>
  <c r="AD4" i="9"/>
  <c r="AG3" i="10"/>
  <c r="J3" i="4" s="1"/>
  <c r="AG3" i="8"/>
  <c r="AG7" i="8"/>
  <c r="J7" i="2" s="1"/>
  <c r="AG5" i="8"/>
  <c r="J5" i="2" s="1"/>
  <c r="J2" i="2"/>
  <c r="AG15" i="12"/>
  <c r="AF18" i="9"/>
  <c r="AC7" i="12"/>
  <c r="AB8" i="9"/>
  <c r="AL10" i="11"/>
  <c r="AJ14" i="8"/>
  <c r="V7" i="9"/>
  <c r="V14" i="9" s="1"/>
  <c r="G2" i="3"/>
  <c r="G7" i="3" s="1"/>
  <c r="G14" i="3" s="1"/>
  <c r="AJ2" i="11"/>
  <c r="AH2" i="8"/>
  <c r="Y20" i="12"/>
  <c r="X24" i="9"/>
  <c r="X28" i="9" s="1"/>
  <c r="X29" i="9" s="1"/>
  <c r="AG21" i="12"/>
  <c r="AF25" i="9"/>
  <c r="AE11" i="12"/>
  <c r="AD12" i="9"/>
  <c r="I12" i="3" s="1"/>
  <c r="AG13" i="12"/>
  <c r="AF15" i="9"/>
  <c r="AL8" i="11"/>
  <c r="AJ10" i="8"/>
  <c r="AG22" i="12"/>
  <c r="AF26" i="9"/>
  <c r="AD46" i="10"/>
  <c r="AC19" i="12"/>
  <c r="AB23" i="9"/>
  <c r="AE12" i="8"/>
  <c r="AE13" i="8"/>
  <c r="AD48" i="10" l="1"/>
  <c r="Z20" i="12"/>
  <c r="Y24" i="9"/>
  <c r="Y28" i="9" s="1"/>
  <c r="Y29" i="9" s="1"/>
  <c r="AH15" i="12"/>
  <c r="AG18" i="9"/>
  <c r="AH22" i="12"/>
  <c r="AG26" i="9"/>
  <c r="AM8" i="11"/>
  <c r="AK10" i="8"/>
  <c r="AC46" i="10"/>
  <c r="I41" i="4"/>
  <c r="I46" i="4" s="1"/>
  <c r="AC26" i="10"/>
  <c r="AC48" i="10" s="1"/>
  <c r="I2" i="4"/>
  <c r="I26" i="4" s="1"/>
  <c r="AM10" i="11"/>
  <c r="AK14" i="8"/>
  <c r="K14" i="2"/>
  <c r="J23" i="4"/>
  <c r="AE2" i="13"/>
  <c r="AE2" i="10" s="1"/>
  <c r="AE41" i="10"/>
  <c r="AD5" i="9"/>
  <c r="J3" i="2"/>
  <c r="J4" i="2" s="1"/>
  <c r="J8" i="2" s="1"/>
  <c r="J11" i="2" s="1"/>
  <c r="Y2" i="12"/>
  <c r="X2" i="9"/>
  <c r="X7" i="9" s="1"/>
  <c r="X14" i="9" s="1"/>
  <c r="AG20" i="13"/>
  <c r="AG20" i="10" s="1"/>
  <c r="J20" i="4" s="1"/>
  <c r="I4" i="3"/>
  <c r="AF11" i="12"/>
  <c r="AE12" i="9"/>
  <c r="AG22" i="13"/>
  <c r="AG22" i="10" s="1"/>
  <c r="J22" i="4" s="1"/>
  <c r="I6" i="3"/>
  <c r="AG25" i="13"/>
  <c r="AG25" i="10" s="1"/>
  <c r="J25" i="4" s="1"/>
  <c r="I13" i="3"/>
  <c r="AF12" i="8"/>
  <c r="AH13" i="12"/>
  <c r="AG15" i="9"/>
  <c r="AD19" i="12"/>
  <c r="AC23" i="9"/>
  <c r="AG23" i="13"/>
  <c r="AG23" i="10" s="1"/>
  <c r="I16" i="3"/>
  <c r="I17" i="3" s="1"/>
  <c r="I21" i="3" s="1"/>
  <c r="AD17" i="9"/>
  <c r="AD21" i="9" s="1"/>
  <c r="AH21" i="12"/>
  <c r="AG25" i="9"/>
  <c r="AD7" i="12"/>
  <c r="AC8" i="9"/>
  <c r="AH18" i="12"/>
  <c r="AG22" i="9"/>
  <c r="AH3" i="10"/>
  <c r="AE13" i="9"/>
  <c r="AH27" i="10"/>
  <c r="AH10" i="10"/>
  <c r="AE16" i="9"/>
  <c r="AE20" i="9"/>
  <c r="AH5" i="8"/>
  <c r="AE4" i="9"/>
  <c r="AH20" i="13" s="1"/>
  <c r="AH20" i="10" s="1"/>
  <c r="AH3" i="8"/>
  <c r="AH4" i="8" s="1"/>
  <c r="AH7" i="8"/>
  <c r="AE6" i="9"/>
  <c r="AH22" i="13" s="1"/>
  <c r="AH22" i="10" s="1"/>
  <c r="AG34" i="10"/>
  <c r="J27" i="4"/>
  <c r="J34" i="4" s="1"/>
  <c r="K10" i="2"/>
  <c r="AK2" i="11"/>
  <c r="AI2" i="8"/>
  <c r="AG4" i="8"/>
  <c r="AG8" i="8" s="1"/>
  <c r="AG11" i="8" s="1"/>
  <c r="AH16" i="12"/>
  <c r="AG19" i="9"/>
  <c r="AH8" i="8" l="1"/>
  <c r="AH11" i="8" s="1"/>
  <c r="I48" i="4"/>
  <c r="AH12" i="8"/>
  <c r="AH13" i="8" s="1"/>
  <c r="AE7" i="12"/>
  <c r="AD8" i="9"/>
  <c r="I8" i="3" s="1"/>
  <c r="AF13" i="8"/>
  <c r="AG12" i="8"/>
  <c r="AG13" i="8" s="1"/>
  <c r="AI3" i="10"/>
  <c r="AI27" i="10"/>
  <c r="AI34" i="10" s="1"/>
  <c r="AF20" i="9"/>
  <c r="AI10" i="10"/>
  <c r="AF16" i="9"/>
  <c r="AF6" i="9"/>
  <c r="AI22" i="13" s="1"/>
  <c r="AI22" i="10" s="1"/>
  <c r="AF4" i="9"/>
  <c r="AI20" i="13" s="1"/>
  <c r="AI20" i="10" s="1"/>
  <c r="AI3" i="8"/>
  <c r="AF5" i="9" s="1"/>
  <c r="AI7" i="8"/>
  <c r="AI5" i="8"/>
  <c r="AF13" i="9"/>
  <c r="AG21" i="13"/>
  <c r="AG21" i="10" s="1"/>
  <c r="J21" i="4" s="1"/>
  <c r="I5" i="3"/>
  <c r="AI21" i="12"/>
  <c r="AH25" i="9"/>
  <c r="J25" i="3" s="1"/>
  <c r="AL2" i="11"/>
  <c r="AJ2" i="8"/>
  <c r="AH23" i="13"/>
  <c r="AH23" i="10" s="1"/>
  <c r="AE17" i="9"/>
  <c r="AE21" i="9" s="1"/>
  <c r="AE46" i="10"/>
  <c r="AN8" i="11"/>
  <c r="AL10" i="8"/>
  <c r="AE26" i="10"/>
  <c r="AE48" i="10" s="1"/>
  <c r="AH25" i="13"/>
  <c r="AH25" i="10" s="1"/>
  <c r="AG11" i="12"/>
  <c r="AF12" i="9"/>
  <c r="AI22" i="12"/>
  <c r="AH26" i="9"/>
  <c r="J26" i="3" s="1"/>
  <c r="AH34" i="10"/>
  <c r="AE19" i="12"/>
  <c r="AD23" i="9"/>
  <c r="AN10" i="11"/>
  <c r="AL14" i="8"/>
  <c r="AI15" i="12"/>
  <c r="AH18" i="9"/>
  <c r="J18" i="3" s="1"/>
  <c r="AE5" i="9"/>
  <c r="AH21" i="13" s="1"/>
  <c r="AH21" i="10" s="1"/>
  <c r="AI16" i="12"/>
  <c r="AH19" i="9"/>
  <c r="J19" i="3" s="1"/>
  <c r="AI18" i="12"/>
  <c r="AH22" i="9"/>
  <c r="AI13" i="12"/>
  <c r="AH15" i="9"/>
  <c r="Z2" i="12"/>
  <c r="Y2" i="9"/>
  <c r="Y7" i="9" s="1"/>
  <c r="Y14" i="9" s="1"/>
  <c r="AA20" i="12"/>
  <c r="Z24" i="9"/>
  <c r="AI21" i="13" l="1"/>
  <c r="AI21" i="10" s="1"/>
  <c r="J12" i="2"/>
  <c r="J13" i="2" s="1"/>
  <c r="J15" i="2" s="1"/>
  <c r="AG2" i="13"/>
  <c r="AG2" i="10" s="1"/>
  <c r="AG26" i="10" s="1"/>
  <c r="AG41" i="10"/>
  <c r="AG46" i="10" s="1"/>
  <c r="AB20" i="12"/>
  <c r="AA24" i="9"/>
  <c r="AA28" i="9" s="1"/>
  <c r="AA29" i="9" s="1"/>
  <c r="AI25" i="13"/>
  <c r="AI25" i="10" s="1"/>
  <c r="H24" i="3"/>
  <c r="H28" i="3" s="1"/>
  <c r="H29" i="3" s="1"/>
  <c r="Z28" i="9"/>
  <c r="Z29" i="9" s="1"/>
  <c r="AO8" i="11"/>
  <c r="AM10" i="8"/>
  <c r="AJ15" i="12"/>
  <c r="AI18" i="9"/>
  <c r="AJ22" i="12"/>
  <c r="AI26" i="9"/>
  <c r="AI4" i="8"/>
  <c r="AI8" i="8" s="1"/>
  <c r="AI11" i="8" s="1"/>
  <c r="AF2" i="13"/>
  <c r="AF2" i="10" s="1"/>
  <c r="AF41" i="10"/>
  <c r="AO10" i="11"/>
  <c r="AM14" i="8"/>
  <c r="AH11" i="12"/>
  <c r="AG12" i="9"/>
  <c r="AA2" i="12"/>
  <c r="Z2" i="9"/>
  <c r="AF7" i="12"/>
  <c r="AE8" i="9"/>
  <c r="J15" i="3"/>
  <c r="AJ13" i="12"/>
  <c r="AI15" i="9"/>
  <c r="AJ27" i="10"/>
  <c r="AJ10" i="10"/>
  <c r="AJ3" i="10"/>
  <c r="AJ3" i="8"/>
  <c r="AG20" i="9"/>
  <c r="AG4" i="9"/>
  <c r="AJ20" i="13" s="1"/>
  <c r="AJ20" i="10" s="1"/>
  <c r="AG13" i="9"/>
  <c r="AJ25" i="13" s="1"/>
  <c r="AJ25" i="10" s="1"/>
  <c r="AJ7" i="8"/>
  <c r="AJ5" i="8"/>
  <c r="AG6" i="9"/>
  <c r="AJ22" i="13" s="1"/>
  <c r="AJ22" i="10" s="1"/>
  <c r="AG16" i="9"/>
  <c r="J22" i="3"/>
  <c r="I23" i="3"/>
  <c r="AM2" i="11"/>
  <c r="AK2" i="8"/>
  <c r="AJ18" i="12"/>
  <c r="AI22" i="9"/>
  <c r="AI23" i="13"/>
  <c r="AI23" i="10" s="1"/>
  <c r="AF17" i="9"/>
  <c r="AF21" i="9" s="1"/>
  <c r="AH2" i="13"/>
  <c r="AH2" i="10" s="1"/>
  <c r="AH41" i="10"/>
  <c r="AJ21" i="12"/>
  <c r="AI25" i="9"/>
  <c r="AF19" i="12"/>
  <c r="AE23" i="9"/>
  <c r="AJ16" i="12"/>
  <c r="AI19" i="9"/>
  <c r="AJ23" i="13" l="1"/>
  <c r="AJ23" i="10" s="1"/>
  <c r="AG17" i="9"/>
  <c r="AG21" i="9" s="1"/>
  <c r="AP8" i="11"/>
  <c r="AO10" i="8" s="1"/>
  <c r="AN10" i="8"/>
  <c r="AI11" i="12"/>
  <c r="AH12" i="9"/>
  <c r="J12" i="3" s="1"/>
  <c r="AK21" i="12"/>
  <c r="AJ25" i="9"/>
  <c r="AP10" i="11"/>
  <c r="AO14" i="8" s="1"/>
  <c r="AN14" i="8"/>
  <c r="L14" i="2" s="1"/>
  <c r="AG5" i="9"/>
  <c r="AJ21" i="13" s="1"/>
  <c r="AJ21" i="10" s="1"/>
  <c r="AK13" i="12"/>
  <c r="AJ15" i="9"/>
  <c r="AF46" i="10"/>
  <c r="J41" i="4"/>
  <c r="J46" i="4" s="1"/>
  <c r="AJ4" i="8"/>
  <c r="AJ8" i="8" s="1"/>
  <c r="AJ11" i="8" s="1"/>
  <c r="AK27" i="10"/>
  <c r="AK34" i="10" s="1"/>
  <c r="AK10" i="10"/>
  <c r="K10" i="4" s="1"/>
  <c r="AH16" i="9"/>
  <c r="AK3" i="10"/>
  <c r="K3" i="4" s="1"/>
  <c r="AH13" i="9"/>
  <c r="AH20" i="9"/>
  <c r="J20" i="3" s="1"/>
  <c r="AH6" i="9"/>
  <c r="AH4" i="9"/>
  <c r="AK7" i="8"/>
  <c r="K7" i="2" s="1"/>
  <c r="AK3" i="8"/>
  <c r="AH5" i="9" s="1"/>
  <c r="AK5" i="8"/>
  <c r="K5" i="2" s="1"/>
  <c r="AK16" i="12"/>
  <c r="AJ19" i="9"/>
  <c r="AK18" i="12"/>
  <c r="AJ22" i="9"/>
  <c r="AF26" i="10"/>
  <c r="AF48" i="10" s="1"/>
  <c r="J2" i="4"/>
  <c r="J26" i="4" s="1"/>
  <c r="AN2" i="11"/>
  <c r="AL2" i="8"/>
  <c r="AI12" i="8"/>
  <c r="AI13" i="8" s="1"/>
  <c r="AC20" i="12"/>
  <c r="AB24" i="9"/>
  <c r="AB28" i="9" s="1"/>
  <c r="AB29" i="9" s="1"/>
  <c r="AG19" i="12"/>
  <c r="AF23" i="9"/>
  <c r="AG7" i="12"/>
  <c r="AF8" i="9"/>
  <c r="AK22" i="12"/>
  <c r="AJ26" i="9"/>
  <c r="Z7" i="9"/>
  <c r="Z14" i="9" s="1"/>
  <c r="H2" i="3"/>
  <c r="H7" i="3" s="1"/>
  <c r="H14" i="3" s="1"/>
  <c r="AH46" i="10"/>
  <c r="AB2" i="12"/>
  <c r="AA2" i="9"/>
  <c r="AA7" i="9" s="1"/>
  <c r="AA14" i="9" s="1"/>
  <c r="AK15" i="12"/>
  <c r="AJ18" i="9"/>
  <c r="AG48" i="10"/>
  <c r="AH26" i="10"/>
  <c r="K2" i="2"/>
  <c r="AJ34" i="10"/>
  <c r="AK4" i="8" l="1"/>
  <c r="AK8" i="8" s="1"/>
  <c r="AK11" i="8" s="1"/>
  <c r="K3" i="2"/>
  <c r="K27" i="4"/>
  <c r="K34" i="4" s="1"/>
  <c r="J48" i="4"/>
  <c r="AI2" i="13"/>
  <c r="AI2" i="10" s="1"/>
  <c r="AI41" i="10"/>
  <c r="K4" i="2"/>
  <c r="K8" i="2" s="1"/>
  <c r="K11" i="2" s="1"/>
  <c r="AJ12" i="8"/>
  <c r="AJ13" i="8" s="1"/>
  <c r="AL27" i="10"/>
  <c r="AL10" i="10"/>
  <c r="AI20" i="9"/>
  <c r="AI6" i="9"/>
  <c r="AL22" i="13" s="1"/>
  <c r="AL22" i="10" s="1"/>
  <c r="AI16" i="9"/>
  <c r="AI4" i="9"/>
  <c r="AL20" i="13" s="1"/>
  <c r="AL20" i="10" s="1"/>
  <c r="AL7" i="8"/>
  <c r="AL3" i="10"/>
  <c r="AL5" i="8"/>
  <c r="AI13" i="9"/>
  <c r="AL3" i="8"/>
  <c r="AK12" i="8"/>
  <c r="AK13" i="8" s="1"/>
  <c r="AL21" i="12"/>
  <c r="AL25" i="9" s="1"/>
  <c r="K25" i="3" s="1"/>
  <c r="AK25" i="9"/>
  <c r="AH48" i="10"/>
  <c r="AO2" i="11"/>
  <c r="AM2" i="8"/>
  <c r="AK21" i="13"/>
  <c r="AK21" i="10" s="1"/>
  <c r="K21" i="4" s="1"/>
  <c r="J5" i="3"/>
  <c r="AJ11" i="12"/>
  <c r="AI12" i="9"/>
  <c r="AL15" i="12"/>
  <c r="AL18" i="9" s="1"/>
  <c r="K18" i="3" s="1"/>
  <c r="AK18" i="9"/>
  <c r="AD20" i="12"/>
  <c r="AC24" i="9"/>
  <c r="AC28" i="9" s="1"/>
  <c r="AC29" i="9" s="1"/>
  <c r="AL22" i="12"/>
  <c r="AL26" i="9" s="1"/>
  <c r="K26" i="3" s="1"/>
  <c r="AK26" i="9"/>
  <c r="AK20" i="13"/>
  <c r="AK20" i="10" s="1"/>
  <c r="K20" i="4" s="1"/>
  <c r="J4" i="3"/>
  <c r="AC2" i="12"/>
  <c r="AB2" i="9"/>
  <c r="AB7" i="9" s="1"/>
  <c r="AB14" i="9" s="1"/>
  <c r="AK22" i="13"/>
  <c r="AK22" i="10" s="1"/>
  <c r="K22" i="4" s="1"/>
  <c r="J6" i="3"/>
  <c r="L10" i="2"/>
  <c r="AL13" i="12"/>
  <c r="AL15" i="9" s="1"/>
  <c r="AK15" i="9"/>
  <c r="AL18" i="12"/>
  <c r="AL22" i="9" s="1"/>
  <c r="AK22" i="9"/>
  <c r="AK25" i="13"/>
  <c r="AK25" i="10" s="1"/>
  <c r="K25" i="4" s="1"/>
  <c r="J13" i="3"/>
  <c r="AH7" i="12"/>
  <c r="AG8" i="9"/>
  <c r="AL16" i="12"/>
  <c r="AL19" i="9" s="1"/>
  <c r="K19" i="3" s="1"/>
  <c r="AK19" i="9"/>
  <c r="AK23" i="13"/>
  <c r="AK23" i="10" s="1"/>
  <c r="K23" i="4" s="1"/>
  <c r="J16" i="3"/>
  <c r="J17" i="3" s="1"/>
  <c r="J21" i="3" s="1"/>
  <c r="AH17" i="9"/>
  <c r="AH21" i="9" s="1"/>
  <c r="AH19" i="12"/>
  <c r="AG23" i="9"/>
  <c r="AL25" i="13" l="1"/>
  <c r="AL25" i="10" s="1"/>
  <c r="AK2" i="13"/>
  <c r="AK2" i="10" s="1"/>
  <c r="AK26" i="10" s="1"/>
  <c r="AK41" i="10"/>
  <c r="AK46" i="10" s="1"/>
  <c r="AJ2" i="13"/>
  <c r="AJ2" i="10" s="1"/>
  <c r="AJ26" i="10" s="1"/>
  <c r="AJ41" i="10"/>
  <c r="AJ46" i="10" s="1"/>
  <c r="K15" i="3"/>
  <c r="AE20" i="12"/>
  <c r="AD24" i="9"/>
  <c r="AL23" i="13"/>
  <c r="AL23" i="10" s="1"/>
  <c r="AI17" i="9"/>
  <c r="AI21" i="9" s="1"/>
  <c r="AI7" i="12"/>
  <c r="AH8" i="9"/>
  <c r="J8" i="3" s="1"/>
  <c r="K22" i="3"/>
  <c r="K12" i="2"/>
  <c r="K13" i="2" s="1"/>
  <c r="K15" i="2" s="1"/>
  <c r="AI5" i="9"/>
  <c r="AL21" i="13" s="1"/>
  <c r="AL21" i="10" s="1"/>
  <c r="AL34" i="10"/>
  <c r="AD2" i="12"/>
  <c r="AC2" i="9"/>
  <c r="AC7" i="9" s="1"/>
  <c r="AC14" i="9" s="1"/>
  <c r="AK11" i="12"/>
  <c r="AJ12" i="9"/>
  <c r="AI19" i="12"/>
  <c r="AH23" i="9"/>
  <c r="AM27" i="10"/>
  <c r="AM34" i="10" s="1"/>
  <c r="AJ20" i="9"/>
  <c r="AJ16" i="9"/>
  <c r="AM3" i="10"/>
  <c r="AM10" i="10"/>
  <c r="AJ4" i="9"/>
  <c r="AM20" i="13" s="1"/>
  <c r="AM20" i="10" s="1"/>
  <c r="AM7" i="8"/>
  <c r="AJ13" i="9"/>
  <c r="AM3" i="8"/>
  <c r="AJ5" i="9" s="1"/>
  <c r="AM5" i="8"/>
  <c r="AJ6" i="9"/>
  <c r="AM22" i="13" s="1"/>
  <c r="AM22" i="10" s="1"/>
  <c r="AI46" i="10"/>
  <c r="AP2" i="11"/>
  <c r="AO2" i="8" s="1"/>
  <c r="L2" i="2" s="1"/>
  <c r="AN2" i="8"/>
  <c r="AL4" i="8"/>
  <c r="AL8" i="8" s="1"/>
  <c r="AL11" i="8" s="1"/>
  <c r="AI26" i="10"/>
  <c r="AM4" i="8" l="1"/>
  <c r="AM8" i="8" s="1"/>
  <c r="AM11" i="8" s="1"/>
  <c r="AJ48" i="10"/>
  <c r="I24" i="3"/>
  <c r="I28" i="3" s="1"/>
  <c r="I29" i="3" s="1"/>
  <c r="AD28" i="9"/>
  <c r="AD29" i="9" s="1"/>
  <c r="J23" i="3"/>
  <c r="AJ19" i="12"/>
  <c r="AI23" i="9"/>
  <c r="AM12" i="8"/>
  <c r="AM13" i="8" s="1"/>
  <c r="K2" i="4"/>
  <c r="K26" i="4" s="1"/>
  <c r="AM21" i="13"/>
  <c r="AM21" i="10" s="1"/>
  <c r="K41" i="4"/>
  <c r="K46" i="4" s="1"/>
  <c r="AI48" i="10"/>
  <c r="AM25" i="13"/>
  <c r="AM25" i="10" s="1"/>
  <c r="AL12" i="8"/>
  <c r="AL13" i="8" s="1"/>
  <c r="AL11" i="12"/>
  <c r="AL12" i="9" s="1"/>
  <c r="K12" i="3" s="1"/>
  <c r="AK12" i="9"/>
  <c r="AO27" i="10"/>
  <c r="AO34" i="10" s="1"/>
  <c r="AO10" i="10"/>
  <c r="AO3" i="10"/>
  <c r="AL6" i="9"/>
  <c r="AL4" i="9"/>
  <c r="AO7" i="8"/>
  <c r="AL16" i="9"/>
  <c r="AL13" i="9"/>
  <c r="AO5" i="8"/>
  <c r="AL20" i="9"/>
  <c r="K20" i="3" s="1"/>
  <c r="AO3" i="8"/>
  <c r="AL5" i="9" s="1"/>
  <c r="AM23" i="13"/>
  <c r="AM23" i="10" s="1"/>
  <c r="AJ17" i="9"/>
  <c r="AJ21" i="9" s="1"/>
  <c r="AN27" i="10"/>
  <c r="AK20" i="9"/>
  <c r="AN10" i="10"/>
  <c r="AN3" i="10"/>
  <c r="L3" i="4" s="1"/>
  <c r="AN5" i="8"/>
  <c r="AK6" i="9"/>
  <c r="AN22" i="13" s="1"/>
  <c r="AN22" i="10" s="1"/>
  <c r="AK16" i="9"/>
  <c r="AN3" i="8"/>
  <c r="AN7" i="8"/>
  <c r="AN4" i="8"/>
  <c r="AK13" i="9"/>
  <c r="AK4" i="9"/>
  <c r="AN20" i="13" s="1"/>
  <c r="AN20" i="10" s="1"/>
  <c r="AJ7" i="12"/>
  <c r="AI8" i="9"/>
  <c r="AE2" i="12"/>
  <c r="AD2" i="9"/>
  <c r="AF20" i="12"/>
  <c r="AE24" i="9"/>
  <c r="AE28" i="9" s="1"/>
  <c r="AE29" i="9" s="1"/>
  <c r="AK48" i="10"/>
  <c r="K48" i="4" l="1"/>
  <c r="L10" i="4"/>
  <c r="AN8" i="8"/>
  <c r="AN11" i="8" s="1"/>
  <c r="AN25" i="13"/>
  <c r="AN25" i="10" s="1"/>
  <c r="L7" i="2"/>
  <c r="AO4" i="8"/>
  <c r="AM2" i="13"/>
  <c r="AM2" i="10" s="1"/>
  <c r="AM26" i="10" s="1"/>
  <c r="AM48" i="10" s="1"/>
  <c r="AM41" i="10"/>
  <c r="AM46" i="10" s="1"/>
  <c r="AK5" i="9"/>
  <c r="AN21" i="13" s="1"/>
  <c r="AN21" i="10" s="1"/>
  <c r="L3" i="2"/>
  <c r="L4" i="2" s="1"/>
  <c r="AN23" i="13"/>
  <c r="AN23" i="10" s="1"/>
  <c r="L23" i="4" s="1"/>
  <c r="AK17" i="9"/>
  <c r="AK21" i="9" s="1"/>
  <c r="L5" i="2"/>
  <c r="AD7" i="9"/>
  <c r="AD14" i="9" s="1"/>
  <c r="I2" i="3"/>
  <c r="I7" i="3" s="1"/>
  <c r="I14" i="3" s="1"/>
  <c r="AO23" i="13"/>
  <c r="AO23" i="10" s="1"/>
  <c r="K16" i="3"/>
  <c r="K17" i="3" s="1"/>
  <c r="K21" i="3" s="1"/>
  <c r="AL17" i="9"/>
  <c r="AL21" i="9" s="1"/>
  <c r="AL2" i="13"/>
  <c r="AL2" i="10" s="1"/>
  <c r="AL41" i="10"/>
  <c r="AO8" i="8"/>
  <c r="AO11" i="8" s="1"/>
  <c r="AG20" i="12"/>
  <c r="AF24" i="9"/>
  <c r="AF28" i="9" s="1"/>
  <c r="AF29" i="9" s="1"/>
  <c r="AK19" i="12"/>
  <c r="AJ23" i="9"/>
  <c r="AO25" i="13"/>
  <c r="AO25" i="10" s="1"/>
  <c r="L25" i="4" s="1"/>
  <c r="K13" i="3"/>
  <c r="AF2" i="12"/>
  <c r="AE2" i="9"/>
  <c r="AE7" i="9" s="1"/>
  <c r="AE14" i="9" s="1"/>
  <c r="AO20" i="13"/>
  <c r="AO20" i="10" s="1"/>
  <c r="L20" i="4" s="1"/>
  <c r="K4" i="3"/>
  <c r="AK7" i="12"/>
  <c r="AJ8" i="9"/>
  <c r="AN34" i="10"/>
  <c r="L27" i="4"/>
  <c r="L34" i="4" s="1"/>
  <c r="AO22" i="13"/>
  <c r="AO22" i="10" s="1"/>
  <c r="L22" i="4" s="1"/>
  <c r="K6" i="3"/>
  <c r="AN12" i="8"/>
  <c r="AN13" i="8" s="1"/>
  <c r="K5" i="3"/>
  <c r="AO21" i="13" l="1"/>
  <c r="AO21" i="10" s="1"/>
  <c r="L21" i="4" s="1"/>
  <c r="AN2" i="13"/>
  <c r="AN2" i="10" s="1"/>
  <c r="AN26" i="10" s="1"/>
  <c r="AN41" i="10"/>
  <c r="AN46" i="10" s="1"/>
  <c r="AL7" i="12"/>
  <c r="AL8" i="9" s="1"/>
  <c r="K8" i="3" s="1"/>
  <c r="AK8" i="9"/>
  <c r="AL46" i="10"/>
  <c r="AO12" i="8"/>
  <c r="L12" i="2" s="1"/>
  <c r="AL26" i="10"/>
  <c r="AL48" i="10" s="1"/>
  <c r="L8" i="2"/>
  <c r="L11" i="2" s="1"/>
  <c r="AG2" i="12"/>
  <c r="AF2" i="9"/>
  <c r="AF7" i="9" s="1"/>
  <c r="AF14" i="9" s="1"/>
  <c r="AL19" i="12"/>
  <c r="AL23" i="9" s="1"/>
  <c r="AK23" i="9"/>
  <c r="AH20" i="12"/>
  <c r="AG24" i="9"/>
  <c r="AG28" i="9" s="1"/>
  <c r="AG29" i="9" s="1"/>
  <c r="AN48" i="10" l="1"/>
  <c r="AH2" i="12"/>
  <c r="AG2" i="9"/>
  <c r="AG7" i="9" s="1"/>
  <c r="AG14" i="9" s="1"/>
  <c r="AI20" i="12"/>
  <c r="AH24" i="9"/>
  <c r="AO13" i="8"/>
  <c r="L13" i="2"/>
  <c r="L15" i="2" s="1"/>
  <c r="K23" i="3"/>
  <c r="AO2" i="13" l="1"/>
  <c r="AO2" i="10" s="1"/>
  <c r="AO41" i="10"/>
  <c r="J24" i="3"/>
  <c r="J28" i="3" s="1"/>
  <c r="J29" i="3" s="1"/>
  <c r="AH28" i="9"/>
  <c r="AH29" i="9" s="1"/>
  <c r="AJ20" i="12"/>
  <c r="AI24" i="9"/>
  <c r="AI28" i="9" s="1"/>
  <c r="AI29" i="9" s="1"/>
  <c r="AI2" i="12"/>
  <c r="AH2" i="9"/>
  <c r="AJ2" i="12" l="1"/>
  <c r="AI2" i="9"/>
  <c r="AI7" i="9" s="1"/>
  <c r="AI14" i="9" s="1"/>
  <c r="AK20" i="12"/>
  <c r="AJ24" i="9"/>
  <c r="AJ28" i="9" s="1"/>
  <c r="AJ29" i="9" s="1"/>
  <c r="AO46" i="10"/>
  <c r="L41" i="4"/>
  <c r="L46" i="4" s="1"/>
  <c r="AO26" i="10"/>
  <c r="AO48" i="10" s="1"/>
  <c r="L2" i="4"/>
  <c r="L26" i="4" s="1"/>
  <c r="AH7" i="9"/>
  <c r="AH14" i="9" s="1"/>
  <c r="J2" i="3"/>
  <c r="J7" i="3" s="1"/>
  <c r="J14" i="3" s="1"/>
  <c r="AK2" i="12" l="1"/>
  <c r="AJ2" i="9"/>
  <c r="AJ7" i="9" s="1"/>
  <c r="AJ14" i="9" s="1"/>
  <c r="L48" i="4"/>
  <c r="AL20" i="12"/>
  <c r="AL24" i="9" s="1"/>
  <c r="AK24" i="9"/>
  <c r="AK28" i="9" s="1"/>
  <c r="AK29" i="9" s="1"/>
  <c r="K24" i="3" l="1"/>
  <c r="K28" i="3" s="1"/>
  <c r="K29" i="3" s="1"/>
  <c r="AL28" i="9"/>
  <c r="AL29" i="9" s="1"/>
  <c r="AL2" i="12"/>
  <c r="AL2" i="9" s="1"/>
  <c r="AK2" i="9"/>
  <c r="AK7" i="9" s="1"/>
  <c r="AK14" i="9" s="1"/>
  <c r="AL7" i="9" l="1"/>
  <c r="AL14" i="9" s="1"/>
  <c r="K2" i="3"/>
  <c r="K7" i="3" s="1"/>
  <c r="K14" i="3" s="1"/>
</calcChain>
</file>

<file path=xl/sharedStrings.xml><?xml version="1.0" encoding="utf-8"?>
<sst xmlns="http://schemas.openxmlformats.org/spreadsheetml/2006/main" count="669" uniqueCount="162">
  <si>
    <t>Assumption</t>
  </si>
  <si>
    <t>Value</t>
  </si>
  <si>
    <t>Note</t>
  </si>
  <si>
    <t>Days in Quarter</t>
  </si>
  <si>
    <t>Used by DSO/DIO/DPO ratios. Approximation; varies 89-92 by quarter.</t>
  </si>
  <si>
    <t>FY2021</t>
  </si>
  <si>
    <t>FY2022</t>
  </si>
  <si>
    <t>FY2023</t>
  </si>
  <si>
    <t>FY2024</t>
  </si>
  <si>
    <t>FY2025</t>
  </si>
  <si>
    <t>FY2026E</t>
  </si>
  <si>
    <t>FY2027E</t>
  </si>
  <si>
    <t>FY2028E</t>
  </si>
  <si>
    <t>FY2029E</t>
  </si>
  <si>
    <t>FY2030E</t>
  </si>
  <si>
    <t>FY2031E</t>
  </si>
  <si>
    <t>Net Sales / Revenue</t>
  </si>
  <si>
    <t>COGS</t>
  </si>
  <si>
    <t>Gross Profit (Loss)</t>
  </si>
  <si>
    <t>SG&amp;A</t>
  </si>
  <si>
    <t>Gain on Juice Transaction</t>
  </si>
  <si>
    <t>Impairment of Intangibles</t>
  </si>
  <si>
    <t>Income (Loss) from Operations</t>
  </si>
  <si>
    <t>Other Pension and OPEB Benefits Income (Expense)</t>
  </si>
  <si>
    <t>Interest Income (Expense)</t>
  </si>
  <si>
    <t>Pre-Tax Income (Loss)</t>
  </si>
  <si>
    <t>Income Tax (Expense) Benefit</t>
  </si>
  <si>
    <t>Net Income (Loss)</t>
  </si>
  <si>
    <t>Net Income (Loss) Attributable to Noncontrolling Interest</t>
  </si>
  <si>
    <t>Net Income (Loss) Less NCI</t>
  </si>
  <si>
    <t>Basic Earnings (Loss) per Share</t>
  </si>
  <si>
    <t>Diluted Earnings (Loss) per Share</t>
  </si>
  <si>
    <t>Weighted Average Shares Outstanding (Basic)</t>
  </si>
  <si>
    <t>Weighted Average Shares Outstanding (Diluted)</t>
  </si>
  <si>
    <t>Cash &amp; Cash Equivalents</t>
  </si>
  <si>
    <t>Short-Term Investments</t>
  </si>
  <si>
    <t>Accounts Receivable</t>
  </si>
  <si>
    <t>Inventories</t>
  </si>
  <si>
    <t>Prepaid Expenses</t>
  </si>
  <si>
    <t>Total Current Assets</t>
  </si>
  <si>
    <t>Net PP&amp;E</t>
  </si>
  <si>
    <t>Intangible Assets</t>
  </si>
  <si>
    <t>Goodwill</t>
  </si>
  <si>
    <t>Equity Method Investments</t>
  </si>
  <si>
    <t>Deferred Tax Assets</t>
  </si>
  <si>
    <t>Other Non-Current Assets</t>
  </si>
  <si>
    <t>Total Assets</t>
  </si>
  <si>
    <t>Short-Term Debt Obligations</t>
  </si>
  <si>
    <t>Accrued Expenses</t>
  </si>
  <si>
    <t>Total Current Liabilities</t>
  </si>
  <si>
    <t>Long-Term Debt</t>
  </si>
  <si>
    <t>Deferred Tax Liability</t>
  </si>
  <si>
    <t>Other Non-Current Liabilities</t>
  </si>
  <si>
    <t>Total Liabilities</t>
  </si>
  <si>
    <t>Common Stock</t>
  </si>
  <si>
    <t>Additional Paid-in Capital</t>
  </si>
  <si>
    <t>Retained Earnings (Accumulated Deficit)</t>
  </si>
  <si>
    <t>Accumulated Other Comprehensive Income (Loss)</t>
  </si>
  <si>
    <t>Treasury Stock</t>
  </si>
  <si>
    <t>Noncontrolling Interest</t>
  </si>
  <si>
    <t>Total Stockholders' Equity</t>
  </si>
  <si>
    <t>Total Liabilities, Mezzanine &amp; Stockholders' Equity</t>
  </si>
  <si>
    <t>Depreciation &amp; Amortization</t>
  </si>
  <si>
    <t>Impairment and Other Charges</t>
  </si>
  <si>
    <t>Indirect Tax Impact</t>
  </si>
  <si>
    <t>Product Recall Impact</t>
  </si>
  <si>
    <t>Cash Payments for Product Recall</t>
  </si>
  <si>
    <t>Non-Cash Lease Expense</t>
  </si>
  <si>
    <t>Stock-Based Compensation</t>
  </si>
  <si>
    <t>Restructuring and Asset Impairment Charges</t>
  </si>
  <si>
    <t>Cash Payments for Restructuring</t>
  </si>
  <si>
    <t>Acquisition and Divestiture-Related Charges</t>
  </si>
  <si>
    <t>Cash Payments for Acquisition and Divestiture Costs</t>
  </si>
  <si>
    <t>Pension and Postretirement Benefits Expense</t>
  </si>
  <si>
    <t>Pension and Postretirement Benefits Contributions</t>
  </si>
  <si>
    <t>(Benefit) Provision for Deferred Income Taxes</t>
  </si>
  <si>
    <t>Tax Expense Related to TCJ Act</t>
  </si>
  <si>
    <t>Tax Payments Related to TCJ Act</t>
  </si>
  <si>
    <t>Accounts Payable</t>
  </si>
  <si>
    <t>Other Current Liabilities</t>
  </si>
  <si>
    <t>Other Operating Items</t>
  </si>
  <si>
    <t>Cash Flow from Operations</t>
  </si>
  <si>
    <t>Purchase of PP&amp;E</t>
  </si>
  <si>
    <t>Proceeds from Sale of Assets</t>
  </si>
  <si>
    <t>Acquisitions, Net of Cash Acquired</t>
  </si>
  <si>
    <t>Proceeds from Juice Transaction</t>
  </si>
  <si>
    <t>Proceeds from Divestitures of Businesses</t>
  </si>
  <si>
    <t>Net Change in Short-Term Investments</t>
  </si>
  <si>
    <t>Other Investing Activities</t>
  </si>
  <si>
    <t>Cash Flow from Investing</t>
  </si>
  <si>
    <t>Proceeds from Issuance of Long-Term Debt</t>
  </si>
  <si>
    <t>Repayments of Long-Term Debt</t>
  </si>
  <si>
    <t>Proceeds from Short-Term Debt</t>
  </si>
  <si>
    <t>Repayments of Short-Term Debt</t>
  </si>
  <si>
    <t>Net Change in Other Short-Term Debt</t>
  </si>
  <si>
    <t>Payments of Contingent Consideration</t>
  </si>
  <si>
    <t>Common Dividends</t>
  </si>
  <si>
    <t>Share Repurchases</t>
  </si>
  <si>
    <t>Proceeds from Exercise of Stock Options</t>
  </si>
  <si>
    <t>Tax Withholdings on RSU/PSU Settlement</t>
  </si>
  <si>
    <t>Other Financing Activities</t>
  </si>
  <si>
    <t>Cash Flow from Financing</t>
  </si>
  <si>
    <t>FX Effect on Cash</t>
  </si>
  <si>
    <t>Net Change in Cash</t>
  </si>
  <si>
    <t>Q1 FY2022</t>
  </si>
  <si>
    <t>Q2 FY2022</t>
  </si>
  <si>
    <t>Q3 FY2022</t>
  </si>
  <si>
    <t>Q1 FY2023</t>
  </si>
  <si>
    <t>Q2 FY2023</t>
  </si>
  <si>
    <t>Q3 FY2023</t>
  </si>
  <si>
    <t>Q1 FY2024</t>
  </si>
  <si>
    <t>Q2 FY2024</t>
  </si>
  <si>
    <t>Q3 FY2024</t>
  </si>
  <si>
    <t>Q1 FY2025</t>
  </si>
  <si>
    <t>Q2 FY2025</t>
  </si>
  <si>
    <t>Q3 FY2025</t>
  </si>
  <si>
    <t>Q1 FY2026</t>
  </si>
  <si>
    <t>Q4 FY2022</t>
  </si>
  <si>
    <t>Q4 FY2023</t>
  </si>
  <si>
    <t>Q4 FY2024</t>
  </si>
  <si>
    <t>Q4 FY2025</t>
  </si>
  <si>
    <t>Q2 FY2026E</t>
  </si>
  <si>
    <t>Q3 FY2026E</t>
  </si>
  <si>
    <t>Q4 FY2026E</t>
  </si>
  <si>
    <t>Q1 FY2027E</t>
  </si>
  <si>
    <t>Q2 FY2027E</t>
  </si>
  <si>
    <t>Q3 FY2027E</t>
  </si>
  <si>
    <t>Q4 FY2027E</t>
  </si>
  <si>
    <t>Q1 FY2028E</t>
  </si>
  <si>
    <t>Q2 FY2028E</t>
  </si>
  <si>
    <t>Q3 FY2028E</t>
  </si>
  <si>
    <t>Q4 FY2028E</t>
  </si>
  <si>
    <t>Q1 FY2029E</t>
  </si>
  <si>
    <t>Q2 FY2029E</t>
  </si>
  <si>
    <t>Q3 FY2029E</t>
  </si>
  <si>
    <t>Q4 FY2029E</t>
  </si>
  <si>
    <t>Q1 FY2030E</t>
  </si>
  <si>
    <t>Q2 FY2030E</t>
  </si>
  <si>
    <t>Q3 FY2030E</t>
  </si>
  <si>
    <t>Q4 FY2030E</t>
  </si>
  <si>
    <t>Q1 FY2031E</t>
  </si>
  <si>
    <t>Q2 FY2031E</t>
  </si>
  <si>
    <t>Q3 FY2031E</t>
  </si>
  <si>
    <t>Q4 FY2031E</t>
  </si>
  <si>
    <t>Driver</t>
  </si>
  <si>
    <t>Basis</t>
  </si>
  <si>
    <t>Net Sales / Revenue — Growth %</t>
  </si>
  <si>
    <t>YoY</t>
  </si>
  <si>
    <t>COGS — % of Revenue</t>
  </si>
  <si>
    <t>SG&amp;A — % of Revenue</t>
  </si>
  <si>
    <t>Impairment of Intangibles — % of Revenue</t>
  </si>
  <si>
    <t>Income Tax (Expense) Benefit — Effective Tax Rate %</t>
  </si>
  <si>
    <t>Accounts Receivable — DSO (days)</t>
  </si>
  <si>
    <t>Inventories — DIO (days)</t>
  </si>
  <si>
    <t>Prepaid Expenses — % of Revenue</t>
  </si>
  <si>
    <t>Other Non-Current Assets — % of Revenue</t>
  </si>
  <si>
    <t>Accrued Expenses — % of Revenue</t>
  </si>
  <si>
    <t>Other Non-Current Liabilities — % of Revenue</t>
  </si>
  <si>
    <t>Depreciation &amp; Amortization — % of Revenue</t>
  </si>
  <si>
    <t>Stock-Based Compensation — % of Revenue</t>
  </si>
  <si>
    <t>Purchase of PP&amp;E — % of Revenue</t>
  </si>
  <si>
    <t>Common Dividends — % of 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</si>
</sst>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&quot;--&quot;"/>
    <numFmt numFmtId="165" formatCode="\$#,##0_);\(\$#,##0\);&quot;$--&quot;_)"/>
    <numFmt numFmtId="166" formatCode="\$#,##0.00_);\(\$#,##0.00\)"/>
    <numFmt numFmtId="167" formatCode="0.0%;\(0.0%\);&quot;--&quot;"/>
    <numFmt numFmtId="168" formatCode="0.0_);\(0.0\)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164" fontId="0" fillId="0" borderId="0" xfId="0" applyNumberFormat="1"/>
    <xf numFmtId="0" fontId="0" fillId="3" borderId="0" xfId="0" applyFill="1"/>
    <xf numFmtId="165" fontId="2" fillId="0" borderId="1" xfId="0" applyNumberFormat="1" applyFont="1" applyBorder="1"/>
    <xf numFmtId="165" fontId="2" fillId="3" borderId="1" xfId="0" applyNumberFormat="1" applyFont="1" applyFill="1" applyBorder="1"/>
    <xf numFmtId="166" fontId="0" fillId="0" borderId="0" xfId="0" applyNumberFormat="1"/>
    <xf numFmtId="166" fontId="0" fillId="3" borderId="0" xfId="0" applyNumberFormat="1" applyFill="1"/>
    <xf numFmtId="0" fontId="0" fillId="4" borderId="0" xfId="0" applyFill="1"/>
    <xf numFmtId="164" fontId="0" fillId="3" borderId="0" xfId="0" applyNumberFormat="1" applyFill="1"/>
    <xf numFmtId="0" fontId="0" fillId="4" borderId="0" xfId="0" applyFill="1" applyAlignment="1">
      <alignment horizontal="center"/>
    </xf>
    <xf numFmtId="167" fontId="0" fillId="0" borderId="0" xfId="0" applyNumberFormat="1"/>
    <xf numFmtId="167" fontId="0" fillId="4" borderId="0" xfId="0" applyNumberFormat="1" applyFill="1"/>
    <xf numFmtId="164" fontId="0" fillId="4" borderId="0" xfId="0" applyNumberFormat="1" applyFill="1"/>
    <xf numFmtId="168" fontId="0" fillId="0" borderId="0" xfId="0" applyNumberFormat="1"/>
    <xf numFmtId="168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12" customWidth="1"/>
    <col min="3" max="3" width="60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10">
        <v>91</v>
      </c>
      <c r="C2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2" width="13" customWidth="1"/>
  </cols>
  <sheetData>
    <row r="1" spans="1:12" x14ac:dyDescent="0.25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</row>
    <row r="2" spans="1:12" x14ac:dyDescent="0.25">
      <c r="A2" s="3" t="s">
        <v>16</v>
      </c>
      <c r="B2" s="4">
        <v>79474</v>
      </c>
      <c r="C2" s="4">
        <v>86392</v>
      </c>
      <c r="D2" s="4">
        <v>91471</v>
      </c>
      <c r="E2" s="4">
        <v>91854</v>
      </c>
      <c r="F2" s="4">
        <v>93925</v>
      </c>
      <c r="G2" s="11">
        <f>'QTR P&amp;L'!R2+'QTR P&amp;L'!S2+'QTR P&amp;L'!T2+'QTR P&amp;L'!U2</f>
        <v>101913.26385400971</v>
      </c>
      <c r="H2" s="11">
        <f>'QTR P&amp;L'!V2+'QTR P&amp;L'!W2+'QTR P&amp;L'!X2+'QTR P&amp;L'!Y2</f>
        <v>110580.92466730904</v>
      </c>
      <c r="I2" s="11">
        <f>'QTR P&amp;L'!Z2+'QTR P&amp;L'!AA2+'QTR P&amp;L'!AB2+'QTR P&amp;L'!AC2</f>
        <v>119985.76473611753</v>
      </c>
      <c r="J2" s="11">
        <f>'QTR P&amp;L'!AD2+'QTR P&amp;L'!AE2+'QTR P&amp;L'!AF2+'QTR P&amp;L'!AG2</f>
        <v>130190.48070563833</v>
      </c>
      <c r="K2" s="11">
        <f>'QTR P&amp;L'!AH2+'QTR P&amp;L'!AI2+'QTR P&amp;L'!AJ2+'QTR P&amp;L'!AK2</f>
        <v>141263.1015324363</v>
      </c>
      <c r="L2" s="11">
        <f>'QTR P&amp;L'!AL2+'QTR P&amp;L'!AM2+'QTR P&amp;L'!AN2+'QTR P&amp;L'!AO2</f>
        <v>153277.44199426076</v>
      </c>
    </row>
    <row r="3" spans="1:12" x14ac:dyDescent="0.25">
      <c r="A3" s="3" t="s">
        <v>17</v>
      </c>
      <c r="B3" s="4">
        <v>-37075</v>
      </c>
      <c r="C3" s="4">
        <v>-40576</v>
      </c>
      <c r="D3" s="4">
        <v>-41881</v>
      </c>
      <c r="E3" s="4">
        <v>-41744</v>
      </c>
      <c r="F3" s="4">
        <v>-43066</v>
      </c>
      <c r="G3" s="11">
        <f>'QTR P&amp;L'!R3+'QTR P&amp;L'!S3+'QTR P&amp;L'!T3+'QTR P&amp;L'!U3</f>
        <v>-45665.193370165747</v>
      </c>
      <c r="H3" s="11">
        <f>'QTR P&amp;L'!V3+'QTR P&amp;L'!W3+'QTR P&amp;L'!X3+'QTR P&amp;L'!Y3</f>
        <v>-49548.990161065492</v>
      </c>
      <c r="I3" s="11">
        <f>'QTR P&amp;L'!Z3+'QTR P&amp;L'!AA3+'QTR P&amp;L'!AB3+'QTR P&amp;L'!AC3</f>
        <v>-53763.101495708273</v>
      </c>
      <c r="J3" s="11">
        <f>'QTR P&amp;L'!AD3+'QTR P&amp;L'!AE3+'QTR P&amp;L'!AF3+'QTR P&amp;L'!AG3</f>
        <v>-58335.620424189736</v>
      </c>
      <c r="K3" s="11">
        <f>'QTR P&amp;L'!AH3+'QTR P&amp;L'!AI3+'QTR P&amp;L'!AJ3+'QTR P&amp;L'!AK3</f>
        <v>-63297.029293349027</v>
      </c>
      <c r="L3" s="11">
        <f>'QTR P&amp;L'!AL3+'QTR P&amp;L'!AM3+'QTR P&amp;L'!AN3+'QTR P&amp;L'!AO3</f>
        <v>-68680.402954996651</v>
      </c>
    </row>
    <row r="4" spans="1:12" x14ac:dyDescent="0.25">
      <c r="A4" s="3" t="s">
        <v>18</v>
      </c>
      <c r="B4" s="6">
        <f t="shared" ref="B4:L4" si="0">B2+B3</f>
        <v>42399</v>
      </c>
      <c r="C4" s="6">
        <f t="shared" si="0"/>
        <v>45816</v>
      </c>
      <c r="D4" s="6">
        <f t="shared" si="0"/>
        <v>49590</v>
      </c>
      <c r="E4" s="6">
        <f t="shared" si="0"/>
        <v>50110</v>
      </c>
      <c r="F4" s="6">
        <f t="shared" si="0"/>
        <v>50859</v>
      </c>
      <c r="G4" s="7">
        <f t="shared" si="0"/>
        <v>56248.070483843963</v>
      </c>
      <c r="H4" s="7">
        <f t="shared" si="0"/>
        <v>61031.934506243546</v>
      </c>
      <c r="I4" s="7">
        <f t="shared" si="0"/>
        <v>66222.663240409252</v>
      </c>
      <c r="J4" s="7">
        <f t="shared" si="0"/>
        <v>71854.860281448593</v>
      </c>
      <c r="K4" s="7">
        <f t="shared" si="0"/>
        <v>77966.072239087269</v>
      </c>
      <c r="L4" s="7">
        <f t="shared" si="0"/>
        <v>84597.039039264113</v>
      </c>
    </row>
    <row r="5" spans="1:12" x14ac:dyDescent="0.25">
      <c r="A5" s="3" t="s">
        <v>19</v>
      </c>
      <c r="B5" s="4">
        <v>-31237</v>
      </c>
      <c r="C5" s="4">
        <v>-34459</v>
      </c>
      <c r="D5" s="4">
        <v>-36677</v>
      </c>
      <c r="E5" s="4">
        <v>-37190</v>
      </c>
      <c r="F5" s="4">
        <v>-37368</v>
      </c>
      <c r="G5" s="11">
        <f>'QTR P&amp;L'!R5+'QTR P&amp;L'!S5+'QTR P&amp;L'!T5+'QTR P&amp;L'!U5</f>
        <v>-39406.671689268369</v>
      </c>
      <c r="H5" s="11">
        <f>'QTR P&amp;L'!V5+'QTR P&amp;L'!W5+'QTR P&amp;L'!X5+'QTR P&amp;L'!Y5</f>
        <v>-42758.18503568531</v>
      </c>
      <c r="I5" s="11">
        <f>'QTR P&amp;L'!Z5+'QTR P&amp;L'!AA5+'QTR P&amp;L'!AB5+'QTR P&amp;L'!AC5</f>
        <v>-46394.742544161476</v>
      </c>
      <c r="J5" s="11">
        <f>'QTR P&amp;L'!AD5+'QTR P&amp;L'!AE5+'QTR P&amp;L'!AF5+'QTR P&amp;L'!AG5</f>
        <v>-50340.587046494307</v>
      </c>
      <c r="K5" s="11">
        <f>'QTR P&amp;L'!AH5+'QTR P&amp;L'!AI5+'QTR P&amp;L'!AJ5+'QTR P&amp;L'!AK5</f>
        <v>-54622.023212511238</v>
      </c>
      <c r="L5" s="11">
        <f>'QTR P&amp;L'!AL5+'QTR P&amp;L'!AM5+'QTR P&amp;L'!AN5+'QTR P&amp;L'!AO5</f>
        <v>-59267.59290813416</v>
      </c>
    </row>
    <row r="6" spans="1:12" x14ac:dyDescent="0.25">
      <c r="A6" s="3" t="s">
        <v>20</v>
      </c>
      <c r="B6" s="4">
        <v>0</v>
      </c>
      <c r="C6" s="4">
        <v>-3321</v>
      </c>
      <c r="D6" s="4">
        <v>0</v>
      </c>
      <c r="E6" s="4">
        <v>0</v>
      </c>
      <c r="F6" s="4">
        <v>0</v>
      </c>
      <c r="G6" s="11">
        <f>'QTR P&amp;L'!R6+'QTR P&amp;L'!S6+'QTR P&amp;L'!T6+'QTR P&amp;L'!U6</f>
        <v>0</v>
      </c>
      <c r="H6" s="11">
        <f>'QTR P&amp;L'!V6+'QTR P&amp;L'!W6+'QTR P&amp;L'!X6+'QTR P&amp;L'!Y6</f>
        <v>0</v>
      </c>
      <c r="I6" s="11">
        <f>'QTR P&amp;L'!Z6+'QTR P&amp;L'!AA6+'QTR P&amp;L'!AB6+'QTR P&amp;L'!AC6</f>
        <v>0</v>
      </c>
      <c r="J6" s="11">
        <f>'QTR P&amp;L'!AD6+'QTR P&amp;L'!AE6+'QTR P&amp;L'!AF6+'QTR P&amp;L'!AG6</f>
        <v>0</v>
      </c>
      <c r="K6" s="11">
        <f>'QTR P&amp;L'!AH6+'QTR P&amp;L'!AI6+'QTR P&amp;L'!AJ6+'QTR P&amp;L'!AK6</f>
        <v>0</v>
      </c>
      <c r="L6" s="11">
        <f>'QTR P&amp;L'!AL6+'QTR P&amp;L'!AM6+'QTR P&amp;L'!AN6+'QTR P&amp;L'!AO6</f>
        <v>0</v>
      </c>
    </row>
    <row r="7" spans="1:12" x14ac:dyDescent="0.25">
      <c r="A7" s="3" t="s">
        <v>21</v>
      </c>
      <c r="B7" s="4">
        <v>0</v>
      </c>
      <c r="C7" s="4">
        <v>-3166</v>
      </c>
      <c r="D7" s="4">
        <v>-927</v>
      </c>
      <c r="E7" s="4">
        <v>-33</v>
      </c>
      <c r="F7" s="4">
        <v>-1993</v>
      </c>
      <c r="G7" s="11">
        <f>'QTR P&amp;L'!R7+'QTR P&amp;L'!S7+'QTR P&amp;L'!T7+'QTR P&amp;L'!U7</f>
        <v>0</v>
      </c>
      <c r="H7" s="11">
        <f>'QTR P&amp;L'!V7+'QTR P&amp;L'!W7+'QTR P&amp;L'!X7+'QTR P&amp;L'!Y7</f>
        <v>0</v>
      </c>
      <c r="I7" s="11">
        <f>'QTR P&amp;L'!Z7+'QTR P&amp;L'!AA7+'QTR P&amp;L'!AB7+'QTR P&amp;L'!AC7</f>
        <v>0</v>
      </c>
      <c r="J7" s="11">
        <f>'QTR P&amp;L'!AD7+'QTR P&amp;L'!AE7+'QTR P&amp;L'!AF7+'QTR P&amp;L'!AG7</f>
        <v>0</v>
      </c>
      <c r="K7" s="11">
        <f>'QTR P&amp;L'!AH7+'QTR P&amp;L'!AI7+'QTR P&amp;L'!AJ7+'QTR P&amp;L'!AK7</f>
        <v>0</v>
      </c>
      <c r="L7" s="11">
        <f>'QTR P&amp;L'!AL7+'QTR P&amp;L'!AM7+'QTR P&amp;L'!AN7+'QTR P&amp;L'!AO7</f>
        <v>0</v>
      </c>
    </row>
    <row r="8" spans="1:12" x14ac:dyDescent="0.25">
      <c r="A8" s="3" t="s">
        <v>22</v>
      </c>
      <c r="B8" s="6">
        <f t="shared" ref="B8:L8" si="1">B4+SUM(B5:B7)</f>
        <v>11162</v>
      </c>
      <c r="C8" s="6">
        <f t="shared" si="1"/>
        <v>4870</v>
      </c>
      <c r="D8" s="6">
        <f t="shared" si="1"/>
        <v>11986</v>
      </c>
      <c r="E8" s="6">
        <f t="shared" si="1"/>
        <v>12887</v>
      </c>
      <c r="F8" s="6">
        <f t="shared" si="1"/>
        <v>11498</v>
      </c>
      <c r="G8" s="7">
        <f t="shared" si="1"/>
        <v>16841.398794575594</v>
      </c>
      <c r="H8" s="7">
        <f t="shared" si="1"/>
        <v>18273.749470558236</v>
      </c>
      <c r="I8" s="7">
        <f t="shared" si="1"/>
        <v>19827.920696247777</v>
      </c>
      <c r="J8" s="7">
        <f t="shared" si="1"/>
        <v>21514.273234954286</v>
      </c>
      <c r="K8" s="7">
        <f t="shared" si="1"/>
        <v>23344.049026576031</v>
      </c>
      <c r="L8" s="7">
        <f t="shared" si="1"/>
        <v>25329.446131129953</v>
      </c>
    </row>
    <row r="9" spans="1:12" x14ac:dyDescent="0.25">
      <c r="A9" s="3" t="s">
        <v>23</v>
      </c>
      <c r="B9" s="4">
        <v>522</v>
      </c>
      <c r="C9" s="4">
        <v>132</v>
      </c>
      <c r="D9" s="4">
        <v>250</v>
      </c>
      <c r="E9" s="4">
        <v>-22</v>
      </c>
      <c r="F9" s="4">
        <v>-133</v>
      </c>
      <c r="G9" s="11">
        <f>'QTR P&amp;L'!R9+'QTR P&amp;L'!S9+'QTR P&amp;L'!T9+'QTR P&amp;L'!U9</f>
        <v>232</v>
      </c>
      <c r="H9" s="11">
        <f>'QTR P&amp;L'!V9+'QTR P&amp;L'!W9+'QTR P&amp;L'!X9+'QTR P&amp;L'!Y9</f>
        <v>232</v>
      </c>
      <c r="I9" s="11">
        <f>'QTR P&amp;L'!Z9+'QTR P&amp;L'!AA9+'QTR P&amp;L'!AB9+'QTR P&amp;L'!AC9</f>
        <v>232</v>
      </c>
      <c r="J9" s="11">
        <f>'QTR P&amp;L'!AD9+'QTR P&amp;L'!AE9+'QTR P&amp;L'!AF9+'QTR P&amp;L'!AG9</f>
        <v>232</v>
      </c>
      <c r="K9" s="11">
        <f>'QTR P&amp;L'!AH9+'QTR P&amp;L'!AI9+'QTR P&amp;L'!AJ9+'QTR P&amp;L'!AK9</f>
        <v>232</v>
      </c>
      <c r="L9" s="11">
        <f>'QTR P&amp;L'!AL9+'QTR P&amp;L'!AM9+'QTR P&amp;L'!AN9+'QTR P&amp;L'!AO9</f>
        <v>232</v>
      </c>
    </row>
    <row r="10" spans="1:12" x14ac:dyDescent="0.25">
      <c r="A10" s="3" t="s">
        <v>24</v>
      </c>
      <c r="B10" s="4">
        <v>-1863</v>
      </c>
      <c r="C10" s="4">
        <v>-939</v>
      </c>
      <c r="D10" s="4">
        <v>-819</v>
      </c>
      <c r="E10" s="4">
        <v>-919</v>
      </c>
      <c r="F10" s="4">
        <v>-1121</v>
      </c>
      <c r="G10" s="11">
        <f>'QTR P&amp;L'!R10+'QTR P&amp;L'!S10+'QTR P&amp;L'!T10+'QTR P&amp;L'!U10</f>
        <v>-1204</v>
      </c>
      <c r="H10" s="11">
        <f>'QTR P&amp;L'!V10+'QTR P&amp;L'!W10+'QTR P&amp;L'!X10+'QTR P&amp;L'!Y10</f>
        <v>-1204</v>
      </c>
      <c r="I10" s="11">
        <f>'QTR P&amp;L'!Z10+'QTR P&amp;L'!AA10+'QTR P&amp;L'!AB10+'QTR P&amp;L'!AC10</f>
        <v>-1204</v>
      </c>
      <c r="J10" s="11">
        <f>'QTR P&amp;L'!AD10+'QTR P&amp;L'!AE10+'QTR P&amp;L'!AF10+'QTR P&amp;L'!AG10</f>
        <v>-1204</v>
      </c>
      <c r="K10" s="11">
        <f>'QTR P&amp;L'!AH10+'QTR P&amp;L'!AI10+'QTR P&amp;L'!AJ10+'QTR P&amp;L'!AK10</f>
        <v>-1204</v>
      </c>
      <c r="L10" s="11">
        <f>'QTR P&amp;L'!AL10+'QTR P&amp;L'!AM10+'QTR P&amp;L'!AN10+'QTR P&amp;L'!AO10</f>
        <v>-1204</v>
      </c>
    </row>
    <row r="11" spans="1:12" x14ac:dyDescent="0.25">
      <c r="A11" s="3" t="s">
        <v>25</v>
      </c>
      <c r="B11" s="6">
        <f t="shared" ref="B11:L11" si="2">B8+SUM(B9:B10)</f>
        <v>9821</v>
      </c>
      <c r="C11" s="6">
        <f t="shared" si="2"/>
        <v>4063</v>
      </c>
      <c r="D11" s="6">
        <f t="shared" si="2"/>
        <v>11417</v>
      </c>
      <c r="E11" s="6">
        <f t="shared" si="2"/>
        <v>11946</v>
      </c>
      <c r="F11" s="6">
        <f t="shared" si="2"/>
        <v>10244</v>
      </c>
      <c r="G11" s="7">
        <f t="shared" si="2"/>
        <v>15869.398794575594</v>
      </c>
      <c r="H11" s="7">
        <f t="shared" si="2"/>
        <v>17301.749470558236</v>
      </c>
      <c r="I11" s="7">
        <f t="shared" si="2"/>
        <v>18855.920696247777</v>
      </c>
      <c r="J11" s="7">
        <f t="shared" si="2"/>
        <v>20542.273234954286</v>
      </c>
      <c r="K11" s="7">
        <f t="shared" si="2"/>
        <v>22372.049026576031</v>
      </c>
      <c r="L11" s="7">
        <f t="shared" si="2"/>
        <v>24357.446131129953</v>
      </c>
    </row>
    <row r="12" spans="1:12" x14ac:dyDescent="0.25">
      <c r="A12" s="3" t="s">
        <v>26</v>
      </c>
      <c r="B12" s="4">
        <v>-2142</v>
      </c>
      <c r="C12" s="4">
        <v>-1727</v>
      </c>
      <c r="D12" s="4">
        <v>-2262</v>
      </c>
      <c r="E12" s="4">
        <v>-2320</v>
      </c>
      <c r="F12" s="4">
        <v>-1949</v>
      </c>
      <c r="G12" s="11">
        <f>'QTR P&amp;L'!R12+'QTR P&amp;L'!S12+'QTR P&amp;L'!T12+'QTR P&amp;L'!U12</f>
        <v>-3376.9225717750073</v>
      </c>
      <c r="H12" s="11">
        <f>'QTR P&amp;L'!V12+'QTR P&amp;L'!W12+'QTR P&amp;L'!X12+'QTR P&amp;L'!Y12</f>
        <v>-3681.719079256839</v>
      </c>
      <c r="I12" s="11">
        <f>'QTR P&amp;L'!Z12+'QTR P&amp;L'!AA12+'QTR P&amp;L'!AB12+'QTR P&amp;L'!AC12</f>
        <v>-4012.4383434439728</v>
      </c>
      <c r="J12" s="11">
        <f>'QTR P&amp;L'!AD12+'QTR P&amp;L'!AE12+'QTR P&amp;L'!AF12+'QTR P&amp;L'!AG12</f>
        <v>-4371.2850789532313</v>
      </c>
      <c r="K12" s="11">
        <f>'QTR P&amp;L'!AH12+'QTR P&amp;L'!AI12+'QTR P&amp;L'!AJ12+'QTR P&amp;L'!AK12</f>
        <v>-4760.6515100323404</v>
      </c>
      <c r="L12" s="11">
        <f>'QTR P&amp;L'!AL12+'QTR P&amp;L'!AM12+'QTR P&amp;L'!AN12+'QTR P&amp;L'!AO12</f>
        <v>-5183.1333181394402</v>
      </c>
    </row>
    <row r="13" spans="1:12" x14ac:dyDescent="0.25">
      <c r="A13" s="3" t="s">
        <v>27</v>
      </c>
      <c r="B13" s="6">
        <f t="shared" ref="B13:L13" si="3">B11+B12</f>
        <v>7679</v>
      </c>
      <c r="C13" s="6">
        <f t="shared" si="3"/>
        <v>2336</v>
      </c>
      <c r="D13" s="6">
        <f t="shared" si="3"/>
        <v>9155</v>
      </c>
      <c r="E13" s="6">
        <f t="shared" si="3"/>
        <v>9626</v>
      </c>
      <c r="F13" s="6">
        <f t="shared" si="3"/>
        <v>8295</v>
      </c>
      <c r="G13" s="7">
        <f t="shared" si="3"/>
        <v>12492.476222800587</v>
      </c>
      <c r="H13" s="7">
        <f t="shared" si="3"/>
        <v>13620.030391301396</v>
      </c>
      <c r="I13" s="7">
        <f t="shared" si="3"/>
        <v>14843.482352803803</v>
      </c>
      <c r="J13" s="7">
        <f t="shared" si="3"/>
        <v>16170.988156001054</v>
      </c>
      <c r="K13" s="7">
        <f t="shared" si="3"/>
        <v>17611.39751654369</v>
      </c>
      <c r="L13" s="7">
        <f t="shared" si="3"/>
        <v>19174.312812990513</v>
      </c>
    </row>
    <row r="14" spans="1:12" x14ac:dyDescent="0.25">
      <c r="A14" s="3" t="s">
        <v>28</v>
      </c>
      <c r="B14" s="4">
        <v>61</v>
      </c>
      <c r="C14" s="4">
        <v>68</v>
      </c>
      <c r="D14" s="4">
        <v>81</v>
      </c>
      <c r="E14" s="4">
        <v>48</v>
      </c>
      <c r="F14" s="4">
        <v>55</v>
      </c>
      <c r="G14" s="11">
        <f>'QTR P&amp;L'!R14+'QTR P&amp;L'!S14+'QTR P&amp;L'!T14+'QTR P&amp;L'!U14</f>
        <v>44</v>
      </c>
      <c r="H14" s="11">
        <f>'QTR P&amp;L'!V14+'QTR P&amp;L'!W14+'QTR P&amp;L'!X14+'QTR P&amp;L'!Y14</f>
        <v>44</v>
      </c>
      <c r="I14" s="11">
        <f>'QTR P&amp;L'!Z14+'QTR P&amp;L'!AA14+'QTR P&amp;L'!AB14+'QTR P&amp;L'!AC14</f>
        <v>44</v>
      </c>
      <c r="J14" s="11">
        <f>'QTR P&amp;L'!AD14+'QTR P&amp;L'!AE14+'QTR P&amp;L'!AF14+'QTR P&amp;L'!AG14</f>
        <v>44</v>
      </c>
      <c r="K14" s="11">
        <f>'QTR P&amp;L'!AH14+'QTR P&amp;L'!AI14+'QTR P&amp;L'!AJ14+'QTR P&amp;L'!AK14</f>
        <v>44</v>
      </c>
      <c r="L14" s="11">
        <f>'QTR P&amp;L'!AL14+'QTR P&amp;L'!AM14+'QTR P&amp;L'!AN14+'QTR P&amp;L'!AO14</f>
        <v>44</v>
      </c>
    </row>
    <row r="15" spans="1:12" x14ac:dyDescent="0.25">
      <c r="A15" s="3" t="s">
        <v>29</v>
      </c>
      <c r="B15" s="6">
        <f t="shared" ref="B15:L15" si="4">B13-B14</f>
        <v>7618</v>
      </c>
      <c r="C15" s="6">
        <f t="shared" si="4"/>
        <v>2268</v>
      </c>
      <c r="D15" s="6">
        <f t="shared" si="4"/>
        <v>9074</v>
      </c>
      <c r="E15" s="6">
        <f t="shared" si="4"/>
        <v>9578</v>
      </c>
      <c r="F15" s="6">
        <f t="shared" si="4"/>
        <v>8240</v>
      </c>
      <c r="G15" s="7">
        <f t="shared" si="4"/>
        <v>12448.476222800587</v>
      </c>
      <c r="H15" s="7">
        <f t="shared" si="4"/>
        <v>13576.030391301396</v>
      </c>
      <c r="I15" s="7">
        <f t="shared" si="4"/>
        <v>14799.482352803803</v>
      </c>
      <c r="J15" s="7">
        <f t="shared" si="4"/>
        <v>16126.988156001054</v>
      </c>
      <c r="K15" s="7">
        <f t="shared" si="4"/>
        <v>17567.39751654369</v>
      </c>
      <c r="L15" s="7">
        <f t="shared" si="4"/>
        <v>19130.312812990513</v>
      </c>
    </row>
    <row r="16" spans="1:12" x14ac:dyDescent="0.25">
      <c r="A16" s="3" t="s">
        <v>30</v>
      </c>
      <c r="B16" s="8">
        <v>5.51</v>
      </c>
      <c r="C16" s="8">
        <v>6.45</v>
      </c>
      <c r="D16" s="8">
        <v>6.59</v>
      </c>
      <c r="E16" s="8">
        <v>6.97</v>
      </c>
      <c r="F16" s="8">
        <v>6.02</v>
      </c>
      <c r="G16" s="9"/>
      <c r="H16" s="9"/>
      <c r="I16" s="9"/>
      <c r="J16" s="9"/>
      <c r="K16" s="9"/>
      <c r="L16" s="9"/>
    </row>
    <row r="17" spans="1:12" x14ac:dyDescent="0.25">
      <c r="A17" s="3" t="s">
        <v>31</v>
      </c>
      <c r="B17" s="8">
        <v>5.49</v>
      </c>
      <c r="C17" s="8">
        <v>6.42</v>
      </c>
      <c r="D17" s="8">
        <v>6.56</v>
      </c>
      <c r="E17" s="8">
        <v>6.95</v>
      </c>
      <c r="F17" s="8">
        <v>6</v>
      </c>
      <c r="G17" s="9"/>
      <c r="H17" s="9"/>
      <c r="I17" s="9"/>
      <c r="J17" s="9"/>
      <c r="K17" s="9"/>
      <c r="L17" s="9"/>
    </row>
    <row r="18" spans="1:12" x14ac:dyDescent="0.25">
      <c r="A18" s="3" t="s">
        <v>32</v>
      </c>
      <c r="B18" s="4">
        <v>1382000000</v>
      </c>
      <c r="C18" s="4">
        <v>1380000000</v>
      </c>
      <c r="D18" s="4">
        <v>1376000000</v>
      </c>
      <c r="E18" s="4">
        <v>1373000000</v>
      </c>
      <c r="F18" s="4">
        <v>1369000000</v>
      </c>
      <c r="G18" s="5"/>
      <c r="H18" s="5"/>
      <c r="I18" s="5"/>
      <c r="J18" s="5"/>
      <c r="K18" s="5"/>
      <c r="L18" s="5"/>
    </row>
    <row r="19" spans="1:12" x14ac:dyDescent="0.25">
      <c r="A19" s="3" t="s">
        <v>33</v>
      </c>
      <c r="B19" s="4">
        <v>1389000000</v>
      </c>
      <c r="C19" s="4">
        <v>1387000000</v>
      </c>
      <c r="D19" s="4">
        <v>1383000000</v>
      </c>
      <c r="E19" s="4">
        <v>1378000000</v>
      </c>
      <c r="F19" s="4">
        <v>1373000000</v>
      </c>
      <c r="G19" s="5"/>
      <c r="H19" s="5"/>
      <c r="I19" s="5"/>
      <c r="J19" s="5"/>
      <c r="K19" s="5"/>
      <c r="L19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1" width="13" customWidth="1"/>
  </cols>
  <sheetData>
    <row r="1" spans="1:11" x14ac:dyDescent="0.25">
      <c r="A1" s="1"/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</row>
    <row r="2" spans="1:11" x14ac:dyDescent="0.25">
      <c r="A2" s="3" t="s">
        <v>34</v>
      </c>
      <c r="B2" s="4">
        <v>4954</v>
      </c>
      <c r="C2" s="4">
        <v>9711</v>
      </c>
      <c r="D2" s="4">
        <v>8505</v>
      </c>
      <c r="E2" s="4">
        <v>9159</v>
      </c>
      <c r="F2" s="11">
        <f>'QTR BS'!R2</f>
        <v>16806.077942661163</v>
      </c>
      <c r="G2" s="11">
        <f>'QTR BS'!V2</f>
        <v>23011.054644033356</v>
      </c>
      <c r="H2" s="11">
        <f>'QTR BS'!Z2</f>
        <v>29636.066646796164</v>
      </c>
      <c r="I2" s="11">
        <f>'QTR BS'!AD2</f>
        <v>36716.837696656359</v>
      </c>
      <c r="J2" s="11">
        <f>'QTR BS'!AH2</f>
        <v>44292.12982206283</v>
      </c>
      <c r="K2" s="11">
        <f>'QTR BS'!AL2</f>
        <v>52404.001738297309</v>
      </c>
    </row>
    <row r="3" spans="1:11" x14ac:dyDescent="0.25">
      <c r="A3" s="3" t="s">
        <v>35</v>
      </c>
      <c r="B3" s="4">
        <v>394</v>
      </c>
      <c r="C3" s="4">
        <v>292</v>
      </c>
      <c r="D3" s="4">
        <v>761</v>
      </c>
      <c r="E3" s="4">
        <v>371</v>
      </c>
      <c r="F3" s="11">
        <f>'QTR BS'!R3</f>
        <v>353</v>
      </c>
      <c r="G3" s="11">
        <f>'QTR BS'!V3</f>
        <v>353</v>
      </c>
      <c r="H3" s="11">
        <f>'QTR BS'!Z3</f>
        <v>353</v>
      </c>
      <c r="I3" s="11">
        <f>'QTR BS'!AD3</f>
        <v>353</v>
      </c>
      <c r="J3" s="11">
        <f>'QTR BS'!AH3</f>
        <v>353</v>
      </c>
      <c r="K3" s="11">
        <f>'QTR BS'!AL3</f>
        <v>353</v>
      </c>
    </row>
    <row r="4" spans="1:11" x14ac:dyDescent="0.25">
      <c r="A4" s="3" t="s">
        <v>36</v>
      </c>
      <c r="B4" s="4">
        <v>10163</v>
      </c>
      <c r="C4" s="4">
        <v>10815</v>
      </c>
      <c r="D4" s="4">
        <v>10333</v>
      </c>
      <c r="E4" s="4">
        <v>11506</v>
      </c>
      <c r="F4" s="11">
        <f>'QTR BS'!R4</f>
        <v>19930.445504771473</v>
      </c>
      <c r="G4" s="11">
        <f>'QTR BS'!V4</f>
        <v>21625.517715791713</v>
      </c>
      <c r="H4" s="11">
        <f>'QTR BS'!Z4</f>
        <v>23464.754782529068</v>
      </c>
      <c r="I4" s="11">
        <f>'QTR BS'!AD4</f>
        <v>25460.417837865542</v>
      </c>
      <c r="J4" s="11">
        <f>'QTR BS'!AH4</f>
        <v>27625.810816542205</v>
      </c>
      <c r="K4" s="11">
        <f>'QTR BS'!AL4</f>
        <v>29975.369144820026</v>
      </c>
    </row>
    <row r="5" spans="1:11" x14ac:dyDescent="0.25">
      <c r="A5" s="3" t="s">
        <v>37</v>
      </c>
      <c r="B5" s="4">
        <v>5222</v>
      </c>
      <c r="C5" s="4">
        <v>5334</v>
      </c>
      <c r="D5" s="4">
        <v>5306</v>
      </c>
      <c r="E5" s="4">
        <v>5845</v>
      </c>
      <c r="F5" s="11">
        <f>'QTR BS'!R5</f>
        <v>10170.73346726938</v>
      </c>
      <c r="G5" s="11">
        <f>'QTR BS'!V5</f>
        <v>11035.748133496209</v>
      </c>
      <c r="H5" s="11">
        <f>'QTR BS'!Z5</f>
        <v>11974.331768489694</v>
      </c>
      <c r="I5" s="11">
        <f>'QTR BS'!AD5</f>
        <v>12992.741368086674</v>
      </c>
      <c r="J5" s="11">
        <f>'QTR BS'!AH5</f>
        <v>14097.766081796373</v>
      </c>
      <c r="K5" s="11">
        <f>'QTR BS'!AL5</f>
        <v>15296.772472145034</v>
      </c>
    </row>
    <row r="6" spans="1:11" x14ac:dyDescent="0.25">
      <c r="A6" s="3" t="s">
        <v>38</v>
      </c>
      <c r="B6" s="4">
        <v>806</v>
      </c>
      <c r="C6" s="4">
        <v>798</v>
      </c>
      <c r="D6" s="4">
        <v>921</v>
      </c>
      <c r="E6" s="4">
        <v>1068</v>
      </c>
      <c r="F6" s="11">
        <f>'QTR BS'!R6</f>
        <v>2793.635693956136</v>
      </c>
      <c r="G6" s="11">
        <f>'QTR BS'!V6</f>
        <v>3031.2327025832442</v>
      </c>
      <c r="H6" s="11">
        <f>'QTR BS'!Z6</f>
        <v>3289.037191602546</v>
      </c>
      <c r="I6" s="11">
        <f>'QTR BS'!AD6</f>
        <v>3568.7677948729452</v>
      </c>
      <c r="J6" s="11">
        <f>'QTR BS'!AH6</f>
        <v>3872.289315012817</v>
      </c>
      <c r="K6" s="11">
        <f>'QTR BS'!AL6</f>
        <v>4201.6251549636809</v>
      </c>
    </row>
    <row r="7" spans="1:11" x14ac:dyDescent="0.25">
      <c r="A7" s="3" t="s">
        <v>39</v>
      </c>
      <c r="B7" s="6">
        <f t="shared" ref="B7:K7" si="0">SUM(B2:B6)</f>
        <v>21539</v>
      </c>
      <c r="C7" s="6">
        <f t="shared" si="0"/>
        <v>26950</v>
      </c>
      <c r="D7" s="6">
        <f t="shared" si="0"/>
        <v>25826</v>
      </c>
      <c r="E7" s="6">
        <f t="shared" si="0"/>
        <v>27949</v>
      </c>
      <c r="F7" s="7">
        <f t="shared" si="0"/>
        <v>50053.892608658149</v>
      </c>
      <c r="G7" s="7">
        <f t="shared" si="0"/>
        <v>59056.553195904518</v>
      </c>
      <c r="H7" s="7">
        <f t="shared" si="0"/>
        <v>68717.190389417476</v>
      </c>
      <c r="I7" s="7">
        <f t="shared" si="0"/>
        <v>79091.764697481514</v>
      </c>
      <c r="J7" s="7">
        <f t="shared" si="0"/>
        <v>90240.996035414239</v>
      </c>
      <c r="K7" s="7">
        <f t="shared" si="0"/>
        <v>102230.76851022606</v>
      </c>
    </row>
    <row r="8" spans="1:11" x14ac:dyDescent="0.25">
      <c r="A8" s="3" t="s">
        <v>40</v>
      </c>
      <c r="B8" s="4">
        <v>24291</v>
      </c>
      <c r="C8" s="4">
        <v>27039</v>
      </c>
      <c r="D8" s="4">
        <v>28008</v>
      </c>
      <c r="E8" s="4">
        <v>29905</v>
      </c>
      <c r="F8" s="11">
        <f>'QTR BS'!R8</f>
        <v>28555.715330096547</v>
      </c>
      <c r="G8" s="11">
        <f>'QTR BS'!V8</f>
        <v>26877.920093926397</v>
      </c>
      <c r="H8" s="11">
        <f>'QTR BS'!Z8</f>
        <v>25057.429398192471</v>
      </c>
      <c r="I8" s="11">
        <f>'QTR BS'!AD8</f>
        <v>23082.107081257673</v>
      </c>
      <c r="J8" s="11">
        <f>'QTR BS'!AH8</f>
        <v>20938.784808353863</v>
      </c>
      <c r="K8" s="11">
        <f>'QTR BS'!AL8</f>
        <v>18613.174285887839</v>
      </c>
    </row>
    <row r="9" spans="1:11" x14ac:dyDescent="0.25">
      <c r="A9" s="3" t="s">
        <v>41</v>
      </c>
      <c r="B9" s="4">
        <v>15586</v>
      </c>
      <c r="C9" s="4">
        <v>14929</v>
      </c>
      <c r="D9" s="4">
        <v>14801</v>
      </c>
      <c r="E9" s="4">
        <v>15066</v>
      </c>
      <c r="F9" s="11">
        <f>'QTR BS'!R9</f>
        <v>15143</v>
      </c>
      <c r="G9" s="11">
        <f>'QTR BS'!V9</f>
        <v>15143</v>
      </c>
      <c r="H9" s="11">
        <f>'QTR BS'!Z9</f>
        <v>15143</v>
      </c>
      <c r="I9" s="11">
        <f>'QTR BS'!AD9</f>
        <v>15143</v>
      </c>
      <c r="J9" s="11">
        <f>'QTR BS'!AH9</f>
        <v>15143</v>
      </c>
      <c r="K9" s="11">
        <f>'QTR BS'!AL9</f>
        <v>15143</v>
      </c>
    </row>
    <row r="10" spans="1:11" x14ac:dyDescent="0.25">
      <c r="A10" s="3" t="s">
        <v>42</v>
      </c>
      <c r="B10" s="4">
        <v>18202</v>
      </c>
      <c r="C10" s="4">
        <v>17728</v>
      </c>
      <c r="D10" s="4">
        <v>17534</v>
      </c>
      <c r="E10" s="4">
        <v>18916</v>
      </c>
      <c r="F10" s="11">
        <f>'QTR BS'!R10</f>
        <v>19021</v>
      </c>
      <c r="G10" s="11">
        <f>'QTR BS'!V10</f>
        <v>19021</v>
      </c>
      <c r="H10" s="11">
        <f>'QTR BS'!Z10</f>
        <v>19021</v>
      </c>
      <c r="I10" s="11">
        <f>'QTR BS'!AD10</f>
        <v>19021</v>
      </c>
      <c r="J10" s="11">
        <f>'QTR BS'!AH10</f>
        <v>19021</v>
      </c>
      <c r="K10" s="11">
        <f>'QTR BS'!AL10</f>
        <v>19021</v>
      </c>
    </row>
    <row r="11" spans="1:11" x14ac:dyDescent="0.25">
      <c r="A11" s="3" t="s">
        <v>43</v>
      </c>
      <c r="B11" s="4">
        <v>3073</v>
      </c>
      <c r="C11" s="4">
        <v>2714</v>
      </c>
      <c r="D11" s="4">
        <v>1985</v>
      </c>
      <c r="E11" s="4">
        <v>2038</v>
      </c>
      <c r="F11" s="11">
        <f>'QTR BS'!R11</f>
        <v>2135</v>
      </c>
      <c r="G11" s="11">
        <f>'QTR BS'!V11</f>
        <v>2135</v>
      </c>
      <c r="H11" s="11">
        <f>'QTR BS'!Z11</f>
        <v>2135</v>
      </c>
      <c r="I11" s="11">
        <f>'QTR BS'!AD11</f>
        <v>2135</v>
      </c>
      <c r="J11" s="11">
        <f>'QTR BS'!AH11</f>
        <v>2135</v>
      </c>
      <c r="K11" s="11">
        <f>'QTR BS'!AL11</f>
        <v>2135</v>
      </c>
    </row>
    <row r="12" spans="1:11" x14ac:dyDescent="0.25">
      <c r="A12" s="3" t="s">
        <v>44</v>
      </c>
      <c r="B12" s="4">
        <v>4204</v>
      </c>
      <c r="C12" s="4">
        <v>4474</v>
      </c>
      <c r="D12" s="4">
        <v>4362</v>
      </c>
      <c r="E12" s="4">
        <v>4541</v>
      </c>
      <c r="F12" s="11">
        <f>'QTR BS'!R12</f>
        <v>3882</v>
      </c>
      <c r="G12" s="11">
        <f>'QTR BS'!V12</f>
        <v>2978</v>
      </c>
      <c r="H12" s="11">
        <f>'QTR BS'!Z12</f>
        <v>2074</v>
      </c>
      <c r="I12" s="11">
        <f>'QTR BS'!AD12</f>
        <v>1170</v>
      </c>
      <c r="J12" s="11">
        <f>'QTR BS'!AH12</f>
        <v>266</v>
      </c>
      <c r="K12" s="11">
        <f>'QTR BS'!AL12</f>
        <v>-638</v>
      </c>
    </row>
    <row r="13" spans="1:11" x14ac:dyDescent="0.25">
      <c r="A13" s="3" t="s">
        <v>45</v>
      </c>
      <c r="B13" s="4">
        <v>5292</v>
      </c>
      <c r="C13" s="4">
        <v>6661</v>
      </c>
      <c r="D13" s="4">
        <v>6951</v>
      </c>
      <c r="E13" s="4">
        <v>8984</v>
      </c>
      <c r="F13" s="11">
        <f>'QTR BS'!R13</f>
        <v>14842.62246777164</v>
      </c>
      <c r="G13" s="11">
        <f>'QTR BS'!V13</f>
        <v>16104.978438578268</v>
      </c>
      <c r="H13" s="11">
        <f>'QTR BS'!Z13</f>
        <v>17474.697013297467</v>
      </c>
      <c r="I13" s="11">
        <f>'QTR BS'!AD13</f>
        <v>18960.909315784513</v>
      </c>
      <c r="J13" s="11">
        <f>'QTR BS'!AH13</f>
        <v>20573.523066398699</v>
      </c>
      <c r="K13" s="11">
        <f>'QTR BS'!AL13</f>
        <v>22323.288631061434</v>
      </c>
    </row>
    <row r="14" spans="1:11" x14ac:dyDescent="0.25">
      <c r="A14" s="3" t="s">
        <v>46</v>
      </c>
      <c r="B14" s="6">
        <f t="shared" ref="B14:K14" si="1">B7+SUM(B8:B13)</f>
        <v>92187</v>
      </c>
      <c r="C14" s="6">
        <f t="shared" si="1"/>
        <v>100495</v>
      </c>
      <c r="D14" s="6">
        <f t="shared" si="1"/>
        <v>99467</v>
      </c>
      <c r="E14" s="6">
        <f t="shared" si="1"/>
        <v>107399</v>
      </c>
      <c r="F14" s="7">
        <f t="shared" si="1"/>
        <v>133633.23040652633</v>
      </c>
      <c r="G14" s="7">
        <f t="shared" si="1"/>
        <v>141316.45172840919</v>
      </c>
      <c r="H14" s="7">
        <f t="shared" si="1"/>
        <v>149622.31680090743</v>
      </c>
      <c r="I14" s="7">
        <f t="shared" si="1"/>
        <v>158603.7810945237</v>
      </c>
      <c r="J14" s="7">
        <f t="shared" si="1"/>
        <v>168318.30391016678</v>
      </c>
      <c r="K14" s="7">
        <f t="shared" si="1"/>
        <v>178828.23142717534</v>
      </c>
    </row>
    <row r="15" spans="1:11" x14ac:dyDescent="0.25">
      <c r="A15" s="3" t="s">
        <v>47</v>
      </c>
      <c r="B15" s="4">
        <v>3414</v>
      </c>
      <c r="C15" s="4">
        <v>6510</v>
      </c>
      <c r="D15" s="4">
        <v>7082</v>
      </c>
      <c r="E15" s="4">
        <v>6861</v>
      </c>
      <c r="F15" s="11">
        <f>'QTR BS'!R15</f>
        <v>10151</v>
      </c>
      <c r="G15" s="11">
        <f>'QTR BS'!V15</f>
        <v>10151</v>
      </c>
      <c r="H15" s="11">
        <f>'QTR BS'!Z15</f>
        <v>10151</v>
      </c>
      <c r="I15" s="11">
        <f>'QTR BS'!AD15</f>
        <v>10151</v>
      </c>
      <c r="J15" s="11">
        <f>'QTR BS'!AH15</f>
        <v>10151</v>
      </c>
      <c r="K15" s="11">
        <f>'QTR BS'!AL15</f>
        <v>10151</v>
      </c>
    </row>
    <row r="16" spans="1:11" x14ac:dyDescent="0.25">
      <c r="A16" s="3" t="s">
        <v>48</v>
      </c>
      <c r="B16" s="4">
        <v>23371</v>
      </c>
      <c r="C16" s="4">
        <v>25137</v>
      </c>
      <c r="D16" s="4">
        <v>24454</v>
      </c>
      <c r="E16" s="4">
        <v>25903</v>
      </c>
      <c r="F16" s="11">
        <f>'QTR BS'!R16</f>
        <v>39834.690440314749</v>
      </c>
      <c r="G16" s="11">
        <f>'QTR BS'!V16</f>
        <v>43222.6065199531</v>
      </c>
      <c r="H16" s="11">
        <f>'QTR BS'!Z16</f>
        <v>46898.662791866074</v>
      </c>
      <c r="I16" s="11">
        <f>'QTR BS'!AD16</f>
        <v>50887.365403328993</v>
      </c>
      <c r="J16" s="11">
        <f>'QTR BS'!AH16</f>
        <v>55215.304734467638</v>
      </c>
      <c r="K16" s="11">
        <f>'QTR BS'!AL16</f>
        <v>59911.33266098857</v>
      </c>
    </row>
    <row r="17" spans="1:11" x14ac:dyDescent="0.25">
      <c r="A17" s="3" t="s">
        <v>49</v>
      </c>
      <c r="B17" s="6">
        <f t="shared" ref="B17:K17" si="2">SUM(B15:B16)</f>
        <v>26785</v>
      </c>
      <c r="C17" s="6">
        <f t="shared" si="2"/>
        <v>31647</v>
      </c>
      <c r="D17" s="6">
        <f t="shared" si="2"/>
        <v>31536</v>
      </c>
      <c r="E17" s="6">
        <f t="shared" si="2"/>
        <v>32764</v>
      </c>
      <c r="F17" s="7">
        <f t="shared" si="2"/>
        <v>49985.690440314749</v>
      </c>
      <c r="G17" s="7">
        <f t="shared" si="2"/>
        <v>53373.6065199531</v>
      </c>
      <c r="H17" s="7">
        <f t="shared" si="2"/>
        <v>57049.662791866074</v>
      </c>
      <c r="I17" s="7">
        <f t="shared" si="2"/>
        <v>61038.365403328993</v>
      </c>
      <c r="J17" s="7">
        <f t="shared" si="2"/>
        <v>65366.304734467638</v>
      </c>
      <c r="K17" s="7">
        <f t="shared" si="2"/>
        <v>70062.33266098857</v>
      </c>
    </row>
    <row r="18" spans="1:11" x14ac:dyDescent="0.25">
      <c r="A18" s="3" t="s">
        <v>50</v>
      </c>
      <c r="B18" s="4">
        <v>35657</v>
      </c>
      <c r="C18" s="4">
        <v>37595</v>
      </c>
      <c r="D18" s="4">
        <v>37224</v>
      </c>
      <c r="E18" s="4">
        <v>42321</v>
      </c>
      <c r="F18" s="11">
        <f>'QTR BS'!R18</f>
        <v>42577</v>
      </c>
      <c r="G18" s="11">
        <f>'QTR BS'!V18</f>
        <v>42577</v>
      </c>
      <c r="H18" s="11">
        <f>'QTR BS'!Z18</f>
        <v>42577</v>
      </c>
      <c r="I18" s="11">
        <f>'QTR BS'!AD18</f>
        <v>42577</v>
      </c>
      <c r="J18" s="11">
        <f>'QTR BS'!AH18</f>
        <v>42577</v>
      </c>
      <c r="K18" s="11">
        <f>'QTR BS'!AL18</f>
        <v>42577</v>
      </c>
    </row>
    <row r="19" spans="1:11" x14ac:dyDescent="0.25">
      <c r="A19" s="3" t="s">
        <v>51</v>
      </c>
      <c r="B19" s="4">
        <v>4133</v>
      </c>
      <c r="C19" s="4">
        <v>3895</v>
      </c>
      <c r="D19" s="4">
        <v>3484</v>
      </c>
      <c r="E19" s="4">
        <v>3802</v>
      </c>
      <c r="F19" s="11">
        <f>'QTR BS'!R19</f>
        <v>4048</v>
      </c>
      <c r="G19" s="11">
        <f>'QTR BS'!V19</f>
        <v>4048</v>
      </c>
      <c r="H19" s="11">
        <f>'QTR BS'!Z19</f>
        <v>4048</v>
      </c>
      <c r="I19" s="11">
        <f>'QTR BS'!AD19</f>
        <v>4048</v>
      </c>
      <c r="J19" s="11">
        <f>'QTR BS'!AH19</f>
        <v>4048</v>
      </c>
      <c r="K19" s="11">
        <f>'QTR BS'!AL19</f>
        <v>4048</v>
      </c>
    </row>
    <row r="20" spans="1:11" x14ac:dyDescent="0.25">
      <c r="A20" s="3" t="s">
        <v>52</v>
      </c>
      <c r="B20" s="4">
        <v>8339</v>
      </c>
      <c r="C20" s="4">
        <v>8721</v>
      </c>
      <c r="D20" s="4">
        <v>9052</v>
      </c>
      <c r="E20" s="4">
        <v>7965</v>
      </c>
      <c r="F20" s="11">
        <f>'QTR BS'!R20</f>
        <v>13113.384898710865</v>
      </c>
      <c r="G20" s="11">
        <f>'QTR BS'!V20</f>
        <v>14228.670270976916</v>
      </c>
      <c r="H20" s="11">
        <f>'QTR BS'!Z20</f>
        <v>15438.809982622033</v>
      </c>
      <c r="I20" s="11">
        <f>'QTR BS'!AD20</f>
        <v>16751.87133724651</v>
      </c>
      <c r="J20" s="11">
        <f>'QTR BS'!AH20</f>
        <v>18176.607757692051</v>
      </c>
      <c r="K20" s="11">
        <f>'QTR BS'!AL20</f>
        <v>19722.517140063985</v>
      </c>
    </row>
    <row r="21" spans="1:11" x14ac:dyDescent="0.25">
      <c r="A21" s="3" t="s">
        <v>53</v>
      </c>
      <c r="B21" s="6">
        <f t="shared" ref="B21:K21" si="3">B17+SUM(B18:B20)</f>
        <v>74914</v>
      </c>
      <c r="C21" s="6">
        <f t="shared" si="3"/>
        <v>81858</v>
      </c>
      <c r="D21" s="6">
        <f t="shared" si="3"/>
        <v>81296</v>
      </c>
      <c r="E21" s="6">
        <f t="shared" si="3"/>
        <v>86852</v>
      </c>
      <c r="F21" s="7">
        <f t="shared" si="3"/>
        <v>109724.07533902561</v>
      </c>
      <c r="G21" s="7">
        <f t="shared" si="3"/>
        <v>114227.27679093002</v>
      </c>
      <c r="H21" s="7">
        <f t="shared" si="3"/>
        <v>119113.47277448811</v>
      </c>
      <c r="I21" s="7">
        <f t="shared" si="3"/>
        <v>124415.23674057551</v>
      </c>
      <c r="J21" s="7">
        <f t="shared" si="3"/>
        <v>130167.9124921597</v>
      </c>
      <c r="K21" s="7">
        <f t="shared" si="3"/>
        <v>136409.84980105254</v>
      </c>
    </row>
    <row r="22" spans="1:11" x14ac:dyDescent="0.25">
      <c r="A22" s="3" t="s">
        <v>54</v>
      </c>
      <c r="B22" s="4">
        <v>23</v>
      </c>
      <c r="C22" s="4">
        <v>23</v>
      </c>
      <c r="D22" s="4">
        <v>23</v>
      </c>
      <c r="E22" s="4">
        <v>23</v>
      </c>
      <c r="F22" s="11">
        <f>'QTR BS'!R22</f>
        <v>23</v>
      </c>
      <c r="G22" s="11">
        <f>'QTR BS'!V22</f>
        <v>23</v>
      </c>
      <c r="H22" s="11">
        <f>'QTR BS'!Z22</f>
        <v>23</v>
      </c>
      <c r="I22" s="11">
        <f>'QTR BS'!AD22</f>
        <v>23</v>
      </c>
      <c r="J22" s="11">
        <f>'QTR BS'!AH22</f>
        <v>23</v>
      </c>
      <c r="K22" s="11">
        <f>'QTR BS'!AL22</f>
        <v>23</v>
      </c>
    </row>
    <row r="23" spans="1:11" x14ac:dyDescent="0.25">
      <c r="A23" s="3" t="s">
        <v>55</v>
      </c>
      <c r="B23" s="4">
        <v>4134</v>
      </c>
      <c r="C23" s="4">
        <v>4261</v>
      </c>
      <c r="D23" s="4">
        <v>4385</v>
      </c>
      <c r="E23" s="4">
        <v>4451</v>
      </c>
      <c r="F23" s="11">
        <f>'QTR BS'!R23</f>
        <v>4795.4727942407508</v>
      </c>
      <c r="G23" s="11">
        <f>'QTR BS'!V23</f>
        <v>5324.4048517452384</v>
      </c>
      <c r="H23" s="11">
        <f>'QTR BS'!Z23</f>
        <v>5898.322257518983</v>
      </c>
      <c r="I23" s="11">
        <f>'QTR BS'!AD23</f>
        <v>6521.0509879424972</v>
      </c>
      <c r="J23" s="11">
        <f>'QTR BS'!AH23</f>
        <v>7196.7424163494597</v>
      </c>
      <c r="K23" s="11">
        <f>'QTR BS'!AL23</f>
        <v>7929.9009878387496</v>
      </c>
    </row>
    <row r="24" spans="1:11" x14ac:dyDescent="0.25">
      <c r="A24" s="3" t="s">
        <v>56</v>
      </c>
      <c r="B24" s="4">
        <v>67800</v>
      </c>
      <c r="C24" s="4">
        <v>70035</v>
      </c>
      <c r="D24" s="4">
        <v>72266</v>
      </c>
      <c r="E24" s="4">
        <v>72788</v>
      </c>
      <c r="F24" s="11">
        <f>'QTR BS'!R24</f>
        <v>74780.682273259998</v>
      </c>
      <c r="G24" s="11">
        <f>'QTR BS'!V24</f>
        <v>76947.770085733951</v>
      </c>
      <c r="H24" s="11">
        <f>'QTR BS'!Z24</f>
        <v>79309.521768900348</v>
      </c>
      <c r="I24" s="11">
        <f>'QTR BS'!AD24</f>
        <v>81882.493366005729</v>
      </c>
      <c r="J24" s="11">
        <f>'QTR BS'!AH24</f>
        <v>84684.649001657686</v>
      </c>
      <c r="K24" s="11">
        <f>'QTR BS'!AL24</f>
        <v>87735.480638284076</v>
      </c>
    </row>
    <row r="25" spans="1:11" x14ac:dyDescent="0.25">
      <c r="A25" s="3" t="s">
        <v>57</v>
      </c>
      <c r="B25" s="4">
        <v>-15302</v>
      </c>
      <c r="C25" s="4">
        <v>-15534</v>
      </c>
      <c r="D25" s="4">
        <v>-17612</v>
      </c>
      <c r="E25" s="4">
        <v>-15024</v>
      </c>
      <c r="F25" s="11">
        <f>'QTR BS'!R25</f>
        <v>-13979</v>
      </c>
      <c r="G25" s="11">
        <f>'QTR BS'!V25</f>
        <v>-13495</v>
      </c>
      <c r="H25" s="11">
        <f>'QTR BS'!Z25</f>
        <v>-13011</v>
      </c>
      <c r="I25" s="11">
        <f>'QTR BS'!AD25</f>
        <v>-12527</v>
      </c>
      <c r="J25" s="11">
        <f>'QTR BS'!AH25</f>
        <v>-12043</v>
      </c>
      <c r="K25" s="11">
        <f>'QTR BS'!AL25</f>
        <v>-11559</v>
      </c>
    </row>
    <row r="26" spans="1:11" x14ac:dyDescent="0.25">
      <c r="A26" s="3" t="s">
        <v>58</v>
      </c>
      <c r="B26" s="4">
        <v>-39506</v>
      </c>
      <c r="C26" s="4">
        <v>-40282</v>
      </c>
      <c r="D26" s="4">
        <v>-41021</v>
      </c>
      <c r="E26" s="4">
        <v>-41832</v>
      </c>
      <c r="F26" s="11">
        <f>'QTR BS'!R26</f>
        <v>-41864</v>
      </c>
      <c r="G26" s="11">
        <f>'QTR BS'!V26</f>
        <v>-41864</v>
      </c>
      <c r="H26" s="11">
        <f>'QTR BS'!Z26</f>
        <v>-41864</v>
      </c>
      <c r="I26" s="11">
        <f>'QTR BS'!AD26</f>
        <v>-41864</v>
      </c>
      <c r="J26" s="11">
        <f>'QTR BS'!AH26</f>
        <v>-41864</v>
      </c>
      <c r="K26" s="11">
        <f>'QTR BS'!AL26</f>
        <v>-41864</v>
      </c>
    </row>
    <row r="27" spans="1:11" x14ac:dyDescent="0.25">
      <c r="A27" s="3" t="s">
        <v>59</v>
      </c>
      <c r="B27" s="4">
        <v>124</v>
      </c>
      <c r="C27" s="4">
        <v>134</v>
      </c>
      <c r="D27" s="4">
        <v>130</v>
      </c>
      <c r="E27" s="4">
        <v>141</v>
      </c>
      <c r="F27" s="11">
        <f>'QTR BS'!R27</f>
        <v>153</v>
      </c>
      <c r="G27" s="11">
        <f>'QTR BS'!V27</f>
        <v>153</v>
      </c>
      <c r="H27" s="11">
        <f>'QTR BS'!Z27</f>
        <v>153</v>
      </c>
      <c r="I27" s="11">
        <f>'QTR BS'!AD27</f>
        <v>153</v>
      </c>
      <c r="J27" s="11">
        <f>'QTR BS'!AH27</f>
        <v>153</v>
      </c>
      <c r="K27" s="11">
        <f>'QTR BS'!AL27</f>
        <v>153</v>
      </c>
    </row>
    <row r="28" spans="1:11" x14ac:dyDescent="0.25">
      <c r="A28" s="3" t="s">
        <v>60</v>
      </c>
      <c r="B28" s="6">
        <f t="shared" ref="B28:K28" si="4">SUM(B22:B27)</f>
        <v>17273</v>
      </c>
      <c r="C28" s="6">
        <f t="shared" si="4"/>
        <v>18637</v>
      </c>
      <c r="D28" s="6">
        <f t="shared" si="4"/>
        <v>18171</v>
      </c>
      <c r="E28" s="6">
        <f t="shared" si="4"/>
        <v>20547</v>
      </c>
      <c r="F28" s="7">
        <f t="shared" si="4"/>
        <v>23909.155067500746</v>
      </c>
      <c r="G28" s="7">
        <f t="shared" si="4"/>
        <v>27089.174937479183</v>
      </c>
      <c r="H28" s="7">
        <f t="shared" si="4"/>
        <v>30508.844026419334</v>
      </c>
      <c r="I28" s="7">
        <f t="shared" si="4"/>
        <v>34188.544353948222</v>
      </c>
      <c r="J28" s="7">
        <f t="shared" si="4"/>
        <v>38150.391418007144</v>
      </c>
      <c r="K28" s="7">
        <f t="shared" si="4"/>
        <v>42418.38162612282</v>
      </c>
    </row>
    <row r="29" spans="1:11" x14ac:dyDescent="0.25">
      <c r="A29" s="3" t="s">
        <v>61</v>
      </c>
      <c r="B29" s="6">
        <f t="shared" ref="B29:K29" si="5">B21+B28</f>
        <v>92187</v>
      </c>
      <c r="C29" s="6">
        <f t="shared" si="5"/>
        <v>100495</v>
      </c>
      <c r="D29" s="6">
        <f t="shared" si="5"/>
        <v>99467</v>
      </c>
      <c r="E29" s="6">
        <f t="shared" si="5"/>
        <v>107399</v>
      </c>
      <c r="F29" s="7">
        <f t="shared" si="5"/>
        <v>133633.23040652636</v>
      </c>
      <c r="G29" s="7">
        <f t="shared" si="5"/>
        <v>141316.45172840921</v>
      </c>
      <c r="H29" s="7">
        <f t="shared" si="5"/>
        <v>149622.31680090743</v>
      </c>
      <c r="I29" s="7">
        <f t="shared" si="5"/>
        <v>158603.78109452373</v>
      </c>
      <c r="J29" s="7">
        <f t="shared" si="5"/>
        <v>168318.30391016684</v>
      </c>
      <c r="K29" s="7">
        <f t="shared" si="5"/>
        <v>178828.23142717534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2" width="13" customWidth="1"/>
  </cols>
  <sheetData>
    <row r="1" spans="1:12" x14ac:dyDescent="0.25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</row>
    <row r="2" spans="1:12" x14ac:dyDescent="0.25">
      <c r="A2" s="3" t="s">
        <v>27</v>
      </c>
      <c r="B2" s="4">
        <v>7679</v>
      </c>
      <c r="C2" s="4">
        <v>8978</v>
      </c>
      <c r="D2" s="4">
        <v>9155</v>
      </c>
      <c r="E2" s="4">
        <v>9626</v>
      </c>
      <c r="F2" s="4">
        <v>8295</v>
      </c>
      <c r="G2" s="11">
        <f>'QTR CF'!R2+'QTR CF'!S2+'QTR CF'!T2+'QTR CF'!U2</f>
        <v>12492.476222800582</v>
      </c>
      <c r="H2" s="11">
        <f>'QTR CF'!V2+'QTR CF'!W2+'QTR CF'!X2+'QTR CF'!Y2</f>
        <v>13620.030391301407</v>
      </c>
      <c r="I2" s="11">
        <f>'QTR CF'!Z2+'QTR CF'!AA2+'QTR CF'!AB2+'QTR CF'!AC2</f>
        <v>14843.482352803812</v>
      </c>
      <c r="J2" s="11">
        <f>'QTR CF'!AD2+'QTR CF'!AE2+'QTR CF'!AF2+'QTR CF'!AG2</f>
        <v>16170.98815600104</v>
      </c>
      <c r="K2" s="11">
        <f>'QTR CF'!AH2+'QTR CF'!AI2+'QTR CF'!AJ2+'QTR CF'!AK2</f>
        <v>17611.397516543693</v>
      </c>
      <c r="L2" s="11">
        <f>'QTR CF'!AL2+'QTR CF'!AM2+'QTR CF'!AN2+'QTR CF'!AO2</f>
        <v>19174.312812990527</v>
      </c>
    </row>
    <row r="3" spans="1:12" x14ac:dyDescent="0.25">
      <c r="A3" s="3" t="s">
        <v>62</v>
      </c>
      <c r="B3" s="4">
        <v>2710</v>
      </c>
      <c r="C3" s="4">
        <v>2763</v>
      </c>
      <c r="D3" s="4">
        <v>2948</v>
      </c>
      <c r="E3" s="4">
        <v>3160</v>
      </c>
      <c r="F3" s="4">
        <v>3451</v>
      </c>
      <c r="G3" s="11">
        <f>'QTR CF'!R3+'QTR CF'!S3+'QTR CF'!T3+'QTR CF'!U3</f>
        <v>3889.2990680283497</v>
      </c>
      <c r="H3" s="11">
        <f>'QTR CF'!V3+'QTR CF'!W3+'QTR CF'!X3+'QTR CF'!Y3</f>
        <v>4220.0815770788104</v>
      </c>
      <c r="I3" s="11">
        <f>'QTR CF'!Z3+'QTR CF'!AA3+'QTR CF'!AB3+'QTR CF'!AC3</f>
        <v>4578.9969363883765</v>
      </c>
      <c r="J3" s="11">
        <f>'QTR CF'!AD3+'QTR CF'!AE3+'QTR CF'!AF3+'QTR CF'!AG3</f>
        <v>4968.4378276800708</v>
      </c>
      <c r="K3" s="11">
        <f>'QTR CF'!AH3+'QTR CF'!AI3+'QTR CF'!AJ3+'QTR CF'!AK3</f>
        <v>5391.000428795337</v>
      </c>
      <c r="L3" s="11">
        <f>'QTR CF'!AL3+'QTR CF'!AM3+'QTR CF'!AN3+'QTR CF'!AO3</f>
        <v>5849.5017209145453</v>
      </c>
    </row>
    <row r="4" spans="1:12" x14ac:dyDescent="0.25">
      <c r="A4" s="3" t="s">
        <v>20</v>
      </c>
      <c r="B4" s="4">
        <v>0</v>
      </c>
      <c r="C4" s="4">
        <v>-3321</v>
      </c>
      <c r="D4" s="4">
        <v>0</v>
      </c>
      <c r="E4" s="4">
        <v>0</v>
      </c>
      <c r="F4" s="4">
        <v>0</v>
      </c>
      <c r="G4" s="11">
        <f>'QTR CF'!R4+'QTR CF'!S4+'QTR CF'!T4+'QTR CF'!U4</f>
        <v>0</v>
      </c>
      <c r="H4" s="11">
        <f>'QTR CF'!V4+'QTR CF'!W4+'QTR CF'!X4+'QTR CF'!Y4</f>
        <v>0</v>
      </c>
      <c r="I4" s="11">
        <f>'QTR CF'!Z4+'QTR CF'!AA4+'QTR CF'!AB4+'QTR CF'!AC4</f>
        <v>0</v>
      </c>
      <c r="J4" s="11">
        <f>'QTR CF'!AD4+'QTR CF'!AE4+'QTR CF'!AF4+'QTR CF'!AG4</f>
        <v>0</v>
      </c>
      <c r="K4" s="11">
        <f>'QTR CF'!AH4+'QTR CF'!AI4+'QTR CF'!AJ4+'QTR CF'!AK4</f>
        <v>0</v>
      </c>
      <c r="L4" s="11">
        <f>'QTR CF'!AL4+'QTR CF'!AM4+'QTR CF'!AN4+'QTR CF'!AO4</f>
        <v>0</v>
      </c>
    </row>
    <row r="5" spans="1:12" x14ac:dyDescent="0.25">
      <c r="A5" s="3" t="s">
        <v>63</v>
      </c>
      <c r="B5" s="4">
        <v>0</v>
      </c>
      <c r="C5" s="4">
        <v>3618</v>
      </c>
      <c r="D5" s="4">
        <v>1230</v>
      </c>
      <c r="E5" s="4">
        <v>714</v>
      </c>
      <c r="F5" s="4">
        <v>1946</v>
      </c>
      <c r="G5" s="11">
        <f>'QTR CF'!R5+'QTR CF'!S5+'QTR CF'!T5+'QTR CF'!U5</f>
        <v>0</v>
      </c>
      <c r="H5" s="11">
        <f>'QTR CF'!V5+'QTR CF'!W5+'QTR CF'!X5+'QTR CF'!Y5</f>
        <v>0</v>
      </c>
      <c r="I5" s="11">
        <f>'QTR CF'!Z5+'QTR CF'!AA5+'QTR CF'!AB5+'QTR CF'!AC5</f>
        <v>0</v>
      </c>
      <c r="J5" s="11">
        <f>'QTR CF'!AD5+'QTR CF'!AE5+'QTR CF'!AF5+'QTR CF'!AG5</f>
        <v>0</v>
      </c>
      <c r="K5" s="11">
        <f>'QTR CF'!AH5+'QTR CF'!AI5+'QTR CF'!AJ5+'QTR CF'!AK5</f>
        <v>0</v>
      </c>
      <c r="L5" s="11">
        <f>'QTR CF'!AL5+'QTR CF'!AM5+'QTR CF'!AN5+'QTR CF'!AO5</f>
        <v>0</v>
      </c>
    </row>
    <row r="6" spans="1:12" x14ac:dyDescent="0.25">
      <c r="A6" s="3" t="s">
        <v>64</v>
      </c>
      <c r="B6" s="4">
        <v>0</v>
      </c>
      <c r="C6" s="4">
        <v>0</v>
      </c>
      <c r="D6" s="4">
        <v>0</v>
      </c>
      <c r="E6" s="4">
        <v>218</v>
      </c>
      <c r="F6" s="4">
        <v>0</v>
      </c>
      <c r="G6" s="11">
        <f>'QTR CF'!R6+'QTR CF'!S6+'QTR CF'!T6+'QTR CF'!U6</f>
        <v>0</v>
      </c>
      <c r="H6" s="11">
        <f>'QTR CF'!V6+'QTR CF'!W6+'QTR CF'!X6+'QTR CF'!Y6</f>
        <v>0</v>
      </c>
      <c r="I6" s="11">
        <f>'QTR CF'!Z6+'QTR CF'!AA6+'QTR CF'!AB6+'QTR CF'!AC6</f>
        <v>0</v>
      </c>
      <c r="J6" s="11">
        <f>'QTR CF'!AD6+'QTR CF'!AE6+'QTR CF'!AF6+'QTR CF'!AG6</f>
        <v>0</v>
      </c>
      <c r="K6" s="11">
        <f>'QTR CF'!AH6+'QTR CF'!AI6+'QTR CF'!AJ6+'QTR CF'!AK6</f>
        <v>0</v>
      </c>
      <c r="L6" s="11">
        <f>'QTR CF'!AL6+'QTR CF'!AM6+'QTR CF'!AN6+'QTR CF'!AO6</f>
        <v>0</v>
      </c>
    </row>
    <row r="7" spans="1:12" x14ac:dyDescent="0.25">
      <c r="A7" s="3" t="s">
        <v>65</v>
      </c>
      <c r="B7" s="4">
        <v>0</v>
      </c>
      <c r="C7" s="4">
        <v>0</v>
      </c>
      <c r="D7" s="4">
        <v>136</v>
      </c>
      <c r="E7" s="4">
        <v>187</v>
      </c>
      <c r="F7" s="4">
        <v>0</v>
      </c>
      <c r="G7" s="11">
        <f>'QTR CF'!R7+'QTR CF'!S7+'QTR CF'!T7+'QTR CF'!U7</f>
        <v>0</v>
      </c>
      <c r="H7" s="11">
        <f>'QTR CF'!V7+'QTR CF'!W7+'QTR CF'!X7+'QTR CF'!Y7</f>
        <v>0</v>
      </c>
      <c r="I7" s="11">
        <f>'QTR CF'!Z7+'QTR CF'!AA7+'QTR CF'!AB7+'QTR CF'!AC7</f>
        <v>0</v>
      </c>
      <c r="J7" s="11">
        <f>'QTR CF'!AD7+'QTR CF'!AE7+'QTR CF'!AF7+'QTR CF'!AG7</f>
        <v>0</v>
      </c>
      <c r="K7" s="11">
        <f>'QTR CF'!AH7+'QTR CF'!AI7+'QTR CF'!AJ7+'QTR CF'!AK7</f>
        <v>0</v>
      </c>
      <c r="L7" s="11">
        <f>'QTR CF'!AL7+'QTR CF'!AM7+'QTR CF'!AN7+'QTR CF'!AO7</f>
        <v>0</v>
      </c>
    </row>
    <row r="8" spans="1:12" x14ac:dyDescent="0.25">
      <c r="A8" s="3" t="s">
        <v>66</v>
      </c>
      <c r="B8" s="4">
        <v>0</v>
      </c>
      <c r="C8" s="4">
        <v>0</v>
      </c>
      <c r="D8" s="4">
        <v>0</v>
      </c>
      <c r="E8" s="4">
        <v>-148</v>
      </c>
      <c r="F8" s="4">
        <v>-6</v>
      </c>
      <c r="G8" s="11">
        <f>'QTR CF'!R8+'QTR CF'!S8+'QTR CF'!T8+'QTR CF'!U8</f>
        <v>0</v>
      </c>
      <c r="H8" s="11">
        <f>'QTR CF'!V8+'QTR CF'!W8+'QTR CF'!X8+'QTR CF'!Y8</f>
        <v>0</v>
      </c>
      <c r="I8" s="11">
        <f>'QTR CF'!Z8+'QTR CF'!AA8+'QTR CF'!AB8+'QTR CF'!AC8</f>
        <v>0</v>
      </c>
      <c r="J8" s="11">
        <f>'QTR CF'!AD8+'QTR CF'!AE8+'QTR CF'!AF8+'QTR CF'!AG8</f>
        <v>0</v>
      </c>
      <c r="K8" s="11">
        <f>'QTR CF'!AH8+'QTR CF'!AI8+'QTR CF'!AJ8+'QTR CF'!AK8</f>
        <v>0</v>
      </c>
      <c r="L8" s="11">
        <f>'QTR CF'!AL8+'QTR CF'!AM8+'QTR CF'!AN8+'QTR CF'!AO8</f>
        <v>0</v>
      </c>
    </row>
    <row r="9" spans="1:12" x14ac:dyDescent="0.25">
      <c r="A9" s="3" t="s">
        <v>67</v>
      </c>
      <c r="B9" s="4">
        <v>505</v>
      </c>
      <c r="C9" s="4">
        <v>517</v>
      </c>
      <c r="D9" s="4">
        <v>570</v>
      </c>
      <c r="E9" s="4">
        <v>655</v>
      </c>
      <c r="F9" s="4">
        <v>727</v>
      </c>
      <c r="G9" s="11">
        <f>'QTR CF'!R9+'QTR CF'!S9+'QTR CF'!T9+'QTR CF'!U9</f>
        <v>162</v>
      </c>
      <c r="H9" s="11">
        <f>'QTR CF'!V9+'QTR CF'!W9+'QTR CF'!X9+'QTR CF'!Y9</f>
        <v>0</v>
      </c>
      <c r="I9" s="11">
        <f>'QTR CF'!Z9+'QTR CF'!AA9+'QTR CF'!AB9+'QTR CF'!AC9</f>
        <v>0</v>
      </c>
      <c r="J9" s="11">
        <f>'QTR CF'!AD9+'QTR CF'!AE9+'QTR CF'!AF9+'QTR CF'!AG9</f>
        <v>0</v>
      </c>
      <c r="K9" s="11">
        <f>'QTR CF'!AH9+'QTR CF'!AI9+'QTR CF'!AJ9+'QTR CF'!AK9</f>
        <v>0</v>
      </c>
      <c r="L9" s="11">
        <f>'QTR CF'!AL9+'QTR CF'!AM9+'QTR CF'!AN9+'QTR CF'!AO9</f>
        <v>0</v>
      </c>
    </row>
    <row r="10" spans="1:12" x14ac:dyDescent="0.25">
      <c r="A10" s="3" t="s">
        <v>68</v>
      </c>
      <c r="B10" s="4">
        <v>301</v>
      </c>
      <c r="C10" s="4">
        <v>343</v>
      </c>
      <c r="D10" s="4">
        <v>380</v>
      </c>
      <c r="E10" s="4">
        <v>362</v>
      </c>
      <c r="F10" s="4">
        <v>288</v>
      </c>
      <c r="G10" s="11">
        <f>'QTR CF'!R10+'QTR CF'!S10+'QTR CF'!T10+'QTR CF'!U10</f>
        <v>487.47279424075009</v>
      </c>
      <c r="H10" s="11">
        <f>'QTR CF'!V10+'QTR CF'!W10+'QTR CF'!X10+'QTR CF'!Y10</f>
        <v>528.93205750448703</v>
      </c>
      <c r="I10" s="11">
        <f>'QTR CF'!Z10+'QTR CF'!AA10+'QTR CF'!AB10+'QTR CF'!AC10</f>
        <v>573.91740577374537</v>
      </c>
      <c r="J10" s="11">
        <f>'QTR CF'!AD10+'QTR CF'!AE10+'QTR CF'!AF10+'QTR CF'!AG10</f>
        <v>622.72873042351307</v>
      </c>
      <c r="K10" s="11">
        <f>'QTR CF'!AH10+'QTR CF'!AI10+'QTR CF'!AJ10+'QTR CF'!AK10</f>
        <v>675.6914284069627</v>
      </c>
      <c r="L10" s="11">
        <f>'QTR CF'!AL10+'QTR CF'!AM10+'QTR CF'!AN10+'QTR CF'!AO10</f>
        <v>733.15857148928933</v>
      </c>
    </row>
    <row r="11" spans="1:12" x14ac:dyDescent="0.25">
      <c r="A11" s="3" t="s">
        <v>69</v>
      </c>
      <c r="B11" s="4">
        <v>247</v>
      </c>
      <c r="C11" s="4">
        <v>411</v>
      </c>
      <c r="D11" s="4">
        <v>445</v>
      </c>
      <c r="E11" s="4">
        <v>727</v>
      </c>
      <c r="F11" s="4">
        <v>983</v>
      </c>
      <c r="G11" s="11">
        <f>'QTR CF'!R11+'QTR CF'!S11+'QTR CF'!T11+'QTR CF'!U11</f>
        <v>133</v>
      </c>
      <c r="H11" s="11">
        <f>'QTR CF'!V11+'QTR CF'!W11+'QTR CF'!X11+'QTR CF'!Y11</f>
        <v>0</v>
      </c>
      <c r="I11" s="11">
        <f>'QTR CF'!Z11+'QTR CF'!AA11+'QTR CF'!AB11+'QTR CF'!AC11</f>
        <v>0</v>
      </c>
      <c r="J11" s="11">
        <f>'QTR CF'!AD11+'QTR CF'!AE11+'QTR CF'!AF11+'QTR CF'!AG11</f>
        <v>0</v>
      </c>
      <c r="K11" s="11">
        <f>'QTR CF'!AH11+'QTR CF'!AI11+'QTR CF'!AJ11+'QTR CF'!AK11</f>
        <v>0</v>
      </c>
      <c r="L11" s="11">
        <f>'QTR CF'!AL11+'QTR CF'!AM11+'QTR CF'!AN11+'QTR CF'!AO11</f>
        <v>0</v>
      </c>
    </row>
    <row r="12" spans="1:12" x14ac:dyDescent="0.25">
      <c r="A12" s="3" t="s">
        <v>70</v>
      </c>
      <c r="B12" s="4">
        <v>-256</v>
      </c>
      <c r="C12" s="4">
        <v>-224</v>
      </c>
      <c r="D12" s="4">
        <v>-434</v>
      </c>
      <c r="E12" s="4">
        <v>-436</v>
      </c>
      <c r="F12" s="4">
        <v>-796</v>
      </c>
      <c r="G12" s="11">
        <f>'QTR CF'!R12+'QTR CF'!S12+'QTR CF'!T12+'QTR CF'!U12</f>
        <v>-145</v>
      </c>
      <c r="H12" s="11">
        <f>'QTR CF'!V12+'QTR CF'!W12+'QTR CF'!X12+'QTR CF'!Y12</f>
        <v>0</v>
      </c>
      <c r="I12" s="11">
        <f>'QTR CF'!Z12+'QTR CF'!AA12+'QTR CF'!AB12+'QTR CF'!AC12</f>
        <v>0</v>
      </c>
      <c r="J12" s="11">
        <f>'QTR CF'!AD12+'QTR CF'!AE12+'QTR CF'!AF12+'QTR CF'!AG12</f>
        <v>0</v>
      </c>
      <c r="K12" s="11">
        <f>'QTR CF'!AH12+'QTR CF'!AI12+'QTR CF'!AJ12+'QTR CF'!AK12</f>
        <v>0</v>
      </c>
      <c r="L12" s="11">
        <f>'QTR CF'!AL12+'QTR CF'!AM12+'QTR CF'!AN12+'QTR CF'!AO12</f>
        <v>0</v>
      </c>
    </row>
    <row r="13" spans="1:12" x14ac:dyDescent="0.25">
      <c r="A13" s="3" t="s">
        <v>71</v>
      </c>
      <c r="B13" s="4">
        <v>-4</v>
      </c>
      <c r="C13" s="4">
        <v>80</v>
      </c>
      <c r="D13" s="4">
        <v>41</v>
      </c>
      <c r="E13" s="4">
        <v>0</v>
      </c>
      <c r="F13" s="4">
        <v>453</v>
      </c>
      <c r="G13" s="11">
        <f>'QTR CF'!R13+'QTR CF'!S13+'QTR CF'!T13+'QTR CF'!U13</f>
        <v>-113</v>
      </c>
      <c r="H13" s="11">
        <f>'QTR CF'!V13+'QTR CF'!W13+'QTR CF'!X13+'QTR CF'!Y13</f>
        <v>0</v>
      </c>
      <c r="I13" s="11">
        <f>'QTR CF'!Z13+'QTR CF'!AA13+'QTR CF'!AB13+'QTR CF'!AC13</f>
        <v>0</v>
      </c>
      <c r="J13" s="11">
        <f>'QTR CF'!AD13+'QTR CF'!AE13+'QTR CF'!AF13+'QTR CF'!AG13</f>
        <v>0</v>
      </c>
      <c r="K13" s="11">
        <f>'QTR CF'!AH13+'QTR CF'!AI13+'QTR CF'!AJ13+'QTR CF'!AK13</f>
        <v>0</v>
      </c>
      <c r="L13" s="11">
        <f>'QTR CF'!AL13+'QTR CF'!AM13+'QTR CF'!AN13+'QTR CF'!AO13</f>
        <v>0</v>
      </c>
    </row>
    <row r="14" spans="1:12" x14ac:dyDescent="0.25">
      <c r="A14" s="3" t="s">
        <v>72</v>
      </c>
      <c r="B14" s="4">
        <v>-176</v>
      </c>
      <c r="C14" s="4">
        <v>-46</v>
      </c>
      <c r="D14" s="4">
        <v>-41</v>
      </c>
      <c r="E14" s="4">
        <v>0</v>
      </c>
      <c r="F14" s="4">
        <v>-228</v>
      </c>
      <c r="G14" s="11">
        <f>'QTR CF'!R14+'QTR CF'!S14+'QTR CF'!T14+'QTR CF'!U14</f>
        <v>-14</v>
      </c>
      <c r="H14" s="11">
        <f>'QTR CF'!V14+'QTR CF'!W14+'QTR CF'!X14+'QTR CF'!Y14</f>
        <v>0</v>
      </c>
      <c r="I14" s="11">
        <f>'QTR CF'!Z14+'QTR CF'!AA14+'QTR CF'!AB14+'QTR CF'!AC14</f>
        <v>0</v>
      </c>
      <c r="J14" s="11">
        <f>'QTR CF'!AD14+'QTR CF'!AE14+'QTR CF'!AF14+'QTR CF'!AG14</f>
        <v>0</v>
      </c>
      <c r="K14" s="11">
        <f>'QTR CF'!AH14+'QTR CF'!AI14+'QTR CF'!AJ14+'QTR CF'!AK14</f>
        <v>0</v>
      </c>
      <c r="L14" s="11">
        <f>'QTR CF'!AL14+'QTR CF'!AM14+'QTR CF'!AN14+'QTR CF'!AO14</f>
        <v>0</v>
      </c>
    </row>
    <row r="15" spans="1:12" x14ac:dyDescent="0.25">
      <c r="A15" s="3" t="s">
        <v>73</v>
      </c>
      <c r="B15" s="4">
        <v>123</v>
      </c>
      <c r="C15" s="4">
        <v>419</v>
      </c>
      <c r="D15" s="4">
        <v>150</v>
      </c>
      <c r="E15" s="4">
        <v>414</v>
      </c>
      <c r="F15" s="4">
        <v>504</v>
      </c>
      <c r="G15" s="11">
        <f>'QTR CF'!R15+'QTR CF'!S15+'QTR CF'!T15+'QTR CF'!U15</f>
        <v>13</v>
      </c>
      <c r="H15" s="11">
        <f>'QTR CF'!V15+'QTR CF'!W15+'QTR CF'!X15+'QTR CF'!Y15</f>
        <v>0</v>
      </c>
      <c r="I15" s="11">
        <f>'QTR CF'!Z15+'QTR CF'!AA15+'QTR CF'!AB15+'QTR CF'!AC15</f>
        <v>0</v>
      </c>
      <c r="J15" s="11">
        <f>'QTR CF'!AD15+'QTR CF'!AE15+'QTR CF'!AF15+'QTR CF'!AG15</f>
        <v>0</v>
      </c>
      <c r="K15" s="11">
        <f>'QTR CF'!AH15+'QTR CF'!AI15+'QTR CF'!AJ15+'QTR CF'!AK15</f>
        <v>0</v>
      </c>
      <c r="L15" s="11">
        <f>'QTR CF'!AL15+'QTR CF'!AM15+'QTR CF'!AN15+'QTR CF'!AO15</f>
        <v>0</v>
      </c>
    </row>
    <row r="16" spans="1:12" x14ac:dyDescent="0.25">
      <c r="A16" s="3" t="s">
        <v>74</v>
      </c>
      <c r="B16" s="4">
        <v>-785</v>
      </c>
      <c r="C16" s="4">
        <v>-384</v>
      </c>
      <c r="D16" s="4">
        <v>-410</v>
      </c>
      <c r="E16" s="4">
        <v>-348</v>
      </c>
      <c r="F16" s="4">
        <v>-472</v>
      </c>
      <c r="G16" s="11">
        <f>'QTR CF'!R16+'QTR CF'!S16+'QTR CF'!T16+'QTR CF'!U16</f>
        <v>-270</v>
      </c>
      <c r="H16" s="11">
        <f>'QTR CF'!V16+'QTR CF'!W16+'QTR CF'!X16+'QTR CF'!Y16</f>
        <v>0</v>
      </c>
      <c r="I16" s="11">
        <f>'QTR CF'!Z16+'QTR CF'!AA16+'QTR CF'!AB16+'QTR CF'!AC16</f>
        <v>0</v>
      </c>
      <c r="J16" s="11">
        <f>'QTR CF'!AD16+'QTR CF'!AE16+'QTR CF'!AF16+'QTR CF'!AG16</f>
        <v>0</v>
      </c>
      <c r="K16" s="11">
        <f>'QTR CF'!AH16+'QTR CF'!AI16+'QTR CF'!AJ16+'QTR CF'!AK16</f>
        <v>0</v>
      </c>
      <c r="L16" s="11">
        <f>'QTR CF'!AL16+'QTR CF'!AM16+'QTR CF'!AN16+'QTR CF'!AO16</f>
        <v>0</v>
      </c>
    </row>
    <row r="17" spans="1:12" x14ac:dyDescent="0.25">
      <c r="A17" s="3" t="s">
        <v>75</v>
      </c>
      <c r="B17" s="4">
        <v>298</v>
      </c>
      <c r="C17" s="4">
        <v>-873</v>
      </c>
      <c r="D17" s="4">
        <v>-271</v>
      </c>
      <c r="E17" s="4">
        <v>-42</v>
      </c>
      <c r="F17" s="4">
        <v>71</v>
      </c>
      <c r="G17" s="11">
        <f>'QTR CF'!R17+'QTR CF'!S17+'QTR CF'!T17+'QTR CF'!U17</f>
        <v>904</v>
      </c>
      <c r="H17" s="11">
        <f>'QTR CF'!V17+'QTR CF'!W17+'QTR CF'!X17+'QTR CF'!Y17</f>
        <v>904</v>
      </c>
      <c r="I17" s="11">
        <f>'QTR CF'!Z17+'QTR CF'!AA17+'QTR CF'!AB17+'QTR CF'!AC17</f>
        <v>904</v>
      </c>
      <c r="J17" s="11">
        <f>'QTR CF'!AD17+'QTR CF'!AE17+'QTR CF'!AF17+'QTR CF'!AG17</f>
        <v>904</v>
      </c>
      <c r="K17" s="11">
        <f>'QTR CF'!AH17+'QTR CF'!AI17+'QTR CF'!AJ17+'QTR CF'!AK17</f>
        <v>904</v>
      </c>
      <c r="L17" s="11">
        <f>'QTR CF'!AL17+'QTR CF'!AM17+'QTR CF'!AN17+'QTR CF'!AO17</f>
        <v>904</v>
      </c>
    </row>
    <row r="18" spans="1:12" x14ac:dyDescent="0.25">
      <c r="A18" s="3" t="s">
        <v>76</v>
      </c>
      <c r="B18" s="4">
        <v>190</v>
      </c>
      <c r="C18" s="4">
        <v>86</v>
      </c>
      <c r="D18" s="4">
        <v>0</v>
      </c>
      <c r="E18" s="4">
        <v>0</v>
      </c>
      <c r="F18" s="4">
        <v>0</v>
      </c>
      <c r="G18" s="11">
        <f>'QTR CF'!R18+'QTR CF'!S18+'QTR CF'!T18+'QTR CF'!U18</f>
        <v>0</v>
      </c>
      <c r="H18" s="11">
        <f>'QTR CF'!V18+'QTR CF'!W18+'QTR CF'!X18+'QTR CF'!Y18</f>
        <v>0</v>
      </c>
      <c r="I18" s="11">
        <f>'QTR CF'!Z18+'QTR CF'!AA18+'QTR CF'!AB18+'QTR CF'!AC18</f>
        <v>0</v>
      </c>
      <c r="J18" s="11">
        <f>'QTR CF'!AD18+'QTR CF'!AE18+'QTR CF'!AF18+'QTR CF'!AG18</f>
        <v>0</v>
      </c>
      <c r="K18" s="11">
        <f>'QTR CF'!AH18+'QTR CF'!AI18+'QTR CF'!AJ18+'QTR CF'!AK18</f>
        <v>0</v>
      </c>
      <c r="L18" s="11">
        <f>'QTR CF'!AL18+'QTR CF'!AM18+'QTR CF'!AN18+'QTR CF'!AO18</f>
        <v>0</v>
      </c>
    </row>
    <row r="19" spans="1:12" x14ac:dyDescent="0.25">
      <c r="A19" s="3" t="s">
        <v>77</v>
      </c>
      <c r="B19" s="4">
        <v>-309</v>
      </c>
      <c r="C19" s="4">
        <v>-309</v>
      </c>
      <c r="D19" s="4">
        <v>-309</v>
      </c>
      <c r="E19" s="4">
        <v>-579</v>
      </c>
      <c r="F19" s="4">
        <v>-772</v>
      </c>
      <c r="G19" s="11">
        <f>'QTR CF'!R19+'QTR CF'!S19+'QTR CF'!T19+'QTR CF'!U19</f>
        <v>0</v>
      </c>
      <c r="H19" s="11">
        <f>'QTR CF'!V19+'QTR CF'!W19+'QTR CF'!X19+'QTR CF'!Y19</f>
        <v>0</v>
      </c>
      <c r="I19" s="11">
        <f>'QTR CF'!Z19+'QTR CF'!AA19+'QTR CF'!AB19+'QTR CF'!AC19</f>
        <v>0</v>
      </c>
      <c r="J19" s="11">
        <f>'QTR CF'!AD19+'QTR CF'!AE19+'QTR CF'!AF19+'QTR CF'!AG19</f>
        <v>0</v>
      </c>
      <c r="K19" s="11">
        <f>'QTR CF'!AH19+'QTR CF'!AI19+'QTR CF'!AJ19+'QTR CF'!AK19</f>
        <v>0</v>
      </c>
      <c r="L19" s="11">
        <f>'QTR CF'!AL19+'QTR CF'!AM19+'QTR CF'!AN19+'QTR CF'!AO19</f>
        <v>0</v>
      </c>
    </row>
    <row r="20" spans="1:12" x14ac:dyDescent="0.25">
      <c r="A20" s="3" t="s">
        <v>36</v>
      </c>
      <c r="B20" s="4">
        <v>-651</v>
      </c>
      <c r="C20" s="4">
        <v>-1763</v>
      </c>
      <c r="D20" s="4">
        <v>-793</v>
      </c>
      <c r="E20" s="4">
        <v>-138</v>
      </c>
      <c r="F20" s="4">
        <v>-580</v>
      </c>
      <c r="G20" s="11">
        <f>'QTR CF'!R20+'QTR CF'!S20+'QTR CF'!T20+'QTR CF'!U20</f>
        <v>-8289.4455047714728</v>
      </c>
      <c r="H20" s="11">
        <f>'QTR CF'!V20+'QTR CF'!W20+'QTR CF'!X20+'QTR CF'!Y20</f>
        <v>-1695.0722110202405</v>
      </c>
      <c r="I20" s="11">
        <f>'QTR CF'!Z20+'QTR CF'!AA20+'QTR CF'!AB20+'QTR CF'!AC20</f>
        <v>-1839.2370667373543</v>
      </c>
      <c r="J20" s="11">
        <f>'QTR CF'!AD20+'QTR CF'!AE20+'QTR CF'!AF20+'QTR CF'!AG20</f>
        <v>-1995.6630553364739</v>
      </c>
      <c r="K20" s="11">
        <f>'QTR CF'!AH20+'QTR CF'!AI20+'QTR CF'!AJ20+'QTR CF'!AK20</f>
        <v>-2165.3929786766639</v>
      </c>
      <c r="L20" s="11">
        <f>'QTR CF'!AL20+'QTR CF'!AM20+'QTR CF'!AN20+'QTR CF'!AO20</f>
        <v>-2349.5583282778207</v>
      </c>
    </row>
    <row r="21" spans="1:12" x14ac:dyDescent="0.25">
      <c r="A21" s="3" t="s">
        <v>37</v>
      </c>
      <c r="B21" s="4">
        <v>-582</v>
      </c>
      <c r="C21" s="4">
        <v>-1142</v>
      </c>
      <c r="D21" s="4">
        <v>-261</v>
      </c>
      <c r="E21" s="4">
        <v>-314</v>
      </c>
      <c r="F21" s="4">
        <v>-150</v>
      </c>
      <c r="G21" s="11">
        <f>'QTR CF'!R21+'QTR CF'!S21+'QTR CF'!T21+'QTR CF'!U21</f>
        <v>-4274.7334672693796</v>
      </c>
      <c r="H21" s="11">
        <f>'QTR CF'!V21+'QTR CF'!W21+'QTR CF'!X21+'QTR CF'!Y21</f>
        <v>-865.01466622682892</v>
      </c>
      <c r="I21" s="11">
        <f>'QTR CF'!Z21+'QTR CF'!AA21+'QTR CF'!AB21+'QTR CF'!AC21</f>
        <v>-938.58363499348525</v>
      </c>
      <c r="J21" s="11">
        <f>'QTR CF'!AD21+'QTR CF'!AE21+'QTR CF'!AF21+'QTR CF'!AG21</f>
        <v>-1018.4095995969801</v>
      </c>
      <c r="K21" s="11">
        <f>'QTR CF'!AH21+'QTR CF'!AI21+'QTR CF'!AJ21+'QTR CF'!AK21</f>
        <v>-1105.0247137096994</v>
      </c>
      <c r="L21" s="11">
        <f>'QTR CF'!AL21+'QTR CF'!AM21+'QTR CF'!AN21+'QTR CF'!AO21</f>
        <v>-1199.0063903486607</v>
      </c>
    </row>
    <row r="22" spans="1:12" x14ac:dyDescent="0.25">
      <c r="A22" s="3" t="s">
        <v>38</v>
      </c>
      <c r="B22" s="4">
        <v>159</v>
      </c>
      <c r="C22" s="4">
        <v>118</v>
      </c>
      <c r="D22" s="4">
        <v>-13</v>
      </c>
      <c r="E22" s="4">
        <v>40</v>
      </c>
      <c r="F22" s="4">
        <v>195</v>
      </c>
      <c r="G22" s="11">
        <f>'QTR CF'!R22+'QTR CF'!S22+'QTR CF'!T22+'QTR CF'!U22</f>
        <v>-1493.635693956136</v>
      </c>
      <c r="H22" s="11">
        <f>'QTR CF'!V22+'QTR CF'!W22+'QTR CF'!X22+'QTR CF'!Y22</f>
        <v>-237.59700862710815</v>
      </c>
      <c r="I22" s="11">
        <f>'QTR CF'!Z22+'QTR CF'!AA22+'QTR CF'!AB22+'QTR CF'!AC22</f>
        <v>-257.80448901930185</v>
      </c>
      <c r="J22" s="11">
        <f>'QTR CF'!AD22+'QTR CF'!AE22+'QTR CF'!AF22+'QTR CF'!AG22</f>
        <v>-279.73060327039911</v>
      </c>
      <c r="K22" s="11">
        <f>'QTR CF'!AH22+'QTR CF'!AI22+'QTR CF'!AJ22+'QTR CF'!AK22</f>
        <v>-303.52152013987188</v>
      </c>
      <c r="L22" s="11">
        <f>'QTR CF'!AL22+'QTR CF'!AM22+'QTR CF'!AN22+'QTR CF'!AO22</f>
        <v>-329.33583995086383</v>
      </c>
    </row>
    <row r="23" spans="1:12" x14ac:dyDescent="0.25">
      <c r="A23" s="3" t="s">
        <v>78</v>
      </c>
      <c r="B23" s="4">
        <v>1762</v>
      </c>
      <c r="C23" s="4">
        <v>1842</v>
      </c>
      <c r="D23" s="4">
        <v>420</v>
      </c>
      <c r="E23" s="4">
        <v>-1161</v>
      </c>
      <c r="F23" s="4">
        <v>-677</v>
      </c>
      <c r="G23" s="11">
        <f>'QTR CF'!R23+'QTR CF'!S23+'QTR CF'!T23+'QTR CF'!U23</f>
        <v>13661.690440314749</v>
      </c>
      <c r="H23" s="11">
        <f>'QTR CF'!V23+'QTR CF'!W23+'QTR CF'!X23+'QTR CF'!Y23</f>
        <v>3387.9160796383512</v>
      </c>
      <c r="I23" s="11">
        <f>'QTR CF'!Z23+'QTR CF'!AA23+'QTR CF'!AB23+'QTR CF'!AC23</f>
        <v>3676.0562719129739</v>
      </c>
      <c r="J23" s="11">
        <f>'QTR CF'!AD23+'QTR CF'!AE23+'QTR CF'!AF23+'QTR CF'!AG23</f>
        <v>3988.7026114629189</v>
      </c>
      <c r="K23" s="11">
        <f>'QTR CF'!AH23+'QTR CF'!AI23+'QTR CF'!AJ23+'QTR CF'!AK23</f>
        <v>4327.9393311386448</v>
      </c>
      <c r="L23" s="11">
        <f>'QTR CF'!AL23+'QTR CF'!AM23+'QTR CF'!AN23+'QTR CF'!AO23</f>
        <v>4696.0279265209319</v>
      </c>
    </row>
    <row r="24" spans="1:12" x14ac:dyDescent="0.25">
      <c r="A24" s="3" t="s">
        <v>79</v>
      </c>
      <c r="B24" s="4">
        <v>30</v>
      </c>
      <c r="C24" s="4">
        <v>57</v>
      </c>
      <c r="D24" s="4">
        <v>310</v>
      </c>
      <c r="E24" s="4">
        <v>-123</v>
      </c>
      <c r="F24" s="4">
        <v>-433</v>
      </c>
      <c r="G24" s="11">
        <f>'QTR CF'!R24+'QTR CF'!S24+'QTR CF'!T24+'QTR CF'!U24</f>
        <v>131</v>
      </c>
      <c r="H24" s="11">
        <f>'QTR CF'!V24+'QTR CF'!W24+'QTR CF'!X24+'QTR CF'!Y24</f>
        <v>0</v>
      </c>
      <c r="I24" s="11">
        <f>'QTR CF'!Z24+'QTR CF'!AA24+'QTR CF'!AB24+'QTR CF'!AC24</f>
        <v>0</v>
      </c>
      <c r="J24" s="11">
        <f>'QTR CF'!AD24+'QTR CF'!AE24+'QTR CF'!AF24+'QTR CF'!AG24</f>
        <v>0</v>
      </c>
      <c r="K24" s="11">
        <f>'QTR CF'!AH24+'QTR CF'!AI24+'QTR CF'!AJ24+'QTR CF'!AK24</f>
        <v>0</v>
      </c>
      <c r="L24" s="11">
        <f>'QTR CF'!AL24+'QTR CF'!AM24+'QTR CF'!AN24+'QTR CF'!AO24</f>
        <v>0</v>
      </c>
    </row>
    <row r="25" spans="1:12" x14ac:dyDescent="0.25">
      <c r="A25" s="3" t="s">
        <v>80</v>
      </c>
      <c r="B25" s="4">
        <v>375</v>
      </c>
      <c r="C25" s="4">
        <v>-359</v>
      </c>
      <c r="D25" s="4">
        <v>189</v>
      </c>
      <c r="E25" s="4">
        <v>-307</v>
      </c>
      <c r="F25" s="4">
        <v>-712</v>
      </c>
      <c r="G25" s="11">
        <f>'QTR CF'!R25+'QTR CF'!S25+'QTR CF'!T25+'QTR CF'!U25</f>
        <v>-830.23756906077506</v>
      </c>
      <c r="H25" s="11">
        <f>'QTR CF'!V25+'QTR CF'!W25+'QTR CF'!X25+'QTR CF'!Y25</f>
        <v>-147.07059854057661</v>
      </c>
      <c r="I25" s="11">
        <f>'QTR CF'!Z25+'QTR CF'!AA25+'QTR CF'!AB25+'QTR CF'!AC25</f>
        <v>-159.57886307408262</v>
      </c>
      <c r="J25" s="11">
        <f>'QTR CF'!AD25+'QTR CF'!AE25+'QTR CF'!AF25+'QTR CF'!AG25</f>
        <v>-173.1509478625685</v>
      </c>
      <c r="K25" s="11">
        <f>'QTR CF'!AH25+'QTR CF'!AI25+'QTR CF'!AJ25+'QTR CF'!AK25</f>
        <v>-187.87733016864513</v>
      </c>
      <c r="L25" s="11">
        <f>'QTR CF'!AL25+'QTR CF'!AM25+'QTR CF'!AN25+'QTR CF'!AO25</f>
        <v>-203.85618229080137</v>
      </c>
    </row>
    <row r="26" spans="1:12" x14ac:dyDescent="0.25">
      <c r="A26" s="3" t="s">
        <v>81</v>
      </c>
      <c r="B26" s="6">
        <f t="shared" ref="B26:L26" si="0">SUM(B2:B25)</f>
        <v>11616</v>
      </c>
      <c r="C26" s="6">
        <f t="shared" si="0"/>
        <v>10811</v>
      </c>
      <c r="D26" s="6">
        <f t="shared" si="0"/>
        <v>13442</v>
      </c>
      <c r="E26" s="6">
        <f t="shared" si="0"/>
        <v>12507</v>
      </c>
      <c r="F26" s="6">
        <f t="shared" si="0"/>
        <v>12087</v>
      </c>
      <c r="G26" s="7">
        <f t="shared" si="0"/>
        <v>16443.886290326671</v>
      </c>
      <c r="H26" s="7">
        <f t="shared" si="0"/>
        <v>19716.205621108304</v>
      </c>
      <c r="I26" s="7">
        <f t="shared" si="0"/>
        <v>21381.248913054682</v>
      </c>
      <c r="J26" s="7">
        <f t="shared" si="0"/>
        <v>23187.903119501119</v>
      </c>
      <c r="K26" s="7">
        <f t="shared" si="0"/>
        <v>25148.21216218976</v>
      </c>
      <c r="L26" s="7">
        <f t="shared" si="0"/>
        <v>27275.244291047144</v>
      </c>
    </row>
    <row r="27" spans="1:12" x14ac:dyDescent="0.25">
      <c r="A27" s="3" t="s">
        <v>82</v>
      </c>
      <c r="B27" s="4">
        <v>-4625</v>
      </c>
      <c r="C27" s="4">
        <v>-5207</v>
      </c>
      <c r="D27" s="4">
        <v>-5518</v>
      </c>
      <c r="E27" s="4">
        <v>-5318</v>
      </c>
      <c r="F27" s="4">
        <v>-4415</v>
      </c>
      <c r="G27" s="11">
        <f>'QTR CF'!R27+'QTR CF'!S27+'QTR CF'!T27+'QTR CF'!U27</f>
        <v>-2343.0143981248953</v>
      </c>
      <c r="H27" s="11">
        <f>'QTR CF'!V27+'QTR CF'!W27+'QTR CF'!X27+'QTR CF'!Y27</f>
        <v>-2542.2863409086631</v>
      </c>
      <c r="I27" s="11">
        <f>'QTR CF'!Z27+'QTR CF'!AA27+'QTR CF'!AB27+'QTR CF'!AC27</f>
        <v>-2758.506240654453</v>
      </c>
      <c r="J27" s="11">
        <f>'QTR CF'!AD27+'QTR CF'!AE27+'QTR CF'!AF27+'QTR CF'!AG27</f>
        <v>-2993.1155107452723</v>
      </c>
      <c r="K27" s="11">
        <f>'QTR CF'!AH27+'QTR CF'!AI27+'QTR CF'!AJ27+'QTR CF'!AK27</f>
        <v>-3247.67815589153</v>
      </c>
      <c r="L27" s="11">
        <f>'QTR CF'!AL27+'QTR CF'!AM27+'QTR CF'!AN27+'QTR CF'!AO27</f>
        <v>-3523.8911984485198</v>
      </c>
    </row>
    <row r="28" spans="1:12" x14ac:dyDescent="0.25">
      <c r="A28" s="3" t="s">
        <v>83</v>
      </c>
      <c r="B28" s="4">
        <v>166</v>
      </c>
      <c r="C28" s="4">
        <v>251</v>
      </c>
      <c r="D28" s="4">
        <v>198</v>
      </c>
      <c r="E28" s="4">
        <v>342</v>
      </c>
      <c r="F28" s="4">
        <v>528</v>
      </c>
      <c r="G28" s="11">
        <f>'QTR CF'!R28+'QTR CF'!S28+'QTR CF'!T28+'QTR CF'!U28</f>
        <v>13</v>
      </c>
      <c r="H28" s="11">
        <f>'QTR CF'!V28+'QTR CF'!W28+'QTR CF'!X28+'QTR CF'!Y28</f>
        <v>0</v>
      </c>
      <c r="I28" s="11">
        <f>'QTR CF'!Z28+'QTR CF'!AA28+'QTR CF'!AB28+'QTR CF'!AC28</f>
        <v>0</v>
      </c>
      <c r="J28" s="11">
        <f>'QTR CF'!AD28+'QTR CF'!AE28+'QTR CF'!AF28+'QTR CF'!AG28</f>
        <v>0</v>
      </c>
      <c r="K28" s="11">
        <f>'QTR CF'!AH28+'QTR CF'!AI28+'QTR CF'!AJ28+'QTR CF'!AK28</f>
        <v>0</v>
      </c>
      <c r="L28" s="11">
        <f>'QTR CF'!AL28+'QTR CF'!AM28+'QTR CF'!AN28+'QTR CF'!AO28</f>
        <v>0</v>
      </c>
    </row>
    <row r="29" spans="1:12" x14ac:dyDescent="0.25">
      <c r="A29" s="3" t="s">
        <v>84</v>
      </c>
      <c r="B29" s="4">
        <v>-61</v>
      </c>
      <c r="C29" s="4">
        <v>-873</v>
      </c>
      <c r="D29" s="4">
        <v>-314</v>
      </c>
      <c r="E29" s="4">
        <v>-256</v>
      </c>
      <c r="F29" s="4">
        <v>-3391</v>
      </c>
      <c r="G29" s="11">
        <f>'QTR CF'!R29+'QTR CF'!S29+'QTR CF'!T29+'QTR CF'!U29</f>
        <v>-67</v>
      </c>
      <c r="H29" s="11">
        <f>'QTR CF'!V29+'QTR CF'!W29+'QTR CF'!X29+'QTR CF'!Y29</f>
        <v>0</v>
      </c>
      <c r="I29" s="11">
        <f>'QTR CF'!Z29+'QTR CF'!AA29+'QTR CF'!AB29+'QTR CF'!AC29</f>
        <v>0</v>
      </c>
      <c r="J29" s="11">
        <f>'QTR CF'!AD29+'QTR CF'!AE29+'QTR CF'!AF29+'QTR CF'!AG29</f>
        <v>0</v>
      </c>
      <c r="K29" s="11">
        <f>'QTR CF'!AH29+'QTR CF'!AI29+'QTR CF'!AJ29+'QTR CF'!AK29</f>
        <v>0</v>
      </c>
      <c r="L29" s="11">
        <f>'QTR CF'!AL29+'QTR CF'!AM29+'QTR CF'!AN29+'QTR CF'!AO29</f>
        <v>0</v>
      </c>
    </row>
    <row r="30" spans="1:12" x14ac:dyDescent="0.25">
      <c r="A30" s="3" t="s">
        <v>85</v>
      </c>
      <c r="B30" s="4">
        <v>0</v>
      </c>
      <c r="C30" s="4">
        <v>3456</v>
      </c>
      <c r="D30" s="4">
        <v>0</v>
      </c>
      <c r="E30" s="4">
        <v>0</v>
      </c>
      <c r="F30" s="4">
        <v>0</v>
      </c>
      <c r="G30" s="11">
        <f>'QTR CF'!R30+'QTR CF'!S30+'QTR CF'!T30+'QTR CF'!U30</f>
        <v>0</v>
      </c>
      <c r="H30" s="11">
        <f>'QTR CF'!V30+'QTR CF'!W30+'QTR CF'!X30+'QTR CF'!Y30</f>
        <v>0</v>
      </c>
      <c r="I30" s="11">
        <f>'QTR CF'!Z30+'QTR CF'!AA30+'QTR CF'!AB30+'QTR CF'!AC30</f>
        <v>0</v>
      </c>
      <c r="J30" s="11">
        <f>'QTR CF'!AD30+'QTR CF'!AE30+'QTR CF'!AF30+'QTR CF'!AG30</f>
        <v>0</v>
      </c>
      <c r="K30" s="11">
        <f>'QTR CF'!AH30+'QTR CF'!AI30+'QTR CF'!AJ30+'QTR CF'!AK30</f>
        <v>0</v>
      </c>
      <c r="L30" s="11">
        <f>'QTR CF'!AL30+'QTR CF'!AM30+'QTR CF'!AN30+'QTR CF'!AO30</f>
        <v>0</v>
      </c>
    </row>
    <row r="31" spans="1:12" x14ac:dyDescent="0.25">
      <c r="A31" s="3" t="s">
        <v>86</v>
      </c>
      <c r="B31" s="4">
        <v>169</v>
      </c>
      <c r="C31" s="4">
        <v>49</v>
      </c>
      <c r="D31" s="4">
        <v>75</v>
      </c>
      <c r="E31" s="4">
        <v>166</v>
      </c>
      <c r="F31" s="4">
        <v>39</v>
      </c>
      <c r="G31" s="11">
        <f>'QTR CF'!R31+'QTR CF'!S31+'QTR CF'!T31+'QTR CF'!U31</f>
        <v>0</v>
      </c>
      <c r="H31" s="11">
        <f>'QTR CF'!V31+'QTR CF'!W31+'QTR CF'!X31+'QTR CF'!Y31</f>
        <v>0</v>
      </c>
      <c r="I31" s="11">
        <f>'QTR CF'!Z31+'QTR CF'!AA31+'QTR CF'!AB31+'QTR CF'!AC31</f>
        <v>0</v>
      </c>
      <c r="J31" s="11">
        <f>'QTR CF'!AD31+'QTR CF'!AE31+'QTR CF'!AF31+'QTR CF'!AG31</f>
        <v>0</v>
      </c>
      <c r="K31" s="11">
        <f>'QTR CF'!AH31+'QTR CF'!AI31+'QTR CF'!AJ31+'QTR CF'!AK31</f>
        <v>0</v>
      </c>
      <c r="L31" s="11">
        <f>'QTR CF'!AL31+'QTR CF'!AM31+'QTR CF'!AN31+'QTR CF'!AO31</f>
        <v>0</v>
      </c>
    </row>
    <row r="32" spans="1:12" x14ac:dyDescent="0.25">
      <c r="A32" s="3" t="s">
        <v>87</v>
      </c>
      <c r="B32" s="4">
        <v>1077</v>
      </c>
      <c r="C32" s="4">
        <v>-117</v>
      </c>
      <c r="D32" s="4">
        <v>16</v>
      </c>
      <c r="E32" s="4">
        <v>-420</v>
      </c>
      <c r="F32" s="4">
        <v>460</v>
      </c>
      <c r="G32" s="11">
        <f>'QTR CF'!R32+'QTR CF'!S32+'QTR CF'!T32+'QTR CF'!U32</f>
        <v>5</v>
      </c>
      <c r="H32" s="11">
        <f>'QTR CF'!V32+'QTR CF'!W32+'QTR CF'!X32+'QTR CF'!Y32</f>
        <v>0</v>
      </c>
      <c r="I32" s="11">
        <f>'QTR CF'!Z32+'QTR CF'!AA32+'QTR CF'!AB32+'QTR CF'!AC32</f>
        <v>0</v>
      </c>
      <c r="J32" s="11">
        <f>'QTR CF'!AD32+'QTR CF'!AE32+'QTR CF'!AF32+'QTR CF'!AG32</f>
        <v>0</v>
      </c>
      <c r="K32" s="11">
        <f>'QTR CF'!AH32+'QTR CF'!AI32+'QTR CF'!AJ32+'QTR CF'!AK32</f>
        <v>0</v>
      </c>
      <c r="L32" s="11">
        <f>'QTR CF'!AL32+'QTR CF'!AM32+'QTR CF'!AN32+'QTR CF'!AO32</f>
        <v>0</v>
      </c>
    </row>
    <row r="33" spans="1:12" x14ac:dyDescent="0.25">
      <c r="A33" s="3" t="s">
        <v>88</v>
      </c>
      <c r="B33" s="4">
        <v>5</v>
      </c>
      <c r="C33" s="4">
        <v>11</v>
      </c>
      <c r="D33" s="4">
        <v>48</v>
      </c>
      <c r="E33" s="4">
        <v>14</v>
      </c>
      <c r="F33" s="4">
        <v>-100</v>
      </c>
      <c r="G33" s="11">
        <f>'QTR CF'!R33+'QTR CF'!S33+'QTR CF'!T33+'QTR CF'!U33</f>
        <v>19</v>
      </c>
      <c r="H33" s="11">
        <f>'QTR CF'!V33+'QTR CF'!W33+'QTR CF'!X33+'QTR CF'!Y33</f>
        <v>0</v>
      </c>
      <c r="I33" s="11">
        <f>'QTR CF'!Z33+'QTR CF'!AA33+'QTR CF'!AB33+'QTR CF'!AC33</f>
        <v>0</v>
      </c>
      <c r="J33" s="11">
        <f>'QTR CF'!AD33+'QTR CF'!AE33+'QTR CF'!AF33+'QTR CF'!AG33</f>
        <v>0</v>
      </c>
      <c r="K33" s="11">
        <f>'QTR CF'!AH33+'QTR CF'!AI33+'QTR CF'!AJ33+'QTR CF'!AK33</f>
        <v>0</v>
      </c>
      <c r="L33" s="11">
        <f>'QTR CF'!AL33+'QTR CF'!AM33+'QTR CF'!AN33+'QTR CF'!AO33</f>
        <v>0</v>
      </c>
    </row>
    <row r="34" spans="1:12" x14ac:dyDescent="0.25">
      <c r="A34" s="3" t="s">
        <v>89</v>
      </c>
      <c r="B34" s="6">
        <f t="shared" ref="B34:L34" si="1">SUM(B27:B33)</f>
        <v>-3269</v>
      </c>
      <c r="C34" s="6">
        <f t="shared" si="1"/>
        <v>-2430</v>
      </c>
      <c r="D34" s="6">
        <f t="shared" si="1"/>
        <v>-5495</v>
      </c>
      <c r="E34" s="6">
        <f t="shared" si="1"/>
        <v>-5472</v>
      </c>
      <c r="F34" s="6">
        <f t="shared" si="1"/>
        <v>-6879</v>
      </c>
      <c r="G34" s="7">
        <f t="shared" si="1"/>
        <v>-2373.0143981248953</v>
      </c>
      <c r="H34" s="7">
        <f t="shared" si="1"/>
        <v>-2542.2863409086631</v>
      </c>
      <c r="I34" s="7">
        <f t="shared" si="1"/>
        <v>-2758.506240654453</v>
      </c>
      <c r="J34" s="7">
        <f t="shared" si="1"/>
        <v>-2993.1155107452723</v>
      </c>
      <c r="K34" s="7">
        <f t="shared" si="1"/>
        <v>-3247.67815589153</v>
      </c>
      <c r="L34" s="7">
        <f t="shared" si="1"/>
        <v>-3523.8911984485198</v>
      </c>
    </row>
    <row r="35" spans="1:12" x14ac:dyDescent="0.25">
      <c r="A35" s="3" t="s">
        <v>90</v>
      </c>
      <c r="B35" s="4">
        <v>4122</v>
      </c>
      <c r="C35" s="4">
        <v>3377</v>
      </c>
      <c r="D35" s="4">
        <v>5482</v>
      </c>
      <c r="E35" s="4">
        <v>4042</v>
      </c>
      <c r="F35" s="4">
        <v>8189</v>
      </c>
      <c r="G35" s="11">
        <f>'QTR CF'!R35+'QTR CF'!S35+'QTR CF'!T35+'QTR CF'!U35</f>
        <v>2964</v>
      </c>
      <c r="H35" s="11">
        <f>'QTR CF'!V35+'QTR CF'!W35+'QTR CF'!X35+'QTR CF'!Y35</f>
        <v>0</v>
      </c>
      <c r="I35" s="11">
        <f>'QTR CF'!Z35+'QTR CF'!AA35+'QTR CF'!AB35+'QTR CF'!AC35</f>
        <v>0</v>
      </c>
      <c r="J35" s="11">
        <f>'QTR CF'!AD35+'QTR CF'!AE35+'QTR CF'!AF35+'QTR CF'!AG35</f>
        <v>0</v>
      </c>
      <c r="K35" s="11">
        <f>'QTR CF'!AH35+'QTR CF'!AI35+'QTR CF'!AJ35+'QTR CF'!AK35</f>
        <v>0</v>
      </c>
      <c r="L35" s="11">
        <f>'QTR CF'!AL35+'QTR CF'!AM35+'QTR CF'!AN35+'QTR CF'!AO35</f>
        <v>0</v>
      </c>
    </row>
    <row r="36" spans="1:12" x14ac:dyDescent="0.25">
      <c r="A36" s="3" t="s">
        <v>91</v>
      </c>
      <c r="B36" s="4">
        <v>-8299</v>
      </c>
      <c r="C36" s="4">
        <v>-4174</v>
      </c>
      <c r="D36" s="4">
        <v>-3005</v>
      </c>
      <c r="E36" s="4">
        <v>-3886</v>
      </c>
      <c r="F36" s="4">
        <v>-4082</v>
      </c>
      <c r="G36" s="11">
        <f>'QTR CF'!R36+'QTR CF'!S36+'QTR CF'!T36+'QTR CF'!U36</f>
        <v>-1629</v>
      </c>
      <c r="H36" s="11">
        <f>'QTR CF'!V36+'QTR CF'!W36+'QTR CF'!X36+'QTR CF'!Y36</f>
        <v>0</v>
      </c>
      <c r="I36" s="11">
        <f>'QTR CF'!Z36+'QTR CF'!AA36+'QTR CF'!AB36+'QTR CF'!AC36</f>
        <v>0</v>
      </c>
      <c r="J36" s="11">
        <f>'QTR CF'!AD36+'QTR CF'!AE36+'QTR CF'!AF36+'QTR CF'!AG36</f>
        <v>0</v>
      </c>
      <c r="K36" s="11">
        <f>'QTR CF'!AH36+'QTR CF'!AI36+'QTR CF'!AJ36+'QTR CF'!AK36</f>
        <v>0</v>
      </c>
      <c r="L36" s="11">
        <f>'QTR CF'!AL36+'QTR CF'!AM36+'QTR CF'!AN36+'QTR CF'!AO36</f>
        <v>0</v>
      </c>
    </row>
    <row r="37" spans="1:12" x14ac:dyDescent="0.25">
      <c r="A37" s="3" t="s">
        <v>92</v>
      </c>
      <c r="B37" s="4">
        <v>8</v>
      </c>
      <c r="C37" s="4">
        <v>1969</v>
      </c>
      <c r="D37" s="4">
        <v>5428</v>
      </c>
      <c r="E37" s="4">
        <v>5786</v>
      </c>
      <c r="F37" s="4">
        <v>6391</v>
      </c>
      <c r="G37" s="11">
        <f>'QTR CF'!R37+'QTR CF'!S37+'QTR CF'!T37+'QTR CF'!U37</f>
        <v>1937</v>
      </c>
      <c r="H37" s="11">
        <f>'QTR CF'!V37+'QTR CF'!W37+'QTR CF'!X37+'QTR CF'!Y37</f>
        <v>0</v>
      </c>
      <c r="I37" s="11">
        <f>'QTR CF'!Z37+'QTR CF'!AA37+'QTR CF'!AB37+'QTR CF'!AC37</f>
        <v>0</v>
      </c>
      <c r="J37" s="11">
        <f>'QTR CF'!AD37+'QTR CF'!AE37+'QTR CF'!AF37+'QTR CF'!AG37</f>
        <v>0</v>
      </c>
      <c r="K37" s="11">
        <f>'QTR CF'!AH37+'QTR CF'!AI37+'QTR CF'!AJ37+'QTR CF'!AK37</f>
        <v>0</v>
      </c>
      <c r="L37" s="11">
        <f>'QTR CF'!AL37+'QTR CF'!AM37+'QTR CF'!AN37+'QTR CF'!AO37</f>
        <v>0</v>
      </c>
    </row>
    <row r="38" spans="1:12" x14ac:dyDescent="0.25">
      <c r="A38" s="3" t="s">
        <v>93</v>
      </c>
      <c r="B38" s="4">
        <v>-397</v>
      </c>
      <c r="C38" s="4">
        <v>-1951</v>
      </c>
      <c r="D38" s="4">
        <v>-3106</v>
      </c>
      <c r="E38" s="4">
        <v>-5639</v>
      </c>
      <c r="F38" s="4">
        <v>-7920</v>
      </c>
      <c r="G38" s="11">
        <f>'QTR CF'!R38+'QTR CF'!S38+'QTR CF'!T38+'QTR CF'!U38</f>
        <v>-676</v>
      </c>
      <c r="H38" s="11">
        <f>'QTR CF'!V38+'QTR CF'!W38+'QTR CF'!X38+'QTR CF'!Y38</f>
        <v>0</v>
      </c>
      <c r="I38" s="11">
        <f>'QTR CF'!Z38+'QTR CF'!AA38+'QTR CF'!AB38+'QTR CF'!AC38</f>
        <v>0</v>
      </c>
      <c r="J38" s="11">
        <f>'QTR CF'!AD38+'QTR CF'!AE38+'QTR CF'!AF38+'QTR CF'!AG38</f>
        <v>0</v>
      </c>
      <c r="K38" s="11">
        <f>'QTR CF'!AH38+'QTR CF'!AI38+'QTR CF'!AJ38+'QTR CF'!AK38</f>
        <v>0</v>
      </c>
      <c r="L38" s="11">
        <f>'QTR CF'!AL38+'QTR CF'!AM38+'QTR CF'!AN38+'QTR CF'!AO38</f>
        <v>0</v>
      </c>
    </row>
    <row r="39" spans="1:12" x14ac:dyDescent="0.25">
      <c r="A39" s="3" t="s">
        <v>94</v>
      </c>
      <c r="B39" s="4">
        <v>434</v>
      </c>
      <c r="C39" s="4">
        <v>-31</v>
      </c>
      <c r="D39" s="4">
        <v>-29</v>
      </c>
      <c r="E39" s="4">
        <v>392</v>
      </c>
      <c r="F39" s="4">
        <v>1170</v>
      </c>
      <c r="G39" s="11">
        <f>'QTR CF'!R39+'QTR CF'!S39+'QTR CF'!T39+'QTR CF'!U39</f>
        <v>1198</v>
      </c>
      <c r="H39" s="11">
        <f>'QTR CF'!V39+'QTR CF'!W39+'QTR CF'!X39+'QTR CF'!Y39</f>
        <v>0</v>
      </c>
      <c r="I39" s="11">
        <f>'QTR CF'!Z39+'QTR CF'!AA39+'QTR CF'!AB39+'QTR CF'!AC39</f>
        <v>0</v>
      </c>
      <c r="J39" s="11">
        <f>'QTR CF'!AD39+'QTR CF'!AE39+'QTR CF'!AF39+'QTR CF'!AG39</f>
        <v>0</v>
      </c>
      <c r="K39" s="11">
        <f>'QTR CF'!AH39+'QTR CF'!AI39+'QTR CF'!AJ39+'QTR CF'!AK39</f>
        <v>0</v>
      </c>
      <c r="L39" s="11">
        <f>'QTR CF'!AL39+'QTR CF'!AM39+'QTR CF'!AN39+'QTR CF'!AO39</f>
        <v>0</v>
      </c>
    </row>
    <row r="40" spans="1:12" x14ac:dyDescent="0.25">
      <c r="A40" s="3" t="s">
        <v>95</v>
      </c>
      <c r="B40" s="4">
        <v>-773</v>
      </c>
      <c r="C40" s="4">
        <v>0</v>
      </c>
      <c r="D40" s="4">
        <v>0</v>
      </c>
      <c r="E40" s="4">
        <v>0</v>
      </c>
      <c r="F40" s="4">
        <v>0</v>
      </c>
      <c r="G40" s="11">
        <f>'QTR CF'!R40+'QTR CF'!S40+'QTR CF'!T40+'QTR CF'!U40</f>
        <v>0</v>
      </c>
      <c r="H40" s="11">
        <f>'QTR CF'!V40+'QTR CF'!W40+'QTR CF'!X40+'QTR CF'!Y40</f>
        <v>0</v>
      </c>
      <c r="I40" s="11">
        <f>'QTR CF'!Z40+'QTR CF'!AA40+'QTR CF'!AB40+'QTR CF'!AC40</f>
        <v>0</v>
      </c>
      <c r="J40" s="11">
        <f>'QTR CF'!AD40+'QTR CF'!AE40+'QTR CF'!AF40+'QTR CF'!AG40</f>
        <v>0</v>
      </c>
      <c r="K40" s="11">
        <f>'QTR CF'!AH40+'QTR CF'!AI40+'QTR CF'!AJ40+'QTR CF'!AK40</f>
        <v>0</v>
      </c>
      <c r="L40" s="11">
        <f>'QTR CF'!AL40+'QTR CF'!AM40+'QTR CF'!AN40+'QTR CF'!AO40</f>
        <v>0</v>
      </c>
    </row>
    <row r="41" spans="1:12" x14ac:dyDescent="0.25">
      <c r="A41" s="3" t="s">
        <v>96</v>
      </c>
      <c r="B41" s="4">
        <v>-5815</v>
      </c>
      <c r="C41" s="4">
        <v>-6172</v>
      </c>
      <c r="D41" s="4">
        <v>-6682</v>
      </c>
      <c r="E41" s="4">
        <v>-7229</v>
      </c>
      <c r="F41" s="4">
        <v>-7638</v>
      </c>
      <c r="G41" s="11">
        <f>'QTR CF'!R41+'QTR CF'!S41+'QTR CF'!T41+'QTR CF'!U41</f>
        <v>-10504.79394954061</v>
      </c>
      <c r="H41" s="11">
        <f>'QTR CF'!V41+'QTR CF'!W41+'QTR CF'!X41+'QTR CF'!Y41</f>
        <v>-11452.942578827446</v>
      </c>
      <c r="I41" s="11">
        <f>'QTR CF'!Z41+'QTR CF'!AA41+'QTR CF'!AB41+'QTR CF'!AC41</f>
        <v>-12481.730669637423</v>
      </c>
      <c r="J41" s="11">
        <f>'QTR CF'!AD41+'QTR CF'!AE41+'QTR CF'!AF41+'QTR CF'!AG41</f>
        <v>-13598.016558895655</v>
      </c>
      <c r="K41" s="11">
        <f>'QTR CF'!AH41+'QTR CF'!AI41+'QTR CF'!AJ41+'QTR CF'!AK41</f>
        <v>-14809.241880891743</v>
      </c>
      <c r="L41" s="11">
        <f>'QTR CF'!AL41+'QTR CF'!AM41+'QTR CF'!AN41+'QTR CF'!AO41</f>
        <v>-16123.481176364148</v>
      </c>
    </row>
    <row r="42" spans="1:12" x14ac:dyDescent="0.25">
      <c r="A42" s="3" t="s">
        <v>97</v>
      </c>
      <c r="B42" s="4">
        <v>-106</v>
      </c>
      <c r="C42" s="4">
        <v>-1500</v>
      </c>
      <c r="D42" s="4">
        <v>-1000</v>
      </c>
      <c r="E42" s="4">
        <v>-1000</v>
      </c>
      <c r="F42" s="4">
        <v>-1000</v>
      </c>
      <c r="G42" s="11">
        <f>'QTR CF'!R42+'QTR CF'!S42+'QTR CF'!T42+'QTR CF'!U42</f>
        <v>-182</v>
      </c>
      <c r="H42" s="11">
        <f>'QTR CF'!V42+'QTR CF'!W42+'QTR CF'!X42+'QTR CF'!Y42</f>
        <v>0</v>
      </c>
      <c r="I42" s="11">
        <f>'QTR CF'!Z42+'QTR CF'!AA42+'QTR CF'!AB42+'QTR CF'!AC42</f>
        <v>0</v>
      </c>
      <c r="J42" s="11">
        <f>'QTR CF'!AD42+'QTR CF'!AE42+'QTR CF'!AF42+'QTR CF'!AG42</f>
        <v>0</v>
      </c>
      <c r="K42" s="11">
        <f>'QTR CF'!AH42+'QTR CF'!AI42+'QTR CF'!AJ42+'QTR CF'!AK42</f>
        <v>0</v>
      </c>
      <c r="L42" s="11">
        <f>'QTR CF'!AL42+'QTR CF'!AM42+'QTR CF'!AN42+'QTR CF'!AO42</f>
        <v>0</v>
      </c>
    </row>
    <row r="43" spans="1:12" x14ac:dyDescent="0.25">
      <c r="A43" s="3" t="s">
        <v>98</v>
      </c>
      <c r="B43" s="4">
        <v>185</v>
      </c>
      <c r="C43" s="4">
        <v>138</v>
      </c>
      <c r="D43" s="4">
        <v>116</v>
      </c>
      <c r="E43" s="4">
        <v>166</v>
      </c>
      <c r="F43" s="4">
        <v>97</v>
      </c>
      <c r="G43" s="11">
        <f>'QTR CF'!R43+'QTR CF'!S43+'QTR CF'!T43+'QTR CF'!U43</f>
        <v>93</v>
      </c>
      <c r="H43" s="11">
        <f>'QTR CF'!V43+'QTR CF'!W43+'QTR CF'!X43+'QTR CF'!Y43</f>
        <v>0</v>
      </c>
      <c r="I43" s="11">
        <f>'QTR CF'!Z43+'QTR CF'!AA43+'QTR CF'!AB43+'QTR CF'!AC43</f>
        <v>0</v>
      </c>
      <c r="J43" s="11">
        <f>'QTR CF'!AD43+'QTR CF'!AE43+'QTR CF'!AF43+'QTR CF'!AG43</f>
        <v>0</v>
      </c>
      <c r="K43" s="11">
        <f>'QTR CF'!AH43+'QTR CF'!AI43+'QTR CF'!AJ43+'QTR CF'!AK43</f>
        <v>0</v>
      </c>
      <c r="L43" s="11">
        <f>'QTR CF'!AL43+'QTR CF'!AM43+'QTR CF'!AN43+'QTR CF'!AO43</f>
        <v>0</v>
      </c>
    </row>
    <row r="44" spans="1:12" x14ac:dyDescent="0.25">
      <c r="A44" s="3" t="s">
        <v>99</v>
      </c>
      <c r="B44" s="4">
        <v>-92</v>
      </c>
      <c r="C44" s="4">
        <v>-107</v>
      </c>
      <c r="D44" s="4">
        <v>-140</v>
      </c>
      <c r="E44" s="4">
        <v>-135</v>
      </c>
      <c r="F44" s="4">
        <v>-113</v>
      </c>
      <c r="G44" s="11">
        <f>'QTR CF'!R44+'QTR CF'!S44+'QTR CF'!T44+'QTR CF'!U44</f>
        <v>-76</v>
      </c>
      <c r="H44" s="11">
        <f>'QTR CF'!V44+'QTR CF'!W44+'QTR CF'!X44+'QTR CF'!Y44</f>
        <v>0</v>
      </c>
      <c r="I44" s="11">
        <f>'QTR CF'!Z44+'QTR CF'!AA44+'QTR CF'!AB44+'QTR CF'!AC44</f>
        <v>0</v>
      </c>
      <c r="J44" s="11">
        <f>'QTR CF'!AD44+'QTR CF'!AE44+'QTR CF'!AF44+'QTR CF'!AG44</f>
        <v>0</v>
      </c>
      <c r="K44" s="11">
        <f>'QTR CF'!AH44+'QTR CF'!AI44+'QTR CF'!AJ44+'QTR CF'!AK44</f>
        <v>0</v>
      </c>
      <c r="L44" s="11">
        <f>'QTR CF'!AL44+'QTR CF'!AM44+'QTR CF'!AN44+'QTR CF'!AO44</f>
        <v>0</v>
      </c>
    </row>
    <row r="45" spans="1:12" x14ac:dyDescent="0.25">
      <c r="A45" s="3" t="s">
        <v>100</v>
      </c>
      <c r="B45" s="4">
        <v>-47</v>
      </c>
      <c r="C45" s="4">
        <v>-72</v>
      </c>
      <c r="D45" s="4">
        <v>-73</v>
      </c>
      <c r="E45" s="4">
        <v>-53</v>
      </c>
      <c r="F45" s="4">
        <v>-73</v>
      </c>
      <c r="G45" s="11">
        <f>'QTR CF'!R45+'QTR CF'!S45+'QTR CF'!T45+'QTR CF'!U45</f>
        <v>-1</v>
      </c>
      <c r="H45" s="11">
        <f>'QTR CF'!V45+'QTR CF'!W45+'QTR CF'!X45+'QTR CF'!Y45</f>
        <v>0</v>
      </c>
      <c r="I45" s="11">
        <f>'QTR CF'!Z45+'QTR CF'!AA45+'QTR CF'!AB45+'QTR CF'!AC45</f>
        <v>0</v>
      </c>
      <c r="J45" s="11">
        <f>'QTR CF'!AD45+'QTR CF'!AE45+'QTR CF'!AF45+'QTR CF'!AG45</f>
        <v>0</v>
      </c>
      <c r="K45" s="11">
        <f>'QTR CF'!AH45+'QTR CF'!AI45+'QTR CF'!AJ45+'QTR CF'!AK45</f>
        <v>0</v>
      </c>
      <c r="L45" s="11">
        <f>'QTR CF'!AL45+'QTR CF'!AM45+'QTR CF'!AN45+'QTR CF'!AO45</f>
        <v>0</v>
      </c>
    </row>
    <row r="46" spans="1:12" x14ac:dyDescent="0.25">
      <c r="A46" s="3" t="s">
        <v>101</v>
      </c>
      <c r="B46" s="6">
        <f t="shared" ref="B46:L46" si="2">SUM(B35:B45)</f>
        <v>-10780</v>
      </c>
      <c r="C46" s="6">
        <f t="shared" si="2"/>
        <v>-8523</v>
      </c>
      <c r="D46" s="6">
        <f t="shared" si="2"/>
        <v>-3009</v>
      </c>
      <c r="E46" s="6">
        <f t="shared" si="2"/>
        <v>-7556</v>
      </c>
      <c r="F46" s="6">
        <f t="shared" si="2"/>
        <v>-4979</v>
      </c>
      <c r="G46" s="7">
        <f t="shared" si="2"/>
        <v>-6876.7939495406099</v>
      </c>
      <c r="H46" s="7">
        <f t="shared" si="2"/>
        <v>-11452.942578827446</v>
      </c>
      <c r="I46" s="7">
        <f t="shared" si="2"/>
        <v>-12481.730669637423</v>
      </c>
      <c r="J46" s="7">
        <f t="shared" si="2"/>
        <v>-13598.016558895655</v>
      </c>
      <c r="K46" s="7">
        <f t="shared" si="2"/>
        <v>-14809.241880891743</v>
      </c>
      <c r="L46" s="7">
        <f t="shared" si="2"/>
        <v>-16123.481176364148</v>
      </c>
    </row>
    <row r="47" spans="1:12" x14ac:dyDescent="0.25">
      <c r="A47" s="3" t="s">
        <v>102</v>
      </c>
      <c r="B47" s="4">
        <v>-114</v>
      </c>
      <c r="C47" s="4">
        <v>-465</v>
      </c>
      <c r="D47" s="4">
        <v>-277</v>
      </c>
      <c r="E47" s="4">
        <v>-687</v>
      </c>
      <c r="F47" s="4">
        <v>422</v>
      </c>
      <c r="G47" s="11">
        <f>'QTR CF'!R47+'QTR CF'!S47+'QTR CF'!T47+'QTR CF'!U47</f>
        <v>484</v>
      </c>
      <c r="H47" s="11">
        <f>'QTR CF'!V47+'QTR CF'!W47+'QTR CF'!X47+'QTR CF'!Y47</f>
        <v>484</v>
      </c>
      <c r="I47" s="11">
        <f>'QTR CF'!Z47+'QTR CF'!AA47+'QTR CF'!AB47+'QTR CF'!AC47</f>
        <v>484</v>
      </c>
      <c r="J47" s="11">
        <f>'QTR CF'!AD47+'QTR CF'!AE47+'QTR CF'!AF47+'QTR CF'!AG47</f>
        <v>484</v>
      </c>
      <c r="K47" s="11">
        <f>'QTR CF'!AH47+'QTR CF'!AI47+'QTR CF'!AJ47+'QTR CF'!AK47</f>
        <v>484</v>
      </c>
      <c r="L47" s="11">
        <f>'QTR CF'!AL47+'QTR CF'!AM47+'QTR CF'!AN47+'QTR CF'!AO47</f>
        <v>484</v>
      </c>
    </row>
    <row r="48" spans="1:12" x14ac:dyDescent="0.25">
      <c r="A48" s="3" t="s">
        <v>103</v>
      </c>
      <c r="B48" s="6">
        <f t="shared" ref="B48:L48" si="3">B26+B34+B46+B47</f>
        <v>-2547</v>
      </c>
      <c r="C48" s="6">
        <f t="shared" si="3"/>
        <v>-607</v>
      </c>
      <c r="D48" s="6">
        <f t="shared" si="3"/>
        <v>4661</v>
      </c>
      <c r="E48" s="6">
        <f t="shared" si="3"/>
        <v>-1208</v>
      </c>
      <c r="F48" s="6">
        <f t="shared" si="3"/>
        <v>651</v>
      </c>
      <c r="G48" s="7">
        <f t="shared" si="3"/>
        <v>7678.0779426611662</v>
      </c>
      <c r="H48" s="7">
        <f t="shared" si="3"/>
        <v>6204.9767013721939</v>
      </c>
      <c r="I48" s="7">
        <f t="shared" si="3"/>
        <v>6625.0120027628054</v>
      </c>
      <c r="J48" s="7">
        <f t="shared" si="3"/>
        <v>7080.7710498601919</v>
      </c>
      <c r="K48" s="7">
        <f t="shared" si="3"/>
        <v>7575.2921254064859</v>
      </c>
      <c r="L48" s="7">
        <f t="shared" si="3"/>
        <v>8111.8719162344751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4" width="13" customWidth="1"/>
  </cols>
  <sheetData>
    <row r="1" spans="1:14" x14ac:dyDescent="0.25">
      <c r="A1" s="1"/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" t="s">
        <v>109</v>
      </c>
      <c r="H1" s="2" t="s">
        <v>110</v>
      </c>
      <c r="I1" s="2" t="s">
        <v>111</v>
      </c>
      <c r="J1" s="2" t="s">
        <v>112</v>
      </c>
      <c r="K1" s="2" t="s">
        <v>113</v>
      </c>
      <c r="L1" s="2" t="s">
        <v>114</v>
      </c>
      <c r="M1" s="2" t="s">
        <v>115</v>
      </c>
      <c r="N1" s="2" t="s">
        <v>116</v>
      </c>
    </row>
    <row r="2" spans="1:14" x14ac:dyDescent="0.25">
      <c r="A2" s="3" t="s">
        <v>16</v>
      </c>
      <c r="B2" s="4">
        <v>16200</v>
      </c>
      <c r="C2" s="4">
        <v>36425</v>
      </c>
      <c r="D2" s="4">
        <v>58396</v>
      </c>
      <c r="E2" s="4">
        <v>17846</v>
      </c>
      <c r="F2" s="4">
        <v>40168</v>
      </c>
      <c r="G2" s="4">
        <v>63621</v>
      </c>
      <c r="H2" s="4">
        <v>18250</v>
      </c>
      <c r="I2" s="4">
        <v>40751</v>
      </c>
      <c r="J2" s="4">
        <v>64070</v>
      </c>
      <c r="K2" s="4">
        <v>17919</v>
      </c>
      <c r="L2" s="4">
        <v>40645</v>
      </c>
      <c r="M2" s="4">
        <v>64582</v>
      </c>
      <c r="N2" s="4">
        <v>19443</v>
      </c>
    </row>
    <row r="3" spans="1:14" x14ac:dyDescent="0.25">
      <c r="A3" s="3" t="s">
        <v>17</v>
      </c>
      <c r="B3" s="4">
        <v>-7433</v>
      </c>
      <c r="C3" s="4">
        <v>-16848</v>
      </c>
      <c r="D3" s="4">
        <v>-27156</v>
      </c>
      <c r="E3" s="4">
        <v>-7988</v>
      </c>
      <c r="F3" s="4">
        <v>-18109</v>
      </c>
      <c r="G3" s="4">
        <v>-28784</v>
      </c>
      <c r="H3" s="4">
        <v>-8248</v>
      </c>
      <c r="I3" s="4">
        <v>-18167</v>
      </c>
      <c r="J3" s="4">
        <v>-28563</v>
      </c>
      <c r="K3" s="4">
        <v>-7926</v>
      </c>
      <c r="L3" s="4">
        <v>-18230</v>
      </c>
      <c r="M3" s="4">
        <v>-29343</v>
      </c>
      <c r="N3" s="4">
        <v>-8712</v>
      </c>
    </row>
    <row r="4" spans="1:14" x14ac:dyDescent="0.25">
      <c r="A4" s="3" t="s">
        <v>18</v>
      </c>
      <c r="B4" s="6">
        <f t="shared" ref="B4:N4" si="0">B2+B3</f>
        <v>8767</v>
      </c>
      <c r="C4" s="6">
        <f t="shared" si="0"/>
        <v>19577</v>
      </c>
      <c r="D4" s="6">
        <f t="shared" si="0"/>
        <v>31240</v>
      </c>
      <c r="E4" s="6">
        <f t="shared" si="0"/>
        <v>9858</v>
      </c>
      <c r="F4" s="6">
        <f t="shared" si="0"/>
        <v>22059</v>
      </c>
      <c r="G4" s="6">
        <f t="shared" si="0"/>
        <v>34837</v>
      </c>
      <c r="H4" s="6">
        <f t="shared" si="0"/>
        <v>10002</v>
      </c>
      <c r="I4" s="6">
        <f t="shared" si="0"/>
        <v>22584</v>
      </c>
      <c r="J4" s="6">
        <f t="shared" si="0"/>
        <v>35507</v>
      </c>
      <c r="K4" s="6">
        <f t="shared" si="0"/>
        <v>9993</v>
      </c>
      <c r="L4" s="6">
        <f t="shared" si="0"/>
        <v>22415</v>
      </c>
      <c r="M4" s="6">
        <f t="shared" si="0"/>
        <v>35239</v>
      </c>
      <c r="N4" s="6">
        <f t="shared" si="0"/>
        <v>10731</v>
      </c>
    </row>
    <row r="5" spans="1:14" x14ac:dyDescent="0.25">
      <c r="A5" s="3" t="s">
        <v>19</v>
      </c>
      <c r="B5" s="4">
        <v>-6580</v>
      </c>
      <c r="C5" s="4">
        <v>-13967</v>
      </c>
      <c r="D5" s="4">
        <v>-22262</v>
      </c>
      <c r="E5" s="4">
        <v>-7229</v>
      </c>
      <c r="F5" s="4">
        <v>-15771</v>
      </c>
      <c r="G5" s="4">
        <v>-24528</v>
      </c>
      <c r="H5" s="4">
        <v>-7285</v>
      </c>
      <c r="I5" s="4">
        <v>-15819</v>
      </c>
      <c r="J5" s="4">
        <v>-24870</v>
      </c>
      <c r="K5" s="4">
        <v>-7410</v>
      </c>
      <c r="L5" s="4">
        <v>-16183</v>
      </c>
      <c r="M5" s="4">
        <v>-25305</v>
      </c>
      <c r="N5" s="4">
        <v>-7518</v>
      </c>
    </row>
    <row r="6" spans="1:14" x14ac:dyDescent="0.25">
      <c r="A6" s="3" t="s">
        <v>20</v>
      </c>
      <c r="B6" s="4">
        <v>-3322</v>
      </c>
      <c r="C6" s="4">
        <v>-3335</v>
      </c>
      <c r="D6" s="4">
        <v>-3321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</row>
    <row r="7" spans="1:14" x14ac:dyDescent="0.25">
      <c r="A7" s="3" t="s">
        <v>21</v>
      </c>
      <c r="B7" s="4">
        <v>-242</v>
      </c>
      <c r="C7" s="4">
        <v>-1601</v>
      </c>
      <c r="D7" s="4">
        <v>-1602</v>
      </c>
      <c r="E7" s="4">
        <v>0</v>
      </c>
      <c r="F7" s="4">
        <v>0</v>
      </c>
      <c r="G7" s="4">
        <v>-6</v>
      </c>
      <c r="H7" s="4">
        <v>0</v>
      </c>
      <c r="I7" s="4">
        <v>0</v>
      </c>
      <c r="J7" s="4">
        <v>0</v>
      </c>
      <c r="K7" s="4">
        <v>0</v>
      </c>
      <c r="L7" s="4">
        <v>-1860</v>
      </c>
      <c r="M7" s="4">
        <v>-1993</v>
      </c>
      <c r="N7" s="4">
        <v>0</v>
      </c>
    </row>
    <row r="8" spans="1:14" x14ac:dyDescent="0.25">
      <c r="A8" s="3" t="s">
        <v>22</v>
      </c>
      <c r="B8" s="6">
        <f t="shared" ref="B8:N8" si="1">B4+SUM(B5:B7)</f>
        <v>-1377</v>
      </c>
      <c r="C8" s="6">
        <f t="shared" si="1"/>
        <v>674</v>
      </c>
      <c r="D8" s="6">
        <f t="shared" si="1"/>
        <v>4055</v>
      </c>
      <c r="E8" s="6">
        <f t="shared" si="1"/>
        <v>2629</v>
      </c>
      <c r="F8" s="6">
        <f t="shared" si="1"/>
        <v>6288</v>
      </c>
      <c r="G8" s="6">
        <f t="shared" si="1"/>
        <v>10303</v>
      </c>
      <c r="H8" s="6">
        <f t="shared" si="1"/>
        <v>2717</v>
      </c>
      <c r="I8" s="6">
        <f t="shared" si="1"/>
        <v>6765</v>
      </c>
      <c r="J8" s="6">
        <f t="shared" si="1"/>
        <v>10637</v>
      </c>
      <c r="K8" s="6">
        <f t="shared" si="1"/>
        <v>2583</v>
      </c>
      <c r="L8" s="6">
        <f t="shared" si="1"/>
        <v>4372</v>
      </c>
      <c r="M8" s="6">
        <f t="shared" si="1"/>
        <v>7941</v>
      </c>
      <c r="N8" s="6">
        <f t="shared" si="1"/>
        <v>3213</v>
      </c>
    </row>
    <row r="9" spans="1:14" x14ac:dyDescent="0.25">
      <c r="A9" s="3" t="s">
        <v>23</v>
      </c>
      <c r="B9" s="4">
        <v>134</v>
      </c>
      <c r="C9" s="4">
        <v>132</v>
      </c>
      <c r="D9" s="4">
        <v>168</v>
      </c>
      <c r="E9" s="4">
        <v>61</v>
      </c>
      <c r="F9" s="4">
        <v>121</v>
      </c>
      <c r="G9" s="4">
        <v>183</v>
      </c>
      <c r="H9" s="4">
        <v>58</v>
      </c>
      <c r="I9" s="4">
        <v>114</v>
      </c>
      <c r="J9" s="4">
        <v>155</v>
      </c>
      <c r="K9" s="4">
        <v>23</v>
      </c>
      <c r="L9" s="4">
        <v>65</v>
      </c>
      <c r="M9" s="4">
        <v>91</v>
      </c>
      <c r="N9" s="4">
        <v>58</v>
      </c>
    </row>
    <row r="10" spans="1:14" x14ac:dyDescent="0.25">
      <c r="A10" s="3" t="s">
        <v>24</v>
      </c>
      <c r="B10" s="4">
        <v>-240</v>
      </c>
      <c r="C10" s="4">
        <v>-476</v>
      </c>
      <c r="D10" s="4">
        <v>-666</v>
      </c>
      <c r="E10" s="4">
        <v>-200</v>
      </c>
      <c r="F10" s="4">
        <v>-401</v>
      </c>
      <c r="G10" s="4">
        <v>-602</v>
      </c>
      <c r="H10" s="4">
        <v>-202</v>
      </c>
      <c r="I10" s="4">
        <v>-436</v>
      </c>
      <c r="J10" s="4">
        <v>-655</v>
      </c>
      <c r="K10" s="4">
        <v>-264</v>
      </c>
      <c r="L10" s="4">
        <v>-524</v>
      </c>
      <c r="M10" s="4">
        <v>-788</v>
      </c>
      <c r="N10" s="4">
        <v>-301</v>
      </c>
    </row>
    <row r="11" spans="1:14" x14ac:dyDescent="0.25">
      <c r="A11" s="3" t="s">
        <v>25</v>
      </c>
      <c r="B11" s="6">
        <f t="shared" ref="B11:N11" si="2">B8+SUM(B9:B10)</f>
        <v>-1483</v>
      </c>
      <c r="C11" s="6">
        <f t="shared" si="2"/>
        <v>330</v>
      </c>
      <c r="D11" s="6">
        <f t="shared" si="2"/>
        <v>3557</v>
      </c>
      <c r="E11" s="6">
        <f t="shared" si="2"/>
        <v>2490</v>
      </c>
      <c r="F11" s="6">
        <f t="shared" si="2"/>
        <v>6008</v>
      </c>
      <c r="G11" s="6">
        <f t="shared" si="2"/>
        <v>9884</v>
      </c>
      <c r="H11" s="6">
        <f t="shared" si="2"/>
        <v>2573</v>
      </c>
      <c r="I11" s="6">
        <f t="shared" si="2"/>
        <v>6443</v>
      </c>
      <c r="J11" s="6">
        <f t="shared" si="2"/>
        <v>10137</v>
      </c>
      <c r="K11" s="6">
        <f t="shared" si="2"/>
        <v>2342</v>
      </c>
      <c r="L11" s="6">
        <f t="shared" si="2"/>
        <v>3913</v>
      </c>
      <c r="M11" s="6">
        <f t="shared" si="2"/>
        <v>7244</v>
      </c>
      <c r="N11" s="6">
        <f t="shared" si="2"/>
        <v>2970</v>
      </c>
    </row>
    <row r="12" spans="1:14" x14ac:dyDescent="0.25">
      <c r="A12" s="3" t="s">
        <v>26</v>
      </c>
      <c r="B12" s="4">
        <v>-888</v>
      </c>
      <c r="C12" s="4">
        <v>-1281</v>
      </c>
      <c r="D12" s="4">
        <v>-1756</v>
      </c>
      <c r="E12" s="4">
        <v>-546</v>
      </c>
      <c r="F12" s="4">
        <v>-1293</v>
      </c>
      <c r="G12" s="4">
        <v>-2053</v>
      </c>
      <c r="H12" s="4">
        <v>-520</v>
      </c>
      <c r="I12" s="4">
        <v>-1296</v>
      </c>
      <c r="J12" s="4">
        <v>-2045</v>
      </c>
      <c r="K12" s="4">
        <v>-499</v>
      </c>
      <c r="L12" s="4">
        <v>-791</v>
      </c>
      <c r="M12" s="4">
        <v>-1504</v>
      </c>
      <c r="N12" s="4">
        <v>-632</v>
      </c>
    </row>
    <row r="13" spans="1:14" x14ac:dyDescent="0.25">
      <c r="A13" s="3" t="s">
        <v>27</v>
      </c>
      <c r="B13" s="6">
        <f t="shared" ref="B13:N13" si="3">B11+B12</f>
        <v>-2371</v>
      </c>
      <c r="C13" s="6">
        <f t="shared" si="3"/>
        <v>-951</v>
      </c>
      <c r="D13" s="6">
        <f t="shared" si="3"/>
        <v>1801</v>
      </c>
      <c r="E13" s="6">
        <f t="shared" si="3"/>
        <v>1944</v>
      </c>
      <c r="F13" s="6">
        <f t="shared" si="3"/>
        <v>4715</v>
      </c>
      <c r="G13" s="6">
        <f t="shared" si="3"/>
        <v>7831</v>
      </c>
      <c r="H13" s="6">
        <f t="shared" si="3"/>
        <v>2053</v>
      </c>
      <c r="I13" s="6">
        <f t="shared" si="3"/>
        <v>5147</v>
      </c>
      <c r="J13" s="6">
        <f t="shared" si="3"/>
        <v>8092</v>
      </c>
      <c r="K13" s="6">
        <f t="shared" si="3"/>
        <v>1843</v>
      </c>
      <c r="L13" s="6">
        <f t="shared" si="3"/>
        <v>3122</v>
      </c>
      <c r="M13" s="6">
        <f t="shared" si="3"/>
        <v>5740</v>
      </c>
      <c r="N13" s="6">
        <f t="shared" si="3"/>
        <v>2338</v>
      </c>
    </row>
    <row r="14" spans="1:14" x14ac:dyDescent="0.25">
      <c r="A14" s="3" t="s">
        <v>28</v>
      </c>
      <c r="B14" s="4">
        <v>12</v>
      </c>
      <c r="C14" s="4">
        <v>29</v>
      </c>
      <c r="D14" s="4">
        <v>51</v>
      </c>
      <c r="E14" s="4">
        <v>12</v>
      </c>
      <c r="F14" s="4">
        <v>35</v>
      </c>
      <c r="G14" s="4">
        <v>59</v>
      </c>
      <c r="H14" s="4">
        <v>11</v>
      </c>
      <c r="I14" s="4">
        <v>22</v>
      </c>
      <c r="J14" s="4">
        <v>37</v>
      </c>
      <c r="K14" s="4">
        <v>9</v>
      </c>
      <c r="L14" s="4">
        <v>25</v>
      </c>
      <c r="M14" s="4">
        <v>40</v>
      </c>
      <c r="N14" s="4">
        <v>11</v>
      </c>
    </row>
    <row r="15" spans="1:14" x14ac:dyDescent="0.25">
      <c r="A15" s="3" t="s">
        <v>29</v>
      </c>
      <c r="B15" s="6">
        <f t="shared" ref="B15:N15" si="4">B13-B14</f>
        <v>-2383</v>
      </c>
      <c r="C15" s="6">
        <f t="shared" si="4"/>
        <v>-980</v>
      </c>
      <c r="D15" s="6">
        <f t="shared" si="4"/>
        <v>1750</v>
      </c>
      <c r="E15" s="6">
        <f t="shared" si="4"/>
        <v>1932</v>
      </c>
      <c r="F15" s="6">
        <f t="shared" si="4"/>
        <v>4680</v>
      </c>
      <c r="G15" s="6">
        <f t="shared" si="4"/>
        <v>7772</v>
      </c>
      <c r="H15" s="6">
        <f t="shared" si="4"/>
        <v>2042</v>
      </c>
      <c r="I15" s="6">
        <f t="shared" si="4"/>
        <v>5125</v>
      </c>
      <c r="J15" s="6">
        <f t="shared" si="4"/>
        <v>8055</v>
      </c>
      <c r="K15" s="6">
        <f t="shared" si="4"/>
        <v>1834</v>
      </c>
      <c r="L15" s="6">
        <f t="shared" si="4"/>
        <v>3097</v>
      </c>
      <c r="M15" s="6">
        <f t="shared" si="4"/>
        <v>5700</v>
      </c>
      <c r="N15" s="6">
        <f t="shared" si="4"/>
        <v>2327</v>
      </c>
    </row>
    <row r="16" spans="1:14" x14ac:dyDescent="0.25">
      <c r="A16" s="3" t="s">
        <v>30</v>
      </c>
      <c r="B16" s="8">
        <v>3.08</v>
      </c>
      <c r="C16" s="8">
        <v>4.1100000000000003</v>
      </c>
      <c r="D16" s="8">
        <v>6.07</v>
      </c>
      <c r="E16" s="8">
        <v>1.4</v>
      </c>
      <c r="F16" s="8">
        <v>3.4</v>
      </c>
      <c r="G16" s="8">
        <v>5.64</v>
      </c>
      <c r="H16" s="8">
        <v>1.49</v>
      </c>
      <c r="I16" s="8">
        <v>3.73</v>
      </c>
      <c r="J16" s="8">
        <v>5.86</v>
      </c>
      <c r="K16" s="8">
        <v>1.34</v>
      </c>
      <c r="L16" s="8">
        <v>2.2599999999999998</v>
      </c>
      <c r="M16" s="8">
        <v>4.16</v>
      </c>
      <c r="N16" s="8">
        <v>1.7</v>
      </c>
    </row>
    <row r="17" spans="1:14" x14ac:dyDescent="0.25">
      <c r="A17" s="3" t="s">
        <v>31</v>
      </c>
      <c r="B17" s="8">
        <v>3.06</v>
      </c>
      <c r="C17" s="8">
        <v>4.09</v>
      </c>
      <c r="D17" s="8">
        <v>6.04</v>
      </c>
      <c r="E17" s="8">
        <v>1.4</v>
      </c>
      <c r="F17" s="8">
        <v>3.38</v>
      </c>
      <c r="G17" s="8">
        <v>5.62</v>
      </c>
      <c r="H17" s="8">
        <v>1.48</v>
      </c>
      <c r="I17" s="8">
        <v>3.71</v>
      </c>
      <c r="J17" s="8">
        <v>5.84</v>
      </c>
      <c r="K17" s="8">
        <v>1.33</v>
      </c>
      <c r="L17" s="8">
        <v>2.25</v>
      </c>
      <c r="M17" s="8">
        <v>4.1500000000000004</v>
      </c>
      <c r="N17" s="8">
        <v>1.7</v>
      </c>
    </row>
    <row r="18" spans="1:14" x14ac:dyDescent="0.25">
      <c r="A18" s="3" t="s">
        <v>32</v>
      </c>
      <c r="B18" s="4">
        <v>1383000000</v>
      </c>
      <c r="C18" s="4">
        <v>1383000000</v>
      </c>
      <c r="D18" s="4">
        <v>1382000000</v>
      </c>
      <c r="E18" s="4">
        <v>1378000000</v>
      </c>
      <c r="F18" s="4">
        <v>1378000000</v>
      </c>
      <c r="G18" s="4">
        <v>1377000000</v>
      </c>
      <c r="H18" s="4">
        <v>1375000000</v>
      </c>
      <c r="I18" s="4">
        <v>1375000000</v>
      </c>
      <c r="J18" s="4">
        <v>1374000000</v>
      </c>
      <c r="K18" s="4">
        <v>1372000000</v>
      </c>
      <c r="L18" s="4">
        <v>1371000000</v>
      </c>
      <c r="M18" s="4">
        <v>1370000000</v>
      </c>
      <c r="N18" s="4">
        <v>1367000000</v>
      </c>
    </row>
    <row r="19" spans="1:14" x14ac:dyDescent="0.25">
      <c r="A19" s="3" t="s">
        <v>33</v>
      </c>
      <c r="B19" s="4">
        <v>1391000000</v>
      </c>
      <c r="C19" s="4">
        <v>1390000000</v>
      </c>
      <c r="D19" s="4">
        <v>1389000000</v>
      </c>
      <c r="E19" s="4">
        <v>1384000000</v>
      </c>
      <c r="F19" s="4">
        <v>1384000000</v>
      </c>
      <c r="G19" s="4">
        <v>1384000000</v>
      </c>
      <c r="H19" s="4">
        <v>1380000000</v>
      </c>
      <c r="I19" s="4">
        <v>1380000000</v>
      </c>
      <c r="J19" s="4">
        <v>1379000000</v>
      </c>
      <c r="K19" s="4">
        <v>1376000000</v>
      </c>
      <c r="L19" s="4">
        <v>1374000000</v>
      </c>
      <c r="M19" s="4">
        <v>1373000000</v>
      </c>
      <c r="N19" s="4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5" width="13" customWidth="1"/>
  </cols>
  <sheetData>
    <row r="1" spans="1:15" x14ac:dyDescent="0.25">
      <c r="A1" s="1"/>
      <c r="B1" s="2" t="s">
        <v>117</v>
      </c>
      <c r="C1" s="2" t="s">
        <v>107</v>
      </c>
      <c r="D1" s="2" t="s">
        <v>108</v>
      </c>
      <c r="E1" s="2" t="s">
        <v>109</v>
      </c>
      <c r="F1" s="2" t="s">
        <v>118</v>
      </c>
      <c r="G1" s="2" t="s">
        <v>110</v>
      </c>
      <c r="H1" s="2" t="s">
        <v>111</v>
      </c>
      <c r="I1" s="2" t="s">
        <v>112</v>
      </c>
      <c r="J1" s="2" t="s">
        <v>119</v>
      </c>
      <c r="K1" s="2" t="s">
        <v>113</v>
      </c>
      <c r="L1" s="2" t="s">
        <v>114</v>
      </c>
      <c r="M1" s="2" t="s">
        <v>115</v>
      </c>
      <c r="N1" s="2" t="s">
        <v>120</v>
      </c>
      <c r="O1" s="2" t="s">
        <v>116</v>
      </c>
    </row>
    <row r="2" spans="1:15" x14ac:dyDescent="0.25">
      <c r="A2" s="3" t="s">
        <v>34</v>
      </c>
      <c r="B2" s="4">
        <v>4954</v>
      </c>
      <c r="C2" s="4">
        <v>4770</v>
      </c>
      <c r="D2" s="4">
        <v>6116</v>
      </c>
      <c r="E2" s="4">
        <v>10017</v>
      </c>
      <c r="F2" s="4">
        <v>9711</v>
      </c>
      <c r="G2" s="4">
        <v>8047</v>
      </c>
      <c r="H2" s="4">
        <v>6353</v>
      </c>
      <c r="I2" s="4">
        <v>7308</v>
      </c>
      <c r="J2" s="4">
        <v>8505</v>
      </c>
      <c r="K2" s="4">
        <v>8268</v>
      </c>
      <c r="L2" s="4">
        <v>7631</v>
      </c>
      <c r="M2" s="4">
        <v>8126</v>
      </c>
      <c r="N2" s="4">
        <v>9159</v>
      </c>
      <c r="O2" s="4">
        <v>10475</v>
      </c>
    </row>
    <row r="3" spans="1:15" x14ac:dyDescent="0.25">
      <c r="A3" s="3" t="s">
        <v>35</v>
      </c>
      <c r="B3" s="4">
        <v>394</v>
      </c>
      <c r="C3" s="4">
        <v>434</v>
      </c>
      <c r="D3" s="4">
        <v>338</v>
      </c>
      <c r="E3" s="4">
        <v>266</v>
      </c>
      <c r="F3" s="4">
        <v>292</v>
      </c>
      <c r="G3" s="4">
        <v>303</v>
      </c>
      <c r="H3" s="4">
        <v>315</v>
      </c>
      <c r="I3" s="4">
        <v>743</v>
      </c>
      <c r="J3" s="4">
        <v>761</v>
      </c>
      <c r="K3" s="4">
        <v>314</v>
      </c>
      <c r="L3" s="4">
        <v>342</v>
      </c>
      <c r="M3" s="4">
        <v>535</v>
      </c>
      <c r="N3" s="4">
        <v>371</v>
      </c>
      <c r="O3" s="4">
        <v>353</v>
      </c>
    </row>
    <row r="4" spans="1:15" x14ac:dyDescent="0.25">
      <c r="A4" s="3" t="s">
        <v>36</v>
      </c>
      <c r="B4" s="4">
        <v>10163</v>
      </c>
      <c r="C4" s="4">
        <v>10469</v>
      </c>
      <c r="D4" s="4">
        <v>11456</v>
      </c>
      <c r="E4" s="4">
        <v>11782</v>
      </c>
      <c r="F4" s="4">
        <v>10815</v>
      </c>
      <c r="G4" s="4">
        <v>10938</v>
      </c>
      <c r="H4" s="4">
        <v>11942</v>
      </c>
      <c r="I4" s="4">
        <v>12088</v>
      </c>
      <c r="J4" s="4">
        <v>10333</v>
      </c>
      <c r="K4" s="4">
        <v>10800</v>
      </c>
      <c r="L4" s="4">
        <v>12390</v>
      </c>
      <c r="M4" s="4">
        <v>12634</v>
      </c>
      <c r="N4" s="4">
        <v>11506</v>
      </c>
      <c r="O4" s="4">
        <v>12171</v>
      </c>
    </row>
    <row r="5" spans="1:15" x14ac:dyDescent="0.25">
      <c r="A5" s="3" t="s">
        <v>37</v>
      </c>
      <c r="B5" s="4">
        <v>5222</v>
      </c>
      <c r="C5" s="4">
        <v>5697</v>
      </c>
      <c r="D5" s="4">
        <v>5969</v>
      </c>
      <c r="E5" s="4">
        <v>5558</v>
      </c>
      <c r="F5" s="4">
        <v>5334</v>
      </c>
      <c r="G5" s="4">
        <v>5569</v>
      </c>
      <c r="H5" s="4">
        <v>5887</v>
      </c>
      <c r="I5" s="4">
        <v>5644</v>
      </c>
      <c r="J5" s="4">
        <v>5306</v>
      </c>
      <c r="K5" s="4">
        <v>5660</v>
      </c>
      <c r="L5" s="4">
        <v>6487</v>
      </c>
      <c r="M5" s="4">
        <v>6093</v>
      </c>
      <c r="N5" s="4">
        <v>5845</v>
      </c>
      <c r="O5" s="4">
        <v>6211</v>
      </c>
    </row>
    <row r="6" spans="1:15" x14ac:dyDescent="0.25">
      <c r="A6" s="3" t="s">
        <v>38</v>
      </c>
      <c r="B6" s="4">
        <v>806</v>
      </c>
      <c r="C6" s="4">
        <v>1057</v>
      </c>
      <c r="D6" s="4">
        <v>1075</v>
      </c>
      <c r="E6" s="4">
        <v>1026</v>
      </c>
      <c r="F6" s="4">
        <v>798</v>
      </c>
      <c r="G6" s="4">
        <v>1148</v>
      </c>
      <c r="H6" s="4">
        <v>1206</v>
      </c>
      <c r="I6" s="4">
        <v>1069</v>
      </c>
      <c r="J6" s="4">
        <v>921</v>
      </c>
      <c r="K6" s="4">
        <v>1246</v>
      </c>
      <c r="L6" s="4">
        <v>1360</v>
      </c>
      <c r="M6" s="4">
        <v>1334</v>
      </c>
      <c r="N6" s="4">
        <v>1068</v>
      </c>
      <c r="O6" s="4">
        <v>1706</v>
      </c>
    </row>
    <row r="7" spans="1:15" x14ac:dyDescent="0.25">
      <c r="A7" s="3" t="s">
        <v>39</v>
      </c>
      <c r="B7" s="6">
        <f t="shared" ref="B7:O7" si="0">SUM(B2:B6)</f>
        <v>21539</v>
      </c>
      <c r="C7" s="6">
        <f t="shared" si="0"/>
        <v>22427</v>
      </c>
      <c r="D7" s="6">
        <f t="shared" si="0"/>
        <v>24954</v>
      </c>
      <c r="E7" s="6">
        <f t="shared" si="0"/>
        <v>28649</v>
      </c>
      <c r="F7" s="6">
        <f t="shared" si="0"/>
        <v>26950</v>
      </c>
      <c r="G7" s="6">
        <f t="shared" si="0"/>
        <v>26005</v>
      </c>
      <c r="H7" s="6">
        <f t="shared" si="0"/>
        <v>25703</v>
      </c>
      <c r="I7" s="6">
        <f t="shared" si="0"/>
        <v>26852</v>
      </c>
      <c r="J7" s="6">
        <f t="shared" si="0"/>
        <v>25826</v>
      </c>
      <c r="K7" s="6">
        <f t="shared" si="0"/>
        <v>26288</v>
      </c>
      <c r="L7" s="6">
        <f t="shared" si="0"/>
        <v>28210</v>
      </c>
      <c r="M7" s="6">
        <f t="shared" si="0"/>
        <v>28722</v>
      </c>
      <c r="N7" s="6">
        <f t="shared" si="0"/>
        <v>27949</v>
      </c>
      <c r="O7" s="6">
        <f t="shared" si="0"/>
        <v>30916</v>
      </c>
    </row>
    <row r="8" spans="1:15" x14ac:dyDescent="0.25">
      <c r="A8" s="3" t="s">
        <v>40</v>
      </c>
      <c r="B8" s="4">
        <v>24291</v>
      </c>
      <c r="C8" s="4">
        <v>24228</v>
      </c>
      <c r="D8" s="4">
        <v>24500</v>
      </c>
      <c r="E8" s="4">
        <v>24853</v>
      </c>
      <c r="F8" s="4">
        <v>27039</v>
      </c>
      <c r="G8" s="4">
        <v>26792</v>
      </c>
      <c r="H8" s="4">
        <v>27042</v>
      </c>
      <c r="I8" s="4">
        <v>27188</v>
      </c>
      <c r="J8" s="4">
        <v>28008</v>
      </c>
      <c r="K8" s="4">
        <v>28213</v>
      </c>
      <c r="L8" s="4">
        <v>28797</v>
      </c>
      <c r="M8" s="4">
        <v>29053</v>
      </c>
      <c r="N8" s="4">
        <v>29905</v>
      </c>
      <c r="O8" s="4">
        <v>29807</v>
      </c>
    </row>
    <row r="9" spans="1:15" x14ac:dyDescent="0.25">
      <c r="A9" s="3" t="s">
        <v>41</v>
      </c>
      <c r="B9" s="4">
        <v>15586</v>
      </c>
      <c r="C9" s="4">
        <v>15523</v>
      </c>
      <c r="D9" s="4">
        <v>15562</v>
      </c>
      <c r="E9" s="4">
        <v>15501</v>
      </c>
      <c r="F9" s="4">
        <v>14929</v>
      </c>
      <c r="G9" s="4">
        <v>14853</v>
      </c>
      <c r="H9" s="4">
        <v>14826</v>
      </c>
      <c r="I9" s="4">
        <v>14857</v>
      </c>
      <c r="J9" s="4">
        <v>14801</v>
      </c>
      <c r="K9" s="4">
        <v>15363</v>
      </c>
      <c r="L9" s="4">
        <v>15523</v>
      </c>
      <c r="M9" s="4">
        <v>14852</v>
      </c>
      <c r="N9" s="4">
        <v>15066</v>
      </c>
      <c r="O9" s="4">
        <v>15143</v>
      </c>
    </row>
    <row r="10" spans="1:15" x14ac:dyDescent="0.25">
      <c r="A10" s="3" t="s">
        <v>42</v>
      </c>
      <c r="B10" s="4">
        <v>18202</v>
      </c>
      <c r="C10" s="4">
        <v>18089</v>
      </c>
      <c r="D10" s="4">
        <v>17997</v>
      </c>
      <c r="E10" s="4">
        <v>17892</v>
      </c>
      <c r="F10" s="4">
        <v>17728</v>
      </c>
      <c r="G10" s="4">
        <v>17646</v>
      </c>
      <c r="H10" s="4">
        <v>17648</v>
      </c>
      <c r="I10" s="4">
        <v>17709</v>
      </c>
      <c r="J10" s="4">
        <v>17534</v>
      </c>
      <c r="K10" s="4">
        <v>18364</v>
      </c>
      <c r="L10" s="4">
        <v>18952</v>
      </c>
      <c r="M10" s="4">
        <v>18845</v>
      </c>
      <c r="N10" s="4">
        <v>18916</v>
      </c>
      <c r="O10" s="4">
        <v>19021</v>
      </c>
    </row>
    <row r="11" spans="1:15" x14ac:dyDescent="0.25">
      <c r="A11" s="3" t="s">
        <v>43</v>
      </c>
      <c r="B11" s="4">
        <v>3073</v>
      </c>
      <c r="C11" s="4">
        <v>3123</v>
      </c>
      <c r="D11" s="4">
        <v>3038</v>
      </c>
      <c r="E11" s="4">
        <v>2955</v>
      </c>
      <c r="F11" s="4">
        <v>2714</v>
      </c>
      <c r="G11" s="4">
        <v>2734</v>
      </c>
      <c r="H11" s="4">
        <v>2674</v>
      </c>
      <c r="I11" s="4">
        <v>2645</v>
      </c>
      <c r="J11" s="4">
        <v>1985</v>
      </c>
      <c r="K11" s="4">
        <v>1996</v>
      </c>
      <c r="L11" s="4">
        <v>2061</v>
      </c>
      <c r="M11" s="4">
        <v>2084</v>
      </c>
      <c r="N11" s="4">
        <v>2038</v>
      </c>
      <c r="O11" s="4">
        <v>2135</v>
      </c>
    </row>
    <row r="12" spans="1:15" x14ac:dyDescent="0.25">
      <c r="A12" s="3" t="s">
        <v>44</v>
      </c>
      <c r="B12" s="4">
        <v>4204</v>
      </c>
      <c r="C12" s="4">
        <v>4211</v>
      </c>
      <c r="D12" s="4">
        <v>4186</v>
      </c>
      <c r="E12" s="4">
        <v>4165</v>
      </c>
      <c r="F12" s="4">
        <v>4474</v>
      </c>
      <c r="G12" s="4">
        <v>4444</v>
      </c>
      <c r="H12" s="4">
        <v>4465</v>
      </c>
      <c r="I12" s="4">
        <v>4321</v>
      </c>
      <c r="J12" s="4">
        <v>4362</v>
      </c>
      <c r="K12" s="4">
        <v>4350</v>
      </c>
      <c r="L12" s="4">
        <v>4293</v>
      </c>
      <c r="M12" s="4">
        <v>4341</v>
      </c>
      <c r="N12" s="4">
        <v>4541</v>
      </c>
      <c r="O12" s="4">
        <v>4560</v>
      </c>
    </row>
    <row r="13" spans="1:15" x14ac:dyDescent="0.25">
      <c r="A13" s="3" t="s">
        <v>45</v>
      </c>
      <c r="B13" s="4">
        <v>5292</v>
      </c>
      <c r="C13" s="4">
        <v>5441</v>
      </c>
      <c r="D13" s="4">
        <v>5669</v>
      </c>
      <c r="E13" s="4">
        <v>5938</v>
      </c>
      <c r="F13" s="4">
        <v>6661</v>
      </c>
      <c r="G13" s="4">
        <v>7566</v>
      </c>
      <c r="H13" s="4">
        <v>7175</v>
      </c>
      <c r="I13" s="4">
        <v>6941</v>
      </c>
      <c r="J13" s="4">
        <v>6951</v>
      </c>
      <c r="K13" s="4">
        <v>7163</v>
      </c>
      <c r="L13" s="4">
        <v>7509</v>
      </c>
      <c r="M13" s="4">
        <v>8661</v>
      </c>
      <c r="N13" s="4">
        <v>8984</v>
      </c>
      <c r="O13" s="4">
        <v>9064</v>
      </c>
    </row>
    <row r="14" spans="1:15" x14ac:dyDescent="0.25">
      <c r="A14" s="3" t="s">
        <v>46</v>
      </c>
      <c r="B14" s="6">
        <f t="shared" ref="B14:O14" si="1">B7+SUM(B8:B13)</f>
        <v>92187</v>
      </c>
      <c r="C14" s="6">
        <f t="shared" si="1"/>
        <v>93042</v>
      </c>
      <c r="D14" s="6">
        <f t="shared" si="1"/>
        <v>95906</v>
      </c>
      <c r="E14" s="6">
        <f t="shared" si="1"/>
        <v>99953</v>
      </c>
      <c r="F14" s="6">
        <f t="shared" si="1"/>
        <v>100495</v>
      </c>
      <c r="G14" s="6">
        <f t="shared" si="1"/>
        <v>100040</v>
      </c>
      <c r="H14" s="6">
        <f t="shared" si="1"/>
        <v>99533</v>
      </c>
      <c r="I14" s="6">
        <f t="shared" si="1"/>
        <v>100513</v>
      </c>
      <c r="J14" s="6">
        <f t="shared" si="1"/>
        <v>99467</v>
      </c>
      <c r="K14" s="6">
        <f t="shared" si="1"/>
        <v>101737</v>
      </c>
      <c r="L14" s="6">
        <f t="shared" si="1"/>
        <v>105345</v>
      </c>
      <c r="M14" s="6">
        <f t="shared" si="1"/>
        <v>106558</v>
      </c>
      <c r="N14" s="6">
        <f t="shared" si="1"/>
        <v>107399</v>
      </c>
      <c r="O14" s="6">
        <f t="shared" si="1"/>
        <v>110646</v>
      </c>
    </row>
    <row r="15" spans="1:15" x14ac:dyDescent="0.25">
      <c r="A15" s="3" t="s">
        <v>47</v>
      </c>
      <c r="B15" s="4">
        <v>3414</v>
      </c>
      <c r="C15" s="4">
        <v>4281</v>
      </c>
      <c r="D15" s="4">
        <v>7613</v>
      </c>
      <c r="E15" s="4">
        <v>8937</v>
      </c>
      <c r="F15" s="4">
        <v>6510</v>
      </c>
      <c r="G15" s="4">
        <v>8161</v>
      </c>
      <c r="H15" s="4">
        <v>8289</v>
      </c>
      <c r="I15" s="4">
        <v>6524</v>
      </c>
      <c r="J15" s="4">
        <v>7082</v>
      </c>
      <c r="K15" s="4">
        <v>9099</v>
      </c>
      <c r="L15" s="4">
        <v>12056</v>
      </c>
      <c r="M15" s="4">
        <v>6736</v>
      </c>
      <c r="N15" s="4">
        <v>6861</v>
      </c>
      <c r="O15" s="4">
        <v>10151</v>
      </c>
    </row>
    <row r="16" spans="1:15" x14ac:dyDescent="0.25">
      <c r="A16" s="3" t="s">
        <v>48</v>
      </c>
      <c r="B16" s="4">
        <v>23371</v>
      </c>
      <c r="C16" s="4">
        <v>21556</v>
      </c>
      <c r="D16" s="4">
        <v>22005</v>
      </c>
      <c r="E16" s="4">
        <v>23723</v>
      </c>
      <c r="F16" s="4">
        <v>25137</v>
      </c>
      <c r="G16" s="4">
        <v>22073</v>
      </c>
      <c r="H16" s="4">
        <v>22859</v>
      </c>
      <c r="I16" s="4">
        <v>23791</v>
      </c>
      <c r="J16" s="4">
        <v>24454</v>
      </c>
      <c r="K16" s="4">
        <v>22412</v>
      </c>
      <c r="L16" s="4">
        <v>24340</v>
      </c>
      <c r="M16" s="4">
        <v>24763</v>
      </c>
      <c r="N16" s="4">
        <v>25903</v>
      </c>
      <c r="O16" s="4">
        <v>24326</v>
      </c>
    </row>
    <row r="17" spans="1:15" x14ac:dyDescent="0.25">
      <c r="A17" s="3" t="s">
        <v>49</v>
      </c>
      <c r="B17" s="6">
        <f t="shared" ref="B17:O17" si="2">SUM(B15:B16)</f>
        <v>26785</v>
      </c>
      <c r="C17" s="6">
        <f t="shared" si="2"/>
        <v>25837</v>
      </c>
      <c r="D17" s="6">
        <f t="shared" si="2"/>
        <v>29618</v>
      </c>
      <c r="E17" s="6">
        <f t="shared" si="2"/>
        <v>32660</v>
      </c>
      <c r="F17" s="6">
        <f t="shared" si="2"/>
        <v>31647</v>
      </c>
      <c r="G17" s="6">
        <f t="shared" si="2"/>
        <v>30234</v>
      </c>
      <c r="H17" s="6">
        <f t="shared" si="2"/>
        <v>31148</v>
      </c>
      <c r="I17" s="6">
        <f t="shared" si="2"/>
        <v>30315</v>
      </c>
      <c r="J17" s="6">
        <f t="shared" si="2"/>
        <v>31536</v>
      </c>
      <c r="K17" s="6">
        <f t="shared" si="2"/>
        <v>31511</v>
      </c>
      <c r="L17" s="6">
        <f t="shared" si="2"/>
        <v>36396</v>
      </c>
      <c r="M17" s="6">
        <f t="shared" si="2"/>
        <v>31499</v>
      </c>
      <c r="N17" s="6">
        <f t="shared" si="2"/>
        <v>32764</v>
      </c>
      <c r="O17" s="6">
        <f t="shared" si="2"/>
        <v>34477</v>
      </c>
    </row>
    <row r="18" spans="1:15" x14ac:dyDescent="0.25">
      <c r="A18" s="3" t="s">
        <v>50</v>
      </c>
      <c r="B18" s="4">
        <v>35657</v>
      </c>
      <c r="C18" s="4">
        <v>37486</v>
      </c>
      <c r="D18" s="4">
        <v>36008</v>
      </c>
      <c r="E18" s="4">
        <v>35837</v>
      </c>
      <c r="F18" s="4">
        <v>37595</v>
      </c>
      <c r="G18" s="4">
        <v>37707</v>
      </c>
      <c r="H18" s="4">
        <v>36638</v>
      </c>
      <c r="I18" s="4">
        <v>38490</v>
      </c>
      <c r="J18" s="4">
        <v>37224</v>
      </c>
      <c r="K18" s="4">
        <v>39419</v>
      </c>
      <c r="L18" s="4">
        <v>39328</v>
      </c>
      <c r="M18" s="4">
        <v>44113</v>
      </c>
      <c r="N18" s="4">
        <v>42321</v>
      </c>
      <c r="O18" s="4">
        <v>42577</v>
      </c>
    </row>
    <row r="19" spans="1:15" x14ac:dyDescent="0.25">
      <c r="A19" s="3" t="s">
        <v>51</v>
      </c>
      <c r="B19" s="4">
        <v>4133</v>
      </c>
      <c r="C19" s="4">
        <v>4039</v>
      </c>
      <c r="D19" s="4">
        <v>4113</v>
      </c>
      <c r="E19" s="4">
        <v>4047</v>
      </c>
      <c r="F19" s="4">
        <v>3895</v>
      </c>
      <c r="G19" s="4">
        <v>4087</v>
      </c>
      <c r="H19" s="4">
        <v>3908</v>
      </c>
      <c r="I19" s="4">
        <v>3684</v>
      </c>
      <c r="J19" s="4">
        <v>3484</v>
      </c>
      <c r="K19" s="4">
        <v>3541</v>
      </c>
      <c r="L19" s="4">
        <v>3102</v>
      </c>
      <c r="M19" s="4">
        <v>3474</v>
      </c>
      <c r="N19" s="4">
        <v>3802</v>
      </c>
      <c r="O19" s="4">
        <v>4048</v>
      </c>
    </row>
    <row r="20" spans="1:15" x14ac:dyDescent="0.25">
      <c r="A20" s="3" t="s">
        <v>52</v>
      </c>
      <c r="B20" s="4">
        <v>8339</v>
      </c>
      <c r="C20" s="4">
        <v>8505</v>
      </c>
      <c r="D20" s="4">
        <v>8342</v>
      </c>
      <c r="E20" s="4">
        <v>8439</v>
      </c>
      <c r="F20" s="4">
        <v>8721</v>
      </c>
      <c r="G20" s="4">
        <v>8822</v>
      </c>
      <c r="H20" s="4">
        <v>8259</v>
      </c>
      <c r="I20" s="4">
        <v>8419</v>
      </c>
      <c r="J20" s="4">
        <v>9052</v>
      </c>
      <c r="K20" s="4">
        <v>8737</v>
      </c>
      <c r="L20" s="4">
        <v>7960</v>
      </c>
      <c r="M20" s="4">
        <v>7929</v>
      </c>
      <c r="N20" s="4">
        <v>7965</v>
      </c>
      <c r="O20" s="4">
        <v>8008</v>
      </c>
    </row>
    <row r="21" spans="1:15" x14ac:dyDescent="0.25">
      <c r="A21" s="3" t="s">
        <v>53</v>
      </c>
      <c r="B21" s="6">
        <f t="shared" ref="B21:O21" si="3">B17+SUM(B18:B20)</f>
        <v>74914</v>
      </c>
      <c r="C21" s="6">
        <f t="shared" si="3"/>
        <v>75867</v>
      </c>
      <c r="D21" s="6">
        <f t="shared" si="3"/>
        <v>78081</v>
      </c>
      <c r="E21" s="6">
        <f t="shared" si="3"/>
        <v>80983</v>
      </c>
      <c r="F21" s="6">
        <f t="shared" si="3"/>
        <v>81858</v>
      </c>
      <c r="G21" s="6">
        <f t="shared" si="3"/>
        <v>80850</v>
      </c>
      <c r="H21" s="6">
        <f t="shared" si="3"/>
        <v>79953</v>
      </c>
      <c r="I21" s="6">
        <f t="shared" si="3"/>
        <v>80908</v>
      </c>
      <c r="J21" s="6">
        <f t="shared" si="3"/>
        <v>81296</v>
      </c>
      <c r="K21" s="6">
        <f t="shared" si="3"/>
        <v>83208</v>
      </c>
      <c r="L21" s="6">
        <f t="shared" si="3"/>
        <v>86786</v>
      </c>
      <c r="M21" s="6">
        <f t="shared" si="3"/>
        <v>87015</v>
      </c>
      <c r="N21" s="6">
        <f t="shared" si="3"/>
        <v>86852</v>
      </c>
      <c r="O21" s="6">
        <f t="shared" si="3"/>
        <v>89110</v>
      </c>
    </row>
    <row r="22" spans="1:15" x14ac:dyDescent="0.25">
      <c r="A22" s="3" t="s">
        <v>54</v>
      </c>
      <c r="B22" s="4">
        <v>23</v>
      </c>
      <c r="C22" s="4">
        <v>23</v>
      </c>
      <c r="D22" s="4">
        <v>23</v>
      </c>
      <c r="E22" s="4">
        <v>23</v>
      </c>
      <c r="F22" s="4">
        <v>23</v>
      </c>
      <c r="G22" s="4">
        <v>23</v>
      </c>
      <c r="H22" s="4">
        <v>23</v>
      </c>
      <c r="I22" s="4">
        <v>23</v>
      </c>
      <c r="J22" s="4">
        <v>23</v>
      </c>
      <c r="K22" s="4">
        <v>23</v>
      </c>
      <c r="L22" s="4">
        <v>23</v>
      </c>
      <c r="M22" s="4">
        <v>23</v>
      </c>
      <c r="N22" s="4">
        <v>23</v>
      </c>
      <c r="O22" s="4">
        <v>23</v>
      </c>
    </row>
    <row r="23" spans="1:15" x14ac:dyDescent="0.25">
      <c r="A23" s="3" t="s">
        <v>55</v>
      </c>
      <c r="B23" s="4">
        <v>4134</v>
      </c>
      <c r="C23" s="4">
        <v>3996</v>
      </c>
      <c r="D23" s="4">
        <v>4082</v>
      </c>
      <c r="E23" s="4">
        <v>4154</v>
      </c>
      <c r="F23" s="4">
        <v>4261</v>
      </c>
      <c r="G23" s="4">
        <v>4132</v>
      </c>
      <c r="H23" s="4">
        <v>4203</v>
      </c>
      <c r="I23" s="4">
        <v>4281</v>
      </c>
      <c r="J23" s="4">
        <v>4385</v>
      </c>
      <c r="K23" s="4">
        <v>4274</v>
      </c>
      <c r="L23" s="4">
        <v>4299</v>
      </c>
      <c r="M23" s="4">
        <v>4374</v>
      </c>
      <c r="N23" s="4">
        <v>4451</v>
      </c>
      <c r="O23" s="4">
        <v>4401</v>
      </c>
    </row>
    <row r="24" spans="1:15" x14ac:dyDescent="0.25">
      <c r="A24" s="3" t="s">
        <v>56</v>
      </c>
      <c r="B24" s="4">
        <v>67800</v>
      </c>
      <c r="C24" s="4">
        <v>68142</v>
      </c>
      <c r="D24" s="4">
        <v>69135</v>
      </c>
      <c r="E24" s="4">
        <v>70479</v>
      </c>
      <c r="F24" s="4">
        <v>70035</v>
      </c>
      <c r="G24" s="4">
        <v>70331</v>
      </c>
      <c r="H24" s="4">
        <v>71545</v>
      </c>
      <c r="I24" s="4">
        <v>72607</v>
      </c>
      <c r="J24" s="4">
        <v>72266</v>
      </c>
      <c r="K24" s="4">
        <v>72238</v>
      </c>
      <c r="L24" s="4">
        <v>71547</v>
      </c>
      <c r="M24" s="4">
        <v>72197</v>
      </c>
      <c r="N24" s="4">
        <v>72788</v>
      </c>
      <c r="O24" s="4">
        <v>73165</v>
      </c>
    </row>
    <row r="25" spans="1:15" x14ac:dyDescent="0.25">
      <c r="A25" s="3" t="s">
        <v>57</v>
      </c>
      <c r="B25" s="4">
        <v>-15302</v>
      </c>
      <c r="C25" s="4">
        <v>-15601</v>
      </c>
      <c r="D25" s="4">
        <v>-15780</v>
      </c>
      <c r="E25" s="4">
        <v>-15794</v>
      </c>
      <c r="F25" s="4">
        <v>-15534</v>
      </c>
      <c r="G25" s="4">
        <v>-15179</v>
      </c>
      <c r="H25" s="4">
        <v>-15786</v>
      </c>
      <c r="I25" s="4">
        <v>-16652</v>
      </c>
      <c r="J25" s="4">
        <v>-17612</v>
      </c>
      <c r="K25" s="4">
        <v>-17078</v>
      </c>
      <c r="L25" s="4">
        <v>-16090</v>
      </c>
      <c r="M25" s="4">
        <v>-15597</v>
      </c>
      <c r="N25" s="4">
        <v>-15024</v>
      </c>
      <c r="O25" s="4">
        <v>-14342</v>
      </c>
    </row>
    <row r="26" spans="1:15" x14ac:dyDescent="0.25">
      <c r="A26" s="3" t="s">
        <v>58</v>
      </c>
      <c r="B26" s="4">
        <v>-39506</v>
      </c>
      <c r="C26" s="4">
        <v>-39518</v>
      </c>
      <c r="D26" s="4">
        <v>-39775</v>
      </c>
      <c r="E26" s="4">
        <v>-40056</v>
      </c>
      <c r="F26" s="4">
        <v>-40282</v>
      </c>
      <c r="G26" s="4">
        <v>-40260</v>
      </c>
      <c r="H26" s="4">
        <v>-40539</v>
      </c>
      <c r="I26" s="4">
        <v>-40806</v>
      </c>
      <c r="J26" s="4">
        <v>-41021</v>
      </c>
      <c r="K26" s="4">
        <v>-41068</v>
      </c>
      <c r="L26" s="4">
        <v>-41361</v>
      </c>
      <c r="M26" s="4">
        <v>-41609</v>
      </c>
      <c r="N26" s="4">
        <v>-41832</v>
      </c>
      <c r="O26" s="4">
        <v>-41864</v>
      </c>
    </row>
    <row r="27" spans="1:15" x14ac:dyDescent="0.25">
      <c r="A27" s="3" t="s">
        <v>59</v>
      </c>
      <c r="B27" s="4">
        <v>124</v>
      </c>
      <c r="C27" s="4">
        <v>133</v>
      </c>
      <c r="D27" s="4">
        <v>140</v>
      </c>
      <c r="E27" s="4">
        <v>164</v>
      </c>
      <c r="F27" s="4">
        <v>134</v>
      </c>
      <c r="G27" s="4">
        <v>143</v>
      </c>
      <c r="H27" s="4">
        <v>134</v>
      </c>
      <c r="I27" s="4">
        <v>152</v>
      </c>
      <c r="J27" s="4">
        <v>130</v>
      </c>
      <c r="K27" s="4">
        <v>140</v>
      </c>
      <c r="L27" s="4">
        <v>141</v>
      </c>
      <c r="M27" s="4">
        <v>155</v>
      </c>
      <c r="N27" s="4">
        <v>141</v>
      </c>
      <c r="O27" s="4">
        <v>153</v>
      </c>
    </row>
    <row r="28" spans="1:15" x14ac:dyDescent="0.25">
      <c r="A28" s="3" t="s">
        <v>60</v>
      </c>
      <c r="B28" s="6">
        <f t="shared" ref="B28:O28" si="4">SUM(B22:B27)</f>
        <v>17273</v>
      </c>
      <c r="C28" s="6">
        <f t="shared" si="4"/>
        <v>17175</v>
      </c>
      <c r="D28" s="6">
        <f t="shared" si="4"/>
        <v>17825</v>
      </c>
      <c r="E28" s="6">
        <f t="shared" si="4"/>
        <v>18970</v>
      </c>
      <c r="F28" s="6">
        <f t="shared" si="4"/>
        <v>18637</v>
      </c>
      <c r="G28" s="6">
        <f t="shared" si="4"/>
        <v>19190</v>
      </c>
      <c r="H28" s="6">
        <f t="shared" si="4"/>
        <v>19580</v>
      </c>
      <c r="I28" s="6">
        <f t="shared" si="4"/>
        <v>19605</v>
      </c>
      <c r="J28" s="6">
        <f t="shared" si="4"/>
        <v>18171</v>
      </c>
      <c r="K28" s="6">
        <f t="shared" si="4"/>
        <v>18529</v>
      </c>
      <c r="L28" s="6">
        <f t="shared" si="4"/>
        <v>18559</v>
      </c>
      <c r="M28" s="6">
        <f t="shared" si="4"/>
        <v>19543</v>
      </c>
      <c r="N28" s="6">
        <f t="shared" si="4"/>
        <v>20547</v>
      </c>
      <c r="O28" s="6">
        <f t="shared" si="4"/>
        <v>21536</v>
      </c>
    </row>
    <row r="29" spans="1:15" x14ac:dyDescent="0.25">
      <c r="A29" s="3" t="s">
        <v>61</v>
      </c>
      <c r="B29" s="6">
        <f t="shared" ref="B29:O29" si="5">B21+B28</f>
        <v>92187</v>
      </c>
      <c r="C29" s="6">
        <f t="shared" si="5"/>
        <v>93042</v>
      </c>
      <c r="D29" s="6">
        <f t="shared" si="5"/>
        <v>95906</v>
      </c>
      <c r="E29" s="6">
        <f t="shared" si="5"/>
        <v>99953</v>
      </c>
      <c r="F29" s="6">
        <f t="shared" si="5"/>
        <v>100495</v>
      </c>
      <c r="G29" s="6">
        <f t="shared" si="5"/>
        <v>100040</v>
      </c>
      <c r="H29" s="6">
        <f t="shared" si="5"/>
        <v>99533</v>
      </c>
      <c r="I29" s="6">
        <f t="shared" si="5"/>
        <v>100513</v>
      </c>
      <c r="J29" s="6">
        <f t="shared" si="5"/>
        <v>99467</v>
      </c>
      <c r="K29" s="6">
        <f t="shared" si="5"/>
        <v>101737</v>
      </c>
      <c r="L29" s="6">
        <f t="shared" si="5"/>
        <v>105345</v>
      </c>
      <c r="M29" s="6">
        <f t="shared" si="5"/>
        <v>106558</v>
      </c>
      <c r="N29" s="6">
        <f t="shared" si="5"/>
        <v>107399</v>
      </c>
      <c r="O29" s="6">
        <f t="shared" si="5"/>
        <v>110646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4" width="13" customWidth="1"/>
  </cols>
  <sheetData>
    <row r="1" spans="1:14" x14ac:dyDescent="0.25">
      <c r="A1" s="1"/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" t="s">
        <v>109</v>
      </c>
      <c r="H1" s="2" t="s">
        <v>110</v>
      </c>
      <c r="I1" s="2" t="s">
        <v>111</v>
      </c>
      <c r="J1" s="2" t="s">
        <v>112</v>
      </c>
      <c r="K1" s="2" t="s">
        <v>113</v>
      </c>
      <c r="L1" s="2" t="s">
        <v>114</v>
      </c>
      <c r="M1" s="2" t="s">
        <v>115</v>
      </c>
      <c r="N1" s="2" t="s">
        <v>116</v>
      </c>
    </row>
    <row r="2" spans="1:14" x14ac:dyDescent="0.25">
      <c r="A2" s="3" t="s">
        <v>27</v>
      </c>
      <c r="B2" s="4">
        <v>4273</v>
      </c>
      <c r="C2" s="4">
        <v>5719</v>
      </c>
      <c r="D2" s="4">
        <v>8443</v>
      </c>
      <c r="E2" s="4">
        <v>1944</v>
      </c>
      <c r="F2" s="4">
        <v>4715</v>
      </c>
      <c r="G2" s="4">
        <v>7831</v>
      </c>
      <c r="H2" s="4">
        <v>2053</v>
      </c>
      <c r="I2" s="4">
        <v>5147</v>
      </c>
      <c r="J2" s="4">
        <v>8092</v>
      </c>
      <c r="K2" s="4">
        <v>1843</v>
      </c>
      <c r="L2" s="4">
        <v>3122</v>
      </c>
      <c r="M2" s="4">
        <v>5740</v>
      </c>
      <c r="N2" s="4">
        <v>2338</v>
      </c>
    </row>
    <row r="3" spans="1:14" x14ac:dyDescent="0.25">
      <c r="A3" s="3" t="s">
        <v>62</v>
      </c>
      <c r="B3" s="4">
        <v>555</v>
      </c>
      <c r="C3" s="4">
        <v>1195</v>
      </c>
      <c r="D3" s="4">
        <v>1854</v>
      </c>
      <c r="E3" s="4">
        <v>590</v>
      </c>
      <c r="F3" s="4">
        <v>1268</v>
      </c>
      <c r="G3" s="4">
        <v>1973</v>
      </c>
      <c r="H3" s="4">
        <v>641</v>
      </c>
      <c r="I3" s="4">
        <v>1379</v>
      </c>
      <c r="J3" s="4">
        <v>2118</v>
      </c>
      <c r="K3" s="4">
        <v>684</v>
      </c>
      <c r="L3" s="4">
        <v>1491</v>
      </c>
      <c r="M3" s="4">
        <v>2315</v>
      </c>
      <c r="N3" s="4">
        <v>742</v>
      </c>
    </row>
    <row r="4" spans="1:14" x14ac:dyDescent="0.25">
      <c r="A4" s="3" t="s">
        <v>20</v>
      </c>
      <c r="B4" s="4">
        <v>-3322</v>
      </c>
      <c r="C4" s="4">
        <v>-3335</v>
      </c>
      <c r="D4" s="4">
        <v>-3321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</row>
    <row r="5" spans="1:14" x14ac:dyDescent="0.25">
      <c r="A5" s="3" t="s">
        <v>63</v>
      </c>
      <c r="B5" s="4">
        <v>482</v>
      </c>
      <c r="C5" s="4">
        <v>1871</v>
      </c>
      <c r="D5" s="4">
        <v>1877</v>
      </c>
      <c r="E5" s="4">
        <v>-13</v>
      </c>
      <c r="F5" s="4">
        <v>97</v>
      </c>
      <c r="G5" s="4">
        <v>102</v>
      </c>
      <c r="H5" s="4">
        <v>0</v>
      </c>
      <c r="I5" s="4">
        <v>0</v>
      </c>
      <c r="J5" s="4">
        <v>10</v>
      </c>
      <c r="K5" s="4">
        <v>0</v>
      </c>
      <c r="L5" s="4">
        <v>1860</v>
      </c>
      <c r="M5" s="4">
        <v>1960</v>
      </c>
      <c r="N5" s="4">
        <v>0</v>
      </c>
    </row>
    <row r="6" spans="1:14" x14ac:dyDescent="0.25">
      <c r="A6" s="3" t="s">
        <v>64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</row>
    <row r="7" spans="1:14" x14ac:dyDescent="0.25">
      <c r="A7" s="3" t="s">
        <v>65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167</v>
      </c>
      <c r="I7" s="4">
        <v>182</v>
      </c>
      <c r="J7" s="4">
        <v>184</v>
      </c>
      <c r="K7" s="4">
        <v>0</v>
      </c>
      <c r="L7" s="4">
        <v>0</v>
      </c>
      <c r="M7" s="4">
        <v>0</v>
      </c>
      <c r="N7" s="4">
        <v>0</v>
      </c>
    </row>
    <row r="8" spans="1:14" x14ac:dyDescent="0.25">
      <c r="A8" s="3" t="s">
        <v>66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-108</v>
      </c>
      <c r="I8" s="4">
        <v>-135</v>
      </c>
      <c r="J8" s="4">
        <v>-138</v>
      </c>
      <c r="K8" s="4">
        <v>-2</v>
      </c>
      <c r="L8" s="4">
        <v>-2</v>
      </c>
      <c r="M8" s="4">
        <v>-5</v>
      </c>
      <c r="N8" s="4">
        <v>0</v>
      </c>
    </row>
    <row r="9" spans="1:14" x14ac:dyDescent="0.25">
      <c r="A9" s="3" t="s">
        <v>67</v>
      </c>
      <c r="B9" s="4">
        <v>103</v>
      </c>
      <c r="C9" s="4">
        <v>223</v>
      </c>
      <c r="D9" s="4">
        <v>346</v>
      </c>
      <c r="E9" s="4">
        <v>116</v>
      </c>
      <c r="F9" s="4">
        <v>248</v>
      </c>
      <c r="G9" s="4">
        <v>384</v>
      </c>
      <c r="H9" s="4">
        <v>127</v>
      </c>
      <c r="I9" s="4">
        <v>278</v>
      </c>
      <c r="J9" s="4">
        <v>438</v>
      </c>
      <c r="K9" s="4">
        <v>145</v>
      </c>
      <c r="L9" s="4">
        <v>315</v>
      </c>
      <c r="M9" s="4">
        <v>489</v>
      </c>
      <c r="N9" s="4">
        <v>162</v>
      </c>
    </row>
    <row r="10" spans="1:14" x14ac:dyDescent="0.25">
      <c r="A10" s="3" t="s">
        <v>68</v>
      </c>
      <c r="B10" s="4">
        <v>81</v>
      </c>
      <c r="C10" s="4">
        <v>156</v>
      </c>
      <c r="D10" s="4">
        <v>233</v>
      </c>
      <c r="E10" s="4">
        <v>93</v>
      </c>
      <c r="F10" s="4">
        <v>179</v>
      </c>
      <c r="G10" s="4">
        <v>267</v>
      </c>
      <c r="H10" s="4">
        <v>97</v>
      </c>
      <c r="I10" s="4">
        <v>183</v>
      </c>
      <c r="J10" s="4">
        <v>260</v>
      </c>
      <c r="K10" s="4">
        <v>77</v>
      </c>
      <c r="L10" s="4">
        <v>131</v>
      </c>
      <c r="M10" s="4">
        <v>207</v>
      </c>
      <c r="N10" s="4">
        <v>93</v>
      </c>
    </row>
    <row r="11" spans="1:14" x14ac:dyDescent="0.25">
      <c r="A11" s="3" t="s">
        <v>69</v>
      </c>
      <c r="B11" s="4">
        <v>27</v>
      </c>
      <c r="C11" s="4">
        <v>75</v>
      </c>
      <c r="D11" s="4">
        <v>126</v>
      </c>
      <c r="E11" s="4">
        <v>112</v>
      </c>
      <c r="F11" s="4">
        <v>204</v>
      </c>
      <c r="G11" s="4">
        <v>287</v>
      </c>
      <c r="H11" s="4">
        <v>96</v>
      </c>
      <c r="I11" s="4">
        <v>170</v>
      </c>
      <c r="J11" s="4">
        <v>415</v>
      </c>
      <c r="K11" s="4">
        <v>213</v>
      </c>
      <c r="L11" s="4">
        <v>426</v>
      </c>
      <c r="M11" s="4">
        <v>567</v>
      </c>
      <c r="N11" s="4">
        <v>133</v>
      </c>
    </row>
    <row r="12" spans="1:14" x14ac:dyDescent="0.25">
      <c r="A12" s="3" t="s">
        <v>70</v>
      </c>
      <c r="B12" s="4">
        <v>-32</v>
      </c>
      <c r="C12" s="4">
        <v>-82</v>
      </c>
      <c r="D12" s="4">
        <v>-134</v>
      </c>
      <c r="E12" s="4">
        <v>-64</v>
      </c>
      <c r="F12" s="4">
        <v>-187</v>
      </c>
      <c r="G12" s="4">
        <v>-283</v>
      </c>
      <c r="H12" s="4">
        <v>-60</v>
      </c>
      <c r="I12" s="4">
        <v>-173</v>
      </c>
      <c r="J12" s="4">
        <v>-284</v>
      </c>
      <c r="K12" s="4">
        <v>-232</v>
      </c>
      <c r="L12" s="4">
        <v>-387</v>
      </c>
      <c r="M12" s="4">
        <v>-554</v>
      </c>
      <c r="N12" s="4">
        <v>-145</v>
      </c>
    </row>
    <row r="13" spans="1:14" x14ac:dyDescent="0.25">
      <c r="A13" s="3" t="s">
        <v>71</v>
      </c>
      <c r="B13" s="4">
        <v>56</v>
      </c>
      <c r="C13" s="4">
        <v>64</v>
      </c>
      <c r="D13" s="4">
        <v>69</v>
      </c>
      <c r="E13" s="4">
        <v>2</v>
      </c>
      <c r="F13" s="4">
        <v>9</v>
      </c>
      <c r="G13" s="4">
        <v>20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308</v>
      </c>
      <c r="N13" s="4">
        <v>-113</v>
      </c>
    </row>
    <row r="14" spans="1:14" x14ac:dyDescent="0.25">
      <c r="A14" s="3" t="s">
        <v>72</v>
      </c>
      <c r="B14" s="4">
        <v>-17</v>
      </c>
      <c r="C14" s="4">
        <v>-34</v>
      </c>
      <c r="D14" s="4">
        <v>-41</v>
      </c>
      <c r="E14" s="4">
        <v>-4</v>
      </c>
      <c r="F14" s="4">
        <v>-10</v>
      </c>
      <c r="G14" s="4">
        <v>-15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-80</v>
      </c>
      <c r="N14" s="4">
        <v>-14</v>
      </c>
    </row>
    <row r="15" spans="1:14" x14ac:dyDescent="0.25">
      <c r="A15" s="3" t="s">
        <v>73</v>
      </c>
      <c r="B15" s="4">
        <v>-1</v>
      </c>
      <c r="C15" s="4">
        <v>139</v>
      </c>
      <c r="D15" s="4">
        <v>235</v>
      </c>
      <c r="E15" s="4">
        <v>30</v>
      </c>
      <c r="F15" s="4">
        <v>62</v>
      </c>
      <c r="G15" s="4">
        <v>93</v>
      </c>
      <c r="H15" s="4">
        <v>31</v>
      </c>
      <c r="I15" s="4">
        <v>67</v>
      </c>
      <c r="J15" s="4">
        <v>114</v>
      </c>
      <c r="K15" s="4">
        <v>48</v>
      </c>
      <c r="L15" s="4">
        <v>99</v>
      </c>
      <c r="M15" s="4">
        <v>164</v>
      </c>
      <c r="N15" s="4">
        <v>13</v>
      </c>
    </row>
    <row r="16" spans="1:14" x14ac:dyDescent="0.25">
      <c r="A16" s="3" t="s">
        <v>74</v>
      </c>
      <c r="B16" s="4">
        <v>-178</v>
      </c>
      <c r="C16" s="4">
        <v>-214</v>
      </c>
      <c r="D16" s="4">
        <v>-335</v>
      </c>
      <c r="E16" s="4">
        <v>-175</v>
      </c>
      <c r="F16" s="4">
        <v>-209</v>
      </c>
      <c r="G16" s="4">
        <v>-374</v>
      </c>
      <c r="H16" s="4">
        <v>-218</v>
      </c>
      <c r="I16" s="4">
        <v>-263</v>
      </c>
      <c r="J16" s="4">
        <v>-300</v>
      </c>
      <c r="K16" s="4">
        <v>-317</v>
      </c>
      <c r="L16" s="4">
        <v>-354</v>
      </c>
      <c r="M16" s="4">
        <v>-400</v>
      </c>
      <c r="N16" s="4">
        <v>-270</v>
      </c>
    </row>
    <row r="17" spans="1:14" x14ac:dyDescent="0.25">
      <c r="A17" s="3" t="s">
        <v>75</v>
      </c>
      <c r="B17" s="4">
        <v>257</v>
      </c>
      <c r="C17" s="4">
        <v>49</v>
      </c>
      <c r="D17" s="4">
        <v>-322</v>
      </c>
      <c r="E17" s="4">
        <v>78</v>
      </c>
      <c r="F17" s="4">
        <v>270</v>
      </c>
      <c r="G17" s="4">
        <v>343</v>
      </c>
      <c r="H17" s="4">
        <v>116</v>
      </c>
      <c r="I17" s="4">
        <v>142</v>
      </c>
      <c r="J17" s="4">
        <v>124</v>
      </c>
      <c r="K17" s="4">
        <v>111</v>
      </c>
      <c r="L17" s="4">
        <v>-260</v>
      </c>
      <c r="M17" s="4">
        <v>30</v>
      </c>
      <c r="N17" s="4">
        <v>226</v>
      </c>
    </row>
    <row r="18" spans="1:14" x14ac:dyDescent="0.25">
      <c r="A18" s="3" t="s">
        <v>76</v>
      </c>
      <c r="B18" s="4">
        <v>0</v>
      </c>
      <c r="C18" s="4">
        <v>0</v>
      </c>
      <c r="D18" s="4">
        <v>86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</row>
    <row r="19" spans="1:14" x14ac:dyDescent="0.25">
      <c r="A19" s="3" t="s">
        <v>77</v>
      </c>
      <c r="B19" s="4">
        <v>0</v>
      </c>
      <c r="C19" s="4">
        <v>-309</v>
      </c>
      <c r="D19" s="4">
        <v>-309</v>
      </c>
      <c r="E19" s="4">
        <v>0</v>
      </c>
      <c r="F19" s="4">
        <v>-309</v>
      </c>
      <c r="G19" s="4">
        <v>-309</v>
      </c>
      <c r="H19" s="4">
        <v>0</v>
      </c>
      <c r="I19" s="4">
        <v>-579</v>
      </c>
      <c r="J19" s="4">
        <v>-579</v>
      </c>
      <c r="K19" s="4">
        <v>0</v>
      </c>
      <c r="L19" s="4">
        <v>-772</v>
      </c>
      <c r="M19" s="4">
        <v>-772</v>
      </c>
      <c r="N19" s="4">
        <v>0</v>
      </c>
    </row>
    <row r="20" spans="1:14" x14ac:dyDescent="0.25">
      <c r="A20" s="3" t="s">
        <v>36</v>
      </c>
      <c r="B20" s="4">
        <v>-837</v>
      </c>
      <c r="C20" s="4">
        <v>-1753</v>
      </c>
      <c r="D20" s="4">
        <v>-2258</v>
      </c>
      <c r="E20" s="4">
        <v>-348</v>
      </c>
      <c r="F20" s="4">
        <v>-1330</v>
      </c>
      <c r="G20" s="4">
        <v>-1699</v>
      </c>
      <c r="H20" s="4">
        <v>-96</v>
      </c>
      <c r="I20" s="4">
        <v>-1138</v>
      </c>
      <c r="J20" s="4">
        <v>-1521</v>
      </c>
      <c r="K20" s="4">
        <v>-318</v>
      </c>
      <c r="L20" s="4">
        <v>-1582</v>
      </c>
      <c r="M20" s="4">
        <v>-1747</v>
      </c>
      <c r="N20" s="4">
        <v>-530</v>
      </c>
    </row>
    <row r="21" spans="1:14" x14ac:dyDescent="0.25">
      <c r="A21" s="3" t="s">
        <v>37</v>
      </c>
      <c r="B21" s="4">
        <v>-549</v>
      </c>
      <c r="C21" s="4">
        <v>-990</v>
      </c>
      <c r="D21" s="4">
        <v>-837</v>
      </c>
      <c r="E21" s="4">
        <v>-542</v>
      </c>
      <c r="F21" s="4">
        <v>-851</v>
      </c>
      <c r="G21" s="4">
        <v>-473</v>
      </c>
      <c r="H21" s="4">
        <v>-291</v>
      </c>
      <c r="I21" s="4">
        <v>-696</v>
      </c>
      <c r="J21" s="4">
        <v>-492</v>
      </c>
      <c r="K21" s="4">
        <v>-238</v>
      </c>
      <c r="L21" s="4">
        <v>-800</v>
      </c>
      <c r="M21" s="4">
        <v>-449</v>
      </c>
      <c r="N21" s="4">
        <v>-315</v>
      </c>
    </row>
    <row r="22" spans="1:14" x14ac:dyDescent="0.25">
      <c r="A22" s="3" t="s">
        <v>38</v>
      </c>
      <c r="B22" s="4">
        <v>-190</v>
      </c>
      <c r="C22" s="4">
        <v>-186</v>
      </c>
      <c r="D22" s="4">
        <v>-124</v>
      </c>
      <c r="E22" s="4">
        <v>-288</v>
      </c>
      <c r="F22" s="4">
        <v>-271</v>
      </c>
      <c r="G22" s="4">
        <v>-242</v>
      </c>
      <c r="H22" s="4">
        <v>-342</v>
      </c>
      <c r="I22" s="4">
        <v>-365</v>
      </c>
      <c r="J22" s="4">
        <v>-200</v>
      </c>
      <c r="K22" s="4">
        <v>-307</v>
      </c>
      <c r="L22" s="4">
        <v>-354</v>
      </c>
      <c r="M22" s="4">
        <v>-223</v>
      </c>
      <c r="N22" s="4">
        <v>-406</v>
      </c>
    </row>
    <row r="23" spans="1:14" x14ac:dyDescent="0.25">
      <c r="A23" s="3" t="s">
        <v>78</v>
      </c>
      <c r="B23" s="4">
        <v>-1238</v>
      </c>
      <c r="C23" s="4">
        <v>-990</v>
      </c>
      <c r="D23" s="4">
        <v>426</v>
      </c>
      <c r="E23" s="4">
        <v>-2259</v>
      </c>
      <c r="F23" s="4">
        <v>-1960</v>
      </c>
      <c r="G23" s="4">
        <v>-859</v>
      </c>
      <c r="H23" s="4">
        <v>-3408</v>
      </c>
      <c r="I23" s="4">
        <v>-2968</v>
      </c>
      <c r="J23" s="4">
        <v>-2312</v>
      </c>
      <c r="K23" s="4">
        <v>-2671</v>
      </c>
      <c r="L23" s="4">
        <v>-2083</v>
      </c>
      <c r="M23" s="4">
        <v>-1647</v>
      </c>
      <c r="N23" s="4">
        <v>-1847</v>
      </c>
    </row>
    <row r="24" spans="1:14" x14ac:dyDescent="0.25">
      <c r="A24" s="3" t="s">
        <v>79</v>
      </c>
      <c r="B24" s="4">
        <v>489</v>
      </c>
      <c r="C24" s="4">
        <v>608</v>
      </c>
      <c r="D24" s="4">
        <v>718</v>
      </c>
      <c r="E24" s="4">
        <v>290</v>
      </c>
      <c r="F24" s="4">
        <v>100</v>
      </c>
      <c r="G24" s="4">
        <v>512</v>
      </c>
      <c r="H24" s="4">
        <v>222</v>
      </c>
      <c r="I24" s="4">
        <v>287</v>
      </c>
      <c r="J24" s="4">
        <v>426</v>
      </c>
      <c r="K24" s="4">
        <v>223</v>
      </c>
      <c r="L24" s="4">
        <v>415</v>
      </c>
      <c r="M24" s="4">
        <v>6</v>
      </c>
      <c r="N24" s="4">
        <v>131</v>
      </c>
    </row>
    <row r="25" spans="1:14" x14ac:dyDescent="0.25">
      <c r="A25" s="3" t="s">
        <v>80</v>
      </c>
      <c r="B25" s="4">
        <v>-133</v>
      </c>
      <c r="C25" s="4">
        <v>-325</v>
      </c>
      <c r="D25" s="4">
        <v>-426</v>
      </c>
      <c r="E25" s="4">
        <v>46</v>
      </c>
      <c r="F25" s="4">
        <v>-6</v>
      </c>
      <c r="G25" s="4">
        <v>72</v>
      </c>
      <c r="H25" s="4">
        <v>-68</v>
      </c>
      <c r="I25" s="4">
        <v>-203</v>
      </c>
      <c r="J25" s="4">
        <v>-135</v>
      </c>
      <c r="K25" s="4">
        <v>-232</v>
      </c>
      <c r="L25" s="4">
        <v>-269</v>
      </c>
      <c r="M25" s="4">
        <v>-441</v>
      </c>
      <c r="N25" s="4">
        <v>-157</v>
      </c>
    </row>
    <row r="26" spans="1:14" x14ac:dyDescent="0.25">
      <c r="A26" s="3" t="s">
        <v>81</v>
      </c>
      <c r="B26" s="6">
        <f t="shared" ref="B26:N26" si="0">SUM(B2:B25)</f>
        <v>-174</v>
      </c>
      <c r="C26" s="6">
        <f t="shared" si="0"/>
        <v>1881</v>
      </c>
      <c r="D26" s="6">
        <f t="shared" si="0"/>
        <v>6306</v>
      </c>
      <c r="E26" s="6">
        <f t="shared" si="0"/>
        <v>-392</v>
      </c>
      <c r="F26" s="6">
        <f t="shared" si="0"/>
        <v>2019</v>
      </c>
      <c r="G26" s="6">
        <f t="shared" si="0"/>
        <v>7630</v>
      </c>
      <c r="H26" s="6">
        <f t="shared" si="0"/>
        <v>-1041</v>
      </c>
      <c r="I26" s="6">
        <f t="shared" si="0"/>
        <v>1315</v>
      </c>
      <c r="J26" s="6">
        <f t="shared" si="0"/>
        <v>6220</v>
      </c>
      <c r="K26" s="6">
        <f t="shared" si="0"/>
        <v>-973</v>
      </c>
      <c r="L26" s="6">
        <f t="shared" si="0"/>
        <v>996</v>
      </c>
      <c r="M26" s="6">
        <f t="shared" si="0"/>
        <v>5468</v>
      </c>
      <c r="N26" s="6">
        <f t="shared" si="0"/>
        <v>41</v>
      </c>
    </row>
    <row r="27" spans="1:14" x14ac:dyDescent="0.25">
      <c r="A27" s="3" t="s">
        <v>82</v>
      </c>
      <c r="B27" s="4">
        <v>-522</v>
      </c>
      <c r="C27" s="4">
        <v>-1499</v>
      </c>
      <c r="D27" s="4">
        <v>-2556</v>
      </c>
      <c r="E27" s="4">
        <v>-581</v>
      </c>
      <c r="F27" s="4">
        <v>-1513</v>
      </c>
      <c r="G27" s="4">
        <v>-2537</v>
      </c>
      <c r="H27" s="4">
        <v>-614</v>
      </c>
      <c r="I27" s="4">
        <v>-1701</v>
      </c>
      <c r="J27" s="4">
        <v>-2850</v>
      </c>
      <c r="K27" s="4">
        <v>-603</v>
      </c>
      <c r="L27" s="4">
        <v>-1507</v>
      </c>
      <c r="M27" s="4">
        <v>-2499</v>
      </c>
      <c r="N27" s="4">
        <v>-447</v>
      </c>
    </row>
    <row r="28" spans="1:14" x14ac:dyDescent="0.25">
      <c r="A28" s="3" t="s">
        <v>83</v>
      </c>
      <c r="B28" s="4">
        <v>3</v>
      </c>
      <c r="C28" s="4">
        <v>222</v>
      </c>
      <c r="D28" s="4">
        <v>228</v>
      </c>
      <c r="E28" s="4">
        <v>19</v>
      </c>
      <c r="F28" s="4">
        <v>122</v>
      </c>
      <c r="G28" s="4">
        <v>131</v>
      </c>
      <c r="H28" s="4">
        <v>7</v>
      </c>
      <c r="I28" s="4">
        <v>127</v>
      </c>
      <c r="J28" s="4">
        <v>177</v>
      </c>
      <c r="K28" s="4">
        <v>132</v>
      </c>
      <c r="L28" s="4">
        <v>169</v>
      </c>
      <c r="M28" s="4">
        <v>272</v>
      </c>
      <c r="N28" s="4">
        <v>13</v>
      </c>
    </row>
    <row r="29" spans="1:14" x14ac:dyDescent="0.25">
      <c r="A29" s="3" t="s">
        <v>84</v>
      </c>
      <c r="B29" s="4">
        <v>-13</v>
      </c>
      <c r="C29" s="4">
        <v>-29</v>
      </c>
      <c r="D29" s="4">
        <v>-804</v>
      </c>
      <c r="E29" s="4">
        <v>-16</v>
      </c>
      <c r="F29" s="4">
        <v>-83</v>
      </c>
      <c r="G29" s="4">
        <v>-132</v>
      </c>
      <c r="H29" s="4">
        <v>-6</v>
      </c>
      <c r="I29" s="4">
        <v>-30</v>
      </c>
      <c r="J29" s="4">
        <v>-31</v>
      </c>
      <c r="K29" s="4">
        <v>-1200</v>
      </c>
      <c r="L29" s="4">
        <v>-3130</v>
      </c>
      <c r="M29" s="4">
        <v>-3176</v>
      </c>
      <c r="N29" s="4">
        <v>-67</v>
      </c>
    </row>
    <row r="30" spans="1:14" x14ac:dyDescent="0.25">
      <c r="A30" s="3" t="s">
        <v>85</v>
      </c>
      <c r="B30" s="4">
        <v>3456</v>
      </c>
      <c r="C30" s="4">
        <v>3456</v>
      </c>
      <c r="D30" s="4">
        <v>3456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</row>
    <row r="31" spans="1:14" x14ac:dyDescent="0.25">
      <c r="A31" s="3" t="s">
        <v>86</v>
      </c>
      <c r="B31" s="4">
        <v>5</v>
      </c>
      <c r="C31" s="4">
        <v>15</v>
      </c>
      <c r="D31" s="4">
        <v>15</v>
      </c>
      <c r="E31" s="4">
        <v>85</v>
      </c>
      <c r="F31" s="4">
        <v>75</v>
      </c>
      <c r="G31" s="4">
        <v>75</v>
      </c>
      <c r="H31" s="4">
        <v>53</v>
      </c>
      <c r="I31" s="4">
        <v>135</v>
      </c>
      <c r="J31" s="4">
        <v>145</v>
      </c>
      <c r="K31" s="4">
        <v>2</v>
      </c>
      <c r="L31" s="4">
        <v>5</v>
      </c>
      <c r="M31" s="4">
        <v>5</v>
      </c>
      <c r="N31" s="4">
        <v>0</v>
      </c>
    </row>
    <row r="32" spans="1:14" x14ac:dyDescent="0.25">
      <c r="A32" s="3" t="s">
        <v>87</v>
      </c>
      <c r="B32" s="4">
        <v>22</v>
      </c>
      <c r="C32" s="4">
        <v>8</v>
      </c>
      <c r="D32" s="4">
        <v>-37</v>
      </c>
      <c r="E32" s="4">
        <v>-39</v>
      </c>
      <c r="F32" s="4">
        <v>-56</v>
      </c>
      <c r="G32" s="4">
        <v>35</v>
      </c>
      <c r="H32" s="4">
        <v>8</v>
      </c>
      <c r="I32" s="4">
        <v>1</v>
      </c>
      <c r="J32" s="4">
        <v>-421</v>
      </c>
      <c r="K32" s="4">
        <v>441</v>
      </c>
      <c r="L32" s="4">
        <v>447</v>
      </c>
      <c r="M32" s="4">
        <v>278</v>
      </c>
      <c r="N32" s="4">
        <v>5</v>
      </c>
    </row>
    <row r="33" spans="1:14" x14ac:dyDescent="0.25">
      <c r="A33" s="3" t="s">
        <v>88</v>
      </c>
      <c r="B33" s="4">
        <v>4</v>
      </c>
      <c r="C33" s="4">
        <v>-1</v>
      </c>
      <c r="D33" s="4">
        <v>7</v>
      </c>
      <c r="E33" s="4">
        <v>0</v>
      </c>
      <c r="F33" s="4">
        <v>32</v>
      </c>
      <c r="G33" s="4">
        <v>49</v>
      </c>
      <c r="H33" s="4">
        <v>-10</v>
      </c>
      <c r="I33" s="4">
        <v>14</v>
      </c>
      <c r="J33" s="4">
        <v>15</v>
      </c>
      <c r="K33" s="4">
        <v>-4</v>
      </c>
      <c r="L33" s="4">
        <v>-111</v>
      </c>
      <c r="M33" s="4">
        <v>-117</v>
      </c>
      <c r="N33" s="4">
        <v>19</v>
      </c>
    </row>
    <row r="34" spans="1:14" x14ac:dyDescent="0.25">
      <c r="A34" s="3" t="s">
        <v>89</v>
      </c>
      <c r="B34" s="6">
        <f t="shared" ref="B34:N34" si="1">SUM(B27:B33)</f>
        <v>2955</v>
      </c>
      <c r="C34" s="6">
        <f t="shared" si="1"/>
        <v>2172</v>
      </c>
      <c r="D34" s="6">
        <f t="shared" si="1"/>
        <v>309</v>
      </c>
      <c r="E34" s="6">
        <f t="shared" si="1"/>
        <v>-532</v>
      </c>
      <c r="F34" s="6">
        <f t="shared" si="1"/>
        <v>-1423</v>
      </c>
      <c r="G34" s="6">
        <f t="shared" si="1"/>
        <v>-2379</v>
      </c>
      <c r="H34" s="6">
        <f t="shared" si="1"/>
        <v>-562</v>
      </c>
      <c r="I34" s="6">
        <f t="shared" si="1"/>
        <v>-1454</v>
      </c>
      <c r="J34" s="6">
        <f t="shared" si="1"/>
        <v>-2965</v>
      </c>
      <c r="K34" s="6">
        <f t="shared" si="1"/>
        <v>-1232</v>
      </c>
      <c r="L34" s="6">
        <f t="shared" si="1"/>
        <v>-4127</v>
      </c>
      <c r="M34" s="6">
        <f t="shared" si="1"/>
        <v>-5237</v>
      </c>
      <c r="N34" s="6">
        <f t="shared" si="1"/>
        <v>-477</v>
      </c>
    </row>
    <row r="35" spans="1:14" x14ac:dyDescent="0.25">
      <c r="A35" s="3" t="s">
        <v>90</v>
      </c>
      <c r="B35" s="4">
        <v>0</v>
      </c>
      <c r="C35" s="4">
        <v>0</v>
      </c>
      <c r="D35" s="4">
        <v>3377</v>
      </c>
      <c r="E35" s="4">
        <v>2986</v>
      </c>
      <c r="F35" s="4">
        <v>2986</v>
      </c>
      <c r="G35" s="4">
        <v>2986</v>
      </c>
      <c r="H35" s="4">
        <v>1761</v>
      </c>
      <c r="I35" s="4">
        <v>1765</v>
      </c>
      <c r="J35" s="4">
        <v>4014</v>
      </c>
      <c r="K35" s="4">
        <v>3505</v>
      </c>
      <c r="L35" s="4">
        <v>3521</v>
      </c>
      <c r="M35" s="4">
        <v>8179</v>
      </c>
      <c r="N35" s="4">
        <v>2964</v>
      </c>
    </row>
    <row r="36" spans="1:14" x14ac:dyDescent="0.25">
      <c r="A36" s="3" t="s">
        <v>91</v>
      </c>
      <c r="B36" s="4">
        <v>-1251</v>
      </c>
      <c r="C36" s="4">
        <v>-3202</v>
      </c>
      <c r="D36" s="4">
        <v>-3203</v>
      </c>
      <c r="E36" s="4">
        <v>-1251</v>
      </c>
      <c r="F36" s="4">
        <v>-2252</v>
      </c>
      <c r="G36" s="4">
        <v>-2253</v>
      </c>
      <c r="H36" s="4">
        <v>-1252</v>
      </c>
      <c r="I36" s="4">
        <v>-2882</v>
      </c>
      <c r="J36" s="4">
        <v>-2883</v>
      </c>
      <c r="K36" s="4">
        <v>-1541</v>
      </c>
      <c r="L36" s="4">
        <v>-2543</v>
      </c>
      <c r="M36" s="4">
        <v>-3245</v>
      </c>
      <c r="N36" s="4">
        <v>-1629</v>
      </c>
    </row>
    <row r="37" spans="1:14" x14ac:dyDescent="0.25">
      <c r="A37" s="3" t="s">
        <v>92</v>
      </c>
      <c r="B37" s="4">
        <v>559</v>
      </c>
      <c r="C37" s="4">
        <v>1935</v>
      </c>
      <c r="D37" s="4">
        <v>1947</v>
      </c>
      <c r="E37" s="4">
        <v>393</v>
      </c>
      <c r="F37" s="4">
        <v>1660</v>
      </c>
      <c r="G37" s="4">
        <v>4688</v>
      </c>
      <c r="H37" s="4">
        <v>2313</v>
      </c>
      <c r="I37" s="4">
        <v>3080</v>
      </c>
      <c r="J37" s="4">
        <v>3808</v>
      </c>
      <c r="K37" s="4">
        <v>3656</v>
      </c>
      <c r="L37" s="4">
        <v>5251</v>
      </c>
      <c r="M37" s="4">
        <v>5528</v>
      </c>
      <c r="N37" s="4">
        <v>1937</v>
      </c>
    </row>
    <row r="38" spans="1:14" x14ac:dyDescent="0.25">
      <c r="A38" s="3" t="s">
        <v>93</v>
      </c>
      <c r="B38" s="4">
        <v>0</v>
      </c>
      <c r="C38" s="4">
        <v>0</v>
      </c>
      <c r="D38" s="4">
        <v>-1932</v>
      </c>
      <c r="E38" s="4">
        <v>-1</v>
      </c>
      <c r="F38" s="4">
        <v>-26</v>
      </c>
      <c r="G38" s="4">
        <v>-1037</v>
      </c>
      <c r="H38" s="4">
        <v>-1631</v>
      </c>
      <c r="I38" s="4">
        <v>-2138</v>
      </c>
      <c r="J38" s="4">
        <v>-4177</v>
      </c>
      <c r="K38" s="4">
        <v>-2119</v>
      </c>
      <c r="L38" s="4">
        <v>-2492</v>
      </c>
      <c r="M38" s="4">
        <v>-5417</v>
      </c>
      <c r="N38" s="4">
        <v>-676</v>
      </c>
    </row>
    <row r="39" spans="1:14" x14ac:dyDescent="0.25">
      <c r="A39" s="3" t="s">
        <v>94</v>
      </c>
      <c r="B39" s="4">
        <v>647</v>
      </c>
      <c r="C39" s="4">
        <v>844</v>
      </c>
      <c r="D39" s="4">
        <v>-45</v>
      </c>
      <c r="E39" s="4">
        <v>491</v>
      </c>
      <c r="F39" s="4">
        <v>2023</v>
      </c>
      <c r="G39" s="4">
        <v>1395</v>
      </c>
      <c r="H39" s="4">
        <v>774</v>
      </c>
      <c r="I39" s="4">
        <v>1286</v>
      </c>
      <c r="J39" s="4">
        <v>101</v>
      </c>
      <c r="K39" s="4">
        <v>373</v>
      </c>
      <c r="L39" s="4">
        <v>2438</v>
      </c>
      <c r="M39" s="4">
        <v>445</v>
      </c>
      <c r="N39" s="4">
        <v>1198</v>
      </c>
    </row>
    <row r="40" spans="1:14" x14ac:dyDescent="0.25">
      <c r="A40" s="3" t="s">
        <v>95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</row>
    <row r="41" spans="1:14" x14ac:dyDescent="0.25">
      <c r="A41" s="3" t="s">
        <v>96</v>
      </c>
      <c r="B41" s="4">
        <v>-1505</v>
      </c>
      <c r="C41" s="4">
        <v>-2997</v>
      </c>
      <c r="D41" s="4">
        <v>-4586</v>
      </c>
      <c r="E41" s="4">
        <v>-1608</v>
      </c>
      <c r="F41" s="4">
        <v>-3199</v>
      </c>
      <c r="G41" s="4">
        <v>-4941</v>
      </c>
      <c r="H41" s="4">
        <v>-1767</v>
      </c>
      <c r="I41" s="4">
        <v>-3506</v>
      </c>
      <c r="J41" s="4">
        <v>-5369</v>
      </c>
      <c r="K41" s="4">
        <v>-1882</v>
      </c>
      <c r="L41" s="4">
        <v>-3743</v>
      </c>
      <c r="M41" s="4">
        <v>-5692</v>
      </c>
      <c r="N41" s="4">
        <v>-1966</v>
      </c>
    </row>
    <row r="42" spans="1:14" x14ac:dyDescent="0.25">
      <c r="A42" s="3" t="s">
        <v>97</v>
      </c>
      <c r="B42" s="4">
        <v>-193</v>
      </c>
      <c r="C42" s="4">
        <v>-699</v>
      </c>
      <c r="D42" s="4">
        <v>-1156</v>
      </c>
      <c r="E42" s="4">
        <v>-160</v>
      </c>
      <c r="F42" s="4">
        <v>-453</v>
      </c>
      <c r="G42" s="4">
        <v>-751</v>
      </c>
      <c r="H42" s="4">
        <v>-146</v>
      </c>
      <c r="I42" s="4">
        <v>-461</v>
      </c>
      <c r="J42" s="4">
        <v>-760</v>
      </c>
      <c r="K42" s="4">
        <v>-183</v>
      </c>
      <c r="L42" s="4">
        <v>-494</v>
      </c>
      <c r="M42" s="4">
        <v>-752</v>
      </c>
      <c r="N42" s="4">
        <v>-182</v>
      </c>
    </row>
    <row r="43" spans="1:14" x14ac:dyDescent="0.25">
      <c r="A43" s="3" t="s">
        <v>98</v>
      </c>
      <c r="B43" s="4">
        <v>49</v>
      </c>
      <c r="C43" s="4">
        <v>89</v>
      </c>
      <c r="D43" s="4">
        <v>113</v>
      </c>
      <c r="E43" s="4">
        <v>46</v>
      </c>
      <c r="F43" s="4">
        <v>86</v>
      </c>
      <c r="G43" s="4">
        <v>100</v>
      </c>
      <c r="H43" s="4">
        <v>66</v>
      </c>
      <c r="I43" s="4">
        <v>107</v>
      </c>
      <c r="J43" s="4">
        <v>138</v>
      </c>
      <c r="K43" s="4">
        <v>50</v>
      </c>
      <c r="L43" s="4">
        <v>58</v>
      </c>
      <c r="M43" s="4">
        <v>76</v>
      </c>
      <c r="N43" s="4">
        <v>93</v>
      </c>
    </row>
    <row r="44" spans="1:14" x14ac:dyDescent="0.25">
      <c r="A44" s="3" t="s">
        <v>99</v>
      </c>
      <c r="B44" s="4">
        <v>-85</v>
      </c>
      <c r="C44" s="4">
        <v>-87</v>
      </c>
      <c r="D44" s="4">
        <v>-97</v>
      </c>
      <c r="E44" s="4">
        <v>-116</v>
      </c>
      <c r="F44" s="4">
        <v>-119</v>
      </c>
      <c r="G44" s="4">
        <v>-135</v>
      </c>
      <c r="H44" s="4">
        <v>-108</v>
      </c>
      <c r="I44" s="4">
        <v>-131</v>
      </c>
      <c r="J44" s="4">
        <v>-132</v>
      </c>
      <c r="K44" s="4">
        <v>-89</v>
      </c>
      <c r="L44" s="4">
        <v>-111</v>
      </c>
      <c r="M44" s="4">
        <v>-112</v>
      </c>
      <c r="N44" s="4">
        <v>-76</v>
      </c>
    </row>
    <row r="45" spans="1:14" x14ac:dyDescent="0.25">
      <c r="A45" s="3" t="s">
        <v>100</v>
      </c>
      <c r="B45" s="4">
        <v>-1</v>
      </c>
      <c r="C45" s="4">
        <v>-15</v>
      </c>
      <c r="D45" s="4">
        <v>-25</v>
      </c>
      <c r="E45" s="4">
        <v>-3</v>
      </c>
      <c r="F45" s="4">
        <v>-16</v>
      </c>
      <c r="G45" s="4">
        <v>-18</v>
      </c>
      <c r="H45" s="4">
        <v>0</v>
      </c>
      <c r="I45" s="4">
        <v>-20</v>
      </c>
      <c r="J45" s="4">
        <v>-22</v>
      </c>
      <c r="K45" s="4">
        <v>-2</v>
      </c>
      <c r="L45" s="4">
        <v>-17</v>
      </c>
      <c r="M45" s="4">
        <v>-18</v>
      </c>
      <c r="N45" s="4">
        <v>-1</v>
      </c>
    </row>
    <row r="46" spans="1:14" x14ac:dyDescent="0.25">
      <c r="A46" s="3" t="s">
        <v>101</v>
      </c>
      <c r="B46" s="6">
        <f t="shared" ref="B46:N46" si="2">SUM(B35:B45)</f>
        <v>-1780</v>
      </c>
      <c r="C46" s="6">
        <f t="shared" si="2"/>
        <v>-4132</v>
      </c>
      <c r="D46" s="6">
        <f t="shared" si="2"/>
        <v>-5607</v>
      </c>
      <c r="E46" s="6">
        <f t="shared" si="2"/>
        <v>777</v>
      </c>
      <c r="F46" s="6">
        <f t="shared" si="2"/>
        <v>690</v>
      </c>
      <c r="G46" s="6">
        <f t="shared" si="2"/>
        <v>34</v>
      </c>
      <c r="H46" s="6">
        <f t="shared" si="2"/>
        <v>10</v>
      </c>
      <c r="I46" s="6">
        <f t="shared" si="2"/>
        <v>-2900</v>
      </c>
      <c r="J46" s="6">
        <f t="shared" si="2"/>
        <v>-5282</v>
      </c>
      <c r="K46" s="6">
        <f t="shared" si="2"/>
        <v>1768</v>
      </c>
      <c r="L46" s="6">
        <f t="shared" si="2"/>
        <v>1868</v>
      </c>
      <c r="M46" s="6">
        <f t="shared" si="2"/>
        <v>-1008</v>
      </c>
      <c r="N46" s="6">
        <f t="shared" si="2"/>
        <v>1662</v>
      </c>
    </row>
    <row r="47" spans="1:14" x14ac:dyDescent="0.25">
      <c r="A47" s="3" t="s">
        <v>102</v>
      </c>
      <c r="B47" s="4">
        <v>-17</v>
      </c>
      <c r="C47" s="4">
        <v>-83</v>
      </c>
      <c r="D47" s="4">
        <v>-197</v>
      </c>
      <c r="E47" s="4">
        <v>-116</v>
      </c>
      <c r="F47" s="4">
        <v>-144</v>
      </c>
      <c r="G47" s="4">
        <v>-254</v>
      </c>
      <c r="H47" s="4">
        <v>-38</v>
      </c>
      <c r="I47" s="4">
        <v>-304</v>
      </c>
      <c r="J47" s="4">
        <v>-391</v>
      </c>
      <c r="K47" s="4">
        <v>203</v>
      </c>
      <c r="L47" s="4">
        <v>422</v>
      </c>
      <c r="M47" s="4">
        <v>395</v>
      </c>
      <c r="N47" s="4">
        <v>121</v>
      </c>
    </row>
    <row r="48" spans="1:14" x14ac:dyDescent="0.25">
      <c r="A48" s="3" t="s">
        <v>103</v>
      </c>
      <c r="B48" s="6">
        <f t="shared" ref="B48:N48" si="3">B26+B34+B46+B47</f>
        <v>984</v>
      </c>
      <c r="C48" s="6">
        <f t="shared" si="3"/>
        <v>-162</v>
      </c>
      <c r="D48" s="6">
        <f t="shared" si="3"/>
        <v>811</v>
      </c>
      <c r="E48" s="6">
        <f t="shared" si="3"/>
        <v>-263</v>
      </c>
      <c r="F48" s="6">
        <f t="shared" si="3"/>
        <v>1142</v>
      </c>
      <c r="G48" s="6">
        <f t="shared" si="3"/>
        <v>5031</v>
      </c>
      <c r="H48" s="6">
        <f t="shared" si="3"/>
        <v>-1631</v>
      </c>
      <c r="I48" s="6">
        <f t="shared" si="3"/>
        <v>-3343</v>
      </c>
      <c r="J48" s="6">
        <f t="shared" si="3"/>
        <v>-2418</v>
      </c>
      <c r="K48" s="6">
        <f t="shared" si="3"/>
        <v>-234</v>
      </c>
      <c r="L48" s="6">
        <f t="shared" si="3"/>
        <v>-841</v>
      </c>
      <c r="M48" s="6">
        <f t="shared" si="3"/>
        <v>-382</v>
      </c>
      <c r="N48" s="6">
        <f t="shared" si="3"/>
        <v>1347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O1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41" width="13" customWidth="1"/>
  </cols>
  <sheetData>
    <row r="1" spans="1:41" x14ac:dyDescent="0.25">
      <c r="A1" s="1"/>
      <c r="B1" s="2" t="s">
        <v>104</v>
      </c>
      <c r="C1" s="2" t="s">
        <v>105</v>
      </c>
      <c r="D1" s="2" t="s">
        <v>106</v>
      </c>
      <c r="E1" s="2" t="s">
        <v>117</v>
      </c>
      <c r="F1" s="2" t="s">
        <v>107</v>
      </c>
      <c r="G1" s="2" t="s">
        <v>108</v>
      </c>
      <c r="H1" s="2" t="s">
        <v>109</v>
      </c>
      <c r="I1" s="2" t="s">
        <v>118</v>
      </c>
      <c r="J1" s="2" t="s">
        <v>110</v>
      </c>
      <c r="K1" s="2" t="s">
        <v>111</v>
      </c>
      <c r="L1" s="2" t="s">
        <v>112</v>
      </c>
      <c r="M1" s="2" t="s">
        <v>119</v>
      </c>
      <c r="N1" s="2" t="s">
        <v>113</v>
      </c>
      <c r="O1" s="2" t="s">
        <v>114</v>
      </c>
      <c r="P1" s="2" t="s">
        <v>115</v>
      </c>
      <c r="Q1" s="2" t="s">
        <v>120</v>
      </c>
      <c r="R1" s="2" t="s">
        <v>116</v>
      </c>
      <c r="S1" s="2" t="s">
        <v>121</v>
      </c>
      <c r="T1" s="2" t="s">
        <v>122</v>
      </c>
      <c r="U1" s="2" t="s">
        <v>123</v>
      </c>
      <c r="V1" s="2" t="s">
        <v>124</v>
      </c>
      <c r="W1" s="2" t="s">
        <v>125</v>
      </c>
      <c r="X1" s="2" t="s">
        <v>126</v>
      </c>
      <c r="Y1" s="2" t="s">
        <v>127</v>
      </c>
      <c r="Z1" s="2" t="s">
        <v>128</v>
      </c>
      <c r="AA1" s="2" t="s">
        <v>129</v>
      </c>
      <c r="AB1" s="2" t="s">
        <v>130</v>
      </c>
      <c r="AC1" s="2" t="s">
        <v>131</v>
      </c>
      <c r="AD1" s="2" t="s">
        <v>132</v>
      </c>
      <c r="AE1" s="2" t="s">
        <v>133</v>
      </c>
      <c r="AF1" s="2" t="s">
        <v>134</v>
      </c>
      <c r="AG1" s="2" t="s">
        <v>135</v>
      </c>
      <c r="AH1" s="2" t="s">
        <v>136</v>
      </c>
      <c r="AI1" s="2" t="s">
        <v>137</v>
      </c>
      <c r="AJ1" s="2" t="s">
        <v>138</v>
      </c>
      <c r="AK1" s="2" t="s">
        <v>139</v>
      </c>
      <c r="AL1" s="2" t="s">
        <v>140</v>
      </c>
      <c r="AM1" s="2" t="s">
        <v>141</v>
      </c>
      <c r="AN1" s="2" t="s">
        <v>142</v>
      </c>
      <c r="AO1" s="2" t="s">
        <v>143</v>
      </c>
    </row>
    <row r="2" spans="1:41" x14ac:dyDescent="0.25">
      <c r="A2" s="3" t="s">
        <v>16</v>
      </c>
      <c r="B2" s="4">
        <f>'YTD P&amp;L'!B2</f>
        <v>16200</v>
      </c>
      <c r="C2" s="4">
        <f>'YTD P&amp;L'!C2-'YTD P&amp;L'!B2</f>
        <v>20225</v>
      </c>
      <c r="D2" s="4">
        <f>'YTD P&amp;L'!D2-'YTD P&amp;L'!C2</f>
        <v>21971</v>
      </c>
      <c r="E2" s="4">
        <f>'ANNL P&amp;L'!C2-'YTD P&amp;L'!D2</f>
        <v>27996</v>
      </c>
      <c r="F2" s="4">
        <f>'YTD P&amp;L'!E2</f>
        <v>17846</v>
      </c>
      <c r="G2" s="4">
        <f>'YTD P&amp;L'!F2-'YTD P&amp;L'!E2</f>
        <v>22322</v>
      </c>
      <c r="H2" s="4">
        <f>'YTD P&amp;L'!G2-'YTD P&amp;L'!F2</f>
        <v>23453</v>
      </c>
      <c r="I2" s="4">
        <f>'ANNL P&amp;L'!D2-'YTD P&amp;L'!G2</f>
        <v>27850</v>
      </c>
      <c r="J2" s="4">
        <f>'YTD P&amp;L'!H2</f>
        <v>18250</v>
      </c>
      <c r="K2" s="4">
        <f>'YTD P&amp;L'!I2-'YTD P&amp;L'!H2</f>
        <v>22501</v>
      </c>
      <c r="L2" s="4">
        <f>'YTD P&amp;L'!J2-'YTD P&amp;L'!I2</f>
        <v>23319</v>
      </c>
      <c r="M2" s="4">
        <f>'ANNL P&amp;L'!E2-'YTD P&amp;L'!J2</f>
        <v>27784</v>
      </c>
      <c r="N2" s="4">
        <f>'YTD P&amp;L'!K2</f>
        <v>17919</v>
      </c>
      <c r="O2" s="4">
        <f>'YTD P&amp;L'!L2-'YTD P&amp;L'!K2</f>
        <v>22726</v>
      </c>
      <c r="P2" s="4">
        <f>'YTD P&amp;L'!M2-'YTD P&amp;L'!L2</f>
        <v>23937</v>
      </c>
      <c r="Q2" s="4">
        <f>'ANNL P&amp;L'!F2-'YTD P&amp;L'!M2</f>
        <v>29343</v>
      </c>
      <c r="R2" s="4">
        <f>'YTD P&amp;L'!N2</f>
        <v>19443</v>
      </c>
      <c r="S2" s="11">
        <f>IF('IS DRIVERS'!$B2="QoQ",'QTR P&amp;L'!R2,'QTR P&amp;L'!O2)*(1+'IS DRIVERS'!T2)</f>
        <v>24658.832412523021</v>
      </c>
      <c r="T2" s="11">
        <f>IF('IS DRIVERS'!$B2="QoQ",'QTR P&amp;L'!S2,'QTR P&amp;L'!P2)*(1+'IS DRIVERS'!U2)</f>
        <v>25972.827222501255</v>
      </c>
      <c r="U2" s="11">
        <f>IF('IS DRIVERS'!$B2="QoQ",'QTR P&amp;L'!T2,'QTR P&amp;L'!Q2)*(1+'IS DRIVERS'!V2)</f>
        <v>31838.604218985434</v>
      </c>
      <c r="V2" s="11">
        <f>IF('IS DRIVERS'!$B2="QoQ",'QTR P&amp;L'!U2,'QTR P&amp;L'!R2)*(1+'IS DRIVERS'!W2)</f>
        <v>21096.615268709193</v>
      </c>
      <c r="W2" s="11">
        <f>IF('IS DRIVERS'!$B2="QoQ",'QTR P&amp;L'!V2,'QTR P&amp;L'!S2)*(1+'IS DRIVERS'!X2)</f>
        <v>26756.051040609695</v>
      </c>
      <c r="X2" s="11">
        <f>IF('IS DRIVERS'!$B2="QoQ",'QTR P&amp;L'!W2,'QTR P&amp;L'!T2)*(1+'IS DRIVERS'!Y2)</f>
        <v>28181.800306216413</v>
      </c>
      <c r="Y2" s="11">
        <f>IF('IS DRIVERS'!$B2="QoQ",'QTR P&amp;L'!X2,'QTR P&amp;L'!U2)*(1+'IS DRIVERS'!Z2)</f>
        <v>34546.458051773749</v>
      </c>
      <c r="Z2" s="11">
        <f>IF('IS DRIVERS'!$B2="QoQ",'QTR P&amp;L'!Y2,'QTR P&amp;L'!V2)*(1+'IS DRIVERS'!AA2)</f>
        <v>22890.869505525578</v>
      </c>
      <c r="AA2" s="11">
        <f>IF('IS DRIVERS'!$B2="QoQ",'QTR P&amp;L'!Z2,'QTR P&amp;L'!W2)*(1+'IS DRIVERS'!AB2)</f>
        <v>29031.636831440053</v>
      </c>
      <c r="AB2" s="11">
        <f>IF('IS DRIVERS'!$B2="QoQ",'QTR P&amp;L'!AA2,'QTR P&amp;L'!X2)*(1+'IS DRIVERS'!AC2)</f>
        <v>30578.645200835188</v>
      </c>
      <c r="AC2" s="11">
        <f>IF('IS DRIVERS'!$B2="QoQ",'QTR P&amp;L'!AB2,'QTR P&amp;L'!Y2)*(1+'IS DRIVERS'!AD2)</f>
        <v>37484.613198316707</v>
      </c>
      <c r="AD2" s="11">
        <f>IF('IS DRIVERS'!$B2="QoQ",'QTR P&amp;L'!AC2,'QTR P&amp;L'!Z2)*(1+'IS DRIVERS'!AE2)</f>
        <v>24837.723968744562</v>
      </c>
      <c r="AE2" s="11">
        <f>IF('IS DRIVERS'!$B2="QoQ",'QTR P&amp;L'!AD2,'QTR P&amp;L'!AA2)*(1+'IS DRIVERS'!AF2)</f>
        <v>31500.759803208268</v>
      </c>
      <c r="AF2" s="11">
        <f>IF('IS DRIVERS'!$B2="QoQ",'QTR P&amp;L'!AE2,'QTR P&amp;L'!AB2)*(1+'IS DRIVERS'!AG2)</f>
        <v>33179.340289069623</v>
      </c>
      <c r="AG2" s="11">
        <f>IF('IS DRIVERS'!$B2="QoQ",'QTR P&amp;L'!AF2,'QTR P&amp;L'!AC2)*(1+'IS DRIVERS'!AH2)</f>
        <v>40672.656644615869</v>
      </c>
      <c r="AH2" s="11">
        <f>IF('IS DRIVERS'!$B2="QoQ",'QTR P&amp;L'!AG2,'QTR P&amp;L'!AD2)*(1+'IS DRIVERS'!AI2)</f>
        <v>26950.157214370251</v>
      </c>
      <c r="AI2" s="11">
        <f>IF('IS DRIVERS'!$B2="QoQ",'QTR P&amp;L'!AH2,'QTR P&amp;L'!AE2)*(1+'IS DRIVERS'!AJ2)</f>
        <v>34179.880174885788</v>
      </c>
      <c r="AJ2" s="11">
        <f>IF('IS DRIVERS'!$B2="QoQ",'QTR P&amp;L'!AI2,'QTR P&amp;L'!AF2)*(1+'IS DRIVERS'!AK2)</f>
        <v>36001.2229053173</v>
      </c>
      <c r="AK2" s="11">
        <f>IF('IS DRIVERS'!$B2="QoQ",'QTR P&amp;L'!AJ2,'QTR P&amp;L'!AG2)*(1+'IS DRIVERS'!AL2)</f>
        <v>44131.841237862958</v>
      </c>
      <c r="AL2" s="11">
        <f>IF('IS DRIVERS'!$B2="QoQ",'QTR P&amp;L'!AK2,'QTR P&amp;L'!AH2)*(1+'IS DRIVERS'!AM2)</f>
        <v>29242.251616663922</v>
      </c>
      <c r="AM2" s="11">
        <f>IF('IS DRIVERS'!$B2="QoQ",'QTR P&amp;L'!AL2,'QTR P&amp;L'!AI2)*(1+'IS DRIVERS'!AN2)</f>
        <v>37086.858097009004</v>
      </c>
      <c r="AN2" s="11">
        <f>IF('IS DRIVERS'!$B2="QoQ",'QTR P&amp;L'!AM2,'QTR P&amp;L'!AJ2)*(1+'IS DRIVERS'!AO2)</f>
        <v>39063.104913671763</v>
      </c>
      <c r="AO2" s="11">
        <f>IF('IS DRIVERS'!$B2="QoQ",'QTR P&amp;L'!AN2,'QTR P&amp;L'!AK2)*(1+'IS DRIVERS'!AP2)</f>
        <v>47885.227366916093</v>
      </c>
    </row>
    <row r="3" spans="1:41" x14ac:dyDescent="0.25">
      <c r="A3" s="3" t="s">
        <v>17</v>
      </c>
      <c r="B3" s="4">
        <f>'YTD P&amp;L'!B3</f>
        <v>-7433</v>
      </c>
      <c r="C3" s="4">
        <f>'YTD P&amp;L'!C3-'YTD P&amp;L'!B3</f>
        <v>-9415</v>
      </c>
      <c r="D3" s="4">
        <f>'YTD P&amp;L'!D3-'YTD P&amp;L'!C3</f>
        <v>-10308</v>
      </c>
      <c r="E3" s="4">
        <f>'ANNL P&amp;L'!C3-'YTD P&amp;L'!D3</f>
        <v>-13420</v>
      </c>
      <c r="F3" s="4">
        <f>'YTD P&amp;L'!E3</f>
        <v>-7988</v>
      </c>
      <c r="G3" s="4">
        <f>'YTD P&amp;L'!F3-'YTD P&amp;L'!E3</f>
        <v>-10121</v>
      </c>
      <c r="H3" s="4">
        <f>'YTD P&amp;L'!G3-'YTD P&amp;L'!F3</f>
        <v>-10675</v>
      </c>
      <c r="I3" s="4">
        <f>'ANNL P&amp;L'!D3-'YTD P&amp;L'!G3</f>
        <v>-13097</v>
      </c>
      <c r="J3" s="4">
        <f>'YTD P&amp;L'!H3</f>
        <v>-8248</v>
      </c>
      <c r="K3" s="4">
        <f>'YTD P&amp;L'!I3-'YTD P&amp;L'!H3</f>
        <v>-9919</v>
      </c>
      <c r="L3" s="4">
        <f>'YTD P&amp;L'!J3-'YTD P&amp;L'!I3</f>
        <v>-10396</v>
      </c>
      <c r="M3" s="4">
        <f>'ANNL P&amp;L'!E3-'YTD P&amp;L'!J3</f>
        <v>-13181</v>
      </c>
      <c r="N3" s="4">
        <f>'YTD P&amp;L'!K3</f>
        <v>-7926</v>
      </c>
      <c r="O3" s="4">
        <f>'YTD P&amp;L'!L3-'YTD P&amp;L'!K3</f>
        <v>-10304</v>
      </c>
      <c r="P3" s="4">
        <f>'YTD P&amp;L'!M3-'YTD P&amp;L'!L3</f>
        <v>-11113</v>
      </c>
      <c r="Q3" s="4">
        <f>'ANNL P&amp;L'!F3-'YTD P&amp;L'!M3</f>
        <v>-13723</v>
      </c>
      <c r="R3" s="4">
        <f>'YTD P&amp;L'!N3</f>
        <v>-8712</v>
      </c>
      <c r="S3" s="11">
        <f>'QTR P&amp;L'!S2*'IS DRIVERS'!T3</f>
        <v>-11049.104972375691</v>
      </c>
      <c r="T3" s="11">
        <f>'QTR P&amp;L'!T2*'IS DRIVERS'!U3</f>
        <v>-11637.878453038675</v>
      </c>
      <c r="U3" s="11">
        <f>'QTR P&amp;L'!U2*'IS DRIVERS'!V3</f>
        <v>-14266.209944751381</v>
      </c>
      <c r="V3" s="11">
        <f>'QTR P&amp;L'!V2*'IS DRIVERS'!W3</f>
        <v>-9452.9502762430948</v>
      </c>
      <c r="W3" s="11">
        <f>'QTR P&amp;L'!W2*'IS DRIVERS'!X3</f>
        <v>-11988.824598353734</v>
      </c>
      <c r="X3" s="11">
        <f>'QTR P&amp;L'!X2*'IS DRIVERS'!Y3</f>
        <v>-12627.672903757517</v>
      </c>
      <c r="Y3" s="11">
        <f>'QTR P&amp;L'!Y2*'IS DRIVERS'!Z3</f>
        <v>-15479.542382711152</v>
      </c>
      <c r="Z3" s="11">
        <f>'QTR P&amp;L'!Z2*'IS DRIVERS'!AA3</f>
        <v>-10256.917920698392</v>
      </c>
      <c r="AA3" s="11">
        <f>'QTR P&amp;L'!AA2*'IS DRIVERS'!AB3</f>
        <v>-13008.466804274327</v>
      </c>
      <c r="AB3" s="11">
        <f>'QTR P&amp;L'!AB2*'IS DRIVERS'!AC3</f>
        <v>-13701.64876766323</v>
      </c>
      <c r="AC3" s="11">
        <f>'QTR P&amp;L'!AC2*'IS DRIVERS'!AD3</f>
        <v>-16796.068003072323</v>
      </c>
      <c r="AD3" s="11">
        <f>'QTR P&amp;L'!AD2*'IS DRIVERS'!AE3</f>
        <v>-11129.262522023486</v>
      </c>
      <c r="AE3" s="11">
        <f>'QTR P&amp;L'!AE2*'IS DRIVERS'!AF3</f>
        <v>-14114.828956722236</v>
      </c>
      <c r="AF3" s="11">
        <f>'QTR P&amp;L'!AF2*'IS DRIVERS'!AG3</f>
        <v>-14866.965622505506</v>
      </c>
      <c r="AG3" s="11">
        <f>'QTR P&amp;L'!AG2*'IS DRIVERS'!AH3</f>
        <v>-18224.563322938509</v>
      </c>
      <c r="AH3" s="11">
        <f>'QTR P&amp;L'!AH2*'IS DRIVERS'!AI3</f>
        <v>-12075.799498616141</v>
      </c>
      <c r="AI3" s="11">
        <f>'QTR P&amp;L'!AI2*'IS DRIVERS'!AJ3</f>
        <v>-15315.286534156508</v>
      </c>
      <c r="AJ3" s="11">
        <f>'QTR P&amp;L'!AJ2*'IS DRIVERS'!AK3</f>
        <v>-16131.391963746559</v>
      </c>
      <c r="AK3" s="11">
        <f>'QTR P&amp;L'!AK2*'IS DRIVERS'!AL3</f>
        <v>-19774.551296829817</v>
      </c>
      <c r="AL3" s="11">
        <f>'QTR P&amp;L'!AL2*'IS DRIVERS'!AM3</f>
        <v>-13102.838866655151</v>
      </c>
      <c r="AM3" s="11">
        <f>'QTR P&amp;L'!AM2*'IS DRIVERS'!AN3</f>
        <v>-16617.842294972095</v>
      </c>
      <c r="AN3" s="11">
        <f>'QTR P&amp;L'!AN2*'IS DRIVERS'!AO3</f>
        <v>-17503.356992640456</v>
      </c>
      <c r="AO3" s="11">
        <f>'QTR P&amp;L'!AO2*'IS DRIVERS'!AP3</f>
        <v>-21456.364800728952</v>
      </c>
    </row>
    <row r="4" spans="1:41" x14ac:dyDescent="0.25">
      <c r="A4" s="3" t="s">
        <v>18</v>
      </c>
      <c r="B4" s="6">
        <f>'YTD P&amp;L'!B4</f>
        <v>8767</v>
      </c>
      <c r="C4" s="6">
        <f>'YTD P&amp;L'!C4-'YTD P&amp;L'!B4</f>
        <v>10810</v>
      </c>
      <c r="D4" s="6">
        <f>'YTD P&amp;L'!D4-'YTD P&amp;L'!C4</f>
        <v>11663</v>
      </c>
      <c r="E4" s="6">
        <f>'ANNL P&amp;L'!C4-'YTD P&amp;L'!D4</f>
        <v>14576</v>
      </c>
      <c r="F4" s="6">
        <f>'YTD P&amp;L'!E4</f>
        <v>9858</v>
      </c>
      <c r="G4" s="6">
        <f>'YTD P&amp;L'!F4-'YTD P&amp;L'!E4</f>
        <v>12201</v>
      </c>
      <c r="H4" s="6">
        <f>'YTD P&amp;L'!G4-'YTD P&amp;L'!F4</f>
        <v>12778</v>
      </c>
      <c r="I4" s="6">
        <f>'ANNL P&amp;L'!D4-'YTD P&amp;L'!G4</f>
        <v>14753</v>
      </c>
      <c r="J4" s="6">
        <f>'YTD P&amp;L'!H4</f>
        <v>10002</v>
      </c>
      <c r="K4" s="6">
        <f>'YTD P&amp;L'!I4-'YTD P&amp;L'!H4</f>
        <v>12582</v>
      </c>
      <c r="L4" s="6">
        <f>'YTD P&amp;L'!J4-'YTD P&amp;L'!I4</f>
        <v>12923</v>
      </c>
      <c r="M4" s="6">
        <f>'ANNL P&amp;L'!E4-'YTD P&amp;L'!J4</f>
        <v>14603</v>
      </c>
      <c r="N4" s="6">
        <f>'YTD P&amp;L'!K4</f>
        <v>9993</v>
      </c>
      <c r="O4" s="6">
        <f>'YTD P&amp;L'!L4-'YTD P&amp;L'!K4</f>
        <v>12422</v>
      </c>
      <c r="P4" s="6">
        <f>'YTD P&amp;L'!M4-'YTD P&amp;L'!L4</f>
        <v>12824</v>
      </c>
      <c r="Q4" s="6">
        <f>'ANNL P&amp;L'!F4-'YTD P&amp;L'!M4</f>
        <v>15620</v>
      </c>
      <c r="R4" s="6">
        <f>'YTD P&amp;L'!N4</f>
        <v>10731</v>
      </c>
      <c r="S4" s="7">
        <f t="shared" ref="S4:AO4" si="0">S2+S3</f>
        <v>13609.72744014733</v>
      </c>
      <c r="T4" s="7">
        <f t="shared" si="0"/>
        <v>14334.94876946258</v>
      </c>
      <c r="U4" s="7">
        <f t="shared" si="0"/>
        <v>17572.394274234051</v>
      </c>
      <c r="V4" s="7">
        <f t="shared" si="0"/>
        <v>11643.664992466098</v>
      </c>
      <c r="W4" s="7">
        <f t="shared" si="0"/>
        <v>14767.22644225596</v>
      </c>
      <c r="X4" s="7">
        <f t="shared" si="0"/>
        <v>15554.127402458897</v>
      </c>
      <c r="Y4" s="7">
        <f t="shared" si="0"/>
        <v>19066.915669062597</v>
      </c>
      <c r="Z4" s="7">
        <f t="shared" si="0"/>
        <v>12633.951584827186</v>
      </c>
      <c r="AA4" s="7">
        <f t="shared" si="0"/>
        <v>16023.170027165726</v>
      </c>
      <c r="AB4" s="7">
        <f t="shared" si="0"/>
        <v>16876.99643317196</v>
      </c>
      <c r="AC4" s="7">
        <f t="shared" si="0"/>
        <v>20688.545195244384</v>
      </c>
      <c r="AD4" s="7">
        <f t="shared" si="0"/>
        <v>13708.461446721076</v>
      </c>
      <c r="AE4" s="7">
        <f t="shared" si="0"/>
        <v>17385.93084648603</v>
      </c>
      <c r="AF4" s="7">
        <f t="shared" si="0"/>
        <v>18312.374666564116</v>
      </c>
      <c r="AG4" s="7">
        <f t="shared" si="0"/>
        <v>22448.093321677359</v>
      </c>
      <c r="AH4" s="7">
        <f t="shared" si="0"/>
        <v>14874.357715754109</v>
      </c>
      <c r="AI4" s="7">
        <f t="shared" si="0"/>
        <v>18864.593640729279</v>
      </c>
      <c r="AJ4" s="7">
        <f t="shared" si="0"/>
        <v>19869.830941570741</v>
      </c>
      <c r="AK4" s="7">
        <f t="shared" si="0"/>
        <v>24357.289941033141</v>
      </c>
      <c r="AL4" s="7">
        <f t="shared" si="0"/>
        <v>16139.412750008771</v>
      </c>
      <c r="AM4" s="7">
        <f t="shared" si="0"/>
        <v>20469.015802036909</v>
      </c>
      <c r="AN4" s="7">
        <f t="shared" si="0"/>
        <v>21559.747921031307</v>
      </c>
      <c r="AO4" s="7">
        <f t="shared" si="0"/>
        <v>26428.862566187141</v>
      </c>
    </row>
    <row r="5" spans="1:41" x14ac:dyDescent="0.25">
      <c r="A5" s="3" t="s">
        <v>19</v>
      </c>
      <c r="B5" s="4">
        <f>'YTD P&amp;L'!B5</f>
        <v>-6580</v>
      </c>
      <c r="C5" s="4">
        <f>'YTD P&amp;L'!C5-'YTD P&amp;L'!B5</f>
        <v>-7387</v>
      </c>
      <c r="D5" s="4">
        <f>'YTD P&amp;L'!D5-'YTD P&amp;L'!C5</f>
        <v>-8295</v>
      </c>
      <c r="E5" s="4">
        <f>'ANNL P&amp;L'!C5-'YTD P&amp;L'!D5</f>
        <v>-12197</v>
      </c>
      <c r="F5" s="4">
        <f>'YTD P&amp;L'!E5</f>
        <v>-7229</v>
      </c>
      <c r="G5" s="4">
        <f>'YTD P&amp;L'!F5-'YTD P&amp;L'!E5</f>
        <v>-8542</v>
      </c>
      <c r="H5" s="4">
        <f>'YTD P&amp;L'!G5-'YTD P&amp;L'!F5</f>
        <v>-8757</v>
      </c>
      <c r="I5" s="4">
        <f>'ANNL P&amp;L'!D5-'YTD P&amp;L'!G5</f>
        <v>-12149</v>
      </c>
      <c r="J5" s="4">
        <f>'YTD P&amp;L'!H5</f>
        <v>-7285</v>
      </c>
      <c r="K5" s="4">
        <f>'YTD P&amp;L'!I5-'YTD P&amp;L'!H5</f>
        <v>-8534</v>
      </c>
      <c r="L5" s="4">
        <f>'YTD P&amp;L'!J5-'YTD P&amp;L'!I5</f>
        <v>-9051</v>
      </c>
      <c r="M5" s="4">
        <f>'ANNL P&amp;L'!E5-'YTD P&amp;L'!J5</f>
        <v>-12320</v>
      </c>
      <c r="N5" s="4">
        <f>'YTD P&amp;L'!K5</f>
        <v>-7410</v>
      </c>
      <c r="O5" s="4">
        <f>'YTD P&amp;L'!L5-'YTD P&amp;L'!K5</f>
        <v>-8773</v>
      </c>
      <c r="P5" s="4">
        <f>'YTD P&amp;L'!M5-'YTD P&amp;L'!L5</f>
        <v>-9122</v>
      </c>
      <c r="Q5" s="4">
        <f>'ANNL P&amp;L'!F5-'YTD P&amp;L'!M5</f>
        <v>-12063</v>
      </c>
      <c r="R5" s="4">
        <f>'YTD P&amp;L'!N5</f>
        <v>-7518</v>
      </c>
      <c r="S5" s="11">
        <f>'QTR P&amp;L'!S2*'IS DRIVERS'!T4</f>
        <v>-9534.7992633517497</v>
      </c>
      <c r="T5" s="11">
        <f>'QTR P&amp;L'!T2*'IS DRIVERS'!U4</f>
        <v>-10042.879959819185</v>
      </c>
      <c r="U5" s="11">
        <f>'QTR P&amp;L'!U2*'IS DRIVERS'!V4</f>
        <v>-12310.992466097438</v>
      </c>
      <c r="V5" s="11">
        <f>'QTR P&amp;L'!V2*'IS DRIVERS'!W4</f>
        <v>-8157.401305876444</v>
      </c>
      <c r="W5" s="11">
        <f>'QTR P&amp;L'!W2*'IS DRIVERS'!X4</f>
        <v>-10345.728114144096</v>
      </c>
      <c r="X5" s="11">
        <f>'QTR P&amp;L'!X2*'IS DRIVERS'!Y4</f>
        <v>-10897.020763366507</v>
      </c>
      <c r="Y5" s="11">
        <f>'QTR P&amp;L'!Y2*'IS DRIVERS'!Z4</f>
        <v>-13358.034852298259</v>
      </c>
      <c r="Z5" s="11">
        <f>'QTR P&amp;L'!Z2*'IS DRIVERS'!AA4</f>
        <v>-8851.1833020902777</v>
      </c>
      <c r="AA5" s="11">
        <f>'QTR P&amp;L'!AA2*'IS DRIVERS'!AB4</f>
        <v>-11225.625968151329</v>
      </c>
      <c r="AB5" s="11">
        <f>'QTR P&amp;L'!AB2*'IS DRIVERS'!AC4</f>
        <v>-11823.805720304425</v>
      </c>
      <c r="AC5" s="11">
        <f>'QTR P&amp;L'!AC2*'IS DRIVERS'!AD4</f>
        <v>-14494.127553615439</v>
      </c>
      <c r="AD5" s="11">
        <f>'QTR P&amp;L'!AD2*'IS DRIVERS'!AE4</f>
        <v>-9603.971033123571</v>
      </c>
      <c r="AE5" s="11">
        <f>'QTR P&amp;L'!AE2*'IS DRIVERS'!AF4</f>
        <v>-12180.358596951075</v>
      </c>
      <c r="AF5" s="11">
        <f>'QTR P&amp;L'!AF2*'IS DRIVERS'!AG4</f>
        <v>-12829.413171487189</v>
      </c>
      <c r="AG5" s="11">
        <f>'QTR P&amp;L'!AG2*'IS DRIVERS'!AH4</f>
        <v>-15726.844244932474</v>
      </c>
      <c r="AH5" s="11">
        <f>'QTR P&amp;L'!AH2*'IS DRIVERS'!AI4</f>
        <v>-10420.782900665305</v>
      </c>
      <c r="AI5" s="11">
        <f>'QTR P&amp;L'!AI2*'IS DRIVERS'!AJ4</f>
        <v>-13216.290652409161</v>
      </c>
      <c r="AJ5" s="11">
        <f>'QTR P&amp;L'!AJ2*'IS DRIVERS'!AK4</f>
        <v>-13920.54692188322</v>
      </c>
      <c r="AK5" s="11">
        <f>'QTR P&amp;L'!AK2*'IS DRIVERS'!AL4</f>
        <v>-17064.402737553552</v>
      </c>
      <c r="AL5" s="11">
        <f>'QTR P&amp;L'!AL2*'IS DRIVERS'!AM4</f>
        <v>-11307.064118401448</v>
      </c>
      <c r="AM5" s="11">
        <f>'QTR P&amp;L'!AM2*'IS DRIVERS'!AN4</f>
        <v>-14340.328096143274</v>
      </c>
      <c r="AN5" s="11">
        <f>'QTR P&amp;L'!AN2*'IS DRIVERS'!AO4</f>
        <v>-15104.480930976923</v>
      </c>
      <c r="AO5" s="11">
        <f>'QTR P&amp;L'!AO2*'IS DRIVERS'!AP4</f>
        <v>-18515.719762612516</v>
      </c>
    </row>
    <row r="6" spans="1:41" x14ac:dyDescent="0.25">
      <c r="A6" s="3" t="s">
        <v>20</v>
      </c>
      <c r="B6" s="4">
        <f>'YTD P&amp;L'!B6</f>
        <v>-3322</v>
      </c>
      <c r="C6" s="4">
        <f>'YTD P&amp;L'!C6-'YTD P&amp;L'!B6</f>
        <v>-13</v>
      </c>
      <c r="D6" s="4">
        <f>'YTD P&amp;L'!D6-'YTD P&amp;L'!C6</f>
        <v>14</v>
      </c>
      <c r="E6" s="4">
        <f>'ANNL P&amp;L'!C6-'YTD P&amp;L'!D6</f>
        <v>0</v>
      </c>
      <c r="F6" s="4">
        <f>'YTD P&amp;L'!E6</f>
        <v>0</v>
      </c>
      <c r="G6" s="4">
        <f>'YTD P&amp;L'!F6-'YTD P&amp;L'!E6</f>
        <v>0</v>
      </c>
      <c r="H6" s="4">
        <f>'YTD P&amp;L'!G6-'YTD P&amp;L'!F6</f>
        <v>0</v>
      </c>
      <c r="I6" s="4">
        <f>'ANNL P&amp;L'!D6-'YTD P&amp;L'!G6</f>
        <v>0</v>
      </c>
      <c r="J6" s="4">
        <f>'YTD P&amp;L'!H6</f>
        <v>0</v>
      </c>
      <c r="K6" s="4">
        <f>'YTD P&amp;L'!I6-'YTD P&amp;L'!H6</f>
        <v>0</v>
      </c>
      <c r="L6" s="4">
        <f>'YTD P&amp;L'!J6-'YTD P&amp;L'!I6</f>
        <v>0</v>
      </c>
      <c r="M6" s="4">
        <f>'ANNL P&amp;L'!E6-'YTD P&amp;L'!J6</f>
        <v>0</v>
      </c>
      <c r="N6" s="4">
        <f>'YTD P&amp;L'!K6</f>
        <v>0</v>
      </c>
      <c r="O6" s="4">
        <f>'YTD P&amp;L'!L6-'YTD P&amp;L'!K6</f>
        <v>0</v>
      </c>
      <c r="P6" s="4">
        <f>'YTD P&amp;L'!M6-'YTD P&amp;L'!L6</f>
        <v>0</v>
      </c>
      <c r="Q6" s="4">
        <f>'ANNL P&amp;L'!F6-'YTD P&amp;L'!M6</f>
        <v>0</v>
      </c>
      <c r="R6" s="4">
        <f>'YTD P&amp;L'!N6</f>
        <v>0</v>
      </c>
      <c r="S6" s="11">
        <f>'IS DRIVERS'!T5</f>
        <v>0</v>
      </c>
      <c r="T6" s="11">
        <f>'IS DRIVERS'!U5</f>
        <v>0</v>
      </c>
      <c r="U6" s="11">
        <f>'IS DRIVERS'!V5</f>
        <v>0</v>
      </c>
      <c r="V6" s="11">
        <f>'IS DRIVERS'!W5</f>
        <v>0</v>
      </c>
      <c r="W6" s="11">
        <f>'IS DRIVERS'!X5</f>
        <v>0</v>
      </c>
      <c r="X6" s="11">
        <f>'IS DRIVERS'!Y5</f>
        <v>0</v>
      </c>
      <c r="Y6" s="11">
        <f>'IS DRIVERS'!Z5</f>
        <v>0</v>
      </c>
      <c r="Z6" s="11">
        <f>'IS DRIVERS'!AA5</f>
        <v>0</v>
      </c>
      <c r="AA6" s="11">
        <f>'IS DRIVERS'!AB5</f>
        <v>0</v>
      </c>
      <c r="AB6" s="11">
        <f>'IS DRIVERS'!AC5</f>
        <v>0</v>
      </c>
      <c r="AC6" s="11">
        <f>'IS DRIVERS'!AD5</f>
        <v>0</v>
      </c>
      <c r="AD6" s="11">
        <f>'IS DRIVERS'!AE5</f>
        <v>0</v>
      </c>
      <c r="AE6" s="11">
        <f>'IS DRIVERS'!AF5</f>
        <v>0</v>
      </c>
      <c r="AF6" s="11">
        <f>'IS DRIVERS'!AG5</f>
        <v>0</v>
      </c>
      <c r="AG6" s="11">
        <f>'IS DRIVERS'!AH5</f>
        <v>0</v>
      </c>
      <c r="AH6" s="11">
        <f>'IS DRIVERS'!AI5</f>
        <v>0</v>
      </c>
      <c r="AI6" s="11">
        <f>'IS DRIVERS'!AJ5</f>
        <v>0</v>
      </c>
      <c r="AJ6" s="11">
        <f>'IS DRIVERS'!AK5</f>
        <v>0</v>
      </c>
      <c r="AK6" s="11">
        <f>'IS DRIVERS'!AL5</f>
        <v>0</v>
      </c>
      <c r="AL6" s="11">
        <f>'IS DRIVERS'!AM5</f>
        <v>0</v>
      </c>
      <c r="AM6" s="11">
        <f>'IS DRIVERS'!AN5</f>
        <v>0</v>
      </c>
      <c r="AN6" s="11">
        <f>'IS DRIVERS'!AO5</f>
        <v>0</v>
      </c>
      <c r="AO6" s="11">
        <f>'IS DRIVERS'!AP5</f>
        <v>0</v>
      </c>
    </row>
    <row r="7" spans="1:41" x14ac:dyDescent="0.25">
      <c r="A7" s="3" t="s">
        <v>21</v>
      </c>
      <c r="B7" s="4">
        <f>'YTD P&amp;L'!B7</f>
        <v>-242</v>
      </c>
      <c r="C7" s="4">
        <f>'YTD P&amp;L'!C7-'YTD P&amp;L'!B7</f>
        <v>-1359</v>
      </c>
      <c r="D7" s="4">
        <f>'YTD P&amp;L'!D7-'YTD P&amp;L'!C7</f>
        <v>-1</v>
      </c>
      <c r="E7" s="4">
        <f>'ANNL P&amp;L'!C7-'YTD P&amp;L'!D7</f>
        <v>-1564</v>
      </c>
      <c r="F7" s="4">
        <f>'YTD P&amp;L'!E7</f>
        <v>0</v>
      </c>
      <c r="G7" s="4">
        <f>'YTD P&amp;L'!F7-'YTD P&amp;L'!E7</f>
        <v>0</v>
      </c>
      <c r="H7" s="4">
        <f>'YTD P&amp;L'!G7-'YTD P&amp;L'!F7</f>
        <v>-6</v>
      </c>
      <c r="I7" s="4">
        <f>'ANNL P&amp;L'!D7-'YTD P&amp;L'!G7</f>
        <v>-921</v>
      </c>
      <c r="J7" s="4">
        <f>'YTD P&amp;L'!H7</f>
        <v>0</v>
      </c>
      <c r="K7" s="4">
        <f>'YTD P&amp;L'!I7-'YTD P&amp;L'!H7</f>
        <v>0</v>
      </c>
      <c r="L7" s="4">
        <f>'YTD P&amp;L'!J7-'YTD P&amp;L'!I7</f>
        <v>0</v>
      </c>
      <c r="M7" s="4">
        <f>'ANNL P&amp;L'!E7-'YTD P&amp;L'!J7</f>
        <v>-33</v>
      </c>
      <c r="N7" s="4">
        <f>'YTD P&amp;L'!K7</f>
        <v>0</v>
      </c>
      <c r="O7" s="4">
        <f>'YTD P&amp;L'!L7-'YTD P&amp;L'!K7</f>
        <v>-1860</v>
      </c>
      <c r="P7" s="4">
        <f>'YTD P&amp;L'!M7-'YTD P&amp;L'!L7</f>
        <v>-133</v>
      </c>
      <c r="Q7" s="4">
        <f>'ANNL P&amp;L'!F7-'YTD P&amp;L'!M7</f>
        <v>0</v>
      </c>
      <c r="R7" s="4">
        <f>'YTD P&amp;L'!N7</f>
        <v>0</v>
      </c>
      <c r="S7" s="11">
        <f>'QTR P&amp;L'!S2*'IS DRIVERS'!T6</f>
        <v>0</v>
      </c>
      <c r="T7" s="11">
        <f>'QTR P&amp;L'!T2*'IS DRIVERS'!U6</f>
        <v>0</v>
      </c>
      <c r="U7" s="11">
        <f>'QTR P&amp;L'!U2*'IS DRIVERS'!V6</f>
        <v>0</v>
      </c>
      <c r="V7" s="11">
        <f>'QTR P&amp;L'!V2*'IS DRIVERS'!W6</f>
        <v>0</v>
      </c>
      <c r="W7" s="11">
        <f>'QTR P&amp;L'!W2*'IS DRIVERS'!X6</f>
        <v>0</v>
      </c>
      <c r="X7" s="11">
        <f>'QTR P&amp;L'!X2*'IS DRIVERS'!Y6</f>
        <v>0</v>
      </c>
      <c r="Y7" s="11">
        <f>'QTR P&amp;L'!Y2*'IS DRIVERS'!Z6</f>
        <v>0</v>
      </c>
      <c r="Z7" s="11">
        <f>'QTR P&amp;L'!Z2*'IS DRIVERS'!AA6</f>
        <v>0</v>
      </c>
      <c r="AA7" s="11">
        <f>'QTR P&amp;L'!AA2*'IS DRIVERS'!AB6</f>
        <v>0</v>
      </c>
      <c r="AB7" s="11">
        <f>'QTR P&amp;L'!AB2*'IS DRIVERS'!AC6</f>
        <v>0</v>
      </c>
      <c r="AC7" s="11">
        <f>'QTR P&amp;L'!AC2*'IS DRIVERS'!AD6</f>
        <v>0</v>
      </c>
      <c r="AD7" s="11">
        <f>'QTR P&amp;L'!AD2*'IS DRIVERS'!AE6</f>
        <v>0</v>
      </c>
      <c r="AE7" s="11">
        <f>'QTR P&amp;L'!AE2*'IS DRIVERS'!AF6</f>
        <v>0</v>
      </c>
      <c r="AF7" s="11">
        <f>'QTR P&amp;L'!AF2*'IS DRIVERS'!AG6</f>
        <v>0</v>
      </c>
      <c r="AG7" s="11">
        <f>'QTR P&amp;L'!AG2*'IS DRIVERS'!AH6</f>
        <v>0</v>
      </c>
      <c r="AH7" s="11">
        <f>'QTR P&amp;L'!AH2*'IS DRIVERS'!AI6</f>
        <v>0</v>
      </c>
      <c r="AI7" s="11">
        <f>'QTR P&amp;L'!AI2*'IS DRIVERS'!AJ6</f>
        <v>0</v>
      </c>
      <c r="AJ7" s="11">
        <f>'QTR P&amp;L'!AJ2*'IS DRIVERS'!AK6</f>
        <v>0</v>
      </c>
      <c r="AK7" s="11">
        <f>'QTR P&amp;L'!AK2*'IS DRIVERS'!AL6</f>
        <v>0</v>
      </c>
      <c r="AL7" s="11">
        <f>'QTR P&amp;L'!AL2*'IS DRIVERS'!AM6</f>
        <v>0</v>
      </c>
      <c r="AM7" s="11">
        <f>'QTR P&amp;L'!AM2*'IS DRIVERS'!AN6</f>
        <v>0</v>
      </c>
      <c r="AN7" s="11">
        <f>'QTR P&amp;L'!AN2*'IS DRIVERS'!AO6</f>
        <v>0</v>
      </c>
      <c r="AO7" s="11">
        <f>'QTR P&amp;L'!AO2*'IS DRIVERS'!AP6</f>
        <v>0</v>
      </c>
    </row>
    <row r="8" spans="1:41" x14ac:dyDescent="0.25">
      <c r="A8" s="3" t="s">
        <v>22</v>
      </c>
      <c r="B8" s="6">
        <f>'YTD P&amp;L'!B8</f>
        <v>-1377</v>
      </c>
      <c r="C8" s="6">
        <f>'YTD P&amp;L'!C8-'YTD P&amp;L'!B8</f>
        <v>2051</v>
      </c>
      <c r="D8" s="6">
        <f>'YTD P&amp;L'!D8-'YTD P&amp;L'!C8</f>
        <v>3381</v>
      </c>
      <c r="E8" s="6">
        <f>'ANNL P&amp;L'!C8-'YTD P&amp;L'!D8</f>
        <v>815</v>
      </c>
      <c r="F8" s="6">
        <f>'YTD P&amp;L'!E8</f>
        <v>2629</v>
      </c>
      <c r="G8" s="6">
        <f>'YTD P&amp;L'!F8-'YTD P&amp;L'!E8</f>
        <v>3659</v>
      </c>
      <c r="H8" s="6">
        <f>'YTD P&amp;L'!G8-'YTD P&amp;L'!F8</f>
        <v>4015</v>
      </c>
      <c r="I8" s="6">
        <f>'ANNL P&amp;L'!D8-'YTD P&amp;L'!G8</f>
        <v>1683</v>
      </c>
      <c r="J8" s="6">
        <f>'YTD P&amp;L'!H8</f>
        <v>2717</v>
      </c>
      <c r="K8" s="6">
        <f>'YTD P&amp;L'!I8-'YTD P&amp;L'!H8</f>
        <v>4048</v>
      </c>
      <c r="L8" s="6">
        <f>'YTD P&amp;L'!J8-'YTD P&amp;L'!I8</f>
        <v>3872</v>
      </c>
      <c r="M8" s="6">
        <f>'ANNL P&amp;L'!E8-'YTD P&amp;L'!J8</f>
        <v>2250</v>
      </c>
      <c r="N8" s="6">
        <f>'YTD P&amp;L'!K8</f>
        <v>2583</v>
      </c>
      <c r="O8" s="6">
        <f>'YTD P&amp;L'!L8-'YTD P&amp;L'!K8</f>
        <v>1789</v>
      </c>
      <c r="P8" s="6">
        <f>'YTD P&amp;L'!M8-'YTD P&amp;L'!L8</f>
        <v>3569</v>
      </c>
      <c r="Q8" s="6">
        <f>'ANNL P&amp;L'!F8-'YTD P&amp;L'!M8</f>
        <v>3557</v>
      </c>
      <c r="R8" s="6">
        <f>'YTD P&amp;L'!N8</f>
        <v>3213</v>
      </c>
      <c r="S8" s="7">
        <f t="shared" ref="S8:AO8" si="1">S4+SUM(S5:S7)</f>
        <v>4074.9281767955799</v>
      </c>
      <c r="T8" s="7">
        <f t="shared" si="1"/>
        <v>4292.0688096433951</v>
      </c>
      <c r="U8" s="7">
        <f t="shared" si="1"/>
        <v>5261.4018081366139</v>
      </c>
      <c r="V8" s="7">
        <f t="shared" si="1"/>
        <v>3486.2636865896538</v>
      </c>
      <c r="W8" s="7">
        <f t="shared" si="1"/>
        <v>4421.4983281118639</v>
      </c>
      <c r="X8" s="7">
        <f t="shared" si="1"/>
        <v>4657.1066390923897</v>
      </c>
      <c r="Y8" s="7">
        <f t="shared" si="1"/>
        <v>5708.8808167643383</v>
      </c>
      <c r="Z8" s="7">
        <f t="shared" si="1"/>
        <v>3782.7682827369081</v>
      </c>
      <c r="AA8" s="7">
        <f t="shared" si="1"/>
        <v>4797.5440590143971</v>
      </c>
      <c r="AB8" s="7">
        <f t="shared" si="1"/>
        <v>5053.1907128675357</v>
      </c>
      <c r="AC8" s="7">
        <f t="shared" si="1"/>
        <v>6194.4176416289447</v>
      </c>
      <c r="AD8" s="7">
        <f t="shared" si="1"/>
        <v>4104.4904135975048</v>
      </c>
      <c r="AE8" s="7">
        <f t="shared" si="1"/>
        <v>5205.5722495349546</v>
      </c>
      <c r="AF8" s="7">
        <f t="shared" si="1"/>
        <v>5482.9614950769264</v>
      </c>
      <c r="AG8" s="7">
        <f t="shared" si="1"/>
        <v>6721.2490767448853</v>
      </c>
      <c r="AH8" s="7">
        <f t="shared" si="1"/>
        <v>4453.5748150888048</v>
      </c>
      <c r="AI8" s="7">
        <f t="shared" si="1"/>
        <v>5648.3029883201179</v>
      </c>
      <c r="AJ8" s="7">
        <f t="shared" si="1"/>
        <v>5949.2840196875204</v>
      </c>
      <c r="AK8" s="7">
        <f t="shared" si="1"/>
        <v>7292.8872034795895</v>
      </c>
      <c r="AL8" s="7">
        <f t="shared" si="1"/>
        <v>4832.3486316073231</v>
      </c>
      <c r="AM8" s="7">
        <f t="shared" si="1"/>
        <v>6128.6877058936352</v>
      </c>
      <c r="AN8" s="7">
        <f t="shared" si="1"/>
        <v>6455.2669900543842</v>
      </c>
      <c r="AO8" s="7">
        <f t="shared" si="1"/>
        <v>7913.1428035746248</v>
      </c>
    </row>
    <row r="9" spans="1:41" x14ac:dyDescent="0.25">
      <c r="A9" s="3" t="s">
        <v>23</v>
      </c>
      <c r="B9" s="4">
        <f>'YTD P&amp;L'!B9</f>
        <v>134</v>
      </c>
      <c r="C9" s="4">
        <f>'YTD P&amp;L'!C9-'YTD P&amp;L'!B9</f>
        <v>-2</v>
      </c>
      <c r="D9" s="4">
        <f>'YTD P&amp;L'!D9-'YTD P&amp;L'!C9</f>
        <v>36</v>
      </c>
      <c r="E9" s="4">
        <f>'ANNL P&amp;L'!C9-'YTD P&amp;L'!D9</f>
        <v>-36</v>
      </c>
      <c r="F9" s="4">
        <f>'YTD P&amp;L'!E9</f>
        <v>61</v>
      </c>
      <c r="G9" s="4">
        <f>'YTD P&amp;L'!F9-'YTD P&amp;L'!E9</f>
        <v>60</v>
      </c>
      <c r="H9" s="4">
        <f>'YTD P&amp;L'!G9-'YTD P&amp;L'!F9</f>
        <v>62</v>
      </c>
      <c r="I9" s="4">
        <f>'ANNL P&amp;L'!D9-'YTD P&amp;L'!G9</f>
        <v>67</v>
      </c>
      <c r="J9" s="4">
        <f>'YTD P&amp;L'!H9</f>
        <v>58</v>
      </c>
      <c r="K9" s="4">
        <f>'YTD P&amp;L'!I9-'YTD P&amp;L'!H9</f>
        <v>56</v>
      </c>
      <c r="L9" s="4">
        <f>'YTD P&amp;L'!J9-'YTD P&amp;L'!I9</f>
        <v>41</v>
      </c>
      <c r="M9" s="4">
        <f>'ANNL P&amp;L'!E9-'YTD P&amp;L'!J9</f>
        <v>-177</v>
      </c>
      <c r="N9" s="4">
        <f>'YTD P&amp;L'!K9</f>
        <v>23</v>
      </c>
      <c r="O9" s="4">
        <f>'YTD P&amp;L'!L9-'YTD P&amp;L'!K9</f>
        <v>42</v>
      </c>
      <c r="P9" s="4">
        <f>'YTD P&amp;L'!M9-'YTD P&amp;L'!L9</f>
        <v>26</v>
      </c>
      <c r="Q9" s="4">
        <f>'ANNL P&amp;L'!F9-'YTD P&amp;L'!M9</f>
        <v>-224</v>
      </c>
      <c r="R9" s="4">
        <f>'YTD P&amp;L'!N9</f>
        <v>58</v>
      </c>
      <c r="S9" s="11">
        <f>'IS DRIVERS'!T7</f>
        <v>58</v>
      </c>
      <c r="T9" s="11">
        <f>'IS DRIVERS'!U7</f>
        <v>58</v>
      </c>
      <c r="U9" s="11">
        <f>'IS DRIVERS'!V7</f>
        <v>58</v>
      </c>
      <c r="V9" s="11">
        <f>'IS DRIVERS'!W7</f>
        <v>58</v>
      </c>
      <c r="W9" s="11">
        <f>'IS DRIVERS'!X7</f>
        <v>58</v>
      </c>
      <c r="X9" s="11">
        <f>'IS DRIVERS'!Y7</f>
        <v>58</v>
      </c>
      <c r="Y9" s="11">
        <f>'IS DRIVERS'!Z7</f>
        <v>58</v>
      </c>
      <c r="Z9" s="11">
        <f>'IS DRIVERS'!AA7</f>
        <v>58</v>
      </c>
      <c r="AA9" s="11">
        <f>'IS DRIVERS'!AB7</f>
        <v>58</v>
      </c>
      <c r="AB9" s="11">
        <f>'IS DRIVERS'!AC7</f>
        <v>58</v>
      </c>
      <c r="AC9" s="11">
        <f>'IS DRIVERS'!AD7</f>
        <v>58</v>
      </c>
      <c r="AD9" s="11">
        <f>'IS DRIVERS'!AE7</f>
        <v>58</v>
      </c>
      <c r="AE9" s="11">
        <f>'IS DRIVERS'!AF7</f>
        <v>58</v>
      </c>
      <c r="AF9" s="11">
        <f>'IS DRIVERS'!AG7</f>
        <v>58</v>
      </c>
      <c r="AG9" s="11">
        <f>'IS DRIVERS'!AH7</f>
        <v>58</v>
      </c>
      <c r="AH9" s="11">
        <f>'IS DRIVERS'!AI7</f>
        <v>58</v>
      </c>
      <c r="AI9" s="11">
        <f>'IS DRIVERS'!AJ7</f>
        <v>58</v>
      </c>
      <c r="AJ9" s="11">
        <f>'IS DRIVERS'!AK7</f>
        <v>58</v>
      </c>
      <c r="AK9" s="11">
        <f>'IS DRIVERS'!AL7</f>
        <v>58</v>
      </c>
      <c r="AL9" s="11">
        <f>'IS DRIVERS'!AM7</f>
        <v>58</v>
      </c>
      <c r="AM9" s="11">
        <f>'IS DRIVERS'!AN7</f>
        <v>58</v>
      </c>
      <c r="AN9" s="11">
        <f>'IS DRIVERS'!AO7</f>
        <v>58</v>
      </c>
      <c r="AO9" s="11">
        <f>'IS DRIVERS'!AP7</f>
        <v>58</v>
      </c>
    </row>
    <row r="10" spans="1:41" x14ac:dyDescent="0.25">
      <c r="A10" s="3" t="s">
        <v>24</v>
      </c>
      <c r="B10" s="4">
        <f>'YTD P&amp;L'!B10</f>
        <v>-240</v>
      </c>
      <c r="C10" s="4">
        <f>'YTD P&amp;L'!C10-'YTD P&amp;L'!B10</f>
        <v>-236</v>
      </c>
      <c r="D10" s="4">
        <f>'YTD P&amp;L'!D10-'YTD P&amp;L'!C10</f>
        <v>-190</v>
      </c>
      <c r="E10" s="4">
        <f>'ANNL P&amp;L'!C10-'YTD P&amp;L'!D10</f>
        <v>-273</v>
      </c>
      <c r="F10" s="4">
        <f>'YTD P&amp;L'!E10</f>
        <v>-200</v>
      </c>
      <c r="G10" s="4">
        <f>'YTD P&amp;L'!F10-'YTD P&amp;L'!E10</f>
        <v>-201</v>
      </c>
      <c r="H10" s="4">
        <f>'YTD P&amp;L'!G10-'YTD P&amp;L'!F10</f>
        <v>-201</v>
      </c>
      <c r="I10" s="4">
        <f>'ANNL P&amp;L'!D10-'YTD P&amp;L'!G10</f>
        <v>-217</v>
      </c>
      <c r="J10" s="4">
        <f>'YTD P&amp;L'!H10</f>
        <v>-202</v>
      </c>
      <c r="K10" s="4">
        <f>'YTD P&amp;L'!I10-'YTD P&amp;L'!H10</f>
        <v>-234</v>
      </c>
      <c r="L10" s="4">
        <f>'YTD P&amp;L'!J10-'YTD P&amp;L'!I10</f>
        <v>-219</v>
      </c>
      <c r="M10" s="4">
        <f>'ANNL P&amp;L'!E10-'YTD P&amp;L'!J10</f>
        <v>-264</v>
      </c>
      <c r="N10" s="4">
        <f>'YTD P&amp;L'!K10</f>
        <v>-264</v>
      </c>
      <c r="O10" s="4">
        <f>'YTD P&amp;L'!L10-'YTD P&amp;L'!K10</f>
        <v>-260</v>
      </c>
      <c r="P10" s="4">
        <f>'YTD P&amp;L'!M10-'YTD P&amp;L'!L10</f>
        <v>-264</v>
      </c>
      <c r="Q10" s="4">
        <f>'ANNL P&amp;L'!F10-'YTD P&amp;L'!M10</f>
        <v>-333</v>
      </c>
      <c r="R10" s="4">
        <f>'YTD P&amp;L'!N10</f>
        <v>-301</v>
      </c>
      <c r="S10" s="11">
        <f>'IS DRIVERS'!T8</f>
        <v>-301</v>
      </c>
      <c r="T10" s="11">
        <f>'IS DRIVERS'!U8</f>
        <v>-301</v>
      </c>
      <c r="U10" s="11">
        <f>'IS DRIVERS'!V8</f>
        <v>-301</v>
      </c>
      <c r="V10" s="11">
        <f>'IS DRIVERS'!W8</f>
        <v>-301</v>
      </c>
      <c r="W10" s="11">
        <f>'IS DRIVERS'!X8</f>
        <v>-301</v>
      </c>
      <c r="X10" s="11">
        <f>'IS DRIVERS'!Y8</f>
        <v>-301</v>
      </c>
      <c r="Y10" s="11">
        <f>'IS DRIVERS'!Z8</f>
        <v>-301</v>
      </c>
      <c r="Z10" s="11">
        <f>'IS DRIVERS'!AA8</f>
        <v>-301</v>
      </c>
      <c r="AA10" s="11">
        <f>'IS DRIVERS'!AB8</f>
        <v>-301</v>
      </c>
      <c r="AB10" s="11">
        <f>'IS DRIVERS'!AC8</f>
        <v>-301</v>
      </c>
      <c r="AC10" s="11">
        <f>'IS DRIVERS'!AD8</f>
        <v>-301</v>
      </c>
      <c r="AD10" s="11">
        <f>'IS DRIVERS'!AE8</f>
        <v>-301</v>
      </c>
      <c r="AE10" s="11">
        <f>'IS DRIVERS'!AF8</f>
        <v>-301</v>
      </c>
      <c r="AF10" s="11">
        <f>'IS DRIVERS'!AG8</f>
        <v>-301</v>
      </c>
      <c r="AG10" s="11">
        <f>'IS DRIVERS'!AH8</f>
        <v>-301</v>
      </c>
      <c r="AH10" s="11">
        <f>'IS DRIVERS'!AI8</f>
        <v>-301</v>
      </c>
      <c r="AI10" s="11">
        <f>'IS DRIVERS'!AJ8</f>
        <v>-301</v>
      </c>
      <c r="AJ10" s="11">
        <f>'IS DRIVERS'!AK8</f>
        <v>-301</v>
      </c>
      <c r="AK10" s="11">
        <f>'IS DRIVERS'!AL8</f>
        <v>-301</v>
      </c>
      <c r="AL10" s="11">
        <f>'IS DRIVERS'!AM8</f>
        <v>-301</v>
      </c>
      <c r="AM10" s="11">
        <f>'IS DRIVERS'!AN8</f>
        <v>-301</v>
      </c>
      <c r="AN10" s="11">
        <f>'IS DRIVERS'!AO8</f>
        <v>-301</v>
      </c>
      <c r="AO10" s="11">
        <f>'IS DRIVERS'!AP8</f>
        <v>-301</v>
      </c>
    </row>
    <row r="11" spans="1:41" x14ac:dyDescent="0.25">
      <c r="A11" s="3" t="s">
        <v>25</v>
      </c>
      <c r="B11" s="6">
        <f>'YTD P&amp;L'!B11</f>
        <v>-1483</v>
      </c>
      <c r="C11" s="6">
        <f>'YTD P&amp;L'!C11-'YTD P&amp;L'!B11</f>
        <v>1813</v>
      </c>
      <c r="D11" s="6">
        <f>'YTD P&amp;L'!D11-'YTD P&amp;L'!C11</f>
        <v>3227</v>
      </c>
      <c r="E11" s="6">
        <f>'ANNL P&amp;L'!C11-'YTD P&amp;L'!D11</f>
        <v>506</v>
      </c>
      <c r="F11" s="6">
        <f>'YTD P&amp;L'!E11</f>
        <v>2490</v>
      </c>
      <c r="G11" s="6">
        <f>'YTD P&amp;L'!F11-'YTD P&amp;L'!E11</f>
        <v>3518</v>
      </c>
      <c r="H11" s="6">
        <f>'YTD P&amp;L'!G11-'YTD P&amp;L'!F11</f>
        <v>3876</v>
      </c>
      <c r="I11" s="6">
        <f>'ANNL P&amp;L'!D11-'YTD P&amp;L'!G11</f>
        <v>1533</v>
      </c>
      <c r="J11" s="6">
        <f>'YTD P&amp;L'!H11</f>
        <v>2573</v>
      </c>
      <c r="K11" s="6">
        <f>'YTD P&amp;L'!I11-'YTD P&amp;L'!H11</f>
        <v>3870</v>
      </c>
      <c r="L11" s="6">
        <f>'YTD P&amp;L'!J11-'YTD P&amp;L'!I11</f>
        <v>3694</v>
      </c>
      <c r="M11" s="6">
        <f>'ANNL P&amp;L'!E11-'YTD P&amp;L'!J11</f>
        <v>1809</v>
      </c>
      <c r="N11" s="6">
        <f>'YTD P&amp;L'!K11</f>
        <v>2342</v>
      </c>
      <c r="O11" s="6">
        <f>'YTD P&amp;L'!L11-'YTD P&amp;L'!K11</f>
        <v>1571</v>
      </c>
      <c r="P11" s="6">
        <f>'YTD P&amp;L'!M11-'YTD P&amp;L'!L11</f>
        <v>3331</v>
      </c>
      <c r="Q11" s="6">
        <f>'ANNL P&amp;L'!F11-'YTD P&amp;L'!M11</f>
        <v>3000</v>
      </c>
      <c r="R11" s="6">
        <f>'YTD P&amp;L'!N11</f>
        <v>2970</v>
      </c>
      <c r="S11" s="7">
        <f t="shared" ref="S11:AO11" si="2">S8+SUM(S9:S10)</f>
        <v>3831.9281767955799</v>
      </c>
      <c r="T11" s="7">
        <f t="shared" si="2"/>
        <v>4049.0688096433951</v>
      </c>
      <c r="U11" s="7">
        <f t="shared" si="2"/>
        <v>5018.4018081366139</v>
      </c>
      <c r="V11" s="7">
        <f t="shared" si="2"/>
        <v>3243.2636865896538</v>
      </c>
      <c r="W11" s="7">
        <f t="shared" si="2"/>
        <v>4178.4983281118639</v>
      </c>
      <c r="X11" s="7">
        <f t="shared" si="2"/>
        <v>4414.1066390923897</v>
      </c>
      <c r="Y11" s="7">
        <f t="shared" si="2"/>
        <v>5465.8808167643383</v>
      </c>
      <c r="Z11" s="7">
        <f t="shared" si="2"/>
        <v>3539.7682827369081</v>
      </c>
      <c r="AA11" s="7">
        <f t="shared" si="2"/>
        <v>4554.5440590143971</v>
      </c>
      <c r="AB11" s="7">
        <f t="shared" si="2"/>
        <v>4810.1907128675357</v>
      </c>
      <c r="AC11" s="7">
        <f t="shared" si="2"/>
        <v>5951.4176416289447</v>
      </c>
      <c r="AD11" s="7">
        <f t="shared" si="2"/>
        <v>3861.4904135975048</v>
      </c>
      <c r="AE11" s="7">
        <f t="shared" si="2"/>
        <v>4962.5722495349546</v>
      </c>
      <c r="AF11" s="7">
        <f t="shared" si="2"/>
        <v>5239.9614950769264</v>
      </c>
      <c r="AG11" s="7">
        <f t="shared" si="2"/>
        <v>6478.2490767448853</v>
      </c>
      <c r="AH11" s="7">
        <f t="shared" si="2"/>
        <v>4210.5748150888048</v>
      </c>
      <c r="AI11" s="7">
        <f t="shared" si="2"/>
        <v>5405.3029883201179</v>
      </c>
      <c r="AJ11" s="7">
        <f t="shared" si="2"/>
        <v>5706.2840196875204</v>
      </c>
      <c r="AK11" s="7">
        <f t="shared" si="2"/>
        <v>7049.8872034795895</v>
      </c>
      <c r="AL11" s="7">
        <f t="shared" si="2"/>
        <v>4589.3486316073231</v>
      </c>
      <c r="AM11" s="7">
        <f t="shared" si="2"/>
        <v>5885.6877058936352</v>
      </c>
      <c r="AN11" s="7">
        <f t="shared" si="2"/>
        <v>6212.2669900543842</v>
      </c>
      <c r="AO11" s="7">
        <f t="shared" si="2"/>
        <v>7670.1428035746248</v>
      </c>
    </row>
    <row r="12" spans="1:41" x14ac:dyDescent="0.25">
      <c r="A12" s="3" t="s">
        <v>26</v>
      </c>
      <c r="B12" s="4">
        <f>'YTD P&amp;L'!B12</f>
        <v>-888</v>
      </c>
      <c r="C12" s="4">
        <f>'YTD P&amp;L'!C12-'YTD P&amp;L'!B12</f>
        <v>-393</v>
      </c>
      <c r="D12" s="4">
        <f>'YTD P&amp;L'!D12-'YTD P&amp;L'!C12</f>
        <v>-475</v>
      </c>
      <c r="E12" s="4">
        <f>'ANNL P&amp;L'!C12-'YTD P&amp;L'!D12</f>
        <v>29</v>
      </c>
      <c r="F12" s="4">
        <f>'YTD P&amp;L'!E12</f>
        <v>-546</v>
      </c>
      <c r="G12" s="4">
        <f>'YTD P&amp;L'!F12-'YTD P&amp;L'!E12</f>
        <v>-747</v>
      </c>
      <c r="H12" s="4">
        <f>'YTD P&amp;L'!G12-'YTD P&amp;L'!F12</f>
        <v>-760</v>
      </c>
      <c r="I12" s="4">
        <f>'ANNL P&amp;L'!D12-'YTD P&amp;L'!G12</f>
        <v>-209</v>
      </c>
      <c r="J12" s="4">
        <f>'YTD P&amp;L'!H12</f>
        <v>-520</v>
      </c>
      <c r="K12" s="4">
        <f>'YTD P&amp;L'!I12-'YTD P&amp;L'!H12</f>
        <v>-776</v>
      </c>
      <c r="L12" s="4">
        <f>'YTD P&amp;L'!J12-'YTD P&amp;L'!I12</f>
        <v>-749</v>
      </c>
      <c r="M12" s="4">
        <f>'ANNL P&amp;L'!E12-'YTD P&amp;L'!J12</f>
        <v>-275</v>
      </c>
      <c r="N12" s="4">
        <f>'YTD P&amp;L'!K12</f>
        <v>-499</v>
      </c>
      <c r="O12" s="4">
        <f>'YTD P&amp;L'!L12-'YTD P&amp;L'!K12</f>
        <v>-292</v>
      </c>
      <c r="P12" s="4">
        <f>'YTD P&amp;L'!M12-'YTD P&amp;L'!L12</f>
        <v>-713</v>
      </c>
      <c r="Q12" s="4">
        <f>'ANNL P&amp;L'!F12-'YTD P&amp;L'!M12</f>
        <v>-445</v>
      </c>
      <c r="R12" s="4">
        <f>'YTD P&amp;L'!N12</f>
        <v>-632</v>
      </c>
      <c r="S12" s="11">
        <f>'QTR P&amp;L'!S11*'IS DRIVERS'!T9</f>
        <v>-815.4136726379819</v>
      </c>
      <c r="T12" s="11">
        <f>'QTR P&amp;L'!T11*'IS DRIVERS'!U9</f>
        <v>-861.62002952680996</v>
      </c>
      <c r="U12" s="11">
        <f>'QTR P&amp;L'!U11*'IS DRIVERS'!V9</f>
        <v>-1067.8888696102154</v>
      </c>
      <c r="V12" s="11">
        <f>'QTR P&amp;L'!V11*'IS DRIVERS'!W9</f>
        <v>-690.14904037867382</v>
      </c>
      <c r="W12" s="11">
        <f>'QTR P&amp;L'!W11*'IS DRIVERS'!X9</f>
        <v>-889.16193379350102</v>
      </c>
      <c r="X12" s="11">
        <f>'QTR P&amp;L'!X11*'IS DRIVERS'!Y9</f>
        <v>-939.2981130997947</v>
      </c>
      <c r="Y12" s="11">
        <f>'QTR P&amp;L'!Y11*'IS DRIVERS'!Z9</f>
        <v>-1163.1099919848693</v>
      </c>
      <c r="Z12" s="11">
        <f>'QTR P&amp;L'!Z11*'IS DRIVERS'!AA9</f>
        <v>-753.24362110765173</v>
      </c>
      <c r="AA12" s="11">
        <f>'QTR P&amp;L'!AA11*'IS DRIVERS'!AB9</f>
        <v>-969.18243949397265</v>
      </c>
      <c r="AB12" s="11">
        <f>'QTR P&amp;L'!AB11*'IS DRIVERS'!AC9</f>
        <v>-1023.5826702128898</v>
      </c>
      <c r="AC12" s="11">
        <f>'QTR P&amp;L'!AC11*'IS DRIVERS'!AD9</f>
        <v>-1266.4296126294589</v>
      </c>
      <c r="AD12" s="11">
        <f>'QTR P&amp;L'!AD11*'IS DRIVERS'!AE9</f>
        <v>-821.70435737159016</v>
      </c>
      <c r="AE12" s="11">
        <f>'QTR P&amp;L'!AE11*'IS DRIVERS'!AF9</f>
        <v>-1056.0086403050811</v>
      </c>
      <c r="AF12" s="11">
        <f>'QTR P&amp;L'!AF11*'IS DRIVERS'!AG9</f>
        <v>-1115.035577403575</v>
      </c>
      <c r="AG12" s="11">
        <f>'QTR P&amp;L'!AG11*'IS DRIVERS'!AH9</f>
        <v>-1378.5365038729856</v>
      </c>
      <c r="AH12" s="11">
        <f>'QTR P&amp;L'!AH11*'IS DRIVERS'!AI9</f>
        <v>-895.98763741957055</v>
      </c>
      <c r="AI12" s="11">
        <f>'QTR P&amp;L'!AI11*'IS DRIVERS'!AJ9</f>
        <v>-1150.219356437143</v>
      </c>
      <c r="AJ12" s="11">
        <f>'QTR P&amp;L'!AJ11*'IS DRIVERS'!AK9</f>
        <v>-1214.2664984654925</v>
      </c>
      <c r="AK12" s="11">
        <f>'QTR P&amp;L'!AK11*'IS DRIVERS'!AL9</f>
        <v>-1500.1780177101348</v>
      </c>
      <c r="AL12" s="11">
        <f>'QTR P&amp;L'!AL11*'IS DRIVERS'!AM9</f>
        <v>-976.58866504236642</v>
      </c>
      <c r="AM12" s="11">
        <f>'QTR P&amp;L'!AM11*'IS DRIVERS'!AN9</f>
        <v>-1252.442636405649</v>
      </c>
      <c r="AN12" s="11">
        <f>'QTR P&amp;L'!AN11*'IS DRIVERS'!AO9</f>
        <v>-1321.9369487253773</v>
      </c>
      <c r="AO12" s="11">
        <f>'QTR P&amp;L'!AO11*'IS DRIVERS'!AP9</f>
        <v>-1632.1650679660481</v>
      </c>
    </row>
    <row r="13" spans="1:41" x14ac:dyDescent="0.25">
      <c r="A13" s="3" t="s">
        <v>27</v>
      </c>
      <c r="B13" s="6">
        <f>'YTD P&amp;L'!B13</f>
        <v>-2371</v>
      </c>
      <c r="C13" s="6">
        <f>'YTD P&amp;L'!C13-'YTD P&amp;L'!B13</f>
        <v>1420</v>
      </c>
      <c r="D13" s="6">
        <f>'YTD P&amp;L'!D13-'YTD P&amp;L'!C13</f>
        <v>2752</v>
      </c>
      <c r="E13" s="6">
        <f>'ANNL P&amp;L'!C13-'YTD P&amp;L'!D13</f>
        <v>535</v>
      </c>
      <c r="F13" s="6">
        <f>'YTD P&amp;L'!E13</f>
        <v>1944</v>
      </c>
      <c r="G13" s="6">
        <f>'YTD P&amp;L'!F13-'YTD P&amp;L'!E13</f>
        <v>2771</v>
      </c>
      <c r="H13" s="6">
        <f>'YTD P&amp;L'!G13-'YTD P&amp;L'!F13</f>
        <v>3116</v>
      </c>
      <c r="I13" s="6">
        <f>'ANNL P&amp;L'!D13-'YTD P&amp;L'!G13</f>
        <v>1324</v>
      </c>
      <c r="J13" s="6">
        <f>'YTD P&amp;L'!H13</f>
        <v>2053</v>
      </c>
      <c r="K13" s="6">
        <f>'YTD P&amp;L'!I13-'YTD P&amp;L'!H13</f>
        <v>3094</v>
      </c>
      <c r="L13" s="6">
        <f>'YTD P&amp;L'!J13-'YTD P&amp;L'!I13</f>
        <v>2945</v>
      </c>
      <c r="M13" s="6">
        <f>'ANNL P&amp;L'!E13-'YTD P&amp;L'!J13</f>
        <v>1534</v>
      </c>
      <c r="N13" s="6">
        <f>'YTD P&amp;L'!K13</f>
        <v>1843</v>
      </c>
      <c r="O13" s="6">
        <f>'YTD P&amp;L'!L13-'YTD P&amp;L'!K13</f>
        <v>1279</v>
      </c>
      <c r="P13" s="6">
        <f>'YTD P&amp;L'!M13-'YTD P&amp;L'!L13</f>
        <v>2618</v>
      </c>
      <c r="Q13" s="6">
        <f>'ANNL P&amp;L'!F13-'YTD P&amp;L'!M13</f>
        <v>2555</v>
      </c>
      <c r="R13" s="6">
        <f>'YTD P&amp;L'!N13</f>
        <v>2338</v>
      </c>
      <c r="S13" s="7">
        <f t="shared" ref="S13:AO13" si="3">S11+S12</f>
        <v>3016.5145041575979</v>
      </c>
      <c r="T13" s="7">
        <f t="shared" si="3"/>
        <v>3187.4487801165851</v>
      </c>
      <c r="U13" s="7">
        <f t="shared" si="3"/>
        <v>3950.5129385263986</v>
      </c>
      <c r="V13" s="7">
        <f t="shared" si="3"/>
        <v>2553.11464621098</v>
      </c>
      <c r="W13" s="7">
        <f t="shared" si="3"/>
        <v>3289.3363943183631</v>
      </c>
      <c r="X13" s="7">
        <f t="shared" si="3"/>
        <v>3474.8085259925952</v>
      </c>
      <c r="Y13" s="7">
        <f t="shared" si="3"/>
        <v>4302.770824779469</v>
      </c>
      <c r="Z13" s="7">
        <f t="shared" si="3"/>
        <v>2786.5246616292561</v>
      </c>
      <c r="AA13" s="7">
        <f t="shared" si="3"/>
        <v>3585.3616195204245</v>
      </c>
      <c r="AB13" s="7">
        <f t="shared" si="3"/>
        <v>3786.6080426546459</v>
      </c>
      <c r="AC13" s="7">
        <f t="shared" si="3"/>
        <v>4684.9880289994853</v>
      </c>
      <c r="AD13" s="7">
        <f t="shared" si="3"/>
        <v>3039.7860562259148</v>
      </c>
      <c r="AE13" s="7">
        <f t="shared" si="3"/>
        <v>3906.5636092298737</v>
      </c>
      <c r="AF13" s="7">
        <f t="shared" si="3"/>
        <v>4124.9259176733513</v>
      </c>
      <c r="AG13" s="7">
        <f t="shared" si="3"/>
        <v>5099.7125728719002</v>
      </c>
      <c r="AH13" s="7">
        <f t="shared" si="3"/>
        <v>3314.5871776692343</v>
      </c>
      <c r="AI13" s="7">
        <f t="shared" si="3"/>
        <v>4255.0836318829752</v>
      </c>
      <c r="AJ13" s="7">
        <f t="shared" si="3"/>
        <v>4492.0175212220274</v>
      </c>
      <c r="AK13" s="7">
        <f t="shared" si="3"/>
        <v>5549.709185769455</v>
      </c>
      <c r="AL13" s="7">
        <f t="shared" si="3"/>
        <v>3612.7599665649568</v>
      </c>
      <c r="AM13" s="7">
        <f t="shared" si="3"/>
        <v>4633.2450694879863</v>
      </c>
      <c r="AN13" s="7">
        <f t="shared" si="3"/>
        <v>4890.3300413290071</v>
      </c>
      <c r="AO13" s="7">
        <f t="shared" si="3"/>
        <v>6037.9777356085769</v>
      </c>
    </row>
    <row r="14" spans="1:41" x14ac:dyDescent="0.25">
      <c r="A14" s="3" t="s">
        <v>28</v>
      </c>
      <c r="B14" s="4">
        <f>'YTD P&amp;L'!B14</f>
        <v>12</v>
      </c>
      <c r="C14" s="4">
        <f>'YTD P&amp;L'!C14-'YTD P&amp;L'!B14</f>
        <v>17</v>
      </c>
      <c r="D14" s="4">
        <f>'YTD P&amp;L'!D14-'YTD P&amp;L'!C14</f>
        <v>22</v>
      </c>
      <c r="E14" s="4">
        <f>'ANNL P&amp;L'!C14-'YTD P&amp;L'!D14</f>
        <v>17</v>
      </c>
      <c r="F14" s="4">
        <f>'YTD P&amp;L'!E14</f>
        <v>12</v>
      </c>
      <c r="G14" s="4">
        <f>'YTD P&amp;L'!F14-'YTD P&amp;L'!E14</f>
        <v>23</v>
      </c>
      <c r="H14" s="4">
        <f>'YTD P&amp;L'!G14-'YTD P&amp;L'!F14</f>
        <v>24</v>
      </c>
      <c r="I14" s="4">
        <f>'ANNL P&amp;L'!D14-'YTD P&amp;L'!G14</f>
        <v>22</v>
      </c>
      <c r="J14" s="4">
        <f>'YTD P&amp;L'!H14</f>
        <v>11</v>
      </c>
      <c r="K14" s="4">
        <f>'YTD P&amp;L'!I14-'YTD P&amp;L'!H14</f>
        <v>11</v>
      </c>
      <c r="L14" s="4">
        <f>'YTD P&amp;L'!J14-'YTD P&amp;L'!I14</f>
        <v>15</v>
      </c>
      <c r="M14" s="4">
        <f>'ANNL P&amp;L'!E14-'YTD P&amp;L'!J14</f>
        <v>11</v>
      </c>
      <c r="N14" s="4">
        <f>'YTD P&amp;L'!K14</f>
        <v>9</v>
      </c>
      <c r="O14" s="4">
        <f>'YTD P&amp;L'!L14-'YTD P&amp;L'!K14</f>
        <v>16</v>
      </c>
      <c r="P14" s="4">
        <f>'YTD P&amp;L'!M14-'YTD P&amp;L'!L14</f>
        <v>15</v>
      </c>
      <c r="Q14" s="4">
        <f>'ANNL P&amp;L'!F14-'YTD P&amp;L'!M14</f>
        <v>15</v>
      </c>
      <c r="R14" s="4">
        <f>'YTD P&amp;L'!N14</f>
        <v>11</v>
      </c>
      <c r="S14" s="11">
        <f>'IS DRIVERS'!T10</f>
        <v>11</v>
      </c>
      <c r="T14" s="11">
        <f>'IS DRIVERS'!U10</f>
        <v>11</v>
      </c>
      <c r="U14" s="11">
        <f>'IS DRIVERS'!V10</f>
        <v>11</v>
      </c>
      <c r="V14" s="11">
        <f>'IS DRIVERS'!W10</f>
        <v>11</v>
      </c>
      <c r="W14" s="11">
        <f>'IS DRIVERS'!X10</f>
        <v>11</v>
      </c>
      <c r="X14" s="11">
        <f>'IS DRIVERS'!Y10</f>
        <v>11</v>
      </c>
      <c r="Y14" s="11">
        <f>'IS DRIVERS'!Z10</f>
        <v>11</v>
      </c>
      <c r="Z14" s="11">
        <f>'IS DRIVERS'!AA10</f>
        <v>11</v>
      </c>
      <c r="AA14" s="11">
        <f>'IS DRIVERS'!AB10</f>
        <v>11</v>
      </c>
      <c r="AB14" s="11">
        <f>'IS DRIVERS'!AC10</f>
        <v>11</v>
      </c>
      <c r="AC14" s="11">
        <f>'IS DRIVERS'!AD10</f>
        <v>11</v>
      </c>
      <c r="AD14" s="11">
        <f>'IS DRIVERS'!AE10</f>
        <v>11</v>
      </c>
      <c r="AE14" s="11">
        <f>'IS DRIVERS'!AF10</f>
        <v>11</v>
      </c>
      <c r="AF14" s="11">
        <f>'IS DRIVERS'!AG10</f>
        <v>11</v>
      </c>
      <c r="AG14" s="11">
        <f>'IS DRIVERS'!AH10</f>
        <v>11</v>
      </c>
      <c r="AH14" s="11">
        <f>'IS DRIVERS'!AI10</f>
        <v>11</v>
      </c>
      <c r="AI14" s="11">
        <f>'IS DRIVERS'!AJ10</f>
        <v>11</v>
      </c>
      <c r="AJ14" s="11">
        <f>'IS DRIVERS'!AK10</f>
        <v>11</v>
      </c>
      <c r="AK14" s="11">
        <f>'IS DRIVERS'!AL10</f>
        <v>11</v>
      </c>
      <c r="AL14" s="11">
        <f>'IS DRIVERS'!AM10</f>
        <v>11</v>
      </c>
      <c r="AM14" s="11">
        <f>'IS DRIVERS'!AN10</f>
        <v>11</v>
      </c>
      <c r="AN14" s="11">
        <f>'IS DRIVERS'!AO10</f>
        <v>11</v>
      </c>
      <c r="AO14" s="11">
        <f>'IS DRIVERS'!AP10</f>
        <v>11</v>
      </c>
    </row>
    <row r="15" spans="1:41" x14ac:dyDescent="0.25">
      <c r="A15" s="3" t="s">
        <v>29</v>
      </c>
      <c r="B15" s="6">
        <f>'YTD P&amp;L'!B15</f>
        <v>-2383</v>
      </c>
      <c r="C15" s="6">
        <f>'YTD P&amp;L'!C15-'YTD P&amp;L'!B15</f>
        <v>1403</v>
      </c>
      <c r="D15" s="6">
        <f>'YTD P&amp;L'!D15-'YTD P&amp;L'!C15</f>
        <v>2730</v>
      </c>
      <c r="E15" s="6">
        <f>'ANNL P&amp;L'!C15-'YTD P&amp;L'!D15</f>
        <v>518</v>
      </c>
      <c r="F15" s="6">
        <f>'YTD P&amp;L'!E15</f>
        <v>1932</v>
      </c>
      <c r="G15" s="6">
        <f>'YTD P&amp;L'!F15-'YTD P&amp;L'!E15</f>
        <v>2748</v>
      </c>
      <c r="H15" s="6">
        <f>'YTD P&amp;L'!G15-'YTD P&amp;L'!F15</f>
        <v>3092</v>
      </c>
      <c r="I15" s="6">
        <f>'ANNL P&amp;L'!D15-'YTD P&amp;L'!G15</f>
        <v>1302</v>
      </c>
      <c r="J15" s="6">
        <f>'YTD P&amp;L'!H15</f>
        <v>2042</v>
      </c>
      <c r="K15" s="6">
        <f>'YTD P&amp;L'!I15-'YTD P&amp;L'!H15</f>
        <v>3083</v>
      </c>
      <c r="L15" s="6">
        <f>'YTD P&amp;L'!J15-'YTD P&amp;L'!I15</f>
        <v>2930</v>
      </c>
      <c r="M15" s="6">
        <f>'ANNL P&amp;L'!E15-'YTD P&amp;L'!J15</f>
        <v>1523</v>
      </c>
      <c r="N15" s="6">
        <f>'YTD P&amp;L'!K15</f>
        <v>1834</v>
      </c>
      <c r="O15" s="6">
        <f>'YTD P&amp;L'!L15-'YTD P&amp;L'!K15</f>
        <v>1263</v>
      </c>
      <c r="P15" s="6">
        <f>'YTD P&amp;L'!M15-'YTD P&amp;L'!L15</f>
        <v>2603</v>
      </c>
      <c r="Q15" s="6">
        <f>'ANNL P&amp;L'!F15-'YTD P&amp;L'!M15</f>
        <v>2540</v>
      </c>
      <c r="R15" s="6">
        <f>'YTD P&amp;L'!N15</f>
        <v>2327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x14ac:dyDescent="0.25">
      <c r="A16" s="3" t="s">
        <v>30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x14ac:dyDescent="0.25">
      <c r="A17" s="3" t="s">
        <v>31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x14ac:dyDescent="0.25">
      <c r="A18" s="3" t="s">
        <v>32</v>
      </c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x14ac:dyDescent="0.25">
      <c r="A19" s="3" t="s">
        <v>33</v>
      </c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2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38" width="13" customWidth="1"/>
  </cols>
  <sheetData>
    <row r="1" spans="1:38" x14ac:dyDescent="0.25">
      <c r="A1" s="1"/>
      <c r="B1" s="2" t="s">
        <v>117</v>
      </c>
      <c r="C1" s="2" t="s">
        <v>107</v>
      </c>
      <c r="D1" s="2" t="s">
        <v>108</v>
      </c>
      <c r="E1" s="2" t="s">
        <v>109</v>
      </c>
      <c r="F1" s="2" t="s">
        <v>118</v>
      </c>
      <c r="G1" s="2" t="s">
        <v>110</v>
      </c>
      <c r="H1" s="2" t="s">
        <v>111</v>
      </c>
      <c r="I1" s="2" t="s">
        <v>112</v>
      </c>
      <c r="J1" s="2" t="s">
        <v>119</v>
      </c>
      <c r="K1" s="2" t="s">
        <v>113</v>
      </c>
      <c r="L1" s="2" t="s">
        <v>114</v>
      </c>
      <c r="M1" s="2" t="s">
        <v>115</v>
      </c>
      <c r="N1" s="2" t="s">
        <v>120</v>
      </c>
      <c r="O1" s="2" t="s">
        <v>116</v>
      </c>
      <c r="P1" s="2" t="s">
        <v>121</v>
      </c>
      <c r="Q1" s="2" t="s">
        <v>122</v>
      </c>
      <c r="R1" s="2" t="s">
        <v>123</v>
      </c>
      <c r="S1" s="2" t="s">
        <v>124</v>
      </c>
      <c r="T1" s="2" t="s">
        <v>125</v>
      </c>
      <c r="U1" s="2" t="s">
        <v>126</v>
      </c>
      <c r="V1" s="2" t="s">
        <v>127</v>
      </c>
      <c r="W1" s="2" t="s">
        <v>128</v>
      </c>
      <c r="X1" s="2" t="s">
        <v>129</v>
      </c>
      <c r="Y1" s="2" t="s">
        <v>130</v>
      </c>
      <c r="Z1" s="2" t="s">
        <v>131</v>
      </c>
      <c r="AA1" s="2" t="s">
        <v>132</v>
      </c>
      <c r="AB1" s="2" t="s">
        <v>133</v>
      </c>
      <c r="AC1" s="2" t="s">
        <v>134</v>
      </c>
      <c r="AD1" s="2" t="s">
        <v>135</v>
      </c>
      <c r="AE1" s="2" t="s">
        <v>136</v>
      </c>
      <c r="AF1" s="2" t="s">
        <v>137</v>
      </c>
      <c r="AG1" s="2" t="s">
        <v>138</v>
      </c>
      <c r="AH1" s="2" t="s">
        <v>139</v>
      </c>
      <c r="AI1" s="2" t="s">
        <v>140</v>
      </c>
      <c r="AJ1" s="2" t="s">
        <v>141</v>
      </c>
      <c r="AK1" s="2" t="s">
        <v>142</v>
      </c>
      <c r="AL1" s="2" t="s">
        <v>143</v>
      </c>
    </row>
    <row r="2" spans="1:38" x14ac:dyDescent="0.25">
      <c r="A2" s="3" t="s">
        <v>34</v>
      </c>
      <c r="B2" s="4">
        <f>'BALANCE SHEET'!B2</f>
        <v>4954</v>
      </c>
      <c r="C2" s="4">
        <f>'YTD BS'!C2</f>
        <v>4770</v>
      </c>
      <c r="D2" s="4">
        <f>'YTD BS'!D2</f>
        <v>6116</v>
      </c>
      <c r="E2" s="4">
        <f>'YTD BS'!E2</f>
        <v>10017</v>
      </c>
      <c r="F2" s="4">
        <f>'BALANCE SHEET'!C2</f>
        <v>9711</v>
      </c>
      <c r="G2" s="4">
        <f>'YTD BS'!G2</f>
        <v>8047</v>
      </c>
      <c r="H2" s="4">
        <f>'YTD BS'!H2</f>
        <v>6353</v>
      </c>
      <c r="I2" s="4">
        <f>'YTD BS'!I2</f>
        <v>7308</v>
      </c>
      <c r="J2" s="4">
        <f>'BALANCE SHEET'!D2</f>
        <v>8505</v>
      </c>
      <c r="K2" s="4">
        <f>'YTD BS'!K2</f>
        <v>8268</v>
      </c>
      <c r="L2" s="4">
        <f>'YTD BS'!L2</f>
        <v>7631</v>
      </c>
      <c r="M2" s="4">
        <f>'YTD BS'!M2</f>
        <v>8126</v>
      </c>
      <c r="N2" s="4">
        <f>'BALANCE SHEET'!E2</f>
        <v>9159</v>
      </c>
      <c r="O2" s="4">
        <f>'YTD BS'!O2</f>
        <v>10475</v>
      </c>
      <c r="P2" s="11">
        <f>'BS DRIVERS'!P2</f>
        <v>12647.656654947259</v>
      </c>
      <c r="Q2" s="11">
        <f>'BS DRIVERS'!Q2</f>
        <v>14235.166060403124</v>
      </c>
      <c r="R2" s="11">
        <f>'BS DRIVERS'!R2</f>
        <v>16806.077942661163</v>
      </c>
      <c r="S2" s="11">
        <f>'BS DRIVERS'!S2</f>
        <v>16222.293022642292</v>
      </c>
      <c r="T2" s="11">
        <f>'BS DRIVERS'!T2</f>
        <v>18552.809254592819</v>
      </c>
      <c r="U2" s="11">
        <f>'BS DRIVERS'!U2</f>
        <v>20248.411821056357</v>
      </c>
      <c r="V2" s="11">
        <f>'BS DRIVERS'!V2</f>
        <v>23011.054644033356</v>
      </c>
      <c r="W2" s="11">
        <f>'BS DRIVERS'!W2</f>
        <v>22350.695629482037</v>
      </c>
      <c r="X2" s="11">
        <f>'BS DRIVERS'!X2</f>
        <v>24852.497298994618</v>
      </c>
      <c r="Y2" s="11">
        <f>'BS DRIVERS'!Y2</f>
        <v>26665.386283755615</v>
      </c>
      <c r="Z2" s="11">
        <f>'BS DRIVERS'!Z2</f>
        <v>29636.066646796164</v>
      </c>
      <c r="AA2" s="11">
        <f>'BS DRIVERS'!AA2</f>
        <v>28892.620957765561</v>
      </c>
      <c r="AB2" s="11">
        <f>'BS DRIVERS'!AB2</f>
        <v>31580.275786635186</v>
      </c>
      <c r="AC2" s="11">
        <f>'BS DRIVERS'!AC2</f>
        <v>33520.426327898094</v>
      </c>
      <c r="AD2" s="11">
        <f>'BS DRIVERS'!AD2</f>
        <v>36716.837696656359</v>
      </c>
      <c r="AE2" s="11">
        <f>'BS DRIVERS'!AE2</f>
        <v>35883.238862254868</v>
      </c>
      <c r="AF2" s="11">
        <f>'BS DRIVERS'!AF2</f>
        <v>38772.553548113116</v>
      </c>
      <c r="AG2" s="11">
        <f>'BS DRIVERS'!AG2</f>
        <v>40850.789163491005</v>
      </c>
      <c r="AH2" s="11">
        <f>'BS DRIVERS'!AH2</f>
        <v>44292.12982206283</v>
      </c>
      <c r="AI2" s="11">
        <f>'BS DRIVERS'!AI2</f>
        <v>43360.710372367743</v>
      </c>
      <c r="AJ2" s="11">
        <f>'BS DRIVERS'!AJ2</f>
        <v>46468.835962820551</v>
      </c>
      <c r="AK2" s="11">
        <f>'BS DRIVERS'!AK2</f>
        <v>48696.900703485444</v>
      </c>
      <c r="AL2" s="11">
        <f>'BS DRIVERS'!AL2</f>
        <v>52404.001738297309</v>
      </c>
    </row>
    <row r="3" spans="1:38" x14ac:dyDescent="0.25">
      <c r="A3" s="3" t="s">
        <v>35</v>
      </c>
      <c r="B3" s="4">
        <f>'BALANCE SHEET'!B3</f>
        <v>394</v>
      </c>
      <c r="C3" s="4">
        <f>'YTD BS'!C3</f>
        <v>434</v>
      </c>
      <c r="D3" s="4">
        <f>'YTD BS'!D3</f>
        <v>338</v>
      </c>
      <c r="E3" s="4">
        <f>'YTD BS'!E3</f>
        <v>266</v>
      </c>
      <c r="F3" s="4">
        <f>'BALANCE SHEET'!C3</f>
        <v>292</v>
      </c>
      <c r="G3" s="4">
        <f>'YTD BS'!G3</f>
        <v>303</v>
      </c>
      <c r="H3" s="4">
        <f>'YTD BS'!H3</f>
        <v>315</v>
      </c>
      <c r="I3" s="4">
        <f>'YTD BS'!I3</f>
        <v>743</v>
      </c>
      <c r="J3" s="4">
        <f>'BALANCE SHEET'!D3</f>
        <v>761</v>
      </c>
      <c r="K3" s="4">
        <f>'YTD BS'!K3</f>
        <v>314</v>
      </c>
      <c r="L3" s="4">
        <f>'YTD BS'!L3</f>
        <v>342</v>
      </c>
      <c r="M3" s="4">
        <f>'YTD BS'!M3</f>
        <v>535</v>
      </c>
      <c r="N3" s="4">
        <f>'BALANCE SHEET'!E3</f>
        <v>371</v>
      </c>
      <c r="O3" s="4">
        <f>'YTD BS'!O3</f>
        <v>353</v>
      </c>
      <c r="P3" s="11">
        <f>'BS DRIVERS'!P3</f>
        <v>353</v>
      </c>
      <c r="Q3" s="11">
        <f>'BS DRIVERS'!Q3</f>
        <v>353</v>
      </c>
      <c r="R3" s="11">
        <f>'BS DRIVERS'!R3</f>
        <v>353</v>
      </c>
      <c r="S3" s="11">
        <f>'BS DRIVERS'!S3</f>
        <v>353</v>
      </c>
      <c r="T3" s="11">
        <f>'BS DRIVERS'!T3</f>
        <v>353</v>
      </c>
      <c r="U3" s="11">
        <f>'BS DRIVERS'!U3</f>
        <v>353</v>
      </c>
      <c r="V3" s="11">
        <f>'BS DRIVERS'!V3</f>
        <v>353</v>
      </c>
      <c r="W3" s="11">
        <f>'BS DRIVERS'!W3</f>
        <v>353</v>
      </c>
      <c r="X3" s="11">
        <f>'BS DRIVERS'!X3</f>
        <v>353</v>
      </c>
      <c r="Y3" s="11">
        <f>'BS DRIVERS'!Y3</f>
        <v>353</v>
      </c>
      <c r="Z3" s="11">
        <f>'BS DRIVERS'!Z3</f>
        <v>353</v>
      </c>
      <c r="AA3" s="11">
        <f>'BS DRIVERS'!AA3</f>
        <v>353</v>
      </c>
      <c r="AB3" s="11">
        <f>'BS DRIVERS'!AB3</f>
        <v>353</v>
      </c>
      <c r="AC3" s="11">
        <f>'BS DRIVERS'!AC3</f>
        <v>353</v>
      </c>
      <c r="AD3" s="11">
        <f>'BS DRIVERS'!AD3</f>
        <v>353</v>
      </c>
      <c r="AE3" s="11">
        <f>'BS DRIVERS'!AE3</f>
        <v>353</v>
      </c>
      <c r="AF3" s="11">
        <f>'BS DRIVERS'!AF3</f>
        <v>353</v>
      </c>
      <c r="AG3" s="11">
        <f>'BS DRIVERS'!AG3</f>
        <v>353</v>
      </c>
      <c r="AH3" s="11">
        <f>'BS DRIVERS'!AH3</f>
        <v>353</v>
      </c>
      <c r="AI3" s="11">
        <f>'BS DRIVERS'!AI3</f>
        <v>353</v>
      </c>
      <c r="AJ3" s="11">
        <f>'BS DRIVERS'!AJ3</f>
        <v>353</v>
      </c>
      <c r="AK3" s="11">
        <f>'BS DRIVERS'!AK3</f>
        <v>353</v>
      </c>
      <c r="AL3" s="11">
        <f>'BS DRIVERS'!AL3</f>
        <v>353</v>
      </c>
    </row>
    <row r="4" spans="1:38" x14ac:dyDescent="0.25">
      <c r="A4" s="3" t="s">
        <v>36</v>
      </c>
      <c r="B4" s="4">
        <f>'BALANCE SHEET'!B4</f>
        <v>10163</v>
      </c>
      <c r="C4" s="4">
        <f>'YTD BS'!C4</f>
        <v>10469</v>
      </c>
      <c r="D4" s="4">
        <f>'YTD BS'!D4</f>
        <v>11456</v>
      </c>
      <c r="E4" s="4">
        <f>'YTD BS'!E4</f>
        <v>11782</v>
      </c>
      <c r="F4" s="4">
        <f>'BALANCE SHEET'!C4</f>
        <v>10815</v>
      </c>
      <c r="G4" s="4">
        <f>'YTD BS'!G4</f>
        <v>10938</v>
      </c>
      <c r="H4" s="4">
        <f>'YTD BS'!H4</f>
        <v>11942</v>
      </c>
      <c r="I4" s="4">
        <f>'YTD BS'!I4</f>
        <v>12088</v>
      </c>
      <c r="J4" s="4">
        <f>'BALANCE SHEET'!D4</f>
        <v>10333</v>
      </c>
      <c r="K4" s="4">
        <f>'YTD BS'!K4</f>
        <v>10800</v>
      </c>
      <c r="L4" s="4">
        <f>'YTD BS'!L4</f>
        <v>12390</v>
      </c>
      <c r="M4" s="4">
        <f>'YTD BS'!M4</f>
        <v>12634</v>
      </c>
      <c r="N4" s="4">
        <f>'BALANCE SHEET'!E4</f>
        <v>11506</v>
      </c>
      <c r="O4" s="4">
        <f>'YTD BS'!O4</f>
        <v>12171</v>
      </c>
      <c r="P4" s="11">
        <f>'QTR P&amp;L'!S2*'BS DRIVERS'!P4/ASSUMPTIONS!$B$2</f>
        <v>15436.025782688766</v>
      </c>
      <c r="Q4" s="11">
        <f>'QTR P&amp;L'!T2*'BS DRIVERS'!Q4/ASSUMPTIONS!$B$2</f>
        <v>16258.565042692113</v>
      </c>
      <c r="R4" s="11">
        <f>'QTR P&amp;L'!U2*'BS DRIVERS'!R4/ASSUMPTIONS!$B$2</f>
        <v>19930.445504771473</v>
      </c>
      <c r="S4" s="11">
        <f>'QTR P&amp;L'!V2*'BS DRIVERS'!S4/ASSUMPTIONS!$B$2</f>
        <v>13206.136112506279</v>
      </c>
      <c r="T4" s="11">
        <f>'QTR P&amp;L'!W2*'BS DRIVERS'!T4/ASSUMPTIONS!$B$2</f>
        <v>16748.850342810296</v>
      </c>
      <c r="U4" s="11">
        <f>'QTR P&amp;L'!X2*'BS DRIVERS'!U4/ASSUMPTIONS!$B$2</f>
        <v>17641.346064236997</v>
      </c>
      <c r="V4" s="11">
        <f>'QTR P&amp;L'!Y2*'BS DRIVERS'!V4/ASSUMPTIONS!$B$2</f>
        <v>21625.517715791713</v>
      </c>
      <c r="W4" s="11">
        <f>'QTR P&amp;L'!Z2*'BS DRIVERS'!W4/ASSUMPTIONS!$B$2</f>
        <v>14329.309918826919</v>
      </c>
      <c r="X4" s="11">
        <f>'QTR P&amp;L'!AA2*'BS DRIVERS'!X4/ASSUMPTIONS!$B$2</f>
        <v>18173.329829525119</v>
      </c>
      <c r="Y4" s="11">
        <f>'QTR P&amp;L'!AB2*'BS DRIVERS'!Y4/ASSUMPTIONS!$B$2</f>
        <v>19141.731766670015</v>
      </c>
      <c r="Z4" s="11">
        <f>'QTR P&amp;L'!AC2*'BS DRIVERS'!Z4/ASSUMPTIONS!$B$2</f>
        <v>23464.754782529068</v>
      </c>
      <c r="AA4" s="11">
        <f>'QTR P&amp;L'!AD2*'BS DRIVERS'!AA4/ASSUMPTIONS!$B$2</f>
        <v>15548.008971022478</v>
      </c>
      <c r="AB4" s="11">
        <f>'QTR P&amp;L'!AE2*'BS DRIVERS'!AB4/ASSUMPTIONS!$B$2</f>
        <v>19718.960426109541</v>
      </c>
      <c r="AC4" s="11">
        <f>'QTR P&amp;L'!AF2*'BS DRIVERS'!AC4/ASSUMPTIONS!$B$2</f>
        <v>20769.724356234448</v>
      </c>
      <c r="AD4" s="11">
        <f>'QTR P&amp;L'!AG2*'BS DRIVERS'!AD4/ASSUMPTIONS!$B$2</f>
        <v>25460.417837865542</v>
      </c>
      <c r="AE4" s="11">
        <f>'QTR P&amp;L'!AH2*'BS DRIVERS'!AE4/ASSUMPTIONS!$B$2</f>
        <v>16870.357632880743</v>
      </c>
      <c r="AF4" s="11">
        <f>'QTR P&amp;L'!AI2*'BS DRIVERS'!AF4/ASSUMPTIONS!$B$2</f>
        <v>21396.04596042457</v>
      </c>
      <c r="AG4" s="11">
        <f>'QTR P&amp;L'!AJ2*'BS DRIVERS'!AG4/ASSUMPTIONS!$B$2</f>
        <v>22536.176720702406</v>
      </c>
      <c r="AH4" s="11">
        <f>'QTR P&amp;L'!AK2*'BS DRIVERS'!AH4/ASSUMPTIONS!$B$2</f>
        <v>27625.810816542205</v>
      </c>
      <c r="AI4" s="11">
        <f>'QTR P&amp;L'!AL2*'BS DRIVERS'!AI4/ASSUMPTIONS!$B$2</f>
        <v>18305.171240364994</v>
      </c>
      <c r="AJ4" s="11">
        <f>'QTR P&amp;L'!AM2*'BS DRIVERS'!AJ4/ASSUMPTIONS!$B$2</f>
        <v>23215.766594594279</v>
      </c>
      <c r="AK4" s="11">
        <f>'QTR P&amp;L'!AN2*'BS DRIVERS'!AK4/ASSUMPTIONS!$B$2</f>
        <v>24452.864779318985</v>
      </c>
      <c r="AL4" s="11">
        <f>'QTR P&amp;L'!AO2*'BS DRIVERS'!AL4/ASSUMPTIONS!$B$2</f>
        <v>29975.369144820026</v>
      </c>
    </row>
    <row r="5" spans="1:38" x14ac:dyDescent="0.25">
      <c r="A5" s="3" t="s">
        <v>37</v>
      </c>
      <c r="B5" s="4">
        <f>'BALANCE SHEET'!B5</f>
        <v>5222</v>
      </c>
      <c r="C5" s="4">
        <f>'YTD BS'!C5</f>
        <v>5697</v>
      </c>
      <c r="D5" s="4">
        <f>'YTD BS'!D5</f>
        <v>5969</v>
      </c>
      <c r="E5" s="4">
        <f>'YTD BS'!E5</f>
        <v>5558</v>
      </c>
      <c r="F5" s="4">
        <f>'BALANCE SHEET'!C5</f>
        <v>5334</v>
      </c>
      <c r="G5" s="4">
        <f>'YTD BS'!G5</f>
        <v>5569</v>
      </c>
      <c r="H5" s="4">
        <f>'YTD BS'!H5</f>
        <v>5887</v>
      </c>
      <c r="I5" s="4">
        <f>'YTD BS'!I5</f>
        <v>5644</v>
      </c>
      <c r="J5" s="4">
        <f>'BALANCE SHEET'!D5</f>
        <v>5306</v>
      </c>
      <c r="K5" s="4">
        <f>'YTD BS'!K5</f>
        <v>5660</v>
      </c>
      <c r="L5" s="4">
        <f>'YTD BS'!L5</f>
        <v>6487</v>
      </c>
      <c r="M5" s="4">
        <f>'YTD BS'!M5</f>
        <v>6093</v>
      </c>
      <c r="N5" s="4">
        <f>'BALANCE SHEET'!E5</f>
        <v>5845</v>
      </c>
      <c r="O5" s="4">
        <f>'YTD BS'!O5</f>
        <v>6211</v>
      </c>
      <c r="P5" s="11">
        <f>'QTR P&amp;L'!S3*'BS DRIVERS'!P5/ASSUMPTIONS!$B$2</f>
        <v>7877.1798649478224</v>
      </c>
      <c r="Q5" s="11">
        <f>'QTR P&amp;L'!T3*'BS DRIVERS'!Q5/ASSUMPTIONS!$B$2</f>
        <v>8296.9310229365492</v>
      </c>
      <c r="R5" s="11">
        <f>'QTR P&amp;L'!U3*'BS DRIVERS'!R5/ASSUMPTIONS!$B$2</f>
        <v>10170.73346726938</v>
      </c>
      <c r="S5" s="11">
        <f>'QTR P&amp;L'!V3*'BS DRIVERS'!S5/ASSUMPTIONS!$B$2</f>
        <v>6739.2417545621975</v>
      </c>
      <c r="T5" s="11">
        <f>'QTR P&amp;L'!W3*'BS DRIVERS'!T5/ASSUMPTIONS!$B$2</f>
        <v>8547.129198849294</v>
      </c>
      <c r="U5" s="11">
        <f>'QTR P&amp;L'!X3*'BS DRIVERS'!U5/ASSUMPTIONS!$B$2</f>
        <v>9002.5799363220776</v>
      </c>
      <c r="V5" s="11">
        <f>'QTR P&amp;L'!Y3*'BS DRIVERS'!V5/ASSUMPTIONS!$B$2</f>
        <v>11035.748133496209</v>
      </c>
      <c r="W5" s="11">
        <f>'QTR P&amp;L'!Z3*'BS DRIVERS'!W5/ASSUMPTIONS!$B$2</f>
        <v>7312.410147550243</v>
      </c>
      <c r="X5" s="11">
        <f>'QTR P&amp;L'!AA3*'BS DRIVERS'!X5/ASSUMPTIONS!$B$2</f>
        <v>9274.0573142042995</v>
      </c>
      <c r="Y5" s="11">
        <f>'QTR P&amp;L'!AB3*'BS DRIVERS'!Y5/ASSUMPTIONS!$B$2</f>
        <v>9768.2438585808468</v>
      </c>
      <c r="Z5" s="11">
        <f>'QTR P&amp;L'!AC3*'BS DRIVERS'!Z5/ASSUMPTIONS!$B$2</f>
        <v>11974.331768489694</v>
      </c>
      <c r="AA5" s="11">
        <f>'QTR P&amp;L'!AD3*'BS DRIVERS'!AA5/ASSUMPTIONS!$B$2</f>
        <v>7934.326162108342</v>
      </c>
      <c r="AB5" s="11">
        <f>'QTR P&amp;L'!AE3*'BS DRIVERS'!AB5/ASSUMPTIONS!$B$2</f>
        <v>10062.810221556683</v>
      </c>
      <c r="AC5" s="11">
        <f>'QTR P&amp;L'!AF3*'BS DRIVERS'!AC5/ASSUMPTIONS!$B$2</f>
        <v>10599.027029543355</v>
      </c>
      <c r="AD5" s="11">
        <f>'QTR P&amp;L'!AG3*'BS DRIVERS'!AD5/ASSUMPTIONS!$B$2</f>
        <v>12992.741368086674</v>
      </c>
      <c r="AE5" s="11">
        <f>'QTR P&amp;L'!AH3*'BS DRIVERS'!AE5/ASSUMPTIONS!$B$2</f>
        <v>8609.1357536621726</v>
      </c>
      <c r="AF5" s="11">
        <f>'QTR P&amp;L'!AI3*'BS DRIVERS'!AF5/ASSUMPTIONS!$B$2</f>
        <v>10918.646081685729</v>
      </c>
      <c r="AG5" s="11">
        <f>'QTR P&amp;L'!AJ3*'BS DRIVERS'!AG5/ASSUMPTIONS!$B$2</f>
        <v>11500.467801518582</v>
      </c>
      <c r="AH5" s="11">
        <f>'QTR P&amp;L'!AK3*'BS DRIVERS'!AH5/ASSUMPTIONS!$B$2</f>
        <v>14097.766081796373</v>
      </c>
      <c r="AI5" s="11">
        <f>'QTR P&amp;L'!AL3*'BS DRIVERS'!AI5/ASSUMPTIONS!$B$2</f>
        <v>9341.3374886128495</v>
      </c>
      <c r="AJ5" s="11">
        <f>'QTR P&amp;L'!AM3*'BS DRIVERS'!AJ5/ASSUMPTIONS!$B$2</f>
        <v>11847.270258731827</v>
      </c>
      <c r="AK5" s="11">
        <f>'QTR P&amp;L'!AN3*'BS DRIVERS'!AK5/ASSUMPTIONS!$B$2</f>
        <v>12478.575560294981</v>
      </c>
      <c r="AL5" s="11">
        <f>'QTR P&amp;L'!AO3*'BS DRIVERS'!AL5/ASSUMPTIONS!$B$2</f>
        <v>15296.772472145034</v>
      </c>
    </row>
    <row r="6" spans="1:38" x14ac:dyDescent="0.25">
      <c r="A6" s="3" t="s">
        <v>38</v>
      </c>
      <c r="B6" s="4">
        <f>'BALANCE SHEET'!B6</f>
        <v>806</v>
      </c>
      <c r="C6" s="4">
        <f>'YTD BS'!C6</f>
        <v>1057</v>
      </c>
      <c r="D6" s="4">
        <f>'YTD BS'!D6</f>
        <v>1075</v>
      </c>
      <c r="E6" s="4">
        <f>'YTD BS'!E6</f>
        <v>1026</v>
      </c>
      <c r="F6" s="4">
        <f>'BALANCE SHEET'!C6</f>
        <v>798</v>
      </c>
      <c r="G6" s="4">
        <f>'YTD BS'!G6</f>
        <v>1148</v>
      </c>
      <c r="H6" s="4">
        <f>'YTD BS'!H6</f>
        <v>1206</v>
      </c>
      <c r="I6" s="4">
        <f>'YTD BS'!I6</f>
        <v>1069</v>
      </c>
      <c r="J6" s="4">
        <f>'BALANCE SHEET'!D6</f>
        <v>921</v>
      </c>
      <c r="K6" s="4">
        <f>'YTD BS'!K6</f>
        <v>1246</v>
      </c>
      <c r="L6" s="4">
        <f>'YTD BS'!L6</f>
        <v>1360</v>
      </c>
      <c r="M6" s="4">
        <f>'YTD BS'!M6</f>
        <v>1334</v>
      </c>
      <c r="N6" s="4">
        <f>'BALANCE SHEET'!E6</f>
        <v>1068</v>
      </c>
      <c r="O6" s="4">
        <f>'YTD BS'!O6</f>
        <v>1706</v>
      </c>
      <c r="P6" s="11">
        <f>'QTR P&amp;L'!S2*'BS DRIVERS'!P6</f>
        <v>2163.6562308164516</v>
      </c>
      <c r="Q6" s="11">
        <f>'QTR P&amp;L'!T2*'BS DRIVERS'!Q6</f>
        <v>2278.9509459233213</v>
      </c>
      <c r="R6" s="11">
        <f>'QTR P&amp;L'!U2*'BS DRIVERS'!R6</f>
        <v>2793.635693956136</v>
      </c>
      <c r="S6" s="11">
        <f>'QTR P&amp;L'!V2*'BS DRIVERS'!S6</f>
        <v>1851.0942574920475</v>
      </c>
      <c r="T6" s="11">
        <f>'QTR P&amp;L'!W2*'BS DRIVERS'!T6</f>
        <v>2347.6738710734012</v>
      </c>
      <c r="U6" s="11">
        <f>'QTR P&amp;L'!X2*'BS DRIVERS'!U6</f>
        <v>2472.7743312454454</v>
      </c>
      <c r="V6" s="11">
        <f>'QTR P&amp;L'!Y2*'BS DRIVERS'!V6</f>
        <v>3031.2327025832442</v>
      </c>
      <c r="W6" s="11">
        <f>'QTR P&amp;L'!Z2*'BS DRIVERS'!W6</f>
        <v>2008.5286929191295</v>
      </c>
      <c r="X6" s="11">
        <f>'QTR P&amp;L'!AA2*'BS DRIVERS'!X6</f>
        <v>2547.342099184114</v>
      </c>
      <c r="Y6" s="11">
        <f>'QTR P&amp;L'!AB2*'BS DRIVERS'!Y6</f>
        <v>2683.0822770470004</v>
      </c>
      <c r="Z6" s="11">
        <f>'QTR P&amp;L'!AC2*'BS DRIVERS'!Z6</f>
        <v>3289.037191602546</v>
      </c>
      <c r="AA6" s="11">
        <f>'QTR P&amp;L'!AD2*'BS DRIVERS'!AA6</f>
        <v>2179.352830873745</v>
      </c>
      <c r="AB6" s="11">
        <f>'QTR P&amp;L'!AE2*'BS DRIVERS'!AB6</f>
        <v>2763.9919880817415</v>
      </c>
      <c r="AC6" s="11">
        <f>'QTR P&amp;L'!AF2*'BS DRIVERS'!AC6</f>
        <v>2911.2767851233234</v>
      </c>
      <c r="AD6" s="11">
        <f>'QTR P&amp;L'!AG2*'BS DRIVERS'!AD6</f>
        <v>3568.7677948729452</v>
      </c>
      <c r="AE6" s="11">
        <f>'QTR P&amp;L'!AH2*'BS DRIVERS'!AE6</f>
        <v>2364.7054573736382</v>
      </c>
      <c r="AF6" s="11">
        <f>'QTR P&amp;L'!AI2*'BS DRIVERS'!AF6</f>
        <v>2999.0678176390038</v>
      </c>
      <c r="AG6" s="11">
        <f>'QTR P&amp;L'!AJ2*'BS DRIVERS'!AG6</f>
        <v>3158.8790966657052</v>
      </c>
      <c r="AH6" s="11">
        <f>'QTR P&amp;L'!AK2*'BS DRIVERS'!AH6</f>
        <v>3872.289315012817</v>
      </c>
      <c r="AI6" s="11">
        <f>'QTR P&amp;L'!AL2*'BS DRIVERS'!AI6</f>
        <v>2565.8222114914697</v>
      </c>
      <c r="AJ6" s="11">
        <f>'QTR P&amp;L'!AM2*'BS DRIVERS'!AJ6</f>
        <v>3254.1367028492186</v>
      </c>
      <c r="AK6" s="11">
        <f>'QTR P&amp;L'!AN2*'BS DRIVERS'!AK6</f>
        <v>3427.5398334991528</v>
      </c>
      <c r="AL6" s="11">
        <f>'QTR P&amp;L'!AO2*'BS DRIVERS'!AL6</f>
        <v>4201.6251549636809</v>
      </c>
    </row>
    <row r="7" spans="1:38" x14ac:dyDescent="0.25">
      <c r="A7" s="3" t="s">
        <v>39</v>
      </c>
      <c r="B7" s="6">
        <f>'BALANCE SHEET'!B7</f>
        <v>21539</v>
      </c>
      <c r="C7" s="6">
        <f>'YTD BS'!C7</f>
        <v>22427</v>
      </c>
      <c r="D7" s="6">
        <f>'YTD BS'!D7</f>
        <v>24954</v>
      </c>
      <c r="E7" s="6">
        <f>'YTD BS'!E7</f>
        <v>28649</v>
      </c>
      <c r="F7" s="6">
        <f>'BALANCE SHEET'!C7</f>
        <v>26950</v>
      </c>
      <c r="G7" s="6">
        <f>'YTD BS'!G7</f>
        <v>26005</v>
      </c>
      <c r="H7" s="6">
        <f>'YTD BS'!H7</f>
        <v>25703</v>
      </c>
      <c r="I7" s="6">
        <f>'YTD BS'!I7</f>
        <v>26852</v>
      </c>
      <c r="J7" s="6">
        <f>'BALANCE SHEET'!D7</f>
        <v>25826</v>
      </c>
      <c r="K7" s="6">
        <f>'YTD BS'!K7</f>
        <v>26288</v>
      </c>
      <c r="L7" s="6">
        <f>'YTD BS'!L7</f>
        <v>28210</v>
      </c>
      <c r="M7" s="6">
        <f>'YTD BS'!M7</f>
        <v>28722</v>
      </c>
      <c r="N7" s="6">
        <f>'BALANCE SHEET'!E7</f>
        <v>27949</v>
      </c>
      <c r="O7" s="6">
        <f>'YTD BS'!O7</f>
        <v>30916</v>
      </c>
      <c r="P7" s="7">
        <f t="shared" ref="P7:AL7" si="0">SUM(P2:P6)</f>
        <v>38477.518533400296</v>
      </c>
      <c r="Q7" s="7">
        <f t="shared" si="0"/>
        <v>41422.613071955107</v>
      </c>
      <c r="R7" s="7">
        <f t="shared" si="0"/>
        <v>50053.892608658149</v>
      </c>
      <c r="S7" s="7">
        <f t="shared" si="0"/>
        <v>38371.765147202816</v>
      </c>
      <c r="T7" s="7">
        <f t="shared" si="0"/>
        <v>46549.46266732581</v>
      </c>
      <c r="U7" s="7">
        <f t="shared" si="0"/>
        <v>49718.112152860878</v>
      </c>
      <c r="V7" s="7">
        <f t="shared" si="0"/>
        <v>59056.553195904518</v>
      </c>
      <c r="W7" s="7">
        <f t="shared" si="0"/>
        <v>46353.94438877832</v>
      </c>
      <c r="X7" s="7">
        <f t="shared" si="0"/>
        <v>55200.226541908152</v>
      </c>
      <c r="Y7" s="7">
        <f t="shared" si="0"/>
        <v>58611.444186053486</v>
      </c>
      <c r="Z7" s="7">
        <f t="shared" si="0"/>
        <v>68717.190389417476</v>
      </c>
      <c r="AA7" s="7">
        <f t="shared" si="0"/>
        <v>54907.308921770127</v>
      </c>
      <c r="AB7" s="7">
        <f t="shared" si="0"/>
        <v>64479.03842238315</v>
      </c>
      <c r="AC7" s="7">
        <f t="shared" si="0"/>
        <v>68153.454498799227</v>
      </c>
      <c r="AD7" s="7">
        <f t="shared" si="0"/>
        <v>79091.764697481514</v>
      </c>
      <c r="AE7" s="7">
        <f t="shared" si="0"/>
        <v>64080.437706171426</v>
      </c>
      <c r="AF7" s="7">
        <f t="shared" si="0"/>
        <v>74439.313407862413</v>
      </c>
      <c r="AG7" s="7">
        <f t="shared" si="0"/>
        <v>78399.312782377703</v>
      </c>
      <c r="AH7" s="7">
        <f t="shared" si="0"/>
        <v>90240.996035414239</v>
      </c>
      <c r="AI7" s="7">
        <f t="shared" si="0"/>
        <v>73926.041312837056</v>
      </c>
      <c r="AJ7" s="7">
        <f t="shared" si="0"/>
        <v>85139.009518995867</v>
      </c>
      <c r="AK7" s="7">
        <f t="shared" si="0"/>
        <v>89408.88087659856</v>
      </c>
      <c r="AL7" s="7">
        <f t="shared" si="0"/>
        <v>102230.76851022606</v>
      </c>
    </row>
    <row r="8" spans="1:38" x14ac:dyDescent="0.25">
      <c r="A8" s="3" t="s">
        <v>40</v>
      </c>
      <c r="B8" s="4">
        <f>'BALANCE SHEET'!B8</f>
        <v>24291</v>
      </c>
      <c r="C8" s="4">
        <f>'YTD BS'!C8</f>
        <v>24228</v>
      </c>
      <c r="D8" s="4">
        <f>'YTD BS'!D8</f>
        <v>24500</v>
      </c>
      <c r="E8" s="4">
        <f>'YTD BS'!E8</f>
        <v>24853</v>
      </c>
      <c r="F8" s="4">
        <f>'BALANCE SHEET'!C8</f>
        <v>27039</v>
      </c>
      <c r="G8" s="4">
        <f>'YTD BS'!G8</f>
        <v>26792</v>
      </c>
      <c r="H8" s="4">
        <f>'YTD BS'!H8</f>
        <v>27042</v>
      </c>
      <c r="I8" s="4">
        <f>'YTD BS'!I8</f>
        <v>27188</v>
      </c>
      <c r="J8" s="4">
        <f>'BALANCE SHEET'!D8</f>
        <v>28008</v>
      </c>
      <c r="K8" s="4">
        <f>'YTD BS'!K8</f>
        <v>28213</v>
      </c>
      <c r="L8" s="4">
        <f>'YTD BS'!L8</f>
        <v>28797</v>
      </c>
      <c r="M8" s="4">
        <f>'YTD BS'!M8</f>
        <v>29053</v>
      </c>
      <c r="N8" s="4">
        <f>'BALANCE SHEET'!E8</f>
        <v>29905</v>
      </c>
      <c r="O8" s="4">
        <f>'YTD BS'!O8</f>
        <v>29807</v>
      </c>
      <c r="P8" s="11">
        <f>'BS DRIVERS'!P7</f>
        <v>29432.862492326582</v>
      </c>
      <c r="Q8" s="11">
        <f>'BS DRIVERS'!Q7</f>
        <v>29038.788325241367</v>
      </c>
      <c r="R8" s="11">
        <f>'BS DRIVERS'!R7</f>
        <v>28555.715330096547</v>
      </c>
      <c r="S8" s="11">
        <f>'BS DRIVERS'!S7</f>
        <v>28235.625760366092</v>
      </c>
      <c r="T8" s="11">
        <f>'BS DRIVERS'!T7</f>
        <v>27829.668086294198</v>
      </c>
      <c r="U8" s="11">
        <f>'BS DRIVERS'!U7</f>
        <v>27402.078152110487</v>
      </c>
      <c r="V8" s="11">
        <f>'BS DRIVERS'!V7</f>
        <v>26877.920093926397</v>
      </c>
      <c r="W8" s="11">
        <f>'BS DRIVERS'!W7</f>
        <v>26530.607101891728</v>
      </c>
      <c r="X8" s="11">
        <f>'BS DRIVERS'!X7</f>
        <v>26090.122975713937</v>
      </c>
      <c r="Y8" s="11">
        <f>'BS DRIVERS'!Y7</f>
        <v>25626.166778920931</v>
      </c>
      <c r="Z8" s="11">
        <f>'BS DRIVERS'!Z7</f>
        <v>25057.429398192471</v>
      </c>
      <c r="AA8" s="11">
        <f>'BS DRIVERS'!AA7</f>
        <v>24680.57764842239</v>
      </c>
      <c r="AB8" s="11">
        <f>'BS DRIVERS'!AB7</f>
        <v>24202.630616485629</v>
      </c>
      <c r="AC8" s="11">
        <f>'BS DRIVERS'!AC7</f>
        <v>23699.215228671223</v>
      </c>
      <c r="AD8" s="11">
        <f>'BS DRIVERS'!AD7</f>
        <v>23082.107081257673</v>
      </c>
      <c r="AE8" s="11">
        <f>'BS DRIVERS'!AE7</f>
        <v>22673.204320457422</v>
      </c>
      <c r="AF8" s="11">
        <f>'BS DRIVERS'!AF7</f>
        <v>22154.608185519846</v>
      </c>
      <c r="AG8" s="11">
        <f>'BS DRIVERS'!AG7</f>
        <v>21608.377626600512</v>
      </c>
      <c r="AH8" s="11">
        <f>'BS DRIVERS'!AH7</f>
        <v>20938.784808353863</v>
      </c>
      <c r="AI8" s="11">
        <f>'BS DRIVERS'!AI7</f>
        <v>20495.105117621166</v>
      </c>
      <c r="AJ8" s="11">
        <f>'BS DRIVERS'!AJ7</f>
        <v>19932.402698312537</v>
      </c>
      <c r="AK8" s="11">
        <f>'BS DRIVERS'!AK7</f>
        <v>19339.715564149436</v>
      </c>
      <c r="AL8" s="11">
        <f>'BS DRIVERS'!AL7</f>
        <v>18613.174285887839</v>
      </c>
    </row>
    <row r="9" spans="1:38" x14ac:dyDescent="0.25">
      <c r="A9" s="3" t="s">
        <v>41</v>
      </c>
      <c r="B9" s="4">
        <f>'BALANCE SHEET'!B9</f>
        <v>15586</v>
      </c>
      <c r="C9" s="4">
        <f>'YTD BS'!C9</f>
        <v>15523</v>
      </c>
      <c r="D9" s="4">
        <f>'YTD BS'!D9</f>
        <v>15562</v>
      </c>
      <c r="E9" s="4">
        <f>'YTD BS'!E9</f>
        <v>15501</v>
      </c>
      <c r="F9" s="4">
        <f>'BALANCE SHEET'!C9</f>
        <v>14929</v>
      </c>
      <c r="G9" s="4">
        <f>'YTD BS'!G9</f>
        <v>14853</v>
      </c>
      <c r="H9" s="4">
        <f>'YTD BS'!H9</f>
        <v>14826</v>
      </c>
      <c r="I9" s="4">
        <f>'YTD BS'!I9</f>
        <v>14857</v>
      </c>
      <c r="J9" s="4">
        <f>'BALANCE SHEET'!D9</f>
        <v>14801</v>
      </c>
      <c r="K9" s="4">
        <f>'YTD BS'!K9</f>
        <v>15363</v>
      </c>
      <c r="L9" s="4">
        <f>'YTD BS'!L9</f>
        <v>15523</v>
      </c>
      <c r="M9" s="4">
        <f>'YTD BS'!M9</f>
        <v>14852</v>
      </c>
      <c r="N9" s="4">
        <f>'BALANCE SHEET'!E9</f>
        <v>15066</v>
      </c>
      <c r="O9" s="4">
        <f>'YTD BS'!O9</f>
        <v>15143</v>
      </c>
      <c r="P9" s="11">
        <f>'BS DRIVERS'!P8</f>
        <v>15143</v>
      </c>
      <c r="Q9" s="11">
        <f>'BS DRIVERS'!Q8</f>
        <v>15143</v>
      </c>
      <c r="R9" s="11">
        <f>'BS DRIVERS'!R8</f>
        <v>15143</v>
      </c>
      <c r="S9" s="11">
        <f>'BS DRIVERS'!S8</f>
        <v>15143</v>
      </c>
      <c r="T9" s="11">
        <f>'BS DRIVERS'!T8</f>
        <v>15143</v>
      </c>
      <c r="U9" s="11">
        <f>'BS DRIVERS'!U8</f>
        <v>15143</v>
      </c>
      <c r="V9" s="11">
        <f>'BS DRIVERS'!V8</f>
        <v>15143</v>
      </c>
      <c r="W9" s="11">
        <f>'BS DRIVERS'!W8</f>
        <v>15143</v>
      </c>
      <c r="X9" s="11">
        <f>'BS DRIVERS'!X8</f>
        <v>15143</v>
      </c>
      <c r="Y9" s="11">
        <f>'BS DRIVERS'!Y8</f>
        <v>15143</v>
      </c>
      <c r="Z9" s="11">
        <f>'BS DRIVERS'!Z8</f>
        <v>15143</v>
      </c>
      <c r="AA9" s="11">
        <f>'BS DRIVERS'!AA8</f>
        <v>15143</v>
      </c>
      <c r="AB9" s="11">
        <f>'BS DRIVERS'!AB8</f>
        <v>15143</v>
      </c>
      <c r="AC9" s="11">
        <f>'BS DRIVERS'!AC8</f>
        <v>15143</v>
      </c>
      <c r="AD9" s="11">
        <f>'BS DRIVERS'!AD8</f>
        <v>15143</v>
      </c>
      <c r="AE9" s="11">
        <f>'BS DRIVERS'!AE8</f>
        <v>15143</v>
      </c>
      <c r="AF9" s="11">
        <f>'BS DRIVERS'!AF8</f>
        <v>15143</v>
      </c>
      <c r="AG9" s="11">
        <f>'BS DRIVERS'!AG8</f>
        <v>15143</v>
      </c>
      <c r="AH9" s="11">
        <f>'BS DRIVERS'!AH8</f>
        <v>15143</v>
      </c>
      <c r="AI9" s="11">
        <f>'BS DRIVERS'!AI8</f>
        <v>15143</v>
      </c>
      <c r="AJ9" s="11">
        <f>'BS DRIVERS'!AJ8</f>
        <v>15143</v>
      </c>
      <c r="AK9" s="11">
        <f>'BS DRIVERS'!AK8</f>
        <v>15143</v>
      </c>
      <c r="AL9" s="11">
        <f>'BS DRIVERS'!AL8</f>
        <v>15143</v>
      </c>
    </row>
    <row r="10" spans="1:38" x14ac:dyDescent="0.25">
      <c r="A10" s="3" t="s">
        <v>42</v>
      </c>
      <c r="B10" s="4">
        <f>'BALANCE SHEET'!B10</f>
        <v>18202</v>
      </c>
      <c r="C10" s="4">
        <f>'YTD BS'!C10</f>
        <v>18089</v>
      </c>
      <c r="D10" s="4">
        <f>'YTD BS'!D10</f>
        <v>17997</v>
      </c>
      <c r="E10" s="4">
        <f>'YTD BS'!E10</f>
        <v>17892</v>
      </c>
      <c r="F10" s="4">
        <f>'BALANCE SHEET'!C10</f>
        <v>17728</v>
      </c>
      <c r="G10" s="4">
        <f>'YTD BS'!G10</f>
        <v>17646</v>
      </c>
      <c r="H10" s="4">
        <f>'YTD BS'!H10</f>
        <v>17648</v>
      </c>
      <c r="I10" s="4">
        <f>'YTD BS'!I10</f>
        <v>17709</v>
      </c>
      <c r="J10" s="4">
        <f>'BALANCE SHEET'!D10</f>
        <v>17534</v>
      </c>
      <c r="K10" s="4">
        <f>'YTD BS'!K10</f>
        <v>18364</v>
      </c>
      <c r="L10" s="4">
        <f>'YTD BS'!L10</f>
        <v>18952</v>
      </c>
      <c r="M10" s="4">
        <f>'YTD BS'!M10</f>
        <v>18845</v>
      </c>
      <c r="N10" s="4">
        <f>'BALANCE SHEET'!E10</f>
        <v>18916</v>
      </c>
      <c r="O10" s="4">
        <f>'YTD BS'!O10</f>
        <v>19021</v>
      </c>
      <c r="P10" s="11">
        <f>'BS DRIVERS'!P9</f>
        <v>19021</v>
      </c>
      <c r="Q10" s="11">
        <f>'BS DRIVERS'!Q9</f>
        <v>19021</v>
      </c>
      <c r="R10" s="11">
        <f>'BS DRIVERS'!R9</f>
        <v>19021</v>
      </c>
      <c r="S10" s="11">
        <f>'BS DRIVERS'!S9</f>
        <v>19021</v>
      </c>
      <c r="T10" s="11">
        <f>'BS DRIVERS'!T9</f>
        <v>19021</v>
      </c>
      <c r="U10" s="11">
        <f>'BS DRIVERS'!U9</f>
        <v>19021</v>
      </c>
      <c r="V10" s="11">
        <f>'BS DRIVERS'!V9</f>
        <v>19021</v>
      </c>
      <c r="W10" s="11">
        <f>'BS DRIVERS'!W9</f>
        <v>19021</v>
      </c>
      <c r="X10" s="11">
        <f>'BS DRIVERS'!X9</f>
        <v>19021</v>
      </c>
      <c r="Y10" s="11">
        <f>'BS DRIVERS'!Y9</f>
        <v>19021</v>
      </c>
      <c r="Z10" s="11">
        <f>'BS DRIVERS'!Z9</f>
        <v>19021</v>
      </c>
      <c r="AA10" s="11">
        <f>'BS DRIVERS'!AA9</f>
        <v>19021</v>
      </c>
      <c r="AB10" s="11">
        <f>'BS DRIVERS'!AB9</f>
        <v>19021</v>
      </c>
      <c r="AC10" s="11">
        <f>'BS DRIVERS'!AC9</f>
        <v>19021</v>
      </c>
      <c r="AD10" s="11">
        <f>'BS DRIVERS'!AD9</f>
        <v>19021</v>
      </c>
      <c r="AE10" s="11">
        <f>'BS DRIVERS'!AE9</f>
        <v>19021</v>
      </c>
      <c r="AF10" s="11">
        <f>'BS DRIVERS'!AF9</f>
        <v>19021</v>
      </c>
      <c r="AG10" s="11">
        <f>'BS DRIVERS'!AG9</f>
        <v>19021</v>
      </c>
      <c r="AH10" s="11">
        <f>'BS DRIVERS'!AH9</f>
        <v>19021</v>
      </c>
      <c r="AI10" s="11">
        <f>'BS DRIVERS'!AI9</f>
        <v>19021</v>
      </c>
      <c r="AJ10" s="11">
        <f>'BS DRIVERS'!AJ9</f>
        <v>19021</v>
      </c>
      <c r="AK10" s="11">
        <f>'BS DRIVERS'!AK9</f>
        <v>19021</v>
      </c>
      <c r="AL10" s="11">
        <f>'BS DRIVERS'!AL9</f>
        <v>19021</v>
      </c>
    </row>
    <row r="11" spans="1:38" x14ac:dyDescent="0.25">
      <c r="A11" s="3" t="s">
        <v>43</v>
      </c>
      <c r="B11" s="4">
        <f>'BALANCE SHEET'!B11</f>
        <v>3073</v>
      </c>
      <c r="C11" s="4">
        <f>'YTD BS'!C11</f>
        <v>3123</v>
      </c>
      <c r="D11" s="4">
        <f>'YTD BS'!D11</f>
        <v>3038</v>
      </c>
      <c r="E11" s="4">
        <f>'YTD BS'!E11</f>
        <v>2955</v>
      </c>
      <c r="F11" s="4">
        <f>'BALANCE SHEET'!C11</f>
        <v>2714</v>
      </c>
      <c r="G11" s="4">
        <f>'YTD BS'!G11</f>
        <v>2734</v>
      </c>
      <c r="H11" s="4">
        <f>'YTD BS'!H11</f>
        <v>2674</v>
      </c>
      <c r="I11" s="4">
        <f>'YTD BS'!I11</f>
        <v>2645</v>
      </c>
      <c r="J11" s="4">
        <f>'BALANCE SHEET'!D11</f>
        <v>1985</v>
      </c>
      <c r="K11" s="4">
        <f>'YTD BS'!K11</f>
        <v>1996</v>
      </c>
      <c r="L11" s="4">
        <f>'YTD BS'!L11</f>
        <v>2061</v>
      </c>
      <c r="M11" s="4">
        <f>'YTD BS'!M11</f>
        <v>2084</v>
      </c>
      <c r="N11" s="4">
        <f>'BALANCE SHEET'!E11</f>
        <v>2038</v>
      </c>
      <c r="O11" s="4">
        <f>'YTD BS'!O11</f>
        <v>2135</v>
      </c>
      <c r="P11" s="11">
        <f>'BS DRIVERS'!P10</f>
        <v>2135</v>
      </c>
      <c r="Q11" s="11">
        <f>'BS DRIVERS'!Q10</f>
        <v>2135</v>
      </c>
      <c r="R11" s="11">
        <f>'BS DRIVERS'!R10</f>
        <v>2135</v>
      </c>
      <c r="S11" s="11">
        <f>'BS DRIVERS'!S10</f>
        <v>2135</v>
      </c>
      <c r="T11" s="11">
        <f>'BS DRIVERS'!T10</f>
        <v>2135</v>
      </c>
      <c r="U11" s="11">
        <f>'BS DRIVERS'!U10</f>
        <v>2135</v>
      </c>
      <c r="V11" s="11">
        <f>'BS DRIVERS'!V10</f>
        <v>2135</v>
      </c>
      <c r="W11" s="11">
        <f>'BS DRIVERS'!W10</f>
        <v>2135</v>
      </c>
      <c r="X11" s="11">
        <f>'BS DRIVERS'!X10</f>
        <v>2135</v>
      </c>
      <c r="Y11" s="11">
        <f>'BS DRIVERS'!Y10</f>
        <v>2135</v>
      </c>
      <c r="Z11" s="11">
        <f>'BS DRIVERS'!Z10</f>
        <v>2135</v>
      </c>
      <c r="AA11" s="11">
        <f>'BS DRIVERS'!AA10</f>
        <v>2135</v>
      </c>
      <c r="AB11" s="11">
        <f>'BS DRIVERS'!AB10</f>
        <v>2135</v>
      </c>
      <c r="AC11" s="11">
        <f>'BS DRIVERS'!AC10</f>
        <v>2135</v>
      </c>
      <c r="AD11" s="11">
        <f>'BS DRIVERS'!AD10</f>
        <v>2135</v>
      </c>
      <c r="AE11" s="11">
        <f>'BS DRIVERS'!AE10</f>
        <v>2135</v>
      </c>
      <c r="AF11" s="11">
        <f>'BS DRIVERS'!AF10</f>
        <v>2135</v>
      </c>
      <c r="AG11" s="11">
        <f>'BS DRIVERS'!AG10</f>
        <v>2135</v>
      </c>
      <c r="AH11" s="11">
        <f>'BS DRIVERS'!AH10</f>
        <v>2135</v>
      </c>
      <c r="AI11" s="11">
        <f>'BS DRIVERS'!AI10</f>
        <v>2135</v>
      </c>
      <c r="AJ11" s="11">
        <f>'BS DRIVERS'!AJ10</f>
        <v>2135</v>
      </c>
      <c r="AK11" s="11">
        <f>'BS DRIVERS'!AK10</f>
        <v>2135</v>
      </c>
      <c r="AL11" s="11">
        <f>'BS DRIVERS'!AL10</f>
        <v>2135</v>
      </c>
    </row>
    <row r="12" spans="1:38" x14ac:dyDescent="0.25">
      <c r="A12" s="3" t="s">
        <v>44</v>
      </c>
      <c r="B12" s="4">
        <f>'BALANCE SHEET'!B12</f>
        <v>4204</v>
      </c>
      <c r="C12" s="4">
        <f>'YTD BS'!C12</f>
        <v>4211</v>
      </c>
      <c r="D12" s="4">
        <f>'YTD BS'!D12</f>
        <v>4186</v>
      </c>
      <c r="E12" s="4">
        <f>'YTD BS'!E12</f>
        <v>4165</v>
      </c>
      <c r="F12" s="4">
        <f>'BALANCE SHEET'!C12</f>
        <v>4474</v>
      </c>
      <c r="G12" s="4">
        <f>'YTD BS'!G12</f>
        <v>4444</v>
      </c>
      <c r="H12" s="4">
        <f>'YTD BS'!H12</f>
        <v>4465</v>
      </c>
      <c r="I12" s="4">
        <f>'YTD BS'!I12</f>
        <v>4321</v>
      </c>
      <c r="J12" s="4">
        <f>'BALANCE SHEET'!D12</f>
        <v>4362</v>
      </c>
      <c r="K12" s="4">
        <f>'YTD BS'!K12</f>
        <v>4350</v>
      </c>
      <c r="L12" s="4">
        <f>'YTD BS'!L12</f>
        <v>4293</v>
      </c>
      <c r="M12" s="4">
        <f>'YTD BS'!M12</f>
        <v>4341</v>
      </c>
      <c r="N12" s="4">
        <f>'BALANCE SHEET'!E12</f>
        <v>4541</v>
      </c>
      <c r="O12" s="4">
        <f>'YTD BS'!O12</f>
        <v>4560</v>
      </c>
      <c r="P12" s="11">
        <f>'BS DRIVERS'!P11</f>
        <v>4334</v>
      </c>
      <c r="Q12" s="11">
        <f>'BS DRIVERS'!Q11</f>
        <v>4108</v>
      </c>
      <c r="R12" s="11">
        <f>'BS DRIVERS'!R11</f>
        <v>3882</v>
      </c>
      <c r="S12" s="11">
        <f>'BS DRIVERS'!S11</f>
        <v>3656</v>
      </c>
      <c r="T12" s="11">
        <f>'BS DRIVERS'!T11</f>
        <v>3430</v>
      </c>
      <c r="U12" s="11">
        <f>'BS DRIVERS'!U11</f>
        <v>3204</v>
      </c>
      <c r="V12" s="11">
        <f>'BS DRIVERS'!V11</f>
        <v>2978</v>
      </c>
      <c r="W12" s="11">
        <f>'BS DRIVERS'!W11</f>
        <v>2752</v>
      </c>
      <c r="X12" s="11">
        <f>'BS DRIVERS'!X11</f>
        <v>2526</v>
      </c>
      <c r="Y12" s="11">
        <f>'BS DRIVERS'!Y11</f>
        <v>2300</v>
      </c>
      <c r="Z12" s="11">
        <f>'BS DRIVERS'!Z11</f>
        <v>2074</v>
      </c>
      <c r="AA12" s="11">
        <f>'BS DRIVERS'!AA11</f>
        <v>1848</v>
      </c>
      <c r="AB12" s="11">
        <f>'BS DRIVERS'!AB11</f>
        <v>1622</v>
      </c>
      <c r="AC12" s="11">
        <f>'BS DRIVERS'!AC11</f>
        <v>1396</v>
      </c>
      <c r="AD12" s="11">
        <f>'BS DRIVERS'!AD11</f>
        <v>1170</v>
      </c>
      <c r="AE12" s="11">
        <f>'BS DRIVERS'!AE11</f>
        <v>944</v>
      </c>
      <c r="AF12" s="11">
        <f>'BS DRIVERS'!AF11</f>
        <v>718</v>
      </c>
      <c r="AG12" s="11">
        <f>'BS DRIVERS'!AG11</f>
        <v>492</v>
      </c>
      <c r="AH12" s="11">
        <f>'BS DRIVERS'!AH11</f>
        <v>266</v>
      </c>
      <c r="AI12" s="11">
        <f>'BS DRIVERS'!AI11</f>
        <v>40</v>
      </c>
      <c r="AJ12" s="11">
        <f>'BS DRIVERS'!AJ11</f>
        <v>-186</v>
      </c>
      <c r="AK12" s="11">
        <f>'BS DRIVERS'!AK11</f>
        <v>-412</v>
      </c>
      <c r="AL12" s="11">
        <f>'BS DRIVERS'!AL11</f>
        <v>-638</v>
      </c>
    </row>
    <row r="13" spans="1:38" x14ac:dyDescent="0.25">
      <c r="A13" s="3" t="s">
        <v>45</v>
      </c>
      <c r="B13" s="4">
        <f>'BALANCE SHEET'!B13</f>
        <v>5292</v>
      </c>
      <c r="C13" s="4">
        <f>'YTD BS'!C13</f>
        <v>5441</v>
      </c>
      <c r="D13" s="4">
        <f>'YTD BS'!D13</f>
        <v>5669</v>
      </c>
      <c r="E13" s="4">
        <f>'YTD BS'!E13</f>
        <v>5938</v>
      </c>
      <c r="F13" s="4">
        <f>'BALANCE SHEET'!C13</f>
        <v>6661</v>
      </c>
      <c r="G13" s="4">
        <f>'YTD BS'!G13</f>
        <v>7566</v>
      </c>
      <c r="H13" s="4">
        <f>'YTD BS'!H13</f>
        <v>7175</v>
      </c>
      <c r="I13" s="4">
        <f>'YTD BS'!I13</f>
        <v>6941</v>
      </c>
      <c r="J13" s="4">
        <f>'BALANCE SHEET'!D13</f>
        <v>6951</v>
      </c>
      <c r="K13" s="4">
        <f>'YTD BS'!K13</f>
        <v>7163</v>
      </c>
      <c r="L13" s="4">
        <f>'YTD BS'!L13</f>
        <v>7509</v>
      </c>
      <c r="M13" s="4">
        <f>'YTD BS'!M13</f>
        <v>8661</v>
      </c>
      <c r="N13" s="4">
        <f>'BALANCE SHEET'!E13</f>
        <v>8984</v>
      </c>
      <c r="O13" s="4">
        <f>'YTD BS'!O13</f>
        <v>9064</v>
      </c>
      <c r="P13" s="11">
        <f>'QTR P&amp;L'!S2*'BS DRIVERS'!P12</f>
        <v>11495.533456108044</v>
      </c>
      <c r="Q13" s="11">
        <f>'QTR P&amp;L'!T2*'BS DRIVERS'!Q12</f>
        <v>12108.095764272561</v>
      </c>
      <c r="R13" s="11">
        <f>'QTR P&amp;L'!U2*'BS DRIVERS'!R12</f>
        <v>14842.62246777164</v>
      </c>
      <c r="S13" s="11">
        <f>'QTR P&amp;L'!V2*'BS DRIVERS'!S12</f>
        <v>9834.8876611418054</v>
      </c>
      <c r="T13" s="11">
        <f>'QTR P&amp;L'!W2*'BS DRIVERS'!T12</f>
        <v>12473.221551822573</v>
      </c>
      <c r="U13" s="11">
        <f>'QTR P&amp;L'!X2*'BS DRIVERS'!U12</f>
        <v>13137.881909969941</v>
      </c>
      <c r="V13" s="11">
        <f>'QTR P&amp;L'!Y2*'BS DRIVERS'!V12</f>
        <v>16104.978438578268</v>
      </c>
      <c r="W13" s="11">
        <f>'QTR P&amp;L'!Z2*'BS DRIVERS'!W12</f>
        <v>10671.338846787216</v>
      </c>
      <c r="X13" s="11">
        <f>'QTR P&amp;L'!AA2*'BS DRIVERS'!X12</f>
        <v>13534.061422628845</v>
      </c>
      <c r="Y13" s="11">
        <f>'QTR P&amp;L'!AB2*'BS DRIVERS'!Y12</f>
        <v>14255.250738073864</v>
      </c>
      <c r="Z13" s="11">
        <f>'QTR P&amp;L'!AC2*'BS DRIVERS'!Z12</f>
        <v>17474.697013297467</v>
      </c>
      <c r="AA13" s="11">
        <f>'QTR P&amp;L'!AD2*'BS DRIVERS'!AA12</f>
        <v>11578.929694630495</v>
      </c>
      <c r="AB13" s="11">
        <f>'QTR P&amp;L'!AE2*'BS DRIVERS'!AB12</f>
        <v>14685.125076185761</v>
      </c>
      <c r="AC13" s="11">
        <f>'QTR P&amp;L'!AF2*'BS DRIVERS'!AC12</f>
        <v>15467.651102202699</v>
      </c>
      <c r="AD13" s="11">
        <f>'QTR P&amp;L'!AG2*'BS DRIVERS'!AD12</f>
        <v>18960.909315784513</v>
      </c>
      <c r="AE13" s="11">
        <f>'QTR P&amp;L'!AH2*'BS DRIVERS'!AE12</f>
        <v>12563.71058946932</v>
      </c>
      <c r="AF13" s="11">
        <f>'QTR P&amp;L'!AI2*'BS DRIVERS'!AF12</f>
        <v>15934.085990082023</v>
      </c>
      <c r="AG13" s="11">
        <f>'QTR P&amp;L'!AJ2*'BS DRIVERS'!AG12</f>
        <v>16783.165376423185</v>
      </c>
      <c r="AH13" s="11">
        <f>'QTR P&amp;L'!AK2*'BS DRIVERS'!AH12</f>
        <v>20573.523066398699</v>
      </c>
      <c r="AI13" s="11">
        <f>'QTR P&amp;L'!AL2*'BS DRIVERS'!AI12</f>
        <v>13632.246497631117</v>
      </c>
      <c r="AJ13" s="11">
        <f>'QTR P&amp;L'!AM2*'BS DRIVERS'!AJ12</f>
        <v>17289.270266486121</v>
      </c>
      <c r="AK13" s="11">
        <f>'QTR P&amp;L'!AN2*'BS DRIVERS'!AK12</f>
        <v>18210.563335777446</v>
      </c>
      <c r="AL13" s="11">
        <f>'QTR P&amp;L'!AO2*'BS DRIVERS'!AL12</f>
        <v>22323.288631061434</v>
      </c>
    </row>
    <row r="14" spans="1:38" x14ac:dyDescent="0.25">
      <c r="A14" s="3" t="s">
        <v>46</v>
      </c>
      <c r="B14" s="6">
        <f>'BALANCE SHEET'!B14</f>
        <v>92187</v>
      </c>
      <c r="C14" s="6">
        <f>'YTD BS'!C14</f>
        <v>93042</v>
      </c>
      <c r="D14" s="6">
        <f>'YTD BS'!D14</f>
        <v>95906</v>
      </c>
      <c r="E14" s="6">
        <f>'YTD BS'!E14</f>
        <v>99953</v>
      </c>
      <c r="F14" s="6">
        <f>'BALANCE SHEET'!C14</f>
        <v>100495</v>
      </c>
      <c r="G14" s="6">
        <f>'YTD BS'!G14</f>
        <v>100040</v>
      </c>
      <c r="H14" s="6">
        <f>'YTD BS'!H14</f>
        <v>99533</v>
      </c>
      <c r="I14" s="6">
        <f>'YTD BS'!I14</f>
        <v>100513</v>
      </c>
      <c r="J14" s="6">
        <f>'BALANCE SHEET'!D14</f>
        <v>99467</v>
      </c>
      <c r="K14" s="6">
        <f>'YTD BS'!K14</f>
        <v>101737</v>
      </c>
      <c r="L14" s="6">
        <f>'YTD BS'!L14</f>
        <v>105345</v>
      </c>
      <c r="M14" s="6">
        <f>'YTD BS'!M14</f>
        <v>106558</v>
      </c>
      <c r="N14" s="6">
        <f>'BALANCE SHEET'!E14</f>
        <v>107399</v>
      </c>
      <c r="O14" s="6">
        <f>'YTD BS'!O14</f>
        <v>110646</v>
      </c>
      <c r="P14" s="7">
        <f t="shared" ref="P14:AL14" si="1">P7+SUM(P8:P13)</f>
        <v>120038.91448183492</v>
      </c>
      <c r="Q14" s="7">
        <f t="shared" si="1"/>
        <v>122976.49716146901</v>
      </c>
      <c r="R14" s="7">
        <f t="shared" si="1"/>
        <v>133633.23040652633</v>
      </c>
      <c r="S14" s="7">
        <f t="shared" si="1"/>
        <v>116397.27856871072</v>
      </c>
      <c r="T14" s="7">
        <f t="shared" si="1"/>
        <v>126581.35230544259</v>
      </c>
      <c r="U14" s="7">
        <f t="shared" si="1"/>
        <v>129761.0722149413</v>
      </c>
      <c r="V14" s="7">
        <f t="shared" si="1"/>
        <v>141316.45172840919</v>
      </c>
      <c r="W14" s="7">
        <f t="shared" si="1"/>
        <v>122606.89033745727</v>
      </c>
      <c r="X14" s="7">
        <f t="shared" si="1"/>
        <v>133649.41094025093</v>
      </c>
      <c r="Y14" s="7">
        <f t="shared" si="1"/>
        <v>137091.86170304829</v>
      </c>
      <c r="Z14" s="7">
        <f t="shared" si="1"/>
        <v>149622.31680090743</v>
      </c>
      <c r="AA14" s="7">
        <f t="shared" si="1"/>
        <v>129313.81626482302</v>
      </c>
      <c r="AB14" s="7">
        <f t="shared" si="1"/>
        <v>141287.79411505454</v>
      </c>
      <c r="AC14" s="7">
        <f t="shared" si="1"/>
        <v>145015.32082967315</v>
      </c>
      <c r="AD14" s="7">
        <f t="shared" si="1"/>
        <v>158603.7810945237</v>
      </c>
      <c r="AE14" s="7">
        <f t="shared" si="1"/>
        <v>136560.35261609816</v>
      </c>
      <c r="AF14" s="7">
        <f t="shared" si="1"/>
        <v>149545.00758346426</v>
      </c>
      <c r="AG14" s="7">
        <f t="shared" si="1"/>
        <v>153581.85578540142</v>
      </c>
      <c r="AH14" s="7">
        <f t="shared" si="1"/>
        <v>168318.30391016678</v>
      </c>
      <c r="AI14" s="7">
        <f t="shared" si="1"/>
        <v>144392.39292808934</v>
      </c>
      <c r="AJ14" s="7">
        <f t="shared" si="1"/>
        <v>158473.68248379452</v>
      </c>
      <c r="AK14" s="7">
        <f t="shared" si="1"/>
        <v>162846.15977652546</v>
      </c>
      <c r="AL14" s="7">
        <f t="shared" si="1"/>
        <v>178828.23142717534</v>
      </c>
    </row>
    <row r="15" spans="1:38" x14ac:dyDescent="0.25">
      <c r="A15" s="3" t="s">
        <v>47</v>
      </c>
      <c r="B15" s="4">
        <f>'BALANCE SHEET'!B15</f>
        <v>3414</v>
      </c>
      <c r="C15" s="4">
        <f>'YTD BS'!C15</f>
        <v>4281</v>
      </c>
      <c r="D15" s="4">
        <f>'YTD BS'!D15</f>
        <v>7613</v>
      </c>
      <c r="E15" s="4">
        <f>'YTD BS'!E15</f>
        <v>8937</v>
      </c>
      <c r="F15" s="4">
        <f>'BALANCE SHEET'!C15</f>
        <v>6510</v>
      </c>
      <c r="G15" s="4">
        <f>'YTD BS'!G15</f>
        <v>8161</v>
      </c>
      <c r="H15" s="4">
        <f>'YTD BS'!H15</f>
        <v>8289</v>
      </c>
      <c r="I15" s="4">
        <f>'YTD BS'!I15</f>
        <v>6524</v>
      </c>
      <c r="J15" s="4">
        <f>'BALANCE SHEET'!D15</f>
        <v>7082</v>
      </c>
      <c r="K15" s="4">
        <f>'YTD BS'!K15</f>
        <v>9099</v>
      </c>
      <c r="L15" s="4">
        <f>'YTD BS'!L15</f>
        <v>12056</v>
      </c>
      <c r="M15" s="4">
        <f>'YTD BS'!M15</f>
        <v>6736</v>
      </c>
      <c r="N15" s="4">
        <f>'BALANCE SHEET'!E15</f>
        <v>6861</v>
      </c>
      <c r="O15" s="4">
        <f>'YTD BS'!O15</f>
        <v>10151</v>
      </c>
      <c r="P15" s="11">
        <f>'BS DRIVERS'!P13</f>
        <v>10151</v>
      </c>
      <c r="Q15" s="11">
        <f>'BS DRIVERS'!Q13</f>
        <v>10151</v>
      </c>
      <c r="R15" s="11">
        <f>'BS DRIVERS'!R13</f>
        <v>10151</v>
      </c>
      <c r="S15" s="11">
        <f>'BS DRIVERS'!S13</f>
        <v>10151</v>
      </c>
      <c r="T15" s="11">
        <f>'BS DRIVERS'!T13</f>
        <v>10151</v>
      </c>
      <c r="U15" s="11">
        <f>'BS DRIVERS'!U13</f>
        <v>10151</v>
      </c>
      <c r="V15" s="11">
        <f>'BS DRIVERS'!V13</f>
        <v>10151</v>
      </c>
      <c r="W15" s="11">
        <f>'BS DRIVERS'!W13</f>
        <v>10151</v>
      </c>
      <c r="X15" s="11">
        <f>'BS DRIVERS'!X13</f>
        <v>10151</v>
      </c>
      <c r="Y15" s="11">
        <f>'BS DRIVERS'!Y13</f>
        <v>10151</v>
      </c>
      <c r="Z15" s="11">
        <f>'BS DRIVERS'!Z13</f>
        <v>10151</v>
      </c>
      <c r="AA15" s="11">
        <f>'BS DRIVERS'!AA13</f>
        <v>10151</v>
      </c>
      <c r="AB15" s="11">
        <f>'BS DRIVERS'!AB13</f>
        <v>10151</v>
      </c>
      <c r="AC15" s="11">
        <f>'BS DRIVERS'!AC13</f>
        <v>10151</v>
      </c>
      <c r="AD15" s="11">
        <f>'BS DRIVERS'!AD13</f>
        <v>10151</v>
      </c>
      <c r="AE15" s="11">
        <f>'BS DRIVERS'!AE13</f>
        <v>10151</v>
      </c>
      <c r="AF15" s="11">
        <f>'BS DRIVERS'!AF13</f>
        <v>10151</v>
      </c>
      <c r="AG15" s="11">
        <f>'BS DRIVERS'!AG13</f>
        <v>10151</v>
      </c>
      <c r="AH15" s="11">
        <f>'BS DRIVERS'!AH13</f>
        <v>10151</v>
      </c>
      <c r="AI15" s="11">
        <f>'BS DRIVERS'!AI13</f>
        <v>10151</v>
      </c>
      <c r="AJ15" s="11">
        <f>'BS DRIVERS'!AJ13</f>
        <v>10151</v>
      </c>
      <c r="AK15" s="11">
        <f>'BS DRIVERS'!AK13</f>
        <v>10151</v>
      </c>
      <c r="AL15" s="11">
        <f>'BS DRIVERS'!AL13</f>
        <v>10151</v>
      </c>
    </row>
    <row r="16" spans="1:38" x14ac:dyDescent="0.25">
      <c r="A16" s="3" t="s">
        <v>48</v>
      </c>
      <c r="B16" s="4">
        <f>'BALANCE SHEET'!B16</f>
        <v>23371</v>
      </c>
      <c r="C16" s="4">
        <f>'YTD BS'!C16</f>
        <v>21556</v>
      </c>
      <c r="D16" s="4">
        <f>'YTD BS'!D16</f>
        <v>22005</v>
      </c>
      <c r="E16" s="4">
        <f>'YTD BS'!E16</f>
        <v>23723</v>
      </c>
      <c r="F16" s="4">
        <f>'BALANCE SHEET'!C16</f>
        <v>25137</v>
      </c>
      <c r="G16" s="4">
        <f>'YTD BS'!G16</f>
        <v>22073</v>
      </c>
      <c r="H16" s="4">
        <f>'YTD BS'!H16</f>
        <v>22859</v>
      </c>
      <c r="I16" s="4">
        <f>'YTD BS'!I16</f>
        <v>23791</v>
      </c>
      <c r="J16" s="4">
        <f>'BALANCE SHEET'!D16</f>
        <v>24454</v>
      </c>
      <c r="K16" s="4">
        <f>'YTD BS'!K16</f>
        <v>22412</v>
      </c>
      <c r="L16" s="4">
        <f>'YTD BS'!L16</f>
        <v>24340</v>
      </c>
      <c r="M16" s="4">
        <f>'YTD BS'!M16</f>
        <v>24763</v>
      </c>
      <c r="N16" s="4">
        <f>'BALANCE SHEET'!E16</f>
        <v>25903</v>
      </c>
      <c r="O16" s="4">
        <f>'YTD BS'!O16</f>
        <v>24326</v>
      </c>
      <c r="P16" s="11">
        <f>'QTR P&amp;L'!S2*'BS DRIVERS'!P14</f>
        <v>30851.759361571516</v>
      </c>
      <c r="Q16" s="11">
        <f>'QTR P&amp;L'!T2*'BS DRIVERS'!Q14</f>
        <v>32495.756571237231</v>
      </c>
      <c r="R16" s="11">
        <f>'QTR P&amp;L'!U2*'BS DRIVERS'!R14</f>
        <v>39834.690440314749</v>
      </c>
      <c r="S16" s="11">
        <f>'QTR P&amp;L'!V2*'BS DRIVERS'!S14</f>
        <v>26394.911434789887</v>
      </c>
      <c r="T16" s="11">
        <f>'QTR P&amp;L'!W2*'BS DRIVERS'!T14</f>
        <v>33475.682642281099</v>
      </c>
      <c r="U16" s="11">
        <f>'QTR P&amp;L'!X2*'BS DRIVERS'!U14</f>
        <v>35259.500810009791</v>
      </c>
      <c r="V16" s="11">
        <f>'QTR P&amp;L'!Y2*'BS DRIVERS'!V14</f>
        <v>43222.6065199531</v>
      </c>
      <c r="W16" s="11">
        <f>'QTR P&amp;L'!Z2*'BS DRIVERS'!W14</f>
        <v>28639.782522831618</v>
      </c>
      <c r="X16" s="11">
        <f>'QTR P&amp;L'!AA2*'BS DRIVERS'!X14</f>
        <v>36322.768994579579</v>
      </c>
      <c r="Y16" s="11">
        <f>'QTR P&amp;L'!AB2*'BS DRIVERS'!Y14</f>
        <v>38258.299807412266</v>
      </c>
      <c r="Z16" s="11">
        <f>'QTR P&amp;L'!AC2*'BS DRIVERS'!Z14</f>
        <v>46898.662791866074</v>
      </c>
      <c r="AA16" s="11">
        <f>'QTR P&amp;L'!AD2*'BS DRIVERS'!AA14</f>
        <v>31075.578525108274</v>
      </c>
      <c r="AB16" s="11">
        <f>'QTR P&amp;L'!AE2*'BS DRIVERS'!AB14</f>
        <v>39411.998301334374</v>
      </c>
      <c r="AC16" s="11">
        <f>'QTR P&amp;L'!AF2*'BS DRIVERS'!AC14</f>
        <v>41512.144827028111</v>
      </c>
      <c r="AD16" s="11">
        <f>'QTR P&amp;L'!AG2*'BS DRIVERS'!AD14</f>
        <v>50887.365403328993</v>
      </c>
      <c r="AE16" s="11">
        <f>'QTR P&amp;L'!AH2*'BS DRIVERS'!AE14</f>
        <v>33718.537488904527</v>
      </c>
      <c r="AF16" s="11">
        <f>'QTR P&amp;L'!AI2*'BS DRIVERS'!AF14</f>
        <v>42763.964672852526</v>
      </c>
      <c r="AG16" s="11">
        <f>'QTR P&amp;L'!AJ2*'BS DRIVERS'!AG14</f>
        <v>45042.727377192234</v>
      </c>
      <c r="AH16" s="11">
        <f>'QTR P&amp;L'!AK2*'BS DRIVERS'!AH14</f>
        <v>55215.304734467638</v>
      </c>
      <c r="AI16" s="11">
        <f>'QTR P&amp;L'!AL2*'BS DRIVERS'!AI14</f>
        <v>36586.278497503808</v>
      </c>
      <c r="AJ16" s="11">
        <f>'QTR P&amp;L'!AM2*'BS DRIVERS'!AJ14</f>
        <v>46401.013735937922</v>
      </c>
      <c r="AK16" s="11">
        <f>'QTR P&amp;L'!AN2*'BS DRIVERS'!AK14</f>
        <v>48873.583815768106</v>
      </c>
      <c r="AL16" s="11">
        <f>'QTR P&amp;L'!AO2*'BS DRIVERS'!AL14</f>
        <v>59911.33266098857</v>
      </c>
    </row>
    <row r="17" spans="1:38" x14ac:dyDescent="0.25">
      <c r="A17" s="3" t="s">
        <v>49</v>
      </c>
      <c r="B17" s="6">
        <f>'BALANCE SHEET'!B17</f>
        <v>26785</v>
      </c>
      <c r="C17" s="6">
        <f>'YTD BS'!C17</f>
        <v>25837</v>
      </c>
      <c r="D17" s="6">
        <f>'YTD BS'!D17</f>
        <v>29618</v>
      </c>
      <c r="E17" s="6">
        <f>'YTD BS'!E17</f>
        <v>32660</v>
      </c>
      <c r="F17" s="6">
        <f>'BALANCE SHEET'!C17</f>
        <v>31647</v>
      </c>
      <c r="G17" s="6">
        <f>'YTD BS'!G17</f>
        <v>30234</v>
      </c>
      <c r="H17" s="6">
        <f>'YTD BS'!H17</f>
        <v>31148</v>
      </c>
      <c r="I17" s="6">
        <f>'YTD BS'!I17</f>
        <v>30315</v>
      </c>
      <c r="J17" s="6">
        <f>'BALANCE SHEET'!D17</f>
        <v>31536</v>
      </c>
      <c r="K17" s="6">
        <f>'YTD BS'!K17</f>
        <v>31511</v>
      </c>
      <c r="L17" s="6">
        <f>'YTD BS'!L17</f>
        <v>36396</v>
      </c>
      <c r="M17" s="6">
        <f>'YTD BS'!M17</f>
        <v>31499</v>
      </c>
      <c r="N17" s="6">
        <f>'BALANCE SHEET'!E17</f>
        <v>32764</v>
      </c>
      <c r="O17" s="6">
        <f>'YTD BS'!O17</f>
        <v>34477</v>
      </c>
      <c r="P17" s="7">
        <f t="shared" ref="P17:AL17" si="2">SUM(P15:P16)</f>
        <v>41002.759361571516</v>
      </c>
      <c r="Q17" s="7">
        <f t="shared" si="2"/>
        <v>42646.756571237231</v>
      </c>
      <c r="R17" s="7">
        <f t="shared" si="2"/>
        <v>49985.690440314749</v>
      </c>
      <c r="S17" s="7">
        <f t="shared" si="2"/>
        <v>36545.911434789887</v>
      </c>
      <c r="T17" s="7">
        <f t="shared" si="2"/>
        <v>43626.682642281099</v>
      </c>
      <c r="U17" s="7">
        <f t="shared" si="2"/>
        <v>45410.500810009791</v>
      </c>
      <c r="V17" s="7">
        <f t="shared" si="2"/>
        <v>53373.6065199531</v>
      </c>
      <c r="W17" s="7">
        <f t="shared" si="2"/>
        <v>38790.782522831621</v>
      </c>
      <c r="X17" s="7">
        <f t="shared" si="2"/>
        <v>46473.768994579579</v>
      </c>
      <c r="Y17" s="7">
        <f t="shared" si="2"/>
        <v>48409.299807412266</v>
      </c>
      <c r="Z17" s="7">
        <f t="shared" si="2"/>
        <v>57049.662791866074</v>
      </c>
      <c r="AA17" s="7">
        <f t="shared" si="2"/>
        <v>41226.578525108271</v>
      </c>
      <c r="AB17" s="7">
        <f t="shared" si="2"/>
        <v>49562.998301334374</v>
      </c>
      <c r="AC17" s="7">
        <f t="shared" si="2"/>
        <v>51663.144827028111</v>
      </c>
      <c r="AD17" s="7">
        <f t="shared" si="2"/>
        <v>61038.365403328993</v>
      </c>
      <c r="AE17" s="7">
        <f t="shared" si="2"/>
        <v>43869.537488904527</v>
      </c>
      <c r="AF17" s="7">
        <f t="shared" si="2"/>
        <v>52914.964672852526</v>
      </c>
      <c r="AG17" s="7">
        <f t="shared" si="2"/>
        <v>55193.727377192234</v>
      </c>
      <c r="AH17" s="7">
        <f t="shared" si="2"/>
        <v>65366.304734467638</v>
      </c>
      <c r="AI17" s="7">
        <f t="shared" si="2"/>
        <v>46737.278497503808</v>
      </c>
      <c r="AJ17" s="7">
        <f t="shared" si="2"/>
        <v>56552.013735937922</v>
      </c>
      <c r="AK17" s="7">
        <f t="shared" si="2"/>
        <v>59024.583815768106</v>
      </c>
      <c r="AL17" s="7">
        <f t="shared" si="2"/>
        <v>70062.33266098857</v>
      </c>
    </row>
    <row r="18" spans="1:38" x14ac:dyDescent="0.25">
      <c r="A18" s="3" t="s">
        <v>50</v>
      </c>
      <c r="B18" s="4">
        <f>'BALANCE SHEET'!B18</f>
        <v>35657</v>
      </c>
      <c r="C18" s="4">
        <f>'YTD BS'!C18</f>
        <v>37486</v>
      </c>
      <c r="D18" s="4">
        <f>'YTD BS'!D18</f>
        <v>36008</v>
      </c>
      <c r="E18" s="4">
        <f>'YTD BS'!E18</f>
        <v>35837</v>
      </c>
      <c r="F18" s="4">
        <f>'BALANCE SHEET'!C18</f>
        <v>37595</v>
      </c>
      <c r="G18" s="4">
        <f>'YTD BS'!G18</f>
        <v>37707</v>
      </c>
      <c r="H18" s="4">
        <f>'YTD BS'!H18</f>
        <v>36638</v>
      </c>
      <c r="I18" s="4">
        <f>'YTD BS'!I18</f>
        <v>38490</v>
      </c>
      <c r="J18" s="4">
        <f>'BALANCE SHEET'!D18</f>
        <v>37224</v>
      </c>
      <c r="K18" s="4">
        <f>'YTD BS'!K18</f>
        <v>39419</v>
      </c>
      <c r="L18" s="4">
        <f>'YTD BS'!L18</f>
        <v>39328</v>
      </c>
      <c r="M18" s="4">
        <f>'YTD BS'!M18</f>
        <v>44113</v>
      </c>
      <c r="N18" s="4">
        <f>'BALANCE SHEET'!E18</f>
        <v>42321</v>
      </c>
      <c r="O18" s="4">
        <f>'YTD BS'!O18</f>
        <v>42577</v>
      </c>
      <c r="P18" s="11">
        <f>'BS DRIVERS'!P15</f>
        <v>42577</v>
      </c>
      <c r="Q18" s="11">
        <f>'BS DRIVERS'!Q15</f>
        <v>42577</v>
      </c>
      <c r="R18" s="11">
        <f>'BS DRIVERS'!R15</f>
        <v>42577</v>
      </c>
      <c r="S18" s="11">
        <f>'BS DRIVERS'!S15</f>
        <v>42577</v>
      </c>
      <c r="T18" s="11">
        <f>'BS DRIVERS'!T15</f>
        <v>42577</v>
      </c>
      <c r="U18" s="11">
        <f>'BS DRIVERS'!U15</f>
        <v>42577</v>
      </c>
      <c r="V18" s="11">
        <f>'BS DRIVERS'!V15</f>
        <v>42577</v>
      </c>
      <c r="W18" s="11">
        <f>'BS DRIVERS'!W15</f>
        <v>42577</v>
      </c>
      <c r="X18" s="11">
        <f>'BS DRIVERS'!X15</f>
        <v>42577</v>
      </c>
      <c r="Y18" s="11">
        <f>'BS DRIVERS'!Y15</f>
        <v>42577</v>
      </c>
      <c r="Z18" s="11">
        <f>'BS DRIVERS'!Z15</f>
        <v>42577</v>
      </c>
      <c r="AA18" s="11">
        <f>'BS DRIVERS'!AA15</f>
        <v>42577</v>
      </c>
      <c r="AB18" s="11">
        <f>'BS DRIVERS'!AB15</f>
        <v>42577</v>
      </c>
      <c r="AC18" s="11">
        <f>'BS DRIVERS'!AC15</f>
        <v>42577</v>
      </c>
      <c r="AD18" s="11">
        <f>'BS DRIVERS'!AD15</f>
        <v>42577</v>
      </c>
      <c r="AE18" s="11">
        <f>'BS DRIVERS'!AE15</f>
        <v>42577</v>
      </c>
      <c r="AF18" s="11">
        <f>'BS DRIVERS'!AF15</f>
        <v>42577</v>
      </c>
      <c r="AG18" s="11">
        <f>'BS DRIVERS'!AG15</f>
        <v>42577</v>
      </c>
      <c r="AH18" s="11">
        <f>'BS DRIVERS'!AH15</f>
        <v>42577</v>
      </c>
      <c r="AI18" s="11">
        <f>'BS DRIVERS'!AI15</f>
        <v>42577</v>
      </c>
      <c r="AJ18" s="11">
        <f>'BS DRIVERS'!AJ15</f>
        <v>42577</v>
      </c>
      <c r="AK18" s="11">
        <f>'BS DRIVERS'!AK15</f>
        <v>42577</v>
      </c>
      <c r="AL18" s="11">
        <f>'BS DRIVERS'!AL15</f>
        <v>42577</v>
      </c>
    </row>
    <row r="19" spans="1:38" x14ac:dyDescent="0.25">
      <c r="A19" s="3" t="s">
        <v>51</v>
      </c>
      <c r="B19" s="4">
        <f>'BALANCE SHEET'!B19</f>
        <v>4133</v>
      </c>
      <c r="C19" s="4">
        <f>'YTD BS'!C19</f>
        <v>4039</v>
      </c>
      <c r="D19" s="4">
        <f>'YTD BS'!D19</f>
        <v>4113</v>
      </c>
      <c r="E19" s="4">
        <f>'YTD BS'!E19</f>
        <v>4047</v>
      </c>
      <c r="F19" s="4">
        <f>'BALANCE SHEET'!C19</f>
        <v>3895</v>
      </c>
      <c r="G19" s="4">
        <f>'YTD BS'!G19</f>
        <v>4087</v>
      </c>
      <c r="H19" s="4">
        <f>'YTD BS'!H19</f>
        <v>3908</v>
      </c>
      <c r="I19" s="4">
        <f>'YTD BS'!I19</f>
        <v>3684</v>
      </c>
      <c r="J19" s="4">
        <f>'BALANCE SHEET'!D19</f>
        <v>3484</v>
      </c>
      <c r="K19" s="4">
        <f>'YTD BS'!K19</f>
        <v>3541</v>
      </c>
      <c r="L19" s="4">
        <f>'YTD BS'!L19</f>
        <v>3102</v>
      </c>
      <c r="M19" s="4">
        <f>'YTD BS'!M19</f>
        <v>3474</v>
      </c>
      <c r="N19" s="4">
        <f>'BALANCE SHEET'!E19</f>
        <v>3802</v>
      </c>
      <c r="O19" s="4">
        <f>'YTD BS'!O19</f>
        <v>4048</v>
      </c>
      <c r="P19" s="11">
        <f>'BS DRIVERS'!P16</f>
        <v>4048</v>
      </c>
      <c r="Q19" s="11">
        <f>'BS DRIVERS'!Q16</f>
        <v>4048</v>
      </c>
      <c r="R19" s="11">
        <f>'BS DRIVERS'!R16</f>
        <v>4048</v>
      </c>
      <c r="S19" s="11">
        <f>'BS DRIVERS'!S16</f>
        <v>4048</v>
      </c>
      <c r="T19" s="11">
        <f>'BS DRIVERS'!T16</f>
        <v>4048</v>
      </c>
      <c r="U19" s="11">
        <f>'BS DRIVERS'!U16</f>
        <v>4048</v>
      </c>
      <c r="V19" s="11">
        <f>'BS DRIVERS'!V16</f>
        <v>4048</v>
      </c>
      <c r="W19" s="11">
        <f>'BS DRIVERS'!W16</f>
        <v>4048</v>
      </c>
      <c r="X19" s="11">
        <f>'BS DRIVERS'!X16</f>
        <v>4048</v>
      </c>
      <c r="Y19" s="11">
        <f>'BS DRIVERS'!Y16</f>
        <v>4048</v>
      </c>
      <c r="Z19" s="11">
        <f>'BS DRIVERS'!Z16</f>
        <v>4048</v>
      </c>
      <c r="AA19" s="11">
        <f>'BS DRIVERS'!AA16</f>
        <v>4048</v>
      </c>
      <c r="AB19" s="11">
        <f>'BS DRIVERS'!AB16</f>
        <v>4048</v>
      </c>
      <c r="AC19" s="11">
        <f>'BS DRIVERS'!AC16</f>
        <v>4048</v>
      </c>
      <c r="AD19" s="11">
        <f>'BS DRIVERS'!AD16</f>
        <v>4048</v>
      </c>
      <c r="AE19" s="11">
        <f>'BS DRIVERS'!AE16</f>
        <v>4048</v>
      </c>
      <c r="AF19" s="11">
        <f>'BS DRIVERS'!AF16</f>
        <v>4048</v>
      </c>
      <c r="AG19" s="11">
        <f>'BS DRIVERS'!AG16</f>
        <v>4048</v>
      </c>
      <c r="AH19" s="11">
        <f>'BS DRIVERS'!AH16</f>
        <v>4048</v>
      </c>
      <c r="AI19" s="11">
        <f>'BS DRIVERS'!AI16</f>
        <v>4048</v>
      </c>
      <c r="AJ19" s="11">
        <f>'BS DRIVERS'!AJ16</f>
        <v>4048</v>
      </c>
      <c r="AK19" s="11">
        <f>'BS DRIVERS'!AK16</f>
        <v>4048</v>
      </c>
      <c r="AL19" s="11">
        <f>'BS DRIVERS'!AL16</f>
        <v>4048</v>
      </c>
    </row>
    <row r="20" spans="1:38" x14ac:dyDescent="0.25">
      <c r="A20" s="3" t="s">
        <v>52</v>
      </c>
      <c r="B20" s="4">
        <f>'BALANCE SHEET'!B20</f>
        <v>8339</v>
      </c>
      <c r="C20" s="4">
        <f>'YTD BS'!C20</f>
        <v>8505</v>
      </c>
      <c r="D20" s="4">
        <f>'YTD BS'!D20</f>
        <v>8342</v>
      </c>
      <c r="E20" s="4">
        <f>'YTD BS'!E20</f>
        <v>8439</v>
      </c>
      <c r="F20" s="4">
        <f>'BALANCE SHEET'!C20</f>
        <v>8721</v>
      </c>
      <c r="G20" s="4">
        <f>'YTD BS'!G20</f>
        <v>8822</v>
      </c>
      <c r="H20" s="4">
        <f>'YTD BS'!H20</f>
        <v>8259</v>
      </c>
      <c r="I20" s="4">
        <f>'YTD BS'!I20</f>
        <v>8419</v>
      </c>
      <c r="J20" s="4">
        <f>'BALANCE SHEET'!D20</f>
        <v>9052</v>
      </c>
      <c r="K20" s="4">
        <f>'YTD BS'!K20</f>
        <v>8737</v>
      </c>
      <c r="L20" s="4">
        <f>'YTD BS'!L20</f>
        <v>7960</v>
      </c>
      <c r="M20" s="4">
        <f>'YTD BS'!M20</f>
        <v>7929</v>
      </c>
      <c r="N20" s="4">
        <f>'BALANCE SHEET'!E20</f>
        <v>7965</v>
      </c>
      <c r="O20" s="4">
        <f>'YTD BS'!O20</f>
        <v>8008</v>
      </c>
      <c r="P20" s="11">
        <f>'QTR P&amp;L'!S2*'BS DRIVERS'!P17</f>
        <v>10156.248004910989</v>
      </c>
      <c r="Q20" s="11">
        <f>'QTR P&amp;L'!T2*'BS DRIVERS'!Q17</f>
        <v>10697.443830570903</v>
      </c>
      <c r="R20" s="11">
        <f>'QTR P&amp;L'!U2*'BS DRIVERS'!R17</f>
        <v>13113.384898710865</v>
      </c>
      <c r="S20" s="11">
        <f>'QTR P&amp;L'!V2*'BS DRIVERS'!S17</f>
        <v>8689.0755064456735</v>
      </c>
      <c r="T20" s="11">
        <f>'QTR P&amp;L'!W2*'BS DRIVERS'!T17</f>
        <v>11020.030691416059</v>
      </c>
      <c r="U20" s="11">
        <f>'QTR P&amp;L'!X2*'BS DRIVERS'!U17</f>
        <v>11607.254891332666</v>
      </c>
      <c r="V20" s="11">
        <f>'QTR P&amp;L'!Y2*'BS DRIVERS'!V17</f>
        <v>14228.670270976916</v>
      </c>
      <c r="W20" s="11">
        <f>'QTR P&amp;L'!Z2*'BS DRIVERS'!W17</f>
        <v>9428.0760685207442</v>
      </c>
      <c r="X20" s="11">
        <f>'QTR P&amp;L'!AA2*'BS DRIVERS'!X17</f>
        <v>11957.27756756529</v>
      </c>
      <c r="Y20" s="11">
        <f>'QTR P&amp;L'!AB2*'BS DRIVERS'!Y17</f>
        <v>12594.444826841958</v>
      </c>
      <c r="Z20" s="11">
        <f>'QTR P&amp;L'!AC2*'BS DRIVERS'!Z17</f>
        <v>15438.809982622033</v>
      </c>
      <c r="AA20" s="11">
        <f>'QTR P&amp;L'!AD2*'BS DRIVERS'!AA17</f>
        <v>10229.928176809466</v>
      </c>
      <c r="AB20" s="11">
        <f>'QTR P&amp;L'!AE2*'BS DRIVERS'!AB17</f>
        <v>12974.236717795187</v>
      </c>
      <c r="AC20" s="11">
        <f>'QTR P&amp;L'!AF2*'BS DRIVERS'!AC17</f>
        <v>13665.594663111122</v>
      </c>
      <c r="AD20" s="11">
        <f>'QTR P&amp;L'!AG2*'BS DRIVERS'!AD17</f>
        <v>16751.87133724651</v>
      </c>
      <c r="AE20" s="11">
        <f>'QTR P&amp;L'!AH2*'BS DRIVERS'!AE17</f>
        <v>11099.977316909786</v>
      </c>
      <c r="AF20" s="11">
        <f>'QTR P&amp;L'!AI2*'BS DRIVERS'!AF17</f>
        <v>14077.687622305477</v>
      </c>
      <c r="AG20" s="11">
        <f>'QTR P&amp;L'!AJ2*'BS DRIVERS'!AG17</f>
        <v>14827.845138393301</v>
      </c>
      <c r="AH20" s="11">
        <f>'QTR P&amp;L'!AK2*'BS DRIVERS'!AH17</f>
        <v>18176.607757692051</v>
      </c>
      <c r="AI20" s="11">
        <f>'QTR P&amp;L'!AL2*'BS DRIVERS'!AI17</f>
        <v>12044.023604703219</v>
      </c>
      <c r="AJ20" s="11">
        <f>'QTR P&amp;L'!AM2*'BS DRIVERS'!AJ17</f>
        <v>15274.986351944048</v>
      </c>
      <c r="AK20" s="11">
        <f>'QTR P&amp;L'!AN2*'BS DRIVERS'!AK17</f>
        <v>16088.94430636648</v>
      </c>
      <c r="AL20" s="11">
        <f>'QTR P&amp;L'!AO2*'BS DRIVERS'!AL17</f>
        <v>19722.517140063985</v>
      </c>
    </row>
    <row r="21" spans="1:38" x14ac:dyDescent="0.25">
      <c r="A21" s="3" t="s">
        <v>53</v>
      </c>
      <c r="B21" s="6">
        <f>'BALANCE SHEET'!B21</f>
        <v>74914</v>
      </c>
      <c r="C21" s="6">
        <f>'YTD BS'!C21</f>
        <v>75867</v>
      </c>
      <c r="D21" s="6">
        <f>'YTD BS'!D21</f>
        <v>78081</v>
      </c>
      <c r="E21" s="6">
        <f>'YTD BS'!E21</f>
        <v>80983</v>
      </c>
      <c r="F21" s="6">
        <f>'BALANCE SHEET'!C21</f>
        <v>81858</v>
      </c>
      <c r="G21" s="6">
        <f>'YTD BS'!G21</f>
        <v>80850</v>
      </c>
      <c r="H21" s="6">
        <f>'YTD BS'!H21</f>
        <v>79953</v>
      </c>
      <c r="I21" s="6">
        <f>'YTD BS'!I21</f>
        <v>80908</v>
      </c>
      <c r="J21" s="6">
        <f>'BALANCE SHEET'!D21</f>
        <v>81296</v>
      </c>
      <c r="K21" s="6">
        <f>'YTD BS'!K21</f>
        <v>83208</v>
      </c>
      <c r="L21" s="6">
        <f>'YTD BS'!L21</f>
        <v>86786</v>
      </c>
      <c r="M21" s="6">
        <f>'YTD BS'!M21</f>
        <v>87015</v>
      </c>
      <c r="N21" s="6">
        <f>'BALANCE SHEET'!E21</f>
        <v>86852</v>
      </c>
      <c r="O21" s="6">
        <f>'YTD BS'!O21</f>
        <v>89110</v>
      </c>
      <c r="P21" s="7">
        <f t="shared" ref="P21:AL21" si="3">P17+SUM(P18:P20)</f>
        <v>97784.007366482503</v>
      </c>
      <c r="Q21" s="7">
        <f t="shared" si="3"/>
        <v>99969.200401808135</v>
      </c>
      <c r="R21" s="7">
        <f t="shared" si="3"/>
        <v>109724.07533902561</v>
      </c>
      <c r="S21" s="7">
        <f t="shared" si="3"/>
        <v>91859.986941235562</v>
      </c>
      <c r="T21" s="7">
        <f t="shared" si="3"/>
        <v>101271.71333369716</v>
      </c>
      <c r="U21" s="7">
        <f t="shared" si="3"/>
        <v>103642.75570134245</v>
      </c>
      <c r="V21" s="7">
        <f t="shared" si="3"/>
        <v>114227.27679093002</v>
      </c>
      <c r="W21" s="7">
        <f t="shared" si="3"/>
        <v>94843.858591352357</v>
      </c>
      <c r="X21" s="7">
        <f t="shared" si="3"/>
        <v>105056.04656214487</v>
      </c>
      <c r="Y21" s="7">
        <f t="shared" si="3"/>
        <v>107628.74463425422</v>
      </c>
      <c r="Z21" s="7">
        <f t="shared" si="3"/>
        <v>119113.47277448811</v>
      </c>
      <c r="AA21" s="7">
        <f t="shared" si="3"/>
        <v>98081.506701917737</v>
      </c>
      <c r="AB21" s="7">
        <f t="shared" si="3"/>
        <v>109162.23501912956</v>
      </c>
      <c r="AC21" s="7">
        <f t="shared" si="3"/>
        <v>111953.73949013924</v>
      </c>
      <c r="AD21" s="7">
        <f t="shared" si="3"/>
        <v>124415.23674057551</v>
      </c>
      <c r="AE21" s="7">
        <f t="shared" si="3"/>
        <v>101594.51480581431</v>
      </c>
      <c r="AF21" s="7">
        <f t="shared" si="3"/>
        <v>113617.65229515801</v>
      </c>
      <c r="AG21" s="7">
        <f t="shared" si="3"/>
        <v>116646.57251558553</v>
      </c>
      <c r="AH21" s="7">
        <f t="shared" si="3"/>
        <v>130167.9124921597</v>
      </c>
      <c r="AI21" s="7">
        <f t="shared" si="3"/>
        <v>105406.30210220703</v>
      </c>
      <c r="AJ21" s="7">
        <f t="shared" si="3"/>
        <v>118452.00008788197</v>
      </c>
      <c r="AK21" s="7">
        <f t="shared" si="3"/>
        <v>121738.52812213459</v>
      </c>
      <c r="AL21" s="7">
        <f t="shared" si="3"/>
        <v>136409.84980105254</v>
      </c>
    </row>
    <row r="22" spans="1:38" x14ac:dyDescent="0.25">
      <c r="A22" s="3" t="s">
        <v>54</v>
      </c>
      <c r="B22" s="4">
        <f>'BALANCE SHEET'!B22</f>
        <v>23</v>
      </c>
      <c r="C22" s="4">
        <f>'YTD BS'!C22</f>
        <v>23</v>
      </c>
      <c r="D22" s="4">
        <f>'YTD BS'!D22</f>
        <v>23</v>
      </c>
      <c r="E22" s="4">
        <f>'YTD BS'!E22</f>
        <v>23</v>
      </c>
      <c r="F22" s="4">
        <f>'BALANCE SHEET'!C22</f>
        <v>23</v>
      </c>
      <c r="G22" s="4">
        <f>'YTD BS'!G22</f>
        <v>23</v>
      </c>
      <c r="H22" s="4">
        <f>'YTD BS'!H22</f>
        <v>23</v>
      </c>
      <c r="I22" s="4">
        <f>'YTD BS'!I22</f>
        <v>23</v>
      </c>
      <c r="J22" s="4">
        <f>'BALANCE SHEET'!D22</f>
        <v>23</v>
      </c>
      <c r="K22" s="4">
        <f>'YTD BS'!K22</f>
        <v>23</v>
      </c>
      <c r="L22" s="4">
        <f>'YTD BS'!L22</f>
        <v>23</v>
      </c>
      <c r="M22" s="4">
        <f>'YTD BS'!M22</f>
        <v>23</v>
      </c>
      <c r="N22" s="4">
        <f>'BALANCE SHEET'!E22</f>
        <v>23</v>
      </c>
      <c r="O22" s="4">
        <f>'YTD BS'!O22</f>
        <v>23</v>
      </c>
      <c r="P22" s="11">
        <f>'BS DRIVERS'!P18</f>
        <v>23</v>
      </c>
      <c r="Q22" s="11">
        <f>'BS DRIVERS'!Q18</f>
        <v>23</v>
      </c>
      <c r="R22" s="11">
        <f>'BS DRIVERS'!R18</f>
        <v>23</v>
      </c>
      <c r="S22" s="11">
        <f>'BS DRIVERS'!S18</f>
        <v>23</v>
      </c>
      <c r="T22" s="11">
        <f>'BS DRIVERS'!T18</f>
        <v>23</v>
      </c>
      <c r="U22" s="11">
        <f>'BS DRIVERS'!U18</f>
        <v>23</v>
      </c>
      <c r="V22" s="11">
        <f>'BS DRIVERS'!V18</f>
        <v>23</v>
      </c>
      <c r="W22" s="11">
        <f>'BS DRIVERS'!W18</f>
        <v>23</v>
      </c>
      <c r="X22" s="11">
        <f>'BS DRIVERS'!X18</f>
        <v>23</v>
      </c>
      <c r="Y22" s="11">
        <f>'BS DRIVERS'!Y18</f>
        <v>23</v>
      </c>
      <c r="Z22" s="11">
        <f>'BS DRIVERS'!Z18</f>
        <v>23</v>
      </c>
      <c r="AA22" s="11">
        <f>'BS DRIVERS'!AA18</f>
        <v>23</v>
      </c>
      <c r="AB22" s="11">
        <f>'BS DRIVERS'!AB18</f>
        <v>23</v>
      </c>
      <c r="AC22" s="11">
        <f>'BS DRIVERS'!AC18</f>
        <v>23</v>
      </c>
      <c r="AD22" s="11">
        <f>'BS DRIVERS'!AD18</f>
        <v>23</v>
      </c>
      <c r="AE22" s="11">
        <f>'BS DRIVERS'!AE18</f>
        <v>23</v>
      </c>
      <c r="AF22" s="11">
        <f>'BS DRIVERS'!AF18</f>
        <v>23</v>
      </c>
      <c r="AG22" s="11">
        <f>'BS DRIVERS'!AG18</f>
        <v>23</v>
      </c>
      <c r="AH22" s="11">
        <f>'BS DRIVERS'!AH18</f>
        <v>23</v>
      </c>
      <c r="AI22" s="11">
        <f>'BS DRIVERS'!AI18</f>
        <v>23</v>
      </c>
      <c r="AJ22" s="11">
        <f>'BS DRIVERS'!AJ18</f>
        <v>23</v>
      </c>
      <c r="AK22" s="11">
        <f>'BS DRIVERS'!AK18</f>
        <v>23</v>
      </c>
      <c r="AL22" s="11">
        <f>'BS DRIVERS'!AL18</f>
        <v>23</v>
      </c>
    </row>
    <row r="23" spans="1:38" x14ac:dyDescent="0.25">
      <c r="A23" s="3" t="s">
        <v>55</v>
      </c>
      <c r="B23" s="4">
        <f>'BALANCE SHEET'!B23</f>
        <v>4134</v>
      </c>
      <c r="C23" s="4">
        <f>'YTD BS'!C23</f>
        <v>3996</v>
      </c>
      <c r="D23" s="4">
        <f>'YTD BS'!D23</f>
        <v>4082</v>
      </c>
      <c r="E23" s="4">
        <f>'YTD BS'!E23</f>
        <v>4154</v>
      </c>
      <c r="F23" s="4">
        <f>'BALANCE SHEET'!C23</f>
        <v>4261</v>
      </c>
      <c r="G23" s="4">
        <f>'YTD BS'!G23</f>
        <v>4132</v>
      </c>
      <c r="H23" s="4">
        <f>'YTD BS'!H23</f>
        <v>4203</v>
      </c>
      <c r="I23" s="4">
        <f>'YTD BS'!I23</f>
        <v>4281</v>
      </c>
      <c r="J23" s="4">
        <f>'BALANCE SHEET'!D23</f>
        <v>4385</v>
      </c>
      <c r="K23" s="4">
        <f>'YTD BS'!K23</f>
        <v>4274</v>
      </c>
      <c r="L23" s="4">
        <f>'YTD BS'!L23</f>
        <v>4299</v>
      </c>
      <c r="M23" s="4">
        <f>'YTD BS'!M23</f>
        <v>4374</v>
      </c>
      <c r="N23" s="4">
        <f>'BALANCE SHEET'!E23</f>
        <v>4451</v>
      </c>
      <c r="O23" s="4">
        <f>'YTD BS'!O23</f>
        <v>4401</v>
      </c>
      <c r="P23" s="11">
        <f>'BS DRIVERS'!P19</f>
        <v>4518.9484346224681</v>
      </c>
      <c r="Q23" s="11">
        <f>'BS DRIVERS'!Q19</f>
        <v>4643.1819856018756</v>
      </c>
      <c r="R23" s="11">
        <f>'BS DRIVERS'!R19</f>
        <v>4795.4727942407508</v>
      </c>
      <c r="S23" s="11">
        <f>'BS DRIVERS'!S19</f>
        <v>4896.3823874100126</v>
      </c>
      <c r="T23" s="11">
        <f>'BS DRIVERS'!T19</f>
        <v>5024.3622643208137</v>
      </c>
      <c r="U23" s="11">
        <f>'BS DRIVERS'!U19</f>
        <v>5159.1618028939829</v>
      </c>
      <c r="V23" s="11">
        <f>'BS DRIVERS'!V19</f>
        <v>5324.4048517452384</v>
      </c>
      <c r="W23" s="11">
        <f>'BS DRIVERS'!W19</f>
        <v>5433.8967441493878</v>
      </c>
      <c r="X23" s="11">
        <f>'BS DRIVERS'!X19</f>
        <v>5572.7612313850987</v>
      </c>
      <c r="Y23" s="11">
        <f>'BS DRIVERS'!Y19</f>
        <v>5719.0253883401811</v>
      </c>
      <c r="Z23" s="11">
        <f>'BS DRIVERS'!Z19</f>
        <v>5898.322257518983</v>
      </c>
      <c r="AA23" s="11">
        <f>'BS DRIVERS'!AA19</f>
        <v>6017.1263684634487</v>
      </c>
      <c r="AB23" s="11">
        <f>'BS DRIVERS'!AB19</f>
        <v>6167.8011954808007</v>
      </c>
      <c r="AC23" s="11">
        <f>'BS DRIVERS'!AC19</f>
        <v>6326.5050296053432</v>
      </c>
      <c r="AD23" s="11">
        <f>'BS DRIVERS'!AD19</f>
        <v>6521.0509879424972</v>
      </c>
      <c r="AE23" s="11">
        <f>'BS DRIVERS'!AE19</f>
        <v>6649.9593159235919</v>
      </c>
      <c r="AF23" s="11">
        <f>'BS DRIVERS'!AF19</f>
        <v>6813.4489449039129</v>
      </c>
      <c r="AG23" s="11">
        <f>'BS DRIVERS'!AG19</f>
        <v>6985.6504431394997</v>
      </c>
      <c r="AH23" s="11">
        <f>'BS DRIVERS'!AH19</f>
        <v>7196.7424163494597</v>
      </c>
      <c r="AI23" s="11">
        <f>'BS DRIVERS'!AI19</f>
        <v>7336.6143188516326</v>
      </c>
      <c r="AJ23" s="11">
        <f>'BS DRIVERS'!AJ19</f>
        <v>7514.0086408709631</v>
      </c>
      <c r="AK23" s="11">
        <f>'BS DRIVERS'!AK19</f>
        <v>7700.8557713020427</v>
      </c>
      <c r="AL23" s="11">
        <f>'BS DRIVERS'!AL19</f>
        <v>7929.9009878387496</v>
      </c>
    </row>
    <row r="24" spans="1:38" x14ac:dyDescent="0.25">
      <c r="A24" s="3" t="s">
        <v>56</v>
      </c>
      <c r="B24" s="4">
        <f>'BALANCE SHEET'!B24</f>
        <v>67800</v>
      </c>
      <c r="C24" s="4">
        <f>'YTD BS'!C24</f>
        <v>68142</v>
      </c>
      <c r="D24" s="4">
        <f>'YTD BS'!D24</f>
        <v>69135</v>
      </c>
      <c r="E24" s="4">
        <f>'YTD BS'!E24</f>
        <v>70479</v>
      </c>
      <c r="F24" s="4">
        <f>'BALANCE SHEET'!C24</f>
        <v>70035</v>
      </c>
      <c r="G24" s="4">
        <f>'YTD BS'!G24</f>
        <v>70331</v>
      </c>
      <c r="H24" s="4">
        <f>'YTD BS'!H24</f>
        <v>71545</v>
      </c>
      <c r="I24" s="4">
        <f>'YTD BS'!I24</f>
        <v>72607</v>
      </c>
      <c r="J24" s="4">
        <f>'BALANCE SHEET'!D24</f>
        <v>72266</v>
      </c>
      <c r="K24" s="4">
        <f>'YTD BS'!K24</f>
        <v>72238</v>
      </c>
      <c r="L24" s="4">
        <f>'YTD BS'!L24</f>
        <v>71547</v>
      </c>
      <c r="M24" s="4">
        <f>'YTD BS'!M24</f>
        <v>72197</v>
      </c>
      <c r="N24" s="4">
        <f>'BALANCE SHEET'!E24</f>
        <v>72788</v>
      </c>
      <c r="O24" s="4">
        <f>'YTD BS'!O24</f>
        <v>73165</v>
      </c>
      <c r="P24" s="11">
        <f>'BS DRIVERS'!P20</f>
        <v>73644.958680729964</v>
      </c>
      <c r="Q24" s="11">
        <f>'BS DRIVERS'!Q20</f>
        <v>74152.114774059039</v>
      </c>
      <c r="R24" s="11">
        <f>'BS DRIVERS'!R20</f>
        <v>74780.682273259998</v>
      </c>
      <c r="S24" s="11">
        <f>'BS DRIVERS'!S20</f>
        <v>75186.909240065157</v>
      </c>
      <c r="T24" s="11">
        <f>'BS DRIVERS'!T20</f>
        <v>75710.276707424622</v>
      </c>
      <c r="U24" s="11">
        <f>'BS DRIVERS'!U20</f>
        <v>76263.154710704883</v>
      </c>
      <c r="V24" s="11">
        <f>'BS DRIVERS'!V20</f>
        <v>76947.770085733951</v>
      </c>
      <c r="W24" s="11">
        <f>'BS DRIVERS'!W20</f>
        <v>77391.135001955539</v>
      </c>
      <c r="X24" s="11">
        <f>'BS DRIVERS'!X20</f>
        <v>77961.603146720983</v>
      </c>
      <c r="Y24" s="11">
        <f>'BS DRIVERS'!Y20</f>
        <v>78564.091680453887</v>
      </c>
      <c r="Z24" s="11">
        <f>'BS DRIVERS'!Z20</f>
        <v>79309.521768900348</v>
      </c>
      <c r="AA24" s="11">
        <f>'BS DRIVERS'!AA20</f>
        <v>79793.183194441852</v>
      </c>
      <c r="AB24" s="11">
        <f>'BS DRIVERS'!AB20</f>
        <v>80414.757900444223</v>
      </c>
      <c r="AC24" s="11">
        <f>'BS DRIVERS'!AC20</f>
        <v>81071.076309928598</v>
      </c>
      <c r="AD24" s="11">
        <f>'BS DRIVERS'!AD20</f>
        <v>81882.493366005729</v>
      </c>
      <c r="AE24" s="11">
        <f>'BS DRIVERS'!AE20</f>
        <v>82409.878494360295</v>
      </c>
      <c r="AF24" s="11">
        <f>'BS DRIVERS'!AF20</f>
        <v>83086.906343402414</v>
      </c>
      <c r="AG24" s="11">
        <f>'BS DRIVERS'!AG20</f>
        <v>83801.632826676403</v>
      </c>
      <c r="AH24" s="11">
        <f>'BS DRIVERS'!AH20</f>
        <v>84684.649001657686</v>
      </c>
      <c r="AI24" s="11">
        <f>'BS DRIVERS'!AI20</f>
        <v>85259.476507030733</v>
      </c>
      <c r="AJ24" s="11">
        <f>'BS DRIVERS'!AJ20</f>
        <v>85996.673755041644</v>
      </c>
      <c r="AK24" s="11">
        <f>'BS DRIVERS'!AK20</f>
        <v>86774.775883088863</v>
      </c>
      <c r="AL24" s="11">
        <f>'BS DRIVERS'!AL20</f>
        <v>87735.480638284076</v>
      </c>
    </row>
    <row r="25" spans="1:38" x14ac:dyDescent="0.25">
      <c r="A25" s="3" t="s">
        <v>57</v>
      </c>
      <c r="B25" s="4">
        <f>'BALANCE SHEET'!B25</f>
        <v>-15302</v>
      </c>
      <c r="C25" s="4">
        <f>'YTD BS'!C25</f>
        <v>-15601</v>
      </c>
      <c r="D25" s="4">
        <f>'YTD BS'!D25</f>
        <v>-15780</v>
      </c>
      <c r="E25" s="4">
        <f>'YTD BS'!E25</f>
        <v>-15794</v>
      </c>
      <c r="F25" s="4">
        <f>'BALANCE SHEET'!C25</f>
        <v>-15534</v>
      </c>
      <c r="G25" s="4">
        <f>'YTD BS'!G25</f>
        <v>-15179</v>
      </c>
      <c r="H25" s="4">
        <f>'YTD BS'!H25</f>
        <v>-15786</v>
      </c>
      <c r="I25" s="4">
        <f>'YTD BS'!I25</f>
        <v>-16652</v>
      </c>
      <c r="J25" s="4">
        <f>'BALANCE SHEET'!D25</f>
        <v>-17612</v>
      </c>
      <c r="K25" s="4">
        <f>'YTD BS'!K25</f>
        <v>-17078</v>
      </c>
      <c r="L25" s="4">
        <f>'YTD BS'!L25</f>
        <v>-16090</v>
      </c>
      <c r="M25" s="4">
        <f>'YTD BS'!M25</f>
        <v>-15597</v>
      </c>
      <c r="N25" s="4">
        <f>'BALANCE SHEET'!E25</f>
        <v>-15024</v>
      </c>
      <c r="O25" s="4">
        <f>'YTD BS'!O25</f>
        <v>-14342</v>
      </c>
      <c r="P25" s="11">
        <f>'BS DRIVERS'!P21</f>
        <v>-14221</v>
      </c>
      <c r="Q25" s="11">
        <f>'BS DRIVERS'!Q21</f>
        <v>-14100</v>
      </c>
      <c r="R25" s="11">
        <f>'BS DRIVERS'!R21</f>
        <v>-13979</v>
      </c>
      <c r="S25" s="11">
        <f>'BS DRIVERS'!S21</f>
        <v>-13858</v>
      </c>
      <c r="T25" s="11">
        <f>'BS DRIVERS'!T21</f>
        <v>-13737</v>
      </c>
      <c r="U25" s="11">
        <f>'BS DRIVERS'!U21</f>
        <v>-13616</v>
      </c>
      <c r="V25" s="11">
        <f>'BS DRIVERS'!V21</f>
        <v>-13495</v>
      </c>
      <c r="W25" s="11">
        <f>'BS DRIVERS'!W21</f>
        <v>-13374</v>
      </c>
      <c r="X25" s="11">
        <f>'BS DRIVERS'!X21</f>
        <v>-13253</v>
      </c>
      <c r="Y25" s="11">
        <f>'BS DRIVERS'!Y21</f>
        <v>-13132</v>
      </c>
      <c r="Z25" s="11">
        <f>'BS DRIVERS'!Z21</f>
        <v>-13011</v>
      </c>
      <c r="AA25" s="11">
        <f>'BS DRIVERS'!AA21</f>
        <v>-12890</v>
      </c>
      <c r="AB25" s="11">
        <f>'BS DRIVERS'!AB21</f>
        <v>-12769</v>
      </c>
      <c r="AC25" s="11">
        <f>'BS DRIVERS'!AC21</f>
        <v>-12648</v>
      </c>
      <c r="AD25" s="11">
        <f>'BS DRIVERS'!AD21</f>
        <v>-12527</v>
      </c>
      <c r="AE25" s="11">
        <f>'BS DRIVERS'!AE21</f>
        <v>-12406</v>
      </c>
      <c r="AF25" s="11">
        <f>'BS DRIVERS'!AF21</f>
        <v>-12285</v>
      </c>
      <c r="AG25" s="11">
        <f>'BS DRIVERS'!AG21</f>
        <v>-12164</v>
      </c>
      <c r="AH25" s="11">
        <f>'BS DRIVERS'!AH21</f>
        <v>-12043</v>
      </c>
      <c r="AI25" s="11">
        <f>'BS DRIVERS'!AI21</f>
        <v>-11922</v>
      </c>
      <c r="AJ25" s="11">
        <f>'BS DRIVERS'!AJ21</f>
        <v>-11801</v>
      </c>
      <c r="AK25" s="11">
        <f>'BS DRIVERS'!AK21</f>
        <v>-11680</v>
      </c>
      <c r="AL25" s="11">
        <f>'BS DRIVERS'!AL21</f>
        <v>-11559</v>
      </c>
    </row>
    <row r="26" spans="1:38" x14ac:dyDescent="0.25">
      <c r="A26" s="3" t="s">
        <v>58</v>
      </c>
      <c r="B26" s="4">
        <f>'BALANCE SHEET'!B26</f>
        <v>-39506</v>
      </c>
      <c r="C26" s="4">
        <f>'YTD BS'!C26</f>
        <v>-39518</v>
      </c>
      <c r="D26" s="4">
        <f>'YTD BS'!D26</f>
        <v>-39775</v>
      </c>
      <c r="E26" s="4">
        <f>'YTD BS'!E26</f>
        <v>-40056</v>
      </c>
      <c r="F26" s="4">
        <f>'BALANCE SHEET'!C26</f>
        <v>-40282</v>
      </c>
      <c r="G26" s="4">
        <f>'YTD BS'!G26</f>
        <v>-40260</v>
      </c>
      <c r="H26" s="4">
        <f>'YTD BS'!H26</f>
        <v>-40539</v>
      </c>
      <c r="I26" s="4">
        <f>'YTD BS'!I26</f>
        <v>-40806</v>
      </c>
      <c r="J26" s="4">
        <f>'BALANCE SHEET'!D26</f>
        <v>-41021</v>
      </c>
      <c r="K26" s="4">
        <f>'YTD BS'!K26</f>
        <v>-41068</v>
      </c>
      <c r="L26" s="4">
        <f>'YTD BS'!L26</f>
        <v>-41361</v>
      </c>
      <c r="M26" s="4">
        <f>'YTD BS'!M26</f>
        <v>-41609</v>
      </c>
      <c r="N26" s="4">
        <f>'BALANCE SHEET'!E26</f>
        <v>-41832</v>
      </c>
      <c r="O26" s="4">
        <f>'YTD BS'!O26</f>
        <v>-41864</v>
      </c>
      <c r="P26" s="11">
        <f>'BS DRIVERS'!P22</f>
        <v>-41864</v>
      </c>
      <c r="Q26" s="11">
        <f>'BS DRIVERS'!Q22</f>
        <v>-41864</v>
      </c>
      <c r="R26" s="11">
        <f>'BS DRIVERS'!R22</f>
        <v>-41864</v>
      </c>
      <c r="S26" s="11">
        <f>'BS DRIVERS'!S22</f>
        <v>-41864</v>
      </c>
      <c r="T26" s="11">
        <f>'BS DRIVERS'!T22</f>
        <v>-41864</v>
      </c>
      <c r="U26" s="11">
        <f>'BS DRIVERS'!U22</f>
        <v>-41864</v>
      </c>
      <c r="V26" s="11">
        <f>'BS DRIVERS'!V22</f>
        <v>-41864</v>
      </c>
      <c r="W26" s="11">
        <f>'BS DRIVERS'!W22</f>
        <v>-41864</v>
      </c>
      <c r="X26" s="11">
        <f>'BS DRIVERS'!X22</f>
        <v>-41864</v>
      </c>
      <c r="Y26" s="11">
        <f>'BS DRIVERS'!Y22</f>
        <v>-41864</v>
      </c>
      <c r="Z26" s="11">
        <f>'BS DRIVERS'!Z22</f>
        <v>-41864</v>
      </c>
      <c r="AA26" s="11">
        <f>'BS DRIVERS'!AA22</f>
        <v>-41864</v>
      </c>
      <c r="AB26" s="11">
        <f>'BS DRIVERS'!AB22</f>
        <v>-41864</v>
      </c>
      <c r="AC26" s="11">
        <f>'BS DRIVERS'!AC22</f>
        <v>-41864</v>
      </c>
      <c r="AD26" s="11">
        <f>'BS DRIVERS'!AD22</f>
        <v>-41864</v>
      </c>
      <c r="AE26" s="11">
        <f>'BS DRIVERS'!AE22</f>
        <v>-41864</v>
      </c>
      <c r="AF26" s="11">
        <f>'BS DRIVERS'!AF22</f>
        <v>-41864</v>
      </c>
      <c r="AG26" s="11">
        <f>'BS DRIVERS'!AG22</f>
        <v>-41864</v>
      </c>
      <c r="AH26" s="11">
        <f>'BS DRIVERS'!AH22</f>
        <v>-41864</v>
      </c>
      <c r="AI26" s="11">
        <f>'BS DRIVERS'!AI22</f>
        <v>-41864</v>
      </c>
      <c r="AJ26" s="11">
        <f>'BS DRIVERS'!AJ22</f>
        <v>-41864</v>
      </c>
      <c r="AK26" s="11">
        <f>'BS DRIVERS'!AK22</f>
        <v>-41864</v>
      </c>
      <c r="AL26" s="11">
        <f>'BS DRIVERS'!AL22</f>
        <v>-41864</v>
      </c>
    </row>
    <row r="27" spans="1:38" x14ac:dyDescent="0.25">
      <c r="A27" s="3" t="s">
        <v>59</v>
      </c>
      <c r="B27" s="4">
        <f>'BALANCE SHEET'!B27</f>
        <v>124</v>
      </c>
      <c r="C27" s="4">
        <f>'YTD BS'!C27</f>
        <v>133</v>
      </c>
      <c r="D27" s="4">
        <f>'YTD BS'!D27</f>
        <v>140</v>
      </c>
      <c r="E27" s="4">
        <f>'YTD BS'!E27</f>
        <v>164</v>
      </c>
      <c r="F27" s="4">
        <f>'BALANCE SHEET'!C27</f>
        <v>134</v>
      </c>
      <c r="G27" s="4">
        <f>'YTD BS'!G27</f>
        <v>143</v>
      </c>
      <c r="H27" s="4">
        <f>'YTD BS'!H27</f>
        <v>134</v>
      </c>
      <c r="I27" s="4">
        <f>'YTD BS'!I27</f>
        <v>152</v>
      </c>
      <c r="J27" s="4">
        <f>'BALANCE SHEET'!D27</f>
        <v>130</v>
      </c>
      <c r="K27" s="4">
        <f>'YTD BS'!K27</f>
        <v>140</v>
      </c>
      <c r="L27" s="4">
        <f>'YTD BS'!L27</f>
        <v>141</v>
      </c>
      <c r="M27" s="4">
        <f>'YTD BS'!M27</f>
        <v>155</v>
      </c>
      <c r="N27" s="4">
        <f>'BALANCE SHEET'!E27</f>
        <v>141</v>
      </c>
      <c r="O27" s="4">
        <f>'YTD BS'!O27</f>
        <v>153</v>
      </c>
      <c r="P27" s="11">
        <f>'BS DRIVERS'!P23</f>
        <v>153</v>
      </c>
      <c r="Q27" s="11">
        <f>'BS DRIVERS'!Q23</f>
        <v>153</v>
      </c>
      <c r="R27" s="11">
        <f>'BS DRIVERS'!R23</f>
        <v>153</v>
      </c>
      <c r="S27" s="11">
        <f>'BS DRIVERS'!S23</f>
        <v>153</v>
      </c>
      <c r="T27" s="11">
        <f>'BS DRIVERS'!T23</f>
        <v>153</v>
      </c>
      <c r="U27" s="11">
        <f>'BS DRIVERS'!U23</f>
        <v>153</v>
      </c>
      <c r="V27" s="11">
        <f>'BS DRIVERS'!V23</f>
        <v>153</v>
      </c>
      <c r="W27" s="11">
        <f>'BS DRIVERS'!W23</f>
        <v>153</v>
      </c>
      <c r="X27" s="11">
        <f>'BS DRIVERS'!X23</f>
        <v>153</v>
      </c>
      <c r="Y27" s="11">
        <f>'BS DRIVERS'!Y23</f>
        <v>153</v>
      </c>
      <c r="Z27" s="11">
        <f>'BS DRIVERS'!Z23</f>
        <v>153</v>
      </c>
      <c r="AA27" s="11">
        <f>'BS DRIVERS'!AA23</f>
        <v>153</v>
      </c>
      <c r="AB27" s="11">
        <f>'BS DRIVERS'!AB23</f>
        <v>153</v>
      </c>
      <c r="AC27" s="11">
        <f>'BS DRIVERS'!AC23</f>
        <v>153</v>
      </c>
      <c r="AD27" s="11">
        <f>'BS DRIVERS'!AD23</f>
        <v>153</v>
      </c>
      <c r="AE27" s="11">
        <f>'BS DRIVERS'!AE23</f>
        <v>153</v>
      </c>
      <c r="AF27" s="11">
        <f>'BS DRIVERS'!AF23</f>
        <v>153</v>
      </c>
      <c r="AG27" s="11">
        <f>'BS DRIVERS'!AG23</f>
        <v>153</v>
      </c>
      <c r="AH27" s="11">
        <f>'BS DRIVERS'!AH23</f>
        <v>153</v>
      </c>
      <c r="AI27" s="11">
        <f>'BS DRIVERS'!AI23</f>
        <v>153</v>
      </c>
      <c r="AJ27" s="11">
        <f>'BS DRIVERS'!AJ23</f>
        <v>153</v>
      </c>
      <c r="AK27" s="11">
        <f>'BS DRIVERS'!AK23</f>
        <v>153</v>
      </c>
      <c r="AL27" s="11">
        <f>'BS DRIVERS'!AL23</f>
        <v>153</v>
      </c>
    </row>
    <row r="28" spans="1:38" x14ac:dyDescent="0.25">
      <c r="A28" s="3" t="s">
        <v>60</v>
      </c>
      <c r="B28" s="6">
        <f>'BALANCE SHEET'!B28</f>
        <v>17273</v>
      </c>
      <c r="C28" s="6">
        <f>'YTD BS'!C28</f>
        <v>17175</v>
      </c>
      <c r="D28" s="6">
        <f>'YTD BS'!D28</f>
        <v>17825</v>
      </c>
      <c r="E28" s="6">
        <f>'YTD BS'!E28</f>
        <v>18970</v>
      </c>
      <c r="F28" s="6">
        <f>'BALANCE SHEET'!C28</f>
        <v>18637</v>
      </c>
      <c r="G28" s="6">
        <f>'YTD BS'!G28</f>
        <v>19190</v>
      </c>
      <c r="H28" s="6">
        <f>'YTD BS'!H28</f>
        <v>19580</v>
      </c>
      <c r="I28" s="6">
        <f>'YTD BS'!I28</f>
        <v>19605</v>
      </c>
      <c r="J28" s="6">
        <f>'BALANCE SHEET'!D28</f>
        <v>18171</v>
      </c>
      <c r="K28" s="6">
        <f>'YTD BS'!K28</f>
        <v>18529</v>
      </c>
      <c r="L28" s="6">
        <f>'YTD BS'!L28</f>
        <v>18559</v>
      </c>
      <c r="M28" s="6">
        <f>'YTD BS'!M28</f>
        <v>19543</v>
      </c>
      <c r="N28" s="6">
        <f>'BALANCE SHEET'!E28</f>
        <v>20547</v>
      </c>
      <c r="O28" s="6">
        <f>'YTD BS'!O28</f>
        <v>21536</v>
      </c>
      <c r="P28" s="7">
        <f t="shared" ref="P28:AL28" si="4">SUM(P22:P27)</f>
        <v>22254.907115352427</v>
      </c>
      <c r="Q28" s="7">
        <f t="shared" si="4"/>
        <v>23007.296759660909</v>
      </c>
      <c r="R28" s="7">
        <f t="shared" si="4"/>
        <v>23909.155067500746</v>
      </c>
      <c r="S28" s="7">
        <f t="shared" si="4"/>
        <v>24537.291627475177</v>
      </c>
      <c r="T28" s="7">
        <f t="shared" si="4"/>
        <v>25309.638971745429</v>
      </c>
      <c r="U28" s="7">
        <f t="shared" si="4"/>
        <v>26118.316513598867</v>
      </c>
      <c r="V28" s="7">
        <f t="shared" si="4"/>
        <v>27089.174937479183</v>
      </c>
      <c r="W28" s="7">
        <f t="shared" si="4"/>
        <v>27763.031746104927</v>
      </c>
      <c r="X28" s="7">
        <f t="shared" si="4"/>
        <v>28593.364378106082</v>
      </c>
      <c r="Y28" s="7">
        <f t="shared" si="4"/>
        <v>29463.117068794061</v>
      </c>
      <c r="Z28" s="7">
        <f t="shared" si="4"/>
        <v>30508.844026419334</v>
      </c>
      <c r="AA28" s="7">
        <f t="shared" si="4"/>
        <v>31232.309562905299</v>
      </c>
      <c r="AB28" s="7">
        <f t="shared" si="4"/>
        <v>32125.559095925026</v>
      </c>
      <c r="AC28" s="7">
        <f t="shared" si="4"/>
        <v>33061.581339533936</v>
      </c>
      <c r="AD28" s="7">
        <f t="shared" si="4"/>
        <v>34188.544353948222</v>
      </c>
      <c r="AE28" s="7">
        <f t="shared" si="4"/>
        <v>34965.837810283891</v>
      </c>
      <c r="AF28" s="7">
        <f t="shared" si="4"/>
        <v>35927.355288306324</v>
      </c>
      <c r="AG28" s="7">
        <f t="shared" si="4"/>
        <v>36935.283269815904</v>
      </c>
      <c r="AH28" s="7">
        <f t="shared" si="4"/>
        <v>38150.391418007144</v>
      </c>
      <c r="AI28" s="7">
        <f t="shared" si="4"/>
        <v>38986.090825882362</v>
      </c>
      <c r="AJ28" s="7">
        <f t="shared" si="4"/>
        <v>40021.682395912605</v>
      </c>
      <c r="AK28" s="7">
        <f t="shared" si="4"/>
        <v>41107.631654390905</v>
      </c>
      <c r="AL28" s="7">
        <f t="shared" si="4"/>
        <v>42418.38162612282</v>
      </c>
    </row>
    <row r="29" spans="1:38" x14ac:dyDescent="0.25">
      <c r="A29" s="3" t="s">
        <v>61</v>
      </c>
      <c r="B29" s="6">
        <f>'BALANCE SHEET'!B29</f>
        <v>92187</v>
      </c>
      <c r="C29" s="6">
        <f>'YTD BS'!C29</f>
        <v>93042</v>
      </c>
      <c r="D29" s="6">
        <f>'YTD BS'!D29</f>
        <v>95906</v>
      </c>
      <c r="E29" s="6">
        <f>'YTD BS'!E29</f>
        <v>99953</v>
      </c>
      <c r="F29" s="6">
        <f>'BALANCE SHEET'!C29</f>
        <v>100495</v>
      </c>
      <c r="G29" s="6">
        <f>'YTD BS'!G29</f>
        <v>100040</v>
      </c>
      <c r="H29" s="6">
        <f>'YTD BS'!H29</f>
        <v>99533</v>
      </c>
      <c r="I29" s="6">
        <f>'YTD BS'!I29</f>
        <v>100513</v>
      </c>
      <c r="J29" s="6">
        <f>'BALANCE SHEET'!D29</f>
        <v>99467</v>
      </c>
      <c r="K29" s="6">
        <f>'YTD BS'!K29</f>
        <v>101737</v>
      </c>
      <c r="L29" s="6">
        <f>'YTD BS'!L29</f>
        <v>105345</v>
      </c>
      <c r="M29" s="6">
        <f>'YTD BS'!M29</f>
        <v>106558</v>
      </c>
      <c r="N29" s="6">
        <f>'BALANCE SHEET'!E29</f>
        <v>107399</v>
      </c>
      <c r="O29" s="6">
        <f>'YTD BS'!O29</f>
        <v>110646</v>
      </c>
      <c r="P29" s="7">
        <f t="shared" ref="P29:AL29" si="5">P21+P28</f>
        <v>120038.91448183493</v>
      </c>
      <c r="Q29" s="7">
        <f t="shared" si="5"/>
        <v>122976.49716146904</v>
      </c>
      <c r="R29" s="7">
        <f t="shared" si="5"/>
        <v>133633.23040652636</v>
      </c>
      <c r="S29" s="7">
        <f t="shared" si="5"/>
        <v>116397.27856871074</v>
      </c>
      <c r="T29" s="7">
        <f t="shared" si="5"/>
        <v>126581.35230544259</v>
      </c>
      <c r="U29" s="7">
        <f t="shared" si="5"/>
        <v>129761.07221494132</v>
      </c>
      <c r="V29" s="7">
        <f t="shared" si="5"/>
        <v>141316.45172840921</v>
      </c>
      <c r="W29" s="7">
        <f t="shared" si="5"/>
        <v>122606.89033745728</v>
      </c>
      <c r="X29" s="7">
        <f t="shared" si="5"/>
        <v>133649.41094025096</v>
      </c>
      <c r="Y29" s="7">
        <f t="shared" si="5"/>
        <v>137091.86170304829</v>
      </c>
      <c r="Z29" s="7">
        <f t="shared" si="5"/>
        <v>149622.31680090743</v>
      </c>
      <c r="AA29" s="7">
        <f t="shared" si="5"/>
        <v>129313.81626482304</v>
      </c>
      <c r="AB29" s="7">
        <f t="shared" si="5"/>
        <v>141287.7941150546</v>
      </c>
      <c r="AC29" s="7">
        <f t="shared" si="5"/>
        <v>145015.32082967318</v>
      </c>
      <c r="AD29" s="7">
        <f t="shared" si="5"/>
        <v>158603.78109452373</v>
      </c>
      <c r="AE29" s="7">
        <f t="shared" si="5"/>
        <v>136560.35261609819</v>
      </c>
      <c r="AF29" s="7">
        <f t="shared" si="5"/>
        <v>149545.00758346432</v>
      </c>
      <c r="AG29" s="7">
        <f t="shared" si="5"/>
        <v>153581.85578540142</v>
      </c>
      <c r="AH29" s="7">
        <f t="shared" si="5"/>
        <v>168318.30391016684</v>
      </c>
      <c r="AI29" s="7">
        <f t="shared" si="5"/>
        <v>144392.39292808939</v>
      </c>
      <c r="AJ29" s="7">
        <f t="shared" si="5"/>
        <v>158473.68248379458</v>
      </c>
      <c r="AK29" s="7">
        <f t="shared" si="5"/>
        <v>162846.15977652551</v>
      </c>
      <c r="AL29" s="7">
        <f t="shared" si="5"/>
        <v>178828.23142717534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41" width="13" customWidth="1"/>
  </cols>
  <sheetData>
    <row r="1" spans="1:41" x14ac:dyDescent="0.25">
      <c r="A1" s="1"/>
      <c r="B1" s="2" t="s">
        <v>104</v>
      </c>
      <c r="C1" s="2" t="s">
        <v>105</v>
      </c>
      <c r="D1" s="2" t="s">
        <v>106</v>
      </c>
      <c r="E1" s="2" t="s">
        <v>117</v>
      </c>
      <c r="F1" s="2" t="s">
        <v>107</v>
      </c>
      <c r="G1" s="2" t="s">
        <v>108</v>
      </c>
      <c r="H1" s="2" t="s">
        <v>109</v>
      </c>
      <c r="I1" s="2" t="s">
        <v>118</v>
      </c>
      <c r="J1" s="2" t="s">
        <v>110</v>
      </c>
      <c r="K1" s="2" t="s">
        <v>111</v>
      </c>
      <c r="L1" s="2" t="s">
        <v>112</v>
      </c>
      <c r="M1" s="2" t="s">
        <v>119</v>
      </c>
      <c r="N1" s="2" t="s">
        <v>113</v>
      </c>
      <c r="O1" s="2" t="s">
        <v>114</v>
      </c>
      <c r="P1" s="2" t="s">
        <v>115</v>
      </c>
      <c r="Q1" s="2" t="s">
        <v>120</v>
      </c>
      <c r="R1" s="2" t="s">
        <v>116</v>
      </c>
      <c r="S1" s="2" t="s">
        <v>121</v>
      </c>
      <c r="T1" s="2" t="s">
        <v>122</v>
      </c>
      <c r="U1" s="2" t="s">
        <v>123</v>
      </c>
      <c r="V1" s="2" t="s">
        <v>124</v>
      </c>
      <c r="W1" s="2" t="s">
        <v>125</v>
      </c>
      <c r="X1" s="2" t="s">
        <v>126</v>
      </c>
      <c r="Y1" s="2" t="s">
        <v>127</v>
      </c>
      <c r="Z1" s="2" t="s">
        <v>128</v>
      </c>
      <c r="AA1" s="2" t="s">
        <v>129</v>
      </c>
      <c r="AB1" s="2" t="s">
        <v>130</v>
      </c>
      <c r="AC1" s="2" t="s">
        <v>131</v>
      </c>
      <c r="AD1" s="2" t="s">
        <v>132</v>
      </c>
      <c r="AE1" s="2" t="s">
        <v>133</v>
      </c>
      <c r="AF1" s="2" t="s">
        <v>134</v>
      </c>
      <c r="AG1" s="2" t="s">
        <v>135</v>
      </c>
      <c r="AH1" s="2" t="s">
        <v>136</v>
      </c>
      <c r="AI1" s="2" t="s">
        <v>137</v>
      </c>
      <c r="AJ1" s="2" t="s">
        <v>138</v>
      </c>
      <c r="AK1" s="2" t="s">
        <v>139</v>
      </c>
      <c r="AL1" s="2" t="s">
        <v>140</v>
      </c>
      <c r="AM1" s="2" t="s">
        <v>141</v>
      </c>
      <c r="AN1" s="2" t="s">
        <v>142</v>
      </c>
      <c r="AO1" s="2" t="s">
        <v>143</v>
      </c>
    </row>
    <row r="2" spans="1:41" x14ac:dyDescent="0.25">
      <c r="A2" s="3" t="s">
        <v>27</v>
      </c>
      <c r="B2" s="4">
        <f>'YTD CF'!B2</f>
        <v>4273</v>
      </c>
      <c r="C2" s="4">
        <f>'YTD CF'!C2-'YTD CF'!B2</f>
        <v>1446</v>
      </c>
      <c r="D2" s="4">
        <f>'YTD CF'!D2-'YTD CF'!C2</f>
        <v>2724</v>
      </c>
      <c r="E2" s="4">
        <f>'CASH FLOW'!C2-'YTD CF'!D2</f>
        <v>535</v>
      </c>
      <c r="F2" s="4">
        <f>'YTD CF'!E2</f>
        <v>1944</v>
      </c>
      <c r="G2" s="4">
        <f>'YTD CF'!F2-'YTD CF'!E2</f>
        <v>2771</v>
      </c>
      <c r="H2" s="4">
        <f>'YTD CF'!G2-'YTD CF'!F2</f>
        <v>3116</v>
      </c>
      <c r="I2" s="4">
        <f>'CASH FLOW'!D2-'YTD CF'!G2</f>
        <v>1324</v>
      </c>
      <c r="J2" s="4">
        <f>'YTD CF'!H2</f>
        <v>2053</v>
      </c>
      <c r="K2" s="4">
        <f>'YTD CF'!I2-'YTD CF'!H2</f>
        <v>3094</v>
      </c>
      <c r="L2" s="4">
        <f>'YTD CF'!J2-'YTD CF'!I2</f>
        <v>2945</v>
      </c>
      <c r="M2" s="4">
        <f>'CASH FLOW'!E2-'YTD CF'!J2</f>
        <v>1534</v>
      </c>
      <c r="N2" s="4">
        <f>'YTD CF'!K2</f>
        <v>1843</v>
      </c>
      <c r="O2" s="4">
        <f>'YTD CF'!L2-'YTD CF'!K2</f>
        <v>1279</v>
      </c>
      <c r="P2" s="4">
        <f>'YTD CF'!M2-'YTD CF'!L2</f>
        <v>2618</v>
      </c>
      <c r="Q2" s="4">
        <f>'CASH FLOW'!F2-'YTD CF'!M2</f>
        <v>2555</v>
      </c>
      <c r="R2" s="4">
        <f>'YTD CF'!N2</f>
        <v>2338</v>
      </c>
      <c r="S2" s="11">
        <f>'CF DRIVERS'!S2</f>
        <v>3016.5145041575979</v>
      </c>
      <c r="T2" s="11">
        <f>'CF DRIVERS'!T2</f>
        <v>3187.4487801165851</v>
      </c>
      <c r="U2" s="11">
        <f>'CF DRIVERS'!U2</f>
        <v>3950.5129385263986</v>
      </c>
      <c r="V2" s="11">
        <f>'CF DRIVERS'!V2</f>
        <v>2553.11464621098</v>
      </c>
      <c r="W2" s="11">
        <f>'CF DRIVERS'!W2</f>
        <v>3289.3363943183631</v>
      </c>
      <c r="X2" s="11">
        <f>'CF DRIVERS'!X2</f>
        <v>3474.8085259925952</v>
      </c>
      <c r="Y2" s="11">
        <f>'CF DRIVERS'!Y2</f>
        <v>4302.770824779469</v>
      </c>
      <c r="Z2" s="11">
        <f>'CF DRIVERS'!Z2</f>
        <v>2786.5246616292561</v>
      </c>
      <c r="AA2" s="11">
        <f>'CF DRIVERS'!AA2</f>
        <v>3585.3616195204245</v>
      </c>
      <c r="AB2" s="11">
        <f>'CF DRIVERS'!AB2</f>
        <v>3786.6080426546459</v>
      </c>
      <c r="AC2" s="11">
        <f>'CF DRIVERS'!AC2</f>
        <v>4684.9880289994853</v>
      </c>
      <c r="AD2" s="11">
        <f>'CF DRIVERS'!AD2</f>
        <v>3039.7860562259148</v>
      </c>
      <c r="AE2" s="11">
        <f>'CF DRIVERS'!AE2</f>
        <v>3906.5636092298737</v>
      </c>
      <c r="AF2" s="11">
        <f>'CF DRIVERS'!AF2</f>
        <v>4124.9259176733513</v>
      </c>
      <c r="AG2" s="11">
        <f>'CF DRIVERS'!AG2</f>
        <v>5099.7125728719002</v>
      </c>
      <c r="AH2" s="11">
        <f>'CF DRIVERS'!AH2</f>
        <v>3314.5871776692343</v>
      </c>
      <c r="AI2" s="11">
        <f>'CF DRIVERS'!AI2</f>
        <v>4255.0836318829752</v>
      </c>
      <c r="AJ2" s="11">
        <f>'CF DRIVERS'!AJ2</f>
        <v>4492.0175212220274</v>
      </c>
      <c r="AK2" s="11">
        <f>'CF DRIVERS'!AK2</f>
        <v>5549.709185769455</v>
      </c>
      <c r="AL2" s="11">
        <f>'CF DRIVERS'!AL2</f>
        <v>3612.7599665649568</v>
      </c>
      <c r="AM2" s="11">
        <f>'CF DRIVERS'!AM2</f>
        <v>4633.2450694879863</v>
      </c>
      <c r="AN2" s="11">
        <f>'CF DRIVERS'!AN2</f>
        <v>4890.3300413290071</v>
      </c>
      <c r="AO2" s="11">
        <f>'CF DRIVERS'!AO2</f>
        <v>6037.9777356085769</v>
      </c>
    </row>
    <row r="3" spans="1:41" x14ac:dyDescent="0.25">
      <c r="A3" s="3" t="s">
        <v>62</v>
      </c>
      <c r="B3" s="4">
        <f>'YTD CF'!B3</f>
        <v>555</v>
      </c>
      <c r="C3" s="4">
        <f>'YTD CF'!C3-'YTD CF'!B3</f>
        <v>640</v>
      </c>
      <c r="D3" s="4">
        <f>'YTD CF'!D3-'YTD CF'!C3</f>
        <v>659</v>
      </c>
      <c r="E3" s="4">
        <f>'CASH FLOW'!C3-'YTD CF'!D3</f>
        <v>909</v>
      </c>
      <c r="F3" s="4">
        <f>'YTD CF'!E3</f>
        <v>590</v>
      </c>
      <c r="G3" s="4">
        <f>'YTD CF'!F3-'YTD CF'!E3</f>
        <v>678</v>
      </c>
      <c r="H3" s="4">
        <f>'YTD CF'!G3-'YTD CF'!F3</f>
        <v>705</v>
      </c>
      <c r="I3" s="4">
        <f>'CASH FLOW'!D3-'YTD CF'!G3</f>
        <v>975</v>
      </c>
      <c r="J3" s="4">
        <f>'YTD CF'!H3</f>
        <v>641</v>
      </c>
      <c r="K3" s="4">
        <f>'YTD CF'!I3-'YTD CF'!H3</f>
        <v>738</v>
      </c>
      <c r="L3" s="4">
        <f>'YTD CF'!J3-'YTD CF'!I3</f>
        <v>739</v>
      </c>
      <c r="M3" s="4">
        <f>'CASH FLOW'!E3-'YTD CF'!J3</f>
        <v>1042</v>
      </c>
      <c r="N3" s="4">
        <f>'YTD CF'!K3</f>
        <v>684</v>
      </c>
      <c r="O3" s="4">
        <f>'YTD CF'!L3-'YTD CF'!K3</f>
        <v>807</v>
      </c>
      <c r="P3" s="4">
        <f>'YTD CF'!M3-'YTD CF'!L3</f>
        <v>824</v>
      </c>
      <c r="Q3" s="4">
        <f>'CASH FLOW'!F3-'YTD CF'!M3</f>
        <v>1136</v>
      </c>
      <c r="R3" s="4">
        <f>'YTD CF'!N3</f>
        <v>742</v>
      </c>
      <c r="S3" s="11">
        <f>'QTR P&amp;L'!S2*'CF DRIVERS'!S3</f>
        <v>941.05095150399018</v>
      </c>
      <c r="T3" s="11">
        <f>'QTR P&amp;L'!T2*'CF DRIVERS'!T3</f>
        <v>991.19671856688421</v>
      </c>
      <c r="U3" s="11">
        <f>'QTR P&amp;L'!U2*'CF DRIVERS'!U3</f>
        <v>1215.0513979574753</v>
      </c>
      <c r="V3" s="11">
        <f>'QTR P&amp;L'!V2*'CF DRIVERS'!V3</f>
        <v>805.10664657625989</v>
      </c>
      <c r="W3" s="11">
        <f>'QTR P&amp;L'!W2*'CF DRIVERS'!W3</f>
        <v>1021.0867598689705</v>
      </c>
      <c r="X3" s="11">
        <f>'QTR P&amp;L'!X2*'CF DRIVERS'!X3</f>
        <v>1075.4973937773275</v>
      </c>
      <c r="Y3" s="11">
        <f>'QTR P&amp;L'!Y2*'CF DRIVERS'!Y3</f>
        <v>1318.3907768562526</v>
      </c>
      <c r="Z3" s="11">
        <f>'QTR P&amp;L'!Z2*'CF DRIVERS'!Z3</f>
        <v>873.58047488041859</v>
      </c>
      <c r="AA3" s="11">
        <f>'QTR P&amp;L'!AA2*'CF DRIVERS'!AA3</f>
        <v>1107.9295648268537</v>
      </c>
      <c r="AB3" s="11">
        <f>'QTR P&amp;L'!AB2*'CF DRIVERS'!AB3</f>
        <v>1166.9677898996918</v>
      </c>
      <c r="AC3" s="11">
        <f>'QTR P&amp;L'!AC2*'CF DRIVERS'!AC3</f>
        <v>1430.5191067814121</v>
      </c>
      <c r="AD3" s="11">
        <f>'QTR P&amp;L'!AD2*'CF DRIVERS'!AD3</f>
        <v>947.87796043863932</v>
      </c>
      <c r="AE3" s="11">
        <f>'QTR P&amp;L'!AE2*'CF DRIVERS'!AE3</f>
        <v>1202.1582972782253</v>
      </c>
      <c r="AF3" s="11">
        <f>'QTR P&amp;L'!AF2*'CF DRIVERS'!AF3</f>
        <v>1266.2176873162402</v>
      </c>
      <c r="AG3" s="11">
        <f>'QTR P&amp;L'!AG2*'CF DRIVERS'!AG3</f>
        <v>1552.1838826469666</v>
      </c>
      <c r="AH3" s="11">
        <f>'QTR P&amp;L'!AH2*'CF DRIVERS'!AH3</f>
        <v>1028.494401741641</v>
      </c>
      <c r="AI3" s="11">
        <f>'QTR P&amp;L'!AI2*'CF DRIVERS'!AI3</f>
        <v>1304.40112584299</v>
      </c>
      <c r="AJ3" s="11">
        <f>'QTR P&amp;L'!AJ2*'CF DRIVERS'!AJ3</f>
        <v>1373.9087278581205</v>
      </c>
      <c r="AK3" s="11">
        <f>'QTR P&amp;L'!AK2*'CF DRIVERS'!AK3</f>
        <v>1684.1961733525852</v>
      </c>
      <c r="AL3" s="11">
        <f>'QTR P&amp;L'!AL2*'CF DRIVERS'!AL3</f>
        <v>1115.9672221141093</v>
      </c>
      <c r="AM3" s="11">
        <f>'QTR P&amp;L'!AM2*'CF DRIVERS'!AM3</f>
        <v>1415.3396444983121</v>
      </c>
      <c r="AN3" s="11">
        <f>'QTR P&amp;L'!AN2*'CF DRIVERS'!AN3</f>
        <v>1490.7588255899011</v>
      </c>
      <c r="AO3" s="11">
        <f>'QTR P&amp;L'!AO2*'CF DRIVERS'!AO3</f>
        <v>1827.4360287122224</v>
      </c>
    </row>
    <row r="4" spans="1:41" x14ac:dyDescent="0.25">
      <c r="A4" s="3" t="s">
        <v>20</v>
      </c>
      <c r="B4" s="4">
        <f>'YTD CF'!B4</f>
        <v>-3322</v>
      </c>
      <c r="C4" s="4">
        <f>'YTD CF'!C4-'YTD CF'!B4</f>
        <v>-13</v>
      </c>
      <c r="D4" s="4">
        <f>'YTD CF'!D4-'YTD CF'!C4</f>
        <v>14</v>
      </c>
      <c r="E4" s="4">
        <f>'CASH FLOW'!C4-'YTD CF'!D4</f>
        <v>0</v>
      </c>
      <c r="F4" s="4">
        <f>'YTD CF'!E4</f>
        <v>0</v>
      </c>
      <c r="G4" s="4">
        <f>'YTD CF'!F4-'YTD CF'!E4</f>
        <v>0</v>
      </c>
      <c r="H4" s="4">
        <f>'YTD CF'!G4-'YTD CF'!F4</f>
        <v>0</v>
      </c>
      <c r="I4" s="4">
        <f>'CASH FLOW'!D4-'YTD CF'!G4</f>
        <v>0</v>
      </c>
      <c r="J4" s="4">
        <f>'YTD CF'!H4</f>
        <v>0</v>
      </c>
      <c r="K4" s="4">
        <f>'YTD CF'!I4-'YTD CF'!H4</f>
        <v>0</v>
      </c>
      <c r="L4" s="4">
        <f>'YTD CF'!J4-'YTD CF'!I4</f>
        <v>0</v>
      </c>
      <c r="M4" s="4">
        <f>'CASH FLOW'!E4-'YTD CF'!J4</f>
        <v>0</v>
      </c>
      <c r="N4" s="4">
        <f>'YTD CF'!K4</f>
        <v>0</v>
      </c>
      <c r="O4" s="4">
        <f>'YTD CF'!L4-'YTD CF'!K4</f>
        <v>0</v>
      </c>
      <c r="P4" s="4">
        <f>'YTD CF'!M4-'YTD CF'!L4</f>
        <v>0</v>
      </c>
      <c r="Q4" s="4">
        <f>'CASH FLOW'!F4-'YTD CF'!M4</f>
        <v>0</v>
      </c>
      <c r="R4" s="4">
        <f>'YTD CF'!N4</f>
        <v>0</v>
      </c>
      <c r="S4" s="11">
        <f>'CF DRIVERS'!S4</f>
        <v>0</v>
      </c>
      <c r="T4" s="11">
        <f>'CF DRIVERS'!T4</f>
        <v>0</v>
      </c>
      <c r="U4" s="11">
        <f>'CF DRIVERS'!U4</f>
        <v>0</v>
      </c>
      <c r="V4" s="11">
        <f>'CF DRIVERS'!V4</f>
        <v>0</v>
      </c>
      <c r="W4" s="11">
        <f>'CF DRIVERS'!W4</f>
        <v>0</v>
      </c>
      <c r="X4" s="11">
        <f>'CF DRIVERS'!X4</f>
        <v>0</v>
      </c>
      <c r="Y4" s="11">
        <f>'CF DRIVERS'!Y4</f>
        <v>0</v>
      </c>
      <c r="Z4" s="11">
        <f>'CF DRIVERS'!Z4</f>
        <v>0</v>
      </c>
      <c r="AA4" s="11">
        <f>'CF DRIVERS'!AA4</f>
        <v>0</v>
      </c>
      <c r="AB4" s="11">
        <f>'CF DRIVERS'!AB4</f>
        <v>0</v>
      </c>
      <c r="AC4" s="11">
        <f>'CF DRIVERS'!AC4</f>
        <v>0</v>
      </c>
      <c r="AD4" s="11">
        <f>'CF DRIVERS'!AD4</f>
        <v>0</v>
      </c>
      <c r="AE4" s="11">
        <f>'CF DRIVERS'!AE4</f>
        <v>0</v>
      </c>
      <c r="AF4" s="11">
        <f>'CF DRIVERS'!AF4</f>
        <v>0</v>
      </c>
      <c r="AG4" s="11">
        <f>'CF DRIVERS'!AG4</f>
        <v>0</v>
      </c>
      <c r="AH4" s="11">
        <f>'CF DRIVERS'!AH4</f>
        <v>0</v>
      </c>
      <c r="AI4" s="11">
        <f>'CF DRIVERS'!AI4</f>
        <v>0</v>
      </c>
      <c r="AJ4" s="11">
        <f>'CF DRIVERS'!AJ4</f>
        <v>0</v>
      </c>
      <c r="AK4" s="11">
        <f>'CF DRIVERS'!AK4</f>
        <v>0</v>
      </c>
      <c r="AL4" s="11">
        <f>'CF DRIVERS'!AL4</f>
        <v>0</v>
      </c>
      <c r="AM4" s="11">
        <f>'CF DRIVERS'!AM4</f>
        <v>0</v>
      </c>
      <c r="AN4" s="11">
        <f>'CF DRIVERS'!AN4</f>
        <v>0</v>
      </c>
      <c r="AO4" s="11">
        <f>'CF DRIVERS'!AO4</f>
        <v>0</v>
      </c>
    </row>
    <row r="5" spans="1:41" x14ac:dyDescent="0.25">
      <c r="A5" s="3" t="s">
        <v>63</v>
      </c>
      <c r="B5" s="4">
        <f>'YTD CF'!B5</f>
        <v>482</v>
      </c>
      <c r="C5" s="4">
        <f>'YTD CF'!C5-'YTD CF'!B5</f>
        <v>1389</v>
      </c>
      <c r="D5" s="4">
        <f>'YTD CF'!D5-'YTD CF'!C5</f>
        <v>6</v>
      </c>
      <c r="E5" s="4">
        <f>'CASH FLOW'!C5-'YTD CF'!D5</f>
        <v>1741</v>
      </c>
      <c r="F5" s="4">
        <f>'YTD CF'!E5</f>
        <v>-13</v>
      </c>
      <c r="G5" s="4">
        <f>'YTD CF'!F5-'YTD CF'!E5</f>
        <v>110</v>
      </c>
      <c r="H5" s="4">
        <f>'YTD CF'!G5-'YTD CF'!F5</f>
        <v>5</v>
      </c>
      <c r="I5" s="4">
        <f>'CASH FLOW'!D5-'YTD CF'!G5</f>
        <v>1128</v>
      </c>
      <c r="J5" s="4">
        <f>'YTD CF'!H5</f>
        <v>0</v>
      </c>
      <c r="K5" s="4">
        <f>'YTD CF'!I5-'YTD CF'!H5</f>
        <v>0</v>
      </c>
      <c r="L5" s="4">
        <f>'YTD CF'!J5-'YTD CF'!I5</f>
        <v>10</v>
      </c>
      <c r="M5" s="4">
        <f>'CASH FLOW'!E5-'YTD CF'!J5</f>
        <v>704</v>
      </c>
      <c r="N5" s="4">
        <f>'YTD CF'!K5</f>
        <v>0</v>
      </c>
      <c r="O5" s="4">
        <f>'YTD CF'!L5-'YTD CF'!K5</f>
        <v>1860</v>
      </c>
      <c r="P5" s="4">
        <f>'YTD CF'!M5-'YTD CF'!L5</f>
        <v>100</v>
      </c>
      <c r="Q5" s="4">
        <f>'CASH FLOW'!F5-'YTD CF'!M5</f>
        <v>-14</v>
      </c>
      <c r="R5" s="4">
        <f>'YTD CF'!N5</f>
        <v>0</v>
      </c>
      <c r="S5" s="11">
        <f>'CF DRIVERS'!S5</f>
        <v>0</v>
      </c>
      <c r="T5" s="11">
        <f>'CF DRIVERS'!T5</f>
        <v>0</v>
      </c>
      <c r="U5" s="11">
        <f>'CF DRIVERS'!U5</f>
        <v>0</v>
      </c>
      <c r="V5" s="11">
        <f>'CF DRIVERS'!V5</f>
        <v>0</v>
      </c>
      <c r="W5" s="11">
        <f>'CF DRIVERS'!W5</f>
        <v>0</v>
      </c>
      <c r="X5" s="11">
        <f>'CF DRIVERS'!X5</f>
        <v>0</v>
      </c>
      <c r="Y5" s="11">
        <f>'CF DRIVERS'!Y5</f>
        <v>0</v>
      </c>
      <c r="Z5" s="11">
        <f>'CF DRIVERS'!Z5</f>
        <v>0</v>
      </c>
      <c r="AA5" s="11">
        <f>'CF DRIVERS'!AA5</f>
        <v>0</v>
      </c>
      <c r="AB5" s="11">
        <f>'CF DRIVERS'!AB5</f>
        <v>0</v>
      </c>
      <c r="AC5" s="11">
        <f>'CF DRIVERS'!AC5</f>
        <v>0</v>
      </c>
      <c r="AD5" s="11">
        <f>'CF DRIVERS'!AD5</f>
        <v>0</v>
      </c>
      <c r="AE5" s="11">
        <f>'CF DRIVERS'!AE5</f>
        <v>0</v>
      </c>
      <c r="AF5" s="11">
        <f>'CF DRIVERS'!AF5</f>
        <v>0</v>
      </c>
      <c r="AG5" s="11">
        <f>'CF DRIVERS'!AG5</f>
        <v>0</v>
      </c>
      <c r="AH5" s="11">
        <f>'CF DRIVERS'!AH5</f>
        <v>0</v>
      </c>
      <c r="AI5" s="11">
        <f>'CF DRIVERS'!AI5</f>
        <v>0</v>
      </c>
      <c r="AJ5" s="11">
        <f>'CF DRIVERS'!AJ5</f>
        <v>0</v>
      </c>
      <c r="AK5" s="11">
        <f>'CF DRIVERS'!AK5</f>
        <v>0</v>
      </c>
      <c r="AL5" s="11">
        <f>'CF DRIVERS'!AL5</f>
        <v>0</v>
      </c>
      <c r="AM5" s="11">
        <f>'CF DRIVERS'!AM5</f>
        <v>0</v>
      </c>
      <c r="AN5" s="11">
        <f>'CF DRIVERS'!AN5</f>
        <v>0</v>
      </c>
      <c r="AO5" s="11">
        <f>'CF DRIVERS'!AO5</f>
        <v>0</v>
      </c>
    </row>
    <row r="6" spans="1:41" x14ac:dyDescent="0.25">
      <c r="A6" s="3" t="s">
        <v>64</v>
      </c>
      <c r="B6" s="4">
        <f>'YTD CF'!B6</f>
        <v>0</v>
      </c>
      <c r="C6" s="4">
        <f>'YTD CF'!C6-'YTD CF'!B6</f>
        <v>0</v>
      </c>
      <c r="D6" s="4">
        <f>'YTD CF'!D6-'YTD CF'!C6</f>
        <v>0</v>
      </c>
      <c r="E6" s="4">
        <f>'CASH FLOW'!C6-'YTD CF'!D6</f>
        <v>0</v>
      </c>
      <c r="F6" s="4">
        <f>'YTD CF'!E6</f>
        <v>0</v>
      </c>
      <c r="G6" s="4">
        <f>'YTD CF'!F6-'YTD CF'!E6</f>
        <v>0</v>
      </c>
      <c r="H6" s="4">
        <f>'YTD CF'!G6-'YTD CF'!F6</f>
        <v>0</v>
      </c>
      <c r="I6" s="4">
        <f>'CASH FLOW'!D6-'YTD CF'!G6</f>
        <v>0</v>
      </c>
      <c r="J6" s="4">
        <f>'YTD CF'!H6</f>
        <v>0</v>
      </c>
      <c r="K6" s="4">
        <f>'YTD CF'!I6-'YTD CF'!H6</f>
        <v>0</v>
      </c>
      <c r="L6" s="4">
        <f>'YTD CF'!J6-'YTD CF'!I6</f>
        <v>0</v>
      </c>
      <c r="M6" s="4">
        <f>'CASH FLOW'!E6-'YTD CF'!J6</f>
        <v>218</v>
      </c>
      <c r="N6" s="4">
        <f>'YTD CF'!K6</f>
        <v>0</v>
      </c>
      <c r="O6" s="4">
        <f>'YTD CF'!L6-'YTD CF'!K6</f>
        <v>0</v>
      </c>
      <c r="P6" s="4">
        <f>'YTD CF'!M6-'YTD CF'!L6</f>
        <v>0</v>
      </c>
      <c r="Q6" s="4">
        <f>'CASH FLOW'!F6-'YTD CF'!M6</f>
        <v>0</v>
      </c>
      <c r="R6" s="4">
        <f>'YTD CF'!N6</f>
        <v>0</v>
      </c>
      <c r="S6" s="11">
        <f>'CF DRIVERS'!S6</f>
        <v>0</v>
      </c>
      <c r="T6" s="11">
        <f>'CF DRIVERS'!T6</f>
        <v>0</v>
      </c>
      <c r="U6" s="11">
        <f>'CF DRIVERS'!U6</f>
        <v>0</v>
      </c>
      <c r="V6" s="11">
        <f>'CF DRIVERS'!V6</f>
        <v>0</v>
      </c>
      <c r="W6" s="11">
        <f>'CF DRIVERS'!W6</f>
        <v>0</v>
      </c>
      <c r="X6" s="11">
        <f>'CF DRIVERS'!X6</f>
        <v>0</v>
      </c>
      <c r="Y6" s="11">
        <f>'CF DRIVERS'!Y6</f>
        <v>0</v>
      </c>
      <c r="Z6" s="11">
        <f>'CF DRIVERS'!Z6</f>
        <v>0</v>
      </c>
      <c r="AA6" s="11">
        <f>'CF DRIVERS'!AA6</f>
        <v>0</v>
      </c>
      <c r="AB6" s="11">
        <f>'CF DRIVERS'!AB6</f>
        <v>0</v>
      </c>
      <c r="AC6" s="11">
        <f>'CF DRIVERS'!AC6</f>
        <v>0</v>
      </c>
      <c r="AD6" s="11">
        <f>'CF DRIVERS'!AD6</f>
        <v>0</v>
      </c>
      <c r="AE6" s="11">
        <f>'CF DRIVERS'!AE6</f>
        <v>0</v>
      </c>
      <c r="AF6" s="11">
        <f>'CF DRIVERS'!AF6</f>
        <v>0</v>
      </c>
      <c r="AG6" s="11">
        <f>'CF DRIVERS'!AG6</f>
        <v>0</v>
      </c>
      <c r="AH6" s="11">
        <f>'CF DRIVERS'!AH6</f>
        <v>0</v>
      </c>
      <c r="AI6" s="11">
        <f>'CF DRIVERS'!AI6</f>
        <v>0</v>
      </c>
      <c r="AJ6" s="11">
        <f>'CF DRIVERS'!AJ6</f>
        <v>0</v>
      </c>
      <c r="AK6" s="11">
        <f>'CF DRIVERS'!AK6</f>
        <v>0</v>
      </c>
      <c r="AL6" s="11">
        <f>'CF DRIVERS'!AL6</f>
        <v>0</v>
      </c>
      <c r="AM6" s="11">
        <f>'CF DRIVERS'!AM6</f>
        <v>0</v>
      </c>
      <c r="AN6" s="11">
        <f>'CF DRIVERS'!AN6</f>
        <v>0</v>
      </c>
      <c r="AO6" s="11">
        <f>'CF DRIVERS'!AO6</f>
        <v>0</v>
      </c>
    </row>
    <row r="7" spans="1:41" x14ac:dyDescent="0.25">
      <c r="A7" s="3" t="s">
        <v>65</v>
      </c>
      <c r="B7" s="4">
        <f>'YTD CF'!B7</f>
        <v>0</v>
      </c>
      <c r="C7" s="4">
        <f>'YTD CF'!C7-'YTD CF'!B7</f>
        <v>0</v>
      </c>
      <c r="D7" s="4">
        <f>'YTD CF'!D7-'YTD CF'!C7</f>
        <v>0</v>
      </c>
      <c r="E7" s="4">
        <f>'CASH FLOW'!C7-'YTD CF'!D7</f>
        <v>0</v>
      </c>
      <c r="F7" s="4">
        <f>'YTD CF'!E7</f>
        <v>0</v>
      </c>
      <c r="G7" s="4">
        <f>'YTD CF'!F7-'YTD CF'!E7</f>
        <v>0</v>
      </c>
      <c r="H7" s="4">
        <f>'YTD CF'!G7-'YTD CF'!F7</f>
        <v>0</v>
      </c>
      <c r="I7" s="4">
        <f>'CASH FLOW'!D7-'YTD CF'!G7</f>
        <v>136</v>
      </c>
      <c r="J7" s="4">
        <f>'YTD CF'!H7</f>
        <v>167</v>
      </c>
      <c r="K7" s="4">
        <f>'YTD CF'!I7-'YTD CF'!H7</f>
        <v>15</v>
      </c>
      <c r="L7" s="4">
        <f>'YTD CF'!J7-'YTD CF'!I7</f>
        <v>2</v>
      </c>
      <c r="M7" s="4">
        <f>'CASH FLOW'!E7-'YTD CF'!J7</f>
        <v>3</v>
      </c>
      <c r="N7" s="4">
        <f>'YTD CF'!K7</f>
        <v>0</v>
      </c>
      <c r="O7" s="4">
        <f>'YTD CF'!L7-'YTD CF'!K7</f>
        <v>0</v>
      </c>
      <c r="P7" s="4">
        <f>'YTD CF'!M7-'YTD CF'!L7</f>
        <v>0</v>
      </c>
      <c r="Q7" s="4">
        <f>'CASH FLOW'!F7-'YTD CF'!M7</f>
        <v>0</v>
      </c>
      <c r="R7" s="4">
        <f>'YTD CF'!N7</f>
        <v>0</v>
      </c>
      <c r="S7" s="11">
        <f>'CF DRIVERS'!S7</f>
        <v>0</v>
      </c>
      <c r="T7" s="11">
        <f>'CF DRIVERS'!T7</f>
        <v>0</v>
      </c>
      <c r="U7" s="11">
        <f>'CF DRIVERS'!U7</f>
        <v>0</v>
      </c>
      <c r="V7" s="11">
        <f>'CF DRIVERS'!V7</f>
        <v>0</v>
      </c>
      <c r="W7" s="11">
        <f>'CF DRIVERS'!W7</f>
        <v>0</v>
      </c>
      <c r="X7" s="11">
        <f>'CF DRIVERS'!X7</f>
        <v>0</v>
      </c>
      <c r="Y7" s="11">
        <f>'CF DRIVERS'!Y7</f>
        <v>0</v>
      </c>
      <c r="Z7" s="11">
        <f>'CF DRIVERS'!Z7</f>
        <v>0</v>
      </c>
      <c r="AA7" s="11">
        <f>'CF DRIVERS'!AA7</f>
        <v>0</v>
      </c>
      <c r="AB7" s="11">
        <f>'CF DRIVERS'!AB7</f>
        <v>0</v>
      </c>
      <c r="AC7" s="11">
        <f>'CF DRIVERS'!AC7</f>
        <v>0</v>
      </c>
      <c r="AD7" s="11">
        <f>'CF DRIVERS'!AD7</f>
        <v>0</v>
      </c>
      <c r="AE7" s="11">
        <f>'CF DRIVERS'!AE7</f>
        <v>0</v>
      </c>
      <c r="AF7" s="11">
        <f>'CF DRIVERS'!AF7</f>
        <v>0</v>
      </c>
      <c r="AG7" s="11">
        <f>'CF DRIVERS'!AG7</f>
        <v>0</v>
      </c>
      <c r="AH7" s="11">
        <f>'CF DRIVERS'!AH7</f>
        <v>0</v>
      </c>
      <c r="AI7" s="11">
        <f>'CF DRIVERS'!AI7</f>
        <v>0</v>
      </c>
      <c r="AJ7" s="11">
        <f>'CF DRIVERS'!AJ7</f>
        <v>0</v>
      </c>
      <c r="AK7" s="11">
        <f>'CF DRIVERS'!AK7</f>
        <v>0</v>
      </c>
      <c r="AL7" s="11">
        <f>'CF DRIVERS'!AL7</f>
        <v>0</v>
      </c>
      <c r="AM7" s="11">
        <f>'CF DRIVERS'!AM7</f>
        <v>0</v>
      </c>
      <c r="AN7" s="11">
        <f>'CF DRIVERS'!AN7</f>
        <v>0</v>
      </c>
      <c r="AO7" s="11">
        <f>'CF DRIVERS'!AO7</f>
        <v>0</v>
      </c>
    </row>
    <row r="8" spans="1:41" x14ac:dyDescent="0.25">
      <c r="A8" s="3" t="s">
        <v>66</v>
      </c>
      <c r="B8" s="4">
        <f>'YTD CF'!B8</f>
        <v>0</v>
      </c>
      <c r="C8" s="4">
        <f>'YTD CF'!C8-'YTD CF'!B8</f>
        <v>0</v>
      </c>
      <c r="D8" s="4">
        <f>'YTD CF'!D8-'YTD CF'!C8</f>
        <v>0</v>
      </c>
      <c r="E8" s="4">
        <f>'CASH FLOW'!C8-'YTD CF'!D8</f>
        <v>0</v>
      </c>
      <c r="F8" s="4">
        <f>'YTD CF'!E8</f>
        <v>0</v>
      </c>
      <c r="G8" s="4">
        <f>'YTD CF'!F8-'YTD CF'!E8</f>
        <v>0</v>
      </c>
      <c r="H8" s="4">
        <f>'YTD CF'!G8-'YTD CF'!F8</f>
        <v>0</v>
      </c>
      <c r="I8" s="4">
        <f>'CASH FLOW'!D8-'YTD CF'!G8</f>
        <v>0</v>
      </c>
      <c r="J8" s="4">
        <f>'YTD CF'!H8</f>
        <v>-108</v>
      </c>
      <c r="K8" s="4">
        <f>'YTD CF'!I8-'YTD CF'!H8</f>
        <v>-27</v>
      </c>
      <c r="L8" s="4">
        <f>'YTD CF'!J8-'YTD CF'!I8</f>
        <v>-3</v>
      </c>
      <c r="M8" s="4">
        <f>'CASH FLOW'!E8-'YTD CF'!J8</f>
        <v>-10</v>
      </c>
      <c r="N8" s="4">
        <f>'YTD CF'!K8</f>
        <v>-2</v>
      </c>
      <c r="O8" s="4">
        <f>'YTD CF'!L8-'YTD CF'!K8</f>
        <v>0</v>
      </c>
      <c r="P8" s="4">
        <f>'YTD CF'!M8-'YTD CF'!L8</f>
        <v>-3</v>
      </c>
      <c r="Q8" s="4">
        <f>'CASH FLOW'!F8-'YTD CF'!M8</f>
        <v>-1</v>
      </c>
      <c r="R8" s="4">
        <f>'YTD CF'!N8</f>
        <v>0</v>
      </c>
      <c r="S8" s="11">
        <f>'CF DRIVERS'!S8</f>
        <v>0</v>
      </c>
      <c r="T8" s="11">
        <f>'CF DRIVERS'!T8</f>
        <v>0</v>
      </c>
      <c r="U8" s="11">
        <f>'CF DRIVERS'!U8</f>
        <v>0</v>
      </c>
      <c r="V8" s="11">
        <f>'CF DRIVERS'!V8</f>
        <v>0</v>
      </c>
      <c r="W8" s="11">
        <f>'CF DRIVERS'!W8</f>
        <v>0</v>
      </c>
      <c r="X8" s="11">
        <f>'CF DRIVERS'!X8</f>
        <v>0</v>
      </c>
      <c r="Y8" s="11">
        <f>'CF DRIVERS'!Y8</f>
        <v>0</v>
      </c>
      <c r="Z8" s="11">
        <f>'CF DRIVERS'!Z8</f>
        <v>0</v>
      </c>
      <c r="AA8" s="11">
        <f>'CF DRIVERS'!AA8</f>
        <v>0</v>
      </c>
      <c r="AB8" s="11">
        <f>'CF DRIVERS'!AB8</f>
        <v>0</v>
      </c>
      <c r="AC8" s="11">
        <f>'CF DRIVERS'!AC8</f>
        <v>0</v>
      </c>
      <c r="AD8" s="11">
        <f>'CF DRIVERS'!AD8</f>
        <v>0</v>
      </c>
      <c r="AE8" s="11">
        <f>'CF DRIVERS'!AE8</f>
        <v>0</v>
      </c>
      <c r="AF8" s="11">
        <f>'CF DRIVERS'!AF8</f>
        <v>0</v>
      </c>
      <c r="AG8" s="11">
        <f>'CF DRIVERS'!AG8</f>
        <v>0</v>
      </c>
      <c r="AH8" s="11">
        <f>'CF DRIVERS'!AH8</f>
        <v>0</v>
      </c>
      <c r="AI8" s="11">
        <f>'CF DRIVERS'!AI8</f>
        <v>0</v>
      </c>
      <c r="AJ8" s="11">
        <f>'CF DRIVERS'!AJ8</f>
        <v>0</v>
      </c>
      <c r="AK8" s="11">
        <f>'CF DRIVERS'!AK8</f>
        <v>0</v>
      </c>
      <c r="AL8" s="11">
        <f>'CF DRIVERS'!AL8</f>
        <v>0</v>
      </c>
      <c r="AM8" s="11">
        <f>'CF DRIVERS'!AM8</f>
        <v>0</v>
      </c>
      <c r="AN8" s="11">
        <f>'CF DRIVERS'!AN8</f>
        <v>0</v>
      </c>
      <c r="AO8" s="11">
        <f>'CF DRIVERS'!AO8</f>
        <v>0</v>
      </c>
    </row>
    <row r="9" spans="1:41" x14ac:dyDescent="0.25">
      <c r="A9" s="3" t="s">
        <v>67</v>
      </c>
      <c r="B9" s="4">
        <f>'YTD CF'!B9</f>
        <v>103</v>
      </c>
      <c r="C9" s="4">
        <f>'YTD CF'!C9-'YTD CF'!B9</f>
        <v>120</v>
      </c>
      <c r="D9" s="4">
        <f>'YTD CF'!D9-'YTD CF'!C9</f>
        <v>123</v>
      </c>
      <c r="E9" s="4">
        <f>'CASH FLOW'!C9-'YTD CF'!D9</f>
        <v>171</v>
      </c>
      <c r="F9" s="4">
        <f>'YTD CF'!E9</f>
        <v>116</v>
      </c>
      <c r="G9" s="4">
        <f>'YTD CF'!F9-'YTD CF'!E9</f>
        <v>132</v>
      </c>
      <c r="H9" s="4">
        <f>'YTD CF'!G9-'YTD CF'!F9</f>
        <v>136</v>
      </c>
      <c r="I9" s="4">
        <f>'CASH FLOW'!D9-'YTD CF'!G9</f>
        <v>186</v>
      </c>
      <c r="J9" s="4">
        <f>'YTD CF'!H9</f>
        <v>127</v>
      </c>
      <c r="K9" s="4">
        <f>'YTD CF'!I9-'YTD CF'!H9</f>
        <v>151</v>
      </c>
      <c r="L9" s="4">
        <f>'YTD CF'!J9-'YTD CF'!I9</f>
        <v>160</v>
      </c>
      <c r="M9" s="4">
        <f>'CASH FLOW'!E9-'YTD CF'!J9</f>
        <v>217</v>
      </c>
      <c r="N9" s="4">
        <f>'YTD CF'!K9</f>
        <v>145</v>
      </c>
      <c r="O9" s="4">
        <f>'YTD CF'!L9-'YTD CF'!K9</f>
        <v>170</v>
      </c>
      <c r="P9" s="4">
        <f>'YTD CF'!M9-'YTD CF'!L9</f>
        <v>174</v>
      </c>
      <c r="Q9" s="4">
        <f>'CASH FLOW'!F9-'YTD CF'!M9</f>
        <v>238</v>
      </c>
      <c r="R9" s="4">
        <f>'YTD CF'!N9</f>
        <v>162</v>
      </c>
      <c r="S9" s="11">
        <f>'CF DRIVERS'!S9</f>
        <v>0</v>
      </c>
      <c r="T9" s="11">
        <f>'CF DRIVERS'!T9</f>
        <v>0</v>
      </c>
      <c r="U9" s="11">
        <f>'CF DRIVERS'!U9</f>
        <v>0</v>
      </c>
      <c r="V9" s="11">
        <f>'CF DRIVERS'!V9</f>
        <v>0</v>
      </c>
      <c r="W9" s="11">
        <f>'CF DRIVERS'!W9</f>
        <v>0</v>
      </c>
      <c r="X9" s="11">
        <f>'CF DRIVERS'!X9</f>
        <v>0</v>
      </c>
      <c r="Y9" s="11">
        <f>'CF DRIVERS'!Y9</f>
        <v>0</v>
      </c>
      <c r="Z9" s="11">
        <f>'CF DRIVERS'!Z9</f>
        <v>0</v>
      </c>
      <c r="AA9" s="11">
        <f>'CF DRIVERS'!AA9</f>
        <v>0</v>
      </c>
      <c r="AB9" s="11">
        <f>'CF DRIVERS'!AB9</f>
        <v>0</v>
      </c>
      <c r="AC9" s="11">
        <f>'CF DRIVERS'!AC9</f>
        <v>0</v>
      </c>
      <c r="AD9" s="11">
        <f>'CF DRIVERS'!AD9</f>
        <v>0</v>
      </c>
      <c r="AE9" s="11">
        <f>'CF DRIVERS'!AE9</f>
        <v>0</v>
      </c>
      <c r="AF9" s="11">
        <f>'CF DRIVERS'!AF9</f>
        <v>0</v>
      </c>
      <c r="AG9" s="11">
        <f>'CF DRIVERS'!AG9</f>
        <v>0</v>
      </c>
      <c r="AH9" s="11">
        <f>'CF DRIVERS'!AH9</f>
        <v>0</v>
      </c>
      <c r="AI9" s="11">
        <f>'CF DRIVERS'!AI9</f>
        <v>0</v>
      </c>
      <c r="AJ9" s="11">
        <f>'CF DRIVERS'!AJ9</f>
        <v>0</v>
      </c>
      <c r="AK9" s="11">
        <f>'CF DRIVERS'!AK9</f>
        <v>0</v>
      </c>
      <c r="AL9" s="11">
        <f>'CF DRIVERS'!AL9</f>
        <v>0</v>
      </c>
      <c r="AM9" s="11">
        <f>'CF DRIVERS'!AM9</f>
        <v>0</v>
      </c>
      <c r="AN9" s="11">
        <f>'CF DRIVERS'!AN9</f>
        <v>0</v>
      </c>
      <c r="AO9" s="11">
        <f>'CF DRIVERS'!AO9</f>
        <v>0</v>
      </c>
    </row>
    <row r="10" spans="1:41" x14ac:dyDescent="0.25">
      <c r="A10" s="3" t="s">
        <v>68</v>
      </c>
      <c r="B10" s="4">
        <f>'YTD CF'!B10</f>
        <v>81</v>
      </c>
      <c r="C10" s="4">
        <f>'YTD CF'!C10-'YTD CF'!B10</f>
        <v>75</v>
      </c>
      <c r="D10" s="4">
        <f>'YTD CF'!D10-'YTD CF'!C10</f>
        <v>77</v>
      </c>
      <c r="E10" s="4">
        <f>'CASH FLOW'!C10-'YTD CF'!D10</f>
        <v>110</v>
      </c>
      <c r="F10" s="4">
        <f>'YTD CF'!E10</f>
        <v>93</v>
      </c>
      <c r="G10" s="4">
        <f>'YTD CF'!F10-'YTD CF'!E10</f>
        <v>86</v>
      </c>
      <c r="H10" s="4">
        <f>'YTD CF'!G10-'YTD CF'!F10</f>
        <v>88</v>
      </c>
      <c r="I10" s="4">
        <f>'CASH FLOW'!D10-'YTD CF'!G10</f>
        <v>113</v>
      </c>
      <c r="J10" s="4">
        <f>'YTD CF'!H10</f>
        <v>97</v>
      </c>
      <c r="K10" s="4">
        <f>'YTD CF'!I10-'YTD CF'!H10</f>
        <v>86</v>
      </c>
      <c r="L10" s="4">
        <f>'YTD CF'!J10-'YTD CF'!I10</f>
        <v>77</v>
      </c>
      <c r="M10" s="4">
        <f>'CASH FLOW'!E10-'YTD CF'!J10</f>
        <v>102</v>
      </c>
      <c r="N10" s="4">
        <f>'YTD CF'!K10</f>
        <v>77</v>
      </c>
      <c r="O10" s="4">
        <f>'YTD CF'!L10-'YTD CF'!K10</f>
        <v>54</v>
      </c>
      <c r="P10" s="4">
        <f>'YTD CF'!M10-'YTD CF'!L10</f>
        <v>76</v>
      </c>
      <c r="Q10" s="4">
        <f>'CASH FLOW'!F10-'YTD CF'!M10</f>
        <v>81</v>
      </c>
      <c r="R10" s="4">
        <f>'YTD CF'!N10</f>
        <v>93</v>
      </c>
      <c r="S10" s="11">
        <f>'QTR P&amp;L'!S2*'CF DRIVERS'!S10</f>
        <v>117.94843462246777</v>
      </c>
      <c r="T10" s="11">
        <f>'QTR P&amp;L'!T2*'CF DRIVERS'!T10</f>
        <v>124.23355097940734</v>
      </c>
      <c r="U10" s="11">
        <f>'QTR P&amp;L'!U2*'CF DRIVERS'!U10</f>
        <v>152.29080863887495</v>
      </c>
      <c r="V10" s="11">
        <f>'QTR P&amp;L'!V2*'CF DRIVERS'!V10</f>
        <v>100.90959316926168</v>
      </c>
      <c r="W10" s="11">
        <f>'QTR P&amp;L'!W2*'CF DRIVERS'!W10</f>
        <v>127.97987691080088</v>
      </c>
      <c r="X10" s="11">
        <f>'QTR P&amp;L'!X2*'CF DRIVERS'!X10</f>
        <v>134.79953857316909</v>
      </c>
      <c r="Y10" s="11">
        <f>'QTR P&amp;L'!Y2*'CF DRIVERS'!Y10</f>
        <v>165.24304885125539</v>
      </c>
      <c r="Z10" s="11">
        <f>'QTR P&amp;L'!Z2*'CF DRIVERS'!Z10</f>
        <v>109.4918924041495</v>
      </c>
      <c r="AA10" s="11">
        <f>'QTR P&amp;L'!AA2*'CF DRIVERS'!AA10</f>
        <v>138.86448723571081</v>
      </c>
      <c r="AB10" s="11">
        <f>'QTR P&amp;L'!AB2*'CF DRIVERS'!AB10</f>
        <v>146.26415695508268</v>
      </c>
      <c r="AC10" s="11">
        <f>'QTR P&amp;L'!AC2*'CF DRIVERS'!AC10</f>
        <v>179.29686917880232</v>
      </c>
      <c r="AD10" s="11">
        <f>'QTR P&amp;L'!AD2*'CF DRIVERS'!AD10</f>
        <v>118.80411094446558</v>
      </c>
      <c r="AE10" s="11">
        <f>'QTR P&amp;L'!AE2*'CF DRIVERS'!AE10</f>
        <v>150.6748270173517</v>
      </c>
      <c r="AF10" s="11">
        <f>'QTR P&amp;L'!AF2*'CF DRIVERS'!AF10</f>
        <v>158.70383412454225</v>
      </c>
      <c r="AG10" s="11">
        <f>'QTR P&amp;L'!AG2*'CF DRIVERS'!AG10</f>
        <v>194.54595833715351</v>
      </c>
      <c r="AH10" s="11">
        <f>'QTR P&amp;L'!AH2*'CF DRIVERS'!AH10</f>
        <v>128.90832798109517</v>
      </c>
      <c r="AI10" s="11">
        <f>'QTR P&amp;L'!AI2*'CF DRIVERS'!AI10</f>
        <v>163.48962898032084</v>
      </c>
      <c r="AJ10" s="11">
        <f>'QTR P&amp;L'!AJ2*'CF DRIVERS'!AJ10</f>
        <v>172.20149823558654</v>
      </c>
      <c r="AK10" s="11">
        <f>'QTR P&amp;L'!AK2*'CF DRIVERS'!AK10</f>
        <v>211.09197320996014</v>
      </c>
      <c r="AL10" s="11">
        <f>'QTR P&amp;L'!AL2*'CF DRIVERS'!AL10</f>
        <v>139.87190250217276</v>
      </c>
      <c r="AM10" s="11">
        <f>'QTR P&amp;L'!AM2*'CF DRIVERS'!AM10</f>
        <v>177.39432201933022</v>
      </c>
      <c r="AN10" s="11">
        <f>'QTR P&amp;L'!AN2*'CF DRIVERS'!AN10</f>
        <v>186.84713043107925</v>
      </c>
      <c r="AO10" s="11">
        <f>'QTR P&amp;L'!AO2*'CF DRIVERS'!AO10</f>
        <v>229.04521653670713</v>
      </c>
    </row>
    <row r="11" spans="1:41" x14ac:dyDescent="0.25">
      <c r="A11" s="3" t="s">
        <v>69</v>
      </c>
      <c r="B11" s="4">
        <f>'YTD CF'!B11</f>
        <v>27</v>
      </c>
      <c r="C11" s="4">
        <f>'YTD CF'!C11-'YTD CF'!B11</f>
        <v>48</v>
      </c>
      <c r="D11" s="4">
        <f>'YTD CF'!D11-'YTD CF'!C11</f>
        <v>51</v>
      </c>
      <c r="E11" s="4">
        <f>'CASH FLOW'!C11-'YTD CF'!D11</f>
        <v>285</v>
      </c>
      <c r="F11" s="4">
        <f>'YTD CF'!E11</f>
        <v>112</v>
      </c>
      <c r="G11" s="4">
        <f>'YTD CF'!F11-'YTD CF'!E11</f>
        <v>92</v>
      </c>
      <c r="H11" s="4">
        <f>'YTD CF'!G11-'YTD CF'!F11</f>
        <v>83</v>
      </c>
      <c r="I11" s="4">
        <f>'CASH FLOW'!D11-'YTD CF'!G11</f>
        <v>158</v>
      </c>
      <c r="J11" s="4">
        <f>'YTD CF'!H11</f>
        <v>96</v>
      </c>
      <c r="K11" s="4">
        <f>'YTD CF'!I11-'YTD CF'!H11</f>
        <v>74</v>
      </c>
      <c r="L11" s="4">
        <f>'YTD CF'!J11-'YTD CF'!I11</f>
        <v>245</v>
      </c>
      <c r="M11" s="4">
        <f>'CASH FLOW'!E11-'YTD CF'!J11</f>
        <v>312</v>
      </c>
      <c r="N11" s="4">
        <f>'YTD CF'!K11</f>
        <v>213</v>
      </c>
      <c r="O11" s="4">
        <f>'YTD CF'!L11-'YTD CF'!K11</f>
        <v>213</v>
      </c>
      <c r="P11" s="4">
        <f>'YTD CF'!M11-'YTD CF'!L11</f>
        <v>141</v>
      </c>
      <c r="Q11" s="4">
        <f>'CASH FLOW'!F11-'YTD CF'!M11</f>
        <v>416</v>
      </c>
      <c r="R11" s="4">
        <f>'YTD CF'!N11</f>
        <v>133</v>
      </c>
      <c r="S11" s="11">
        <f>'CF DRIVERS'!S11</f>
        <v>0</v>
      </c>
      <c r="T11" s="11">
        <f>'CF DRIVERS'!T11</f>
        <v>0</v>
      </c>
      <c r="U11" s="11">
        <f>'CF DRIVERS'!U11</f>
        <v>0</v>
      </c>
      <c r="V11" s="11">
        <f>'CF DRIVERS'!V11</f>
        <v>0</v>
      </c>
      <c r="W11" s="11">
        <f>'CF DRIVERS'!W11</f>
        <v>0</v>
      </c>
      <c r="X11" s="11">
        <f>'CF DRIVERS'!X11</f>
        <v>0</v>
      </c>
      <c r="Y11" s="11">
        <f>'CF DRIVERS'!Y11</f>
        <v>0</v>
      </c>
      <c r="Z11" s="11">
        <f>'CF DRIVERS'!Z11</f>
        <v>0</v>
      </c>
      <c r="AA11" s="11">
        <f>'CF DRIVERS'!AA11</f>
        <v>0</v>
      </c>
      <c r="AB11" s="11">
        <f>'CF DRIVERS'!AB11</f>
        <v>0</v>
      </c>
      <c r="AC11" s="11">
        <f>'CF DRIVERS'!AC11</f>
        <v>0</v>
      </c>
      <c r="AD11" s="11">
        <f>'CF DRIVERS'!AD11</f>
        <v>0</v>
      </c>
      <c r="AE11" s="11">
        <f>'CF DRIVERS'!AE11</f>
        <v>0</v>
      </c>
      <c r="AF11" s="11">
        <f>'CF DRIVERS'!AF11</f>
        <v>0</v>
      </c>
      <c r="AG11" s="11">
        <f>'CF DRIVERS'!AG11</f>
        <v>0</v>
      </c>
      <c r="AH11" s="11">
        <f>'CF DRIVERS'!AH11</f>
        <v>0</v>
      </c>
      <c r="AI11" s="11">
        <f>'CF DRIVERS'!AI11</f>
        <v>0</v>
      </c>
      <c r="AJ11" s="11">
        <f>'CF DRIVERS'!AJ11</f>
        <v>0</v>
      </c>
      <c r="AK11" s="11">
        <f>'CF DRIVERS'!AK11</f>
        <v>0</v>
      </c>
      <c r="AL11" s="11">
        <f>'CF DRIVERS'!AL11</f>
        <v>0</v>
      </c>
      <c r="AM11" s="11">
        <f>'CF DRIVERS'!AM11</f>
        <v>0</v>
      </c>
      <c r="AN11" s="11">
        <f>'CF DRIVERS'!AN11</f>
        <v>0</v>
      </c>
      <c r="AO11" s="11">
        <f>'CF DRIVERS'!AO11</f>
        <v>0</v>
      </c>
    </row>
    <row r="12" spans="1:41" x14ac:dyDescent="0.25">
      <c r="A12" s="3" t="s">
        <v>70</v>
      </c>
      <c r="B12" s="4">
        <f>'YTD CF'!B12</f>
        <v>-32</v>
      </c>
      <c r="C12" s="4">
        <f>'YTD CF'!C12-'YTD CF'!B12</f>
        <v>-50</v>
      </c>
      <c r="D12" s="4">
        <f>'YTD CF'!D12-'YTD CF'!C12</f>
        <v>-52</v>
      </c>
      <c r="E12" s="4">
        <f>'CASH FLOW'!C12-'YTD CF'!D12</f>
        <v>-90</v>
      </c>
      <c r="F12" s="4">
        <f>'YTD CF'!E12</f>
        <v>-64</v>
      </c>
      <c r="G12" s="4">
        <f>'YTD CF'!F12-'YTD CF'!E12</f>
        <v>-123</v>
      </c>
      <c r="H12" s="4">
        <f>'YTD CF'!G12-'YTD CF'!F12</f>
        <v>-96</v>
      </c>
      <c r="I12" s="4">
        <f>'CASH FLOW'!D12-'YTD CF'!G12</f>
        <v>-151</v>
      </c>
      <c r="J12" s="4">
        <f>'YTD CF'!H12</f>
        <v>-60</v>
      </c>
      <c r="K12" s="4">
        <f>'YTD CF'!I12-'YTD CF'!H12</f>
        <v>-113</v>
      </c>
      <c r="L12" s="4">
        <f>'YTD CF'!J12-'YTD CF'!I12</f>
        <v>-111</v>
      </c>
      <c r="M12" s="4">
        <f>'CASH FLOW'!E12-'YTD CF'!J12</f>
        <v>-152</v>
      </c>
      <c r="N12" s="4">
        <f>'YTD CF'!K12</f>
        <v>-232</v>
      </c>
      <c r="O12" s="4">
        <f>'YTD CF'!L12-'YTD CF'!K12</f>
        <v>-155</v>
      </c>
      <c r="P12" s="4">
        <f>'YTD CF'!M12-'YTD CF'!L12</f>
        <v>-167</v>
      </c>
      <c r="Q12" s="4">
        <f>'CASH FLOW'!F12-'YTD CF'!M12</f>
        <v>-242</v>
      </c>
      <c r="R12" s="4">
        <f>'YTD CF'!N12</f>
        <v>-145</v>
      </c>
      <c r="S12" s="11">
        <f>'CF DRIVERS'!S12</f>
        <v>0</v>
      </c>
      <c r="T12" s="11">
        <f>'CF DRIVERS'!T12</f>
        <v>0</v>
      </c>
      <c r="U12" s="11">
        <f>'CF DRIVERS'!U12</f>
        <v>0</v>
      </c>
      <c r="V12" s="11">
        <f>'CF DRIVERS'!V12</f>
        <v>0</v>
      </c>
      <c r="W12" s="11">
        <f>'CF DRIVERS'!W12</f>
        <v>0</v>
      </c>
      <c r="X12" s="11">
        <f>'CF DRIVERS'!X12</f>
        <v>0</v>
      </c>
      <c r="Y12" s="11">
        <f>'CF DRIVERS'!Y12</f>
        <v>0</v>
      </c>
      <c r="Z12" s="11">
        <f>'CF DRIVERS'!Z12</f>
        <v>0</v>
      </c>
      <c r="AA12" s="11">
        <f>'CF DRIVERS'!AA12</f>
        <v>0</v>
      </c>
      <c r="AB12" s="11">
        <f>'CF DRIVERS'!AB12</f>
        <v>0</v>
      </c>
      <c r="AC12" s="11">
        <f>'CF DRIVERS'!AC12</f>
        <v>0</v>
      </c>
      <c r="AD12" s="11">
        <f>'CF DRIVERS'!AD12</f>
        <v>0</v>
      </c>
      <c r="AE12" s="11">
        <f>'CF DRIVERS'!AE12</f>
        <v>0</v>
      </c>
      <c r="AF12" s="11">
        <f>'CF DRIVERS'!AF12</f>
        <v>0</v>
      </c>
      <c r="AG12" s="11">
        <f>'CF DRIVERS'!AG12</f>
        <v>0</v>
      </c>
      <c r="AH12" s="11">
        <f>'CF DRIVERS'!AH12</f>
        <v>0</v>
      </c>
      <c r="AI12" s="11">
        <f>'CF DRIVERS'!AI12</f>
        <v>0</v>
      </c>
      <c r="AJ12" s="11">
        <f>'CF DRIVERS'!AJ12</f>
        <v>0</v>
      </c>
      <c r="AK12" s="11">
        <f>'CF DRIVERS'!AK12</f>
        <v>0</v>
      </c>
      <c r="AL12" s="11">
        <f>'CF DRIVERS'!AL12</f>
        <v>0</v>
      </c>
      <c r="AM12" s="11">
        <f>'CF DRIVERS'!AM12</f>
        <v>0</v>
      </c>
      <c r="AN12" s="11">
        <f>'CF DRIVERS'!AN12</f>
        <v>0</v>
      </c>
      <c r="AO12" s="11">
        <f>'CF DRIVERS'!AO12</f>
        <v>0</v>
      </c>
    </row>
    <row r="13" spans="1:41" x14ac:dyDescent="0.25">
      <c r="A13" s="3" t="s">
        <v>71</v>
      </c>
      <c r="B13" s="4">
        <f>'YTD CF'!B13</f>
        <v>56</v>
      </c>
      <c r="C13" s="4">
        <f>'YTD CF'!C13-'YTD CF'!B13</f>
        <v>8</v>
      </c>
      <c r="D13" s="4">
        <f>'YTD CF'!D13-'YTD CF'!C13</f>
        <v>5</v>
      </c>
      <c r="E13" s="4">
        <f>'CASH FLOW'!C13-'YTD CF'!D13</f>
        <v>11</v>
      </c>
      <c r="F13" s="4">
        <f>'YTD CF'!E13</f>
        <v>2</v>
      </c>
      <c r="G13" s="4">
        <f>'YTD CF'!F13-'YTD CF'!E13</f>
        <v>7</v>
      </c>
      <c r="H13" s="4">
        <f>'YTD CF'!G13-'YTD CF'!F13</f>
        <v>11</v>
      </c>
      <c r="I13" s="4">
        <f>'CASH FLOW'!D13-'YTD CF'!G13</f>
        <v>21</v>
      </c>
      <c r="J13" s="4">
        <f>'YTD CF'!H13</f>
        <v>0</v>
      </c>
      <c r="K13" s="4">
        <f>'YTD CF'!I13-'YTD CF'!H13</f>
        <v>0</v>
      </c>
      <c r="L13" s="4">
        <f>'YTD CF'!J13-'YTD CF'!I13</f>
        <v>0</v>
      </c>
      <c r="M13" s="4">
        <f>'CASH FLOW'!E13-'YTD CF'!J13</f>
        <v>0</v>
      </c>
      <c r="N13" s="4">
        <f>'YTD CF'!K13</f>
        <v>0</v>
      </c>
      <c r="O13" s="4">
        <f>'YTD CF'!L13-'YTD CF'!K13</f>
        <v>0</v>
      </c>
      <c r="P13" s="4">
        <f>'YTD CF'!M13-'YTD CF'!L13</f>
        <v>308</v>
      </c>
      <c r="Q13" s="4">
        <f>'CASH FLOW'!F13-'YTD CF'!M13</f>
        <v>145</v>
      </c>
      <c r="R13" s="4">
        <f>'YTD CF'!N13</f>
        <v>-113</v>
      </c>
      <c r="S13" s="11">
        <f>'CF DRIVERS'!S13</f>
        <v>0</v>
      </c>
      <c r="T13" s="11">
        <f>'CF DRIVERS'!T13</f>
        <v>0</v>
      </c>
      <c r="U13" s="11">
        <f>'CF DRIVERS'!U13</f>
        <v>0</v>
      </c>
      <c r="V13" s="11">
        <f>'CF DRIVERS'!V13</f>
        <v>0</v>
      </c>
      <c r="W13" s="11">
        <f>'CF DRIVERS'!W13</f>
        <v>0</v>
      </c>
      <c r="X13" s="11">
        <f>'CF DRIVERS'!X13</f>
        <v>0</v>
      </c>
      <c r="Y13" s="11">
        <f>'CF DRIVERS'!Y13</f>
        <v>0</v>
      </c>
      <c r="Z13" s="11">
        <f>'CF DRIVERS'!Z13</f>
        <v>0</v>
      </c>
      <c r="AA13" s="11">
        <f>'CF DRIVERS'!AA13</f>
        <v>0</v>
      </c>
      <c r="AB13" s="11">
        <f>'CF DRIVERS'!AB13</f>
        <v>0</v>
      </c>
      <c r="AC13" s="11">
        <f>'CF DRIVERS'!AC13</f>
        <v>0</v>
      </c>
      <c r="AD13" s="11">
        <f>'CF DRIVERS'!AD13</f>
        <v>0</v>
      </c>
      <c r="AE13" s="11">
        <f>'CF DRIVERS'!AE13</f>
        <v>0</v>
      </c>
      <c r="AF13" s="11">
        <f>'CF DRIVERS'!AF13</f>
        <v>0</v>
      </c>
      <c r="AG13" s="11">
        <f>'CF DRIVERS'!AG13</f>
        <v>0</v>
      </c>
      <c r="AH13" s="11">
        <f>'CF DRIVERS'!AH13</f>
        <v>0</v>
      </c>
      <c r="AI13" s="11">
        <f>'CF DRIVERS'!AI13</f>
        <v>0</v>
      </c>
      <c r="AJ13" s="11">
        <f>'CF DRIVERS'!AJ13</f>
        <v>0</v>
      </c>
      <c r="AK13" s="11">
        <f>'CF DRIVERS'!AK13</f>
        <v>0</v>
      </c>
      <c r="AL13" s="11">
        <f>'CF DRIVERS'!AL13</f>
        <v>0</v>
      </c>
      <c r="AM13" s="11">
        <f>'CF DRIVERS'!AM13</f>
        <v>0</v>
      </c>
      <c r="AN13" s="11">
        <f>'CF DRIVERS'!AN13</f>
        <v>0</v>
      </c>
      <c r="AO13" s="11">
        <f>'CF DRIVERS'!AO13</f>
        <v>0</v>
      </c>
    </row>
    <row r="14" spans="1:41" x14ac:dyDescent="0.25">
      <c r="A14" s="3" t="s">
        <v>72</v>
      </c>
      <c r="B14" s="4">
        <f>'YTD CF'!B14</f>
        <v>-17</v>
      </c>
      <c r="C14" s="4">
        <f>'YTD CF'!C14-'YTD CF'!B14</f>
        <v>-17</v>
      </c>
      <c r="D14" s="4">
        <f>'YTD CF'!D14-'YTD CF'!C14</f>
        <v>-7</v>
      </c>
      <c r="E14" s="4">
        <f>'CASH FLOW'!C14-'YTD CF'!D14</f>
        <v>-5</v>
      </c>
      <c r="F14" s="4">
        <f>'YTD CF'!E14</f>
        <v>-4</v>
      </c>
      <c r="G14" s="4">
        <f>'YTD CF'!F14-'YTD CF'!E14</f>
        <v>-6</v>
      </c>
      <c r="H14" s="4">
        <f>'YTD CF'!G14-'YTD CF'!F14</f>
        <v>-5</v>
      </c>
      <c r="I14" s="4">
        <f>'CASH FLOW'!D14-'YTD CF'!G14</f>
        <v>-26</v>
      </c>
      <c r="J14" s="4">
        <f>'YTD CF'!H14</f>
        <v>0</v>
      </c>
      <c r="K14" s="4">
        <f>'YTD CF'!I14-'YTD CF'!H14</f>
        <v>0</v>
      </c>
      <c r="L14" s="4">
        <f>'YTD CF'!J14-'YTD CF'!I14</f>
        <v>0</v>
      </c>
      <c r="M14" s="4">
        <f>'CASH FLOW'!E14-'YTD CF'!J14</f>
        <v>0</v>
      </c>
      <c r="N14" s="4">
        <f>'YTD CF'!K14</f>
        <v>0</v>
      </c>
      <c r="O14" s="4">
        <f>'YTD CF'!L14-'YTD CF'!K14</f>
        <v>0</v>
      </c>
      <c r="P14" s="4">
        <f>'YTD CF'!M14-'YTD CF'!L14</f>
        <v>-80</v>
      </c>
      <c r="Q14" s="4">
        <f>'CASH FLOW'!F14-'YTD CF'!M14</f>
        <v>-148</v>
      </c>
      <c r="R14" s="4">
        <f>'YTD CF'!N14</f>
        <v>-14</v>
      </c>
      <c r="S14" s="11">
        <f>'CF DRIVERS'!S14</f>
        <v>0</v>
      </c>
      <c r="T14" s="11">
        <f>'CF DRIVERS'!T14</f>
        <v>0</v>
      </c>
      <c r="U14" s="11">
        <f>'CF DRIVERS'!U14</f>
        <v>0</v>
      </c>
      <c r="V14" s="11">
        <f>'CF DRIVERS'!V14</f>
        <v>0</v>
      </c>
      <c r="W14" s="11">
        <f>'CF DRIVERS'!W14</f>
        <v>0</v>
      </c>
      <c r="X14" s="11">
        <f>'CF DRIVERS'!X14</f>
        <v>0</v>
      </c>
      <c r="Y14" s="11">
        <f>'CF DRIVERS'!Y14</f>
        <v>0</v>
      </c>
      <c r="Z14" s="11">
        <f>'CF DRIVERS'!Z14</f>
        <v>0</v>
      </c>
      <c r="AA14" s="11">
        <f>'CF DRIVERS'!AA14</f>
        <v>0</v>
      </c>
      <c r="AB14" s="11">
        <f>'CF DRIVERS'!AB14</f>
        <v>0</v>
      </c>
      <c r="AC14" s="11">
        <f>'CF DRIVERS'!AC14</f>
        <v>0</v>
      </c>
      <c r="AD14" s="11">
        <f>'CF DRIVERS'!AD14</f>
        <v>0</v>
      </c>
      <c r="AE14" s="11">
        <f>'CF DRIVERS'!AE14</f>
        <v>0</v>
      </c>
      <c r="AF14" s="11">
        <f>'CF DRIVERS'!AF14</f>
        <v>0</v>
      </c>
      <c r="AG14" s="11">
        <f>'CF DRIVERS'!AG14</f>
        <v>0</v>
      </c>
      <c r="AH14" s="11">
        <f>'CF DRIVERS'!AH14</f>
        <v>0</v>
      </c>
      <c r="AI14" s="11">
        <f>'CF DRIVERS'!AI14</f>
        <v>0</v>
      </c>
      <c r="AJ14" s="11">
        <f>'CF DRIVERS'!AJ14</f>
        <v>0</v>
      </c>
      <c r="AK14" s="11">
        <f>'CF DRIVERS'!AK14</f>
        <v>0</v>
      </c>
      <c r="AL14" s="11">
        <f>'CF DRIVERS'!AL14</f>
        <v>0</v>
      </c>
      <c r="AM14" s="11">
        <f>'CF DRIVERS'!AM14</f>
        <v>0</v>
      </c>
      <c r="AN14" s="11">
        <f>'CF DRIVERS'!AN14</f>
        <v>0</v>
      </c>
      <c r="AO14" s="11">
        <f>'CF DRIVERS'!AO14</f>
        <v>0</v>
      </c>
    </row>
    <row r="15" spans="1:41" x14ac:dyDescent="0.25">
      <c r="A15" s="3" t="s">
        <v>73</v>
      </c>
      <c r="B15" s="4">
        <f>'YTD CF'!B15</f>
        <v>-1</v>
      </c>
      <c r="C15" s="4">
        <f>'YTD CF'!C15-'YTD CF'!B15</f>
        <v>140</v>
      </c>
      <c r="D15" s="4">
        <f>'YTD CF'!D15-'YTD CF'!C15</f>
        <v>96</v>
      </c>
      <c r="E15" s="4">
        <f>'CASH FLOW'!C15-'YTD CF'!D15</f>
        <v>184</v>
      </c>
      <c r="F15" s="4">
        <f>'YTD CF'!E15</f>
        <v>30</v>
      </c>
      <c r="G15" s="4">
        <f>'YTD CF'!F15-'YTD CF'!E15</f>
        <v>32</v>
      </c>
      <c r="H15" s="4">
        <f>'YTD CF'!G15-'YTD CF'!F15</f>
        <v>31</v>
      </c>
      <c r="I15" s="4">
        <f>'CASH FLOW'!D15-'YTD CF'!G15</f>
        <v>57</v>
      </c>
      <c r="J15" s="4">
        <f>'YTD CF'!H15</f>
        <v>31</v>
      </c>
      <c r="K15" s="4">
        <f>'YTD CF'!I15-'YTD CF'!H15</f>
        <v>36</v>
      </c>
      <c r="L15" s="4">
        <f>'YTD CF'!J15-'YTD CF'!I15</f>
        <v>47</v>
      </c>
      <c r="M15" s="4">
        <f>'CASH FLOW'!E15-'YTD CF'!J15</f>
        <v>300</v>
      </c>
      <c r="N15" s="4">
        <f>'YTD CF'!K15</f>
        <v>48</v>
      </c>
      <c r="O15" s="4">
        <f>'YTD CF'!L15-'YTD CF'!K15</f>
        <v>51</v>
      </c>
      <c r="P15" s="4">
        <f>'YTD CF'!M15-'YTD CF'!L15</f>
        <v>65</v>
      </c>
      <c r="Q15" s="4">
        <f>'CASH FLOW'!F15-'YTD CF'!M15</f>
        <v>340</v>
      </c>
      <c r="R15" s="4">
        <f>'YTD CF'!N15</f>
        <v>13</v>
      </c>
      <c r="S15" s="11">
        <f>'CF DRIVERS'!S15</f>
        <v>0</v>
      </c>
      <c r="T15" s="11">
        <f>'CF DRIVERS'!T15</f>
        <v>0</v>
      </c>
      <c r="U15" s="11">
        <f>'CF DRIVERS'!U15</f>
        <v>0</v>
      </c>
      <c r="V15" s="11">
        <f>'CF DRIVERS'!V15</f>
        <v>0</v>
      </c>
      <c r="W15" s="11">
        <f>'CF DRIVERS'!W15</f>
        <v>0</v>
      </c>
      <c r="X15" s="11">
        <f>'CF DRIVERS'!X15</f>
        <v>0</v>
      </c>
      <c r="Y15" s="11">
        <f>'CF DRIVERS'!Y15</f>
        <v>0</v>
      </c>
      <c r="Z15" s="11">
        <f>'CF DRIVERS'!Z15</f>
        <v>0</v>
      </c>
      <c r="AA15" s="11">
        <f>'CF DRIVERS'!AA15</f>
        <v>0</v>
      </c>
      <c r="AB15" s="11">
        <f>'CF DRIVERS'!AB15</f>
        <v>0</v>
      </c>
      <c r="AC15" s="11">
        <f>'CF DRIVERS'!AC15</f>
        <v>0</v>
      </c>
      <c r="AD15" s="11">
        <f>'CF DRIVERS'!AD15</f>
        <v>0</v>
      </c>
      <c r="AE15" s="11">
        <f>'CF DRIVERS'!AE15</f>
        <v>0</v>
      </c>
      <c r="AF15" s="11">
        <f>'CF DRIVERS'!AF15</f>
        <v>0</v>
      </c>
      <c r="AG15" s="11">
        <f>'CF DRIVERS'!AG15</f>
        <v>0</v>
      </c>
      <c r="AH15" s="11">
        <f>'CF DRIVERS'!AH15</f>
        <v>0</v>
      </c>
      <c r="AI15" s="11">
        <f>'CF DRIVERS'!AI15</f>
        <v>0</v>
      </c>
      <c r="AJ15" s="11">
        <f>'CF DRIVERS'!AJ15</f>
        <v>0</v>
      </c>
      <c r="AK15" s="11">
        <f>'CF DRIVERS'!AK15</f>
        <v>0</v>
      </c>
      <c r="AL15" s="11">
        <f>'CF DRIVERS'!AL15</f>
        <v>0</v>
      </c>
      <c r="AM15" s="11">
        <f>'CF DRIVERS'!AM15</f>
        <v>0</v>
      </c>
      <c r="AN15" s="11">
        <f>'CF DRIVERS'!AN15</f>
        <v>0</v>
      </c>
      <c r="AO15" s="11">
        <f>'CF DRIVERS'!AO15</f>
        <v>0</v>
      </c>
    </row>
    <row r="16" spans="1:41" x14ac:dyDescent="0.25">
      <c r="A16" s="3" t="s">
        <v>74</v>
      </c>
      <c r="B16" s="4">
        <f>'YTD CF'!B16</f>
        <v>-178</v>
      </c>
      <c r="C16" s="4">
        <f>'YTD CF'!C16-'YTD CF'!B16</f>
        <v>-36</v>
      </c>
      <c r="D16" s="4">
        <f>'YTD CF'!D16-'YTD CF'!C16</f>
        <v>-121</v>
      </c>
      <c r="E16" s="4">
        <f>'CASH FLOW'!C16-'YTD CF'!D16</f>
        <v>-49</v>
      </c>
      <c r="F16" s="4">
        <f>'YTD CF'!E16</f>
        <v>-175</v>
      </c>
      <c r="G16" s="4">
        <f>'YTD CF'!F16-'YTD CF'!E16</f>
        <v>-34</v>
      </c>
      <c r="H16" s="4">
        <f>'YTD CF'!G16-'YTD CF'!F16</f>
        <v>-165</v>
      </c>
      <c r="I16" s="4">
        <f>'CASH FLOW'!D16-'YTD CF'!G16</f>
        <v>-36</v>
      </c>
      <c r="J16" s="4">
        <f>'YTD CF'!H16</f>
        <v>-218</v>
      </c>
      <c r="K16" s="4">
        <f>'YTD CF'!I16-'YTD CF'!H16</f>
        <v>-45</v>
      </c>
      <c r="L16" s="4">
        <f>'YTD CF'!J16-'YTD CF'!I16</f>
        <v>-37</v>
      </c>
      <c r="M16" s="4">
        <f>'CASH FLOW'!E16-'YTD CF'!J16</f>
        <v>-48</v>
      </c>
      <c r="N16" s="4">
        <f>'YTD CF'!K16</f>
        <v>-317</v>
      </c>
      <c r="O16" s="4">
        <f>'YTD CF'!L16-'YTD CF'!K16</f>
        <v>-37</v>
      </c>
      <c r="P16" s="4">
        <f>'YTD CF'!M16-'YTD CF'!L16</f>
        <v>-46</v>
      </c>
      <c r="Q16" s="4">
        <f>'CASH FLOW'!F16-'YTD CF'!M16</f>
        <v>-72</v>
      </c>
      <c r="R16" s="4">
        <f>'YTD CF'!N16</f>
        <v>-270</v>
      </c>
      <c r="S16" s="11">
        <f>'CF DRIVERS'!S16</f>
        <v>0</v>
      </c>
      <c r="T16" s="11">
        <f>'CF DRIVERS'!T16</f>
        <v>0</v>
      </c>
      <c r="U16" s="11">
        <f>'CF DRIVERS'!U16</f>
        <v>0</v>
      </c>
      <c r="V16" s="11">
        <f>'CF DRIVERS'!V16</f>
        <v>0</v>
      </c>
      <c r="W16" s="11">
        <f>'CF DRIVERS'!W16</f>
        <v>0</v>
      </c>
      <c r="X16" s="11">
        <f>'CF DRIVERS'!X16</f>
        <v>0</v>
      </c>
      <c r="Y16" s="11">
        <f>'CF DRIVERS'!Y16</f>
        <v>0</v>
      </c>
      <c r="Z16" s="11">
        <f>'CF DRIVERS'!Z16</f>
        <v>0</v>
      </c>
      <c r="AA16" s="11">
        <f>'CF DRIVERS'!AA16</f>
        <v>0</v>
      </c>
      <c r="AB16" s="11">
        <f>'CF DRIVERS'!AB16</f>
        <v>0</v>
      </c>
      <c r="AC16" s="11">
        <f>'CF DRIVERS'!AC16</f>
        <v>0</v>
      </c>
      <c r="AD16" s="11">
        <f>'CF DRIVERS'!AD16</f>
        <v>0</v>
      </c>
      <c r="AE16" s="11">
        <f>'CF DRIVERS'!AE16</f>
        <v>0</v>
      </c>
      <c r="AF16" s="11">
        <f>'CF DRIVERS'!AF16</f>
        <v>0</v>
      </c>
      <c r="AG16" s="11">
        <f>'CF DRIVERS'!AG16</f>
        <v>0</v>
      </c>
      <c r="AH16" s="11">
        <f>'CF DRIVERS'!AH16</f>
        <v>0</v>
      </c>
      <c r="AI16" s="11">
        <f>'CF DRIVERS'!AI16</f>
        <v>0</v>
      </c>
      <c r="AJ16" s="11">
        <f>'CF DRIVERS'!AJ16</f>
        <v>0</v>
      </c>
      <c r="AK16" s="11">
        <f>'CF DRIVERS'!AK16</f>
        <v>0</v>
      </c>
      <c r="AL16" s="11">
        <f>'CF DRIVERS'!AL16</f>
        <v>0</v>
      </c>
      <c r="AM16" s="11">
        <f>'CF DRIVERS'!AM16</f>
        <v>0</v>
      </c>
      <c r="AN16" s="11">
        <f>'CF DRIVERS'!AN16</f>
        <v>0</v>
      </c>
      <c r="AO16" s="11">
        <f>'CF DRIVERS'!AO16</f>
        <v>0</v>
      </c>
    </row>
    <row r="17" spans="1:41" x14ac:dyDescent="0.25">
      <c r="A17" s="3" t="s">
        <v>75</v>
      </c>
      <c r="B17" s="4">
        <f>'YTD CF'!B17</f>
        <v>257</v>
      </c>
      <c r="C17" s="4">
        <f>'YTD CF'!C17-'YTD CF'!B17</f>
        <v>-208</v>
      </c>
      <c r="D17" s="4">
        <f>'YTD CF'!D17-'YTD CF'!C17</f>
        <v>-371</v>
      </c>
      <c r="E17" s="4">
        <f>'CASH FLOW'!C17-'YTD CF'!D17</f>
        <v>-551</v>
      </c>
      <c r="F17" s="4">
        <f>'YTD CF'!E17</f>
        <v>78</v>
      </c>
      <c r="G17" s="4">
        <f>'YTD CF'!F17-'YTD CF'!E17</f>
        <v>192</v>
      </c>
      <c r="H17" s="4">
        <f>'YTD CF'!G17-'YTD CF'!F17</f>
        <v>73</v>
      </c>
      <c r="I17" s="4">
        <f>'CASH FLOW'!D17-'YTD CF'!G17</f>
        <v>-614</v>
      </c>
      <c r="J17" s="4">
        <f>'YTD CF'!H17</f>
        <v>116</v>
      </c>
      <c r="K17" s="4">
        <f>'YTD CF'!I17-'YTD CF'!H17</f>
        <v>26</v>
      </c>
      <c r="L17" s="4">
        <f>'YTD CF'!J17-'YTD CF'!I17</f>
        <v>-18</v>
      </c>
      <c r="M17" s="4">
        <f>'CASH FLOW'!E17-'YTD CF'!J17</f>
        <v>-166</v>
      </c>
      <c r="N17" s="4">
        <f>'YTD CF'!K17</f>
        <v>111</v>
      </c>
      <c r="O17" s="4">
        <f>'YTD CF'!L17-'YTD CF'!K17</f>
        <v>-371</v>
      </c>
      <c r="P17" s="4">
        <f>'YTD CF'!M17-'YTD CF'!L17</f>
        <v>290</v>
      </c>
      <c r="Q17" s="4">
        <f>'CASH FLOW'!F17-'YTD CF'!M17</f>
        <v>41</v>
      </c>
      <c r="R17" s="4">
        <f>'YTD CF'!N17</f>
        <v>226</v>
      </c>
      <c r="S17" s="11">
        <f>'CF DRIVERS'!S17</f>
        <v>226</v>
      </c>
      <c r="T17" s="11">
        <f>'CF DRIVERS'!T17</f>
        <v>226</v>
      </c>
      <c r="U17" s="11">
        <f>'CF DRIVERS'!U17</f>
        <v>226</v>
      </c>
      <c r="V17" s="11">
        <f>'CF DRIVERS'!V17</f>
        <v>226</v>
      </c>
      <c r="W17" s="11">
        <f>'CF DRIVERS'!W17</f>
        <v>226</v>
      </c>
      <c r="X17" s="11">
        <f>'CF DRIVERS'!X17</f>
        <v>226</v>
      </c>
      <c r="Y17" s="11">
        <f>'CF DRIVERS'!Y17</f>
        <v>226</v>
      </c>
      <c r="Z17" s="11">
        <f>'CF DRIVERS'!Z17</f>
        <v>226</v>
      </c>
      <c r="AA17" s="11">
        <f>'CF DRIVERS'!AA17</f>
        <v>226</v>
      </c>
      <c r="AB17" s="11">
        <f>'CF DRIVERS'!AB17</f>
        <v>226</v>
      </c>
      <c r="AC17" s="11">
        <f>'CF DRIVERS'!AC17</f>
        <v>226</v>
      </c>
      <c r="AD17" s="11">
        <f>'CF DRIVERS'!AD17</f>
        <v>226</v>
      </c>
      <c r="AE17" s="11">
        <f>'CF DRIVERS'!AE17</f>
        <v>226</v>
      </c>
      <c r="AF17" s="11">
        <f>'CF DRIVERS'!AF17</f>
        <v>226</v>
      </c>
      <c r="AG17" s="11">
        <f>'CF DRIVERS'!AG17</f>
        <v>226</v>
      </c>
      <c r="AH17" s="11">
        <f>'CF DRIVERS'!AH17</f>
        <v>226</v>
      </c>
      <c r="AI17" s="11">
        <f>'CF DRIVERS'!AI17</f>
        <v>226</v>
      </c>
      <c r="AJ17" s="11">
        <f>'CF DRIVERS'!AJ17</f>
        <v>226</v>
      </c>
      <c r="AK17" s="11">
        <f>'CF DRIVERS'!AK17</f>
        <v>226</v>
      </c>
      <c r="AL17" s="11">
        <f>'CF DRIVERS'!AL17</f>
        <v>226</v>
      </c>
      <c r="AM17" s="11">
        <f>'CF DRIVERS'!AM17</f>
        <v>226</v>
      </c>
      <c r="AN17" s="11">
        <f>'CF DRIVERS'!AN17</f>
        <v>226</v>
      </c>
      <c r="AO17" s="11">
        <f>'CF DRIVERS'!AO17</f>
        <v>226</v>
      </c>
    </row>
    <row r="18" spans="1:41" x14ac:dyDescent="0.25">
      <c r="A18" s="3" t="s">
        <v>76</v>
      </c>
      <c r="B18" s="4">
        <f>'YTD CF'!B18</f>
        <v>0</v>
      </c>
      <c r="C18" s="4">
        <f>'YTD CF'!C18-'YTD CF'!B18</f>
        <v>0</v>
      </c>
      <c r="D18" s="4">
        <f>'YTD CF'!D18-'YTD CF'!C18</f>
        <v>86</v>
      </c>
      <c r="E18" s="4">
        <f>'CASH FLOW'!C18-'YTD CF'!D18</f>
        <v>0</v>
      </c>
      <c r="F18" s="4">
        <f>'YTD CF'!E18</f>
        <v>0</v>
      </c>
      <c r="G18" s="4">
        <f>'YTD CF'!F18-'YTD CF'!E18</f>
        <v>0</v>
      </c>
      <c r="H18" s="4">
        <f>'YTD CF'!G18-'YTD CF'!F18</f>
        <v>0</v>
      </c>
      <c r="I18" s="4">
        <f>'CASH FLOW'!D18-'YTD CF'!G18</f>
        <v>0</v>
      </c>
      <c r="J18" s="4">
        <f>'YTD CF'!H18</f>
        <v>0</v>
      </c>
      <c r="K18" s="4">
        <f>'YTD CF'!I18-'YTD CF'!H18</f>
        <v>0</v>
      </c>
      <c r="L18" s="4">
        <f>'YTD CF'!J18-'YTD CF'!I18</f>
        <v>0</v>
      </c>
      <c r="M18" s="4">
        <f>'CASH FLOW'!E18-'YTD CF'!J18</f>
        <v>0</v>
      </c>
      <c r="N18" s="4">
        <f>'YTD CF'!K18</f>
        <v>0</v>
      </c>
      <c r="O18" s="4">
        <f>'YTD CF'!L18-'YTD CF'!K18</f>
        <v>0</v>
      </c>
      <c r="P18" s="4">
        <f>'YTD CF'!M18-'YTD CF'!L18</f>
        <v>0</v>
      </c>
      <c r="Q18" s="4">
        <f>'CASH FLOW'!F18-'YTD CF'!M18</f>
        <v>0</v>
      </c>
      <c r="R18" s="4">
        <f>'YTD CF'!N18</f>
        <v>0</v>
      </c>
      <c r="S18" s="11">
        <f>'CF DRIVERS'!S18</f>
        <v>0</v>
      </c>
      <c r="T18" s="11">
        <f>'CF DRIVERS'!T18</f>
        <v>0</v>
      </c>
      <c r="U18" s="11">
        <f>'CF DRIVERS'!U18</f>
        <v>0</v>
      </c>
      <c r="V18" s="11">
        <f>'CF DRIVERS'!V18</f>
        <v>0</v>
      </c>
      <c r="W18" s="11">
        <f>'CF DRIVERS'!W18</f>
        <v>0</v>
      </c>
      <c r="X18" s="11">
        <f>'CF DRIVERS'!X18</f>
        <v>0</v>
      </c>
      <c r="Y18" s="11">
        <f>'CF DRIVERS'!Y18</f>
        <v>0</v>
      </c>
      <c r="Z18" s="11">
        <f>'CF DRIVERS'!Z18</f>
        <v>0</v>
      </c>
      <c r="AA18" s="11">
        <f>'CF DRIVERS'!AA18</f>
        <v>0</v>
      </c>
      <c r="AB18" s="11">
        <f>'CF DRIVERS'!AB18</f>
        <v>0</v>
      </c>
      <c r="AC18" s="11">
        <f>'CF DRIVERS'!AC18</f>
        <v>0</v>
      </c>
      <c r="AD18" s="11">
        <f>'CF DRIVERS'!AD18</f>
        <v>0</v>
      </c>
      <c r="AE18" s="11">
        <f>'CF DRIVERS'!AE18</f>
        <v>0</v>
      </c>
      <c r="AF18" s="11">
        <f>'CF DRIVERS'!AF18</f>
        <v>0</v>
      </c>
      <c r="AG18" s="11">
        <f>'CF DRIVERS'!AG18</f>
        <v>0</v>
      </c>
      <c r="AH18" s="11">
        <f>'CF DRIVERS'!AH18</f>
        <v>0</v>
      </c>
      <c r="AI18" s="11">
        <f>'CF DRIVERS'!AI18</f>
        <v>0</v>
      </c>
      <c r="AJ18" s="11">
        <f>'CF DRIVERS'!AJ18</f>
        <v>0</v>
      </c>
      <c r="AK18" s="11">
        <f>'CF DRIVERS'!AK18</f>
        <v>0</v>
      </c>
      <c r="AL18" s="11">
        <f>'CF DRIVERS'!AL18</f>
        <v>0</v>
      </c>
      <c r="AM18" s="11">
        <f>'CF DRIVERS'!AM18</f>
        <v>0</v>
      </c>
      <c r="AN18" s="11">
        <f>'CF DRIVERS'!AN18</f>
        <v>0</v>
      </c>
      <c r="AO18" s="11">
        <f>'CF DRIVERS'!AO18</f>
        <v>0</v>
      </c>
    </row>
    <row r="19" spans="1:41" x14ac:dyDescent="0.25">
      <c r="A19" s="3" t="s">
        <v>77</v>
      </c>
      <c r="B19" s="4">
        <f>'YTD CF'!B19</f>
        <v>0</v>
      </c>
      <c r="C19" s="4">
        <f>'YTD CF'!C19-'YTD CF'!B19</f>
        <v>-309</v>
      </c>
      <c r="D19" s="4">
        <f>'YTD CF'!D19-'YTD CF'!C19</f>
        <v>0</v>
      </c>
      <c r="E19" s="4">
        <f>'CASH FLOW'!C19-'YTD CF'!D19</f>
        <v>0</v>
      </c>
      <c r="F19" s="4">
        <f>'YTD CF'!E19</f>
        <v>0</v>
      </c>
      <c r="G19" s="4">
        <f>'YTD CF'!F19-'YTD CF'!E19</f>
        <v>-309</v>
      </c>
      <c r="H19" s="4">
        <f>'YTD CF'!G19-'YTD CF'!F19</f>
        <v>0</v>
      </c>
      <c r="I19" s="4">
        <f>'CASH FLOW'!D19-'YTD CF'!G19</f>
        <v>0</v>
      </c>
      <c r="J19" s="4">
        <f>'YTD CF'!H19</f>
        <v>0</v>
      </c>
      <c r="K19" s="4">
        <f>'YTD CF'!I19-'YTD CF'!H19</f>
        <v>-579</v>
      </c>
      <c r="L19" s="4">
        <f>'YTD CF'!J19-'YTD CF'!I19</f>
        <v>0</v>
      </c>
      <c r="M19" s="4">
        <f>'CASH FLOW'!E19-'YTD CF'!J19</f>
        <v>0</v>
      </c>
      <c r="N19" s="4">
        <f>'YTD CF'!K19</f>
        <v>0</v>
      </c>
      <c r="O19" s="4">
        <f>'YTD CF'!L19-'YTD CF'!K19</f>
        <v>-772</v>
      </c>
      <c r="P19" s="4">
        <f>'YTD CF'!M19-'YTD CF'!L19</f>
        <v>0</v>
      </c>
      <c r="Q19" s="4">
        <f>'CASH FLOW'!F19-'YTD CF'!M19</f>
        <v>0</v>
      </c>
      <c r="R19" s="4">
        <f>'YTD CF'!N19</f>
        <v>0</v>
      </c>
      <c r="S19" s="11">
        <f>'CF DRIVERS'!S19</f>
        <v>0</v>
      </c>
      <c r="T19" s="11">
        <f>'CF DRIVERS'!T19</f>
        <v>0</v>
      </c>
      <c r="U19" s="11">
        <f>'CF DRIVERS'!U19</f>
        <v>0</v>
      </c>
      <c r="V19" s="11">
        <f>'CF DRIVERS'!V19</f>
        <v>0</v>
      </c>
      <c r="W19" s="11">
        <f>'CF DRIVERS'!W19</f>
        <v>0</v>
      </c>
      <c r="X19" s="11">
        <f>'CF DRIVERS'!X19</f>
        <v>0</v>
      </c>
      <c r="Y19" s="11">
        <f>'CF DRIVERS'!Y19</f>
        <v>0</v>
      </c>
      <c r="Z19" s="11">
        <f>'CF DRIVERS'!Z19</f>
        <v>0</v>
      </c>
      <c r="AA19" s="11">
        <f>'CF DRIVERS'!AA19</f>
        <v>0</v>
      </c>
      <c r="AB19" s="11">
        <f>'CF DRIVERS'!AB19</f>
        <v>0</v>
      </c>
      <c r="AC19" s="11">
        <f>'CF DRIVERS'!AC19</f>
        <v>0</v>
      </c>
      <c r="AD19" s="11">
        <f>'CF DRIVERS'!AD19</f>
        <v>0</v>
      </c>
      <c r="AE19" s="11">
        <f>'CF DRIVERS'!AE19</f>
        <v>0</v>
      </c>
      <c r="AF19" s="11">
        <f>'CF DRIVERS'!AF19</f>
        <v>0</v>
      </c>
      <c r="AG19" s="11">
        <f>'CF DRIVERS'!AG19</f>
        <v>0</v>
      </c>
      <c r="AH19" s="11">
        <f>'CF DRIVERS'!AH19</f>
        <v>0</v>
      </c>
      <c r="AI19" s="11">
        <f>'CF DRIVERS'!AI19</f>
        <v>0</v>
      </c>
      <c r="AJ19" s="11">
        <f>'CF DRIVERS'!AJ19</f>
        <v>0</v>
      </c>
      <c r="AK19" s="11">
        <f>'CF DRIVERS'!AK19</f>
        <v>0</v>
      </c>
      <c r="AL19" s="11">
        <f>'CF DRIVERS'!AL19</f>
        <v>0</v>
      </c>
      <c r="AM19" s="11">
        <f>'CF DRIVERS'!AM19</f>
        <v>0</v>
      </c>
      <c r="AN19" s="11">
        <f>'CF DRIVERS'!AN19</f>
        <v>0</v>
      </c>
      <c r="AO19" s="11">
        <f>'CF DRIVERS'!AO19</f>
        <v>0</v>
      </c>
    </row>
    <row r="20" spans="1:41" x14ac:dyDescent="0.25">
      <c r="A20" s="3" t="s">
        <v>36</v>
      </c>
      <c r="B20" s="4">
        <f>'YTD CF'!B20</f>
        <v>-837</v>
      </c>
      <c r="C20" s="4">
        <f>'YTD CF'!C20-'YTD CF'!B20</f>
        <v>-916</v>
      </c>
      <c r="D20" s="4">
        <f>'YTD CF'!D20-'YTD CF'!C20</f>
        <v>-505</v>
      </c>
      <c r="E20" s="4">
        <f>'CASH FLOW'!C20-'YTD CF'!D20</f>
        <v>495</v>
      </c>
      <c r="F20" s="4">
        <f>'YTD CF'!E20</f>
        <v>-348</v>
      </c>
      <c r="G20" s="4">
        <f>'YTD CF'!F20-'YTD CF'!E20</f>
        <v>-982</v>
      </c>
      <c r="H20" s="4">
        <f>'YTD CF'!G20-'YTD CF'!F20</f>
        <v>-369</v>
      </c>
      <c r="I20" s="4">
        <f>'CASH FLOW'!D20-'YTD CF'!G20</f>
        <v>906</v>
      </c>
      <c r="J20" s="4">
        <f>'YTD CF'!H20</f>
        <v>-96</v>
      </c>
      <c r="K20" s="4">
        <f>'YTD CF'!I20-'YTD CF'!H20</f>
        <v>-1042</v>
      </c>
      <c r="L20" s="4">
        <f>'YTD CF'!J20-'YTD CF'!I20</f>
        <v>-383</v>
      </c>
      <c r="M20" s="4">
        <f>'CASH FLOW'!E20-'YTD CF'!J20</f>
        <v>1383</v>
      </c>
      <c r="N20" s="4">
        <f>'YTD CF'!K20</f>
        <v>-318</v>
      </c>
      <c r="O20" s="4">
        <f>'YTD CF'!L20-'YTD CF'!K20</f>
        <v>-1264</v>
      </c>
      <c r="P20" s="4">
        <f>'YTD CF'!M20-'YTD CF'!L20</f>
        <v>-165</v>
      </c>
      <c r="Q20" s="4">
        <f>'CASH FLOW'!F20-'YTD CF'!M20</f>
        <v>1167</v>
      </c>
      <c r="R20" s="4">
        <f>'YTD CF'!N20</f>
        <v>-530</v>
      </c>
      <c r="S20" s="11">
        <f>'CF DRIVERS'!S20</f>
        <v>-3265.0257826887664</v>
      </c>
      <c r="T20" s="11">
        <f>'CF DRIVERS'!T20</f>
        <v>-822.5392600033465</v>
      </c>
      <c r="U20" s="11">
        <f>'CF DRIVERS'!U20</f>
        <v>-3671.8804620793599</v>
      </c>
      <c r="V20" s="11">
        <f>'CF DRIVERS'!V20</f>
        <v>6724.3093922651933</v>
      </c>
      <c r="W20" s="11">
        <f>'CF DRIVERS'!W20</f>
        <v>-3542.7142303040164</v>
      </c>
      <c r="X20" s="11">
        <f>'CF DRIVERS'!X20</f>
        <v>-892.49572142670149</v>
      </c>
      <c r="Y20" s="11">
        <f>'CF DRIVERS'!Y20</f>
        <v>-3984.1716515547159</v>
      </c>
      <c r="Z20" s="11">
        <f>'CF DRIVERS'!Z20</f>
        <v>7296.2077969647944</v>
      </c>
      <c r="AA20" s="11">
        <f>'CF DRIVERS'!AA20</f>
        <v>-3844.0199106982</v>
      </c>
      <c r="AB20" s="11">
        <f>'CF DRIVERS'!AB20</f>
        <v>-968.40193714489578</v>
      </c>
      <c r="AC20" s="11">
        <f>'CF DRIVERS'!AC20</f>
        <v>-4323.023015859053</v>
      </c>
      <c r="AD20" s="11">
        <f>'CF DRIVERS'!AD20</f>
        <v>7916.7458115065892</v>
      </c>
      <c r="AE20" s="11">
        <f>'CF DRIVERS'!AE20</f>
        <v>-4170.9514550870626</v>
      </c>
      <c r="AF20" s="11">
        <f>'CF DRIVERS'!AF20</f>
        <v>-1050.7639301249073</v>
      </c>
      <c r="AG20" s="11">
        <f>'CF DRIVERS'!AG20</f>
        <v>-4690.6934816310932</v>
      </c>
      <c r="AH20" s="11">
        <f>'CF DRIVERS'!AH20</f>
        <v>8590.0602049847985</v>
      </c>
      <c r="AI20" s="11">
        <f>'CF DRIVERS'!AI20</f>
        <v>-4525.6883275438267</v>
      </c>
      <c r="AJ20" s="11">
        <f>'CF DRIVERS'!AJ20</f>
        <v>-1140.1307602778361</v>
      </c>
      <c r="AK20" s="11">
        <f>'CF DRIVERS'!AK20</f>
        <v>-5089.6340958397996</v>
      </c>
      <c r="AL20" s="11">
        <f>'CF DRIVERS'!AL20</f>
        <v>9320.639576177211</v>
      </c>
      <c r="AM20" s="11">
        <f>'CF DRIVERS'!AM20</f>
        <v>-4910.5953542292846</v>
      </c>
      <c r="AN20" s="11">
        <f>'CF DRIVERS'!AN20</f>
        <v>-1237.0981847247058</v>
      </c>
      <c r="AO20" s="11">
        <f>'CF DRIVERS'!AO20</f>
        <v>-5522.5043655010413</v>
      </c>
    </row>
    <row r="21" spans="1:41" x14ac:dyDescent="0.25">
      <c r="A21" s="3" t="s">
        <v>37</v>
      </c>
      <c r="B21" s="4">
        <f>'YTD CF'!B21</f>
        <v>-549</v>
      </c>
      <c r="C21" s="4">
        <f>'YTD CF'!C21-'YTD CF'!B21</f>
        <v>-441</v>
      </c>
      <c r="D21" s="4">
        <f>'YTD CF'!D21-'YTD CF'!C21</f>
        <v>153</v>
      </c>
      <c r="E21" s="4">
        <f>'CASH FLOW'!C21-'YTD CF'!D21</f>
        <v>-305</v>
      </c>
      <c r="F21" s="4">
        <f>'YTD CF'!E21</f>
        <v>-542</v>
      </c>
      <c r="G21" s="4">
        <f>'YTD CF'!F21-'YTD CF'!E21</f>
        <v>-309</v>
      </c>
      <c r="H21" s="4">
        <f>'YTD CF'!G21-'YTD CF'!F21</f>
        <v>378</v>
      </c>
      <c r="I21" s="4">
        <f>'CASH FLOW'!D21-'YTD CF'!G21</f>
        <v>212</v>
      </c>
      <c r="J21" s="4">
        <f>'YTD CF'!H21</f>
        <v>-291</v>
      </c>
      <c r="K21" s="4">
        <f>'YTD CF'!I21-'YTD CF'!H21</f>
        <v>-405</v>
      </c>
      <c r="L21" s="4">
        <f>'YTD CF'!J21-'YTD CF'!I21</f>
        <v>204</v>
      </c>
      <c r="M21" s="4">
        <f>'CASH FLOW'!E21-'YTD CF'!J21</f>
        <v>178</v>
      </c>
      <c r="N21" s="4">
        <f>'YTD CF'!K21</f>
        <v>-238</v>
      </c>
      <c r="O21" s="4">
        <f>'YTD CF'!L21-'YTD CF'!K21</f>
        <v>-562</v>
      </c>
      <c r="P21" s="4">
        <f>'YTD CF'!M21-'YTD CF'!L21</f>
        <v>351</v>
      </c>
      <c r="Q21" s="4">
        <f>'CASH FLOW'!F21-'YTD CF'!M21</f>
        <v>299</v>
      </c>
      <c r="R21" s="4">
        <f>'YTD CF'!N21</f>
        <v>-315</v>
      </c>
      <c r="S21" s="11">
        <f>'CF DRIVERS'!S21</f>
        <v>-1666.1798649478224</v>
      </c>
      <c r="T21" s="11">
        <f>'CF DRIVERS'!T21</f>
        <v>-419.75115798872685</v>
      </c>
      <c r="U21" s="11">
        <f>'CF DRIVERS'!U21</f>
        <v>-1873.8024443328304</v>
      </c>
      <c r="V21" s="11">
        <f>'CF DRIVERS'!V21</f>
        <v>3431.4917127071822</v>
      </c>
      <c r="W21" s="11">
        <f>'CF DRIVERS'!W21</f>
        <v>-1807.8874442870965</v>
      </c>
      <c r="X21" s="11">
        <f>'CF DRIVERS'!X21</f>
        <v>-455.45073747278366</v>
      </c>
      <c r="Y21" s="11">
        <f>'CF DRIVERS'!Y21</f>
        <v>-2033.1681971741309</v>
      </c>
      <c r="Z21" s="11">
        <f>'CF DRIVERS'!Z21</f>
        <v>3723.3379859459656</v>
      </c>
      <c r="AA21" s="11">
        <f>'CF DRIVERS'!AA21</f>
        <v>-1961.6471666540565</v>
      </c>
      <c r="AB21" s="11">
        <f>'CF DRIVERS'!AB21</f>
        <v>-494.18654437654732</v>
      </c>
      <c r="AC21" s="11">
        <f>'CF DRIVERS'!AC21</f>
        <v>-2206.087909908847</v>
      </c>
      <c r="AD21" s="11">
        <f>'CF DRIVERS'!AD21</f>
        <v>4040.0056063813518</v>
      </c>
      <c r="AE21" s="11">
        <f>'CF DRIVERS'!AE21</f>
        <v>-2128.4840594483412</v>
      </c>
      <c r="AF21" s="11">
        <f>'CF DRIVERS'!AF21</f>
        <v>-536.21680798667148</v>
      </c>
      <c r="AG21" s="11">
        <f>'CF DRIVERS'!AG21</f>
        <v>-2393.7143385433192</v>
      </c>
      <c r="AH21" s="11">
        <f>'CF DRIVERS'!AH21</f>
        <v>4383.6056144245013</v>
      </c>
      <c r="AI21" s="11">
        <f>'CF DRIVERS'!AI21</f>
        <v>-2309.5103280235562</v>
      </c>
      <c r="AJ21" s="11">
        <f>'CF DRIVERS'!AJ21</f>
        <v>-581.82171983285298</v>
      </c>
      <c r="AK21" s="11">
        <f>'CF DRIVERS'!AK21</f>
        <v>-2597.2982802777915</v>
      </c>
      <c r="AL21" s="11">
        <f>'CF DRIVERS'!AL21</f>
        <v>4756.4285931835238</v>
      </c>
      <c r="AM21" s="11">
        <f>'CF DRIVERS'!AM21</f>
        <v>-2505.9327701189777</v>
      </c>
      <c r="AN21" s="11">
        <f>'CF DRIVERS'!AN21</f>
        <v>-631.30530156315399</v>
      </c>
      <c r="AO21" s="11">
        <f>'CF DRIVERS'!AO21</f>
        <v>-2818.1969118500529</v>
      </c>
    </row>
    <row r="22" spans="1:41" x14ac:dyDescent="0.25">
      <c r="A22" s="3" t="s">
        <v>38</v>
      </c>
      <c r="B22" s="4">
        <f>'YTD CF'!B22</f>
        <v>-190</v>
      </c>
      <c r="C22" s="4">
        <f>'YTD CF'!C22-'YTD CF'!B22</f>
        <v>4</v>
      </c>
      <c r="D22" s="4">
        <f>'YTD CF'!D22-'YTD CF'!C22</f>
        <v>62</v>
      </c>
      <c r="E22" s="4">
        <f>'CASH FLOW'!C22-'YTD CF'!D22</f>
        <v>242</v>
      </c>
      <c r="F22" s="4">
        <f>'YTD CF'!E22</f>
        <v>-288</v>
      </c>
      <c r="G22" s="4">
        <f>'YTD CF'!F22-'YTD CF'!E22</f>
        <v>17</v>
      </c>
      <c r="H22" s="4">
        <f>'YTD CF'!G22-'YTD CF'!F22</f>
        <v>29</v>
      </c>
      <c r="I22" s="4">
        <f>'CASH FLOW'!D22-'YTD CF'!G22</f>
        <v>229</v>
      </c>
      <c r="J22" s="4">
        <f>'YTD CF'!H22</f>
        <v>-342</v>
      </c>
      <c r="K22" s="4">
        <f>'YTD CF'!I22-'YTD CF'!H22</f>
        <v>-23</v>
      </c>
      <c r="L22" s="4">
        <f>'YTD CF'!J22-'YTD CF'!I22</f>
        <v>165</v>
      </c>
      <c r="M22" s="4">
        <f>'CASH FLOW'!E22-'YTD CF'!J22</f>
        <v>240</v>
      </c>
      <c r="N22" s="4">
        <f>'YTD CF'!K22</f>
        <v>-307</v>
      </c>
      <c r="O22" s="4">
        <f>'YTD CF'!L22-'YTD CF'!K22</f>
        <v>-47</v>
      </c>
      <c r="P22" s="4">
        <f>'YTD CF'!M22-'YTD CF'!L22</f>
        <v>131</v>
      </c>
      <c r="Q22" s="4">
        <f>'CASH FLOW'!F22-'YTD CF'!M22</f>
        <v>418</v>
      </c>
      <c r="R22" s="4">
        <f>'YTD CF'!N22</f>
        <v>-406</v>
      </c>
      <c r="S22" s="11">
        <f>'CF DRIVERS'!S22</f>
        <v>-457.65623081645163</v>
      </c>
      <c r="T22" s="11">
        <f>'CF DRIVERS'!T22</f>
        <v>-115.29471510686972</v>
      </c>
      <c r="U22" s="11">
        <f>'CF DRIVERS'!U22</f>
        <v>-514.6847480328147</v>
      </c>
      <c r="V22" s="11">
        <f>'CF DRIVERS'!V22</f>
        <v>942.54143646408852</v>
      </c>
      <c r="W22" s="11">
        <f>'CF DRIVERS'!W22</f>
        <v>-496.57961358135367</v>
      </c>
      <c r="X22" s="11">
        <f>'CF DRIVERS'!X22</f>
        <v>-125.10046017204422</v>
      </c>
      <c r="Y22" s="11">
        <f>'CF DRIVERS'!Y22</f>
        <v>-558.45837133779878</v>
      </c>
      <c r="Z22" s="11">
        <f>'CF DRIVERS'!Z22</f>
        <v>1022.7040096641147</v>
      </c>
      <c r="AA22" s="11">
        <f>'CF DRIVERS'!AA22</f>
        <v>-538.81340626498445</v>
      </c>
      <c r="AB22" s="11">
        <f>'CF DRIVERS'!AB22</f>
        <v>-135.74017786288641</v>
      </c>
      <c r="AC22" s="11">
        <f>'CF DRIVERS'!AC22</f>
        <v>-605.95491455554566</v>
      </c>
      <c r="AD22" s="11">
        <f>'CF DRIVERS'!AD22</f>
        <v>1109.684360728801</v>
      </c>
      <c r="AE22" s="11">
        <f>'CF DRIVERS'!AE22</f>
        <v>-584.6391572079965</v>
      </c>
      <c r="AF22" s="11">
        <f>'CF DRIVERS'!AF22</f>
        <v>-147.2847970415819</v>
      </c>
      <c r="AG22" s="11">
        <f>'CF DRIVERS'!AG22</f>
        <v>-657.49100974962175</v>
      </c>
      <c r="AH22" s="11">
        <f>'CF DRIVERS'!AH22</f>
        <v>1204.062337499307</v>
      </c>
      <c r="AI22" s="11">
        <f>'CF DRIVERS'!AI22</f>
        <v>-634.36236026536562</v>
      </c>
      <c r="AJ22" s="11">
        <f>'CF DRIVERS'!AJ22</f>
        <v>-159.81127902670141</v>
      </c>
      <c r="AK22" s="11">
        <f>'CF DRIVERS'!AK22</f>
        <v>-713.41021834711182</v>
      </c>
      <c r="AL22" s="11">
        <f>'CF DRIVERS'!AL22</f>
        <v>1306.4671035213473</v>
      </c>
      <c r="AM22" s="11">
        <f>'CF DRIVERS'!AM22</f>
        <v>-688.31449135774892</v>
      </c>
      <c r="AN22" s="11">
        <f>'CF DRIVERS'!AN22</f>
        <v>-173.40313064993416</v>
      </c>
      <c r="AO22" s="11">
        <f>'CF DRIVERS'!AO22</f>
        <v>-774.08532146452808</v>
      </c>
    </row>
    <row r="23" spans="1:41" x14ac:dyDescent="0.25">
      <c r="A23" s="3" t="s">
        <v>78</v>
      </c>
      <c r="B23" s="4">
        <f>'YTD CF'!B23</f>
        <v>-1238</v>
      </c>
      <c r="C23" s="4">
        <f>'YTD CF'!C23-'YTD CF'!B23</f>
        <v>248</v>
      </c>
      <c r="D23" s="4">
        <f>'YTD CF'!D23-'YTD CF'!C23</f>
        <v>1416</v>
      </c>
      <c r="E23" s="4">
        <f>'CASH FLOW'!C23-'YTD CF'!D23</f>
        <v>1416</v>
      </c>
      <c r="F23" s="4">
        <f>'YTD CF'!E23</f>
        <v>-2259</v>
      </c>
      <c r="G23" s="4">
        <f>'YTD CF'!F23-'YTD CF'!E23</f>
        <v>299</v>
      </c>
      <c r="H23" s="4">
        <f>'YTD CF'!G23-'YTD CF'!F23</f>
        <v>1101</v>
      </c>
      <c r="I23" s="4">
        <f>'CASH FLOW'!D23-'YTD CF'!G23</f>
        <v>1279</v>
      </c>
      <c r="J23" s="4">
        <f>'YTD CF'!H23</f>
        <v>-3408</v>
      </c>
      <c r="K23" s="4">
        <f>'YTD CF'!I23-'YTD CF'!H23</f>
        <v>440</v>
      </c>
      <c r="L23" s="4">
        <f>'YTD CF'!J23-'YTD CF'!I23</f>
        <v>656</v>
      </c>
      <c r="M23" s="4">
        <f>'CASH FLOW'!E23-'YTD CF'!J23</f>
        <v>1151</v>
      </c>
      <c r="N23" s="4">
        <f>'YTD CF'!K23</f>
        <v>-2671</v>
      </c>
      <c r="O23" s="4">
        <f>'YTD CF'!L23-'YTD CF'!K23</f>
        <v>588</v>
      </c>
      <c r="P23" s="4">
        <f>'YTD CF'!M23-'YTD CF'!L23</f>
        <v>436</v>
      </c>
      <c r="Q23" s="4">
        <f>'CASH FLOW'!F23-'YTD CF'!M23</f>
        <v>970</v>
      </c>
      <c r="R23" s="4">
        <f>'YTD CF'!N23</f>
        <v>-1847</v>
      </c>
      <c r="S23" s="11">
        <f>'CF DRIVERS'!S23</f>
        <v>6525.7593615715159</v>
      </c>
      <c r="T23" s="11">
        <f>'CF DRIVERS'!T23</f>
        <v>1643.9972096657148</v>
      </c>
      <c r="U23" s="11">
        <f>'CF DRIVERS'!U23</f>
        <v>7338.9338690775185</v>
      </c>
      <c r="V23" s="11">
        <f>'CF DRIVERS'!V23</f>
        <v>-13439.779005524862</v>
      </c>
      <c r="W23" s="11">
        <f>'CF DRIVERS'!W23</f>
        <v>7080.7712074912124</v>
      </c>
      <c r="X23" s="11">
        <f>'CF DRIVERS'!X23</f>
        <v>1783.8181677286921</v>
      </c>
      <c r="Y23" s="11">
        <f>'CF DRIVERS'!Y23</f>
        <v>7963.1057099433092</v>
      </c>
      <c r="Z23" s="11">
        <f>'CF DRIVERS'!Z23</f>
        <v>-14582.823997121483</v>
      </c>
      <c r="AA23" s="11">
        <f>'CF DRIVERS'!AA23</f>
        <v>7682.9864717479613</v>
      </c>
      <c r="AB23" s="11">
        <f>'CF DRIVERS'!AB23</f>
        <v>1935.5308128326869</v>
      </c>
      <c r="AC23" s="11">
        <f>'CF DRIVERS'!AC23</f>
        <v>8640.3629844538082</v>
      </c>
      <c r="AD23" s="11">
        <f>'CF DRIVERS'!AD23</f>
        <v>-15823.0842667578</v>
      </c>
      <c r="AE23" s="11">
        <f>'CF DRIVERS'!AE23</f>
        <v>8336.4197762260992</v>
      </c>
      <c r="AF23" s="11">
        <f>'CF DRIVERS'!AF23</f>
        <v>2100.1465256937372</v>
      </c>
      <c r="AG23" s="11">
        <f>'CF DRIVERS'!AG23</f>
        <v>9375.2205763008824</v>
      </c>
      <c r="AH23" s="11">
        <f>'CF DRIVERS'!AH23</f>
        <v>-17168.827914424466</v>
      </c>
      <c r="AI23" s="11">
        <f>'CF DRIVERS'!AI23</f>
        <v>9045.4271839479989</v>
      </c>
      <c r="AJ23" s="11">
        <f>'CF DRIVERS'!AJ23</f>
        <v>2278.7627043397079</v>
      </c>
      <c r="AK23" s="11">
        <f>'CF DRIVERS'!AK23</f>
        <v>10172.577357275404</v>
      </c>
      <c r="AL23" s="11">
        <f>'CF DRIVERS'!AL23</f>
        <v>-18629.026236963829</v>
      </c>
      <c r="AM23" s="11">
        <f>'CF DRIVERS'!AM23</f>
        <v>9814.7352384341139</v>
      </c>
      <c r="AN23" s="11">
        <f>'CF DRIVERS'!AN23</f>
        <v>2472.5700798301841</v>
      </c>
      <c r="AO23" s="11">
        <f>'CF DRIVERS'!AO23</f>
        <v>11037.748845220463</v>
      </c>
    </row>
    <row r="24" spans="1:41" x14ac:dyDescent="0.25">
      <c r="A24" s="3" t="s">
        <v>79</v>
      </c>
      <c r="B24" s="4">
        <f>'YTD CF'!B24</f>
        <v>489</v>
      </c>
      <c r="C24" s="4">
        <f>'YTD CF'!C24-'YTD CF'!B24</f>
        <v>119</v>
      </c>
      <c r="D24" s="4">
        <f>'YTD CF'!D24-'YTD CF'!C24</f>
        <v>110</v>
      </c>
      <c r="E24" s="4">
        <f>'CASH FLOW'!C24-'YTD CF'!D24</f>
        <v>-661</v>
      </c>
      <c r="F24" s="4">
        <f>'YTD CF'!E24</f>
        <v>290</v>
      </c>
      <c r="G24" s="4">
        <f>'YTD CF'!F24-'YTD CF'!E24</f>
        <v>-190</v>
      </c>
      <c r="H24" s="4">
        <f>'YTD CF'!G24-'YTD CF'!F24</f>
        <v>412</v>
      </c>
      <c r="I24" s="4">
        <f>'CASH FLOW'!D24-'YTD CF'!G24</f>
        <v>-202</v>
      </c>
      <c r="J24" s="4">
        <f>'YTD CF'!H24</f>
        <v>222</v>
      </c>
      <c r="K24" s="4">
        <f>'YTD CF'!I24-'YTD CF'!H24</f>
        <v>65</v>
      </c>
      <c r="L24" s="4">
        <f>'YTD CF'!J24-'YTD CF'!I24</f>
        <v>139</v>
      </c>
      <c r="M24" s="4">
        <f>'CASH FLOW'!E24-'YTD CF'!J24</f>
        <v>-549</v>
      </c>
      <c r="N24" s="4">
        <f>'YTD CF'!K24</f>
        <v>223</v>
      </c>
      <c r="O24" s="4">
        <f>'YTD CF'!L24-'YTD CF'!K24</f>
        <v>192</v>
      </c>
      <c r="P24" s="4">
        <f>'YTD CF'!M24-'YTD CF'!L24</f>
        <v>-409</v>
      </c>
      <c r="Q24" s="4">
        <f>'CASH FLOW'!F24-'YTD CF'!M24</f>
        <v>-439</v>
      </c>
      <c r="R24" s="4">
        <f>'YTD CF'!N24</f>
        <v>131</v>
      </c>
      <c r="S24" s="11">
        <f>'CF DRIVERS'!S24</f>
        <v>0</v>
      </c>
      <c r="T24" s="11">
        <f>'CF DRIVERS'!T24</f>
        <v>0</v>
      </c>
      <c r="U24" s="11">
        <f>'CF DRIVERS'!U24</f>
        <v>0</v>
      </c>
      <c r="V24" s="11">
        <f>'CF DRIVERS'!V24</f>
        <v>0</v>
      </c>
      <c r="W24" s="11">
        <f>'CF DRIVERS'!W24</f>
        <v>0</v>
      </c>
      <c r="X24" s="11">
        <f>'CF DRIVERS'!X24</f>
        <v>0</v>
      </c>
      <c r="Y24" s="11">
        <f>'CF DRIVERS'!Y24</f>
        <v>0</v>
      </c>
      <c r="Z24" s="11">
        <f>'CF DRIVERS'!Z24</f>
        <v>0</v>
      </c>
      <c r="AA24" s="11">
        <f>'CF DRIVERS'!AA24</f>
        <v>0</v>
      </c>
      <c r="AB24" s="11">
        <f>'CF DRIVERS'!AB24</f>
        <v>0</v>
      </c>
      <c r="AC24" s="11">
        <f>'CF DRIVERS'!AC24</f>
        <v>0</v>
      </c>
      <c r="AD24" s="11">
        <f>'CF DRIVERS'!AD24</f>
        <v>0</v>
      </c>
      <c r="AE24" s="11">
        <f>'CF DRIVERS'!AE24</f>
        <v>0</v>
      </c>
      <c r="AF24" s="11">
        <f>'CF DRIVERS'!AF24</f>
        <v>0</v>
      </c>
      <c r="AG24" s="11">
        <f>'CF DRIVERS'!AG24</f>
        <v>0</v>
      </c>
      <c r="AH24" s="11">
        <f>'CF DRIVERS'!AH24</f>
        <v>0</v>
      </c>
      <c r="AI24" s="11">
        <f>'CF DRIVERS'!AI24</f>
        <v>0</v>
      </c>
      <c r="AJ24" s="11">
        <f>'CF DRIVERS'!AJ24</f>
        <v>0</v>
      </c>
      <c r="AK24" s="11">
        <f>'CF DRIVERS'!AK24</f>
        <v>0</v>
      </c>
      <c r="AL24" s="11">
        <f>'CF DRIVERS'!AL24</f>
        <v>0</v>
      </c>
      <c r="AM24" s="11">
        <f>'CF DRIVERS'!AM24</f>
        <v>0</v>
      </c>
      <c r="AN24" s="11">
        <f>'CF DRIVERS'!AN24</f>
        <v>0</v>
      </c>
      <c r="AO24" s="11">
        <f>'CF DRIVERS'!AO24</f>
        <v>0</v>
      </c>
    </row>
    <row r="25" spans="1:41" x14ac:dyDescent="0.25">
      <c r="A25" s="3" t="s">
        <v>80</v>
      </c>
      <c r="B25" s="4">
        <f>'YTD CF'!B25</f>
        <v>-133</v>
      </c>
      <c r="C25" s="4">
        <f>'YTD CF'!C25-'YTD CF'!B25</f>
        <v>-192</v>
      </c>
      <c r="D25" s="4">
        <f>'YTD CF'!D25-'YTD CF'!C25</f>
        <v>-101</v>
      </c>
      <c r="E25" s="4">
        <f>'CASH FLOW'!C25-'YTD CF'!D25</f>
        <v>67</v>
      </c>
      <c r="F25" s="4">
        <f>'YTD CF'!E25</f>
        <v>46</v>
      </c>
      <c r="G25" s="4">
        <f>'YTD CF'!F25-'YTD CF'!E25</f>
        <v>-52</v>
      </c>
      <c r="H25" s="4">
        <f>'YTD CF'!G25-'YTD CF'!F25</f>
        <v>78</v>
      </c>
      <c r="I25" s="4">
        <f>'CASH FLOW'!D25-'YTD CF'!G25</f>
        <v>117</v>
      </c>
      <c r="J25" s="4">
        <f>'YTD CF'!H25</f>
        <v>-68</v>
      </c>
      <c r="K25" s="4">
        <f>'YTD CF'!I25-'YTD CF'!H25</f>
        <v>-135</v>
      </c>
      <c r="L25" s="4">
        <f>'YTD CF'!J25-'YTD CF'!I25</f>
        <v>68</v>
      </c>
      <c r="M25" s="4">
        <f>'CASH FLOW'!E25-'YTD CF'!J25</f>
        <v>-172</v>
      </c>
      <c r="N25" s="4">
        <f>'YTD CF'!K25</f>
        <v>-232</v>
      </c>
      <c r="O25" s="4">
        <f>'YTD CF'!L25-'YTD CF'!K25</f>
        <v>-37</v>
      </c>
      <c r="P25" s="4">
        <f>'YTD CF'!M25-'YTD CF'!L25</f>
        <v>-172</v>
      </c>
      <c r="Q25" s="4">
        <f>'CASH FLOW'!F25-'YTD CF'!M25</f>
        <v>-271</v>
      </c>
      <c r="R25" s="4">
        <f>'YTD CF'!N25</f>
        <v>-157</v>
      </c>
      <c r="S25" s="11">
        <f>'CF DRIVERS'!S25</f>
        <v>-283.2854511970545</v>
      </c>
      <c r="T25" s="11">
        <f>'CF DRIVERS'!T25</f>
        <v>-71.366482504603482</v>
      </c>
      <c r="U25" s="11">
        <f>'CF DRIVERS'!U25</f>
        <v>-318.58563535911708</v>
      </c>
      <c r="V25" s="11">
        <f>'CF DRIVERS'!V25</f>
        <v>583.42541436464307</v>
      </c>
      <c r="W25" s="11">
        <f>'CF DRIVERS'!W25</f>
        <v>-307.37870571038184</v>
      </c>
      <c r="X25" s="11">
        <f>'CF DRIVERS'!X25</f>
        <v>-77.436158230761066</v>
      </c>
      <c r="Y25" s="11">
        <f>'CF DRIVERS'!Y25</f>
        <v>-345.68114896407678</v>
      </c>
      <c r="Z25" s="11">
        <f>'CF DRIVERS'!Z25</f>
        <v>633.04538933488038</v>
      </c>
      <c r="AA25" s="11">
        <f>'CF DRIVERS'!AA25</f>
        <v>-333.52107679708388</v>
      </c>
      <c r="AB25" s="11">
        <f>'CF DRIVERS'!AB25</f>
        <v>-84.0220561683509</v>
      </c>
      <c r="AC25" s="11">
        <f>'CF DRIVERS'!AC25</f>
        <v>-375.08111944352822</v>
      </c>
      <c r="AD25" s="11">
        <f>'CF DRIVERS'!AD25</f>
        <v>686.88551285440553</v>
      </c>
      <c r="AE25" s="11">
        <f>'CF DRIVERS'!AE25</f>
        <v>-361.8868405695448</v>
      </c>
      <c r="AF25" s="11">
        <f>'CF DRIVERS'!AF25</f>
        <v>-91.168080701003419</v>
      </c>
      <c r="AG25" s="11">
        <f>'CF DRIVERS'!AG25</f>
        <v>-406.98153944642581</v>
      </c>
      <c r="AH25" s="11">
        <f>'CF DRIVERS'!AH25</f>
        <v>745.30470597846943</v>
      </c>
      <c r="AI25" s="11">
        <f>'CF DRIVERS'!AI25</f>
        <v>-392.665095217013</v>
      </c>
      <c r="AJ25" s="11">
        <f>'CF DRIVERS'!AJ25</f>
        <v>-98.921870253338057</v>
      </c>
      <c r="AK25" s="11">
        <f>'CF DRIVERS'!AK25</f>
        <v>-441.5950706767635</v>
      </c>
      <c r="AL25" s="11">
        <f>'CF DRIVERS'!AL25</f>
        <v>808.69241577875073</v>
      </c>
      <c r="AM25" s="11">
        <f>'CF DRIVERS'!AM25</f>
        <v>-426.06102161417584</v>
      </c>
      <c r="AN25" s="11">
        <f>'CF DRIVERS'!AN25</f>
        <v>-107.33511486889256</v>
      </c>
      <c r="AO25" s="11">
        <f>'CF DRIVERS'!AO25</f>
        <v>-479.1524615864837</v>
      </c>
    </row>
    <row r="26" spans="1:41" x14ac:dyDescent="0.25">
      <c r="A26" s="3" t="s">
        <v>81</v>
      </c>
      <c r="B26" s="6">
        <f>'YTD CF'!B26</f>
        <v>-174</v>
      </c>
      <c r="C26" s="6">
        <f>'YTD CF'!C26-'YTD CF'!B26</f>
        <v>2055</v>
      </c>
      <c r="D26" s="6">
        <f>'YTD CF'!D26-'YTD CF'!C26</f>
        <v>4425</v>
      </c>
      <c r="E26" s="6">
        <f>'CASH FLOW'!C26-'YTD CF'!D26</f>
        <v>4505</v>
      </c>
      <c r="F26" s="6">
        <f>'YTD CF'!E26</f>
        <v>-392</v>
      </c>
      <c r="G26" s="6">
        <f>'YTD CF'!F26-'YTD CF'!E26</f>
        <v>2411</v>
      </c>
      <c r="H26" s="6">
        <f>'YTD CF'!G26-'YTD CF'!F26</f>
        <v>5611</v>
      </c>
      <c r="I26" s="6">
        <f>'CASH FLOW'!D26-'YTD CF'!G26</f>
        <v>5812</v>
      </c>
      <c r="J26" s="6">
        <f>'YTD CF'!H26</f>
        <v>-1041</v>
      </c>
      <c r="K26" s="6">
        <f>'YTD CF'!I26-'YTD CF'!H26</f>
        <v>2356</v>
      </c>
      <c r="L26" s="6">
        <f>'YTD CF'!J26-'YTD CF'!I26</f>
        <v>4905</v>
      </c>
      <c r="M26" s="6">
        <f>'CASH FLOW'!E26-'YTD CF'!J26</f>
        <v>6287</v>
      </c>
      <c r="N26" s="6">
        <f>'YTD CF'!K26</f>
        <v>-973</v>
      </c>
      <c r="O26" s="6">
        <f>'YTD CF'!L26-'YTD CF'!K26</f>
        <v>1969</v>
      </c>
      <c r="P26" s="6">
        <f>'YTD CF'!M26-'YTD CF'!L26</f>
        <v>4472</v>
      </c>
      <c r="Q26" s="6">
        <f>'CASH FLOW'!F26-'YTD CF'!M26</f>
        <v>6619</v>
      </c>
      <c r="R26" s="6">
        <f>'YTD CF'!N26</f>
        <v>41</v>
      </c>
      <c r="S26" s="7">
        <f t="shared" ref="S26:AO26" si="0">SUM(S2:S25)</f>
        <v>5155.1259222054759</v>
      </c>
      <c r="T26" s="7">
        <f t="shared" si="0"/>
        <v>4743.9246437250458</v>
      </c>
      <c r="U26" s="7">
        <f t="shared" si="0"/>
        <v>6503.8357243961455</v>
      </c>
      <c r="V26" s="7">
        <f t="shared" si="0"/>
        <v>1927.1198362327468</v>
      </c>
      <c r="W26" s="7">
        <f t="shared" si="0"/>
        <v>5590.6142447064985</v>
      </c>
      <c r="X26" s="7">
        <f t="shared" si="0"/>
        <v>5144.440548769493</v>
      </c>
      <c r="Y26" s="7">
        <f t="shared" si="0"/>
        <v>7054.0309913995643</v>
      </c>
      <c r="Z26" s="7">
        <f t="shared" si="0"/>
        <v>2088.0682137020958</v>
      </c>
      <c r="AA26" s="7">
        <f t="shared" si="0"/>
        <v>6063.140582916626</v>
      </c>
      <c r="AB26" s="7">
        <f t="shared" si="0"/>
        <v>5579.0200867894264</v>
      </c>
      <c r="AC26" s="7">
        <f t="shared" si="0"/>
        <v>7651.0200296465337</v>
      </c>
      <c r="AD26" s="7">
        <f t="shared" si="0"/>
        <v>2262.7051523223672</v>
      </c>
      <c r="AE26" s="7">
        <f t="shared" si="0"/>
        <v>6575.8549974386051</v>
      </c>
      <c r="AF26" s="7">
        <f t="shared" si="0"/>
        <v>6050.5603489537061</v>
      </c>
      <c r="AG26" s="7">
        <f t="shared" si="0"/>
        <v>8298.7826207864437</v>
      </c>
      <c r="AH26" s="7">
        <f t="shared" si="0"/>
        <v>2452.194855854581</v>
      </c>
      <c r="AI26" s="7">
        <f t="shared" si="0"/>
        <v>7132.175459604523</v>
      </c>
      <c r="AJ26" s="7">
        <f t="shared" si="0"/>
        <v>6562.2048222647145</v>
      </c>
      <c r="AK26" s="7">
        <f t="shared" si="0"/>
        <v>9001.6370244659374</v>
      </c>
      <c r="AL26" s="7">
        <f t="shared" si="0"/>
        <v>2657.8005428782417</v>
      </c>
      <c r="AM26" s="7">
        <f t="shared" si="0"/>
        <v>7735.8106371195554</v>
      </c>
      <c r="AN26" s="7">
        <f t="shared" si="0"/>
        <v>7117.3643453734858</v>
      </c>
      <c r="AO26" s="7">
        <f t="shared" si="0"/>
        <v>9764.2687656758644</v>
      </c>
    </row>
    <row r="27" spans="1:41" x14ac:dyDescent="0.25">
      <c r="A27" s="3" t="s">
        <v>82</v>
      </c>
      <c r="B27" s="4">
        <f>'YTD CF'!B27</f>
        <v>-522</v>
      </c>
      <c r="C27" s="4">
        <f>'YTD CF'!C27-'YTD CF'!B27</f>
        <v>-977</v>
      </c>
      <c r="D27" s="4">
        <f>'YTD CF'!D27-'YTD CF'!C27</f>
        <v>-1057</v>
      </c>
      <c r="E27" s="4">
        <f>'CASH FLOW'!C27-'YTD CF'!D27</f>
        <v>-2651</v>
      </c>
      <c r="F27" s="4">
        <f>'YTD CF'!E27</f>
        <v>-581</v>
      </c>
      <c r="G27" s="4">
        <f>'YTD CF'!F27-'YTD CF'!E27</f>
        <v>-932</v>
      </c>
      <c r="H27" s="4">
        <f>'YTD CF'!G27-'YTD CF'!F27</f>
        <v>-1024</v>
      </c>
      <c r="I27" s="4">
        <f>'CASH FLOW'!D27-'YTD CF'!G27</f>
        <v>-2981</v>
      </c>
      <c r="J27" s="4">
        <f>'YTD CF'!H27</f>
        <v>-614</v>
      </c>
      <c r="K27" s="4">
        <f>'YTD CF'!I27-'YTD CF'!H27</f>
        <v>-1087</v>
      </c>
      <c r="L27" s="4">
        <f>'YTD CF'!J27-'YTD CF'!I27</f>
        <v>-1149</v>
      </c>
      <c r="M27" s="4">
        <f>'CASH FLOW'!E27-'YTD CF'!J27</f>
        <v>-2468</v>
      </c>
      <c r="N27" s="4">
        <f>'YTD CF'!K27</f>
        <v>-603</v>
      </c>
      <c r="O27" s="4">
        <f>'YTD CF'!L27-'YTD CF'!K27</f>
        <v>-904</v>
      </c>
      <c r="P27" s="4">
        <f>'YTD CF'!M27-'YTD CF'!L27</f>
        <v>-992</v>
      </c>
      <c r="Q27" s="4">
        <f>'CASH FLOW'!F27-'YTD CF'!M27</f>
        <v>-1916</v>
      </c>
      <c r="R27" s="4">
        <f>'YTD CF'!N27</f>
        <v>-447</v>
      </c>
      <c r="S27" s="11">
        <f>'QTR P&amp;L'!S2*'CF DRIVERS'!S26</f>
        <v>-566.91344383057094</v>
      </c>
      <c r="T27" s="11">
        <f>'QTR P&amp;L'!T2*'CF DRIVERS'!T26</f>
        <v>-597.12255148166753</v>
      </c>
      <c r="U27" s="11">
        <f>'QTR P&amp;L'!U2*'CF DRIVERS'!U26</f>
        <v>-731.9784028126569</v>
      </c>
      <c r="V27" s="11">
        <f>'QTR P&amp;L'!V2*'CF DRIVERS'!V26</f>
        <v>-485.01707684580612</v>
      </c>
      <c r="W27" s="11">
        <f>'QTR P&amp;L'!W2*'CF DRIVERS'!W26</f>
        <v>-615.12908579707516</v>
      </c>
      <c r="X27" s="11">
        <f>'QTR P&amp;L'!X2*'CF DRIVERS'!X26</f>
        <v>-647.90745959361914</v>
      </c>
      <c r="Y27" s="11">
        <f>'QTR P&amp;L'!Y2*'CF DRIVERS'!Y26</f>
        <v>-794.23271867216295</v>
      </c>
      <c r="Z27" s="11">
        <f>'QTR P&amp;L'!Z2*'CF DRIVERS'!Z26</f>
        <v>-526.26748284575081</v>
      </c>
      <c r="AA27" s="11">
        <f>'QTR P&amp;L'!AA2*'CF DRIVERS'!AA26</f>
        <v>-667.44543864906154</v>
      </c>
      <c r="AB27" s="11">
        <f>'QTR P&amp;L'!AB2*'CF DRIVERS'!AB26</f>
        <v>-703.01159310668766</v>
      </c>
      <c r="AC27" s="11">
        <f>'QTR P&amp;L'!AC2*'CF DRIVERS'!AC26</f>
        <v>-861.7817260529531</v>
      </c>
      <c r="AD27" s="11">
        <f>'QTR P&amp;L'!AD2*'CF DRIVERS'!AD26</f>
        <v>-571.02621066856034</v>
      </c>
      <c r="AE27" s="11">
        <f>'QTR P&amp;L'!AE2*'CF DRIVERS'!AE26</f>
        <v>-724.21126534146458</v>
      </c>
      <c r="AF27" s="11">
        <f>'QTR P&amp;L'!AF2*'CF DRIVERS'!AF26</f>
        <v>-762.80229950183207</v>
      </c>
      <c r="AG27" s="11">
        <f>'QTR P&amp;L'!AG2*'CF DRIVERS'!AG26</f>
        <v>-935.07573523341523</v>
      </c>
      <c r="AH27" s="11">
        <f>'QTR P&amp;L'!AH2*'CF DRIVERS'!AH26</f>
        <v>-619.59164094139282</v>
      </c>
      <c r="AI27" s="11">
        <f>'QTR P&amp;L'!AI2*'CF DRIVERS'!AI26</f>
        <v>-785.80499090541309</v>
      </c>
      <c r="AJ27" s="11">
        <f>'QTR P&amp;L'!AJ2*'CF DRIVERS'!AJ26</f>
        <v>-827.67816893878683</v>
      </c>
      <c r="AK27" s="11">
        <f>'QTR P&amp;L'!AK2*'CF DRIVERS'!AK26</f>
        <v>-1014.6033551059375</v>
      </c>
      <c r="AL27" s="11">
        <f>'QTR P&amp;L'!AL2*'CF DRIVERS'!AL26</f>
        <v>-672.28753138141087</v>
      </c>
      <c r="AM27" s="11">
        <f>'QTR P&amp;L'!AM2*'CF DRIVERS'!AM26</f>
        <v>-852.63722518968393</v>
      </c>
      <c r="AN27" s="11">
        <f>'QTR P&amp;L'!AN2*'CF DRIVERS'!AN26</f>
        <v>-898.07169142680027</v>
      </c>
      <c r="AO27" s="11">
        <f>'QTR P&amp;L'!AO2*'CF DRIVERS'!AO26</f>
        <v>-1100.8947504506245</v>
      </c>
    </row>
    <row r="28" spans="1:41" x14ac:dyDescent="0.25">
      <c r="A28" s="3" t="s">
        <v>83</v>
      </c>
      <c r="B28" s="4">
        <f>'YTD CF'!B28</f>
        <v>3</v>
      </c>
      <c r="C28" s="4">
        <f>'YTD CF'!C28-'YTD CF'!B28</f>
        <v>219</v>
      </c>
      <c r="D28" s="4">
        <f>'YTD CF'!D28-'YTD CF'!C28</f>
        <v>6</v>
      </c>
      <c r="E28" s="4">
        <f>'CASH FLOW'!C28-'YTD CF'!D28</f>
        <v>23</v>
      </c>
      <c r="F28" s="4">
        <f>'YTD CF'!E28</f>
        <v>19</v>
      </c>
      <c r="G28" s="4">
        <f>'YTD CF'!F28-'YTD CF'!E28</f>
        <v>103</v>
      </c>
      <c r="H28" s="4">
        <f>'YTD CF'!G28-'YTD CF'!F28</f>
        <v>9</v>
      </c>
      <c r="I28" s="4">
        <f>'CASH FLOW'!D28-'YTD CF'!G28</f>
        <v>67</v>
      </c>
      <c r="J28" s="4">
        <f>'YTD CF'!H28</f>
        <v>7</v>
      </c>
      <c r="K28" s="4">
        <f>'YTD CF'!I28-'YTD CF'!H28</f>
        <v>120</v>
      </c>
      <c r="L28" s="4">
        <f>'YTD CF'!J28-'YTD CF'!I28</f>
        <v>50</v>
      </c>
      <c r="M28" s="4">
        <f>'CASH FLOW'!E28-'YTD CF'!J28</f>
        <v>165</v>
      </c>
      <c r="N28" s="4">
        <f>'YTD CF'!K28</f>
        <v>132</v>
      </c>
      <c r="O28" s="4">
        <f>'YTD CF'!L28-'YTD CF'!K28</f>
        <v>37</v>
      </c>
      <c r="P28" s="4">
        <f>'YTD CF'!M28-'YTD CF'!L28</f>
        <v>103</v>
      </c>
      <c r="Q28" s="4">
        <f>'CASH FLOW'!F28-'YTD CF'!M28</f>
        <v>256</v>
      </c>
      <c r="R28" s="4">
        <f>'YTD CF'!N28</f>
        <v>13</v>
      </c>
      <c r="S28" s="11">
        <f>'CF DRIVERS'!S27</f>
        <v>0</v>
      </c>
      <c r="T28" s="11">
        <f>'CF DRIVERS'!T27</f>
        <v>0</v>
      </c>
      <c r="U28" s="11">
        <f>'CF DRIVERS'!U27</f>
        <v>0</v>
      </c>
      <c r="V28" s="11">
        <f>'CF DRIVERS'!V27</f>
        <v>0</v>
      </c>
      <c r="W28" s="11">
        <f>'CF DRIVERS'!W27</f>
        <v>0</v>
      </c>
      <c r="X28" s="11">
        <f>'CF DRIVERS'!X27</f>
        <v>0</v>
      </c>
      <c r="Y28" s="11">
        <f>'CF DRIVERS'!Y27</f>
        <v>0</v>
      </c>
      <c r="Z28" s="11">
        <f>'CF DRIVERS'!Z27</f>
        <v>0</v>
      </c>
      <c r="AA28" s="11">
        <f>'CF DRIVERS'!AA27</f>
        <v>0</v>
      </c>
      <c r="AB28" s="11">
        <f>'CF DRIVERS'!AB27</f>
        <v>0</v>
      </c>
      <c r="AC28" s="11">
        <f>'CF DRIVERS'!AC27</f>
        <v>0</v>
      </c>
      <c r="AD28" s="11">
        <f>'CF DRIVERS'!AD27</f>
        <v>0</v>
      </c>
      <c r="AE28" s="11">
        <f>'CF DRIVERS'!AE27</f>
        <v>0</v>
      </c>
      <c r="AF28" s="11">
        <f>'CF DRIVERS'!AF27</f>
        <v>0</v>
      </c>
      <c r="AG28" s="11">
        <f>'CF DRIVERS'!AG27</f>
        <v>0</v>
      </c>
      <c r="AH28" s="11">
        <f>'CF DRIVERS'!AH27</f>
        <v>0</v>
      </c>
      <c r="AI28" s="11">
        <f>'CF DRIVERS'!AI27</f>
        <v>0</v>
      </c>
      <c r="AJ28" s="11">
        <f>'CF DRIVERS'!AJ27</f>
        <v>0</v>
      </c>
      <c r="AK28" s="11">
        <f>'CF DRIVERS'!AK27</f>
        <v>0</v>
      </c>
      <c r="AL28" s="11">
        <f>'CF DRIVERS'!AL27</f>
        <v>0</v>
      </c>
      <c r="AM28" s="11">
        <f>'CF DRIVERS'!AM27</f>
        <v>0</v>
      </c>
      <c r="AN28" s="11">
        <f>'CF DRIVERS'!AN27</f>
        <v>0</v>
      </c>
      <c r="AO28" s="11">
        <f>'CF DRIVERS'!AO27</f>
        <v>0</v>
      </c>
    </row>
    <row r="29" spans="1:41" x14ac:dyDescent="0.25">
      <c r="A29" s="3" t="s">
        <v>84</v>
      </c>
      <c r="B29" s="4">
        <f>'YTD CF'!B29</f>
        <v>-13</v>
      </c>
      <c r="C29" s="4">
        <f>'YTD CF'!C29-'YTD CF'!B29</f>
        <v>-16</v>
      </c>
      <c r="D29" s="4">
        <f>'YTD CF'!D29-'YTD CF'!C29</f>
        <v>-775</v>
      </c>
      <c r="E29" s="4">
        <f>'CASH FLOW'!C29-'YTD CF'!D29</f>
        <v>-69</v>
      </c>
      <c r="F29" s="4">
        <f>'YTD CF'!E29</f>
        <v>-16</v>
      </c>
      <c r="G29" s="4">
        <f>'YTD CF'!F29-'YTD CF'!E29</f>
        <v>-67</v>
      </c>
      <c r="H29" s="4">
        <f>'YTD CF'!G29-'YTD CF'!F29</f>
        <v>-49</v>
      </c>
      <c r="I29" s="4">
        <f>'CASH FLOW'!D29-'YTD CF'!G29</f>
        <v>-182</v>
      </c>
      <c r="J29" s="4">
        <f>'YTD CF'!H29</f>
        <v>-6</v>
      </c>
      <c r="K29" s="4">
        <f>'YTD CF'!I29-'YTD CF'!H29</f>
        <v>-24</v>
      </c>
      <c r="L29" s="4">
        <f>'YTD CF'!J29-'YTD CF'!I29</f>
        <v>-1</v>
      </c>
      <c r="M29" s="4">
        <f>'CASH FLOW'!E29-'YTD CF'!J29</f>
        <v>-225</v>
      </c>
      <c r="N29" s="4">
        <f>'YTD CF'!K29</f>
        <v>-1200</v>
      </c>
      <c r="O29" s="4">
        <f>'YTD CF'!L29-'YTD CF'!K29</f>
        <v>-1930</v>
      </c>
      <c r="P29" s="4">
        <f>'YTD CF'!M29-'YTD CF'!L29</f>
        <v>-46</v>
      </c>
      <c r="Q29" s="4">
        <f>'CASH FLOW'!F29-'YTD CF'!M29</f>
        <v>-215</v>
      </c>
      <c r="R29" s="4">
        <f>'YTD CF'!N29</f>
        <v>-67</v>
      </c>
      <c r="S29" s="11">
        <f>'CF DRIVERS'!S28</f>
        <v>0</v>
      </c>
      <c r="T29" s="11">
        <f>'CF DRIVERS'!T28</f>
        <v>0</v>
      </c>
      <c r="U29" s="11">
        <f>'CF DRIVERS'!U28</f>
        <v>0</v>
      </c>
      <c r="V29" s="11">
        <f>'CF DRIVERS'!V28</f>
        <v>0</v>
      </c>
      <c r="W29" s="11">
        <f>'CF DRIVERS'!W28</f>
        <v>0</v>
      </c>
      <c r="X29" s="11">
        <f>'CF DRIVERS'!X28</f>
        <v>0</v>
      </c>
      <c r="Y29" s="11">
        <f>'CF DRIVERS'!Y28</f>
        <v>0</v>
      </c>
      <c r="Z29" s="11">
        <f>'CF DRIVERS'!Z28</f>
        <v>0</v>
      </c>
      <c r="AA29" s="11">
        <f>'CF DRIVERS'!AA28</f>
        <v>0</v>
      </c>
      <c r="AB29" s="11">
        <f>'CF DRIVERS'!AB28</f>
        <v>0</v>
      </c>
      <c r="AC29" s="11">
        <f>'CF DRIVERS'!AC28</f>
        <v>0</v>
      </c>
      <c r="AD29" s="11">
        <f>'CF DRIVERS'!AD28</f>
        <v>0</v>
      </c>
      <c r="AE29" s="11">
        <f>'CF DRIVERS'!AE28</f>
        <v>0</v>
      </c>
      <c r="AF29" s="11">
        <f>'CF DRIVERS'!AF28</f>
        <v>0</v>
      </c>
      <c r="AG29" s="11">
        <f>'CF DRIVERS'!AG28</f>
        <v>0</v>
      </c>
      <c r="AH29" s="11">
        <f>'CF DRIVERS'!AH28</f>
        <v>0</v>
      </c>
      <c r="AI29" s="11">
        <f>'CF DRIVERS'!AI28</f>
        <v>0</v>
      </c>
      <c r="AJ29" s="11">
        <f>'CF DRIVERS'!AJ28</f>
        <v>0</v>
      </c>
      <c r="AK29" s="11">
        <f>'CF DRIVERS'!AK28</f>
        <v>0</v>
      </c>
      <c r="AL29" s="11">
        <f>'CF DRIVERS'!AL28</f>
        <v>0</v>
      </c>
      <c r="AM29" s="11">
        <f>'CF DRIVERS'!AM28</f>
        <v>0</v>
      </c>
      <c r="AN29" s="11">
        <f>'CF DRIVERS'!AN28</f>
        <v>0</v>
      </c>
      <c r="AO29" s="11">
        <f>'CF DRIVERS'!AO28</f>
        <v>0</v>
      </c>
    </row>
    <row r="30" spans="1:41" x14ac:dyDescent="0.25">
      <c r="A30" s="3" t="s">
        <v>85</v>
      </c>
      <c r="B30" s="4">
        <f>'YTD CF'!B30</f>
        <v>3456</v>
      </c>
      <c r="C30" s="4">
        <f>'YTD CF'!C30-'YTD CF'!B30</f>
        <v>0</v>
      </c>
      <c r="D30" s="4">
        <f>'YTD CF'!D30-'YTD CF'!C30</f>
        <v>0</v>
      </c>
      <c r="E30" s="4">
        <f>'CASH FLOW'!C30-'YTD CF'!D30</f>
        <v>0</v>
      </c>
      <c r="F30" s="4">
        <f>'YTD CF'!E30</f>
        <v>0</v>
      </c>
      <c r="G30" s="4">
        <f>'YTD CF'!F30-'YTD CF'!E30</f>
        <v>0</v>
      </c>
      <c r="H30" s="4">
        <f>'YTD CF'!G30-'YTD CF'!F30</f>
        <v>0</v>
      </c>
      <c r="I30" s="4">
        <f>'CASH FLOW'!D30-'YTD CF'!G30</f>
        <v>0</v>
      </c>
      <c r="J30" s="4">
        <f>'YTD CF'!H30</f>
        <v>0</v>
      </c>
      <c r="K30" s="4">
        <f>'YTD CF'!I30-'YTD CF'!H30</f>
        <v>0</v>
      </c>
      <c r="L30" s="4">
        <f>'YTD CF'!J30-'YTD CF'!I30</f>
        <v>0</v>
      </c>
      <c r="M30" s="4">
        <f>'CASH FLOW'!E30-'YTD CF'!J30</f>
        <v>0</v>
      </c>
      <c r="N30" s="4">
        <f>'YTD CF'!K30</f>
        <v>0</v>
      </c>
      <c r="O30" s="4">
        <f>'YTD CF'!L30-'YTD CF'!K30</f>
        <v>0</v>
      </c>
      <c r="P30" s="4">
        <f>'YTD CF'!M30-'YTD CF'!L30</f>
        <v>0</v>
      </c>
      <c r="Q30" s="4">
        <f>'CASH FLOW'!F30-'YTD CF'!M30</f>
        <v>0</v>
      </c>
      <c r="R30" s="4">
        <f>'YTD CF'!N30</f>
        <v>0</v>
      </c>
      <c r="S30" s="11">
        <f>'CF DRIVERS'!S29</f>
        <v>0</v>
      </c>
      <c r="T30" s="11">
        <f>'CF DRIVERS'!T29</f>
        <v>0</v>
      </c>
      <c r="U30" s="11">
        <f>'CF DRIVERS'!U29</f>
        <v>0</v>
      </c>
      <c r="V30" s="11">
        <f>'CF DRIVERS'!V29</f>
        <v>0</v>
      </c>
      <c r="W30" s="11">
        <f>'CF DRIVERS'!W29</f>
        <v>0</v>
      </c>
      <c r="X30" s="11">
        <f>'CF DRIVERS'!X29</f>
        <v>0</v>
      </c>
      <c r="Y30" s="11">
        <f>'CF DRIVERS'!Y29</f>
        <v>0</v>
      </c>
      <c r="Z30" s="11">
        <f>'CF DRIVERS'!Z29</f>
        <v>0</v>
      </c>
      <c r="AA30" s="11">
        <f>'CF DRIVERS'!AA29</f>
        <v>0</v>
      </c>
      <c r="AB30" s="11">
        <f>'CF DRIVERS'!AB29</f>
        <v>0</v>
      </c>
      <c r="AC30" s="11">
        <f>'CF DRIVERS'!AC29</f>
        <v>0</v>
      </c>
      <c r="AD30" s="11">
        <f>'CF DRIVERS'!AD29</f>
        <v>0</v>
      </c>
      <c r="AE30" s="11">
        <f>'CF DRIVERS'!AE29</f>
        <v>0</v>
      </c>
      <c r="AF30" s="11">
        <f>'CF DRIVERS'!AF29</f>
        <v>0</v>
      </c>
      <c r="AG30" s="11">
        <f>'CF DRIVERS'!AG29</f>
        <v>0</v>
      </c>
      <c r="AH30" s="11">
        <f>'CF DRIVERS'!AH29</f>
        <v>0</v>
      </c>
      <c r="AI30" s="11">
        <f>'CF DRIVERS'!AI29</f>
        <v>0</v>
      </c>
      <c r="AJ30" s="11">
        <f>'CF DRIVERS'!AJ29</f>
        <v>0</v>
      </c>
      <c r="AK30" s="11">
        <f>'CF DRIVERS'!AK29</f>
        <v>0</v>
      </c>
      <c r="AL30" s="11">
        <f>'CF DRIVERS'!AL29</f>
        <v>0</v>
      </c>
      <c r="AM30" s="11">
        <f>'CF DRIVERS'!AM29</f>
        <v>0</v>
      </c>
      <c r="AN30" s="11">
        <f>'CF DRIVERS'!AN29</f>
        <v>0</v>
      </c>
      <c r="AO30" s="11">
        <f>'CF DRIVERS'!AO29</f>
        <v>0</v>
      </c>
    </row>
    <row r="31" spans="1:41" x14ac:dyDescent="0.25">
      <c r="A31" s="3" t="s">
        <v>86</v>
      </c>
      <c r="B31" s="4">
        <f>'YTD CF'!B31</f>
        <v>5</v>
      </c>
      <c r="C31" s="4">
        <f>'YTD CF'!C31-'YTD CF'!B31</f>
        <v>10</v>
      </c>
      <c r="D31" s="4">
        <f>'YTD CF'!D31-'YTD CF'!C31</f>
        <v>0</v>
      </c>
      <c r="E31" s="4">
        <f>'CASH FLOW'!C31-'YTD CF'!D31</f>
        <v>34</v>
      </c>
      <c r="F31" s="4">
        <f>'YTD CF'!E31</f>
        <v>85</v>
      </c>
      <c r="G31" s="4">
        <f>'YTD CF'!F31-'YTD CF'!E31</f>
        <v>-10</v>
      </c>
      <c r="H31" s="4">
        <f>'YTD CF'!G31-'YTD CF'!F31</f>
        <v>0</v>
      </c>
      <c r="I31" s="4">
        <f>'CASH FLOW'!D31-'YTD CF'!G31</f>
        <v>0</v>
      </c>
      <c r="J31" s="4">
        <f>'YTD CF'!H31</f>
        <v>53</v>
      </c>
      <c r="K31" s="4">
        <f>'YTD CF'!I31-'YTD CF'!H31</f>
        <v>82</v>
      </c>
      <c r="L31" s="4">
        <f>'YTD CF'!J31-'YTD CF'!I31</f>
        <v>10</v>
      </c>
      <c r="M31" s="4">
        <f>'CASH FLOW'!E31-'YTD CF'!J31</f>
        <v>21</v>
      </c>
      <c r="N31" s="4">
        <f>'YTD CF'!K31</f>
        <v>2</v>
      </c>
      <c r="O31" s="4">
        <f>'YTD CF'!L31-'YTD CF'!K31</f>
        <v>3</v>
      </c>
      <c r="P31" s="4">
        <f>'YTD CF'!M31-'YTD CF'!L31</f>
        <v>0</v>
      </c>
      <c r="Q31" s="4">
        <f>'CASH FLOW'!F31-'YTD CF'!M31</f>
        <v>34</v>
      </c>
      <c r="R31" s="4">
        <f>'YTD CF'!N31</f>
        <v>0</v>
      </c>
      <c r="S31" s="11">
        <f>'CF DRIVERS'!S30</f>
        <v>0</v>
      </c>
      <c r="T31" s="11">
        <f>'CF DRIVERS'!T30</f>
        <v>0</v>
      </c>
      <c r="U31" s="11">
        <f>'CF DRIVERS'!U30</f>
        <v>0</v>
      </c>
      <c r="V31" s="11">
        <f>'CF DRIVERS'!V30</f>
        <v>0</v>
      </c>
      <c r="W31" s="11">
        <f>'CF DRIVERS'!W30</f>
        <v>0</v>
      </c>
      <c r="X31" s="11">
        <f>'CF DRIVERS'!X30</f>
        <v>0</v>
      </c>
      <c r="Y31" s="11">
        <f>'CF DRIVERS'!Y30</f>
        <v>0</v>
      </c>
      <c r="Z31" s="11">
        <f>'CF DRIVERS'!Z30</f>
        <v>0</v>
      </c>
      <c r="AA31" s="11">
        <f>'CF DRIVERS'!AA30</f>
        <v>0</v>
      </c>
      <c r="AB31" s="11">
        <f>'CF DRIVERS'!AB30</f>
        <v>0</v>
      </c>
      <c r="AC31" s="11">
        <f>'CF DRIVERS'!AC30</f>
        <v>0</v>
      </c>
      <c r="AD31" s="11">
        <f>'CF DRIVERS'!AD30</f>
        <v>0</v>
      </c>
      <c r="AE31" s="11">
        <f>'CF DRIVERS'!AE30</f>
        <v>0</v>
      </c>
      <c r="AF31" s="11">
        <f>'CF DRIVERS'!AF30</f>
        <v>0</v>
      </c>
      <c r="AG31" s="11">
        <f>'CF DRIVERS'!AG30</f>
        <v>0</v>
      </c>
      <c r="AH31" s="11">
        <f>'CF DRIVERS'!AH30</f>
        <v>0</v>
      </c>
      <c r="AI31" s="11">
        <f>'CF DRIVERS'!AI30</f>
        <v>0</v>
      </c>
      <c r="AJ31" s="11">
        <f>'CF DRIVERS'!AJ30</f>
        <v>0</v>
      </c>
      <c r="AK31" s="11">
        <f>'CF DRIVERS'!AK30</f>
        <v>0</v>
      </c>
      <c r="AL31" s="11">
        <f>'CF DRIVERS'!AL30</f>
        <v>0</v>
      </c>
      <c r="AM31" s="11">
        <f>'CF DRIVERS'!AM30</f>
        <v>0</v>
      </c>
      <c r="AN31" s="11">
        <f>'CF DRIVERS'!AN30</f>
        <v>0</v>
      </c>
      <c r="AO31" s="11">
        <f>'CF DRIVERS'!AO30</f>
        <v>0</v>
      </c>
    </row>
    <row r="32" spans="1:41" x14ac:dyDescent="0.25">
      <c r="A32" s="3" t="s">
        <v>87</v>
      </c>
      <c r="B32" s="4">
        <f>'YTD CF'!B32</f>
        <v>22</v>
      </c>
      <c r="C32" s="4">
        <f>'YTD CF'!C32-'YTD CF'!B32</f>
        <v>-14</v>
      </c>
      <c r="D32" s="4">
        <f>'YTD CF'!D32-'YTD CF'!C32</f>
        <v>-45</v>
      </c>
      <c r="E32" s="4">
        <f>'CASH FLOW'!C32-'YTD CF'!D32</f>
        <v>-80</v>
      </c>
      <c r="F32" s="4">
        <f>'YTD CF'!E32</f>
        <v>-39</v>
      </c>
      <c r="G32" s="4">
        <f>'YTD CF'!F32-'YTD CF'!E32</f>
        <v>-17</v>
      </c>
      <c r="H32" s="4">
        <f>'YTD CF'!G32-'YTD CF'!F32</f>
        <v>91</v>
      </c>
      <c r="I32" s="4">
        <f>'CASH FLOW'!D32-'YTD CF'!G32</f>
        <v>-19</v>
      </c>
      <c r="J32" s="4">
        <f>'YTD CF'!H32</f>
        <v>8</v>
      </c>
      <c r="K32" s="4">
        <f>'YTD CF'!I32-'YTD CF'!H32</f>
        <v>-7</v>
      </c>
      <c r="L32" s="4">
        <f>'YTD CF'!J32-'YTD CF'!I32</f>
        <v>-422</v>
      </c>
      <c r="M32" s="4">
        <f>'CASH FLOW'!E32-'YTD CF'!J32</f>
        <v>1</v>
      </c>
      <c r="N32" s="4">
        <f>'YTD CF'!K32</f>
        <v>441</v>
      </c>
      <c r="O32" s="4">
        <f>'YTD CF'!L32-'YTD CF'!K32</f>
        <v>6</v>
      </c>
      <c r="P32" s="4">
        <f>'YTD CF'!M32-'YTD CF'!L32</f>
        <v>-169</v>
      </c>
      <c r="Q32" s="4">
        <f>'CASH FLOW'!F32-'YTD CF'!M32</f>
        <v>182</v>
      </c>
      <c r="R32" s="4">
        <f>'YTD CF'!N32</f>
        <v>5</v>
      </c>
      <c r="S32" s="11">
        <f>'CF DRIVERS'!S31</f>
        <v>0</v>
      </c>
      <c r="T32" s="11">
        <f>'CF DRIVERS'!T31</f>
        <v>0</v>
      </c>
      <c r="U32" s="11">
        <f>'CF DRIVERS'!U31</f>
        <v>0</v>
      </c>
      <c r="V32" s="11">
        <f>'CF DRIVERS'!V31</f>
        <v>0</v>
      </c>
      <c r="W32" s="11">
        <f>'CF DRIVERS'!W31</f>
        <v>0</v>
      </c>
      <c r="X32" s="11">
        <f>'CF DRIVERS'!X31</f>
        <v>0</v>
      </c>
      <c r="Y32" s="11">
        <f>'CF DRIVERS'!Y31</f>
        <v>0</v>
      </c>
      <c r="Z32" s="11">
        <f>'CF DRIVERS'!Z31</f>
        <v>0</v>
      </c>
      <c r="AA32" s="11">
        <f>'CF DRIVERS'!AA31</f>
        <v>0</v>
      </c>
      <c r="AB32" s="11">
        <f>'CF DRIVERS'!AB31</f>
        <v>0</v>
      </c>
      <c r="AC32" s="11">
        <f>'CF DRIVERS'!AC31</f>
        <v>0</v>
      </c>
      <c r="AD32" s="11">
        <f>'CF DRIVERS'!AD31</f>
        <v>0</v>
      </c>
      <c r="AE32" s="11">
        <f>'CF DRIVERS'!AE31</f>
        <v>0</v>
      </c>
      <c r="AF32" s="11">
        <f>'CF DRIVERS'!AF31</f>
        <v>0</v>
      </c>
      <c r="AG32" s="11">
        <f>'CF DRIVERS'!AG31</f>
        <v>0</v>
      </c>
      <c r="AH32" s="11">
        <f>'CF DRIVERS'!AH31</f>
        <v>0</v>
      </c>
      <c r="AI32" s="11">
        <f>'CF DRIVERS'!AI31</f>
        <v>0</v>
      </c>
      <c r="AJ32" s="11">
        <f>'CF DRIVERS'!AJ31</f>
        <v>0</v>
      </c>
      <c r="AK32" s="11">
        <f>'CF DRIVERS'!AK31</f>
        <v>0</v>
      </c>
      <c r="AL32" s="11">
        <f>'CF DRIVERS'!AL31</f>
        <v>0</v>
      </c>
      <c r="AM32" s="11">
        <f>'CF DRIVERS'!AM31</f>
        <v>0</v>
      </c>
      <c r="AN32" s="11">
        <f>'CF DRIVERS'!AN31</f>
        <v>0</v>
      </c>
      <c r="AO32" s="11">
        <f>'CF DRIVERS'!AO31</f>
        <v>0</v>
      </c>
    </row>
    <row r="33" spans="1:41" x14ac:dyDescent="0.25">
      <c r="A33" s="3" t="s">
        <v>88</v>
      </c>
      <c r="B33" s="4">
        <f>'YTD CF'!B33</f>
        <v>4</v>
      </c>
      <c r="C33" s="4">
        <f>'YTD CF'!C33-'YTD CF'!B33</f>
        <v>-5</v>
      </c>
      <c r="D33" s="4">
        <f>'YTD CF'!D33-'YTD CF'!C33</f>
        <v>8</v>
      </c>
      <c r="E33" s="4">
        <f>'CASH FLOW'!C33-'YTD CF'!D33</f>
        <v>4</v>
      </c>
      <c r="F33" s="4">
        <f>'YTD CF'!E33</f>
        <v>0</v>
      </c>
      <c r="G33" s="4">
        <f>'YTD CF'!F33-'YTD CF'!E33</f>
        <v>32</v>
      </c>
      <c r="H33" s="4">
        <f>'YTD CF'!G33-'YTD CF'!F33</f>
        <v>17</v>
      </c>
      <c r="I33" s="4">
        <f>'CASH FLOW'!D33-'YTD CF'!G33</f>
        <v>-1</v>
      </c>
      <c r="J33" s="4">
        <f>'YTD CF'!H33</f>
        <v>-10</v>
      </c>
      <c r="K33" s="4">
        <f>'YTD CF'!I33-'YTD CF'!H33</f>
        <v>24</v>
      </c>
      <c r="L33" s="4">
        <f>'YTD CF'!J33-'YTD CF'!I33</f>
        <v>1</v>
      </c>
      <c r="M33" s="4">
        <f>'CASH FLOW'!E33-'YTD CF'!J33</f>
        <v>-1</v>
      </c>
      <c r="N33" s="4">
        <f>'YTD CF'!K33</f>
        <v>-4</v>
      </c>
      <c r="O33" s="4">
        <f>'YTD CF'!L33-'YTD CF'!K33</f>
        <v>-107</v>
      </c>
      <c r="P33" s="4">
        <f>'YTD CF'!M33-'YTD CF'!L33</f>
        <v>-6</v>
      </c>
      <c r="Q33" s="4">
        <f>'CASH FLOW'!F33-'YTD CF'!M33</f>
        <v>17</v>
      </c>
      <c r="R33" s="4">
        <f>'YTD CF'!N33</f>
        <v>19</v>
      </c>
      <c r="S33" s="11">
        <f>'CF DRIVERS'!S32</f>
        <v>0</v>
      </c>
      <c r="T33" s="11">
        <f>'CF DRIVERS'!T32</f>
        <v>0</v>
      </c>
      <c r="U33" s="11">
        <f>'CF DRIVERS'!U32</f>
        <v>0</v>
      </c>
      <c r="V33" s="11">
        <f>'CF DRIVERS'!V32</f>
        <v>0</v>
      </c>
      <c r="W33" s="11">
        <f>'CF DRIVERS'!W32</f>
        <v>0</v>
      </c>
      <c r="X33" s="11">
        <f>'CF DRIVERS'!X32</f>
        <v>0</v>
      </c>
      <c r="Y33" s="11">
        <f>'CF DRIVERS'!Y32</f>
        <v>0</v>
      </c>
      <c r="Z33" s="11">
        <f>'CF DRIVERS'!Z32</f>
        <v>0</v>
      </c>
      <c r="AA33" s="11">
        <f>'CF DRIVERS'!AA32</f>
        <v>0</v>
      </c>
      <c r="AB33" s="11">
        <f>'CF DRIVERS'!AB32</f>
        <v>0</v>
      </c>
      <c r="AC33" s="11">
        <f>'CF DRIVERS'!AC32</f>
        <v>0</v>
      </c>
      <c r="AD33" s="11">
        <f>'CF DRIVERS'!AD32</f>
        <v>0</v>
      </c>
      <c r="AE33" s="11">
        <f>'CF DRIVERS'!AE32</f>
        <v>0</v>
      </c>
      <c r="AF33" s="11">
        <f>'CF DRIVERS'!AF32</f>
        <v>0</v>
      </c>
      <c r="AG33" s="11">
        <f>'CF DRIVERS'!AG32</f>
        <v>0</v>
      </c>
      <c r="AH33" s="11">
        <f>'CF DRIVERS'!AH32</f>
        <v>0</v>
      </c>
      <c r="AI33" s="11">
        <f>'CF DRIVERS'!AI32</f>
        <v>0</v>
      </c>
      <c r="AJ33" s="11">
        <f>'CF DRIVERS'!AJ32</f>
        <v>0</v>
      </c>
      <c r="AK33" s="11">
        <f>'CF DRIVERS'!AK32</f>
        <v>0</v>
      </c>
      <c r="AL33" s="11">
        <f>'CF DRIVERS'!AL32</f>
        <v>0</v>
      </c>
      <c r="AM33" s="11">
        <f>'CF DRIVERS'!AM32</f>
        <v>0</v>
      </c>
      <c r="AN33" s="11">
        <f>'CF DRIVERS'!AN32</f>
        <v>0</v>
      </c>
      <c r="AO33" s="11">
        <f>'CF DRIVERS'!AO32</f>
        <v>0</v>
      </c>
    </row>
    <row r="34" spans="1:41" x14ac:dyDescent="0.25">
      <c r="A34" s="3" t="s">
        <v>89</v>
      </c>
      <c r="B34" s="6">
        <f>'YTD CF'!B34</f>
        <v>2955</v>
      </c>
      <c r="C34" s="6">
        <f>'YTD CF'!C34-'YTD CF'!B34</f>
        <v>-783</v>
      </c>
      <c r="D34" s="6">
        <f>'YTD CF'!D34-'YTD CF'!C34</f>
        <v>-1863</v>
      </c>
      <c r="E34" s="6">
        <f>'CASH FLOW'!C34-'YTD CF'!D34</f>
        <v>-2739</v>
      </c>
      <c r="F34" s="6">
        <f>'YTD CF'!E34</f>
        <v>-532</v>
      </c>
      <c r="G34" s="6">
        <f>'YTD CF'!F34-'YTD CF'!E34</f>
        <v>-891</v>
      </c>
      <c r="H34" s="6">
        <f>'YTD CF'!G34-'YTD CF'!F34</f>
        <v>-956</v>
      </c>
      <c r="I34" s="6">
        <f>'CASH FLOW'!D34-'YTD CF'!G34</f>
        <v>-3116</v>
      </c>
      <c r="J34" s="6">
        <f>'YTD CF'!H34</f>
        <v>-562</v>
      </c>
      <c r="K34" s="6">
        <f>'YTD CF'!I34-'YTD CF'!H34</f>
        <v>-892</v>
      </c>
      <c r="L34" s="6">
        <f>'YTD CF'!J34-'YTD CF'!I34</f>
        <v>-1511</v>
      </c>
      <c r="M34" s="6">
        <f>'CASH FLOW'!E34-'YTD CF'!J34</f>
        <v>-2507</v>
      </c>
      <c r="N34" s="6">
        <f>'YTD CF'!K34</f>
        <v>-1232</v>
      </c>
      <c r="O34" s="6">
        <f>'YTD CF'!L34-'YTD CF'!K34</f>
        <v>-2895</v>
      </c>
      <c r="P34" s="6">
        <f>'YTD CF'!M34-'YTD CF'!L34</f>
        <v>-1110</v>
      </c>
      <c r="Q34" s="6">
        <f>'CASH FLOW'!F34-'YTD CF'!M34</f>
        <v>-1642</v>
      </c>
      <c r="R34" s="6">
        <f>'YTD CF'!N34</f>
        <v>-477</v>
      </c>
      <c r="S34" s="7">
        <f t="shared" ref="S34:AO34" si="1">SUM(S27:S33)</f>
        <v>-566.91344383057094</v>
      </c>
      <c r="T34" s="7">
        <f t="shared" si="1"/>
        <v>-597.12255148166753</v>
      </c>
      <c r="U34" s="7">
        <f t="shared" si="1"/>
        <v>-731.9784028126569</v>
      </c>
      <c r="V34" s="7">
        <f t="shared" si="1"/>
        <v>-485.01707684580612</v>
      </c>
      <c r="W34" s="7">
        <f t="shared" si="1"/>
        <v>-615.12908579707516</v>
      </c>
      <c r="X34" s="7">
        <f t="shared" si="1"/>
        <v>-647.90745959361914</v>
      </c>
      <c r="Y34" s="7">
        <f t="shared" si="1"/>
        <v>-794.23271867216295</v>
      </c>
      <c r="Z34" s="7">
        <f t="shared" si="1"/>
        <v>-526.26748284575081</v>
      </c>
      <c r="AA34" s="7">
        <f t="shared" si="1"/>
        <v>-667.44543864906154</v>
      </c>
      <c r="AB34" s="7">
        <f t="shared" si="1"/>
        <v>-703.01159310668766</v>
      </c>
      <c r="AC34" s="7">
        <f t="shared" si="1"/>
        <v>-861.7817260529531</v>
      </c>
      <c r="AD34" s="7">
        <f t="shared" si="1"/>
        <v>-571.02621066856034</v>
      </c>
      <c r="AE34" s="7">
        <f t="shared" si="1"/>
        <v>-724.21126534146458</v>
      </c>
      <c r="AF34" s="7">
        <f t="shared" si="1"/>
        <v>-762.80229950183207</v>
      </c>
      <c r="AG34" s="7">
        <f t="shared" si="1"/>
        <v>-935.07573523341523</v>
      </c>
      <c r="AH34" s="7">
        <f t="shared" si="1"/>
        <v>-619.59164094139282</v>
      </c>
      <c r="AI34" s="7">
        <f t="shared" si="1"/>
        <v>-785.80499090541309</v>
      </c>
      <c r="AJ34" s="7">
        <f t="shared" si="1"/>
        <v>-827.67816893878683</v>
      </c>
      <c r="AK34" s="7">
        <f t="shared" si="1"/>
        <v>-1014.6033551059375</v>
      </c>
      <c r="AL34" s="7">
        <f t="shared" si="1"/>
        <v>-672.28753138141087</v>
      </c>
      <c r="AM34" s="7">
        <f t="shared" si="1"/>
        <v>-852.63722518968393</v>
      </c>
      <c r="AN34" s="7">
        <f t="shared" si="1"/>
        <v>-898.07169142680027</v>
      </c>
      <c r="AO34" s="7">
        <f t="shared" si="1"/>
        <v>-1100.8947504506245</v>
      </c>
    </row>
    <row r="35" spans="1:41" x14ac:dyDescent="0.25">
      <c r="A35" s="3" t="s">
        <v>90</v>
      </c>
      <c r="B35" s="4">
        <f>'YTD CF'!B35</f>
        <v>0</v>
      </c>
      <c r="C35" s="4">
        <f>'YTD CF'!C35-'YTD CF'!B35</f>
        <v>0</v>
      </c>
      <c r="D35" s="4">
        <f>'YTD CF'!D35-'YTD CF'!C35</f>
        <v>3377</v>
      </c>
      <c r="E35" s="4">
        <f>'CASH FLOW'!C35-'YTD CF'!D35</f>
        <v>0</v>
      </c>
      <c r="F35" s="4">
        <f>'YTD CF'!E35</f>
        <v>2986</v>
      </c>
      <c r="G35" s="4">
        <f>'YTD CF'!F35-'YTD CF'!E35</f>
        <v>0</v>
      </c>
      <c r="H35" s="4">
        <f>'YTD CF'!G35-'YTD CF'!F35</f>
        <v>0</v>
      </c>
      <c r="I35" s="4">
        <f>'CASH FLOW'!D35-'YTD CF'!G35</f>
        <v>2496</v>
      </c>
      <c r="J35" s="4">
        <f>'YTD CF'!H35</f>
        <v>1761</v>
      </c>
      <c r="K35" s="4">
        <f>'YTD CF'!I35-'YTD CF'!H35</f>
        <v>4</v>
      </c>
      <c r="L35" s="4">
        <f>'YTD CF'!J35-'YTD CF'!I35</f>
        <v>2249</v>
      </c>
      <c r="M35" s="4">
        <f>'CASH FLOW'!E35-'YTD CF'!J35</f>
        <v>28</v>
      </c>
      <c r="N35" s="4">
        <f>'YTD CF'!K35</f>
        <v>3505</v>
      </c>
      <c r="O35" s="4">
        <f>'YTD CF'!L35-'YTD CF'!K35</f>
        <v>16</v>
      </c>
      <c r="P35" s="4">
        <f>'YTD CF'!M35-'YTD CF'!L35</f>
        <v>4658</v>
      </c>
      <c r="Q35" s="4">
        <f>'CASH FLOW'!F35-'YTD CF'!M35</f>
        <v>10</v>
      </c>
      <c r="R35" s="4">
        <f>'YTD CF'!N35</f>
        <v>2964</v>
      </c>
      <c r="S35" s="11">
        <f>'CF DRIVERS'!S33</f>
        <v>0</v>
      </c>
      <c r="T35" s="11">
        <f>'CF DRIVERS'!T33</f>
        <v>0</v>
      </c>
      <c r="U35" s="11">
        <f>'CF DRIVERS'!U33</f>
        <v>0</v>
      </c>
      <c r="V35" s="11">
        <f>'CF DRIVERS'!V33</f>
        <v>0</v>
      </c>
      <c r="W35" s="11">
        <f>'CF DRIVERS'!W33</f>
        <v>0</v>
      </c>
      <c r="X35" s="11">
        <f>'CF DRIVERS'!X33</f>
        <v>0</v>
      </c>
      <c r="Y35" s="11">
        <f>'CF DRIVERS'!Y33</f>
        <v>0</v>
      </c>
      <c r="Z35" s="11">
        <f>'CF DRIVERS'!Z33</f>
        <v>0</v>
      </c>
      <c r="AA35" s="11">
        <f>'CF DRIVERS'!AA33</f>
        <v>0</v>
      </c>
      <c r="AB35" s="11">
        <f>'CF DRIVERS'!AB33</f>
        <v>0</v>
      </c>
      <c r="AC35" s="11">
        <f>'CF DRIVERS'!AC33</f>
        <v>0</v>
      </c>
      <c r="AD35" s="11">
        <f>'CF DRIVERS'!AD33</f>
        <v>0</v>
      </c>
      <c r="AE35" s="11">
        <f>'CF DRIVERS'!AE33</f>
        <v>0</v>
      </c>
      <c r="AF35" s="11">
        <f>'CF DRIVERS'!AF33</f>
        <v>0</v>
      </c>
      <c r="AG35" s="11">
        <f>'CF DRIVERS'!AG33</f>
        <v>0</v>
      </c>
      <c r="AH35" s="11">
        <f>'CF DRIVERS'!AH33</f>
        <v>0</v>
      </c>
      <c r="AI35" s="11">
        <f>'CF DRIVERS'!AI33</f>
        <v>0</v>
      </c>
      <c r="AJ35" s="11">
        <f>'CF DRIVERS'!AJ33</f>
        <v>0</v>
      </c>
      <c r="AK35" s="11">
        <f>'CF DRIVERS'!AK33</f>
        <v>0</v>
      </c>
      <c r="AL35" s="11">
        <f>'CF DRIVERS'!AL33</f>
        <v>0</v>
      </c>
      <c r="AM35" s="11">
        <f>'CF DRIVERS'!AM33</f>
        <v>0</v>
      </c>
      <c r="AN35" s="11">
        <f>'CF DRIVERS'!AN33</f>
        <v>0</v>
      </c>
      <c r="AO35" s="11">
        <f>'CF DRIVERS'!AO33</f>
        <v>0</v>
      </c>
    </row>
    <row r="36" spans="1:41" x14ac:dyDescent="0.25">
      <c r="A36" s="3" t="s">
        <v>91</v>
      </c>
      <c r="B36" s="4">
        <f>'YTD CF'!B36</f>
        <v>-1251</v>
      </c>
      <c r="C36" s="4">
        <f>'YTD CF'!C36-'YTD CF'!B36</f>
        <v>-1951</v>
      </c>
      <c r="D36" s="4">
        <f>'YTD CF'!D36-'YTD CF'!C36</f>
        <v>-1</v>
      </c>
      <c r="E36" s="4">
        <f>'CASH FLOW'!C36-'YTD CF'!D36</f>
        <v>-971</v>
      </c>
      <c r="F36" s="4">
        <f>'YTD CF'!E36</f>
        <v>-1251</v>
      </c>
      <c r="G36" s="4">
        <f>'YTD CF'!F36-'YTD CF'!E36</f>
        <v>-1001</v>
      </c>
      <c r="H36" s="4">
        <f>'YTD CF'!G36-'YTD CF'!F36</f>
        <v>-1</v>
      </c>
      <c r="I36" s="4">
        <f>'CASH FLOW'!D36-'YTD CF'!G36</f>
        <v>-752</v>
      </c>
      <c r="J36" s="4">
        <f>'YTD CF'!H36</f>
        <v>-1252</v>
      </c>
      <c r="K36" s="4">
        <f>'YTD CF'!I36-'YTD CF'!H36</f>
        <v>-1630</v>
      </c>
      <c r="L36" s="4">
        <f>'YTD CF'!J36-'YTD CF'!I36</f>
        <v>-1</v>
      </c>
      <c r="M36" s="4">
        <f>'CASH FLOW'!E36-'YTD CF'!J36</f>
        <v>-1003</v>
      </c>
      <c r="N36" s="4">
        <f>'YTD CF'!K36</f>
        <v>-1541</v>
      </c>
      <c r="O36" s="4">
        <f>'YTD CF'!L36-'YTD CF'!K36</f>
        <v>-1002</v>
      </c>
      <c r="P36" s="4">
        <f>'YTD CF'!M36-'YTD CF'!L36</f>
        <v>-702</v>
      </c>
      <c r="Q36" s="4">
        <f>'CASH FLOW'!F36-'YTD CF'!M36</f>
        <v>-837</v>
      </c>
      <c r="R36" s="4">
        <f>'YTD CF'!N36</f>
        <v>-1629</v>
      </c>
      <c r="S36" s="11">
        <f>'CF DRIVERS'!S34</f>
        <v>0</v>
      </c>
      <c r="T36" s="11">
        <f>'CF DRIVERS'!T34</f>
        <v>0</v>
      </c>
      <c r="U36" s="11">
        <f>'CF DRIVERS'!U34</f>
        <v>0</v>
      </c>
      <c r="V36" s="11">
        <f>'CF DRIVERS'!V34</f>
        <v>0</v>
      </c>
      <c r="W36" s="11">
        <f>'CF DRIVERS'!W34</f>
        <v>0</v>
      </c>
      <c r="X36" s="11">
        <f>'CF DRIVERS'!X34</f>
        <v>0</v>
      </c>
      <c r="Y36" s="11">
        <f>'CF DRIVERS'!Y34</f>
        <v>0</v>
      </c>
      <c r="Z36" s="11">
        <f>'CF DRIVERS'!Z34</f>
        <v>0</v>
      </c>
      <c r="AA36" s="11">
        <f>'CF DRIVERS'!AA34</f>
        <v>0</v>
      </c>
      <c r="AB36" s="11">
        <f>'CF DRIVERS'!AB34</f>
        <v>0</v>
      </c>
      <c r="AC36" s="11">
        <f>'CF DRIVERS'!AC34</f>
        <v>0</v>
      </c>
      <c r="AD36" s="11">
        <f>'CF DRIVERS'!AD34</f>
        <v>0</v>
      </c>
      <c r="AE36" s="11">
        <f>'CF DRIVERS'!AE34</f>
        <v>0</v>
      </c>
      <c r="AF36" s="11">
        <f>'CF DRIVERS'!AF34</f>
        <v>0</v>
      </c>
      <c r="AG36" s="11">
        <f>'CF DRIVERS'!AG34</f>
        <v>0</v>
      </c>
      <c r="AH36" s="11">
        <f>'CF DRIVERS'!AH34</f>
        <v>0</v>
      </c>
      <c r="AI36" s="11">
        <f>'CF DRIVERS'!AI34</f>
        <v>0</v>
      </c>
      <c r="AJ36" s="11">
        <f>'CF DRIVERS'!AJ34</f>
        <v>0</v>
      </c>
      <c r="AK36" s="11">
        <f>'CF DRIVERS'!AK34</f>
        <v>0</v>
      </c>
      <c r="AL36" s="11">
        <f>'CF DRIVERS'!AL34</f>
        <v>0</v>
      </c>
      <c r="AM36" s="11">
        <f>'CF DRIVERS'!AM34</f>
        <v>0</v>
      </c>
      <c r="AN36" s="11">
        <f>'CF DRIVERS'!AN34</f>
        <v>0</v>
      </c>
      <c r="AO36" s="11">
        <f>'CF DRIVERS'!AO34</f>
        <v>0</v>
      </c>
    </row>
    <row r="37" spans="1:41" x14ac:dyDescent="0.25">
      <c r="A37" s="3" t="s">
        <v>92</v>
      </c>
      <c r="B37" s="4">
        <f>'YTD CF'!B37</f>
        <v>559</v>
      </c>
      <c r="C37" s="4">
        <f>'YTD CF'!C37-'YTD CF'!B37</f>
        <v>1376</v>
      </c>
      <c r="D37" s="4">
        <f>'YTD CF'!D37-'YTD CF'!C37</f>
        <v>12</v>
      </c>
      <c r="E37" s="4">
        <f>'CASH FLOW'!C37-'YTD CF'!D37</f>
        <v>22</v>
      </c>
      <c r="F37" s="4">
        <f>'YTD CF'!E37</f>
        <v>393</v>
      </c>
      <c r="G37" s="4">
        <f>'YTD CF'!F37-'YTD CF'!E37</f>
        <v>1267</v>
      </c>
      <c r="H37" s="4">
        <f>'YTD CF'!G37-'YTD CF'!F37</f>
        <v>3028</v>
      </c>
      <c r="I37" s="4">
        <f>'CASH FLOW'!D37-'YTD CF'!G37</f>
        <v>740</v>
      </c>
      <c r="J37" s="4">
        <f>'YTD CF'!H37</f>
        <v>2313</v>
      </c>
      <c r="K37" s="4">
        <f>'YTD CF'!I37-'YTD CF'!H37</f>
        <v>767</v>
      </c>
      <c r="L37" s="4">
        <f>'YTD CF'!J37-'YTD CF'!I37</f>
        <v>728</v>
      </c>
      <c r="M37" s="4">
        <f>'CASH FLOW'!E37-'YTD CF'!J37</f>
        <v>1978</v>
      </c>
      <c r="N37" s="4">
        <f>'YTD CF'!K37</f>
        <v>3656</v>
      </c>
      <c r="O37" s="4">
        <f>'YTD CF'!L37-'YTD CF'!K37</f>
        <v>1595</v>
      </c>
      <c r="P37" s="4">
        <f>'YTD CF'!M37-'YTD CF'!L37</f>
        <v>277</v>
      </c>
      <c r="Q37" s="4">
        <f>'CASH FLOW'!F37-'YTD CF'!M37</f>
        <v>863</v>
      </c>
      <c r="R37" s="4">
        <f>'YTD CF'!N37</f>
        <v>1937</v>
      </c>
      <c r="S37" s="11">
        <f>'CF DRIVERS'!S35</f>
        <v>0</v>
      </c>
      <c r="T37" s="11">
        <f>'CF DRIVERS'!T35</f>
        <v>0</v>
      </c>
      <c r="U37" s="11">
        <f>'CF DRIVERS'!U35</f>
        <v>0</v>
      </c>
      <c r="V37" s="11">
        <f>'CF DRIVERS'!V35</f>
        <v>0</v>
      </c>
      <c r="W37" s="11">
        <f>'CF DRIVERS'!W35</f>
        <v>0</v>
      </c>
      <c r="X37" s="11">
        <f>'CF DRIVERS'!X35</f>
        <v>0</v>
      </c>
      <c r="Y37" s="11">
        <f>'CF DRIVERS'!Y35</f>
        <v>0</v>
      </c>
      <c r="Z37" s="11">
        <f>'CF DRIVERS'!Z35</f>
        <v>0</v>
      </c>
      <c r="AA37" s="11">
        <f>'CF DRIVERS'!AA35</f>
        <v>0</v>
      </c>
      <c r="AB37" s="11">
        <f>'CF DRIVERS'!AB35</f>
        <v>0</v>
      </c>
      <c r="AC37" s="11">
        <f>'CF DRIVERS'!AC35</f>
        <v>0</v>
      </c>
      <c r="AD37" s="11">
        <f>'CF DRIVERS'!AD35</f>
        <v>0</v>
      </c>
      <c r="AE37" s="11">
        <f>'CF DRIVERS'!AE35</f>
        <v>0</v>
      </c>
      <c r="AF37" s="11">
        <f>'CF DRIVERS'!AF35</f>
        <v>0</v>
      </c>
      <c r="AG37" s="11">
        <f>'CF DRIVERS'!AG35</f>
        <v>0</v>
      </c>
      <c r="AH37" s="11">
        <f>'CF DRIVERS'!AH35</f>
        <v>0</v>
      </c>
      <c r="AI37" s="11">
        <f>'CF DRIVERS'!AI35</f>
        <v>0</v>
      </c>
      <c r="AJ37" s="11">
        <f>'CF DRIVERS'!AJ35</f>
        <v>0</v>
      </c>
      <c r="AK37" s="11">
        <f>'CF DRIVERS'!AK35</f>
        <v>0</v>
      </c>
      <c r="AL37" s="11">
        <f>'CF DRIVERS'!AL35</f>
        <v>0</v>
      </c>
      <c r="AM37" s="11">
        <f>'CF DRIVERS'!AM35</f>
        <v>0</v>
      </c>
      <c r="AN37" s="11">
        <f>'CF DRIVERS'!AN35</f>
        <v>0</v>
      </c>
      <c r="AO37" s="11">
        <f>'CF DRIVERS'!AO35</f>
        <v>0</v>
      </c>
    </row>
    <row r="38" spans="1:41" x14ac:dyDescent="0.25">
      <c r="A38" s="3" t="s">
        <v>93</v>
      </c>
      <c r="B38" s="4">
        <f>'YTD CF'!B38</f>
        <v>0</v>
      </c>
      <c r="C38" s="4">
        <f>'YTD CF'!C38-'YTD CF'!B38</f>
        <v>0</v>
      </c>
      <c r="D38" s="4">
        <f>'YTD CF'!D38-'YTD CF'!C38</f>
        <v>-1932</v>
      </c>
      <c r="E38" s="4">
        <f>'CASH FLOW'!C38-'YTD CF'!D38</f>
        <v>-19</v>
      </c>
      <c r="F38" s="4">
        <f>'YTD CF'!E38</f>
        <v>-1</v>
      </c>
      <c r="G38" s="4">
        <f>'YTD CF'!F38-'YTD CF'!E38</f>
        <v>-25</v>
      </c>
      <c r="H38" s="4">
        <f>'YTD CF'!G38-'YTD CF'!F38</f>
        <v>-1011</v>
      </c>
      <c r="I38" s="4">
        <f>'CASH FLOW'!D38-'YTD CF'!G38</f>
        <v>-2069</v>
      </c>
      <c r="J38" s="4">
        <f>'YTD CF'!H38</f>
        <v>-1631</v>
      </c>
      <c r="K38" s="4">
        <f>'YTD CF'!I38-'YTD CF'!H38</f>
        <v>-507</v>
      </c>
      <c r="L38" s="4">
        <f>'YTD CF'!J38-'YTD CF'!I38</f>
        <v>-2039</v>
      </c>
      <c r="M38" s="4">
        <f>'CASH FLOW'!E38-'YTD CF'!J38</f>
        <v>-1462</v>
      </c>
      <c r="N38" s="4">
        <f>'YTD CF'!K38</f>
        <v>-2119</v>
      </c>
      <c r="O38" s="4">
        <f>'YTD CF'!L38-'YTD CF'!K38</f>
        <v>-373</v>
      </c>
      <c r="P38" s="4">
        <f>'YTD CF'!M38-'YTD CF'!L38</f>
        <v>-2925</v>
      </c>
      <c r="Q38" s="4">
        <f>'CASH FLOW'!F38-'YTD CF'!M38</f>
        <v>-2503</v>
      </c>
      <c r="R38" s="4">
        <f>'YTD CF'!N38</f>
        <v>-676</v>
      </c>
      <c r="S38" s="11">
        <f>'CF DRIVERS'!S36</f>
        <v>0</v>
      </c>
      <c r="T38" s="11">
        <f>'CF DRIVERS'!T36</f>
        <v>0</v>
      </c>
      <c r="U38" s="11">
        <f>'CF DRIVERS'!U36</f>
        <v>0</v>
      </c>
      <c r="V38" s="11">
        <f>'CF DRIVERS'!V36</f>
        <v>0</v>
      </c>
      <c r="W38" s="11">
        <f>'CF DRIVERS'!W36</f>
        <v>0</v>
      </c>
      <c r="X38" s="11">
        <f>'CF DRIVERS'!X36</f>
        <v>0</v>
      </c>
      <c r="Y38" s="11">
        <f>'CF DRIVERS'!Y36</f>
        <v>0</v>
      </c>
      <c r="Z38" s="11">
        <f>'CF DRIVERS'!Z36</f>
        <v>0</v>
      </c>
      <c r="AA38" s="11">
        <f>'CF DRIVERS'!AA36</f>
        <v>0</v>
      </c>
      <c r="AB38" s="11">
        <f>'CF DRIVERS'!AB36</f>
        <v>0</v>
      </c>
      <c r="AC38" s="11">
        <f>'CF DRIVERS'!AC36</f>
        <v>0</v>
      </c>
      <c r="AD38" s="11">
        <f>'CF DRIVERS'!AD36</f>
        <v>0</v>
      </c>
      <c r="AE38" s="11">
        <f>'CF DRIVERS'!AE36</f>
        <v>0</v>
      </c>
      <c r="AF38" s="11">
        <f>'CF DRIVERS'!AF36</f>
        <v>0</v>
      </c>
      <c r="AG38" s="11">
        <f>'CF DRIVERS'!AG36</f>
        <v>0</v>
      </c>
      <c r="AH38" s="11">
        <f>'CF DRIVERS'!AH36</f>
        <v>0</v>
      </c>
      <c r="AI38" s="11">
        <f>'CF DRIVERS'!AI36</f>
        <v>0</v>
      </c>
      <c r="AJ38" s="11">
        <f>'CF DRIVERS'!AJ36</f>
        <v>0</v>
      </c>
      <c r="AK38" s="11">
        <f>'CF DRIVERS'!AK36</f>
        <v>0</v>
      </c>
      <c r="AL38" s="11">
        <f>'CF DRIVERS'!AL36</f>
        <v>0</v>
      </c>
      <c r="AM38" s="11">
        <f>'CF DRIVERS'!AM36</f>
        <v>0</v>
      </c>
      <c r="AN38" s="11">
        <f>'CF DRIVERS'!AN36</f>
        <v>0</v>
      </c>
      <c r="AO38" s="11">
        <f>'CF DRIVERS'!AO36</f>
        <v>0</v>
      </c>
    </row>
    <row r="39" spans="1:41" x14ac:dyDescent="0.25">
      <c r="A39" s="3" t="s">
        <v>94</v>
      </c>
      <c r="B39" s="4">
        <f>'YTD CF'!B39</f>
        <v>647</v>
      </c>
      <c r="C39" s="4">
        <f>'YTD CF'!C39-'YTD CF'!B39</f>
        <v>197</v>
      </c>
      <c r="D39" s="4">
        <f>'YTD CF'!D39-'YTD CF'!C39</f>
        <v>-889</v>
      </c>
      <c r="E39" s="4">
        <f>'CASH FLOW'!C39-'YTD CF'!D39</f>
        <v>14</v>
      </c>
      <c r="F39" s="4">
        <f>'YTD CF'!E39</f>
        <v>491</v>
      </c>
      <c r="G39" s="4">
        <f>'YTD CF'!F39-'YTD CF'!E39</f>
        <v>1532</v>
      </c>
      <c r="H39" s="4">
        <f>'YTD CF'!G39-'YTD CF'!F39</f>
        <v>-628</v>
      </c>
      <c r="I39" s="4">
        <f>'CASH FLOW'!D39-'YTD CF'!G39</f>
        <v>-1424</v>
      </c>
      <c r="J39" s="4">
        <f>'YTD CF'!H39</f>
        <v>774</v>
      </c>
      <c r="K39" s="4">
        <f>'YTD CF'!I39-'YTD CF'!H39</f>
        <v>512</v>
      </c>
      <c r="L39" s="4">
        <f>'YTD CF'!J39-'YTD CF'!I39</f>
        <v>-1185</v>
      </c>
      <c r="M39" s="4">
        <f>'CASH FLOW'!E39-'YTD CF'!J39</f>
        <v>291</v>
      </c>
      <c r="N39" s="4">
        <f>'YTD CF'!K39</f>
        <v>373</v>
      </c>
      <c r="O39" s="4">
        <f>'YTD CF'!L39-'YTD CF'!K39</f>
        <v>2065</v>
      </c>
      <c r="P39" s="4">
        <f>'YTD CF'!M39-'YTD CF'!L39</f>
        <v>-1993</v>
      </c>
      <c r="Q39" s="4">
        <f>'CASH FLOW'!F39-'YTD CF'!M39</f>
        <v>725</v>
      </c>
      <c r="R39" s="4">
        <f>'YTD CF'!N39</f>
        <v>1198</v>
      </c>
      <c r="S39" s="11">
        <f>'CF DRIVERS'!S37</f>
        <v>0</v>
      </c>
      <c r="T39" s="11">
        <f>'CF DRIVERS'!T37</f>
        <v>0</v>
      </c>
      <c r="U39" s="11">
        <f>'CF DRIVERS'!U37</f>
        <v>0</v>
      </c>
      <c r="V39" s="11">
        <f>'CF DRIVERS'!V37</f>
        <v>0</v>
      </c>
      <c r="W39" s="11">
        <f>'CF DRIVERS'!W37</f>
        <v>0</v>
      </c>
      <c r="X39" s="11">
        <f>'CF DRIVERS'!X37</f>
        <v>0</v>
      </c>
      <c r="Y39" s="11">
        <f>'CF DRIVERS'!Y37</f>
        <v>0</v>
      </c>
      <c r="Z39" s="11">
        <f>'CF DRIVERS'!Z37</f>
        <v>0</v>
      </c>
      <c r="AA39" s="11">
        <f>'CF DRIVERS'!AA37</f>
        <v>0</v>
      </c>
      <c r="AB39" s="11">
        <f>'CF DRIVERS'!AB37</f>
        <v>0</v>
      </c>
      <c r="AC39" s="11">
        <f>'CF DRIVERS'!AC37</f>
        <v>0</v>
      </c>
      <c r="AD39" s="11">
        <f>'CF DRIVERS'!AD37</f>
        <v>0</v>
      </c>
      <c r="AE39" s="11">
        <f>'CF DRIVERS'!AE37</f>
        <v>0</v>
      </c>
      <c r="AF39" s="11">
        <f>'CF DRIVERS'!AF37</f>
        <v>0</v>
      </c>
      <c r="AG39" s="11">
        <f>'CF DRIVERS'!AG37</f>
        <v>0</v>
      </c>
      <c r="AH39" s="11">
        <f>'CF DRIVERS'!AH37</f>
        <v>0</v>
      </c>
      <c r="AI39" s="11">
        <f>'CF DRIVERS'!AI37</f>
        <v>0</v>
      </c>
      <c r="AJ39" s="11">
        <f>'CF DRIVERS'!AJ37</f>
        <v>0</v>
      </c>
      <c r="AK39" s="11">
        <f>'CF DRIVERS'!AK37</f>
        <v>0</v>
      </c>
      <c r="AL39" s="11">
        <f>'CF DRIVERS'!AL37</f>
        <v>0</v>
      </c>
      <c r="AM39" s="11">
        <f>'CF DRIVERS'!AM37</f>
        <v>0</v>
      </c>
      <c r="AN39" s="11">
        <f>'CF DRIVERS'!AN37</f>
        <v>0</v>
      </c>
      <c r="AO39" s="11">
        <f>'CF DRIVERS'!AO37</f>
        <v>0</v>
      </c>
    </row>
    <row r="40" spans="1:41" x14ac:dyDescent="0.25">
      <c r="A40" s="3" t="s">
        <v>95</v>
      </c>
      <c r="B40" s="4">
        <f>'YTD CF'!B40</f>
        <v>0</v>
      </c>
      <c r="C40" s="4">
        <f>'YTD CF'!C40-'YTD CF'!B40</f>
        <v>0</v>
      </c>
      <c r="D40" s="4">
        <f>'YTD CF'!D40-'YTD CF'!C40</f>
        <v>0</v>
      </c>
      <c r="E40" s="4">
        <f>'CASH FLOW'!C40-'YTD CF'!D40</f>
        <v>0</v>
      </c>
      <c r="F40" s="4">
        <f>'YTD CF'!E40</f>
        <v>0</v>
      </c>
      <c r="G40" s="4">
        <f>'YTD CF'!F40-'YTD CF'!E40</f>
        <v>0</v>
      </c>
      <c r="H40" s="4">
        <f>'YTD CF'!G40-'YTD CF'!F40</f>
        <v>0</v>
      </c>
      <c r="I40" s="4">
        <f>'CASH FLOW'!D40-'YTD CF'!G40</f>
        <v>0</v>
      </c>
      <c r="J40" s="4">
        <f>'YTD CF'!H40</f>
        <v>0</v>
      </c>
      <c r="K40" s="4">
        <f>'YTD CF'!I40-'YTD CF'!H40</f>
        <v>0</v>
      </c>
      <c r="L40" s="4">
        <f>'YTD CF'!J40-'YTD CF'!I40</f>
        <v>0</v>
      </c>
      <c r="M40" s="4">
        <f>'CASH FLOW'!E40-'YTD CF'!J40</f>
        <v>0</v>
      </c>
      <c r="N40" s="4">
        <f>'YTD CF'!K40</f>
        <v>0</v>
      </c>
      <c r="O40" s="4">
        <f>'YTD CF'!L40-'YTD CF'!K40</f>
        <v>0</v>
      </c>
      <c r="P40" s="4">
        <f>'YTD CF'!M40-'YTD CF'!L40</f>
        <v>0</v>
      </c>
      <c r="Q40" s="4">
        <f>'CASH FLOW'!F40-'YTD CF'!M40</f>
        <v>0</v>
      </c>
      <c r="R40" s="4">
        <f>'YTD CF'!N40</f>
        <v>0</v>
      </c>
      <c r="S40" s="11">
        <f>'CF DRIVERS'!S38</f>
        <v>0</v>
      </c>
      <c r="T40" s="11">
        <f>'CF DRIVERS'!T38</f>
        <v>0</v>
      </c>
      <c r="U40" s="11">
        <f>'CF DRIVERS'!U38</f>
        <v>0</v>
      </c>
      <c r="V40" s="11">
        <f>'CF DRIVERS'!V38</f>
        <v>0</v>
      </c>
      <c r="W40" s="11">
        <f>'CF DRIVERS'!W38</f>
        <v>0</v>
      </c>
      <c r="X40" s="11">
        <f>'CF DRIVERS'!X38</f>
        <v>0</v>
      </c>
      <c r="Y40" s="11">
        <f>'CF DRIVERS'!Y38</f>
        <v>0</v>
      </c>
      <c r="Z40" s="11">
        <f>'CF DRIVERS'!Z38</f>
        <v>0</v>
      </c>
      <c r="AA40" s="11">
        <f>'CF DRIVERS'!AA38</f>
        <v>0</v>
      </c>
      <c r="AB40" s="11">
        <f>'CF DRIVERS'!AB38</f>
        <v>0</v>
      </c>
      <c r="AC40" s="11">
        <f>'CF DRIVERS'!AC38</f>
        <v>0</v>
      </c>
      <c r="AD40" s="11">
        <f>'CF DRIVERS'!AD38</f>
        <v>0</v>
      </c>
      <c r="AE40" s="11">
        <f>'CF DRIVERS'!AE38</f>
        <v>0</v>
      </c>
      <c r="AF40" s="11">
        <f>'CF DRIVERS'!AF38</f>
        <v>0</v>
      </c>
      <c r="AG40" s="11">
        <f>'CF DRIVERS'!AG38</f>
        <v>0</v>
      </c>
      <c r="AH40" s="11">
        <f>'CF DRIVERS'!AH38</f>
        <v>0</v>
      </c>
      <c r="AI40" s="11">
        <f>'CF DRIVERS'!AI38</f>
        <v>0</v>
      </c>
      <c r="AJ40" s="11">
        <f>'CF DRIVERS'!AJ38</f>
        <v>0</v>
      </c>
      <c r="AK40" s="11">
        <f>'CF DRIVERS'!AK38</f>
        <v>0</v>
      </c>
      <c r="AL40" s="11">
        <f>'CF DRIVERS'!AL38</f>
        <v>0</v>
      </c>
      <c r="AM40" s="11">
        <f>'CF DRIVERS'!AM38</f>
        <v>0</v>
      </c>
      <c r="AN40" s="11">
        <f>'CF DRIVERS'!AN38</f>
        <v>0</v>
      </c>
      <c r="AO40" s="11">
        <f>'CF DRIVERS'!AO38</f>
        <v>0</v>
      </c>
    </row>
    <row r="41" spans="1:41" x14ac:dyDescent="0.25">
      <c r="A41" s="3" t="s">
        <v>96</v>
      </c>
      <c r="B41" s="4">
        <f>'YTD CF'!B41</f>
        <v>-1505</v>
      </c>
      <c r="C41" s="4">
        <f>'YTD CF'!C41-'YTD CF'!B41</f>
        <v>-1492</v>
      </c>
      <c r="D41" s="4">
        <f>'YTD CF'!D41-'YTD CF'!C41</f>
        <v>-1589</v>
      </c>
      <c r="E41" s="4">
        <f>'CASH FLOW'!C41-'YTD CF'!D41</f>
        <v>-1586</v>
      </c>
      <c r="F41" s="4">
        <f>'YTD CF'!E41</f>
        <v>-1608</v>
      </c>
      <c r="G41" s="4">
        <f>'YTD CF'!F41-'YTD CF'!E41</f>
        <v>-1591</v>
      </c>
      <c r="H41" s="4">
        <f>'YTD CF'!G41-'YTD CF'!F41</f>
        <v>-1742</v>
      </c>
      <c r="I41" s="4">
        <f>'CASH FLOW'!D41-'YTD CF'!G41</f>
        <v>-1741</v>
      </c>
      <c r="J41" s="4">
        <f>'YTD CF'!H41</f>
        <v>-1767</v>
      </c>
      <c r="K41" s="4">
        <f>'YTD CF'!I41-'YTD CF'!H41</f>
        <v>-1739</v>
      </c>
      <c r="L41" s="4">
        <f>'YTD CF'!J41-'YTD CF'!I41</f>
        <v>-1863</v>
      </c>
      <c r="M41" s="4">
        <f>'CASH FLOW'!E41-'YTD CF'!J41</f>
        <v>-1860</v>
      </c>
      <c r="N41" s="4">
        <f>'YTD CF'!K41</f>
        <v>-1882</v>
      </c>
      <c r="O41" s="4">
        <f>'YTD CF'!L41-'YTD CF'!K41</f>
        <v>-1861</v>
      </c>
      <c r="P41" s="4">
        <f>'YTD CF'!M41-'YTD CF'!L41</f>
        <v>-1949</v>
      </c>
      <c r="Q41" s="4">
        <f>'CASH FLOW'!F41-'YTD CF'!M41</f>
        <v>-1946</v>
      </c>
      <c r="R41" s="4">
        <f>'YTD CF'!N41</f>
        <v>-1966</v>
      </c>
      <c r="S41" s="11">
        <f>'QTR P&amp;L'!S13*'CF DRIVERS'!S39</f>
        <v>-2536.5558234276464</v>
      </c>
      <c r="T41" s="11">
        <f>'QTR P&amp;L'!T13*'CF DRIVERS'!T39</f>
        <v>-2680.2926867875135</v>
      </c>
      <c r="U41" s="11">
        <f>'QTR P&amp;L'!U13*'CF DRIVERS'!U39</f>
        <v>-3321.9454393254487</v>
      </c>
      <c r="V41" s="11">
        <f>'QTR P&amp;L'!V13*'CF DRIVERS'!V39</f>
        <v>-2146.887679405811</v>
      </c>
      <c r="W41" s="11">
        <f>'QTR P&amp;L'!W13*'CF DRIVERS'!W39</f>
        <v>-2765.9689269588971</v>
      </c>
      <c r="X41" s="11">
        <f>'QTR P&amp;L'!X13*'CF DRIVERS'!X39</f>
        <v>-2921.9305227123364</v>
      </c>
      <c r="Y41" s="11">
        <f>'QTR P&amp;L'!Y13*'CF DRIVERS'!Y39</f>
        <v>-3618.1554497504003</v>
      </c>
      <c r="Z41" s="11">
        <f>'QTR P&amp;L'!Z13*'CF DRIVERS'!Z39</f>
        <v>-2343.1597454076636</v>
      </c>
      <c r="AA41" s="11">
        <f>'QTR P&amp;L'!AA13*'CF DRIVERS'!AA39</f>
        <v>-3014.8934747549847</v>
      </c>
      <c r="AB41" s="11">
        <f>'QTR P&amp;L'!AB13*'CF DRIVERS'!AB39</f>
        <v>-3184.1195089217426</v>
      </c>
      <c r="AC41" s="11">
        <f>'QTR P&amp;L'!AC13*'CF DRIVERS'!AC39</f>
        <v>-3939.5579405530316</v>
      </c>
      <c r="AD41" s="11">
        <f>'QTR P&amp;L'!AD13*'CF DRIVERS'!AD39</f>
        <v>-2556.1246306844091</v>
      </c>
      <c r="AE41" s="11">
        <f>'QTR P&amp;L'!AE13*'CF DRIVERS'!AE39</f>
        <v>-3284.9889032275155</v>
      </c>
      <c r="AF41" s="11">
        <f>'QTR P&amp;L'!AF13*'CF DRIVERS'!AF39</f>
        <v>-3468.6075081889685</v>
      </c>
      <c r="AG41" s="11">
        <f>'QTR P&amp;L'!AG13*'CF DRIVERS'!AG39</f>
        <v>-4288.295516794763</v>
      </c>
      <c r="AH41" s="11">
        <f>'QTR P&amp;L'!AH13*'CF DRIVERS'!AH39</f>
        <v>-2787.202049314677</v>
      </c>
      <c r="AI41" s="11">
        <f>'QTR P&amp;L'!AI13*'CF DRIVERS'!AI39</f>
        <v>-3578.0557828408591</v>
      </c>
      <c r="AJ41" s="11">
        <f>'QTR P&amp;L'!AJ13*'CF DRIVERS'!AJ39</f>
        <v>-3777.291037948035</v>
      </c>
      <c r="AK41" s="11">
        <f>'QTR P&amp;L'!AK13*'CF DRIVERS'!AK39</f>
        <v>-4666.6930107881726</v>
      </c>
      <c r="AL41" s="11">
        <f>'QTR P&amp;L'!AL13*'CF DRIVERS'!AL39</f>
        <v>-3037.9324611919183</v>
      </c>
      <c r="AM41" s="11">
        <f>'QTR P&amp;L'!AM13*'CF DRIVERS'!AM39</f>
        <v>-3896.047821477066</v>
      </c>
      <c r="AN41" s="11">
        <f>'QTR P&amp;L'!AN13*'CF DRIVERS'!AN39</f>
        <v>-4112.2279132817912</v>
      </c>
      <c r="AO41" s="11">
        <f>'QTR P&amp;L'!AO13*'CF DRIVERS'!AO39</f>
        <v>-5077.2729804133714</v>
      </c>
    </row>
    <row r="42" spans="1:41" x14ac:dyDescent="0.25">
      <c r="A42" s="3" t="s">
        <v>97</v>
      </c>
      <c r="B42" s="4">
        <f>'YTD CF'!B42</f>
        <v>-193</v>
      </c>
      <c r="C42" s="4">
        <f>'YTD CF'!C42-'YTD CF'!B42</f>
        <v>-506</v>
      </c>
      <c r="D42" s="4">
        <f>'YTD CF'!D42-'YTD CF'!C42</f>
        <v>-457</v>
      </c>
      <c r="E42" s="4">
        <f>'CASH FLOW'!C42-'YTD CF'!D42</f>
        <v>-344</v>
      </c>
      <c r="F42" s="4">
        <f>'YTD CF'!E42</f>
        <v>-160</v>
      </c>
      <c r="G42" s="4">
        <f>'YTD CF'!F42-'YTD CF'!E42</f>
        <v>-293</v>
      </c>
      <c r="H42" s="4">
        <f>'YTD CF'!G42-'YTD CF'!F42</f>
        <v>-298</v>
      </c>
      <c r="I42" s="4">
        <f>'CASH FLOW'!D42-'YTD CF'!G42</f>
        <v>-249</v>
      </c>
      <c r="J42" s="4">
        <f>'YTD CF'!H42</f>
        <v>-146</v>
      </c>
      <c r="K42" s="4">
        <f>'YTD CF'!I42-'YTD CF'!H42</f>
        <v>-315</v>
      </c>
      <c r="L42" s="4">
        <f>'YTD CF'!J42-'YTD CF'!I42</f>
        <v>-299</v>
      </c>
      <c r="M42" s="4">
        <f>'CASH FLOW'!E42-'YTD CF'!J42</f>
        <v>-240</v>
      </c>
      <c r="N42" s="4">
        <f>'YTD CF'!K42</f>
        <v>-183</v>
      </c>
      <c r="O42" s="4">
        <f>'YTD CF'!L42-'YTD CF'!K42</f>
        <v>-311</v>
      </c>
      <c r="P42" s="4">
        <f>'YTD CF'!M42-'YTD CF'!L42</f>
        <v>-258</v>
      </c>
      <c r="Q42" s="4">
        <f>'CASH FLOW'!F42-'YTD CF'!M42</f>
        <v>-248</v>
      </c>
      <c r="R42" s="4">
        <f>'YTD CF'!N42</f>
        <v>-182</v>
      </c>
      <c r="S42" s="11">
        <f>'CF DRIVERS'!S40</f>
        <v>0</v>
      </c>
      <c r="T42" s="11">
        <f>'CF DRIVERS'!T40</f>
        <v>0</v>
      </c>
      <c r="U42" s="11">
        <f>'CF DRIVERS'!U40</f>
        <v>0</v>
      </c>
      <c r="V42" s="11">
        <f>'CF DRIVERS'!V40</f>
        <v>0</v>
      </c>
      <c r="W42" s="11">
        <f>'CF DRIVERS'!W40</f>
        <v>0</v>
      </c>
      <c r="X42" s="11">
        <f>'CF DRIVERS'!X40</f>
        <v>0</v>
      </c>
      <c r="Y42" s="11">
        <f>'CF DRIVERS'!Y40</f>
        <v>0</v>
      </c>
      <c r="Z42" s="11">
        <f>'CF DRIVERS'!Z40</f>
        <v>0</v>
      </c>
      <c r="AA42" s="11">
        <f>'CF DRIVERS'!AA40</f>
        <v>0</v>
      </c>
      <c r="AB42" s="11">
        <f>'CF DRIVERS'!AB40</f>
        <v>0</v>
      </c>
      <c r="AC42" s="11">
        <f>'CF DRIVERS'!AC40</f>
        <v>0</v>
      </c>
      <c r="AD42" s="11">
        <f>'CF DRIVERS'!AD40</f>
        <v>0</v>
      </c>
      <c r="AE42" s="11">
        <f>'CF DRIVERS'!AE40</f>
        <v>0</v>
      </c>
      <c r="AF42" s="11">
        <f>'CF DRIVERS'!AF40</f>
        <v>0</v>
      </c>
      <c r="AG42" s="11">
        <f>'CF DRIVERS'!AG40</f>
        <v>0</v>
      </c>
      <c r="AH42" s="11">
        <f>'CF DRIVERS'!AH40</f>
        <v>0</v>
      </c>
      <c r="AI42" s="11">
        <f>'CF DRIVERS'!AI40</f>
        <v>0</v>
      </c>
      <c r="AJ42" s="11">
        <f>'CF DRIVERS'!AJ40</f>
        <v>0</v>
      </c>
      <c r="AK42" s="11">
        <f>'CF DRIVERS'!AK40</f>
        <v>0</v>
      </c>
      <c r="AL42" s="11">
        <f>'CF DRIVERS'!AL40</f>
        <v>0</v>
      </c>
      <c r="AM42" s="11">
        <f>'CF DRIVERS'!AM40</f>
        <v>0</v>
      </c>
      <c r="AN42" s="11">
        <f>'CF DRIVERS'!AN40</f>
        <v>0</v>
      </c>
      <c r="AO42" s="11">
        <f>'CF DRIVERS'!AO40</f>
        <v>0</v>
      </c>
    </row>
    <row r="43" spans="1:41" x14ac:dyDescent="0.25">
      <c r="A43" s="3" t="s">
        <v>98</v>
      </c>
      <c r="B43" s="4">
        <f>'YTD CF'!B43</f>
        <v>49</v>
      </c>
      <c r="C43" s="4">
        <f>'YTD CF'!C43-'YTD CF'!B43</f>
        <v>40</v>
      </c>
      <c r="D43" s="4">
        <f>'YTD CF'!D43-'YTD CF'!C43</f>
        <v>24</v>
      </c>
      <c r="E43" s="4">
        <f>'CASH FLOW'!C43-'YTD CF'!D43</f>
        <v>25</v>
      </c>
      <c r="F43" s="4">
        <f>'YTD CF'!E43</f>
        <v>46</v>
      </c>
      <c r="G43" s="4">
        <f>'YTD CF'!F43-'YTD CF'!E43</f>
        <v>40</v>
      </c>
      <c r="H43" s="4">
        <f>'YTD CF'!G43-'YTD CF'!F43</f>
        <v>14</v>
      </c>
      <c r="I43" s="4">
        <f>'CASH FLOW'!D43-'YTD CF'!G43</f>
        <v>16</v>
      </c>
      <c r="J43" s="4">
        <f>'YTD CF'!H43</f>
        <v>66</v>
      </c>
      <c r="K43" s="4">
        <f>'YTD CF'!I43-'YTD CF'!H43</f>
        <v>41</v>
      </c>
      <c r="L43" s="4">
        <f>'YTD CF'!J43-'YTD CF'!I43</f>
        <v>31</v>
      </c>
      <c r="M43" s="4">
        <f>'CASH FLOW'!E43-'YTD CF'!J43</f>
        <v>28</v>
      </c>
      <c r="N43" s="4">
        <f>'YTD CF'!K43</f>
        <v>50</v>
      </c>
      <c r="O43" s="4">
        <f>'YTD CF'!L43-'YTD CF'!K43</f>
        <v>8</v>
      </c>
      <c r="P43" s="4">
        <f>'YTD CF'!M43-'YTD CF'!L43</f>
        <v>18</v>
      </c>
      <c r="Q43" s="4">
        <f>'CASH FLOW'!F43-'YTD CF'!M43</f>
        <v>21</v>
      </c>
      <c r="R43" s="4">
        <f>'YTD CF'!N43</f>
        <v>93</v>
      </c>
      <c r="S43" s="11">
        <f>'CF DRIVERS'!S41</f>
        <v>0</v>
      </c>
      <c r="T43" s="11">
        <f>'CF DRIVERS'!T41</f>
        <v>0</v>
      </c>
      <c r="U43" s="11">
        <f>'CF DRIVERS'!U41</f>
        <v>0</v>
      </c>
      <c r="V43" s="11">
        <f>'CF DRIVERS'!V41</f>
        <v>0</v>
      </c>
      <c r="W43" s="11">
        <f>'CF DRIVERS'!W41</f>
        <v>0</v>
      </c>
      <c r="X43" s="11">
        <f>'CF DRIVERS'!X41</f>
        <v>0</v>
      </c>
      <c r="Y43" s="11">
        <f>'CF DRIVERS'!Y41</f>
        <v>0</v>
      </c>
      <c r="Z43" s="11">
        <f>'CF DRIVERS'!Z41</f>
        <v>0</v>
      </c>
      <c r="AA43" s="11">
        <f>'CF DRIVERS'!AA41</f>
        <v>0</v>
      </c>
      <c r="AB43" s="11">
        <f>'CF DRIVERS'!AB41</f>
        <v>0</v>
      </c>
      <c r="AC43" s="11">
        <f>'CF DRIVERS'!AC41</f>
        <v>0</v>
      </c>
      <c r="AD43" s="11">
        <f>'CF DRIVERS'!AD41</f>
        <v>0</v>
      </c>
      <c r="AE43" s="11">
        <f>'CF DRIVERS'!AE41</f>
        <v>0</v>
      </c>
      <c r="AF43" s="11">
        <f>'CF DRIVERS'!AF41</f>
        <v>0</v>
      </c>
      <c r="AG43" s="11">
        <f>'CF DRIVERS'!AG41</f>
        <v>0</v>
      </c>
      <c r="AH43" s="11">
        <f>'CF DRIVERS'!AH41</f>
        <v>0</v>
      </c>
      <c r="AI43" s="11">
        <f>'CF DRIVERS'!AI41</f>
        <v>0</v>
      </c>
      <c r="AJ43" s="11">
        <f>'CF DRIVERS'!AJ41</f>
        <v>0</v>
      </c>
      <c r="AK43" s="11">
        <f>'CF DRIVERS'!AK41</f>
        <v>0</v>
      </c>
      <c r="AL43" s="11">
        <f>'CF DRIVERS'!AL41</f>
        <v>0</v>
      </c>
      <c r="AM43" s="11">
        <f>'CF DRIVERS'!AM41</f>
        <v>0</v>
      </c>
      <c r="AN43" s="11">
        <f>'CF DRIVERS'!AN41</f>
        <v>0</v>
      </c>
      <c r="AO43" s="11">
        <f>'CF DRIVERS'!AO41</f>
        <v>0</v>
      </c>
    </row>
    <row r="44" spans="1:41" x14ac:dyDescent="0.25">
      <c r="A44" s="3" t="s">
        <v>99</v>
      </c>
      <c r="B44" s="4">
        <f>'YTD CF'!B44</f>
        <v>-85</v>
      </c>
      <c r="C44" s="4">
        <f>'YTD CF'!C44-'YTD CF'!B44</f>
        <v>-2</v>
      </c>
      <c r="D44" s="4">
        <f>'YTD CF'!D44-'YTD CF'!C44</f>
        <v>-10</v>
      </c>
      <c r="E44" s="4">
        <f>'CASH FLOW'!C44-'YTD CF'!D44</f>
        <v>-10</v>
      </c>
      <c r="F44" s="4">
        <f>'YTD CF'!E44</f>
        <v>-116</v>
      </c>
      <c r="G44" s="4">
        <f>'YTD CF'!F44-'YTD CF'!E44</f>
        <v>-3</v>
      </c>
      <c r="H44" s="4">
        <f>'YTD CF'!G44-'YTD CF'!F44</f>
        <v>-16</v>
      </c>
      <c r="I44" s="4">
        <f>'CASH FLOW'!D44-'YTD CF'!G44</f>
        <v>-5</v>
      </c>
      <c r="J44" s="4">
        <f>'YTD CF'!H44</f>
        <v>-108</v>
      </c>
      <c r="K44" s="4">
        <f>'YTD CF'!I44-'YTD CF'!H44</f>
        <v>-23</v>
      </c>
      <c r="L44" s="4">
        <f>'YTD CF'!J44-'YTD CF'!I44</f>
        <v>-1</v>
      </c>
      <c r="M44" s="4">
        <f>'CASH FLOW'!E44-'YTD CF'!J44</f>
        <v>-3</v>
      </c>
      <c r="N44" s="4">
        <f>'YTD CF'!K44</f>
        <v>-89</v>
      </c>
      <c r="O44" s="4">
        <f>'YTD CF'!L44-'YTD CF'!K44</f>
        <v>-22</v>
      </c>
      <c r="P44" s="4">
        <f>'YTD CF'!M44-'YTD CF'!L44</f>
        <v>-1</v>
      </c>
      <c r="Q44" s="4">
        <f>'CASH FLOW'!F44-'YTD CF'!M44</f>
        <v>-1</v>
      </c>
      <c r="R44" s="4">
        <f>'YTD CF'!N44</f>
        <v>-76</v>
      </c>
      <c r="S44" s="11">
        <f>'CF DRIVERS'!S42</f>
        <v>0</v>
      </c>
      <c r="T44" s="11">
        <f>'CF DRIVERS'!T42</f>
        <v>0</v>
      </c>
      <c r="U44" s="11">
        <f>'CF DRIVERS'!U42</f>
        <v>0</v>
      </c>
      <c r="V44" s="11">
        <f>'CF DRIVERS'!V42</f>
        <v>0</v>
      </c>
      <c r="W44" s="11">
        <f>'CF DRIVERS'!W42</f>
        <v>0</v>
      </c>
      <c r="X44" s="11">
        <f>'CF DRIVERS'!X42</f>
        <v>0</v>
      </c>
      <c r="Y44" s="11">
        <f>'CF DRIVERS'!Y42</f>
        <v>0</v>
      </c>
      <c r="Z44" s="11">
        <f>'CF DRIVERS'!Z42</f>
        <v>0</v>
      </c>
      <c r="AA44" s="11">
        <f>'CF DRIVERS'!AA42</f>
        <v>0</v>
      </c>
      <c r="AB44" s="11">
        <f>'CF DRIVERS'!AB42</f>
        <v>0</v>
      </c>
      <c r="AC44" s="11">
        <f>'CF DRIVERS'!AC42</f>
        <v>0</v>
      </c>
      <c r="AD44" s="11">
        <f>'CF DRIVERS'!AD42</f>
        <v>0</v>
      </c>
      <c r="AE44" s="11">
        <f>'CF DRIVERS'!AE42</f>
        <v>0</v>
      </c>
      <c r="AF44" s="11">
        <f>'CF DRIVERS'!AF42</f>
        <v>0</v>
      </c>
      <c r="AG44" s="11">
        <f>'CF DRIVERS'!AG42</f>
        <v>0</v>
      </c>
      <c r="AH44" s="11">
        <f>'CF DRIVERS'!AH42</f>
        <v>0</v>
      </c>
      <c r="AI44" s="11">
        <f>'CF DRIVERS'!AI42</f>
        <v>0</v>
      </c>
      <c r="AJ44" s="11">
        <f>'CF DRIVERS'!AJ42</f>
        <v>0</v>
      </c>
      <c r="AK44" s="11">
        <f>'CF DRIVERS'!AK42</f>
        <v>0</v>
      </c>
      <c r="AL44" s="11">
        <f>'CF DRIVERS'!AL42</f>
        <v>0</v>
      </c>
      <c r="AM44" s="11">
        <f>'CF DRIVERS'!AM42</f>
        <v>0</v>
      </c>
      <c r="AN44" s="11">
        <f>'CF DRIVERS'!AN42</f>
        <v>0</v>
      </c>
      <c r="AO44" s="11">
        <f>'CF DRIVERS'!AO42</f>
        <v>0</v>
      </c>
    </row>
    <row r="45" spans="1:41" x14ac:dyDescent="0.25">
      <c r="A45" s="3" t="s">
        <v>100</v>
      </c>
      <c r="B45" s="4">
        <f>'YTD CF'!B45</f>
        <v>-1</v>
      </c>
      <c r="C45" s="4">
        <f>'YTD CF'!C45-'YTD CF'!B45</f>
        <v>-14</v>
      </c>
      <c r="D45" s="4">
        <f>'YTD CF'!D45-'YTD CF'!C45</f>
        <v>-10</v>
      </c>
      <c r="E45" s="4">
        <f>'CASH FLOW'!C45-'YTD CF'!D45</f>
        <v>-47</v>
      </c>
      <c r="F45" s="4">
        <f>'YTD CF'!E45</f>
        <v>-3</v>
      </c>
      <c r="G45" s="4">
        <f>'YTD CF'!F45-'YTD CF'!E45</f>
        <v>-13</v>
      </c>
      <c r="H45" s="4">
        <f>'YTD CF'!G45-'YTD CF'!F45</f>
        <v>-2</v>
      </c>
      <c r="I45" s="4">
        <f>'CASH FLOW'!D45-'YTD CF'!G45</f>
        <v>-55</v>
      </c>
      <c r="J45" s="4">
        <f>'YTD CF'!H45</f>
        <v>0</v>
      </c>
      <c r="K45" s="4">
        <f>'YTD CF'!I45-'YTD CF'!H45</f>
        <v>-20</v>
      </c>
      <c r="L45" s="4">
        <f>'YTD CF'!J45-'YTD CF'!I45</f>
        <v>-2</v>
      </c>
      <c r="M45" s="4">
        <f>'CASH FLOW'!E45-'YTD CF'!J45</f>
        <v>-31</v>
      </c>
      <c r="N45" s="4">
        <f>'YTD CF'!K45</f>
        <v>-2</v>
      </c>
      <c r="O45" s="4">
        <f>'YTD CF'!L45-'YTD CF'!K45</f>
        <v>-15</v>
      </c>
      <c r="P45" s="4">
        <f>'YTD CF'!M45-'YTD CF'!L45</f>
        <v>-1</v>
      </c>
      <c r="Q45" s="4">
        <f>'CASH FLOW'!F45-'YTD CF'!M45</f>
        <v>-55</v>
      </c>
      <c r="R45" s="4">
        <f>'YTD CF'!N45</f>
        <v>-1</v>
      </c>
      <c r="S45" s="11">
        <f>'CF DRIVERS'!S43</f>
        <v>0</v>
      </c>
      <c r="T45" s="11">
        <f>'CF DRIVERS'!T43</f>
        <v>0</v>
      </c>
      <c r="U45" s="11">
        <f>'CF DRIVERS'!U43</f>
        <v>0</v>
      </c>
      <c r="V45" s="11">
        <f>'CF DRIVERS'!V43</f>
        <v>0</v>
      </c>
      <c r="W45" s="11">
        <f>'CF DRIVERS'!W43</f>
        <v>0</v>
      </c>
      <c r="X45" s="11">
        <f>'CF DRIVERS'!X43</f>
        <v>0</v>
      </c>
      <c r="Y45" s="11">
        <f>'CF DRIVERS'!Y43</f>
        <v>0</v>
      </c>
      <c r="Z45" s="11">
        <f>'CF DRIVERS'!Z43</f>
        <v>0</v>
      </c>
      <c r="AA45" s="11">
        <f>'CF DRIVERS'!AA43</f>
        <v>0</v>
      </c>
      <c r="AB45" s="11">
        <f>'CF DRIVERS'!AB43</f>
        <v>0</v>
      </c>
      <c r="AC45" s="11">
        <f>'CF DRIVERS'!AC43</f>
        <v>0</v>
      </c>
      <c r="AD45" s="11">
        <f>'CF DRIVERS'!AD43</f>
        <v>0</v>
      </c>
      <c r="AE45" s="11">
        <f>'CF DRIVERS'!AE43</f>
        <v>0</v>
      </c>
      <c r="AF45" s="11">
        <f>'CF DRIVERS'!AF43</f>
        <v>0</v>
      </c>
      <c r="AG45" s="11">
        <f>'CF DRIVERS'!AG43</f>
        <v>0</v>
      </c>
      <c r="AH45" s="11">
        <f>'CF DRIVERS'!AH43</f>
        <v>0</v>
      </c>
      <c r="AI45" s="11">
        <f>'CF DRIVERS'!AI43</f>
        <v>0</v>
      </c>
      <c r="AJ45" s="11">
        <f>'CF DRIVERS'!AJ43</f>
        <v>0</v>
      </c>
      <c r="AK45" s="11">
        <f>'CF DRIVERS'!AK43</f>
        <v>0</v>
      </c>
      <c r="AL45" s="11">
        <f>'CF DRIVERS'!AL43</f>
        <v>0</v>
      </c>
      <c r="AM45" s="11">
        <f>'CF DRIVERS'!AM43</f>
        <v>0</v>
      </c>
      <c r="AN45" s="11">
        <f>'CF DRIVERS'!AN43</f>
        <v>0</v>
      </c>
      <c r="AO45" s="11">
        <f>'CF DRIVERS'!AO43</f>
        <v>0</v>
      </c>
    </row>
    <row r="46" spans="1:41" x14ac:dyDescent="0.25">
      <c r="A46" s="3" t="s">
        <v>101</v>
      </c>
      <c r="B46" s="6">
        <f>'YTD CF'!B46</f>
        <v>-1780</v>
      </c>
      <c r="C46" s="6">
        <f>'YTD CF'!C46-'YTD CF'!B46</f>
        <v>-2352</v>
      </c>
      <c r="D46" s="6">
        <f>'YTD CF'!D46-'YTD CF'!C46</f>
        <v>-1475</v>
      </c>
      <c r="E46" s="6">
        <f>'CASH FLOW'!C46-'YTD CF'!D46</f>
        <v>-2916</v>
      </c>
      <c r="F46" s="6">
        <f>'YTD CF'!E46</f>
        <v>777</v>
      </c>
      <c r="G46" s="6">
        <f>'YTD CF'!F46-'YTD CF'!E46</f>
        <v>-87</v>
      </c>
      <c r="H46" s="6">
        <f>'YTD CF'!G46-'YTD CF'!F46</f>
        <v>-656</v>
      </c>
      <c r="I46" s="6">
        <f>'CASH FLOW'!D46-'YTD CF'!G46</f>
        <v>-3043</v>
      </c>
      <c r="J46" s="6">
        <f>'YTD CF'!H46</f>
        <v>10</v>
      </c>
      <c r="K46" s="6">
        <f>'YTD CF'!I46-'YTD CF'!H46</f>
        <v>-2910</v>
      </c>
      <c r="L46" s="6">
        <f>'YTD CF'!J46-'YTD CF'!I46</f>
        <v>-2382</v>
      </c>
      <c r="M46" s="6">
        <f>'CASH FLOW'!E46-'YTD CF'!J46</f>
        <v>-2274</v>
      </c>
      <c r="N46" s="6">
        <f>'YTD CF'!K46</f>
        <v>1768</v>
      </c>
      <c r="O46" s="6">
        <f>'YTD CF'!L46-'YTD CF'!K46</f>
        <v>100</v>
      </c>
      <c r="P46" s="6">
        <f>'YTD CF'!M46-'YTD CF'!L46</f>
        <v>-2876</v>
      </c>
      <c r="Q46" s="6">
        <f>'CASH FLOW'!F46-'YTD CF'!M46</f>
        <v>-3971</v>
      </c>
      <c r="R46" s="6">
        <f>'YTD CF'!N46</f>
        <v>1662</v>
      </c>
      <c r="S46" s="7">
        <f t="shared" ref="S46:AO46" si="2">SUM(S35:S45)</f>
        <v>-2536.5558234276464</v>
      </c>
      <c r="T46" s="7">
        <f t="shared" si="2"/>
        <v>-2680.2926867875135</v>
      </c>
      <c r="U46" s="7">
        <f t="shared" si="2"/>
        <v>-3321.9454393254487</v>
      </c>
      <c r="V46" s="7">
        <f t="shared" si="2"/>
        <v>-2146.887679405811</v>
      </c>
      <c r="W46" s="7">
        <f t="shared" si="2"/>
        <v>-2765.9689269588971</v>
      </c>
      <c r="X46" s="7">
        <f t="shared" si="2"/>
        <v>-2921.9305227123364</v>
      </c>
      <c r="Y46" s="7">
        <f t="shared" si="2"/>
        <v>-3618.1554497504003</v>
      </c>
      <c r="Z46" s="7">
        <f t="shared" si="2"/>
        <v>-2343.1597454076636</v>
      </c>
      <c r="AA46" s="7">
        <f t="shared" si="2"/>
        <v>-3014.8934747549847</v>
      </c>
      <c r="AB46" s="7">
        <f t="shared" si="2"/>
        <v>-3184.1195089217426</v>
      </c>
      <c r="AC46" s="7">
        <f t="shared" si="2"/>
        <v>-3939.5579405530316</v>
      </c>
      <c r="AD46" s="7">
        <f t="shared" si="2"/>
        <v>-2556.1246306844091</v>
      </c>
      <c r="AE46" s="7">
        <f t="shared" si="2"/>
        <v>-3284.9889032275155</v>
      </c>
      <c r="AF46" s="7">
        <f t="shared" si="2"/>
        <v>-3468.6075081889685</v>
      </c>
      <c r="AG46" s="7">
        <f t="shared" si="2"/>
        <v>-4288.295516794763</v>
      </c>
      <c r="AH46" s="7">
        <f t="shared" si="2"/>
        <v>-2787.202049314677</v>
      </c>
      <c r="AI46" s="7">
        <f t="shared" si="2"/>
        <v>-3578.0557828408591</v>
      </c>
      <c r="AJ46" s="7">
        <f t="shared" si="2"/>
        <v>-3777.291037948035</v>
      </c>
      <c r="AK46" s="7">
        <f t="shared" si="2"/>
        <v>-4666.6930107881726</v>
      </c>
      <c r="AL46" s="7">
        <f t="shared" si="2"/>
        <v>-3037.9324611919183</v>
      </c>
      <c r="AM46" s="7">
        <f t="shared" si="2"/>
        <v>-3896.047821477066</v>
      </c>
      <c r="AN46" s="7">
        <f t="shared" si="2"/>
        <v>-4112.2279132817912</v>
      </c>
      <c r="AO46" s="7">
        <f t="shared" si="2"/>
        <v>-5077.2729804133714</v>
      </c>
    </row>
    <row r="47" spans="1:41" x14ac:dyDescent="0.25">
      <c r="A47" s="3" t="s">
        <v>102</v>
      </c>
      <c r="B47" s="4">
        <f>'YTD CF'!B47</f>
        <v>-17</v>
      </c>
      <c r="C47" s="4">
        <f>'YTD CF'!C47-'YTD CF'!B47</f>
        <v>-66</v>
      </c>
      <c r="D47" s="4">
        <f>'YTD CF'!D47-'YTD CF'!C47</f>
        <v>-114</v>
      </c>
      <c r="E47" s="4">
        <f>'CASH FLOW'!C47-'YTD CF'!D47</f>
        <v>-268</v>
      </c>
      <c r="F47" s="4">
        <f>'YTD CF'!E47</f>
        <v>-116</v>
      </c>
      <c r="G47" s="4">
        <f>'YTD CF'!F47-'YTD CF'!E47</f>
        <v>-28</v>
      </c>
      <c r="H47" s="4">
        <f>'YTD CF'!G47-'YTD CF'!F47</f>
        <v>-110</v>
      </c>
      <c r="I47" s="4">
        <f>'CASH FLOW'!D47-'YTD CF'!G47</f>
        <v>-23</v>
      </c>
      <c r="J47" s="4">
        <f>'YTD CF'!H47</f>
        <v>-38</v>
      </c>
      <c r="K47" s="4">
        <f>'YTD CF'!I47-'YTD CF'!H47</f>
        <v>-266</v>
      </c>
      <c r="L47" s="4">
        <f>'YTD CF'!J47-'YTD CF'!I47</f>
        <v>-87</v>
      </c>
      <c r="M47" s="4">
        <f>'CASH FLOW'!E47-'YTD CF'!J47</f>
        <v>-296</v>
      </c>
      <c r="N47" s="4">
        <f>'YTD CF'!K47</f>
        <v>203</v>
      </c>
      <c r="O47" s="4">
        <f>'YTD CF'!L47-'YTD CF'!K47</f>
        <v>219</v>
      </c>
      <c r="P47" s="4">
        <f>'YTD CF'!M47-'YTD CF'!L47</f>
        <v>-27</v>
      </c>
      <c r="Q47" s="4">
        <f>'CASH FLOW'!F47-'YTD CF'!M47</f>
        <v>27</v>
      </c>
      <c r="R47" s="4">
        <f>'YTD CF'!N47</f>
        <v>121</v>
      </c>
      <c r="S47" s="11">
        <f>'CF DRIVERS'!S44</f>
        <v>121</v>
      </c>
      <c r="T47" s="11">
        <f>'CF DRIVERS'!T44</f>
        <v>121</v>
      </c>
      <c r="U47" s="11">
        <f>'CF DRIVERS'!U44</f>
        <v>121</v>
      </c>
      <c r="V47" s="11">
        <f>'CF DRIVERS'!V44</f>
        <v>121</v>
      </c>
      <c r="W47" s="11">
        <f>'CF DRIVERS'!W44</f>
        <v>121</v>
      </c>
      <c r="X47" s="11">
        <f>'CF DRIVERS'!X44</f>
        <v>121</v>
      </c>
      <c r="Y47" s="11">
        <f>'CF DRIVERS'!Y44</f>
        <v>121</v>
      </c>
      <c r="Z47" s="11">
        <f>'CF DRIVERS'!Z44</f>
        <v>121</v>
      </c>
      <c r="AA47" s="11">
        <f>'CF DRIVERS'!AA44</f>
        <v>121</v>
      </c>
      <c r="AB47" s="11">
        <f>'CF DRIVERS'!AB44</f>
        <v>121</v>
      </c>
      <c r="AC47" s="11">
        <f>'CF DRIVERS'!AC44</f>
        <v>121</v>
      </c>
      <c r="AD47" s="11">
        <f>'CF DRIVERS'!AD44</f>
        <v>121</v>
      </c>
      <c r="AE47" s="11">
        <f>'CF DRIVERS'!AE44</f>
        <v>121</v>
      </c>
      <c r="AF47" s="11">
        <f>'CF DRIVERS'!AF44</f>
        <v>121</v>
      </c>
      <c r="AG47" s="11">
        <f>'CF DRIVERS'!AG44</f>
        <v>121</v>
      </c>
      <c r="AH47" s="11">
        <f>'CF DRIVERS'!AH44</f>
        <v>121</v>
      </c>
      <c r="AI47" s="11">
        <f>'CF DRIVERS'!AI44</f>
        <v>121</v>
      </c>
      <c r="AJ47" s="11">
        <f>'CF DRIVERS'!AJ44</f>
        <v>121</v>
      </c>
      <c r="AK47" s="11">
        <f>'CF DRIVERS'!AK44</f>
        <v>121</v>
      </c>
      <c r="AL47" s="11">
        <f>'CF DRIVERS'!AL44</f>
        <v>121</v>
      </c>
      <c r="AM47" s="11">
        <f>'CF DRIVERS'!AM44</f>
        <v>121</v>
      </c>
      <c r="AN47" s="11">
        <f>'CF DRIVERS'!AN44</f>
        <v>121</v>
      </c>
      <c r="AO47" s="11">
        <f>'CF DRIVERS'!AO44</f>
        <v>121</v>
      </c>
    </row>
    <row r="48" spans="1:41" x14ac:dyDescent="0.25">
      <c r="A48" s="3" t="s">
        <v>103</v>
      </c>
      <c r="B48" s="6">
        <f>'YTD CF'!B48</f>
        <v>984</v>
      </c>
      <c r="C48" s="6">
        <f>'YTD CF'!C48-'YTD CF'!B48</f>
        <v>-1146</v>
      </c>
      <c r="D48" s="6">
        <f>'YTD CF'!D48-'YTD CF'!C48</f>
        <v>973</v>
      </c>
      <c r="E48" s="6">
        <f>'CASH FLOW'!C48-'YTD CF'!D48</f>
        <v>-1418</v>
      </c>
      <c r="F48" s="6">
        <f>'YTD CF'!E48</f>
        <v>-263</v>
      </c>
      <c r="G48" s="6">
        <f>'YTD CF'!F48-'YTD CF'!E48</f>
        <v>1405</v>
      </c>
      <c r="H48" s="6">
        <f>'YTD CF'!G48-'YTD CF'!F48</f>
        <v>3889</v>
      </c>
      <c r="I48" s="6">
        <f>'CASH FLOW'!D48-'YTD CF'!G48</f>
        <v>-370</v>
      </c>
      <c r="J48" s="6">
        <f>'YTD CF'!H48</f>
        <v>-1631</v>
      </c>
      <c r="K48" s="6">
        <f>'YTD CF'!I48-'YTD CF'!H48</f>
        <v>-1712</v>
      </c>
      <c r="L48" s="6">
        <f>'YTD CF'!J48-'YTD CF'!I48</f>
        <v>925</v>
      </c>
      <c r="M48" s="6">
        <f>'CASH FLOW'!E48-'YTD CF'!J48</f>
        <v>1210</v>
      </c>
      <c r="N48" s="6">
        <f>'YTD CF'!K48</f>
        <v>-234</v>
      </c>
      <c r="O48" s="6">
        <f>'YTD CF'!L48-'YTD CF'!K48</f>
        <v>-607</v>
      </c>
      <c r="P48" s="6">
        <f>'YTD CF'!M48-'YTD CF'!L48</f>
        <v>459</v>
      </c>
      <c r="Q48" s="6">
        <f>'CASH FLOW'!F48-'YTD CF'!M48</f>
        <v>1033</v>
      </c>
      <c r="R48" s="6">
        <f>'YTD CF'!N48</f>
        <v>1347</v>
      </c>
      <c r="S48" s="7">
        <f t="shared" ref="S48:AO48" si="3">S26+S34+S46+S47</f>
        <v>2172.6566549472586</v>
      </c>
      <c r="T48" s="7">
        <f t="shared" si="3"/>
        <v>1587.5094054558645</v>
      </c>
      <c r="U48" s="7">
        <f t="shared" si="3"/>
        <v>2570.9118822580399</v>
      </c>
      <c r="V48" s="7">
        <f t="shared" si="3"/>
        <v>-583.78492001887025</v>
      </c>
      <c r="W48" s="7">
        <f t="shared" si="3"/>
        <v>2330.5162319505262</v>
      </c>
      <c r="X48" s="7">
        <f t="shared" si="3"/>
        <v>1695.6025664635376</v>
      </c>
      <c r="Y48" s="7">
        <f t="shared" si="3"/>
        <v>2762.6428229770008</v>
      </c>
      <c r="Z48" s="7">
        <f t="shared" si="3"/>
        <v>-660.35901455131852</v>
      </c>
      <c r="AA48" s="7">
        <f t="shared" si="3"/>
        <v>2501.8016695125798</v>
      </c>
      <c r="AB48" s="7">
        <f t="shared" si="3"/>
        <v>1812.8889847609962</v>
      </c>
      <c r="AC48" s="7">
        <f t="shared" si="3"/>
        <v>2970.6803630405493</v>
      </c>
      <c r="AD48" s="7">
        <f t="shared" si="3"/>
        <v>-743.44568903060235</v>
      </c>
      <c r="AE48" s="7">
        <f t="shared" si="3"/>
        <v>2687.6548288696254</v>
      </c>
      <c r="AF48" s="7">
        <f t="shared" si="3"/>
        <v>1940.1505412629058</v>
      </c>
      <c r="AG48" s="7">
        <f t="shared" si="3"/>
        <v>3196.4113687582658</v>
      </c>
      <c r="AH48" s="7">
        <f t="shared" si="3"/>
        <v>-833.59883440148883</v>
      </c>
      <c r="AI48" s="7">
        <f t="shared" si="3"/>
        <v>2889.3146858582504</v>
      </c>
      <c r="AJ48" s="7">
        <f t="shared" si="3"/>
        <v>2078.2356153778924</v>
      </c>
      <c r="AK48" s="7">
        <f t="shared" si="3"/>
        <v>3441.3406585718276</v>
      </c>
      <c r="AL48" s="7">
        <f t="shared" si="3"/>
        <v>-931.41944969508745</v>
      </c>
      <c r="AM48" s="7">
        <f t="shared" si="3"/>
        <v>3108.1255904528057</v>
      </c>
      <c r="AN48" s="7">
        <f t="shared" si="3"/>
        <v>2228.0647406648941</v>
      </c>
      <c r="AO48" s="7">
        <f t="shared" si="3"/>
        <v>3707.101034811868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2" width="8" customWidth="1"/>
    <col min="3" max="42" width="13" customWidth="1"/>
  </cols>
  <sheetData>
    <row r="1" spans="1:42" x14ac:dyDescent="0.25">
      <c r="A1" s="1" t="s">
        <v>144</v>
      </c>
      <c r="B1" s="2" t="s">
        <v>145</v>
      </c>
      <c r="C1" s="2" t="s">
        <v>104</v>
      </c>
      <c r="D1" s="2" t="s">
        <v>105</v>
      </c>
      <c r="E1" s="2" t="s">
        <v>106</v>
      </c>
      <c r="F1" s="2" t="s">
        <v>117</v>
      </c>
      <c r="G1" s="2" t="s">
        <v>107</v>
      </c>
      <c r="H1" s="2" t="s">
        <v>108</v>
      </c>
      <c r="I1" s="2" t="s">
        <v>109</v>
      </c>
      <c r="J1" s="2" t="s">
        <v>118</v>
      </c>
      <c r="K1" s="2" t="s">
        <v>110</v>
      </c>
      <c r="L1" s="2" t="s">
        <v>111</v>
      </c>
      <c r="M1" s="2" t="s">
        <v>112</v>
      </c>
      <c r="N1" s="2" t="s">
        <v>119</v>
      </c>
      <c r="O1" s="2" t="s">
        <v>113</v>
      </c>
      <c r="P1" s="2" t="s">
        <v>114</v>
      </c>
      <c r="Q1" s="2" t="s">
        <v>115</v>
      </c>
      <c r="R1" s="2" t="s">
        <v>120</v>
      </c>
      <c r="S1" s="2" t="s">
        <v>116</v>
      </c>
      <c r="T1" s="2" t="s">
        <v>121</v>
      </c>
      <c r="U1" s="2" t="s">
        <v>122</v>
      </c>
      <c r="V1" s="2" t="s">
        <v>123</v>
      </c>
      <c r="W1" s="2" t="s">
        <v>124</v>
      </c>
      <c r="X1" s="2" t="s">
        <v>125</v>
      </c>
      <c r="Y1" s="2" t="s">
        <v>126</v>
      </c>
      <c r="Z1" s="2" t="s">
        <v>127</v>
      </c>
      <c r="AA1" s="2" t="s">
        <v>128</v>
      </c>
      <c r="AB1" s="2" t="s">
        <v>129</v>
      </c>
      <c r="AC1" s="2" t="s">
        <v>130</v>
      </c>
      <c r="AD1" s="2" t="s">
        <v>131</v>
      </c>
      <c r="AE1" s="2" t="s">
        <v>132</v>
      </c>
      <c r="AF1" s="2" t="s">
        <v>133</v>
      </c>
      <c r="AG1" s="2" t="s">
        <v>134</v>
      </c>
      <c r="AH1" s="2" t="s">
        <v>135</v>
      </c>
      <c r="AI1" s="2" t="s">
        <v>136</v>
      </c>
      <c r="AJ1" s="2" t="s">
        <v>137</v>
      </c>
      <c r="AK1" s="2" t="s">
        <v>138</v>
      </c>
      <c r="AL1" s="2" t="s">
        <v>139</v>
      </c>
      <c r="AM1" s="2" t="s">
        <v>140</v>
      </c>
      <c r="AN1" s="2" t="s">
        <v>141</v>
      </c>
      <c r="AO1" s="2" t="s">
        <v>142</v>
      </c>
      <c r="AP1" s="2" t="s">
        <v>143</v>
      </c>
    </row>
    <row r="2" spans="1:42" x14ac:dyDescent="0.25">
      <c r="A2" s="3" t="s">
        <v>146</v>
      </c>
      <c r="B2" s="12" t="s">
        <v>147</v>
      </c>
      <c r="D2" s="13">
        <f>IFERROR('QTR P&amp;L'!C2/'QTR P&amp;L'!B2-1,"")</f>
        <v>0.24845679012345689</v>
      </c>
      <c r="E2" s="13">
        <f>IFERROR('QTR P&amp;L'!D2/'QTR P&amp;L'!C2-1,"")</f>
        <v>8.6328800988875187E-2</v>
      </c>
      <c r="F2" s="13">
        <f>IFERROR('QTR P&amp;L'!E2/'QTR P&amp;L'!D2-1,"")</f>
        <v>0.27422511492421831</v>
      </c>
      <c r="G2" s="13">
        <f>IFERROR('QTR P&amp;L'!F2/IF($B2="QoQ",'QTR P&amp;L'!E2,'QTR P&amp;L'!B2)-1,"")</f>
        <v>0.10160493827160488</v>
      </c>
      <c r="H2" s="13">
        <f>IFERROR('QTR P&amp;L'!G2/IF($B2="QoQ",'QTR P&amp;L'!F2,'QTR P&amp;L'!C2)-1,"")</f>
        <v>0.10368355995055634</v>
      </c>
      <c r="I2" s="13">
        <f>IFERROR('QTR P&amp;L'!H2/IF($B2="QoQ",'QTR P&amp;L'!G2,'QTR P&amp;L'!D2)-1,"")</f>
        <v>6.7452551090073198E-2</v>
      </c>
      <c r="J2" s="13">
        <f>IFERROR('QTR P&amp;L'!I2/IF($B2="QoQ",'QTR P&amp;L'!H2,'QTR P&amp;L'!E2)-1,"")</f>
        <v>-5.2150307186741296E-3</v>
      </c>
      <c r="K2" s="13">
        <f>IFERROR('QTR P&amp;L'!J2/IF($B2="QoQ",'QTR P&amp;L'!I2,'QTR P&amp;L'!F2)-1,"")</f>
        <v>2.2638126190743124E-2</v>
      </c>
      <c r="L2" s="13">
        <f>IFERROR('QTR P&amp;L'!K2/IF($B2="QoQ",'QTR P&amp;L'!J2,'QTR P&amp;L'!G2)-1,"")</f>
        <v>8.0189947137352391E-3</v>
      </c>
      <c r="M2" s="13">
        <f>IFERROR('QTR P&amp;L'!L2/IF($B2="QoQ",'QTR P&amp;L'!K2,'QTR P&amp;L'!H2)-1,"")</f>
        <v>-5.7135547691127275E-3</v>
      </c>
      <c r="N2" s="13">
        <f>IFERROR('QTR P&amp;L'!M2/IF($B2="QoQ",'QTR P&amp;L'!L2,'QTR P&amp;L'!I2)-1,"")</f>
        <v>-2.3698384201077394E-3</v>
      </c>
      <c r="O2" s="13">
        <f>IFERROR('QTR P&amp;L'!N2/IF($B2="QoQ",'QTR P&amp;L'!M2,'QTR P&amp;L'!J2)-1,"")</f>
        <v>-1.813698630136984E-2</v>
      </c>
      <c r="P2" s="13">
        <f>IFERROR('QTR P&amp;L'!O2/IF($B2="QoQ",'QTR P&amp;L'!N2,'QTR P&amp;L'!K2)-1,"")</f>
        <v>9.9995555753078502E-3</v>
      </c>
      <c r="Q2" s="13">
        <f>IFERROR('QTR P&amp;L'!P2/IF($B2="QoQ",'QTR P&amp;L'!O2,'QTR P&amp;L'!L2)-1,"")</f>
        <v>2.6501994082078983E-2</v>
      </c>
      <c r="R2" s="13">
        <f>IFERROR('QTR P&amp;L'!Q2/IF($B2="QoQ",'QTR P&amp;L'!P2,'QTR P&amp;L'!M2)-1,"")</f>
        <v>5.6111431039447268E-2</v>
      </c>
      <c r="S2" s="13">
        <f>IFERROR('QTR P&amp;L'!R2/IF($B2="QoQ",'QTR P&amp;L'!Q2,'QTR P&amp;L'!N2)-1,"")</f>
        <v>8.5049388916792257E-2</v>
      </c>
      <c r="T2" s="14">
        <f t="shared" ref="T2:AP2" si="0">S2</f>
        <v>8.5049388916792257E-2</v>
      </c>
      <c r="U2" s="14">
        <f t="shared" si="0"/>
        <v>8.5049388916792257E-2</v>
      </c>
      <c r="V2" s="14">
        <f t="shared" si="0"/>
        <v>8.5049388916792257E-2</v>
      </c>
      <c r="W2" s="14">
        <f t="shared" si="0"/>
        <v>8.5049388916792257E-2</v>
      </c>
      <c r="X2" s="14">
        <f t="shared" si="0"/>
        <v>8.5049388916792257E-2</v>
      </c>
      <c r="Y2" s="14">
        <f t="shared" si="0"/>
        <v>8.5049388916792257E-2</v>
      </c>
      <c r="Z2" s="14">
        <f t="shared" si="0"/>
        <v>8.5049388916792257E-2</v>
      </c>
      <c r="AA2" s="14">
        <f t="shared" si="0"/>
        <v>8.5049388916792257E-2</v>
      </c>
      <c r="AB2" s="14">
        <f t="shared" si="0"/>
        <v>8.5049388916792257E-2</v>
      </c>
      <c r="AC2" s="14">
        <f t="shared" si="0"/>
        <v>8.5049388916792257E-2</v>
      </c>
      <c r="AD2" s="14">
        <f t="shared" si="0"/>
        <v>8.5049388916792257E-2</v>
      </c>
      <c r="AE2" s="14">
        <f t="shared" si="0"/>
        <v>8.5049388916792257E-2</v>
      </c>
      <c r="AF2" s="14">
        <f t="shared" si="0"/>
        <v>8.5049388916792257E-2</v>
      </c>
      <c r="AG2" s="14">
        <f t="shared" si="0"/>
        <v>8.5049388916792257E-2</v>
      </c>
      <c r="AH2" s="14">
        <f t="shared" si="0"/>
        <v>8.5049388916792257E-2</v>
      </c>
      <c r="AI2" s="14">
        <f t="shared" si="0"/>
        <v>8.5049388916792257E-2</v>
      </c>
      <c r="AJ2" s="14">
        <f t="shared" si="0"/>
        <v>8.5049388916792257E-2</v>
      </c>
      <c r="AK2" s="14">
        <f t="shared" si="0"/>
        <v>8.5049388916792257E-2</v>
      </c>
      <c r="AL2" s="14">
        <f t="shared" si="0"/>
        <v>8.5049388916792257E-2</v>
      </c>
      <c r="AM2" s="14">
        <f t="shared" si="0"/>
        <v>8.5049388916792257E-2</v>
      </c>
      <c r="AN2" s="14">
        <f t="shared" si="0"/>
        <v>8.5049388916792257E-2</v>
      </c>
      <c r="AO2" s="14">
        <f t="shared" si="0"/>
        <v>8.5049388916792257E-2</v>
      </c>
      <c r="AP2" s="14">
        <f t="shared" si="0"/>
        <v>8.5049388916792257E-2</v>
      </c>
    </row>
    <row r="3" spans="1:42" x14ac:dyDescent="0.25">
      <c r="A3" s="3" t="s">
        <v>148</v>
      </c>
      <c r="C3" s="13">
        <f>IFERROR('QTR P&amp;L'!B3/'QTR P&amp;L'!B2,"")</f>
        <v>-0.45882716049382716</v>
      </c>
      <c r="D3" s="13">
        <f>IFERROR('QTR P&amp;L'!C3/'QTR P&amp;L'!C2,"")</f>
        <v>-0.46551297898640298</v>
      </c>
      <c r="E3" s="13">
        <f>IFERROR('QTR P&amp;L'!D3/'QTR P&amp;L'!D2,"")</f>
        <v>-0.469163897865368</v>
      </c>
      <c r="F3" s="13">
        <f>IFERROR('QTR P&amp;L'!E3/'QTR P&amp;L'!E2,"")</f>
        <v>-0.47935419345620806</v>
      </c>
      <c r="G3" s="13">
        <f>IFERROR('QTR P&amp;L'!F3/'QTR P&amp;L'!F2,"")</f>
        <v>-0.44760730695954276</v>
      </c>
      <c r="H3" s="13">
        <f>IFERROR('QTR P&amp;L'!G3/'QTR P&amp;L'!G2,"")</f>
        <v>-0.45340919272466623</v>
      </c>
      <c r="I3" s="13">
        <f>IFERROR('QTR P&amp;L'!H3/'QTR P&amp;L'!H2,"")</f>
        <v>-0.45516565044983587</v>
      </c>
      <c r="J3" s="13">
        <f>IFERROR('QTR P&amp;L'!I3/'QTR P&amp;L'!I2,"")</f>
        <v>-0.47026929982046678</v>
      </c>
      <c r="K3" s="13">
        <f>IFERROR('QTR P&amp;L'!J3/'QTR P&amp;L'!J2,"")</f>
        <v>-0.45194520547945205</v>
      </c>
      <c r="L3" s="13">
        <f>IFERROR('QTR P&amp;L'!K3/'QTR P&amp;L'!K2,"")</f>
        <v>-0.44082485222878981</v>
      </c>
      <c r="M3" s="13">
        <f>IFERROR('QTR P&amp;L'!L3/'QTR P&amp;L'!L2,"")</f>
        <v>-0.44581671598267508</v>
      </c>
      <c r="N3" s="13">
        <f>IFERROR('QTR P&amp;L'!M3/'QTR P&amp;L'!M2,"")</f>
        <v>-0.47440973221998273</v>
      </c>
      <c r="O3" s="13">
        <f>IFERROR('QTR P&amp;L'!N3/'QTR P&amp;L'!N2,"")</f>
        <v>-0.44232379039008873</v>
      </c>
      <c r="P3" s="13">
        <f>IFERROR('QTR P&amp;L'!O3/'QTR P&amp;L'!O2,"")</f>
        <v>-0.45340139047786676</v>
      </c>
      <c r="Q3" s="13">
        <f>IFERROR('QTR P&amp;L'!P3/'QTR P&amp;L'!P2,"")</f>
        <v>-0.46426035008564148</v>
      </c>
      <c r="R3" s="13">
        <f>IFERROR('QTR P&amp;L'!Q3/'QTR P&amp;L'!Q2,"")</f>
        <v>-0.46767542514398663</v>
      </c>
      <c r="S3" s="13">
        <f>IFERROR('QTR P&amp;L'!R3/'QTR P&amp;L'!R2,"")</f>
        <v>-0.44807900015429719</v>
      </c>
      <c r="T3" s="14">
        <f t="shared" ref="T3:AP3" si="1">S3</f>
        <v>-0.44807900015429719</v>
      </c>
      <c r="U3" s="14">
        <f t="shared" si="1"/>
        <v>-0.44807900015429719</v>
      </c>
      <c r="V3" s="14">
        <f t="shared" si="1"/>
        <v>-0.44807900015429719</v>
      </c>
      <c r="W3" s="14">
        <f t="shared" si="1"/>
        <v>-0.44807900015429719</v>
      </c>
      <c r="X3" s="14">
        <f t="shared" si="1"/>
        <v>-0.44807900015429719</v>
      </c>
      <c r="Y3" s="14">
        <f t="shared" si="1"/>
        <v>-0.44807900015429719</v>
      </c>
      <c r="Z3" s="14">
        <f t="shared" si="1"/>
        <v>-0.44807900015429719</v>
      </c>
      <c r="AA3" s="14">
        <f t="shared" si="1"/>
        <v>-0.44807900015429719</v>
      </c>
      <c r="AB3" s="14">
        <f t="shared" si="1"/>
        <v>-0.44807900015429719</v>
      </c>
      <c r="AC3" s="14">
        <f t="shared" si="1"/>
        <v>-0.44807900015429719</v>
      </c>
      <c r="AD3" s="14">
        <f t="shared" si="1"/>
        <v>-0.44807900015429719</v>
      </c>
      <c r="AE3" s="14">
        <f t="shared" si="1"/>
        <v>-0.44807900015429719</v>
      </c>
      <c r="AF3" s="14">
        <f t="shared" si="1"/>
        <v>-0.44807900015429719</v>
      </c>
      <c r="AG3" s="14">
        <f t="shared" si="1"/>
        <v>-0.44807900015429719</v>
      </c>
      <c r="AH3" s="14">
        <f t="shared" si="1"/>
        <v>-0.44807900015429719</v>
      </c>
      <c r="AI3" s="14">
        <f t="shared" si="1"/>
        <v>-0.44807900015429719</v>
      </c>
      <c r="AJ3" s="14">
        <f t="shared" si="1"/>
        <v>-0.44807900015429719</v>
      </c>
      <c r="AK3" s="14">
        <f t="shared" si="1"/>
        <v>-0.44807900015429719</v>
      </c>
      <c r="AL3" s="14">
        <f t="shared" si="1"/>
        <v>-0.44807900015429719</v>
      </c>
      <c r="AM3" s="14">
        <f t="shared" si="1"/>
        <v>-0.44807900015429719</v>
      </c>
      <c r="AN3" s="14">
        <f t="shared" si="1"/>
        <v>-0.44807900015429719</v>
      </c>
      <c r="AO3" s="14">
        <f t="shared" si="1"/>
        <v>-0.44807900015429719</v>
      </c>
      <c r="AP3" s="14">
        <f t="shared" si="1"/>
        <v>-0.44807900015429719</v>
      </c>
    </row>
    <row r="4" spans="1:42" x14ac:dyDescent="0.25">
      <c r="A4" s="3" t="s">
        <v>149</v>
      </c>
      <c r="C4" s="13">
        <f>IFERROR('QTR P&amp;L'!B5/'QTR P&amp;L'!B2,"")</f>
        <v>-0.40617283950617283</v>
      </c>
      <c r="D4" s="13">
        <f>IFERROR('QTR P&amp;L'!C5/'QTR P&amp;L'!C2,"")</f>
        <v>-0.36524103831891225</v>
      </c>
      <c r="E4" s="13">
        <f>IFERROR('QTR P&amp;L'!D5/'QTR P&amp;L'!D2,"")</f>
        <v>-0.37754312502844661</v>
      </c>
      <c r="F4" s="13">
        <f>IFERROR('QTR P&amp;L'!E5/'QTR P&amp;L'!E2,"")</f>
        <v>-0.43566938134019145</v>
      </c>
      <c r="G4" s="13">
        <f>IFERROR('QTR P&amp;L'!F5/'QTR P&amp;L'!F2,"")</f>
        <v>-0.4050767679031716</v>
      </c>
      <c r="H4" s="13">
        <f>IFERROR('QTR P&amp;L'!G5/'QTR P&amp;L'!G2,"")</f>
        <v>-0.38267180360182779</v>
      </c>
      <c r="I4" s="13">
        <f>IFERROR('QTR P&amp;L'!H5/'QTR P&amp;L'!H2,"")</f>
        <v>-0.37338506800835713</v>
      </c>
      <c r="J4" s="13">
        <f>IFERROR('QTR P&amp;L'!I5/'QTR P&amp;L'!I2,"")</f>
        <v>-0.43622980251346499</v>
      </c>
      <c r="K4" s="13">
        <f>IFERROR('QTR P&amp;L'!J5/'QTR P&amp;L'!J2,"")</f>
        <v>-0.3991780821917808</v>
      </c>
      <c r="L4" s="13">
        <f>IFERROR('QTR P&amp;L'!K5/'QTR P&amp;L'!K2,"")</f>
        <v>-0.37927203235411761</v>
      </c>
      <c r="M4" s="13">
        <f>IFERROR('QTR P&amp;L'!L5/'QTR P&amp;L'!L2,"")</f>
        <v>-0.388138427891419</v>
      </c>
      <c r="N4" s="13">
        <f>IFERROR('QTR P&amp;L'!M5/'QTR P&amp;L'!M2,"")</f>
        <v>-0.44342067376907573</v>
      </c>
      <c r="O4" s="13">
        <f>IFERROR('QTR P&amp;L'!N5/'QTR P&amp;L'!N2,"")</f>
        <v>-0.41352754059936381</v>
      </c>
      <c r="P4" s="13">
        <f>IFERROR('QTR P&amp;L'!O5/'QTR P&amp;L'!O2,"")</f>
        <v>-0.38603361788260143</v>
      </c>
      <c r="Q4" s="13">
        <f>IFERROR('QTR P&amp;L'!P5/'QTR P&amp;L'!P2,"")</f>
        <v>-0.38108367798805198</v>
      </c>
      <c r="R4" s="13">
        <f>IFERROR('QTR P&amp;L'!Q5/'QTR P&amp;L'!Q2,"")</f>
        <v>-0.41110315918617729</v>
      </c>
      <c r="S4" s="13">
        <f>IFERROR('QTR P&amp;L'!R5/'QTR P&amp;L'!R2,"")</f>
        <v>-0.38666872396235147</v>
      </c>
      <c r="T4" s="14">
        <f t="shared" ref="T4:AP4" si="2">S4</f>
        <v>-0.38666872396235147</v>
      </c>
      <c r="U4" s="14">
        <f t="shared" si="2"/>
        <v>-0.38666872396235147</v>
      </c>
      <c r="V4" s="14">
        <f t="shared" si="2"/>
        <v>-0.38666872396235147</v>
      </c>
      <c r="W4" s="14">
        <f t="shared" si="2"/>
        <v>-0.38666872396235147</v>
      </c>
      <c r="X4" s="14">
        <f t="shared" si="2"/>
        <v>-0.38666872396235147</v>
      </c>
      <c r="Y4" s="14">
        <f t="shared" si="2"/>
        <v>-0.38666872396235147</v>
      </c>
      <c r="Z4" s="14">
        <f t="shared" si="2"/>
        <v>-0.38666872396235147</v>
      </c>
      <c r="AA4" s="14">
        <f t="shared" si="2"/>
        <v>-0.38666872396235147</v>
      </c>
      <c r="AB4" s="14">
        <f t="shared" si="2"/>
        <v>-0.38666872396235147</v>
      </c>
      <c r="AC4" s="14">
        <f t="shared" si="2"/>
        <v>-0.38666872396235147</v>
      </c>
      <c r="AD4" s="14">
        <f t="shared" si="2"/>
        <v>-0.38666872396235147</v>
      </c>
      <c r="AE4" s="14">
        <f t="shared" si="2"/>
        <v>-0.38666872396235147</v>
      </c>
      <c r="AF4" s="14">
        <f t="shared" si="2"/>
        <v>-0.38666872396235147</v>
      </c>
      <c r="AG4" s="14">
        <f t="shared" si="2"/>
        <v>-0.38666872396235147</v>
      </c>
      <c r="AH4" s="14">
        <f t="shared" si="2"/>
        <v>-0.38666872396235147</v>
      </c>
      <c r="AI4" s="14">
        <f t="shared" si="2"/>
        <v>-0.38666872396235147</v>
      </c>
      <c r="AJ4" s="14">
        <f t="shared" si="2"/>
        <v>-0.38666872396235147</v>
      </c>
      <c r="AK4" s="14">
        <f t="shared" si="2"/>
        <v>-0.38666872396235147</v>
      </c>
      <c r="AL4" s="14">
        <f t="shared" si="2"/>
        <v>-0.38666872396235147</v>
      </c>
      <c r="AM4" s="14">
        <f t="shared" si="2"/>
        <v>-0.38666872396235147</v>
      </c>
      <c r="AN4" s="14">
        <f t="shared" si="2"/>
        <v>-0.38666872396235147</v>
      </c>
      <c r="AO4" s="14">
        <f t="shared" si="2"/>
        <v>-0.38666872396235147</v>
      </c>
      <c r="AP4" s="14">
        <f t="shared" si="2"/>
        <v>-0.38666872396235147</v>
      </c>
    </row>
    <row r="5" spans="1:42" x14ac:dyDescent="0.25">
      <c r="A5" s="3" t="s">
        <v>20</v>
      </c>
      <c r="C5" s="4">
        <f>'QTR P&amp;L'!B6</f>
        <v>-3322</v>
      </c>
      <c r="D5" s="4">
        <f>'QTR P&amp;L'!C6</f>
        <v>-13</v>
      </c>
      <c r="E5" s="4">
        <f>'QTR P&amp;L'!D6</f>
        <v>14</v>
      </c>
      <c r="F5" s="4">
        <f>'QTR P&amp;L'!E6</f>
        <v>0</v>
      </c>
      <c r="G5" s="4">
        <f>'QTR P&amp;L'!F6</f>
        <v>0</v>
      </c>
      <c r="H5" s="4">
        <f>'QTR P&amp;L'!G6</f>
        <v>0</v>
      </c>
      <c r="I5" s="4">
        <f>'QTR P&amp;L'!H6</f>
        <v>0</v>
      </c>
      <c r="J5" s="4">
        <f>'QTR P&amp;L'!I6</f>
        <v>0</v>
      </c>
      <c r="K5" s="4">
        <f>'QTR P&amp;L'!J6</f>
        <v>0</v>
      </c>
      <c r="L5" s="4">
        <f>'QTR P&amp;L'!K6</f>
        <v>0</v>
      </c>
      <c r="M5" s="4">
        <f>'QTR P&amp;L'!L6</f>
        <v>0</v>
      </c>
      <c r="N5" s="4">
        <f>'QTR P&amp;L'!M6</f>
        <v>0</v>
      </c>
      <c r="O5" s="4">
        <f>'QTR P&amp;L'!N6</f>
        <v>0</v>
      </c>
      <c r="P5" s="4">
        <f>'QTR P&amp;L'!O6</f>
        <v>0</v>
      </c>
      <c r="Q5" s="4">
        <f>'QTR P&amp;L'!P6</f>
        <v>0</v>
      </c>
      <c r="R5" s="4">
        <f>'QTR P&amp;L'!Q6</f>
        <v>0</v>
      </c>
      <c r="S5" s="4">
        <f>'QTR P&amp;L'!R6</f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>
        <v>0</v>
      </c>
      <c r="AM5" s="15">
        <v>0</v>
      </c>
      <c r="AN5" s="15">
        <v>0</v>
      </c>
      <c r="AO5" s="15">
        <v>0</v>
      </c>
      <c r="AP5" s="15">
        <v>0</v>
      </c>
    </row>
    <row r="6" spans="1:42" x14ac:dyDescent="0.25">
      <c r="A6" s="3" t="s">
        <v>150</v>
      </c>
      <c r="C6" s="13">
        <f>IFERROR('QTR P&amp;L'!B7/'QTR P&amp;L'!B2,"")</f>
        <v>-1.4938271604938271E-2</v>
      </c>
      <c r="D6" s="13">
        <f>IFERROR('QTR P&amp;L'!C7/'QTR P&amp;L'!C2,"")</f>
        <v>-6.7194066749072925E-2</v>
      </c>
      <c r="E6" s="13">
        <f>IFERROR('QTR P&amp;L'!D7/'QTR P&amp;L'!D2,"")</f>
        <v>-4.5514541896135818E-5</v>
      </c>
      <c r="F6" s="13">
        <f>IFERROR('QTR P&amp;L'!E7/'QTR P&amp;L'!E2,"")</f>
        <v>-5.5865123589084152E-2</v>
      </c>
      <c r="G6" s="13">
        <f>IFERROR('QTR P&amp;L'!F7/'QTR P&amp;L'!F2,"")</f>
        <v>0</v>
      </c>
      <c r="H6" s="13">
        <f>IFERROR('QTR P&amp;L'!G7/'QTR P&amp;L'!G2,"")</f>
        <v>0</v>
      </c>
      <c r="I6" s="13">
        <f>IFERROR('QTR P&amp;L'!H7/'QTR P&amp;L'!H2,"")</f>
        <v>-2.5583081055728478E-4</v>
      </c>
      <c r="J6" s="13">
        <f>IFERROR('QTR P&amp;L'!I7/'QTR P&amp;L'!I2,"")</f>
        <v>-3.3070017953321366E-2</v>
      </c>
      <c r="K6" s="13">
        <f>IFERROR('QTR P&amp;L'!J7/'QTR P&amp;L'!J2,"")</f>
        <v>0</v>
      </c>
      <c r="L6" s="13">
        <f>IFERROR('QTR P&amp;L'!K7/'QTR P&amp;L'!K2,"")</f>
        <v>0</v>
      </c>
      <c r="M6" s="13">
        <f>IFERROR('QTR P&amp;L'!L7/'QTR P&amp;L'!L2,"")</f>
        <v>0</v>
      </c>
      <c r="N6" s="13">
        <f>IFERROR('QTR P&amp;L'!M7/'QTR P&amp;L'!M2,"")</f>
        <v>-1.1877339475957385E-3</v>
      </c>
      <c r="O6" s="13">
        <f>IFERROR('QTR P&amp;L'!N7/'QTR P&amp;L'!N2,"")</f>
        <v>0</v>
      </c>
      <c r="P6" s="13">
        <f>IFERROR('QTR P&amp;L'!O7/'QTR P&amp;L'!O2,"")</f>
        <v>-8.1844583296664608E-2</v>
      </c>
      <c r="Q6" s="13">
        <f>IFERROR('QTR P&amp;L'!P7/'QTR P&amp;L'!P2,"")</f>
        <v>-5.5562518277144169E-3</v>
      </c>
      <c r="R6" s="13">
        <f>IFERROR('QTR P&amp;L'!Q7/'QTR P&amp;L'!Q2,"")</f>
        <v>0</v>
      </c>
      <c r="S6" s="13">
        <f>IFERROR('QTR P&amp;L'!R7/'QTR P&amp;L'!R2,"")</f>
        <v>0</v>
      </c>
      <c r="T6" s="14">
        <f t="shared" ref="T6:AP6" si="3">S6</f>
        <v>0</v>
      </c>
      <c r="U6" s="14">
        <f t="shared" si="3"/>
        <v>0</v>
      </c>
      <c r="V6" s="14">
        <f t="shared" si="3"/>
        <v>0</v>
      </c>
      <c r="W6" s="14">
        <f t="shared" si="3"/>
        <v>0</v>
      </c>
      <c r="X6" s="14">
        <f t="shared" si="3"/>
        <v>0</v>
      </c>
      <c r="Y6" s="14">
        <f t="shared" si="3"/>
        <v>0</v>
      </c>
      <c r="Z6" s="14">
        <f t="shared" si="3"/>
        <v>0</v>
      </c>
      <c r="AA6" s="14">
        <f t="shared" si="3"/>
        <v>0</v>
      </c>
      <c r="AB6" s="14">
        <f t="shared" si="3"/>
        <v>0</v>
      </c>
      <c r="AC6" s="14">
        <f t="shared" si="3"/>
        <v>0</v>
      </c>
      <c r="AD6" s="14">
        <f t="shared" si="3"/>
        <v>0</v>
      </c>
      <c r="AE6" s="14">
        <f t="shared" si="3"/>
        <v>0</v>
      </c>
      <c r="AF6" s="14">
        <f t="shared" si="3"/>
        <v>0</v>
      </c>
      <c r="AG6" s="14">
        <f t="shared" si="3"/>
        <v>0</v>
      </c>
      <c r="AH6" s="14">
        <f t="shared" si="3"/>
        <v>0</v>
      </c>
      <c r="AI6" s="14">
        <f t="shared" si="3"/>
        <v>0</v>
      </c>
      <c r="AJ6" s="14">
        <f t="shared" si="3"/>
        <v>0</v>
      </c>
      <c r="AK6" s="14">
        <f t="shared" si="3"/>
        <v>0</v>
      </c>
      <c r="AL6" s="14">
        <f t="shared" si="3"/>
        <v>0</v>
      </c>
      <c r="AM6" s="14">
        <f t="shared" si="3"/>
        <v>0</v>
      </c>
      <c r="AN6" s="14">
        <f t="shared" si="3"/>
        <v>0</v>
      </c>
      <c r="AO6" s="14">
        <f t="shared" si="3"/>
        <v>0</v>
      </c>
      <c r="AP6" s="14">
        <f t="shared" si="3"/>
        <v>0</v>
      </c>
    </row>
    <row r="7" spans="1:42" x14ac:dyDescent="0.25">
      <c r="A7" s="3" t="s">
        <v>23</v>
      </c>
      <c r="C7" s="4">
        <f>'QTR P&amp;L'!B9</f>
        <v>134</v>
      </c>
      <c r="D7" s="4">
        <f>'QTR P&amp;L'!C9</f>
        <v>-2</v>
      </c>
      <c r="E7" s="4">
        <f>'QTR P&amp;L'!D9</f>
        <v>36</v>
      </c>
      <c r="F7" s="4">
        <f>'QTR P&amp;L'!E9</f>
        <v>-36</v>
      </c>
      <c r="G7" s="4">
        <f>'QTR P&amp;L'!F9</f>
        <v>61</v>
      </c>
      <c r="H7" s="4">
        <f>'QTR P&amp;L'!G9</f>
        <v>60</v>
      </c>
      <c r="I7" s="4">
        <f>'QTR P&amp;L'!H9</f>
        <v>62</v>
      </c>
      <c r="J7" s="4">
        <f>'QTR P&amp;L'!I9</f>
        <v>67</v>
      </c>
      <c r="K7" s="4">
        <f>'QTR P&amp;L'!J9</f>
        <v>58</v>
      </c>
      <c r="L7" s="4">
        <f>'QTR P&amp;L'!K9</f>
        <v>56</v>
      </c>
      <c r="M7" s="4">
        <f>'QTR P&amp;L'!L9</f>
        <v>41</v>
      </c>
      <c r="N7" s="4">
        <f>'QTR P&amp;L'!M9</f>
        <v>-177</v>
      </c>
      <c r="O7" s="4">
        <f>'QTR P&amp;L'!N9</f>
        <v>23</v>
      </c>
      <c r="P7" s="4">
        <f>'QTR P&amp;L'!O9</f>
        <v>42</v>
      </c>
      <c r="Q7" s="4">
        <f>'QTR P&amp;L'!P9</f>
        <v>26</v>
      </c>
      <c r="R7" s="4">
        <f>'QTR P&amp;L'!Q9</f>
        <v>-224</v>
      </c>
      <c r="S7" s="4">
        <f>'QTR P&amp;L'!R9</f>
        <v>58</v>
      </c>
      <c r="T7" s="15">
        <f t="shared" ref="T7:AP7" si="4">S7</f>
        <v>58</v>
      </c>
      <c r="U7" s="15">
        <f t="shared" si="4"/>
        <v>58</v>
      </c>
      <c r="V7" s="15">
        <f t="shared" si="4"/>
        <v>58</v>
      </c>
      <c r="W7" s="15">
        <f t="shared" si="4"/>
        <v>58</v>
      </c>
      <c r="X7" s="15">
        <f t="shared" si="4"/>
        <v>58</v>
      </c>
      <c r="Y7" s="15">
        <f t="shared" si="4"/>
        <v>58</v>
      </c>
      <c r="Z7" s="15">
        <f t="shared" si="4"/>
        <v>58</v>
      </c>
      <c r="AA7" s="15">
        <f t="shared" si="4"/>
        <v>58</v>
      </c>
      <c r="AB7" s="15">
        <f t="shared" si="4"/>
        <v>58</v>
      </c>
      <c r="AC7" s="15">
        <f t="shared" si="4"/>
        <v>58</v>
      </c>
      <c r="AD7" s="15">
        <f t="shared" si="4"/>
        <v>58</v>
      </c>
      <c r="AE7" s="15">
        <f t="shared" si="4"/>
        <v>58</v>
      </c>
      <c r="AF7" s="15">
        <f t="shared" si="4"/>
        <v>58</v>
      </c>
      <c r="AG7" s="15">
        <f t="shared" si="4"/>
        <v>58</v>
      </c>
      <c r="AH7" s="15">
        <f t="shared" si="4"/>
        <v>58</v>
      </c>
      <c r="AI7" s="15">
        <f t="shared" si="4"/>
        <v>58</v>
      </c>
      <c r="AJ7" s="15">
        <f t="shared" si="4"/>
        <v>58</v>
      </c>
      <c r="AK7" s="15">
        <f t="shared" si="4"/>
        <v>58</v>
      </c>
      <c r="AL7" s="15">
        <f t="shared" si="4"/>
        <v>58</v>
      </c>
      <c r="AM7" s="15">
        <f t="shared" si="4"/>
        <v>58</v>
      </c>
      <c r="AN7" s="15">
        <f t="shared" si="4"/>
        <v>58</v>
      </c>
      <c r="AO7" s="15">
        <f t="shared" si="4"/>
        <v>58</v>
      </c>
      <c r="AP7" s="15">
        <f t="shared" si="4"/>
        <v>58</v>
      </c>
    </row>
    <row r="8" spans="1:42" x14ac:dyDescent="0.25">
      <c r="A8" s="3" t="s">
        <v>24</v>
      </c>
      <c r="C8" s="4">
        <f>'QTR P&amp;L'!B10</f>
        <v>-240</v>
      </c>
      <c r="D8" s="4">
        <f>'QTR P&amp;L'!C10</f>
        <v>-236</v>
      </c>
      <c r="E8" s="4">
        <f>'QTR P&amp;L'!D10</f>
        <v>-190</v>
      </c>
      <c r="F8" s="4">
        <f>'QTR P&amp;L'!E10</f>
        <v>-273</v>
      </c>
      <c r="G8" s="4">
        <f>'QTR P&amp;L'!F10</f>
        <v>-200</v>
      </c>
      <c r="H8" s="4">
        <f>'QTR P&amp;L'!G10</f>
        <v>-201</v>
      </c>
      <c r="I8" s="4">
        <f>'QTR P&amp;L'!H10</f>
        <v>-201</v>
      </c>
      <c r="J8" s="4">
        <f>'QTR P&amp;L'!I10</f>
        <v>-217</v>
      </c>
      <c r="K8" s="4">
        <f>'QTR P&amp;L'!J10</f>
        <v>-202</v>
      </c>
      <c r="L8" s="4">
        <f>'QTR P&amp;L'!K10</f>
        <v>-234</v>
      </c>
      <c r="M8" s="4">
        <f>'QTR P&amp;L'!L10</f>
        <v>-219</v>
      </c>
      <c r="N8" s="4">
        <f>'QTR P&amp;L'!M10</f>
        <v>-264</v>
      </c>
      <c r="O8" s="4">
        <f>'QTR P&amp;L'!N10</f>
        <v>-264</v>
      </c>
      <c r="P8" s="4">
        <f>'QTR P&amp;L'!O10</f>
        <v>-260</v>
      </c>
      <c r="Q8" s="4">
        <f>'QTR P&amp;L'!P10</f>
        <v>-264</v>
      </c>
      <c r="R8" s="4">
        <f>'QTR P&amp;L'!Q10</f>
        <v>-333</v>
      </c>
      <c r="S8" s="4">
        <f>'QTR P&amp;L'!R10</f>
        <v>-301</v>
      </c>
      <c r="T8" s="15">
        <f t="shared" ref="T8:AP8" si="5">S8</f>
        <v>-301</v>
      </c>
      <c r="U8" s="15">
        <f t="shared" si="5"/>
        <v>-301</v>
      </c>
      <c r="V8" s="15">
        <f t="shared" si="5"/>
        <v>-301</v>
      </c>
      <c r="W8" s="15">
        <f t="shared" si="5"/>
        <v>-301</v>
      </c>
      <c r="X8" s="15">
        <f t="shared" si="5"/>
        <v>-301</v>
      </c>
      <c r="Y8" s="15">
        <f t="shared" si="5"/>
        <v>-301</v>
      </c>
      <c r="Z8" s="15">
        <f t="shared" si="5"/>
        <v>-301</v>
      </c>
      <c r="AA8" s="15">
        <f t="shared" si="5"/>
        <v>-301</v>
      </c>
      <c r="AB8" s="15">
        <f t="shared" si="5"/>
        <v>-301</v>
      </c>
      <c r="AC8" s="15">
        <f t="shared" si="5"/>
        <v>-301</v>
      </c>
      <c r="AD8" s="15">
        <f t="shared" si="5"/>
        <v>-301</v>
      </c>
      <c r="AE8" s="15">
        <f t="shared" si="5"/>
        <v>-301</v>
      </c>
      <c r="AF8" s="15">
        <f t="shared" si="5"/>
        <v>-301</v>
      </c>
      <c r="AG8" s="15">
        <f t="shared" si="5"/>
        <v>-301</v>
      </c>
      <c r="AH8" s="15">
        <f t="shared" si="5"/>
        <v>-301</v>
      </c>
      <c r="AI8" s="15">
        <f t="shared" si="5"/>
        <v>-301</v>
      </c>
      <c r="AJ8" s="15">
        <f t="shared" si="5"/>
        <v>-301</v>
      </c>
      <c r="AK8" s="15">
        <f t="shared" si="5"/>
        <v>-301</v>
      </c>
      <c r="AL8" s="15">
        <f t="shared" si="5"/>
        <v>-301</v>
      </c>
      <c r="AM8" s="15">
        <f t="shared" si="5"/>
        <v>-301</v>
      </c>
      <c r="AN8" s="15">
        <f t="shared" si="5"/>
        <v>-301</v>
      </c>
      <c r="AO8" s="15">
        <f t="shared" si="5"/>
        <v>-301</v>
      </c>
      <c r="AP8" s="15">
        <f t="shared" si="5"/>
        <v>-301</v>
      </c>
    </row>
    <row r="9" spans="1:42" x14ac:dyDescent="0.25">
      <c r="A9" s="3" t="s">
        <v>151</v>
      </c>
      <c r="C9" s="13">
        <f>IFERROR('QTR P&amp;L'!B12/'QTR P&amp;L'!B11,"")</f>
        <v>0.59878624409979775</v>
      </c>
      <c r="D9" s="13">
        <f>IFERROR('QTR P&amp;L'!C12/'QTR P&amp;L'!C11,"")</f>
        <v>-0.21676778819635961</v>
      </c>
      <c r="E9" s="13">
        <f>IFERROR('QTR P&amp;L'!D12/'QTR P&amp;L'!D11,"")</f>
        <v>-0.1471955376510691</v>
      </c>
      <c r="F9" s="13">
        <f>IFERROR('QTR P&amp;L'!E12/'QTR P&amp;L'!E11,"")</f>
        <v>5.731225296442688E-2</v>
      </c>
      <c r="G9" s="13">
        <f>IFERROR('QTR P&amp;L'!F12/'QTR P&amp;L'!F11,"")</f>
        <v>-0.21927710843373494</v>
      </c>
      <c r="H9" s="13">
        <f>IFERROR('QTR P&amp;L'!G12/'QTR P&amp;L'!G11,"")</f>
        <v>-0.21233655486071631</v>
      </c>
      <c r="I9" s="13">
        <f>IFERROR('QTR P&amp;L'!H12/'QTR P&amp;L'!H11,"")</f>
        <v>-0.19607843137254902</v>
      </c>
      <c r="J9" s="13">
        <f>IFERROR('QTR P&amp;L'!I12/'QTR P&amp;L'!I11,"")</f>
        <v>-0.13633398564905413</v>
      </c>
      <c r="K9" s="13">
        <f>IFERROR('QTR P&amp;L'!J12/'QTR P&amp;L'!J11,"")</f>
        <v>-0.20209871745044694</v>
      </c>
      <c r="L9" s="13">
        <f>IFERROR('QTR P&amp;L'!K12/'QTR P&amp;L'!K11,"")</f>
        <v>-0.20051679586563306</v>
      </c>
      <c r="M9" s="13">
        <f>IFERROR('QTR P&amp;L'!L12/'QTR P&amp;L'!L11,"")</f>
        <v>-0.20276123443421765</v>
      </c>
      <c r="N9" s="13">
        <f>IFERROR('QTR P&amp;L'!M12/'QTR P&amp;L'!M11,"")</f>
        <v>-0.15201768933112217</v>
      </c>
      <c r="O9" s="13">
        <f>IFERROR('QTR P&amp;L'!N12/'QTR P&amp;L'!N11,"")</f>
        <v>-0.213065755764304</v>
      </c>
      <c r="P9" s="13">
        <f>IFERROR('QTR P&amp;L'!O12/'QTR P&amp;L'!O11,"")</f>
        <v>-0.18586887332908975</v>
      </c>
      <c r="Q9" s="13">
        <f>IFERROR('QTR P&amp;L'!P12/'QTR P&amp;L'!P11,"")</f>
        <v>-0.21404983488441909</v>
      </c>
      <c r="R9" s="13">
        <f>IFERROR('QTR P&amp;L'!Q12/'QTR P&amp;L'!Q11,"")</f>
        <v>-0.14833333333333334</v>
      </c>
      <c r="S9" s="13">
        <f>IFERROR('QTR P&amp;L'!R12/'QTR P&amp;L'!R11,"")</f>
        <v>-0.21279461279461279</v>
      </c>
      <c r="T9" s="14">
        <f t="shared" ref="T9:AP9" si="6">S9</f>
        <v>-0.21279461279461279</v>
      </c>
      <c r="U9" s="14">
        <f t="shared" si="6"/>
        <v>-0.21279461279461279</v>
      </c>
      <c r="V9" s="14">
        <f t="shared" si="6"/>
        <v>-0.21279461279461279</v>
      </c>
      <c r="W9" s="14">
        <f t="shared" si="6"/>
        <v>-0.21279461279461279</v>
      </c>
      <c r="X9" s="14">
        <f t="shared" si="6"/>
        <v>-0.21279461279461279</v>
      </c>
      <c r="Y9" s="14">
        <f t="shared" si="6"/>
        <v>-0.21279461279461279</v>
      </c>
      <c r="Z9" s="14">
        <f t="shared" si="6"/>
        <v>-0.21279461279461279</v>
      </c>
      <c r="AA9" s="14">
        <f t="shared" si="6"/>
        <v>-0.21279461279461279</v>
      </c>
      <c r="AB9" s="14">
        <f t="shared" si="6"/>
        <v>-0.21279461279461279</v>
      </c>
      <c r="AC9" s="14">
        <f t="shared" si="6"/>
        <v>-0.21279461279461279</v>
      </c>
      <c r="AD9" s="14">
        <f t="shared" si="6"/>
        <v>-0.21279461279461279</v>
      </c>
      <c r="AE9" s="14">
        <f t="shared" si="6"/>
        <v>-0.21279461279461279</v>
      </c>
      <c r="AF9" s="14">
        <f t="shared" si="6"/>
        <v>-0.21279461279461279</v>
      </c>
      <c r="AG9" s="14">
        <f t="shared" si="6"/>
        <v>-0.21279461279461279</v>
      </c>
      <c r="AH9" s="14">
        <f t="shared" si="6"/>
        <v>-0.21279461279461279</v>
      </c>
      <c r="AI9" s="14">
        <f t="shared" si="6"/>
        <v>-0.21279461279461279</v>
      </c>
      <c r="AJ9" s="14">
        <f t="shared" si="6"/>
        <v>-0.21279461279461279</v>
      </c>
      <c r="AK9" s="14">
        <f t="shared" si="6"/>
        <v>-0.21279461279461279</v>
      </c>
      <c r="AL9" s="14">
        <f t="shared" si="6"/>
        <v>-0.21279461279461279</v>
      </c>
      <c r="AM9" s="14">
        <f t="shared" si="6"/>
        <v>-0.21279461279461279</v>
      </c>
      <c r="AN9" s="14">
        <f t="shared" si="6"/>
        <v>-0.21279461279461279</v>
      </c>
      <c r="AO9" s="14">
        <f t="shared" si="6"/>
        <v>-0.21279461279461279</v>
      </c>
      <c r="AP9" s="14">
        <f t="shared" si="6"/>
        <v>-0.21279461279461279</v>
      </c>
    </row>
    <row r="10" spans="1:42" x14ac:dyDescent="0.25">
      <c r="A10" s="3" t="s">
        <v>28</v>
      </c>
      <c r="C10" s="4">
        <f>'QTR P&amp;L'!B14</f>
        <v>12</v>
      </c>
      <c r="D10" s="4">
        <f>'QTR P&amp;L'!C14</f>
        <v>17</v>
      </c>
      <c r="E10" s="4">
        <f>'QTR P&amp;L'!D14</f>
        <v>22</v>
      </c>
      <c r="F10" s="4">
        <f>'QTR P&amp;L'!E14</f>
        <v>17</v>
      </c>
      <c r="G10" s="4">
        <f>'QTR P&amp;L'!F14</f>
        <v>12</v>
      </c>
      <c r="H10" s="4">
        <f>'QTR P&amp;L'!G14</f>
        <v>23</v>
      </c>
      <c r="I10" s="4">
        <f>'QTR P&amp;L'!H14</f>
        <v>24</v>
      </c>
      <c r="J10" s="4">
        <f>'QTR P&amp;L'!I14</f>
        <v>22</v>
      </c>
      <c r="K10" s="4">
        <f>'QTR P&amp;L'!J14</f>
        <v>11</v>
      </c>
      <c r="L10" s="4">
        <f>'QTR P&amp;L'!K14</f>
        <v>11</v>
      </c>
      <c r="M10" s="4">
        <f>'QTR P&amp;L'!L14</f>
        <v>15</v>
      </c>
      <c r="N10" s="4">
        <f>'QTR P&amp;L'!M14</f>
        <v>11</v>
      </c>
      <c r="O10" s="4">
        <f>'QTR P&amp;L'!N14</f>
        <v>9</v>
      </c>
      <c r="P10" s="4">
        <f>'QTR P&amp;L'!O14</f>
        <v>16</v>
      </c>
      <c r="Q10" s="4">
        <f>'QTR P&amp;L'!P14</f>
        <v>15</v>
      </c>
      <c r="R10" s="4">
        <f>'QTR P&amp;L'!Q14</f>
        <v>15</v>
      </c>
      <c r="S10" s="4">
        <f>'QTR P&amp;L'!R14</f>
        <v>11</v>
      </c>
      <c r="T10" s="15">
        <f t="shared" ref="T10:AP10" si="7">S10</f>
        <v>11</v>
      </c>
      <c r="U10" s="15">
        <f t="shared" si="7"/>
        <v>11</v>
      </c>
      <c r="V10" s="15">
        <f t="shared" si="7"/>
        <v>11</v>
      </c>
      <c r="W10" s="15">
        <f t="shared" si="7"/>
        <v>11</v>
      </c>
      <c r="X10" s="15">
        <f t="shared" si="7"/>
        <v>11</v>
      </c>
      <c r="Y10" s="15">
        <f t="shared" si="7"/>
        <v>11</v>
      </c>
      <c r="Z10" s="15">
        <f t="shared" si="7"/>
        <v>11</v>
      </c>
      <c r="AA10" s="15">
        <f t="shared" si="7"/>
        <v>11</v>
      </c>
      <c r="AB10" s="15">
        <f t="shared" si="7"/>
        <v>11</v>
      </c>
      <c r="AC10" s="15">
        <f t="shared" si="7"/>
        <v>11</v>
      </c>
      <c r="AD10" s="15">
        <f t="shared" si="7"/>
        <v>11</v>
      </c>
      <c r="AE10" s="15">
        <f t="shared" si="7"/>
        <v>11</v>
      </c>
      <c r="AF10" s="15">
        <f t="shared" si="7"/>
        <v>11</v>
      </c>
      <c r="AG10" s="15">
        <f t="shared" si="7"/>
        <v>11</v>
      </c>
      <c r="AH10" s="15">
        <f t="shared" si="7"/>
        <v>11</v>
      </c>
      <c r="AI10" s="15">
        <f t="shared" si="7"/>
        <v>11</v>
      </c>
      <c r="AJ10" s="15">
        <f t="shared" si="7"/>
        <v>11</v>
      </c>
      <c r="AK10" s="15">
        <f t="shared" si="7"/>
        <v>11</v>
      </c>
      <c r="AL10" s="15">
        <f t="shared" si="7"/>
        <v>11</v>
      </c>
      <c r="AM10" s="15">
        <f t="shared" si="7"/>
        <v>11</v>
      </c>
      <c r="AN10" s="15">
        <f t="shared" si="7"/>
        <v>11</v>
      </c>
      <c r="AO10" s="15">
        <f t="shared" si="7"/>
        <v>11</v>
      </c>
      <c r="AP10" s="15">
        <f t="shared" si="7"/>
        <v>11</v>
      </c>
    </row>
  </sheetData>
  <dataValidations count="1">
    <dataValidation type="list" errorTitle="Invalid basis" error="Basis must be YoY or QoQ" sqref="B2" xr:uid="{00000000-0002-0000-0A00-000000000000}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38" width="13" customWidth="1"/>
  </cols>
  <sheetData>
    <row r="1" spans="1:38" x14ac:dyDescent="0.25">
      <c r="A1" s="1" t="s">
        <v>144</v>
      </c>
      <c r="B1" s="2" t="s">
        <v>117</v>
      </c>
      <c r="C1" s="2" t="s">
        <v>107</v>
      </c>
      <c r="D1" s="2" t="s">
        <v>108</v>
      </c>
      <c r="E1" s="2" t="s">
        <v>109</v>
      </c>
      <c r="F1" s="2" t="s">
        <v>118</v>
      </c>
      <c r="G1" s="2" t="s">
        <v>110</v>
      </c>
      <c r="H1" s="2" t="s">
        <v>111</v>
      </c>
      <c r="I1" s="2" t="s">
        <v>112</v>
      </c>
      <c r="J1" s="2" t="s">
        <v>119</v>
      </c>
      <c r="K1" s="2" t="s">
        <v>113</v>
      </c>
      <c r="L1" s="2" t="s">
        <v>114</v>
      </c>
      <c r="M1" s="2" t="s">
        <v>115</v>
      </c>
      <c r="N1" s="2" t="s">
        <v>120</v>
      </c>
      <c r="O1" s="2" t="s">
        <v>116</v>
      </c>
      <c r="P1" s="2" t="s">
        <v>121</v>
      </c>
      <c r="Q1" s="2" t="s">
        <v>122</v>
      </c>
      <c r="R1" s="2" t="s">
        <v>123</v>
      </c>
      <c r="S1" s="2" t="s">
        <v>124</v>
      </c>
      <c r="T1" s="2" t="s">
        <v>125</v>
      </c>
      <c r="U1" s="2" t="s">
        <v>126</v>
      </c>
      <c r="V1" s="2" t="s">
        <v>127</v>
      </c>
      <c r="W1" s="2" t="s">
        <v>128</v>
      </c>
      <c r="X1" s="2" t="s">
        <v>129</v>
      </c>
      <c r="Y1" s="2" t="s">
        <v>130</v>
      </c>
      <c r="Z1" s="2" t="s">
        <v>131</v>
      </c>
      <c r="AA1" s="2" t="s">
        <v>132</v>
      </c>
      <c r="AB1" s="2" t="s">
        <v>133</v>
      </c>
      <c r="AC1" s="2" t="s">
        <v>134</v>
      </c>
      <c r="AD1" s="2" t="s">
        <v>135</v>
      </c>
      <c r="AE1" s="2" t="s">
        <v>136</v>
      </c>
      <c r="AF1" s="2" t="s">
        <v>137</v>
      </c>
      <c r="AG1" s="2" t="s">
        <v>138</v>
      </c>
      <c r="AH1" s="2" t="s">
        <v>139</v>
      </c>
      <c r="AI1" s="2" t="s">
        <v>140</v>
      </c>
      <c r="AJ1" s="2" t="s">
        <v>141</v>
      </c>
      <c r="AK1" s="2" t="s">
        <v>142</v>
      </c>
      <c r="AL1" s="2" t="s">
        <v>143</v>
      </c>
    </row>
    <row r="2" spans="1:38" x14ac:dyDescent="0.25">
      <c r="A2" s="3" t="s">
        <v>34</v>
      </c>
      <c r="B2" s="4">
        <f>'QTR BS'!B2</f>
        <v>4954</v>
      </c>
      <c r="C2" s="4">
        <f>'QTR BS'!C2</f>
        <v>4770</v>
      </c>
      <c r="D2" s="4">
        <f>'QTR BS'!D2</f>
        <v>6116</v>
      </c>
      <c r="E2" s="4">
        <f>'QTR BS'!E2</f>
        <v>10017</v>
      </c>
      <c r="F2" s="4">
        <f>'QTR BS'!F2</f>
        <v>9711</v>
      </c>
      <c r="G2" s="4">
        <f>'QTR BS'!G2</f>
        <v>8047</v>
      </c>
      <c r="H2" s="4">
        <f>'QTR BS'!H2</f>
        <v>6353</v>
      </c>
      <c r="I2" s="4">
        <f>'QTR BS'!I2</f>
        <v>7308</v>
      </c>
      <c r="J2" s="4">
        <f>'QTR BS'!J2</f>
        <v>8505</v>
      </c>
      <c r="K2" s="4">
        <f>'QTR BS'!K2</f>
        <v>8268</v>
      </c>
      <c r="L2" s="4">
        <f>'QTR BS'!L2</f>
        <v>7631</v>
      </c>
      <c r="M2" s="4">
        <f>'QTR BS'!M2</f>
        <v>8126</v>
      </c>
      <c r="N2" s="4">
        <f>'QTR BS'!N2</f>
        <v>9159</v>
      </c>
      <c r="O2" s="4">
        <f>'QTR BS'!O2</f>
        <v>10475</v>
      </c>
      <c r="P2" s="4">
        <f>O2+'QTR CF'!S48</f>
        <v>12647.656654947259</v>
      </c>
      <c r="Q2" s="4">
        <f>P2+'QTR CF'!T48</f>
        <v>14235.166060403124</v>
      </c>
      <c r="R2" s="4">
        <f>Q2+'QTR CF'!U48</f>
        <v>16806.077942661163</v>
      </c>
      <c r="S2" s="4">
        <f>R2+'QTR CF'!V48</f>
        <v>16222.293022642292</v>
      </c>
      <c r="T2" s="4">
        <f>S2+'QTR CF'!W48</f>
        <v>18552.809254592819</v>
      </c>
      <c r="U2" s="4">
        <f>T2+'QTR CF'!X48</f>
        <v>20248.411821056357</v>
      </c>
      <c r="V2" s="4">
        <f>U2+'QTR CF'!Y48</f>
        <v>23011.054644033356</v>
      </c>
      <c r="W2" s="4">
        <f>V2+'QTR CF'!Z48</f>
        <v>22350.695629482037</v>
      </c>
      <c r="X2" s="4">
        <f>W2+'QTR CF'!AA48</f>
        <v>24852.497298994618</v>
      </c>
      <c r="Y2" s="4">
        <f>X2+'QTR CF'!AB48</f>
        <v>26665.386283755615</v>
      </c>
      <c r="Z2" s="4">
        <f>Y2+'QTR CF'!AC48</f>
        <v>29636.066646796164</v>
      </c>
      <c r="AA2" s="4">
        <f>Z2+'QTR CF'!AD48</f>
        <v>28892.620957765561</v>
      </c>
      <c r="AB2" s="4">
        <f>AA2+'QTR CF'!AE48</f>
        <v>31580.275786635186</v>
      </c>
      <c r="AC2" s="4">
        <f>AB2+'QTR CF'!AF48</f>
        <v>33520.426327898094</v>
      </c>
      <c r="AD2" s="4">
        <f>AC2+'QTR CF'!AG48</f>
        <v>36716.837696656359</v>
      </c>
      <c r="AE2" s="4">
        <f>AD2+'QTR CF'!AH48</f>
        <v>35883.238862254868</v>
      </c>
      <c r="AF2" s="4">
        <f>AE2+'QTR CF'!AI48</f>
        <v>38772.553548113116</v>
      </c>
      <c r="AG2" s="4">
        <f>AF2+'QTR CF'!AJ48</f>
        <v>40850.789163491005</v>
      </c>
      <c r="AH2" s="4">
        <f>AG2+'QTR CF'!AK48</f>
        <v>44292.12982206283</v>
      </c>
      <c r="AI2" s="4">
        <f>AH2+'QTR CF'!AL48</f>
        <v>43360.710372367743</v>
      </c>
      <c r="AJ2" s="4">
        <f>AI2+'QTR CF'!AM48</f>
        <v>46468.835962820551</v>
      </c>
      <c r="AK2" s="4">
        <f>AJ2+'QTR CF'!AN48</f>
        <v>48696.900703485444</v>
      </c>
      <c r="AL2" s="4">
        <f>AK2+'QTR CF'!AO48</f>
        <v>52404.001738297309</v>
      </c>
    </row>
    <row r="3" spans="1:38" x14ac:dyDescent="0.25">
      <c r="A3" s="3" t="s">
        <v>35</v>
      </c>
      <c r="B3" s="4">
        <f>'QTR BS'!B3</f>
        <v>394</v>
      </c>
      <c r="C3" s="4">
        <f>'QTR BS'!C3</f>
        <v>434</v>
      </c>
      <c r="D3" s="4">
        <f>'QTR BS'!D3</f>
        <v>338</v>
      </c>
      <c r="E3" s="4">
        <f>'QTR BS'!E3</f>
        <v>266</v>
      </c>
      <c r="F3" s="4">
        <f>'QTR BS'!F3</f>
        <v>292</v>
      </c>
      <c r="G3" s="4">
        <f>'QTR BS'!G3</f>
        <v>303</v>
      </c>
      <c r="H3" s="4">
        <f>'QTR BS'!H3</f>
        <v>315</v>
      </c>
      <c r="I3" s="4">
        <f>'QTR BS'!I3</f>
        <v>743</v>
      </c>
      <c r="J3" s="4">
        <f>'QTR BS'!J3</f>
        <v>761</v>
      </c>
      <c r="K3" s="4">
        <f>'QTR BS'!K3</f>
        <v>314</v>
      </c>
      <c r="L3" s="4">
        <f>'QTR BS'!L3</f>
        <v>342</v>
      </c>
      <c r="M3" s="4">
        <f>'QTR BS'!M3</f>
        <v>535</v>
      </c>
      <c r="N3" s="4">
        <f>'QTR BS'!N3</f>
        <v>371</v>
      </c>
      <c r="O3" s="4">
        <f>'QTR BS'!O3</f>
        <v>353</v>
      </c>
      <c r="P3" s="15">
        <f t="shared" ref="P3:AL3" si="0">O3</f>
        <v>353</v>
      </c>
      <c r="Q3" s="15">
        <f t="shared" si="0"/>
        <v>353</v>
      </c>
      <c r="R3" s="15">
        <f t="shared" si="0"/>
        <v>353</v>
      </c>
      <c r="S3" s="15">
        <f t="shared" si="0"/>
        <v>353</v>
      </c>
      <c r="T3" s="15">
        <f t="shared" si="0"/>
        <v>353</v>
      </c>
      <c r="U3" s="15">
        <f t="shared" si="0"/>
        <v>353</v>
      </c>
      <c r="V3" s="15">
        <f t="shared" si="0"/>
        <v>353</v>
      </c>
      <c r="W3" s="15">
        <f t="shared" si="0"/>
        <v>353</v>
      </c>
      <c r="X3" s="15">
        <f t="shared" si="0"/>
        <v>353</v>
      </c>
      <c r="Y3" s="15">
        <f t="shared" si="0"/>
        <v>353</v>
      </c>
      <c r="Z3" s="15">
        <f t="shared" si="0"/>
        <v>353</v>
      </c>
      <c r="AA3" s="15">
        <f t="shared" si="0"/>
        <v>353</v>
      </c>
      <c r="AB3" s="15">
        <f t="shared" si="0"/>
        <v>353</v>
      </c>
      <c r="AC3" s="15">
        <f t="shared" si="0"/>
        <v>353</v>
      </c>
      <c r="AD3" s="15">
        <f t="shared" si="0"/>
        <v>353</v>
      </c>
      <c r="AE3" s="15">
        <f t="shared" si="0"/>
        <v>353</v>
      </c>
      <c r="AF3" s="15">
        <f t="shared" si="0"/>
        <v>353</v>
      </c>
      <c r="AG3" s="15">
        <f t="shared" si="0"/>
        <v>353</v>
      </c>
      <c r="AH3" s="15">
        <f t="shared" si="0"/>
        <v>353</v>
      </c>
      <c r="AI3" s="15">
        <f t="shared" si="0"/>
        <v>353</v>
      </c>
      <c r="AJ3" s="15">
        <f t="shared" si="0"/>
        <v>353</v>
      </c>
      <c r="AK3" s="15">
        <f t="shared" si="0"/>
        <v>353</v>
      </c>
      <c r="AL3" s="15">
        <f t="shared" si="0"/>
        <v>353</v>
      </c>
    </row>
    <row r="4" spans="1:38" x14ac:dyDescent="0.25">
      <c r="A4" s="3" t="s">
        <v>152</v>
      </c>
      <c r="B4" s="16">
        <f>IFERROR('QTR BS'!B4/'QTR P&amp;L'!E2*ASSUMPTIONS!$B$2,"")</f>
        <v>33.034469209887128</v>
      </c>
      <c r="C4" s="16">
        <f>IFERROR('QTR BS'!C4/'QTR P&amp;L'!F2*ASSUMPTIONS!$B$2,"")</f>
        <v>53.383335201165529</v>
      </c>
      <c r="D4" s="16">
        <f>IFERROR('QTR BS'!D4/'QTR P&amp;L'!G2*ASSUMPTIONS!$B$2,"")</f>
        <v>46.702625212794551</v>
      </c>
      <c r="E4" s="16">
        <f>IFERROR('QTR BS'!E4/'QTR P&amp;L'!H2*ASSUMPTIONS!$B$2,"")</f>
        <v>45.715345584786597</v>
      </c>
      <c r="F4" s="16">
        <f>IFERROR('QTR BS'!F4/'QTR P&amp;L'!I2*ASSUMPTIONS!$B$2,"")</f>
        <v>35.33806104129264</v>
      </c>
      <c r="G4" s="16">
        <f>IFERROR('QTR BS'!G4/'QTR P&amp;L'!J2*ASSUMPTIONS!$B$2,"")</f>
        <v>54.540164383561645</v>
      </c>
      <c r="H4" s="16">
        <f>IFERROR('QTR BS'!H4/'QTR P&amp;L'!K2*ASSUMPTIONS!$B$2,"")</f>
        <v>48.296609039598245</v>
      </c>
      <c r="I4" s="16">
        <f>IFERROR('QTR BS'!I4/'QTR P&amp;L'!L2*ASSUMPTIONS!$B$2,"")</f>
        <v>47.172177194562373</v>
      </c>
      <c r="J4" s="16">
        <f>IFERROR('QTR BS'!J4/'QTR P&amp;L'!M2*ASSUMPTIONS!$B$2,"")</f>
        <v>33.843327094730782</v>
      </c>
      <c r="K4" s="16">
        <f>IFERROR('QTR BS'!K4/'QTR P&amp;L'!N2*ASSUMPTIONS!$B$2,"")</f>
        <v>54.846810647915625</v>
      </c>
      <c r="L4" s="16">
        <f>IFERROR('QTR BS'!L4/'QTR P&amp;L'!O2*ASSUMPTIONS!$B$2,"")</f>
        <v>49.612338290944287</v>
      </c>
      <c r="M4" s="16">
        <f>IFERROR('QTR BS'!M4/'QTR P&amp;L'!P2*ASSUMPTIONS!$B$2,"")</f>
        <v>48.029995404603753</v>
      </c>
      <c r="N4" s="16">
        <f>IFERROR('QTR BS'!N4/'QTR P&amp;L'!Q2*ASSUMPTIONS!$B$2,"")</f>
        <v>35.682990832566539</v>
      </c>
      <c r="O4" s="16">
        <f>IFERROR('QTR BS'!O4/'QTR P&amp;L'!R2*ASSUMPTIONS!$B$2,"")</f>
        <v>56.964511649436815</v>
      </c>
      <c r="P4" s="17">
        <f t="shared" ref="P4:AL4" si="1">O4</f>
        <v>56.964511649436815</v>
      </c>
      <c r="Q4" s="17">
        <f t="shared" si="1"/>
        <v>56.964511649436815</v>
      </c>
      <c r="R4" s="17">
        <f t="shared" si="1"/>
        <v>56.964511649436815</v>
      </c>
      <c r="S4" s="17">
        <f t="shared" si="1"/>
        <v>56.964511649436815</v>
      </c>
      <c r="T4" s="17">
        <f t="shared" si="1"/>
        <v>56.964511649436815</v>
      </c>
      <c r="U4" s="17">
        <f t="shared" si="1"/>
        <v>56.964511649436815</v>
      </c>
      <c r="V4" s="17">
        <f t="shared" si="1"/>
        <v>56.964511649436815</v>
      </c>
      <c r="W4" s="17">
        <f t="shared" si="1"/>
        <v>56.964511649436815</v>
      </c>
      <c r="X4" s="17">
        <f t="shared" si="1"/>
        <v>56.964511649436815</v>
      </c>
      <c r="Y4" s="17">
        <f t="shared" si="1"/>
        <v>56.964511649436815</v>
      </c>
      <c r="Z4" s="17">
        <f t="shared" si="1"/>
        <v>56.964511649436815</v>
      </c>
      <c r="AA4" s="17">
        <f t="shared" si="1"/>
        <v>56.964511649436815</v>
      </c>
      <c r="AB4" s="17">
        <f t="shared" si="1"/>
        <v>56.964511649436815</v>
      </c>
      <c r="AC4" s="17">
        <f t="shared" si="1"/>
        <v>56.964511649436815</v>
      </c>
      <c r="AD4" s="17">
        <f t="shared" si="1"/>
        <v>56.964511649436815</v>
      </c>
      <c r="AE4" s="17">
        <f t="shared" si="1"/>
        <v>56.964511649436815</v>
      </c>
      <c r="AF4" s="17">
        <f t="shared" si="1"/>
        <v>56.964511649436815</v>
      </c>
      <c r="AG4" s="17">
        <f t="shared" si="1"/>
        <v>56.964511649436815</v>
      </c>
      <c r="AH4" s="17">
        <f t="shared" si="1"/>
        <v>56.964511649436815</v>
      </c>
      <c r="AI4" s="17">
        <f t="shared" si="1"/>
        <v>56.964511649436815</v>
      </c>
      <c r="AJ4" s="17">
        <f t="shared" si="1"/>
        <v>56.964511649436815</v>
      </c>
      <c r="AK4" s="17">
        <f t="shared" si="1"/>
        <v>56.964511649436815</v>
      </c>
      <c r="AL4" s="17">
        <f t="shared" si="1"/>
        <v>56.964511649436815</v>
      </c>
    </row>
    <row r="5" spans="1:38" x14ac:dyDescent="0.25">
      <c r="A5" s="3" t="s">
        <v>153</v>
      </c>
      <c r="B5" s="16">
        <f>IFERROR('QTR BS'!B5/'QTR P&amp;L'!E3*ASSUMPTIONS!$B$2,"")</f>
        <v>-35.409985096870344</v>
      </c>
      <c r="C5" s="16">
        <f>IFERROR('QTR BS'!C5/'QTR P&amp;L'!F3*ASSUMPTIONS!$B$2,"")</f>
        <v>-64.900726089133698</v>
      </c>
      <c r="D5" s="16">
        <f>IFERROR('QTR BS'!D5/'QTR P&amp;L'!G3*ASSUMPTIONS!$B$2,"")</f>
        <v>-53.668511016697956</v>
      </c>
      <c r="E5" s="16">
        <f>IFERROR('QTR BS'!E5/'QTR P&amp;L'!H3*ASSUMPTIONS!$B$2,"")</f>
        <v>-47.379672131147537</v>
      </c>
      <c r="F5" s="16">
        <f>IFERROR('QTR BS'!F5/'QTR P&amp;L'!I3*ASSUMPTIONS!$B$2,"")</f>
        <v>-37.061464457509352</v>
      </c>
      <c r="G5" s="16">
        <f>IFERROR('QTR BS'!G5/'QTR P&amp;L'!J3*ASSUMPTIONS!$B$2,"")</f>
        <v>-61.442652764306494</v>
      </c>
      <c r="H5" s="16">
        <f>IFERROR('QTR BS'!H5/'QTR P&amp;L'!K3*ASSUMPTIONS!$B$2,"")</f>
        <v>-54.0091743119266</v>
      </c>
      <c r="I5" s="16">
        <f>IFERROR('QTR BS'!I5/'QTR P&amp;L'!L3*ASSUMPTIONS!$B$2,"")</f>
        <v>-49.404001539053482</v>
      </c>
      <c r="J5" s="16">
        <f>IFERROR('QTR BS'!J5/'QTR P&amp;L'!M3*ASSUMPTIONS!$B$2,"")</f>
        <v>-36.631970260223049</v>
      </c>
      <c r="K5" s="16">
        <f>IFERROR('QTR BS'!K5/'QTR P&amp;L'!N3*ASSUMPTIONS!$B$2,"")</f>
        <v>-64.983598284128178</v>
      </c>
      <c r="L5" s="16">
        <f>IFERROR('QTR BS'!L5/'QTR P&amp;L'!O3*ASSUMPTIONS!$B$2,"")</f>
        <v>-57.290081521739133</v>
      </c>
      <c r="M5" s="16">
        <f>IFERROR('QTR BS'!M5/'QTR P&amp;L'!P3*ASSUMPTIONS!$B$2,"")</f>
        <v>-49.893188158013132</v>
      </c>
      <c r="N5" s="16">
        <f>IFERROR('QTR BS'!N5/'QTR P&amp;L'!Q3*ASSUMPTIONS!$B$2,"")</f>
        <v>-38.759382059316472</v>
      </c>
      <c r="O5" s="16">
        <f>IFERROR('QTR BS'!O5/'QTR P&amp;L'!R3*ASSUMPTIONS!$B$2,"")</f>
        <v>-64.876147842056938</v>
      </c>
      <c r="P5" s="17">
        <f t="shared" ref="P5:AL5" si="2">O5</f>
        <v>-64.876147842056938</v>
      </c>
      <c r="Q5" s="17">
        <f t="shared" si="2"/>
        <v>-64.876147842056938</v>
      </c>
      <c r="R5" s="17">
        <f t="shared" si="2"/>
        <v>-64.876147842056938</v>
      </c>
      <c r="S5" s="17">
        <f t="shared" si="2"/>
        <v>-64.876147842056938</v>
      </c>
      <c r="T5" s="17">
        <f t="shared" si="2"/>
        <v>-64.876147842056938</v>
      </c>
      <c r="U5" s="17">
        <f t="shared" si="2"/>
        <v>-64.876147842056938</v>
      </c>
      <c r="V5" s="17">
        <f t="shared" si="2"/>
        <v>-64.876147842056938</v>
      </c>
      <c r="W5" s="17">
        <f t="shared" si="2"/>
        <v>-64.876147842056938</v>
      </c>
      <c r="X5" s="17">
        <f t="shared" si="2"/>
        <v>-64.876147842056938</v>
      </c>
      <c r="Y5" s="17">
        <f t="shared" si="2"/>
        <v>-64.876147842056938</v>
      </c>
      <c r="Z5" s="17">
        <f t="shared" si="2"/>
        <v>-64.876147842056938</v>
      </c>
      <c r="AA5" s="17">
        <f t="shared" si="2"/>
        <v>-64.876147842056938</v>
      </c>
      <c r="AB5" s="17">
        <f t="shared" si="2"/>
        <v>-64.876147842056938</v>
      </c>
      <c r="AC5" s="17">
        <f t="shared" si="2"/>
        <v>-64.876147842056938</v>
      </c>
      <c r="AD5" s="17">
        <f t="shared" si="2"/>
        <v>-64.876147842056938</v>
      </c>
      <c r="AE5" s="17">
        <f t="shared" si="2"/>
        <v>-64.876147842056938</v>
      </c>
      <c r="AF5" s="17">
        <f t="shared" si="2"/>
        <v>-64.876147842056938</v>
      </c>
      <c r="AG5" s="17">
        <f t="shared" si="2"/>
        <v>-64.876147842056938</v>
      </c>
      <c r="AH5" s="17">
        <f t="shared" si="2"/>
        <v>-64.876147842056938</v>
      </c>
      <c r="AI5" s="17">
        <f t="shared" si="2"/>
        <v>-64.876147842056938</v>
      </c>
      <c r="AJ5" s="17">
        <f t="shared" si="2"/>
        <v>-64.876147842056938</v>
      </c>
      <c r="AK5" s="17">
        <f t="shared" si="2"/>
        <v>-64.876147842056938</v>
      </c>
      <c r="AL5" s="17">
        <f t="shared" si="2"/>
        <v>-64.876147842056938</v>
      </c>
    </row>
    <row r="6" spans="1:38" x14ac:dyDescent="0.25">
      <c r="A6" s="3" t="s">
        <v>154</v>
      </c>
      <c r="B6" s="13">
        <f>IFERROR('QTR BS'!B6/'QTR P&amp;L'!E2,"")</f>
        <v>2.8789827118159736E-2</v>
      </c>
      <c r="C6" s="13">
        <f>IFERROR('QTR BS'!C6/'QTR P&amp;L'!F2,"")</f>
        <v>5.9228958870335087E-2</v>
      </c>
      <c r="D6" s="13">
        <f>IFERROR('QTR BS'!D6/'QTR P&amp;L'!G2,"")</f>
        <v>4.8158767135561331E-2</v>
      </c>
      <c r="E6" s="13">
        <f>IFERROR('QTR BS'!E6/'QTR P&amp;L'!H2,"")</f>
        <v>4.3747068605295696E-2</v>
      </c>
      <c r="F6" s="13">
        <f>IFERROR('QTR BS'!F6/'QTR P&amp;L'!I2,"")</f>
        <v>2.8653500897666068E-2</v>
      </c>
      <c r="G6" s="13">
        <f>IFERROR('QTR BS'!G6/'QTR P&amp;L'!J2,"")</f>
        <v>6.2904109589041093E-2</v>
      </c>
      <c r="H6" s="13">
        <f>IFERROR('QTR BS'!H6/'QTR P&amp;L'!K2,"")</f>
        <v>5.3597617883649619E-2</v>
      </c>
      <c r="I6" s="13">
        <f>IFERROR('QTR BS'!I6/'QTR P&amp;L'!L2,"")</f>
        <v>4.5842446074016899E-2</v>
      </c>
      <c r="J6" s="13">
        <f>IFERROR('QTR BS'!J6/'QTR P&amp;L'!M2,"")</f>
        <v>3.3148574719262885E-2</v>
      </c>
      <c r="K6" s="13">
        <f>IFERROR('QTR BS'!K6/'QTR P&amp;L'!N2,"")</f>
        <v>6.9535130308610971E-2</v>
      </c>
      <c r="L6" s="13">
        <f>IFERROR('QTR BS'!L6/'QTR P&amp;L'!O2,"")</f>
        <v>5.9843351227668748E-2</v>
      </c>
      <c r="M6" s="13">
        <f>IFERROR('QTR BS'!M6/'QTR P&amp;L'!P2,"")</f>
        <v>5.5729623595270922E-2</v>
      </c>
      <c r="N6" s="13">
        <f>IFERROR('QTR BS'!N6/'QTR P&amp;L'!Q2,"")</f>
        <v>3.6397096411409875E-2</v>
      </c>
      <c r="O6" s="13">
        <f>IFERROR('QTR BS'!O6/'QTR P&amp;L'!R2,"")</f>
        <v>8.7743660957671138E-2</v>
      </c>
      <c r="P6" s="14">
        <f t="shared" ref="P6:AL6" si="3">O6</f>
        <v>8.7743660957671138E-2</v>
      </c>
      <c r="Q6" s="14">
        <f t="shared" si="3"/>
        <v>8.7743660957671138E-2</v>
      </c>
      <c r="R6" s="14">
        <f t="shared" si="3"/>
        <v>8.7743660957671138E-2</v>
      </c>
      <c r="S6" s="14">
        <f t="shared" si="3"/>
        <v>8.7743660957671138E-2</v>
      </c>
      <c r="T6" s="14">
        <f t="shared" si="3"/>
        <v>8.7743660957671138E-2</v>
      </c>
      <c r="U6" s="14">
        <f t="shared" si="3"/>
        <v>8.7743660957671138E-2</v>
      </c>
      <c r="V6" s="14">
        <f t="shared" si="3"/>
        <v>8.7743660957671138E-2</v>
      </c>
      <c r="W6" s="14">
        <f t="shared" si="3"/>
        <v>8.7743660957671138E-2</v>
      </c>
      <c r="X6" s="14">
        <f t="shared" si="3"/>
        <v>8.7743660957671138E-2</v>
      </c>
      <c r="Y6" s="14">
        <f t="shared" si="3"/>
        <v>8.7743660957671138E-2</v>
      </c>
      <c r="Z6" s="14">
        <f t="shared" si="3"/>
        <v>8.7743660957671138E-2</v>
      </c>
      <c r="AA6" s="14">
        <f t="shared" si="3"/>
        <v>8.7743660957671138E-2</v>
      </c>
      <c r="AB6" s="14">
        <f t="shared" si="3"/>
        <v>8.7743660957671138E-2</v>
      </c>
      <c r="AC6" s="14">
        <f t="shared" si="3"/>
        <v>8.7743660957671138E-2</v>
      </c>
      <c r="AD6" s="14">
        <f t="shared" si="3"/>
        <v>8.7743660957671138E-2</v>
      </c>
      <c r="AE6" s="14">
        <f t="shared" si="3"/>
        <v>8.7743660957671138E-2</v>
      </c>
      <c r="AF6" s="14">
        <f t="shared" si="3"/>
        <v>8.7743660957671138E-2</v>
      </c>
      <c r="AG6" s="14">
        <f t="shared" si="3"/>
        <v>8.7743660957671138E-2</v>
      </c>
      <c r="AH6" s="14">
        <f t="shared" si="3"/>
        <v>8.7743660957671138E-2</v>
      </c>
      <c r="AI6" s="14">
        <f t="shared" si="3"/>
        <v>8.7743660957671138E-2</v>
      </c>
      <c r="AJ6" s="14">
        <f t="shared" si="3"/>
        <v>8.7743660957671138E-2</v>
      </c>
      <c r="AK6" s="14">
        <f t="shared" si="3"/>
        <v>8.7743660957671138E-2</v>
      </c>
      <c r="AL6" s="14">
        <f t="shared" si="3"/>
        <v>8.7743660957671138E-2</v>
      </c>
    </row>
    <row r="7" spans="1:38" x14ac:dyDescent="0.25">
      <c r="A7" s="3" t="s">
        <v>40</v>
      </c>
      <c r="B7" s="4">
        <f>'QTR BS'!B8</f>
        <v>24291</v>
      </c>
      <c r="C7" s="4">
        <f>'QTR BS'!C8</f>
        <v>24228</v>
      </c>
      <c r="D7" s="4">
        <f>'QTR BS'!D8</f>
        <v>24500</v>
      </c>
      <c r="E7" s="4">
        <f>'QTR BS'!E8</f>
        <v>24853</v>
      </c>
      <c r="F7" s="4">
        <f>'QTR BS'!F8</f>
        <v>27039</v>
      </c>
      <c r="G7" s="4">
        <f>'QTR BS'!G8</f>
        <v>26792</v>
      </c>
      <c r="H7" s="4">
        <f>'QTR BS'!H8</f>
        <v>27042</v>
      </c>
      <c r="I7" s="4">
        <f>'QTR BS'!I8</f>
        <v>27188</v>
      </c>
      <c r="J7" s="4">
        <f>'QTR BS'!J8</f>
        <v>28008</v>
      </c>
      <c r="K7" s="4">
        <f>'QTR BS'!K8</f>
        <v>28213</v>
      </c>
      <c r="L7" s="4">
        <f>'QTR BS'!L8</f>
        <v>28797</v>
      </c>
      <c r="M7" s="4">
        <f>'QTR BS'!M8</f>
        <v>29053</v>
      </c>
      <c r="N7" s="4">
        <f>'QTR BS'!N8</f>
        <v>29905</v>
      </c>
      <c r="O7" s="4">
        <f>'QTR BS'!O8</f>
        <v>29807</v>
      </c>
      <c r="P7" s="4">
        <f>O7-'QTR CF'!S27-'QTR CF'!S3</f>
        <v>29432.862492326582</v>
      </c>
      <c r="Q7" s="4">
        <f>P7-'QTR CF'!T27-'QTR CF'!T3</f>
        <v>29038.788325241367</v>
      </c>
      <c r="R7" s="4">
        <f>Q7-'QTR CF'!U27-'QTR CF'!U3</f>
        <v>28555.715330096547</v>
      </c>
      <c r="S7" s="4">
        <f>R7-'QTR CF'!V27-'QTR CF'!V3</f>
        <v>28235.625760366092</v>
      </c>
      <c r="T7" s="4">
        <f>S7-'QTR CF'!W27-'QTR CF'!W3</f>
        <v>27829.668086294198</v>
      </c>
      <c r="U7" s="4">
        <f>T7-'QTR CF'!X27-'QTR CF'!X3</f>
        <v>27402.078152110487</v>
      </c>
      <c r="V7" s="4">
        <f>U7-'QTR CF'!Y27-'QTR CF'!Y3</f>
        <v>26877.920093926397</v>
      </c>
      <c r="W7" s="4">
        <f>V7-'QTR CF'!Z27-'QTR CF'!Z3</f>
        <v>26530.607101891728</v>
      </c>
      <c r="X7" s="4">
        <f>W7-'QTR CF'!AA27-'QTR CF'!AA3</f>
        <v>26090.122975713937</v>
      </c>
      <c r="Y7" s="4">
        <f>X7-'QTR CF'!AB27-'QTR CF'!AB3</f>
        <v>25626.166778920931</v>
      </c>
      <c r="Z7" s="4">
        <f>Y7-'QTR CF'!AC27-'QTR CF'!AC3</f>
        <v>25057.429398192471</v>
      </c>
      <c r="AA7" s="4">
        <f>Z7-'QTR CF'!AD27-'QTR CF'!AD3</f>
        <v>24680.57764842239</v>
      </c>
      <c r="AB7" s="4">
        <f>AA7-'QTR CF'!AE27-'QTR CF'!AE3</f>
        <v>24202.630616485629</v>
      </c>
      <c r="AC7" s="4">
        <f>AB7-'QTR CF'!AF27-'QTR CF'!AF3</f>
        <v>23699.215228671223</v>
      </c>
      <c r="AD7" s="4">
        <f>AC7-'QTR CF'!AG27-'QTR CF'!AG3</f>
        <v>23082.107081257673</v>
      </c>
      <c r="AE7" s="4">
        <f>AD7-'QTR CF'!AH27-'QTR CF'!AH3</f>
        <v>22673.204320457422</v>
      </c>
      <c r="AF7" s="4">
        <f>AE7-'QTR CF'!AI27-'QTR CF'!AI3</f>
        <v>22154.608185519846</v>
      </c>
      <c r="AG7" s="4">
        <f>AF7-'QTR CF'!AJ27-'QTR CF'!AJ3</f>
        <v>21608.377626600512</v>
      </c>
      <c r="AH7" s="4">
        <f>AG7-'QTR CF'!AK27-'QTR CF'!AK3</f>
        <v>20938.784808353863</v>
      </c>
      <c r="AI7" s="4">
        <f>AH7-'QTR CF'!AL27-'QTR CF'!AL3</f>
        <v>20495.105117621166</v>
      </c>
      <c r="AJ7" s="4">
        <f>AI7-'QTR CF'!AM27-'QTR CF'!AM3</f>
        <v>19932.402698312537</v>
      </c>
      <c r="AK7" s="4">
        <f>AJ7-'QTR CF'!AN27-'QTR CF'!AN3</f>
        <v>19339.715564149436</v>
      </c>
      <c r="AL7" s="4">
        <f>AK7-'QTR CF'!AO27-'QTR CF'!AO3</f>
        <v>18613.174285887839</v>
      </c>
    </row>
    <row r="8" spans="1:38" x14ac:dyDescent="0.25">
      <c r="A8" s="3" t="s">
        <v>41</v>
      </c>
      <c r="B8" s="4">
        <f>'QTR BS'!B9</f>
        <v>15586</v>
      </c>
      <c r="C8" s="4">
        <f>'QTR BS'!C9</f>
        <v>15523</v>
      </c>
      <c r="D8" s="4">
        <f>'QTR BS'!D9</f>
        <v>15562</v>
      </c>
      <c r="E8" s="4">
        <f>'QTR BS'!E9</f>
        <v>15501</v>
      </c>
      <c r="F8" s="4">
        <f>'QTR BS'!F9</f>
        <v>14929</v>
      </c>
      <c r="G8" s="4">
        <f>'QTR BS'!G9</f>
        <v>14853</v>
      </c>
      <c r="H8" s="4">
        <f>'QTR BS'!H9</f>
        <v>14826</v>
      </c>
      <c r="I8" s="4">
        <f>'QTR BS'!I9</f>
        <v>14857</v>
      </c>
      <c r="J8" s="4">
        <f>'QTR BS'!J9</f>
        <v>14801</v>
      </c>
      <c r="K8" s="4">
        <f>'QTR BS'!K9</f>
        <v>15363</v>
      </c>
      <c r="L8" s="4">
        <f>'QTR BS'!L9</f>
        <v>15523</v>
      </c>
      <c r="M8" s="4">
        <f>'QTR BS'!M9</f>
        <v>14852</v>
      </c>
      <c r="N8" s="4">
        <f>'QTR BS'!N9</f>
        <v>15066</v>
      </c>
      <c r="O8" s="4">
        <f>'QTR BS'!O9</f>
        <v>15143</v>
      </c>
      <c r="P8" s="15">
        <f t="shared" ref="P8:AL8" si="4">O8</f>
        <v>15143</v>
      </c>
      <c r="Q8" s="15">
        <f t="shared" si="4"/>
        <v>15143</v>
      </c>
      <c r="R8" s="15">
        <f t="shared" si="4"/>
        <v>15143</v>
      </c>
      <c r="S8" s="15">
        <f t="shared" si="4"/>
        <v>15143</v>
      </c>
      <c r="T8" s="15">
        <f t="shared" si="4"/>
        <v>15143</v>
      </c>
      <c r="U8" s="15">
        <f t="shared" si="4"/>
        <v>15143</v>
      </c>
      <c r="V8" s="15">
        <f t="shared" si="4"/>
        <v>15143</v>
      </c>
      <c r="W8" s="15">
        <f t="shared" si="4"/>
        <v>15143</v>
      </c>
      <c r="X8" s="15">
        <f t="shared" si="4"/>
        <v>15143</v>
      </c>
      <c r="Y8" s="15">
        <f t="shared" si="4"/>
        <v>15143</v>
      </c>
      <c r="Z8" s="15">
        <f t="shared" si="4"/>
        <v>15143</v>
      </c>
      <c r="AA8" s="15">
        <f t="shared" si="4"/>
        <v>15143</v>
      </c>
      <c r="AB8" s="15">
        <f t="shared" si="4"/>
        <v>15143</v>
      </c>
      <c r="AC8" s="15">
        <f t="shared" si="4"/>
        <v>15143</v>
      </c>
      <c r="AD8" s="15">
        <f t="shared" si="4"/>
        <v>15143</v>
      </c>
      <c r="AE8" s="15">
        <f t="shared" si="4"/>
        <v>15143</v>
      </c>
      <c r="AF8" s="15">
        <f t="shared" si="4"/>
        <v>15143</v>
      </c>
      <c r="AG8" s="15">
        <f t="shared" si="4"/>
        <v>15143</v>
      </c>
      <c r="AH8" s="15">
        <f t="shared" si="4"/>
        <v>15143</v>
      </c>
      <c r="AI8" s="15">
        <f t="shared" si="4"/>
        <v>15143</v>
      </c>
      <c r="AJ8" s="15">
        <f t="shared" si="4"/>
        <v>15143</v>
      </c>
      <c r="AK8" s="15">
        <f t="shared" si="4"/>
        <v>15143</v>
      </c>
      <c r="AL8" s="15">
        <f t="shared" si="4"/>
        <v>15143</v>
      </c>
    </row>
    <row r="9" spans="1:38" x14ac:dyDescent="0.25">
      <c r="A9" s="3" t="s">
        <v>42</v>
      </c>
      <c r="B9" s="4">
        <f>'QTR BS'!B10</f>
        <v>18202</v>
      </c>
      <c r="C9" s="4">
        <f>'QTR BS'!C10</f>
        <v>18089</v>
      </c>
      <c r="D9" s="4">
        <f>'QTR BS'!D10</f>
        <v>17997</v>
      </c>
      <c r="E9" s="4">
        <f>'QTR BS'!E10</f>
        <v>17892</v>
      </c>
      <c r="F9" s="4">
        <f>'QTR BS'!F10</f>
        <v>17728</v>
      </c>
      <c r="G9" s="4">
        <f>'QTR BS'!G10</f>
        <v>17646</v>
      </c>
      <c r="H9" s="4">
        <f>'QTR BS'!H10</f>
        <v>17648</v>
      </c>
      <c r="I9" s="4">
        <f>'QTR BS'!I10</f>
        <v>17709</v>
      </c>
      <c r="J9" s="4">
        <f>'QTR BS'!J10</f>
        <v>17534</v>
      </c>
      <c r="K9" s="4">
        <f>'QTR BS'!K10</f>
        <v>18364</v>
      </c>
      <c r="L9" s="4">
        <f>'QTR BS'!L10</f>
        <v>18952</v>
      </c>
      <c r="M9" s="4">
        <f>'QTR BS'!M10</f>
        <v>18845</v>
      </c>
      <c r="N9" s="4">
        <f>'QTR BS'!N10</f>
        <v>18916</v>
      </c>
      <c r="O9" s="4">
        <f>'QTR BS'!O10</f>
        <v>19021</v>
      </c>
      <c r="P9" s="15">
        <f t="shared" ref="P9:AL9" si="5">O9</f>
        <v>19021</v>
      </c>
      <c r="Q9" s="15">
        <f t="shared" si="5"/>
        <v>19021</v>
      </c>
      <c r="R9" s="15">
        <f t="shared" si="5"/>
        <v>19021</v>
      </c>
      <c r="S9" s="15">
        <f t="shared" si="5"/>
        <v>19021</v>
      </c>
      <c r="T9" s="15">
        <f t="shared" si="5"/>
        <v>19021</v>
      </c>
      <c r="U9" s="15">
        <f t="shared" si="5"/>
        <v>19021</v>
      </c>
      <c r="V9" s="15">
        <f t="shared" si="5"/>
        <v>19021</v>
      </c>
      <c r="W9" s="15">
        <f t="shared" si="5"/>
        <v>19021</v>
      </c>
      <c r="X9" s="15">
        <f t="shared" si="5"/>
        <v>19021</v>
      </c>
      <c r="Y9" s="15">
        <f t="shared" si="5"/>
        <v>19021</v>
      </c>
      <c r="Z9" s="15">
        <f t="shared" si="5"/>
        <v>19021</v>
      </c>
      <c r="AA9" s="15">
        <f t="shared" si="5"/>
        <v>19021</v>
      </c>
      <c r="AB9" s="15">
        <f t="shared" si="5"/>
        <v>19021</v>
      </c>
      <c r="AC9" s="15">
        <f t="shared" si="5"/>
        <v>19021</v>
      </c>
      <c r="AD9" s="15">
        <f t="shared" si="5"/>
        <v>19021</v>
      </c>
      <c r="AE9" s="15">
        <f t="shared" si="5"/>
        <v>19021</v>
      </c>
      <c r="AF9" s="15">
        <f t="shared" si="5"/>
        <v>19021</v>
      </c>
      <c r="AG9" s="15">
        <f t="shared" si="5"/>
        <v>19021</v>
      </c>
      <c r="AH9" s="15">
        <f t="shared" si="5"/>
        <v>19021</v>
      </c>
      <c r="AI9" s="15">
        <f t="shared" si="5"/>
        <v>19021</v>
      </c>
      <c r="AJ9" s="15">
        <f t="shared" si="5"/>
        <v>19021</v>
      </c>
      <c r="AK9" s="15">
        <f t="shared" si="5"/>
        <v>19021</v>
      </c>
      <c r="AL9" s="15">
        <f t="shared" si="5"/>
        <v>19021</v>
      </c>
    </row>
    <row r="10" spans="1:38" x14ac:dyDescent="0.25">
      <c r="A10" s="3" t="s">
        <v>43</v>
      </c>
      <c r="B10" s="4">
        <f>'QTR BS'!B11</f>
        <v>3073</v>
      </c>
      <c r="C10" s="4">
        <f>'QTR BS'!C11</f>
        <v>3123</v>
      </c>
      <c r="D10" s="4">
        <f>'QTR BS'!D11</f>
        <v>3038</v>
      </c>
      <c r="E10" s="4">
        <f>'QTR BS'!E11</f>
        <v>2955</v>
      </c>
      <c r="F10" s="4">
        <f>'QTR BS'!F11</f>
        <v>2714</v>
      </c>
      <c r="G10" s="4">
        <f>'QTR BS'!G11</f>
        <v>2734</v>
      </c>
      <c r="H10" s="4">
        <f>'QTR BS'!H11</f>
        <v>2674</v>
      </c>
      <c r="I10" s="4">
        <f>'QTR BS'!I11</f>
        <v>2645</v>
      </c>
      <c r="J10" s="4">
        <f>'QTR BS'!J11</f>
        <v>1985</v>
      </c>
      <c r="K10" s="4">
        <f>'QTR BS'!K11</f>
        <v>1996</v>
      </c>
      <c r="L10" s="4">
        <f>'QTR BS'!L11</f>
        <v>2061</v>
      </c>
      <c r="M10" s="4">
        <f>'QTR BS'!M11</f>
        <v>2084</v>
      </c>
      <c r="N10" s="4">
        <f>'QTR BS'!N11</f>
        <v>2038</v>
      </c>
      <c r="O10" s="4">
        <f>'QTR BS'!O11</f>
        <v>2135</v>
      </c>
      <c r="P10" s="15">
        <f t="shared" ref="P10:AL10" si="6">O10</f>
        <v>2135</v>
      </c>
      <c r="Q10" s="15">
        <f t="shared" si="6"/>
        <v>2135</v>
      </c>
      <c r="R10" s="15">
        <f t="shared" si="6"/>
        <v>2135</v>
      </c>
      <c r="S10" s="15">
        <f t="shared" si="6"/>
        <v>2135</v>
      </c>
      <c r="T10" s="15">
        <f t="shared" si="6"/>
        <v>2135</v>
      </c>
      <c r="U10" s="15">
        <f t="shared" si="6"/>
        <v>2135</v>
      </c>
      <c r="V10" s="15">
        <f t="shared" si="6"/>
        <v>2135</v>
      </c>
      <c r="W10" s="15">
        <f t="shared" si="6"/>
        <v>2135</v>
      </c>
      <c r="X10" s="15">
        <f t="shared" si="6"/>
        <v>2135</v>
      </c>
      <c r="Y10" s="15">
        <f t="shared" si="6"/>
        <v>2135</v>
      </c>
      <c r="Z10" s="15">
        <f t="shared" si="6"/>
        <v>2135</v>
      </c>
      <c r="AA10" s="15">
        <f t="shared" si="6"/>
        <v>2135</v>
      </c>
      <c r="AB10" s="15">
        <f t="shared" si="6"/>
        <v>2135</v>
      </c>
      <c r="AC10" s="15">
        <f t="shared" si="6"/>
        <v>2135</v>
      </c>
      <c r="AD10" s="15">
        <f t="shared" si="6"/>
        <v>2135</v>
      </c>
      <c r="AE10" s="15">
        <f t="shared" si="6"/>
        <v>2135</v>
      </c>
      <c r="AF10" s="15">
        <f t="shared" si="6"/>
        <v>2135</v>
      </c>
      <c r="AG10" s="15">
        <f t="shared" si="6"/>
        <v>2135</v>
      </c>
      <c r="AH10" s="15">
        <f t="shared" si="6"/>
        <v>2135</v>
      </c>
      <c r="AI10" s="15">
        <f t="shared" si="6"/>
        <v>2135</v>
      </c>
      <c r="AJ10" s="15">
        <f t="shared" si="6"/>
        <v>2135</v>
      </c>
      <c r="AK10" s="15">
        <f t="shared" si="6"/>
        <v>2135</v>
      </c>
      <c r="AL10" s="15">
        <f t="shared" si="6"/>
        <v>2135</v>
      </c>
    </row>
    <row r="11" spans="1:38" x14ac:dyDescent="0.25">
      <c r="A11" s="3" t="s">
        <v>44</v>
      </c>
      <c r="B11" s="4">
        <f>'QTR BS'!B12</f>
        <v>4204</v>
      </c>
      <c r="C11" s="4">
        <f>'QTR BS'!C12</f>
        <v>4211</v>
      </c>
      <c r="D11" s="4">
        <f>'QTR BS'!D12</f>
        <v>4186</v>
      </c>
      <c r="E11" s="4">
        <f>'QTR BS'!E12</f>
        <v>4165</v>
      </c>
      <c r="F11" s="4">
        <f>'QTR BS'!F12</f>
        <v>4474</v>
      </c>
      <c r="G11" s="4">
        <f>'QTR BS'!G12</f>
        <v>4444</v>
      </c>
      <c r="H11" s="4">
        <f>'QTR BS'!H12</f>
        <v>4465</v>
      </c>
      <c r="I11" s="4">
        <f>'QTR BS'!I12</f>
        <v>4321</v>
      </c>
      <c r="J11" s="4">
        <f>'QTR BS'!J12</f>
        <v>4362</v>
      </c>
      <c r="K11" s="4">
        <f>'QTR BS'!K12</f>
        <v>4350</v>
      </c>
      <c r="L11" s="4">
        <f>'QTR BS'!L12</f>
        <v>4293</v>
      </c>
      <c r="M11" s="4">
        <f>'QTR BS'!M12</f>
        <v>4341</v>
      </c>
      <c r="N11" s="4">
        <f>'QTR BS'!N12</f>
        <v>4541</v>
      </c>
      <c r="O11" s="4">
        <f>'QTR BS'!O12</f>
        <v>4560</v>
      </c>
      <c r="P11" s="4">
        <f>O11-'QTR CF'!S17</f>
        <v>4334</v>
      </c>
      <c r="Q11" s="4">
        <f>P11-'QTR CF'!T17</f>
        <v>4108</v>
      </c>
      <c r="R11" s="4">
        <f>Q11-'QTR CF'!U17</f>
        <v>3882</v>
      </c>
      <c r="S11" s="4">
        <f>R11-'QTR CF'!V17</f>
        <v>3656</v>
      </c>
      <c r="T11" s="4">
        <f>S11-'QTR CF'!W17</f>
        <v>3430</v>
      </c>
      <c r="U11" s="4">
        <f>T11-'QTR CF'!X17</f>
        <v>3204</v>
      </c>
      <c r="V11" s="4">
        <f>U11-'QTR CF'!Y17</f>
        <v>2978</v>
      </c>
      <c r="W11" s="4">
        <f>V11-'QTR CF'!Z17</f>
        <v>2752</v>
      </c>
      <c r="X11" s="4">
        <f>W11-'QTR CF'!AA17</f>
        <v>2526</v>
      </c>
      <c r="Y11" s="4">
        <f>X11-'QTR CF'!AB17</f>
        <v>2300</v>
      </c>
      <c r="Z11" s="4">
        <f>Y11-'QTR CF'!AC17</f>
        <v>2074</v>
      </c>
      <c r="AA11" s="4">
        <f>Z11-'QTR CF'!AD17</f>
        <v>1848</v>
      </c>
      <c r="AB11" s="4">
        <f>AA11-'QTR CF'!AE17</f>
        <v>1622</v>
      </c>
      <c r="AC11" s="4">
        <f>AB11-'QTR CF'!AF17</f>
        <v>1396</v>
      </c>
      <c r="AD11" s="4">
        <f>AC11-'QTR CF'!AG17</f>
        <v>1170</v>
      </c>
      <c r="AE11" s="4">
        <f>AD11-'QTR CF'!AH17</f>
        <v>944</v>
      </c>
      <c r="AF11" s="4">
        <f>AE11-'QTR CF'!AI17</f>
        <v>718</v>
      </c>
      <c r="AG11" s="4">
        <f>AF11-'QTR CF'!AJ17</f>
        <v>492</v>
      </c>
      <c r="AH11" s="4">
        <f>AG11-'QTR CF'!AK17</f>
        <v>266</v>
      </c>
      <c r="AI11" s="4">
        <f>AH11-'QTR CF'!AL17</f>
        <v>40</v>
      </c>
      <c r="AJ11" s="4">
        <f>AI11-'QTR CF'!AM17</f>
        <v>-186</v>
      </c>
      <c r="AK11" s="4">
        <f>AJ11-'QTR CF'!AN17</f>
        <v>-412</v>
      </c>
      <c r="AL11" s="4">
        <f>AK11-'QTR CF'!AO17</f>
        <v>-638</v>
      </c>
    </row>
    <row r="12" spans="1:38" x14ac:dyDescent="0.25">
      <c r="A12" s="3" t="s">
        <v>155</v>
      </c>
      <c r="B12" s="13">
        <f>IFERROR('QTR BS'!B13/'QTR P&amp;L'!E2,"")</f>
        <v>0.18902700385769394</v>
      </c>
      <c r="C12" s="13">
        <f>IFERROR('QTR BS'!C13/'QTR P&amp;L'!F2,"")</f>
        <v>0.3048862490193881</v>
      </c>
      <c r="D12" s="13">
        <f>IFERROR('QTR BS'!D13/'QTR P&amp;L'!G2,"")</f>
        <v>0.25396469850371828</v>
      </c>
      <c r="E12" s="13">
        <f>IFERROR('QTR BS'!E13/'QTR P&amp;L'!H2,"")</f>
        <v>0.2531872255148595</v>
      </c>
      <c r="F12" s="13">
        <f>IFERROR('QTR BS'!F13/'QTR P&amp;L'!I2,"")</f>
        <v>0.23917414721723518</v>
      </c>
      <c r="G12" s="13">
        <f>IFERROR('QTR BS'!G13/'QTR P&amp;L'!J2,"")</f>
        <v>0.41457534246575345</v>
      </c>
      <c r="H12" s="13">
        <f>IFERROR('QTR BS'!H13/'QTR P&amp;L'!K2,"")</f>
        <v>0.31887471667925871</v>
      </c>
      <c r="I12" s="13">
        <f>IFERROR('QTR BS'!I13/'QTR P&amp;L'!L2,"")</f>
        <v>0.29765427333933703</v>
      </c>
      <c r="J12" s="13">
        <f>IFERROR('QTR BS'!J13/'QTR P&amp;L'!M2,"")</f>
        <v>0.25017995968902967</v>
      </c>
      <c r="K12" s="13">
        <f>IFERROR('QTR BS'!K13/'QTR P&amp;L'!N2,"")</f>
        <v>0.39974328924605168</v>
      </c>
      <c r="L12" s="13">
        <f>IFERROR('QTR BS'!L13/'QTR P&amp;L'!O2,"")</f>
        <v>0.33041450321217986</v>
      </c>
      <c r="M12" s="13">
        <f>IFERROR('QTR BS'!M13/'QTR P&amp;L'!P2,"")</f>
        <v>0.36182479007394408</v>
      </c>
      <c r="N12" s="13">
        <f>IFERROR('QTR BS'!N13/'QTR P&amp;L'!Q2,"")</f>
        <v>0.30617182973792728</v>
      </c>
      <c r="O12" s="13">
        <f>IFERROR('QTR BS'!O13/'QTR P&amp;L'!R2,"")</f>
        <v>0.46618320218073345</v>
      </c>
      <c r="P12" s="14">
        <f t="shared" ref="P12:AL12" si="7">O12</f>
        <v>0.46618320218073345</v>
      </c>
      <c r="Q12" s="14">
        <f t="shared" si="7"/>
        <v>0.46618320218073345</v>
      </c>
      <c r="R12" s="14">
        <f t="shared" si="7"/>
        <v>0.46618320218073345</v>
      </c>
      <c r="S12" s="14">
        <f t="shared" si="7"/>
        <v>0.46618320218073345</v>
      </c>
      <c r="T12" s="14">
        <f t="shared" si="7"/>
        <v>0.46618320218073345</v>
      </c>
      <c r="U12" s="14">
        <f t="shared" si="7"/>
        <v>0.46618320218073345</v>
      </c>
      <c r="V12" s="14">
        <f t="shared" si="7"/>
        <v>0.46618320218073345</v>
      </c>
      <c r="W12" s="14">
        <f t="shared" si="7"/>
        <v>0.46618320218073345</v>
      </c>
      <c r="X12" s="14">
        <f t="shared" si="7"/>
        <v>0.46618320218073345</v>
      </c>
      <c r="Y12" s="14">
        <f t="shared" si="7"/>
        <v>0.46618320218073345</v>
      </c>
      <c r="Z12" s="14">
        <f t="shared" si="7"/>
        <v>0.46618320218073345</v>
      </c>
      <c r="AA12" s="14">
        <f t="shared" si="7"/>
        <v>0.46618320218073345</v>
      </c>
      <c r="AB12" s="14">
        <f t="shared" si="7"/>
        <v>0.46618320218073345</v>
      </c>
      <c r="AC12" s="14">
        <f t="shared" si="7"/>
        <v>0.46618320218073345</v>
      </c>
      <c r="AD12" s="14">
        <f t="shared" si="7"/>
        <v>0.46618320218073345</v>
      </c>
      <c r="AE12" s="14">
        <f t="shared" si="7"/>
        <v>0.46618320218073345</v>
      </c>
      <c r="AF12" s="14">
        <f t="shared" si="7"/>
        <v>0.46618320218073345</v>
      </c>
      <c r="AG12" s="14">
        <f t="shared" si="7"/>
        <v>0.46618320218073345</v>
      </c>
      <c r="AH12" s="14">
        <f t="shared" si="7"/>
        <v>0.46618320218073345</v>
      </c>
      <c r="AI12" s="14">
        <f t="shared" si="7"/>
        <v>0.46618320218073345</v>
      </c>
      <c r="AJ12" s="14">
        <f t="shared" si="7"/>
        <v>0.46618320218073345</v>
      </c>
      <c r="AK12" s="14">
        <f t="shared" si="7"/>
        <v>0.46618320218073345</v>
      </c>
      <c r="AL12" s="14">
        <f t="shared" si="7"/>
        <v>0.46618320218073345</v>
      </c>
    </row>
    <row r="13" spans="1:38" x14ac:dyDescent="0.25">
      <c r="A13" s="3" t="s">
        <v>47</v>
      </c>
      <c r="B13" s="4">
        <f>'QTR BS'!B15</f>
        <v>3414</v>
      </c>
      <c r="C13" s="4">
        <f>'QTR BS'!C15</f>
        <v>4281</v>
      </c>
      <c r="D13" s="4">
        <f>'QTR BS'!D15</f>
        <v>7613</v>
      </c>
      <c r="E13" s="4">
        <f>'QTR BS'!E15</f>
        <v>8937</v>
      </c>
      <c r="F13" s="4">
        <f>'QTR BS'!F15</f>
        <v>6510</v>
      </c>
      <c r="G13" s="4">
        <f>'QTR BS'!G15</f>
        <v>8161</v>
      </c>
      <c r="H13" s="4">
        <f>'QTR BS'!H15</f>
        <v>8289</v>
      </c>
      <c r="I13" s="4">
        <f>'QTR BS'!I15</f>
        <v>6524</v>
      </c>
      <c r="J13" s="4">
        <f>'QTR BS'!J15</f>
        <v>7082</v>
      </c>
      <c r="K13" s="4">
        <f>'QTR BS'!K15</f>
        <v>9099</v>
      </c>
      <c r="L13" s="4">
        <f>'QTR BS'!L15</f>
        <v>12056</v>
      </c>
      <c r="M13" s="4">
        <f>'QTR BS'!M15</f>
        <v>6736</v>
      </c>
      <c r="N13" s="4">
        <f>'QTR BS'!N15</f>
        <v>6861</v>
      </c>
      <c r="O13" s="4">
        <f>'QTR BS'!O15</f>
        <v>10151</v>
      </c>
      <c r="P13" s="15">
        <f t="shared" ref="P13:AL13" si="8">O13</f>
        <v>10151</v>
      </c>
      <c r="Q13" s="15">
        <f t="shared" si="8"/>
        <v>10151</v>
      </c>
      <c r="R13" s="15">
        <f t="shared" si="8"/>
        <v>10151</v>
      </c>
      <c r="S13" s="15">
        <f t="shared" si="8"/>
        <v>10151</v>
      </c>
      <c r="T13" s="15">
        <f t="shared" si="8"/>
        <v>10151</v>
      </c>
      <c r="U13" s="15">
        <f t="shared" si="8"/>
        <v>10151</v>
      </c>
      <c r="V13" s="15">
        <f t="shared" si="8"/>
        <v>10151</v>
      </c>
      <c r="W13" s="15">
        <f t="shared" si="8"/>
        <v>10151</v>
      </c>
      <c r="X13" s="15">
        <f t="shared" si="8"/>
        <v>10151</v>
      </c>
      <c r="Y13" s="15">
        <f t="shared" si="8"/>
        <v>10151</v>
      </c>
      <c r="Z13" s="15">
        <f t="shared" si="8"/>
        <v>10151</v>
      </c>
      <c r="AA13" s="15">
        <f t="shared" si="8"/>
        <v>10151</v>
      </c>
      <c r="AB13" s="15">
        <f t="shared" si="8"/>
        <v>10151</v>
      </c>
      <c r="AC13" s="15">
        <f t="shared" si="8"/>
        <v>10151</v>
      </c>
      <c r="AD13" s="15">
        <f t="shared" si="8"/>
        <v>10151</v>
      </c>
      <c r="AE13" s="15">
        <f t="shared" si="8"/>
        <v>10151</v>
      </c>
      <c r="AF13" s="15">
        <f t="shared" si="8"/>
        <v>10151</v>
      </c>
      <c r="AG13" s="15">
        <f t="shared" si="8"/>
        <v>10151</v>
      </c>
      <c r="AH13" s="15">
        <f t="shared" si="8"/>
        <v>10151</v>
      </c>
      <c r="AI13" s="15">
        <f t="shared" si="8"/>
        <v>10151</v>
      </c>
      <c r="AJ13" s="15">
        <f t="shared" si="8"/>
        <v>10151</v>
      </c>
      <c r="AK13" s="15">
        <f t="shared" si="8"/>
        <v>10151</v>
      </c>
      <c r="AL13" s="15">
        <f t="shared" si="8"/>
        <v>10151</v>
      </c>
    </row>
    <row r="14" spans="1:38" x14ac:dyDescent="0.25">
      <c r="A14" s="3" t="s">
        <v>156</v>
      </c>
      <c r="B14" s="13">
        <f>IFERROR('QTR BS'!B16/'QTR P&amp;L'!E2,"")</f>
        <v>0.83479782826118021</v>
      </c>
      <c r="C14" s="13">
        <f>IFERROR('QTR BS'!C16/'QTR P&amp;L'!F2,"")</f>
        <v>1.2078897231872689</v>
      </c>
      <c r="D14" s="13">
        <f>IFERROR('QTR BS'!D16/'QTR P&amp;L'!G2,"")</f>
        <v>0.98579876355165308</v>
      </c>
      <c r="E14" s="13">
        <f>IFERROR('QTR BS'!E16/'QTR P&amp;L'!H2,"")</f>
        <v>1.0115123864750779</v>
      </c>
      <c r="F14" s="13">
        <f>IFERROR('QTR BS'!F16/'QTR P&amp;L'!I2,"")</f>
        <v>0.90258527827648116</v>
      </c>
      <c r="G14" s="13">
        <f>IFERROR('QTR BS'!G16/'QTR P&amp;L'!J2,"")</f>
        <v>1.2094794520547945</v>
      </c>
      <c r="H14" s="13">
        <f>IFERROR('QTR BS'!H16/'QTR P&amp;L'!K2,"")</f>
        <v>1.0159104039820452</v>
      </c>
      <c r="I14" s="13">
        <f>IFERROR('QTR BS'!I16/'QTR P&amp;L'!L2,"")</f>
        <v>1.0202410051889017</v>
      </c>
      <c r="J14" s="13">
        <f>IFERROR('QTR BS'!J16/'QTR P&amp;L'!M2,"")</f>
        <v>0.88014684710624824</v>
      </c>
      <c r="K14" s="13">
        <f>IFERROR('QTR BS'!K16/'QTR P&amp;L'!N2,"")</f>
        <v>1.2507394385847423</v>
      </c>
      <c r="L14" s="13">
        <f>IFERROR('QTR BS'!L16/'QTR P&amp;L'!O2,"")</f>
        <v>1.0710199771187185</v>
      </c>
      <c r="M14" s="13">
        <f>IFERROR('QTR BS'!M16/'QTR P&amp;L'!P2,"")</f>
        <v>1.0345072481931739</v>
      </c>
      <c r="N14" s="13">
        <f>IFERROR('QTR BS'!N16/'QTR P&amp;L'!Q2,"")</f>
        <v>0.8827659066898409</v>
      </c>
      <c r="O14" s="13">
        <f>IFERROR('QTR BS'!O16/'QTR P&amp;L'!R2,"")</f>
        <v>1.2511443707246823</v>
      </c>
      <c r="P14" s="14">
        <f t="shared" ref="P14:AL14" si="9">O14</f>
        <v>1.2511443707246823</v>
      </c>
      <c r="Q14" s="14">
        <f t="shared" si="9"/>
        <v>1.2511443707246823</v>
      </c>
      <c r="R14" s="14">
        <f t="shared" si="9"/>
        <v>1.2511443707246823</v>
      </c>
      <c r="S14" s="14">
        <f t="shared" si="9"/>
        <v>1.2511443707246823</v>
      </c>
      <c r="T14" s="14">
        <f t="shared" si="9"/>
        <v>1.2511443707246823</v>
      </c>
      <c r="U14" s="14">
        <f t="shared" si="9"/>
        <v>1.2511443707246823</v>
      </c>
      <c r="V14" s="14">
        <f t="shared" si="9"/>
        <v>1.2511443707246823</v>
      </c>
      <c r="W14" s="14">
        <f t="shared" si="9"/>
        <v>1.2511443707246823</v>
      </c>
      <c r="X14" s="14">
        <f t="shared" si="9"/>
        <v>1.2511443707246823</v>
      </c>
      <c r="Y14" s="14">
        <f t="shared" si="9"/>
        <v>1.2511443707246823</v>
      </c>
      <c r="Z14" s="14">
        <f t="shared" si="9"/>
        <v>1.2511443707246823</v>
      </c>
      <c r="AA14" s="14">
        <f t="shared" si="9"/>
        <v>1.2511443707246823</v>
      </c>
      <c r="AB14" s="14">
        <f t="shared" si="9"/>
        <v>1.2511443707246823</v>
      </c>
      <c r="AC14" s="14">
        <f t="shared" si="9"/>
        <v>1.2511443707246823</v>
      </c>
      <c r="AD14" s="14">
        <f t="shared" si="9"/>
        <v>1.2511443707246823</v>
      </c>
      <c r="AE14" s="14">
        <f t="shared" si="9"/>
        <v>1.2511443707246823</v>
      </c>
      <c r="AF14" s="14">
        <f t="shared" si="9"/>
        <v>1.2511443707246823</v>
      </c>
      <c r="AG14" s="14">
        <f t="shared" si="9"/>
        <v>1.2511443707246823</v>
      </c>
      <c r="AH14" s="14">
        <f t="shared" si="9"/>
        <v>1.2511443707246823</v>
      </c>
      <c r="AI14" s="14">
        <f t="shared" si="9"/>
        <v>1.2511443707246823</v>
      </c>
      <c r="AJ14" s="14">
        <f t="shared" si="9"/>
        <v>1.2511443707246823</v>
      </c>
      <c r="AK14" s="14">
        <f t="shared" si="9"/>
        <v>1.2511443707246823</v>
      </c>
      <c r="AL14" s="14">
        <f t="shared" si="9"/>
        <v>1.2511443707246823</v>
      </c>
    </row>
    <row r="15" spans="1:38" x14ac:dyDescent="0.25">
      <c r="A15" s="3" t="s">
        <v>50</v>
      </c>
      <c r="B15" s="4">
        <f>'QTR BS'!B18</f>
        <v>35657</v>
      </c>
      <c r="C15" s="4">
        <f>'QTR BS'!C18</f>
        <v>37486</v>
      </c>
      <c r="D15" s="4">
        <f>'QTR BS'!D18</f>
        <v>36008</v>
      </c>
      <c r="E15" s="4">
        <f>'QTR BS'!E18</f>
        <v>35837</v>
      </c>
      <c r="F15" s="4">
        <f>'QTR BS'!F18</f>
        <v>37595</v>
      </c>
      <c r="G15" s="4">
        <f>'QTR BS'!G18</f>
        <v>37707</v>
      </c>
      <c r="H15" s="4">
        <f>'QTR BS'!H18</f>
        <v>36638</v>
      </c>
      <c r="I15" s="4">
        <f>'QTR BS'!I18</f>
        <v>38490</v>
      </c>
      <c r="J15" s="4">
        <f>'QTR BS'!J18</f>
        <v>37224</v>
      </c>
      <c r="K15" s="4">
        <f>'QTR BS'!K18</f>
        <v>39419</v>
      </c>
      <c r="L15" s="4">
        <f>'QTR BS'!L18</f>
        <v>39328</v>
      </c>
      <c r="M15" s="4">
        <f>'QTR BS'!M18</f>
        <v>44113</v>
      </c>
      <c r="N15" s="4">
        <f>'QTR BS'!N18</f>
        <v>42321</v>
      </c>
      <c r="O15" s="4">
        <f>'QTR BS'!O18</f>
        <v>42577</v>
      </c>
      <c r="P15" s="15">
        <f t="shared" ref="P15:AL15" si="10">O15</f>
        <v>42577</v>
      </c>
      <c r="Q15" s="15">
        <f t="shared" si="10"/>
        <v>42577</v>
      </c>
      <c r="R15" s="15">
        <f t="shared" si="10"/>
        <v>42577</v>
      </c>
      <c r="S15" s="15">
        <f t="shared" si="10"/>
        <v>42577</v>
      </c>
      <c r="T15" s="15">
        <f t="shared" si="10"/>
        <v>42577</v>
      </c>
      <c r="U15" s="15">
        <f t="shared" si="10"/>
        <v>42577</v>
      </c>
      <c r="V15" s="15">
        <f t="shared" si="10"/>
        <v>42577</v>
      </c>
      <c r="W15" s="15">
        <f t="shared" si="10"/>
        <v>42577</v>
      </c>
      <c r="X15" s="15">
        <f t="shared" si="10"/>
        <v>42577</v>
      </c>
      <c r="Y15" s="15">
        <f t="shared" si="10"/>
        <v>42577</v>
      </c>
      <c r="Z15" s="15">
        <f t="shared" si="10"/>
        <v>42577</v>
      </c>
      <c r="AA15" s="15">
        <f t="shared" si="10"/>
        <v>42577</v>
      </c>
      <c r="AB15" s="15">
        <f t="shared" si="10"/>
        <v>42577</v>
      </c>
      <c r="AC15" s="15">
        <f t="shared" si="10"/>
        <v>42577</v>
      </c>
      <c r="AD15" s="15">
        <f t="shared" si="10"/>
        <v>42577</v>
      </c>
      <c r="AE15" s="15">
        <f t="shared" si="10"/>
        <v>42577</v>
      </c>
      <c r="AF15" s="15">
        <f t="shared" si="10"/>
        <v>42577</v>
      </c>
      <c r="AG15" s="15">
        <f t="shared" si="10"/>
        <v>42577</v>
      </c>
      <c r="AH15" s="15">
        <f t="shared" si="10"/>
        <v>42577</v>
      </c>
      <c r="AI15" s="15">
        <f t="shared" si="10"/>
        <v>42577</v>
      </c>
      <c r="AJ15" s="15">
        <f t="shared" si="10"/>
        <v>42577</v>
      </c>
      <c r="AK15" s="15">
        <f t="shared" si="10"/>
        <v>42577</v>
      </c>
      <c r="AL15" s="15">
        <f t="shared" si="10"/>
        <v>42577</v>
      </c>
    </row>
    <row r="16" spans="1:38" x14ac:dyDescent="0.25">
      <c r="A16" s="3" t="s">
        <v>51</v>
      </c>
      <c r="B16" s="4">
        <f>'QTR BS'!B19</f>
        <v>4133</v>
      </c>
      <c r="C16" s="4">
        <f>'QTR BS'!C19</f>
        <v>4039</v>
      </c>
      <c r="D16" s="4">
        <f>'QTR BS'!D19</f>
        <v>4113</v>
      </c>
      <c r="E16" s="4">
        <f>'QTR BS'!E19</f>
        <v>4047</v>
      </c>
      <c r="F16" s="4">
        <f>'QTR BS'!F19</f>
        <v>3895</v>
      </c>
      <c r="G16" s="4">
        <f>'QTR BS'!G19</f>
        <v>4087</v>
      </c>
      <c r="H16" s="4">
        <f>'QTR BS'!H19</f>
        <v>3908</v>
      </c>
      <c r="I16" s="4">
        <f>'QTR BS'!I19</f>
        <v>3684</v>
      </c>
      <c r="J16" s="4">
        <f>'QTR BS'!J19</f>
        <v>3484</v>
      </c>
      <c r="K16" s="4">
        <f>'QTR BS'!K19</f>
        <v>3541</v>
      </c>
      <c r="L16" s="4">
        <f>'QTR BS'!L19</f>
        <v>3102</v>
      </c>
      <c r="M16" s="4">
        <f>'QTR BS'!M19</f>
        <v>3474</v>
      </c>
      <c r="N16" s="4">
        <f>'QTR BS'!N19</f>
        <v>3802</v>
      </c>
      <c r="O16" s="4">
        <f>'QTR BS'!O19</f>
        <v>4048</v>
      </c>
      <c r="P16" s="15">
        <f t="shared" ref="P16:AL16" si="11">O16</f>
        <v>4048</v>
      </c>
      <c r="Q16" s="15">
        <f t="shared" si="11"/>
        <v>4048</v>
      </c>
      <c r="R16" s="15">
        <f t="shared" si="11"/>
        <v>4048</v>
      </c>
      <c r="S16" s="15">
        <f t="shared" si="11"/>
        <v>4048</v>
      </c>
      <c r="T16" s="15">
        <f t="shared" si="11"/>
        <v>4048</v>
      </c>
      <c r="U16" s="15">
        <f t="shared" si="11"/>
        <v>4048</v>
      </c>
      <c r="V16" s="15">
        <f t="shared" si="11"/>
        <v>4048</v>
      </c>
      <c r="W16" s="15">
        <f t="shared" si="11"/>
        <v>4048</v>
      </c>
      <c r="X16" s="15">
        <f t="shared" si="11"/>
        <v>4048</v>
      </c>
      <c r="Y16" s="15">
        <f t="shared" si="11"/>
        <v>4048</v>
      </c>
      <c r="Z16" s="15">
        <f t="shared" si="11"/>
        <v>4048</v>
      </c>
      <c r="AA16" s="15">
        <f t="shared" si="11"/>
        <v>4048</v>
      </c>
      <c r="AB16" s="15">
        <f t="shared" si="11"/>
        <v>4048</v>
      </c>
      <c r="AC16" s="15">
        <f t="shared" si="11"/>
        <v>4048</v>
      </c>
      <c r="AD16" s="15">
        <f t="shared" si="11"/>
        <v>4048</v>
      </c>
      <c r="AE16" s="15">
        <f t="shared" si="11"/>
        <v>4048</v>
      </c>
      <c r="AF16" s="15">
        <f t="shared" si="11"/>
        <v>4048</v>
      </c>
      <c r="AG16" s="15">
        <f t="shared" si="11"/>
        <v>4048</v>
      </c>
      <c r="AH16" s="15">
        <f t="shared" si="11"/>
        <v>4048</v>
      </c>
      <c r="AI16" s="15">
        <f t="shared" si="11"/>
        <v>4048</v>
      </c>
      <c r="AJ16" s="15">
        <f t="shared" si="11"/>
        <v>4048</v>
      </c>
      <c r="AK16" s="15">
        <f t="shared" si="11"/>
        <v>4048</v>
      </c>
      <c r="AL16" s="15">
        <f t="shared" si="11"/>
        <v>4048</v>
      </c>
    </row>
    <row r="17" spans="1:38" x14ac:dyDescent="0.25">
      <c r="A17" s="3" t="s">
        <v>157</v>
      </c>
      <c r="B17" s="13">
        <f>IFERROR('QTR BS'!B20/'QTR P&amp;L'!E2,"")</f>
        <v>0.29786398056865265</v>
      </c>
      <c r="C17" s="13">
        <f>IFERROR('QTR BS'!C20/'QTR P&amp;L'!F2,"")</f>
        <v>0.47657738428779556</v>
      </c>
      <c r="D17" s="13">
        <f>IFERROR('QTR BS'!D20/'QTR P&amp;L'!G2,"")</f>
        <v>0.37371203297195593</v>
      </c>
      <c r="E17" s="13">
        <f>IFERROR('QTR BS'!E20/'QTR P&amp;L'!H2,"")</f>
        <v>0.35982603504882105</v>
      </c>
      <c r="F17" s="13">
        <f>IFERROR('QTR BS'!F20/'QTR P&amp;L'!I2,"")</f>
        <v>0.3131418312387792</v>
      </c>
      <c r="G17" s="13">
        <f>IFERROR('QTR BS'!G20/'QTR P&amp;L'!J2,"")</f>
        <v>0.48339726027397262</v>
      </c>
      <c r="H17" s="13">
        <f>IFERROR('QTR BS'!H20/'QTR P&amp;L'!K2,"")</f>
        <v>0.36705035331763031</v>
      </c>
      <c r="I17" s="13">
        <f>IFERROR('QTR BS'!I20/'QTR P&amp;L'!L2,"")</f>
        <v>0.36103606501136415</v>
      </c>
      <c r="J17" s="13">
        <f>IFERROR('QTR BS'!J20/'QTR P&amp;L'!M2,"")</f>
        <v>0.3257990210192917</v>
      </c>
      <c r="K17" s="13">
        <f>IFERROR('QTR BS'!K20/'QTR P&amp;L'!N2,"")</f>
        <v>0.48758301244489088</v>
      </c>
      <c r="L17" s="13">
        <f>IFERROR('QTR BS'!L20/'QTR P&amp;L'!O2,"")</f>
        <v>0.35025961453841414</v>
      </c>
      <c r="M17" s="13">
        <f>IFERROR('QTR BS'!M20/'QTR P&amp;L'!P2,"")</f>
        <v>0.33124451685674894</v>
      </c>
      <c r="N17" s="13">
        <f>IFERROR('QTR BS'!N20/'QTR P&amp;L'!Q2,"")</f>
        <v>0.27144463756262138</v>
      </c>
      <c r="O17" s="13">
        <f>IFERROR('QTR BS'!O20/'QTR P&amp;L'!R2,"")</f>
        <v>0.41187059610142468</v>
      </c>
      <c r="P17" s="14">
        <f t="shared" ref="P17:AL17" si="12">O17</f>
        <v>0.41187059610142468</v>
      </c>
      <c r="Q17" s="14">
        <f t="shared" si="12"/>
        <v>0.41187059610142468</v>
      </c>
      <c r="R17" s="14">
        <f t="shared" si="12"/>
        <v>0.41187059610142468</v>
      </c>
      <c r="S17" s="14">
        <f t="shared" si="12"/>
        <v>0.41187059610142468</v>
      </c>
      <c r="T17" s="14">
        <f t="shared" si="12"/>
        <v>0.41187059610142468</v>
      </c>
      <c r="U17" s="14">
        <f t="shared" si="12"/>
        <v>0.41187059610142468</v>
      </c>
      <c r="V17" s="14">
        <f t="shared" si="12"/>
        <v>0.41187059610142468</v>
      </c>
      <c r="W17" s="14">
        <f t="shared" si="12"/>
        <v>0.41187059610142468</v>
      </c>
      <c r="X17" s="14">
        <f t="shared" si="12"/>
        <v>0.41187059610142468</v>
      </c>
      <c r="Y17" s="14">
        <f t="shared" si="12"/>
        <v>0.41187059610142468</v>
      </c>
      <c r="Z17" s="14">
        <f t="shared" si="12"/>
        <v>0.41187059610142468</v>
      </c>
      <c r="AA17" s="14">
        <f t="shared" si="12"/>
        <v>0.41187059610142468</v>
      </c>
      <c r="AB17" s="14">
        <f t="shared" si="12"/>
        <v>0.41187059610142468</v>
      </c>
      <c r="AC17" s="14">
        <f t="shared" si="12"/>
        <v>0.41187059610142468</v>
      </c>
      <c r="AD17" s="14">
        <f t="shared" si="12"/>
        <v>0.41187059610142468</v>
      </c>
      <c r="AE17" s="14">
        <f t="shared" si="12"/>
        <v>0.41187059610142468</v>
      </c>
      <c r="AF17" s="14">
        <f t="shared" si="12"/>
        <v>0.41187059610142468</v>
      </c>
      <c r="AG17" s="14">
        <f t="shared" si="12"/>
        <v>0.41187059610142468</v>
      </c>
      <c r="AH17" s="14">
        <f t="shared" si="12"/>
        <v>0.41187059610142468</v>
      </c>
      <c r="AI17" s="14">
        <f t="shared" si="12"/>
        <v>0.41187059610142468</v>
      </c>
      <c r="AJ17" s="14">
        <f t="shared" si="12"/>
        <v>0.41187059610142468</v>
      </c>
      <c r="AK17" s="14">
        <f t="shared" si="12"/>
        <v>0.41187059610142468</v>
      </c>
      <c r="AL17" s="14">
        <f t="shared" si="12"/>
        <v>0.41187059610142468</v>
      </c>
    </row>
    <row r="18" spans="1:38" x14ac:dyDescent="0.25">
      <c r="A18" s="3" t="s">
        <v>54</v>
      </c>
      <c r="B18" s="4">
        <f>'QTR BS'!B22</f>
        <v>23</v>
      </c>
      <c r="C18" s="4">
        <f>'QTR BS'!C22</f>
        <v>23</v>
      </c>
      <c r="D18" s="4">
        <f>'QTR BS'!D22</f>
        <v>23</v>
      </c>
      <c r="E18" s="4">
        <f>'QTR BS'!E22</f>
        <v>23</v>
      </c>
      <c r="F18" s="4">
        <f>'QTR BS'!F22</f>
        <v>23</v>
      </c>
      <c r="G18" s="4">
        <f>'QTR BS'!G22</f>
        <v>23</v>
      </c>
      <c r="H18" s="4">
        <f>'QTR BS'!H22</f>
        <v>23</v>
      </c>
      <c r="I18" s="4">
        <f>'QTR BS'!I22</f>
        <v>23</v>
      </c>
      <c r="J18" s="4">
        <f>'QTR BS'!J22</f>
        <v>23</v>
      </c>
      <c r="K18" s="4">
        <f>'QTR BS'!K22</f>
        <v>23</v>
      </c>
      <c r="L18" s="4">
        <f>'QTR BS'!L22</f>
        <v>23</v>
      </c>
      <c r="M18" s="4">
        <f>'QTR BS'!M22</f>
        <v>23</v>
      </c>
      <c r="N18" s="4">
        <f>'QTR BS'!N22</f>
        <v>23</v>
      </c>
      <c r="O18" s="4">
        <f>'QTR BS'!O22</f>
        <v>23</v>
      </c>
      <c r="P18" s="15">
        <f t="shared" ref="P18:AL18" si="13">O18</f>
        <v>23</v>
      </c>
      <c r="Q18" s="15">
        <f t="shared" si="13"/>
        <v>23</v>
      </c>
      <c r="R18" s="15">
        <f t="shared" si="13"/>
        <v>23</v>
      </c>
      <c r="S18" s="15">
        <f t="shared" si="13"/>
        <v>23</v>
      </c>
      <c r="T18" s="15">
        <f t="shared" si="13"/>
        <v>23</v>
      </c>
      <c r="U18" s="15">
        <f t="shared" si="13"/>
        <v>23</v>
      </c>
      <c r="V18" s="15">
        <f t="shared" si="13"/>
        <v>23</v>
      </c>
      <c r="W18" s="15">
        <f t="shared" si="13"/>
        <v>23</v>
      </c>
      <c r="X18" s="15">
        <f t="shared" si="13"/>
        <v>23</v>
      </c>
      <c r="Y18" s="15">
        <f t="shared" si="13"/>
        <v>23</v>
      </c>
      <c r="Z18" s="15">
        <f t="shared" si="13"/>
        <v>23</v>
      </c>
      <c r="AA18" s="15">
        <f t="shared" si="13"/>
        <v>23</v>
      </c>
      <c r="AB18" s="15">
        <f t="shared" si="13"/>
        <v>23</v>
      </c>
      <c r="AC18" s="15">
        <f t="shared" si="13"/>
        <v>23</v>
      </c>
      <c r="AD18" s="15">
        <f t="shared" si="13"/>
        <v>23</v>
      </c>
      <c r="AE18" s="15">
        <f t="shared" si="13"/>
        <v>23</v>
      </c>
      <c r="AF18" s="15">
        <f t="shared" si="13"/>
        <v>23</v>
      </c>
      <c r="AG18" s="15">
        <f t="shared" si="13"/>
        <v>23</v>
      </c>
      <c r="AH18" s="15">
        <f t="shared" si="13"/>
        <v>23</v>
      </c>
      <c r="AI18" s="15">
        <f t="shared" si="13"/>
        <v>23</v>
      </c>
      <c r="AJ18" s="15">
        <f t="shared" si="13"/>
        <v>23</v>
      </c>
      <c r="AK18" s="15">
        <f t="shared" si="13"/>
        <v>23</v>
      </c>
      <c r="AL18" s="15">
        <f t="shared" si="13"/>
        <v>23</v>
      </c>
    </row>
    <row r="19" spans="1:38" x14ac:dyDescent="0.25">
      <c r="A19" s="3" t="s">
        <v>55</v>
      </c>
      <c r="B19" s="4">
        <f>'QTR BS'!B23</f>
        <v>4134</v>
      </c>
      <c r="C19" s="4">
        <f>'QTR BS'!C23</f>
        <v>3996</v>
      </c>
      <c r="D19" s="4">
        <f>'QTR BS'!D23</f>
        <v>4082</v>
      </c>
      <c r="E19" s="4">
        <f>'QTR BS'!E23</f>
        <v>4154</v>
      </c>
      <c r="F19" s="4">
        <f>'QTR BS'!F23</f>
        <v>4261</v>
      </c>
      <c r="G19" s="4">
        <f>'QTR BS'!G23</f>
        <v>4132</v>
      </c>
      <c r="H19" s="4">
        <f>'QTR BS'!H23</f>
        <v>4203</v>
      </c>
      <c r="I19" s="4">
        <f>'QTR BS'!I23</f>
        <v>4281</v>
      </c>
      <c r="J19" s="4">
        <f>'QTR BS'!J23</f>
        <v>4385</v>
      </c>
      <c r="K19" s="4">
        <f>'QTR BS'!K23</f>
        <v>4274</v>
      </c>
      <c r="L19" s="4">
        <f>'QTR BS'!L23</f>
        <v>4299</v>
      </c>
      <c r="M19" s="4">
        <f>'QTR BS'!M23</f>
        <v>4374</v>
      </c>
      <c r="N19" s="4">
        <f>'QTR BS'!N23</f>
        <v>4451</v>
      </c>
      <c r="O19" s="4">
        <f>'QTR BS'!O23</f>
        <v>4401</v>
      </c>
      <c r="P19" s="4">
        <f>O19+'QTR CF'!S10</f>
        <v>4518.9484346224681</v>
      </c>
      <c r="Q19" s="4">
        <f>P19+'QTR CF'!T10</f>
        <v>4643.1819856018756</v>
      </c>
      <c r="R19" s="4">
        <f>Q19+'QTR CF'!U10</f>
        <v>4795.4727942407508</v>
      </c>
      <c r="S19" s="4">
        <f>R19+'QTR CF'!V10</f>
        <v>4896.3823874100126</v>
      </c>
      <c r="T19" s="4">
        <f>S19+'QTR CF'!W10</f>
        <v>5024.3622643208137</v>
      </c>
      <c r="U19" s="4">
        <f>T19+'QTR CF'!X10</f>
        <v>5159.1618028939829</v>
      </c>
      <c r="V19" s="4">
        <f>U19+'QTR CF'!Y10</f>
        <v>5324.4048517452384</v>
      </c>
      <c r="W19" s="4">
        <f>V19+'QTR CF'!Z10</f>
        <v>5433.8967441493878</v>
      </c>
      <c r="X19" s="4">
        <f>W19+'QTR CF'!AA10</f>
        <v>5572.7612313850987</v>
      </c>
      <c r="Y19" s="4">
        <f>X19+'QTR CF'!AB10</f>
        <v>5719.0253883401811</v>
      </c>
      <c r="Z19" s="4">
        <f>Y19+'QTR CF'!AC10</f>
        <v>5898.322257518983</v>
      </c>
      <c r="AA19" s="4">
        <f>Z19+'QTR CF'!AD10</f>
        <v>6017.1263684634487</v>
      </c>
      <c r="AB19" s="4">
        <f>AA19+'QTR CF'!AE10</f>
        <v>6167.8011954808007</v>
      </c>
      <c r="AC19" s="4">
        <f>AB19+'QTR CF'!AF10</f>
        <v>6326.5050296053432</v>
      </c>
      <c r="AD19" s="4">
        <f>AC19+'QTR CF'!AG10</f>
        <v>6521.0509879424972</v>
      </c>
      <c r="AE19" s="4">
        <f>AD19+'QTR CF'!AH10</f>
        <v>6649.9593159235919</v>
      </c>
      <c r="AF19" s="4">
        <f>AE19+'QTR CF'!AI10</f>
        <v>6813.4489449039129</v>
      </c>
      <c r="AG19" s="4">
        <f>AF19+'QTR CF'!AJ10</f>
        <v>6985.6504431394997</v>
      </c>
      <c r="AH19" s="4">
        <f>AG19+'QTR CF'!AK10</f>
        <v>7196.7424163494597</v>
      </c>
      <c r="AI19" s="4">
        <f>AH19+'QTR CF'!AL10</f>
        <v>7336.6143188516326</v>
      </c>
      <c r="AJ19" s="4">
        <f>AI19+'QTR CF'!AM10</f>
        <v>7514.0086408709631</v>
      </c>
      <c r="AK19" s="4">
        <f>AJ19+'QTR CF'!AN10</f>
        <v>7700.8557713020427</v>
      </c>
      <c r="AL19" s="4">
        <f>AK19+'QTR CF'!AO10</f>
        <v>7929.9009878387496</v>
      </c>
    </row>
    <row r="20" spans="1:38" x14ac:dyDescent="0.25">
      <c r="A20" s="3" t="s">
        <v>56</v>
      </c>
      <c r="B20" s="4">
        <f>'QTR BS'!B24</f>
        <v>67800</v>
      </c>
      <c r="C20" s="4">
        <f>'QTR BS'!C24</f>
        <v>68142</v>
      </c>
      <c r="D20" s="4">
        <f>'QTR BS'!D24</f>
        <v>69135</v>
      </c>
      <c r="E20" s="4">
        <f>'QTR BS'!E24</f>
        <v>70479</v>
      </c>
      <c r="F20" s="4">
        <f>'QTR BS'!F24</f>
        <v>70035</v>
      </c>
      <c r="G20" s="4">
        <f>'QTR BS'!G24</f>
        <v>70331</v>
      </c>
      <c r="H20" s="4">
        <f>'QTR BS'!H24</f>
        <v>71545</v>
      </c>
      <c r="I20" s="4">
        <f>'QTR BS'!I24</f>
        <v>72607</v>
      </c>
      <c r="J20" s="4">
        <f>'QTR BS'!J24</f>
        <v>72266</v>
      </c>
      <c r="K20" s="4">
        <f>'QTR BS'!K24</f>
        <v>72238</v>
      </c>
      <c r="L20" s="4">
        <f>'QTR BS'!L24</f>
        <v>71547</v>
      </c>
      <c r="M20" s="4">
        <f>'QTR BS'!M24</f>
        <v>72197</v>
      </c>
      <c r="N20" s="4">
        <f>'QTR BS'!N24</f>
        <v>72788</v>
      </c>
      <c r="O20" s="4">
        <f>'QTR BS'!O24</f>
        <v>73165</v>
      </c>
      <c r="P20" s="4">
        <f>O20+'QTR P&amp;L'!S13+'QTR CF'!S41</f>
        <v>73644.958680729964</v>
      </c>
      <c r="Q20" s="4">
        <f>P20+'QTR P&amp;L'!T13+'QTR CF'!T41</f>
        <v>74152.114774059039</v>
      </c>
      <c r="R20" s="4">
        <f>Q20+'QTR P&amp;L'!U13+'QTR CF'!U41</f>
        <v>74780.682273259998</v>
      </c>
      <c r="S20" s="4">
        <f>R20+'QTR P&amp;L'!V13+'QTR CF'!V41</f>
        <v>75186.909240065157</v>
      </c>
      <c r="T20" s="4">
        <f>S20+'QTR P&amp;L'!W13+'QTR CF'!W41</f>
        <v>75710.276707424622</v>
      </c>
      <c r="U20" s="4">
        <f>T20+'QTR P&amp;L'!X13+'QTR CF'!X41</f>
        <v>76263.154710704883</v>
      </c>
      <c r="V20" s="4">
        <f>U20+'QTR P&amp;L'!Y13+'QTR CF'!Y41</f>
        <v>76947.770085733951</v>
      </c>
      <c r="W20" s="4">
        <f>V20+'QTR P&amp;L'!Z13+'QTR CF'!Z41</f>
        <v>77391.135001955539</v>
      </c>
      <c r="X20" s="4">
        <f>W20+'QTR P&amp;L'!AA13+'QTR CF'!AA41</f>
        <v>77961.603146720983</v>
      </c>
      <c r="Y20" s="4">
        <f>X20+'QTR P&amp;L'!AB13+'QTR CF'!AB41</f>
        <v>78564.091680453887</v>
      </c>
      <c r="Z20" s="4">
        <f>Y20+'QTR P&amp;L'!AC13+'QTR CF'!AC41</f>
        <v>79309.521768900348</v>
      </c>
      <c r="AA20" s="4">
        <f>Z20+'QTR P&amp;L'!AD13+'QTR CF'!AD41</f>
        <v>79793.183194441852</v>
      </c>
      <c r="AB20" s="4">
        <f>AA20+'QTR P&amp;L'!AE13+'QTR CF'!AE41</f>
        <v>80414.757900444223</v>
      </c>
      <c r="AC20" s="4">
        <f>AB20+'QTR P&amp;L'!AF13+'QTR CF'!AF41</f>
        <v>81071.076309928598</v>
      </c>
      <c r="AD20" s="4">
        <f>AC20+'QTR P&amp;L'!AG13+'QTR CF'!AG41</f>
        <v>81882.493366005729</v>
      </c>
      <c r="AE20" s="4">
        <f>AD20+'QTR P&amp;L'!AH13+'QTR CF'!AH41</f>
        <v>82409.878494360295</v>
      </c>
      <c r="AF20" s="4">
        <f>AE20+'QTR P&amp;L'!AI13+'QTR CF'!AI41</f>
        <v>83086.906343402414</v>
      </c>
      <c r="AG20" s="4">
        <f>AF20+'QTR P&amp;L'!AJ13+'QTR CF'!AJ41</f>
        <v>83801.632826676403</v>
      </c>
      <c r="AH20" s="4">
        <f>AG20+'QTR P&amp;L'!AK13+'QTR CF'!AK41</f>
        <v>84684.649001657686</v>
      </c>
      <c r="AI20" s="4">
        <f>AH20+'QTR P&amp;L'!AL13+'QTR CF'!AL41</f>
        <v>85259.476507030733</v>
      </c>
      <c r="AJ20" s="4">
        <f>AI20+'QTR P&amp;L'!AM13+'QTR CF'!AM41</f>
        <v>85996.673755041644</v>
      </c>
      <c r="AK20" s="4">
        <f>AJ20+'QTR P&amp;L'!AN13+'QTR CF'!AN41</f>
        <v>86774.775883088863</v>
      </c>
      <c r="AL20" s="4">
        <f>AK20+'QTR P&amp;L'!AO13+'QTR CF'!AO41</f>
        <v>87735.480638284076</v>
      </c>
    </row>
    <row r="21" spans="1:38" x14ac:dyDescent="0.25">
      <c r="A21" s="3" t="s">
        <v>57</v>
      </c>
      <c r="B21" s="4">
        <f>'QTR BS'!B25</f>
        <v>-15302</v>
      </c>
      <c r="C21" s="4">
        <f>'QTR BS'!C25</f>
        <v>-15601</v>
      </c>
      <c r="D21" s="4">
        <f>'QTR BS'!D25</f>
        <v>-15780</v>
      </c>
      <c r="E21" s="4">
        <f>'QTR BS'!E25</f>
        <v>-15794</v>
      </c>
      <c r="F21" s="4">
        <f>'QTR BS'!F25</f>
        <v>-15534</v>
      </c>
      <c r="G21" s="4">
        <f>'QTR BS'!G25</f>
        <v>-15179</v>
      </c>
      <c r="H21" s="4">
        <f>'QTR BS'!H25</f>
        <v>-15786</v>
      </c>
      <c r="I21" s="4">
        <f>'QTR BS'!I25</f>
        <v>-16652</v>
      </c>
      <c r="J21" s="4">
        <f>'QTR BS'!J25</f>
        <v>-17612</v>
      </c>
      <c r="K21" s="4">
        <f>'QTR BS'!K25</f>
        <v>-17078</v>
      </c>
      <c r="L21" s="4">
        <f>'QTR BS'!L25</f>
        <v>-16090</v>
      </c>
      <c r="M21" s="4">
        <f>'QTR BS'!M25</f>
        <v>-15597</v>
      </c>
      <c r="N21" s="4">
        <f>'QTR BS'!N25</f>
        <v>-15024</v>
      </c>
      <c r="O21" s="4">
        <f>'QTR BS'!O25</f>
        <v>-14342</v>
      </c>
      <c r="P21" s="4">
        <f>O21+'QTR CF'!S47</f>
        <v>-14221</v>
      </c>
      <c r="Q21" s="4">
        <f>P21+'QTR CF'!T47</f>
        <v>-14100</v>
      </c>
      <c r="R21" s="4">
        <f>Q21+'QTR CF'!U47</f>
        <v>-13979</v>
      </c>
      <c r="S21" s="4">
        <f>R21+'QTR CF'!V47</f>
        <v>-13858</v>
      </c>
      <c r="T21" s="4">
        <f>S21+'QTR CF'!W47</f>
        <v>-13737</v>
      </c>
      <c r="U21" s="4">
        <f>T21+'QTR CF'!X47</f>
        <v>-13616</v>
      </c>
      <c r="V21" s="4">
        <f>U21+'QTR CF'!Y47</f>
        <v>-13495</v>
      </c>
      <c r="W21" s="4">
        <f>V21+'QTR CF'!Z47</f>
        <v>-13374</v>
      </c>
      <c r="X21" s="4">
        <f>W21+'QTR CF'!AA47</f>
        <v>-13253</v>
      </c>
      <c r="Y21" s="4">
        <f>X21+'QTR CF'!AB47</f>
        <v>-13132</v>
      </c>
      <c r="Z21" s="4">
        <f>Y21+'QTR CF'!AC47</f>
        <v>-13011</v>
      </c>
      <c r="AA21" s="4">
        <f>Z21+'QTR CF'!AD47</f>
        <v>-12890</v>
      </c>
      <c r="AB21" s="4">
        <f>AA21+'QTR CF'!AE47</f>
        <v>-12769</v>
      </c>
      <c r="AC21" s="4">
        <f>AB21+'QTR CF'!AF47</f>
        <v>-12648</v>
      </c>
      <c r="AD21" s="4">
        <f>AC21+'QTR CF'!AG47</f>
        <v>-12527</v>
      </c>
      <c r="AE21" s="4">
        <f>AD21+'QTR CF'!AH47</f>
        <v>-12406</v>
      </c>
      <c r="AF21" s="4">
        <f>AE21+'QTR CF'!AI47</f>
        <v>-12285</v>
      </c>
      <c r="AG21" s="4">
        <f>AF21+'QTR CF'!AJ47</f>
        <v>-12164</v>
      </c>
      <c r="AH21" s="4">
        <f>AG21+'QTR CF'!AK47</f>
        <v>-12043</v>
      </c>
      <c r="AI21" s="4">
        <f>AH21+'QTR CF'!AL47</f>
        <v>-11922</v>
      </c>
      <c r="AJ21" s="4">
        <f>AI21+'QTR CF'!AM47</f>
        <v>-11801</v>
      </c>
      <c r="AK21" s="4">
        <f>AJ21+'QTR CF'!AN47</f>
        <v>-11680</v>
      </c>
      <c r="AL21" s="4">
        <f>AK21+'QTR CF'!AO47</f>
        <v>-11559</v>
      </c>
    </row>
    <row r="22" spans="1:38" x14ac:dyDescent="0.25">
      <c r="A22" s="3" t="s">
        <v>58</v>
      </c>
      <c r="B22" s="4">
        <f>'QTR BS'!B26</f>
        <v>-39506</v>
      </c>
      <c r="C22" s="4">
        <f>'QTR BS'!C26</f>
        <v>-39518</v>
      </c>
      <c r="D22" s="4">
        <f>'QTR BS'!D26</f>
        <v>-39775</v>
      </c>
      <c r="E22" s="4">
        <f>'QTR BS'!E26</f>
        <v>-40056</v>
      </c>
      <c r="F22" s="4">
        <f>'QTR BS'!F26</f>
        <v>-40282</v>
      </c>
      <c r="G22" s="4">
        <f>'QTR BS'!G26</f>
        <v>-40260</v>
      </c>
      <c r="H22" s="4">
        <f>'QTR BS'!H26</f>
        <v>-40539</v>
      </c>
      <c r="I22" s="4">
        <f>'QTR BS'!I26</f>
        <v>-40806</v>
      </c>
      <c r="J22" s="4">
        <f>'QTR BS'!J26</f>
        <v>-41021</v>
      </c>
      <c r="K22" s="4">
        <f>'QTR BS'!K26</f>
        <v>-41068</v>
      </c>
      <c r="L22" s="4">
        <f>'QTR BS'!L26</f>
        <v>-41361</v>
      </c>
      <c r="M22" s="4">
        <f>'QTR BS'!M26</f>
        <v>-41609</v>
      </c>
      <c r="N22" s="4">
        <f>'QTR BS'!N26</f>
        <v>-41832</v>
      </c>
      <c r="O22" s="4">
        <f>'QTR BS'!O26</f>
        <v>-41864</v>
      </c>
      <c r="P22" s="15">
        <f t="shared" ref="P22:AL22" si="14">O22</f>
        <v>-41864</v>
      </c>
      <c r="Q22" s="15">
        <f t="shared" si="14"/>
        <v>-41864</v>
      </c>
      <c r="R22" s="15">
        <f t="shared" si="14"/>
        <v>-41864</v>
      </c>
      <c r="S22" s="15">
        <f t="shared" si="14"/>
        <v>-41864</v>
      </c>
      <c r="T22" s="15">
        <f t="shared" si="14"/>
        <v>-41864</v>
      </c>
      <c r="U22" s="15">
        <f t="shared" si="14"/>
        <v>-41864</v>
      </c>
      <c r="V22" s="15">
        <f t="shared" si="14"/>
        <v>-41864</v>
      </c>
      <c r="W22" s="15">
        <f t="shared" si="14"/>
        <v>-41864</v>
      </c>
      <c r="X22" s="15">
        <f t="shared" si="14"/>
        <v>-41864</v>
      </c>
      <c r="Y22" s="15">
        <f t="shared" si="14"/>
        <v>-41864</v>
      </c>
      <c r="Z22" s="15">
        <f t="shared" si="14"/>
        <v>-41864</v>
      </c>
      <c r="AA22" s="15">
        <f t="shared" si="14"/>
        <v>-41864</v>
      </c>
      <c r="AB22" s="15">
        <f t="shared" si="14"/>
        <v>-41864</v>
      </c>
      <c r="AC22" s="15">
        <f t="shared" si="14"/>
        <v>-41864</v>
      </c>
      <c r="AD22" s="15">
        <f t="shared" si="14"/>
        <v>-41864</v>
      </c>
      <c r="AE22" s="15">
        <f t="shared" si="14"/>
        <v>-41864</v>
      </c>
      <c r="AF22" s="15">
        <f t="shared" si="14"/>
        <v>-41864</v>
      </c>
      <c r="AG22" s="15">
        <f t="shared" si="14"/>
        <v>-41864</v>
      </c>
      <c r="AH22" s="15">
        <f t="shared" si="14"/>
        <v>-41864</v>
      </c>
      <c r="AI22" s="15">
        <f t="shared" si="14"/>
        <v>-41864</v>
      </c>
      <c r="AJ22" s="15">
        <f t="shared" si="14"/>
        <v>-41864</v>
      </c>
      <c r="AK22" s="15">
        <f t="shared" si="14"/>
        <v>-41864</v>
      </c>
      <c r="AL22" s="15">
        <f t="shared" si="14"/>
        <v>-41864</v>
      </c>
    </row>
    <row r="23" spans="1:38" x14ac:dyDescent="0.25">
      <c r="A23" s="3" t="s">
        <v>59</v>
      </c>
      <c r="B23" s="4">
        <f>'QTR BS'!B27</f>
        <v>124</v>
      </c>
      <c r="C23" s="4">
        <f>'QTR BS'!C27</f>
        <v>133</v>
      </c>
      <c r="D23" s="4">
        <f>'QTR BS'!D27</f>
        <v>140</v>
      </c>
      <c r="E23" s="4">
        <f>'QTR BS'!E27</f>
        <v>164</v>
      </c>
      <c r="F23" s="4">
        <f>'QTR BS'!F27</f>
        <v>134</v>
      </c>
      <c r="G23" s="4">
        <f>'QTR BS'!G27</f>
        <v>143</v>
      </c>
      <c r="H23" s="4">
        <f>'QTR BS'!H27</f>
        <v>134</v>
      </c>
      <c r="I23" s="4">
        <f>'QTR BS'!I27</f>
        <v>152</v>
      </c>
      <c r="J23" s="4">
        <f>'QTR BS'!J27</f>
        <v>130</v>
      </c>
      <c r="K23" s="4">
        <f>'QTR BS'!K27</f>
        <v>140</v>
      </c>
      <c r="L23" s="4">
        <f>'QTR BS'!L27</f>
        <v>141</v>
      </c>
      <c r="M23" s="4">
        <f>'QTR BS'!M27</f>
        <v>155</v>
      </c>
      <c r="N23" s="4">
        <f>'QTR BS'!N27</f>
        <v>141</v>
      </c>
      <c r="O23" s="4">
        <f>'QTR BS'!O27</f>
        <v>153</v>
      </c>
      <c r="P23" s="15">
        <f t="shared" ref="P23:AL23" si="15">O23</f>
        <v>153</v>
      </c>
      <c r="Q23" s="15">
        <f t="shared" si="15"/>
        <v>153</v>
      </c>
      <c r="R23" s="15">
        <f t="shared" si="15"/>
        <v>153</v>
      </c>
      <c r="S23" s="15">
        <f t="shared" si="15"/>
        <v>153</v>
      </c>
      <c r="T23" s="15">
        <f t="shared" si="15"/>
        <v>153</v>
      </c>
      <c r="U23" s="15">
        <f t="shared" si="15"/>
        <v>153</v>
      </c>
      <c r="V23" s="15">
        <f t="shared" si="15"/>
        <v>153</v>
      </c>
      <c r="W23" s="15">
        <f t="shared" si="15"/>
        <v>153</v>
      </c>
      <c r="X23" s="15">
        <f t="shared" si="15"/>
        <v>153</v>
      </c>
      <c r="Y23" s="15">
        <f t="shared" si="15"/>
        <v>153</v>
      </c>
      <c r="Z23" s="15">
        <f t="shared" si="15"/>
        <v>153</v>
      </c>
      <c r="AA23" s="15">
        <f t="shared" si="15"/>
        <v>153</v>
      </c>
      <c r="AB23" s="15">
        <f t="shared" si="15"/>
        <v>153</v>
      </c>
      <c r="AC23" s="15">
        <f t="shared" si="15"/>
        <v>153</v>
      </c>
      <c r="AD23" s="15">
        <f t="shared" si="15"/>
        <v>153</v>
      </c>
      <c r="AE23" s="15">
        <f t="shared" si="15"/>
        <v>153</v>
      </c>
      <c r="AF23" s="15">
        <f t="shared" si="15"/>
        <v>153</v>
      </c>
      <c r="AG23" s="15">
        <f t="shared" si="15"/>
        <v>153</v>
      </c>
      <c r="AH23" s="15">
        <f t="shared" si="15"/>
        <v>153</v>
      </c>
      <c r="AI23" s="15">
        <f t="shared" si="15"/>
        <v>153</v>
      </c>
      <c r="AJ23" s="15">
        <f t="shared" si="15"/>
        <v>153</v>
      </c>
      <c r="AK23" s="15">
        <f t="shared" si="15"/>
        <v>153</v>
      </c>
      <c r="AL23" s="15">
        <f t="shared" si="15"/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O4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41" width="13" customWidth="1"/>
  </cols>
  <sheetData>
    <row r="1" spans="1:41" x14ac:dyDescent="0.25">
      <c r="A1" s="1" t="s">
        <v>144</v>
      </c>
      <c r="B1" s="2" t="s">
        <v>104</v>
      </c>
      <c r="C1" s="2" t="s">
        <v>105</v>
      </c>
      <c r="D1" s="2" t="s">
        <v>106</v>
      </c>
      <c r="E1" s="2" t="s">
        <v>117</v>
      </c>
      <c r="F1" s="2" t="s">
        <v>107</v>
      </c>
      <c r="G1" s="2" t="s">
        <v>108</v>
      </c>
      <c r="H1" s="2" t="s">
        <v>109</v>
      </c>
      <c r="I1" s="2" t="s">
        <v>118</v>
      </c>
      <c r="J1" s="2" t="s">
        <v>110</v>
      </c>
      <c r="K1" s="2" t="s">
        <v>111</v>
      </c>
      <c r="L1" s="2" t="s">
        <v>112</v>
      </c>
      <c r="M1" s="2" t="s">
        <v>119</v>
      </c>
      <c r="N1" s="2" t="s">
        <v>113</v>
      </c>
      <c r="O1" s="2" t="s">
        <v>114</v>
      </c>
      <c r="P1" s="2" t="s">
        <v>115</v>
      </c>
      <c r="Q1" s="2" t="s">
        <v>120</v>
      </c>
      <c r="R1" s="2" t="s">
        <v>116</v>
      </c>
      <c r="S1" s="2" t="s">
        <v>121</v>
      </c>
      <c r="T1" s="2" t="s">
        <v>122</v>
      </c>
      <c r="U1" s="2" t="s">
        <v>123</v>
      </c>
      <c r="V1" s="2" t="s">
        <v>124</v>
      </c>
      <c r="W1" s="2" t="s">
        <v>125</v>
      </c>
      <c r="X1" s="2" t="s">
        <v>126</v>
      </c>
      <c r="Y1" s="2" t="s">
        <v>127</v>
      </c>
      <c r="Z1" s="2" t="s">
        <v>128</v>
      </c>
      <c r="AA1" s="2" t="s">
        <v>129</v>
      </c>
      <c r="AB1" s="2" t="s">
        <v>130</v>
      </c>
      <c r="AC1" s="2" t="s">
        <v>131</v>
      </c>
      <c r="AD1" s="2" t="s">
        <v>132</v>
      </c>
      <c r="AE1" s="2" t="s">
        <v>133</v>
      </c>
      <c r="AF1" s="2" t="s">
        <v>134</v>
      </c>
      <c r="AG1" s="2" t="s">
        <v>135</v>
      </c>
      <c r="AH1" s="2" t="s">
        <v>136</v>
      </c>
      <c r="AI1" s="2" t="s">
        <v>137</v>
      </c>
      <c r="AJ1" s="2" t="s">
        <v>138</v>
      </c>
      <c r="AK1" s="2" t="s">
        <v>139</v>
      </c>
      <c r="AL1" s="2" t="s">
        <v>140</v>
      </c>
      <c r="AM1" s="2" t="s">
        <v>141</v>
      </c>
      <c r="AN1" s="2" t="s">
        <v>142</v>
      </c>
      <c r="AO1" s="2" t="s">
        <v>143</v>
      </c>
    </row>
    <row r="2" spans="1:41" x14ac:dyDescent="0.25">
      <c r="A2" s="3" t="s">
        <v>27</v>
      </c>
      <c r="B2" s="4">
        <f>'QTR CF'!B2</f>
        <v>4273</v>
      </c>
      <c r="C2" s="4">
        <f>'QTR CF'!C2</f>
        <v>1446</v>
      </c>
      <c r="D2" s="4">
        <f>'QTR CF'!D2</f>
        <v>2724</v>
      </c>
      <c r="E2" s="4">
        <f>'QTR CF'!E2</f>
        <v>535</v>
      </c>
      <c r="F2" s="4">
        <f>'QTR CF'!F2</f>
        <v>1944</v>
      </c>
      <c r="G2" s="4">
        <f>'QTR CF'!G2</f>
        <v>2771</v>
      </c>
      <c r="H2" s="4">
        <f>'QTR CF'!H2</f>
        <v>3116</v>
      </c>
      <c r="I2" s="4">
        <f>'QTR CF'!I2</f>
        <v>1324</v>
      </c>
      <c r="J2" s="4">
        <f>'QTR CF'!J2</f>
        <v>2053</v>
      </c>
      <c r="K2" s="4">
        <f>'QTR CF'!K2</f>
        <v>3094</v>
      </c>
      <c r="L2" s="4">
        <f>'QTR CF'!L2</f>
        <v>2945</v>
      </c>
      <c r="M2" s="4">
        <f>'QTR CF'!M2</f>
        <v>1534</v>
      </c>
      <c r="N2" s="4">
        <f>'QTR CF'!N2</f>
        <v>1843</v>
      </c>
      <c r="O2" s="4">
        <f>'QTR CF'!O2</f>
        <v>1279</v>
      </c>
      <c r="P2" s="4">
        <f>'QTR CF'!P2</f>
        <v>2618</v>
      </c>
      <c r="Q2" s="4">
        <f>'QTR CF'!Q2</f>
        <v>2555</v>
      </c>
      <c r="R2" s="4">
        <f>'QTR CF'!R2</f>
        <v>2338</v>
      </c>
      <c r="S2" s="4">
        <f>'QTR P&amp;L'!S13</f>
        <v>3016.5145041575979</v>
      </c>
      <c r="T2" s="4">
        <f>'QTR P&amp;L'!T13</f>
        <v>3187.4487801165851</v>
      </c>
      <c r="U2" s="4">
        <f>'QTR P&amp;L'!U13</f>
        <v>3950.5129385263986</v>
      </c>
      <c r="V2" s="4">
        <f>'QTR P&amp;L'!V13</f>
        <v>2553.11464621098</v>
      </c>
      <c r="W2" s="4">
        <f>'QTR P&amp;L'!W13</f>
        <v>3289.3363943183631</v>
      </c>
      <c r="X2" s="4">
        <f>'QTR P&amp;L'!X13</f>
        <v>3474.8085259925952</v>
      </c>
      <c r="Y2" s="4">
        <f>'QTR P&amp;L'!Y13</f>
        <v>4302.770824779469</v>
      </c>
      <c r="Z2" s="4">
        <f>'QTR P&amp;L'!Z13</f>
        <v>2786.5246616292561</v>
      </c>
      <c r="AA2" s="4">
        <f>'QTR P&amp;L'!AA13</f>
        <v>3585.3616195204245</v>
      </c>
      <c r="AB2" s="4">
        <f>'QTR P&amp;L'!AB13</f>
        <v>3786.6080426546459</v>
      </c>
      <c r="AC2" s="4">
        <f>'QTR P&amp;L'!AC13</f>
        <v>4684.9880289994853</v>
      </c>
      <c r="AD2" s="4">
        <f>'QTR P&amp;L'!AD13</f>
        <v>3039.7860562259148</v>
      </c>
      <c r="AE2" s="4">
        <f>'QTR P&amp;L'!AE13</f>
        <v>3906.5636092298737</v>
      </c>
      <c r="AF2" s="4">
        <f>'QTR P&amp;L'!AF13</f>
        <v>4124.9259176733513</v>
      </c>
      <c r="AG2" s="4">
        <f>'QTR P&amp;L'!AG13</f>
        <v>5099.7125728719002</v>
      </c>
      <c r="AH2" s="4">
        <f>'QTR P&amp;L'!AH13</f>
        <v>3314.5871776692343</v>
      </c>
      <c r="AI2" s="4">
        <f>'QTR P&amp;L'!AI13</f>
        <v>4255.0836318829752</v>
      </c>
      <c r="AJ2" s="4">
        <f>'QTR P&amp;L'!AJ13</f>
        <v>4492.0175212220274</v>
      </c>
      <c r="AK2" s="4">
        <f>'QTR P&amp;L'!AK13</f>
        <v>5549.709185769455</v>
      </c>
      <c r="AL2" s="4">
        <f>'QTR P&amp;L'!AL13</f>
        <v>3612.7599665649568</v>
      </c>
      <c r="AM2" s="4">
        <f>'QTR P&amp;L'!AM13</f>
        <v>4633.2450694879863</v>
      </c>
      <c r="AN2" s="4">
        <f>'QTR P&amp;L'!AN13</f>
        <v>4890.3300413290071</v>
      </c>
      <c r="AO2" s="4">
        <f>'QTR P&amp;L'!AO13</f>
        <v>6037.9777356085769</v>
      </c>
    </row>
    <row r="3" spans="1:41" x14ac:dyDescent="0.25">
      <c r="A3" s="3" t="s">
        <v>158</v>
      </c>
      <c r="B3" s="13">
        <f>IFERROR('QTR CF'!B3/'QTR P&amp;L'!B2,"")</f>
        <v>3.425925925925926E-2</v>
      </c>
      <c r="C3" s="13">
        <f>IFERROR('QTR CF'!C3/'QTR P&amp;L'!C2,"")</f>
        <v>3.1644004944375775E-2</v>
      </c>
      <c r="D3" s="13">
        <f>IFERROR('QTR CF'!D3/'QTR P&amp;L'!D2,"")</f>
        <v>2.9994083109553503E-2</v>
      </c>
      <c r="E3" s="13">
        <f>IFERROR('QTR CF'!E3/'QTR P&amp;L'!E2,"")</f>
        <v>3.2468924132018857E-2</v>
      </c>
      <c r="F3" s="13">
        <f>IFERROR('QTR CF'!F3/'QTR P&amp;L'!F2,"")</f>
        <v>3.3060629833015803E-2</v>
      </c>
      <c r="G3" s="13">
        <f>IFERROR('QTR CF'!G3/'QTR P&amp;L'!G2,"")</f>
        <v>3.0373622435265656E-2</v>
      </c>
      <c r="H3" s="13">
        <f>IFERROR('QTR CF'!H3/'QTR P&amp;L'!H2,"")</f>
        <v>3.0060120240480961E-2</v>
      </c>
      <c r="I3" s="13">
        <f>IFERROR('QTR CF'!I3/'QTR P&amp;L'!I2,"")</f>
        <v>3.5008976660682228E-2</v>
      </c>
      <c r="J3" s="13">
        <f>IFERROR('QTR CF'!J3/'QTR P&amp;L'!J2,"")</f>
        <v>3.5123287671232878E-2</v>
      </c>
      <c r="K3" s="13">
        <f>IFERROR('QTR CF'!K3/'QTR P&amp;L'!K2,"")</f>
        <v>3.2798542287009465E-2</v>
      </c>
      <c r="L3" s="13">
        <f>IFERROR('QTR CF'!L3/'QTR P&amp;L'!L2,"")</f>
        <v>3.1690895836013554E-2</v>
      </c>
      <c r="M3" s="13">
        <f>IFERROR('QTR CF'!M3/'QTR P&amp;L'!M2,"")</f>
        <v>3.7503599193780594E-2</v>
      </c>
      <c r="N3" s="13">
        <f>IFERROR('QTR CF'!N3/'QTR P&amp;L'!N2,"")</f>
        <v>3.817177297840281E-2</v>
      </c>
      <c r="O3" s="13">
        <f>IFERROR('QTR CF'!O3/'QTR P&amp;L'!O2,"")</f>
        <v>3.5509988559359322E-2</v>
      </c>
      <c r="P3" s="13">
        <f>IFERROR('QTR CF'!P3/'QTR P&amp;L'!P2,"")</f>
        <v>3.4423695534110371E-2</v>
      </c>
      <c r="Q3" s="13">
        <f>IFERROR('QTR CF'!Q3/'QTR P&amp;L'!Q2,"")</f>
        <v>3.8714514534982793E-2</v>
      </c>
      <c r="R3" s="13">
        <f>IFERROR('QTR CF'!R3/'QTR P&amp;L'!R2,"")</f>
        <v>3.8162834953453684E-2</v>
      </c>
      <c r="S3" s="14">
        <f t="shared" ref="S3:AO3" si="0">R3</f>
        <v>3.8162834953453684E-2</v>
      </c>
      <c r="T3" s="14">
        <f t="shared" si="0"/>
        <v>3.8162834953453684E-2</v>
      </c>
      <c r="U3" s="14">
        <f t="shared" si="0"/>
        <v>3.8162834953453684E-2</v>
      </c>
      <c r="V3" s="14">
        <f t="shared" si="0"/>
        <v>3.8162834953453684E-2</v>
      </c>
      <c r="W3" s="14">
        <f t="shared" si="0"/>
        <v>3.8162834953453684E-2</v>
      </c>
      <c r="X3" s="14">
        <f t="shared" si="0"/>
        <v>3.8162834953453684E-2</v>
      </c>
      <c r="Y3" s="14">
        <f t="shared" si="0"/>
        <v>3.8162834953453684E-2</v>
      </c>
      <c r="Z3" s="14">
        <f t="shared" si="0"/>
        <v>3.8162834953453684E-2</v>
      </c>
      <c r="AA3" s="14">
        <f t="shared" si="0"/>
        <v>3.8162834953453684E-2</v>
      </c>
      <c r="AB3" s="14">
        <f t="shared" si="0"/>
        <v>3.8162834953453684E-2</v>
      </c>
      <c r="AC3" s="14">
        <f t="shared" si="0"/>
        <v>3.8162834953453684E-2</v>
      </c>
      <c r="AD3" s="14">
        <f t="shared" si="0"/>
        <v>3.8162834953453684E-2</v>
      </c>
      <c r="AE3" s="14">
        <f t="shared" si="0"/>
        <v>3.8162834953453684E-2</v>
      </c>
      <c r="AF3" s="14">
        <f t="shared" si="0"/>
        <v>3.8162834953453684E-2</v>
      </c>
      <c r="AG3" s="14">
        <f t="shared" si="0"/>
        <v>3.8162834953453684E-2</v>
      </c>
      <c r="AH3" s="14">
        <f t="shared" si="0"/>
        <v>3.8162834953453684E-2</v>
      </c>
      <c r="AI3" s="14">
        <f t="shared" si="0"/>
        <v>3.8162834953453684E-2</v>
      </c>
      <c r="AJ3" s="14">
        <f t="shared" si="0"/>
        <v>3.8162834953453684E-2</v>
      </c>
      <c r="AK3" s="14">
        <f t="shared" si="0"/>
        <v>3.8162834953453684E-2</v>
      </c>
      <c r="AL3" s="14">
        <f t="shared" si="0"/>
        <v>3.8162834953453684E-2</v>
      </c>
      <c r="AM3" s="14">
        <f t="shared" si="0"/>
        <v>3.8162834953453684E-2</v>
      </c>
      <c r="AN3" s="14">
        <f t="shared" si="0"/>
        <v>3.8162834953453684E-2</v>
      </c>
      <c r="AO3" s="14">
        <f t="shared" si="0"/>
        <v>3.8162834953453684E-2</v>
      </c>
    </row>
    <row r="4" spans="1:41" x14ac:dyDescent="0.25">
      <c r="A4" s="3" t="s">
        <v>20</v>
      </c>
      <c r="B4" s="4">
        <f>'QTR CF'!B4</f>
        <v>-3322</v>
      </c>
      <c r="C4" s="4">
        <f>'QTR CF'!C4</f>
        <v>-13</v>
      </c>
      <c r="D4" s="4">
        <f>'QTR CF'!D4</f>
        <v>14</v>
      </c>
      <c r="E4" s="4">
        <f>'QTR CF'!E4</f>
        <v>0</v>
      </c>
      <c r="F4" s="4">
        <f>'QTR CF'!F4</f>
        <v>0</v>
      </c>
      <c r="G4" s="4">
        <f>'QTR CF'!G4</f>
        <v>0</v>
      </c>
      <c r="H4" s="4">
        <f>'QTR CF'!H4</f>
        <v>0</v>
      </c>
      <c r="I4" s="4">
        <f>'QTR CF'!I4</f>
        <v>0</v>
      </c>
      <c r="J4" s="4">
        <f>'QTR CF'!J4</f>
        <v>0</v>
      </c>
      <c r="K4" s="4">
        <f>'QTR CF'!K4</f>
        <v>0</v>
      </c>
      <c r="L4" s="4">
        <f>'QTR CF'!L4</f>
        <v>0</v>
      </c>
      <c r="M4" s="4">
        <f>'QTR CF'!M4</f>
        <v>0</v>
      </c>
      <c r="N4" s="4">
        <f>'QTR CF'!N4</f>
        <v>0</v>
      </c>
      <c r="O4" s="4">
        <f>'QTR CF'!O4</f>
        <v>0</v>
      </c>
      <c r="P4" s="4">
        <f>'QTR CF'!P4</f>
        <v>0</v>
      </c>
      <c r="Q4" s="4">
        <f>'QTR CF'!Q4</f>
        <v>0</v>
      </c>
      <c r="R4" s="4">
        <f>'QTR CF'!R4</f>
        <v>0</v>
      </c>
      <c r="S4" s="15">
        <v>0</v>
      </c>
      <c r="T4" s="15">
        <v>0</v>
      </c>
      <c r="U4" s="15">
        <v>0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>
        <v>0</v>
      </c>
      <c r="AM4" s="15">
        <v>0</v>
      </c>
      <c r="AN4" s="15">
        <v>0</v>
      </c>
      <c r="AO4" s="15">
        <v>0</v>
      </c>
    </row>
    <row r="5" spans="1:41" x14ac:dyDescent="0.25">
      <c r="A5" s="3" t="s">
        <v>63</v>
      </c>
      <c r="B5" s="4">
        <f>'QTR CF'!B5</f>
        <v>482</v>
      </c>
      <c r="C5" s="4">
        <f>'QTR CF'!C5</f>
        <v>1389</v>
      </c>
      <c r="D5" s="4">
        <f>'QTR CF'!D5</f>
        <v>6</v>
      </c>
      <c r="E5" s="4">
        <f>'QTR CF'!E5</f>
        <v>1741</v>
      </c>
      <c r="F5" s="4">
        <f>'QTR CF'!F5</f>
        <v>-13</v>
      </c>
      <c r="G5" s="4">
        <f>'QTR CF'!G5</f>
        <v>110</v>
      </c>
      <c r="H5" s="4">
        <f>'QTR CF'!H5</f>
        <v>5</v>
      </c>
      <c r="I5" s="4">
        <f>'QTR CF'!I5</f>
        <v>1128</v>
      </c>
      <c r="J5" s="4">
        <f>'QTR CF'!J5</f>
        <v>0</v>
      </c>
      <c r="K5" s="4">
        <f>'QTR CF'!K5</f>
        <v>0</v>
      </c>
      <c r="L5" s="4">
        <f>'QTR CF'!L5</f>
        <v>10</v>
      </c>
      <c r="M5" s="4">
        <f>'QTR CF'!M5</f>
        <v>704</v>
      </c>
      <c r="N5" s="4">
        <f>'QTR CF'!N5</f>
        <v>0</v>
      </c>
      <c r="O5" s="4">
        <f>'QTR CF'!O5</f>
        <v>1860</v>
      </c>
      <c r="P5" s="4">
        <f>'QTR CF'!P5</f>
        <v>100</v>
      </c>
      <c r="Q5" s="4">
        <f>'QTR CF'!Q5</f>
        <v>-14</v>
      </c>
      <c r="R5" s="4">
        <f>'QTR CF'!R5</f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>
        <v>0</v>
      </c>
      <c r="AM5" s="15">
        <v>0</v>
      </c>
      <c r="AN5" s="15">
        <v>0</v>
      </c>
      <c r="AO5" s="15">
        <v>0</v>
      </c>
    </row>
    <row r="6" spans="1:41" x14ac:dyDescent="0.25">
      <c r="A6" s="3" t="s">
        <v>64</v>
      </c>
      <c r="B6" s="4">
        <f>'QTR CF'!B6</f>
        <v>0</v>
      </c>
      <c r="C6" s="4">
        <f>'QTR CF'!C6</f>
        <v>0</v>
      </c>
      <c r="D6" s="4">
        <f>'QTR CF'!D6</f>
        <v>0</v>
      </c>
      <c r="E6" s="4">
        <f>'QTR CF'!E6</f>
        <v>0</v>
      </c>
      <c r="F6" s="4">
        <f>'QTR CF'!F6</f>
        <v>0</v>
      </c>
      <c r="G6" s="4">
        <f>'QTR CF'!G6</f>
        <v>0</v>
      </c>
      <c r="H6" s="4">
        <f>'QTR CF'!H6</f>
        <v>0</v>
      </c>
      <c r="I6" s="4">
        <f>'QTR CF'!I6</f>
        <v>0</v>
      </c>
      <c r="J6" s="4">
        <f>'QTR CF'!J6</f>
        <v>0</v>
      </c>
      <c r="K6" s="4">
        <f>'QTR CF'!K6</f>
        <v>0</v>
      </c>
      <c r="L6" s="4">
        <f>'QTR CF'!L6</f>
        <v>0</v>
      </c>
      <c r="M6" s="4">
        <f>'QTR CF'!M6</f>
        <v>218</v>
      </c>
      <c r="N6" s="4">
        <f>'QTR CF'!N6</f>
        <v>0</v>
      </c>
      <c r="O6" s="4">
        <f>'QTR CF'!O6</f>
        <v>0</v>
      </c>
      <c r="P6" s="4">
        <f>'QTR CF'!P6</f>
        <v>0</v>
      </c>
      <c r="Q6" s="4">
        <f>'QTR CF'!Q6</f>
        <v>0</v>
      </c>
      <c r="R6" s="4">
        <f>'QTR CF'!R6</f>
        <v>0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>
        <v>0</v>
      </c>
      <c r="AM6" s="15">
        <v>0</v>
      </c>
      <c r="AN6" s="15">
        <v>0</v>
      </c>
      <c r="AO6" s="15">
        <v>0</v>
      </c>
    </row>
    <row r="7" spans="1:41" x14ac:dyDescent="0.25">
      <c r="A7" s="3" t="s">
        <v>65</v>
      </c>
      <c r="B7" s="4">
        <f>'QTR CF'!B7</f>
        <v>0</v>
      </c>
      <c r="C7" s="4">
        <f>'QTR CF'!C7</f>
        <v>0</v>
      </c>
      <c r="D7" s="4">
        <f>'QTR CF'!D7</f>
        <v>0</v>
      </c>
      <c r="E7" s="4">
        <f>'QTR CF'!E7</f>
        <v>0</v>
      </c>
      <c r="F7" s="4">
        <f>'QTR CF'!F7</f>
        <v>0</v>
      </c>
      <c r="G7" s="4">
        <f>'QTR CF'!G7</f>
        <v>0</v>
      </c>
      <c r="H7" s="4">
        <f>'QTR CF'!H7</f>
        <v>0</v>
      </c>
      <c r="I7" s="4">
        <f>'QTR CF'!I7</f>
        <v>136</v>
      </c>
      <c r="J7" s="4">
        <f>'QTR CF'!J7</f>
        <v>167</v>
      </c>
      <c r="K7" s="4">
        <f>'QTR CF'!K7</f>
        <v>15</v>
      </c>
      <c r="L7" s="4">
        <f>'QTR CF'!L7</f>
        <v>2</v>
      </c>
      <c r="M7" s="4">
        <f>'QTR CF'!M7</f>
        <v>3</v>
      </c>
      <c r="N7" s="4">
        <f>'QTR CF'!N7</f>
        <v>0</v>
      </c>
      <c r="O7" s="4">
        <f>'QTR CF'!O7</f>
        <v>0</v>
      </c>
      <c r="P7" s="4">
        <f>'QTR CF'!P7</f>
        <v>0</v>
      </c>
      <c r="Q7" s="4">
        <f>'QTR CF'!Q7</f>
        <v>0</v>
      </c>
      <c r="R7" s="4">
        <f>'QTR CF'!R7</f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>
        <v>0</v>
      </c>
      <c r="AM7" s="15">
        <v>0</v>
      </c>
      <c r="AN7" s="15">
        <v>0</v>
      </c>
      <c r="AO7" s="15">
        <v>0</v>
      </c>
    </row>
    <row r="8" spans="1:41" x14ac:dyDescent="0.25">
      <c r="A8" s="3" t="s">
        <v>66</v>
      </c>
      <c r="B8" s="4">
        <f>'QTR CF'!B8</f>
        <v>0</v>
      </c>
      <c r="C8" s="4">
        <f>'QTR CF'!C8</f>
        <v>0</v>
      </c>
      <c r="D8" s="4">
        <f>'QTR CF'!D8</f>
        <v>0</v>
      </c>
      <c r="E8" s="4">
        <f>'QTR CF'!E8</f>
        <v>0</v>
      </c>
      <c r="F8" s="4">
        <f>'QTR CF'!F8</f>
        <v>0</v>
      </c>
      <c r="G8" s="4">
        <f>'QTR CF'!G8</f>
        <v>0</v>
      </c>
      <c r="H8" s="4">
        <f>'QTR CF'!H8</f>
        <v>0</v>
      </c>
      <c r="I8" s="4">
        <f>'QTR CF'!I8</f>
        <v>0</v>
      </c>
      <c r="J8" s="4">
        <f>'QTR CF'!J8</f>
        <v>-108</v>
      </c>
      <c r="K8" s="4">
        <f>'QTR CF'!K8</f>
        <v>-27</v>
      </c>
      <c r="L8" s="4">
        <f>'QTR CF'!L8</f>
        <v>-3</v>
      </c>
      <c r="M8" s="4">
        <f>'QTR CF'!M8</f>
        <v>-10</v>
      </c>
      <c r="N8" s="4">
        <f>'QTR CF'!N8</f>
        <v>-2</v>
      </c>
      <c r="O8" s="4">
        <f>'QTR CF'!O8</f>
        <v>0</v>
      </c>
      <c r="P8" s="4">
        <f>'QTR CF'!P8</f>
        <v>-3</v>
      </c>
      <c r="Q8" s="4">
        <f>'QTR CF'!Q8</f>
        <v>-1</v>
      </c>
      <c r="R8" s="4">
        <f>'QTR CF'!R8</f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>
        <v>0</v>
      </c>
      <c r="AM8" s="15">
        <v>0</v>
      </c>
      <c r="AN8" s="15">
        <v>0</v>
      </c>
      <c r="AO8" s="15">
        <v>0</v>
      </c>
    </row>
    <row r="9" spans="1:41" x14ac:dyDescent="0.25">
      <c r="A9" s="3" t="s">
        <v>67</v>
      </c>
      <c r="B9" s="4">
        <f>'QTR CF'!B9</f>
        <v>103</v>
      </c>
      <c r="C9" s="4">
        <f>'QTR CF'!C9</f>
        <v>120</v>
      </c>
      <c r="D9" s="4">
        <f>'QTR CF'!D9</f>
        <v>123</v>
      </c>
      <c r="E9" s="4">
        <f>'QTR CF'!E9</f>
        <v>171</v>
      </c>
      <c r="F9" s="4">
        <f>'QTR CF'!F9</f>
        <v>116</v>
      </c>
      <c r="G9" s="4">
        <f>'QTR CF'!G9</f>
        <v>132</v>
      </c>
      <c r="H9" s="4">
        <f>'QTR CF'!H9</f>
        <v>136</v>
      </c>
      <c r="I9" s="4">
        <f>'QTR CF'!I9</f>
        <v>186</v>
      </c>
      <c r="J9" s="4">
        <f>'QTR CF'!J9</f>
        <v>127</v>
      </c>
      <c r="K9" s="4">
        <f>'QTR CF'!K9</f>
        <v>151</v>
      </c>
      <c r="L9" s="4">
        <f>'QTR CF'!L9</f>
        <v>160</v>
      </c>
      <c r="M9" s="4">
        <f>'QTR CF'!M9</f>
        <v>217</v>
      </c>
      <c r="N9" s="4">
        <f>'QTR CF'!N9</f>
        <v>145</v>
      </c>
      <c r="O9" s="4">
        <f>'QTR CF'!O9</f>
        <v>170</v>
      </c>
      <c r="P9" s="4">
        <f>'QTR CF'!P9</f>
        <v>174</v>
      </c>
      <c r="Q9" s="4">
        <f>'QTR CF'!Q9</f>
        <v>238</v>
      </c>
      <c r="R9" s="4">
        <f>'QTR CF'!R9</f>
        <v>162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5">
        <v>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>
        <v>0</v>
      </c>
      <c r="AM9" s="15">
        <v>0</v>
      </c>
      <c r="AN9" s="15">
        <v>0</v>
      </c>
      <c r="AO9" s="15">
        <v>0</v>
      </c>
    </row>
    <row r="10" spans="1:41" x14ac:dyDescent="0.25">
      <c r="A10" s="3" t="s">
        <v>159</v>
      </c>
      <c r="B10" s="13">
        <f>IFERROR('QTR CF'!B10/'QTR P&amp;L'!B2,"")</f>
        <v>5.0000000000000001E-3</v>
      </c>
      <c r="C10" s="13">
        <f>IFERROR('QTR CF'!C10/'QTR P&amp;L'!C2,"")</f>
        <v>3.708281829419036E-3</v>
      </c>
      <c r="D10" s="13">
        <f>IFERROR('QTR CF'!D10/'QTR P&amp;L'!D2,"")</f>
        <v>3.5046197260024579E-3</v>
      </c>
      <c r="E10" s="13">
        <f>IFERROR('QTR CF'!E10/'QTR P&amp;L'!E2,"")</f>
        <v>3.9291327332476068E-3</v>
      </c>
      <c r="F10" s="13">
        <f>IFERROR('QTR CF'!F10/'QTR P&amp;L'!F2,"")</f>
        <v>5.211251821136389E-3</v>
      </c>
      <c r="G10" s="13">
        <f>IFERROR('QTR CF'!G10/'QTR P&amp;L'!G2,"")</f>
        <v>3.8527013708449065E-3</v>
      </c>
      <c r="H10" s="13">
        <f>IFERROR('QTR CF'!H10/'QTR P&amp;L'!H2,"")</f>
        <v>3.7521852215068436E-3</v>
      </c>
      <c r="I10" s="13">
        <f>IFERROR('QTR CF'!I10/'QTR P&amp;L'!I2,"")</f>
        <v>4.0574506283662477E-3</v>
      </c>
      <c r="J10" s="13">
        <f>IFERROR('QTR CF'!J10/'QTR P&amp;L'!J2,"")</f>
        <v>5.3150684931506853E-3</v>
      </c>
      <c r="K10" s="13">
        <f>IFERROR('QTR CF'!K10/'QTR P&amp;L'!K2,"")</f>
        <v>3.8220523532287456E-3</v>
      </c>
      <c r="L10" s="13">
        <f>IFERROR('QTR CF'!L10/'QTR P&amp;L'!L2,"")</f>
        <v>3.3020283888674472E-3</v>
      </c>
      <c r="M10" s="13">
        <f>IFERROR('QTR CF'!M10/'QTR P&amp;L'!M2,"")</f>
        <v>3.6711776562050099E-3</v>
      </c>
      <c r="N10" s="13">
        <f>IFERROR('QTR CF'!N10/'QTR P&amp;L'!N2,"")</f>
        <v>4.2971147943523637E-3</v>
      </c>
      <c r="O10" s="13">
        <f>IFERROR('QTR CF'!O10/'QTR P&amp;L'!O2,"")</f>
        <v>2.3761330634515534E-3</v>
      </c>
      <c r="P10" s="13">
        <f>IFERROR('QTR CF'!P10/'QTR P&amp;L'!P2,"")</f>
        <v>3.1750010444082381E-3</v>
      </c>
      <c r="Q10" s="13">
        <f>IFERROR('QTR CF'!Q10/'QTR P&amp;L'!Q2,"")</f>
        <v>2.7604539413147939E-3</v>
      </c>
      <c r="R10" s="13">
        <f>IFERROR('QTR CF'!R10/'QTR P&amp;L'!R2,"")</f>
        <v>4.7832124672118502E-3</v>
      </c>
      <c r="S10" s="14">
        <f t="shared" ref="S10:AO10" si="1">R10</f>
        <v>4.7832124672118502E-3</v>
      </c>
      <c r="T10" s="14">
        <f t="shared" si="1"/>
        <v>4.7832124672118502E-3</v>
      </c>
      <c r="U10" s="14">
        <f t="shared" si="1"/>
        <v>4.7832124672118502E-3</v>
      </c>
      <c r="V10" s="14">
        <f t="shared" si="1"/>
        <v>4.7832124672118502E-3</v>
      </c>
      <c r="W10" s="14">
        <f t="shared" si="1"/>
        <v>4.7832124672118502E-3</v>
      </c>
      <c r="X10" s="14">
        <f t="shared" si="1"/>
        <v>4.7832124672118502E-3</v>
      </c>
      <c r="Y10" s="14">
        <f t="shared" si="1"/>
        <v>4.7832124672118502E-3</v>
      </c>
      <c r="Z10" s="14">
        <f t="shared" si="1"/>
        <v>4.7832124672118502E-3</v>
      </c>
      <c r="AA10" s="14">
        <f t="shared" si="1"/>
        <v>4.7832124672118502E-3</v>
      </c>
      <c r="AB10" s="14">
        <f t="shared" si="1"/>
        <v>4.7832124672118502E-3</v>
      </c>
      <c r="AC10" s="14">
        <f t="shared" si="1"/>
        <v>4.7832124672118502E-3</v>
      </c>
      <c r="AD10" s="14">
        <f t="shared" si="1"/>
        <v>4.7832124672118502E-3</v>
      </c>
      <c r="AE10" s="14">
        <f t="shared" si="1"/>
        <v>4.7832124672118502E-3</v>
      </c>
      <c r="AF10" s="14">
        <f t="shared" si="1"/>
        <v>4.7832124672118502E-3</v>
      </c>
      <c r="AG10" s="14">
        <f t="shared" si="1"/>
        <v>4.7832124672118502E-3</v>
      </c>
      <c r="AH10" s="14">
        <f t="shared" si="1"/>
        <v>4.7832124672118502E-3</v>
      </c>
      <c r="AI10" s="14">
        <f t="shared" si="1"/>
        <v>4.7832124672118502E-3</v>
      </c>
      <c r="AJ10" s="14">
        <f t="shared" si="1"/>
        <v>4.7832124672118502E-3</v>
      </c>
      <c r="AK10" s="14">
        <f t="shared" si="1"/>
        <v>4.7832124672118502E-3</v>
      </c>
      <c r="AL10" s="14">
        <f t="shared" si="1"/>
        <v>4.7832124672118502E-3</v>
      </c>
      <c r="AM10" s="14">
        <f t="shared" si="1"/>
        <v>4.7832124672118502E-3</v>
      </c>
      <c r="AN10" s="14">
        <f t="shared" si="1"/>
        <v>4.7832124672118502E-3</v>
      </c>
      <c r="AO10" s="14">
        <f t="shared" si="1"/>
        <v>4.7832124672118502E-3</v>
      </c>
    </row>
    <row r="11" spans="1:41" x14ac:dyDescent="0.25">
      <c r="A11" s="3" t="s">
        <v>69</v>
      </c>
      <c r="B11" s="4">
        <f>'QTR CF'!B11</f>
        <v>27</v>
      </c>
      <c r="C11" s="4">
        <f>'QTR CF'!C11</f>
        <v>48</v>
      </c>
      <c r="D11" s="4">
        <f>'QTR CF'!D11</f>
        <v>51</v>
      </c>
      <c r="E11" s="4">
        <f>'QTR CF'!E11</f>
        <v>285</v>
      </c>
      <c r="F11" s="4">
        <f>'QTR CF'!F11</f>
        <v>112</v>
      </c>
      <c r="G11" s="4">
        <f>'QTR CF'!G11</f>
        <v>92</v>
      </c>
      <c r="H11" s="4">
        <f>'QTR CF'!H11</f>
        <v>83</v>
      </c>
      <c r="I11" s="4">
        <f>'QTR CF'!I11</f>
        <v>158</v>
      </c>
      <c r="J11" s="4">
        <f>'QTR CF'!J11</f>
        <v>96</v>
      </c>
      <c r="K11" s="4">
        <f>'QTR CF'!K11</f>
        <v>74</v>
      </c>
      <c r="L11" s="4">
        <f>'QTR CF'!L11</f>
        <v>245</v>
      </c>
      <c r="M11" s="4">
        <f>'QTR CF'!M11</f>
        <v>312</v>
      </c>
      <c r="N11" s="4">
        <f>'QTR CF'!N11</f>
        <v>213</v>
      </c>
      <c r="O11" s="4">
        <f>'QTR CF'!O11</f>
        <v>213</v>
      </c>
      <c r="P11" s="4">
        <f>'QTR CF'!P11</f>
        <v>141</v>
      </c>
      <c r="Q11" s="4">
        <f>'QTR CF'!Q11</f>
        <v>416</v>
      </c>
      <c r="R11" s="4">
        <f>'QTR CF'!R11</f>
        <v>133</v>
      </c>
      <c r="S11" s="15">
        <v>0</v>
      </c>
      <c r="T11" s="15">
        <v>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>
        <v>0</v>
      </c>
      <c r="AM11" s="15">
        <v>0</v>
      </c>
      <c r="AN11" s="15">
        <v>0</v>
      </c>
      <c r="AO11" s="15">
        <v>0</v>
      </c>
    </row>
    <row r="12" spans="1:41" x14ac:dyDescent="0.25">
      <c r="A12" s="3" t="s">
        <v>70</v>
      </c>
      <c r="B12" s="4">
        <f>'QTR CF'!B12</f>
        <v>-32</v>
      </c>
      <c r="C12" s="4">
        <f>'QTR CF'!C12</f>
        <v>-50</v>
      </c>
      <c r="D12" s="4">
        <f>'QTR CF'!D12</f>
        <v>-52</v>
      </c>
      <c r="E12" s="4">
        <f>'QTR CF'!E12</f>
        <v>-90</v>
      </c>
      <c r="F12" s="4">
        <f>'QTR CF'!F12</f>
        <v>-64</v>
      </c>
      <c r="G12" s="4">
        <f>'QTR CF'!G12</f>
        <v>-123</v>
      </c>
      <c r="H12" s="4">
        <f>'QTR CF'!H12</f>
        <v>-96</v>
      </c>
      <c r="I12" s="4">
        <f>'QTR CF'!I12</f>
        <v>-151</v>
      </c>
      <c r="J12" s="4">
        <f>'QTR CF'!J12</f>
        <v>-60</v>
      </c>
      <c r="K12" s="4">
        <f>'QTR CF'!K12</f>
        <v>-113</v>
      </c>
      <c r="L12" s="4">
        <f>'QTR CF'!L12</f>
        <v>-111</v>
      </c>
      <c r="M12" s="4">
        <f>'QTR CF'!M12</f>
        <v>-152</v>
      </c>
      <c r="N12" s="4">
        <f>'QTR CF'!N12</f>
        <v>-232</v>
      </c>
      <c r="O12" s="4">
        <f>'QTR CF'!O12</f>
        <v>-155</v>
      </c>
      <c r="P12" s="4">
        <f>'QTR CF'!P12</f>
        <v>-167</v>
      </c>
      <c r="Q12" s="4">
        <f>'QTR CF'!Q12</f>
        <v>-242</v>
      </c>
      <c r="R12" s="4">
        <f>'QTR CF'!R12</f>
        <v>-145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0</v>
      </c>
      <c r="AN12" s="15">
        <v>0</v>
      </c>
      <c r="AO12" s="15">
        <v>0</v>
      </c>
    </row>
    <row r="13" spans="1:41" x14ac:dyDescent="0.25">
      <c r="A13" s="3" t="s">
        <v>71</v>
      </c>
      <c r="B13" s="4">
        <f>'QTR CF'!B13</f>
        <v>56</v>
      </c>
      <c r="C13" s="4">
        <f>'QTR CF'!C13</f>
        <v>8</v>
      </c>
      <c r="D13" s="4">
        <f>'QTR CF'!D13</f>
        <v>5</v>
      </c>
      <c r="E13" s="4">
        <f>'QTR CF'!E13</f>
        <v>11</v>
      </c>
      <c r="F13" s="4">
        <f>'QTR CF'!F13</f>
        <v>2</v>
      </c>
      <c r="G13" s="4">
        <f>'QTR CF'!G13</f>
        <v>7</v>
      </c>
      <c r="H13" s="4">
        <f>'QTR CF'!H13</f>
        <v>11</v>
      </c>
      <c r="I13" s="4">
        <f>'QTR CF'!I13</f>
        <v>21</v>
      </c>
      <c r="J13" s="4">
        <f>'QTR CF'!J13</f>
        <v>0</v>
      </c>
      <c r="K13" s="4">
        <f>'QTR CF'!K13</f>
        <v>0</v>
      </c>
      <c r="L13" s="4">
        <f>'QTR CF'!L13</f>
        <v>0</v>
      </c>
      <c r="M13" s="4">
        <f>'QTR CF'!M13</f>
        <v>0</v>
      </c>
      <c r="N13" s="4">
        <f>'QTR CF'!N13</f>
        <v>0</v>
      </c>
      <c r="O13" s="4">
        <f>'QTR CF'!O13</f>
        <v>0</v>
      </c>
      <c r="P13" s="4">
        <f>'QTR CF'!P13</f>
        <v>308</v>
      </c>
      <c r="Q13" s="4">
        <f>'QTR CF'!Q13</f>
        <v>145</v>
      </c>
      <c r="R13" s="4">
        <f>'QTR CF'!R13</f>
        <v>-113</v>
      </c>
      <c r="S13" s="15">
        <v>0</v>
      </c>
      <c r="T13" s="15">
        <v>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0</v>
      </c>
      <c r="AN13" s="15">
        <v>0</v>
      </c>
      <c r="AO13" s="15">
        <v>0</v>
      </c>
    </row>
    <row r="14" spans="1:41" x14ac:dyDescent="0.25">
      <c r="A14" s="3" t="s">
        <v>72</v>
      </c>
      <c r="B14" s="4">
        <f>'QTR CF'!B14</f>
        <v>-17</v>
      </c>
      <c r="C14" s="4">
        <f>'QTR CF'!C14</f>
        <v>-17</v>
      </c>
      <c r="D14" s="4">
        <f>'QTR CF'!D14</f>
        <v>-7</v>
      </c>
      <c r="E14" s="4">
        <f>'QTR CF'!E14</f>
        <v>-5</v>
      </c>
      <c r="F14" s="4">
        <f>'QTR CF'!F14</f>
        <v>-4</v>
      </c>
      <c r="G14" s="4">
        <f>'QTR CF'!G14</f>
        <v>-6</v>
      </c>
      <c r="H14" s="4">
        <f>'QTR CF'!H14</f>
        <v>-5</v>
      </c>
      <c r="I14" s="4">
        <f>'QTR CF'!I14</f>
        <v>-26</v>
      </c>
      <c r="J14" s="4">
        <f>'QTR CF'!J14</f>
        <v>0</v>
      </c>
      <c r="K14" s="4">
        <f>'QTR CF'!K14</f>
        <v>0</v>
      </c>
      <c r="L14" s="4">
        <f>'QTR CF'!L14</f>
        <v>0</v>
      </c>
      <c r="M14" s="4">
        <f>'QTR CF'!M14</f>
        <v>0</v>
      </c>
      <c r="N14" s="4">
        <f>'QTR CF'!N14</f>
        <v>0</v>
      </c>
      <c r="O14" s="4">
        <f>'QTR CF'!O14</f>
        <v>0</v>
      </c>
      <c r="P14" s="4">
        <f>'QTR CF'!P14</f>
        <v>-80</v>
      </c>
      <c r="Q14" s="4">
        <f>'QTR CF'!Q14</f>
        <v>-148</v>
      </c>
      <c r="R14" s="4">
        <f>'QTR CF'!R14</f>
        <v>-14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>
        <v>0</v>
      </c>
      <c r="AM14" s="15">
        <v>0</v>
      </c>
      <c r="AN14" s="15">
        <v>0</v>
      </c>
      <c r="AO14" s="15">
        <v>0</v>
      </c>
    </row>
    <row r="15" spans="1:41" x14ac:dyDescent="0.25">
      <c r="A15" s="3" t="s">
        <v>73</v>
      </c>
      <c r="B15" s="4">
        <f>'QTR CF'!B15</f>
        <v>-1</v>
      </c>
      <c r="C15" s="4">
        <f>'QTR CF'!C15</f>
        <v>140</v>
      </c>
      <c r="D15" s="4">
        <f>'QTR CF'!D15</f>
        <v>96</v>
      </c>
      <c r="E15" s="4">
        <f>'QTR CF'!E15</f>
        <v>184</v>
      </c>
      <c r="F15" s="4">
        <f>'QTR CF'!F15</f>
        <v>30</v>
      </c>
      <c r="G15" s="4">
        <f>'QTR CF'!G15</f>
        <v>32</v>
      </c>
      <c r="H15" s="4">
        <f>'QTR CF'!H15</f>
        <v>31</v>
      </c>
      <c r="I15" s="4">
        <f>'QTR CF'!I15</f>
        <v>57</v>
      </c>
      <c r="J15" s="4">
        <f>'QTR CF'!J15</f>
        <v>31</v>
      </c>
      <c r="K15" s="4">
        <f>'QTR CF'!K15</f>
        <v>36</v>
      </c>
      <c r="L15" s="4">
        <f>'QTR CF'!L15</f>
        <v>47</v>
      </c>
      <c r="M15" s="4">
        <f>'QTR CF'!M15</f>
        <v>300</v>
      </c>
      <c r="N15" s="4">
        <f>'QTR CF'!N15</f>
        <v>48</v>
      </c>
      <c r="O15" s="4">
        <f>'QTR CF'!O15</f>
        <v>51</v>
      </c>
      <c r="P15" s="4">
        <f>'QTR CF'!P15</f>
        <v>65</v>
      </c>
      <c r="Q15" s="4">
        <f>'QTR CF'!Q15</f>
        <v>340</v>
      </c>
      <c r="R15" s="4">
        <f>'QTR CF'!R15</f>
        <v>13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>
        <v>0</v>
      </c>
      <c r="AM15" s="15">
        <v>0</v>
      </c>
      <c r="AN15" s="15">
        <v>0</v>
      </c>
      <c r="AO15" s="15">
        <v>0</v>
      </c>
    </row>
    <row r="16" spans="1:41" x14ac:dyDescent="0.25">
      <c r="A16" s="3" t="s">
        <v>74</v>
      </c>
      <c r="B16" s="4">
        <f>'QTR CF'!B16</f>
        <v>-178</v>
      </c>
      <c r="C16" s="4">
        <f>'QTR CF'!C16</f>
        <v>-36</v>
      </c>
      <c r="D16" s="4">
        <f>'QTR CF'!D16</f>
        <v>-121</v>
      </c>
      <c r="E16" s="4">
        <f>'QTR CF'!E16</f>
        <v>-49</v>
      </c>
      <c r="F16" s="4">
        <f>'QTR CF'!F16</f>
        <v>-175</v>
      </c>
      <c r="G16" s="4">
        <f>'QTR CF'!G16</f>
        <v>-34</v>
      </c>
      <c r="H16" s="4">
        <f>'QTR CF'!H16</f>
        <v>-165</v>
      </c>
      <c r="I16" s="4">
        <f>'QTR CF'!I16</f>
        <v>-36</v>
      </c>
      <c r="J16" s="4">
        <f>'QTR CF'!J16</f>
        <v>-218</v>
      </c>
      <c r="K16" s="4">
        <f>'QTR CF'!K16</f>
        <v>-45</v>
      </c>
      <c r="L16" s="4">
        <f>'QTR CF'!L16</f>
        <v>-37</v>
      </c>
      <c r="M16" s="4">
        <f>'QTR CF'!M16</f>
        <v>-48</v>
      </c>
      <c r="N16" s="4">
        <f>'QTR CF'!N16</f>
        <v>-317</v>
      </c>
      <c r="O16" s="4">
        <f>'QTR CF'!O16</f>
        <v>-37</v>
      </c>
      <c r="P16" s="4">
        <f>'QTR CF'!P16</f>
        <v>-46</v>
      </c>
      <c r="Q16" s="4">
        <f>'QTR CF'!Q16</f>
        <v>-72</v>
      </c>
      <c r="R16" s="4">
        <f>'QTR CF'!R16</f>
        <v>-270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>
        <v>0</v>
      </c>
      <c r="AM16" s="15">
        <v>0</v>
      </c>
      <c r="AN16" s="15">
        <v>0</v>
      </c>
      <c r="AO16" s="15">
        <v>0</v>
      </c>
    </row>
    <row r="17" spans="1:41" x14ac:dyDescent="0.25">
      <c r="A17" s="3" t="s">
        <v>75</v>
      </c>
      <c r="B17" s="4">
        <f>'QTR CF'!B17</f>
        <v>257</v>
      </c>
      <c r="C17" s="4">
        <f>'QTR CF'!C17</f>
        <v>-208</v>
      </c>
      <c r="D17" s="4">
        <f>'QTR CF'!D17</f>
        <v>-371</v>
      </c>
      <c r="E17" s="4">
        <f>'QTR CF'!E17</f>
        <v>-551</v>
      </c>
      <c r="F17" s="4">
        <f>'QTR CF'!F17</f>
        <v>78</v>
      </c>
      <c r="G17" s="4">
        <f>'QTR CF'!G17</f>
        <v>192</v>
      </c>
      <c r="H17" s="4">
        <f>'QTR CF'!H17</f>
        <v>73</v>
      </c>
      <c r="I17" s="4">
        <f>'QTR CF'!I17</f>
        <v>-614</v>
      </c>
      <c r="J17" s="4">
        <f>'QTR CF'!J17</f>
        <v>116</v>
      </c>
      <c r="K17" s="4">
        <f>'QTR CF'!K17</f>
        <v>26</v>
      </c>
      <c r="L17" s="4">
        <f>'QTR CF'!L17</f>
        <v>-18</v>
      </c>
      <c r="M17" s="4">
        <f>'QTR CF'!M17</f>
        <v>-166</v>
      </c>
      <c r="N17" s="4">
        <f>'QTR CF'!N17</f>
        <v>111</v>
      </c>
      <c r="O17" s="4">
        <f>'QTR CF'!O17</f>
        <v>-371</v>
      </c>
      <c r="P17" s="4">
        <f>'QTR CF'!P17</f>
        <v>290</v>
      </c>
      <c r="Q17" s="4">
        <f>'QTR CF'!Q17</f>
        <v>41</v>
      </c>
      <c r="R17" s="4">
        <f>'QTR CF'!R17</f>
        <v>226</v>
      </c>
      <c r="S17" s="15">
        <f t="shared" ref="S17:AO17" si="2">R17</f>
        <v>226</v>
      </c>
      <c r="T17" s="15">
        <f t="shared" si="2"/>
        <v>226</v>
      </c>
      <c r="U17" s="15">
        <f t="shared" si="2"/>
        <v>226</v>
      </c>
      <c r="V17" s="15">
        <f t="shared" si="2"/>
        <v>226</v>
      </c>
      <c r="W17" s="15">
        <f t="shared" si="2"/>
        <v>226</v>
      </c>
      <c r="X17" s="15">
        <f t="shared" si="2"/>
        <v>226</v>
      </c>
      <c r="Y17" s="15">
        <f t="shared" si="2"/>
        <v>226</v>
      </c>
      <c r="Z17" s="15">
        <f t="shared" si="2"/>
        <v>226</v>
      </c>
      <c r="AA17" s="15">
        <f t="shared" si="2"/>
        <v>226</v>
      </c>
      <c r="AB17" s="15">
        <f t="shared" si="2"/>
        <v>226</v>
      </c>
      <c r="AC17" s="15">
        <f t="shared" si="2"/>
        <v>226</v>
      </c>
      <c r="AD17" s="15">
        <f t="shared" si="2"/>
        <v>226</v>
      </c>
      <c r="AE17" s="15">
        <f t="shared" si="2"/>
        <v>226</v>
      </c>
      <c r="AF17" s="15">
        <f t="shared" si="2"/>
        <v>226</v>
      </c>
      <c r="AG17" s="15">
        <f t="shared" si="2"/>
        <v>226</v>
      </c>
      <c r="AH17" s="15">
        <f t="shared" si="2"/>
        <v>226</v>
      </c>
      <c r="AI17" s="15">
        <f t="shared" si="2"/>
        <v>226</v>
      </c>
      <c r="AJ17" s="15">
        <f t="shared" si="2"/>
        <v>226</v>
      </c>
      <c r="AK17" s="15">
        <f t="shared" si="2"/>
        <v>226</v>
      </c>
      <c r="AL17" s="15">
        <f t="shared" si="2"/>
        <v>226</v>
      </c>
      <c r="AM17" s="15">
        <f t="shared" si="2"/>
        <v>226</v>
      </c>
      <c r="AN17" s="15">
        <f t="shared" si="2"/>
        <v>226</v>
      </c>
      <c r="AO17" s="15">
        <f t="shared" si="2"/>
        <v>226</v>
      </c>
    </row>
    <row r="18" spans="1:41" x14ac:dyDescent="0.25">
      <c r="A18" s="3" t="s">
        <v>76</v>
      </c>
      <c r="B18" s="4">
        <f>'QTR CF'!B18</f>
        <v>0</v>
      </c>
      <c r="C18" s="4">
        <f>'QTR CF'!C18</f>
        <v>0</v>
      </c>
      <c r="D18" s="4">
        <f>'QTR CF'!D18</f>
        <v>86</v>
      </c>
      <c r="E18" s="4">
        <f>'QTR CF'!E18</f>
        <v>0</v>
      </c>
      <c r="F18" s="4">
        <f>'QTR CF'!F18</f>
        <v>0</v>
      </c>
      <c r="G18" s="4">
        <f>'QTR CF'!G18</f>
        <v>0</v>
      </c>
      <c r="H18" s="4">
        <f>'QTR CF'!H18</f>
        <v>0</v>
      </c>
      <c r="I18" s="4">
        <f>'QTR CF'!I18</f>
        <v>0</v>
      </c>
      <c r="J18" s="4">
        <f>'QTR CF'!J18</f>
        <v>0</v>
      </c>
      <c r="K18" s="4">
        <f>'QTR CF'!K18</f>
        <v>0</v>
      </c>
      <c r="L18" s="4">
        <f>'QTR CF'!L18</f>
        <v>0</v>
      </c>
      <c r="M18" s="4">
        <f>'QTR CF'!M18</f>
        <v>0</v>
      </c>
      <c r="N18" s="4">
        <f>'QTR CF'!N18</f>
        <v>0</v>
      </c>
      <c r="O18" s="4">
        <f>'QTR CF'!O18</f>
        <v>0</v>
      </c>
      <c r="P18" s="4">
        <f>'QTR CF'!P18</f>
        <v>0</v>
      </c>
      <c r="Q18" s="4">
        <f>'QTR CF'!Q18</f>
        <v>0</v>
      </c>
      <c r="R18" s="4">
        <f>'QTR CF'!R18</f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>
        <v>0</v>
      </c>
      <c r="AM18" s="15">
        <v>0</v>
      </c>
      <c r="AN18" s="15">
        <v>0</v>
      </c>
      <c r="AO18" s="15">
        <v>0</v>
      </c>
    </row>
    <row r="19" spans="1:41" x14ac:dyDescent="0.25">
      <c r="A19" s="3" t="s">
        <v>77</v>
      </c>
      <c r="B19" s="4">
        <f>'QTR CF'!B19</f>
        <v>0</v>
      </c>
      <c r="C19" s="4">
        <f>'QTR CF'!C19</f>
        <v>-309</v>
      </c>
      <c r="D19" s="4">
        <f>'QTR CF'!D19</f>
        <v>0</v>
      </c>
      <c r="E19" s="4">
        <f>'QTR CF'!E19</f>
        <v>0</v>
      </c>
      <c r="F19" s="4">
        <f>'QTR CF'!F19</f>
        <v>0</v>
      </c>
      <c r="G19" s="4">
        <f>'QTR CF'!G19</f>
        <v>-309</v>
      </c>
      <c r="H19" s="4">
        <f>'QTR CF'!H19</f>
        <v>0</v>
      </c>
      <c r="I19" s="4">
        <f>'QTR CF'!I19</f>
        <v>0</v>
      </c>
      <c r="J19" s="4">
        <f>'QTR CF'!J19</f>
        <v>0</v>
      </c>
      <c r="K19" s="4">
        <f>'QTR CF'!K19</f>
        <v>-579</v>
      </c>
      <c r="L19" s="4">
        <f>'QTR CF'!L19</f>
        <v>0</v>
      </c>
      <c r="M19" s="4">
        <f>'QTR CF'!M19</f>
        <v>0</v>
      </c>
      <c r="N19" s="4">
        <f>'QTR CF'!N19</f>
        <v>0</v>
      </c>
      <c r="O19" s="4">
        <f>'QTR CF'!O19</f>
        <v>-772</v>
      </c>
      <c r="P19" s="4">
        <f>'QTR CF'!P19</f>
        <v>0</v>
      </c>
      <c r="Q19" s="4">
        <f>'QTR CF'!Q19</f>
        <v>0</v>
      </c>
      <c r="R19" s="4">
        <f>'QTR CF'!R19</f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>
        <v>0</v>
      </c>
      <c r="AM19" s="15">
        <v>0</v>
      </c>
      <c r="AN19" s="15">
        <v>0</v>
      </c>
      <c r="AO19" s="15">
        <v>0</v>
      </c>
    </row>
    <row r="20" spans="1:41" x14ac:dyDescent="0.25">
      <c r="A20" s="3" t="s">
        <v>36</v>
      </c>
      <c r="B20" s="4">
        <f>'QTR CF'!B20</f>
        <v>-837</v>
      </c>
      <c r="C20" s="4">
        <f>'QTR CF'!C20</f>
        <v>-916</v>
      </c>
      <c r="D20" s="4">
        <f>'QTR CF'!D20</f>
        <v>-505</v>
      </c>
      <c r="E20" s="4">
        <f>'QTR CF'!E20</f>
        <v>495</v>
      </c>
      <c r="F20" s="4">
        <f>'QTR CF'!F20</f>
        <v>-348</v>
      </c>
      <c r="G20" s="4">
        <f>'QTR CF'!G20</f>
        <v>-982</v>
      </c>
      <c r="H20" s="4">
        <f>'QTR CF'!H20</f>
        <v>-369</v>
      </c>
      <c r="I20" s="4">
        <f>'QTR CF'!I20</f>
        <v>906</v>
      </c>
      <c r="J20" s="4">
        <f>'QTR CF'!J20</f>
        <v>-96</v>
      </c>
      <c r="K20" s="4">
        <f>'QTR CF'!K20</f>
        <v>-1042</v>
      </c>
      <c r="L20" s="4">
        <f>'QTR CF'!L20</f>
        <v>-383</v>
      </c>
      <c r="M20" s="4">
        <f>'QTR CF'!M20</f>
        <v>1383</v>
      </c>
      <c r="N20" s="4">
        <f>'QTR CF'!N20</f>
        <v>-318</v>
      </c>
      <c r="O20" s="4">
        <f>'QTR CF'!O20</f>
        <v>-1264</v>
      </c>
      <c r="P20" s="4">
        <f>'QTR CF'!P20</f>
        <v>-165</v>
      </c>
      <c r="Q20" s="4">
        <f>'QTR CF'!Q20</f>
        <v>1167</v>
      </c>
      <c r="R20" s="4">
        <f>'QTR CF'!R20</f>
        <v>-530</v>
      </c>
      <c r="S20" s="4">
        <f>-('QTR BS'!P4-'QTR BS'!O4)</f>
        <v>-3265.0257826887664</v>
      </c>
      <c r="T20" s="4">
        <f>-('QTR BS'!Q4-'QTR BS'!P4)</f>
        <v>-822.5392600033465</v>
      </c>
      <c r="U20" s="4">
        <f>-('QTR BS'!R4-'QTR BS'!Q4)</f>
        <v>-3671.8804620793599</v>
      </c>
      <c r="V20" s="4">
        <f>-('QTR BS'!S4-'QTR BS'!R4)</f>
        <v>6724.3093922651933</v>
      </c>
      <c r="W20" s="4">
        <f>-('QTR BS'!T4-'QTR BS'!S4)</f>
        <v>-3542.7142303040164</v>
      </c>
      <c r="X20" s="4">
        <f>-('QTR BS'!U4-'QTR BS'!T4)</f>
        <v>-892.49572142670149</v>
      </c>
      <c r="Y20" s="4">
        <f>-('QTR BS'!V4-'QTR BS'!U4)</f>
        <v>-3984.1716515547159</v>
      </c>
      <c r="Z20" s="4">
        <f>-('QTR BS'!W4-'QTR BS'!V4)</f>
        <v>7296.2077969647944</v>
      </c>
      <c r="AA20" s="4">
        <f>-('QTR BS'!X4-'QTR BS'!W4)</f>
        <v>-3844.0199106982</v>
      </c>
      <c r="AB20" s="4">
        <f>-('QTR BS'!Y4-'QTR BS'!X4)</f>
        <v>-968.40193714489578</v>
      </c>
      <c r="AC20" s="4">
        <f>-('QTR BS'!Z4-'QTR BS'!Y4)</f>
        <v>-4323.023015859053</v>
      </c>
      <c r="AD20" s="4">
        <f>-('QTR BS'!AA4-'QTR BS'!Z4)</f>
        <v>7916.7458115065892</v>
      </c>
      <c r="AE20" s="4">
        <f>-('QTR BS'!AB4-'QTR BS'!AA4)</f>
        <v>-4170.9514550870626</v>
      </c>
      <c r="AF20" s="4">
        <f>-('QTR BS'!AC4-'QTR BS'!AB4)</f>
        <v>-1050.7639301249073</v>
      </c>
      <c r="AG20" s="4">
        <f>-('QTR BS'!AD4-'QTR BS'!AC4)</f>
        <v>-4690.6934816310932</v>
      </c>
      <c r="AH20" s="4">
        <f>-('QTR BS'!AE4-'QTR BS'!AD4)</f>
        <v>8590.0602049847985</v>
      </c>
      <c r="AI20" s="4">
        <f>-('QTR BS'!AF4-'QTR BS'!AE4)</f>
        <v>-4525.6883275438267</v>
      </c>
      <c r="AJ20" s="4">
        <f>-('QTR BS'!AG4-'QTR BS'!AF4)</f>
        <v>-1140.1307602778361</v>
      </c>
      <c r="AK20" s="4">
        <f>-('QTR BS'!AH4-'QTR BS'!AG4)</f>
        <v>-5089.6340958397996</v>
      </c>
      <c r="AL20" s="4">
        <f>-('QTR BS'!AI4-'QTR BS'!AH4)</f>
        <v>9320.639576177211</v>
      </c>
      <c r="AM20" s="4">
        <f>-('QTR BS'!AJ4-'QTR BS'!AI4)</f>
        <v>-4910.5953542292846</v>
      </c>
      <c r="AN20" s="4">
        <f>-('QTR BS'!AK4-'QTR BS'!AJ4)</f>
        <v>-1237.0981847247058</v>
      </c>
      <c r="AO20" s="4">
        <f>-('QTR BS'!AL4-'QTR BS'!AK4)</f>
        <v>-5522.5043655010413</v>
      </c>
    </row>
    <row r="21" spans="1:41" x14ac:dyDescent="0.25">
      <c r="A21" s="3" t="s">
        <v>37</v>
      </c>
      <c r="B21" s="4">
        <f>'QTR CF'!B21</f>
        <v>-549</v>
      </c>
      <c r="C21" s="4">
        <f>'QTR CF'!C21</f>
        <v>-441</v>
      </c>
      <c r="D21" s="4">
        <f>'QTR CF'!D21</f>
        <v>153</v>
      </c>
      <c r="E21" s="4">
        <f>'QTR CF'!E21</f>
        <v>-305</v>
      </c>
      <c r="F21" s="4">
        <f>'QTR CF'!F21</f>
        <v>-542</v>
      </c>
      <c r="G21" s="4">
        <f>'QTR CF'!G21</f>
        <v>-309</v>
      </c>
      <c r="H21" s="4">
        <f>'QTR CF'!H21</f>
        <v>378</v>
      </c>
      <c r="I21" s="4">
        <f>'QTR CF'!I21</f>
        <v>212</v>
      </c>
      <c r="J21" s="4">
        <f>'QTR CF'!J21</f>
        <v>-291</v>
      </c>
      <c r="K21" s="4">
        <f>'QTR CF'!K21</f>
        <v>-405</v>
      </c>
      <c r="L21" s="4">
        <f>'QTR CF'!L21</f>
        <v>204</v>
      </c>
      <c r="M21" s="4">
        <f>'QTR CF'!M21</f>
        <v>178</v>
      </c>
      <c r="N21" s="4">
        <f>'QTR CF'!N21</f>
        <v>-238</v>
      </c>
      <c r="O21" s="4">
        <f>'QTR CF'!O21</f>
        <v>-562</v>
      </c>
      <c r="P21" s="4">
        <f>'QTR CF'!P21</f>
        <v>351</v>
      </c>
      <c r="Q21" s="4">
        <f>'QTR CF'!Q21</f>
        <v>299</v>
      </c>
      <c r="R21" s="4">
        <f>'QTR CF'!R21</f>
        <v>-315</v>
      </c>
      <c r="S21" s="4">
        <f>-('QTR BS'!P5-'QTR BS'!O5)</f>
        <v>-1666.1798649478224</v>
      </c>
      <c r="T21" s="4">
        <f>-('QTR BS'!Q5-'QTR BS'!P5)</f>
        <v>-419.75115798872685</v>
      </c>
      <c r="U21" s="4">
        <f>-('QTR BS'!R5-'QTR BS'!Q5)</f>
        <v>-1873.8024443328304</v>
      </c>
      <c r="V21" s="4">
        <f>-('QTR BS'!S5-'QTR BS'!R5)</f>
        <v>3431.4917127071822</v>
      </c>
      <c r="W21" s="4">
        <f>-('QTR BS'!T5-'QTR BS'!S5)</f>
        <v>-1807.8874442870965</v>
      </c>
      <c r="X21" s="4">
        <f>-('QTR BS'!U5-'QTR BS'!T5)</f>
        <v>-455.45073747278366</v>
      </c>
      <c r="Y21" s="4">
        <f>-('QTR BS'!V5-'QTR BS'!U5)</f>
        <v>-2033.1681971741309</v>
      </c>
      <c r="Z21" s="4">
        <f>-('QTR BS'!W5-'QTR BS'!V5)</f>
        <v>3723.3379859459656</v>
      </c>
      <c r="AA21" s="4">
        <f>-('QTR BS'!X5-'QTR BS'!W5)</f>
        <v>-1961.6471666540565</v>
      </c>
      <c r="AB21" s="4">
        <f>-('QTR BS'!Y5-'QTR BS'!X5)</f>
        <v>-494.18654437654732</v>
      </c>
      <c r="AC21" s="4">
        <f>-('QTR BS'!Z5-'QTR BS'!Y5)</f>
        <v>-2206.087909908847</v>
      </c>
      <c r="AD21" s="4">
        <f>-('QTR BS'!AA5-'QTR BS'!Z5)</f>
        <v>4040.0056063813518</v>
      </c>
      <c r="AE21" s="4">
        <f>-('QTR BS'!AB5-'QTR BS'!AA5)</f>
        <v>-2128.4840594483412</v>
      </c>
      <c r="AF21" s="4">
        <f>-('QTR BS'!AC5-'QTR BS'!AB5)</f>
        <v>-536.21680798667148</v>
      </c>
      <c r="AG21" s="4">
        <f>-('QTR BS'!AD5-'QTR BS'!AC5)</f>
        <v>-2393.7143385433192</v>
      </c>
      <c r="AH21" s="4">
        <f>-('QTR BS'!AE5-'QTR BS'!AD5)</f>
        <v>4383.6056144245013</v>
      </c>
      <c r="AI21" s="4">
        <f>-('QTR BS'!AF5-'QTR BS'!AE5)</f>
        <v>-2309.5103280235562</v>
      </c>
      <c r="AJ21" s="4">
        <f>-('QTR BS'!AG5-'QTR BS'!AF5)</f>
        <v>-581.82171983285298</v>
      </c>
      <c r="AK21" s="4">
        <f>-('QTR BS'!AH5-'QTR BS'!AG5)</f>
        <v>-2597.2982802777915</v>
      </c>
      <c r="AL21" s="4">
        <f>-('QTR BS'!AI5-'QTR BS'!AH5)</f>
        <v>4756.4285931835238</v>
      </c>
      <c r="AM21" s="4">
        <f>-('QTR BS'!AJ5-'QTR BS'!AI5)</f>
        <v>-2505.9327701189777</v>
      </c>
      <c r="AN21" s="4">
        <f>-('QTR BS'!AK5-'QTR BS'!AJ5)</f>
        <v>-631.30530156315399</v>
      </c>
      <c r="AO21" s="4">
        <f>-('QTR BS'!AL5-'QTR BS'!AK5)</f>
        <v>-2818.1969118500529</v>
      </c>
    </row>
    <row r="22" spans="1:41" x14ac:dyDescent="0.25">
      <c r="A22" s="3" t="s">
        <v>38</v>
      </c>
      <c r="B22" s="4">
        <f>'QTR CF'!B22</f>
        <v>-190</v>
      </c>
      <c r="C22" s="4">
        <f>'QTR CF'!C22</f>
        <v>4</v>
      </c>
      <c r="D22" s="4">
        <f>'QTR CF'!D22</f>
        <v>62</v>
      </c>
      <c r="E22" s="4">
        <f>'QTR CF'!E22</f>
        <v>242</v>
      </c>
      <c r="F22" s="4">
        <f>'QTR CF'!F22</f>
        <v>-288</v>
      </c>
      <c r="G22" s="4">
        <f>'QTR CF'!G22</f>
        <v>17</v>
      </c>
      <c r="H22" s="4">
        <f>'QTR CF'!H22</f>
        <v>29</v>
      </c>
      <c r="I22" s="4">
        <f>'QTR CF'!I22</f>
        <v>229</v>
      </c>
      <c r="J22" s="4">
        <f>'QTR CF'!J22</f>
        <v>-342</v>
      </c>
      <c r="K22" s="4">
        <f>'QTR CF'!K22</f>
        <v>-23</v>
      </c>
      <c r="L22" s="4">
        <f>'QTR CF'!L22</f>
        <v>165</v>
      </c>
      <c r="M22" s="4">
        <f>'QTR CF'!M22</f>
        <v>240</v>
      </c>
      <c r="N22" s="4">
        <f>'QTR CF'!N22</f>
        <v>-307</v>
      </c>
      <c r="O22" s="4">
        <f>'QTR CF'!O22</f>
        <v>-47</v>
      </c>
      <c r="P22" s="4">
        <f>'QTR CF'!P22</f>
        <v>131</v>
      </c>
      <c r="Q22" s="4">
        <f>'QTR CF'!Q22</f>
        <v>418</v>
      </c>
      <c r="R22" s="4">
        <f>'QTR CF'!R22</f>
        <v>-406</v>
      </c>
      <c r="S22" s="4">
        <f>-('QTR BS'!P6-'QTR BS'!O6)</f>
        <v>-457.65623081645163</v>
      </c>
      <c r="T22" s="4">
        <f>-('QTR BS'!Q6-'QTR BS'!P6)</f>
        <v>-115.29471510686972</v>
      </c>
      <c r="U22" s="4">
        <f>-('QTR BS'!R6-'QTR BS'!Q6)</f>
        <v>-514.6847480328147</v>
      </c>
      <c r="V22" s="4">
        <f>-('QTR BS'!S6-'QTR BS'!R6)</f>
        <v>942.54143646408852</v>
      </c>
      <c r="W22" s="4">
        <f>-('QTR BS'!T6-'QTR BS'!S6)</f>
        <v>-496.57961358135367</v>
      </c>
      <c r="X22" s="4">
        <f>-('QTR BS'!U6-'QTR BS'!T6)</f>
        <v>-125.10046017204422</v>
      </c>
      <c r="Y22" s="4">
        <f>-('QTR BS'!V6-'QTR BS'!U6)</f>
        <v>-558.45837133779878</v>
      </c>
      <c r="Z22" s="4">
        <f>-('QTR BS'!W6-'QTR BS'!V6)</f>
        <v>1022.7040096641147</v>
      </c>
      <c r="AA22" s="4">
        <f>-('QTR BS'!X6-'QTR BS'!W6)</f>
        <v>-538.81340626498445</v>
      </c>
      <c r="AB22" s="4">
        <f>-('QTR BS'!Y6-'QTR BS'!X6)</f>
        <v>-135.74017786288641</v>
      </c>
      <c r="AC22" s="4">
        <f>-('QTR BS'!Z6-'QTR BS'!Y6)</f>
        <v>-605.95491455554566</v>
      </c>
      <c r="AD22" s="4">
        <f>-('QTR BS'!AA6-'QTR BS'!Z6)</f>
        <v>1109.684360728801</v>
      </c>
      <c r="AE22" s="4">
        <f>-('QTR BS'!AB6-'QTR BS'!AA6)</f>
        <v>-584.6391572079965</v>
      </c>
      <c r="AF22" s="4">
        <f>-('QTR BS'!AC6-'QTR BS'!AB6)</f>
        <v>-147.2847970415819</v>
      </c>
      <c r="AG22" s="4">
        <f>-('QTR BS'!AD6-'QTR BS'!AC6)</f>
        <v>-657.49100974962175</v>
      </c>
      <c r="AH22" s="4">
        <f>-('QTR BS'!AE6-'QTR BS'!AD6)</f>
        <v>1204.062337499307</v>
      </c>
      <c r="AI22" s="4">
        <f>-('QTR BS'!AF6-'QTR BS'!AE6)</f>
        <v>-634.36236026536562</v>
      </c>
      <c r="AJ22" s="4">
        <f>-('QTR BS'!AG6-'QTR BS'!AF6)</f>
        <v>-159.81127902670141</v>
      </c>
      <c r="AK22" s="4">
        <f>-('QTR BS'!AH6-'QTR BS'!AG6)</f>
        <v>-713.41021834711182</v>
      </c>
      <c r="AL22" s="4">
        <f>-('QTR BS'!AI6-'QTR BS'!AH6)</f>
        <v>1306.4671035213473</v>
      </c>
      <c r="AM22" s="4">
        <f>-('QTR BS'!AJ6-'QTR BS'!AI6)</f>
        <v>-688.31449135774892</v>
      </c>
      <c r="AN22" s="4">
        <f>-('QTR BS'!AK6-'QTR BS'!AJ6)</f>
        <v>-173.40313064993416</v>
      </c>
      <c r="AO22" s="4">
        <f>-('QTR BS'!AL6-'QTR BS'!AK6)</f>
        <v>-774.08532146452808</v>
      </c>
    </row>
    <row r="23" spans="1:41" x14ac:dyDescent="0.25">
      <c r="A23" s="3" t="s">
        <v>78</v>
      </c>
      <c r="B23" s="4">
        <f>'QTR CF'!B23</f>
        <v>-1238</v>
      </c>
      <c r="C23" s="4">
        <f>'QTR CF'!C23</f>
        <v>248</v>
      </c>
      <c r="D23" s="4">
        <f>'QTR CF'!D23</f>
        <v>1416</v>
      </c>
      <c r="E23" s="4">
        <f>'QTR CF'!E23</f>
        <v>1416</v>
      </c>
      <c r="F23" s="4">
        <f>'QTR CF'!F23</f>
        <v>-2259</v>
      </c>
      <c r="G23" s="4">
        <f>'QTR CF'!G23</f>
        <v>299</v>
      </c>
      <c r="H23" s="4">
        <f>'QTR CF'!H23</f>
        <v>1101</v>
      </c>
      <c r="I23" s="4">
        <f>'QTR CF'!I23</f>
        <v>1279</v>
      </c>
      <c r="J23" s="4">
        <f>'QTR CF'!J23</f>
        <v>-3408</v>
      </c>
      <c r="K23" s="4">
        <f>'QTR CF'!K23</f>
        <v>440</v>
      </c>
      <c r="L23" s="4">
        <f>'QTR CF'!L23</f>
        <v>656</v>
      </c>
      <c r="M23" s="4">
        <f>'QTR CF'!M23</f>
        <v>1151</v>
      </c>
      <c r="N23" s="4">
        <f>'QTR CF'!N23</f>
        <v>-2671</v>
      </c>
      <c r="O23" s="4">
        <f>'QTR CF'!O23</f>
        <v>588</v>
      </c>
      <c r="P23" s="4">
        <f>'QTR CF'!P23</f>
        <v>436</v>
      </c>
      <c r="Q23" s="4">
        <f>'QTR CF'!Q23</f>
        <v>970</v>
      </c>
      <c r="R23" s="4">
        <f>'QTR CF'!R23</f>
        <v>-1847</v>
      </c>
      <c r="S23" s="4">
        <f>('QTR BS'!P16-'QTR BS'!O16)</f>
        <v>6525.7593615715159</v>
      </c>
      <c r="T23" s="4">
        <f>('QTR BS'!Q16-'QTR BS'!P16)</f>
        <v>1643.9972096657148</v>
      </c>
      <c r="U23" s="4">
        <f>('QTR BS'!R16-'QTR BS'!Q16)</f>
        <v>7338.9338690775185</v>
      </c>
      <c r="V23" s="4">
        <f>('QTR BS'!S16-'QTR BS'!R16)</f>
        <v>-13439.779005524862</v>
      </c>
      <c r="W23" s="4">
        <f>('QTR BS'!T16-'QTR BS'!S16)</f>
        <v>7080.7712074912124</v>
      </c>
      <c r="X23" s="4">
        <f>('QTR BS'!U16-'QTR BS'!T16)</f>
        <v>1783.8181677286921</v>
      </c>
      <c r="Y23" s="4">
        <f>('QTR BS'!V16-'QTR BS'!U16)</f>
        <v>7963.1057099433092</v>
      </c>
      <c r="Z23" s="4">
        <f>('QTR BS'!W16-'QTR BS'!V16)</f>
        <v>-14582.823997121483</v>
      </c>
      <c r="AA23" s="4">
        <f>('QTR BS'!X16-'QTR BS'!W16)</f>
        <v>7682.9864717479613</v>
      </c>
      <c r="AB23" s="4">
        <f>('QTR BS'!Y16-'QTR BS'!X16)</f>
        <v>1935.5308128326869</v>
      </c>
      <c r="AC23" s="4">
        <f>('QTR BS'!Z16-'QTR BS'!Y16)</f>
        <v>8640.3629844538082</v>
      </c>
      <c r="AD23" s="4">
        <f>('QTR BS'!AA16-'QTR BS'!Z16)</f>
        <v>-15823.0842667578</v>
      </c>
      <c r="AE23" s="4">
        <f>('QTR BS'!AB16-'QTR BS'!AA16)</f>
        <v>8336.4197762260992</v>
      </c>
      <c r="AF23" s="4">
        <f>('QTR BS'!AC16-'QTR BS'!AB16)</f>
        <v>2100.1465256937372</v>
      </c>
      <c r="AG23" s="4">
        <f>('QTR BS'!AD16-'QTR BS'!AC16)</f>
        <v>9375.2205763008824</v>
      </c>
      <c r="AH23" s="4">
        <f>('QTR BS'!AE16-'QTR BS'!AD16)</f>
        <v>-17168.827914424466</v>
      </c>
      <c r="AI23" s="4">
        <f>('QTR BS'!AF16-'QTR BS'!AE16)</f>
        <v>9045.4271839479989</v>
      </c>
      <c r="AJ23" s="4">
        <f>('QTR BS'!AG16-'QTR BS'!AF16)</f>
        <v>2278.7627043397079</v>
      </c>
      <c r="AK23" s="4">
        <f>('QTR BS'!AH16-'QTR BS'!AG16)</f>
        <v>10172.577357275404</v>
      </c>
      <c r="AL23" s="4">
        <f>('QTR BS'!AI16-'QTR BS'!AH16)</f>
        <v>-18629.026236963829</v>
      </c>
      <c r="AM23" s="4">
        <f>('QTR BS'!AJ16-'QTR BS'!AI16)</f>
        <v>9814.7352384341139</v>
      </c>
      <c r="AN23" s="4">
        <f>('QTR BS'!AK16-'QTR BS'!AJ16)</f>
        <v>2472.5700798301841</v>
      </c>
      <c r="AO23" s="4">
        <f>('QTR BS'!AL16-'QTR BS'!AK16)</f>
        <v>11037.748845220463</v>
      </c>
    </row>
    <row r="24" spans="1:41" x14ac:dyDescent="0.25">
      <c r="A24" s="3" t="s">
        <v>79</v>
      </c>
      <c r="B24" s="4">
        <f>'QTR CF'!B24</f>
        <v>489</v>
      </c>
      <c r="C24" s="4">
        <f>'QTR CF'!C24</f>
        <v>119</v>
      </c>
      <c r="D24" s="4">
        <f>'QTR CF'!D24</f>
        <v>110</v>
      </c>
      <c r="E24" s="4">
        <f>'QTR CF'!E24</f>
        <v>-661</v>
      </c>
      <c r="F24" s="4">
        <f>'QTR CF'!F24</f>
        <v>290</v>
      </c>
      <c r="G24" s="4">
        <f>'QTR CF'!G24</f>
        <v>-190</v>
      </c>
      <c r="H24" s="4">
        <f>'QTR CF'!H24</f>
        <v>412</v>
      </c>
      <c r="I24" s="4">
        <f>'QTR CF'!I24</f>
        <v>-202</v>
      </c>
      <c r="J24" s="4">
        <f>'QTR CF'!J24</f>
        <v>222</v>
      </c>
      <c r="K24" s="4">
        <f>'QTR CF'!K24</f>
        <v>65</v>
      </c>
      <c r="L24" s="4">
        <f>'QTR CF'!L24</f>
        <v>139</v>
      </c>
      <c r="M24" s="4">
        <f>'QTR CF'!M24</f>
        <v>-549</v>
      </c>
      <c r="N24" s="4">
        <f>'QTR CF'!N24</f>
        <v>223</v>
      </c>
      <c r="O24" s="4">
        <f>'QTR CF'!O24</f>
        <v>192</v>
      </c>
      <c r="P24" s="4">
        <f>'QTR CF'!P24</f>
        <v>-409</v>
      </c>
      <c r="Q24" s="4">
        <f>'QTR CF'!Q24</f>
        <v>-439</v>
      </c>
      <c r="R24" s="4">
        <f>'QTR CF'!R24</f>
        <v>131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>
        <v>0</v>
      </c>
      <c r="AM24" s="15">
        <v>0</v>
      </c>
      <c r="AN24" s="15">
        <v>0</v>
      </c>
      <c r="AO24" s="15">
        <v>0</v>
      </c>
    </row>
    <row r="25" spans="1:41" x14ac:dyDescent="0.25">
      <c r="A25" s="3" t="s">
        <v>80</v>
      </c>
      <c r="B25" s="4">
        <f>'QTR CF'!B25</f>
        <v>-133</v>
      </c>
      <c r="C25" s="4">
        <f>'QTR CF'!C25</f>
        <v>-192</v>
      </c>
      <c r="D25" s="4">
        <f>'QTR CF'!D25</f>
        <v>-101</v>
      </c>
      <c r="E25" s="4">
        <f>'QTR CF'!E25</f>
        <v>67</v>
      </c>
      <c r="F25" s="4">
        <f>'QTR CF'!F25</f>
        <v>46</v>
      </c>
      <c r="G25" s="4">
        <f>'QTR CF'!G25</f>
        <v>-52</v>
      </c>
      <c r="H25" s="4">
        <f>'QTR CF'!H25</f>
        <v>78</v>
      </c>
      <c r="I25" s="4">
        <f>'QTR CF'!I25</f>
        <v>117</v>
      </c>
      <c r="J25" s="4">
        <f>'QTR CF'!J25</f>
        <v>-68</v>
      </c>
      <c r="K25" s="4">
        <f>'QTR CF'!K25</f>
        <v>-135</v>
      </c>
      <c r="L25" s="4">
        <f>'QTR CF'!L25</f>
        <v>68</v>
      </c>
      <c r="M25" s="4">
        <f>'QTR CF'!M25</f>
        <v>-172</v>
      </c>
      <c r="N25" s="4">
        <f>'QTR CF'!N25</f>
        <v>-232</v>
      </c>
      <c r="O25" s="4">
        <f>'QTR CF'!O25</f>
        <v>-37</v>
      </c>
      <c r="P25" s="4">
        <f>'QTR CF'!P25</f>
        <v>-172</v>
      </c>
      <c r="Q25" s="4">
        <f>'QTR CF'!Q25</f>
        <v>-271</v>
      </c>
      <c r="R25" s="4">
        <f>'QTR CF'!R25</f>
        <v>-157</v>
      </c>
      <c r="S25" s="4">
        <f>-('QTR BS'!P13-'QTR BS'!O13)+('QTR BS'!P20-'QTR BS'!O20)-('QTR BS'!P3-'QTR BS'!O3)-('QTR BS'!P9-'QTR BS'!O9)-('QTR BS'!P10-'QTR BS'!O10)-('QTR BS'!P11-'QTR BS'!O11)+('QTR BS'!P15-'QTR BS'!O15)+('QTR BS'!P18-'QTR BS'!O18)+('QTR BS'!P19-'QTR BS'!O19)+('QTR BS'!P22-'QTR BS'!O22)+('QTR BS'!P26-'QTR BS'!O26)+('QTR BS'!P27-'QTR BS'!O27)</f>
        <v>-283.2854511970545</v>
      </c>
      <c r="T25" s="4">
        <f>-('QTR BS'!Q13-'QTR BS'!P13)+('QTR BS'!Q20-'QTR BS'!P20)-('QTR BS'!Q3-'QTR BS'!P3)-('QTR BS'!Q9-'QTR BS'!P9)-('QTR BS'!Q10-'QTR BS'!P10)-('QTR BS'!Q11-'QTR BS'!P11)+('QTR BS'!Q15-'QTR BS'!P15)+('QTR BS'!Q18-'QTR BS'!P18)+('QTR BS'!Q19-'QTR BS'!P19)+('QTR BS'!Q22-'QTR BS'!P22)+('QTR BS'!Q26-'QTR BS'!P26)+('QTR BS'!Q27-'QTR BS'!P27)</f>
        <v>-71.366482504603482</v>
      </c>
      <c r="U25" s="4">
        <f>-('QTR BS'!R13-'QTR BS'!Q13)+('QTR BS'!R20-'QTR BS'!Q20)-('QTR BS'!R3-'QTR BS'!Q3)-('QTR BS'!R9-'QTR BS'!Q9)-('QTR BS'!R10-'QTR BS'!Q10)-('QTR BS'!R11-'QTR BS'!Q11)+('QTR BS'!R15-'QTR BS'!Q15)+('QTR BS'!R18-'QTR BS'!Q18)+('QTR BS'!R19-'QTR BS'!Q19)+('QTR BS'!R22-'QTR BS'!Q22)+('QTR BS'!R26-'QTR BS'!Q26)+('QTR BS'!R27-'QTR BS'!Q27)</f>
        <v>-318.58563535911708</v>
      </c>
      <c r="V25" s="4">
        <f>-('QTR BS'!S13-'QTR BS'!R13)+('QTR BS'!S20-'QTR BS'!R20)-('QTR BS'!S3-'QTR BS'!R3)-('QTR BS'!S9-'QTR BS'!R9)-('QTR BS'!S10-'QTR BS'!R10)-('QTR BS'!S11-'QTR BS'!R11)+('QTR BS'!S15-'QTR BS'!R15)+('QTR BS'!S18-'QTR BS'!R18)+('QTR BS'!S19-'QTR BS'!R19)+('QTR BS'!S22-'QTR BS'!R22)+('QTR BS'!S26-'QTR BS'!R26)+('QTR BS'!S27-'QTR BS'!R27)</f>
        <v>583.42541436464307</v>
      </c>
      <c r="W25" s="4">
        <f>-('QTR BS'!T13-'QTR BS'!S13)+('QTR BS'!T20-'QTR BS'!S20)-('QTR BS'!T3-'QTR BS'!S3)-('QTR BS'!T9-'QTR BS'!S9)-('QTR BS'!T10-'QTR BS'!S10)-('QTR BS'!T11-'QTR BS'!S11)+('QTR BS'!T15-'QTR BS'!S15)+('QTR BS'!T18-'QTR BS'!S18)+('QTR BS'!T19-'QTR BS'!S19)+('QTR BS'!T22-'QTR BS'!S22)+('QTR BS'!T26-'QTR BS'!S26)+('QTR BS'!T27-'QTR BS'!S27)</f>
        <v>-307.37870571038184</v>
      </c>
      <c r="X25" s="4">
        <f>-('QTR BS'!U13-'QTR BS'!T13)+('QTR BS'!U20-'QTR BS'!T20)-('QTR BS'!U3-'QTR BS'!T3)-('QTR BS'!U9-'QTR BS'!T9)-('QTR BS'!U10-'QTR BS'!T10)-('QTR BS'!U11-'QTR BS'!T11)+('QTR BS'!U15-'QTR BS'!T15)+('QTR BS'!U18-'QTR BS'!T18)+('QTR BS'!U19-'QTR BS'!T19)+('QTR BS'!U22-'QTR BS'!T22)+('QTR BS'!U26-'QTR BS'!T26)+('QTR BS'!U27-'QTR BS'!T27)</f>
        <v>-77.436158230761066</v>
      </c>
      <c r="Y25" s="4">
        <f>-('QTR BS'!V13-'QTR BS'!U13)+('QTR BS'!V20-'QTR BS'!U20)-('QTR BS'!V3-'QTR BS'!U3)-('QTR BS'!V9-'QTR BS'!U9)-('QTR BS'!V10-'QTR BS'!U10)-('QTR BS'!V11-'QTR BS'!U11)+('QTR BS'!V15-'QTR BS'!U15)+('QTR BS'!V18-'QTR BS'!U18)+('QTR BS'!V19-'QTR BS'!U19)+('QTR BS'!V22-'QTR BS'!U22)+('QTR BS'!V26-'QTR BS'!U26)+('QTR BS'!V27-'QTR BS'!U27)</f>
        <v>-345.68114896407678</v>
      </c>
      <c r="Z25" s="4">
        <f>-('QTR BS'!W13-'QTR BS'!V13)+('QTR BS'!W20-'QTR BS'!V20)-('QTR BS'!W3-'QTR BS'!V3)-('QTR BS'!W9-'QTR BS'!V9)-('QTR BS'!W10-'QTR BS'!V10)-('QTR BS'!W11-'QTR BS'!V11)+('QTR BS'!W15-'QTR BS'!V15)+('QTR BS'!W18-'QTR BS'!V18)+('QTR BS'!W19-'QTR BS'!V19)+('QTR BS'!W22-'QTR BS'!V22)+('QTR BS'!W26-'QTR BS'!V26)+('QTR BS'!W27-'QTR BS'!V27)</f>
        <v>633.04538933488038</v>
      </c>
      <c r="AA25" s="4">
        <f>-('QTR BS'!X13-'QTR BS'!W13)+('QTR BS'!X20-'QTR BS'!W20)-('QTR BS'!X3-'QTR BS'!W3)-('QTR BS'!X9-'QTR BS'!W9)-('QTR BS'!X10-'QTR BS'!W10)-('QTR BS'!X11-'QTR BS'!W11)+('QTR BS'!X15-'QTR BS'!W15)+('QTR BS'!X18-'QTR BS'!W18)+('QTR BS'!X19-'QTR BS'!W19)+('QTR BS'!X22-'QTR BS'!W22)+('QTR BS'!X26-'QTR BS'!W26)+('QTR BS'!X27-'QTR BS'!W27)</f>
        <v>-333.52107679708388</v>
      </c>
      <c r="AB25" s="4">
        <f>-('QTR BS'!Y13-'QTR BS'!X13)+('QTR BS'!Y20-'QTR BS'!X20)-('QTR BS'!Y3-'QTR BS'!X3)-('QTR BS'!Y9-'QTR BS'!X9)-('QTR BS'!Y10-'QTR BS'!X10)-('QTR BS'!Y11-'QTR BS'!X11)+('QTR BS'!Y15-'QTR BS'!X15)+('QTR BS'!Y18-'QTR BS'!X18)+('QTR BS'!Y19-'QTR BS'!X19)+('QTR BS'!Y22-'QTR BS'!X22)+('QTR BS'!Y26-'QTR BS'!X26)+('QTR BS'!Y27-'QTR BS'!X27)</f>
        <v>-84.0220561683509</v>
      </c>
      <c r="AC25" s="4">
        <f>-('QTR BS'!Z13-'QTR BS'!Y13)+('QTR BS'!Z20-'QTR BS'!Y20)-('QTR BS'!Z3-'QTR BS'!Y3)-('QTR BS'!Z9-'QTR BS'!Y9)-('QTR BS'!Z10-'QTR BS'!Y10)-('QTR BS'!Z11-'QTR BS'!Y11)+('QTR BS'!Z15-'QTR BS'!Y15)+('QTR BS'!Z18-'QTR BS'!Y18)+('QTR BS'!Z19-'QTR BS'!Y19)+('QTR BS'!Z22-'QTR BS'!Y22)+('QTR BS'!Z26-'QTR BS'!Y26)+('QTR BS'!Z27-'QTR BS'!Y27)</f>
        <v>-375.08111944352822</v>
      </c>
      <c r="AD25" s="4">
        <f>-('QTR BS'!AA13-'QTR BS'!Z13)+('QTR BS'!AA20-'QTR BS'!Z20)-('QTR BS'!AA3-'QTR BS'!Z3)-('QTR BS'!AA9-'QTR BS'!Z9)-('QTR BS'!AA10-'QTR BS'!Z10)-('QTR BS'!AA11-'QTR BS'!Z11)+('QTR BS'!AA15-'QTR BS'!Z15)+('QTR BS'!AA18-'QTR BS'!Z18)+('QTR BS'!AA19-'QTR BS'!Z19)+('QTR BS'!AA22-'QTR BS'!Z22)+('QTR BS'!AA26-'QTR BS'!Z26)+('QTR BS'!AA27-'QTR BS'!Z27)</f>
        <v>686.88551285440553</v>
      </c>
      <c r="AE25" s="4">
        <f>-('QTR BS'!AB13-'QTR BS'!AA13)+('QTR BS'!AB20-'QTR BS'!AA20)-('QTR BS'!AB3-'QTR BS'!AA3)-('QTR BS'!AB9-'QTR BS'!AA9)-('QTR BS'!AB10-'QTR BS'!AA10)-('QTR BS'!AB11-'QTR BS'!AA11)+('QTR BS'!AB15-'QTR BS'!AA15)+('QTR BS'!AB18-'QTR BS'!AA18)+('QTR BS'!AB19-'QTR BS'!AA19)+('QTR BS'!AB22-'QTR BS'!AA22)+('QTR BS'!AB26-'QTR BS'!AA26)+('QTR BS'!AB27-'QTR BS'!AA27)</f>
        <v>-361.8868405695448</v>
      </c>
      <c r="AF25" s="4">
        <f>-('QTR BS'!AC13-'QTR BS'!AB13)+('QTR BS'!AC20-'QTR BS'!AB20)-('QTR BS'!AC3-'QTR BS'!AB3)-('QTR BS'!AC9-'QTR BS'!AB9)-('QTR BS'!AC10-'QTR BS'!AB10)-('QTR BS'!AC11-'QTR BS'!AB11)+('QTR BS'!AC15-'QTR BS'!AB15)+('QTR BS'!AC18-'QTR BS'!AB18)+('QTR BS'!AC19-'QTR BS'!AB19)+('QTR BS'!AC22-'QTR BS'!AB22)+('QTR BS'!AC26-'QTR BS'!AB26)+('QTR BS'!AC27-'QTR BS'!AB27)</f>
        <v>-91.168080701003419</v>
      </c>
      <c r="AG25" s="4">
        <f>-('QTR BS'!AD13-'QTR BS'!AC13)+('QTR BS'!AD20-'QTR BS'!AC20)-('QTR BS'!AD3-'QTR BS'!AC3)-('QTR BS'!AD9-'QTR BS'!AC9)-('QTR BS'!AD10-'QTR BS'!AC10)-('QTR BS'!AD11-'QTR BS'!AC11)+('QTR BS'!AD15-'QTR BS'!AC15)+('QTR BS'!AD18-'QTR BS'!AC18)+('QTR BS'!AD19-'QTR BS'!AC19)+('QTR BS'!AD22-'QTR BS'!AC22)+('QTR BS'!AD26-'QTR BS'!AC26)+('QTR BS'!AD27-'QTR BS'!AC27)</f>
        <v>-406.98153944642581</v>
      </c>
      <c r="AH25" s="4">
        <f>-('QTR BS'!AE13-'QTR BS'!AD13)+('QTR BS'!AE20-'QTR BS'!AD20)-('QTR BS'!AE3-'QTR BS'!AD3)-('QTR BS'!AE9-'QTR BS'!AD9)-('QTR BS'!AE10-'QTR BS'!AD10)-('QTR BS'!AE11-'QTR BS'!AD11)+('QTR BS'!AE15-'QTR BS'!AD15)+('QTR BS'!AE18-'QTR BS'!AD18)+('QTR BS'!AE19-'QTR BS'!AD19)+('QTR BS'!AE22-'QTR BS'!AD22)+('QTR BS'!AE26-'QTR BS'!AD26)+('QTR BS'!AE27-'QTR BS'!AD27)</f>
        <v>745.30470597846943</v>
      </c>
      <c r="AI25" s="4">
        <f>-('QTR BS'!AF13-'QTR BS'!AE13)+('QTR BS'!AF20-'QTR BS'!AE20)-('QTR BS'!AF3-'QTR BS'!AE3)-('QTR BS'!AF9-'QTR BS'!AE9)-('QTR BS'!AF10-'QTR BS'!AE10)-('QTR BS'!AF11-'QTR BS'!AE11)+('QTR BS'!AF15-'QTR BS'!AE15)+('QTR BS'!AF18-'QTR BS'!AE18)+('QTR BS'!AF19-'QTR BS'!AE19)+('QTR BS'!AF22-'QTR BS'!AE22)+('QTR BS'!AF26-'QTR BS'!AE26)+('QTR BS'!AF27-'QTR BS'!AE27)</f>
        <v>-392.665095217013</v>
      </c>
      <c r="AJ25" s="4">
        <f>-('QTR BS'!AG13-'QTR BS'!AF13)+('QTR BS'!AG20-'QTR BS'!AF20)-('QTR BS'!AG3-'QTR BS'!AF3)-('QTR BS'!AG9-'QTR BS'!AF9)-('QTR BS'!AG10-'QTR BS'!AF10)-('QTR BS'!AG11-'QTR BS'!AF11)+('QTR BS'!AG15-'QTR BS'!AF15)+('QTR BS'!AG18-'QTR BS'!AF18)+('QTR BS'!AG19-'QTR BS'!AF19)+('QTR BS'!AG22-'QTR BS'!AF22)+('QTR BS'!AG26-'QTR BS'!AF26)+('QTR BS'!AG27-'QTR BS'!AF27)</f>
        <v>-98.921870253338057</v>
      </c>
      <c r="AK25" s="4">
        <f>-('QTR BS'!AH13-'QTR BS'!AG13)+('QTR BS'!AH20-'QTR BS'!AG20)-('QTR BS'!AH3-'QTR BS'!AG3)-('QTR BS'!AH9-'QTR BS'!AG9)-('QTR BS'!AH10-'QTR BS'!AG10)-('QTR BS'!AH11-'QTR BS'!AG11)+('QTR BS'!AH15-'QTR BS'!AG15)+('QTR BS'!AH18-'QTR BS'!AG18)+('QTR BS'!AH19-'QTR BS'!AG19)+('QTR BS'!AH22-'QTR BS'!AG22)+('QTR BS'!AH26-'QTR BS'!AG26)+('QTR BS'!AH27-'QTR BS'!AG27)</f>
        <v>-441.5950706767635</v>
      </c>
      <c r="AL25" s="4">
        <f>-('QTR BS'!AI13-'QTR BS'!AH13)+('QTR BS'!AI20-'QTR BS'!AH20)-('QTR BS'!AI3-'QTR BS'!AH3)-('QTR BS'!AI9-'QTR BS'!AH9)-('QTR BS'!AI10-'QTR BS'!AH10)-('QTR BS'!AI11-'QTR BS'!AH11)+('QTR BS'!AI15-'QTR BS'!AH15)+('QTR BS'!AI18-'QTR BS'!AH18)+('QTR BS'!AI19-'QTR BS'!AH19)+('QTR BS'!AI22-'QTR BS'!AH22)+('QTR BS'!AI26-'QTR BS'!AH26)+('QTR BS'!AI27-'QTR BS'!AH27)</f>
        <v>808.69241577875073</v>
      </c>
      <c r="AM25" s="4">
        <f>-('QTR BS'!AJ13-'QTR BS'!AI13)+('QTR BS'!AJ20-'QTR BS'!AI20)-('QTR BS'!AJ3-'QTR BS'!AI3)-('QTR BS'!AJ9-'QTR BS'!AI9)-('QTR BS'!AJ10-'QTR BS'!AI10)-('QTR BS'!AJ11-'QTR BS'!AI11)+('QTR BS'!AJ15-'QTR BS'!AI15)+('QTR BS'!AJ18-'QTR BS'!AI18)+('QTR BS'!AJ19-'QTR BS'!AI19)+('QTR BS'!AJ22-'QTR BS'!AI22)+('QTR BS'!AJ26-'QTR BS'!AI26)+('QTR BS'!AJ27-'QTR BS'!AI27)</f>
        <v>-426.06102161417584</v>
      </c>
      <c r="AN25" s="4">
        <f>-('QTR BS'!AK13-'QTR BS'!AJ13)+('QTR BS'!AK20-'QTR BS'!AJ20)-('QTR BS'!AK3-'QTR BS'!AJ3)-('QTR BS'!AK9-'QTR BS'!AJ9)-('QTR BS'!AK10-'QTR BS'!AJ10)-('QTR BS'!AK11-'QTR BS'!AJ11)+('QTR BS'!AK15-'QTR BS'!AJ15)+('QTR BS'!AK18-'QTR BS'!AJ18)+('QTR BS'!AK19-'QTR BS'!AJ19)+('QTR BS'!AK22-'QTR BS'!AJ22)+('QTR BS'!AK26-'QTR BS'!AJ26)+('QTR BS'!AK27-'QTR BS'!AJ27)</f>
        <v>-107.33511486889256</v>
      </c>
      <c r="AO25" s="4">
        <f>-('QTR BS'!AL13-'QTR BS'!AK13)+('QTR BS'!AL20-'QTR BS'!AK20)-('QTR BS'!AL3-'QTR BS'!AK3)-('QTR BS'!AL9-'QTR BS'!AK9)-('QTR BS'!AL10-'QTR BS'!AK10)-('QTR BS'!AL11-'QTR BS'!AK11)+('QTR BS'!AL15-'QTR BS'!AK15)+('QTR BS'!AL18-'QTR BS'!AK18)+('QTR BS'!AL19-'QTR BS'!AK19)+('QTR BS'!AL22-'QTR BS'!AK22)+('QTR BS'!AL26-'QTR BS'!AK26)+('QTR BS'!AL27-'QTR BS'!AK27)</f>
        <v>-479.1524615864837</v>
      </c>
    </row>
    <row r="26" spans="1:41" x14ac:dyDescent="0.25">
      <c r="A26" s="3" t="s">
        <v>160</v>
      </c>
      <c r="B26" s="13">
        <f>IFERROR('QTR CF'!B27/'QTR P&amp;L'!B2,"")</f>
        <v>-3.2222222222222222E-2</v>
      </c>
      <c r="C26" s="13">
        <f>IFERROR('QTR CF'!C27/'QTR P&amp;L'!C2,"")</f>
        <v>-4.8306551297898639E-2</v>
      </c>
      <c r="D26" s="13">
        <f>IFERROR('QTR CF'!D27/'QTR P&amp;L'!D2,"")</f>
        <v>-4.8108870784215559E-2</v>
      </c>
      <c r="E26" s="13">
        <f>IFERROR('QTR CF'!E27/'QTR P&amp;L'!E2,"")</f>
        <v>-9.4692098871267325E-2</v>
      </c>
      <c r="F26" s="13">
        <f>IFERROR('QTR CF'!F27/'QTR P&amp;L'!F2,"")</f>
        <v>-3.2556315140647767E-2</v>
      </c>
      <c r="G26" s="13">
        <f>IFERROR('QTR CF'!G27/'QTR P&amp;L'!G2,"")</f>
        <v>-4.1752531135202942E-2</v>
      </c>
      <c r="H26" s="13">
        <f>IFERROR('QTR CF'!H27/'QTR P&amp;L'!H2,"")</f>
        <v>-4.3661791668443271E-2</v>
      </c>
      <c r="I26" s="13">
        <f>IFERROR('QTR CF'!I27/'QTR P&amp;L'!I2,"")</f>
        <v>-0.10703770197486535</v>
      </c>
      <c r="J26" s="13">
        <f>IFERROR('QTR CF'!J27/'QTR P&amp;L'!J2,"")</f>
        <v>-3.3643835616438356E-2</v>
      </c>
      <c r="K26" s="13">
        <f>IFERROR('QTR CF'!K27/'QTR P&amp;L'!K2,"")</f>
        <v>-4.8308964046042395E-2</v>
      </c>
      <c r="L26" s="13">
        <f>IFERROR('QTR CF'!L27/'QTR P&amp;L'!L2,"")</f>
        <v>-4.9273124919593465E-2</v>
      </c>
      <c r="M26" s="13">
        <f>IFERROR('QTR CF'!M27/'QTR P&amp;L'!M2,"")</f>
        <v>-8.8828102505038878E-2</v>
      </c>
      <c r="N26" s="13">
        <f>IFERROR('QTR CF'!N27/'QTR P&amp;L'!N2,"")</f>
        <v>-3.365143144148669E-2</v>
      </c>
      <c r="O26" s="13">
        <f>IFERROR('QTR CF'!O27/'QTR P&amp;L'!O2,"")</f>
        <v>-3.9778227580744521E-2</v>
      </c>
      <c r="P26" s="13">
        <f>IFERROR('QTR CF'!P27/'QTR P&amp;L'!P2,"")</f>
        <v>-4.1442118895433845E-2</v>
      </c>
      <c r="Q26" s="13">
        <f>IFERROR('QTR CF'!Q27/'QTR P&amp;L'!Q2,"")</f>
        <v>-6.5296663599495625E-2</v>
      </c>
      <c r="R26" s="13">
        <f>IFERROR('QTR CF'!R27/'QTR P&amp;L'!R2,"")</f>
        <v>-2.2990279277889214E-2</v>
      </c>
      <c r="S26" s="14">
        <f t="shared" ref="S26:AO26" si="3">R26</f>
        <v>-2.2990279277889214E-2</v>
      </c>
      <c r="T26" s="14">
        <f t="shared" si="3"/>
        <v>-2.2990279277889214E-2</v>
      </c>
      <c r="U26" s="14">
        <f t="shared" si="3"/>
        <v>-2.2990279277889214E-2</v>
      </c>
      <c r="V26" s="14">
        <f t="shared" si="3"/>
        <v>-2.2990279277889214E-2</v>
      </c>
      <c r="W26" s="14">
        <f t="shared" si="3"/>
        <v>-2.2990279277889214E-2</v>
      </c>
      <c r="X26" s="14">
        <f t="shared" si="3"/>
        <v>-2.2990279277889214E-2</v>
      </c>
      <c r="Y26" s="14">
        <f t="shared" si="3"/>
        <v>-2.2990279277889214E-2</v>
      </c>
      <c r="Z26" s="14">
        <f t="shared" si="3"/>
        <v>-2.2990279277889214E-2</v>
      </c>
      <c r="AA26" s="14">
        <f t="shared" si="3"/>
        <v>-2.2990279277889214E-2</v>
      </c>
      <c r="AB26" s="14">
        <f t="shared" si="3"/>
        <v>-2.2990279277889214E-2</v>
      </c>
      <c r="AC26" s="14">
        <f t="shared" si="3"/>
        <v>-2.2990279277889214E-2</v>
      </c>
      <c r="AD26" s="14">
        <f t="shared" si="3"/>
        <v>-2.2990279277889214E-2</v>
      </c>
      <c r="AE26" s="14">
        <f t="shared" si="3"/>
        <v>-2.2990279277889214E-2</v>
      </c>
      <c r="AF26" s="14">
        <f t="shared" si="3"/>
        <v>-2.2990279277889214E-2</v>
      </c>
      <c r="AG26" s="14">
        <f t="shared" si="3"/>
        <v>-2.2990279277889214E-2</v>
      </c>
      <c r="AH26" s="14">
        <f t="shared" si="3"/>
        <v>-2.2990279277889214E-2</v>
      </c>
      <c r="AI26" s="14">
        <f t="shared" si="3"/>
        <v>-2.2990279277889214E-2</v>
      </c>
      <c r="AJ26" s="14">
        <f t="shared" si="3"/>
        <v>-2.2990279277889214E-2</v>
      </c>
      <c r="AK26" s="14">
        <f t="shared" si="3"/>
        <v>-2.2990279277889214E-2</v>
      </c>
      <c r="AL26" s="14">
        <f t="shared" si="3"/>
        <v>-2.2990279277889214E-2</v>
      </c>
      <c r="AM26" s="14">
        <f t="shared" si="3"/>
        <v>-2.2990279277889214E-2</v>
      </c>
      <c r="AN26" s="14">
        <f t="shared" si="3"/>
        <v>-2.2990279277889214E-2</v>
      </c>
      <c r="AO26" s="14">
        <f t="shared" si="3"/>
        <v>-2.2990279277889214E-2</v>
      </c>
    </row>
    <row r="27" spans="1:41" x14ac:dyDescent="0.25">
      <c r="A27" s="3" t="s">
        <v>83</v>
      </c>
      <c r="B27" s="4">
        <f>'QTR CF'!B28</f>
        <v>3</v>
      </c>
      <c r="C27" s="4">
        <f>'QTR CF'!C28</f>
        <v>219</v>
      </c>
      <c r="D27" s="4">
        <f>'QTR CF'!D28</f>
        <v>6</v>
      </c>
      <c r="E27" s="4">
        <f>'QTR CF'!E28</f>
        <v>23</v>
      </c>
      <c r="F27" s="4">
        <f>'QTR CF'!F28</f>
        <v>19</v>
      </c>
      <c r="G27" s="4">
        <f>'QTR CF'!G28</f>
        <v>103</v>
      </c>
      <c r="H27" s="4">
        <f>'QTR CF'!H28</f>
        <v>9</v>
      </c>
      <c r="I27" s="4">
        <f>'QTR CF'!I28</f>
        <v>67</v>
      </c>
      <c r="J27" s="4">
        <f>'QTR CF'!J28</f>
        <v>7</v>
      </c>
      <c r="K27" s="4">
        <f>'QTR CF'!K28</f>
        <v>120</v>
      </c>
      <c r="L27" s="4">
        <f>'QTR CF'!L28</f>
        <v>50</v>
      </c>
      <c r="M27" s="4">
        <f>'QTR CF'!M28</f>
        <v>165</v>
      </c>
      <c r="N27" s="4">
        <f>'QTR CF'!N28</f>
        <v>132</v>
      </c>
      <c r="O27" s="4">
        <f>'QTR CF'!O28</f>
        <v>37</v>
      </c>
      <c r="P27" s="4">
        <f>'QTR CF'!P28</f>
        <v>103</v>
      </c>
      <c r="Q27" s="4">
        <f>'QTR CF'!Q28</f>
        <v>256</v>
      </c>
      <c r="R27" s="4">
        <f>'QTR CF'!R28</f>
        <v>13</v>
      </c>
      <c r="S27" s="15">
        <v>0</v>
      </c>
      <c r="T27" s="15">
        <v>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>
        <v>0</v>
      </c>
      <c r="AM27" s="15">
        <v>0</v>
      </c>
      <c r="AN27" s="15">
        <v>0</v>
      </c>
      <c r="AO27" s="15">
        <v>0</v>
      </c>
    </row>
    <row r="28" spans="1:41" x14ac:dyDescent="0.25">
      <c r="A28" s="3" t="s">
        <v>84</v>
      </c>
      <c r="B28" s="4">
        <f>'QTR CF'!B29</f>
        <v>-13</v>
      </c>
      <c r="C28" s="4">
        <f>'QTR CF'!C29</f>
        <v>-16</v>
      </c>
      <c r="D28" s="4">
        <f>'QTR CF'!D29</f>
        <v>-775</v>
      </c>
      <c r="E28" s="4">
        <f>'QTR CF'!E29</f>
        <v>-69</v>
      </c>
      <c r="F28" s="4">
        <f>'QTR CF'!F29</f>
        <v>-16</v>
      </c>
      <c r="G28" s="4">
        <f>'QTR CF'!G29</f>
        <v>-67</v>
      </c>
      <c r="H28" s="4">
        <f>'QTR CF'!H29</f>
        <v>-49</v>
      </c>
      <c r="I28" s="4">
        <f>'QTR CF'!I29</f>
        <v>-182</v>
      </c>
      <c r="J28" s="4">
        <f>'QTR CF'!J29</f>
        <v>-6</v>
      </c>
      <c r="K28" s="4">
        <f>'QTR CF'!K29</f>
        <v>-24</v>
      </c>
      <c r="L28" s="4">
        <f>'QTR CF'!L29</f>
        <v>-1</v>
      </c>
      <c r="M28" s="4">
        <f>'QTR CF'!M29</f>
        <v>-225</v>
      </c>
      <c r="N28" s="4">
        <f>'QTR CF'!N29</f>
        <v>-1200</v>
      </c>
      <c r="O28" s="4">
        <f>'QTR CF'!O29</f>
        <v>-1930</v>
      </c>
      <c r="P28" s="4">
        <f>'QTR CF'!P29</f>
        <v>-46</v>
      </c>
      <c r="Q28" s="4">
        <f>'QTR CF'!Q29</f>
        <v>-215</v>
      </c>
      <c r="R28" s="4">
        <f>'QTR CF'!R29</f>
        <v>-67</v>
      </c>
      <c r="S28" s="15">
        <v>0</v>
      </c>
      <c r="T28" s="15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>
        <v>0</v>
      </c>
      <c r="AM28" s="15">
        <v>0</v>
      </c>
      <c r="AN28" s="15">
        <v>0</v>
      </c>
      <c r="AO28" s="15">
        <v>0</v>
      </c>
    </row>
    <row r="29" spans="1:41" x14ac:dyDescent="0.25">
      <c r="A29" s="3" t="s">
        <v>85</v>
      </c>
      <c r="B29" s="4">
        <f>'QTR CF'!B30</f>
        <v>3456</v>
      </c>
      <c r="C29" s="4">
        <f>'QTR CF'!C30</f>
        <v>0</v>
      </c>
      <c r="D29" s="4">
        <f>'QTR CF'!D30</f>
        <v>0</v>
      </c>
      <c r="E29" s="4">
        <f>'QTR CF'!E30</f>
        <v>0</v>
      </c>
      <c r="F29" s="4">
        <f>'QTR CF'!F30</f>
        <v>0</v>
      </c>
      <c r="G29" s="4">
        <f>'QTR CF'!G30</f>
        <v>0</v>
      </c>
      <c r="H29" s="4">
        <f>'QTR CF'!H30</f>
        <v>0</v>
      </c>
      <c r="I29" s="4">
        <f>'QTR CF'!I30</f>
        <v>0</v>
      </c>
      <c r="J29" s="4">
        <f>'QTR CF'!J30</f>
        <v>0</v>
      </c>
      <c r="K29" s="4">
        <f>'QTR CF'!K30</f>
        <v>0</v>
      </c>
      <c r="L29" s="4">
        <f>'QTR CF'!L30</f>
        <v>0</v>
      </c>
      <c r="M29" s="4">
        <f>'QTR CF'!M30</f>
        <v>0</v>
      </c>
      <c r="N29" s="4">
        <f>'QTR CF'!N30</f>
        <v>0</v>
      </c>
      <c r="O29" s="4">
        <f>'QTR CF'!O30</f>
        <v>0</v>
      </c>
      <c r="P29" s="4">
        <f>'QTR CF'!P30</f>
        <v>0</v>
      </c>
      <c r="Q29" s="4">
        <f>'QTR CF'!Q30</f>
        <v>0</v>
      </c>
      <c r="R29" s="4">
        <f>'QTR CF'!R30</f>
        <v>0</v>
      </c>
      <c r="S29" s="15">
        <v>0</v>
      </c>
      <c r="T29" s="15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>
        <v>0</v>
      </c>
      <c r="AM29" s="15">
        <v>0</v>
      </c>
      <c r="AN29" s="15">
        <v>0</v>
      </c>
      <c r="AO29" s="15">
        <v>0</v>
      </c>
    </row>
    <row r="30" spans="1:41" x14ac:dyDescent="0.25">
      <c r="A30" s="3" t="s">
        <v>86</v>
      </c>
      <c r="B30" s="4">
        <f>'QTR CF'!B31</f>
        <v>5</v>
      </c>
      <c r="C30" s="4">
        <f>'QTR CF'!C31</f>
        <v>10</v>
      </c>
      <c r="D30" s="4">
        <f>'QTR CF'!D31</f>
        <v>0</v>
      </c>
      <c r="E30" s="4">
        <f>'QTR CF'!E31</f>
        <v>34</v>
      </c>
      <c r="F30" s="4">
        <f>'QTR CF'!F31</f>
        <v>85</v>
      </c>
      <c r="G30" s="4">
        <f>'QTR CF'!G31</f>
        <v>-10</v>
      </c>
      <c r="H30" s="4">
        <f>'QTR CF'!H31</f>
        <v>0</v>
      </c>
      <c r="I30" s="4">
        <f>'QTR CF'!I31</f>
        <v>0</v>
      </c>
      <c r="J30" s="4">
        <f>'QTR CF'!J31</f>
        <v>53</v>
      </c>
      <c r="K30" s="4">
        <f>'QTR CF'!K31</f>
        <v>82</v>
      </c>
      <c r="L30" s="4">
        <f>'QTR CF'!L31</f>
        <v>10</v>
      </c>
      <c r="M30" s="4">
        <f>'QTR CF'!M31</f>
        <v>21</v>
      </c>
      <c r="N30" s="4">
        <f>'QTR CF'!N31</f>
        <v>2</v>
      </c>
      <c r="O30" s="4">
        <f>'QTR CF'!O31</f>
        <v>3</v>
      </c>
      <c r="P30" s="4">
        <f>'QTR CF'!P31</f>
        <v>0</v>
      </c>
      <c r="Q30" s="4">
        <f>'QTR CF'!Q31</f>
        <v>34</v>
      </c>
      <c r="R30" s="4">
        <f>'QTR CF'!R31</f>
        <v>0</v>
      </c>
      <c r="S30" s="15">
        <v>0</v>
      </c>
      <c r="T30" s="15">
        <v>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>
        <v>0</v>
      </c>
      <c r="AM30" s="15">
        <v>0</v>
      </c>
      <c r="AN30" s="15">
        <v>0</v>
      </c>
      <c r="AO30" s="15">
        <v>0</v>
      </c>
    </row>
    <row r="31" spans="1:41" x14ac:dyDescent="0.25">
      <c r="A31" s="3" t="s">
        <v>87</v>
      </c>
      <c r="B31" s="4">
        <f>'QTR CF'!B32</f>
        <v>22</v>
      </c>
      <c r="C31" s="4">
        <f>'QTR CF'!C32</f>
        <v>-14</v>
      </c>
      <c r="D31" s="4">
        <f>'QTR CF'!D32</f>
        <v>-45</v>
      </c>
      <c r="E31" s="4">
        <f>'QTR CF'!E32</f>
        <v>-80</v>
      </c>
      <c r="F31" s="4">
        <f>'QTR CF'!F32</f>
        <v>-39</v>
      </c>
      <c r="G31" s="4">
        <f>'QTR CF'!G32</f>
        <v>-17</v>
      </c>
      <c r="H31" s="4">
        <f>'QTR CF'!H32</f>
        <v>91</v>
      </c>
      <c r="I31" s="4">
        <f>'QTR CF'!I32</f>
        <v>-19</v>
      </c>
      <c r="J31" s="4">
        <f>'QTR CF'!J32</f>
        <v>8</v>
      </c>
      <c r="K31" s="4">
        <f>'QTR CF'!K32</f>
        <v>-7</v>
      </c>
      <c r="L31" s="4">
        <f>'QTR CF'!L32</f>
        <v>-422</v>
      </c>
      <c r="M31" s="4">
        <f>'QTR CF'!M32</f>
        <v>1</v>
      </c>
      <c r="N31" s="4">
        <f>'QTR CF'!N32</f>
        <v>441</v>
      </c>
      <c r="O31" s="4">
        <f>'QTR CF'!O32</f>
        <v>6</v>
      </c>
      <c r="P31" s="4">
        <f>'QTR CF'!P32</f>
        <v>-169</v>
      </c>
      <c r="Q31" s="4">
        <f>'QTR CF'!Q32</f>
        <v>182</v>
      </c>
      <c r="R31" s="4">
        <f>'QTR CF'!R32</f>
        <v>5</v>
      </c>
      <c r="S31" s="15">
        <v>0</v>
      </c>
      <c r="T31" s="15">
        <v>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>
        <v>0</v>
      </c>
      <c r="AM31" s="15">
        <v>0</v>
      </c>
      <c r="AN31" s="15">
        <v>0</v>
      </c>
      <c r="AO31" s="15">
        <v>0</v>
      </c>
    </row>
    <row r="32" spans="1:41" x14ac:dyDescent="0.25">
      <c r="A32" s="3" t="s">
        <v>88</v>
      </c>
      <c r="B32" s="4">
        <f>'QTR CF'!B33</f>
        <v>4</v>
      </c>
      <c r="C32" s="4">
        <f>'QTR CF'!C33</f>
        <v>-5</v>
      </c>
      <c r="D32" s="4">
        <f>'QTR CF'!D33</f>
        <v>8</v>
      </c>
      <c r="E32" s="4">
        <f>'QTR CF'!E33</f>
        <v>4</v>
      </c>
      <c r="F32" s="4">
        <f>'QTR CF'!F33</f>
        <v>0</v>
      </c>
      <c r="G32" s="4">
        <f>'QTR CF'!G33</f>
        <v>32</v>
      </c>
      <c r="H32" s="4">
        <f>'QTR CF'!H33</f>
        <v>17</v>
      </c>
      <c r="I32" s="4">
        <f>'QTR CF'!I33</f>
        <v>-1</v>
      </c>
      <c r="J32" s="4">
        <f>'QTR CF'!J33</f>
        <v>-10</v>
      </c>
      <c r="K32" s="4">
        <f>'QTR CF'!K33</f>
        <v>24</v>
      </c>
      <c r="L32" s="4">
        <f>'QTR CF'!L33</f>
        <v>1</v>
      </c>
      <c r="M32" s="4">
        <f>'QTR CF'!M33</f>
        <v>-1</v>
      </c>
      <c r="N32" s="4">
        <f>'QTR CF'!N33</f>
        <v>-4</v>
      </c>
      <c r="O32" s="4">
        <f>'QTR CF'!O33</f>
        <v>-107</v>
      </c>
      <c r="P32" s="4">
        <f>'QTR CF'!P33</f>
        <v>-6</v>
      </c>
      <c r="Q32" s="4">
        <f>'QTR CF'!Q33</f>
        <v>17</v>
      </c>
      <c r="R32" s="4">
        <f>'QTR CF'!R33</f>
        <v>19</v>
      </c>
      <c r="S32" s="15">
        <v>0</v>
      </c>
      <c r="T32" s="15">
        <v>0</v>
      </c>
      <c r="U32" s="15">
        <v>0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>
        <v>0</v>
      </c>
      <c r="AM32" s="15">
        <v>0</v>
      </c>
      <c r="AN32" s="15">
        <v>0</v>
      </c>
      <c r="AO32" s="15">
        <v>0</v>
      </c>
    </row>
    <row r="33" spans="1:41" x14ac:dyDescent="0.25">
      <c r="A33" s="3" t="s">
        <v>90</v>
      </c>
      <c r="B33" s="4">
        <f>'QTR CF'!B35</f>
        <v>0</v>
      </c>
      <c r="C33" s="4">
        <f>'QTR CF'!C35</f>
        <v>0</v>
      </c>
      <c r="D33" s="4">
        <f>'QTR CF'!D35</f>
        <v>3377</v>
      </c>
      <c r="E33" s="4">
        <f>'QTR CF'!E35</f>
        <v>0</v>
      </c>
      <c r="F33" s="4">
        <f>'QTR CF'!F35</f>
        <v>2986</v>
      </c>
      <c r="G33" s="4">
        <f>'QTR CF'!G35</f>
        <v>0</v>
      </c>
      <c r="H33" s="4">
        <f>'QTR CF'!H35</f>
        <v>0</v>
      </c>
      <c r="I33" s="4">
        <f>'QTR CF'!I35</f>
        <v>2496</v>
      </c>
      <c r="J33" s="4">
        <f>'QTR CF'!J35</f>
        <v>1761</v>
      </c>
      <c r="K33" s="4">
        <f>'QTR CF'!K35</f>
        <v>4</v>
      </c>
      <c r="L33" s="4">
        <f>'QTR CF'!L35</f>
        <v>2249</v>
      </c>
      <c r="M33" s="4">
        <f>'QTR CF'!M35</f>
        <v>28</v>
      </c>
      <c r="N33" s="4">
        <f>'QTR CF'!N35</f>
        <v>3505</v>
      </c>
      <c r="O33" s="4">
        <f>'QTR CF'!O35</f>
        <v>16</v>
      </c>
      <c r="P33" s="4">
        <f>'QTR CF'!P35</f>
        <v>4658</v>
      </c>
      <c r="Q33" s="4">
        <f>'QTR CF'!Q35</f>
        <v>10</v>
      </c>
      <c r="R33" s="4">
        <f>'QTR CF'!R35</f>
        <v>2964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>
        <v>0</v>
      </c>
      <c r="AM33" s="15">
        <v>0</v>
      </c>
      <c r="AN33" s="15">
        <v>0</v>
      </c>
      <c r="AO33" s="15">
        <v>0</v>
      </c>
    </row>
    <row r="34" spans="1:41" x14ac:dyDescent="0.25">
      <c r="A34" s="3" t="s">
        <v>91</v>
      </c>
      <c r="B34" s="4">
        <f>'QTR CF'!B36</f>
        <v>-1251</v>
      </c>
      <c r="C34" s="4">
        <f>'QTR CF'!C36</f>
        <v>-1951</v>
      </c>
      <c r="D34" s="4">
        <f>'QTR CF'!D36</f>
        <v>-1</v>
      </c>
      <c r="E34" s="4">
        <f>'QTR CF'!E36</f>
        <v>-971</v>
      </c>
      <c r="F34" s="4">
        <f>'QTR CF'!F36</f>
        <v>-1251</v>
      </c>
      <c r="G34" s="4">
        <f>'QTR CF'!G36</f>
        <v>-1001</v>
      </c>
      <c r="H34" s="4">
        <f>'QTR CF'!H36</f>
        <v>-1</v>
      </c>
      <c r="I34" s="4">
        <f>'QTR CF'!I36</f>
        <v>-752</v>
      </c>
      <c r="J34" s="4">
        <f>'QTR CF'!J36</f>
        <v>-1252</v>
      </c>
      <c r="K34" s="4">
        <f>'QTR CF'!K36</f>
        <v>-1630</v>
      </c>
      <c r="L34" s="4">
        <f>'QTR CF'!L36</f>
        <v>-1</v>
      </c>
      <c r="M34" s="4">
        <f>'QTR CF'!M36</f>
        <v>-1003</v>
      </c>
      <c r="N34" s="4">
        <f>'QTR CF'!N36</f>
        <v>-1541</v>
      </c>
      <c r="O34" s="4">
        <f>'QTR CF'!O36</f>
        <v>-1002</v>
      </c>
      <c r="P34" s="4">
        <f>'QTR CF'!P36</f>
        <v>-702</v>
      </c>
      <c r="Q34" s="4">
        <f>'QTR CF'!Q36</f>
        <v>-837</v>
      </c>
      <c r="R34" s="4">
        <f>'QTR CF'!R36</f>
        <v>-1629</v>
      </c>
      <c r="S34" s="15">
        <v>0</v>
      </c>
      <c r="T34" s="15">
        <v>0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>
        <v>0</v>
      </c>
      <c r="AM34" s="15">
        <v>0</v>
      </c>
      <c r="AN34" s="15">
        <v>0</v>
      </c>
      <c r="AO34" s="15">
        <v>0</v>
      </c>
    </row>
    <row r="35" spans="1:41" x14ac:dyDescent="0.25">
      <c r="A35" s="3" t="s">
        <v>92</v>
      </c>
      <c r="B35" s="4">
        <f>'QTR CF'!B37</f>
        <v>559</v>
      </c>
      <c r="C35" s="4">
        <f>'QTR CF'!C37</f>
        <v>1376</v>
      </c>
      <c r="D35" s="4">
        <f>'QTR CF'!D37</f>
        <v>12</v>
      </c>
      <c r="E35" s="4">
        <f>'QTR CF'!E37</f>
        <v>22</v>
      </c>
      <c r="F35" s="4">
        <f>'QTR CF'!F37</f>
        <v>393</v>
      </c>
      <c r="G35" s="4">
        <f>'QTR CF'!G37</f>
        <v>1267</v>
      </c>
      <c r="H35" s="4">
        <f>'QTR CF'!H37</f>
        <v>3028</v>
      </c>
      <c r="I35" s="4">
        <f>'QTR CF'!I37</f>
        <v>740</v>
      </c>
      <c r="J35" s="4">
        <f>'QTR CF'!J37</f>
        <v>2313</v>
      </c>
      <c r="K35" s="4">
        <f>'QTR CF'!K37</f>
        <v>767</v>
      </c>
      <c r="L35" s="4">
        <f>'QTR CF'!L37</f>
        <v>728</v>
      </c>
      <c r="M35" s="4">
        <f>'QTR CF'!M37</f>
        <v>1978</v>
      </c>
      <c r="N35" s="4">
        <f>'QTR CF'!N37</f>
        <v>3656</v>
      </c>
      <c r="O35" s="4">
        <f>'QTR CF'!O37</f>
        <v>1595</v>
      </c>
      <c r="P35" s="4">
        <f>'QTR CF'!P37</f>
        <v>277</v>
      </c>
      <c r="Q35" s="4">
        <f>'QTR CF'!Q37</f>
        <v>863</v>
      </c>
      <c r="R35" s="4">
        <f>'QTR CF'!R37</f>
        <v>1937</v>
      </c>
      <c r="S35" s="15">
        <v>0</v>
      </c>
      <c r="T35" s="15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>
        <v>0</v>
      </c>
      <c r="AM35" s="15">
        <v>0</v>
      </c>
      <c r="AN35" s="15">
        <v>0</v>
      </c>
      <c r="AO35" s="15">
        <v>0</v>
      </c>
    </row>
    <row r="36" spans="1:41" x14ac:dyDescent="0.25">
      <c r="A36" s="3" t="s">
        <v>93</v>
      </c>
      <c r="B36" s="4">
        <f>'QTR CF'!B38</f>
        <v>0</v>
      </c>
      <c r="C36" s="4">
        <f>'QTR CF'!C38</f>
        <v>0</v>
      </c>
      <c r="D36" s="4">
        <f>'QTR CF'!D38</f>
        <v>-1932</v>
      </c>
      <c r="E36" s="4">
        <f>'QTR CF'!E38</f>
        <v>-19</v>
      </c>
      <c r="F36" s="4">
        <f>'QTR CF'!F38</f>
        <v>-1</v>
      </c>
      <c r="G36" s="4">
        <f>'QTR CF'!G38</f>
        <v>-25</v>
      </c>
      <c r="H36" s="4">
        <f>'QTR CF'!H38</f>
        <v>-1011</v>
      </c>
      <c r="I36" s="4">
        <f>'QTR CF'!I38</f>
        <v>-2069</v>
      </c>
      <c r="J36" s="4">
        <f>'QTR CF'!J38</f>
        <v>-1631</v>
      </c>
      <c r="K36" s="4">
        <f>'QTR CF'!K38</f>
        <v>-507</v>
      </c>
      <c r="L36" s="4">
        <f>'QTR CF'!L38</f>
        <v>-2039</v>
      </c>
      <c r="M36" s="4">
        <f>'QTR CF'!M38</f>
        <v>-1462</v>
      </c>
      <c r="N36" s="4">
        <f>'QTR CF'!N38</f>
        <v>-2119</v>
      </c>
      <c r="O36" s="4">
        <f>'QTR CF'!O38</f>
        <v>-373</v>
      </c>
      <c r="P36" s="4">
        <f>'QTR CF'!P38</f>
        <v>-2925</v>
      </c>
      <c r="Q36" s="4">
        <f>'QTR CF'!Q38</f>
        <v>-2503</v>
      </c>
      <c r="R36" s="4">
        <f>'QTR CF'!R38</f>
        <v>-676</v>
      </c>
      <c r="S36" s="15">
        <v>0</v>
      </c>
      <c r="T36" s="15">
        <v>0</v>
      </c>
      <c r="U36" s="15">
        <v>0</v>
      </c>
      <c r="V36" s="15">
        <v>0</v>
      </c>
      <c r="W36" s="15">
        <v>0</v>
      </c>
      <c r="X36" s="15">
        <v>0</v>
      </c>
      <c r="Y36" s="15">
        <v>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>
        <v>0</v>
      </c>
      <c r="AM36" s="15">
        <v>0</v>
      </c>
      <c r="AN36" s="15">
        <v>0</v>
      </c>
      <c r="AO36" s="15">
        <v>0</v>
      </c>
    </row>
    <row r="37" spans="1:41" x14ac:dyDescent="0.25">
      <c r="A37" s="3" t="s">
        <v>94</v>
      </c>
      <c r="B37" s="4">
        <f>'QTR CF'!B39</f>
        <v>647</v>
      </c>
      <c r="C37" s="4">
        <f>'QTR CF'!C39</f>
        <v>197</v>
      </c>
      <c r="D37" s="4">
        <f>'QTR CF'!D39</f>
        <v>-889</v>
      </c>
      <c r="E37" s="4">
        <f>'QTR CF'!E39</f>
        <v>14</v>
      </c>
      <c r="F37" s="4">
        <f>'QTR CF'!F39</f>
        <v>491</v>
      </c>
      <c r="G37" s="4">
        <f>'QTR CF'!G39</f>
        <v>1532</v>
      </c>
      <c r="H37" s="4">
        <f>'QTR CF'!H39</f>
        <v>-628</v>
      </c>
      <c r="I37" s="4">
        <f>'QTR CF'!I39</f>
        <v>-1424</v>
      </c>
      <c r="J37" s="4">
        <f>'QTR CF'!J39</f>
        <v>774</v>
      </c>
      <c r="K37" s="4">
        <f>'QTR CF'!K39</f>
        <v>512</v>
      </c>
      <c r="L37" s="4">
        <f>'QTR CF'!L39</f>
        <v>-1185</v>
      </c>
      <c r="M37" s="4">
        <f>'QTR CF'!M39</f>
        <v>291</v>
      </c>
      <c r="N37" s="4">
        <f>'QTR CF'!N39</f>
        <v>373</v>
      </c>
      <c r="O37" s="4">
        <f>'QTR CF'!O39</f>
        <v>2065</v>
      </c>
      <c r="P37" s="4">
        <f>'QTR CF'!P39</f>
        <v>-1993</v>
      </c>
      <c r="Q37" s="4">
        <f>'QTR CF'!Q39</f>
        <v>725</v>
      </c>
      <c r="R37" s="4">
        <f>'QTR CF'!R39</f>
        <v>1198</v>
      </c>
      <c r="S37" s="15">
        <v>0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>
        <v>0</v>
      </c>
      <c r="AM37" s="15">
        <v>0</v>
      </c>
      <c r="AN37" s="15">
        <v>0</v>
      </c>
      <c r="AO37" s="15">
        <v>0</v>
      </c>
    </row>
    <row r="38" spans="1:41" x14ac:dyDescent="0.25">
      <c r="A38" s="3" t="s">
        <v>95</v>
      </c>
      <c r="B38" s="4">
        <f>'QTR CF'!B40</f>
        <v>0</v>
      </c>
      <c r="C38" s="4">
        <f>'QTR CF'!C40</f>
        <v>0</v>
      </c>
      <c r="D38" s="4">
        <f>'QTR CF'!D40</f>
        <v>0</v>
      </c>
      <c r="E38" s="4">
        <f>'QTR CF'!E40</f>
        <v>0</v>
      </c>
      <c r="F38" s="4">
        <f>'QTR CF'!F40</f>
        <v>0</v>
      </c>
      <c r="G38" s="4">
        <f>'QTR CF'!G40</f>
        <v>0</v>
      </c>
      <c r="H38" s="4">
        <f>'QTR CF'!H40</f>
        <v>0</v>
      </c>
      <c r="I38" s="4">
        <f>'QTR CF'!I40</f>
        <v>0</v>
      </c>
      <c r="J38" s="4">
        <f>'QTR CF'!J40</f>
        <v>0</v>
      </c>
      <c r="K38" s="4">
        <f>'QTR CF'!K40</f>
        <v>0</v>
      </c>
      <c r="L38" s="4">
        <f>'QTR CF'!L40</f>
        <v>0</v>
      </c>
      <c r="M38" s="4">
        <f>'QTR CF'!M40</f>
        <v>0</v>
      </c>
      <c r="N38" s="4">
        <f>'QTR CF'!N40</f>
        <v>0</v>
      </c>
      <c r="O38" s="4">
        <f>'QTR CF'!O40</f>
        <v>0</v>
      </c>
      <c r="P38" s="4">
        <f>'QTR CF'!P40</f>
        <v>0</v>
      </c>
      <c r="Q38" s="4">
        <f>'QTR CF'!Q40</f>
        <v>0</v>
      </c>
      <c r="R38" s="4">
        <f>'QTR CF'!R40</f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>
        <v>0</v>
      </c>
      <c r="AM38" s="15">
        <v>0</v>
      </c>
      <c r="AN38" s="15">
        <v>0</v>
      </c>
      <c r="AO38" s="15">
        <v>0</v>
      </c>
    </row>
    <row r="39" spans="1:41" x14ac:dyDescent="0.25">
      <c r="A39" s="3" t="s">
        <v>161</v>
      </c>
      <c r="B39" s="13">
        <f>IFERROR('QTR CF'!B41/'QTR P&amp;L'!B13,"")</f>
        <v>0.63475326866301141</v>
      </c>
      <c r="C39" s="13">
        <f>IFERROR('QTR CF'!C41/'QTR P&amp;L'!C13,"")</f>
        <v>-1.0507042253521126</v>
      </c>
      <c r="D39" s="13">
        <f>IFERROR('QTR CF'!D41/'QTR P&amp;L'!D13,"")</f>
        <v>-0.57739825581395354</v>
      </c>
      <c r="E39" s="13">
        <f>IFERROR('QTR CF'!E41/'QTR P&amp;L'!E13,"")</f>
        <v>-2.9644859813084112</v>
      </c>
      <c r="F39" s="13">
        <f>IFERROR('QTR CF'!F41/'QTR P&amp;L'!F13,"")</f>
        <v>-0.8271604938271605</v>
      </c>
      <c r="G39" s="13">
        <f>IFERROR('QTR CF'!G41/'QTR P&amp;L'!G13,"")</f>
        <v>-0.57416095272464818</v>
      </c>
      <c r="H39" s="13">
        <f>IFERROR('QTR CF'!H41/'QTR P&amp;L'!H13,"")</f>
        <v>-0.55905006418485237</v>
      </c>
      <c r="I39" s="13">
        <f>IFERROR('QTR CF'!I41/'QTR P&amp;L'!I13,"")</f>
        <v>-1.3149546827794563</v>
      </c>
      <c r="J39" s="13">
        <f>IFERROR('QTR CF'!J41/'QTR P&amp;L'!J13,"")</f>
        <v>-0.86069167072576713</v>
      </c>
      <c r="K39" s="13">
        <f>IFERROR('QTR CF'!K41/'QTR P&amp;L'!K13,"")</f>
        <v>-0.56205559146735617</v>
      </c>
      <c r="L39" s="13">
        <f>IFERROR('QTR CF'!L41/'QTR P&amp;L'!L13,"")</f>
        <v>-0.63259762308998302</v>
      </c>
      <c r="M39" s="13">
        <f>IFERROR('QTR CF'!M41/'QTR P&amp;L'!M13,"")</f>
        <v>-1.21251629726206</v>
      </c>
      <c r="N39" s="13">
        <f>IFERROR('QTR CF'!N41/'QTR P&amp;L'!N13,"")</f>
        <v>-1.0211611502984266</v>
      </c>
      <c r="O39" s="13">
        <f>IFERROR('QTR CF'!O41/'QTR P&amp;L'!O13,"")</f>
        <v>-1.4550430023455825</v>
      </c>
      <c r="P39" s="13">
        <f>IFERROR('QTR CF'!P41/'QTR P&amp;L'!P13,"")</f>
        <v>-0.74446142093200918</v>
      </c>
      <c r="Q39" s="13">
        <f>IFERROR('QTR CF'!Q41/'QTR P&amp;L'!Q13,"")</f>
        <v>-0.76164383561643834</v>
      </c>
      <c r="R39" s="13">
        <f>IFERROR('QTR CF'!R41/'QTR P&amp;L'!R13,"")</f>
        <v>-0.84088964927288279</v>
      </c>
      <c r="S39" s="14">
        <f t="shared" ref="S39:AO39" si="4">R39</f>
        <v>-0.84088964927288279</v>
      </c>
      <c r="T39" s="14">
        <f t="shared" si="4"/>
        <v>-0.84088964927288279</v>
      </c>
      <c r="U39" s="14">
        <f t="shared" si="4"/>
        <v>-0.84088964927288279</v>
      </c>
      <c r="V39" s="14">
        <f t="shared" si="4"/>
        <v>-0.84088964927288279</v>
      </c>
      <c r="W39" s="14">
        <f t="shared" si="4"/>
        <v>-0.84088964927288279</v>
      </c>
      <c r="X39" s="14">
        <f t="shared" si="4"/>
        <v>-0.84088964927288279</v>
      </c>
      <c r="Y39" s="14">
        <f t="shared" si="4"/>
        <v>-0.84088964927288279</v>
      </c>
      <c r="Z39" s="14">
        <f t="shared" si="4"/>
        <v>-0.84088964927288279</v>
      </c>
      <c r="AA39" s="14">
        <f t="shared" si="4"/>
        <v>-0.84088964927288279</v>
      </c>
      <c r="AB39" s="14">
        <f t="shared" si="4"/>
        <v>-0.84088964927288279</v>
      </c>
      <c r="AC39" s="14">
        <f t="shared" si="4"/>
        <v>-0.84088964927288279</v>
      </c>
      <c r="AD39" s="14">
        <f t="shared" si="4"/>
        <v>-0.84088964927288279</v>
      </c>
      <c r="AE39" s="14">
        <f t="shared" si="4"/>
        <v>-0.84088964927288279</v>
      </c>
      <c r="AF39" s="14">
        <f t="shared" si="4"/>
        <v>-0.84088964927288279</v>
      </c>
      <c r="AG39" s="14">
        <f t="shared" si="4"/>
        <v>-0.84088964927288279</v>
      </c>
      <c r="AH39" s="14">
        <f t="shared" si="4"/>
        <v>-0.84088964927288279</v>
      </c>
      <c r="AI39" s="14">
        <f t="shared" si="4"/>
        <v>-0.84088964927288279</v>
      </c>
      <c r="AJ39" s="14">
        <f t="shared" si="4"/>
        <v>-0.84088964927288279</v>
      </c>
      <c r="AK39" s="14">
        <f t="shared" si="4"/>
        <v>-0.84088964927288279</v>
      </c>
      <c r="AL39" s="14">
        <f t="shared" si="4"/>
        <v>-0.84088964927288279</v>
      </c>
      <c r="AM39" s="14">
        <f t="shared" si="4"/>
        <v>-0.84088964927288279</v>
      </c>
      <c r="AN39" s="14">
        <f t="shared" si="4"/>
        <v>-0.84088964927288279</v>
      </c>
      <c r="AO39" s="14">
        <f t="shared" si="4"/>
        <v>-0.84088964927288279</v>
      </c>
    </row>
    <row r="40" spans="1:41" x14ac:dyDescent="0.25">
      <c r="A40" s="3" t="s">
        <v>97</v>
      </c>
      <c r="B40" s="4">
        <f>'QTR CF'!B42</f>
        <v>-193</v>
      </c>
      <c r="C40" s="4">
        <f>'QTR CF'!C42</f>
        <v>-506</v>
      </c>
      <c r="D40" s="4">
        <f>'QTR CF'!D42</f>
        <v>-457</v>
      </c>
      <c r="E40" s="4">
        <f>'QTR CF'!E42</f>
        <v>-344</v>
      </c>
      <c r="F40" s="4">
        <f>'QTR CF'!F42</f>
        <v>-160</v>
      </c>
      <c r="G40" s="4">
        <f>'QTR CF'!G42</f>
        <v>-293</v>
      </c>
      <c r="H40" s="4">
        <f>'QTR CF'!H42</f>
        <v>-298</v>
      </c>
      <c r="I40" s="4">
        <f>'QTR CF'!I42</f>
        <v>-249</v>
      </c>
      <c r="J40" s="4">
        <f>'QTR CF'!J42</f>
        <v>-146</v>
      </c>
      <c r="K40" s="4">
        <f>'QTR CF'!K42</f>
        <v>-315</v>
      </c>
      <c r="L40" s="4">
        <f>'QTR CF'!L42</f>
        <v>-299</v>
      </c>
      <c r="M40" s="4">
        <f>'QTR CF'!M42</f>
        <v>-240</v>
      </c>
      <c r="N40" s="4">
        <f>'QTR CF'!N42</f>
        <v>-183</v>
      </c>
      <c r="O40" s="4">
        <f>'QTR CF'!O42</f>
        <v>-311</v>
      </c>
      <c r="P40" s="4">
        <f>'QTR CF'!P42</f>
        <v>-258</v>
      </c>
      <c r="Q40" s="4">
        <f>'QTR CF'!Q42</f>
        <v>-248</v>
      </c>
      <c r="R40" s="4">
        <f>'QTR CF'!R42</f>
        <v>-182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>
        <v>0</v>
      </c>
      <c r="AM40" s="15">
        <v>0</v>
      </c>
      <c r="AN40" s="15">
        <v>0</v>
      </c>
      <c r="AO40" s="15">
        <v>0</v>
      </c>
    </row>
    <row r="41" spans="1:41" x14ac:dyDescent="0.25">
      <c r="A41" s="3" t="s">
        <v>98</v>
      </c>
      <c r="B41" s="4">
        <f>'QTR CF'!B43</f>
        <v>49</v>
      </c>
      <c r="C41" s="4">
        <f>'QTR CF'!C43</f>
        <v>40</v>
      </c>
      <c r="D41" s="4">
        <f>'QTR CF'!D43</f>
        <v>24</v>
      </c>
      <c r="E41" s="4">
        <f>'QTR CF'!E43</f>
        <v>25</v>
      </c>
      <c r="F41" s="4">
        <f>'QTR CF'!F43</f>
        <v>46</v>
      </c>
      <c r="G41" s="4">
        <f>'QTR CF'!G43</f>
        <v>40</v>
      </c>
      <c r="H41" s="4">
        <f>'QTR CF'!H43</f>
        <v>14</v>
      </c>
      <c r="I41" s="4">
        <f>'QTR CF'!I43</f>
        <v>16</v>
      </c>
      <c r="J41" s="4">
        <f>'QTR CF'!J43</f>
        <v>66</v>
      </c>
      <c r="K41" s="4">
        <f>'QTR CF'!K43</f>
        <v>41</v>
      </c>
      <c r="L41" s="4">
        <f>'QTR CF'!L43</f>
        <v>31</v>
      </c>
      <c r="M41" s="4">
        <f>'QTR CF'!M43</f>
        <v>28</v>
      </c>
      <c r="N41" s="4">
        <f>'QTR CF'!N43</f>
        <v>50</v>
      </c>
      <c r="O41" s="4">
        <f>'QTR CF'!O43</f>
        <v>8</v>
      </c>
      <c r="P41" s="4">
        <f>'QTR CF'!P43</f>
        <v>18</v>
      </c>
      <c r="Q41" s="4">
        <f>'QTR CF'!Q43</f>
        <v>21</v>
      </c>
      <c r="R41" s="4">
        <f>'QTR CF'!R43</f>
        <v>93</v>
      </c>
      <c r="S41" s="15">
        <v>0</v>
      </c>
      <c r="T41" s="15">
        <v>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>
        <v>0</v>
      </c>
      <c r="AM41" s="15">
        <v>0</v>
      </c>
      <c r="AN41" s="15">
        <v>0</v>
      </c>
      <c r="AO41" s="15">
        <v>0</v>
      </c>
    </row>
    <row r="42" spans="1:41" x14ac:dyDescent="0.25">
      <c r="A42" s="3" t="s">
        <v>99</v>
      </c>
      <c r="B42" s="4">
        <f>'QTR CF'!B44</f>
        <v>-85</v>
      </c>
      <c r="C42" s="4">
        <f>'QTR CF'!C44</f>
        <v>-2</v>
      </c>
      <c r="D42" s="4">
        <f>'QTR CF'!D44</f>
        <v>-10</v>
      </c>
      <c r="E42" s="4">
        <f>'QTR CF'!E44</f>
        <v>-10</v>
      </c>
      <c r="F42" s="4">
        <f>'QTR CF'!F44</f>
        <v>-116</v>
      </c>
      <c r="G42" s="4">
        <f>'QTR CF'!G44</f>
        <v>-3</v>
      </c>
      <c r="H42" s="4">
        <f>'QTR CF'!H44</f>
        <v>-16</v>
      </c>
      <c r="I42" s="4">
        <f>'QTR CF'!I44</f>
        <v>-5</v>
      </c>
      <c r="J42" s="4">
        <f>'QTR CF'!J44</f>
        <v>-108</v>
      </c>
      <c r="K42" s="4">
        <f>'QTR CF'!K44</f>
        <v>-23</v>
      </c>
      <c r="L42" s="4">
        <f>'QTR CF'!L44</f>
        <v>-1</v>
      </c>
      <c r="M42" s="4">
        <f>'QTR CF'!M44</f>
        <v>-3</v>
      </c>
      <c r="N42" s="4">
        <f>'QTR CF'!N44</f>
        <v>-89</v>
      </c>
      <c r="O42" s="4">
        <f>'QTR CF'!O44</f>
        <v>-22</v>
      </c>
      <c r="P42" s="4">
        <f>'QTR CF'!P44</f>
        <v>-1</v>
      </c>
      <c r="Q42" s="4">
        <f>'QTR CF'!Q44</f>
        <v>-1</v>
      </c>
      <c r="R42" s="4">
        <f>'QTR CF'!R44</f>
        <v>-76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>
        <v>0</v>
      </c>
      <c r="AM42" s="15">
        <v>0</v>
      </c>
      <c r="AN42" s="15">
        <v>0</v>
      </c>
      <c r="AO42" s="15">
        <v>0</v>
      </c>
    </row>
    <row r="43" spans="1:41" x14ac:dyDescent="0.25">
      <c r="A43" s="3" t="s">
        <v>100</v>
      </c>
      <c r="B43" s="4">
        <f>'QTR CF'!B45</f>
        <v>-1</v>
      </c>
      <c r="C43" s="4">
        <f>'QTR CF'!C45</f>
        <v>-14</v>
      </c>
      <c r="D43" s="4">
        <f>'QTR CF'!D45</f>
        <v>-10</v>
      </c>
      <c r="E43" s="4">
        <f>'QTR CF'!E45</f>
        <v>-47</v>
      </c>
      <c r="F43" s="4">
        <f>'QTR CF'!F45</f>
        <v>-3</v>
      </c>
      <c r="G43" s="4">
        <f>'QTR CF'!G45</f>
        <v>-13</v>
      </c>
      <c r="H43" s="4">
        <f>'QTR CF'!H45</f>
        <v>-2</v>
      </c>
      <c r="I43" s="4">
        <f>'QTR CF'!I45</f>
        <v>-55</v>
      </c>
      <c r="J43" s="4">
        <f>'QTR CF'!J45</f>
        <v>0</v>
      </c>
      <c r="K43" s="4">
        <f>'QTR CF'!K45</f>
        <v>-20</v>
      </c>
      <c r="L43" s="4">
        <f>'QTR CF'!L45</f>
        <v>-2</v>
      </c>
      <c r="M43" s="4">
        <f>'QTR CF'!M45</f>
        <v>-31</v>
      </c>
      <c r="N43" s="4">
        <f>'QTR CF'!N45</f>
        <v>-2</v>
      </c>
      <c r="O43" s="4">
        <f>'QTR CF'!O45</f>
        <v>-15</v>
      </c>
      <c r="P43" s="4">
        <f>'QTR CF'!P45</f>
        <v>-1</v>
      </c>
      <c r="Q43" s="4">
        <f>'QTR CF'!Q45</f>
        <v>-55</v>
      </c>
      <c r="R43" s="4">
        <f>'QTR CF'!R45</f>
        <v>-1</v>
      </c>
      <c r="S43" s="15">
        <v>0</v>
      </c>
      <c r="T43" s="15">
        <v>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>
        <v>0</v>
      </c>
      <c r="AM43" s="15">
        <v>0</v>
      </c>
      <c r="AN43" s="15">
        <v>0</v>
      </c>
      <c r="AO43" s="15">
        <v>0</v>
      </c>
    </row>
    <row r="44" spans="1:41" x14ac:dyDescent="0.25">
      <c r="A44" s="3" t="s">
        <v>102</v>
      </c>
      <c r="B44" s="4">
        <f>'QTR CF'!B47</f>
        <v>-17</v>
      </c>
      <c r="C44" s="4">
        <f>'QTR CF'!C47</f>
        <v>-66</v>
      </c>
      <c r="D44" s="4">
        <f>'QTR CF'!D47</f>
        <v>-114</v>
      </c>
      <c r="E44" s="4">
        <f>'QTR CF'!E47</f>
        <v>-268</v>
      </c>
      <c r="F44" s="4">
        <f>'QTR CF'!F47</f>
        <v>-116</v>
      </c>
      <c r="G44" s="4">
        <f>'QTR CF'!G47</f>
        <v>-28</v>
      </c>
      <c r="H44" s="4">
        <f>'QTR CF'!H47</f>
        <v>-110</v>
      </c>
      <c r="I44" s="4">
        <f>'QTR CF'!I47</f>
        <v>-23</v>
      </c>
      <c r="J44" s="4">
        <f>'QTR CF'!J47</f>
        <v>-38</v>
      </c>
      <c r="K44" s="4">
        <f>'QTR CF'!K47</f>
        <v>-266</v>
      </c>
      <c r="L44" s="4">
        <f>'QTR CF'!L47</f>
        <v>-87</v>
      </c>
      <c r="M44" s="4">
        <f>'QTR CF'!M47</f>
        <v>-296</v>
      </c>
      <c r="N44" s="4">
        <f>'QTR CF'!N47</f>
        <v>203</v>
      </c>
      <c r="O44" s="4">
        <f>'QTR CF'!O47</f>
        <v>219</v>
      </c>
      <c r="P44" s="4">
        <f>'QTR CF'!P47</f>
        <v>-27</v>
      </c>
      <c r="Q44" s="4">
        <f>'QTR CF'!Q47</f>
        <v>27</v>
      </c>
      <c r="R44" s="4">
        <f>'QTR CF'!R47</f>
        <v>121</v>
      </c>
      <c r="S44" s="15">
        <f t="shared" ref="S44:AO44" si="5">R44</f>
        <v>121</v>
      </c>
      <c r="T44" s="15">
        <f t="shared" si="5"/>
        <v>121</v>
      </c>
      <c r="U44" s="15">
        <f t="shared" si="5"/>
        <v>121</v>
      </c>
      <c r="V44" s="15">
        <f t="shared" si="5"/>
        <v>121</v>
      </c>
      <c r="W44" s="15">
        <f t="shared" si="5"/>
        <v>121</v>
      </c>
      <c r="X44" s="15">
        <f t="shared" si="5"/>
        <v>121</v>
      </c>
      <c r="Y44" s="15">
        <f t="shared" si="5"/>
        <v>121</v>
      </c>
      <c r="Z44" s="15">
        <f t="shared" si="5"/>
        <v>121</v>
      </c>
      <c r="AA44" s="15">
        <f t="shared" si="5"/>
        <v>121</v>
      </c>
      <c r="AB44" s="15">
        <f t="shared" si="5"/>
        <v>121</v>
      </c>
      <c r="AC44" s="15">
        <f t="shared" si="5"/>
        <v>121</v>
      </c>
      <c r="AD44" s="15">
        <f t="shared" si="5"/>
        <v>121</v>
      </c>
      <c r="AE44" s="15">
        <f t="shared" si="5"/>
        <v>121</v>
      </c>
      <c r="AF44" s="15">
        <f t="shared" si="5"/>
        <v>121</v>
      </c>
      <c r="AG44" s="15">
        <f t="shared" si="5"/>
        <v>121</v>
      </c>
      <c r="AH44" s="15">
        <f t="shared" si="5"/>
        <v>121</v>
      </c>
      <c r="AI44" s="15">
        <f t="shared" si="5"/>
        <v>121</v>
      </c>
      <c r="AJ44" s="15">
        <f t="shared" si="5"/>
        <v>121</v>
      </c>
      <c r="AK44" s="15">
        <f t="shared" si="5"/>
        <v>121</v>
      </c>
      <c r="AL44" s="15">
        <f t="shared" si="5"/>
        <v>121</v>
      </c>
      <c r="AM44" s="15">
        <f t="shared" si="5"/>
        <v>121</v>
      </c>
      <c r="AN44" s="15">
        <f t="shared" si="5"/>
        <v>121</v>
      </c>
      <c r="AO44" s="15">
        <f t="shared" si="5"/>
        <v>121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ASSUMPTIONS</vt:lpstr>
      <vt:lpstr>ANNL P&amp;L</vt:lpstr>
      <vt:lpstr>BALANCE SHEET</vt:lpstr>
      <vt:lpstr>CASH FLOW</vt:lpstr>
      <vt:lpstr>YTD P&amp;L</vt:lpstr>
      <vt:lpstr>YTD BS</vt:lpstr>
      <vt:lpstr>YTD CF</vt:lpstr>
      <vt:lpstr>QTR P&amp;L</vt:lpstr>
      <vt:lpstr>QTR BS</vt:lpstr>
      <vt:lpstr>QTR CF</vt:lpstr>
      <vt:lpstr>IS DRIVERS</vt:lpstr>
      <vt:lpstr>BS DRIVERS</vt:lpstr>
      <vt:lpstr>CF DRIVERS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Rodino</cp:lastModifiedBy>
  <dcterms:created xsi:type="dcterms:W3CDTF">2026-04-29T01:29:00Z</dcterms:created>
  <dcterms:modified xsi:type="dcterms:W3CDTF">2026-04-29T01:29:22Z</dcterms:modified>
</cp:coreProperties>
</file>