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horizontal="center"/>
    </xf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11">
        <f>'QTR P&amp;L'!R2+'QTR P&amp;L'!S2+'QTR P&amp;L'!T2+'QTR P&amp;L'!U2</f>
        <v/>
      </c>
      <c r="H2" s="11">
        <f>'QTR P&amp;L'!V2+'QTR P&amp;L'!W2+'QTR P&amp;L'!X2+'QTR P&amp;L'!Y2</f>
        <v/>
      </c>
      <c r="I2" s="11">
        <f>'QTR P&amp;L'!Z2+'QTR P&amp;L'!AA2+'QTR P&amp;L'!AB2+'QTR P&amp;L'!AC2</f>
        <v/>
      </c>
      <c r="J2" s="11">
        <f>'QTR P&amp;L'!AD2+'QTR P&amp;L'!AE2+'QTR P&amp;L'!AF2+'QTR P&amp;L'!AG2</f>
        <v/>
      </c>
      <c r="K2" s="11">
        <f>'QTR P&amp;L'!AH2+'QTR P&amp;L'!AI2+'QTR P&amp;L'!AJ2+'QTR P&amp;L'!AK2</f>
        <v/>
      </c>
      <c r="L2" s="11">
        <f>'QTR P&amp;L'!AL2+'QTR P&amp;L'!AM2+'QTR P&amp;L'!AN2+'QTR P&amp;L'!AO2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11">
        <f>'QTR P&amp;L'!R3+'QTR P&amp;L'!S3+'QTR P&amp;L'!T3+'QTR P&amp;L'!U3</f>
        <v/>
      </c>
      <c r="H3" s="11">
        <f>'QTR P&amp;L'!V3+'QTR P&amp;L'!W3+'QTR P&amp;L'!X3+'QTR P&amp;L'!Y3</f>
        <v/>
      </c>
      <c r="I3" s="11">
        <f>'QTR P&amp;L'!Z3+'QTR P&amp;L'!AA3+'QTR P&amp;L'!AB3+'QTR P&amp;L'!AC3</f>
        <v/>
      </c>
      <c r="J3" s="11">
        <f>'QTR P&amp;L'!AD3+'QTR P&amp;L'!AE3+'QTR P&amp;L'!AF3+'QTR P&amp;L'!AG3</f>
        <v/>
      </c>
      <c r="K3" s="11">
        <f>'QTR P&amp;L'!AH3+'QTR P&amp;L'!AI3+'QTR P&amp;L'!AJ3+'QTR P&amp;L'!AK3</f>
        <v/>
      </c>
      <c r="L3" s="11">
        <f>'QTR P&amp;L'!AL3+'QTR P&amp;L'!AM3+'QTR P&amp;L'!AN3+'QTR P&amp;L'!AO3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11">
        <f>'QTR P&amp;L'!R5+'QTR P&amp;L'!S5+'QTR P&amp;L'!T5+'QTR P&amp;L'!U5</f>
        <v/>
      </c>
      <c r="H5" s="11">
        <f>'QTR P&amp;L'!V5+'QTR P&amp;L'!W5+'QTR P&amp;L'!X5+'QTR P&amp;L'!Y5</f>
        <v/>
      </c>
      <c r="I5" s="11">
        <f>'QTR P&amp;L'!Z5+'QTR P&amp;L'!AA5+'QTR P&amp;L'!AB5+'QTR P&amp;L'!AC5</f>
        <v/>
      </c>
      <c r="J5" s="11">
        <f>'QTR P&amp;L'!AD5+'QTR P&amp;L'!AE5+'QTR P&amp;L'!AF5+'QTR P&amp;L'!AG5</f>
        <v/>
      </c>
      <c r="K5" s="11">
        <f>'QTR P&amp;L'!AH5+'QTR P&amp;L'!AI5+'QTR P&amp;L'!AJ5+'QTR P&amp;L'!AK5</f>
        <v/>
      </c>
      <c r="L5" s="11">
        <f>'QTR P&amp;L'!AL5+'QTR P&amp;L'!AM5+'QTR P&amp;L'!AN5+'QTR P&amp;L'!AO5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11">
        <f>'QTR P&amp;L'!R6+'QTR P&amp;L'!S6+'QTR P&amp;L'!T6+'QTR P&amp;L'!U6</f>
        <v/>
      </c>
      <c r="H6" s="11">
        <f>'QTR P&amp;L'!V6+'QTR P&amp;L'!W6+'QTR P&amp;L'!X6+'QTR P&amp;L'!Y6</f>
        <v/>
      </c>
      <c r="I6" s="11">
        <f>'QTR P&amp;L'!Z6+'QTR P&amp;L'!AA6+'QTR P&amp;L'!AB6+'QTR P&amp;L'!AC6</f>
        <v/>
      </c>
      <c r="J6" s="11">
        <f>'QTR P&amp;L'!AD6+'QTR P&amp;L'!AE6+'QTR P&amp;L'!AF6+'QTR P&amp;L'!AG6</f>
        <v/>
      </c>
      <c r="K6" s="11">
        <f>'QTR P&amp;L'!AH6+'QTR P&amp;L'!AI6+'QTR P&amp;L'!AJ6+'QTR P&amp;L'!AK6</f>
        <v/>
      </c>
      <c r="L6" s="11">
        <f>'QTR P&amp;L'!AL6+'QTR P&amp;L'!AM6+'QTR P&amp;L'!AN6+'QTR P&amp;L'!AO6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11">
        <f>'QTR P&amp;L'!R7+'QTR P&amp;L'!S7+'QTR P&amp;L'!T7+'QTR P&amp;L'!U7</f>
        <v/>
      </c>
      <c r="H7" s="11">
        <f>'QTR P&amp;L'!V7+'QTR P&amp;L'!W7+'QTR P&amp;L'!X7+'QTR P&amp;L'!Y7</f>
        <v/>
      </c>
      <c r="I7" s="11">
        <f>'QTR P&amp;L'!Z7+'QTR P&amp;L'!AA7+'QTR P&amp;L'!AB7+'QTR P&amp;L'!AC7</f>
        <v/>
      </c>
      <c r="J7" s="11">
        <f>'QTR P&amp;L'!AD7+'QTR P&amp;L'!AE7+'QTR P&amp;L'!AF7+'QTR P&amp;L'!AG7</f>
        <v/>
      </c>
      <c r="K7" s="11">
        <f>'QTR P&amp;L'!AH7+'QTR P&amp;L'!AI7+'QTR P&amp;L'!AJ7+'QTR P&amp;L'!AK7</f>
        <v/>
      </c>
      <c r="L7" s="11">
        <f>'QTR P&amp;L'!AL7+'QTR P&amp;L'!AM7+'QTR P&amp;L'!AN7+'QTR P&amp;L'!AO7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11">
        <f>'QTR P&amp;L'!R9+'QTR P&amp;L'!S9+'QTR P&amp;L'!T9+'QTR P&amp;L'!U9</f>
        <v/>
      </c>
      <c r="H9" s="11">
        <f>'QTR P&amp;L'!V9+'QTR P&amp;L'!W9+'QTR P&amp;L'!X9+'QTR P&amp;L'!Y9</f>
        <v/>
      </c>
      <c r="I9" s="11">
        <f>'QTR P&amp;L'!Z9+'QTR P&amp;L'!AA9+'QTR P&amp;L'!AB9+'QTR P&amp;L'!AC9</f>
        <v/>
      </c>
      <c r="J9" s="11">
        <f>'QTR P&amp;L'!AD9+'QTR P&amp;L'!AE9+'QTR P&amp;L'!AF9+'QTR P&amp;L'!AG9</f>
        <v/>
      </c>
      <c r="K9" s="11">
        <f>'QTR P&amp;L'!AH9+'QTR P&amp;L'!AI9+'QTR P&amp;L'!AJ9+'QTR P&amp;L'!AK9</f>
        <v/>
      </c>
      <c r="L9" s="11">
        <f>'QTR P&amp;L'!AL9+'QTR P&amp;L'!AM9+'QTR P&amp;L'!AN9+'QTR P&amp;L'!AO9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11">
        <f>'QTR P&amp;L'!R10+'QTR P&amp;L'!S10+'QTR P&amp;L'!T10+'QTR P&amp;L'!U10</f>
        <v/>
      </c>
      <c r="H10" s="11">
        <f>'QTR P&amp;L'!V10+'QTR P&amp;L'!W10+'QTR P&amp;L'!X10+'QTR P&amp;L'!Y10</f>
        <v/>
      </c>
      <c r="I10" s="11">
        <f>'QTR P&amp;L'!Z10+'QTR P&amp;L'!AA10+'QTR P&amp;L'!AB10+'QTR P&amp;L'!AC10</f>
        <v/>
      </c>
      <c r="J10" s="11">
        <f>'QTR P&amp;L'!AD10+'QTR P&amp;L'!AE10+'QTR P&amp;L'!AF10+'QTR P&amp;L'!AG10</f>
        <v/>
      </c>
      <c r="K10" s="11">
        <f>'QTR P&amp;L'!AH10+'QTR P&amp;L'!AI10+'QTR P&amp;L'!AJ10+'QTR P&amp;L'!AK10</f>
        <v/>
      </c>
      <c r="L10" s="11">
        <f>'QTR P&amp;L'!AL10+'QTR P&amp;L'!AM10+'QTR P&amp;L'!AN10+'QTR P&amp;L'!AO10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11">
        <f>'QTR P&amp;L'!R12+'QTR P&amp;L'!S12+'QTR P&amp;L'!T12+'QTR P&amp;L'!U12</f>
        <v/>
      </c>
      <c r="H12" s="11">
        <f>'QTR P&amp;L'!V12+'QTR P&amp;L'!W12+'QTR P&amp;L'!X12+'QTR P&amp;L'!Y12</f>
        <v/>
      </c>
      <c r="I12" s="11">
        <f>'QTR P&amp;L'!Z12+'QTR P&amp;L'!AA12+'QTR P&amp;L'!AB12+'QTR P&amp;L'!AC12</f>
        <v/>
      </c>
      <c r="J12" s="11">
        <f>'QTR P&amp;L'!AD12+'QTR P&amp;L'!AE12+'QTR P&amp;L'!AF12+'QTR P&amp;L'!AG12</f>
        <v/>
      </c>
      <c r="K12" s="11">
        <f>'QTR P&amp;L'!AH12+'QTR P&amp;L'!AI12+'QTR P&amp;L'!AJ12+'QTR P&amp;L'!AK12</f>
        <v/>
      </c>
      <c r="L12" s="11">
        <f>'QTR P&amp;L'!AL12+'QTR P&amp;L'!AM12+'QTR P&amp;L'!AN12+'QTR P&amp;L'!AO12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11">
        <f>'QTR P&amp;L'!R14+'QTR P&amp;L'!S14+'QTR P&amp;L'!T14+'QTR P&amp;L'!U14</f>
        <v/>
      </c>
      <c r="H14" s="11">
        <f>'QTR P&amp;L'!V14+'QTR P&amp;L'!W14+'QTR P&amp;L'!X14+'QTR P&amp;L'!Y14</f>
        <v/>
      </c>
      <c r="I14" s="11">
        <f>'QTR P&amp;L'!Z14+'QTR P&amp;L'!AA14+'QTR P&amp;L'!AB14+'QTR P&amp;L'!AC14</f>
        <v/>
      </c>
      <c r="J14" s="11">
        <f>'QTR P&amp;L'!AD14+'QTR P&amp;L'!AE14+'QTR P&amp;L'!AF14+'QTR P&amp;L'!AG14</f>
        <v/>
      </c>
      <c r="K14" s="11">
        <f>'QTR P&amp;L'!AH14+'QTR P&amp;L'!AI14+'QTR P&amp;L'!AJ14+'QTR P&amp;L'!AK14</f>
        <v/>
      </c>
      <c r="L14" s="11">
        <f>'QTR P&amp;L'!AL14+'QTR P&amp;L'!AM14+'QTR P&amp;L'!AN14+'QTR P&amp;L'!AO14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11">
        <f>'QTR BS'!R2</f>
        <v/>
      </c>
      <c r="G2" s="11">
        <f>'QTR BS'!V2</f>
        <v/>
      </c>
      <c r="H2" s="11">
        <f>'QTR BS'!Z2</f>
        <v/>
      </c>
      <c r="I2" s="11">
        <f>'QTR BS'!AD2</f>
        <v/>
      </c>
      <c r="J2" s="11">
        <f>'QTR BS'!AH2</f>
        <v/>
      </c>
      <c r="K2" s="11">
        <f>'QTR BS'!AL2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11">
        <f>'QTR BS'!R3</f>
        <v/>
      </c>
      <c r="G3" s="11">
        <f>'QTR BS'!V3</f>
        <v/>
      </c>
      <c r="H3" s="11">
        <f>'QTR BS'!Z3</f>
        <v/>
      </c>
      <c r="I3" s="11">
        <f>'QTR BS'!AD3</f>
        <v/>
      </c>
      <c r="J3" s="11">
        <f>'QTR BS'!AH3</f>
        <v/>
      </c>
      <c r="K3" s="11">
        <f>'QTR BS'!AL3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11">
        <f>'QTR BS'!R4</f>
        <v/>
      </c>
      <c r="G4" s="11">
        <f>'QTR BS'!V4</f>
        <v/>
      </c>
      <c r="H4" s="11">
        <f>'QTR BS'!Z4</f>
        <v/>
      </c>
      <c r="I4" s="11">
        <f>'QTR BS'!AD4</f>
        <v/>
      </c>
      <c r="J4" s="11">
        <f>'QTR BS'!AH4</f>
        <v/>
      </c>
      <c r="K4" s="11">
        <f>'QTR BS'!AL4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11">
        <f>'QTR BS'!R5</f>
        <v/>
      </c>
      <c r="G5" s="11">
        <f>'QTR BS'!V5</f>
        <v/>
      </c>
      <c r="H5" s="11">
        <f>'QTR BS'!Z5</f>
        <v/>
      </c>
      <c r="I5" s="11">
        <f>'QTR BS'!AD5</f>
        <v/>
      </c>
      <c r="J5" s="11">
        <f>'QTR BS'!AH5</f>
        <v/>
      </c>
      <c r="K5" s="11">
        <f>'QTR BS'!AL5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11">
        <f>'QTR BS'!R6</f>
        <v/>
      </c>
      <c r="G6" s="11">
        <f>'QTR BS'!V6</f>
        <v/>
      </c>
      <c r="H6" s="11">
        <f>'QTR BS'!Z6</f>
        <v/>
      </c>
      <c r="I6" s="11">
        <f>'QTR BS'!AD6</f>
        <v/>
      </c>
      <c r="J6" s="11">
        <f>'QTR BS'!AH6</f>
        <v/>
      </c>
      <c r="K6" s="11">
        <f>'QTR BS'!AL6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11">
        <f>'QTR BS'!R8</f>
        <v/>
      </c>
      <c r="G8" s="11">
        <f>'QTR BS'!V8</f>
        <v/>
      </c>
      <c r="H8" s="11">
        <f>'QTR BS'!Z8</f>
        <v/>
      </c>
      <c r="I8" s="11">
        <f>'QTR BS'!AD8</f>
        <v/>
      </c>
      <c r="J8" s="11">
        <f>'QTR BS'!AH8</f>
        <v/>
      </c>
      <c r="K8" s="11">
        <f>'QTR BS'!AL8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11">
        <f>'QTR BS'!R9</f>
        <v/>
      </c>
      <c r="G9" s="11">
        <f>'QTR BS'!V9</f>
        <v/>
      </c>
      <c r="H9" s="11">
        <f>'QTR BS'!Z9</f>
        <v/>
      </c>
      <c r="I9" s="11">
        <f>'QTR BS'!AD9</f>
        <v/>
      </c>
      <c r="J9" s="11">
        <f>'QTR BS'!AH9</f>
        <v/>
      </c>
      <c r="K9" s="11">
        <f>'QTR BS'!AL9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11">
        <f>'QTR BS'!R10</f>
        <v/>
      </c>
      <c r="G10" s="11">
        <f>'QTR BS'!V10</f>
        <v/>
      </c>
      <c r="H10" s="11">
        <f>'QTR BS'!Z10</f>
        <v/>
      </c>
      <c r="I10" s="11">
        <f>'QTR BS'!AD10</f>
        <v/>
      </c>
      <c r="J10" s="11">
        <f>'QTR BS'!AH10</f>
        <v/>
      </c>
      <c r="K10" s="11">
        <f>'QTR BS'!AL10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11">
        <f>'QTR BS'!R11</f>
        <v/>
      </c>
      <c r="G11" s="11">
        <f>'QTR BS'!V11</f>
        <v/>
      </c>
      <c r="H11" s="11">
        <f>'QTR BS'!Z11</f>
        <v/>
      </c>
      <c r="I11" s="11">
        <f>'QTR BS'!AD11</f>
        <v/>
      </c>
      <c r="J11" s="11">
        <f>'QTR BS'!AH11</f>
        <v/>
      </c>
      <c r="K11" s="11">
        <f>'QTR BS'!AL11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11">
        <f>'QTR BS'!R12</f>
        <v/>
      </c>
      <c r="G12" s="11">
        <f>'QTR BS'!V12</f>
        <v/>
      </c>
      <c r="H12" s="11">
        <f>'QTR BS'!Z12</f>
        <v/>
      </c>
      <c r="I12" s="11">
        <f>'QTR BS'!AD12</f>
        <v/>
      </c>
      <c r="J12" s="11">
        <f>'QTR BS'!AH12</f>
        <v/>
      </c>
      <c r="K12" s="11">
        <f>'QTR BS'!AL12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11">
        <f>'QTR BS'!R13</f>
        <v/>
      </c>
      <c r="G13" s="11">
        <f>'QTR BS'!V13</f>
        <v/>
      </c>
      <c r="H13" s="11">
        <f>'QTR BS'!Z13</f>
        <v/>
      </c>
      <c r="I13" s="11">
        <f>'QTR BS'!AD13</f>
        <v/>
      </c>
      <c r="J13" s="11">
        <f>'QTR BS'!AH13</f>
        <v/>
      </c>
      <c r="K13" s="11">
        <f>'QTR BS'!AL13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11">
        <f>'QTR BS'!R15</f>
        <v/>
      </c>
      <c r="G15" s="11">
        <f>'QTR BS'!V15</f>
        <v/>
      </c>
      <c r="H15" s="11">
        <f>'QTR BS'!Z15</f>
        <v/>
      </c>
      <c r="I15" s="11">
        <f>'QTR BS'!AD15</f>
        <v/>
      </c>
      <c r="J15" s="11">
        <f>'QTR BS'!AH15</f>
        <v/>
      </c>
      <c r="K15" s="11">
        <f>'QTR BS'!AL15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11">
        <f>'QTR BS'!R16</f>
        <v/>
      </c>
      <c r="G16" s="11">
        <f>'QTR BS'!V16</f>
        <v/>
      </c>
      <c r="H16" s="11">
        <f>'QTR BS'!Z16</f>
        <v/>
      </c>
      <c r="I16" s="11">
        <f>'QTR BS'!AD16</f>
        <v/>
      </c>
      <c r="J16" s="11">
        <f>'QTR BS'!AH16</f>
        <v/>
      </c>
      <c r="K16" s="11">
        <f>'QTR BS'!AL16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11">
        <f>'QTR BS'!R18</f>
        <v/>
      </c>
      <c r="G18" s="11">
        <f>'QTR BS'!V18</f>
        <v/>
      </c>
      <c r="H18" s="11">
        <f>'QTR BS'!Z18</f>
        <v/>
      </c>
      <c r="I18" s="11">
        <f>'QTR BS'!AD18</f>
        <v/>
      </c>
      <c r="J18" s="11">
        <f>'QTR BS'!AH18</f>
        <v/>
      </c>
      <c r="K18" s="11">
        <f>'QTR BS'!AL18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11">
        <f>'QTR BS'!R19</f>
        <v/>
      </c>
      <c r="G19" s="11">
        <f>'QTR BS'!V19</f>
        <v/>
      </c>
      <c r="H19" s="11">
        <f>'QTR BS'!Z19</f>
        <v/>
      </c>
      <c r="I19" s="11">
        <f>'QTR BS'!AD19</f>
        <v/>
      </c>
      <c r="J19" s="11">
        <f>'QTR BS'!AH19</f>
        <v/>
      </c>
      <c r="K19" s="11">
        <f>'QTR BS'!AL19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11">
        <f>'QTR BS'!R20</f>
        <v/>
      </c>
      <c r="G20" s="11">
        <f>'QTR BS'!V20</f>
        <v/>
      </c>
      <c r="H20" s="11">
        <f>'QTR BS'!Z20</f>
        <v/>
      </c>
      <c r="I20" s="11">
        <f>'QTR BS'!AD20</f>
        <v/>
      </c>
      <c r="J20" s="11">
        <f>'QTR BS'!AH20</f>
        <v/>
      </c>
      <c r="K20" s="11">
        <f>'QTR BS'!AL20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11">
        <f>'QTR BS'!R22</f>
        <v/>
      </c>
      <c r="G22" s="11">
        <f>'QTR BS'!V22</f>
        <v/>
      </c>
      <c r="H22" s="11">
        <f>'QTR BS'!Z22</f>
        <v/>
      </c>
      <c r="I22" s="11">
        <f>'QTR BS'!AD22</f>
        <v/>
      </c>
      <c r="J22" s="11">
        <f>'QTR BS'!AH22</f>
        <v/>
      </c>
      <c r="K22" s="11">
        <f>'QTR BS'!AL22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11">
        <f>'QTR BS'!R23</f>
        <v/>
      </c>
      <c r="G23" s="11">
        <f>'QTR BS'!V23</f>
        <v/>
      </c>
      <c r="H23" s="11">
        <f>'QTR BS'!Z23</f>
        <v/>
      </c>
      <c r="I23" s="11">
        <f>'QTR BS'!AD23</f>
        <v/>
      </c>
      <c r="J23" s="11">
        <f>'QTR BS'!AH23</f>
        <v/>
      </c>
      <c r="K23" s="11">
        <f>'QTR BS'!AL23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11">
        <f>'QTR BS'!R24</f>
        <v/>
      </c>
      <c r="G24" s="11">
        <f>'QTR BS'!V24</f>
        <v/>
      </c>
      <c r="H24" s="11">
        <f>'QTR BS'!Z24</f>
        <v/>
      </c>
      <c r="I24" s="11">
        <f>'QTR BS'!AD24</f>
        <v/>
      </c>
      <c r="J24" s="11">
        <f>'QTR BS'!AH24</f>
        <v/>
      </c>
      <c r="K24" s="11">
        <f>'QTR BS'!AL24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11">
        <f>'QTR BS'!R25</f>
        <v/>
      </c>
      <c r="G25" s="11">
        <f>'QTR BS'!V25</f>
        <v/>
      </c>
      <c r="H25" s="11">
        <f>'QTR BS'!Z25</f>
        <v/>
      </c>
      <c r="I25" s="11">
        <f>'QTR BS'!AD25</f>
        <v/>
      </c>
      <c r="J25" s="11">
        <f>'QTR BS'!AH25</f>
        <v/>
      </c>
      <c r="K25" s="11">
        <f>'QTR BS'!AL25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11">
        <f>'QTR BS'!R26</f>
        <v/>
      </c>
      <c r="G26" s="11">
        <f>'QTR BS'!V26</f>
        <v/>
      </c>
      <c r="H26" s="11">
        <f>'QTR BS'!Z26</f>
        <v/>
      </c>
      <c r="I26" s="11">
        <f>'QTR BS'!AD26</f>
        <v/>
      </c>
      <c r="J26" s="11">
        <f>'QTR BS'!AH26</f>
        <v/>
      </c>
      <c r="K26" s="11">
        <f>'QTR BS'!AL26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11">
        <f>'QTR BS'!R27</f>
        <v/>
      </c>
      <c r="G27" s="11">
        <f>'QTR BS'!V27</f>
        <v/>
      </c>
      <c r="H27" s="11">
        <f>'QTR BS'!Z27</f>
        <v/>
      </c>
      <c r="I27" s="11">
        <f>'QTR BS'!AD27</f>
        <v/>
      </c>
      <c r="J27" s="11">
        <f>'QTR BS'!AH27</f>
        <v/>
      </c>
      <c r="K27" s="11">
        <f>'QTR BS'!AL27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11">
        <f>'QTR CF'!R2+'QTR CF'!S2+'QTR CF'!T2+'QTR CF'!U2</f>
        <v/>
      </c>
      <c r="H2" s="11">
        <f>'QTR CF'!V2+'QTR CF'!W2+'QTR CF'!X2+'QTR CF'!Y2</f>
        <v/>
      </c>
      <c r="I2" s="11">
        <f>'QTR CF'!Z2+'QTR CF'!AA2+'QTR CF'!AB2+'QTR CF'!AC2</f>
        <v/>
      </c>
      <c r="J2" s="11">
        <f>'QTR CF'!AD2+'QTR CF'!AE2+'QTR CF'!AF2+'QTR CF'!AG2</f>
        <v/>
      </c>
      <c r="K2" s="11">
        <f>'QTR CF'!AH2+'QTR CF'!AI2+'QTR CF'!AJ2+'QTR CF'!AK2</f>
        <v/>
      </c>
      <c r="L2" s="11">
        <f>'QTR CF'!AL2+'QTR CF'!AM2+'QTR CF'!AN2+'QTR CF'!AO2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11">
        <f>'QTR CF'!R3+'QTR CF'!S3+'QTR CF'!T3+'QTR CF'!U3</f>
        <v/>
      </c>
      <c r="H3" s="11">
        <f>'QTR CF'!V3+'QTR CF'!W3+'QTR CF'!X3+'QTR CF'!Y3</f>
        <v/>
      </c>
      <c r="I3" s="11">
        <f>'QTR CF'!Z3+'QTR CF'!AA3+'QTR CF'!AB3+'QTR CF'!AC3</f>
        <v/>
      </c>
      <c r="J3" s="11">
        <f>'QTR CF'!AD3+'QTR CF'!AE3+'QTR CF'!AF3+'QTR CF'!AG3</f>
        <v/>
      </c>
      <c r="K3" s="11">
        <f>'QTR CF'!AH3+'QTR CF'!AI3+'QTR CF'!AJ3+'QTR CF'!AK3</f>
        <v/>
      </c>
      <c r="L3" s="11">
        <f>'QTR CF'!AL3+'QTR CF'!AM3+'QTR CF'!AN3+'QTR CF'!AO3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11">
        <f>'QTR CF'!R4+'QTR CF'!S4+'QTR CF'!T4+'QTR CF'!U4</f>
        <v/>
      </c>
      <c r="H4" s="11">
        <f>'QTR CF'!V4+'QTR CF'!W4+'QTR CF'!X4+'QTR CF'!Y4</f>
        <v/>
      </c>
      <c r="I4" s="11">
        <f>'QTR CF'!Z4+'QTR CF'!AA4+'QTR CF'!AB4+'QTR CF'!AC4</f>
        <v/>
      </c>
      <c r="J4" s="11">
        <f>'QTR CF'!AD4+'QTR CF'!AE4+'QTR CF'!AF4+'QTR CF'!AG4</f>
        <v/>
      </c>
      <c r="K4" s="11">
        <f>'QTR CF'!AH4+'QTR CF'!AI4+'QTR CF'!AJ4+'QTR CF'!AK4</f>
        <v/>
      </c>
      <c r="L4" s="11">
        <f>'QTR CF'!AL4+'QTR CF'!AM4+'QTR CF'!AN4+'QTR CF'!AO4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11">
        <f>'QTR CF'!R5+'QTR CF'!S5+'QTR CF'!T5+'QTR CF'!U5</f>
        <v/>
      </c>
      <c r="H5" s="11">
        <f>'QTR CF'!V5+'QTR CF'!W5+'QTR CF'!X5+'QTR CF'!Y5</f>
        <v/>
      </c>
      <c r="I5" s="11">
        <f>'QTR CF'!Z5+'QTR CF'!AA5+'QTR CF'!AB5+'QTR CF'!AC5</f>
        <v/>
      </c>
      <c r="J5" s="11">
        <f>'QTR CF'!AD5+'QTR CF'!AE5+'QTR CF'!AF5+'QTR CF'!AG5</f>
        <v/>
      </c>
      <c r="K5" s="11">
        <f>'QTR CF'!AH5+'QTR CF'!AI5+'QTR CF'!AJ5+'QTR CF'!AK5</f>
        <v/>
      </c>
      <c r="L5" s="11">
        <f>'QTR CF'!AL5+'QTR CF'!AM5+'QTR CF'!AN5+'QTR CF'!AO5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11">
        <f>'QTR CF'!R6+'QTR CF'!S6+'QTR CF'!T6+'QTR CF'!U6</f>
        <v/>
      </c>
      <c r="H6" s="11">
        <f>'QTR CF'!V6+'QTR CF'!W6+'QTR CF'!X6+'QTR CF'!Y6</f>
        <v/>
      </c>
      <c r="I6" s="11">
        <f>'QTR CF'!Z6+'QTR CF'!AA6+'QTR CF'!AB6+'QTR CF'!AC6</f>
        <v/>
      </c>
      <c r="J6" s="11">
        <f>'QTR CF'!AD6+'QTR CF'!AE6+'QTR CF'!AF6+'QTR CF'!AG6</f>
        <v/>
      </c>
      <c r="K6" s="11">
        <f>'QTR CF'!AH6+'QTR CF'!AI6+'QTR CF'!AJ6+'QTR CF'!AK6</f>
        <v/>
      </c>
      <c r="L6" s="11">
        <f>'QTR CF'!AL6+'QTR CF'!AM6+'QTR CF'!AN6+'QTR CF'!AO6</f>
        <v/>
      </c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11">
        <f>'QTR CF'!R7+'QTR CF'!S7+'QTR CF'!T7+'QTR CF'!U7</f>
        <v/>
      </c>
      <c r="H7" s="11">
        <f>'QTR CF'!V7+'QTR CF'!W7+'QTR CF'!X7+'QTR CF'!Y7</f>
        <v/>
      </c>
      <c r="I7" s="11">
        <f>'QTR CF'!Z7+'QTR CF'!AA7+'QTR CF'!AB7+'QTR CF'!AC7</f>
        <v/>
      </c>
      <c r="J7" s="11">
        <f>'QTR CF'!AD7+'QTR CF'!AE7+'QTR CF'!AF7+'QTR CF'!AG7</f>
        <v/>
      </c>
      <c r="K7" s="11">
        <f>'QTR CF'!AH7+'QTR CF'!AI7+'QTR CF'!AJ7+'QTR CF'!AK7</f>
        <v/>
      </c>
      <c r="L7" s="11">
        <f>'QTR CF'!AL7+'QTR CF'!AM7+'QTR CF'!AN7+'QTR CF'!AO7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11">
        <f>'QTR CF'!R8+'QTR CF'!S8+'QTR CF'!T8+'QTR CF'!U8</f>
        <v/>
      </c>
      <c r="H8" s="11">
        <f>'QTR CF'!V8+'QTR CF'!W8+'QTR CF'!X8+'QTR CF'!Y8</f>
        <v/>
      </c>
      <c r="I8" s="11">
        <f>'QTR CF'!Z8+'QTR CF'!AA8+'QTR CF'!AB8+'QTR CF'!AC8</f>
        <v/>
      </c>
      <c r="J8" s="11">
        <f>'QTR CF'!AD8+'QTR CF'!AE8+'QTR CF'!AF8+'QTR CF'!AG8</f>
        <v/>
      </c>
      <c r="K8" s="11">
        <f>'QTR CF'!AH8+'QTR CF'!AI8+'QTR CF'!AJ8+'QTR CF'!AK8</f>
        <v/>
      </c>
      <c r="L8" s="11">
        <f>'QTR CF'!AL8+'QTR CF'!AM8+'QTR CF'!AN8+'QTR CF'!AO8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11">
        <f>'QTR CF'!R9+'QTR CF'!S9+'QTR CF'!T9+'QTR CF'!U9</f>
        <v/>
      </c>
      <c r="H9" s="11">
        <f>'QTR CF'!V9+'QTR CF'!W9+'QTR CF'!X9+'QTR CF'!Y9</f>
        <v/>
      </c>
      <c r="I9" s="11">
        <f>'QTR CF'!Z9+'QTR CF'!AA9+'QTR CF'!AB9+'QTR CF'!AC9</f>
        <v/>
      </c>
      <c r="J9" s="11">
        <f>'QTR CF'!AD9+'QTR CF'!AE9+'QTR CF'!AF9+'QTR CF'!AG9</f>
        <v/>
      </c>
      <c r="K9" s="11">
        <f>'QTR CF'!AH9+'QTR CF'!AI9+'QTR CF'!AJ9+'QTR CF'!AK9</f>
        <v/>
      </c>
      <c r="L9" s="11">
        <f>'QTR CF'!AL9+'QTR CF'!AM9+'QTR CF'!AN9+'QTR CF'!AO9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11">
        <f>'QTR CF'!R10+'QTR CF'!S10+'QTR CF'!T10+'QTR CF'!U10</f>
        <v/>
      </c>
      <c r="H10" s="11">
        <f>'QTR CF'!V10+'QTR CF'!W10+'QTR CF'!X10+'QTR CF'!Y10</f>
        <v/>
      </c>
      <c r="I10" s="11">
        <f>'QTR CF'!Z10+'QTR CF'!AA10+'QTR CF'!AB10+'QTR CF'!AC10</f>
        <v/>
      </c>
      <c r="J10" s="11">
        <f>'QTR CF'!AD10+'QTR CF'!AE10+'QTR CF'!AF10+'QTR CF'!AG10</f>
        <v/>
      </c>
      <c r="K10" s="11">
        <f>'QTR CF'!AH10+'QTR CF'!AI10+'QTR CF'!AJ10+'QTR CF'!AK10</f>
        <v/>
      </c>
      <c r="L10" s="11">
        <f>'QTR CF'!AL10+'QTR CF'!AM10+'QTR CF'!AN10+'QTR CF'!AO10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11">
        <f>'QTR CF'!R11+'QTR CF'!S11+'QTR CF'!T11+'QTR CF'!U11</f>
        <v/>
      </c>
      <c r="H11" s="11">
        <f>'QTR CF'!V11+'QTR CF'!W11+'QTR CF'!X11+'QTR CF'!Y11</f>
        <v/>
      </c>
      <c r="I11" s="11">
        <f>'QTR CF'!Z11+'QTR CF'!AA11+'QTR CF'!AB11+'QTR CF'!AC11</f>
        <v/>
      </c>
      <c r="J11" s="11">
        <f>'QTR CF'!AD11+'QTR CF'!AE11+'QTR CF'!AF11+'QTR CF'!AG11</f>
        <v/>
      </c>
      <c r="K11" s="11">
        <f>'QTR CF'!AH11+'QTR CF'!AI11+'QTR CF'!AJ11+'QTR CF'!AK11</f>
        <v/>
      </c>
      <c r="L11" s="11">
        <f>'QTR CF'!AL11+'QTR CF'!AM11+'QTR CF'!AN11+'QTR CF'!AO11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11">
        <f>'QTR CF'!R12+'QTR CF'!S12+'QTR CF'!T12+'QTR CF'!U12</f>
        <v/>
      </c>
      <c r="H12" s="11">
        <f>'QTR CF'!V12+'QTR CF'!W12+'QTR CF'!X12+'QTR CF'!Y12</f>
        <v/>
      </c>
      <c r="I12" s="11">
        <f>'QTR CF'!Z12+'QTR CF'!AA12+'QTR CF'!AB12+'QTR CF'!AC12</f>
        <v/>
      </c>
      <c r="J12" s="11">
        <f>'QTR CF'!AD12+'QTR CF'!AE12+'QTR CF'!AF12+'QTR CF'!AG12</f>
        <v/>
      </c>
      <c r="K12" s="11">
        <f>'QTR CF'!AH12+'QTR CF'!AI12+'QTR CF'!AJ12+'QTR CF'!AK12</f>
        <v/>
      </c>
      <c r="L12" s="11">
        <f>'QTR CF'!AL12+'QTR CF'!AM12+'QTR CF'!AN12+'QTR CF'!AO12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11">
        <f>'QTR CF'!R13+'QTR CF'!S13+'QTR CF'!T13+'QTR CF'!U13</f>
        <v/>
      </c>
      <c r="H13" s="11">
        <f>'QTR CF'!V13+'QTR CF'!W13+'QTR CF'!X13+'QTR CF'!Y13</f>
        <v/>
      </c>
      <c r="I13" s="11">
        <f>'QTR CF'!Z13+'QTR CF'!AA13+'QTR CF'!AB13+'QTR CF'!AC13</f>
        <v/>
      </c>
      <c r="J13" s="11">
        <f>'QTR CF'!AD13+'QTR CF'!AE13+'QTR CF'!AF13+'QTR CF'!AG13</f>
        <v/>
      </c>
      <c r="K13" s="11">
        <f>'QTR CF'!AH13+'QTR CF'!AI13+'QTR CF'!AJ13+'QTR CF'!AK13</f>
        <v/>
      </c>
      <c r="L13" s="11">
        <f>'QTR CF'!AL13+'QTR CF'!AM13+'QTR CF'!AN13+'QTR CF'!AO13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11">
        <f>'QTR CF'!R14+'QTR CF'!S14+'QTR CF'!T14+'QTR CF'!U14</f>
        <v/>
      </c>
      <c r="H14" s="11">
        <f>'QTR CF'!V14+'QTR CF'!W14+'QTR CF'!X14+'QTR CF'!Y14</f>
        <v/>
      </c>
      <c r="I14" s="11">
        <f>'QTR CF'!Z14+'QTR CF'!AA14+'QTR CF'!AB14+'QTR CF'!AC14</f>
        <v/>
      </c>
      <c r="J14" s="11">
        <f>'QTR CF'!AD14+'QTR CF'!AE14+'QTR CF'!AF14+'QTR CF'!AG14</f>
        <v/>
      </c>
      <c r="K14" s="11">
        <f>'QTR CF'!AH14+'QTR CF'!AI14+'QTR CF'!AJ14+'QTR CF'!AK14</f>
        <v/>
      </c>
      <c r="L14" s="11">
        <f>'QTR CF'!AL14+'QTR CF'!AM14+'QTR CF'!AN14+'QTR CF'!AO14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11">
        <f>'QTR CF'!R15+'QTR CF'!S15+'QTR CF'!T15+'QTR CF'!U15</f>
        <v/>
      </c>
      <c r="H15" s="11">
        <f>'QTR CF'!V15+'QTR CF'!W15+'QTR CF'!X15+'QTR CF'!Y15</f>
        <v/>
      </c>
      <c r="I15" s="11">
        <f>'QTR CF'!Z15+'QTR CF'!AA15+'QTR CF'!AB15+'QTR CF'!AC15</f>
        <v/>
      </c>
      <c r="J15" s="11">
        <f>'QTR CF'!AD15+'QTR CF'!AE15+'QTR CF'!AF15+'QTR CF'!AG15</f>
        <v/>
      </c>
      <c r="K15" s="11">
        <f>'QTR CF'!AH15+'QTR CF'!AI15+'QTR CF'!AJ15+'QTR CF'!AK15</f>
        <v/>
      </c>
      <c r="L15" s="11">
        <f>'QTR CF'!AL15+'QTR CF'!AM15+'QTR CF'!AN15+'QTR CF'!AO15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11">
        <f>'QTR CF'!R16+'QTR CF'!S16+'QTR CF'!T16+'QTR CF'!U16</f>
        <v/>
      </c>
      <c r="H16" s="11">
        <f>'QTR CF'!V16+'QTR CF'!W16+'QTR CF'!X16+'QTR CF'!Y16</f>
        <v/>
      </c>
      <c r="I16" s="11">
        <f>'QTR CF'!Z16+'QTR CF'!AA16+'QTR CF'!AB16+'QTR CF'!AC16</f>
        <v/>
      </c>
      <c r="J16" s="11">
        <f>'QTR CF'!AD16+'QTR CF'!AE16+'QTR CF'!AF16+'QTR CF'!AG16</f>
        <v/>
      </c>
      <c r="K16" s="11">
        <f>'QTR CF'!AH16+'QTR CF'!AI16+'QTR CF'!AJ16+'QTR CF'!AK16</f>
        <v/>
      </c>
      <c r="L16" s="11">
        <f>'QTR CF'!AL16+'QTR CF'!AM16+'QTR CF'!AN16+'QTR CF'!AO16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11">
        <f>'QTR CF'!R17+'QTR CF'!S17+'QTR CF'!T17+'QTR CF'!U17</f>
        <v/>
      </c>
      <c r="H17" s="11">
        <f>'QTR CF'!V17+'QTR CF'!W17+'QTR CF'!X17+'QTR CF'!Y17</f>
        <v/>
      </c>
      <c r="I17" s="11">
        <f>'QTR CF'!Z17+'QTR CF'!AA17+'QTR CF'!AB17+'QTR CF'!AC17</f>
        <v/>
      </c>
      <c r="J17" s="11">
        <f>'QTR CF'!AD17+'QTR CF'!AE17+'QTR CF'!AF17+'QTR CF'!AG17</f>
        <v/>
      </c>
      <c r="K17" s="11">
        <f>'QTR CF'!AH17+'QTR CF'!AI17+'QTR CF'!AJ17+'QTR CF'!AK17</f>
        <v/>
      </c>
      <c r="L17" s="11">
        <f>'QTR CF'!AL17+'QTR CF'!AM17+'QTR CF'!AN17+'QTR CF'!AO17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11">
        <f>'QTR CF'!R18+'QTR CF'!S18+'QTR CF'!T18+'QTR CF'!U18</f>
        <v/>
      </c>
      <c r="H18" s="11">
        <f>'QTR CF'!V18+'QTR CF'!W18+'QTR CF'!X18+'QTR CF'!Y18</f>
        <v/>
      </c>
      <c r="I18" s="11">
        <f>'QTR CF'!Z18+'QTR CF'!AA18+'QTR CF'!AB18+'QTR CF'!AC18</f>
        <v/>
      </c>
      <c r="J18" s="11">
        <f>'QTR CF'!AD18+'QTR CF'!AE18+'QTR CF'!AF18+'QTR CF'!AG18</f>
        <v/>
      </c>
      <c r="K18" s="11">
        <f>'QTR CF'!AH18+'QTR CF'!AI18+'QTR CF'!AJ18+'QTR CF'!AK18</f>
        <v/>
      </c>
      <c r="L18" s="11">
        <f>'QTR CF'!AL18+'QTR CF'!AM18+'QTR CF'!AN18+'QTR CF'!AO18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11">
        <f>'QTR CF'!R19+'QTR CF'!S19+'QTR CF'!T19+'QTR CF'!U19</f>
        <v/>
      </c>
      <c r="H19" s="11">
        <f>'QTR CF'!V19+'QTR CF'!W19+'QTR CF'!X19+'QTR CF'!Y19</f>
        <v/>
      </c>
      <c r="I19" s="11">
        <f>'QTR CF'!Z19+'QTR CF'!AA19+'QTR CF'!AB19+'QTR CF'!AC19</f>
        <v/>
      </c>
      <c r="J19" s="11">
        <f>'QTR CF'!AD19+'QTR CF'!AE19+'QTR CF'!AF19+'QTR CF'!AG19</f>
        <v/>
      </c>
      <c r="K19" s="11">
        <f>'QTR CF'!AH19+'QTR CF'!AI19+'QTR CF'!AJ19+'QTR CF'!AK19</f>
        <v/>
      </c>
      <c r="L19" s="11">
        <f>'QTR CF'!AL19+'QTR CF'!AM19+'QTR CF'!AN19+'QTR CF'!AO19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11">
        <f>'QTR CF'!R20+'QTR CF'!S20+'QTR CF'!T20+'QTR CF'!U20</f>
        <v/>
      </c>
      <c r="H20" s="11">
        <f>'QTR CF'!V20+'QTR CF'!W20+'QTR CF'!X20+'QTR CF'!Y20</f>
        <v/>
      </c>
      <c r="I20" s="11">
        <f>'QTR CF'!Z20+'QTR CF'!AA20+'QTR CF'!AB20+'QTR CF'!AC20</f>
        <v/>
      </c>
      <c r="J20" s="11">
        <f>'QTR CF'!AD20+'QTR CF'!AE20+'QTR CF'!AF20+'QTR CF'!AG20</f>
        <v/>
      </c>
      <c r="K20" s="11">
        <f>'QTR CF'!AH20+'QTR CF'!AI20+'QTR CF'!AJ20+'QTR CF'!AK20</f>
        <v/>
      </c>
      <c r="L20" s="11">
        <f>'QTR CF'!AL20+'QTR CF'!AM20+'QTR CF'!AN20+'QTR CF'!AO20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11">
        <f>'QTR CF'!R21+'QTR CF'!S21+'QTR CF'!T21+'QTR CF'!U21</f>
        <v/>
      </c>
      <c r="H21" s="11">
        <f>'QTR CF'!V21+'QTR CF'!W21+'QTR CF'!X21+'QTR CF'!Y21</f>
        <v/>
      </c>
      <c r="I21" s="11">
        <f>'QTR CF'!Z21+'QTR CF'!AA21+'QTR CF'!AB21+'QTR CF'!AC21</f>
        <v/>
      </c>
      <c r="J21" s="11">
        <f>'QTR CF'!AD21+'QTR CF'!AE21+'QTR CF'!AF21+'QTR CF'!AG21</f>
        <v/>
      </c>
      <c r="K21" s="11">
        <f>'QTR CF'!AH21+'QTR CF'!AI21+'QTR CF'!AJ21+'QTR CF'!AK21</f>
        <v/>
      </c>
      <c r="L21" s="11">
        <f>'QTR CF'!AL21+'QTR CF'!AM21+'QTR CF'!AN21+'QTR CF'!AO21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11">
        <f>'QTR CF'!R22+'QTR CF'!S22+'QTR CF'!T22+'QTR CF'!U22</f>
        <v/>
      </c>
      <c r="H22" s="11">
        <f>'QTR CF'!V22+'QTR CF'!W22+'QTR CF'!X22+'QTR CF'!Y22</f>
        <v/>
      </c>
      <c r="I22" s="11">
        <f>'QTR CF'!Z22+'QTR CF'!AA22+'QTR CF'!AB22+'QTR CF'!AC22</f>
        <v/>
      </c>
      <c r="J22" s="11">
        <f>'QTR CF'!AD22+'QTR CF'!AE22+'QTR CF'!AF22+'QTR CF'!AG22</f>
        <v/>
      </c>
      <c r="K22" s="11">
        <f>'QTR CF'!AH22+'QTR CF'!AI22+'QTR CF'!AJ22+'QTR CF'!AK22</f>
        <v/>
      </c>
      <c r="L22" s="11">
        <f>'QTR CF'!AL22+'QTR CF'!AM22+'QTR CF'!AN22+'QTR CF'!AO22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11">
        <f>'QTR CF'!R23+'QTR CF'!S23+'QTR CF'!T23+'QTR CF'!U23</f>
        <v/>
      </c>
      <c r="H23" s="11">
        <f>'QTR CF'!V23+'QTR CF'!W23+'QTR CF'!X23+'QTR CF'!Y23</f>
        <v/>
      </c>
      <c r="I23" s="11">
        <f>'QTR CF'!Z23+'QTR CF'!AA23+'QTR CF'!AB23+'QTR CF'!AC23</f>
        <v/>
      </c>
      <c r="J23" s="11">
        <f>'QTR CF'!AD23+'QTR CF'!AE23+'QTR CF'!AF23+'QTR CF'!AG23</f>
        <v/>
      </c>
      <c r="K23" s="11">
        <f>'QTR CF'!AH23+'QTR CF'!AI23+'QTR CF'!AJ23+'QTR CF'!AK23</f>
        <v/>
      </c>
      <c r="L23" s="11">
        <f>'QTR CF'!AL23+'QTR CF'!AM23+'QTR CF'!AN23+'QTR CF'!AO23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11">
        <f>'QTR CF'!R24+'QTR CF'!S24+'QTR CF'!T24+'QTR CF'!U24</f>
        <v/>
      </c>
      <c r="H24" s="11">
        <f>'QTR CF'!V24+'QTR CF'!W24+'QTR CF'!X24+'QTR CF'!Y24</f>
        <v/>
      </c>
      <c r="I24" s="11">
        <f>'QTR CF'!Z24+'QTR CF'!AA24+'QTR CF'!AB24+'QTR CF'!AC24</f>
        <v/>
      </c>
      <c r="J24" s="11">
        <f>'QTR CF'!AD24+'QTR CF'!AE24+'QTR CF'!AF24+'QTR CF'!AG24</f>
        <v/>
      </c>
      <c r="K24" s="11">
        <f>'QTR CF'!AH24+'QTR CF'!AI24+'QTR CF'!AJ24+'QTR CF'!AK24</f>
        <v/>
      </c>
      <c r="L24" s="11">
        <f>'QTR CF'!AL24+'QTR CF'!AM24+'QTR CF'!AN24+'QTR CF'!AO24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11">
        <f>'QTR CF'!R25+'QTR CF'!S25+'QTR CF'!T25+'QTR CF'!U25</f>
        <v/>
      </c>
      <c r="H25" s="11">
        <f>'QTR CF'!V25+'QTR CF'!W25+'QTR CF'!X25+'QTR CF'!Y25</f>
        <v/>
      </c>
      <c r="I25" s="11">
        <f>'QTR CF'!Z25+'QTR CF'!AA25+'QTR CF'!AB25+'QTR CF'!AC25</f>
        <v/>
      </c>
      <c r="J25" s="11">
        <f>'QTR CF'!AD25+'QTR CF'!AE25+'QTR CF'!AF25+'QTR CF'!AG25</f>
        <v/>
      </c>
      <c r="K25" s="11">
        <f>'QTR CF'!AH25+'QTR CF'!AI25+'QTR CF'!AJ25+'QTR CF'!AK25</f>
        <v/>
      </c>
      <c r="L25" s="11">
        <f>'QTR CF'!AL25+'QTR CF'!AM25+'QTR CF'!AN25+'QTR CF'!AO25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11">
        <f>'QTR CF'!R27+'QTR CF'!S27+'QTR CF'!T27+'QTR CF'!U27</f>
        <v/>
      </c>
      <c r="H27" s="11">
        <f>'QTR CF'!V27+'QTR CF'!W27+'QTR CF'!X27+'QTR CF'!Y27</f>
        <v/>
      </c>
      <c r="I27" s="11">
        <f>'QTR CF'!Z27+'QTR CF'!AA27+'QTR CF'!AB27+'QTR CF'!AC27</f>
        <v/>
      </c>
      <c r="J27" s="11">
        <f>'QTR CF'!AD27+'QTR CF'!AE27+'QTR CF'!AF27+'QTR CF'!AG27</f>
        <v/>
      </c>
      <c r="K27" s="11">
        <f>'QTR CF'!AH27+'QTR CF'!AI27+'QTR CF'!AJ27+'QTR CF'!AK27</f>
        <v/>
      </c>
      <c r="L27" s="11">
        <f>'QTR CF'!AL27+'QTR CF'!AM27+'QTR CF'!AN27+'QTR CF'!AO27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11">
        <f>'QTR CF'!R28+'QTR CF'!S28+'QTR CF'!T28+'QTR CF'!U28</f>
        <v/>
      </c>
      <c r="H28" s="11">
        <f>'QTR CF'!V28+'QTR CF'!W28+'QTR CF'!X28+'QTR CF'!Y28</f>
        <v/>
      </c>
      <c r="I28" s="11">
        <f>'QTR CF'!Z28+'QTR CF'!AA28+'QTR CF'!AB28+'QTR CF'!AC28</f>
        <v/>
      </c>
      <c r="J28" s="11">
        <f>'QTR CF'!AD28+'QTR CF'!AE28+'QTR CF'!AF28+'QTR CF'!AG28</f>
        <v/>
      </c>
      <c r="K28" s="11">
        <f>'QTR CF'!AH28+'QTR CF'!AI28+'QTR CF'!AJ28+'QTR CF'!AK28</f>
        <v/>
      </c>
      <c r="L28" s="11">
        <f>'QTR CF'!AL28+'QTR CF'!AM28+'QTR CF'!AN28+'QTR CF'!AO28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11">
        <f>'QTR CF'!R29+'QTR CF'!S29+'QTR CF'!T29+'QTR CF'!U29</f>
        <v/>
      </c>
      <c r="H29" s="11">
        <f>'QTR CF'!V29+'QTR CF'!W29+'QTR CF'!X29+'QTR CF'!Y29</f>
        <v/>
      </c>
      <c r="I29" s="11">
        <f>'QTR CF'!Z29+'QTR CF'!AA29+'QTR CF'!AB29+'QTR CF'!AC29</f>
        <v/>
      </c>
      <c r="J29" s="11">
        <f>'QTR CF'!AD29+'QTR CF'!AE29+'QTR CF'!AF29+'QTR CF'!AG29</f>
        <v/>
      </c>
      <c r="K29" s="11">
        <f>'QTR CF'!AH29+'QTR CF'!AI29+'QTR CF'!AJ29+'QTR CF'!AK29</f>
        <v/>
      </c>
      <c r="L29" s="11">
        <f>'QTR CF'!AL29+'QTR CF'!AM29+'QTR CF'!AN29+'QTR CF'!AO29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11">
        <f>'QTR CF'!R30+'QTR CF'!S30+'QTR CF'!T30+'QTR CF'!U30</f>
        <v/>
      </c>
      <c r="H30" s="11">
        <f>'QTR CF'!V30+'QTR CF'!W30+'QTR CF'!X30+'QTR CF'!Y30</f>
        <v/>
      </c>
      <c r="I30" s="11">
        <f>'QTR CF'!Z30+'QTR CF'!AA30+'QTR CF'!AB30+'QTR CF'!AC30</f>
        <v/>
      </c>
      <c r="J30" s="11">
        <f>'QTR CF'!AD30+'QTR CF'!AE30+'QTR CF'!AF30+'QTR CF'!AG30</f>
        <v/>
      </c>
      <c r="K30" s="11">
        <f>'QTR CF'!AH30+'QTR CF'!AI30+'QTR CF'!AJ30+'QTR CF'!AK30</f>
        <v/>
      </c>
      <c r="L30" s="11">
        <f>'QTR CF'!AL30+'QTR CF'!AM30+'QTR CF'!AN30+'QTR CF'!AO30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11">
        <f>'QTR CF'!R31+'QTR CF'!S31+'QTR CF'!T31+'QTR CF'!U31</f>
        <v/>
      </c>
      <c r="H31" s="11">
        <f>'QTR CF'!V31+'QTR CF'!W31+'QTR CF'!X31+'QTR CF'!Y31</f>
        <v/>
      </c>
      <c r="I31" s="11">
        <f>'QTR CF'!Z31+'QTR CF'!AA31+'QTR CF'!AB31+'QTR CF'!AC31</f>
        <v/>
      </c>
      <c r="J31" s="11">
        <f>'QTR CF'!AD31+'QTR CF'!AE31+'QTR CF'!AF31+'QTR CF'!AG31</f>
        <v/>
      </c>
      <c r="K31" s="11">
        <f>'QTR CF'!AH31+'QTR CF'!AI31+'QTR CF'!AJ31+'QTR CF'!AK31</f>
        <v/>
      </c>
      <c r="L31" s="11">
        <f>'QTR CF'!AL31+'QTR CF'!AM31+'QTR CF'!AN31+'QTR CF'!AO31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11">
        <f>'QTR CF'!R32+'QTR CF'!S32+'QTR CF'!T32+'QTR CF'!U32</f>
        <v/>
      </c>
      <c r="H32" s="11">
        <f>'QTR CF'!V32+'QTR CF'!W32+'QTR CF'!X32+'QTR CF'!Y32</f>
        <v/>
      </c>
      <c r="I32" s="11">
        <f>'QTR CF'!Z32+'QTR CF'!AA32+'QTR CF'!AB32+'QTR CF'!AC32</f>
        <v/>
      </c>
      <c r="J32" s="11">
        <f>'QTR CF'!AD32+'QTR CF'!AE32+'QTR CF'!AF32+'QTR CF'!AG32</f>
        <v/>
      </c>
      <c r="K32" s="11">
        <f>'QTR CF'!AH32+'QTR CF'!AI32+'QTR CF'!AJ32+'QTR CF'!AK32</f>
        <v/>
      </c>
      <c r="L32" s="11">
        <f>'QTR CF'!AL32+'QTR CF'!AM32+'QTR CF'!AN32+'QTR CF'!AO32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11">
        <f>'QTR CF'!R33+'QTR CF'!S33+'QTR CF'!T33+'QTR CF'!U33</f>
        <v/>
      </c>
      <c r="H33" s="11">
        <f>'QTR CF'!V33+'QTR CF'!W33+'QTR CF'!X33+'QTR CF'!Y33</f>
        <v/>
      </c>
      <c r="I33" s="11">
        <f>'QTR CF'!Z33+'QTR CF'!AA33+'QTR CF'!AB33+'QTR CF'!AC33</f>
        <v/>
      </c>
      <c r="J33" s="11">
        <f>'QTR CF'!AD33+'QTR CF'!AE33+'QTR CF'!AF33+'QTR CF'!AG33</f>
        <v/>
      </c>
      <c r="K33" s="11">
        <f>'QTR CF'!AH33+'QTR CF'!AI33+'QTR CF'!AJ33+'QTR CF'!AK33</f>
        <v/>
      </c>
      <c r="L33" s="11">
        <f>'QTR CF'!AL33+'QTR CF'!AM33+'QTR CF'!AN33+'QTR CF'!AO33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11">
        <f>'QTR CF'!R35+'QTR CF'!S35+'QTR CF'!T35+'QTR CF'!U35</f>
        <v/>
      </c>
      <c r="H35" s="11">
        <f>'QTR CF'!V35+'QTR CF'!W35+'QTR CF'!X35+'QTR CF'!Y35</f>
        <v/>
      </c>
      <c r="I35" s="11">
        <f>'QTR CF'!Z35+'QTR CF'!AA35+'QTR CF'!AB35+'QTR CF'!AC35</f>
        <v/>
      </c>
      <c r="J35" s="11">
        <f>'QTR CF'!AD35+'QTR CF'!AE35+'QTR CF'!AF35+'QTR CF'!AG35</f>
        <v/>
      </c>
      <c r="K35" s="11">
        <f>'QTR CF'!AH35+'QTR CF'!AI35+'QTR CF'!AJ35+'QTR CF'!AK35</f>
        <v/>
      </c>
      <c r="L35" s="11">
        <f>'QTR CF'!AL35+'QTR CF'!AM35+'QTR CF'!AN35+'QTR CF'!AO35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11">
        <f>'QTR CF'!R36+'QTR CF'!S36+'QTR CF'!T36+'QTR CF'!U36</f>
        <v/>
      </c>
      <c r="H36" s="11">
        <f>'QTR CF'!V36+'QTR CF'!W36+'QTR CF'!X36+'QTR CF'!Y36</f>
        <v/>
      </c>
      <c r="I36" s="11">
        <f>'QTR CF'!Z36+'QTR CF'!AA36+'QTR CF'!AB36+'QTR CF'!AC36</f>
        <v/>
      </c>
      <c r="J36" s="11">
        <f>'QTR CF'!AD36+'QTR CF'!AE36+'QTR CF'!AF36+'QTR CF'!AG36</f>
        <v/>
      </c>
      <c r="K36" s="11">
        <f>'QTR CF'!AH36+'QTR CF'!AI36+'QTR CF'!AJ36+'QTR CF'!AK36</f>
        <v/>
      </c>
      <c r="L36" s="11">
        <f>'QTR CF'!AL36+'QTR CF'!AM36+'QTR CF'!AN36+'QTR CF'!AO36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11">
        <f>'QTR CF'!R37+'QTR CF'!S37+'QTR CF'!T37+'QTR CF'!U37</f>
        <v/>
      </c>
      <c r="H37" s="11">
        <f>'QTR CF'!V37+'QTR CF'!W37+'QTR CF'!X37+'QTR CF'!Y37</f>
        <v/>
      </c>
      <c r="I37" s="11">
        <f>'QTR CF'!Z37+'QTR CF'!AA37+'QTR CF'!AB37+'QTR CF'!AC37</f>
        <v/>
      </c>
      <c r="J37" s="11">
        <f>'QTR CF'!AD37+'QTR CF'!AE37+'QTR CF'!AF37+'QTR CF'!AG37</f>
        <v/>
      </c>
      <c r="K37" s="11">
        <f>'QTR CF'!AH37+'QTR CF'!AI37+'QTR CF'!AJ37+'QTR CF'!AK37</f>
        <v/>
      </c>
      <c r="L37" s="11">
        <f>'QTR CF'!AL37+'QTR CF'!AM37+'QTR CF'!AN37+'QTR CF'!AO37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11">
        <f>'QTR CF'!R38+'QTR CF'!S38+'QTR CF'!T38+'QTR CF'!U38</f>
        <v/>
      </c>
      <c r="H38" s="11">
        <f>'QTR CF'!V38+'QTR CF'!W38+'QTR CF'!X38+'QTR CF'!Y38</f>
        <v/>
      </c>
      <c r="I38" s="11">
        <f>'QTR CF'!Z38+'QTR CF'!AA38+'QTR CF'!AB38+'QTR CF'!AC38</f>
        <v/>
      </c>
      <c r="J38" s="11">
        <f>'QTR CF'!AD38+'QTR CF'!AE38+'QTR CF'!AF38+'QTR CF'!AG38</f>
        <v/>
      </c>
      <c r="K38" s="11">
        <f>'QTR CF'!AH38+'QTR CF'!AI38+'QTR CF'!AJ38+'QTR CF'!AK38</f>
        <v/>
      </c>
      <c r="L38" s="11">
        <f>'QTR CF'!AL38+'QTR CF'!AM38+'QTR CF'!AN38+'QTR CF'!AO38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11">
        <f>'QTR CF'!R39+'QTR CF'!S39+'QTR CF'!T39+'QTR CF'!U39</f>
        <v/>
      </c>
      <c r="H39" s="11">
        <f>'QTR CF'!V39+'QTR CF'!W39+'QTR CF'!X39+'QTR CF'!Y39</f>
        <v/>
      </c>
      <c r="I39" s="11">
        <f>'QTR CF'!Z39+'QTR CF'!AA39+'QTR CF'!AB39+'QTR CF'!AC39</f>
        <v/>
      </c>
      <c r="J39" s="11">
        <f>'QTR CF'!AD39+'QTR CF'!AE39+'QTR CF'!AF39+'QTR CF'!AG39</f>
        <v/>
      </c>
      <c r="K39" s="11">
        <f>'QTR CF'!AH39+'QTR CF'!AI39+'QTR CF'!AJ39+'QTR CF'!AK39</f>
        <v/>
      </c>
      <c r="L39" s="11">
        <f>'QTR CF'!AL39+'QTR CF'!AM39+'QTR CF'!AN39+'QTR CF'!AO39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11">
        <f>'QTR CF'!R40+'QTR CF'!S40+'QTR CF'!T40+'QTR CF'!U40</f>
        <v/>
      </c>
      <c r="H40" s="11">
        <f>'QTR CF'!V40+'QTR CF'!W40+'QTR CF'!X40+'QTR CF'!Y40</f>
        <v/>
      </c>
      <c r="I40" s="11">
        <f>'QTR CF'!Z40+'QTR CF'!AA40+'QTR CF'!AB40+'QTR CF'!AC40</f>
        <v/>
      </c>
      <c r="J40" s="11">
        <f>'QTR CF'!AD40+'QTR CF'!AE40+'QTR CF'!AF40+'QTR CF'!AG40</f>
        <v/>
      </c>
      <c r="K40" s="11">
        <f>'QTR CF'!AH40+'QTR CF'!AI40+'QTR CF'!AJ40+'QTR CF'!AK40</f>
        <v/>
      </c>
      <c r="L40" s="11">
        <f>'QTR CF'!AL40+'QTR CF'!AM40+'QTR CF'!AN40+'QTR CF'!AO40</f>
        <v/>
      </c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11">
        <f>'QTR CF'!R41+'QTR CF'!S41+'QTR CF'!T41+'QTR CF'!U41</f>
        <v/>
      </c>
      <c r="H41" s="11">
        <f>'QTR CF'!V41+'QTR CF'!W41+'QTR CF'!X41+'QTR CF'!Y41</f>
        <v/>
      </c>
      <c r="I41" s="11">
        <f>'QTR CF'!Z41+'QTR CF'!AA41+'QTR CF'!AB41+'QTR CF'!AC41</f>
        <v/>
      </c>
      <c r="J41" s="11">
        <f>'QTR CF'!AD41+'QTR CF'!AE41+'QTR CF'!AF41+'QTR CF'!AG41</f>
        <v/>
      </c>
      <c r="K41" s="11">
        <f>'QTR CF'!AH41+'QTR CF'!AI41+'QTR CF'!AJ41+'QTR CF'!AK41</f>
        <v/>
      </c>
      <c r="L41" s="11">
        <f>'QTR CF'!AL41+'QTR CF'!AM41+'QTR CF'!AN41+'QTR CF'!AO41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11">
        <f>'QTR CF'!R42+'QTR CF'!S42+'QTR CF'!T42+'QTR CF'!U42</f>
        <v/>
      </c>
      <c r="H42" s="11">
        <f>'QTR CF'!V42+'QTR CF'!W42+'QTR CF'!X42+'QTR CF'!Y42</f>
        <v/>
      </c>
      <c r="I42" s="11">
        <f>'QTR CF'!Z42+'QTR CF'!AA42+'QTR CF'!AB42+'QTR CF'!AC42</f>
        <v/>
      </c>
      <c r="J42" s="11">
        <f>'QTR CF'!AD42+'QTR CF'!AE42+'QTR CF'!AF42+'QTR CF'!AG42</f>
        <v/>
      </c>
      <c r="K42" s="11">
        <f>'QTR CF'!AH42+'QTR CF'!AI42+'QTR CF'!AJ42+'QTR CF'!AK42</f>
        <v/>
      </c>
      <c r="L42" s="11">
        <f>'QTR CF'!AL42+'QTR CF'!AM42+'QTR CF'!AN42+'QTR CF'!AO42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11">
        <f>'QTR CF'!R43+'QTR CF'!S43+'QTR CF'!T43+'QTR CF'!U43</f>
        <v/>
      </c>
      <c r="H43" s="11">
        <f>'QTR CF'!V43+'QTR CF'!W43+'QTR CF'!X43+'QTR CF'!Y43</f>
        <v/>
      </c>
      <c r="I43" s="11">
        <f>'QTR CF'!Z43+'QTR CF'!AA43+'QTR CF'!AB43+'QTR CF'!AC43</f>
        <v/>
      </c>
      <c r="J43" s="11">
        <f>'QTR CF'!AD43+'QTR CF'!AE43+'QTR CF'!AF43+'QTR CF'!AG43</f>
        <v/>
      </c>
      <c r="K43" s="11">
        <f>'QTR CF'!AH43+'QTR CF'!AI43+'QTR CF'!AJ43+'QTR CF'!AK43</f>
        <v/>
      </c>
      <c r="L43" s="11">
        <f>'QTR CF'!AL43+'QTR CF'!AM43+'QTR CF'!AN43+'QTR CF'!AO43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11">
        <f>'QTR CF'!R44+'QTR CF'!S44+'QTR CF'!T44+'QTR CF'!U44</f>
        <v/>
      </c>
      <c r="H44" s="11">
        <f>'QTR CF'!V44+'QTR CF'!W44+'QTR CF'!X44+'QTR CF'!Y44</f>
        <v/>
      </c>
      <c r="I44" s="11">
        <f>'QTR CF'!Z44+'QTR CF'!AA44+'QTR CF'!AB44+'QTR CF'!AC44</f>
        <v/>
      </c>
      <c r="J44" s="11">
        <f>'QTR CF'!AD44+'QTR CF'!AE44+'QTR CF'!AF44+'QTR CF'!AG44</f>
        <v/>
      </c>
      <c r="K44" s="11">
        <f>'QTR CF'!AH44+'QTR CF'!AI44+'QTR CF'!AJ44+'QTR CF'!AK44</f>
        <v/>
      </c>
      <c r="L44" s="11">
        <f>'QTR CF'!AL44+'QTR CF'!AM44+'QTR CF'!AN44+'QTR CF'!AO44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11">
        <f>'QTR CF'!R45+'QTR CF'!S45+'QTR CF'!T45+'QTR CF'!U45</f>
        <v/>
      </c>
      <c r="H45" s="11">
        <f>'QTR CF'!V45+'QTR CF'!W45+'QTR CF'!X45+'QTR CF'!Y45</f>
        <v/>
      </c>
      <c r="I45" s="11">
        <f>'QTR CF'!Z45+'QTR CF'!AA45+'QTR CF'!AB45+'QTR CF'!AC45</f>
        <v/>
      </c>
      <c r="J45" s="11">
        <f>'QTR CF'!AD45+'QTR CF'!AE45+'QTR CF'!AF45+'QTR CF'!AG45</f>
        <v/>
      </c>
      <c r="K45" s="11">
        <f>'QTR CF'!AH45+'QTR CF'!AI45+'QTR CF'!AJ45+'QTR CF'!AK45</f>
        <v/>
      </c>
      <c r="L45" s="11">
        <f>'QTR CF'!AL45+'QTR CF'!AM45+'QTR CF'!AN45+'QTR CF'!AO45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11">
        <f>'QTR CF'!R47+'QTR CF'!S47+'QTR CF'!T47+'QTR CF'!U47</f>
        <v/>
      </c>
      <c r="H47" s="11">
        <f>'QTR CF'!V47+'QTR CF'!W47+'QTR CF'!X47+'QTR CF'!Y47</f>
        <v/>
      </c>
      <c r="I47" s="11">
        <f>'QTR CF'!Z47+'QTR CF'!AA47+'QTR CF'!AB47+'QTR CF'!AC47</f>
        <v/>
      </c>
      <c r="J47" s="11">
        <f>'QTR CF'!AD47+'QTR CF'!AE47+'QTR CF'!AF47+'QTR CF'!AG47</f>
        <v/>
      </c>
      <c r="K47" s="11">
        <f>'QTR CF'!AH47+'QTR CF'!AI47+'QTR CF'!AJ47+'QTR CF'!AK47</f>
        <v/>
      </c>
      <c r="L47" s="11">
        <f>'QTR CF'!AL47+'QTR CF'!AM47+'QTR CF'!AN47+'QTR CF'!AO47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167</v>
      </c>
      <c r="I7" s="4" t="n">
        <v>182</v>
      </c>
      <c r="J7" s="4" t="n">
        <v>184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-108</v>
      </c>
      <c r="I8" s="4" t="n">
        <v>-135</v>
      </c>
      <c r="J8" s="4" t="n">
        <v>-138</v>
      </c>
      <c r="K8" s="4" t="n">
        <v>-2</v>
      </c>
      <c r="L8" s="4" t="n">
        <v>-2</v>
      </c>
      <c r="M8" s="4" t="n">
        <v>-5</v>
      </c>
      <c r="N8" s="4" t="n">
        <v>0</v>
      </c>
    </row>
    <row r="9">
      <c r="A9" s="3" t="inlineStr">
        <is>
          <t>Operating Lease ROU Asset Amortization</t>
        </is>
      </c>
      <c r="B9" s="4" t="n">
        <v>103</v>
      </c>
      <c r="C9" s="4" t="n">
        <v>223</v>
      </c>
      <c r="D9" s="4" t="n">
        <v>346</v>
      </c>
      <c r="E9" s="4" t="n">
        <v>116</v>
      </c>
      <c r="F9" s="4" t="n">
        <v>248</v>
      </c>
      <c r="G9" s="4" t="n">
        <v>384</v>
      </c>
      <c r="H9" s="4" t="n">
        <v>127</v>
      </c>
      <c r="I9" s="4" t="n">
        <v>278</v>
      </c>
      <c r="J9" s="4" t="n">
        <v>438</v>
      </c>
      <c r="K9" s="4" t="n">
        <v>145</v>
      </c>
      <c r="L9" s="4" t="n">
        <v>315</v>
      </c>
      <c r="M9" s="4" t="n">
        <v>489</v>
      </c>
      <c r="N9" s="4" t="n">
        <v>162</v>
      </c>
    </row>
    <row r="10">
      <c r="A10" s="3" t="inlineStr">
        <is>
          <t>Stock-Based Compensation</t>
        </is>
      </c>
      <c r="B10" s="4" t="n">
        <v>81</v>
      </c>
      <c r="C10" s="4" t="n">
        <v>156</v>
      </c>
      <c r="D10" s="4" t="n">
        <v>233</v>
      </c>
      <c r="E10" s="4" t="n">
        <v>93</v>
      </c>
      <c r="F10" s="4" t="n">
        <v>179</v>
      </c>
      <c r="G10" s="4" t="n">
        <v>267</v>
      </c>
      <c r="H10" s="4" t="n">
        <v>97</v>
      </c>
      <c r="I10" s="4" t="n">
        <v>183</v>
      </c>
      <c r="J10" s="4" t="n">
        <v>260</v>
      </c>
      <c r="K10" s="4" t="n">
        <v>77</v>
      </c>
      <c r="L10" s="4" t="n">
        <v>131</v>
      </c>
      <c r="M10" s="4" t="n">
        <v>207</v>
      </c>
      <c r="N10" s="4" t="n">
        <v>93</v>
      </c>
    </row>
    <row r="11">
      <c r="A11" s="3" t="inlineStr">
        <is>
          <t>Restructuring and Asset Impairment Charges</t>
        </is>
      </c>
      <c r="B11" s="4" t="n">
        <v>27</v>
      </c>
      <c r="C11" s="4" t="n">
        <v>75</v>
      </c>
      <c r="D11" s="4" t="n">
        <v>126</v>
      </c>
      <c r="E11" s="4" t="n">
        <v>112</v>
      </c>
      <c r="F11" s="4" t="n">
        <v>204</v>
      </c>
      <c r="G11" s="4" t="n">
        <v>287</v>
      </c>
      <c r="H11" s="4" t="n">
        <v>96</v>
      </c>
      <c r="I11" s="4" t="n">
        <v>170</v>
      </c>
      <c r="J11" s="4" t="n">
        <v>415</v>
      </c>
      <c r="K11" s="4" t="n">
        <v>213</v>
      </c>
      <c r="L11" s="4" t="n">
        <v>426</v>
      </c>
      <c r="M11" s="4" t="n">
        <v>567</v>
      </c>
      <c r="N11" s="4" t="n">
        <v>133</v>
      </c>
    </row>
    <row r="12">
      <c r="A12" s="3" t="inlineStr">
        <is>
          <t>Cash Payments for Restructuring</t>
        </is>
      </c>
      <c r="B12" s="4" t="n">
        <v>-32</v>
      </c>
      <c r="C12" s="4" t="n">
        <v>-82</v>
      </c>
      <c r="D12" s="4" t="n">
        <v>-134</v>
      </c>
      <c r="E12" s="4" t="n">
        <v>-64</v>
      </c>
      <c r="F12" s="4" t="n">
        <v>-187</v>
      </c>
      <c r="G12" s="4" t="n">
        <v>-283</v>
      </c>
      <c r="H12" s="4" t="n">
        <v>-60</v>
      </c>
      <c r="I12" s="4" t="n">
        <v>-173</v>
      </c>
      <c r="J12" s="4" t="n">
        <v>-284</v>
      </c>
      <c r="K12" s="4" t="n">
        <v>-232</v>
      </c>
      <c r="L12" s="4" t="n">
        <v>-387</v>
      </c>
      <c r="M12" s="4" t="n">
        <v>-554</v>
      </c>
      <c r="N12" s="4" t="n">
        <v>-145</v>
      </c>
    </row>
    <row r="13">
      <c r="A13" s="3" t="inlineStr">
        <is>
          <t>Acquisition and Divestiture-Related Charges</t>
        </is>
      </c>
      <c r="B13" s="4" t="n">
        <v>56</v>
      </c>
      <c r="C13" s="4" t="n">
        <v>64</v>
      </c>
      <c r="D13" s="4" t="n">
        <v>69</v>
      </c>
      <c r="E13" s="4" t="n">
        <v>2</v>
      </c>
      <c r="F13" s="4" t="n">
        <v>9</v>
      </c>
      <c r="G13" s="4" t="n">
        <v>20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308</v>
      </c>
      <c r="N13" s="4" t="n">
        <v>-113</v>
      </c>
    </row>
    <row r="14">
      <c r="A14" s="3" t="inlineStr">
        <is>
          <t>Cash Payments for Acquisition and Divestiture Costs</t>
        </is>
      </c>
      <c r="B14" s="4" t="n">
        <v>-17</v>
      </c>
      <c r="C14" s="4" t="n">
        <v>-34</v>
      </c>
      <c r="D14" s="4" t="n">
        <v>-41</v>
      </c>
      <c r="E14" s="4" t="n">
        <v>-4</v>
      </c>
      <c r="F14" s="4" t="n">
        <v>-10</v>
      </c>
      <c r="G14" s="4" t="n">
        <v>-15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-80</v>
      </c>
      <c r="N14" s="4" t="n">
        <v>-14</v>
      </c>
    </row>
    <row r="15">
      <c r="A15" s="3" t="inlineStr">
        <is>
          <t>Pension and Postretirement Benefits Expense</t>
        </is>
      </c>
      <c r="B15" s="4" t="n">
        <v>-1</v>
      </c>
      <c r="C15" s="4" t="n">
        <v>139</v>
      </c>
      <c r="D15" s="4" t="n">
        <v>235</v>
      </c>
      <c r="E15" s="4" t="n">
        <v>30</v>
      </c>
      <c r="F15" s="4" t="n">
        <v>62</v>
      </c>
      <c r="G15" s="4" t="n">
        <v>93</v>
      </c>
      <c r="H15" s="4" t="n">
        <v>31</v>
      </c>
      <c r="I15" s="4" t="n">
        <v>67</v>
      </c>
      <c r="J15" s="4" t="n">
        <v>114</v>
      </c>
      <c r="K15" s="4" t="n">
        <v>48</v>
      </c>
      <c r="L15" s="4" t="n">
        <v>99</v>
      </c>
      <c r="M15" s="4" t="n">
        <v>164</v>
      </c>
      <c r="N15" s="4" t="n">
        <v>13</v>
      </c>
    </row>
    <row r="16">
      <c r="A16" s="3" t="inlineStr">
        <is>
          <t>Pension and Postretirement Benefits Contributions</t>
        </is>
      </c>
      <c r="B16" s="4" t="n">
        <v>-178</v>
      </c>
      <c r="C16" s="4" t="n">
        <v>-214</v>
      </c>
      <c r="D16" s="4" t="n">
        <v>-335</v>
      </c>
      <c r="E16" s="4" t="n">
        <v>-175</v>
      </c>
      <c r="F16" s="4" t="n">
        <v>-209</v>
      </c>
      <c r="G16" s="4" t="n">
        <v>-374</v>
      </c>
      <c r="H16" s="4" t="n">
        <v>-218</v>
      </c>
      <c r="I16" s="4" t="n">
        <v>-263</v>
      </c>
      <c r="J16" s="4" t="n">
        <v>-300</v>
      </c>
      <c r="K16" s="4" t="n">
        <v>-317</v>
      </c>
      <c r="L16" s="4" t="n">
        <v>-354</v>
      </c>
      <c r="M16" s="4" t="n">
        <v>-400</v>
      </c>
      <c r="N16" s="4" t="n">
        <v>-270</v>
      </c>
    </row>
    <row r="17">
      <c r="A17" s="3" t="inlineStr">
        <is>
          <t>(Benefit) Provision for Deferred Income Taxes</t>
        </is>
      </c>
      <c r="B17" s="4" t="n">
        <v>257</v>
      </c>
      <c r="C17" s="4" t="n">
        <v>49</v>
      </c>
      <c r="D17" s="4" t="n">
        <v>-322</v>
      </c>
      <c r="E17" s="4" t="n">
        <v>78</v>
      </c>
      <c r="F17" s="4" t="n">
        <v>270</v>
      </c>
      <c r="G17" s="4" t="n">
        <v>343</v>
      </c>
      <c r="H17" s="4" t="n">
        <v>116</v>
      </c>
      <c r="I17" s="4" t="n">
        <v>142</v>
      </c>
      <c r="J17" s="4" t="n">
        <v>124</v>
      </c>
      <c r="K17" s="4" t="n">
        <v>111</v>
      </c>
      <c r="L17" s="4" t="n">
        <v>-260</v>
      </c>
      <c r="M17" s="4" t="n">
        <v>30</v>
      </c>
      <c r="N17" s="4" t="n">
        <v>226</v>
      </c>
    </row>
    <row r="18">
      <c r="A18" s="3" t="inlineStr">
        <is>
          <t>Tax Expense Related to TCJ Act</t>
        </is>
      </c>
      <c r="B18" s="4" t="n">
        <v>0</v>
      </c>
      <c r="C18" s="4" t="n">
        <v>0</v>
      </c>
      <c r="D18" s="4" t="n">
        <v>86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</row>
    <row r="19">
      <c r="A19" s="3" t="inlineStr">
        <is>
          <t>Tax Payments Related to TCJ Act</t>
        </is>
      </c>
      <c r="B19" s="4" t="n">
        <v>0</v>
      </c>
      <c r="C19" s="4" t="n">
        <v>-309</v>
      </c>
      <c r="D19" s="4" t="n">
        <v>-309</v>
      </c>
      <c r="E19" s="4" t="n">
        <v>0</v>
      </c>
      <c r="F19" s="4" t="n">
        <v>-309</v>
      </c>
      <c r="G19" s="4" t="n">
        <v>-309</v>
      </c>
      <c r="H19" s="4" t="n">
        <v>0</v>
      </c>
      <c r="I19" s="4" t="n">
        <v>-579</v>
      </c>
      <c r="J19" s="4" t="n">
        <v>-579</v>
      </c>
      <c r="K19" s="4" t="n">
        <v>0</v>
      </c>
      <c r="L19" s="4" t="n">
        <v>-772</v>
      </c>
      <c r="M19" s="4" t="n">
        <v>-772</v>
      </c>
      <c r="N19" s="4" t="n">
        <v>0</v>
      </c>
    </row>
    <row r="20">
      <c r="A20" s="3" t="inlineStr">
        <is>
          <t>Accounts Receivable</t>
        </is>
      </c>
      <c r="B20" s="4" t="n">
        <v>-837</v>
      </c>
      <c r="C20" s="4" t="n">
        <v>-1753</v>
      </c>
      <c r="D20" s="4" t="n">
        <v>-2258</v>
      </c>
      <c r="E20" s="4" t="n">
        <v>-348</v>
      </c>
      <c r="F20" s="4" t="n">
        <v>-1330</v>
      </c>
      <c r="G20" s="4" t="n">
        <v>-1699</v>
      </c>
      <c r="H20" s="4" t="n">
        <v>-96</v>
      </c>
      <c r="I20" s="4" t="n">
        <v>-1138</v>
      </c>
      <c r="J20" s="4" t="n">
        <v>-1521</v>
      </c>
      <c r="K20" s="4" t="n">
        <v>-318</v>
      </c>
      <c r="L20" s="4" t="n">
        <v>-1582</v>
      </c>
      <c r="M20" s="4" t="n">
        <v>-1747</v>
      </c>
      <c r="N20" s="4" t="n">
        <v>-530</v>
      </c>
    </row>
    <row r="21">
      <c r="A21" s="3" t="inlineStr">
        <is>
          <t>Inventories</t>
        </is>
      </c>
      <c r="B21" s="4" t="n">
        <v>-549</v>
      </c>
      <c r="C21" s="4" t="n">
        <v>-990</v>
      </c>
      <c r="D21" s="4" t="n">
        <v>-837</v>
      </c>
      <c r="E21" s="4" t="n">
        <v>-542</v>
      </c>
      <c r="F21" s="4" t="n">
        <v>-851</v>
      </c>
      <c r="G21" s="4" t="n">
        <v>-473</v>
      </c>
      <c r="H21" s="4" t="n">
        <v>-291</v>
      </c>
      <c r="I21" s="4" t="n">
        <v>-696</v>
      </c>
      <c r="J21" s="4" t="n">
        <v>-492</v>
      </c>
      <c r="K21" s="4" t="n">
        <v>-238</v>
      </c>
      <c r="L21" s="4" t="n">
        <v>-800</v>
      </c>
      <c r="M21" s="4" t="n">
        <v>-449</v>
      </c>
      <c r="N21" s="4" t="n">
        <v>-315</v>
      </c>
    </row>
    <row r="22">
      <c r="A22" s="3" t="inlineStr">
        <is>
          <t>Prepaid Expenses</t>
        </is>
      </c>
      <c r="B22" s="4" t="n">
        <v>-190</v>
      </c>
      <c r="C22" s="4" t="n">
        <v>-186</v>
      </c>
      <c r="D22" s="4" t="n">
        <v>-124</v>
      </c>
      <c r="E22" s="4" t="n">
        <v>-288</v>
      </c>
      <c r="F22" s="4" t="n">
        <v>-271</v>
      </c>
      <c r="G22" s="4" t="n">
        <v>-242</v>
      </c>
      <c r="H22" s="4" t="n">
        <v>-342</v>
      </c>
      <c r="I22" s="4" t="n">
        <v>-365</v>
      </c>
      <c r="J22" s="4" t="n">
        <v>-200</v>
      </c>
      <c r="K22" s="4" t="n">
        <v>-307</v>
      </c>
      <c r="L22" s="4" t="n">
        <v>-354</v>
      </c>
      <c r="M22" s="4" t="n">
        <v>-223</v>
      </c>
      <c r="N22" s="4" t="n">
        <v>-406</v>
      </c>
    </row>
    <row r="23">
      <c r="A23" s="3" t="inlineStr">
        <is>
          <t>Accounts Payable</t>
        </is>
      </c>
      <c r="B23" s="4" t="n">
        <v>-1238</v>
      </c>
      <c r="C23" s="4" t="n">
        <v>-990</v>
      </c>
      <c r="D23" s="4" t="n">
        <v>426</v>
      </c>
      <c r="E23" s="4" t="n">
        <v>-2259</v>
      </c>
      <c r="F23" s="4" t="n">
        <v>-1960</v>
      </c>
      <c r="G23" s="4" t="n">
        <v>-859</v>
      </c>
      <c r="H23" s="4" t="n">
        <v>-3408</v>
      </c>
      <c r="I23" s="4" t="n">
        <v>-2968</v>
      </c>
      <c r="J23" s="4" t="n">
        <v>-2312</v>
      </c>
      <c r="K23" s="4" t="n">
        <v>-2671</v>
      </c>
      <c r="L23" s="4" t="n">
        <v>-2083</v>
      </c>
      <c r="M23" s="4" t="n">
        <v>-1647</v>
      </c>
      <c r="N23" s="4" t="n">
        <v>-1847</v>
      </c>
    </row>
    <row r="24">
      <c r="A24" s="3" t="inlineStr">
        <is>
          <t>Other Current Liabilities</t>
        </is>
      </c>
      <c r="B24" s="4" t="n">
        <v>489</v>
      </c>
      <c r="C24" s="4" t="n">
        <v>608</v>
      </c>
      <c r="D24" s="4" t="n">
        <v>718</v>
      </c>
      <c r="E24" s="4" t="n">
        <v>290</v>
      </c>
      <c r="F24" s="4" t="n">
        <v>100</v>
      </c>
      <c r="G24" s="4" t="n">
        <v>512</v>
      </c>
      <c r="H24" s="4" t="n">
        <v>222</v>
      </c>
      <c r="I24" s="4" t="n">
        <v>287</v>
      </c>
      <c r="J24" s="4" t="n">
        <v>426</v>
      </c>
      <c r="K24" s="4" t="n">
        <v>223</v>
      </c>
      <c r="L24" s="4" t="n">
        <v>415</v>
      </c>
      <c r="M24" s="4" t="n">
        <v>6</v>
      </c>
      <c r="N24" s="4" t="n">
        <v>131</v>
      </c>
    </row>
    <row r="25">
      <c r="A25" s="3" t="inlineStr">
        <is>
          <t>Other Operating Items</t>
        </is>
      </c>
      <c r="B25" s="4" t="n">
        <v>-133</v>
      </c>
      <c r="C25" s="4" t="n">
        <v>-325</v>
      </c>
      <c r="D25" s="4" t="n">
        <v>-426</v>
      </c>
      <c r="E25" s="4" t="n">
        <v>46</v>
      </c>
      <c r="F25" s="4" t="n">
        <v>-6</v>
      </c>
      <c r="G25" s="4" t="n">
        <v>72</v>
      </c>
      <c r="H25" s="4" t="n">
        <v>-68</v>
      </c>
      <c r="I25" s="4" t="n">
        <v>-203</v>
      </c>
      <c r="J25" s="4" t="n">
        <v>-135</v>
      </c>
      <c r="K25" s="4" t="n">
        <v>-232</v>
      </c>
      <c r="L25" s="4" t="n">
        <v>-269</v>
      </c>
      <c r="M25" s="4" t="n">
        <v>-441</v>
      </c>
      <c r="N25" s="4" t="n">
        <v>-157</v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6">
        <f>SUM(G2:G25)</f>
        <v/>
      </c>
      <c r="H26" s="6">
        <f>SUM(H2:H25)</f>
        <v/>
      </c>
      <c r="I26" s="6">
        <f>SUM(I2:I25)</f>
        <v/>
      </c>
      <c r="J26" s="6">
        <f>SUM(J2:J25)</f>
        <v/>
      </c>
      <c r="K26" s="6">
        <f>SUM(K2:K25)</f>
        <v/>
      </c>
      <c r="L26" s="6">
        <f>SUM(L2:L25)</f>
        <v/>
      </c>
      <c r="M26" s="6">
        <f>SUM(M2:M25)</f>
        <v/>
      </c>
      <c r="N26" s="6">
        <f>SUM(N2:N25)</f>
        <v/>
      </c>
    </row>
    <row r="27">
      <c r="A27" s="3" t="inlineStr">
        <is>
          <t>Purchase of PP&amp;E</t>
        </is>
      </c>
      <c r="B27" s="4" t="n">
        <v>-522</v>
      </c>
      <c r="C27" s="4" t="n">
        <v>-1499</v>
      </c>
      <c r="D27" s="4" t="n">
        <v>-2556</v>
      </c>
      <c r="E27" s="4" t="n">
        <v>-581</v>
      </c>
      <c r="F27" s="4" t="n">
        <v>-1513</v>
      </c>
      <c r="G27" s="4" t="n">
        <v>-2537</v>
      </c>
      <c r="H27" s="4" t="n">
        <v>-614</v>
      </c>
      <c r="I27" s="4" t="n">
        <v>-1701</v>
      </c>
      <c r="J27" s="4" t="n">
        <v>-2850</v>
      </c>
      <c r="K27" s="4" t="n">
        <v>-603</v>
      </c>
      <c r="L27" s="4" t="n">
        <v>-1507</v>
      </c>
      <c r="M27" s="4" t="n">
        <v>-2499</v>
      </c>
      <c r="N27" s="4" t="n">
        <v>-447</v>
      </c>
    </row>
    <row r="28">
      <c r="A28" s="3" t="inlineStr">
        <is>
          <t>Proceeds from Sale of Assets</t>
        </is>
      </c>
      <c r="B28" s="4" t="n">
        <v>3</v>
      </c>
      <c r="C28" s="4" t="n">
        <v>222</v>
      </c>
      <c r="D28" s="4" t="n">
        <v>228</v>
      </c>
      <c r="E28" s="4" t="n">
        <v>19</v>
      </c>
      <c r="F28" s="4" t="n">
        <v>122</v>
      </c>
      <c r="G28" s="4" t="n">
        <v>131</v>
      </c>
      <c r="H28" s="4" t="n">
        <v>7</v>
      </c>
      <c r="I28" s="4" t="n">
        <v>127</v>
      </c>
      <c r="J28" s="4" t="n">
        <v>177</v>
      </c>
      <c r="K28" s="4" t="n">
        <v>132</v>
      </c>
      <c r="L28" s="4" t="n">
        <v>169</v>
      </c>
      <c r="M28" s="4" t="n">
        <v>272</v>
      </c>
      <c r="N28" s="4" t="n">
        <v>13</v>
      </c>
    </row>
    <row r="29">
      <c r="A29" s="3" t="inlineStr">
        <is>
          <t>Acquisitions, Net of Cash Acquired</t>
        </is>
      </c>
      <c r="B29" s="4" t="n">
        <v>-13</v>
      </c>
      <c r="C29" s="4" t="n">
        <v>-29</v>
      </c>
      <c r="D29" s="4" t="n">
        <v>-804</v>
      </c>
      <c r="E29" s="4" t="n">
        <v>-16</v>
      </c>
      <c r="F29" s="4" t="n">
        <v>-83</v>
      </c>
      <c r="G29" s="4" t="n">
        <v>-132</v>
      </c>
      <c r="H29" s="4" t="n">
        <v>-6</v>
      </c>
      <c r="I29" s="4" t="n">
        <v>-30</v>
      </c>
      <c r="J29" s="4" t="n">
        <v>-31</v>
      </c>
      <c r="K29" s="4" t="n">
        <v>-1200</v>
      </c>
      <c r="L29" s="4" t="n">
        <v>-3130</v>
      </c>
      <c r="M29" s="4" t="n">
        <v>-3176</v>
      </c>
      <c r="N29" s="4" t="n">
        <v>-67</v>
      </c>
    </row>
    <row r="30">
      <c r="A30" s="3" t="inlineStr">
        <is>
          <t>Proceeds from Juice Transaction</t>
        </is>
      </c>
      <c r="B30" s="4" t="n">
        <v>3456</v>
      </c>
      <c r="C30" s="4" t="n">
        <v>3456</v>
      </c>
      <c r="D30" s="4" t="n">
        <v>3456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</row>
    <row r="31">
      <c r="A31" s="3" t="inlineStr">
        <is>
          <t>Proceeds from Divestitures of Businesses</t>
        </is>
      </c>
      <c r="B31" s="4" t="n">
        <v>5</v>
      </c>
      <c r="C31" s="4" t="n">
        <v>15</v>
      </c>
      <c r="D31" s="4" t="n">
        <v>15</v>
      </c>
      <c r="E31" s="4" t="n">
        <v>85</v>
      </c>
      <c r="F31" s="4" t="n">
        <v>75</v>
      </c>
      <c r="G31" s="4" t="n">
        <v>75</v>
      </c>
      <c r="H31" s="4" t="n">
        <v>53</v>
      </c>
      <c r="I31" s="4" t="n">
        <v>135</v>
      </c>
      <c r="J31" s="4" t="n">
        <v>145</v>
      </c>
      <c r="K31" s="4" t="n">
        <v>2</v>
      </c>
      <c r="L31" s="4" t="n">
        <v>5</v>
      </c>
      <c r="M31" s="4" t="n">
        <v>5</v>
      </c>
      <c r="N31" s="4" t="n">
        <v>0</v>
      </c>
    </row>
    <row r="32">
      <c r="A32" s="3" t="inlineStr">
        <is>
          <t>Net Change in Short-Term Investments</t>
        </is>
      </c>
      <c r="B32" s="4" t="n">
        <v>22</v>
      </c>
      <c r="C32" s="4" t="n">
        <v>8</v>
      </c>
      <c r="D32" s="4" t="n">
        <v>-37</v>
      </c>
      <c r="E32" s="4" t="n">
        <v>-39</v>
      </c>
      <c r="F32" s="4" t="n">
        <v>-56</v>
      </c>
      <c r="G32" s="4" t="n">
        <v>35</v>
      </c>
      <c r="H32" s="4" t="n">
        <v>8</v>
      </c>
      <c r="I32" s="4" t="n">
        <v>1</v>
      </c>
      <c r="J32" s="4" t="n">
        <v>-421</v>
      </c>
      <c r="K32" s="4" t="n">
        <v>441</v>
      </c>
      <c r="L32" s="4" t="n">
        <v>447</v>
      </c>
      <c r="M32" s="4" t="n">
        <v>278</v>
      </c>
      <c r="N32" s="4" t="n">
        <v>5</v>
      </c>
    </row>
    <row r="33">
      <c r="A33" s="3" t="inlineStr">
        <is>
          <t>Other Investing Activities</t>
        </is>
      </c>
      <c r="B33" s="4" t="n">
        <v>4</v>
      </c>
      <c r="C33" s="4" t="n">
        <v>-1</v>
      </c>
      <c r="D33" s="4" t="n">
        <v>7</v>
      </c>
      <c r="E33" s="4" t="n">
        <v>0</v>
      </c>
      <c r="F33" s="4" t="n">
        <v>32</v>
      </c>
      <c r="G33" s="4" t="n">
        <v>49</v>
      </c>
      <c r="H33" s="4" t="n">
        <v>-10</v>
      </c>
      <c r="I33" s="4" t="n">
        <v>14</v>
      </c>
      <c r="J33" s="4" t="n">
        <v>15</v>
      </c>
      <c r="K33" s="4" t="n">
        <v>-4</v>
      </c>
      <c r="L33" s="4" t="n">
        <v>-111</v>
      </c>
      <c r="M33" s="4" t="n">
        <v>-117</v>
      </c>
      <c r="N33" s="4" t="n">
        <v>19</v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6">
        <f>SUM(G27:G33)</f>
        <v/>
      </c>
      <c r="H34" s="6">
        <f>SUM(H27:H33)</f>
        <v/>
      </c>
      <c r="I34" s="6">
        <f>SUM(I27:I33)</f>
        <v/>
      </c>
      <c r="J34" s="6">
        <f>SUM(J27:J33)</f>
        <v/>
      </c>
      <c r="K34" s="6">
        <f>SUM(K27:K33)</f>
        <v/>
      </c>
      <c r="L34" s="6">
        <f>SUM(L27:L33)</f>
        <v/>
      </c>
      <c r="M34" s="6">
        <f>SUM(M27:M33)</f>
        <v/>
      </c>
      <c r="N34" s="6">
        <f>SUM(N27:N33)</f>
        <v/>
      </c>
    </row>
    <row r="35">
      <c r="A35" s="3" t="inlineStr">
        <is>
          <t>Proceeds from Issuance of Long-Term Debt</t>
        </is>
      </c>
      <c r="B35" s="4" t="n">
        <v>0</v>
      </c>
      <c r="C35" s="4" t="n">
        <v>0</v>
      </c>
      <c r="D35" s="4" t="n">
        <v>3377</v>
      </c>
      <c r="E35" s="4" t="n">
        <v>2986</v>
      </c>
      <c r="F35" s="4" t="n">
        <v>2986</v>
      </c>
      <c r="G35" s="4" t="n">
        <v>2986</v>
      </c>
      <c r="H35" s="4" t="n">
        <v>1761</v>
      </c>
      <c r="I35" s="4" t="n">
        <v>1765</v>
      </c>
      <c r="J35" s="4" t="n">
        <v>4014</v>
      </c>
      <c r="K35" s="4" t="n">
        <v>3505</v>
      </c>
      <c r="L35" s="4" t="n">
        <v>3521</v>
      </c>
      <c r="M35" s="4" t="n">
        <v>8179</v>
      </c>
      <c r="N35" s="4" t="n">
        <v>2964</v>
      </c>
    </row>
    <row r="36">
      <c r="A36" s="3" t="inlineStr">
        <is>
          <t>Repayments of Long-Term Debt</t>
        </is>
      </c>
      <c r="B36" s="4" t="n">
        <v>-1251</v>
      </c>
      <c r="C36" s="4" t="n">
        <v>-3202</v>
      </c>
      <c r="D36" s="4" t="n">
        <v>-3203</v>
      </c>
      <c r="E36" s="4" t="n">
        <v>-1251</v>
      </c>
      <c r="F36" s="4" t="n">
        <v>-2252</v>
      </c>
      <c r="G36" s="4" t="n">
        <v>-2253</v>
      </c>
      <c r="H36" s="4" t="n">
        <v>-1252</v>
      </c>
      <c r="I36" s="4" t="n">
        <v>-2882</v>
      </c>
      <c r="J36" s="4" t="n">
        <v>-2883</v>
      </c>
      <c r="K36" s="4" t="n">
        <v>-1541</v>
      </c>
      <c r="L36" s="4" t="n">
        <v>-2543</v>
      </c>
      <c r="M36" s="4" t="n">
        <v>-3245</v>
      </c>
      <c r="N36" s="4" t="n">
        <v>-1629</v>
      </c>
    </row>
    <row r="37">
      <c r="A37" s="3" t="inlineStr">
        <is>
          <t>Proceeds from Short-Term Debt</t>
        </is>
      </c>
      <c r="B37" s="4" t="n">
        <v>559</v>
      </c>
      <c r="C37" s="4" t="n">
        <v>1935</v>
      </c>
      <c r="D37" s="4" t="n">
        <v>1947</v>
      </c>
      <c r="E37" s="4" t="n">
        <v>393</v>
      </c>
      <c r="F37" s="4" t="n">
        <v>1660</v>
      </c>
      <c r="G37" s="4" t="n">
        <v>4688</v>
      </c>
      <c r="H37" s="4" t="n">
        <v>2313</v>
      </c>
      <c r="I37" s="4" t="n">
        <v>3080</v>
      </c>
      <c r="J37" s="4" t="n">
        <v>3808</v>
      </c>
      <c r="K37" s="4" t="n">
        <v>3656</v>
      </c>
      <c r="L37" s="4" t="n">
        <v>5251</v>
      </c>
      <c r="M37" s="4" t="n">
        <v>5528</v>
      </c>
      <c r="N37" s="4" t="n">
        <v>1937</v>
      </c>
    </row>
    <row r="38">
      <c r="A38" s="3" t="inlineStr">
        <is>
          <t>Repayments of Short-Term Debt</t>
        </is>
      </c>
      <c r="B38" s="4" t="n">
        <v>0</v>
      </c>
      <c r="C38" s="4" t="n">
        <v>0</v>
      </c>
      <c r="D38" s="4" t="n">
        <v>-1932</v>
      </c>
      <c r="E38" s="4" t="n">
        <v>-1</v>
      </c>
      <c r="F38" s="4" t="n">
        <v>-26</v>
      </c>
      <c r="G38" s="4" t="n">
        <v>-1037</v>
      </c>
      <c r="H38" s="4" t="n">
        <v>-1631</v>
      </c>
      <c r="I38" s="4" t="n">
        <v>-2138</v>
      </c>
      <c r="J38" s="4" t="n">
        <v>-4177</v>
      </c>
      <c r="K38" s="4" t="n">
        <v>-2119</v>
      </c>
      <c r="L38" s="4" t="n">
        <v>-2492</v>
      </c>
      <c r="M38" s="4" t="n">
        <v>-5417</v>
      </c>
      <c r="N38" s="4" t="n">
        <v>-676</v>
      </c>
    </row>
    <row r="39">
      <c r="A39" s="3" t="inlineStr">
        <is>
          <t>Net Change in Other Short-Term Debt</t>
        </is>
      </c>
      <c r="B39" s="4" t="n">
        <v>647</v>
      </c>
      <c r="C39" s="4" t="n">
        <v>844</v>
      </c>
      <c r="D39" s="4" t="n">
        <v>-45</v>
      </c>
      <c r="E39" s="4" t="n">
        <v>491</v>
      </c>
      <c r="F39" s="4" t="n">
        <v>2023</v>
      </c>
      <c r="G39" s="4" t="n">
        <v>1395</v>
      </c>
      <c r="H39" s="4" t="n">
        <v>774</v>
      </c>
      <c r="I39" s="4" t="n">
        <v>1286</v>
      </c>
      <c r="J39" s="4" t="n">
        <v>101</v>
      </c>
      <c r="K39" s="4" t="n">
        <v>373</v>
      </c>
      <c r="L39" s="4" t="n">
        <v>2438</v>
      </c>
      <c r="M39" s="4" t="n">
        <v>445</v>
      </c>
      <c r="N39" s="4" t="n">
        <v>1198</v>
      </c>
    </row>
    <row r="40">
      <c r="A40" s="3" t="inlineStr">
        <is>
          <t>Payments of Contingent Consideration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</row>
    <row r="41">
      <c r="A41" s="3" t="inlineStr">
        <is>
          <t>Common Dividends</t>
        </is>
      </c>
      <c r="B41" s="4" t="n">
        <v>-1505</v>
      </c>
      <c r="C41" s="4" t="n">
        <v>-2997</v>
      </c>
      <c r="D41" s="4" t="n">
        <v>-4586</v>
      </c>
      <c r="E41" s="4" t="n">
        <v>-1608</v>
      </c>
      <c r="F41" s="4" t="n">
        <v>-3199</v>
      </c>
      <c r="G41" s="4" t="n">
        <v>-4941</v>
      </c>
      <c r="H41" s="4" t="n">
        <v>-1767</v>
      </c>
      <c r="I41" s="4" t="n">
        <v>-3506</v>
      </c>
      <c r="J41" s="4" t="n">
        <v>-5369</v>
      </c>
      <c r="K41" s="4" t="n">
        <v>-1882</v>
      </c>
      <c r="L41" s="4" t="n">
        <v>-3743</v>
      </c>
      <c r="M41" s="4" t="n">
        <v>-5692</v>
      </c>
      <c r="N41" s="4" t="n">
        <v>-1966</v>
      </c>
    </row>
    <row r="42">
      <c r="A42" s="3" t="inlineStr">
        <is>
          <t>Share Repurchases</t>
        </is>
      </c>
      <c r="B42" s="4" t="n">
        <v>-193</v>
      </c>
      <c r="C42" s="4" t="n">
        <v>-699</v>
      </c>
      <c r="D42" s="4" t="n">
        <v>-1156</v>
      </c>
      <c r="E42" s="4" t="n">
        <v>-160</v>
      </c>
      <c r="F42" s="4" t="n">
        <v>-453</v>
      </c>
      <c r="G42" s="4" t="n">
        <v>-751</v>
      </c>
      <c r="H42" s="4" t="n">
        <v>-146</v>
      </c>
      <c r="I42" s="4" t="n">
        <v>-461</v>
      </c>
      <c r="J42" s="4" t="n">
        <v>-760</v>
      </c>
      <c r="K42" s="4" t="n">
        <v>-183</v>
      </c>
      <c r="L42" s="4" t="n">
        <v>-494</v>
      </c>
      <c r="M42" s="4" t="n">
        <v>-752</v>
      </c>
      <c r="N42" s="4" t="n">
        <v>-182</v>
      </c>
    </row>
    <row r="43">
      <c r="A43" s="3" t="inlineStr">
        <is>
          <t>Proceeds from Exercise of Stock Options</t>
        </is>
      </c>
      <c r="B43" s="4" t="n">
        <v>49</v>
      </c>
      <c r="C43" s="4" t="n">
        <v>89</v>
      </c>
      <c r="D43" s="4" t="n">
        <v>113</v>
      </c>
      <c r="E43" s="4" t="n">
        <v>46</v>
      </c>
      <c r="F43" s="4" t="n">
        <v>86</v>
      </c>
      <c r="G43" s="4" t="n">
        <v>100</v>
      </c>
      <c r="H43" s="4" t="n">
        <v>66</v>
      </c>
      <c r="I43" s="4" t="n">
        <v>107</v>
      </c>
      <c r="J43" s="4" t="n">
        <v>138</v>
      </c>
      <c r="K43" s="4" t="n">
        <v>50</v>
      </c>
      <c r="L43" s="4" t="n">
        <v>58</v>
      </c>
      <c r="M43" s="4" t="n">
        <v>76</v>
      </c>
      <c r="N43" s="4" t="n">
        <v>93</v>
      </c>
    </row>
    <row r="44">
      <c r="A44" s="3" t="inlineStr">
        <is>
          <t>Tax Withholdings on RSU/PSU Settlement</t>
        </is>
      </c>
      <c r="B44" s="4" t="n">
        <v>-85</v>
      </c>
      <c r="C44" s="4" t="n">
        <v>-87</v>
      </c>
      <c r="D44" s="4" t="n">
        <v>-97</v>
      </c>
      <c r="E44" s="4" t="n">
        <v>-116</v>
      </c>
      <c r="F44" s="4" t="n">
        <v>-119</v>
      </c>
      <c r="G44" s="4" t="n">
        <v>-135</v>
      </c>
      <c r="H44" s="4" t="n">
        <v>-108</v>
      </c>
      <c r="I44" s="4" t="n">
        <v>-131</v>
      </c>
      <c r="J44" s="4" t="n">
        <v>-132</v>
      </c>
      <c r="K44" s="4" t="n">
        <v>-89</v>
      </c>
      <c r="L44" s="4" t="n">
        <v>-111</v>
      </c>
      <c r="M44" s="4" t="n">
        <v>-112</v>
      </c>
      <c r="N44" s="4" t="n">
        <v>-76</v>
      </c>
    </row>
    <row r="45">
      <c r="A45" s="3" t="inlineStr">
        <is>
          <t>Other Financing Activities</t>
        </is>
      </c>
      <c r="B45" s="4" t="n">
        <v>-1</v>
      </c>
      <c r="C45" s="4" t="n">
        <v>-15</v>
      </c>
      <c r="D45" s="4" t="n">
        <v>-25</v>
      </c>
      <c r="E45" s="4" t="n">
        <v>-3</v>
      </c>
      <c r="F45" s="4" t="n">
        <v>-16</v>
      </c>
      <c r="G45" s="4" t="n">
        <v>-18</v>
      </c>
      <c r="H45" s="4" t="n">
        <v>0</v>
      </c>
      <c r="I45" s="4" t="n">
        <v>-20</v>
      </c>
      <c r="J45" s="4" t="n">
        <v>-22</v>
      </c>
      <c r="K45" s="4" t="n">
        <v>-2</v>
      </c>
      <c r="L45" s="4" t="n">
        <v>-17</v>
      </c>
      <c r="M45" s="4" t="n">
        <v>-18</v>
      </c>
      <c r="N45" s="4" t="n">
        <v>-1</v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6">
        <f>SUM(G35:G45)</f>
        <v/>
      </c>
      <c r="H46" s="6">
        <f>SUM(H35:H45)</f>
        <v/>
      </c>
      <c r="I46" s="6">
        <f>SUM(I35:I45)</f>
        <v/>
      </c>
      <c r="J46" s="6">
        <f>SUM(J35:J45)</f>
        <v/>
      </c>
      <c r="K46" s="6">
        <f>SUM(K35:K45)</f>
        <v/>
      </c>
      <c r="L46" s="6">
        <f>SUM(L35:L45)</f>
        <v/>
      </c>
      <c r="M46" s="6">
        <f>SUM(M35:M45)</f>
        <v/>
      </c>
      <c r="N46" s="6">
        <f>SUM(N35:N45)</f>
        <v/>
      </c>
    </row>
    <row r="47">
      <c r="A47" s="3" t="inlineStr">
        <is>
          <t>FX Effect on Cash</t>
        </is>
      </c>
      <c r="B47" s="4" t="n">
        <v>-17</v>
      </c>
      <c r="C47" s="4" t="n">
        <v>-83</v>
      </c>
      <c r="D47" s="4" t="n">
        <v>-197</v>
      </c>
      <c r="E47" s="4" t="n">
        <v>-116</v>
      </c>
      <c r="F47" s="4" t="n">
        <v>-144</v>
      </c>
      <c r="G47" s="4" t="n">
        <v>-254</v>
      </c>
      <c r="H47" s="4" t="n">
        <v>-38</v>
      </c>
      <c r="I47" s="4" t="n">
        <v>-304</v>
      </c>
      <c r="J47" s="4" t="n">
        <v>-391</v>
      </c>
      <c r="K47" s="4" t="n">
        <v>203</v>
      </c>
      <c r="L47" s="4" t="n">
        <v>422</v>
      </c>
      <c r="M47" s="4" t="n">
        <v>395</v>
      </c>
      <c r="N47" s="4" t="n">
        <v>121</v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6">
        <f>G26+G34+G46+G47</f>
        <v/>
      </c>
      <c r="H48" s="6">
        <f>H26+H34+H46+H47</f>
        <v/>
      </c>
      <c r="I48" s="6">
        <f>I26+I34+I46+I47</f>
        <v/>
      </c>
      <c r="J48" s="6">
        <f>J26+J34+J46+J47</f>
        <v/>
      </c>
      <c r="K48" s="6">
        <f>K26+K34+K46+K47</f>
        <v/>
      </c>
      <c r="L48" s="6">
        <f>L26+L34+L46+L47</f>
        <v/>
      </c>
      <c r="M48" s="6">
        <f>M26+M34+M46+M47</f>
        <v/>
      </c>
      <c r="N48" s="6">
        <f>N26+N34+N46+N47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IF('IS DRIVERS'!$B2="QoQ",'QTR P&amp;L'!R2,'QTR P&amp;L'!O2)*(1+'IS DRIVERS'!T2)</f>
        <v/>
      </c>
      <c r="T2" s="11">
        <f>IF('IS DRIVERS'!$B2="QoQ",'QTR P&amp;L'!S2,'QTR P&amp;L'!P2)*(1+'IS DRIVERS'!U2)</f>
        <v/>
      </c>
      <c r="U2" s="11">
        <f>IF('IS DRIVERS'!$B2="QoQ",'QTR P&amp;L'!T2,'QTR P&amp;L'!Q2)*(1+'IS DRIVERS'!V2)</f>
        <v/>
      </c>
      <c r="V2" s="11">
        <f>IF('IS DRIVERS'!$B2="QoQ",'QTR P&amp;L'!U2,'QTR P&amp;L'!R2)*(1+'IS DRIVERS'!W2)</f>
        <v/>
      </c>
      <c r="W2" s="11">
        <f>IF('IS DRIVERS'!$B2="QoQ",'QTR P&amp;L'!V2,'QTR P&amp;L'!S2)*(1+'IS DRIVERS'!X2)</f>
        <v/>
      </c>
      <c r="X2" s="11">
        <f>IF('IS DRIVERS'!$B2="QoQ",'QTR P&amp;L'!W2,'QTR P&amp;L'!T2)*(1+'IS DRIVERS'!Y2)</f>
        <v/>
      </c>
      <c r="Y2" s="11">
        <f>IF('IS DRIVERS'!$B2="QoQ",'QTR P&amp;L'!X2,'QTR P&amp;L'!U2)*(1+'IS DRIVERS'!Z2)</f>
        <v/>
      </c>
      <c r="Z2" s="11">
        <f>IF('IS DRIVERS'!$B2="QoQ",'QTR P&amp;L'!Y2,'QTR P&amp;L'!V2)*(1+'IS DRIVERS'!AA2)</f>
        <v/>
      </c>
      <c r="AA2" s="11">
        <f>IF('IS DRIVERS'!$B2="QoQ",'QTR P&amp;L'!Z2,'QTR P&amp;L'!W2)*(1+'IS DRIVERS'!AB2)</f>
        <v/>
      </c>
      <c r="AB2" s="11">
        <f>IF('IS DRIVERS'!$B2="QoQ",'QTR P&amp;L'!AA2,'QTR P&amp;L'!X2)*(1+'IS DRIVERS'!AC2)</f>
        <v/>
      </c>
      <c r="AC2" s="11">
        <f>IF('IS DRIVERS'!$B2="QoQ",'QTR P&amp;L'!AB2,'QTR P&amp;L'!Y2)*(1+'IS DRIVERS'!AD2)</f>
        <v/>
      </c>
      <c r="AD2" s="11">
        <f>IF('IS DRIVERS'!$B2="QoQ",'QTR P&amp;L'!AC2,'QTR P&amp;L'!Z2)*(1+'IS DRIVERS'!AE2)</f>
        <v/>
      </c>
      <c r="AE2" s="11">
        <f>IF('IS DRIVERS'!$B2="QoQ",'QTR P&amp;L'!AD2,'QTR P&amp;L'!AA2)*(1+'IS DRIVERS'!AF2)</f>
        <v/>
      </c>
      <c r="AF2" s="11">
        <f>IF('IS DRIVERS'!$B2="QoQ",'QTR P&amp;L'!AE2,'QTR P&amp;L'!AB2)*(1+'IS DRIVERS'!AG2)</f>
        <v/>
      </c>
      <c r="AG2" s="11">
        <f>IF('IS DRIVERS'!$B2="QoQ",'QTR P&amp;L'!AF2,'QTR P&amp;L'!AC2)*(1+'IS DRIVERS'!AH2)</f>
        <v/>
      </c>
      <c r="AH2" s="11">
        <f>IF('IS DRIVERS'!$B2="QoQ",'QTR P&amp;L'!AG2,'QTR P&amp;L'!AD2)*(1+'IS DRIVERS'!AI2)</f>
        <v/>
      </c>
      <c r="AI2" s="11">
        <f>IF('IS DRIVERS'!$B2="QoQ",'QTR P&amp;L'!AH2,'QTR P&amp;L'!AE2)*(1+'IS DRIVERS'!AJ2)</f>
        <v/>
      </c>
      <c r="AJ2" s="11">
        <f>IF('IS DRIVERS'!$B2="QoQ",'QTR P&amp;L'!AI2,'QTR P&amp;L'!AF2)*(1+'IS DRIVERS'!AK2)</f>
        <v/>
      </c>
      <c r="AK2" s="11">
        <f>IF('IS DRIVERS'!$B2="QoQ",'QTR P&amp;L'!AJ2,'QTR P&amp;L'!AG2)*(1+'IS DRIVERS'!AL2)</f>
        <v/>
      </c>
      <c r="AL2" s="11">
        <f>IF('IS DRIVERS'!$B2="QoQ",'QTR P&amp;L'!AK2,'QTR P&amp;L'!AH2)*(1+'IS DRIVERS'!AM2)</f>
        <v/>
      </c>
      <c r="AM2" s="11">
        <f>IF('IS DRIVERS'!$B2="QoQ",'QTR P&amp;L'!AL2,'QTR P&amp;L'!AI2)*(1+'IS DRIVERS'!AN2)</f>
        <v/>
      </c>
      <c r="AN2" s="11">
        <f>IF('IS DRIVERS'!$B2="QoQ",'QTR P&amp;L'!AM2,'QTR P&amp;L'!AJ2)*(1+'IS DRIVERS'!AO2)</f>
        <v/>
      </c>
      <c r="AO2" s="11">
        <f>IF('IS DRIVERS'!$B2="QoQ",'QTR P&amp;L'!AN2,'QTR P&amp;L'!AK2)*(1+'IS DRIVERS'!AP2)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DRIVERS'!T3</f>
        <v/>
      </c>
      <c r="T3" s="11">
        <f>'QTR P&amp;L'!T2*'IS DRIVERS'!U3</f>
        <v/>
      </c>
      <c r="U3" s="11">
        <f>'QTR P&amp;L'!U2*'IS DRIVERS'!V3</f>
        <v/>
      </c>
      <c r="V3" s="11">
        <f>'QTR P&amp;L'!V2*'IS DRIVERS'!W3</f>
        <v/>
      </c>
      <c r="W3" s="11">
        <f>'QTR P&amp;L'!W2*'IS DRIVERS'!X3</f>
        <v/>
      </c>
      <c r="X3" s="11">
        <f>'QTR P&amp;L'!X2*'IS DRIVERS'!Y3</f>
        <v/>
      </c>
      <c r="Y3" s="11">
        <f>'QTR P&amp;L'!Y2*'IS DRIVERS'!Z3</f>
        <v/>
      </c>
      <c r="Z3" s="11">
        <f>'QTR P&amp;L'!Z2*'IS DRIVERS'!AA3</f>
        <v/>
      </c>
      <c r="AA3" s="11">
        <f>'QTR P&amp;L'!AA2*'IS DRIVERS'!AB3</f>
        <v/>
      </c>
      <c r="AB3" s="11">
        <f>'QTR P&amp;L'!AB2*'IS DRIVERS'!AC3</f>
        <v/>
      </c>
      <c r="AC3" s="11">
        <f>'QTR P&amp;L'!AC2*'IS DRIVERS'!AD3</f>
        <v/>
      </c>
      <c r="AD3" s="11">
        <f>'QTR P&amp;L'!AD2*'IS DRIVERS'!AE3</f>
        <v/>
      </c>
      <c r="AE3" s="11">
        <f>'QTR P&amp;L'!AE2*'IS DRIVERS'!AF3</f>
        <v/>
      </c>
      <c r="AF3" s="11">
        <f>'QTR P&amp;L'!AF2*'IS DRIVERS'!AG3</f>
        <v/>
      </c>
      <c r="AG3" s="11">
        <f>'QTR P&amp;L'!AG2*'IS DRIVERS'!AH3</f>
        <v/>
      </c>
      <c r="AH3" s="11">
        <f>'QTR P&amp;L'!AH2*'IS DRIVERS'!AI3</f>
        <v/>
      </c>
      <c r="AI3" s="11">
        <f>'QTR P&amp;L'!AI2*'IS DRIVERS'!AJ3</f>
        <v/>
      </c>
      <c r="AJ3" s="11">
        <f>'QTR P&amp;L'!AJ2*'IS DRIVERS'!AK3</f>
        <v/>
      </c>
      <c r="AK3" s="11">
        <f>'QTR P&amp;L'!AK2*'IS DRIVERS'!AL3</f>
        <v/>
      </c>
      <c r="AL3" s="11">
        <f>'QTR P&amp;L'!AL2*'IS DRIVERS'!AM3</f>
        <v/>
      </c>
      <c r="AM3" s="11">
        <f>'QTR P&amp;L'!AM2*'IS DRIVERS'!AN3</f>
        <v/>
      </c>
      <c r="AN3" s="11">
        <f>'QTR P&amp;L'!AN2*'IS DRIVERS'!AO3</f>
        <v/>
      </c>
      <c r="AO3" s="11">
        <f>'QTR P&amp;L'!AO2*'IS DRIVERS'!AP3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7">
        <f>S2+S3</f>
        <v/>
      </c>
      <c r="T4" s="7">
        <f>T2+T3</f>
        <v/>
      </c>
      <c r="U4" s="7">
        <f>U2+U3</f>
        <v/>
      </c>
      <c r="V4" s="7">
        <f>V2+V3</f>
        <v/>
      </c>
      <c r="W4" s="7">
        <f>W2+W3</f>
        <v/>
      </c>
      <c r="X4" s="7">
        <f>X2+X3</f>
        <v/>
      </c>
      <c r="Y4" s="7">
        <f>Y2+Y3</f>
        <v/>
      </c>
      <c r="Z4" s="7">
        <f>Z2+Z3</f>
        <v/>
      </c>
      <c r="AA4" s="7">
        <f>AA2+AA3</f>
        <v/>
      </c>
      <c r="AB4" s="7">
        <f>AB2+AB3</f>
        <v/>
      </c>
      <c r="AC4" s="7">
        <f>AC2+AC3</f>
        <v/>
      </c>
      <c r="AD4" s="7">
        <f>AD2+AD3</f>
        <v/>
      </c>
      <c r="AE4" s="7">
        <f>AE2+AE3</f>
        <v/>
      </c>
      <c r="AF4" s="7">
        <f>AF2+AF3</f>
        <v/>
      </c>
      <c r="AG4" s="7">
        <f>AG2+AG3</f>
        <v/>
      </c>
      <c r="AH4" s="7">
        <f>AH2+AH3</f>
        <v/>
      </c>
      <c r="AI4" s="7">
        <f>AI2+AI3</f>
        <v/>
      </c>
      <c r="AJ4" s="7">
        <f>AJ2+AJ3</f>
        <v/>
      </c>
      <c r="AK4" s="7">
        <f>AK2+AK3</f>
        <v/>
      </c>
      <c r="AL4" s="7">
        <f>AL2+AL3</f>
        <v/>
      </c>
      <c r="AM4" s="7">
        <f>AM2+AM3</f>
        <v/>
      </c>
      <c r="AN4" s="7">
        <f>AN2+AN3</f>
        <v/>
      </c>
      <c r="AO4" s="7">
        <f>AO2+AO3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DRIVERS'!T4</f>
        <v/>
      </c>
      <c r="T5" s="11">
        <f>'QTR P&amp;L'!T2*'IS DRIVERS'!U4</f>
        <v/>
      </c>
      <c r="U5" s="11">
        <f>'QTR P&amp;L'!U2*'IS DRIVERS'!V4</f>
        <v/>
      </c>
      <c r="V5" s="11">
        <f>'QTR P&amp;L'!V2*'IS DRIVERS'!W4</f>
        <v/>
      </c>
      <c r="W5" s="11">
        <f>'QTR P&amp;L'!W2*'IS DRIVERS'!X4</f>
        <v/>
      </c>
      <c r="X5" s="11">
        <f>'QTR P&amp;L'!X2*'IS DRIVERS'!Y4</f>
        <v/>
      </c>
      <c r="Y5" s="11">
        <f>'QTR P&amp;L'!Y2*'IS DRIVERS'!Z4</f>
        <v/>
      </c>
      <c r="Z5" s="11">
        <f>'QTR P&amp;L'!Z2*'IS DRIVERS'!AA4</f>
        <v/>
      </c>
      <c r="AA5" s="11">
        <f>'QTR P&amp;L'!AA2*'IS DRIVERS'!AB4</f>
        <v/>
      </c>
      <c r="AB5" s="11">
        <f>'QTR P&amp;L'!AB2*'IS DRIVERS'!AC4</f>
        <v/>
      </c>
      <c r="AC5" s="11">
        <f>'QTR P&amp;L'!AC2*'IS DRIVERS'!AD4</f>
        <v/>
      </c>
      <c r="AD5" s="11">
        <f>'QTR P&amp;L'!AD2*'IS DRIVERS'!AE4</f>
        <v/>
      </c>
      <c r="AE5" s="11">
        <f>'QTR P&amp;L'!AE2*'IS DRIVERS'!AF4</f>
        <v/>
      </c>
      <c r="AF5" s="11">
        <f>'QTR P&amp;L'!AF2*'IS DRIVERS'!AG4</f>
        <v/>
      </c>
      <c r="AG5" s="11">
        <f>'QTR P&amp;L'!AG2*'IS DRIVERS'!AH4</f>
        <v/>
      </c>
      <c r="AH5" s="11">
        <f>'QTR P&amp;L'!AH2*'IS DRIVERS'!AI4</f>
        <v/>
      </c>
      <c r="AI5" s="11">
        <f>'QTR P&amp;L'!AI2*'IS DRIVERS'!AJ4</f>
        <v/>
      </c>
      <c r="AJ5" s="11">
        <f>'QTR P&amp;L'!AJ2*'IS DRIVERS'!AK4</f>
        <v/>
      </c>
      <c r="AK5" s="11">
        <f>'QTR P&amp;L'!AK2*'IS DRIVERS'!AL4</f>
        <v/>
      </c>
      <c r="AL5" s="11">
        <f>'QTR P&amp;L'!AL2*'IS DRIVERS'!AM4</f>
        <v/>
      </c>
      <c r="AM5" s="11">
        <f>'QTR P&amp;L'!AM2*'IS DRIVERS'!AN4</f>
        <v/>
      </c>
      <c r="AN5" s="11">
        <f>'QTR P&amp;L'!AN2*'IS DRIVERS'!AO4</f>
        <v/>
      </c>
      <c r="AO5" s="11">
        <f>'QTR P&amp;L'!AO2*'IS DRIVERS'!AP4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'IS DRIVERS'!T5</f>
        <v/>
      </c>
      <c r="T6" s="11">
        <f>'IS DRIVERS'!U5</f>
        <v/>
      </c>
      <c r="U6" s="11">
        <f>'IS DRIVERS'!V5</f>
        <v/>
      </c>
      <c r="V6" s="11">
        <f>'IS DRIVERS'!W5</f>
        <v/>
      </c>
      <c r="W6" s="11">
        <f>'IS DRIVERS'!X5</f>
        <v/>
      </c>
      <c r="X6" s="11">
        <f>'IS DRIVERS'!Y5</f>
        <v/>
      </c>
      <c r="Y6" s="11">
        <f>'IS DRIVERS'!Z5</f>
        <v/>
      </c>
      <c r="Z6" s="11">
        <f>'IS DRIVERS'!AA5</f>
        <v/>
      </c>
      <c r="AA6" s="11">
        <f>'IS DRIVERS'!AB5</f>
        <v/>
      </c>
      <c r="AB6" s="11">
        <f>'IS DRIVERS'!AC5</f>
        <v/>
      </c>
      <c r="AC6" s="11">
        <f>'IS DRIVERS'!AD5</f>
        <v/>
      </c>
      <c r="AD6" s="11">
        <f>'IS DRIVERS'!AE5</f>
        <v/>
      </c>
      <c r="AE6" s="11">
        <f>'IS DRIVERS'!AF5</f>
        <v/>
      </c>
      <c r="AF6" s="11">
        <f>'IS DRIVERS'!AG5</f>
        <v/>
      </c>
      <c r="AG6" s="11">
        <f>'IS DRIVERS'!AH5</f>
        <v/>
      </c>
      <c r="AH6" s="11">
        <f>'IS DRIVERS'!AI5</f>
        <v/>
      </c>
      <c r="AI6" s="11">
        <f>'IS DRIVERS'!AJ5</f>
        <v/>
      </c>
      <c r="AJ6" s="11">
        <f>'IS DRIVERS'!AK5</f>
        <v/>
      </c>
      <c r="AK6" s="11">
        <f>'IS DRIVERS'!AL5</f>
        <v/>
      </c>
      <c r="AL6" s="11">
        <f>'IS DRIVERS'!AM5</f>
        <v/>
      </c>
      <c r="AM6" s="11">
        <f>'IS DRIVERS'!AN5</f>
        <v/>
      </c>
      <c r="AN6" s="11">
        <f>'IS DRIVERS'!AO5</f>
        <v/>
      </c>
      <c r="AO6" s="11">
        <f>'IS DRIVERS'!AP5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DRIVERS'!T6</f>
        <v/>
      </c>
      <c r="T7" s="11">
        <f>'QTR P&amp;L'!T2*'IS DRIVERS'!U6</f>
        <v/>
      </c>
      <c r="U7" s="11">
        <f>'QTR P&amp;L'!U2*'IS DRIVERS'!V6</f>
        <v/>
      </c>
      <c r="V7" s="11">
        <f>'QTR P&amp;L'!V2*'IS DRIVERS'!W6</f>
        <v/>
      </c>
      <c r="W7" s="11">
        <f>'QTR P&amp;L'!W2*'IS DRIVERS'!X6</f>
        <v/>
      </c>
      <c r="X7" s="11">
        <f>'QTR P&amp;L'!X2*'IS DRIVERS'!Y6</f>
        <v/>
      </c>
      <c r="Y7" s="11">
        <f>'QTR P&amp;L'!Y2*'IS DRIVERS'!Z6</f>
        <v/>
      </c>
      <c r="Z7" s="11">
        <f>'QTR P&amp;L'!Z2*'IS DRIVERS'!AA6</f>
        <v/>
      </c>
      <c r="AA7" s="11">
        <f>'QTR P&amp;L'!AA2*'IS DRIVERS'!AB6</f>
        <v/>
      </c>
      <c r="AB7" s="11">
        <f>'QTR P&amp;L'!AB2*'IS DRIVERS'!AC6</f>
        <v/>
      </c>
      <c r="AC7" s="11">
        <f>'QTR P&amp;L'!AC2*'IS DRIVERS'!AD6</f>
        <v/>
      </c>
      <c r="AD7" s="11">
        <f>'QTR P&amp;L'!AD2*'IS DRIVERS'!AE6</f>
        <v/>
      </c>
      <c r="AE7" s="11">
        <f>'QTR P&amp;L'!AE2*'IS DRIVERS'!AF6</f>
        <v/>
      </c>
      <c r="AF7" s="11">
        <f>'QTR P&amp;L'!AF2*'IS DRIVERS'!AG6</f>
        <v/>
      </c>
      <c r="AG7" s="11">
        <f>'QTR P&amp;L'!AG2*'IS DRIVERS'!AH6</f>
        <v/>
      </c>
      <c r="AH7" s="11">
        <f>'QTR P&amp;L'!AH2*'IS DRIVERS'!AI6</f>
        <v/>
      </c>
      <c r="AI7" s="11">
        <f>'QTR P&amp;L'!AI2*'IS DRIVERS'!AJ6</f>
        <v/>
      </c>
      <c r="AJ7" s="11">
        <f>'QTR P&amp;L'!AJ2*'IS DRIVERS'!AK6</f>
        <v/>
      </c>
      <c r="AK7" s="11">
        <f>'QTR P&amp;L'!AK2*'IS DRIVERS'!AL6</f>
        <v/>
      </c>
      <c r="AL7" s="11">
        <f>'QTR P&amp;L'!AL2*'IS DRIVERS'!AM6</f>
        <v/>
      </c>
      <c r="AM7" s="11">
        <f>'QTR P&amp;L'!AM2*'IS DRIVERS'!AN6</f>
        <v/>
      </c>
      <c r="AN7" s="11">
        <f>'QTR P&amp;L'!AN2*'IS DRIVERS'!AO6</f>
        <v/>
      </c>
      <c r="AO7" s="11">
        <f>'QTR P&amp;L'!AO2*'IS DRIVERS'!AP6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7">
        <f>S4+SUM(S5:S7)</f>
        <v/>
      </c>
      <c r="T8" s="7">
        <f>T4+SUM(T5:T7)</f>
        <v/>
      </c>
      <c r="U8" s="7">
        <f>U4+SUM(U5:U7)</f>
        <v/>
      </c>
      <c r="V8" s="7">
        <f>V4+SUM(V5:V7)</f>
        <v/>
      </c>
      <c r="W8" s="7">
        <f>W4+SUM(W5:W7)</f>
        <v/>
      </c>
      <c r="X8" s="7">
        <f>X4+SUM(X5:X7)</f>
        <v/>
      </c>
      <c r="Y8" s="7">
        <f>Y4+SUM(Y5:Y7)</f>
        <v/>
      </c>
      <c r="Z8" s="7">
        <f>Z4+SUM(Z5:Z7)</f>
        <v/>
      </c>
      <c r="AA8" s="7">
        <f>AA4+SUM(AA5:AA7)</f>
        <v/>
      </c>
      <c r="AB8" s="7">
        <f>AB4+SUM(AB5:AB7)</f>
        <v/>
      </c>
      <c r="AC8" s="7">
        <f>AC4+SUM(AC5:AC7)</f>
        <v/>
      </c>
      <c r="AD8" s="7">
        <f>AD4+SUM(AD5:AD7)</f>
        <v/>
      </c>
      <c r="AE8" s="7">
        <f>AE4+SUM(AE5:AE7)</f>
        <v/>
      </c>
      <c r="AF8" s="7">
        <f>AF4+SUM(AF5:AF7)</f>
        <v/>
      </c>
      <c r="AG8" s="7">
        <f>AG4+SUM(AG5:AG7)</f>
        <v/>
      </c>
      <c r="AH8" s="7">
        <f>AH4+SUM(AH5:AH7)</f>
        <v/>
      </c>
      <c r="AI8" s="7">
        <f>AI4+SUM(AI5:AI7)</f>
        <v/>
      </c>
      <c r="AJ8" s="7">
        <f>AJ4+SUM(AJ5:AJ7)</f>
        <v/>
      </c>
      <c r="AK8" s="7">
        <f>AK4+SUM(AK5:AK7)</f>
        <v/>
      </c>
      <c r="AL8" s="7">
        <f>AL4+SUM(AL5:AL7)</f>
        <v/>
      </c>
      <c r="AM8" s="7">
        <f>AM4+SUM(AM5:AM7)</f>
        <v/>
      </c>
      <c r="AN8" s="7">
        <f>AN4+SUM(AN5:AN7)</f>
        <v/>
      </c>
      <c r="AO8" s="7">
        <f>AO4+SUM(AO5:AO7)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11">
        <f>'IS DRIVERS'!T7</f>
        <v/>
      </c>
      <c r="T9" s="11">
        <f>'IS DRIVERS'!U7</f>
        <v/>
      </c>
      <c r="U9" s="11">
        <f>'IS DRIVERS'!V7</f>
        <v/>
      </c>
      <c r="V9" s="11">
        <f>'IS DRIVERS'!W7</f>
        <v/>
      </c>
      <c r="W9" s="11">
        <f>'IS DRIVERS'!X7</f>
        <v/>
      </c>
      <c r="X9" s="11">
        <f>'IS DRIVERS'!Y7</f>
        <v/>
      </c>
      <c r="Y9" s="11">
        <f>'IS DRIVERS'!Z7</f>
        <v/>
      </c>
      <c r="Z9" s="11">
        <f>'IS DRIVERS'!AA7</f>
        <v/>
      </c>
      <c r="AA9" s="11">
        <f>'IS DRIVERS'!AB7</f>
        <v/>
      </c>
      <c r="AB9" s="11">
        <f>'IS DRIVERS'!AC7</f>
        <v/>
      </c>
      <c r="AC9" s="11">
        <f>'IS DRIVERS'!AD7</f>
        <v/>
      </c>
      <c r="AD9" s="11">
        <f>'IS DRIVERS'!AE7</f>
        <v/>
      </c>
      <c r="AE9" s="11">
        <f>'IS DRIVERS'!AF7</f>
        <v/>
      </c>
      <c r="AF9" s="11">
        <f>'IS DRIVERS'!AG7</f>
        <v/>
      </c>
      <c r="AG9" s="11">
        <f>'IS DRIVERS'!AH7</f>
        <v/>
      </c>
      <c r="AH9" s="11">
        <f>'IS DRIVERS'!AI7</f>
        <v/>
      </c>
      <c r="AI9" s="11">
        <f>'IS DRIVERS'!AJ7</f>
        <v/>
      </c>
      <c r="AJ9" s="11">
        <f>'IS DRIVERS'!AK7</f>
        <v/>
      </c>
      <c r="AK9" s="11">
        <f>'IS DRIVERS'!AL7</f>
        <v/>
      </c>
      <c r="AL9" s="11">
        <f>'IS DRIVERS'!AM7</f>
        <v/>
      </c>
      <c r="AM9" s="11">
        <f>'IS DRIVERS'!AN7</f>
        <v/>
      </c>
      <c r="AN9" s="11">
        <f>'IS DRIVERS'!AO7</f>
        <v/>
      </c>
      <c r="AO9" s="11">
        <f>'IS DRIVERS'!AP7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11">
        <f>'IS DRIVERS'!T8</f>
        <v/>
      </c>
      <c r="T10" s="11">
        <f>'IS DRIVERS'!U8</f>
        <v/>
      </c>
      <c r="U10" s="11">
        <f>'IS DRIVERS'!V8</f>
        <v/>
      </c>
      <c r="V10" s="11">
        <f>'IS DRIVERS'!W8</f>
        <v/>
      </c>
      <c r="W10" s="11">
        <f>'IS DRIVERS'!X8</f>
        <v/>
      </c>
      <c r="X10" s="11">
        <f>'IS DRIVERS'!Y8</f>
        <v/>
      </c>
      <c r="Y10" s="11">
        <f>'IS DRIVERS'!Z8</f>
        <v/>
      </c>
      <c r="Z10" s="11">
        <f>'IS DRIVERS'!AA8</f>
        <v/>
      </c>
      <c r="AA10" s="11">
        <f>'IS DRIVERS'!AB8</f>
        <v/>
      </c>
      <c r="AB10" s="11">
        <f>'IS DRIVERS'!AC8</f>
        <v/>
      </c>
      <c r="AC10" s="11">
        <f>'IS DRIVERS'!AD8</f>
        <v/>
      </c>
      <c r="AD10" s="11">
        <f>'IS DRIVERS'!AE8</f>
        <v/>
      </c>
      <c r="AE10" s="11">
        <f>'IS DRIVERS'!AF8</f>
        <v/>
      </c>
      <c r="AF10" s="11">
        <f>'IS DRIVERS'!AG8</f>
        <v/>
      </c>
      <c r="AG10" s="11">
        <f>'IS DRIVERS'!AH8</f>
        <v/>
      </c>
      <c r="AH10" s="11">
        <f>'IS DRIVERS'!AI8</f>
        <v/>
      </c>
      <c r="AI10" s="11">
        <f>'IS DRIVERS'!AJ8</f>
        <v/>
      </c>
      <c r="AJ10" s="11">
        <f>'IS DRIVERS'!AK8</f>
        <v/>
      </c>
      <c r="AK10" s="11">
        <f>'IS DRIVERS'!AL8</f>
        <v/>
      </c>
      <c r="AL10" s="11">
        <f>'IS DRIVERS'!AM8</f>
        <v/>
      </c>
      <c r="AM10" s="11">
        <f>'IS DRIVERS'!AN8</f>
        <v/>
      </c>
      <c r="AN10" s="11">
        <f>'IS DRIVERS'!AO8</f>
        <v/>
      </c>
      <c r="AO10" s="11">
        <f>'IS DRIVERS'!AP8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7">
        <f>S8+SUM(S9:S10)</f>
        <v/>
      </c>
      <c r="T11" s="7">
        <f>T8+SUM(T9:T10)</f>
        <v/>
      </c>
      <c r="U11" s="7">
        <f>U8+SUM(U9:U10)</f>
        <v/>
      </c>
      <c r="V11" s="7">
        <f>V8+SUM(V9:V10)</f>
        <v/>
      </c>
      <c r="W11" s="7">
        <f>W8+SUM(W9:W10)</f>
        <v/>
      </c>
      <c r="X11" s="7">
        <f>X8+SUM(X9:X10)</f>
        <v/>
      </c>
      <c r="Y11" s="7">
        <f>Y8+SUM(Y9:Y10)</f>
        <v/>
      </c>
      <c r="Z11" s="7">
        <f>Z8+SUM(Z9:Z10)</f>
        <v/>
      </c>
      <c r="AA11" s="7">
        <f>AA8+SUM(AA9:AA10)</f>
        <v/>
      </c>
      <c r="AB11" s="7">
        <f>AB8+SUM(AB9:AB10)</f>
        <v/>
      </c>
      <c r="AC11" s="7">
        <f>AC8+SUM(AC9:AC10)</f>
        <v/>
      </c>
      <c r="AD11" s="7">
        <f>AD8+SUM(AD9:AD10)</f>
        <v/>
      </c>
      <c r="AE11" s="7">
        <f>AE8+SUM(AE9:AE10)</f>
        <v/>
      </c>
      <c r="AF11" s="7">
        <f>AF8+SUM(AF9:AF10)</f>
        <v/>
      </c>
      <c r="AG11" s="7">
        <f>AG8+SUM(AG9:AG10)</f>
        <v/>
      </c>
      <c r="AH11" s="7">
        <f>AH8+SUM(AH9:AH10)</f>
        <v/>
      </c>
      <c r="AI11" s="7">
        <f>AI8+SUM(AI9:AI10)</f>
        <v/>
      </c>
      <c r="AJ11" s="7">
        <f>AJ8+SUM(AJ9:AJ10)</f>
        <v/>
      </c>
      <c r="AK11" s="7">
        <f>AK8+SUM(AK9:AK10)</f>
        <v/>
      </c>
      <c r="AL11" s="7">
        <f>AL8+SUM(AL9:AL10)</f>
        <v/>
      </c>
      <c r="AM11" s="7">
        <f>AM8+SUM(AM9:AM10)</f>
        <v/>
      </c>
      <c r="AN11" s="7">
        <f>AN8+SUM(AN9:AN10)</f>
        <v/>
      </c>
      <c r="AO11" s="7">
        <f>AO8+SUM(AO9:AO10)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DRIVERS'!T9</f>
        <v/>
      </c>
      <c r="T12" s="11">
        <f>'QTR P&amp;L'!T11*'IS DRIVERS'!U9</f>
        <v/>
      </c>
      <c r="U12" s="11">
        <f>'QTR P&amp;L'!U11*'IS DRIVERS'!V9</f>
        <v/>
      </c>
      <c r="V12" s="11">
        <f>'QTR P&amp;L'!V11*'IS DRIVERS'!W9</f>
        <v/>
      </c>
      <c r="W12" s="11">
        <f>'QTR P&amp;L'!W11*'IS DRIVERS'!X9</f>
        <v/>
      </c>
      <c r="X12" s="11">
        <f>'QTR P&amp;L'!X11*'IS DRIVERS'!Y9</f>
        <v/>
      </c>
      <c r="Y12" s="11">
        <f>'QTR P&amp;L'!Y11*'IS DRIVERS'!Z9</f>
        <v/>
      </c>
      <c r="Z12" s="11">
        <f>'QTR P&amp;L'!Z11*'IS DRIVERS'!AA9</f>
        <v/>
      </c>
      <c r="AA12" s="11">
        <f>'QTR P&amp;L'!AA11*'IS DRIVERS'!AB9</f>
        <v/>
      </c>
      <c r="AB12" s="11">
        <f>'QTR P&amp;L'!AB11*'IS DRIVERS'!AC9</f>
        <v/>
      </c>
      <c r="AC12" s="11">
        <f>'QTR P&amp;L'!AC11*'IS DRIVERS'!AD9</f>
        <v/>
      </c>
      <c r="AD12" s="11">
        <f>'QTR P&amp;L'!AD11*'IS DRIVERS'!AE9</f>
        <v/>
      </c>
      <c r="AE12" s="11">
        <f>'QTR P&amp;L'!AE11*'IS DRIVERS'!AF9</f>
        <v/>
      </c>
      <c r="AF12" s="11">
        <f>'QTR P&amp;L'!AF11*'IS DRIVERS'!AG9</f>
        <v/>
      </c>
      <c r="AG12" s="11">
        <f>'QTR P&amp;L'!AG11*'IS DRIVERS'!AH9</f>
        <v/>
      </c>
      <c r="AH12" s="11">
        <f>'QTR P&amp;L'!AH11*'IS DRIVERS'!AI9</f>
        <v/>
      </c>
      <c r="AI12" s="11">
        <f>'QTR P&amp;L'!AI11*'IS DRIVERS'!AJ9</f>
        <v/>
      </c>
      <c r="AJ12" s="11">
        <f>'QTR P&amp;L'!AJ11*'IS DRIVERS'!AK9</f>
        <v/>
      </c>
      <c r="AK12" s="11">
        <f>'QTR P&amp;L'!AK11*'IS DRIVERS'!AL9</f>
        <v/>
      </c>
      <c r="AL12" s="11">
        <f>'QTR P&amp;L'!AL11*'IS DRIVERS'!AM9</f>
        <v/>
      </c>
      <c r="AM12" s="11">
        <f>'QTR P&amp;L'!AM11*'IS DRIVERS'!AN9</f>
        <v/>
      </c>
      <c r="AN12" s="11">
        <f>'QTR P&amp;L'!AN11*'IS DRIVERS'!AO9</f>
        <v/>
      </c>
      <c r="AO12" s="11">
        <f>'QTR P&amp;L'!AO11*'IS DRIVERS'!AP9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7">
        <f>S11+S12</f>
        <v/>
      </c>
      <c r="T13" s="7">
        <f>T11+T12</f>
        <v/>
      </c>
      <c r="U13" s="7">
        <f>U11+U12</f>
        <v/>
      </c>
      <c r="V13" s="7">
        <f>V11+V12</f>
        <v/>
      </c>
      <c r="W13" s="7">
        <f>W11+W12</f>
        <v/>
      </c>
      <c r="X13" s="7">
        <f>X11+X12</f>
        <v/>
      </c>
      <c r="Y13" s="7">
        <f>Y11+Y12</f>
        <v/>
      </c>
      <c r="Z13" s="7">
        <f>Z11+Z12</f>
        <v/>
      </c>
      <c r="AA13" s="7">
        <f>AA11+AA12</f>
        <v/>
      </c>
      <c r="AB13" s="7">
        <f>AB11+AB12</f>
        <v/>
      </c>
      <c r="AC13" s="7">
        <f>AC11+AC12</f>
        <v/>
      </c>
      <c r="AD13" s="7">
        <f>AD11+AD12</f>
        <v/>
      </c>
      <c r="AE13" s="7">
        <f>AE11+AE12</f>
        <v/>
      </c>
      <c r="AF13" s="7">
        <f>AF11+AF12</f>
        <v/>
      </c>
      <c r="AG13" s="7">
        <f>AG11+AG12</f>
        <v/>
      </c>
      <c r="AH13" s="7">
        <f>AH11+AH12</f>
        <v/>
      </c>
      <c r="AI13" s="7">
        <f>AI11+AI12</f>
        <v/>
      </c>
      <c r="AJ13" s="7">
        <f>AJ11+AJ12</f>
        <v/>
      </c>
      <c r="AK13" s="7">
        <f>AK11+AK12</f>
        <v/>
      </c>
      <c r="AL13" s="7">
        <f>AL11+AL12</f>
        <v/>
      </c>
      <c r="AM13" s="7">
        <f>AM11+AM12</f>
        <v/>
      </c>
      <c r="AN13" s="7">
        <f>AN11+AN12</f>
        <v/>
      </c>
      <c r="AO13" s="7">
        <f>AO11+AO12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11">
        <f>'IS DRIVERS'!T10</f>
        <v/>
      </c>
      <c r="T14" s="11">
        <f>'IS DRIVERS'!U10</f>
        <v/>
      </c>
      <c r="U14" s="11">
        <f>'IS DRIVERS'!V10</f>
        <v/>
      </c>
      <c r="V14" s="11">
        <f>'IS DRIVERS'!W10</f>
        <v/>
      </c>
      <c r="W14" s="11">
        <f>'IS DRIVERS'!X10</f>
        <v/>
      </c>
      <c r="X14" s="11">
        <f>'IS DRIVERS'!Y10</f>
        <v/>
      </c>
      <c r="Y14" s="11">
        <f>'IS DRIVERS'!Z10</f>
        <v/>
      </c>
      <c r="Z14" s="11">
        <f>'IS DRIVERS'!AA10</f>
        <v/>
      </c>
      <c r="AA14" s="11">
        <f>'IS DRIVERS'!AB10</f>
        <v/>
      </c>
      <c r="AB14" s="11">
        <f>'IS DRIVERS'!AC10</f>
        <v/>
      </c>
      <c r="AC14" s="11">
        <f>'IS DRIVERS'!AD10</f>
        <v/>
      </c>
      <c r="AD14" s="11">
        <f>'IS DRIVERS'!AE10</f>
        <v/>
      </c>
      <c r="AE14" s="11">
        <f>'IS DRIVERS'!AF10</f>
        <v/>
      </c>
      <c r="AF14" s="11">
        <f>'IS DRIVERS'!AG10</f>
        <v/>
      </c>
      <c r="AG14" s="11">
        <f>'IS DRIVERS'!AH10</f>
        <v/>
      </c>
      <c r="AH14" s="11">
        <f>'IS DRIVERS'!AI10</f>
        <v/>
      </c>
      <c r="AI14" s="11">
        <f>'IS DRIVERS'!AJ10</f>
        <v/>
      </c>
      <c r="AJ14" s="11">
        <f>'IS DRIVERS'!AK10</f>
        <v/>
      </c>
      <c r="AK14" s="11">
        <f>'IS DRIVERS'!AL10</f>
        <v/>
      </c>
      <c r="AL14" s="11">
        <f>'IS DRIVERS'!AM10</f>
        <v/>
      </c>
      <c r="AM14" s="11">
        <f>'IS DRIVERS'!AN10</f>
        <v/>
      </c>
      <c r="AN14" s="11">
        <f>'IS DRIVERS'!AO10</f>
        <v/>
      </c>
      <c r="AO14" s="11">
        <f>'IS DRIVERS'!AP10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  <c r="AI1" s="2" t="inlineStr">
        <is>
          <t>Q1 FY2031E</t>
        </is>
      </c>
      <c r="AJ1" s="2" t="inlineStr">
        <is>
          <t>Q2 FY2031E</t>
        </is>
      </c>
      <c r="AK1" s="2" t="inlineStr">
        <is>
          <t>Q3 FY2031E</t>
        </is>
      </c>
      <c r="AL1" s="2" t="inlineStr">
        <is>
          <t>Q4 FY2031E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'BS DRIVERS'!P2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  <c r="AI2" s="11">
        <f>'BS DRIVERS'!AI2</f>
        <v/>
      </c>
      <c r="AJ2" s="11">
        <f>'BS DRIVERS'!AJ2</f>
        <v/>
      </c>
      <c r="AK2" s="11">
        <f>'BS DRIVERS'!AK2</f>
        <v/>
      </c>
      <c r="AL2" s="11">
        <f>'BS DRIVERS'!AL2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'BS DRIVERS'!P3</f>
        <v/>
      </c>
      <c r="Q3" s="11">
        <f>'BS DRIVERS'!Q3</f>
        <v/>
      </c>
      <c r="R3" s="11">
        <f>'BS DRIVERS'!R3</f>
        <v/>
      </c>
      <c r="S3" s="11">
        <f>'BS DRIVERS'!S3</f>
        <v/>
      </c>
      <c r="T3" s="11">
        <f>'BS DRIVERS'!T3</f>
        <v/>
      </c>
      <c r="U3" s="11">
        <f>'BS DRIVERS'!U3</f>
        <v/>
      </c>
      <c r="V3" s="11">
        <f>'BS DRIVERS'!V3</f>
        <v/>
      </c>
      <c r="W3" s="11">
        <f>'BS DRIVERS'!W3</f>
        <v/>
      </c>
      <c r="X3" s="11">
        <f>'BS DRIVERS'!X3</f>
        <v/>
      </c>
      <c r="Y3" s="11">
        <f>'BS DRIVERS'!Y3</f>
        <v/>
      </c>
      <c r="Z3" s="11">
        <f>'BS DRIVERS'!Z3</f>
        <v/>
      </c>
      <c r="AA3" s="11">
        <f>'BS DRIVERS'!AA3</f>
        <v/>
      </c>
      <c r="AB3" s="11">
        <f>'BS DRIVERS'!AB3</f>
        <v/>
      </c>
      <c r="AC3" s="11">
        <f>'BS DRIVERS'!AC3</f>
        <v/>
      </c>
      <c r="AD3" s="11">
        <f>'BS DRIVERS'!AD3</f>
        <v/>
      </c>
      <c r="AE3" s="11">
        <f>'BS DRIVERS'!AE3</f>
        <v/>
      </c>
      <c r="AF3" s="11">
        <f>'BS DRIVERS'!AF3</f>
        <v/>
      </c>
      <c r="AG3" s="11">
        <f>'BS DRIVERS'!AG3</f>
        <v/>
      </c>
      <c r="AH3" s="11">
        <f>'BS DRIVERS'!AH3</f>
        <v/>
      </c>
      <c r="AI3" s="11">
        <f>'BS DRIVERS'!AI3</f>
        <v/>
      </c>
      <c r="AJ3" s="11">
        <f>'BS DRIVERS'!AJ3</f>
        <v/>
      </c>
      <c r="AK3" s="11">
        <f>'BS DRIVERS'!AK3</f>
        <v/>
      </c>
      <c r="AL3" s="11">
        <f>'BS DRIVERS'!AL3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DRIVERS'!P4/ASSUMPTIONS!$B$2</f>
        <v/>
      </c>
      <c r="Q4" s="11">
        <f>'QTR P&amp;L'!T2*'BS DRIVERS'!Q4/ASSUMPTIONS!$B$2</f>
        <v/>
      </c>
      <c r="R4" s="11">
        <f>'QTR P&amp;L'!U2*'BS DRIVERS'!R4/ASSUMPTIONS!$B$2</f>
        <v/>
      </c>
      <c r="S4" s="11">
        <f>'QTR P&amp;L'!V2*'BS DRIVERS'!S4/ASSUMPTIONS!$B$2</f>
        <v/>
      </c>
      <c r="T4" s="11">
        <f>'QTR P&amp;L'!W2*'BS DRIVERS'!T4/ASSUMPTIONS!$B$2</f>
        <v/>
      </c>
      <c r="U4" s="11">
        <f>'QTR P&amp;L'!X2*'BS DRIVERS'!U4/ASSUMPTIONS!$B$2</f>
        <v/>
      </c>
      <c r="V4" s="11">
        <f>'QTR P&amp;L'!Y2*'BS DRIVERS'!V4/ASSUMPTIONS!$B$2</f>
        <v/>
      </c>
      <c r="W4" s="11">
        <f>'QTR P&amp;L'!Z2*'BS DRIVERS'!W4/ASSUMPTIONS!$B$2</f>
        <v/>
      </c>
      <c r="X4" s="11">
        <f>'QTR P&amp;L'!AA2*'BS DRIVERS'!X4/ASSUMPTIONS!$B$2</f>
        <v/>
      </c>
      <c r="Y4" s="11">
        <f>'QTR P&amp;L'!AB2*'BS DRIVERS'!Y4/ASSUMPTIONS!$B$2</f>
        <v/>
      </c>
      <c r="Z4" s="11">
        <f>'QTR P&amp;L'!AC2*'BS DRIVERS'!Z4/ASSUMPTIONS!$B$2</f>
        <v/>
      </c>
      <c r="AA4" s="11">
        <f>'QTR P&amp;L'!AD2*'BS DRIVERS'!AA4/ASSUMPTIONS!$B$2</f>
        <v/>
      </c>
      <c r="AB4" s="11">
        <f>'QTR P&amp;L'!AE2*'BS DRIVERS'!AB4/ASSUMPTIONS!$B$2</f>
        <v/>
      </c>
      <c r="AC4" s="11">
        <f>'QTR P&amp;L'!AF2*'BS DRIVERS'!AC4/ASSUMPTIONS!$B$2</f>
        <v/>
      </c>
      <c r="AD4" s="11">
        <f>'QTR P&amp;L'!AG2*'BS DRIVERS'!AD4/ASSUMPTIONS!$B$2</f>
        <v/>
      </c>
      <c r="AE4" s="11">
        <f>'QTR P&amp;L'!AH2*'BS DRIVERS'!AE4/ASSUMPTIONS!$B$2</f>
        <v/>
      </c>
      <c r="AF4" s="11">
        <f>'QTR P&amp;L'!AI2*'BS DRIVERS'!AF4/ASSUMPTIONS!$B$2</f>
        <v/>
      </c>
      <c r="AG4" s="11">
        <f>'QTR P&amp;L'!AJ2*'BS DRIVERS'!AG4/ASSUMPTIONS!$B$2</f>
        <v/>
      </c>
      <c r="AH4" s="11">
        <f>'QTR P&amp;L'!AK2*'BS DRIVERS'!AH4/ASSUMPTIONS!$B$2</f>
        <v/>
      </c>
      <c r="AI4" s="11">
        <f>'QTR P&amp;L'!AL2*'BS DRIVERS'!AI4/ASSUMPTIONS!$B$2</f>
        <v/>
      </c>
      <c r="AJ4" s="11">
        <f>'QTR P&amp;L'!AM2*'BS DRIVERS'!AJ4/ASSUMPTIONS!$B$2</f>
        <v/>
      </c>
      <c r="AK4" s="11">
        <f>'QTR P&amp;L'!AN2*'BS DRIVERS'!AK4/ASSUMPTIONS!$B$2</f>
        <v/>
      </c>
      <c r="AL4" s="11">
        <f>'QTR P&amp;L'!AO2*'BS DRIVERS'!AL4/ASSUMPTIONS!$B$2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DRIVERS'!P5/ASSUMPTIONS!$B$2</f>
        <v/>
      </c>
      <c r="Q5" s="11">
        <f>'QTR P&amp;L'!T3*'BS DRIVERS'!Q5/ASSUMPTIONS!$B$2</f>
        <v/>
      </c>
      <c r="R5" s="11">
        <f>'QTR P&amp;L'!U3*'BS DRIVERS'!R5/ASSUMPTIONS!$B$2</f>
        <v/>
      </c>
      <c r="S5" s="11">
        <f>'QTR P&amp;L'!V3*'BS DRIVERS'!S5/ASSUMPTIONS!$B$2</f>
        <v/>
      </c>
      <c r="T5" s="11">
        <f>'QTR P&amp;L'!W3*'BS DRIVERS'!T5/ASSUMPTIONS!$B$2</f>
        <v/>
      </c>
      <c r="U5" s="11">
        <f>'QTR P&amp;L'!X3*'BS DRIVERS'!U5/ASSUMPTIONS!$B$2</f>
        <v/>
      </c>
      <c r="V5" s="11">
        <f>'QTR P&amp;L'!Y3*'BS DRIVERS'!V5/ASSUMPTIONS!$B$2</f>
        <v/>
      </c>
      <c r="W5" s="11">
        <f>'QTR P&amp;L'!Z3*'BS DRIVERS'!W5/ASSUMPTIONS!$B$2</f>
        <v/>
      </c>
      <c r="X5" s="11">
        <f>'QTR P&amp;L'!AA3*'BS DRIVERS'!X5/ASSUMPTIONS!$B$2</f>
        <v/>
      </c>
      <c r="Y5" s="11">
        <f>'QTR P&amp;L'!AB3*'BS DRIVERS'!Y5/ASSUMPTIONS!$B$2</f>
        <v/>
      </c>
      <c r="Z5" s="11">
        <f>'QTR P&amp;L'!AC3*'BS DRIVERS'!Z5/ASSUMPTIONS!$B$2</f>
        <v/>
      </c>
      <c r="AA5" s="11">
        <f>'QTR P&amp;L'!AD3*'BS DRIVERS'!AA5/ASSUMPTIONS!$B$2</f>
        <v/>
      </c>
      <c r="AB5" s="11">
        <f>'QTR P&amp;L'!AE3*'BS DRIVERS'!AB5/ASSUMPTIONS!$B$2</f>
        <v/>
      </c>
      <c r="AC5" s="11">
        <f>'QTR P&amp;L'!AF3*'BS DRIVERS'!AC5/ASSUMPTIONS!$B$2</f>
        <v/>
      </c>
      <c r="AD5" s="11">
        <f>'QTR P&amp;L'!AG3*'BS DRIVERS'!AD5/ASSUMPTIONS!$B$2</f>
        <v/>
      </c>
      <c r="AE5" s="11">
        <f>'QTR P&amp;L'!AH3*'BS DRIVERS'!AE5/ASSUMPTIONS!$B$2</f>
        <v/>
      </c>
      <c r="AF5" s="11">
        <f>'QTR P&amp;L'!AI3*'BS DRIVERS'!AF5/ASSUMPTIONS!$B$2</f>
        <v/>
      </c>
      <c r="AG5" s="11">
        <f>'QTR P&amp;L'!AJ3*'BS DRIVERS'!AG5/ASSUMPTIONS!$B$2</f>
        <v/>
      </c>
      <c r="AH5" s="11">
        <f>'QTR P&amp;L'!AK3*'BS DRIVERS'!AH5/ASSUMPTIONS!$B$2</f>
        <v/>
      </c>
      <c r="AI5" s="11">
        <f>'QTR P&amp;L'!AL3*'BS DRIVERS'!AI5/ASSUMPTIONS!$B$2</f>
        <v/>
      </c>
      <c r="AJ5" s="11">
        <f>'QTR P&amp;L'!AM3*'BS DRIVERS'!AJ5/ASSUMPTIONS!$B$2</f>
        <v/>
      </c>
      <c r="AK5" s="11">
        <f>'QTR P&amp;L'!AN3*'BS DRIVERS'!AK5/ASSUMPTIONS!$B$2</f>
        <v/>
      </c>
      <c r="AL5" s="11">
        <f>'QTR P&amp;L'!AO3*'BS DRIVERS'!AL5/ASSUMPTIONS!$B$2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DRIVERS'!P6</f>
        <v/>
      </c>
      <c r="Q6" s="11">
        <f>'QTR P&amp;L'!T2*'BS DRIVERS'!Q6</f>
        <v/>
      </c>
      <c r="R6" s="11">
        <f>'QTR P&amp;L'!U2*'BS DRIVERS'!R6</f>
        <v/>
      </c>
      <c r="S6" s="11">
        <f>'QTR P&amp;L'!V2*'BS DRIVERS'!S6</f>
        <v/>
      </c>
      <c r="T6" s="11">
        <f>'QTR P&amp;L'!W2*'BS DRIVERS'!T6</f>
        <v/>
      </c>
      <c r="U6" s="11">
        <f>'QTR P&amp;L'!X2*'BS DRIVERS'!U6</f>
        <v/>
      </c>
      <c r="V6" s="11">
        <f>'QTR P&amp;L'!Y2*'BS DRIVERS'!V6</f>
        <v/>
      </c>
      <c r="W6" s="11">
        <f>'QTR P&amp;L'!Z2*'BS DRIVERS'!W6</f>
        <v/>
      </c>
      <c r="X6" s="11">
        <f>'QTR P&amp;L'!AA2*'BS DRIVERS'!X6</f>
        <v/>
      </c>
      <c r="Y6" s="11">
        <f>'QTR P&amp;L'!AB2*'BS DRIVERS'!Y6</f>
        <v/>
      </c>
      <c r="Z6" s="11">
        <f>'QTR P&amp;L'!AC2*'BS DRIVERS'!Z6</f>
        <v/>
      </c>
      <c r="AA6" s="11">
        <f>'QTR P&amp;L'!AD2*'BS DRIVERS'!AA6</f>
        <v/>
      </c>
      <c r="AB6" s="11">
        <f>'QTR P&amp;L'!AE2*'BS DRIVERS'!AB6</f>
        <v/>
      </c>
      <c r="AC6" s="11">
        <f>'QTR P&amp;L'!AF2*'BS DRIVERS'!AC6</f>
        <v/>
      </c>
      <c r="AD6" s="11">
        <f>'QTR P&amp;L'!AG2*'BS DRIVERS'!AD6</f>
        <v/>
      </c>
      <c r="AE6" s="11">
        <f>'QTR P&amp;L'!AH2*'BS DRIVERS'!AE6</f>
        <v/>
      </c>
      <c r="AF6" s="11">
        <f>'QTR P&amp;L'!AI2*'BS DRIVERS'!AF6</f>
        <v/>
      </c>
      <c r="AG6" s="11">
        <f>'QTR P&amp;L'!AJ2*'BS DRIVERS'!AG6</f>
        <v/>
      </c>
      <c r="AH6" s="11">
        <f>'QTR P&amp;L'!AK2*'BS DRIVERS'!AH6</f>
        <v/>
      </c>
      <c r="AI6" s="11">
        <f>'QTR P&amp;L'!AL2*'BS DRIVERS'!AI6</f>
        <v/>
      </c>
      <c r="AJ6" s="11">
        <f>'QTR P&amp;L'!AM2*'BS DRIVERS'!AJ6</f>
        <v/>
      </c>
      <c r="AK6" s="11">
        <f>'QTR P&amp;L'!AN2*'BS DRIVERS'!AK6</f>
        <v/>
      </c>
      <c r="AL6" s="11">
        <f>'QTR P&amp;L'!AO2*'BS DRIVERS'!AL6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7">
        <f>SUM(P2:P6)</f>
        <v/>
      </c>
      <c r="Q7" s="7">
        <f>SUM(Q2:Q6)</f>
        <v/>
      </c>
      <c r="R7" s="7">
        <f>SUM(R2:R6)</f>
        <v/>
      </c>
      <c r="S7" s="7">
        <f>SUM(S2:S6)</f>
        <v/>
      </c>
      <c r="T7" s="7">
        <f>SUM(T2:T6)</f>
        <v/>
      </c>
      <c r="U7" s="7">
        <f>SUM(U2:U6)</f>
        <v/>
      </c>
      <c r="V7" s="7">
        <f>SUM(V2:V6)</f>
        <v/>
      </c>
      <c r="W7" s="7">
        <f>SUM(W2:W6)</f>
        <v/>
      </c>
      <c r="X7" s="7">
        <f>SUM(X2:X6)</f>
        <v/>
      </c>
      <c r="Y7" s="7">
        <f>SUM(Y2:Y6)</f>
        <v/>
      </c>
      <c r="Z7" s="7">
        <f>SUM(Z2:Z6)</f>
        <v/>
      </c>
      <c r="AA7" s="7">
        <f>SUM(AA2:AA6)</f>
        <v/>
      </c>
      <c r="AB7" s="7">
        <f>SUM(AB2:AB6)</f>
        <v/>
      </c>
      <c r="AC7" s="7">
        <f>SUM(AC2:AC6)</f>
        <v/>
      </c>
      <c r="AD7" s="7">
        <f>SUM(AD2:AD6)</f>
        <v/>
      </c>
      <c r="AE7" s="7">
        <f>SUM(AE2:AE6)</f>
        <v/>
      </c>
      <c r="AF7" s="7">
        <f>SUM(AF2:AF6)</f>
        <v/>
      </c>
      <c r="AG7" s="7">
        <f>SUM(AG2:AG6)</f>
        <v/>
      </c>
      <c r="AH7" s="7">
        <f>SUM(AH2:AH6)</f>
        <v/>
      </c>
      <c r="AI7" s="7">
        <f>SUM(AI2:AI6)</f>
        <v/>
      </c>
      <c r="AJ7" s="7">
        <f>SUM(AJ2:AJ6)</f>
        <v/>
      </c>
      <c r="AK7" s="7">
        <f>SUM(AK2:AK6)</f>
        <v/>
      </c>
      <c r="AL7" s="7">
        <f>SUM(AL2:AL6)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'BS DRIVERS'!P7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  <c r="AI8" s="11">
        <f>'BS DRIVERS'!AI7</f>
        <v/>
      </c>
      <c r="AJ8" s="11">
        <f>'BS DRIVERS'!AJ7</f>
        <v/>
      </c>
      <c r="AK8" s="11">
        <f>'BS DRIVERS'!AK7</f>
        <v/>
      </c>
      <c r="AL8" s="11">
        <f>'BS DRIVERS'!AL7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'BS DRIVERS'!P8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  <c r="AI9" s="11">
        <f>'BS DRIVERS'!AI8</f>
        <v/>
      </c>
      <c r="AJ9" s="11">
        <f>'BS DRIVERS'!AJ8</f>
        <v/>
      </c>
      <c r="AK9" s="11">
        <f>'BS DRIVERS'!AK8</f>
        <v/>
      </c>
      <c r="AL9" s="11">
        <f>'BS DRIVERS'!AL8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'BS DRIVERS'!P9</f>
        <v/>
      </c>
      <c r="Q10" s="11">
        <f>'BS DRIVERS'!Q9</f>
        <v/>
      </c>
      <c r="R10" s="11">
        <f>'BS DRIVERS'!R9</f>
        <v/>
      </c>
      <c r="S10" s="11">
        <f>'BS DRIVERS'!S9</f>
        <v/>
      </c>
      <c r="T10" s="11">
        <f>'BS DRIVERS'!T9</f>
        <v/>
      </c>
      <c r="U10" s="11">
        <f>'BS DRIVERS'!U9</f>
        <v/>
      </c>
      <c r="V10" s="11">
        <f>'BS DRIVERS'!V9</f>
        <v/>
      </c>
      <c r="W10" s="11">
        <f>'BS DRIVERS'!W9</f>
        <v/>
      </c>
      <c r="X10" s="11">
        <f>'BS DRIVERS'!X9</f>
        <v/>
      </c>
      <c r="Y10" s="11">
        <f>'BS DRIVERS'!Y9</f>
        <v/>
      </c>
      <c r="Z10" s="11">
        <f>'BS DRIVERS'!Z9</f>
        <v/>
      </c>
      <c r="AA10" s="11">
        <f>'BS DRIVERS'!AA9</f>
        <v/>
      </c>
      <c r="AB10" s="11">
        <f>'BS DRIVERS'!AB9</f>
        <v/>
      </c>
      <c r="AC10" s="11">
        <f>'BS DRIVERS'!AC9</f>
        <v/>
      </c>
      <c r="AD10" s="11">
        <f>'BS DRIVERS'!AD9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  <c r="AI10" s="11">
        <f>'BS DRIVERS'!AI9</f>
        <v/>
      </c>
      <c r="AJ10" s="11">
        <f>'BS DRIVERS'!AJ9</f>
        <v/>
      </c>
      <c r="AK10" s="11">
        <f>'BS DRIVERS'!AK9</f>
        <v/>
      </c>
      <c r="AL10" s="11">
        <f>'BS DRIVERS'!AL9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'BS DRIVERS'!P10</f>
        <v/>
      </c>
      <c r="Q11" s="11">
        <f>'BS DRIVERS'!Q10</f>
        <v/>
      </c>
      <c r="R11" s="11">
        <f>'BS DRIVERS'!R10</f>
        <v/>
      </c>
      <c r="S11" s="11">
        <f>'BS DRIVERS'!S10</f>
        <v/>
      </c>
      <c r="T11" s="11">
        <f>'BS DRIVERS'!T10</f>
        <v/>
      </c>
      <c r="U11" s="11">
        <f>'BS DRIVERS'!U10</f>
        <v/>
      </c>
      <c r="V11" s="11">
        <f>'BS DRIVERS'!V10</f>
        <v/>
      </c>
      <c r="W11" s="11">
        <f>'BS DRIVERS'!W10</f>
        <v/>
      </c>
      <c r="X11" s="11">
        <f>'BS DRIVERS'!X10</f>
        <v/>
      </c>
      <c r="Y11" s="11">
        <f>'BS DRIVERS'!Y10</f>
        <v/>
      </c>
      <c r="Z11" s="11">
        <f>'BS DRIVERS'!Z10</f>
        <v/>
      </c>
      <c r="AA11" s="11">
        <f>'BS DRIVERS'!AA10</f>
        <v/>
      </c>
      <c r="AB11" s="11">
        <f>'BS DRIVERS'!AB10</f>
        <v/>
      </c>
      <c r="AC11" s="11">
        <f>'BS DRIVERS'!AC10</f>
        <v/>
      </c>
      <c r="AD11" s="11">
        <f>'BS DRIVERS'!AD10</f>
        <v/>
      </c>
      <c r="AE11" s="11">
        <f>'BS DRIVERS'!AE10</f>
        <v/>
      </c>
      <c r="AF11" s="11">
        <f>'BS DRIVERS'!AF10</f>
        <v/>
      </c>
      <c r="AG11" s="11">
        <f>'BS DRIVERS'!AG10</f>
        <v/>
      </c>
      <c r="AH11" s="11">
        <f>'BS DRIVERS'!AH10</f>
        <v/>
      </c>
      <c r="AI11" s="11">
        <f>'BS DRIVERS'!AI10</f>
        <v/>
      </c>
      <c r="AJ11" s="11">
        <f>'BS DRIVERS'!AJ10</f>
        <v/>
      </c>
      <c r="AK11" s="11">
        <f>'BS DRIVERS'!AK10</f>
        <v/>
      </c>
      <c r="AL11" s="11">
        <f>'BS DRIVERS'!AL10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'BS DRIVERS'!P11</f>
        <v/>
      </c>
      <c r="Q12" s="11">
        <f>'BS DRIVERS'!Q11</f>
        <v/>
      </c>
      <c r="R12" s="11">
        <f>'BS DRIVERS'!R11</f>
        <v/>
      </c>
      <c r="S12" s="11">
        <f>'BS DRIVERS'!S11</f>
        <v/>
      </c>
      <c r="T12" s="11">
        <f>'BS DRIVERS'!T11</f>
        <v/>
      </c>
      <c r="U12" s="11">
        <f>'BS DRIVERS'!U11</f>
        <v/>
      </c>
      <c r="V12" s="11">
        <f>'BS DRIVERS'!V11</f>
        <v/>
      </c>
      <c r="W12" s="11">
        <f>'BS DRIVERS'!W11</f>
        <v/>
      </c>
      <c r="X12" s="11">
        <f>'BS DRIVERS'!X11</f>
        <v/>
      </c>
      <c r="Y12" s="11">
        <f>'BS DRIVERS'!Y11</f>
        <v/>
      </c>
      <c r="Z12" s="11">
        <f>'BS DRIVERS'!Z11</f>
        <v/>
      </c>
      <c r="AA12" s="11">
        <f>'BS DRIVERS'!AA11</f>
        <v/>
      </c>
      <c r="AB12" s="11">
        <f>'BS DRIVERS'!AB11</f>
        <v/>
      </c>
      <c r="AC12" s="11">
        <f>'BS DRIVERS'!AC11</f>
        <v/>
      </c>
      <c r="AD12" s="11">
        <f>'BS DRIVERS'!AD11</f>
        <v/>
      </c>
      <c r="AE12" s="11">
        <f>'BS DRIVERS'!AE11</f>
        <v/>
      </c>
      <c r="AF12" s="11">
        <f>'BS DRIVERS'!AF11</f>
        <v/>
      </c>
      <c r="AG12" s="11">
        <f>'BS DRIVERS'!AG11</f>
        <v/>
      </c>
      <c r="AH12" s="11">
        <f>'BS DRIVERS'!AH11</f>
        <v/>
      </c>
      <c r="AI12" s="11">
        <f>'BS DRIVERS'!AI11</f>
        <v/>
      </c>
      <c r="AJ12" s="11">
        <f>'BS DRIVERS'!AJ11</f>
        <v/>
      </c>
      <c r="AK12" s="11">
        <f>'BS DRIVERS'!AK11</f>
        <v/>
      </c>
      <c r="AL12" s="11">
        <f>'BS DRIVERS'!AL11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DRIVERS'!P12</f>
        <v/>
      </c>
      <c r="Q13" s="11">
        <f>'QTR P&amp;L'!T2*'BS DRIVERS'!Q12</f>
        <v/>
      </c>
      <c r="R13" s="11">
        <f>'QTR P&amp;L'!U2*'BS DRIVERS'!R12</f>
        <v/>
      </c>
      <c r="S13" s="11">
        <f>'QTR P&amp;L'!V2*'BS DRIVERS'!S12</f>
        <v/>
      </c>
      <c r="T13" s="11">
        <f>'QTR P&amp;L'!W2*'BS DRIVERS'!T12</f>
        <v/>
      </c>
      <c r="U13" s="11">
        <f>'QTR P&amp;L'!X2*'BS DRIVERS'!U12</f>
        <v/>
      </c>
      <c r="V13" s="11">
        <f>'QTR P&amp;L'!Y2*'BS DRIVERS'!V12</f>
        <v/>
      </c>
      <c r="W13" s="11">
        <f>'QTR P&amp;L'!Z2*'BS DRIVERS'!W12</f>
        <v/>
      </c>
      <c r="X13" s="11">
        <f>'QTR P&amp;L'!AA2*'BS DRIVERS'!X12</f>
        <v/>
      </c>
      <c r="Y13" s="11">
        <f>'QTR P&amp;L'!AB2*'BS DRIVERS'!Y12</f>
        <v/>
      </c>
      <c r="Z13" s="11">
        <f>'QTR P&amp;L'!AC2*'BS DRIVERS'!Z12</f>
        <v/>
      </c>
      <c r="AA13" s="11">
        <f>'QTR P&amp;L'!AD2*'BS DRIVERS'!AA12</f>
        <v/>
      </c>
      <c r="AB13" s="11">
        <f>'QTR P&amp;L'!AE2*'BS DRIVERS'!AB12</f>
        <v/>
      </c>
      <c r="AC13" s="11">
        <f>'QTR P&amp;L'!AF2*'BS DRIVERS'!AC12</f>
        <v/>
      </c>
      <c r="AD13" s="11">
        <f>'QTR P&amp;L'!AG2*'BS DRIVERS'!AD12</f>
        <v/>
      </c>
      <c r="AE13" s="11">
        <f>'QTR P&amp;L'!AH2*'BS DRIVERS'!AE12</f>
        <v/>
      </c>
      <c r="AF13" s="11">
        <f>'QTR P&amp;L'!AI2*'BS DRIVERS'!AF12</f>
        <v/>
      </c>
      <c r="AG13" s="11">
        <f>'QTR P&amp;L'!AJ2*'BS DRIVERS'!AG12</f>
        <v/>
      </c>
      <c r="AH13" s="11">
        <f>'QTR P&amp;L'!AK2*'BS DRIVERS'!AH12</f>
        <v/>
      </c>
      <c r="AI13" s="11">
        <f>'QTR P&amp;L'!AL2*'BS DRIVERS'!AI12</f>
        <v/>
      </c>
      <c r="AJ13" s="11">
        <f>'QTR P&amp;L'!AM2*'BS DRIVERS'!AJ12</f>
        <v/>
      </c>
      <c r="AK13" s="11">
        <f>'QTR P&amp;L'!AN2*'BS DRIVERS'!AK12</f>
        <v/>
      </c>
      <c r="AL13" s="11">
        <f>'QTR P&amp;L'!AO2*'BS DRIVERS'!AL12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7">
        <f>P7+SUM(P8:P13)</f>
        <v/>
      </c>
      <c r="Q14" s="7">
        <f>Q7+SUM(Q8:Q13)</f>
        <v/>
      </c>
      <c r="R14" s="7">
        <f>R7+SUM(R8:R13)</f>
        <v/>
      </c>
      <c r="S14" s="7">
        <f>S7+SUM(S8:S13)</f>
        <v/>
      </c>
      <c r="T14" s="7">
        <f>T7+SUM(T8:T13)</f>
        <v/>
      </c>
      <c r="U14" s="7">
        <f>U7+SUM(U8:U13)</f>
        <v/>
      </c>
      <c r="V14" s="7">
        <f>V7+SUM(V8:V13)</f>
        <v/>
      </c>
      <c r="W14" s="7">
        <f>W7+SUM(W8:W13)</f>
        <v/>
      </c>
      <c r="X14" s="7">
        <f>X7+SUM(X8:X13)</f>
        <v/>
      </c>
      <c r="Y14" s="7">
        <f>Y7+SUM(Y8:Y13)</f>
        <v/>
      </c>
      <c r="Z14" s="7">
        <f>Z7+SUM(Z8:Z13)</f>
        <v/>
      </c>
      <c r="AA14" s="7">
        <f>AA7+SUM(AA8:AA13)</f>
        <v/>
      </c>
      <c r="AB14" s="7">
        <f>AB7+SUM(AB8:AB13)</f>
        <v/>
      </c>
      <c r="AC14" s="7">
        <f>AC7+SUM(AC8:AC13)</f>
        <v/>
      </c>
      <c r="AD14" s="7">
        <f>AD7+SUM(AD8:AD13)</f>
        <v/>
      </c>
      <c r="AE14" s="7">
        <f>AE7+SUM(AE8:AE13)</f>
        <v/>
      </c>
      <c r="AF14" s="7">
        <f>AF7+SUM(AF8:AF13)</f>
        <v/>
      </c>
      <c r="AG14" s="7">
        <f>AG7+SUM(AG8:AG13)</f>
        <v/>
      </c>
      <c r="AH14" s="7">
        <f>AH7+SUM(AH8:AH13)</f>
        <v/>
      </c>
      <c r="AI14" s="7">
        <f>AI7+SUM(AI8:AI13)</f>
        <v/>
      </c>
      <c r="AJ14" s="7">
        <f>AJ7+SUM(AJ8:AJ13)</f>
        <v/>
      </c>
      <c r="AK14" s="7">
        <f>AK7+SUM(AK8:AK13)</f>
        <v/>
      </c>
      <c r="AL14" s="7">
        <f>AL7+SUM(AL8:AL13)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'BS DRIVERS'!P13</f>
        <v/>
      </c>
      <c r="Q15" s="11">
        <f>'BS DRIVERS'!Q13</f>
        <v/>
      </c>
      <c r="R15" s="11">
        <f>'BS DRIVERS'!R13</f>
        <v/>
      </c>
      <c r="S15" s="11">
        <f>'BS DRIVERS'!S13</f>
        <v/>
      </c>
      <c r="T15" s="11">
        <f>'BS DRIVERS'!T13</f>
        <v/>
      </c>
      <c r="U15" s="11">
        <f>'BS DRIVERS'!U13</f>
        <v/>
      </c>
      <c r="V15" s="11">
        <f>'BS DRIVERS'!V13</f>
        <v/>
      </c>
      <c r="W15" s="11">
        <f>'BS DRIVERS'!W13</f>
        <v/>
      </c>
      <c r="X15" s="11">
        <f>'BS DRIVERS'!X13</f>
        <v/>
      </c>
      <c r="Y15" s="11">
        <f>'BS DRIVERS'!Y13</f>
        <v/>
      </c>
      <c r="Z15" s="11">
        <f>'BS DRIVERS'!Z13</f>
        <v/>
      </c>
      <c r="AA15" s="11">
        <f>'BS DRIVERS'!AA13</f>
        <v/>
      </c>
      <c r="AB15" s="11">
        <f>'BS DRIVERS'!AB13</f>
        <v/>
      </c>
      <c r="AC15" s="11">
        <f>'BS DRIVERS'!AC13</f>
        <v/>
      </c>
      <c r="AD15" s="11">
        <f>'BS DRIVERS'!AD13</f>
        <v/>
      </c>
      <c r="AE15" s="11">
        <f>'BS DRIVERS'!AE13</f>
        <v/>
      </c>
      <c r="AF15" s="11">
        <f>'BS DRIVERS'!AF13</f>
        <v/>
      </c>
      <c r="AG15" s="11">
        <f>'BS DRIVERS'!AG13</f>
        <v/>
      </c>
      <c r="AH15" s="11">
        <f>'BS DRIVERS'!AH13</f>
        <v/>
      </c>
      <c r="AI15" s="11">
        <f>'BS DRIVERS'!AI13</f>
        <v/>
      </c>
      <c r="AJ15" s="11">
        <f>'BS DRIVERS'!AJ13</f>
        <v/>
      </c>
      <c r="AK15" s="11">
        <f>'BS DRIVERS'!AK13</f>
        <v/>
      </c>
      <c r="AL15" s="11">
        <f>'BS DRIVERS'!AL13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DRIVERS'!P14</f>
        <v/>
      </c>
      <c r="Q16" s="11">
        <f>'QTR P&amp;L'!T2*'BS DRIVERS'!Q14</f>
        <v/>
      </c>
      <c r="R16" s="11">
        <f>'QTR P&amp;L'!U2*'BS DRIVERS'!R14</f>
        <v/>
      </c>
      <c r="S16" s="11">
        <f>'QTR P&amp;L'!V2*'BS DRIVERS'!S14</f>
        <v/>
      </c>
      <c r="T16" s="11">
        <f>'QTR P&amp;L'!W2*'BS DRIVERS'!T14</f>
        <v/>
      </c>
      <c r="U16" s="11">
        <f>'QTR P&amp;L'!X2*'BS DRIVERS'!U14</f>
        <v/>
      </c>
      <c r="V16" s="11">
        <f>'QTR P&amp;L'!Y2*'BS DRIVERS'!V14</f>
        <v/>
      </c>
      <c r="W16" s="11">
        <f>'QTR P&amp;L'!Z2*'BS DRIVERS'!W14</f>
        <v/>
      </c>
      <c r="X16" s="11">
        <f>'QTR P&amp;L'!AA2*'BS DRIVERS'!X14</f>
        <v/>
      </c>
      <c r="Y16" s="11">
        <f>'QTR P&amp;L'!AB2*'BS DRIVERS'!Y14</f>
        <v/>
      </c>
      <c r="Z16" s="11">
        <f>'QTR P&amp;L'!AC2*'BS DRIVERS'!Z14</f>
        <v/>
      </c>
      <c r="AA16" s="11">
        <f>'QTR P&amp;L'!AD2*'BS DRIVERS'!AA14</f>
        <v/>
      </c>
      <c r="AB16" s="11">
        <f>'QTR P&amp;L'!AE2*'BS DRIVERS'!AB14</f>
        <v/>
      </c>
      <c r="AC16" s="11">
        <f>'QTR P&amp;L'!AF2*'BS DRIVERS'!AC14</f>
        <v/>
      </c>
      <c r="AD16" s="11">
        <f>'QTR P&amp;L'!AG2*'BS DRIVERS'!AD14</f>
        <v/>
      </c>
      <c r="AE16" s="11">
        <f>'QTR P&amp;L'!AH2*'BS DRIVERS'!AE14</f>
        <v/>
      </c>
      <c r="AF16" s="11">
        <f>'QTR P&amp;L'!AI2*'BS DRIVERS'!AF14</f>
        <v/>
      </c>
      <c r="AG16" s="11">
        <f>'QTR P&amp;L'!AJ2*'BS DRIVERS'!AG14</f>
        <v/>
      </c>
      <c r="AH16" s="11">
        <f>'QTR P&amp;L'!AK2*'BS DRIVERS'!AH14</f>
        <v/>
      </c>
      <c r="AI16" s="11">
        <f>'QTR P&amp;L'!AL2*'BS DRIVERS'!AI14</f>
        <v/>
      </c>
      <c r="AJ16" s="11">
        <f>'QTR P&amp;L'!AM2*'BS DRIVERS'!AJ14</f>
        <v/>
      </c>
      <c r="AK16" s="11">
        <f>'QTR P&amp;L'!AN2*'BS DRIVERS'!AK14</f>
        <v/>
      </c>
      <c r="AL16" s="11">
        <f>'QTR P&amp;L'!AO2*'BS DRIVERS'!AL14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7">
        <f>SUM(P15:P16)</f>
        <v/>
      </c>
      <c r="Q17" s="7">
        <f>SUM(Q15:Q16)</f>
        <v/>
      </c>
      <c r="R17" s="7">
        <f>SUM(R15:R16)</f>
        <v/>
      </c>
      <c r="S17" s="7">
        <f>SUM(S15:S16)</f>
        <v/>
      </c>
      <c r="T17" s="7">
        <f>SUM(T15:T16)</f>
        <v/>
      </c>
      <c r="U17" s="7">
        <f>SUM(U15:U16)</f>
        <v/>
      </c>
      <c r="V17" s="7">
        <f>SUM(V15:V16)</f>
        <v/>
      </c>
      <c r="W17" s="7">
        <f>SUM(W15:W16)</f>
        <v/>
      </c>
      <c r="X17" s="7">
        <f>SUM(X15:X16)</f>
        <v/>
      </c>
      <c r="Y17" s="7">
        <f>SUM(Y15:Y16)</f>
        <v/>
      </c>
      <c r="Z17" s="7">
        <f>SUM(Z15:Z16)</f>
        <v/>
      </c>
      <c r="AA17" s="7">
        <f>SUM(AA15:AA16)</f>
        <v/>
      </c>
      <c r="AB17" s="7">
        <f>SUM(AB15:AB16)</f>
        <v/>
      </c>
      <c r="AC17" s="7">
        <f>SUM(AC15:AC16)</f>
        <v/>
      </c>
      <c r="AD17" s="7">
        <f>SUM(AD15:AD16)</f>
        <v/>
      </c>
      <c r="AE17" s="7">
        <f>SUM(AE15:AE16)</f>
        <v/>
      </c>
      <c r="AF17" s="7">
        <f>SUM(AF15:AF16)</f>
        <v/>
      </c>
      <c r="AG17" s="7">
        <f>SUM(AG15:AG16)</f>
        <v/>
      </c>
      <c r="AH17" s="7">
        <f>SUM(AH15:AH16)</f>
        <v/>
      </c>
      <c r="AI17" s="7">
        <f>SUM(AI15:AI16)</f>
        <v/>
      </c>
      <c r="AJ17" s="7">
        <f>SUM(AJ15:AJ16)</f>
        <v/>
      </c>
      <c r="AK17" s="7">
        <f>SUM(AK15:AK16)</f>
        <v/>
      </c>
      <c r="AL17" s="7">
        <f>SUM(AL15:AL16)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'BS DRIVERS'!P15</f>
        <v/>
      </c>
      <c r="Q18" s="11">
        <f>'BS DRIVERS'!Q15</f>
        <v/>
      </c>
      <c r="R18" s="11">
        <f>'BS DRIVERS'!R15</f>
        <v/>
      </c>
      <c r="S18" s="11">
        <f>'BS DRIVERS'!S15</f>
        <v/>
      </c>
      <c r="T18" s="11">
        <f>'BS DRIVERS'!T15</f>
        <v/>
      </c>
      <c r="U18" s="11">
        <f>'BS DRIVERS'!U15</f>
        <v/>
      </c>
      <c r="V18" s="11">
        <f>'BS DRIVERS'!V15</f>
        <v/>
      </c>
      <c r="W18" s="11">
        <f>'BS DRIVERS'!W15</f>
        <v/>
      </c>
      <c r="X18" s="11">
        <f>'BS DRIVERS'!X15</f>
        <v/>
      </c>
      <c r="Y18" s="11">
        <f>'BS DRIVERS'!Y15</f>
        <v/>
      </c>
      <c r="Z18" s="11">
        <f>'BS DRIVERS'!Z15</f>
        <v/>
      </c>
      <c r="AA18" s="11">
        <f>'BS DRIVERS'!AA15</f>
        <v/>
      </c>
      <c r="AB18" s="11">
        <f>'BS DRIVERS'!AB15</f>
        <v/>
      </c>
      <c r="AC18" s="11">
        <f>'BS DRIVERS'!AC15</f>
        <v/>
      </c>
      <c r="AD18" s="11">
        <f>'BS DRIVERS'!AD15</f>
        <v/>
      </c>
      <c r="AE18" s="11">
        <f>'BS DRIVERS'!AE15</f>
        <v/>
      </c>
      <c r="AF18" s="11">
        <f>'BS DRIVERS'!AF15</f>
        <v/>
      </c>
      <c r="AG18" s="11">
        <f>'BS DRIVERS'!AG15</f>
        <v/>
      </c>
      <c r="AH18" s="11">
        <f>'BS DRIVERS'!AH15</f>
        <v/>
      </c>
      <c r="AI18" s="11">
        <f>'BS DRIVERS'!AI15</f>
        <v/>
      </c>
      <c r="AJ18" s="11">
        <f>'BS DRIVERS'!AJ15</f>
        <v/>
      </c>
      <c r="AK18" s="11">
        <f>'BS DRIVERS'!AK15</f>
        <v/>
      </c>
      <c r="AL18" s="11">
        <f>'BS DRIVERS'!AL15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'BS DRIVERS'!P16</f>
        <v/>
      </c>
      <c r="Q19" s="11">
        <f>'BS DRIVERS'!Q16</f>
        <v/>
      </c>
      <c r="R19" s="11">
        <f>'BS DRIVERS'!R16</f>
        <v/>
      </c>
      <c r="S19" s="11">
        <f>'BS DRIVERS'!S16</f>
        <v/>
      </c>
      <c r="T19" s="11">
        <f>'BS DRIVERS'!T16</f>
        <v/>
      </c>
      <c r="U19" s="11">
        <f>'BS DRIVERS'!U16</f>
        <v/>
      </c>
      <c r="V19" s="11">
        <f>'BS DRIVERS'!V16</f>
        <v/>
      </c>
      <c r="W19" s="11">
        <f>'BS DRIVERS'!W16</f>
        <v/>
      </c>
      <c r="X19" s="11">
        <f>'BS DRIVERS'!X16</f>
        <v/>
      </c>
      <c r="Y19" s="11">
        <f>'BS DRIVERS'!Y16</f>
        <v/>
      </c>
      <c r="Z19" s="11">
        <f>'BS DRIVERS'!Z16</f>
        <v/>
      </c>
      <c r="AA19" s="11">
        <f>'BS DRIVERS'!AA16</f>
        <v/>
      </c>
      <c r="AB19" s="11">
        <f>'BS DRIVERS'!AB16</f>
        <v/>
      </c>
      <c r="AC19" s="11">
        <f>'BS DRIVERS'!AC16</f>
        <v/>
      </c>
      <c r="AD19" s="11">
        <f>'BS DRIVERS'!AD16</f>
        <v/>
      </c>
      <c r="AE19" s="11">
        <f>'BS DRIVERS'!AE16</f>
        <v/>
      </c>
      <c r="AF19" s="11">
        <f>'BS DRIVERS'!AF16</f>
        <v/>
      </c>
      <c r="AG19" s="11">
        <f>'BS DRIVERS'!AG16</f>
        <v/>
      </c>
      <c r="AH19" s="11">
        <f>'BS DRIVERS'!AH16</f>
        <v/>
      </c>
      <c r="AI19" s="11">
        <f>'BS DRIVERS'!AI16</f>
        <v/>
      </c>
      <c r="AJ19" s="11">
        <f>'BS DRIVERS'!AJ16</f>
        <v/>
      </c>
      <c r="AK19" s="11">
        <f>'BS DRIVERS'!AK16</f>
        <v/>
      </c>
      <c r="AL19" s="11">
        <f>'BS DRIVERS'!AL16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DRIVERS'!P17</f>
        <v/>
      </c>
      <c r="Q20" s="11">
        <f>'QTR P&amp;L'!T2*'BS DRIVERS'!Q17</f>
        <v/>
      </c>
      <c r="R20" s="11">
        <f>'QTR P&amp;L'!U2*'BS DRIVERS'!R17</f>
        <v/>
      </c>
      <c r="S20" s="11">
        <f>'QTR P&amp;L'!V2*'BS DRIVERS'!S17</f>
        <v/>
      </c>
      <c r="T20" s="11">
        <f>'QTR P&amp;L'!W2*'BS DRIVERS'!T17</f>
        <v/>
      </c>
      <c r="U20" s="11">
        <f>'QTR P&amp;L'!X2*'BS DRIVERS'!U17</f>
        <v/>
      </c>
      <c r="V20" s="11">
        <f>'QTR P&amp;L'!Y2*'BS DRIVERS'!V17</f>
        <v/>
      </c>
      <c r="W20" s="11">
        <f>'QTR P&amp;L'!Z2*'BS DRIVERS'!W17</f>
        <v/>
      </c>
      <c r="X20" s="11">
        <f>'QTR P&amp;L'!AA2*'BS DRIVERS'!X17</f>
        <v/>
      </c>
      <c r="Y20" s="11">
        <f>'QTR P&amp;L'!AB2*'BS DRIVERS'!Y17</f>
        <v/>
      </c>
      <c r="Z20" s="11">
        <f>'QTR P&amp;L'!AC2*'BS DRIVERS'!Z17</f>
        <v/>
      </c>
      <c r="AA20" s="11">
        <f>'QTR P&amp;L'!AD2*'BS DRIVERS'!AA17</f>
        <v/>
      </c>
      <c r="AB20" s="11">
        <f>'QTR P&amp;L'!AE2*'BS DRIVERS'!AB17</f>
        <v/>
      </c>
      <c r="AC20" s="11">
        <f>'QTR P&amp;L'!AF2*'BS DRIVERS'!AC17</f>
        <v/>
      </c>
      <c r="AD20" s="11">
        <f>'QTR P&amp;L'!AG2*'BS DRIVERS'!AD17</f>
        <v/>
      </c>
      <c r="AE20" s="11">
        <f>'QTR P&amp;L'!AH2*'BS DRIVERS'!AE17</f>
        <v/>
      </c>
      <c r="AF20" s="11">
        <f>'QTR P&amp;L'!AI2*'BS DRIVERS'!AF17</f>
        <v/>
      </c>
      <c r="AG20" s="11">
        <f>'QTR P&amp;L'!AJ2*'BS DRIVERS'!AG17</f>
        <v/>
      </c>
      <c r="AH20" s="11">
        <f>'QTR P&amp;L'!AK2*'BS DRIVERS'!AH17</f>
        <v/>
      </c>
      <c r="AI20" s="11">
        <f>'QTR P&amp;L'!AL2*'BS DRIVERS'!AI17</f>
        <v/>
      </c>
      <c r="AJ20" s="11">
        <f>'QTR P&amp;L'!AM2*'BS DRIVERS'!AJ17</f>
        <v/>
      </c>
      <c r="AK20" s="11">
        <f>'QTR P&amp;L'!AN2*'BS DRIVERS'!AK17</f>
        <v/>
      </c>
      <c r="AL20" s="11">
        <f>'QTR P&amp;L'!AO2*'BS DRIVERS'!AL17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7">
        <f>P17+SUM(P18:P20)</f>
        <v/>
      </c>
      <c r="Q21" s="7">
        <f>Q17+SUM(Q18:Q20)</f>
        <v/>
      </c>
      <c r="R21" s="7">
        <f>R17+SUM(R18:R20)</f>
        <v/>
      </c>
      <c r="S21" s="7">
        <f>S17+SUM(S18:S20)</f>
        <v/>
      </c>
      <c r="T21" s="7">
        <f>T17+SUM(T18:T20)</f>
        <v/>
      </c>
      <c r="U21" s="7">
        <f>U17+SUM(U18:U20)</f>
        <v/>
      </c>
      <c r="V21" s="7">
        <f>V17+SUM(V18:V20)</f>
        <v/>
      </c>
      <c r="W21" s="7">
        <f>W17+SUM(W18:W20)</f>
        <v/>
      </c>
      <c r="X21" s="7">
        <f>X17+SUM(X18:X20)</f>
        <v/>
      </c>
      <c r="Y21" s="7">
        <f>Y17+SUM(Y18:Y20)</f>
        <v/>
      </c>
      <c r="Z21" s="7">
        <f>Z17+SUM(Z18:Z20)</f>
        <v/>
      </c>
      <c r="AA21" s="7">
        <f>AA17+SUM(AA18:AA20)</f>
        <v/>
      </c>
      <c r="AB21" s="7">
        <f>AB17+SUM(AB18:AB20)</f>
        <v/>
      </c>
      <c r="AC21" s="7">
        <f>AC17+SUM(AC18:AC20)</f>
        <v/>
      </c>
      <c r="AD21" s="7">
        <f>AD17+SUM(AD18:AD20)</f>
        <v/>
      </c>
      <c r="AE21" s="7">
        <f>AE17+SUM(AE18:AE20)</f>
        <v/>
      </c>
      <c r="AF21" s="7">
        <f>AF17+SUM(AF18:AF20)</f>
        <v/>
      </c>
      <c r="AG21" s="7">
        <f>AG17+SUM(AG18:AG20)</f>
        <v/>
      </c>
      <c r="AH21" s="7">
        <f>AH17+SUM(AH18:AH20)</f>
        <v/>
      </c>
      <c r="AI21" s="7">
        <f>AI17+SUM(AI18:AI20)</f>
        <v/>
      </c>
      <c r="AJ21" s="7">
        <f>AJ17+SUM(AJ18:AJ20)</f>
        <v/>
      </c>
      <c r="AK21" s="7">
        <f>AK17+SUM(AK18:AK20)</f>
        <v/>
      </c>
      <c r="AL21" s="7">
        <f>AL17+SUM(AL18:AL20)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'BS DRIVERS'!P18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  <c r="AI22" s="11">
        <f>'BS DRIVERS'!AI18</f>
        <v/>
      </c>
      <c r="AJ22" s="11">
        <f>'BS DRIVERS'!AJ18</f>
        <v/>
      </c>
      <c r="AK22" s="11">
        <f>'BS DRIVERS'!AK18</f>
        <v/>
      </c>
      <c r="AL22" s="11">
        <f>'BS DRIVERS'!AL18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'BS DRIVERS'!P19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  <c r="AI23" s="11">
        <f>'BS DRIVERS'!AI19</f>
        <v/>
      </c>
      <c r="AJ23" s="11">
        <f>'BS DRIVERS'!AJ19</f>
        <v/>
      </c>
      <c r="AK23" s="11">
        <f>'BS DRIVERS'!AK19</f>
        <v/>
      </c>
      <c r="AL23" s="11">
        <f>'BS DRIVERS'!AL19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'BS DRIVERS'!P20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  <c r="AI24" s="11">
        <f>'BS DRIVERS'!AI20</f>
        <v/>
      </c>
      <c r="AJ24" s="11">
        <f>'BS DRIVERS'!AJ20</f>
        <v/>
      </c>
      <c r="AK24" s="11">
        <f>'BS DRIVERS'!AK20</f>
        <v/>
      </c>
      <c r="AL24" s="11">
        <f>'BS DRIVERS'!AL20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'BS DRIVERS'!P21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  <c r="AI25" s="11">
        <f>'BS DRIVERS'!AI21</f>
        <v/>
      </c>
      <c r="AJ25" s="11">
        <f>'BS DRIVERS'!AJ21</f>
        <v/>
      </c>
      <c r="AK25" s="11">
        <f>'BS DRIVERS'!AK21</f>
        <v/>
      </c>
      <c r="AL25" s="11">
        <f>'BS DRIVERS'!AL21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'BS DRIVERS'!P22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  <c r="AI26" s="11">
        <f>'BS DRIVERS'!AI22</f>
        <v/>
      </c>
      <c r="AJ26" s="11">
        <f>'BS DRIVERS'!AJ22</f>
        <v/>
      </c>
      <c r="AK26" s="11">
        <f>'BS DRIVERS'!AK22</f>
        <v/>
      </c>
      <c r="AL26" s="11">
        <f>'BS DRIVERS'!AL22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'BS DRIVERS'!P23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  <c r="AI27" s="11">
        <f>'BS DRIVERS'!AI23</f>
        <v/>
      </c>
      <c r="AJ27" s="11">
        <f>'BS DRIVERS'!AJ23</f>
        <v/>
      </c>
      <c r="AK27" s="11">
        <f>'BS DRIVERS'!AK23</f>
        <v/>
      </c>
      <c r="AL27" s="11">
        <f>'BS DRIVERS'!AL23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7">
        <f>SUM(P22:P27)</f>
        <v/>
      </c>
      <c r="Q28" s="7">
        <f>SUM(Q22:Q27)</f>
        <v/>
      </c>
      <c r="R28" s="7">
        <f>SUM(R22:R27)</f>
        <v/>
      </c>
      <c r="S28" s="7">
        <f>SUM(S22:S27)</f>
        <v/>
      </c>
      <c r="T28" s="7">
        <f>SUM(T22:T27)</f>
        <v/>
      </c>
      <c r="U28" s="7">
        <f>SUM(U22:U27)</f>
        <v/>
      </c>
      <c r="V28" s="7">
        <f>SUM(V22:V27)</f>
        <v/>
      </c>
      <c r="W28" s="7">
        <f>SUM(W22:W27)</f>
        <v/>
      </c>
      <c r="X28" s="7">
        <f>SUM(X22:X27)</f>
        <v/>
      </c>
      <c r="Y28" s="7">
        <f>SUM(Y22:Y27)</f>
        <v/>
      </c>
      <c r="Z28" s="7">
        <f>SUM(Z22:Z27)</f>
        <v/>
      </c>
      <c r="AA28" s="7">
        <f>SUM(AA22:AA27)</f>
        <v/>
      </c>
      <c r="AB28" s="7">
        <f>SUM(AB22:AB27)</f>
        <v/>
      </c>
      <c r="AC28" s="7">
        <f>SUM(AC22:AC27)</f>
        <v/>
      </c>
      <c r="AD28" s="7">
        <f>SUM(AD22:AD27)</f>
        <v/>
      </c>
      <c r="AE28" s="7">
        <f>SUM(AE22:AE27)</f>
        <v/>
      </c>
      <c r="AF28" s="7">
        <f>SUM(AF22:AF27)</f>
        <v/>
      </c>
      <c r="AG28" s="7">
        <f>SUM(AG22:AG27)</f>
        <v/>
      </c>
      <c r="AH28" s="7">
        <f>SUM(AH22:AH27)</f>
        <v/>
      </c>
      <c r="AI28" s="7">
        <f>SUM(AI22:AI27)</f>
        <v/>
      </c>
      <c r="AJ28" s="7">
        <f>SUM(AJ22:AJ27)</f>
        <v/>
      </c>
      <c r="AK28" s="7">
        <f>SUM(AK22:AK27)</f>
        <v/>
      </c>
      <c r="AL28" s="7">
        <f>SUM(AL22:AL27)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7">
        <f>P21+P28</f>
        <v/>
      </c>
      <c r="Q29" s="7">
        <f>Q21+Q28</f>
        <v/>
      </c>
      <c r="R29" s="7">
        <f>R21+R28</f>
        <v/>
      </c>
      <c r="S29" s="7">
        <f>S21+S28</f>
        <v/>
      </c>
      <c r="T29" s="7">
        <f>T21+T28</f>
        <v/>
      </c>
      <c r="U29" s="7">
        <f>U21+U28</f>
        <v/>
      </c>
      <c r="V29" s="7">
        <f>V21+V28</f>
        <v/>
      </c>
      <c r="W29" s="7">
        <f>W21+W28</f>
        <v/>
      </c>
      <c r="X29" s="7">
        <f>X21+X28</f>
        <v/>
      </c>
      <c r="Y29" s="7">
        <f>Y21+Y28</f>
        <v/>
      </c>
      <c r="Z29" s="7">
        <f>Z21+Z28</f>
        <v/>
      </c>
      <c r="AA29" s="7">
        <f>AA21+AA28</f>
        <v/>
      </c>
      <c r="AB29" s="7">
        <f>AB21+AB28</f>
        <v/>
      </c>
      <c r="AC29" s="7">
        <f>AC21+AC28</f>
        <v/>
      </c>
      <c r="AD29" s="7">
        <f>AD21+AD28</f>
        <v/>
      </c>
      <c r="AE29" s="7">
        <f>AE21+AE28</f>
        <v/>
      </c>
      <c r="AF29" s="7">
        <f>AF21+AF28</f>
        <v/>
      </c>
      <c r="AG29" s="7">
        <f>AG21+AG28</f>
        <v/>
      </c>
      <c r="AH29" s="7">
        <f>AH21+AH28</f>
        <v/>
      </c>
      <c r="AI29" s="7">
        <f>AI21+AI28</f>
        <v/>
      </c>
      <c r="AJ29" s="7">
        <f>AJ21+AJ28</f>
        <v/>
      </c>
      <c r="AK29" s="7">
        <f>AK21+AK28</f>
        <v/>
      </c>
      <c r="AL29" s="7">
        <f>AL21+AL28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'CF DRIVERS'!S2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  <c r="AL2" s="11">
        <f>'CF DRIVERS'!AL2</f>
        <v/>
      </c>
      <c r="AM2" s="11">
        <f>'CF DRIVERS'!AM2</f>
        <v/>
      </c>
      <c r="AN2" s="11">
        <f>'CF DRIVERS'!AN2</f>
        <v/>
      </c>
      <c r="AO2" s="11">
        <f>'CF DRIVERS'!AO2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DRIVERS'!S3</f>
        <v/>
      </c>
      <c r="T3" s="11">
        <f>'QTR P&amp;L'!T2*'CF DRIVERS'!T3</f>
        <v/>
      </c>
      <c r="U3" s="11">
        <f>'QTR P&amp;L'!U2*'CF DRIVERS'!U3</f>
        <v/>
      </c>
      <c r="V3" s="11">
        <f>'QTR P&amp;L'!V2*'CF DRIVERS'!V3</f>
        <v/>
      </c>
      <c r="W3" s="11">
        <f>'QTR P&amp;L'!W2*'CF DRIVERS'!W3</f>
        <v/>
      </c>
      <c r="X3" s="11">
        <f>'QTR P&amp;L'!X2*'CF DRIVERS'!X3</f>
        <v/>
      </c>
      <c r="Y3" s="11">
        <f>'QTR P&amp;L'!Y2*'CF DRIVERS'!Y3</f>
        <v/>
      </c>
      <c r="Z3" s="11">
        <f>'QTR P&amp;L'!Z2*'CF DRIVERS'!Z3</f>
        <v/>
      </c>
      <c r="AA3" s="11">
        <f>'QTR P&amp;L'!AA2*'CF DRIVERS'!AA3</f>
        <v/>
      </c>
      <c r="AB3" s="11">
        <f>'QTR P&amp;L'!AB2*'CF DRIVERS'!AB3</f>
        <v/>
      </c>
      <c r="AC3" s="11">
        <f>'QTR P&amp;L'!AC2*'CF DRIVERS'!AC3</f>
        <v/>
      </c>
      <c r="AD3" s="11">
        <f>'QTR P&amp;L'!AD2*'CF DRIVERS'!AD3</f>
        <v/>
      </c>
      <c r="AE3" s="11">
        <f>'QTR P&amp;L'!AE2*'CF DRIVERS'!AE3</f>
        <v/>
      </c>
      <c r="AF3" s="11">
        <f>'QTR P&amp;L'!AF2*'CF DRIVERS'!AF3</f>
        <v/>
      </c>
      <c r="AG3" s="11">
        <f>'QTR P&amp;L'!AG2*'CF DRIVERS'!AG3</f>
        <v/>
      </c>
      <c r="AH3" s="11">
        <f>'QTR P&amp;L'!AH2*'CF DRIVERS'!AH3</f>
        <v/>
      </c>
      <c r="AI3" s="11">
        <f>'QTR P&amp;L'!AI2*'CF DRIVERS'!AI3</f>
        <v/>
      </c>
      <c r="AJ3" s="11">
        <f>'QTR P&amp;L'!AJ2*'CF DRIVERS'!AJ3</f>
        <v/>
      </c>
      <c r="AK3" s="11">
        <f>'QTR P&amp;L'!AK2*'CF DRIVERS'!AK3</f>
        <v/>
      </c>
      <c r="AL3" s="11">
        <f>'QTR P&amp;L'!AL2*'CF DRIVERS'!AL3</f>
        <v/>
      </c>
      <c r="AM3" s="11">
        <f>'QTR P&amp;L'!AM2*'CF DRIVERS'!AM3</f>
        <v/>
      </c>
      <c r="AN3" s="11">
        <f>'QTR P&amp;L'!AN2*'CF DRIVERS'!AN3</f>
        <v/>
      </c>
      <c r="AO3" s="11">
        <f>'QTR P&amp;L'!AO2*'CF DRIVERS'!AO3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'CF DRIVERS'!S4</f>
        <v/>
      </c>
      <c r="T4" s="11">
        <f>'CF DRIVERS'!T4</f>
        <v/>
      </c>
      <c r="U4" s="11">
        <f>'CF DRIVERS'!U4</f>
        <v/>
      </c>
      <c r="V4" s="11">
        <f>'CF DRIVERS'!V4</f>
        <v/>
      </c>
      <c r="W4" s="11">
        <f>'CF DRIVERS'!W4</f>
        <v/>
      </c>
      <c r="X4" s="11">
        <f>'CF DRIVERS'!X4</f>
        <v/>
      </c>
      <c r="Y4" s="11">
        <f>'CF DRIVERS'!Y4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  <c r="AL4" s="11">
        <f>'CF DRIVERS'!AL4</f>
        <v/>
      </c>
      <c r="AM4" s="11">
        <f>'CF DRIVERS'!AM4</f>
        <v/>
      </c>
      <c r="AN4" s="11">
        <f>'CF DRIVERS'!AN4</f>
        <v/>
      </c>
      <c r="AO4" s="11">
        <f>'CF DRIVERS'!AO4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'CF DRIVERS'!S5</f>
        <v/>
      </c>
      <c r="T5" s="11">
        <f>'CF DRIVERS'!T5</f>
        <v/>
      </c>
      <c r="U5" s="11">
        <f>'CF DRIVERS'!U5</f>
        <v/>
      </c>
      <c r="V5" s="11">
        <f>'CF DRIVERS'!V5</f>
        <v/>
      </c>
      <c r="W5" s="11">
        <f>'CF DRIVERS'!W5</f>
        <v/>
      </c>
      <c r="X5" s="11">
        <f>'CF DRIVERS'!X5</f>
        <v/>
      </c>
      <c r="Y5" s="11">
        <f>'CF DRIVERS'!Y5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  <c r="AL5" s="11">
        <f>'CF DRIVERS'!AL5</f>
        <v/>
      </c>
      <c r="AM5" s="11">
        <f>'CF DRIVERS'!AM5</f>
        <v/>
      </c>
      <c r="AN5" s="11">
        <f>'CF DRIVERS'!AN5</f>
        <v/>
      </c>
      <c r="AO5" s="11">
        <f>'CF DRIVERS'!AO5</f>
        <v/>
      </c>
    </row>
    <row r="6">
      <c r="A6" s="3" t="inlineStr">
        <is>
          <t>Indirect Tax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11">
        <f>'CF DRIVERS'!S6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  <c r="AL6" s="11">
        <f>'CF DRIVERS'!AL6</f>
        <v/>
      </c>
      <c r="AM6" s="11">
        <f>'CF DRIVERS'!AM6</f>
        <v/>
      </c>
      <c r="AN6" s="11">
        <f>'CF DRIVERS'!AN6</f>
        <v/>
      </c>
      <c r="AO6" s="11">
        <f>'CF DRIVERS'!AO6</f>
        <v/>
      </c>
    </row>
    <row r="7">
      <c r="A7" s="3" t="inlineStr">
        <is>
          <t>Product Recall Impact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11">
        <f>'CF DRIVERS'!S7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  <c r="AL7" s="11">
        <f>'CF DRIVERS'!AL7</f>
        <v/>
      </c>
      <c r="AM7" s="11">
        <f>'CF DRIVERS'!AM7</f>
        <v/>
      </c>
      <c r="AN7" s="11">
        <f>'CF DRIVERS'!AN7</f>
        <v/>
      </c>
      <c r="AO7" s="11">
        <f>'CF DRIVERS'!AO7</f>
        <v/>
      </c>
    </row>
    <row r="8">
      <c r="A8" s="3" t="inlineStr">
        <is>
          <t>Cash Payments for Product Recall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11">
        <f>'CF DRIVERS'!S8</f>
        <v/>
      </c>
      <c r="T8" s="11">
        <f>'CF DRIVERS'!T8</f>
        <v/>
      </c>
      <c r="U8" s="11">
        <f>'CF DRIVERS'!U8</f>
        <v/>
      </c>
      <c r="V8" s="11">
        <f>'CF DRIVERS'!V8</f>
        <v/>
      </c>
      <c r="W8" s="11">
        <f>'CF DRIVERS'!W8</f>
        <v/>
      </c>
      <c r="X8" s="11">
        <f>'CF DRIVERS'!X8</f>
        <v/>
      </c>
      <c r="Y8" s="11">
        <f>'CF DRIVERS'!Y8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  <c r="AL8" s="11">
        <f>'CF DRIVERS'!AL8</f>
        <v/>
      </c>
      <c r="AM8" s="11">
        <f>'CF DRIVERS'!AM8</f>
        <v/>
      </c>
      <c r="AN8" s="11">
        <f>'CF DRIVERS'!AN8</f>
        <v/>
      </c>
      <c r="AO8" s="11">
        <f>'CF DRIVERS'!AO8</f>
        <v/>
      </c>
    </row>
    <row r="9">
      <c r="A9" s="3" t="inlineStr">
        <is>
          <t>Operating Lease ROU Asset Amortization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11">
        <f>'CF DRIVERS'!S9</f>
        <v/>
      </c>
      <c r="T9" s="11">
        <f>'CF DRIVERS'!T9</f>
        <v/>
      </c>
      <c r="U9" s="11">
        <f>'CF DRIVERS'!U9</f>
        <v/>
      </c>
      <c r="V9" s="11">
        <f>'CF DRIVERS'!V9</f>
        <v/>
      </c>
      <c r="W9" s="11">
        <f>'CF DRIVERS'!W9</f>
        <v/>
      </c>
      <c r="X9" s="11">
        <f>'CF DRIVERS'!X9</f>
        <v/>
      </c>
      <c r="Y9" s="11">
        <f>'CF DRIVERS'!Y9</f>
        <v/>
      </c>
      <c r="Z9" s="11">
        <f>'CF DRIVERS'!Z9</f>
        <v/>
      </c>
      <c r="AA9" s="11">
        <f>'CF DRIVERS'!AA9</f>
        <v/>
      </c>
      <c r="AB9" s="11">
        <f>'CF DRIVERS'!AB9</f>
        <v/>
      </c>
      <c r="AC9" s="11">
        <f>'CF DRIVERS'!AC9</f>
        <v/>
      </c>
      <c r="AD9" s="11">
        <f>'CF DRIVERS'!AD9</f>
        <v/>
      </c>
      <c r="AE9" s="11">
        <f>'CF DRIVERS'!AE9</f>
        <v/>
      </c>
      <c r="AF9" s="11">
        <f>'CF DRIVERS'!AF9</f>
        <v/>
      </c>
      <c r="AG9" s="11">
        <f>'CF DRIVERS'!AG9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  <c r="AL9" s="11">
        <f>'CF DRIVERS'!AL9</f>
        <v/>
      </c>
      <c r="AM9" s="11">
        <f>'CF DRIVERS'!AM9</f>
        <v/>
      </c>
      <c r="AN9" s="11">
        <f>'CF DRIVERS'!AN9</f>
        <v/>
      </c>
      <c r="AO9" s="11">
        <f>'CF DRIVERS'!AO9</f>
        <v/>
      </c>
    </row>
    <row r="10">
      <c r="A10" s="3" t="inlineStr">
        <is>
          <t>Stock-Based Compensation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11">
        <f>'QTR P&amp;L'!S2*'CF DRIVERS'!S10</f>
        <v/>
      </c>
      <c r="T10" s="11">
        <f>'QTR P&amp;L'!T2*'CF DRIVERS'!T10</f>
        <v/>
      </c>
      <c r="U10" s="11">
        <f>'QTR P&amp;L'!U2*'CF DRIVERS'!U10</f>
        <v/>
      </c>
      <c r="V10" s="11">
        <f>'QTR P&amp;L'!V2*'CF DRIVERS'!V10</f>
        <v/>
      </c>
      <c r="W10" s="11">
        <f>'QTR P&amp;L'!W2*'CF DRIVERS'!W10</f>
        <v/>
      </c>
      <c r="X10" s="11">
        <f>'QTR P&amp;L'!X2*'CF DRIVERS'!X10</f>
        <v/>
      </c>
      <c r="Y10" s="11">
        <f>'QTR P&amp;L'!Y2*'CF DRIVERS'!Y10</f>
        <v/>
      </c>
      <c r="Z10" s="11">
        <f>'QTR P&amp;L'!Z2*'CF DRIVERS'!Z10</f>
        <v/>
      </c>
      <c r="AA10" s="11">
        <f>'QTR P&amp;L'!AA2*'CF DRIVERS'!AA10</f>
        <v/>
      </c>
      <c r="AB10" s="11">
        <f>'QTR P&amp;L'!AB2*'CF DRIVERS'!AB10</f>
        <v/>
      </c>
      <c r="AC10" s="11">
        <f>'QTR P&amp;L'!AC2*'CF DRIVERS'!AC10</f>
        <v/>
      </c>
      <c r="AD10" s="11">
        <f>'QTR P&amp;L'!AD2*'CF DRIVERS'!AD10</f>
        <v/>
      </c>
      <c r="AE10" s="11">
        <f>'QTR P&amp;L'!AE2*'CF DRIVERS'!AE10</f>
        <v/>
      </c>
      <c r="AF10" s="11">
        <f>'QTR P&amp;L'!AF2*'CF DRIVERS'!AF10</f>
        <v/>
      </c>
      <c r="AG10" s="11">
        <f>'QTR P&amp;L'!AG2*'CF DRIVERS'!AG10</f>
        <v/>
      </c>
      <c r="AH10" s="11">
        <f>'QTR P&amp;L'!AH2*'CF DRIVERS'!AH10</f>
        <v/>
      </c>
      <c r="AI10" s="11">
        <f>'QTR P&amp;L'!AI2*'CF DRIVERS'!AI10</f>
        <v/>
      </c>
      <c r="AJ10" s="11">
        <f>'QTR P&amp;L'!AJ2*'CF DRIVERS'!AJ10</f>
        <v/>
      </c>
      <c r="AK10" s="11">
        <f>'QTR P&amp;L'!AK2*'CF DRIVERS'!AK10</f>
        <v/>
      </c>
      <c r="AL10" s="11">
        <f>'QTR P&amp;L'!AL2*'CF DRIVERS'!AL10</f>
        <v/>
      </c>
      <c r="AM10" s="11">
        <f>'QTR P&amp;L'!AM2*'CF DRIVERS'!AM10</f>
        <v/>
      </c>
      <c r="AN10" s="11">
        <f>'QTR P&amp;L'!AN2*'CF DRIVERS'!AN10</f>
        <v/>
      </c>
      <c r="AO10" s="11">
        <f>'QTR P&amp;L'!AO2*'CF DRIVERS'!AO10</f>
        <v/>
      </c>
    </row>
    <row r="11">
      <c r="A11" s="3" t="inlineStr">
        <is>
          <t>Restructuring and Asset Impairment Charges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11">
        <f>'CF DRIVERS'!S11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  <c r="AL11" s="11">
        <f>'CF DRIVERS'!AL11</f>
        <v/>
      </c>
      <c r="AM11" s="11">
        <f>'CF DRIVERS'!AM11</f>
        <v/>
      </c>
      <c r="AN11" s="11">
        <f>'CF DRIVERS'!AN11</f>
        <v/>
      </c>
      <c r="AO11" s="11">
        <f>'CF DRIVERS'!AO11</f>
        <v/>
      </c>
    </row>
    <row r="12">
      <c r="A12" s="3" t="inlineStr">
        <is>
          <t>Cash Payments for Restructuring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11">
        <f>'CF DRIVERS'!S12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  <c r="AL12" s="11">
        <f>'CF DRIVERS'!AL12</f>
        <v/>
      </c>
      <c r="AM12" s="11">
        <f>'CF DRIVERS'!AM12</f>
        <v/>
      </c>
      <c r="AN12" s="11">
        <f>'CF DRIVERS'!AN12</f>
        <v/>
      </c>
      <c r="AO12" s="11">
        <f>'CF DRIVERS'!AO12</f>
        <v/>
      </c>
    </row>
    <row r="13">
      <c r="A13" s="3" t="inlineStr">
        <is>
          <t>Acquisition and Divestiture-Related Charges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  <c r="S13" s="11">
        <f>'CF DRIVERS'!S13</f>
        <v/>
      </c>
      <c r="T13" s="11">
        <f>'CF DRIVERS'!T13</f>
        <v/>
      </c>
      <c r="U13" s="11">
        <f>'CF DRIVERS'!U13</f>
        <v/>
      </c>
      <c r="V13" s="11">
        <f>'CF DRIVERS'!V13</f>
        <v/>
      </c>
      <c r="W13" s="11">
        <f>'CF DRIVERS'!W13</f>
        <v/>
      </c>
      <c r="X13" s="11">
        <f>'CF DRIVERS'!X13</f>
        <v/>
      </c>
      <c r="Y13" s="11">
        <f>'CF DRIVERS'!Y13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  <c r="AL13" s="11">
        <f>'CF DRIVERS'!AL13</f>
        <v/>
      </c>
      <c r="AM13" s="11">
        <f>'CF DRIVERS'!AM13</f>
        <v/>
      </c>
      <c r="AN13" s="11">
        <f>'CF DRIVERS'!AN13</f>
        <v/>
      </c>
      <c r="AO13" s="11">
        <f>'CF DRIVERS'!AO13</f>
        <v/>
      </c>
    </row>
    <row r="14">
      <c r="A14" s="3" t="inlineStr">
        <is>
          <t>Cash Payments for Acquisition and Divestiture Costs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FLOW'!C14-'YTD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FLOW'!D14-'YTD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FLOW'!E14-'YTD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FLOW'!F14-'YTD CF'!M14</f>
        <v/>
      </c>
      <c r="R14" s="4">
        <f>'YTD CF'!N14</f>
        <v/>
      </c>
      <c r="S14" s="11">
        <f>'CF DRIVERS'!S14</f>
        <v/>
      </c>
      <c r="T14" s="11">
        <f>'CF DRIVERS'!T14</f>
        <v/>
      </c>
      <c r="U14" s="11">
        <f>'CF DRIVERS'!U14</f>
        <v/>
      </c>
      <c r="V14" s="11">
        <f>'CF DRIVERS'!V14</f>
        <v/>
      </c>
      <c r="W14" s="11">
        <f>'CF DRIVERS'!W14</f>
        <v/>
      </c>
      <c r="X14" s="11">
        <f>'CF DRIVERS'!X14</f>
        <v/>
      </c>
      <c r="Y14" s="11">
        <f>'CF DRIVERS'!Y14</f>
        <v/>
      </c>
      <c r="Z14" s="11">
        <f>'CF DRIVERS'!Z14</f>
        <v/>
      </c>
      <c r="AA14" s="11">
        <f>'CF DRIVERS'!AA14</f>
        <v/>
      </c>
      <c r="AB14" s="11">
        <f>'CF DRIVERS'!AB14</f>
        <v/>
      </c>
      <c r="AC14" s="11">
        <f>'CF DRIVERS'!AC14</f>
        <v/>
      </c>
      <c r="AD14" s="11">
        <f>'CF DRIVERS'!AD14</f>
        <v/>
      </c>
      <c r="AE14" s="11">
        <f>'CF DRIVERS'!AE14</f>
        <v/>
      </c>
      <c r="AF14" s="11">
        <f>'CF DRIVERS'!AF14</f>
        <v/>
      </c>
      <c r="AG14" s="11">
        <f>'CF DRIVERS'!AG14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  <c r="AL14" s="11">
        <f>'CF DRIVERS'!AL14</f>
        <v/>
      </c>
      <c r="AM14" s="11">
        <f>'CF DRIVERS'!AM14</f>
        <v/>
      </c>
      <c r="AN14" s="11">
        <f>'CF DRIVERS'!AN14</f>
        <v/>
      </c>
      <c r="AO14" s="11">
        <f>'CF DRIVERS'!AO14</f>
        <v/>
      </c>
    </row>
    <row r="15">
      <c r="A15" s="3" t="inlineStr">
        <is>
          <t>Pension and Postretirement Benefits Expense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  <c r="S15" s="11">
        <f>'CF DRIVERS'!S15</f>
        <v/>
      </c>
      <c r="T15" s="11">
        <f>'CF DRIVERS'!T15</f>
        <v/>
      </c>
      <c r="U15" s="11">
        <f>'CF DRIVERS'!U15</f>
        <v/>
      </c>
      <c r="V15" s="11">
        <f>'CF DRIVERS'!V15</f>
        <v/>
      </c>
      <c r="W15" s="11">
        <f>'CF DRIVERS'!W15</f>
        <v/>
      </c>
      <c r="X15" s="11">
        <f>'CF DRIVERS'!X15</f>
        <v/>
      </c>
      <c r="Y15" s="11">
        <f>'CF DRIVERS'!Y15</f>
        <v/>
      </c>
      <c r="Z15" s="11">
        <f>'CF DRIVERS'!Z15</f>
        <v/>
      </c>
      <c r="AA15" s="11">
        <f>'CF DRIVERS'!AA15</f>
        <v/>
      </c>
      <c r="AB15" s="11">
        <f>'CF DRIVERS'!AB15</f>
        <v/>
      </c>
      <c r="AC15" s="11">
        <f>'CF DRIVERS'!AC15</f>
        <v/>
      </c>
      <c r="AD15" s="11">
        <f>'CF DRIVERS'!AD15</f>
        <v/>
      </c>
      <c r="AE15" s="11">
        <f>'CF DRIVERS'!AE15</f>
        <v/>
      </c>
      <c r="AF15" s="11">
        <f>'CF DRIVERS'!AF15</f>
        <v/>
      </c>
      <c r="AG15" s="11">
        <f>'CF DRIVERS'!AG15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  <c r="AL15" s="11">
        <f>'CF DRIVERS'!AL15</f>
        <v/>
      </c>
      <c r="AM15" s="11">
        <f>'CF DRIVERS'!AM15</f>
        <v/>
      </c>
      <c r="AN15" s="11">
        <f>'CF DRIVERS'!AN15</f>
        <v/>
      </c>
      <c r="AO15" s="11">
        <f>'CF DRIVERS'!AO15</f>
        <v/>
      </c>
    </row>
    <row r="16">
      <c r="A16" s="3" t="inlineStr">
        <is>
          <t>Pension and Postretirement Benefits Contributions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  <c r="S16" s="11">
        <f>'CF DRIVERS'!S16</f>
        <v/>
      </c>
      <c r="T16" s="11">
        <f>'CF DRIVERS'!T16</f>
        <v/>
      </c>
      <c r="U16" s="11">
        <f>'CF DRIVERS'!U16</f>
        <v/>
      </c>
      <c r="V16" s="11">
        <f>'CF DRIVERS'!V16</f>
        <v/>
      </c>
      <c r="W16" s="11">
        <f>'CF DRIVERS'!W16</f>
        <v/>
      </c>
      <c r="X16" s="11">
        <f>'CF DRIVERS'!X16</f>
        <v/>
      </c>
      <c r="Y16" s="11">
        <f>'CF DRIVERS'!Y16</f>
        <v/>
      </c>
      <c r="Z16" s="11">
        <f>'CF DRIVERS'!Z16</f>
        <v/>
      </c>
      <c r="AA16" s="11">
        <f>'CF DRIVERS'!AA16</f>
        <v/>
      </c>
      <c r="AB16" s="11">
        <f>'CF DRIVERS'!AB16</f>
        <v/>
      </c>
      <c r="AC16" s="11">
        <f>'CF DRIVERS'!AC16</f>
        <v/>
      </c>
      <c r="AD16" s="11">
        <f>'CF DRIVERS'!AD16</f>
        <v/>
      </c>
      <c r="AE16" s="11">
        <f>'CF DRIVERS'!AE16</f>
        <v/>
      </c>
      <c r="AF16" s="11">
        <f>'CF DRIVERS'!AF16</f>
        <v/>
      </c>
      <c r="AG16" s="11">
        <f>'CF DRIVERS'!AG16</f>
        <v/>
      </c>
      <c r="AH16" s="11">
        <f>'CF DRIVERS'!AH16</f>
        <v/>
      </c>
      <c r="AI16" s="11">
        <f>'CF DRIVERS'!AI16</f>
        <v/>
      </c>
      <c r="AJ16" s="11">
        <f>'CF DRIVERS'!AJ16</f>
        <v/>
      </c>
      <c r="AK16" s="11">
        <f>'CF DRIVERS'!AK16</f>
        <v/>
      </c>
      <c r="AL16" s="11">
        <f>'CF DRIVERS'!AL16</f>
        <v/>
      </c>
      <c r="AM16" s="11">
        <f>'CF DRIVERS'!AM16</f>
        <v/>
      </c>
      <c r="AN16" s="11">
        <f>'CF DRIVERS'!AN16</f>
        <v/>
      </c>
      <c r="AO16" s="11">
        <f>'CF DRIVERS'!AO16</f>
        <v/>
      </c>
    </row>
    <row r="17">
      <c r="A17" s="3" t="inlineStr">
        <is>
          <t>(Benefit) Provision for Deferred Income Taxes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11">
        <f>'CF DRIVERS'!S17</f>
        <v/>
      </c>
      <c r="T17" s="11">
        <f>'CF DRIVERS'!T17</f>
        <v/>
      </c>
      <c r="U17" s="11">
        <f>'CF DRIVERS'!U17</f>
        <v/>
      </c>
      <c r="V17" s="11">
        <f>'CF DRIVERS'!V17</f>
        <v/>
      </c>
      <c r="W17" s="11">
        <f>'CF DRIVERS'!W17</f>
        <v/>
      </c>
      <c r="X17" s="11">
        <f>'CF DRIVERS'!X17</f>
        <v/>
      </c>
      <c r="Y17" s="11">
        <f>'CF DRIVERS'!Y17</f>
        <v/>
      </c>
      <c r="Z17" s="11">
        <f>'CF DRIVERS'!Z17</f>
        <v/>
      </c>
      <c r="AA17" s="11">
        <f>'CF DRIVERS'!AA17</f>
        <v/>
      </c>
      <c r="AB17" s="11">
        <f>'CF DRIVERS'!AB17</f>
        <v/>
      </c>
      <c r="AC17" s="11">
        <f>'CF DRIVERS'!AC17</f>
        <v/>
      </c>
      <c r="AD17" s="11">
        <f>'CF DRIVERS'!AD17</f>
        <v/>
      </c>
      <c r="AE17" s="11">
        <f>'CF DRIVERS'!AE17</f>
        <v/>
      </c>
      <c r="AF17" s="11">
        <f>'CF DRIVERS'!AF17</f>
        <v/>
      </c>
      <c r="AG17" s="11">
        <f>'CF DRIVERS'!AG17</f>
        <v/>
      </c>
      <c r="AH17" s="11">
        <f>'CF DRIVERS'!AH17</f>
        <v/>
      </c>
      <c r="AI17" s="11">
        <f>'CF DRIVERS'!AI17</f>
        <v/>
      </c>
      <c r="AJ17" s="11">
        <f>'CF DRIVERS'!AJ17</f>
        <v/>
      </c>
      <c r="AK17" s="11">
        <f>'CF DRIVERS'!AK17</f>
        <v/>
      </c>
      <c r="AL17" s="11">
        <f>'CF DRIVERS'!AL17</f>
        <v/>
      </c>
      <c r="AM17" s="11">
        <f>'CF DRIVERS'!AM17</f>
        <v/>
      </c>
      <c r="AN17" s="11">
        <f>'CF DRIVERS'!AN17</f>
        <v/>
      </c>
      <c r="AO17" s="11">
        <f>'CF DRIVERS'!AO17</f>
        <v/>
      </c>
    </row>
    <row r="18">
      <c r="A18" s="3" t="inlineStr">
        <is>
          <t>Tax Expense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FLOW'!C18-'YTD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FLOW'!D18-'YTD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FLOW'!E18-'YTD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FLOW'!F18-'YTD CF'!M18</f>
        <v/>
      </c>
      <c r="R18" s="4">
        <f>'YTD CF'!N18</f>
        <v/>
      </c>
      <c r="S18" s="11">
        <f>'CF DRIVERS'!S18</f>
        <v/>
      </c>
      <c r="T18" s="11">
        <f>'CF DRIVERS'!T18</f>
        <v/>
      </c>
      <c r="U18" s="11">
        <f>'CF DRIVERS'!U18</f>
        <v/>
      </c>
      <c r="V18" s="11">
        <f>'CF DRIVERS'!V18</f>
        <v/>
      </c>
      <c r="W18" s="11">
        <f>'CF DRIVERS'!W18</f>
        <v/>
      </c>
      <c r="X18" s="11">
        <f>'CF DRIVERS'!X18</f>
        <v/>
      </c>
      <c r="Y18" s="11">
        <f>'CF DRIVERS'!Y18</f>
        <v/>
      </c>
      <c r="Z18" s="11">
        <f>'CF DRIVERS'!Z18</f>
        <v/>
      </c>
      <c r="AA18" s="11">
        <f>'CF DRIVERS'!AA18</f>
        <v/>
      </c>
      <c r="AB18" s="11">
        <f>'CF DRIVERS'!AB18</f>
        <v/>
      </c>
      <c r="AC18" s="11">
        <f>'CF DRIVERS'!AC18</f>
        <v/>
      </c>
      <c r="AD18" s="11">
        <f>'CF DRIVERS'!AD18</f>
        <v/>
      </c>
      <c r="AE18" s="11">
        <f>'CF DRIVERS'!AE18</f>
        <v/>
      </c>
      <c r="AF18" s="11">
        <f>'CF DRIVERS'!AF18</f>
        <v/>
      </c>
      <c r="AG18" s="11">
        <f>'CF DRIVERS'!AG18</f>
        <v/>
      </c>
      <c r="AH18" s="11">
        <f>'CF DRIVERS'!AH18</f>
        <v/>
      </c>
      <c r="AI18" s="11">
        <f>'CF DRIVERS'!AI18</f>
        <v/>
      </c>
      <c r="AJ18" s="11">
        <f>'CF DRIVERS'!AJ18</f>
        <v/>
      </c>
      <c r="AK18" s="11">
        <f>'CF DRIVERS'!AK18</f>
        <v/>
      </c>
      <c r="AL18" s="11">
        <f>'CF DRIVERS'!AL18</f>
        <v/>
      </c>
      <c r="AM18" s="11">
        <f>'CF DRIVERS'!AM18</f>
        <v/>
      </c>
      <c r="AN18" s="11">
        <f>'CF DRIVERS'!AN18</f>
        <v/>
      </c>
      <c r="AO18" s="11">
        <f>'CF DRIVERS'!AO18</f>
        <v/>
      </c>
    </row>
    <row r="19">
      <c r="A19" s="3" t="inlineStr">
        <is>
          <t>Tax Payments Related to TCJ Act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FLOW'!C19-'YTD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FLOW'!D19-'YTD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FLOW'!E19-'YTD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FLOW'!F19-'YTD CF'!M19</f>
        <v/>
      </c>
      <c r="R19" s="4">
        <f>'YTD CF'!N19</f>
        <v/>
      </c>
      <c r="S19" s="11">
        <f>'CF DRIVERS'!S19</f>
        <v/>
      </c>
      <c r="T19" s="11">
        <f>'CF DRIVERS'!T19</f>
        <v/>
      </c>
      <c r="U19" s="11">
        <f>'CF DRIVERS'!U19</f>
        <v/>
      </c>
      <c r="V19" s="11">
        <f>'CF DRIVERS'!V19</f>
        <v/>
      </c>
      <c r="W19" s="11">
        <f>'CF DRIVERS'!W19</f>
        <v/>
      </c>
      <c r="X19" s="11">
        <f>'CF DRIVERS'!X19</f>
        <v/>
      </c>
      <c r="Y19" s="11">
        <f>'CF DRIVERS'!Y19</f>
        <v/>
      </c>
      <c r="Z19" s="11">
        <f>'CF DRIVERS'!Z19</f>
        <v/>
      </c>
      <c r="AA19" s="11">
        <f>'CF DRIVERS'!AA19</f>
        <v/>
      </c>
      <c r="AB19" s="11">
        <f>'CF DRIVERS'!AB19</f>
        <v/>
      </c>
      <c r="AC19" s="11">
        <f>'CF DRIVERS'!AC19</f>
        <v/>
      </c>
      <c r="AD19" s="11">
        <f>'CF DRIVERS'!AD19</f>
        <v/>
      </c>
      <c r="AE19" s="11">
        <f>'CF DRIVERS'!AE19</f>
        <v/>
      </c>
      <c r="AF19" s="11">
        <f>'CF DRIVERS'!AF19</f>
        <v/>
      </c>
      <c r="AG19" s="11">
        <f>'CF DRIVERS'!AG19</f>
        <v/>
      </c>
      <c r="AH19" s="11">
        <f>'CF DRIVERS'!AH19</f>
        <v/>
      </c>
      <c r="AI19" s="11">
        <f>'CF DRIVERS'!AI19</f>
        <v/>
      </c>
      <c r="AJ19" s="11">
        <f>'CF DRIVERS'!AJ19</f>
        <v/>
      </c>
      <c r="AK19" s="11">
        <f>'CF DRIVERS'!AK19</f>
        <v/>
      </c>
      <c r="AL19" s="11">
        <f>'CF DRIVERS'!AL19</f>
        <v/>
      </c>
      <c r="AM19" s="11">
        <f>'CF DRIVERS'!AM19</f>
        <v/>
      </c>
      <c r="AN19" s="11">
        <f>'CF DRIVERS'!AN19</f>
        <v/>
      </c>
      <c r="AO19" s="11">
        <f>'CF DRIVERS'!AO19</f>
        <v/>
      </c>
    </row>
    <row r="20">
      <c r="A20" s="3" t="inlineStr">
        <is>
          <t>Accounts Receivable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4">
        <f>'YTD CF'!N20</f>
        <v/>
      </c>
      <c r="S20" s="11">
        <f>'CF DRIVERS'!S20</f>
        <v/>
      </c>
      <c r="T20" s="11">
        <f>'CF DRIVERS'!T20</f>
        <v/>
      </c>
      <c r="U20" s="11">
        <f>'CF DRIVERS'!U20</f>
        <v/>
      </c>
      <c r="V20" s="11">
        <f>'CF DRIVERS'!V20</f>
        <v/>
      </c>
      <c r="W20" s="11">
        <f>'CF DRIVERS'!W20</f>
        <v/>
      </c>
      <c r="X20" s="11">
        <f>'CF DRIVERS'!X20</f>
        <v/>
      </c>
      <c r="Y20" s="11">
        <f>'CF DRIVERS'!Y20</f>
        <v/>
      </c>
      <c r="Z20" s="11">
        <f>'CF DRIVERS'!Z20</f>
        <v/>
      </c>
      <c r="AA20" s="11">
        <f>'CF DRIVERS'!AA20</f>
        <v/>
      </c>
      <c r="AB20" s="11">
        <f>'CF DRIVERS'!AB20</f>
        <v/>
      </c>
      <c r="AC20" s="11">
        <f>'CF DRIVERS'!AC20</f>
        <v/>
      </c>
      <c r="AD20" s="11">
        <f>'CF DRIVERS'!AD20</f>
        <v/>
      </c>
      <c r="AE20" s="11">
        <f>'CF DRIVERS'!AE20</f>
        <v/>
      </c>
      <c r="AF20" s="11">
        <f>'CF DRIVERS'!AF20</f>
        <v/>
      </c>
      <c r="AG20" s="11">
        <f>'CF DRIVERS'!AG20</f>
        <v/>
      </c>
      <c r="AH20" s="11">
        <f>'CF DRIVERS'!AH20</f>
        <v/>
      </c>
      <c r="AI20" s="11">
        <f>'CF DRIVERS'!AI20</f>
        <v/>
      </c>
      <c r="AJ20" s="11">
        <f>'CF DRIVERS'!AJ20</f>
        <v/>
      </c>
      <c r="AK20" s="11">
        <f>'CF DRIVERS'!AK20</f>
        <v/>
      </c>
      <c r="AL20" s="11">
        <f>'CF DRIVERS'!AL20</f>
        <v/>
      </c>
      <c r="AM20" s="11">
        <f>'CF DRIVERS'!AM20</f>
        <v/>
      </c>
      <c r="AN20" s="11">
        <f>'CF DRIVERS'!AN20</f>
        <v/>
      </c>
      <c r="AO20" s="11">
        <f>'CF DRIVERS'!AO20</f>
        <v/>
      </c>
    </row>
    <row r="21">
      <c r="A21" s="3" t="inlineStr">
        <is>
          <t>Inventories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4">
        <f>'YTD CF'!N21</f>
        <v/>
      </c>
      <c r="S21" s="11">
        <f>'CF DRIVERS'!S21</f>
        <v/>
      </c>
      <c r="T21" s="11">
        <f>'CF DRIVERS'!T21</f>
        <v/>
      </c>
      <c r="U21" s="11">
        <f>'CF DRIVERS'!U21</f>
        <v/>
      </c>
      <c r="V21" s="11">
        <f>'CF DRIVERS'!V21</f>
        <v/>
      </c>
      <c r="W21" s="11">
        <f>'CF DRIVERS'!W21</f>
        <v/>
      </c>
      <c r="X21" s="11">
        <f>'CF DRIVERS'!X21</f>
        <v/>
      </c>
      <c r="Y21" s="11">
        <f>'CF DRIVERS'!Y21</f>
        <v/>
      </c>
      <c r="Z21" s="11">
        <f>'CF DRIVERS'!Z21</f>
        <v/>
      </c>
      <c r="AA21" s="11">
        <f>'CF DRIVERS'!AA21</f>
        <v/>
      </c>
      <c r="AB21" s="11">
        <f>'CF DRIVERS'!AB21</f>
        <v/>
      </c>
      <c r="AC21" s="11">
        <f>'CF DRIVERS'!AC21</f>
        <v/>
      </c>
      <c r="AD21" s="11">
        <f>'CF DRIVERS'!AD21</f>
        <v/>
      </c>
      <c r="AE21" s="11">
        <f>'CF DRIVERS'!AE21</f>
        <v/>
      </c>
      <c r="AF21" s="11">
        <f>'CF DRIVERS'!AF21</f>
        <v/>
      </c>
      <c r="AG21" s="11">
        <f>'CF DRIVERS'!AG21</f>
        <v/>
      </c>
      <c r="AH21" s="11">
        <f>'CF DRIVERS'!AH21</f>
        <v/>
      </c>
      <c r="AI21" s="11">
        <f>'CF DRIVERS'!AI21</f>
        <v/>
      </c>
      <c r="AJ21" s="11">
        <f>'CF DRIVERS'!AJ21</f>
        <v/>
      </c>
      <c r="AK21" s="11">
        <f>'CF DRIVERS'!AK21</f>
        <v/>
      </c>
      <c r="AL21" s="11">
        <f>'CF DRIVERS'!AL21</f>
        <v/>
      </c>
      <c r="AM21" s="11">
        <f>'CF DRIVERS'!AM21</f>
        <v/>
      </c>
      <c r="AN21" s="11">
        <f>'CF DRIVERS'!AN21</f>
        <v/>
      </c>
      <c r="AO21" s="11">
        <f>'CF DRIVERS'!AO21</f>
        <v/>
      </c>
    </row>
    <row r="22">
      <c r="A22" s="3" t="inlineStr">
        <is>
          <t>Prepaid Expenses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4">
        <f>'YTD CF'!N22</f>
        <v/>
      </c>
      <c r="S22" s="11">
        <f>'CF DRIVERS'!S22</f>
        <v/>
      </c>
      <c r="T22" s="11">
        <f>'CF DRIVERS'!T22</f>
        <v/>
      </c>
      <c r="U22" s="11">
        <f>'CF DRIVERS'!U22</f>
        <v/>
      </c>
      <c r="V22" s="11">
        <f>'CF DRIVERS'!V22</f>
        <v/>
      </c>
      <c r="W22" s="11">
        <f>'CF DRIVERS'!W22</f>
        <v/>
      </c>
      <c r="X22" s="11">
        <f>'CF DRIVERS'!X22</f>
        <v/>
      </c>
      <c r="Y22" s="11">
        <f>'CF DRIVERS'!Y22</f>
        <v/>
      </c>
      <c r="Z22" s="11">
        <f>'CF DRIVERS'!Z22</f>
        <v/>
      </c>
      <c r="AA22" s="11">
        <f>'CF DRIVERS'!AA22</f>
        <v/>
      </c>
      <c r="AB22" s="11">
        <f>'CF DRIVERS'!AB22</f>
        <v/>
      </c>
      <c r="AC22" s="11">
        <f>'CF DRIVERS'!AC22</f>
        <v/>
      </c>
      <c r="AD22" s="11">
        <f>'CF DRIVERS'!AD22</f>
        <v/>
      </c>
      <c r="AE22" s="11">
        <f>'CF DRIVERS'!AE22</f>
        <v/>
      </c>
      <c r="AF22" s="11">
        <f>'CF DRIVERS'!AF22</f>
        <v/>
      </c>
      <c r="AG22" s="11">
        <f>'CF DRIVERS'!AG22</f>
        <v/>
      </c>
      <c r="AH22" s="11">
        <f>'CF DRIVERS'!AH22</f>
        <v/>
      </c>
      <c r="AI22" s="11">
        <f>'CF DRIVERS'!AI22</f>
        <v/>
      </c>
      <c r="AJ22" s="11">
        <f>'CF DRIVERS'!AJ22</f>
        <v/>
      </c>
      <c r="AK22" s="11">
        <f>'CF DRIVERS'!AK22</f>
        <v/>
      </c>
      <c r="AL22" s="11">
        <f>'CF DRIVERS'!AL22</f>
        <v/>
      </c>
      <c r="AM22" s="11">
        <f>'CF DRIVERS'!AM22</f>
        <v/>
      </c>
      <c r="AN22" s="11">
        <f>'CF DRIVERS'!AN22</f>
        <v/>
      </c>
      <c r="AO22" s="11">
        <f>'CF DRIVERS'!AO22</f>
        <v/>
      </c>
    </row>
    <row r="23">
      <c r="A23" s="3" t="inlineStr">
        <is>
          <t>Accounts Payable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4">
        <f>'YTD CF'!N23</f>
        <v/>
      </c>
      <c r="S23" s="11">
        <f>'CF DRIVERS'!S23</f>
        <v/>
      </c>
      <c r="T23" s="11">
        <f>'CF DRIVERS'!T23</f>
        <v/>
      </c>
      <c r="U23" s="11">
        <f>'CF DRIVERS'!U23</f>
        <v/>
      </c>
      <c r="V23" s="11">
        <f>'CF DRIVERS'!V23</f>
        <v/>
      </c>
      <c r="W23" s="11">
        <f>'CF DRIVERS'!W23</f>
        <v/>
      </c>
      <c r="X23" s="11">
        <f>'CF DRIVERS'!X23</f>
        <v/>
      </c>
      <c r="Y23" s="11">
        <f>'CF DRIVERS'!Y23</f>
        <v/>
      </c>
      <c r="Z23" s="11">
        <f>'CF DRIVERS'!Z23</f>
        <v/>
      </c>
      <c r="AA23" s="11">
        <f>'CF DRIVERS'!AA23</f>
        <v/>
      </c>
      <c r="AB23" s="11">
        <f>'CF DRIVERS'!AB23</f>
        <v/>
      </c>
      <c r="AC23" s="11">
        <f>'CF DRIVERS'!AC23</f>
        <v/>
      </c>
      <c r="AD23" s="11">
        <f>'CF DRIVERS'!AD23</f>
        <v/>
      </c>
      <c r="AE23" s="11">
        <f>'CF DRIVERS'!AE23</f>
        <v/>
      </c>
      <c r="AF23" s="11">
        <f>'CF DRIVERS'!AF23</f>
        <v/>
      </c>
      <c r="AG23" s="11">
        <f>'CF DRIVERS'!AG23</f>
        <v/>
      </c>
      <c r="AH23" s="11">
        <f>'CF DRIVERS'!AH23</f>
        <v/>
      </c>
      <c r="AI23" s="11">
        <f>'CF DRIVERS'!AI23</f>
        <v/>
      </c>
      <c r="AJ23" s="11">
        <f>'CF DRIVERS'!AJ23</f>
        <v/>
      </c>
      <c r="AK23" s="11">
        <f>'CF DRIVERS'!AK23</f>
        <v/>
      </c>
      <c r="AL23" s="11">
        <f>'CF DRIVERS'!AL23</f>
        <v/>
      </c>
      <c r="AM23" s="11">
        <f>'CF DRIVERS'!AM23</f>
        <v/>
      </c>
      <c r="AN23" s="11">
        <f>'CF DRIVERS'!AN23</f>
        <v/>
      </c>
      <c r="AO23" s="11">
        <f>'CF DRIVERS'!AO23</f>
        <v/>
      </c>
    </row>
    <row r="24">
      <c r="A24" s="3" t="inlineStr">
        <is>
          <t>Other Current Liabilities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4">
        <f>'YTD CF'!N24</f>
        <v/>
      </c>
      <c r="S24" s="11">
        <f>'CF DRIVERS'!S24</f>
        <v/>
      </c>
      <c r="T24" s="11">
        <f>'CF DRIVERS'!T24</f>
        <v/>
      </c>
      <c r="U24" s="11">
        <f>'CF DRIVERS'!U24</f>
        <v/>
      </c>
      <c r="V24" s="11">
        <f>'CF DRIVERS'!V24</f>
        <v/>
      </c>
      <c r="W24" s="11">
        <f>'CF DRIVERS'!W24</f>
        <v/>
      </c>
      <c r="X24" s="11">
        <f>'CF DRIVERS'!X24</f>
        <v/>
      </c>
      <c r="Y24" s="11">
        <f>'CF DRIVERS'!Y24</f>
        <v/>
      </c>
      <c r="Z24" s="11">
        <f>'CF DRIVERS'!Z24</f>
        <v/>
      </c>
      <c r="AA24" s="11">
        <f>'CF DRIVERS'!AA24</f>
        <v/>
      </c>
      <c r="AB24" s="11">
        <f>'CF DRIVERS'!AB24</f>
        <v/>
      </c>
      <c r="AC24" s="11">
        <f>'CF DRIVERS'!AC24</f>
        <v/>
      </c>
      <c r="AD24" s="11">
        <f>'CF DRIVERS'!AD24</f>
        <v/>
      </c>
      <c r="AE24" s="11">
        <f>'CF DRIVERS'!AE24</f>
        <v/>
      </c>
      <c r="AF24" s="11">
        <f>'CF DRIVERS'!AF24</f>
        <v/>
      </c>
      <c r="AG24" s="11">
        <f>'CF DRIVERS'!AG24</f>
        <v/>
      </c>
      <c r="AH24" s="11">
        <f>'CF DRIVERS'!AH24</f>
        <v/>
      </c>
      <c r="AI24" s="11">
        <f>'CF DRIVERS'!AI24</f>
        <v/>
      </c>
      <c r="AJ24" s="11">
        <f>'CF DRIVERS'!AJ24</f>
        <v/>
      </c>
      <c r="AK24" s="11">
        <f>'CF DRIVERS'!AK24</f>
        <v/>
      </c>
      <c r="AL24" s="11">
        <f>'CF DRIVERS'!AL24</f>
        <v/>
      </c>
      <c r="AM24" s="11">
        <f>'CF DRIVERS'!AM24</f>
        <v/>
      </c>
      <c r="AN24" s="11">
        <f>'CF DRIVERS'!AN24</f>
        <v/>
      </c>
      <c r="AO24" s="11">
        <f>'CF DRIVERS'!AO24</f>
        <v/>
      </c>
    </row>
    <row r="25">
      <c r="A25" s="3" t="inlineStr">
        <is>
          <t>Other Operating Items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4">
        <f>'YTD CF'!N25</f>
        <v/>
      </c>
      <c r="S25" s="11">
        <f>'CF DRIVERS'!S25</f>
        <v/>
      </c>
      <c r="T25" s="11">
        <f>'CF DRIVERS'!T25</f>
        <v/>
      </c>
      <c r="U25" s="11">
        <f>'CF DRIVERS'!U25</f>
        <v/>
      </c>
      <c r="V25" s="11">
        <f>'CF DRIVERS'!V25</f>
        <v/>
      </c>
      <c r="W25" s="11">
        <f>'CF DRIVERS'!W25</f>
        <v/>
      </c>
      <c r="X25" s="11">
        <f>'CF DRIVERS'!X25</f>
        <v/>
      </c>
      <c r="Y25" s="11">
        <f>'CF DRIVERS'!Y25</f>
        <v/>
      </c>
      <c r="Z25" s="11">
        <f>'CF DRIVERS'!Z25</f>
        <v/>
      </c>
      <c r="AA25" s="11">
        <f>'CF DRIVERS'!AA25</f>
        <v/>
      </c>
      <c r="AB25" s="11">
        <f>'CF DRIVERS'!AB25</f>
        <v/>
      </c>
      <c r="AC25" s="11">
        <f>'CF DRIVERS'!AC25</f>
        <v/>
      </c>
      <c r="AD25" s="11">
        <f>'CF DRIVERS'!AD25</f>
        <v/>
      </c>
      <c r="AE25" s="11">
        <f>'CF DRIVERS'!AE25</f>
        <v/>
      </c>
      <c r="AF25" s="11">
        <f>'CF DRIVERS'!AF25</f>
        <v/>
      </c>
      <c r="AG25" s="11">
        <f>'CF DRIVERS'!AG25</f>
        <v/>
      </c>
      <c r="AH25" s="11">
        <f>'CF DRIVERS'!AH25</f>
        <v/>
      </c>
      <c r="AI25" s="11">
        <f>'CF DRIVERS'!AI25</f>
        <v/>
      </c>
      <c r="AJ25" s="11">
        <f>'CF DRIVERS'!AJ25</f>
        <v/>
      </c>
      <c r="AK25" s="11">
        <f>'CF DRIVERS'!AK25</f>
        <v/>
      </c>
      <c r="AL25" s="11">
        <f>'CF DRIVERS'!AL25</f>
        <v/>
      </c>
      <c r="AM25" s="11">
        <f>'CF DRIVERS'!AM25</f>
        <v/>
      </c>
      <c r="AN25" s="11">
        <f>'CF DRIVERS'!AN25</f>
        <v/>
      </c>
      <c r="AO25" s="11">
        <f>'CF DRIVERS'!AO25</f>
        <v/>
      </c>
    </row>
    <row r="26">
      <c r="A26" s="3" t="inlineStr">
        <is>
          <t>Cash Flow from Operations</t>
        </is>
      </c>
      <c r="B26" s="6">
        <f>'YTD CF'!B26</f>
        <v/>
      </c>
      <c r="C26" s="6">
        <f>'YTD CF'!C26-'YTD CF'!B26</f>
        <v/>
      </c>
      <c r="D26" s="6">
        <f>'YTD CF'!D26-'YTD CF'!C26</f>
        <v/>
      </c>
      <c r="E26" s="6">
        <f>'CASH FLOW'!C26-'YTD CF'!D26</f>
        <v/>
      </c>
      <c r="F26" s="6">
        <f>'YTD CF'!E26</f>
        <v/>
      </c>
      <c r="G26" s="6">
        <f>'YTD CF'!F26-'YTD CF'!E26</f>
        <v/>
      </c>
      <c r="H26" s="6">
        <f>'YTD CF'!G26-'YTD CF'!F26</f>
        <v/>
      </c>
      <c r="I26" s="6">
        <f>'CASH FLOW'!D26-'YTD CF'!G26</f>
        <v/>
      </c>
      <c r="J26" s="6">
        <f>'YTD CF'!H26</f>
        <v/>
      </c>
      <c r="K26" s="6">
        <f>'YTD CF'!I26-'YTD CF'!H26</f>
        <v/>
      </c>
      <c r="L26" s="6">
        <f>'YTD CF'!J26-'YTD CF'!I26</f>
        <v/>
      </c>
      <c r="M26" s="6">
        <f>'CASH FLOW'!E26-'YTD CF'!J26</f>
        <v/>
      </c>
      <c r="N26" s="6">
        <f>'YTD CF'!K26</f>
        <v/>
      </c>
      <c r="O26" s="6">
        <f>'YTD CF'!L26-'YTD CF'!K26</f>
        <v/>
      </c>
      <c r="P26" s="6">
        <f>'YTD CF'!M26-'YTD CF'!L26</f>
        <v/>
      </c>
      <c r="Q26" s="6">
        <f>'CASH FLOW'!F26-'YTD CF'!M26</f>
        <v/>
      </c>
      <c r="R26" s="6">
        <f>'YTD CF'!N26</f>
        <v/>
      </c>
      <c r="S26" s="7">
        <f>SUM(S2:S25)</f>
        <v/>
      </c>
      <c r="T26" s="7">
        <f>SUM(T2:T25)</f>
        <v/>
      </c>
      <c r="U26" s="7">
        <f>SUM(U2:U25)</f>
        <v/>
      </c>
      <c r="V26" s="7">
        <f>SUM(V2:V25)</f>
        <v/>
      </c>
      <c r="W26" s="7">
        <f>SUM(W2:W25)</f>
        <v/>
      </c>
      <c r="X26" s="7">
        <f>SUM(X2:X25)</f>
        <v/>
      </c>
      <c r="Y26" s="7">
        <f>SUM(Y2:Y25)</f>
        <v/>
      </c>
      <c r="Z26" s="7">
        <f>SUM(Z2:Z25)</f>
        <v/>
      </c>
      <c r="AA26" s="7">
        <f>SUM(AA2:AA25)</f>
        <v/>
      </c>
      <c r="AB26" s="7">
        <f>SUM(AB2:AB25)</f>
        <v/>
      </c>
      <c r="AC26" s="7">
        <f>SUM(AC2:AC25)</f>
        <v/>
      </c>
      <c r="AD26" s="7">
        <f>SUM(AD2:AD25)</f>
        <v/>
      </c>
      <c r="AE26" s="7">
        <f>SUM(AE2:AE25)</f>
        <v/>
      </c>
      <c r="AF26" s="7">
        <f>SUM(AF2:AF25)</f>
        <v/>
      </c>
      <c r="AG26" s="7">
        <f>SUM(AG2:AG25)</f>
        <v/>
      </c>
      <c r="AH26" s="7">
        <f>SUM(AH2:AH25)</f>
        <v/>
      </c>
      <c r="AI26" s="7">
        <f>SUM(AI2:AI25)</f>
        <v/>
      </c>
      <c r="AJ26" s="7">
        <f>SUM(AJ2:AJ25)</f>
        <v/>
      </c>
      <c r="AK26" s="7">
        <f>SUM(AK2:AK25)</f>
        <v/>
      </c>
      <c r="AL26" s="7">
        <f>SUM(AL2:AL25)</f>
        <v/>
      </c>
      <c r="AM26" s="7">
        <f>SUM(AM2:AM25)</f>
        <v/>
      </c>
      <c r="AN26" s="7">
        <f>SUM(AN2:AN25)</f>
        <v/>
      </c>
      <c r="AO26" s="7">
        <f>SUM(AO2:AO25)</f>
        <v/>
      </c>
    </row>
    <row r="27">
      <c r="A27" s="3" t="inlineStr">
        <is>
          <t>Purchase of PP&amp;E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4">
        <f>'YTD CF'!N27</f>
        <v/>
      </c>
      <c r="S27" s="11">
        <f>'QTR P&amp;L'!S2*'CF DRIVERS'!S26</f>
        <v/>
      </c>
      <c r="T27" s="11">
        <f>'QTR P&amp;L'!T2*'CF DRIVERS'!T26</f>
        <v/>
      </c>
      <c r="U27" s="11">
        <f>'QTR P&amp;L'!U2*'CF DRIVERS'!U26</f>
        <v/>
      </c>
      <c r="V27" s="11">
        <f>'QTR P&amp;L'!V2*'CF DRIVERS'!V26</f>
        <v/>
      </c>
      <c r="W27" s="11">
        <f>'QTR P&amp;L'!W2*'CF DRIVERS'!W26</f>
        <v/>
      </c>
      <c r="X27" s="11">
        <f>'QTR P&amp;L'!X2*'CF DRIVERS'!X26</f>
        <v/>
      </c>
      <c r="Y27" s="11">
        <f>'QTR P&amp;L'!Y2*'CF DRIVERS'!Y26</f>
        <v/>
      </c>
      <c r="Z27" s="11">
        <f>'QTR P&amp;L'!Z2*'CF DRIVERS'!Z26</f>
        <v/>
      </c>
      <c r="AA27" s="11">
        <f>'QTR P&amp;L'!AA2*'CF DRIVERS'!AA26</f>
        <v/>
      </c>
      <c r="AB27" s="11">
        <f>'QTR P&amp;L'!AB2*'CF DRIVERS'!AB26</f>
        <v/>
      </c>
      <c r="AC27" s="11">
        <f>'QTR P&amp;L'!AC2*'CF DRIVERS'!AC26</f>
        <v/>
      </c>
      <c r="AD27" s="11">
        <f>'QTR P&amp;L'!AD2*'CF DRIVERS'!AD26</f>
        <v/>
      </c>
      <c r="AE27" s="11">
        <f>'QTR P&amp;L'!AE2*'CF DRIVERS'!AE26</f>
        <v/>
      </c>
      <c r="AF27" s="11">
        <f>'QTR P&amp;L'!AF2*'CF DRIVERS'!AF26</f>
        <v/>
      </c>
      <c r="AG27" s="11">
        <f>'QTR P&amp;L'!AG2*'CF DRIVERS'!AG26</f>
        <v/>
      </c>
      <c r="AH27" s="11">
        <f>'QTR P&amp;L'!AH2*'CF DRIVERS'!AH26</f>
        <v/>
      </c>
      <c r="AI27" s="11">
        <f>'QTR P&amp;L'!AI2*'CF DRIVERS'!AI26</f>
        <v/>
      </c>
      <c r="AJ27" s="11">
        <f>'QTR P&amp;L'!AJ2*'CF DRIVERS'!AJ26</f>
        <v/>
      </c>
      <c r="AK27" s="11">
        <f>'QTR P&amp;L'!AK2*'CF DRIVERS'!AK26</f>
        <v/>
      </c>
      <c r="AL27" s="11">
        <f>'QTR P&amp;L'!AL2*'CF DRIVERS'!AL26</f>
        <v/>
      </c>
      <c r="AM27" s="11">
        <f>'QTR P&amp;L'!AM2*'CF DRIVERS'!AM26</f>
        <v/>
      </c>
      <c r="AN27" s="11">
        <f>'QTR P&amp;L'!AN2*'CF DRIVERS'!AN26</f>
        <v/>
      </c>
      <c r="AO27" s="11">
        <f>'QTR P&amp;L'!AO2*'CF DRIVERS'!AO26</f>
        <v/>
      </c>
    </row>
    <row r="28">
      <c r="A28" s="3" t="inlineStr">
        <is>
          <t>Proceeds from Sale of Assets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FLOW'!C28-'YTD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FLOW'!D28-'YTD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FLOW'!E28-'YTD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FLOW'!F28-'YTD CF'!M28</f>
        <v/>
      </c>
      <c r="R28" s="4">
        <f>'YTD CF'!N28</f>
        <v/>
      </c>
      <c r="S28" s="11">
        <f>'CF DRIVERS'!S27</f>
        <v/>
      </c>
      <c r="T28" s="11">
        <f>'CF DRIVERS'!T27</f>
        <v/>
      </c>
      <c r="U28" s="11">
        <f>'CF DRIVERS'!U27</f>
        <v/>
      </c>
      <c r="V28" s="11">
        <f>'CF DRIVERS'!V27</f>
        <v/>
      </c>
      <c r="W28" s="11">
        <f>'CF DRIVERS'!W27</f>
        <v/>
      </c>
      <c r="X28" s="11">
        <f>'CF DRIVERS'!X27</f>
        <v/>
      </c>
      <c r="Y28" s="11">
        <f>'CF DRIVERS'!Y27</f>
        <v/>
      </c>
      <c r="Z28" s="11">
        <f>'CF DRIVERS'!Z27</f>
        <v/>
      </c>
      <c r="AA28" s="11">
        <f>'CF DRIVERS'!AA27</f>
        <v/>
      </c>
      <c r="AB28" s="11">
        <f>'CF DRIVERS'!AB27</f>
        <v/>
      </c>
      <c r="AC28" s="11">
        <f>'CF DRIVERS'!AC27</f>
        <v/>
      </c>
      <c r="AD28" s="11">
        <f>'CF DRIVERS'!AD27</f>
        <v/>
      </c>
      <c r="AE28" s="11">
        <f>'CF DRIVERS'!AE27</f>
        <v/>
      </c>
      <c r="AF28" s="11">
        <f>'CF DRIVERS'!AF27</f>
        <v/>
      </c>
      <c r="AG28" s="11">
        <f>'CF DRIVERS'!AG27</f>
        <v/>
      </c>
      <c r="AH28" s="11">
        <f>'CF DRIVERS'!AH27</f>
        <v/>
      </c>
      <c r="AI28" s="11">
        <f>'CF DRIVERS'!AI27</f>
        <v/>
      </c>
      <c r="AJ28" s="11">
        <f>'CF DRIVERS'!AJ27</f>
        <v/>
      </c>
      <c r="AK28" s="11">
        <f>'CF DRIVERS'!AK27</f>
        <v/>
      </c>
      <c r="AL28" s="11">
        <f>'CF DRIVERS'!AL27</f>
        <v/>
      </c>
      <c r="AM28" s="11">
        <f>'CF DRIVERS'!AM27</f>
        <v/>
      </c>
      <c r="AN28" s="11">
        <f>'CF DRIVERS'!AN27</f>
        <v/>
      </c>
      <c r="AO28" s="11">
        <f>'CF DRIVERS'!AO27</f>
        <v/>
      </c>
    </row>
    <row r="29">
      <c r="A29" s="3" t="inlineStr">
        <is>
          <t>Acquisitions, Net of Cash Acquired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FLOW'!C29-'YTD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FLOW'!D29-'YTD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FLOW'!E29-'YTD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FLOW'!F29-'YTD CF'!M29</f>
        <v/>
      </c>
      <c r="R29" s="4">
        <f>'YTD CF'!N29</f>
        <v/>
      </c>
      <c r="S29" s="11">
        <f>'CF DRIVERS'!S28</f>
        <v/>
      </c>
      <c r="T29" s="11">
        <f>'CF DRIVERS'!T28</f>
        <v/>
      </c>
      <c r="U29" s="11">
        <f>'CF DRIVERS'!U28</f>
        <v/>
      </c>
      <c r="V29" s="11">
        <f>'CF DRIVERS'!V28</f>
        <v/>
      </c>
      <c r="W29" s="11">
        <f>'CF DRIVERS'!W28</f>
        <v/>
      </c>
      <c r="X29" s="11">
        <f>'CF DRIVERS'!X28</f>
        <v/>
      </c>
      <c r="Y29" s="11">
        <f>'CF DRIVERS'!Y28</f>
        <v/>
      </c>
      <c r="Z29" s="11">
        <f>'CF DRIVERS'!Z28</f>
        <v/>
      </c>
      <c r="AA29" s="11">
        <f>'CF DRIVERS'!AA28</f>
        <v/>
      </c>
      <c r="AB29" s="11">
        <f>'CF DRIVERS'!AB28</f>
        <v/>
      </c>
      <c r="AC29" s="11">
        <f>'CF DRIVERS'!AC28</f>
        <v/>
      </c>
      <c r="AD29" s="11">
        <f>'CF DRIVERS'!AD28</f>
        <v/>
      </c>
      <c r="AE29" s="11">
        <f>'CF DRIVERS'!AE28</f>
        <v/>
      </c>
      <c r="AF29" s="11">
        <f>'CF DRIVERS'!AF28</f>
        <v/>
      </c>
      <c r="AG29" s="11">
        <f>'CF DRIVERS'!AG28</f>
        <v/>
      </c>
      <c r="AH29" s="11">
        <f>'CF DRIVERS'!AH28</f>
        <v/>
      </c>
      <c r="AI29" s="11">
        <f>'CF DRIVERS'!AI28</f>
        <v/>
      </c>
      <c r="AJ29" s="11">
        <f>'CF DRIVERS'!AJ28</f>
        <v/>
      </c>
      <c r="AK29" s="11">
        <f>'CF DRIVERS'!AK28</f>
        <v/>
      </c>
      <c r="AL29" s="11">
        <f>'CF DRIVERS'!AL28</f>
        <v/>
      </c>
      <c r="AM29" s="11">
        <f>'CF DRIVERS'!AM28</f>
        <v/>
      </c>
      <c r="AN29" s="11">
        <f>'CF DRIVERS'!AN28</f>
        <v/>
      </c>
      <c r="AO29" s="11">
        <f>'CF DRIVERS'!AO28</f>
        <v/>
      </c>
    </row>
    <row r="30">
      <c r="A30" s="3" t="inlineStr">
        <is>
          <t>Proceeds from Juice Transaction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FLOW'!C30-'YTD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FLOW'!D30-'YTD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FLOW'!E30-'YTD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FLOW'!F30-'YTD CF'!M30</f>
        <v/>
      </c>
      <c r="R30" s="4">
        <f>'YTD CF'!N30</f>
        <v/>
      </c>
      <c r="S30" s="11">
        <f>'CF DRIVERS'!S29</f>
        <v/>
      </c>
      <c r="T30" s="11">
        <f>'CF DRIVERS'!T29</f>
        <v/>
      </c>
      <c r="U30" s="11">
        <f>'CF DRIVERS'!U29</f>
        <v/>
      </c>
      <c r="V30" s="11">
        <f>'CF DRIVERS'!V29</f>
        <v/>
      </c>
      <c r="W30" s="11">
        <f>'CF DRIVERS'!W29</f>
        <v/>
      </c>
      <c r="X30" s="11">
        <f>'CF DRIVERS'!X29</f>
        <v/>
      </c>
      <c r="Y30" s="11">
        <f>'CF DRIVERS'!Y29</f>
        <v/>
      </c>
      <c r="Z30" s="11">
        <f>'CF DRIVERS'!Z29</f>
        <v/>
      </c>
      <c r="AA30" s="11">
        <f>'CF DRIVERS'!AA29</f>
        <v/>
      </c>
      <c r="AB30" s="11">
        <f>'CF DRIVERS'!AB29</f>
        <v/>
      </c>
      <c r="AC30" s="11">
        <f>'CF DRIVERS'!AC29</f>
        <v/>
      </c>
      <c r="AD30" s="11">
        <f>'CF DRIVERS'!AD29</f>
        <v/>
      </c>
      <c r="AE30" s="11">
        <f>'CF DRIVERS'!AE29</f>
        <v/>
      </c>
      <c r="AF30" s="11">
        <f>'CF DRIVERS'!AF29</f>
        <v/>
      </c>
      <c r="AG30" s="11">
        <f>'CF DRIVERS'!AG29</f>
        <v/>
      </c>
      <c r="AH30" s="11">
        <f>'CF DRIVERS'!AH29</f>
        <v/>
      </c>
      <c r="AI30" s="11">
        <f>'CF DRIVERS'!AI29</f>
        <v/>
      </c>
      <c r="AJ30" s="11">
        <f>'CF DRIVERS'!AJ29</f>
        <v/>
      </c>
      <c r="AK30" s="11">
        <f>'CF DRIVERS'!AK29</f>
        <v/>
      </c>
      <c r="AL30" s="11">
        <f>'CF DRIVERS'!AL29</f>
        <v/>
      </c>
      <c r="AM30" s="11">
        <f>'CF DRIVERS'!AM29</f>
        <v/>
      </c>
      <c r="AN30" s="11">
        <f>'CF DRIVERS'!AN29</f>
        <v/>
      </c>
      <c r="AO30" s="11">
        <f>'CF DRIVERS'!AO29</f>
        <v/>
      </c>
    </row>
    <row r="31">
      <c r="A31" s="3" t="inlineStr">
        <is>
          <t>Proceeds from Divestitures of Businesses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FLOW'!C31-'YTD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FLOW'!D31-'YTD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FLOW'!E31-'YTD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FLOW'!F31-'YTD CF'!M31</f>
        <v/>
      </c>
      <c r="R31" s="4">
        <f>'YTD CF'!N31</f>
        <v/>
      </c>
      <c r="S31" s="11">
        <f>'CF DRIVERS'!S30</f>
        <v/>
      </c>
      <c r="T31" s="11">
        <f>'CF DRIVERS'!T30</f>
        <v/>
      </c>
      <c r="U31" s="11">
        <f>'CF DRIVERS'!U30</f>
        <v/>
      </c>
      <c r="V31" s="11">
        <f>'CF DRIVERS'!V30</f>
        <v/>
      </c>
      <c r="W31" s="11">
        <f>'CF DRIVERS'!W30</f>
        <v/>
      </c>
      <c r="X31" s="11">
        <f>'CF DRIVERS'!X30</f>
        <v/>
      </c>
      <c r="Y31" s="11">
        <f>'CF DRIVERS'!Y30</f>
        <v/>
      </c>
      <c r="Z31" s="11">
        <f>'CF DRIVERS'!Z30</f>
        <v/>
      </c>
      <c r="AA31" s="11">
        <f>'CF DRIVERS'!AA30</f>
        <v/>
      </c>
      <c r="AB31" s="11">
        <f>'CF DRIVERS'!AB30</f>
        <v/>
      </c>
      <c r="AC31" s="11">
        <f>'CF DRIVERS'!AC30</f>
        <v/>
      </c>
      <c r="AD31" s="11">
        <f>'CF DRIVERS'!AD30</f>
        <v/>
      </c>
      <c r="AE31" s="11">
        <f>'CF DRIVERS'!AE30</f>
        <v/>
      </c>
      <c r="AF31" s="11">
        <f>'CF DRIVERS'!AF30</f>
        <v/>
      </c>
      <c r="AG31" s="11">
        <f>'CF DRIVERS'!AG30</f>
        <v/>
      </c>
      <c r="AH31" s="11">
        <f>'CF DRIVERS'!AH30</f>
        <v/>
      </c>
      <c r="AI31" s="11">
        <f>'CF DRIVERS'!AI30</f>
        <v/>
      </c>
      <c r="AJ31" s="11">
        <f>'CF DRIVERS'!AJ30</f>
        <v/>
      </c>
      <c r="AK31" s="11">
        <f>'CF DRIVERS'!AK30</f>
        <v/>
      </c>
      <c r="AL31" s="11">
        <f>'CF DRIVERS'!AL30</f>
        <v/>
      </c>
      <c r="AM31" s="11">
        <f>'CF DRIVERS'!AM30</f>
        <v/>
      </c>
      <c r="AN31" s="11">
        <f>'CF DRIVERS'!AN30</f>
        <v/>
      </c>
      <c r="AO31" s="11">
        <f>'CF DRIVERS'!AO30</f>
        <v/>
      </c>
    </row>
    <row r="32">
      <c r="A32" s="3" t="inlineStr">
        <is>
          <t>Net Change in Short-Term Investments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FLOW'!C32-'YTD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FLOW'!D32-'YTD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FLOW'!E32-'YTD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FLOW'!F32-'YTD CF'!M32</f>
        <v/>
      </c>
      <c r="R32" s="4">
        <f>'YTD CF'!N32</f>
        <v/>
      </c>
      <c r="S32" s="11">
        <f>'CF DRIVERS'!S31</f>
        <v/>
      </c>
      <c r="T32" s="11">
        <f>'CF DRIVERS'!T31</f>
        <v/>
      </c>
      <c r="U32" s="11">
        <f>'CF DRIVERS'!U31</f>
        <v/>
      </c>
      <c r="V32" s="11">
        <f>'CF DRIVERS'!V31</f>
        <v/>
      </c>
      <c r="W32" s="11">
        <f>'CF DRIVERS'!W31</f>
        <v/>
      </c>
      <c r="X32" s="11">
        <f>'CF DRIVERS'!X31</f>
        <v/>
      </c>
      <c r="Y32" s="11">
        <f>'CF DRIVERS'!Y31</f>
        <v/>
      </c>
      <c r="Z32" s="11">
        <f>'CF DRIVERS'!Z31</f>
        <v/>
      </c>
      <c r="AA32" s="11">
        <f>'CF DRIVERS'!AA31</f>
        <v/>
      </c>
      <c r="AB32" s="11">
        <f>'CF DRIVERS'!AB31</f>
        <v/>
      </c>
      <c r="AC32" s="11">
        <f>'CF DRIVERS'!AC31</f>
        <v/>
      </c>
      <c r="AD32" s="11">
        <f>'CF DRIVERS'!AD31</f>
        <v/>
      </c>
      <c r="AE32" s="11">
        <f>'CF DRIVERS'!AE31</f>
        <v/>
      </c>
      <c r="AF32" s="11">
        <f>'CF DRIVERS'!AF31</f>
        <v/>
      </c>
      <c r="AG32" s="11">
        <f>'CF DRIVERS'!AG31</f>
        <v/>
      </c>
      <c r="AH32" s="11">
        <f>'CF DRIVERS'!AH31</f>
        <v/>
      </c>
      <c r="AI32" s="11">
        <f>'CF DRIVERS'!AI31</f>
        <v/>
      </c>
      <c r="AJ32" s="11">
        <f>'CF DRIVERS'!AJ31</f>
        <v/>
      </c>
      <c r="AK32" s="11">
        <f>'CF DRIVERS'!AK31</f>
        <v/>
      </c>
      <c r="AL32" s="11">
        <f>'CF DRIVERS'!AL31</f>
        <v/>
      </c>
      <c r="AM32" s="11">
        <f>'CF DRIVERS'!AM31</f>
        <v/>
      </c>
      <c r="AN32" s="11">
        <f>'CF DRIVERS'!AN31</f>
        <v/>
      </c>
      <c r="AO32" s="11">
        <f>'CF DRIVERS'!AO31</f>
        <v/>
      </c>
    </row>
    <row r="33">
      <c r="A33" s="3" t="inlineStr">
        <is>
          <t>Other Investing Activities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FLOW'!C33-'YTD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FLOW'!D33-'YTD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FLOW'!E33-'YTD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FLOW'!F33-'YTD CF'!M33</f>
        <v/>
      </c>
      <c r="R33" s="4">
        <f>'YTD CF'!N33</f>
        <v/>
      </c>
      <c r="S33" s="11">
        <f>'CF DRIVERS'!S32</f>
        <v/>
      </c>
      <c r="T33" s="11">
        <f>'CF DRIVERS'!T32</f>
        <v/>
      </c>
      <c r="U33" s="11">
        <f>'CF DRIVERS'!U32</f>
        <v/>
      </c>
      <c r="V33" s="11">
        <f>'CF DRIVERS'!V32</f>
        <v/>
      </c>
      <c r="W33" s="11">
        <f>'CF DRIVERS'!W32</f>
        <v/>
      </c>
      <c r="X33" s="11">
        <f>'CF DRIVERS'!X32</f>
        <v/>
      </c>
      <c r="Y33" s="11">
        <f>'CF DRIVERS'!Y32</f>
        <v/>
      </c>
      <c r="Z33" s="11">
        <f>'CF DRIVERS'!Z32</f>
        <v/>
      </c>
      <c r="AA33" s="11">
        <f>'CF DRIVERS'!AA32</f>
        <v/>
      </c>
      <c r="AB33" s="11">
        <f>'CF DRIVERS'!AB32</f>
        <v/>
      </c>
      <c r="AC33" s="11">
        <f>'CF DRIVERS'!AC32</f>
        <v/>
      </c>
      <c r="AD33" s="11">
        <f>'CF DRIVERS'!AD32</f>
        <v/>
      </c>
      <c r="AE33" s="11">
        <f>'CF DRIVERS'!AE32</f>
        <v/>
      </c>
      <c r="AF33" s="11">
        <f>'CF DRIVERS'!AF32</f>
        <v/>
      </c>
      <c r="AG33" s="11">
        <f>'CF DRIVERS'!AG32</f>
        <v/>
      </c>
      <c r="AH33" s="11">
        <f>'CF DRIVERS'!AH32</f>
        <v/>
      </c>
      <c r="AI33" s="11">
        <f>'CF DRIVERS'!AI32</f>
        <v/>
      </c>
      <c r="AJ33" s="11">
        <f>'CF DRIVERS'!AJ32</f>
        <v/>
      </c>
      <c r="AK33" s="11">
        <f>'CF DRIVERS'!AK32</f>
        <v/>
      </c>
      <c r="AL33" s="11">
        <f>'CF DRIVERS'!AL32</f>
        <v/>
      </c>
      <c r="AM33" s="11">
        <f>'CF DRIVERS'!AM32</f>
        <v/>
      </c>
      <c r="AN33" s="11">
        <f>'CF DRIVERS'!AN32</f>
        <v/>
      </c>
      <c r="AO33" s="11">
        <f>'CF DRIVERS'!AO32</f>
        <v/>
      </c>
    </row>
    <row r="34">
      <c r="A34" s="3" t="inlineStr">
        <is>
          <t>Cash Flow from Investing</t>
        </is>
      </c>
      <c r="B34" s="6">
        <f>'YTD CF'!B34</f>
        <v/>
      </c>
      <c r="C34" s="6">
        <f>'YTD CF'!C34-'YTD CF'!B34</f>
        <v/>
      </c>
      <c r="D34" s="6">
        <f>'YTD CF'!D34-'YTD CF'!C34</f>
        <v/>
      </c>
      <c r="E34" s="6">
        <f>'CASH FLOW'!C34-'YTD CF'!D34</f>
        <v/>
      </c>
      <c r="F34" s="6">
        <f>'YTD CF'!E34</f>
        <v/>
      </c>
      <c r="G34" s="6">
        <f>'YTD CF'!F34-'YTD CF'!E34</f>
        <v/>
      </c>
      <c r="H34" s="6">
        <f>'YTD CF'!G34-'YTD CF'!F34</f>
        <v/>
      </c>
      <c r="I34" s="6">
        <f>'CASH FLOW'!D34-'YTD CF'!G34</f>
        <v/>
      </c>
      <c r="J34" s="6">
        <f>'YTD CF'!H34</f>
        <v/>
      </c>
      <c r="K34" s="6">
        <f>'YTD CF'!I34-'YTD CF'!H34</f>
        <v/>
      </c>
      <c r="L34" s="6">
        <f>'YTD CF'!J34-'YTD CF'!I34</f>
        <v/>
      </c>
      <c r="M34" s="6">
        <f>'CASH FLOW'!E34-'YTD CF'!J34</f>
        <v/>
      </c>
      <c r="N34" s="6">
        <f>'YTD CF'!K34</f>
        <v/>
      </c>
      <c r="O34" s="6">
        <f>'YTD CF'!L34-'YTD CF'!K34</f>
        <v/>
      </c>
      <c r="P34" s="6">
        <f>'YTD CF'!M34-'YTD CF'!L34</f>
        <v/>
      </c>
      <c r="Q34" s="6">
        <f>'CASH FLOW'!F34-'YTD CF'!M34</f>
        <v/>
      </c>
      <c r="R34" s="6">
        <f>'YTD CF'!N34</f>
        <v/>
      </c>
      <c r="S34" s="7">
        <f>SUM(S27:S33)</f>
        <v/>
      </c>
      <c r="T34" s="7">
        <f>SUM(T27:T33)</f>
        <v/>
      </c>
      <c r="U34" s="7">
        <f>SUM(U27:U33)</f>
        <v/>
      </c>
      <c r="V34" s="7">
        <f>SUM(V27:V33)</f>
        <v/>
      </c>
      <c r="W34" s="7">
        <f>SUM(W27:W33)</f>
        <v/>
      </c>
      <c r="X34" s="7">
        <f>SUM(X27:X33)</f>
        <v/>
      </c>
      <c r="Y34" s="7">
        <f>SUM(Y27:Y33)</f>
        <v/>
      </c>
      <c r="Z34" s="7">
        <f>SUM(Z27:Z33)</f>
        <v/>
      </c>
      <c r="AA34" s="7">
        <f>SUM(AA27:AA33)</f>
        <v/>
      </c>
      <c r="AB34" s="7">
        <f>SUM(AB27:AB33)</f>
        <v/>
      </c>
      <c r="AC34" s="7">
        <f>SUM(AC27:AC33)</f>
        <v/>
      </c>
      <c r="AD34" s="7">
        <f>SUM(AD27:AD33)</f>
        <v/>
      </c>
      <c r="AE34" s="7">
        <f>SUM(AE27:AE33)</f>
        <v/>
      </c>
      <c r="AF34" s="7">
        <f>SUM(AF27:AF33)</f>
        <v/>
      </c>
      <c r="AG34" s="7">
        <f>SUM(AG27:AG33)</f>
        <v/>
      </c>
      <c r="AH34" s="7">
        <f>SUM(AH27:AH33)</f>
        <v/>
      </c>
      <c r="AI34" s="7">
        <f>SUM(AI27:AI33)</f>
        <v/>
      </c>
      <c r="AJ34" s="7">
        <f>SUM(AJ27:AJ33)</f>
        <v/>
      </c>
      <c r="AK34" s="7">
        <f>SUM(AK27:AK33)</f>
        <v/>
      </c>
      <c r="AL34" s="7">
        <f>SUM(AL27:AL33)</f>
        <v/>
      </c>
      <c r="AM34" s="7">
        <f>SUM(AM27:AM33)</f>
        <v/>
      </c>
      <c r="AN34" s="7">
        <f>SUM(AN27:AN33)</f>
        <v/>
      </c>
      <c r="AO34" s="7">
        <f>SUM(AO27:AO33)</f>
        <v/>
      </c>
    </row>
    <row r="35">
      <c r="A35" s="3" t="inlineStr">
        <is>
          <t>Proceeds from Issuance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FLOW'!C35-'YTD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FLOW'!D35-'YTD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FLOW'!E35-'YTD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FLOW'!F35-'YTD CF'!M35</f>
        <v/>
      </c>
      <c r="R35" s="4">
        <f>'YTD CF'!N35</f>
        <v/>
      </c>
      <c r="S35" s="11">
        <f>'CF DRIVERS'!S33</f>
        <v/>
      </c>
      <c r="T35" s="11">
        <f>'CF DRIVERS'!T33</f>
        <v/>
      </c>
      <c r="U35" s="11">
        <f>'CF DRIVERS'!U33</f>
        <v/>
      </c>
      <c r="V35" s="11">
        <f>'CF DRIVERS'!V33</f>
        <v/>
      </c>
      <c r="W35" s="11">
        <f>'CF DRIVERS'!W33</f>
        <v/>
      </c>
      <c r="X35" s="11">
        <f>'CF DRIVERS'!X33</f>
        <v/>
      </c>
      <c r="Y35" s="11">
        <f>'CF DRIVERS'!Y33</f>
        <v/>
      </c>
      <c r="Z35" s="11">
        <f>'CF DRIVERS'!Z33</f>
        <v/>
      </c>
      <c r="AA35" s="11">
        <f>'CF DRIVERS'!AA33</f>
        <v/>
      </c>
      <c r="AB35" s="11">
        <f>'CF DRIVERS'!AB33</f>
        <v/>
      </c>
      <c r="AC35" s="11">
        <f>'CF DRIVERS'!AC33</f>
        <v/>
      </c>
      <c r="AD35" s="11">
        <f>'CF DRIVERS'!AD33</f>
        <v/>
      </c>
      <c r="AE35" s="11">
        <f>'CF DRIVERS'!AE33</f>
        <v/>
      </c>
      <c r="AF35" s="11">
        <f>'CF DRIVERS'!AF33</f>
        <v/>
      </c>
      <c r="AG35" s="11">
        <f>'CF DRIVERS'!AG33</f>
        <v/>
      </c>
      <c r="AH35" s="11">
        <f>'CF DRIVERS'!AH33</f>
        <v/>
      </c>
      <c r="AI35" s="11">
        <f>'CF DRIVERS'!AI33</f>
        <v/>
      </c>
      <c r="AJ35" s="11">
        <f>'CF DRIVERS'!AJ33</f>
        <v/>
      </c>
      <c r="AK35" s="11">
        <f>'CF DRIVERS'!AK33</f>
        <v/>
      </c>
      <c r="AL35" s="11">
        <f>'CF DRIVERS'!AL33</f>
        <v/>
      </c>
      <c r="AM35" s="11">
        <f>'CF DRIVERS'!AM33</f>
        <v/>
      </c>
      <c r="AN35" s="11">
        <f>'CF DRIVERS'!AN33</f>
        <v/>
      </c>
      <c r="AO35" s="11">
        <f>'CF DRIVERS'!AO33</f>
        <v/>
      </c>
    </row>
    <row r="36">
      <c r="A36" s="3" t="inlineStr">
        <is>
          <t>Repayments of Long-Term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FLOW'!C36-'YTD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FLOW'!D36-'YTD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FLOW'!E36-'YTD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FLOW'!F36-'YTD CF'!M36</f>
        <v/>
      </c>
      <c r="R36" s="4">
        <f>'YTD CF'!N36</f>
        <v/>
      </c>
      <c r="S36" s="11">
        <f>'CF DRIVERS'!S34</f>
        <v/>
      </c>
      <c r="T36" s="11">
        <f>'CF DRIVERS'!T34</f>
        <v/>
      </c>
      <c r="U36" s="11">
        <f>'CF DRIVERS'!U34</f>
        <v/>
      </c>
      <c r="V36" s="11">
        <f>'CF DRIVERS'!V34</f>
        <v/>
      </c>
      <c r="W36" s="11">
        <f>'CF DRIVERS'!W34</f>
        <v/>
      </c>
      <c r="X36" s="11">
        <f>'CF DRIVERS'!X34</f>
        <v/>
      </c>
      <c r="Y36" s="11">
        <f>'CF DRIVERS'!Y34</f>
        <v/>
      </c>
      <c r="Z36" s="11">
        <f>'CF DRIVERS'!Z34</f>
        <v/>
      </c>
      <c r="AA36" s="11">
        <f>'CF DRIVERS'!AA34</f>
        <v/>
      </c>
      <c r="AB36" s="11">
        <f>'CF DRIVERS'!AB34</f>
        <v/>
      </c>
      <c r="AC36" s="11">
        <f>'CF DRIVERS'!AC34</f>
        <v/>
      </c>
      <c r="AD36" s="11">
        <f>'CF DRIVERS'!AD34</f>
        <v/>
      </c>
      <c r="AE36" s="11">
        <f>'CF DRIVERS'!AE34</f>
        <v/>
      </c>
      <c r="AF36" s="11">
        <f>'CF DRIVERS'!AF34</f>
        <v/>
      </c>
      <c r="AG36" s="11">
        <f>'CF DRIVERS'!AG34</f>
        <v/>
      </c>
      <c r="AH36" s="11">
        <f>'CF DRIVERS'!AH34</f>
        <v/>
      </c>
      <c r="AI36" s="11">
        <f>'CF DRIVERS'!AI34</f>
        <v/>
      </c>
      <c r="AJ36" s="11">
        <f>'CF DRIVERS'!AJ34</f>
        <v/>
      </c>
      <c r="AK36" s="11">
        <f>'CF DRIVERS'!AK34</f>
        <v/>
      </c>
      <c r="AL36" s="11">
        <f>'CF DRIVERS'!AL34</f>
        <v/>
      </c>
      <c r="AM36" s="11">
        <f>'CF DRIVERS'!AM34</f>
        <v/>
      </c>
      <c r="AN36" s="11">
        <f>'CF DRIVERS'!AN34</f>
        <v/>
      </c>
      <c r="AO36" s="11">
        <f>'CF DRIVERS'!AO34</f>
        <v/>
      </c>
    </row>
    <row r="37">
      <c r="A37" s="3" t="inlineStr">
        <is>
          <t>Proceeds from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FLOW'!C37-'YTD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FLOW'!D37-'YTD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FLOW'!E37-'YTD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FLOW'!F37-'YTD CF'!M37</f>
        <v/>
      </c>
      <c r="R37" s="4">
        <f>'YTD CF'!N37</f>
        <v/>
      </c>
      <c r="S37" s="11">
        <f>'CF DRIVERS'!S35</f>
        <v/>
      </c>
      <c r="T37" s="11">
        <f>'CF DRIVERS'!T35</f>
        <v/>
      </c>
      <c r="U37" s="11">
        <f>'CF DRIVERS'!U35</f>
        <v/>
      </c>
      <c r="V37" s="11">
        <f>'CF DRIVERS'!V35</f>
        <v/>
      </c>
      <c r="W37" s="11">
        <f>'CF DRIVERS'!W35</f>
        <v/>
      </c>
      <c r="X37" s="11">
        <f>'CF DRIVERS'!X35</f>
        <v/>
      </c>
      <c r="Y37" s="11">
        <f>'CF DRIVERS'!Y35</f>
        <v/>
      </c>
      <c r="Z37" s="11">
        <f>'CF DRIVERS'!Z35</f>
        <v/>
      </c>
      <c r="AA37" s="11">
        <f>'CF DRIVERS'!AA35</f>
        <v/>
      </c>
      <c r="AB37" s="11">
        <f>'CF DRIVERS'!AB35</f>
        <v/>
      </c>
      <c r="AC37" s="11">
        <f>'CF DRIVERS'!AC35</f>
        <v/>
      </c>
      <c r="AD37" s="11">
        <f>'CF DRIVERS'!AD35</f>
        <v/>
      </c>
      <c r="AE37" s="11">
        <f>'CF DRIVERS'!AE35</f>
        <v/>
      </c>
      <c r="AF37" s="11">
        <f>'CF DRIVERS'!AF35</f>
        <v/>
      </c>
      <c r="AG37" s="11">
        <f>'CF DRIVERS'!AG35</f>
        <v/>
      </c>
      <c r="AH37" s="11">
        <f>'CF DRIVERS'!AH35</f>
        <v/>
      </c>
      <c r="AI37" s="11">
        <f>'CF DRIVERS'!AI35</f>
        <v/>
      </c>
      <c r="AJ37" s="11">
        <f>'CF DRIVERS'!AJ35</f>
        <v/>
      </c>
      <c r="AK37" s="11">
        <f>'CF DRIVERS'!AK35</f>
        <v/>
      </c>
      <c r="AL37" s="11">
        <f>'CF DRIVERS'!AL35</f>
        <v/>
      </c>
      <c r="AM37" s="11">
        <f>'CF DRIVERS'!AM35</f>
        <v/>
      </c>
      <c r="AN37" s="11">
        <f>'CF DRIVERS'!AN35</f>
        <v/>
      </c>
      <c r="AO37" s="11">
        <f>'CF DRIVERS'!AO35</f>
        <v/>
      </c>
    </row>
    <row r="38">
      <c r="A38" s="3" t="inlineStr">
        <is>
          <t>Repayments of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FLOW'!C38-'YTD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FLOW'!D38-'YTD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FLOW'!E38-'YTD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FLOW'!F38-'YTD CF'!M38</f>
        <v/>
      </c>
      <c r="R38" s="4">
        <f>'YTD CF'!N38</f>
        <v/>
      </c>
      <c r="S38" s="11">
        <f>'CF DRIVERS'!S36</f>
        <v/>
      </c>
      <c r="T38" s="11">
        <f>'CF DRIVERS'!T36</f>
        <v/>
      </c>
      <c r="U38" s="11">
        <f>'CF DRIVERS'!U36</f>
        <v/>
      </c>
      <c r="V38" s="11">
        <f>'CF DRIVERS'!V36</f>
        <v/>
      </c>
      <c r="W38" s="11">
        <f>'CF DRIVERS'!W36</f>
        <v/>
      </c>
      <c r="X38" s="11">
        <f>'CF DRIVERS'!X36</f>
        <v/>
      </c>
      <c r="Y38" s="11">
        <f>'CF DRIVERS'!Y36</f>
        <v/>
      </c>
      <c r="Z38" s="11">
        <f>'CF DRIVERS'!Z36</f>
        <v/>
      </c>
      <c r="AA38" s="11">
        <f>'CF DRIVERS'!AA36</f>
        <v/>
      </c>
      <c r="AB38" s="11">
        <f>'CF DRIVERS'!AB36</f>
        <v/>
      </c>
      <c r="AC38" s="11">
        <f>'CF DRIVERS'!AC36</f>
        <v/>
      </c>
      <c r="AD38" s="11">
        <f>'CF DRIVERS'!AD36</f>
        <v/>
      </c>
      <c r="AE38" s="11">
        <f>'CF DRIVERS'!AE36</f>
        <v/>
      </c>
      <c r="AF38" s="11">
        <f>'CF DRIVERS'!AF36</f>
        <v/>
      </c>
      <c r="AG38" s="11">
        <f>'CF DRIVERS'!AG36</f>
        <v/>
      </c>
      <c r="AH38" s="11">
        <f>'CF DRIVERS'!AH36</f>
        <v/>
      </c>
      <c r="AI38" s="11">
        <f>'CF DRIVERS'!AI36</f>
        <v/>
      </c>
      <c r="AJ38" s="11">
        <f>'CF DRIVERS'!AJ36</f>
        <v/>
      </c>
      <c r="AK38" s="11">
        <f>'CF DRIVERS'!AK36</f>
        <v/>
      </c>
      <c r="AL38" s="11">
        <f>'CF DRIVERS'!AL36</f>
        <v/>
      </c>
      <c r="AM38" s="11">
        <f>'CF DRIVERS'!AM36</f>
        <v/>
      </c>
      <c r="AN38" s="11">
        <f>'CF DRIVERS'!AN36</f>
        <v/>
      </c>
      <c r="AO38" s="11">
        <f>'CF DRIVERS'!AO36</f>
        <v/>
      </c>
    </row>
    <row r="39">
      <c r="A39" s="3" t="inlineStr">
        <is>
          <t>Net Change in Other Short-Term Debt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FLOW'!C39-'YTD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FLOW'!D39-'YTD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FLOW'!E39-'YTD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FLOW'!F39-'YTD CF'!M39</f>
        <v/>
      </c>
      <c r="R39" s="4">
        <f>'YTD CF'!N39</f>
        <v/>
      </c>
      <c r="S39" s="11">
        <f>'CF DRIVERS'!S37</f>
        <v/>
      </c>
      <c r="T39" s="11">
        <f>'CF DRIVERS'!T37</f>
        <v/>
      </c>
      <c r="U39" s="11">
        <f>'CF DRIVERS'!U37</f>
        <v/>
      </c>
      <c r="V39" s="11">
        <f>'CF DRIVERS'!V37</f>
        <v/>
      </c>
      <c r="W39" s="11">
        <f>'CF DRIVERS'!W37</f>
        <v/>
      </c>
      <c r="X39" s="11">
        <f>'CF DRIVERS'!X37</f>
        <v/>
      </c>
      <c r="Y39" s="11">
        <f>'CF DRIVERS'!Y37</f>
        <v/>
      </c>
      <c r="Z39" s="11">
        <f>'CF DRIVERS'!Z37</f>
        <v/>
      </c>
      <c r="AA39" s="11">
        <f>'CF DRIVERS'!AA37</f>
        <v/>
      </c>
      <c r="AB39" s="11">
        <f>'CF DRIVERS'!AB37</f>
        <v/>
      </c>
      <c r="AC39" s="11">
        <f>'CF DRIVERS'!AC37</f>
        <v/>
      </c>
      <c r="AD39" s="11">
        <f>'CF DRIVERS'!AD37</f>
        <v/>
      </c>
      <c r="AE39" s="11">
        <f>'CF DRIVERS'!AE37</f>
        <v/>
      </c>
      <c r="AF39" s="11">
        <f>'CF DRIVERS'!AF37</f>
        <v/>
      </c>
      <c r="AG39" s="11">
        <f>'CF DRIVERS'!AG37</f>
        <v/>
      </c>
      <c r="AH39" s="11">
        <f>'CF DRIVERS'!AH37</f>
        <v/>
      </c>
      <c r="AI39" s="11">
        <f>'CF DRIVERS'!AI37</f>
        <v/>
      </c>
      <c r="AJ39" s="11">
        <f>'CF DRIVERS'!AJ37</f>
        <v/>
      </c>
      <c r="AK39" s="11">
        <f>'CF DRIVERS'!AK37</f>
        <v/>
      </c>
      <c r="AL39" s="11">
        <f>'CF DRIVERS'!AL37</f>
        <v/>
      </c>
      <c r="AM39" s="11">
        <f>'CF DRIVERS'!AM37</f>
        <v/>
      </c>
      <c r="AN39" s="11">
        <f>'CF DRIVERS'!AN37</f>
        <v/>
      </c>
      <c r="AO39" s="11">
        <f>'CF DRIVERS'!AO37</f>
        <v/>
      </c>
    </row>
    <row r="40">
      <c r="A40" s="3" t="inlineStr">
        <is>
          <t>Payments of Contingent Consideration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FLOW'!C40-'YTD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FLOW'!D40-'YTD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FLOW'!E40-'YTD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FLOW'!F40-'YTD CF'!M40</f>
        <v/>
      </c>
      <c r="R40" s="4">
        <f>'YTD CF'!N40</f>
        <v/>
      </c>
      <c r="S40" s="11">
        <f>'CF DRIVERS'!S38</f>
        <v/>
      </c>
      <c r="T40" s="11">
        <f>'CF DRIVERS'!T38</f>
        <v/>
      </c>
      <c r="U40" s="11">
        <f>'CF DRIVERS'!U38</f>
        <v/>
      </c>
      <c r="V40" s="11">
        <f>'CF DRIVERS'!V38</f>
        <v/>
      </c>
      <c r="W40" s="11">
        <f>'CF DRIVERS'!W38</f>
        <v/>
      </c>
      <c r="X40" s="11">
        <f>'CF DRIVERS'!X38</f>
        <v/>
      </c>
      <c r="Y40" s="11">
        <f>'CF DRIVERS'!Y38</f>
        <v/>
      </c>
      <c r="Z40" s="11">
        <f>'CF DRIVERS'!Z38</f>
        <v/>
      </c>
      <c r="AA40" s="11">
        <f>'CF DRIVERS'!AA38</f>
        <v/>
      </c>
      <c r="AB40" s="11">
        <f>'CF DRIVERS'!AB38</f>
        <v/>
      </c>
      <c r="AC40" s="11">
        <f>'CF DRIVERS'!AC38</f>
        <v/>
      </c>
      <c r="AD40" s="11">
        <f>'CF DRIVERS'!AD38</f>
        <v/>
      </c>
      <c r="AE40" s="11">
        <f>'CF DRIVERS'!AE38</f>
        <v/>
      </c>
      <c r="AF40" s="11">
        <f>'CF DRIVERS'!AF38</f>
        <v/>
      </c>
      <c r="AG40" s="11">
        <f>'CF DRIVERS'!AG38</f>
        <v/>
      </c>
      <c r="AH40" s="11">
        <f>'CF DRIVERS'!AH38</f>
        <v/>
      </c>
      <c r="AI40" s="11">
        <f>'CF DRIVERS'!AI38</f>
        <v/>
      </c>
      <c r="AJ40" s="11">
        <f>'CF DRIVERS'!AJ38</f>
        <v/>
      </c>
      <c r="AK40" s="11">
        <f>'CF DRIVERS'!AK38</f>
        <v/>
      </c>
      <c r="AL40" s="11">
        <f>'CF DRIVERS'!AL38</f>
        <v/>
      </c>
      <c r="AM40" s="11">
        <f>'CF DRIVERS'!AM38</f>
        <v/>
      </c>
      <c r="AN40" s="11">
        <f>'CF DRIVERS'!AN38</f>
        <v/>
      </c>
      <c r="AO40" s="11">
        <f>'CF DRIVERS'!AO38</f>
        <v/>
      </c>
    </row>
    <row r="41">
      <c r="A41" s="3" t="inlineStr">
        <is>
          <t>Common Dividends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FLOW'!C41-'YTD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FLOW'!D41-'YTD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FLOW'!E41-'YTD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FLOW'!F41-'YTD CF'!M41</f>
        <v/>
      </c>
      <c r="R41" s="4">
        <f>'YTD CF'!N41</f>
        <v/>
      </c>
      <c r="S41" s="11">
        <f>'QTR P&amp;L'!S13*'CF DRIVERS'!S39</f>
        <v/>
      </c>
      <c r="T41" s="11">
        <f>'QTR P&amp;L'!T13*'CF DRIVERS'!T39</f>
        <v/>
      </c>
      <c r="U41" s="11">
        <f>'QTR P&amp;L'!U13*'CF DRIVERS'!U39</f>
        <v/>
      </c>
      <c r="V41" s="11">
        <f>'QTR P&amp;L'!V13*'CF DRIVERS'!V39</f>
        <v/>
      </c>
      <c r="W41" s="11">
        <f>'QTR P&amp;L'!W13*'CF DRIVERS'!W39</f>
        <v/>
      </c>
      <c r="X41" s="11">
        <f>'QTR P&amp;L'!X13*'CF DRIVERS'!X39</f>
        <v/>
      </c>
      <c r="Y41" s="11">
        <f>'QTR P&amp;L'!Y13*'CF DRIVERS'!Y39</f>
        <v/>
      </c>
      <c r="Z41" s="11">
        <f>'QTR P&amp;L'!Z13*'CF DRIVERS'!Z39</f>
        <v/>
      </c>
      <c r="AA41" s="11">
        <f>'QTR P&amp;L'!AA13*'CF DRIVERS'!AA39</f>
        <v/>
      </c>
      <c r="AB41" s="11">
        <f>'QTR P&amp;L'!AB13*'CF DRIVERS'!AB39</f>
        <v/>
      </c>
      <c r="AC41" s="11">
        <f>'QTR P&amp;L'!AC13*'CF DRIVERS'!AC39</f>
        <v/>
      </c>
      <c r="AD41" s="11">
        <f>'QTR P&amp;L'!AD13*'CF DRIVERS'!AD39</f>
        <v/>
      </c>
      <c r="AE41" s="11">
        <f>'QTR P&amp;L'!AE13*'CF DRIVERS'!AE39</f>
        <v/>
      </c>
      <c r="AF41" s="11">
        <f>'QTR P&amp;L'!AF13*'CF DRIVERS'!AF39</f>
        <v/>
      </c>
      <c r="AG41" s="11">
        <f>'QTR P&amp;L'!AG13*'CF DRIVERS'!AG39</f>
        <v/>
      </c>
      <c r="AH41" s="11">
        <f>'QTR P&amp;L'!AH13*'CF DRIVERS'!AH39</f>
        <v/>
      </c>
      <c r="AI41" s="11">
        <f>'QTR P&amp;L'!AI13*'CF DRIVERS'!AI39</f>
        <v/>
      </c>
      <c r="AJ41" s="11">
        <f>'QTR P&amp;L'!AJ13*'CF DRIVERS'!AJ39</f>
        <v/>
      </c>
      <c r="AK41" s="11">
        <f>'QTR P&amp;L'!AK13*'CF DRIVERS'!AK39</f>
        <v/>
      </c>
      <c r="AL41" s="11">
        <f>'QTR P&amp;L'!AL13*'CF DRIVERS'!AL39</f>
        <v/>
      </c>
      <c r="AM41" s="11">
        <f>'QTR P&amp;L'!AM13*'CF DRIVERS'!AM39</f>
        <v/>
      </c>
      <c r="AN41" s="11">
        <f>'QTR P&amp;L'!AN13*'CF DRIVERS'!AN39</f>
        <v/>
      </c>
      <c r="AO41" s="11">
        <f>'QTR P&amp;L'!AO13*'CF DRIVERS'!AO39</f>
        <v/>
      </c>
    </row>
    <row r="42">
      <c r="A42" s="3" t="inlineStr">
        <is>
          <t>Share Repurchases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FLOW'!C42-'YTD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FLOW'!D42-'YTD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FLOW'!E42-'YTD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FLOW'!F42-'YTD CF'!M42</f>
        <v/>
      </c>
      <c r="R42" s="4">
        <f>'YTD CF'!N42</f>
        <v/>
      </c>
      <c r="S42" s="11">
        <f>'CF DRIVERS'!S40</f>
        <v/>
      </c>
      <c r="T42" s="11">
        <f>'CF DRIVERS'!T40</f>
        <v/>
      </c>
      <c r="U42" s="11">
        <f>'CF DRIVERS'!U40</f>
        <v/>
      </c>
      <c r="V42" s="11">
        <f>'CF DRIVERS'!V40</f>
        <v/>
      </c>
      <c r="W42" s="11">
        <f>'CF DRIVERS'!W40</f>
        <v/>
      </c>
      <c r="X42" s="11">
        <f>'CF DRIVERS'!X40</f>
        <v/>
      </c>
      <c r="Y42" s="11">
        <f>'CF DRIVERS'!Y40</f>
        <v/>
      </c>
      <c r="Z42" s="11">
        <f>'CF DRIVERS'!Z40</f>
        <v/>
      </c>
      <c r="AA42" s="11">
        <f>'CF DRIVERS'!AA40</f>
        <v/>
      </c>
      <c r="AB42" s="11">
        <f>'CF DRIVERS'!AB40</f>
        <v/>
      </c>
      <c r="AC42" s="11">
        <f>'CF DRIVERS'!AC40</f>
        <v/>
      </c>
      <c r="AD42" s="11">
        <f>'CF DRIVERS'!AD40</f>
        <v/>
      </c>
      <c r="AE42" s="11">
        <f>'CF DRIVERS'!AE40</f>
        <v/>
      </c>
      <c r="AF42" s="11">
        <f>'CF DRIVERS'!AF40</f>
        <v/>
      </c>
      <c r="AG42" s="11">
        <f>'CF DRIVERS'!AG40</f>
        <v/>
      </c>
      <c r="AH42" s="11">
        <f>'CF DRIVERS'!AH40</f>
        <v/>
      </c>
      <c r="AI42" s="11">
        <f>'CF DRIVERS'!AI40</f>
        <v/>
      </c>
      <c r="AJ42" s="11">
        <f>'CF DRIVERS'!AJ40</f>
        <v/>
      </c>
      <c r="AK42" s="11">
        <f>'CF DRIVERS'!AK40</f>
        <v/>
      </c>
      <c r="AL42" s="11">
        <f>'CF DRIVERS'!AL40</f>
        <v/>
      </c>
      <c r="AM42" s="11">
        <f>'CF DRIVERS'!AM40</f>
        <v/>
      </c>
      <c r="AN42" s="11">
        <f>'CF DRIVERS'!AN40</f>
        <v/>
      </c>
      <c r="AO42" s="11">
        <f>'CF DRIVERS'!AO40</f>
        <v/>
      </c>
    </row>
    <row r="43">
      <c r="A43" s="3" t="inlineStr">
        <is>
          <t>Proceeds from Exercise of Stock Options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FLOW'!C43-'YTD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FLOW'!D43-'YTD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FLOW'!E43-'YTD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FLOW'!F43-'YTD CF'!M43</f>
        <v/>
      </c>
      <c r="R43" s="4">
        <f>'YTD CF'!N43</f>
        <v/>
      </c>
      <c r="S43" s="11">
        <f>'CF DRIVERS'!S41</f>
        <v/>
      </c>
      <c r="T43" s="11">
        <f>'CF DRIVERS'!T41</f>
        <v/>
      </c>
      <c r="U43" s="11">
        <f>'CF DRIVERS'!U41</f>
        <v/>
      </c>
      <c r="V43" s="11">
        <f>'CF DRIVERS'!V41</f>
        <v/>
      </c>
      <c r="W43" s="11">
        <f>'CF DRIVERS'!W41</f>
        <v/>
      </c>
      <c r="X43" s="11">
        <f>'CF DRIVERS'!X41</f>
        <v/>
      </c>
      <c r="Y43" s="11">
        <f>'CF DRIVERS'!Y41</f>
        <v/>
      </c>
      <c r="Z43" s="11">
        <f>'CF DRIVERS'!Z41</f>
        <v/>
      </c>
      <c r="AA43" s="11">
        <f>'CF DRIVERS'!AA41</f>
        <v/>
      </c>
      <c r="AB43" s="11">
        <f>'CF DRIVERS'!AB41</f>
        <v/>
      </c>
      <c r="AC43" s="11">
        <f>'CF DRIVERS'!AC41</f>
        <v/>
      </c>
      <c r="AD43" s="11">
        <f>'CF DRIVERS'!AD41</f>
        <v/>
      </c>
      <c r="AE43" s="11">
        <f>'CF DRIVERS'!AE41</f>
        <v/>
      </c>
      <c r="AF43" s="11">
        <f>'CF DRIVERS'!AF41</f>
        <v/>
      </c>
      <c r="AG43" s="11">
        <f>'CF DRIVERS'!AG41</f>
        <v/>
      </c>
      <c r="AH43" s="11">
        <f>'CF DRIVERS'!AH41</f>
        <v/>
      </c>
      <c r="AI43" s="11">
        <f>'CF DRIVERS'!AI41</f>
        <v/>
      </c>
      <c r="AJ43" s="11">
        <f>'CF DRIVERS'!AJ41</f>
        <v/>
      </c>
      <c r="AK43" s="11">
        <f>'CF DRIVERS'!AK41</f>
        <v/>
      </c>
      <c r="AL43" s="11">
        <f>'CF DRIVERS'!AL41</f>
        <v/>
      </c>
      <c r="AM43" s="11">
        <f>'CF DRIVERS'!AM41</f>
        <v/>
      </c>
      <c r="AN43" s="11">
        <f>'CF DRIVERS'!AN41</f>
        <v/>
      </c>
      <c r="AO43" s="11">
        <f>'CF DRIVERS'!AO41</f>
        <v/>
      </c>
    </row>
    <row r="44">
      <c r="A44" s="3" t="inlineStr">
        <is>
          <t>Tax Withholdings on RSU/PSU Settlement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FLOW'!C44-'YTD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FLOW'!D44-'YTD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FLOW'!E44-'YTD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FLOW'!F44-'YTD CF'!M44</f>
        <v/>
      </c>
      <c r="R44" s="4">
        <f>'YTD CF'!N44</f>
        <v/>
      </c>
      <c r="S44" s="11">
        <f>'CF DRIVERS'!S42</f>
        <v/>
      </c>
      <c r="T44" s="11">
        <f>'CF DRIVERS'!T42</f>
        <v/>
      </c>
      <c r="U44" s="11">
        <f>'CF DRIVERS'!U42</f>
        <v/>
      </c>
      <c r="V44" s="11">
        <f>'CF DRIVERS'!V42</f>
        <v/>
      </c>
      <c r="W44" s="11">
        <f>'CF DRIVERS'!W42</f>
        <v/>
      </c>
      <c r="X44" s="11">
        <f>'CF DRIVERS'!X42</f>
        <v/>
      </c>
      <c r="Y44" s="11">
        <f>'CF DRIVERS'!Y42</f>
        <v/>
      </c>
      <c r="Z44" s="11">
        <f>'CF DRIVERS'!Z42</f>
        <v/>
      </c>
      <c r="AA44" s="11">
        <f>'CF DRIVERS'!AA42</f>
        <v/>
      </c>
      <c r="AB44" s="11">
        <f>'CF DRIVERS'!AB42</f>
        <v/>
      </c>
      <c r="AC44" s="11">
        <f>'CF DRIVERS'!AC42</f>
        <v/>
      </c>
      <c r="AD44" s="11">
        <f>'CF DRIVERS'!AD42</f>
        <v/>
      </c>
      <c r="AE44" s="11">
        <f>'CF DRIVERS'!AE42</f>
        <v/>
      </c>
      <c r="AF44" s="11">
        <f>'CF DRIVERS'!AF42</f>
        <v/>
      </c>
      <c r="AG44" s="11">
        <f>'CF DRIVERS'!AG42</f>
        <v/>
      </c>
      <c r="AH44" s="11">
        <f>'CF DRIVERS'!AH42</f>
        <v/>
      </c>
      <c r="AI44" s="11">
        <f>'CF DRIVERS'!AI42</f>
        <v/>
      </c>
      <c r="AJ44" s="11">
        <f>'CF DRIVERS'!AJ42</f>
        <v/>
      </c>
      <c r="AK44" s="11">
        <f>'CF DRIVERS'!AK42</f>
        <v/>
      </c>
      <c r="AL44" s="11">
        <f>'CF DRIVERS'!AL42</f>
        <v/>
      </c>
      <c r="AM44" s="11">
        <f>'CF DRIVERS'!AM42</f>
        <v/>
      </c>
      <c r="AN44" s="11">
        <f>'CF DRIVERS'!AN42</f>
        <v/>
      </c>
      <c r="AO44" s="11">
        <f>'CF DRIVERS'!AO42</f>
        <v/>
      </c>
    </row>
    <row r="45">
      <c r="A45" s="3" t="inlineStr">
        <is>
          <t>Other Financing Activities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FLOW'!C45-'YTD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FLOW'!D45-'YTD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FLOW'!E45-'YTD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FLOW'!F45-'YTD CF'!M45</f>
        <v/>
      </c>
      <c r="R45" s="4">
        <f>'YTD CF'!N45</f>
        <v/>
      </c>
      <c r="S45" s="11">
        <f>'CF DRIVERS'!S43</f>
        <v/>
      </c>
      <c r="T45" s="11">
        <f>'CF DRIVERS'!T43</f>
        <v/>
      </c>
      <c r="U45" s="11">
        <f>'CF DRIVERS'!U43</f>
        <v/>
      </c>
      <c r="V45" s="11">
        <f>'CF DRIVERS'!V43</f>
        <v/>
      </c>
      <c r="W45" s="11">
        <f>'CF DRIVERS'!W43</f>
        <v/>
      </c>
      <c r="X45" s="11">
        <f>'CF DRIVERS'!X43</f>
        <v/>
      </c>
      <c r="Y45" s="11">
        <f>'CF DRIVERS'!Y43</f>
        <v/>
      </c>
      <c r="Z45" s="11">
        <f>'CF DRIVERS'!Z43</f>
        <v/>
      </c>
      <c r="AA45" s="11">
        <f>'CF DRIVERS'!AA43</f>
        <v/>
      </c>
      <c r="AB45" s="11">
        <f>'CF DRIVERS'!AB43</f>
        <v/>
      </c>
      <c r="AC45" s="11">
        <f>'CF DRIVERS'!AC43</f>
        <v/>
      </c>
      <c r="AD45" s="11">
        <f>'CF DRIVERS'!AD43</f>
        <v/>
      </c>
      <c r="AE45" s="11">
        <f>'CF DRIVERS'!AE43</f>
        <v/>
      </c>
      <c r="AF45" s="11">
        <f>'CF DRIVERS'!AF43</f>
        <v/>
      </c>
      <c r="AG45" s="11">
        <f>'CF DRIVERS'!AG43</f>
        <v/>
      </c>
      <c r="AH45" s="11">
        <f>'CF DRIVERS'!AH43</f>
        <v/>
      </c>
      <c r="AI45" s="11">
        <f>'CF DRIVERS'!AI43</f>
        <v/>
      </c>
      <c r="AJ45" s="11">
        <f>'CF DRIVERS'!AJ43</f>
        <v/>
      </c>
      <c r="AK45" s="11">
        <f>'CF DRIVERS'!AK43</f>
        <v/>
      </c>
      <c r="AL45" s="11">
        <f>'CF DRIVERS'!AL43</f>
        <v/>
      </c>
      <c r="AM45" s="11">
        <f>'CF DRIVERS'!AM43</f>
        <v/>
      </c>
      <c r="AN45" s="11">
        <f>'CF DRIVERS'!AN43</f>
        <v/>
      </c>
      <c r="AO45" s="11">
        <f>'CF DRIVERS'!AO43</f>
        <v/>
      </c>
    </row>
    <row r="46">
      <c r="A46" s="3" t="inlineStr">
        <is>
          <t>Cash Flow from Financing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FLOW'!C46-'YTD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FLOW'!D46-'YTD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FLOW'!E46-'YTD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FLOW'!F46-'YTD CF'!M46</f>
        <v/>
      </c>
      <c r="R46" s="6">
        <f>'YTD CF'!N46</f>
        <v/>
      </c>
      <c r="S46" s="7">
        <f>SUM(S35:S45)</f>
        <v/>
      </c>
      <c r="T46" s="7">
        <f>SUM(T35:T45)</f>
        <v/>
      </c>
      <c r="U46" s="7">
        <f>SUM(U35:U45)</f>
        <v/>
      </c>
      <c r="V46" s="7">
        <f>SUM(V35:V45)</f>
        <v/>
      </c>
      <c r="W46" s="7">
        <f>SUM(W35:W45)</f>
        <v/>
      </c>
      <c r="X46" s="7">
        <f>SUM(X35:X45)</f>
        <v/>
      </c>
      <c r="Y46" s="7">
        <f>SUM(Y35:Y45)</f>
        <v/>
      </c>
      <c r="Z46" s="7">
        <f>SUM(Z35:Z45)</f>
        <v/>
      </c>
      <c r="AA46" s="7">
        <f>SUM(AA35:AA45)</f>
        <v/>
      </c>
      <c r="AB46" s="7">
        <f>SUM(AB35:AB45)</f>
        <v/>
      </c>
      <c r="AC46" s="7">
        <f>SUM(AC35:AC45)</f>
        <v/>
      </c>
      <c r="AD46" s="7">
        <f>SUM(AD35:AD45)</f>
        <v/>
      </c>
      <c r="AE46" s="7">
        <f>SUM(AE35:AE45)</f>
        <v/>
      </c>
      <c r="AF46" s="7">
        <f>SUM(AF35:AF45)</f>
        <v/>
      </c>
      <c r="AG46" s="7">
        <f>SUM(AG35:AG45)</f>
        <v/>
      </c>
      <c r="AH46" s="7">
        <f>SUM(AH35:AH45)</f>
        <v/>
      </c>
      <c r="AI46" s="7">
        <f>SUM(AI35:AI45)</f>
        <v/>
      </c>
      <c r="AJ46" s="7">
        <f>SUM(AJ35:AJ45)</f>
        <v/>
      </c>
      <c r="AK46" s="7">
        <f>SUM(AK35:AK45)</f>
        <v/>
      </c>
      <c r="AL46" s="7">
        <f>SUM(AL35:AL45)</f>
        <v/>
      </c>
      <c r="AM46" s="7">
        <f>SUM(AM35:AM45)</f>
        <v/>
      </c>
      <c r="AN46" s="7">
        <f>SUM(AN35:AN45)</f>
        <v/>
      </c>
      <c r="AO46" s="7">
        <f>SUM(AO35:AO45)</f>
        <v/>
      </c>
    </row>
    <row r="47">
      <c r="A47" s="3" t="inlineStr">
        <is>
          <t>FX Effect on Cash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FLOW'!C47-'YTD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FLOW'!D47-'YTD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FLOW'!E47-'YTD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FLOW'!F47-'YTD CF'!M47</f>
        <v/>
      </c>
      <c r="R47" s="4">
        <f>'YTD CF'!N47</f>
        <v/>
      </c>
      <c r="S47" s="11">
        <f>'CF DRIVERS'!S44</f>
        <v/>
      </c>
      <c r="T47" s="11">
        <f>'CF DRIVERS'!T44</f>
        <v/>
      </c>
      <c r="U47" s="11">
        <f>'CF DRIVERS'!U44</f>
        <v/>
      </c>
      <c r="V47" s="11">
        <f>'CF DRIVERS'!V44</f>
        <v/>
      </c>
      <c r="W47" s="11">
        <f>'CF DRIVERS'!W44</f>
        <v/>
      </c>
      <c r="X47" s="11">
        <f>'CF DRIVERS'!X44</f>
        <v/>
      </c>
      <c r="Y47" s="11">
        <f>'CF DRIVERS'!Y44</f>
        <v/>
      </c>
      <c r="Z47" s="11">
        <f>'CF DRIVERS'!Z44</f>
        <v/>
      </c>
      <c r="AA47" s="11">
        <f>'CF DRIVERS'!AA44</f>
        <v/>
      </c>
      <c r="AB47" s="11">
        <f>'CF DRIVERS'!AB44</f>
        <v/>
      </c>
      <c r="AC47" s="11">
        <f>'CF DRIVERS'!AC44</f>
        <v/>
      </c>
      <c r="AD47" s="11">
        <f>'CF DRIVERS'!AD44</f>
        <v/>
      </c>
      <c r="AE47" s="11">
        <f>'CF DRIVERS'!AE44</f>
        <v/>
      </c>
      <c r="AF47" s="11">
        <f>'CF DRIVERS'!AF44</f>
        <v/>
      </c>
      <c r="AG47" s="11">
        <f>'CF DRIVERS'!AG44</f>
        <v/>
      </c>
      <c r="AH47" s="11">
        <f>'CF DRIVERS'!AH44</f>
        <v/>
      </c>
      <c r="AI47" s="11">
        <f>'CF DRIVERS'!AI44</f>
        <v/>
      </c>
      <c r="AJ47" s="11">
        <f>'CF DRIVERS'!AJ44</f>
        <v/>
      </c>
      <c r="AK47" s="11">
        <f>'CF DRIVERS'!AK44</f>
        <v/>
      </c>
      <c r="AL47" s="11">
        <f>'CF DRIVERS'!AL44</f>
        <v/>
      </c>
      <c r="AM47" s="11">
        <f>'CF DRIVERS'!AM44</f>
        <v/>
      </c>
      <c r="AN47" s="11">
        <f>'CF DRIVERS'!AN44</f>
        <v/>
      </c>
      <c r="AO47" s="11">
        <f>'CF DRIVERS'!AO44</f>
        <v/>
      </c>
    </row>
    <row r="48">
      <c r="A48" s="3" t="inlineStr">
        <is>
          <t>Net Change in Cash</t>
        </is>
      </c>
      <c r="B48" s="6">
        <f>'YTD CF'!B48</f>
        <v/>
      </c>
      <c r="C48" s="6">
        <f>'YTD CF'!C48-'YTD CF'!B48</f>
        <v/>
      </c>
      <c r="D48" s="6">
        <f>'YTD CF'!D48-'YTD CF'!C48</f>
        <v/>
      </c>
      <c r="E48" s="6">
        <f>'CASH FLOW'!C48-'YTD CF'!D48</f>
        <v/>
      </c>
      <c r="F48" s="6">
        <f>'YTD CF'!E48</f>
        <v/>
      </c>
      <c r="G48" s="6">
        <f>'YTD CF'!F48-'YTD CF'!E48</f>
        <v/>
      </c>
      <c r="H48" s="6">
        <f>'YTD CF'!G48-'YTD CF'!F48</f>
        <v/>
      </c>
      <c r="I48" s="6">
        <f>'CASH FLOW'!D48-'YTD CF'!G48</f>
        <v/>
      </c>
      <c r="J48" s="6">
        <f>'YTD CF'!H48</f>
        <v/>
      </c>
      <c r="K48" s="6">
        <f>'YTD CF'!I48-'YTD CF'!H48</f>
        <v/>
      </c>
      <c r="L48" s="6">
        <f>'YTD CF'!J48-'YTD CF'!I48</f>
        <v/>
      </c>
      <c r="M48" s="6">
        <f>'CASH FLOW'!E48-'YTD CF'!J48</f>
        <v/>
      </c>
      <c r="N48" s="6">
        <f>'YTD CF'!K48</f>
        <v/>
      </c>
      <c r="O48" s="6">
        <f>'YTD CF'!L48-'YTD CF'!K48</f>
        <v/>
      </c>
      <c r="P48" s="6">
        <f>'YTD CF'!M48-'YTD CF'!L48</f>
        <v/>
      </c>
      <c r="Q48" s="6">
        <f>'CASH FLOW'!F48-'YTD CF'!M48</f>
        <v/>
      </c>
      <c r="R48" s="6">
        <f>'YTD CF'!N48</f>
        <v/>
      </c>
      <c r="S48" s="7">
        <f>S26+S34+S46+S47</f>
        <v/>
      </c>
      <c r="T48" s="7">
        <f>T26+T34+T46+T47</f>
        <v/>
      </c>
      <c r="U48" s="7">
        <f>U26+U34+U46+U47</f>
        <v/>
      </c>
      <c r="V48" s="7">
        <f>V26+V34+V46+V47</f>
        <v/>
      </c>
      <c r="W48" s="7">
        <f>W26+W34+W46+W47</f>
        <v/>
      </c>
      <c r="X48" s="7">
        <f>X26+X34+X46+X47</f>
        <v/>
      </c>
      <c r="Y48" s="7">
        <f>Y26+Y34+Y46+Y47</f>
        <v/>
      </c>
      <c r="Z48" s="7">
        <f>Z26+Z34+Z46+Z47</f>
        <v/>
      </c>
      <c r="AA48" s="7">
        <f>AA26+AA34+AA46+AA47</f>
        <v/>
      </c>
      <c r="AB48" s="7">
        <f>AB26+AB34+AB46+AB47</f>
        <v/>
      </c>
      <c r="AC48" s="7">
        <f>AC26+AC34+AC46+AC47</f>
        <v/>
      </c>
      <c r="AD48" s="7">
        <f>AD26+AD34+AD46+AD47</f>
        <v/>
      </c>
      <c r="AE48" s="7">
        <f>AE26+AE34+AE46+AE47</f>
        <v/>
      </c>
      <c r="AF48" s="7">
        <f>AF26+AF34+AF46+AF47</f>
        <v/>
      </c>
      <c r="AG48" s="7">
        <f>AG26+AG34+AG46+AG47</f>
        <v/>
      </c>
      <c r="AH48" s="7">
        <f>AH26+AH34+AH46+AH47</f>
        <v/>
      </c>
      <c r="AI48" s="7">
        <f>AI26+AI34+AI46+AI47</f>
        <v/>
      </c>
      <c r="AJ48" s="7">
        <f>AJ26+AJ34+AJ46+AJ47</f>
        <v/>
      </c>
      <c r="AK48" s="7">
        <f>AK26+AK34+AK46+AK47</f>
        <v/>
      </c>
      <c r="AL48" s="7">
        <f>AL26+AL34+AL46+AL47</f>
        <v/>
      </c>
      <c r="AM48" s="7">
        <f>AM26+AM34+AM46+AM47</f>
        <v/>
      </c>
      <c r="AN48" s="7">
        <f>AN26+AN34+AN46+AN47</f>
        <v/>
      </c>
      <c r="AO48" s="7">
        <f>AO26+AO34+AO46+AO47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Driver</t>
        </is>
      </c>
      <c r="B1" s="2" t="inlineStr">
        <is>
          <t>Basis</t>
        </is>
      </c>
      <c r="C1" s="2" t="inlineStr">
        <is>
          <t>Q1 FY2022</t>
        </is>
      </c>
      <c r="D1" s="2" t="inlineStr">
        <is>
          <t>Q2 FY2022</t>
        </is>
      </c>
      <c r="E1" s="2" t="inlineStr">
        <is>
          <t>Q3 FY2022</t>
        </is>
      </c>
      <c r="F1" s="2" t="inlineStr">
        <is>
          <t>Q4 FY2022</t>
        </is>
      </c>
      <c r="G1" s="2" t="inlineStr">
        <is>
          <t>Q1 FY2023</t>
        </is>
      </c>
      <c r="H1" s="2" t="inlineStr">
        <is>
          <t>Q2 FY2023</t>
        </is>
      </c>
      <c r="I1" s="2" t="inlineStr">
        <is>
          <t>Q3 FY2023</t>
        </is>
      </c>
      <c r="J1" s="2" t="inlineStr">
        <is>
          <t>Q4 FY2023</t>
        </is>
      </c>
      <c r="K1" s="2" t="inlineStr">
        <is>
          <t>Q1 FY2024</t>
        </is>
      </c>
      <c r="L1" s="2" t="inlineStr">
        <is>
          <t>Q2 FY2024</t>
        </is>
      </c>
      <c r="M1" s="2" t="inlineStr">
        <is>
          <t>Q3 FY2024</t>
        </is>
      </c>
      <c r="N1" s="2" t="inlineStr">
        <is>
          <t>Q4 FY2024</t>
        </is>
      </c>
      <c r="O1" s="2" t="inlineStr">
        <is>
          <t>Q1 FY2025</t>
        </is>
      </c>
      <c r="P1" s="2" t="inlineStr">
        <is>
          <t>Q2 FY2025</t>
        </is>
      </c>
      <c r="Q1" s="2" t="inlineStr">
        <is>
          <t>Q3 FY2025</t>
        </is>
      </c>
      <c r="R1" s="2" t="inlineStr">
        <is>
          <t>Q4 FY2025</t>
        </is>
      </c>
      <c r="S1" s="2" t="inlineStr">
        <is>
          <t>Q1 FY2026</t>
        </is>
      </c>
      <c r="T1" s="2" t="inlineStr">
        <is>
          <t>Q2 FY2026E</t>
        </is>
      </c>
      <c r="U1" s="2" t="inlineStr">
        <is>
          <t>Q3 FY2026E</t>
        </is>
      </c>
      <c r="V1" s="2" t="inlineStr">
        <is>
          <t>Q4 FY2026E</t>
        </is>
      </c>
      <c r="W1" s="2" t="inlineStr">
        <is>
          <t>Q1 FY2027E</t>
        </is>
      </c>
      <c r="X1" s="2" t="inlineStr">
        <is>
          <t>Q2 FY2027E</t>
        </is>
      </c>
      <c r="Y1" s="2" t="inlineStr">
        <is>
          <t>Q3 FY2027E</t>
        </is>
      </c>
      <c r="Z1" s="2" t="inlineStr">
        <is>
          <t>Q4 FY2027E</t>
        </is>
      </c>
      <c r="AA1" s="2" t="inlineStr">
        <is>
          <t>Q1 FY2028E</t>
        </is>
      </c>
      <c r="AB1" s="2" t="inlineStr">
        <is>
          <t>Q2 FY2028E</t>
        </is>
      </c>
      <c r="AC1" s="2" t="inlineStr">
        <is>
          <t>Q3 FY2028E</t>
        </is>
      </c>
      <c r="AD1" s="2" t="inlineStr">
        <is>
          <t>Q4 FY2028E</t>
        </is>
      </c>
      <c r="AE1" s="2" t="inlineStr">
        <is>
          <t>Q1 FY2029E</t>
        </is>
      </c>
      <c r="AF1" s="2" t="inlineStr">
        <is>
          <t>Q2 FY2029E</t>
        </is>
      </c>
      <c r="AG1" s="2" t="inlineStr">
        <is>
          <t>Q3 FY2029E</t>
        </is>
      </c>
      <c r="AH1" s="2" t="inlineStr">
        <is>
          <t>Q4 FY2029E</t>
        </is>
      </c>
      <c r="AI1" s="2" t="inlineStr">
        <is>
          <t>Q1 FY2030E</t>
        </is>
      </c>
      <c r="AJ1" s="2" t="inlineStr">
        <is>
          <t>Q2 FY2030E</t>
        </is>
      </c>
      <c r="AK1" s="2" t="inlineStr">
        <is>
          <t>Q3 FY2030E</t>
        </is>
      </c>
      <c r="AL1" s="2" t="inlineStr">
        <is>
          <t>Q4 FY2030E</t>
        </is>
      </c>
      <c r="AM1" s="2" t="inlineStr">
        <is>
          <t>Q1 FY2031E</t>
        </is>
      </c>
      <c r="AN1" s="2" t="inlineStr">
        <is>
          <t>Q2 FY2031E</t>
        </is>
      </c>
      <c r="AO1" s="2" t="inlineStr">
        <is>
          <t>Q3 FY2031E</t>
        </is>
      </c>
      <c r="AP1" s="2" t="inlineStr">
        <is>
          <t>Q4 FY2031E</t>
        </is>
      </c>
    </row>
    <row r="2">
      <c r="A2" s="3" t="inlineStr">
        <is>
          <t>Net Sales / Revenue — Growth %</t>
        </is>
      </c>
      <c r="B2" s="12" t="inlineStr">
        <is>
          <t>YoY</t>
        </is>
      </c>
      <c r="D2" s="13">
        <f>IFERROR('QTR P&amp;L'!C2/'QTR P&amp;L'!B2-1,"")</f>
        <v/>
      </c>
      <c r="E2" s="13">
        <f>IFERROR('QTR P&amp;L'!D2/'QTR P&amp;L'!C2-1,"")</f>
        <v/>
      </c>
      <c r="F2" s="13">
        <f>IFERROR('QTR P&amp;L'!E2/'QTR P&amp;L'!D2-1,"")</f>
        <v/>
      </c>
      <c r="G2" s="13">
        <f>IFERROR('QTR P&amp;L'!F2/IF($B2="QoQ",'QTR P&amp;L'!E2,'QTR P&amp;L'!B2)-1,"")</f>
        <v/>
      </c>
      <c r="H2" s="13">
        <f>IFERROR('QTR P&amp;L'!G2/IF($B2="QoQ",'QTR P&amp;L'!F2,'QTR P&amp;L'!C2)-1,"")</f>
        <v/>
      </c>
      <c r="I2" s="13">
        <f>IFERROR('QTR P&amp;L'!H2/IF($B2="QoQ",'QTR P&amp;L'!G2,'QTR P&amp;L'!D2)-1,"")</f>
        <v/>
      </c>
      <c r="J2" s="13">
        <f>IFERROR('QTR P&amp;L'!I2/IF($B2="QoQ",'QTR P&amp;L'!H2,'QTR P&amp;L'!E2)-1,"")</f>
        <v/>
      </c>
      <c r="K2" s="13">
        <f>IFERROR('QTR P&amp;L'!J2/IF($B2="QoQ",'QTR P&amp;L'!I2,'QTR P&amp;L'!F2)-1,"")</f>
        <v/>
      </c>
      <c r="L2" s="13">
        <f>IFERROR('QTR P&amp;L'!K2/IF($B2="QoQ",'QTR P&amp;L'!J2,'QTR P&amp;L'!G2)-1,"")</f>
        <v/>
      </c>
      <c r="M2" s="13">
        <f>IFERROR('QTR P&amp;L'!L2/IF($B2="QoQ",'QTR P&amp;L'!K2,'QTR P&amp;L'!H2)-1,"")</f>
        <v/>
      </c>
      <c r="N2" s="13">
        <f>IFERROR('QTR P&amp;L'!M2/IF($B2="QoQ",'QTR P&amp;L'!L2,'QTR P&amp;L'!I2)-1,"")</f>
        <v/>
      </c>
      <c r="O2" s="13">
        <f>IFERROR('QTR P&amp;L'!N2/IF($B2="QoQ",'QTR P&amp;L'!M2,'QTR P&amp;L'!J2)-1,"")</f>
        <v/>
      </c>
      <c r="P2" s="13">
        <f>IFERROR('QTR P&amp;L'!O2/IF($B2="QoQ",'QTR P&amp;L'!N2,'QTR P&amp;L'!K2)-1,"")</f>
        <v/>
      </c>
      <c r="Q2" s="13">
        <f>IFERROR('QTR P&amp;L'!P2/IF($B2="QoQ",'QTR P&amp;L'!O2,'QTR P&amp;L'!L2)-1,"")</f>
        <v/>
      </c>
      <c r="R2" s="13">
        <f>IFERROR('QTR P&amp;L'!Q2/IF($B2="QoQ",'QTR P&amp;L'!P2,'QTR P&amp;L'!M2)-1,"")</f>
        <v/>
      </c>
      <c r="S2" s="13">
        <f>IFERROR('QTR P&amp;L'!R2/IF($B2="QoQ",'QTR P&amp;L'!Q2,'QTR P&amp;L'!N2)-1,"")</f>
        <v/>
      </c>
      <c r="T2" s="14">
        <f>S2</f>
        <v/>
      </c>
      <c r="U2" s="14">
        <f>S2</f>
        <v/>
      </c>
      <c r="V2" s="14">
        <f>S2</f>
        <v/>
      </c>
      <c r="W2" s="14">
        <f>S2</f>
        <v/>
      </c>
      <c r="X2" s="14">
        <f>S2</f>
        <v/>
      </c>
      <c r="Y2" s="14">
        <f>S2</f>
        <v/>
      </c>
      <c r="Z2" s="14">
        <f>S2</f>
        <v/>
      </c>
      <c r="AA2" s="14">
        <f>S2</f>
        <v/>
      </c>
      <c r="AB2" s="14">
        <f>S2</f>
        <v/>
      </c>
      <c r="AC2" s="14">
        <f>S2</f>
        <v/>
      </c>
      <c r="AD2" s="14">
        <f>S2</f>
        <v/>
      </c>
      <c r="AE2" s="14">
        <f>S2</f>
        <v/>
      </c>
      <c r="AF2" s="14">
        <f>S2</f>
        <v/>
      </c>
      <c r="AG2" s="14">
        <f>S2</f>
        <v/>
      </c>
      <c r="AH2" s="14">
        <f>S2</f>
        <v/>
      </c>
      <c r="AI2" s="14">
        <f>S2</f>
        <v/>
      </c>
      <c r="AJ2" s="14">
        <f>S2</f>
        <v/>
      </c>
      <c r="AK2" s="14">
        <f>S2</f>
        <v/>
      </c>
      <c r="AL2" s="14">
        <f>S2</f>
        <v/>
      </c>
      <c r="AM2" s="14">
        <f>S2</f>
        <v/>
      </c>
      <c r="AN2" s="14">
        <f>S2</f>
        <v/>
      </c>
      <c r="AO2" s="14">
        <f>S2</f>
        <v/>
      </c>
      <c r="AP2" s="14">
        <f>S2</f>
        <v/>
      </c>
    </row>
    <row r="3">
      <c r="A3" s="3" t="inlineStr">
        <is>
          <t>COGS — % of Revenue</t>
        </is>
      </c>
      <c r="C3" s="13">
        <f>IFERROR('QTR P&amp;L'!B3/'QTR P&amp;L'!B2,"")</f>
        <v/>
      </c>
      <c r="D3" s="13">
        <f>IFERROR('QTR P&amp;L'!C3/'QTR P&amp;L'!C2,"")</f>
        <v/>
      </c>
      <c r="E3" s="13">
        <f>IFERROR('QTR P&amp;L'!D3/'QTR P&amp;L'!D2,"")</f>
        <v/>
      </c>
      <c r="F3" s="13">
        <f>IFERROR('QTR P&amp;L'!E3/'QTR P&amp;L'!E2,"")</f>
        <v/>
      </c>
      <c r="G3" s="13">
        <f>IFERROR('QTR P&amp;L'!F3/'QTR P&amp;L'!F2,"")</f>
        <v/>
      </c>
      <c r="H3" s="13">
        <f>IFERROR('QTR P&amp;L'!G3/'QTR P&amp;L'!G2,"")</f>
        <v/>
      </c>
      <c r="I3" s="13">
        <f>IFERROR('QTR P&amp;L'!H3/'QTR P&amp;L'!H2,"")</f>
        <v/>
      </c>
      <c r="J3" s="13">
        <f>IFERROR('QTR P&amp;L'!I3/'QTR P&amp;L'!I2,"")</f>
        <v/>
      </c>
      <c r="K3" s="13">
        <f>IFERROR('QTR P&amp;L'!J3/'QTR P&amp;L'!J2,"")</f>
        <v/>
      </c>
      <c r="L3" s="13">
        <f>IFERROR('QTR P&amp;L'!K3/'QTR P&amp;L'!K2,"")</f>
        <v/>
      </c>
      <c r="M3" s="13">
        <f>IFERROR('QTR P&amp;L'!L3/'QTR P&amp;L'!L2,"")</f>
        <v/>
      </c>
      <c r="N3" s="13">
        <f>IFERROR('QTR P&amp;L'!M3/'QTR P&amp;L'!M2,"")</f>
        <v/>
      </c>
      <c r="O3" s="13">
        <f>IFERROR('QTR P&amp;L'!N3/'QTR P&amp;L'!N2,"")</f>
        <v/>
      </c>
      <c r="P3" s="13">
        <f>IFERROR('QTR P&amp;L'!O3/'QTR P&amp;L'!O2,"")</f>
        <v/>
      </c>
      <c r="Q3" s="13">
        <f>IFERROR('QTR P&amp;L'!P3/'QTR P&amp;L'!P2,"")</f>
        <v/>
      </c>
      <c r="R3" s="13">
        <f>IFERROR('QTR P&amp;L'!Q3/'QTR P&amp;L'!Q2,"")</f>
        <v/>
      </c>
      <c r="S3" s="13">
        <f>IFERROR('QTR P&amp;L'!R3/'QTR P&amp;L'!R2,"")</f>
        <v/>
      </c>
      <c r="T3" s="14">
        <f>S3</f>
        <v/>
      </c>
      <c r="U3" s="14">
        <f>S3</f>
        <v/>
      </c>
      <c r="V3" s="14">
        <f>S3</f>
        <v/>
      </c>
      <c r="W3" s="14">
        <f>S3</f>
        <v/>
      </c>
      <c r="X3" s="14">
        <f>S3</f>
        <v/>
      </c>
      <c r="Y3" s="14">
        <f>S3</f>
        <v/>
      </c>
      <c r="Z3" s="14">
        <f>S3</f>
        <v/>
      </c>
      <c r="AA3" s="14">
        <f>S3</f>
        <v/>
      </c>
      <c r="AB3" s="14">
        <f>S3</f>
        <v/>
      </c>
      <c r="AC3" s="14">
        <f>S3</f>
        <v/>
      </c>
      <c r="AD3" s="14">
        <f>S3</f>
        <v/>
      </c>
      <c r="AE3" s="14">
        <f>S3</f>
        <v/>
      </c>
      <c r="AF3" s="14">
        <f>S3</f>
        <v/>
      </c>
      <c r="AG3" s="14">
        <f>S3</f>
        <v/>
      </c>
      <c r="AH3" s="14">
        <f>S3</f>
        <v/>
      </c>
      <c r="AI3" s="14">
        <f>S3</f>
        <v/>
      </c>
      <c r="AJ3" s="14">
        <f>S3</f>
        <v/>
      </c>
      <c r="AK3" s="14">
        <f>S3</f>
        <v/>
      </c>
      <c r="AL3" s="14">
        <f>S3</f>
        <v/>
      </c>
      <c r="AM3" s="14">
        <f>S3</f>
        <v/>
      </c>
      <c r="AN3" s="14">
        <f>S3</f>
        <v/>
      </c>
      <c r="AO3" s="14">
        <f>S3</f>
        <v/>
      </c>
      <c r="AP3" s="14">
        <f>S3</f>
        <v/>
      </c>
    </row>
    <row r="4">
      <c r="A4" s="3" t="inlineStr">
        <is>
          <t>SG&amp;A — % of Revenue</t>
        </is>
      </c>
      <c r="C4" s="13">
        <f>IFERROR('QTR P&amp;L'!B5/'QTR P&amp;L'!B2,"")</f>
        <v/>
      </c>
      <c r="D4" s="13">
        <f>IFERROR('QTR P&amp;L'!C5/'QTR P&amp;L'!C2,"")</f>
        <v/>
      </c>
      <c r="E4" s="13">
        <f>IFERROR('QTR P&amp;L'!D5/'QTR P&amp;L'!D2,"")</f>
        <v/>
      </c>
      <c r="F4" s="13">
        <f>IFERROR('QTR P&amp;L'!E5/'QTR P&amp;L'!E2,"")</f>
        <v/>
      </c>
      <c r="G4" s="13">
        <f>IFERROR('QTR P&amp;L'!F5/'QTR P&amp;L'!F2,"")</f>
        <v/>
      </c>
      <c r="H4" s="13">
        <f>IFERROR('QTR P&amp;L'!G5/'QTR P&amp;L'!G2,"")</f>
        <v/>
      </c>
      <c r="I4" s="13">
        <f>IFERROR('QTR P&amp;L'!H5/'QTR P&amp;L'!H2,"")</f>
        <v/>
      </c>
      <c r="J4" s="13">
        <f>IFERROR('QTR P&amp;L'!I5/'QTR P&amp;L'!I2,"")</f>
        <v/>
      </c>
      <c r="K4" s="13">
        <f>IFERROR('QTR P&amp;L'!J5/'QTR P&amp;L'!J2,"")</f>
        <v/>
      </c>
      <c r="L4" s="13">
        <f>IFERROR('QTR P&amp;L'!K5/'QTR P&amp;L'!K2,"")</f>
        <v/>
      </c>
      <c r="M4" s="13">
        <f>IFERROR('QTR P&amp;L'!L5/'QTR P&amp;L'!L2,"")</f>
        <v/>
      </c>
      <c r="N4" s="13">
        <f>IFERROR('QTR P&amp;L'!M5/'QTR P&amp;L'!M2,"")</f>
        <v/>
      </c>
      <c r="O4" s="13">
        <f>IFERROR('QTR P&amp;L'!N5/'QTR P&amp;L'!N2,"")</f>
        <v/>
      </c>
      <c r="P4" s="13">
        <f>IFERROR('QTR P&amp;L'!O5/'QTR P&amp;L'!O2,"")</f>
        <v/>
      </c>
      <c r="Q4" s="13">
        <f>IFERROR('QTR P&amp;L'!P5/'QTR P&amp;L'!P2,"")</f>
        <v/>
      </c>
      <c r="R4" s="13">
        <f>IFERROR('QTR P&amp;L'!Q5/'QTR P&amp;L'!Q2,"")</f>
        <v/>
      </c>
      <c r="S4" s="13">
        <f>IFERROR('QTR P&amp;L'!R5/'QTR P&amp;L'!R2,"")</f>
        <v/>
      </c>
      <c r="T4" s="14">
        <f>S4</f>
        <v/>
      </c>
      <c r="U4" s="14">
        <f>S4</f>
        <v/>
      </c>
      <c r="V4" s="14">
        <f>S4</f>
        <v/>
      </c>
      <c r="W4" s="14">
        <f>S4</f>
        <v/>
      </c>
      <c r="X4" s="14">
        <f>S4</f>
        <v/>
      </c>
      <c r="Y4" s="14">
        <f>S4</f>
        <v/>
      </c>
      <c r="Z4" s="14">
        <f>S4</f>
        <v/>
      </c>
      <c r="AA4" s="14">
        <f>S4</f>
        <v/>
      </c>
      <c r="AB4" s="14">
        <f>S4</f>
        <v/>
      </c>
      <c r="AC4" s="14">
        <f>S4</f>
        <v/>
      </c>
      <c r="AD4" s="14">
        <f>S4</f>
        <v/>
      </c>
      <c r="AE4" s="14">
        <f>S4</f>
        <v/>
      </c>
      <c r="AF4" s="14">
        <f>S4</f>
        <v/>
      </c>
      <c r="AG4" s="14">
        <f>S4</f>
        <v/>
      </c>
      <c r="AH4" s="14">
        <f>S4</f>
        <v/>
      </c>
      <c r="AI4" s="14">
        <f>S4</f>
        <v/>
      </c>
      <c r="AJ4" s="14">
        <f>S4</f>
        <v/>
      </c>
      <c r="AK4" s="14">
        <f>S4</f>
        <v/>
      </c>
      <c r="AL4" s="14">
        <f>S4</f>
        <v/>
      </c>
      <c r="AM4" s="14">
        <f>S4</f>
        <v/>
      </c>
      <c r="AN4" s="14">
        <f>S4</f>
        <v/>
      </c>
      <c r="AO4" s="14">
        <f>S4</f>
        <v/>
      </c>
      <c r="AP4" s="14">
        <f>S4</f>
        <v/>
      </c>
    </row>
    <row r="5">
      <c r="A5" s="3" t="inlineStr">
        <is>
          <t>Gain on Juice Transaction</t>
        </is>
      </c>
      <c r="C5" s="4">
        <f>'QTR P&amp;L'!B6</f>
        <v/>
      </c>
      <c r="D5" s="4">
        <f>'QTR P&amp;L'!C6</f>
        <v/>
      </c>
      <c r="E5" s="4">
        <f>'QTR P&amp;L'!D6</f>
        <v/>
      </c>
      <c r="F5" s="4">
        <f>'QTR P&amp;L'!E6</f>
        <v/>
      </c>
      <c r="G5" s="4">
        <f>'QTR P&amp;L'!F6</f>
        <v/>
      </c>
      <c r="H5" s="4">
        <f>'QTR P&amp;L'!G6</f>
        <v/>
      </c>
      <c r="I5" s="4">
        <f>'QTR P&amp;L'!H6</f>
        <v/>
      </c>
      <c r="J5" s="4">
        <f>'QTR P&amp;L'!I6</f>
        <v/>
      </c>
      <c r="K5" s="4">
        <f>'QTR P&amp;L'!J6</f>
        <v/>
      </c>
      <c r="L5" s="4">
        <f>'QTR P&amp;L'!K6</f>
        <v/>
      </c>
      <c r="M5" s="4">
        <f>'QTR P&amp;L'!L6</f>
        <v/>
      </c>
      <c r="N5" s="4">
        <f>'QTR P&amp;L'!M6</f>
        <v/>
      </c>
      <c r="O5" s="4">
        <f>'QTR P&amp;L'!N6</f>
        <v/>
      </c>
      <c r="P5" s="4">
        <f>'QTR P&amp;L'!O6</f>
        <v/>
      </c>
      <c r="Q5" s="4">
        <f>'QTR P&amp;L'!P6</f>
        <v/>
      </c>
      <c r="R5" s="4">
        <f>'QTR P&amp;L'!Q6</f>
        <v/>
      </c>
      <c r="S5" s="4">
        <f>'QTR P&amp;L'!R6</f>
        <v/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</row>
    <row r="6">
      <c r="A6" s="3" t="inlineStr">
        <is>
          <t>Impairment of Intangibles — % of Revenue</t>
        </is>
      </c>
      <c r="C6" s="13">
        <f>IFERROR('QTR P&amp;L'!B7/'QTR P&amp;L'!B2,"")</f>
        <v/>
      </c>
      <c r="D6" s="13">
        <f>IFERROR('QTR P&amp;L'!C7/'QTR P&amp;L'!C2,"")</f>
        <v/>
      </c>
      <c r="E6" s="13">
        <f>IFERROR('QTR P&amp;L'!D7/'QTR P&amp;L'!D2,"")</f>
        <v/>
      </c>
      <c r="F6" s="13">
        <f>IFERROR('QTR P&amp;L'!E7/'QTR P&amp;L'!E2,"")</f>
        <v/>
      </c>
      <c r="G6" s="13">
        <f>IFERROR('QTR P&amp;L'!F7/'QTR P&amp;L'!F2,"")</f>
        <v/>
      </c>
      <c r="H6" s="13">
        <f>IFERROR('QTR P&amp;L'!G7/'QTR P&amp;L'!G2,"")</f>
        <v/>
      </c>
      <c r="I6" s="13">
        <f>IFERROR('QTR P&amp;L'!H7/'QTR P&amp;L'!H2,"")</f>
        <v/>
      </c>
      <c r="J6" s="13">
        <f>IFERROR('QTR P&amp;L'!I7/'QTR P&amp;L'!I2,"")</f>
        <v/>
      </c>
      <c r="K6" s="13">
        <f>IFERROR('QTR P&amp;L'!J7/'QTR P&amp;L'!J2,"")</f>
        <v/>
      </c>
      <c r="L6" s="13">
        <f>IFERROR('QTR P&amp;L'!K7/'QTR P&amp;L'!K2,"")</f>
        <v/>
      </c>
      <c r="M6" s="13">
        <f>IFERROR('QTR P&amp;L'!L7/'QTR P&amp;L'!L2,"")</f>
        <v/>
      </c>
      <c r="N6" s="13">
        <f>IFERROR('QTR P&amp;L'!M7/'QTR P&amp;L'!M2,"")</f>
        <v/>
      </c>
      <c r="O6" s="13">
        <f>IFERROR('QTR P&amp;L'!N7/'QTR P&amp;L'!N2,"")</f>
        <v/>
      </c>
      <c r="P6" s="13">
        <f>IFERROR('QTR P&amp;L'!O7/'QTR P&amp;L'!O2,"")</f>
        <v/>
      </c>
      <c r="Q6" s="13">
        <f>IFERROR('QTR P&amp;L'!P7/'QTR P&amp;L'!P2,"")</f>
        <v/>
      </c>
      <c r="R6" s="13">
        <f>IFERROR('QTR P&amp;L'!Q7/'QTR P&amp;L'!Q2,"")</f>
        <v/>
      </c>
      <c r="S6" s="13">
        <f>IFERROR('QTR P&amp;L'!R7/'QTR P&amp;L'!R2,"")</f>
        <v/>
      </c>
      <c r="T6" s="14">
        <f>S6</f>
        <v/>
      </c>
      <c r="U6" s="14">
        <f>S6</f>
        <v/>
      </c>
      <c r="V6" s="14">
        <f>S6</f>
        <v/>
      </c>
      <c r="W6" s="14">
        <f>S6</f>
        <v/>
      </c>
      <c r="X6" s="14">
        <f>S6</f>
        <v/>
      </c>
      <c r="Y6" s="14">
        <f>S6</f>
        <v/>
      </c>
      <c r="Z6" s="14">
        <f>S6</f>
        <v/>
      </c>
      <c r="AA6" s="14">
        <f>S6</f>
        <v/>
      </c>
      <c r="AB6" s="14">
        <f>S6</f>
        <v/>
      </c>
      <c r="AC6" s="14">
        <f>S6</f>
        <v/>
      </c>
      <c r="AD6" s="14">
        <f>S6</f>
        <v/>
      </c>
      <c r="AE6" s="14">
        <f>S6</f>
        <v/>
      </c>
      <c r="AF6" s="14">
        <f>S6</f>
        <v/>
      </c>
      <c r="AG6" s="14">
        <f>S6</f>
        <v/>
      </c>
      <c r="AH6" s="14">
        <f>S6</f>
        <v/>
      </c>
      <c r="AI6" s="14">
        <f>S6</f>
        <v/>
      </c>
      <c r="AJ6" s="14">
        <f>S6</f>
        <v/>
      </c>
      <c r="AK6" s="14">
        <f>S6</f>
        <v/>
      </c>
      <c r="AL6" s="14">
        <f>S6</f>
        <v/>
      </c>
      <c r="AM6" s="14">
        <f>S6</f>
        <v/>
      </c>
      <c r="AN6" s="14">
        <f>S6</f>
        <v/>
      </c>
      <c r="AO6" s="14">
        <f>S6</f>
        <v/>
      </c>
      <c r="AP6" s="14">
        <f>S6</f>
        <v/>
      </c>
    </row>
    <row r="7">
      <c r="A7" s="3" t="inlineStr">
        <is>
          <t>Other Pension and OPEB Benefits Income (Expense)</t>
        </is>
      </c>
      <c r="C7" s="4">
        <f>'QTR P&amp;L'!B9</f>
        <v/>
      </c>
      <c r="D7" s="4">
        <f>'QTR P&amp;L'!C9</f>
        <v/>
      </c>
      <c r="E7" s="4">
        <f>'QTR P&amp;L'!D9</f>
        <v/>
      </c>
      <c r="F7" s="4">
        <f>'QTR P&amp;L'!E9</f>
        <v/>
      </c>
      <c r="G7" s="4">
        <f>'QTR P&amp;L'!F9</f>
        <v/>
      </c>
      <c r="H7" s="4">
        <f>'QTR P&amp;L'!G9</f>
        <v/>
      </c>
      <c r="I7" s="4">
        <f>'QTR P&amp;L'!H9</f>
        <v/>
      </c>
      <c r="J7" s="4">
        <f>'QTR P&amp;L'!I9</f>
        <v/>
      </c>
      <c r="K7" s="4">
        <f>'QTR P&amp;L'!J9</f>
        <v/>
      </c>
      <c r="L7" s="4">
        <f>'QTR P&amp;L'!K9</f>
        <v/>
      </c>
      <c r="M7" s="4">
        <f>'QTR P&amp;L'!L9</f>
        <v/>
      </c>
      <c r="N7" s="4">
        <f>'QTR P&amp;L'!M9</f>
        <v/>
      </c>
      <c r="O7" s="4">
        <f>'QTR P&amp;L'!N9</f>
        <v/>
      </c>
      <c r="P7" s="4">
        <f>'QTR P&amp;L'!O9</f>
        <v/>
      </c>
      <c r="Q7" s="4">
        <f>'QTR P&amp;L'!P9</f>
        <v/>
      </c>
      <c r="R7" s="4">
        <f>'QTR P&amp;L'!Q9</f>
        <v/>
      </c>
      <c r="S7" s="4">
        <f>'QTR P&amp;L'!R9</f>
        <v/>
      </c>
      <c r="T7" s="15">
        <f>S7</f>
        <v/>
      </c>
      <c r="U7" s="15">
        <f>S7</f>
        <v/>
      </c>
      <c r="V7" s="15">
        <f>S7</f>
        <v/>
      </c>
      <c r="W7" s="15">
        <f>S7</f>
        <v/>
      </c>
      <c r="X7" s="15">
        <f>S7</f>
        <v/>
      </c>
      <c r="Y7" s="15">
        <f>S7</f>
        <v/>
      </c>
      <c r="Z7" s="15">
        <f>S7</f>
        <v/>
      </c>
      <c r="AA7" s="15">
        <f>S7</f>
        <v/>
      </c>
      <c r="AB7" s="15">
        <f>S7</f>
        <v/>
      </c>
      <c r="AC7" s="15">
        <f>S7</f>
        <v/>
      </c>
      <c r="AD7" s="15">
        <f>S7</f>
        <v/>
      </c>
      <c r="AE7" s="15">
        <f>S7</f>
        <v/>
      </c>
      <c r="AF7" s="15">
        <f>S7</f>
        <v/>
      </c>
      <c r="AG7" s="15">
        <f>S7</f>
        <v/>
      </c>
      <c r="AH7" s="15">
        <f>S7</f>
        <v/>
      </c>
      <c r="AI7" s="15">
        <f>S7</f>
        <v/>
      </c>
      <c r="AJ7" s="15">
        <f>S7</f>
        <v/>
      </c>
      <c r="AK7" s="15">
        <f>S7</f>
        <v/>
      </c>
      <c r="AL7" s="15">
        <f>S7</f>
        <v/>
      </c>
      <c r="AM7" s="15">
        <f>S7</f>
        <v/>
      </c>
      <c r="AN7" s="15">
        <f>S7</f>
        <v/>
      </c>
      <c r="AO7" s="15">
        <f>S7</f>
        <v/>
      </c>
      <c r="AP7" s="15">
        <f>S7</f>
        <v/>
      </c>
    </row>
    <row r="8">
      <c r="A8" s="3" t="inlineStr">
        <is>
          <t>Interest Income (Expense)</t>
        </is>
      </c>
      <c r="C8" s="4">
        <f>'QTR P&amp;L'!B10</f>
        <v/>
      </c>
      <c r="D8" s="4">
        <f>'QTR P&amp;L'!C10</f>
        <v/>
      </c>
      <c r="E8" s="4">
        <f>'QTR P&amp;L'!D10</f>
        <v/>
      </c>
      <c r="F8" s="4">
        <f>'QTR P&amp;L'!E10</f>
        <v/>
      </c>
      <c r="G8" s="4">
        <f>'QTR P&amp;L'!F10</f>
        <v/>
      </c>
      <c r="H8" s="4">
        <f>'QTR P&amp;L'!G10</f>
        <v/>
      </c>
      <c r="I8" s="4">
        <f>'QTR P&amp;L'!H10</f>
        <v/>
      </c>
      <c r="J8" s="4">
        <f>'QTR P&amp;L'!I10</f>
        <v/>
      </c>
      <c r="K8" s="4">
        <f>'QTR P&amp;L'!J10</f>
        <v/>
      </c>
      <c r="L8" s="4">
        <f>'QTR P&amp;L'!K10</f>
        <v/>
      </c>
      <c r="M8" s="4">
        <f>'QTR P&amp;L'!L10</f>
        <v/>
      </c>
      <c r="N8" s="4">
        <f>'QTR P&amp;L'!M10</f>
        <v/>
      </c>
      <c r="O8" s="4">
        <f>'QTR P&amp;L'!N10</f>
        <v/>
      </c>
      <c r="P8" s="4">
        <f>'QTR P&amp;L'!O10</f>
        <v/>
      </c>
      <c r="Q8" s="4">
        <f>'QTR P&amp;L'!P10</f>
        <v/>
      </c>
      <c r="R8" s="4">
        <f>'QTR P&amp;L'!Q10</f>
        <v/>
      </c>
      <c r="S8" s="4">
        <f>'QTR P&amp;L'!R10</f>
        <v/>
      </c>
      <c r="T8" s="15">
        <f>S8</f>
        <v/>
      </c>
      <c r="U8" s="15">
        <f>S8</f>
        <v/>
      </c>
      <c r="V8" s="15">
        <f>S8</f>
        <v/>
      </c>
      <c r="W8" s="15">
        <f>S8</f>
        <v/>
      </c>
      <c r="X8" s="15">
        <f>S8</f>
        <v/>
      </c>
      <c r="Y8" s="15">
        <f>S8</f>
        <v/>
      </c>
      <c r="Z8" s="15">
        <f>S8</f>
        <v/>
      </c>
      <c r="AA8" s="15">
        <f>S8</f>
        <v/>
      </c>
      <c r="AB8" s="15">
        <f>S8</f>
        <v/>
      </c>
      <c r="AC8" s="15">
        <f>S8</f>
        <v/>
      </c>
      <c r="AD8" s="15">
        <f>S8</f>
        <v/>
      </c>
      <c r="AE8" s="15">
        <f>S8</f>
        <v/>
      </c>
      <c r="AF8" s="15">
        <f>S8</f>
        <v/>
      </c>
      <c r="AG8" s="15">
        <f>S8</f>
        <v/>
      </c>
      <c r="AH8" s="15">
        <f>S8</f>
        <v/>
      </c>
      <c r="AI8" s="15">
        <f>S8</f>
        <v/>
      </c>
      <c r="AJ8" s="15">
        <f>S8</f>
        <v/>
      </c>
      <c r="AK8" s="15">
        <f>S8</f>
        <v/>
      </c>
      <c r="AL8" s="15">
        <f>S8</f>
        <v/>
      </c>
      <c r="AM8" s="15">
        <f>S8</f>
        <v/>
      </c>
      <c r="AN8" s="15">
        <f>S8</f>
        <v/>
      </c>
      <c r="AO8" s="15">
        <f>S8</f>
        <v/>
      </c>
      <c r="AP8" s="15">
        <f>S8</f>
        <v/>
      </c>
    </row>
    <row r="9">
      <c r="A9" s="3" t="inlineStr">
        <is>
          <t>Income Tax (Expense) Benefit — Effective Tax Rate %</t>
        </is>
      </c>
      <c r="C9" s="13">
        <f>IFERROR('QTR P&amp;L'!B12/'QTR P&amp;L'!B11,"")</f>
        <v/>
      </c>
      <c r="D9" s="13">
        <f>IFERROR('QTR P&amp;L'!C12/'QTR P&amp;L'!C11,"")</f>
        <v/>
      </c>
      <c r="E9" s="13">
        <f>IFERROR('QTR P&amp;L'!D12/'QTR P&amp;L'!D11,"")</f>
        <v/>
      </c>
      <c r="F9" s="13">
        <f>IFERROR('QTR P&amp;L'!E12/'QTR P&amp;L'!E11,"")</f>
        <v/>
      </c>
      <c r="G9" s="13">
        <f>IFERROR('QTR P&amp;L'!F12/'QTR P&amp;L'!F11,"")</f>
        <v/>
      </c>
      <c r="H9" s="13">
        <f>IFERROR('QTR P&amp;L'!G12/'QTR P&amp;L'!G11,"")</f>
        <v/>
      </c>
      <c r="I9" s="13">
        <f>IFERROR('QTR P&amp;L'!H12/'QTR P&amp;L'!H11,"")</f>
        <v/>
      </c>
      <c r="J9" s="13">
        <f>IFERROR('QTR P&amp;L'!I12/'QTR P&amp;L'!I11,"")</f>
        <v/>
      </c>
      <c r="K9" s="13">
        <f>IFERROR('QTR P&amp;L'!J12/'QTR P&amp;L'!J11,"")</f>
        <v/>
      </c>
      <c r="L9" s="13">
        <f>IFERROR('QTR P&amp;L'!K12/'QTR P&amp;L'!K11,"")</f>
        <v/>
      </c>
      <c r="M9" s="13">
        <f>IFERROR('QTR P&amp;L'!L12/'QTR P&amp;L'!L11,"")</f>
        <v/>
      </c>
      <c r="N9" s="13">
        <f>IFERROR('QTR P&amp;L'!M12/'QTR P&amp;L'!M11,"")</f>
        <v/>
      </c>
      <c r="O9" s="13">
        <f>IFERROR('QTR P&amp;L'!N12/'QTR P&amp;L'!N11,"")</f>
        <v/>
      </c>
      <c r="P9" s="13">
        <f>IFERROR('QTR P&amp;L'!O12/'QTR P&amp;L'!O11,"")</f>
        <v/>
      </c>
      <c r="Q9" s="13">
        <f>IFERROR('QTR P&amp;L'!P12/'QTR P&amp;L'!P11,"")</f>
        <v/>
      </c>
      <c r="R9" s="13">
        <f>IFERROR('QTR P&amp;L'!Q12/'QTR P&amp;L'!Q11,"")</f>
        <v/>
      </c>
      <c r="S9" s="13">
        <f>IFERROR('QTR P&amp;L'!R12/'QTR P&amp;L'!R11,"")</f>
        <v/>
      </c>
      <c r="T9" s="14">
        <f>S9</f>
        <v/>
      </c>
      <c r="U9" s="14">
        <f>S9</f>
        <v/>
      </c>
      <c r="V9" s="14">
        <f>S9</f>
        <v/>
      </c>
      <c r="W9" s="14">
        <f>S9</f>
        <v/>
      </c>
      <c r="X9" s="14">
        <f>S9</f>
        <v/>
      </c>
      <c r="Y9" s="14">
        <f>S9</f>
        <v/>
      </c>
      <c r="Z9" s="14">
        <f>S9</f>
        <v/>
      </c>
      <c r="AA9" s="14">
        <f>S9</f>
        <v/>
      </c>
      <c r="AB9" s="14">
        <f>S9</f>
        <v/>
      </c>
      <c r="AC9" s="14">
        <f>S9</f>
        <v/>
      </c>
      <c r="AD9" s="14">
        <f>S9</f>
        <v/>
      </c>
      <c r="AE9" s="14">
        <f>S9</f>
        <v/>
      </c>
      <c r="AF9" s="14">
        <f>S9</f>
        <v/>
      </c>
      <c r="AG9" s="14">
        <f>S9</f>
        <v/>
      </c>
      <c r="AH9" s="14">
        <f>S9</f>
        <v/>
      </c>
      <c r="AI9" s="14">
        <f>S9</f>
        <v/>
      </c>
      <c r="AJ9" s="14">
        <f>S9</f>
        <v/>
      </c>
      <c r="AK9" s="14">
        <f>S9</f>
        <v/>
      </c>
      <c r="AL9" s="14">
        <f>S9</f>
        <v/>
      </c>
      <c r="AM9" s="14">
        <f>S9</f>
        <v/>
      </c>
      <c r="AN9" s="14">
        <f>S9</f>
        <v/>
      </c>
      <c r="AO9" s="14">
        <f>S9</f>
        <v/>
      </c>
      <c r="AP9" s="14">
        <f>S9</f>
        <v/>
      </c>
    </row>
    <row r="10">
      <c r="A10" s="3" t="inlineStr">
        <is>
          <t>Net Income (Loss) Attributable to Noncontrolling Interest</t>
        </is>
      </c>
      <c r="C10" s="4">
        <f>'QTR P&amp;L'!B14</f>
        <v/>
      </c>
      <c r="D10" s="4">
        <f>'QTR P&amp;L'!C14</f>
        <v/>
      </c>
      <c r="E10" s="4">
        <f>'QTR P&amp;L'!D14</f>
        <v/>
      </c>
      <c r="F10" s="4">
        <f>'QTR P&amp;L'!E14</f>
        <v/>
      </c>
      <c r="G10" s="4">
        <f>'QTR P&amp;L'!F14</f>
        <v/>
      </c>
      <c r="H10" s="4">
        <f>'QTR P&amp;L'!G14</f>
        <v/>
      </c>
      <c r="I10" s="4">
        <f>'QTR P&amp;L'!H14</f>
        <v/>
      </c>
      <c r="J10" s="4">
        <f>'QTR P&amp;L'!I14</f>
        <v/>
      </c>
      <c r="K10" s="4">
        <f>'QTR P&amp;L'!J14</f>
        <v/>
      </c>
      <c r="L10" s="4">
        <f>'QTR P&amp;L'!K14</f>
        <v/>
      </c>
      <c r="M10" s="4">
        <f>'QTR P&amp;L'!L14</f>
        <v/>
      </c>
      <c r="N10" s="4">
        <f>'QTR P&amp;L'!M14</f>
        <v/>
      </c>
      <c r="O10" s="4">
        <f>'QTR P&amp;L'!N14</f>
        <v/>
      </c>
      <c r="P10" s="4">
        <f>'QTR P&amp;L'!O14</f>
        <v/>
      </c>
      <c r="Q10" s="4">
        <f>'QTR P&amp;L'!P14</f>
        <v/>
      </c>
      <c r="R10" s="4">
        <f>'QTR P&amp;L'!Q14</f>
        <v/>
      </c>
      <c r="S10" s="4">
        <f>'QTR P&amp;L'!R14</f>
        <v/>
      </c>
      <c r="T10" s="15">
        <f>S10</f>
        <v/>
      </c>
      <c r="U10" s="15">
        <f>S10</f>
        <v/>
      </c>
      <c r="V10" s="15">
        <f>S10</f>
        <v/>
      </c>
      <c r="W10" s="15">
        <f>S10</f>
        <v/>
      </c>
      <c r="X10" s="15">
        <f>S10</f>
        <v/>
      </c>
      <c r="Y10" s="15">
        <f>S10</f>
        <v/>
      </c>
      <c r="Z10" s="15">
        <f>S10</f>
        <v/>
      </c>
      <c r="AA10" s="15">
        <f>S10</f>
        <v/>
      </c>
      <c r="AB10" s="15">
        <f>S10</f>
        <v/>
      </c>
      <c r="AC10" s="15">
        <f>S10</f>
        <v/>
      </c>
      <c r="AD10" s="15">
        <f>S10</f>
        <v/>
      </c>
      <c r="AE10" s="15">
        <f>S10</f>
        <v/>
      </c>
      <c r="AF10" s="15">
        <f>S10</f>
        <v/>
      </c>
      <c r="AG10" s="15">
        <f>S10</f>
        <v/>
      </c>
      <c r="AH10" s="15">
        <f>S10</f>
        <v/>
      </c>
      <c r="AI10" s="15">
        <f>S10</f>
        <v/>
      </c>
      <c r="AJ10" s="15">
        <f>S10</f>
        <v/>
      </c>
      <c r="AK10" s="15">
        <f>S10</f>
        <v/>
      </c>
      <c r="AL10" s="15">
        <f>S10</f>
        <v/>
      </c>
      <c r="AM10" s="15">
        <f>S10</f>
        <v/>
      </c>
      <c r="AN10" s="15">
        <f>S10</f>
        <v/>
      </c>
      <c r="AO10" s="15">
        <f>S10</f>
        <v/>
      </c>
      <c r="AP10" s="15">
        <f>S10</f>
        <v/>
      </c>
    </row>
  </sheetData>
  <dataValidations count="1">
    <dataValidation sqref="B2" showDropDown="0" showInputMessage="0" showErrorMessage="0" allowBlank="0" errorTitle="Invalid basis" error="Basis must be YoY or QoQ" type="list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  <c r="AI1" s="2" t="inlineStr">
        <is>
          <t>Q1 FY2031E</t>
        </is>
      </c>
      <c r="AJ1" s="2" t="inlineStr">
        <is>
          <t>Q2 FY2031E</t>
        </is>
      </c>
      <c r="AK1" s="2" t="inlineStr">
        <is>
          <t>Q3 FY2031E</t>
        </is>
      </c>
      <c r="AL1" s="2" t="inlineStr">
        <is>
          <t>Q4 FY2031E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O2+'QTR CF'!S48</f>
        <v/>
      </c>
      <c r="Q2" s="4">
        <f>P2+'QTR CF'!T48</f>
        <v/>
      </c>
      <c r="R2" s="4">
        <f>Q2+'QTR CF'!U48</f>
        <v/>
      </c>
      <c r="S2" s="4">
        <f>R2+'QTR CF'!V48</f>
        <v/>
      </c>
      <c r="T2" s="4">
        <f>S2+'QTR CF'!W48</f>
        <v/>
      </c>
      <c r="U2" s="4">
        <f>T2+'QTR CF'!X48</f>
        <v/>
      </c>
      <c r="V2" s="4">
        <f>U2+'QTR CF'!Y48</f>
        <v/>
      </c>
      <c r="W2" s="4">
        <f>V2+'QTR CF'!Z48</f>
        <v/>
      </c>
      <c r="X2" s="4">
        <f>W2+'QTR CF'!AA48</f>
        <v/>
      </c>
      <c r="Y2" s="4">
        <f>X2+'QTR CF'!AB48</f>
        <v/>
      </c>
      <c r="Z2" s="4">
        <f>Y2+'QTR CF'!AC48</f>
        <v/>
      </c>
      <c r="AA2" s="4">
        <f>Z2+'QTR CF'!AD48</f>
        <v/>
      </c>
      <c r="AB2" s="4">
        <f>AA2+'QTR CF'!AE48</f>
        <v/>
      </c>
      <c r="AC2" s="4">
        <f>AB2+'QTR CF'!AF48</f>
        <v/>
      </c>
      <c r="AD2" s="4">
        <f>AC2+'QTR CF'!AG48</f>
        <v/>
      </c>
      <c r="AE2" s="4">
        <f>AD2+'QTR CF'!AH48</f>
        <v/>
      </c>
      <c r="AF2" s="4">
        <f>AE2+'QTR CF'!AI48</f>
        <v/>
      </c>
      <c r="AG2" s="4">
        <f>AF2+'QTR CF'!AJ48</f>
        <v/>
      </c>
      <c r="AH2" s="4">
        <f>AG2+'QTR CF'!AK48</f>
        <v/>
      </c>
      <c r="AI2" s="4">
        <f>AH2+'QTR CF'!AL48</f>
        <v/>
      </c>
      <c r="AJ2" s="4">
        <f>AI2+'QTR CF'!AM48</f>
        <v/>
      </c>
      <c r="AK2" s="4">
        <f>AJ2+'QTR CF'!AN48</f>
        <v/>
      </c>
      <c r="AL2" s="4">
        <f>AK2+'QTR CF'!AO48</f>
        <v/>
      </c>
    </row>
    <row r="3">
      <c r="A3" s="3" t="inlineStr">
        <is>
          <t>Short-Term Investments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4">
        <f>'QTR BS'!O3</f>
        <v/>
      </c>
      <c r="P3" s="15">
        <f>O3</f>
        <v/>
      </c>
      <c r="Q3" s="15">
        <f>O3</f>
        <v/>
      </c>
      <c r="R3" s="15">
        <f>O3</f>
        <v/>
      </c>
      <c r="S3" s="15">
        <f>O3</f>
        <v/>
      </c>
      <c r="T3" s="15">
        <f>O3</f>
        <v/>
      </c>
      <c r="U3" s="15">
        <f>O3</f>
        <v/>
      </c>
      <c r="V3" s="15">
        <f>O3</f>
        <v/>
      </c>
      <c r="W3" s="15">
        <f>O3</f>
        <v/>
      </c>
      <c r="X3" s="15">
        <f>O3</f>
        <v/>
      </c>
      <c r="Y3" s="15">
        <f>O3</f>
        <v/>
      </c>
      <c r="Z3" s="15">
        <f>O3</f>
        <v/>
      </c>
      <c r="AA3" s="15">
        <f>O3</f>
        <v/>
      </c>
      <c r="AB3" s="15">
        <f>O3</f>
        <v/>
      </c>
      <c r="AC3" s="15">
        <f>O3</f>
        <v/>
      </c>
      <c r="AD3" s="15">
        <f>O3</f>
        <v/>
      </c>
      <c r="AE3" s="15">
        <f>O3</f>
        <v/>
      </c>
      <c r="AF3" s="15">
        <f>O3</f>
        <v/>
      </c>
      <c r="AG3" s="15">
        <f>O3</f>
        <v/>
      </c>
      <c r="AH3" s="15">
        <f>O3</f>
        <v/>
      </c>
      <c r="AI3" s="15">
        <f>O3</f>
        <v/>
      </c>
      <c r="AJ3" s="15">
        <f>O3</f>
        <v/>
      </c>
      <c r="AK3" s="15">
        <f>O3</f>
        <v/>
      </c>
      <c r="AL3" s="15">
        <f>O3</f>
        <v/>
      </c>
    </row>
    <row r="4">
      <c r="A4" s="3" t="inlineStr">
        <is>
          <t>Accounts Receivable — DSO (days)</t>
        </is>
      </c>
      <c r="B4" s="16">
        <f>IFERROR('QTR BS'!B4/'QTR P&amp;L'!E2*ASSUMPTIONS!$B$2,"")</f>
        <v/>
      </c>
      <c r="C4" s="16">
        <f>IFERROR('QTR BS'!C4/'QTR P&amp;L'!F2*ASSUMPTIONS!$B$2,"")</f>
        <v/>
      </c>
      <c r="D4" s="16">
        <f>IFERROR('QTR BS'!D4/'QTR P&amp;L'!G2*ASSUMPTIONS!$B$2,"")</f>
        <v/>
      </c>
      <c r="E4" s="16">
        <f>IFERROR('QTR BS'!E4/'QTR P&amp;L'!H2*ASSUMPTIONS!$B$2,"")</f>
        <v/>
      </c>
      <c r="F4" s="16">
        <f>IFERROR('QTR BS'!F4/'QTR P&amp;L'!I2*ASSUMPTIONS!$B$2,"")</f>
        <v/>
      </c>
      <c r="G4" s="16">
        <f>IFERROR('QTR BS'!G4/'QTR P&amp;L'!J2*ASSUMPTIONS!$B$2,"")</f>
        <v/>
      </c>
      <c r="H4" s="16">
        <f>IFERROR('QTR BS'!H4/'QTR P&amp;L'!K2*ASSUMPTIONS!$B$2,"")</f>
        <v/>
      </c>
      <c r="I4" s="16">
        <f>IFERROR('QTR BS'!I4/'QTR P&amp;L'!L2*ASSUMPTIONS!$B$2,"")</f>
        <v/>
      </c>
      <c r="J4" s="16">
        <f>IFERROR('QTR BS'!J4/'QTR P&amp;L'!M2*ASSUMPTIONS!$B$2,"")</f>
        <v/>
      </c>
      <c r="K4" s="16">
        <f>IFERROR('QTR BS'!K4/'QTR P&amp;L'!N2*ASSUMPTIONS!$B$2,"")</f>
        <v/>
      </c>
      <c r="L4" s="16">
        <f>IFERROR('QTR BS'!L4/'QTR P&amp;L'!O2*ASSUMPTIONS!$B$2,"")</f>
        <v/>
      </c>
      <c r="M4" s="16">
        <f>IFERROR('QTR BS'!M4/'QTR P&amp;L'!P2*ASSUMPTIONS!$B$2,"")</f>
        <v/>
      </c>
      <c r="N4" s="16">
        <f>IFERROR('QTR BS'!N4/'QTR P&amp;L'!Q2*ASSUMPTIONS!$B$2,"")</f>
        <v/>
      </c>
      <c r="O4" s="16">
        <f>IFERROR('QTR BS'!O4/'QTR P&amp;L'!R2*ASSUMPTIONS!$B$2,"")</f>
        <v/>
      </c>
      <c r="P4" s="17">
        <f>O4</f>
        <v/>
      </c>
      <c r="Q4" s="17">
        <f>O4</f>
        <v/>
      </c>
      <c r="R4" s="17">
        <f>O4</f>
        <v/>
      </c>
      <c r="S4" s="17">
        <f>O4</f>
        <v/>
      </c>
      <c r="T4" s="17">
        <f>O4</f>
        <v/>
      </c>
      <c r="U4" s="17">
        <f>O4</f>
        <v/>
      </c>
      <c r="V4" s="17">
        <f>O4</f>
        <v/>
      </c>
      <c r="W4" s="17">
        <f>O4</f>
        <v/>
      </c>
      <c r="X4" s="17">
        <f>O4</f>
        <v/>
      </c>
      <c r="Y4" s="17">
        <f>O4</f>
        <v/>
      </c>
      <c r="Z4" s="17">
        <f>O4</f>
        <v/>
      </c>
      <c r="AA4" s="17">
        <f>O4</f>
        <v/>
      </c>
      <c r="AB4" s="17">
        <f>O4</f>
        <v/>
      </c>
      <c r="AC4" s="17">
        <f>O4</f>
        <v/>
      </c>
      <c r="AD4" s="17">
        <f>O4</f>
        <v/>
      </c>
      <c r="AE4" s="17">
        <f>O4</f>
        <v/>
      </c>
      <c r="AF4" s="17">
        <f>O4</f>
        <v/>
      </c>
      <c r="AG4" s="17">
        <f>O4</f>
        <v/>
      </c>
      <c r="AH4" s="17">
        <f>O4</f>
        <v/>
      </c>
      <c r="AI4" s="17">
        <f>O4</f>
        <v/>
      </c>
      <c r="AJ4" s="17">
        <f>O4</f>
        <v/>
      </c>
      <c r="AK4" s="17">
        <f>O4</f>
        <v/>
      </c>
      <c r="AL4" s="17">
        <f>O4</f>
        <v/>
      </c>
    </row>
    <row r="5">
      <c r="A5" s="3" t="inlineStr">
        <is>
          <t>Inventories — DIO (days)</t>
        </is>
      </c>
      <c r="B5" s="16">
        <f>IFERROR('QTR BS'!B5/'QTR P&amp;L'!E3*ASSUMPTIONS!$B$2,"")</f>
        <v/>
      </c>
      <c r="C5" s="16">
        <f>IFERROR('QTR BS'!C5/'QTR P&amp;L'!F3*ASSUMPTIONS!$B$2,"")</f>
        <v/>
      </c>
      <c r="D5" s="16">
        <f>IFERROR('QTR BS'!D5/'QTR P&amp;L'!G3*ASSUMPTIONS!$B$2,"")</f>
        <v/>
      </c>
      <c r="E5" s="16">
        <f>IFERROR('QTR BS'!E5/'QTR P&amp;L'!H3*ASSUMPTIONS!$B$2,"")</f>
        <v/>
      </c>
      <c r="F5" s="16">
        <f>IFERROR('QTR BS'!F5/'QTR P&amp;L'!I3*ASSUMPTIONS!$B$2,"")</f>
        <v/>
      </c>
      <c r="G5" s="16">
        <f>IFERROR('QTR BS'!G5/'QTR P&amp;L'!J3*ASSUMPTIONS!$B$2,"")</f>
        <v/>
      </c>
      <c r="H5" s="16">
        <f>IFERROR('QTR BS'!H5/'QTR P&amp;L'!K3*ASSUMPTIONS!$B$2,"")</f>
        <v/>
      </c>
      <c r="I5" s="16">
        <f>IFERROR('QTR BS'!I5/'QTR P&amp;L'!L3*ASSUMPTIONS!$B$2,"")</f>
        <v/>
      </c>
      <c r="J5" s="16">
        <f>IFERROR('QTR BS'!J5/'QTR P&amp;L'!M3*ASSUMPTIONS!$B$2,"")</f>
        <v/>
      </c>
      <c r="K5" s="16">
        <f>IFERROR('QTR BS'!K5/'QTR P&amp;L'!N3*ASSUMPTIONS!$B$2,"")</f>
        <v/>
      </c>
      <c r="L5" s="16">
        <f>IFERROR('QTR BS'!L5/'QTR P&amp;L'!O3*ASSUMPTIONS!$B$2,"")</f>
        <v/>
      </c>
      <c r="M5" s="16">
        <f>IFERROR('QTR BS'!M5/'QTR P&amp;L'!P3*ASSUMPTIONS!$B$2,"")</f>
        <v/>
      </c>
      <c r="N5" s="16">
        <f>IFERROR('QTR BS'!N5/'QTR P&amp;L'!Q3*ASSUMPTIONS!$B$2,"")</f>
        <v/>
      </c>
      <c r="O5" s="16">
        <f>IFERROR('QTR BS'!O5/'QTR P&amp;L'!R3*ASSUMPTIONS!$B$2,"")</f>
        <v/>
      </c>
      <c r="P5" s="17">
        <f>O5</f>
        <v/>
      </c>
      <c r="Q5" s="17">
        <f>O5</f>
        <v/>
      </c>
      <c r="R5" s="17">
        <f>O5</f>
        <v/>
      </c>
      <c r="S5" s="17">
        <f>O5</f>
        <v/>
      </c>
      <c r="T5" s="17">
        <f>O5</f>
        <v/>
      </c>
      <c r="U5" s="17">
        <f>O5</f>
        <v/>
      </c>
      <c r="V5" s="17">
        <f>O5</f>
        <v/>
      </c>
      <c r="W5" s="17">
        <f>O5</f>
        <v/>
      </c>
      <c r="X5" s="17">
        <f>O5</f>
        <v/>
      </c>
      <c r="Y5" s="17">
        <f>O5</f>
        <v/>
      </c>
      <c r="Z5" s="17">
        <f>O5</f>
        <v/>
      </c>
      <c r="AA5" s="17">
        <f>O5</f>
        <v/>
      </c>
      <c r="AB5" s="17">
        <f>O5</f>
        <v/>
      </c>
      <c r="AC5" s="17">
        <f>O5</f>
        <v/>
      </c>
      <c r="AD5" s="17">
        <f>O5</f>
        <v/>
      </c>
      <c r="AE5" s="17">
        <f>O5</f>
        <v/>
      </c>
      <c r="AF5" s="17">
        <f>O5</f>
        <v/>
      </c>
      <c r="AG5" s="17">
        <f>O5</f>
        <v/>
      </c>
      <c r="AH5" s="17">
        <f>O5</f>
        <v/>
      </c>
      <c r="AI5" s="17">
        <f>O5</f>
        <v/>
      </c>
      <c r="AJ5" s="17">
        <f>O5</f>
        <v/>
      </c>
      <c r="AK5" s="17">
        <f>O5</f>
        <v/>
      </c>
      <c r="AL5" s="17">
        <f>O5</f>
        <v/>
      </c>
    </row>
    <row r="6">
      <c r="A6" s="3" t="inlineStr">
        <is>
          <t>Prepaid Expenses — % of Revenue</t>
        </is>
      </c>
      <c r="B6" s="13">
        <f>IFERROR('QTR BS'!B6/'QTR P&amp;L'!E2,"")</f>
        <v/>
      </c>
      <c r="C6" s="13">
        <f>IFERROR('QTR BS'!C6/'QTR P&amp;L'!F2,"")</f>
        <v/>
      </c>
      <c r="D6" s="13">
        <f>IFERROR('QTR BS'!D6/'QTR P&amp;L'!G2,"")</f>
        <v/>
      </c>
      <c r="E6" s="13">
        <f>IFERROR('QTR BS'!E6/'QTR P&amp;L'!H2,"")</f>
        <v/>
      </c>
      <c r="F6" s="13">
        <f>IFERROR('QTR BS'!F6/'QTR P&amp;L'!I2,"")</f>
        <v/>
      </c>
      <c r="G6" s="13">
        <f>IFERROR('QTR BS'!G6/'QTR P&amp;L'!J2,"")</f>
        <v/>
      </c>
      <c r="H6" s="13">
        <f>IFERROR('QTR BS'!H6/'QTR P&amp;L'!K2,"")</f>
        <v/>
      </c>
      <c r="I6" s="13">
        <f>IFERROR('QTR BS'!I6/'QTR P&amp;L'!L2,"")</f>
        <v/>
      </c>
      <c r="J6" s="13">
        <f>IFERROR('QTR BS'!J6/'QTR P&amp;L'!M2,"")</f>
        <v/>
      </c>
      <c r="K6" s="13">
        <f>IFERROR('QTR BS'!K6/'QTR P&amp;L'!N2,"")</f>
        <v/>
      </c>
      <c r="L6" s="13">
        <f>IFERROR('QTR BS'!L6/'QTR P&amp;L'!O2,"")</f>
        <v/>
      </c>
      <c r="M6" s="13">
        <f>IFERROR('QTR BS'!M6/'QTR P&amp;L'!P2,"")</f>
        <v/>
      </c>
      <c r="N6" s="13">
        <f>IFERROR('QTR BS'!N6/'QTR P&amp;L'!Q2,"")</f>
        <v/>
      </c>
      <c r="O6" s="13">
        <f>IFERROR('QTR BS'!O6/'QTR P&amp;L'!R2,"")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  <c r="AI6" s="14">
        <f>O6</f>
        <v/>
      </c>
      <c r="AJ6" s="14">
        <f>O6</f>
        <v/>
      </c>
      <c r="AK6" s="14">
        <f>O6</f>
        <v/>
      </c>
      <c r="AL6" s="14">
        <f>O6</f>
        <v/>
      </c>
    </row>
    <row r="7">
      <c r="A7" s="3" t="inlineStr">
        <is>
          <t>Net PP&amp;E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O7-'QTR CF'!S27-'QTR CF'!S3</f>
        <v/>
      </c>
      <c r="Q7" s="4">
        <f>P7-'QTR CF'!T27-'QTR CF'!T3</f>
        <v/>
      </c>
      <c r="R7" s="4">
        <f>Q7-'QTR CF'!U27-'QTR CF'!U3</f>
        <v/>
      </c>
      <c r="S7" s="4">
        <f>R7-'QTR CF'!V27-'QTR CF'!V3</f>
        <v/>
      </c>
      <c r="T7" s="4">
        <f>S7-'QTR CF'!W27-'QTR CF'!W3</f>
        <v/>
      </c>
      <c r="U7" s="4">
        <f>T7-'QTR CF'!X27-'QTR CF'!X3</f>
        <v/>
      </c>
      <c r="V7" s="4">
        <f>U7-'QTR CF'!Y27-'QTR CF'!Y3</f>
        <v/>
      </c>
      <c r="W7" s="4">
        <f>V7-'QTR CF'!Z27-'QTR CF'!Z3</f>
        <v/>
      </c>
      <c r="X7" s="4">
        <f>W7-'QTR CF'!AA27-'QTR CF'!AA3</f>
        <v/>
      </c>
      <c r="Y7" s="4">
        <f>X7-'QTR CF'!AB27-'QTR CF'!AB3</f>
        <v/>
      </c>
      <c r="Z7" s="4">
        <f>Y7-'QTR CF'!AC27-'QTR CF'!AC3</f>
        <v/>
      </c>
      <c r="AA7" s="4">
        <f>Z7-'QTR CF'!AD27-'QTR CF'!AD3</f>
        <v/>
      </c>
      <c r="AB7" s="4">
        <f>AA7-'QTR CF'!AE27-'QTR CF'!AE3</f>
        <v/>
      </c>
      <c r="AC7" s="4">
        <f>AB7-'QTR CF'!AF27-'QTR CF'!AF3</f>
        <v/>
      </c>
      <c r="AD7" s="4">
        <f>AC7-'QTR CF'!AG27-'QTR CF'!AG3</f>
        <v/>
      </c>
      <c r="AE7" s="4">
        <f>AD7-'QTR CF'!AH27-'QTR CF'!AH3</f>
        <v/>
      </c>
      <c r="AF7" s="4">
        <f>AE7-'QTR CF'!AI27-'QTR CF'!AI3</f>
        <v/>
      </c>
      <c r="AG7" s="4">
        <f>AF7-'QTR CF'!AJ27-'QTR CF'!AJ3</f>
        <v/>
      </c>
      <c r="AH7" s="4">
        <f>AG7-'QTR CF'!AK27-'QTR CF'!AK3</f>
        <v/>
      </c>
      <c r="AI7" s="4">
        <f>AH7-'QTR CF'!AL27-'QTR CF'!AL3</f>
        <v/>
      </c>
      <c r="AJ7" s="4">
        <f>AI7-'QTR CF'!AM27-'QTR CF'!AM3</f>
        <v/>
      </c>
      <c r="AK7" s="4">
        <f>AJ7-'QTR CF'!AN27-'QTR CF'!AN3</f>
        <v/>
      </c>
      <c r="AL7" s="4">
        <f>AK7-'QTR CF'!AO27-'QTR CF'!AO3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15">
        <f>O8</f>
        <v/>
      </c>
      <c r="Q8" s="15">
        <f>O8</f>
        <v/>
      </c>
      <c r="R8" s="15">
        <f>O8</f>
        <v/>
      </c>
      <c r="S8" s="15">
        <f>O8</f>
        <v/>
      </c>
      <c r="T8" s="15">
        <f>O8</f>
        <v/>
      </c>
      <c r="U8" s="15">
        <f>O8</f>
        <v/>
      </c>
      <c r="V8" s="15">
        <f>O8</f>
        <v/>
      </c>
      <c r="W8" s="15">
        <f>O8</f>
        <v/>
      </c>
      <c r="X8" s="15">
        <f>O8</f>
        <v/>
      </c>
      <c r="Y8" s="15">
        <f>O8</f>
        <v/>
      </c>
      <c r="Z8" s="15">
        <f>O8</f>
        <v/>
      </c>
      <c r="AA8" s="15">
        <f>O8</f>
        <v/>
      </c>
      <c r="AB8" s="15">
        <f>O8</f>
        <v/>
      </c>
      <c r="AC8" s="15">
        <f>O8</f>
        <v/>
      </c>
      <c r="AD8" s="15">
        <f>O8</f>
        <v/>
      </c>
      <c r="AE8" s="15">
        <f>O8</f>
        <v/>
      </c>
      <c r="AF8" s="15">
        <f>O8</f>
        <v/>
      </c>
      <c r="AG8" s="15">
        <f>O8</f>
        <v/>
      </c>
      <c r="AH8" s="15">
        <f>O8</f>
        <v/>
      </c>
      <c r="AI8" s="15">
        <f>O8</f>
        <v/>
      </c>
      <c r="AJ8" s="15">
        <f>O8</f>
        <v/>
      </c>
      <c r="AK8" s="15">
        <f>O8</f>
        <v/>
      </c>
      <c r="AL8" s="15">
        <f>O8</f>
        <v/>
      </c>
    </row>
    <row r="9">
      <c r="A9" s="3" t="inlineStr">
        <is>
          <t>Goodwill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15">
        <f>O9</f>
        <v/>
      </c>
      <c r="Q9" s="15">
        <f>O9</f>
        <v/>
      </c>
      <c r="R9" s="15">
        <f>O9</f>
        <v/>
      </c>
      <c r="S9" s="15">
        <f>O9</f>
        <v/>
      </c>
      <c r="T9" s="15">
        <f>O9</f>
        <v/>
      </c>
      <c r="U9" s="15">
        <f>O9</f>
        <v/>
      </c>
      <c r="V9" s="15">
        <f>O9</f>
        <v/>
      </c>
      <c r="W9" s="15">
        <f>O9</f>
        <v/>
      </c>
      <c r="X9" s="15">
        <f>O9</f>
        <v/>
      </c>
      <c r="Y9" s="15">
        <f>O9</f>
        <v/>
      </c>
      <c r="Z9" s="15">
        <f>O9</f>
        <v/>
      </c>
      <c r="AA9" s="15">
        <f>O9</f>
        <v/>
      </c>
      <c r="AB9" s="15">
        <f>O9</f>
        <v/>
      </c>
      <c r="AC9" s="15">
        <f>O9</f>
        <v/>
      </c>
      <c r="AD9" s="15">
        <f>O9</f>
        <v/>
      </c>
      <c r="AE9" s="15">
        <f>O9</f>
        <v/>
      </c>
      <c r="AF9" s="15">
        <f>O9</f>
        <v/>
      </c>
      <c r="AG9" s="15">
        <f>O9</f>
        <v/>
      </c>
      <c r="AH9" s="15">
        <f>O9</f>
        <v/>
      </c>
      <c r="AI9" s="15">
        <f>O9</f>
        <v/>
      </c>
      <c r="AJ9" s="15">
        <f>O9</f>
        <v/>
      </c>
      <c r="AK9" s="15">
        <f>O9</f>
        <v/>
      </c>
      <c r="AL9" s="15">
        <f>O9</f>
        <v/>
      </c>
    </row>
    <row r="10">
      <c r="A10" s="3" t="inlineStr">
        <is>
          <t>Equity Method Investments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'QTR BS'!O11</f>
        <v/>
      </c>
      <c r="P10" s="15">
        <f>O10</f>
        <v/>
      </c>
      <c r="Q10" s="15">
        <f>O10</f>
        <v/>
      </c>
      <c r="R10" s="15">
        <f>O10</f>
        <v/>
      </c>
      <c r="S10" s="15">
        <f>O10</f>
        <v/>
      </c>
      <c r="T10" s="15">
        <f>O10</f>
        <v/>
      </c>
      <c r="U10" s="15">
        <f>O10</f>
        <v/>
      </c>
      <c r="V10" s="15">
        <f>O10</f>
        <v/>
      </c>
      <c r="W10" s="15">
        <f>O10</f>
        <v/>
      </c>
      <c r="X10" s="15">
        <f>O10</f>
        <v/>
      </c>
      <c r="Y10" s="15">
        <f>O10</f>
        <v/>
      </c>
      <c r="Z10" s="15">
        <f>O10</f>
        <v/>
      </c>
      <c r="AA10" s="15">
        <f>O10</f>
        <v/>
      </c>
      <c r="AB10" s="15">
        <f>O10</f>
        <v/>
      </c>
      <c r="AC10" s="15">
        <f>O10</f>
        <v/>
      </c>
      <c r="AD10" s="15">
        <f>O10</f>
        <v/>
      </c>
      <c r="AE10" s="15">
        <f>O10</f>
        <v/>
      </c>
      <c r="AF10" s="15">
        <f>O10</f>
        <v/>
      </c>
      <c r="AG10" s="15">
        <f>O10</f>
        <v/>
      </c>
      <c r="AH10" s="15">
        <f>O10</f>
        <v/>
      </c>
      <c r="AI10" s="15">
        <f>O10</f>
        <v/>
      </c>
      <c r="AJ10" s="15">
        <f>O10</f>
        <v/>
      </c>
      <c r="AK10" s="15">
        <f>O10</f>
        <v/>
      </c>
      <c r="AL10" s="15">
        <f>O10</f>
        <v/>
      </c>
    </row>
    <row r="11">
      <c r="A11" s="3" t="inlineStr">
        <is>
          <t>Deferred Tax Assets</t>
        </is>
      </c>
      <c r="B11" s="4">
        <f>'QTR BS'!B12</f>
        <v/>
      </c>
      <c r="C11" s="4">
        <f>'QTR BS'!C12</f>
        <v/>
      </c>
      <c r="D11" s="4">
        <f>'QTR BS'!D12</f>
        <v/>
      </c>
      <c r="E11" s="4">
        <f>'QTR BS'!E12</f>
        <v/>
      </c>
      <c r="F11" s="4">
        <f>'QTR BS'!F12</f>
        <v/>
      </c>
      <c r="G11" s="4">
        <f>'QTR BS'!G12</f>
        <v/>
      </c>
      <c r="H11" s="4">
        <f>'QTR BS'!H12</f>
        <v/>
      </c>
      <c r="I11" s="4">
        <f>'QTR BS'!I12</f>
        <v/>
      </c>
      <c r="J11" s="4">
        <f>'QTR BS'!J12</f>
        <v/>
      </c>
      <c r="K11" s="4">
        <f>'QTR BS'!K12</f>
        <v/>
      </c>
      <c r="L11" s="4">
        <f>'QTR BS'!L12</f>
        <v/>
      </c>
      <c r="M11" s="4">
        <f>'QTR BS'!M12</f>
        <v/>
      </c>
      <c r="N11" s="4">
        <f>'QTR BS'!N12</f>
        <v/>
      </c>
      <c r="O11" s="4">
        <f>'QTR BS'!O12</f>
        <v/>
      </c>
      <c r="P11" s="4">
        <f>O11-'QTR CF'!S17</f>
        <v/>
      </c>
      <c r="Q11" s="4">
        <f>P11-'QTR CF'!T17</f>
        <v/>
      </c>
      <c r="R11" s="4">
        <f>Q11-'QTR CF'!U17</f>
        <v/>
      </c>
      <c r="S11" s="4">
        <f>R11-'QTR CF'!V17</f>
        <v/>
      </c>
      <c r="T11" s="4">
        <f>S11-'QTR CF'!W17</f>
        <v/>
      </c>
      <c r="U11" s="4">
        <f>T11-'QTR CF'!X17</f>
        <v/>
      </c>
      <c r="V11" s="4">
        <f>U11-'QTR CF'!Y17</f>
        <v/>
      </c>
      <c r="W11" s="4">
        <f>V11-'QTR CF'!Z17</f>
        <v/>
      </c>
      <c r="X11" s="4">
        <f>W11-'QTR CF'!AA17</f>
        <v/>
      </c>
      <c r="Y11" s="4">
        <f>X11-'QTR CF'!AB17</f>
        <v/>
      </c>
      <c r="Z11" s="4">
        <f>Y11-'QTR CF'!AC17</f>
        <v/>
      </c>
      <c r="AA11" s="4">
        <f>Z11-'QTR CF'!AD17</f>
        <v/>
      </c>
      <c r="AB11" s="4">
        <f>AA11-'QTR CF'!AE17</f>
        <v/>
      </c>
      <c r="AC11" s="4">
        <f>AB11-'QTR CF'!AF17</f>
        <v/>
      </c>
      <c r="AD11" s="4">
        <f>AC11-'QTR CF'!AG17</f>
        <v/>
      </c>
      <c r="AE11" s="4">
        <f>AD11-'QTR CF'!AH17</f>
        <v/>
      </c>
      <c r="AF11" s="4">
        <f>AE11-'QTR CF'!AI17</f>
        <v/>
      </c>
      <c r="AG11" s="4">
        <f>AF11-'QTR CF'!AJ17</f>
        <v/>
      </c>
      <c r="AH11" s="4">
        <f>AG11-'QTR CF'!AK17</f>
        <v/>
      </c>
      <c r="AI11" s="4">
        <f>AH11-'QTR CF'!AL17</f>
        <v/>
      </c>
      <c r="AJ11" s="4">
        <f>AI11-'QTR CF'!AM17</f>
        <v/>
      </c>
      <c r="AK11" s="4">
        <f>AJ11-'QTR CF'!AN17</f>
        <v/>
      </c>
      <c r="AL11" s="4">
        <f>AK11-'QTR CF'!AO17</f>
        <v/>
      </c>
    </row>
    <row r="12">
      <c r="A12" s="3" t="inlineStr">
        <is>
          <t>Other Non-Current Assets — % of Revenue</t>
        </is>
      </c>
      <c r="B12" s="13">
        <f>IFERROR('QTR BS'!B13/'QTR P&amp;L'!E2,"")</f>
        <v/>
      </c>
      <c r="C12" s="13">
        <f>IFERROR('QTR BS'!C13/'QTR P&amp;L'!F2,"")</f>
        <v/>
      </c>
      <c r="D12" s="13">
        <f>IFERROR('QTR BS'!D13/'QTR P&amp;L'!G2,"")</f>
        <v/>
      </c>
      <c r="E12" s="13">
        <f>IFERROR('QTR BS'!E13/'QTR P&amp;L'!H2,"")</f>
        <v/>
      </c>
      <c r="F12" s="13">
        <f>IFERROR('QTR BS'!F13/'QTR P&amp;L'!I2,"")</f>
        <v/>
      </c>
      <c r="G12" s="13">
        <f>IFERROR('QTR BS'!G13/'QTR P&amp;L'!J2,"")</f>
        <v/>
      </c>
      <c r="H12" s="13">
        <f>IFERROR('QTR BS'!H13/'QTR P&amp;L'!K2,"")</f>
        <v/>
      </c>
      <c r="I12" s="13">
        <f>IFERROR('QTR BS'!I13/'QTR P&amp;L'!L2,"")</f>
        <v/>
      </c>
      <c r="J12" s="13">
        <f>IFERROR('QTR BS'!J13/'QTR P&amp;L'!M2,"")</f>
        <v/>
      </c>
      <c r="K12" s="13">
        <f>IFERROR('QTR BS'!K13/'QTR P&amp;L'!N2,"")</f>
        <v/>
      </c>
      <c r="L12" s="13">
        <f>IFERROR('QTR BS'!L13/'QTR P&amp;L'!O2,"")</f>
        <v/>
      </c>
      <c r="M12" s="13">
        <f>IFERROR('QTR BS'!M13/'QTR P&amp;L'!P2,"")</f>
        <v/>
      </c>
      <c r="N12" s="13">
        <f>IFERROR('QTR BS'!N13/'QTR P&amp;L'!Q2,"")</f>
        <v/>
      </c>
      <c r="O12" s="13">
        <f>IFERROR('QTR BS'!O13/'QTR P&amp;L'!R2,"")</f>
        <v/>
      </c>
      <c r="P12" s="14">
        <f>O12</f>
        <v/>
      </c>
      <c r="Q12" s="14">
        <f>O12</f>
        <v/>
      </c>
      <c r="R12" s="14">
        <f>O12</f>
        <v/>
      </c>
      <c r="S12" s="14">
        <f>O12</f>
        <v/>
      </c>
      <c r="T12" s="14">
        <f>O12</f>
        <v/>
      </c>
      <c r="U12" s="14">
        <f>O12</f>
        <v/>
      </c>
      <c r="V12" s="14">
        <f>O12</f>
        <v/>
      </c>
      <c r="W12" s="14">
        <f>O12</f>
        <v/>
      </c>
      <c r="X12" s="14">
        <f>O12</f>
        <v/>
      </c>
      <c r="Y12" s="14">
        <f>O12</f>
        <v/>
      </c>
      <c r="Z12" s="14">
        <f>O12</f>
        <v/>
      </c>
      <c r="AA12" s="14">
        <f>O12</f>
        <v/>
      </c>
      <c r="AB12" s="14">
        <f>O12</f>
        <v/>
      </c>
      <c r="AC12" s="14">
        <f>O12</f>
        <v/>
      </c>
      <c r="AD12" s="14">
        <f>O12</f>
        <v/>
      </c>
      <c r="AE12" s="14">
        <f>O12</f>
        <v/>
      </c>
      <c r="AF12" s="14">
        <f>O12</f>
        <v/>
      </c>
      <c r="AG12" s="14">
        <f>O12</f>
        <v/>
      </c>
      <c r="AH12" s="14">
        <f>O12</f>
        <v/>
      </c>
      <c r="AI12" s="14">
        <f>O12</f>
        <v/>
      </c>
      <c r="AJ12" s="14">
        <f>O12</f>
        <v/>
      </c>
      <c r="AK12" s="14">
        <f>O12</f>
        <v/>
      </c>
      <c r="AL12" s="14">
        <f>O12</f>
        <v/>
      </c>
    </row>
    <row r="13">
      <c r="A13" s="3" t="inlineStr">
        <is>
          <t>Short-Term Debt Obligations</t>
        </is>
      </c>
      <c r="B13" s="4">
        <f>'QTR BS'!B15</f>
        <v/>
      </c>
      <c r="C13" s="4">
        <f>'QTR BS'!C15</f>
        <v/>
      </c>
      <c r="D13" s="4">
        <f>'QTR BS'!D15</f>
        <v/>
      </c>
      <c r="E13" s="4">
        <f>'QTR BS'!E15</f>
        <v/>
      </c>
      <c r="F13" s="4">
        <f>'QTR BS'!F15</f>
        <v/>
      </c>
      <c r="G13" s="4">
        <f>'QTR BS'!G15</f>
        <v/>
      </c>
      <c r="H13" s="4">
        <f>'QTR BS'!H15</f>
        <v/>
      </c>
      <c r="I13" s="4">
        <f>'QTR BS'!I15</f>
        <v/>
      </c>
      <c r="J13" s="4">
        <f>'QTR BS'!J15</f>
        <v/>
      </c>
      <c r="K13" s="4">
        <f>'QTR BS'!K15</f>
        <v/>
      </c>
      <c r="L13" s="4">
        <f>'QTR BS'!L15</f>
        <v/>
      </c>
      <c r="M13" s="4">
        <f>'QTR BS'!M15</f>
        <v/>
      </c>
      <c r="N13" s="4">
        <f>'QTR BS'!N15</f>
        <v/>
      </c>
      <c r="O13" s="4">
        <f>'QTR BS'!O15</f>
        <v/>
      </c>
      <c r="P13" s="15">
        <f>O13</f>
        <v/>
      </c>
      <c r="Q13" s="15">
        <f>O13</f>
        <v/>
      </c>
      <c r="R13" s="15">
        <f>O13</f>
        <v/>
      </c>
      <c r="S13" s="15">
        <f>O13</f>
        <v/>
      </c>
      <c r="T13" s="15">
        <f>O13</f>
        <v/>
      </c>
      <c r="U13" s="15">
        <f>O13</f>
        <v/>
      </c>
      <c r="V13" s="15">
        <f>O13</f>
        <v/>
      </c>
      <c r="W13" s="15">
        <f>O13</f>
        <v/>
      </c>
      <c r="X13" s="15">
        <f>O13</f>
        <v/>
      </c>
      <c r="Y13" s="15">
        <f>O13</f>
        <v/>
      </c>
      <c r="Z13" s="15">
        <f>O13</f>
        <v/>
      </c>
      <c r="AA13" s="15">
        <f>O13</f>
        <v/>
      </c>
      <c r="AB13" s="15">
        <f>O13</f>
        <v/>
      </c>
      <c r="AC13" s="15">
        <f>O13</f>
        <v/>
      </c>
      <c r="AD13" s="15">
        <f>O13</f>
        <v/>
      </c>
      <c r="AE13" s="15">
        <f>O13</f>
        <v/>
      </c>
      <c r="AF13" s="15">
        <f>O13</f>
        <v/>
      </c>
      <c r="AG13" s="15">
        <f>O13</f>
        <v/>
      </c>
      <c r="AH13" s="15">
        <f>O13</f>
        <v/>
      </c>
      <c r="AI13" s="15">
        <f>O13</f>
        <v/>
      </c>
      <c r="AJ13" s="15">
        <f>O13</f>
        <v/>
      </c>
      <c r="AK13" s="15">
        <f>O13</f>
        <v/>
      </c>
      <c r="AL13" s="15">
        <f>O13</f>
        <v/>
      </c>
    </row>
    <row r="14">
      <c r="A14" s="3" t="inlineStr">
        <is>
          <t>Accrued Expenses — % of Revenue</t>
        </is>
      </c>
      <c r="B14" s="13">
        <f>IFERROR('QTR BS'!B16/'QTR P&amp;L'!E2,"")</f>
        <v/>
      </c>
      <c r="C14" s="13">
        <f>IFERROR('QTR BS'!C16/'QTR P&amp;L'!F2,"")</f>
        <v/>
      </c>
      <c r="D14" s="13">
        <f>IFERROR('QTR BS'!D16/'QTR P&amp;L'!G2,"")</f>
        <v/>
      </c>
      <c r="E14" s="13">
        <f>IFERROR('QTR BS'!E16/'QTR P&amp;L'!H2,"")</f>
        <v/>
      </c>
      <c r="F14" s="13">
        <f>IFERROR('QTR BS'!F16/'QTR P&amp;L'!I2,"")</f>
        <v/>
      </c>
      <c r="G14" s="13">
        <f>IFERROR('QTR BS'!G16/'QTR P&amp;L'!J2,"")</f>
        <v/>
      </c>
      <c r="H14" s="13">
        <f>IFERROR('QTR BS'!H16/'QTR P&amp;L'!K2,"")</f>
        <v/>
      </c>
      <c r="I14" s="13">
        <f>IFERROR('QTR BS'!I16/'QTR P&amp;L'!L2,"")</f>
        <v/>
      </c>
      <c r="J14" s="13">
        <f>IFERROR('QTR BS'!J16/'QTR P&amp;L'!M2,"")</f>
        <v/>
      </c>
      <c r="K14" s="13">
        <f>IFERROR('QTR BS'!K16/'QTR P&amp;L'!N2,"")</f>
        <v/>
      </c>
      <c r="L14" s="13">
        <f>IFERROR('QTR BS'!L16/'QTR P&amp;L'!O2,"")</f>
        <v/>
      </c>
      <c r="M14" s="13">
        <f>IFERROR('QTR BS'!M16/'QTR P&amp;L'!P2,"")</f>
        <v/>
      </c>
      <c r="N14" s="13">
        <f>IFERROR('QTR BS'!N16/'QTR P&amp;L'!Q2,"")</f>
        <v/>
      </c>
      <c r="O14" s="13">
        <f>IFERROR('QTR BS'!O16/'QTR P&amp;L'!R2,"")</f>
        <v/>
      </c>
      <c r="P14" s="14">
        <f>O14</f>
        <v/>
      </c>
      <c r="Q14" s="14">
        <f>O14</f>
        <v/>
      </c>
      <c r="R14" s="14">
        <f>O14</f>
        <v/>
      </c>
      <c r="S14" s="14">
        <f>O14</f>
        <v/>
      </c>
      <c r="T14" s="14">
        <f>O14</f>
        <v/>
      </c>
      <c r="U14" s="14">
        <f>O14</f>
        <v/>
      </c>
      <c r="V14" s="14">
        <f>O14</f>
        <v/>
      </c>
      <c r="W14" s="14">
        <f>O14</f>
        <v/>
      </c>
      <c r="X14" s="14">
        <f>O14</f>
        <v/>
      </c>
      <c r="Y14" s="14">
        <f>O14</f>
        <v/>
      </c>
      <c r="Z14" s="14">
        <f>O14</f>
        <v/>
      </c>
      <c r="AA14" s="14">
        <f>O14</f>
        <v/>
      </c>
      <c r="AB14" s="14">
        <f>O14</f>
        <v/>
      </c>
      <c r="AC14" s="14">
        <f>O14</f>
        <v/>
      </c>
      <c r="AD14" s="14">
        <f>O14</f>
        <v/>
      </c>
      <c r="AE14" s="14">
        <f>O14</f>
        <v/>
      </c>
      <c r="AF14" s="14">
        <f>O14</f>
        <v/>
      </c>
      <c r="AG14" s="14">
        <f>O14</f>
        <v/>
      </c>
      <c r="AH14" s="14">
        <f>O14</f>
        <v/>
      </c>
      <c r="AI14" s="14">
        <f>O14</f>
        <v/>
      </c>
      <c r="AJ14" s="14">
        <f>O14</f>
        <v/>
      </c>
      <c r="AK14" s="14">
        <f>O14</f>
        <v/>
      </c>
      <c r="AL14" s="14">
        <f>O14</f>
        <v/>
      </c>
    </row>
    <row r="15">
      <c r="A15" s="3" t="inlineStr">
        <is>
          <t>Long-Term Debt</t>
        </is>
      </c>
      <c r="B15" s="4">
        <f>'QTR BS'!B18</f>
        <v/>
      </c>
      <c r="C15" s="4">
        <f>'QTR BS'!C18</f>
        <v/>
      </c>
      <c r="D15" s="4">
        <f>'QTR BS'!D18</f>
        <v/>
      </c>
      <c r="E15" s="4">
        <f>'QTR BS'!E18</f>
        <v/>
      </c>
      <c r="F15" s="4">
        <f>'QTR BS'!F18</f>
        <v/>
      </c>
      <c r="G15" s="4">
        <f>'QTR BS'!G18</f>
        <v/>
      </c>
      <c r="H15" s="4">
        <f>'QTR BS'!H18</f>
        <v/>
      </c>
      <c r="I15" s="4">
        <f>'QTR BS'!I18</f>
        <v/>
      </c>
      <c r="J15" s="4">
        <f>'QTR BS'!J18</f>
        <v/>
      </c>
      <c r="K15" s="4">
        <f>'QTR BS'!K18</f>
        <v/>
      </c>
      <c r="L15" s="4">
        <f>'QTR BS'!L18</f>
        <v/>
      </c>
      <c r="M15" s="4">
        <f>'QTR BS'!M18</f>
        <v/>
      </c>
      <c r="N15" s="4">
        <f>'QTR BS'!N18</f>
        <v/>
      </c>
      <c r="O15" s="4">
        <f>'QTR BS'!O18</f>
        <v/>
      </c>
      <c r="P15" s="15">
        <f>O15</f>
        <v/>
      </c>
      <c r="Q15" s="15">
        <f>O15</f>
        <v/>
      </c>
      <c r="R15" s="15">
        <f>O15</f>
        <v/>
      </c>
      <c r="S15" s="15">
        <f>O15</f>
        <v/>
      </c>
      <c r="T15" s="15">
        <f>O15</f>
        <v/>
      </c>
      <c r="U15" s="15">
        <f>O15</f>
        <v/>
      </c>
      <c r="V15" s="15">
        <f>O15</f>
        <v/>
      </c>
      <c r="W15" s="15">
        <f>O15</f>
        <v/>
      </c>
      <c r="X15" s="15">
        <f>O15</f>
        <v/>
      </c>
      <c r="Y15" s="15">
        <f>O15</f>
        <v/>
      </c>
      <c r="Z15" s="15">
        <f>O15</f>
        <v/>
      </c>
      <c r="AA15" s="15">
        <f>O15</f>
        <v/>
      </c>
      <c r="AB15" s="15">
        <f>O15</f>
        <v/>
      </c>
      <c r="AC15" s="15">
        <f>O15</f>
        <v/>
      </c>
      <c r="AD15" s="15">
        <f>O15</f>
        <v/>
      </c>
      <c r="AE15" s="15">
        <f>O15</f>
        <v/>
      </c>
      <c r="AF15" s="15">
        <f>O15</f>
        <v/>
      </c>
      <c r="AG15" s="15">
        <f>O15</f>
        <v/>
      </c>
      <c r="AH15" s="15">
        <f>O15</f>
        <v/>
      </c>
      <c r="AI15" s="15">
        <f>O15</f>
        <v/>
      </c>
      <c r="AJ15" s="15">
        <f>O15</f>
        <v/>
      </c>
      <c r="AK15" s="15">
        <f>O15</f>
        <v/>
      </c>
      <c r="AL15" s="15">
        <f>O15</f>
        <v/>
      </c>
    </row>
    <row r="16">
      <c r="A16" s="3" t="inlineStr">
        <is>
          <t>Deferred Tax Liability</t>
        </is>
      </c>
      <c r="B16" s="4">
        <f>'QTR BS'!B19</f>
        <v/>
      </c>
      <c r="C16" s="4">
        <f>'QTR BS'!C19</f>
        <v/>
      </c>
      <c r="D16" s="4">
        <f>'QTR BS'!D19</f>
        <v/>
      </c>
      <c r="E16" s="4">
        <f>'QTR BS'!E19</f>
        <v/>
      </c>
      <c r="F16" s="4">
        <f>'QTR BS'!F19</f>
        <v/>
      </c>
      <c r="G16" s="4">
        <f>'QTR BS'!G19</f>
        <v/>
      </c>
      <c r="H16" s="4">
        <f>'QTR BS'!H19</f>
        <v/>
      </c>
      <c r="I16" s="4">
        <f>'QTR BS'!I19</f>
        <v/>
      </c>
      <c r="J16" s="4">
        <f>'QTR BS'!J19</f>
        <v/>
      </c>
      <c r="K16" s="4">
        <f>'QTR BS'!K19</f>
        <v/>
      </c>
      <c r="L16" s="4">
        <f>'QTR BS'!L19</f>
        <v/>
      </c>
      <c r="M16" s="4">
        <f>'QTR BS'!M19</f>
        <v/>
      </c>
      <c r="N16" s="4">
        <f>'QTR BS'!N19</f>
        <v/>
      </c>
      <c r="O16" s="4">
        <f>'QTR BS'!O19</f>
        <v/>
      </c>
      <c r="P16" s="15">
        <f>O16</f>
        <v/>
      </c>
      <c r="Q16" s="15">
        <f>O16</f>
        <v/>
      </c>
      <c r="R16" s="15">
        <f>O16</f>
        <v/>
      </c>
      <c r="S16" s="15">
        <f>O16</f>
        <v/>
      </c>
      <c r="T16" s="15">
        <f>O16</f>
        <v/>
      </c>
      <c r="U16" s="15">
        <f>O16</f>
        <v/>
      </c>
      <c r="V16" s="15">
        <f>O16</f>
        <v/>
      </c>
      <c r="W16" s="15">
        <f>O16</f>
        <v/>
      </c>
      <c r="X16" s="15">
        <f>O16</f>
        <v/>
      </c>
      <c r="Y16" s="15">
        <f>O16</f>
        <v/>
      </c>
      <c r="Z16" s="15">
        <f>O16</f>
        <v/>
      </c>
      <c r="AA16" s="15">
        <f>O16</f>
        <v/>
      </c>
      <c r="AB16" s="15">
        <f>O16</f>
        <v/>
      </c>
      <c r="AC16" s="15">
        <f>O16</f>
        <v/>
      </c>
      <c r="AD16" s="15">
        <f>O16</f>
        <v/>
      </c>
      <c r="AE16" s="15">
        <f>O16</f>
        <v/>
      </c>
      <c r="AF16" s="15">
        <f>O16</f>
        <v/>
      </c>
      <c r="AG16" s="15">
        <f>O16</f>
        <v/>
      </c>
      <c r="AH16" s="15">
        <f>O16</f>
        <v/>
      </c>
      <c r="AI16" s="15">
        <f>O16</f>
        <v/>
      </c>
      <c r="AJ16" s="15">
        <f>O16</f>
        <v/>
      </c>
      <c r="AK16" s="15">
        <f>O16</f>
        <v/>
      </c>
      <c r="AL16" s="15">
        <f>O16</f>
        <v/>
      </c>
    </row>
    <row r="17">
      <c r="A17" s="3" t="inlineStr">
        <is>
          <t>Other Non-Current Liabilities — % of Revenue</t>
        </is>
      </c>
      <c r="B17" s="13">
        <f>IFERROR('QTR BS'!B20/'QTR P&amp;L'!E2,"")</f>
        <v/>
      </c>
      <c r="C17" s="13">
        <f>IFERROR('QTR BS'!C20/'QTR P&amp;L'!F2,"")</f>
        <v/>
      </c>
      <c r="D17" s="13">
        <f>IFERROR('QTR BS'!D20/'QTR P&amp;L'!G2,"")</f>
        <v/>
      </c>
      <c r="E17" s="13">
        <f>IFERROR('QTR BS'!E20/'QTR P&amp;L'!H2,"")</f>
        <v/>
      </c>
      <c r="F17" s="13">
        <f>IFERROR('QTR BS'!F20/'QTR P&amp;L'!I2,"")</f>
        <v/>
      </c>
      <c r="G17" s="13">
        <f>IFERROR('QTR BS'!G20/'QTR P&amp;L'!J2,"")</f>
        <v/>
      </c>
      <c r="H17" s="13">
        <f>IFERROR('QTR BS'!H20/'QTR P&amp;L'!K2,"")</f>
        <v/>
      </c>
      <c r="I17" s="13">
        <f>IFERROR('QTR BS'!I20/'QTR P&amp;L'!L2,"")</f>
        <v/>
      </c>
      <c r="J17" s="13">
        <f>IFERROR('QTR BS'!J20/'QTR P&amp;L'!M2,"")</f>
        <v/>
      </c>
      <c r="K17" s="13">
        <f>IFERROR('QTR BS'!K20/'QTR P&amp;L'!N2,"")</f>
        <v/>
      </c>
      <c r="L17" s="13">
        <f>IFERROR('QTR BS'!L20/'QTR P&amp;L'!O2,"")</f>
        <v/>
      </c>
      <c r="M17" s="13">
        <f>IFERROR('QTR BS'!M20/'QTR P&amp;L'!P2,"")</f>
        <v/>
      </c>
      <c r="N17" s="13">
        <f>IFERROR('QTR BS'!N20/'QTR P&amp;L'!Q2,"")</f>
        <v/>
      </c>
      <c r="O17" s="13">
        <f>IFERROR('QTR BS'!O20/'QTR P&amp;L'!R2,"")</f>
        <v/>
      </c>
      <c r="P17" s="14">
        <f>O17</f>
        <v/>
      </c>
      <c r="Q17" s="14">
        <f>O17</f>
        <v/>
      </c>
      <c r="R17" s="14">
        <f>O17</f>
        <v/>
      </c>
      <c r="S17" s="14">
        <f>O17</f>
        <v/>
      </c>
      <c r="T17" s="14">
        <f>O17</f>
        <v/>
      </c>
      <c r="U17" s="14">
        <f>O17</f>
        <v/>
      </c>
      <c r="V17" s="14">
        <f>O17</f>
        <v/>
      </c>
      <c r="W17" s="14">
        <f>O17</f>
        <v/>
      </c>
      <c r="X17" s="14">
        <f>O17</f>
        <v/>
      </c>
      <c r="Y17" s="14">
        <f>O17</f>
        <v/>
      </c>
      <c r="Z17" s="14">
        <f>O17</f>
        <v/>
      </c>
      <c r="AA17" s="14">
        <f>O17</f>
        <v/>
      </c>
      <c r="AB17" s="14">
        <f>O17</f>
        <v/>
      </c>
      <c r="AC17" s="14">
        <f>O17</f>
        <v/>
      </c>
      <c r="AD17" s="14">
        <f>O17</f>
        <v/>
      </c>
      <c r="AE17" s="14">
        <f>O17</f>
        <v/>
      </c>
      <c r="AF17" s="14">
        <f>O17</f>
        <v/>
      </c>
      <c r="AG17" s="14">
        <f>O17</f>
        <v/>
      </c>
      <c r="AH17" s="14">
        <f>O17</f>
        <v/>
      </c>
      <c r="AI17" s="14">
        <f>O17</f>
        <v/>
      </c>
      <c r="AJ17" s="14">
        <f>O17</f>
        <v/>
      </c>
      <c r="AK17" s="14">
        <f>O17</f>
        <v/>
      </c>
      <c r="AL17" s="14">
        <f>O17</f>
        <v/>
      </c>
    </row>
    <row r="18">
      <c r="A18" s="3" t="inlineStr">
        <is>
          <t>Common Stock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15">
        <f>O18</f>
        <v/>
      </c>
      <c r="Q18" s="15">
        <f>O18</f>
        <v/>
      </c>
      <c r="R18" s="15">
        <f>O18</f>
        <v/>
      </c>
      <c r="S18" s="15">
        <f>O18</f>
        <v/>
      </c>
      <c r="T18" s="15">
        <f>O18</f>
        <v/>
      </c>
      <c r="U18" s="15">
        <f>O18</f>
        <v/>
      </c>
      <c r="V18" s="15">
        <f>O18</f>
        <v/>
      </c>
      <c r="W18" s="15">
        <f>O18</f>
        <v/>
      </c>
      <c r="X18" s="15">
        <f>O18</f>
        <v/>
      </c>
      <c r="Y18" s="15">
        <f>O18</f>
        <v/>
      </c>
      <c r="Z18" s="15">
        <f>O18</f>
        <v/>
      </c>
      <c r="AA18" s="15">
        <f>O18</f>
        <v/>
      </c>
      <c r="AB18" s="15">
        <f>O18</f>
        <v/>
      </c>
      <c r="AC18" s="15">
        <f>O18</f>
        <v/>
      </c>
      <c r="AD18" s="15">
        <f>O18</f>
        <v/>
      </c>
      <c r="AE18" s="15">
        <f>O18</f>
        <v/>
      </c>
      <c r="AF18" s="15">
        <f>O18</f>
        <v/>
      </c>
      <c r="AG18" s="15">
        <f>O18</f>
        <v/>
      </c>
      <c r="AH18" s="15">
        <f>O18</f>
        <v/>
      </c>
      <c r="AI18" s="15">
        <f>O18</f>
        <v/>
      </c>
      <c r="AJ18" s="15">
        <f>O18</f>
        <v/>
      </c>
      <c r="AK18" s="15">
        <f>O18</f>
        <v/>
      </c>
      <c r="AL18" s="15">
        <f>O18</f>
        <v/>
      </c>
    </row>
    <row r="19">
      <c r="A19" s="3" t="inlineStr">
        <is>
          <t>Additional Paid-in Capital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4">
        <f>O19+'QTR CF'!S10</f>
        <v/>
      </c>
      <c r="Q19" s="4">
        <f>P19+'QTR CF'!T10</f>
        <v/>
      </c>
      <c r="R19" s="4">
        <f>Q19+'QTR CF'!U10</f>
        <v/>
      </c>
      <c r="S19" s="4">
        <f>R19+'QTR CF'!V10</f>
        <v/>
      </c>
      <c r="T19" s="4">
        <f>S19+'QTR CF'!W10</f>
        <v/>
      </c>
      <c r="U19" s="4">
        <f>T19+'QTR CF'!X10</f>
        <v/>
      </c>
      <c r="V19" s="4">
        <f>U19+'QTR CF'!Y10</f>
        <v/>
      </c>
      <c r="W19" s="4">
        <f>V19+'QTR CF'!Z10</f>
        <v/>
      </c>
      <c r="X19" s="4">
        <f>W19+'QTR CF'!AA10</f>
        <v/>
      </c>
      <c r="Y19" s="4">
        <f>X19+'QTR CF'!AB10</f>
        <v/>
      </c>
      <c r="Z19" s="4">
        <f>Y19+'QTR CF'!AC10</f>
        <v/>
      </c>
      <c r="AA19" s="4">
        <f>Z19+'QTR CF'!AD10</f>
        <v/>
      </c>
      <c r="AB19" s="4">
        <f>AA19+'QTR CF'!AE10</f>
        <v/>
      </c>
      <c r="AC19" s="4">
        <f>AB19+'QTR CF'!AF10</f>
        <v/>
      </c>
      <c r="AD19" s="4">
        <f>AC19+'QTR CF'!AG10</f>
        <v/>
      </c>
      <c r="AE19" s="4">
        <f>AD19+'QTR CF'!AH10</f>
        <v/>
      </c>
      <c r="AF19" s="4">
        <f>AE19+'QTR CF'!AI10</f>
        <v/>
      </c>
      <c r="AG19" s="4">
        <f>AF19+'QTR CF'!AJ10</f>
        <v/>
      </c>
      <c r="AH19" s="4">
        <f>AG19+'QTR CF'!AK10</f>
        <v/>
      </c>
      <c r="AI19" s="4">
        <f>AH19+'QTR CF'!AL10</f>
        <v/>
      </c>
      <c r="AJ19" s="4">
        <f>AI19+'QTR CF'!AM10</f>
        <v/>
      </c>
      <c r="AK19" s="4">
        <f>AJ19+'QTR CF'!AN10</f>
        <v/>
      </c>
      <c r="AL19" s="4">
        <f>AK19+'QTR CF'!AO10</f>
        <v/>
      </c>
    </row>
    <row r="20">
      <c r="A20" s="3" t="inlineStr">
        <is>
          <t>Retained Earnings (Accumulated Deficit)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O20+'QTR P&amp;L'!S13+'QTR CF'!S41</f>
        <v/>
      </c>
      <c r="Q20" s="4">
        <f>P20+'QTR P&amp;L'!T13+'QTR CF'!T41</f>
        <v/>
      </c>
      <c r="R20" s="4">
        <f>Q20+'QTR P&amp;L'!U13+'QTR CF'!U41</f>
        <v/>
      </c>
      <c r="S20" s="4">
        <f>R20+'QTR P&amp;L'!V13+'QTR CF'!V41</f>
        <v/>
      </c>
      <c r="T20" s="4">
        <f>S20+'QTR P&amp;L'!W13+'QTR CF'!W41</f>
        <v/>
      </c>
      <c r="U20" s="4">
        <f>T20+'QTR P&amp;L'!X13+'QTR CF'!X41</f>
        <v/>
      </c>
      <c r="V20" s="4">
        <f>U20+'QTR P&amp;L'!Y13+'QTR CF'!Y41</f>
        <v/>
      </c>
      <c r="W20" s="4">
        <f>V20+'QTR P&amp;L'!Z13+'QTR CF'!Z41</f>
        <v/>
      </c>
      <c r="X20" s="4">
        <f>W20+'QTR P&amp;L'!AA13+'QTR CF'!AA41</f>
        <v/>
      </c>
      <c r="Y20" s="4">
        <f>X20+'QTR P&amp;L'!AB13+'QTR CF'!AB41</f>
        <v/>
      </c>
      <c r="Z20" s="4">
        <f>Y20+'QTR P&amp;L'!AC13+'QTR CF'!AC41</f>
        <v/>
      </c>
      <c r="AA20" s="4">
        <f>Z20+'QTR P&amp;L'!AD13+'QTR CF'!AD41</f>
        <v/>
      </c>
      <c r="AB20" s="4">
        <f>AA20+'QTR P&amp;L'!AE13+'QTR CF'!AE41</f>
        <v/>
      </c>
      <c r="AC20" s="4">
        <f>AB20+'QTR P&amp;L'!AF13+'QTR CF'!AF41</f>
        <v/>
      </c>
      <c r="AD20" s="4">
        <f>AC20+'QTR P&amp;L'!AG13+'QTR CF'!AG41</f>
        <v/>
      </c>
      <c r="AE20" s="4">
        <f>AD20+'QTR P&amp;L'!AH13+'QTR CF'!AH41</f>
        <v/>
      </c>
      <c r="AF20" s="4">
        <f>AE20+'QTR P&amp;L'!AI13+'QTR CF'!AI41</f>
        <v/>
      </c>
      <c r="AG20" s="4">
        <f>AF20+'QTR P&amp;L'!AJ13+'QTR CF'!AJ41</f>
        <v/>
      </c>
      <c r="AH20" s="4">
        <f>AG20+'QTR P&amp;L'!AK13+'QTR CF'!AK41</f>
        <v/>
      </c>
      <c r="AI20" s="4">
        <f>AH20+'QTR P&amp;L'!AL13+'QTR CF'!AL41</f>
        <v/>
      </c>
      <c r="AJ20" s="4">
        <f>AI20+'QTR P&amp;L'!AM13+'QTR CF'!AM41</f>
        <v/>
      </c>
      <c r="AK20" s="4">
        <f>AJ20+'QTR P&amp;L'!AN13+'QTR CF'!AN41</f>
        <v/>
      </c>
      <c r="AL20" s="4">
        <f>AK20+'QTR P&amp;L'!AO13+'QTR CF'!AO41</f>
        <v/>
      </c>
    </row>
    <row r="21">
      <c r="A21" s="3" t="inlineStr">
        <is>
          <t>Accumulated Other Comprehensive Income (Loss)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4">
        <f>O21+'QTR CF'!S47</f>
        <v/>
      </c>
      <c r="Q21" s="4">
        <f>P21+'QTR CF'!T47</f>
        <v/>
      </c>
      <c r="R21" s="4">
        <f>Q21+'QTR CF'!U47</f>
        <v/>
      </c>
      <c r="S21" s="4">
        <f>R21+'QTR CF'!V47</f>
        <v/>
      </c>
      <c r="T21" s="4">
        <f>S21+'QTR CF'!W47</f>
        <v/>
      </c>
      <c r="U21" s="4">
        <f>T21+'QTR CF'!X47</f>
        <v/>
      </c>
      <c r="V21" s="4">
        <f>U21+'QTR CF'!Y47</f>
        <v/>
      </c>
      <c r="W21" s="4">
        <f>V21+'QTR CF'!Z47</f>
        <v/>
      </c>
      <c r="X21" s="4">
        <f>W21+'QTR CF'!AA47</f>
        <v/>
      </c>
      <c r="Y21" s="4">
        <f>X21+'QTR CF'!AB47</f>
        <v/>
      </c>
      <c r="Z21" s="4">
        <f>Y21+'QTR CF'!AC47</f>
        <v/>
      </c>
      <c r="AA21" s="4">
        <f>Z21+'QTR CF'!AD47</f>
        <v/>
      </c>
      <c r="AB21" s="4">
        <f>AA21+'QTR CF'!AE47</f>
        <v/>
      </c>
      <c r="AC21" s="4">
        <f>AB21+'QTR CF'!AF47</f>
        <v/>
      </c>
      <c r="AD21" s="4">
        <f>AC21+'QTR CF'!AG47</f>
        <v/>
      </c>
      <c r="AE21" s="4">
        <f>AD21+'QTR CF'!AH47</f>
        <v/>
      </c>
      <c r="AF21" s="4">
        <f>AE21+'QTR CF'!AI47</f>
        <v/>
      </c>
      <c r="AG21" s="4">
        <f>AF21+'QTR CF'!AJ47</f>
        <v/>
      </c>
      <c r="AH21" s="4">
        <f>AG21+'QTR CF'!AK47</f>
        <v/>
      </c>
      <c r="AI21" s="4">
        <f>AH21+'QTR CF'!AL47</f>
        <v/>
      </c>
      <c r="AJ21" s="4">
        <f>AI21+'QTR CF'!AM47</f>
        <v/>
      </c>
      <c r="AK21" s="4">
        <f>AJ21+'QTR CF'!AN47</f>
        <v/>
      </c>
      <c r="AL21" s="4">
        <f>AK21+'QTR CF'!AO47</f>
        <v/>
      </c>
    </row>
    <row r="22">
      <c r="A22" s="3" t="inlineStr">
        <is>
          <t>Treasury Stock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15">
        <f>O22</f>
        <v/>
      </c>
      <c r="Q22" s="15">
        <f>O22</f>
        <v/>
      </c>
      <c r="R22" s="15">
        <f>O22</f>
        <v/>
      </c>
      <c r="S22" s="15">
        <f>O22</f>
        <v/>
      </c>
      <c r="T22" s="15">
        <f>O22</f>
        <v/>
      </c>
      <c r="U22" s="15">
        <f>O22</f>
        <v/>
      </c>
      <c r="V22" s="15">
        <f>O22</f>
        <v/>
      </c>
      <c r="W22" s="15">
        <f>O22</f>
        <v/>
      </c>
      <c r="X22" s="15">
        <f>O22</f>
        <v/>
      </c>
      <c r="Y22" s="15">
        <f>O22</f>
        <v/>
      </c>
      <c r="Z22" s="15">
        <f>O22</f>
        <v/>
      </c>
      <c r="AA22" s="15">
        <f>O22</f>
        <v/>
      </c>
      <c r="AB22" s="15">
        <f>O22</f>
        <v/>
      </c>
      <c r="AC22" s="15">
        <f>O22</f>
        <v/>
      </c>
      <c r="AD22" s="15">
        <f>O22</f>
        <v/>
      </c>
      <c r="AE22" s="15">
        <f>O22</f>
        <v/>
      </c>
      <c r="AF22" s="15">
        <f>O22</f>
        <v/>
      </c>
      <c r="AG22" s="15">
        <f>O22</f>
        <v/>
      </c>
      <c r="AH22" s="15">
        <f>O22</f>
        <v/>
      </c>
      <c r="AI22" s="15">
        <f>O22</f>
        <v/>
      </c>
      <c r="AJ22" s="15">
        <f>O22</f>
        <v/>
      </c>
      <c r="AK22" s="15">
        <f>O22</f>
        <v/>
      </c>
      <c r="AL22" s="15">
        <f>O22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15">
        <f>O23</f>
        <v/>
      </c>
      <c r="Q23" s="15">
        <f>O23</f>
        <v/>
      </c>
      <c r="R23" s="15">
        <f>O23</f>
        <v/>
      </c>
      <c r="S23" s="15">
        <f>O23</f>
        <v/>
      </c>
      <c r="T23" s="15">
        <f>O23</f>
        <v/>
      </c>
      <c r="U23" s="15">
        <f>O23</f>
        <v/>
      </c>
      <c r="V23" s="15">
        <f>O23</f>
        <v/>
      </c>
      <c r="W23" s="15">
        <f>O23</f>
        <v/>
      </c>
      <c r="X23" s="15">
        <f>O23</f>
        <v/>
      </c>
      <c r="Y23" s="15">
        <f>O23</f>
        <v/>
      </c>
      <c r="Z23" s="15">
        <f>O23</f>
        <v/>
      </c>
      <c r="AA23" s="15">
        <f>O23</f>
        <v/>
      </c>
      <c r="AB23" s="15">
        <f>O23</f>
        <v/>
      </c>
      <c r="AC23" s="15">
        <f>O23</f>
        <v/>
      </c>
      <c r="AD23" s="15">
        <f>O23</f>
        <v/>
      </c>
      <c r="AE23" s="15">
        <f>O23</f>
        <v/>
      </c>
      <c r="AF23" s="15">
        <f>O23</f>
        <v/>
      </c>
      <c r="AG23" s="15">
        <f>O23</f>
        <v/>
      </c>
      <c r="AH23" s="15">
        <f>O23</f>
        <v/>
      </c>
      <c r="AI23" s="15">
        <f>O23</f>
        <v/>
      </c>
      <c r="AJ23" s="15">
        <f>O23</f>
        <v/>
      </c>
      <c r="AK23" s="15">
        <f>O23</f>
        <v/>
      </c>
      <c r="AL23" s="15">
        <f>O23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  <c r="AH2" s="4">
        <f>'QTR P&amp;L'!AH13</f>
        <v/>
      </c>
      <c r="AI2" s="4">
        <f>'QTR P&amp;L'!AI13</f>
        <v/>
      </c>
      <c r="AJ2" s="4">
        <f>'QTR P&amp;L'!AJ13</f>
        <v/>
      </c>
      <c r="AK2" s="4">
        <f>'QTR P&amp;L'!AK13</f>
        <v/>
      </c>
      <c r="AL2" s="4">
        <f>'QTR P&amp;L'!AL13</f>
        <v/>
      </c>
      <c r="AM2" s="4">
        <f>'QTR P&amp;L'!AM13</f>
        <v/>
      </c>
      <c r="AN2" s="4">
        <f>'QTR P&amp;L'!AN13</f>
        <v/>
      </c>
      <c r="AO2" s="4">
        <f>'QTR P&amp;L'!AO13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  <c r="AL3" s="14">
        <f>R3</f>
        <v/>
      </c>
      <c r="AM3" s="14">
        <f>R3</f>
        <v/>
      </c>
      <c r="AN3" s="14">
        <f>R3</f>
        <v/>
      </c>
      <c r="AO3" s="14">
        <f>R3</f>
        <v/>
      </c>
    </row>
    <row r="4">
      <c r="A4" s="3" t="inlineStr">
        <is>
          <t>Gain on Juice Transaction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</row>
    <row r="5">
      <c r="A5" s="3" t="inlineStr">
        <is>
          <t>Impairment and Other Charges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</row>
    <row r="6">
      <c r="A6" s="3" t="inlineStr">
        <is>
          <t>Indirect Tax Impact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</row>
    <row r="7">
      <c r="A7" s="3" t="inlineStr">
        <is>
          <t>Product Recall Impact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0</v>
      </c>
      <c r="AO7" s="15" t="n">
        <v>0</v>
      </c>
    </row>
    <row r="8">
      <c r="A8" s="3" t="inlineStr">
        <is>
          <t>Cash Payments for Product Recall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</row>
    <row r="9">
      <c r="A9" s="3" t="inlineStr">
        <is>
          <t>Operating Lease ROU Asset Amortization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4">
        <f>'QTR CF'!R9</f>
        <v/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</row>
    <row r="10">
      <c r="A10" s="3" t="inlineStr">
        <is>
          <t>Stock-Based Compensation — % of Revenue</t>
        </is>
      </c>
      <c r="B10" s="13">
        <f>IFERROR('QTR CF'!B10/'QTR P&amp;L'!B2,"")</f>
        <v/>
      </c>
      <c r="C10" s="13">
        <f>IFERROR('QTR CF'!C10/'QTR P&amp;L'!C2,"")</f>
        <v/>
      </c>
      <c r="D10" s="13">
        <f>IFERROR('QTR CF'!D10/'QTR P&amp;L'!D2,"")</f>
        <v/>
      </c>
      <c r="E10" s="13">
        <f>IFERROR('QTR CF'!E10/'QTR P&amp;L'!E2,"")</f>
        <v/>
      </c>
      <c r="F10" s="13">
        <f>IFERROR('QTR CF'!F10/'QTR P&amp;L'!F2,"")</f>
        <v/>
      </c>
      <c r="G10" s="13">
        <f>IFERROR('QTR CF'!G10/'QTR P&amp;L'!G2,"")</f>
        <v/>
      </c>
      <c r="H10" s="13">
        <f>IFERROR('QTR CF'!H10/'QTR P&amp;L'!H2,"")</f>
        <v/>
      </c>
      <c r="I10" s="13">
        <f>IFERROR('QTR CF'!I10/'QTR P&amp;L'!I2,"")</f>
        <v/>
      </c>
      <c r="J10" s="13">
        <f>IFERROR('QTR CF'!J10/'QTR P&amp;L'!J2,"")</f>
        <v/>
      </c>
      <c r="K10" s="13">
        <f>IFERROR('QTR CF'!K10/'QTR P&amp;L'!K2,"")</f>
        <v/>
      </c>
      <c r="L10" s="13">
        <f>IFERROR('QTR CF'!L10/'QTR P&amp;L'!L2,"")</f>
        <v/>
      </c>
      <c r="M10" s="13">
        <f>IFERROR('QTR CF'!M10/'QTR P&amp;L'!M2,"")</f>
        <v/>
      </c>
      <c r="N10" s="13">
        <f>IFERROR('QTR CF'!N10/'QTR P&amp;L'!N2,"")</f>
        <v/>
      </c>
      <c r="O10" s="13">
        <f>IFERROR('QTR CF'!O10/'QTR P&amp;L'!O2,"")</f>
        <v/>
      </c>
      <c r="P10" s="13">
        <f>IFERROR('QTR CF'!P10/'QTR P&amp;L'!P2,"")</f>
        <v/>
      </c>
      <c r="Q10" s="13">
        <f>IFERROR('QTR CF'!Q10/'QTR P&amp;L'!Q2,"")</f>
        <v/>
      </c>
      <c r="R10" s="13">
        <f>IFERROR('QTR CF'!R10/'QTR P&amp;L'!R2,"")</f>
        <v/>
      </c>
      <c r="S10" s="14">
        <f>R10</f>
        <v/>
      </c>
      <c r="T10" s="14">
        <f>R10</f>
        <v/>
      </c>
      <c r="U10" s="14">
        <f>R10</f>
        <v/>
      </c>
      <c r="V10" s="14">
        <f>R10</f>
        <v/>
      </c>
      <c r="W10" s="14">
        <f>R10</f>
        <v/>
      </c>
      <c r="X10" s="14">
        <f>R10</f>
        <v/>
      </c>
      <c r="Y10" s="14">
        <f>R10</f>
        <v/>
      </c>
      <c r="Z10" s="14">
        <f>R10</f>
        <v/>
      </c>
      <c r="AA10" s="14">
        <f>R10</f>
        <v/>
      </c>
      <c r="AB10" s="14">
        <f>R10</f>
        <v/>
      </c>
      <c r="AC10" s="14">
        <f>R10</f>
        <v/>
      </c>
      <c r="AD10" s="14">
        <f>R10</f>
        <v/>
      </c>
      <c r="AE10" s="14">
        <f>R10</f>
        <v/>
      </c>
      <c r="AF10" s="14">
        <f>R10</f>
        <v/>
      </c>
      <c r="AG10" s="14">
        <f>R10</f>
        <v/>
      </c>
      <c r="AH10" s="14">
        <f>R10</f>
        <v/>
      </c>
      <c r="AI10" s="14">
        <f>R10</f>
        <v/>
      </c>
      <c r="AJ10" s="14">
        <f>R10</f>
        <v/>
      </c>
      <c r="AK10" s="14">
        <f>R10</f>
        <v/>
      </c>
      <c r="AL10" s="14">
        <f>R10</f>
        <v/>
      </c>
      <c r="AM10" s="14">
        <f>R10</f>
        <v/>
      </c>
      <c r="AN10" s="14">
        <f>R10</f>
        <v/>
      </c>
      <c r="AO10" s="14">
        <f>R10</f>
        <v/>
      </c>
    </row>
    <row r="11">
      <c r="A11" s="3" t="inlineStr">
        <is>
          <t>Restructuring and Asset Impairment Charges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</row>
    <row r="12">
      <c r="A12" s="3" t="inlineStr">
        <is>
          <t>Cash Payments for Restructuring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0</v>
      </c>
      <c r="AO12" s="15" t="n">
        <v>0</v>
      </c>
    </row>
    <row r="13">
      <c r="A13" s="3" t="inlineStr">
        <is>
          <t>Acquisition and Divestiture-Related Charges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  <c r="AL13" s="15" t="n">
        <v>0</v>
      </c>
      <c r="AM13" s="15" t="n">
        <v>0</v>
      </c>
      <c r="AN13" s="15" t="n">
        <v>0</v>
      </c>
      <c r="AO13" s="15" t="n">
        <v>0</v>
      </c>
    </row>
    <row r="14">
      <c r="A14" s="3" t="inlineStr">
        <is>
          <t>Cash Payments for Acquisition and Divestiture Costs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  <c r="AL14" s="15" t="n">
        <v>0</v>
      </c>
      <c r="AM14" s="15" t="n">
        <v>0</v>
      </c>
      <c r="AN14" s="15" t="n">
        <v>0</v>
      </c>
      <c r="AO14" s="15" t="n">
        <v>0</v>
      </c>
    </row>
    <row r="15">
      <c r="A15" s="3" t="inlineStr">
        <is>
          <t>Pension and Postretirement Benefits Expense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</row>
    <row r="16">
      <c r="A16" s="3" t="inlineStr">
        <is>
          <t>Pension and Postretirement Benefits Contributions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'QTR CF'!R16</f>
        <v/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</row>
    <row r="17">
      <c r="A17" s="3" t="inlineStr">
        <is>
          <t>(Benefit) Provision for Deferred Income Taxes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'QTR CF'!R17</f>
        <v/>
      </c>
      <c r="S17" s="15">
        <f>R17</f>
        <v/>
      </c>
      <c r="T17" s="15">
        <f>R17</f>
        <v/>
      </c>
      <c r="U17" s="15">
        <f>R17</f>
        <v/>
      </c>
      <c r="V17" s="15">
        <f>R17</f>
        <v/>
      </c>
      <c r="W17" s="15">
        <f>R17</f>
        <v/>
      </c>
      <c r="X17" s="15">
        <f>R17</f>
        <v/>
      </c>
      <c r="Y17" s="15">
        <f>R17</f>
        <v/>
      </c>
      <c r="Z17" s="15">
        <f>R17</f>
        <v/>
      </c>
      <c r="AA17" s="15">
        <f>R17</f>
        <v/>
      </c>
      <c r="AB17" s="15">
        <f>R17</f>
        <v/>
      </c>
      <c r="AC17" s="15">
        <f>R17</f>
        <v/>
      </c>
      <c r="AD17" s="15">
        <f>R17</f>
        <v/>
      </c>
      <c r="AE17" s="15">
        <f>R17</f>
        <v/>
      </c>
      <c r="AF17" s="15">
        <f>R17</f>
        <v/>
      </c>
      <c r="AG17" s="15">
        <f>R17</f>
        <v/>
      </c>
      <c r="AH17" s="15">
        <f>R17</f>
        <v/>
      </c>
      <c r="AI17" s="15">
        <f>R17</f>
        <v/>
      </c>
      <c r="AJ17" s="15">
        <f>R17</f>
        <v/>
      </c>
      <c r="AK17" s="15">
        <f>R17</f>
        <v/>
      </c>
      <c r="AL17" s="15">
        <f>R17</f>
        <v/>
      </c>
      <c r="AM17" s="15">
        <f>R17</f>
        <v/>
      </c>
      <c r="AN17" s="15">
        <f>R17</f>
        <v/>
      </c>
      <c r="AO17" s="15">
        <f>R17</f>
        <v/>
      </c>
    </row>
    <row r="18">
      <c r="A18" s="3" t="inlineStr">
        <is>
          <t>Tax Expense Related to TCJ Act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'QTR CF'!R18</f>
        <v/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0</v>
      </c>
    </row>
    <row r="19">
      <c r="A19" s="3" t="inlineStr">
        <is>
          <t>Tax Payments Related to TCJ Act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4">
        <f>'QTR CF'!R19</f>
        <v/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</row>
    <row r="20">
      <c r="A20" s="3" t="inlineStr">
        <is>
          <t>Accounts Receivable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'QTR CF'!R20</f>
        <v/>
      </c>
      <c r="S20" s="4">
        <f>-('QTR BS'!P4-'QTR BS'!O4)</f>
        <v/>
      </c>
      <c r="T20" s="4">
        <f>-('QTR BS'!Q4-'QTR BS'!P4)</f>
        <v/>
      </c>
      <c r="U20" s="4">
        <f>-('QTR BS'!R4-'QTR BS'!Q4)</f>
        <v/>
      </c>
      <c r="V20" s="4">
        <f>-('QTR BS'!S4-'QTR BS'!R4)</f>
        <v/>
      </c>
      <c r="W20" s="4">
        <f>-('QTR BS'!T4-'QTR BS'!S4)</f>
        <v/>
      </c>
      <c r="X20" s="4">
        <f>-('QTR BS'!U4-'QTR BS'!T4)</f>
        <v/>
      </c>
      <c r="Y20" s="4">
        <f>-('QTR BS'!V4-'QTR BS'!U4)</f>
        <v/>
      </c>
      <c r="Z20" s="4">
        <f>-('QTR BS'!W4-'QTR BS'!V4)</f>
        <v/>
      </c>
      <c r="AA20" s="4">
        <f>-('QTR BS'!X4-'QTR BS'!W4)</f>
        <v/>
      </c>
      <c r="AB20" s="4">
        <f>-('QTR BS'!Y4-'QTR BS'!X4)</f>
        <v/>
      </c>
      <c r="AC20" s="4">
        <f>-('QTR BS'!Z4-'QTR BS'!Y4)</f>
        <v/>
      </c>
      <c r="AD20" s="4">
        <f>-('QTR BS'!AA4-'QTR BS'!Z4)</f>
        <v/>
      </c>
      <c r="AE20" s="4">
        <f>-('QTR BS'!AB4-'QTR BS'!AA4)</f>
        <v/>
      </c>
      <c r="AF20" s="4">
        <f>-('QTR BS'!AC4-'QTR BS'!AB4)</f>
        <v/>
      </c>
      <c r="AG20" s="4">
        <f>-('QTR BS'!AD4-'QTR BS'!AC4)</f>
        <v/>
      </c>
      <c r="AH20" s="4">
        <f>-('QTR BS'!AE4-'QTR BS'!AD4)</f>
        <v/>
      </c>
      <c r="AI20" s="4">
        <f>-('QTR BS'!AF4-'QTR BS'!AE4)</f>
        <v/>
      </c>
      <c r="AJ20" s="4">
        <f>-('QTR BS'!AG4-'QTR BS'!AF4)</f>
        <v/>
      </c>
      <c r="AK20" s="4">
        <f>-('QTR BS'!AH4-'QTR BS'!AG4)</f>
        <v/>
      </c>
      <c r="AL20" s="4">
        <f>-('QTR BS'!AI4-'QTR BS'!AH4)</f>
        <v/>
      </c>
      <c r="AM20" s="4">
        <f>-('QTR BS'!AJ4-'QTR BS'!AI4)</f>
        <v/>
      </c>
      <c r="AN20" s="4">
        <f>-('QTR BS'!AK4-'QTR BS'!AJ4)</f>
        <v/>
      </c>
      <c r="AO20" s="4">
        <f>-('QTR BS'!AL4-'QTR BS'!AK4)</f>
        <v/>
      </c>
    </row>
    <row r="21">
      <c r="A21" s="3" t="inlineStr">
        <is>
          <t>Inventories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'QTR CF'!R21</f>
        <v/>
      </c>
      <c r="S21" s="4">
        <f>-('QTR BS'!P5-'QTR BS'!O5)</f>
        <v/>
      </c>
      <c r="T21" s="4">
        <f>-('QTR BS'!Q5-'QTR BS'!P5)</f>
        <v/>
      </c>
      <c r="U21" s="4">
        <f>-('QTR BS'!R5-'QTR BS'!Q5)</f>
        <v/>
      </c>
      <c r="V21" s="4">
        <f>-('QTR BS'!S5-'QTR BS'!R5)</f>
        <v/>
      </c>
      <c r="W21" s="4">
        <f>-('QTR BS'!T5-'QTR BS'!S5)</f>
        <v/>
      </c>
      <c r="X21" s="4">
        <f>-('QTR BS'!U5-'QTR BS'!T5)</f>
        <v/>
      </c>
      <c r="Y21" s="4">
        <f>-('QTR BS'!V5-'QTR BS'!U5)</f>
        <v/>
      </c>
      <c r="Z21" s="4">
        <f>-('QTR BS'!W5-'QTR BS'!V5)</f>
        <v/>
      </c>
      <c r="AA21" s="4">
        <f>-('QTR BS'!X5-'QTR BS'!W5)</f>
        <v/>
      </c>
      <c r="AB21" s="4">
        <f>-('QTR BS'!Y5-'QTR BS'!X5)</f>
        <v/>
      </c>
      <c r="AC21" s="4">
        <f>-('QTR BS'!Z5-'QTR BS'!Y5)</f>
        <v/>
      </c>
      <c r="AD21" s="4">
        <f>-('QTR BS'!AA5-'QTR BS'!Z5)</f>
        <v/>
      </c>
      <c r="AE21" s="4">
        <f>-('QTR BS'!AB5-'QTR BS'!AA5)</f>
        <v/>
      </c>
      <c r="AF21" s="4">
        <f>-('QTR BS'!AC5-'QTR BS'!AB5)</f>
        <v/>
      </c>
      <c r="AG21" s="4">
        <f>-('QTR BS'!AD5-'QTR BS'!AC5)</f>
        <v/>
      </c>
      <c r="AH21" s="4">
        <f>-('QTR BS'!AE5-'QTR BS'!AD5)</f>
        <v/>
      </c>
      <c r="AI21" s="4">
        <f>-('QTR BS'!AF5-'QTR BS'!AE5)</f>
        <v/>
      </c>
      <c r="AJ21" s="4">
        <f>-('QTR BS'!AG5-'QTR BS'!AF5)</f>
        <v/>
      </c>
      <c r="AK21" s="4">
        <f>-('QTR BS'!AH5-'QTR BS'!AG5)</f>
        <v/>
      </c>
      <c r="AL21" s="4">
        <f>-('QTR BS'!AI5-'QTR BS'!AH5)</f>
        <v/>
      </c>
      <c r="AM21" s="4">
        <f>-('QTR BS'!AJ5-'QTR BS'!AI5)</f>
        <v/>
      </c>
      <c r="AN21" s="4">
        <f>-('QTR BS'!AK5-'QTR BS'!AJ5)</f>
        <v/>
      </c>
      <c r="AO21" s="4">
        <f>-('QTR BS'!AL5-'QTR BS'!AK5)</f>
        <v/>
      </c>
    </row>
    <row r="22">
      <c r="A22" s="3" t="inlineStr">
        <is>
          <t>Prepaid Expenses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'QTR CF'!R22</f>
        <v/>
      </c>
      <c r="S22" s="4">
        <f>-('QTR BS'!P6-'QTR BS'!O6)</f>
        <v/>
      </c>
      <c r="T22" s="4">
        <f>-('QTR BS'!Q6-'QTR BS'!P6)</f>
        <v/>
      </c>
      <c r="U22" s="4">
        <f>-('QTR BS'!R6-'QTR BS'!Q6)</f>
        <v/>
      </c>
      <c r="V22" s="4">
        <f>-('QTR BS'!S6-'QTR BS'!R6)</f>
        <v/>
      </c>
      <c r="W22" s="4">
        <f>-('QTR BS'!T6-'QTR BS'!S6)</f>
        <v/>
      </c>
      <c r="X22" s="4">
        <f>-('QTR BS'!U6-'QTR BS'!T6)</f>
        <v/>
      </c>
      <c r="Y22" s="4">
        <f>-('QTR BS'!V6-'QTR BS'!U6)</f>
        <v/>
      </c>
      <c r="Z22" s="4">
        <f>-('QTR BS'!W6-'QTR BS'!V6)</f>
        <v/>
      </c>
      <c r="AA22" s="4">
        <f>-('QTR BS'!X6-'QTR BS'!W6)</f>
        <v/>
      </c>
      <c r="AB22" s="4">
        <f>-('QTR BS'!Y6-'QTR BS'!X6)</f>
        <v/>
      </c>
      <c r="AC22" s="4">
        <f>-('QTR BS'!Z6-'QTR BS'!Y6)</f>
        <v/>
      </c>
      <c r="AD22" s="4">
        <f>-('QTR BS'!AA6-'QTR BS'!Z6)</f>
        <v/>
      </c>
      <c r="AE22" s="4">
        <f>-('QTR BS'!AB6-'QTR BS'!AA6)</f>
        <v/>
      </c>
      <c r="AF22" s="4">
        <f>-('QTR BS'!AC6-'QTR BS'!AB6)</f>
        <v/>
      </c>
      <c r="AG22" s="4">
        <f>-('QTR BS'!AD6-'QTR BS'!AC6)</f>
        <v/>
      </c>
      <c r="AH22" s="4">
        <f>-('QTR BS'!AE6-'QTR BS'!AD6)</f>
        <v/>
      </c>
      <c r="AI22" s="4">
        <f>-('QTR BS'!AF6-'QTR BS'!AE6)</f>
        <v/>
      </c>
      <c r="AJ22" s="4">
        <f>-('QTR BS'!AG6-'QTR BS'!AF6)</f>
        <v/>
      </c>
      <c r="AK22" s="4">
        <f>-('QTR BS'!AH6-'QTR BS'!AG6)</f>
        <v/>
      </c>
      <c r="AL22" s="4">
        <f>-('QTR BS'!AI6-'QTR BS'!AH6)</f>
        <v/>
      </c>
      <c r="AM22" s="4">
        <f>-('QTR BS'!AJ6-'QTR BS'!AI6)</f>
        <v/>
      </c>
      <c r="AN22" s="4">
        <f>-('QTR BS'!AK6-'QTR BS'!AJ6)</f>
        <v/>
      </c>
      <c r="AO22" s="4">
        <f>-('QTR BS'!AL6-'QTR BS'!AK6)</f>
        <v/>
      </c>
    </row>
    <row r="23">
      <c r="A23" s="3" t="inlineStr">
        <is>
          <t>Accounts Payable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'QTR CF'!R23</f>
        <v/>
      </c>
      <c r="S23" s="4">
        <f>('QTR BS'!P16-'QTR BS'!O16)</f>
        <v/>
      </c>
      <c r="T23" s="4">
        <f>('QTR BS'!Q16-'QTR BS'!P16)</f>
        <v/>
      </c>
      <c r="U23" s="4">
        <f>('QTR BS'!R16-'QTR BS'!Q16)</f>
        <v/>
      </c>
      <c r="V23" s="4">
        <f>('QTR BS'!S16-'QTR BS'!R16)</f>
        <v/>
      </c>
      <c r="W23" s="4">
        <f>('QTR BS'!T16-'QTR BS'!S16)</f>
        <v/>
      </c>
      <c r="X23" s="4">
        <f>('QTR BS'!U16-'QTR BS'!T16)</f>
        <v/>
      </c>
      <c r="Y23" s="4">
        <f>('QTR BS'!V16-'QTR BS'!U16)</f>
        <v/>
      </c>
      <c r="Z23" s="4">
        <f>('QTR BS'!W16-'QTR BS'!V16)</f>
        <v/>
      </c>
      <c r="AA23" s="4">
        <f>('QTR BS'!X16-'QTR BS'!W16)</f>
        <v/>
      </c>
      <c r="AB23" s="4">
        <f>('QTR BS'!Y16-'QTR BS'!X16)</f>
        <v/>
      </c>
      <c r="AC23" s="4">
        <f>('QTR BS'!Z16-'QTR BS'!Y16)</f>
        <v/>
      </c>
      <c r="AD23" s="4">
        <f>('QTR BS'!AA16-'QTR BS'!Z16)</f>
        <v/>
      </c>
      <c r="AE23" s="4">
        <f>('QTR BS'!AB16-'QTR BS'!AA16)</f>
        <v/>
      </c>
      <c r="AF23" s="4">
        <f>('QTR BS'!AC16-'QTR BS'!AB16)</f>
        <v/>
      </c>
      <c r="AG23" s="4">
        <f>('QTR BS'!AD16-'QTR BS'!AC16)</f>
        <v/>
      </c>
      <c r="AH23" s="4">
        <f>('QTR BS'!AE16-'QTR BS'!AD16)</f>
        <v/>
      </c>
      <c r="AI23" s="4">
        <f>('QTR BS'!AF16-'QTR BS'!AE16)</f>
        <v/>
      </c>
      <c r="AJ23" s="4">
        <f>('QTR BS'!AG16-'QTR BS'!AF16)</f>
        <v/>
      </c>
      <c r="AK23" s="4">
        <f>('QTR BS'!AH16-'QTR BS'!AG16)</f>
        <v/>
      </c>
      <c r="AL23" s="4">
        <f>('QTR BS'!AI16-'QTR BS'!AH16)</f>
        <v/>
      </c>
      <c r="AM23" s="4">
        <f>('QTR BS'!AJ16-'QTR BS'!AI16)</f>
        <v/>
      </c>
      <c r="AN23" s="4">
        <f>('QTR BS'!AK16-'QTR BS'!AJ16)</f>
        <v/>
      </c>
      <c r="AO23" s="4">
        <f>('QTR BS'!AL16-'QTR BS'!AK16)</f>
        <v/>
      </c>
    </row>
    <row r="24">
      <c r="A24" s="3" t="inlineStr">
        <is>
          <t>Other Current Liabilities</t>
        </is>
      </c>
      <c r="B24" s="4">
        <f>'QTR CF'!B24</f>
        <v/>
      </c>
      <c r="C24" s="4">
        <f>'QTR CF'!C24</f>
        <v/>
      </c>
      <c r="D24" s="4">
        <f>'QTR CF'!D24</f>
        <v/>
      </c>
      <c r="E24" s="4">
        <f>'QTR CF'!E24</f>
        <v/>
      </c>
      <c r="F24" s="4">
        <f>'QTR CF'!F24</f>
        <v/>
      </c>
      <c r="G24" s="4">
        <f>'QTR CF'!G24</f>
        <v/>
      </c>
      <c r="H24" s="4">
        <f>'QTR CF'!H24</f>
        <v/>
      </c>
      <c r="I24" s="4">
        <f>'QTR CF'!I24</f>
        <v/>
      </c>
      <c r="J24" s="4">
        <f>'QTR CF'!J24</f>
        <v/>
      </c>
      <c r="K24" s="4">
        <f>'QTR CF'!K24</f>
        <v/>
      </c>
      <c r="L24" s="4">
        <f>'QTR CF'!L24</f>
        <v/>
      </c>
      <c r="M24" s="4">
        <f>'QTR CF'!M24</f>
        <v/>
      </c>
      <c r="N24" s="4">
        <f>'QTR CF'!N24</f>
        <v/>
      </c>
      <c r="O24" s="4">
        <f>'QTR CF'!O24</f>
        <v/>
      </c>
      <c r="P24" s="4">
        <f>'QTR CF'!P24</f>
        <v/>
      </c>
      <c r="Q24" s="4">
        <f>'QTR CF'!Q24</f>
        <v/>
      </c>
      <c r="R24" s="4">
        <f>'QTR CF'!R24</f>
        <v/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0</v>
      </c>
      <c r="AJ24" s="15" t="n">
        <v>0</v>
      </c>
      <c r="AK24" s="15" t="n">
        <v>0</v>
      </c>
      <c r="AL24" s="15" t="n">
        <v>0</v>
      </c>
      <c r="AM24" s="15" t="n">
        <v>0</v>
      </c>
      <c r="AN24" s="15" t="n">
        <v>0</v>
      </c>
      <c r="AO24" s="15" t="n">
        <v>0</v>
      </c>
    </row>
    <row r="25">
      <c r="A25" s="3" t="inlineStr">
        <is>
          <t>Other Operating Items</t>
        </is>
      </c>
      <c r="B25" s="4">
        <f>'QTR CF'!B25</f>
        <v/>
      </c>
      <c r="C25" s="4">
        <f>'QTR CF'!C25</f>
        <v/>
      </c>
      <c r="D25" s="4">
        <f>'QTR CF'!D25</f>
        <v/>
      </c>
      <c r="E25" s="4">
        <f>'QTR CF'!E25</f>
        <v/>
      </c>
      <c r="F25" s="4">
        <f>'QTR CF'!F25</f>
        <v/>
      </c>
      <c r="G25" s="4">
        <f>'QTR CF'!G25</f>
        <v/>
      </c>
      <c r="H25" s="4">
        <f>'QTR CF'!H25</f>
        <v/>
      </c>
      <c r="I25" s="4">
        <f>'QTR CF'!I25</f>
        <v/>
      </c>
      <c r="J25" s="4">
        <f>'QTR CF'!J25</f>
        <v/>
      </c>
      <c r="K25" s="4">
        <f>'QTR CF'!K25</f>
        <v/>
      </c>
      <c r="L25" s="4">
        <f>'QTR CF'!L25</f>
        <v/>
      </c>
      <c r="M25" s="4">
        <f>'QTR CF'!M25</f>
        <v/>
      </c>
      <c r="N25" s="4">
        <f>'QTR CF'!N25</f>
        <v/>
      </c>
      <c r="O25" s="4">
        <f>'QTR CF'!O25</f>
        <v/>
      </c>
      <c r="P25" s="4">
        <f>'QTR CF'!P25</f>
        <v/>
      </c>
      <c r="Q25" s="4">
        <f>'QTR CF'!Q25</f>
        <v/>
      </c>
      <c r="R25" s="4">
        <f>'QTR CF'!R25</f>
        <v/>
      </c>
      <c r="S25" s="4">
        <f>-('QTR BS'!P13-'QTR BS'!O13)+('QTR BS'!P20-'QTR BS'!O20)-('QTR BS'!P3-'QTR BS'!O3)-('QTR BS'!P9-'QTR BS'!O9)-('QTR BS'!P10-'QTR BS'!O10)-('QTR BS'!P11-'QTR BS'!O11)+('QTR BS'!P15-'QTR BS'!O15)+('QTR BS'!P18-'QTR BS'!O18)+('QTR BS'!P19-'QTR BS'!O19)+('QTR BS'!P22-'QTR BS'!O22)+('QTR BS'!P26-'QTR BS'!O26)+('QTR BS'!P27-'QTR BS'!O27)</f>
        <v/>
      </c>
      <c r="T25" s="4">
        <f>-('QTR BS'!Q13-'QTR BS'!P13)+('QTR BS'!Q20-'QTR BS'!P20)-('QTR BS'!Q3-'QTR BS'!P3)-('QTR BS'!Q9-'QTR BS'!P9)-('QTR BS'!Q10-'QTR BS'!P10)-('QTR BS'!Q11-'QTR BS'!P11)+('QTR BS'!Q15-'QTR BS'!P15)+('QTR BS'!Q18-'QTR BS'!P18)+('QTR BS'!Q19-'QTR BS'!P19)+('QTR BS'!Q22-'QTR BS'!P22)+('QTR BS'!Q26-'QTR BS'!P26)+('QTR BS'!Q27-'QTR BS'!P27)</f>
        <v/>
      </c>
      <c r="U25" s="4">
        <f>-('QTR BS'!R13-'QTR BS'!Q13)+('QTR BS'!R20-'QTR BS'!Q20)-('QTR BS'!R3-'QTR BS'!Q3)-('QTR BS'!R9-'QTR BS'!Q9)-('QTR BS'!R10-'QTR BS'!Q10)-('QTR BS'!R11-'QTR BS'!Q11)+('QTR BS'!R15-'QTR BS'!Q15)+('QTR BS'!R18-'QTR BS'!Q18)+('QTR BS'!R19-'QTR BS'!Q19)+('QTR BS'!R22-'QTR BS'!Q22)+('QTR BS'!R26-'QTR BS'!Q26)+('QTR BS'!R27-'QTR BS'!Q27)</f>
        <v/>
      </c>
      <c r="V25" s="4">
        <f>-('QTR BS'!S13-'QTR BS'!R13)+('QTR BS'!S20-'QTR BS'!R20)-('QTR BS'!S3-'QTR BS'!R3)-('QTR BS'!S9-'QTR BS'!R9)-('QTR BS'!S10-'QTR BS'!R10)-('QTR BS'!S11-'QTR BS'!R11)+('QTR BS'!S15-'QTR BS'!R15)+('QTR BS'!S18-'QTR BS'!R18)+('QTR BS'!S19-'QTR BS'!R19)+('QTR BS'!S22-'QTR BS'!R22)+('QTR BS'!S26-'QTR BS'!R26)+('QTR BS'!S27-'QTR BS'!R27)</f>
        <v/>
      </c>
      <c r="W25" s="4">
        <f>-('QTR BS'!T13-'QTR BS'!S13)+('QTR BS'!T20-'QTR BS'!S20)-('QTR BS'!T3-'QTR BS'!S3)-('QTR BS'!T9-'QTR BS'!S9)-('QTR BS'!T10-'QTR BS'!S10)-('QTR BS'!T11-'QTR BS'!S11)+('QTR BS'!T15-'QTR BS'!S15)+('QTR BS'!T18-'QTR BS'!S18)+('QTR BS'!T19-'QTR BS'!S19)+('QTR BS'!T22-'QTR BS'!S22)+('QTR BS'!T26-'QTR BS'!S26)+('QTR BS'!T27-'QTR BS'!S27)</f>
        <v/>
      </c>
      <c r="X25" s="4">
        <f>-('QTR BS'!U13-'QTR BS'!T13)+('QTR BS'!U20-'QTR BS'!T20)-('QTR BS'!U3-'QTR BS'!T3)-('QTR BS'!U9-'QTR BS'!T9)-('QTR BS'!U10-'QTR BS'!T10)-('QTR BS'!U11-'QTR BS'!T11)+('QTR BS'!U15-'QTR BS'!T15)+('QTR BS'!U18-'QTR BS'!T18)+('QTR BS'!U19-'QTR BS'!T19)+('QTR BS'!U22-'QTR BS'!T22)+('QTR BS'!U26-'QTR BS'!T26)+('QTR BS'!U27-'QTR BS'!T27)</f>
        <v/>
      </c>
      <c r="Y25" s="4">
        <f>-('QTR BS'!V13-'QTR BS'!U13)+('QTR BS'!V20-'QTR BS'!U20)-('QTR BS'!V3-'QTR BS'!U3)-('QTR BS'!V9-'QTR BS'!U9)-('QTR BS'!V10-'QTR BS'!U10)-('QTR BS'!V11-'QTR BS'!U11)+('QTR BS'!V15-'QTR BS'!U15)+('QTR BS'!V18-'QTR BS'!U18)+('QTR BS'!V19-'QTR BS'!U19)+('QTR BS'!V22-'QTR BS'!U22)+('QTR BS'!V26-'QTR BS'!U26)+('QTR BS'!V27-'QTR BS'!U27)</f>
        <v/>
      </c>
      <c r="Z25" s="4">
        <f>-('QTR BS'!W13-'QTR BS'!V13)+('QTR BS'!W20-'QTR BS'!V20)-('QTR BS'!W3-'QTR BS'!V3)-('QTR BS'!W9-'QTR BS'!V9)-('QTR BS'!W10-'QTR BS'!V10)-('QTR BS'!W11-'QTR BS'!V11)+('QTR BS'!W15-'QTR BS'!V15)+('QTR BS'!W18-'QTR BS'!V18)+('QTR BS'!W19-'QTR BS'!V19)+('QTR BS'!W22-'QTR BS'!V22)+('QTR BS'!W26-'QTR BS'!V26)+('QTR BS'!W27-'QTR BS'!V27)</f>
        <v/>
      </c>
      <c r="AA25" s="4">
        <f>-('QTR BS'!X13-'QTR BS'!W13)+('QTR BS'!X20-'QTR BS'!W20)-('QTR BS'!X3-'QTR BS'!W3)-('QTR BS'!X9-'QTR BS'!W9)-('QTR BS'!X10-'QTR BS'!W10)-('QTR BS'!X11-'QTR BS'!W11)+('QTR BS'!X15-'QTR BS'!W15)+('QTR BS'!X18-'QTR BS'!W18)+('QTR BS'!X19-'QTR BS'!W19)+('QTR BS'!X22-'QTR BS'!W22)+('QTR BS'!X26-'QTR BS'!W26)+('QTR BS'!X27-'QTR BS'!W27)</f>
        <v/>
      </c>
      <c r="AB25" s="4">
        <f>-('QTR BS'!Y13-'QTR BS'!X13)+('QTR BS'!Y20-'QTR BS'!X20)-('QTR BS'!Y3-'QTR BS'!X3)-('QTR BS'!Y9-'QTR BS'!X9)-('QTR BS'!Y10-'QTR BS'!X10)-('QTR BS'!Y11-'QTR BS'!X11)+('QTR BS'!Y15-'QTR BS'!X15)+('QTR BS'!Y18-'QTR BS'!X18)+('QTR BS'!Y19-'QTR BS'!X19)+('QTR BS'!Y22-'QTR BS'!X22)+('QTR BS'!Y26-'QTR BS'!X26)+('QTR BS'!Y27-'QTR BS'!X27)</f>
        <v/>
      </c>
      <c r="AC25" s="4">
        <f>-('QTR BS'!Z13-'QTR BS'!Y13)+('QTR BS'!Z20-'QTR BS'!Y20)-('QTR BS'!Z3-'QTR BS'!Y3)-('QTR BS'!Z9-'QTR BS'!Y9)-('QTR BS'!Z10-'QTR BS'!Y10)-('QTR BS'!Z11-'QTR BS'!Y11)+('QTR BS'!Z15-'QTR BS'!Y15)+('QTR BS'!Z18-'QTR BS'!Y18)+('QTR BS'!Z19-'QTR BS'!Y19)+('QTR BS'!Z22-'QTR BS'!Y22)+('QTR BS'!Z26-'QTR BS'!Y26)+('QTR BS'!Z27-'QTR BS'!Y27)</f>
        <v/>
      </c>
      <c r="AD25" s="4">
        <f>-('QTR BS'!AA13-'QTR BS'!Z13)+('QTR BS'!AA20-'QTR BS'!Z20)-('QTR BS'!AA3-'QTR BS'!Z3)-('QTR BS'!AA9-'QTR BS'!Z9)-('QTR BS'!AA10-'QTR BS'!Z10)-('QTR BS'!AA11-'QTR BS'!Z11)+('QTR BS'!AA15-'QTR BS'!Z15)+('QTR BS'!AA18-'QTR BS'!Z18)+('QTR BS'!AA19-'QTR BS'!Z19)+('QTR BS'!AA22-'QTR BS'!Z22)+('QTR BS'!AA26-'QTR BS'!Z26)+('QTR BS'!AA27-'QTR BS'!Z27)</f>
        <v/>
      </c>
      <c r="AE25" s="4">
        <f>-('QTR BS'!AB13-'QTR BS'!AA13)+('QTR BS'!AB20-'QTR BS'!AA20)-('QTR BS'!AB3-'QTR BS'!AA3)-('QTR BS'!AB9-'QTR BS'!AA9)-('QTR BS'!AB10-'QTR BS'!AA10)-('QTR BS'!AB11-'QTR BS'!AA11)+('QTR BS'!AB15-'QTR BS'!AA15)+('QTR BS'!AB18-'QTR BS'!AA18)+('QTR BS'!AB19-'QTR BS'!AA19)+('QTR BS'!AB22-'QTR BS'!AA22)+('QTR BS'!AB26-'QTR BS'!AA26)+('QTR BS'!AB27-'QTR BS'!AA27)</f>
        <v/>
      </c>
      <c r="AF25" s="4">
        <f>-('QTR BS'!AC13-'QTR BS'!AB13)+('QTR BS'!AC20-'QTR BS'!AB20)-('QTR BS'!AC3-'QTR BS'!AB3)-('QTR BS'!AC9-'QTR BS'!AB9)-('QTR BS'!AC10-'QTR BS'!AB10)-('QTR BS'!AC11-'QTR BS'!AB11)+('QTR BS'!AC15-'QTR BS'!AB15)+('QTR BS'!AC18-'QTR BS'!AB18)+('QTR BS'!AC19-'QTR BS'!AB19)+('QTR BS'!AC22-'QTR BS'!AB22)+('QTR BS'!AC26-'QTR BS'!AB26)+('QTR BS'!AC27-'QTR BS'!AB27)</f>
        <v/>
      </c>
      <c r="AG25" s="4">
        <f>-('QTR BS'!AD13-'QTR BS'!AC13)+('QTR BS'!AD20-'QTR BS'!AC20)-('QTR BS'!AD3-'QTR BS'!AC3)-('QTR BS'!AD9-'QTR BS'!AC9)-('QTR BS'!AD10-'QTR BS'!AC10)-('QTR BS'!AD11-'QTR BS'!AC11)+('QTR BS'!AD15-'QTR BS'!AC15)+('QTR BS'!AD18-'QTR BS'!AC18)+('QTR BS'!AD19-'QTR BS'!AC19)+('QTR BS'!AD22-'QTR BS'!AC22)+('QTR BS'!AD26-'QTR BS'!AC26)+('QTR BS'!AD27-'QTR BS'!AC27)</f>
        <v/>
      </c>
      <c r="AH25" s="4">
        <f>-('QTR BS'!AE13-'QTR BS'!AD13)+('QTR BS'!AE20-'QTR BS'!AD20)-('QTR BS'!AE3-'QTR BS'!AD3)-('QTR BS'!AE9-'QTR BS'!AD9)-('QTR BS'!AE10-'QTR BS'!AD10)-('QTR BS'!AE11-'QTR BS'!AD11)+('QTR BS'!AE15-'QTR BS'!AD15)+('QTR BS'!AE18-'QTR BS'!AD18)+('QTR BS'!AE19-'QTR BS'!AD19)+('QTR BS'!AE22-'QTR BS'!AD22)+('QTR BS'!AE26-'QTR BS'!AD26)+('QTR BS'!AE27-'QTR BS'!AD27)</f>
        <v/>
      </c>
      <c r="AI25" s="4">
        <f>-('QTR BS'!AF13-'QTR BS'!AE13)+('QTR BS'!AF20-'QTR BS'!AE20)-('QTR BS'!AF3-'QTR BS'!AE3)-('QTR BS'!AF9-'QTR BS'!AE9)-('QTR BS'!AF10-'QTR BS'!AE10)-('QTR BS'!AF11-'QTR BS'!AE11)+('QTR BS'!AF15-'QTR BS'!AE15)+('QTR BS'!AF18-'QTR BS'!AE18)+('QTR BS'!AF19-'QTR BS'!AE19)+('QTR BS'!AF22-'QTR BS'!AE22)+('QTR BS'!AF26-'QTR BS'!AE26)+('QTR BS'!AF27-'QTR BS'!AE27)</f>
        <v/>
      </c>
      <c r="AJ25" s="4">
        <f>-('QTR BS'!AG13-'QTR BS'!AF13)+('QTR BS'!AG20-'QTR BS'!AF20)-('QTR BS'!AG3-'QTR BS'!AF3)-('QTR BS'!AG9-'QTR BS'!AF9)-('QTR BS'!AG10-'QTR BS'!AF10)-('QTR BS'!AG11-'QTR BS'!AF11)+('QTR BS'!AG15-'QTR BS'!AF15)+('QTR BS'!AG18-'QTR BS'!AF18)+('QTR BS'!AG19-'QTR BS'!AF19)+('QTR BS'!AG22-'QTR BS'!AF22)+('QTR BS'!AG26-'QTR BS'!AF26)+('QTR BS'!AG27-'QTR BS'!AF27)</f>
        <v/>
      </c>
      <c r="AK25" s="4">
        <f>-('QTR BS'!AH13-'QTR BS'!AG13)+('QTR BS'!AH20-'QTR BS'!AG20)-('QTR BS'!AH3-'QTR BS'!AG3)-('QTR BS'!AH9-'QTR BS'!AG9)-('QTR BS'!AH10-'QTR BS'!AG10)-('QTR BS'!AH11-'QTR BS'!AG11)+('QTR BS'!AH15-'QTR BS'!AG15)+('QTR BS'!AH18-'QTR BS'!AG18)+('QTR BS'!AH19-'QTR BS'!AG19)+('QTR BS'!AH22-'QTR BS'!AG22)+('QTR BS'!AH26-'QTR BS'!AG26)+('QTR BS'!AH27-'QTR BS'!AG27)</f>
        <v/>
      </c>
      <c r="AL25" s="4">
        <f>-('QTR BS'!AI13-'QTR BS'!AH13)+('QTR BS'!AI20-'QTR BS'!AH20)-('QTR BS'!AI3-'QTR BS'!AH3)-('QTR BS'!AI9-'QTR BS'!AH9)-('QTR BS'!AI10-'QTR BS'!AH10)-('QTR BS'!AI11-'QTR BS'!AH11)+('QTR BS'!AI15-'QTR BS'!AH15)+('QTR BS'!AI18-'QTR BS'!AH18)+('QTR BS'!AI19-'QTR BS'!AH19)+('QTR BS'!AI22-'QTR BS'!AH22)+('QTR BS'!AI26-'QTR BS'!AH26)+('QTR BS'!AI27-'QTR BS'!AH27)</f>
        <v/>
      </c>
      <c r="AM25" s="4">
        <f>-('QTR BS'!AJ13-'QTR BS'!AI13)+('QTR BS'!AJ20-'QTR BS'!AI20)-('QTR BS'!AJ3-'QTR BS'!AI3)-('QTR BS'!AJ9-'QTR BS'!AI9)-('QTR BS'!AJ10-'QTR BS'!AI10)-('QTR BS'!AJ11-'QTR BS'!AI11)+('QTR BS'!AJ15-'QTR BS'!AI15)+('QTR BS'!AJ18-'QTR BS'!AI18)+('QTR BS'!AJ19-'QTR BS'!AI19)+('QTR BS'!AJ22-'QTR BS'!AI22)+('QTR BS'!AJ26-'QTR BS'!AI26)+('QTR BS'!AJ27-'QTR BS'!AI27)</f>
        <v/>
      </c>
      <c r="AN25" s="4">
        <f>-('QTR BS'!AK13-'QTR BS'!AJ13)+('QTR BS'!AK20-'QTR BS'!AJ20)-('QTR BS'!AK3-'QTR BS'!AJ3)-('QTR BS'!AK9-'QTR BS'!AJ9)-('QTR BS'!AK10-'QTR BS'!AJ10)-('QTR BS'!AK11-'QTR BS'!AJ11)+('QTR BS'!AK15-'QTR BS'!AJ15)+('QTR BS'!AK18-'QTR BS'!AJ18)+('QTR BS'!AK19-'QTR BS'!AJ19)+('QTR BS'!AK22-'QTR BS'!AJ22)+('QTR BS'!AK26-'QTR BS'!AJ26)+('QTR BS'!AK27-'QTR BS'!AJ27)</f>
        <v/>
      </c>
      <c r="AO25" s="4">
        <f>-('QTR BS'!AL13-'QTR BS'!AK13)+('QTR BS'!AL20-'QTR BS'!AK20)-('QTR BS'!AL3-'QTR BS'!AK3)-('QTR BS'!AL9-'QTR BS'!AK9)-('QTR BS'!AL10-'QTR BS'!AK10)-('QTR BS'!AL11-'QTR BS'!AK11)+('QTR BS'!AL15-'QTR BS'!AK15)+('QTR BS'!AL18-'QTR BS'!AK18)+('QTR BS'!AL19-'QTR BS'!AK19)+('QTR BS'!AL22-'QTR BS'!AK22)+('QTR BS'!AL26-'QTR BS'!AK26)+('QTR BS'!AL27-'QTR BS'!AK27)</f>
        <v/>
      </c>
    </row>
    <row r="26">
      <c r="A26" s="3" t="inlineStr">
        <is>
          <t>Purchase of PP&amp;E — % of Revenue</t>
        </is>
      </c>
      <c r="B26" s="13">
        <f>IFERROR('QTR CF'!B27/'QTR P&amp;L'!B2,"")</f>
        <v/>
      </c>
      <c r="C26" s="13">
        <f>IFERROR('QTR CF'!C27/'QTR P&amp;L'!C2,"")</f>
        <v/>
      </c>
      <c r="D26" s="13">
        <f>IFERROR('QTR CF'!D27/'QTR P&amp;L'!D2,"")</f>
        <v/>
      </c>
      <c r="E26" s="13">
        <f>IFERROR('QTR CF'!E27/'QTR P&amp;L'!E2,"")</f>
        <v/>
      </c>
      <c r="F26" s="13">
        <f>IFERROR('QTR CF'!F27/'QTR P&amp;L'!F2,"")</f>
        <v/>
      </c>
      <c r="G26" s="13">
        <f>IFERROR('QTR CF'!G27/'QTR P&amp;L'!G2,"")</f>
        <v/>
      </c>
      <c r="H26" s="13">
        <f>IFERROR('QTR CF'!H27/'QTR P&amp;L'!H2,"")</f>
        <v/>
      </c>
      <c r="I26" s="13">
        <f>IFERROR('QTR CF'!I27/'QTR P&amp;L'!I2,"")</f>
        <v/>
      </c>
      <c r="J26" s="13">
        <f>IFERROR('QTR CF'!J27/'QTR P&amp;L'!J2,"")</f>
        <v/>
      </c>
      <c r="K26" s="13">
        <f>IFERROR('QTR CF'!K27/'QTR P&amp;L'!K2,"")</f>
        <v/>
      </c>
      <c r="L26" s="13">
        <f>IFERROR('QTR CF'!L27/'QTR P&amp;L'!L2,"")</f>
        <v/>
      </c>
      <c r="M26" s="13">
        <f>IFERROR('QTR CF'!M27/'QTR P&amp;L'!M2,"")</f>
        <v/>
      </c>
      <c r="N26" s="13">
        <f>IFERROR('QTR CF'!N27/'QTR P&amp;L'!N2,"")</f>
        <v/>
      </c>
      <c r="O26" s="13">
        <f>IFERROR('QTR CF'!O27/'QTR P&amp;L'!O2,"")</f>
        <v/>
      </c>
      <c r="P26" s="13">
        <f>IFERROR('QTR CF'!P27/'QTR P&amp;L'!P2,"")</f>
        <v/>
      </c>
      <c r="Q26" s="13">
        <f>IFERROR('QTR CF'!Q27/'QTR P&amp;L'!Q2,"")</f>
        <v/>
      </c>
      <c r="R26" s="13">
        <f>IFERROR('QTR CF'!R27/'QTR P&amp;L'!R2,"")</f>
        <v/>
      </c>
      <c r="S26" s="14">
        <f>R26</f>
        <v/>
      </c>
      <c r="T26" s="14">
        <f>R26</f>
        <v/>
      </c>
      <c r="U26" s="14">
        <f>R26</f>
        <v/>
      </c>
      <c r="V26" s="14">
        <f>R26</f>
        <v/>
      </c>
      <c r="W26" s="14">
        <f>R26</f>
        <v/>
      </c>
      <c r="X26" s="14">
        <f>R26</f>
        <v/>
      </c>
      <c r="Y26" s="14">
        <f>R26</f>
        <v/>
      </c>
      <c r="Z26" s="14">
        <f>R26</f>
        <v/>
      </c>
      <c r="AA26" s="14">
        <f>R26</f>
        <v/>
      </c>
      <c r="AB26" s="14">
        <f>R26</f>
        <v/>
      </c>
      <c r="AC26" s="14">
        <f>R26</f>
        <v/>
      </c>
      <c r="AD26" s="14">
        <f>R26</f>
        <v/>
      </c>
      <c r="AE26" s="14">
        <f>R26</f>
        <v/>
      </c>
      <c r="AF26" s="14">
        <f>R26</f>
        <v/>
      </c>
      <c r="AG26" s="14">
        <f>R26</f>
        <v/>
      </c>
      <c r="AH26" s="14">
        <f>R26</f>
        <v/>
      </c>
      <c r="AI26" s="14">
        <f>R26</f>
        <v/>
      </c>
      <c r="AJ26" s="14">
        <f>R26</f>
        <v/>
      </c>
      <c r="AK26" s="14">
        <f>R26</f>
        <v/>
      </c>
      <c r="AL26" s="14">
        <f>R26</f>
        <v/>
      </c>
      <c r="AM26" s="14">
        <f>R26</f>
        <v/>
      </c>
      <c r="AN26" s="14">
        <f>R26</f>
        <v/>
      </c>
      <c r="AO26" s="14">
        <f>R26</f>
        <v/>
      </c>
    </row>
    <row r="27">
      <c r="A27" s="3" t="inlineStr">
        <is>
          <t>Proceeds from Sale of Assets</t>
        </is>
      </c>
      <c r="B27" s="4">
        <f>'QTR CF'!B28</f>
        <v/>
      </c>
      <c r="C27" s="4">
        <f>'QTR CF'!C28</f>
        <v/>
      </c>
      <c r="D27" s="4">
        <f>'QTR CF'!D28</f>
        <v/>
      </c>
      <c r="E27" s="4">
        <f>'QTR CF'!E28</f>
        <v/>
      </c>
      <c r="F27" s="4">
        <f>'QTR CF'!F28</f>
        <v/>
      </c>
      <c r="G27" s="4">
        <f>'QTR CF'!G28</f>
        <v/>
      </c>
      <c r="H27" s="4">
        <f>'QTR CF'!H28</f>
        <v/>
      </c>
      <c r="I27" s="4">
        <f>'QTR CF'!I28</f>
        <v/>
      </c>
      <c r="J27" s="4">
        <f>'QTR CF'!J28</f>
        <v/>
      </c>
      <c r="K27" s="4">
        <f>'QTR CF'!K28</f>
        <v/>
      </c>
      <c r="L27" s="4">
        <f>'QTR CF'!L28</f>
        <v/>
      </c>
      <c r="M27" s="4">
        <f>'QTR CF'!M28</f>
        <v/>
      </c>
      <c r="N27" s="4">
        <f>'QTR CF'!N28</f>
        <v/>
      </c>
      <c r="O27" s="4">
        <f>'QTR CF'!O28</f>
        <v/>
      </c>
      <c r="P27" s="4">
        <f>'QTR CF'!P28</f>
        <v/>
      </c>
      <c r="Q27" s="4">
        <f>'QTR CF'!Q28</f>
        <v/>
      </c>
      <c r="R27" s="4">
        <f>'QTR CF'!R28</f>
        <v/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0</v>
      </c>
      <c r="AG27" s="15" t="n">
        <v>0</v>
      </c>
      <c r="AH27" s="15" t="n">
        <v>0</v>
      </c>
      <c r="AI27" s="15" t="n">
        <v>0</v>
      </c>
      <c r="AJ27" s="15" t="n">
        <v>0</v>
      </c>
      <c r="AK27" s="15" t="n">
        <v>0</v>
      </c>
      <c r="AL27" s="15" t="n">
        <v>0</v>
      </c>
      <c r="AM27" s="15" t="n">
        <v>0</v>
      </c>
      <c r="AN27" s="15" t="n">
        <v>0</v>
      </c>
      <c r="AO27" s="15" t="n">
        <v>0</v>
      </c>
    </row>
    <row r="28">
      <c r="A28" s="3" t="inlineStr">
        <is>
          <t>Acquisitions, Net of Cash Acquired</t>
        </is>
      </c>
      <c r="B28" s="4">
        <f>'QTR CF'!B29</f>
        <v/>
      </c>
      <c r="C28" s="4">
        <f>'QTR CF'!C29</f>
        <v/>
      </c>
      <c r="D28" s="4">
        <f>'QTR CF'!D29</f>
        <v/>
      </c>
      <c r="E28" s="4">
        <f>'QTR CF'!E29</f>
        <v/>
      </c>
      <c r="F28" s="4">
        <f>'QTR CF'!F29</f>
        <v/>
      </c>
      <c r="G28" s="4">
        <f>'QTR CF'!G29</f>
        <v/>
      </c>
      <c r="H28" s="4">
        <f>'QTR CF'!H29</f>
        <v/>
      </c>
      <c r="I28" s="4">
        <f>'QTR CF'!I29</f>
        <v/>
      </c>
      <c r="J28" s="4">
        <f>'QTR CF'!J29</f>
        <v/>
      </c>
      <c r="K28" s="4">
        <f>'QTR CF'!K29</f>
        <v/>
      </c>
      <c r="L28" s="4">
        <f>'QTR CF'!L29</f>
        <v/>
      </c>
      <c r="M28" s="4">
        <f>'QTR CF'!M29</f>
        <v/>
      </c>
      <c r="N28" s="4">
        <f>'QTR CF'!N29</f>
        <v/>
      </c>
      <c r="O28" s="4">
        <f>'QTR CF'!O29</f>
        <v/>
      </c>
      <c r="P28" s="4">
        <f>'QTR CF'!P29</f>
        <v/>
      </c>
      <c r="Q28" s="4">
        <f>'QTR CF'!Q29</f>
        <v/>
      </c>
      <c r="R28" s="4">
        <f>'QTR CF'!R29</f>
        <v/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  <c r="AL28" s="15" t="n">
        <v>0</v>
      </c>
      <c r="AM28" s="15" t="n">
        <v>0</v>
      </c>
      <c r="AN28" s="15" t="n">
        <v>0</v>
      </c>
      <c r="AO28" s="15" t="n">
        <v>0</v>
      </c>
    </row>
    <row r="29">
      <c r="A29" s="3" t="inlineStr">
        <is>
          <t>Proceeds from Juice Transaction</t>
        </is>
      </c>
      <c r="B29" s="4">
        <f>'QTR CF'!B30</f>
        <v/>
      </c>
      <c r="C29" s="4">
        <f>'QTR CF'!C30</f>
        <v/>
      </c>
      <c r="D29" s="4">
        <f>'QTR CF'!D30</f>
        <v/>
      </c>
      <c r="E29" s="4">
        <f>'QTR CF'!E30</f>
        <v/>
      </c>
      <c r="F29" s="4">
        <f>'QTR CF'!F30</f>
        <v/>
      </c>
      <c r="G29" s="4">
        <f>'QTR CF'!G30</f>
        <v/>
      </c>
      <c r="H29" s="4">
        <f>'QTR CF'!H30</f>
        <v/>
      </c>
      <c r="I29" s="4">
        <f>'QTR CF'!I30</f>
        <v/>
      </c>
      <c r="J29" s="4">
        <f>'QTR CF'!J30</f>
        <v/>
      </c>
      <c r="K29" s="4">
        <f>'QTR CF'!K30</f>
        <v/>
      </c>
      <c r="L29" s="4">
        <f>'QTR CF'!L30</f>
        <v/>
      </c>
      <c r="M29" s="4">
        <f>'QTR CF'!M30</f>
        <v/>
      </c>
      <c r="N29" s="4">
        <f>'QTR CF'!N30</f>
        <v/>
      </c>
      <c r="O29" s="4">
        <f>'QTR CF'!O30</f>
        <v/>
      </c>
      <c r="P29" s="4">
        <f>'QTR CF'!P30</f>
        <v/>
      </c>
      <c r="Q29" s="4">
        <f>'QTR CF'!Q30</f>
        <v/>
      </c>
      <c r="R29" s="4">
        <f>'QTR CF'!R30</f>
        <v/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</row>
    <row r="30">
      <c r="A30" s="3" t="inlineStr">
        <is>
          <t>Proceeds from Divestitures of Businesses</t>
        </is>
      </c>
      <c r="B30" s="4">
        <f>'QTR CF'!B31</f>
        <v/>
      </c>
      <c r="C30" s="4">
        <f>'QTR CF'!C31</f>
        <v/>
      </c>
      <c r="D30" s="4">
        <f>'QTR CF'!D31</f>
        <v/>
      </c>
      <c r="E30" s="4">
        <f>'QTR CF'!E31</f>
        <v/>
      </c>
      <c r="F30" s="4">
        <f>'QTR CF'!F31</f>
        <v/>
      </c>
      <c r="G30" s="4">
        <f>'QTR CF'!G31</f>
        <v/>
      </c>
      <c r="H30" s="4">
        <f>'QTR CF'!H31</f>
        <v/>
      </c>
      <c r="I30" s="4">
        <f>'QTR CF'!I31</f>
        <v/>
      </c>
      <c r="J30" s="4">
        <f>'QTR CF'!J31</f>
        <v/>
      </c>
      <c r="K30" s="4">
        <f>'QTR CF'!K31</f>
        <v/>
      </c>
      <c r="L30" s="4">
        <f>'QTR CF'!L31</f>
        <v/>
      </c>
      <c r="M30" s="4">
        <f>'QTR CF'!M31</f>
        <v/>
      </c>
      <c r="N30" s="4">
        <f>'QTR CF'!N31</f>
        <v/>
      </c>
      <c r="O30" s="4">
        <f>'QTR CF'!O31</f>
        <v/>
      </c>
      <c r="P30" s="4">
        <f>'QTR CF'!P31</f>
        <v/>
      </c>
      <c r="Q30" s="4">
        <f>'QTR CF'!Q31</f>
        <v/>
      </c>
      <c r="R30" s="4">
        <f>'QTR CF'!R31</f>
        <v/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0</v>
      </c>
      <c r="AJ30" s="15" t="n">
        <v>0</v>
      </c>
      <c r="AK30" s="15" t="n">
        <v>0</v>
      </c>
      <c r="AL30" s="15" t="n">
        <v>0</v>
      </c>
      <c r="AM30" s="15" t="n">
        <v>0</v>
      </c>
      <c r="AN30" s="15" t="n">
        <v>0</v>
      </c>
      <c r="AO30" s="15" t="n">
        <v>0</v>
      </c>
    </row>
    <row r="31">
      <c r="A31" s="3" t="inlineStr">
        <is>
          <t>Net Change in Short-Term Investments</t>
        </is>
      </c>
      <c r="B31" s="4">
        <f>'QTR CF'!B32</f>
        <v/>
      </c>
      <c r="C31" s="4">
        <f>'QTR CF'!C32</f>
        <v/>
      </c>
      <c r="D31" s="4">
        <f>'QTR CF'!D32</f>
        <v/>
      </c>
      <c r="E31" s="4">
        <f>'QTR CF'!E32</f>
        <v/>
      </c>
      <c r="F31" s="4">
        <f>'QTR CF'!F32</f>
        <v/>
      </c>
      <c r="G31" s="4">
        <f>'QTR CF'!G32</f>
        <v/>
      </c>
      <c r="H31" s="4">
        <f>'QTR CF'!H32</f>
        <v/>
      </c>
      <c r="I31" s="4">
        <f>'QTR CF'!I32</f>
        <v/>
      </c>
      <c r="J31" s="4">
        <f>'QTR CF'!J32</f>
        <v/>
      </c>
      <c r="K31" s="4">
        <f>'QTR CF'!K32</f>
        <v/>
      </c>
      <c r="L31" s="4">
        <f>'QTR CF'!L32</f>
        <v/>
      </c>
      <c r="M31" s="4">
        <f>'QTR CF'!M32</f>
        <v/>
      </c>
      <c r="N31" s="4">
        <f>'QTR CF'!N32</f>
        <v/>
      </c>
      <c r="O31" s="4">
        <f>'QTR CF'!O32</f>
        <v/>
      </c>
      <c r="P31" s="4">
        <f>'QTR CF'!P32</f>
        <v/>
      </c>
      <c r="Q31" s="4">
        <f>'QTR CF'!Q32</f>
        <v/>
      </c>
      <c r="R31" s="4">
        <f>'QTR CF'!R32</f>
        <v/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0</v>
      </c>
      <c r="AH31" s="15" t="n">
        <v>0</v>
      </c>
      <c r="AI31" s="15" t="n">
        <v>0</v>
      </c>
      <c r="AJ31" s="15" t="n">
        <v>0</v>
      </c>
      <c r="AK31" s="15" t="n">
        <v>0</v>
      </c>
      <c r="AL31" s="15" t="n">
        <v>0</v>
      </c>
      <c r="AM31" s="15" t="n">
        <v>0</v>
      </c>
      <c r="AN31" s="15" t="n">
        <v>0</v>
      </c>
      <c r="AO31" s="15" t="n">
        <v>0</v>
      </c>
    </row>
    <row r="32">
      <c r="A32" s="3" t="inlineStr">
        <is>
          <t>Other Investing Activities</t>
        </is>
      </c>
      <c r="B32" s="4">
        <f>'QTR CF'!B33</f>
        <v/>
      </c>
      <c r="C32" s="4">
        <f>'QTR CF'!C33</f>
        <v/>
      </c>
      <c r="D32" s="4">
        <f>'QTR CF'!D33</f>
        <v/>
      </c>
      <c r="E32" s="4">
        <f>'QTR CF'!E33</f>
        <v/>
      </c>
      <c r="F32" s="4">
        <f>'QTR CF'!F33</f>
        <v/>
      </c>
      <c r="G32" s="4">
        <f>'QTR CF'!G33</f>
        <v/>
      </c>
      <c r="H32" s="4">
        <f>'QTR CF'!H33</f>
        <v/>
      </c>
      <c r="I32" s="4">
        <f>'QTR CF'!I33</f>
        <v/>
      </c>
      <c r="J32" s="4">
        <f>'QTR CF'!J33</f>
        <v/>
      </c>
      <c r="K32" s="4">
        <f>'QTR CF'!K33</f>
        <v/>
      </c>
      <c r="L32" s="4">
        <f>'QTR CF'!L33</f>
        <v/>
      </c>
      <c r="M32" s="4">
        <f>'QTR CF'!M33</f>
        <v/>
      </c>
      <c r="N32" s="4">
        <f>'QTR CF'!N33</f>
        <v/>
      </c>
      <c r="O32" s="4">
        <f>'QTR CF'!O33</f>
        <v/>
      </c>
      <c r="P32" s="4">
        <f>'QTR CF'!P33</f>
        <v/>
      </c>
      <c r="Q32" s="4">
        <f>'QTR CF'!Q33</f>
        <v/>
      </c>
      <c r="R32" s="4">
        <f>'QTR CF'!R33</f>
        <v/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0</v>
      </c>
      <c r="AJ32" s="15" t="n">
        <v>0</v>
      </c>
      <c r="AK32" s="15" t="n">
        <v>0</v>
      </c>
      <c r="AL32" s="15" t="n">
        <v>0</v>
      </c>
      <c r="AM32" s="15" t="n">
        <v>0</v>
      </c>
      <c r="AN32" s="15" t="n">
        <v>0</v>
      </c>
      <c r="AO32" s="15" t="n">
        <v>0</v>
      </c>
    </row>
    <row r="33">
      <c r="A33" s="3" t="inlineStr">
        <is>
          <t>Proceeds from Issuance of Long-Term Debt</t>
        </is>
      </c>
      <c r="B33" s="4">
        <f>'QTR CF'!B35</f>
        <v/>
      </c>
      <c r="C33" s="4">
        <f>'QTR CF'!C35</f>
        <v/>
      </c>
      <c r="D33" s="4">
        <f>'QTR CF'!D35</f>
        <v/>
      </c>
      <c r="E33" s="4">
        <f>'QTR CF'!E35</f>
        <v/>
      </c>
      <c r="F33" s="4">
        <f>'QTR CF'!F35</f>
        <v/>
      </c>
      <c r="G33" s="4">
        <f>'QTR CF'!G35</f>
        <v/>
      </c>
      <c r="H33" s="4">
        <f>'QTR CF'!H35</f>
        <v/>
      </c>
      <c r="I33" s="4">
        <f>'QTR CF'!I35</f>
        <v/>
      </c>
      <c r="J33" s="4">
        <f>'QTR CF'!J35</f>
        <v/>
      </c>
      <c r="K33" s="4">
        <f>'QTR CF'!K35</f>
        <v/>
      </c>
      <c r="L33" s="4">
        <f>'QTR CF'!L35</f>
        <v/>
      </c>
      <c r="M33" s="4">
        <f>'QTR CF'!M35</f>
        <v/>
      </c>
      <c r="N33" s="4">
        <f>'QTR CF'!N35</f>
        <v/>
      </c>
      <c r="O33" s="4">
        <f>'QTR CF'!O35</f>
        <v/>
      </c>
      <c r="P33" s="4">
        <f>'QTR CF'!P35</f>
        <v/>
      </c>
      <c r="Q33" s="4">
        <f>'QTR CF'!Q35</f>
        <v/>
      </c>
      <c r="R33" s="4">
        <f>'QTR CF'!R35</f>
        <v/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</row>
    <row r="34">
      <c r="A34" s="3" t="inlineStr">
        <is>
          <t>Repayments of Long-Term Debt</t>
        </is>
      </c>
      <c r="B34" s="4">
        <f>'QTR CF'!B36</f>
        <v/>
      </c>
      <c r="C34" s="4">
        <f>'QTR CF'!C36</f>
        <v/>
      </c>
      <c r="D34" s="4">
        <f>'QTR CF'!D36</f>
        <v/>
      </c>
      <c r="E34" s="4">
        <f>'QTR CF'!E36</f>
        <v/>
      </c>
      <c r="F34" s="4">
        <f>'QTR CF'!F36</f>
        <v/>
      </c>
      <c r="G34" s="4">
        <f>'QTR CF'!G36</f>
        <v/>
      </c>
      <c r="H34" s="4">
        <f>'QTR CF'!H36</f>
        <v/>
      </c>
      <c r="I34" s="4">
        <f>'QTR CF'!I36</f>
        <v/>
      </c>
      <c r="J34" s="4">
        <f>'QTR CF'!J36</f>
        <v/>
      </c>
      <c r="K34" s="4">
        <f>'QTR CF'!K36</f>
        <v/>
      </c>
      <c r="L34" s="4">
        <f>'QTR CF'!L36</f>
        <v/>
      </c>
      <c r="M34" s="4">
        <f>'QTR CF'!M36</f>
        <v/>
      </c>
      <c r="N34" s="4">
        <f>'QTR CF'!N36</f>
        <v/>
      </c>
      <c r="O34" s="4">
        <f>'QTR CF'!O36</f>
        <v/>
      </c>
      <c r="P34" s="4">
        <f>'QTR CF'!P36</f>
        <v/>
      </c>
      <c r="Q34" s="4">
        <f>'QTR CF'!Q36</f>
        <v/>
      </c>
      <c r="R34" s="4">
        <f>'QTR CF'!R36</f>
        <v/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0</v>
      </c>
      <c r="AJ34" s="15" t="n">
        <v>0</v>
      </c>
      <c r="AK34" s="15" t="n">
        <v>0</v>
      </c>
      <c r="AL34" s="15" t="n">
        <v>0</v>
      </c>
      <c r="AM34" s="15" t="n">
        <v>0</v>
      </c>
      <c r="AN34" s="15" t="n">
        <v>0</v>
      </c>
      <c r="AO34" s="15" t="n">
        <v>0</v>
      </c>
    </row>
    <row r="35">
      <c r="A35" s="3" t="inlineStr">
        <is>
          <t>Proceeds from Short-Term Debt</t>
        </is>
      </c>
      <c r="B35" s="4">
        <f>'QTR CF'!B37</f>
        <v/>
      </c>
      <c r="C35" s="4">
        <f>'QTR CF'!C37</f>
        <v/>
      </c>
      <c r="D35" s="4">
        <f>'QTR CF'!D37</f>
        <v/>
      </c>
      <c r="E35" s="4">
        <f>'QTR CF'!E37</f>
        <v/>
      </c>
      <c r="F35" s="4">
        <f>'QTR CF'!F37</f>
        <v/>
      </c>
      <c r="G35" s="4">
        <f>'QTR CF'!G37</f>
        <v/>
      </c>
      <c r="H35" s="4">
        <f>'QTR CF'!H37</f>
        <v/>
      </c>
      <c r="I35" s="4">
        <f>'QTR CF'!I37</f>
        <v/>
      </c>
      <c r="J35" s="4">
        <f>'QTR CF'!J37</f>
        <v/>
      </c>
      <c r="K35" s="4">
        <f>'QTR CF'!K37</f>
        <v/>
      </c>
      <c r="L35" s="4">
        <f>'QTR CF'!L37</f>
        <v/>
      </c>
      <c r="M35" s="4">
        <f>'QTR CF'!M37</f>
        <v/>
      </c>
      <c r="N35" s="4">
        <f>'QTR CF'!N37</f>
        <v/>
      </c>
      <c r="O35" s="4">
        <f>'QTR CF'!O37</f>
        <v/>
      </c>
      <c r="P35" s="4">
        <f>'QTR CF'!P37</f>
        <v/>
      </c>
      <c r="Q35" s="4">
        <f>'QTR CF'!Q37</f>
        <v/>
      </c>
      <c r="R35" s="4">
        <f>'QTR CF'!R37</f>
        <v/>
      </c>
      <c r="S35" s="15" t="n">
        <v>0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</row>
    <row r="36">
      <c r="A36" s="3" t="inlineStr">
        <is>
          <t>Repayments of Short-Term Debt</t>
        </is>
      </c>
      <c r="B36" s="4">
        <f>'QTR CF'!B38</f>
        <v/>
      </c>
      <c r="C36" s="4">
        <f>'QTR CF'!C38</f>
        <v/>
      </c>
      <c r="D36" s="4">
        <f>'QTR CF'!D38</f>
        <v/>
      </c>
      <c r="E36" s="4">
        <f>'QTR CF'!E38</f>
        <v/>
      </c>
      <c r="F36" s="4">
        <f>'QTR CF'!F38</f>
        <v/>
      </c>
      <c r="G36" s="4">
        <f>'QTR CF'!G38</f>
        <v/>
      </c>
      <c r="H36" s="4">
        <f>'QTR CF'!H38</f>
        <v/>
      </c>
      <c r="I36" s="4">
        <f>'QTR CF'!I38</f>
        <v/>
      </c>
      <c r="J36" s="4">
        <f>'QTR CF'!J38</f>
        <v/>
      </c>
      <c r="K36" s="4">
        <f>'QTR CF'!K38</f>
        <v/>
      </c>
      <c r="L36" s="4">
        <f>'QTR CF'!L38</f>
        <v/>
      </c>
      <c r="M36" s="4">
        <f>'QTR CF'!M38</f>
        <v/>
      </c>
      <c r="N36" s="4">
        <f>'QTR CF'!N38</f>
        <v/>
      </c>
      <c r="O36" s="4">
        <f>'QTR CF'!O38</f>
        <v/>
      </c>
      <c r="P36" s="4">
        <f>'QTR CF'!P38</f>
        <v/>
      </c>
      <c r="Q36" s="4">
        <f>'QTR CF'!Q38</f>
        <v/>
      </c>
      <c r="R36" s="4">
        <f>'QTR CF'!R38</f>
        <v/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0</v>
      </c>
      <c r="AJ36" s="15" t="n">
        <v>0</v>
      </c>
      <c r="AK36" s="15" t="n">
        <v>0</v>
      </c>
      <c r="AL36" s="15" t="n">
        <v>0</v>
      </c>
      <c r="AM36" s="15" t="n">
        <v>0</v>
      </c>
      <c r="AN36" s="15" t="n">
        <v>0</v>
      </c>
      <c r="AO36" s="15" t="n">
        <v>0</v>
      </c>
    </row>
    <row r="37">
      <c r="A37" s="3" t="inlineStr">
        <is>
          <t>Net Change in Other Short-Term Debt</t>
        </is>
      </c>
      <c r="B37" s="4">
        <f>'QTR CF'!B39</f>
        <v/>
      </c>
      <c r="C37" s="4">
        <f>'QTR CF'!C39</f>
        <v/>
      </c>
      <c r="D37" s="4">
        <f>'QTR CF'!D39</f>
        <v/>
      </c>
      <c r="E37" s="4">
        <f>'QTR CF'!E39</f>
        <v/>
      </c>
      <c r="F37" s="4">
        <f>'QTR CF'!F39</f>
        <v/>
      </c>
      <c r="G37" s="4">
        <f>'QTR CF'!G39</f>
        <v/>
      </c>
      <c r="H37" s="4">
        <f>'QTR CF'!H39</f>
        <v/>
      </c>
      <c r="I37" s="4">
        <f>'QTR CF'!I39</f>
        <v/>
      </c>
      <c r="J37" s="4">
        <f>'QTR CF'!J39</f>
        <v/>
      </c>
      <c r="K37" s="4">
        <f>'QTR CF'!K39</f>
        <v/>
      </c>
      <c r="L37" s="4">
        <f>'QTR CF'!L39</f>
        <v/>
      </c>
      <c r="M37" s="4">
        <f>'QTR CF'!M39</f>
        <v/>
      </c>
      <c r="N37" s="4">
        <f>'QTR CF'!N39</f>
        <v/>
      </c>
      <c r="O37" s="4">
        <f>'QTR CF'!O39</f>
        <v/>
      </c>
      <c r="P37" s="4">
        <f>'QTR CF'!P39</f>
        <v/>
      </c>
      <c r="Q37" s="4">
        <f>'QTR CF'!Q39</f>
        <v/>
      </c>
      <c r="R37" s="4">
        <f>'QTR CF'!R39</f>
        <v/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</row>
    <row r="38">
      <c r="A38" s="3" t="inlineStr">
        <is>
          <t>Payments of Contingent Consideration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4">
        <f>'QTR CF'!R40</f>
        <v/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5" t="n">
        <v>0</v>
      </c>
      <c r="AK38" s="15" t="n">
        <v>0</v>
      </c>
      <c r="AL38" s="15" t="n">
        <v>0</v>
      </c>
      <c r="AM38" s="15" t="n">
        <v>0</v>
      </c>
      <c r="AN38" s="15" t="n">
        <v>0</v>
      </c>
      <c r="AO38" s="15" t="n">
        <v>0</v>
      </c>
    </row>
    <row r="39">
      <c r="A39" s="3" t="inlineStr">
        <is>
          <t>Common Dividends — % of Net Income</t>
        </is>
      </c>
      <c r="B39" s="13">
        <f>IFERROR('QTR CF'!B41/'QTR P&amp;L'!B13,"")</f>
        <v/>
      </c>
      <c r="C39" s="13">
        <f>IFERROR('QTR CF'!C41/'QTR P&amp;L'!C13,"")</f>
        <v/>
      </c>
      <c r="D39" s="13">
        <f>IFERROR('QTR CF'!D41/'QTR P&amp;L'!D13,"")</f>
        <v/>
      </c>
      <c r="E39" s="13">
        <f>IFERROR('QTR CF'!E41/'QTR P&amp;L'!E13,"")</f>
        <v/>
      </c>
      <c r="F39" s="13">
        <f>IFERROR('QTR CF'!F41/'QTR P&amp;L'!F13,"")</f>
        <v/>
      </c>
      <c r="G39" s="13">
        <f>IFERROR('QTR CF'!G41/'QTR P&amp;L'!G13,"")</f>
        <v/>
      </c>
      <c r="H39" s="13">
        <f>IFERROR('QTR CF'!H41/'QTR P&amp;L'!H13,"")</f>
        <v/>
      </c>
      <c r="I39" s="13">
        <f>IFERROR('QTR CF'!I41/'QTR P&amp;L'!I13,"")</f>
        <v/>
      </c>
      <c r="J39" s="13">
        <f>IFERROR('QTR CF'!J41/'QTR P&amp;L'!J13,"")</f>
        <v/>
      </c>
      <c r="K39" s="13">
        <f>IFERROR('QTR CF'!K41/'QTR P&amp;L'!K13,"")</f>
        <v/>
      </c>
      <c r="L39" s="13">
        <f>IFERROR('QTR CF'!L41/'QTR P&amp;L'!L13,"")</f>
        <v/>
      </c>
      <c r="M39" s="13">
        <f>IFERROR('QTR CF'!M41/'QTR P&amp;L'!M13,"")</f>
        <v/>
      </c>
      <c r="N39" s="13">
        <f>IFERROR('QTR CF'!N41/'QTR P&amp;L'!N13,"")</f>
        <v/>
      </c>
      <c r="O39" s="13">
        <f>IFERROR('QTR CF'!O41/'QTR P&amp;L'!O13,"")</f>
        <v/>
      </c>
      <c r="P39" s="13">
        <f>IFERROR('QTR CF'!P41/'QTR P&amp;L'!P13,"")</f>
        <v/>
      </c>
      <c r="Q39" s="13">
        <f>IFERROR('QTR CF'!Q41/'QTR P&amp;L'!Q13,"")</f>
        <v/>
      </c>
      <c r="R39" s="13">
        <f>IFERROR('QTR CF'!R41/'QTR P&amp;L'!R13,"")</f>
        <v/>
      </c>
      <c r="S39" s="14">
        <f>R39</f>
        <v/>
      </c>
      <c r="T39" s="14">
        <f>R39</f>
        <v/>
      </c>
      <c r="U39" s="14">
        <f>R39</f>
        <v/>
      </c>
      <c r="V39" s="14">
        <f>R39</f>
        <v/>
      </c>
      <c r="W39" s="14">
        <f>R39</f>
        <v/>
      </c>
      <c r="X39" s="14">
        <f>R39</f>
        <v/>
      </c>
      <c r="Y39" s="14">
        <f>R39</f>
        <v/>
      </c>
      <c r="Z39" s="14">
        <f>R39</f>
        <v/>
      </c>
      <c r="AA39" s="14">
        <f>R39</f>
        <v/>
      </c>
      <c r="AB39" s="14">
        <f>R39</f>
        <v/>
      </c>
      <c r="AC39" s="14">
        <f>R39</f>
        <v/>
      </c>
      <c r="AD39" s="14">
        <f>R39</f>
        <v/>
      </c>
      <c r="AE39" s="14">
        <f>R39</f>
        <v/>
      </c>
      <c r="AF39" s="14">
        <f>R39</f>
        <v/>
      </c>
      <c r="AG39" s="14">
        <f>R39</f>
        <v/>
      </c>
      <c r="AH39" s="14">
        <f>R39</f>
        <v/>
      </c>
      <c r="AI39" s="14">
        <f>R39</f>
        <v/>
      </c>
      <c r="AJ39" s="14">
        <f>R39</f>
        <v/>
      </c>
      <c r="AK39" s="14">
        <f>R39</f>
        <v/>
      </c>
      <c r="AL39" s="14">
        <f>R39</f>
        <v/>
      </c>
      <c r="AM39" s="14">
        <f>R39</f>
        <v/>
      </c>
      <c r="AN39" s="14">
        <f>R39</f>
        <v/>
      </c>
      <c r="AO39" s="14">
        <f>R39</f>
        <v/>
      </c>
    </row>
    <row r="40">
      <c r="A40" s="3" t="inlineStr">
        <is>
          <t>Share Repurchases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4">
        <f>'QTR CF'!R42</f>
        <v/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0</v>
      </c>
      <c r="AL40" s="15" t="n">
        <v>0</v>
      </c>
      <c r="AM40" s="15" t="n">
        <v>0</v>
      </c>
      <c r="AN40" s="15" t="n">
        <v>0</v>
      </c>
      <c r="AO40" s="15" t="n">
        <v>0</v>
      </c>
    </row>
    <row r="41">
      <c r="A41" s="3" t="inlineStr">
        <is>
          <t>Proceeds from Exercise of Stock Options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4">
        <f>'QTR CF'!R43</f>
        <v/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0</v>
      </c>
      <c r="AJ41" s="15" t="n">
        <v>0</v>
      </c>
      <c r="AK41" s="15" t="n">
        <v>0</v>
      </c>
      <c r="AL41" s="15" t="n">
        <v>0</v>
      </c>
      <c r="AM41" s="15" t="n">
        <v>0</v>
      </c>
      <c r="AN41" s="15" t="n">
        <v>0</v>
      </c>
      <c r="AO41" s="15" t="n">
        <v>0</v>
      </c>
    </row>
    <row r="42">
      <c r="A42" s="3" t="inlineStr">
        <is>
          <t>Tax Withholdings on RSU/PSU Settlement</t>
        </is>
      </c>
      <c r="B42" s="4">
        <f>'QTR CF'!B44</f>
        <v/>
      </c>
      <c r="C42" s="4">
        <f>'QTR CF'!C44</f>
        <v/>
      </c>
      <c r="D42" s="4">
        <f>'QTR CF'!D44</f>
        <v/>
      </c>
      <c r="E42" s="4">
        <f>'QTR CF'!E44</f>
        <v/>
      </c>
      <c r="F42" s="4">
        <f>'QTR CF'!F44</f>
        <v/>
      </c>
      <c r="G42" s="4">
        <f>'QTR CF'!G44</f>
        <v/>
      </c>
      <c r="H42" s="4">
        <f>'QTR CF'!H44</f>
        <v/>
      </c>
      <c r="I42" s="4">
        <f>'QTR CF'!I44</f>
        <v/>
      </c>
      <c r="J42" s="4">
        <f>'QTR CF'!J44</f>
        <v/>
      </c>
      <c r="K42" s="4">
        <f>'QTR CF'!K44</f>
        <v/>
      </c>
      <c r="L42" s="4">
        <f>'QTR CF'!L44</f>
        <v/>
      </c>
      <c r="M42" s="4">
        <f>'QTR CF'!M44</f>
        <v/>
      </c>
      <c r="N42" s="4">
        <f>'QTR CF'!N44</f>
        <v/>
      </c>
      <c r="O42" s="4">
        <f>'QTR CF'!O44</f>
        <v/>
      </c>
      <c r="P42" s="4">
        <f>'QTR CF'!P44</f>
        <v/>
      </c>
      <c r="Q42" s="4">
        <f>'QTR CF'!Q44</f>
        <v/>
      </c>
      <c r="R42" s="4">
        <f>'QTR CF'!R44</f>
        <v/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0</v>
      </c>
      <c r="AJ42" s="15" t="n">
        <v>0</v>
      </c>
      <c r="AK42" s="15" t="n">
        <v>0</v>
      </c>
      <c r="AL42" s="15" t="n">
        <v>0</v>
      </c>
      <c r="AM42" s="15" t="n">
        <v>0</v>
      </c>
      <c r="AN42" s="15" t="n">
        <v>0</v>
      </c>
      <c r="AO42" s="15" t="n">
        <v>0</v>
      </c>
    </row>
    <row r="43">
      <c r="A43" s="3" t="inlineStr">
        <is>
          <t>Other Financing Activities</t>
        </is>
      </c>
      <c r="B43" s="4">
        <f>'QTR CF'!B45</f>
        <v/>
      </c>
      <c r="C43" s="4">
        <f>'QTR CF'!C45</f>
        <v/>
      </c>
      <c r="D43" s="4">
        <f>'QTR CF'!D45</f>
        <v/>
      </c>
      <c r="E43" s="4">
        <f>'QTR CF'!E45</f>
        <v/>
      </c>
      <c r="F43" s="4">
        <f>'QTR CF'!F45</f>
        <v/>
      </c>
      <c r="G43" s="4">
        <f>'QTR CF'!G45</f>
        <v/>
      </c>
      <c r="H43" s="4">
        <f>'QTR CF'!H45</f>
        <v/>
      </c>
      <c r="I43" s="4">
        <f>'QTR CF'!I45</f>
        <v/>
      </c>
      <c r="J43" s="4">
        <f>'QTR CF'!J45</f>
        <v/>
      </c>
      <c r="K43" s="4">
        <f>'QTR CF'!K45</f>
        <v/>
      </c>
      <c r="L43" s="4">
        <f>'QTR CF'!L45</f>
        <v/>
      </c>
      <c r="M43" s="4">
        <f>'QTR CF'!M45</f>
        <v/>
      </c>
      <c r="N43" s="4">
        <f>'QTR CF'!N45</f>
        <v/>
      </c>
      <c r="O43" s="4">
        <f>'QTR CF'!O45</f>
        <v/>
      </c>
      <c r="P43" s="4">
        <f>'QTR CF'!P45</f>
        <v/>
      </c>
      <c r="Q43" s="4">
        <f>'QTR CF'!Q45</f>
        <v/>
      </c>
      <c r="R43" s="4">
        <f>'QTR CF'!R45</f>
        <v/>
      </c>
      <c r="S43" s="15" t="n">
        <v>0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0</v>
      </c>
      <c r="AI43" s="15" t="n">
        <v>0</v>
      </c>
      <c r="AJ43" s="15" t="n">
        <v>0</v>
      </c>
      <c r="AK43" s="15" t="n">
        <v>0</v>
      </c>
      <c r="AL43" s="15" t="n">
        <v>0</v>
      </c>
      <c r="AM43" s="15" t="n">
        <v>0</v>
      </c>
      <c r="AN43" s="15" t="n">
        <v>0</v>
      </c>
      <c r="AO43" s="15" t="n">
        <v>0</v>
      </c>
    </row>
    <row r="44">
      <c r="A44" s="3" t="inlineStr">
        <is>
          <t>FX Effect on Cash</t>
        </is>
      </c>
      <c r="B44" s="4">
        <f>'QTR CF'!B47</f>
        <v/>
      </c>
      <c r="C44" s="4">
        <f>'QTR CF'!C47</f>
        <v/>
      </c>
      <c r="D44" s="4">
        <f>'QTR CF'!D47</f>
        <v/>
      </c>
      <c r="E44" s="4">
        <f>'QTR CF'!E47</f>
        <v/>
      </c>
      <c r="F44" s="4">
        <f>'QTR CF'!F47</f>
        <v/>
      </c>
      <c r="G44" s="4">
        <f>'QTR CF'!G47</f>
        <v/>
      </c>
      <c r="H44" s="4">
        <f>'QTR CF'!H47</f>
        <v/>
      </c>
      <c r="I44" s="4">
        <f>'QTR CF'!I47</f>
        <v/>
      </c>
      <c r="J44" s="4">
        <f>'QTR CF'!J47</f>
        <v/>
      </c>
      <c r="K44" s="4">
        <f>'QTR CF'!K47</f>
        <v/>
      </c>
      <c r="L44" s="4">
        <f>'QTR CF'!L47</f>
        <v/>
      </c>
      <c r="M44" s="4">
        <f>'QTR CF'!M47</f>
        <v/>
      </c>
      <c r="N44" s="4">
        <f>'QTR CF'!N47</f>
        <v/>
      </c>
      <c r="O44" s="4">
        <f>'QTR CF'!O47</f>
        <v/>
      </c>
      <c r="P44" s="4">
        <f>'QTR CF'!P47</f>
        <v/>
      </c>
      <c r="Q44" s="4">
        <f>'QTR CF'!Q47</f>
        <v/>
      </c>
      <c r="R44" s="4">
        <f>'QTR CF'!R47</f>
        <v/>
      </c>
      <c r="S44" s="15">
        <f>R44</f>
        <v/>
      </c>
      <c r="T44" s="15">
        <f>R44</f>
        <v/>
      </c>
      <c r="U44" s="15">
        <f>R44</f>
        <v/>
      </c>
      <c r="V44" s="15">
        <f>R44</f>
        <v/>
      </c>
      <c r="W44" s="15">
        <f>R44</f>
        <v/>
      </c>
      <c r="X44" s="15">
        <f>R44</f>
        <v/>
      </c>
      <c r="Y44" s="15">
        <f>R44</f>
        <v/>
      </c>
      <c r="Z44" s="15">
        <f>R44</f>
        <v/>
      </c>
      <c r="AA44" s="15">
        <f>R44</f>
        <v/>
      </c>
      <c r="AB44" s="15">
        <f>R44</f>
        <v/>
      </c>
      <c r="AC44" s="15">
        <f>R44</f>
        <v/>
      </c>
      <c r="AD44" s="15">
        <f>R44</f>
        <v/>
      </c>
      <c r="AE44" s="15">
        <f>R44</f>
        <v/>
      </c>
      <c r="AF44" s="15">
        <f>R44</f>
        <v/>
      </c>
      <c r="AG44" s="15">
        <f>R44</f>
        <v/>
      </c>
      <c r="AH44" s="15">
        <f>R44</f>
        <v/>
      </c>
      <c r="AI44" s="15">
        <f>R44</f>
        <v/>
      </c>
      <c r="AJ44" s="15">
        <f>R44</f>
        <v/>
      </c>
      <c r="AK44" s="15">
        <f>R44</f>
        <v/>
      </c>
      <c r="AL44" s="15">
        <f>R44</f>
        <v/>
      </c>
      <c r="AM44" s="15">
        <f>R44</f>
        <v/>
      </c>
      <c r="AN44" s="15">
        <f>R44</f>
        <v/>
      </c>
      <c r="AO44" s="15">
        <f>R44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2026-04-28T19:20:08Z</dcterms:created>
  <dcterms:modified xmlns:dcterms="http://purl.org/dc/terms/" xmlns:xsi="http://www.w3.org/2001/XMLSchema-instance" xsi:type="dcterms:W3CDTF">2026-04-28T19:20:10Z</dcterms:modified>
</cp:coreProperties>
</file>