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Net Sales / Revenue</t>
        </is>
      </c>
      <c r="B2" s="4" t="n">
        <v>4200819</v>
      </c>
      <c r="C2" s="4" t="n">
        <v>4598638</v>
      </c>
      <c r="D2" s="4" t="n">
        <v>5541352</v>
      </c>
      <c r="E2" s="4" t="n">
        <v>6311050</v>
      </c>
      <c r="F2" s="4" t="n">
        <v>7140027</v>
      </c>
      <c r="G2" s="4" t="n">
        <v>7492709</v>
      </c>
      <c r="H2" s="4" t="n">
        <v>8294343</v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  <c r="M2" s="11">
        <f>'QTR P&amp;L'!AP2+'QTR P&amp;L'!AQ2+'QTR P&amp;L'!AR2+'QTR P&amp;L'!AS2</f>
        <v/>
      </c>
      <c r="N2" s="5" t="n"/>
    </row>
    <row r="3">
      <c r="A3" s="3" t="inlineStr">
        <is>
          <t>COGS</t>
        </is>
      </c>
      <c r="B3" s="4" t="n">
        <v>-1682234</v>
      </c>
      <c r="C3" s="4" t="n">
        <v>-1874758</v>
      </c>
      <c r="D3" s="4" t="n">
        <v>-2432839</v>
      </c>
      <c r="E3" s="4" t="n">
        <v>-3136483</v>
      </c>
      <c r="F3" s="4" t="n">
        <v>-3345821</v>
      </c>
      <c r="G3" s="4" t="n">
        <v>-3443831</v>
      </c>
      <c r="H3" s="4" t="n">
        <v>-3662148</v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  <c r="M3" s="11">
        <f>'QTR P&amp;L'!AP3+'QTR P&amp;L'!AQ3+'QTR P&amp;L'!AR3+'QTR P&amp;L'!AS3</f>
        <v/>
      </c>
      <c r="N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  <c r="M4" s="7">
        <f>M2+M3</f>
        <v/>
      </c>
      <c r="N4" s="7">
        <f>N2+N3</f>
        <v/>
      </c>
    </row>
    <row r="5">
      <c r="A5" s="3" t="inlineStr">
        <is>
          <t>Operating Expenses</t>
        </is>
      </c>
      <c r="B5" s="4" t="n">
        <v>-1115646</v>
      </c>
      <c r="C5" s="4" t="n">
        <v>-1090727</v>
      </c>
      <c r="D5" s="4" t="n">
        <v>-1311046</v>
      </c>
      <c r="E5" s="4" t="n">
        <v>-1589846</v>
      </c>
      <c r="F5" s="4" t="n">
        <v>-1840851</v>
      </c>
      <c r="G5" s="4" t="n">
        <v>-2118584</v>
      </c>
      <c r="H5" s="4" t="n">
        <v>-2212841</v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  <c r="M5" s="11">
        <f>'QTR P&amp;L'!AP5+'QTR P&amp;L'!AQ5+'QTR P&amp;L'!AR5+'QTR P&amp;L'!AS5</f>
        <v/>
      </c>
      <c r="N5" s="5" t="n"/>
    </row>
    <row r="6">
      <c r="A6" s="3" t="inlineStr">
        <is>
          <t>Income (Loss) from Operations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  <c r="G6" s="6">
        <f>G4+G5</f>
        <v/>
      </c>
      <c r="H6" s="6">
        <f>H4+H5</f>
        <v/>
      </c>
      <c r="I6" s="7">
        <f>I4+I5</f>
        <v/>
      </c>
      <c r="J6" s="7">
        <f>J4+J5</f>
        <v/>
      </c>
      <c r="K6" s="7">
        <f>K4+K5</f>
        <v/>
      </c>
      <c r="L6" s="7">
        <f>L4+L5</f>
        <v/>
      </c>
      <c r="M6" s="7">
        <f>M4+M5</f>
        <v/>
      </c>
      <c r="N6" s="7">
        <f>N4+N5</f>
        <v/>
      </c>
    </row>
    <row r="7">
      <c r="A7" s="3" t="inlineStr">
        <is>
          <t>Other Income (Expense)</t>
        </is>
      </c>
      <c r="B7" s="4" t="n">
        <v>13023</v>
      </c>
      <c r="C7" s="4" t="n">
        <v>-6996</v>
      </c>
      <c r="D7" s="4" t="n">
        <v>3952</v>
      </c>
      <c r="E7" s="4" t="n">
        <v>-12757</v>
      </c>
      <c r="F7" s="4" t="n">
        <v>115127</v>
      </c>
      <c r="G7" s="4" t="n">
        <v>59165</v>
      </c>
      <c r="H7" s="4" t="n">
        <v>63175</v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11">
        <f>'QTR P&amp;L'!AL7+'QTR P&amp;L'!AM7+'QTR P&amp;L'!AN7+'QTR P&amp;L'!AO7</f>
        <v/>
      </c>
      <c r="M7" s="11">
        <f>'QTR P&amp;L'!AP7+'QTR P&amp;L'!AQ7+'QTR P&amp;L'!AR7+'QTR P&amp;L'!AS7</f>
        <v/>
      </c>
      <c r="N7" s="5" t="n"/>
    </row>
    <row r="8">
      <c r="A8" s="3" t="inlineStr">
        <is>
          <t>Pre-Tax Income (Loss)</t>
        </is>
      </c>
      <c r="B8" s="6">
        <f>B6+B7</f>
        <v/>
      </c>
      <c r="C8" s="6">
        <f>C6+C7</f>
        <v/>
      </c>
      <c r="D8" s="6">
        <f>D6+D7</f>
        <v/>
      </c>
      <c r="E8" s="6">
        <f>E6+E7</f>
        <v/>
      </c>
      <c r="F8" s="6">
        <f>F6+F7</f>
        <v/>
      </c>
      <c r="G8" s="6">
        <f>G6+G7</f>
        <v/>
      </c>
      <c r="H8" s="6">
        <f>H6+H7</f>
        <v/>
      </c>
      <c r="I8" s="7">
        <f>I6+I7</f>
        <v/>
      </c>
      <c r="J8" s="7">
        <f>J6+J7</f>
        <v/>
      </c>
      <c r="K8" s="7">
        <f>K6+K7</f>
        <v/>
      </c>
      <c r="L8" s="7">
        <f>L6+L7</f>
        <v/>
      </c>
      <c r="M8" s="7">
        <f>M6+M7</f>
        <v/>
      </c>
      <c r="N8" s="7">
        <f>N6+N7</f>
        <v/>
      </c>
    </row>
    <row r="9">
      <c r="A9" s="3" t="inlineStr">
        <is>
          <t>Income Tax (Expense) Benefit</t>
        </is>
      </c>
      <c r="B9" s="4" t="n">
        <v>-308127</v>
      </c>
      <c r="C9" s="4" t="n">
        <v>-216563</v>
      </c>
      <c r="D9" s="4" t="n">
        <v>-423944</v>
      </c>
      <c r="E9" s="4" t="n">
        <v>-380340</v>
      </c>
      <c r="F9" s="4" t="n">
        <v>-437494</v>
      </c>
      <c r="G9" s="4" t="n">
        <v>-480411</v>
      </c>
      <c r="H9" s="4" t="n">
        <v>-577097</v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  <c r="M9" s="11">
        <f>'QTR P&amp;L'!AP9+'QTR P&amp;L'!AQ9+'QTR P&amp;L'!AR9+'QTR P&amp;L'!AS9</f>
        <v/>
      </c>
      <c r="N9" s="5" t="n"/>
    </row>
    <row r="10">
      <c r="A10" s="3" t="inlineStr">
        <is>
          <t>Net Income (Loss)</t>
        </is>
      </c>
      <c r="B10" s="6">
        <f>B8+B9</f>
        <v/>
      </c>
      <c r="C10" s="6">
        <f>C8+C9</f>
        <v/>
      </c>
      <c r="D10" s="6">
        <f>D8+D9</f>
        <v/>
      </c>
      <c r="E10" s="6">
        <f>E8+E9</f>
        <v/>
      </c>
      <c r="F10" s="6">
        <f>F8+F9</f>
        <v/>
      </c>
      <c r="G10" s="6">
        <f>G8+G9</f>
        <v/>
      </c>
      <c r="H10" s="6">
        <f>H8+H9</f>
        <v/>
      </c>
      <c r="I10" s="7">
        <f>I8+I9</f>
        <v/>
      </c>
      <c r="J10" s="7">
        <f>J8+J9</f>
        <v/>
      </c>
      <c r="K10" s="7">
        <f>K8+K9</f>
        <v/>
      </c>
      <c r="L10" s="7">
        <f>L8+L9</f>
        <v/>
      </c>
      <c r="M10" s="7">
        <f>M8+M9</f>
        <v/>
      </c>
      <c r="N10" s="7">
        <f>N8+N9</f>
        <v/>
      </c>
    </row>
    <row r="11">
      <c r="A11" s="3" t="inlineStr">
        <is>
          <t>Basic Earnings (Loss) per Share</t>
        </is>
      </c>
      <c r="B11" s="8" t="n">
        <v>2.04</v>
      </c>
      <c r="C11" s="8" t="n">
        <v>2.66</v>
      </c>
      <c r="D11" s="8" t="n">
        <v>2.61</v>
      </c>
      <c r="E11" s="8" t="n">
        <v>2.26</v>
      </c>
      <c r="F11" s="8" t="n">
        <v>1.56</v>
      </c>
      <c r="G11" s="8" t="n">
        <v>1.5</v>
      </c>
      <c r="H11" s="8" t="n">
        <v>1.95</v>
      </c>
      <c r="I11" s="9" t="n"/>
      <c r="J11" s="9" t="n"/>
      <c r="K11" s="9" t="n"/>
      <c r="L11" s="9" t="n"/>
      <c r="M11" s="9" t="n"/>
      <c r="N11" s="9" t="n"/>
    </row>
    <row r="12">
      <c r="A12" s="3" t="inlineStr">
        <is>
          <t>Diluted Earnings (Loss) per Share</t>
        </is>
      </c>
      <c r="B12" s="8" t="n">
        <v>2.03</v>
      </c>
      <c r="C12" s="8" t="n">
        <v>2.64</v>
      </c>
      <c r="D12" s="8" t="n">
        <v>2.57</v>
      </c>
      <c r="E12" s="8" t="n">
        <v>2.23</v>
      </c>
      <c r="F12" s="8" t="n">
        <v>1.54</v>
      </c>
      <c r="G12" s="8" t="n">
        <v>1.49</v>
      </c>
      <c r="H12" s="8" t="n">
        <v>1.94</v>
      </c>
      <c r="I12" s="9" t="n"/>
      <c r="J12" s="9" t="n"/>
      <c r="K12" s="9" t="n"/>
      <c r="L12" s="9" t="n"/>
      <c r="M12" s="9" t="n"/>
      <c r="N12" s="9" t="n"/>
    </row>
    <row r="13">
      <c r="A13" s="3" t="inlineStr">
        <is>
          <t>Weighted Average Shares Outstanding (Basic)</t>
        </is>
      </c>
      <c r="B13" s="4" t="n">
        <v>542191000</v>
      </c>
      <c r="C13" s="4" t="n">
        <v>529639000</v>
      </c>
      <c r="D13" s="4" t="n">
        <v>528763000</v>
      </c>
      <c r="E13" s="4" t="n">
        <v>526779000</v>
      </c>
      <c r="F13" s="4" t="n">
        <v>1044887000</v>
      </c>
      <c r="G13" s="4" t="n">
        <v>1004566000</v>
      </c>
      <c r="H13" s="4" t="n">
        <v>975887000</v>
      </c>
      <c r="I13" s="5" t="n"/>
      <c r="J13" s="5" t="n"/>
      <c r="K13" s="5" t="n"/>
      <c r="L13" s="5" t="n"/>
      <c r="M13" s="5" t="n"/>
      <c r="N13" s="5" t="n"/>
    </row>
    <row r="14">
      <c r="A14" s="3" t="inlineStr">
        <is>
          <t>Weighted Average Shares Outstanding (Diluted)</t>
        </is>
      </c>
      <c r="B14" s="4" t="n">
        <v>546608000</v>
      </c>
      <c r="C14" s="4" t="n">
        <v>534807000</v>
      </c>
      <c r="D14" s="4" t="n">
        <v>535639000</v>
      </c>
      <c r="E14" s="4" t="n">
        <v>533221000</v>
      </c>
      <c r="F14" s="4" t="n">
        <v>1057981000</v>
      </c>
      <c r="G14" s="4" t="n">
        <v>1013107000</v>
      </c>
      <c r="H14" s="4" t="n">
        <v>984451000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Net Income (Loss) Attributable to Common Shareholders</t>
        </is>
      </c>
      <c r="B15" s="6">
        <f>B10</f>
        <v/>
      </c>
      <c r="C15" s="6">
        <f>C10</f>
        <v/>
      </c>
      <c r="D15" s="6">
        <f>D10</f>
        <v/>
      </c>
      <c r="E15" s="6">
        <f>E10</f>
        <v/>
      </c>
      <c r="F15" s="6">
        <f>F10</f>
        <v/>
      </c>
      <c r="G15" s="6">
        <f>G10</f>
        <v/>
      </c>
      <c r="H15" s="6">
        <f>H10</f>
        <v/>
      </c>
      <c r="I15" s="7">
        <f>I10</f>
        <v/>
      </c>
      <c r="J15" s="7">
        <f>J10</f>
        <v/>
      </c>
      <c r="K15" s="7">
        <f>K10</f>
        <v/>
      </c>
      <c r="L15" s="7">
        <f>L10</f>
        <v/>
      </c>
      <c r="M15" s="7">
        <f>M10</f>
        <v/>
      </c>
      <c r="N15" s="7">
        <f>N10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FY2020</t>
        </is>
      </c>
      <c r="C1" s="2" t="inlineStr">
        <is>
          <t>FY2021</t>
        </is>
      </c>
      <c r="D1" s="2" t="inlineStr">
        <is>
          <t>FY2022</t>
        </is>
      </c>
      <c r="E1" s="2" t="inlineStr">
        <is>
          <t>FY2023</t>
        </is>
      </c>
      <c r="F1" s="2" t="inlineStr">
        <is>
          <t>FY2024</t>
        </is>
      </c>
      <c r="G1" s="2" t="inlineStr">
        <is>
          <t>FY2025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  <c r="M1" s="2" t="inlineStr">
        <is>
          <t>FY2031E</t>
        </is>
      </c>
    </row>
    <row r="2">
      <c r="A2" s="3" t="inlineStr">
        <is>
          <t>Cash &amp; Cash Equivalents</t>
        </is>
      </c>
      <c r="B2" s="4" t="n">
        <v>1180413</v>
      </c>
      <c r="C2" s="4" t="n">
        <v>1326462</v>
      </c>
      <c r="D2" s="4" t="n">
        <v>1307141</v>
      </c>
      <c r="E2" s="4" t="n">
        <v>2297675</v>
      </c>
      <c r="F2" s="4" t="n">
        <v>1533287</v>
      </c>
      <c r="G2" s="4" t="n">
        <v>2088117</v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  <c r="L2" s="11">
        <f>'QTR BS'!AP2</f>
        <v/>
      </c>
      <c r="M2" s="5" t="n"/>
    </row>
    <row r="3">
      <c r="A3" s="3" t="inlineStr">
        <is>
          <t>Short-Term Investments</t>
        </is>
      </c>
      <c r="B3" s="4" t="n">
        <v>881354</v>
      </c>
      <c r="C3" s="4" t="n">
        <v>1749727</v>
      </c>
      <c r="D3" s="4" t="n">
        <v>1362314</v>
      </c>
      <c r="E3" s="4" t="n">
        <v>955605</v>
      </c>
      <c r="F3" s="4" t="n">
        <v>0</v>
      </c>
      <c r="G3" s="4" t="n">
        <v>677084</v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  <c r="L3" s="11">
        <f>'QTR BS'!AP3</f>
        <v/>
      </c>
      <c r="M3" s="5" t="n"/>
    </row>
    <row r="4">
      <c r="A4" s="3" t="inlineStr">
        <is>
          <t>Accounts Receivable</t>
        </is>
      </c>
      <c r="B4" s="4" t="n">
        <v>666012</v>
      </c>
      <c r="C4" s="4" t="n">
        <v>896658</v>
      </c>
      <c r="D4" s="4" t="n">
        <v>1016203</v>
      </c>
      <c r="E4" s="4" t="n">
        <v>1193964</v>
      </c>
      <c r="F4" s="4" t="n">
        <v>1221646</v>
      </c>
      <c r="G4" s="4" t="n">
        <v>1618072</v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  <c r="L4" s="11">
        <f>'QTR BS'!AP4</f>
        <v/>
      </c>
      <c r="M4" s="5" t="n"/>
    </row>
    <row r="5">
      <c r="A5" s="3" t="inlineStr">
        <is>
          <t>Inventories</t>
        </is>
      </c>
      <c r="B5" s="4" t="n">
        <v>333085</v>
      </c>
      <c r="C5" s="4" t="n">
        <v>593357</v>
      </c>
      <c r="D5" s="4" t="n">
        <v>935631</v>
      </c>
      <c r="E5" s="4" t="n">
        <v>971406</v>
      </c>
      <c r="F5" s="4" t="n">
        <v>737107</v>
      </c>
      <c r="G5" s="4" t="n">
        <v>799623</v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  <c r="L5" s="11">
        <f>'QTR BS'!AP5</f>
        <v/>
      </c>
      <c r="M5" s="5" t="n"/>
    </row>
    <row r="6">
      <c r="A6" s="3" t="inlineStr">
        <is>
          <t>Prepaid Expenses</t>
        </is>
      </c>
      <c r="B6" s="4" t="n">
        <v>55358</v>
      </c>
      <c r="C6" s="4" t="n">
        <v>82668</v>
      </c>
      <c r="D6" s="4" t="n">
        <v>109823</v>
      </c>
      <c r="E6" s="4" t="n">
        <v>116195</v>
      </c>
      <c r="F6" s="4" t="n">
        <v>107262</v>
      </c>
      <c r="G6" s="4" t="n">
        <v>103551</v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  <c r="L6" s="11">
        <f>'QTR BS'!AP6</f>
        <v/>
      </c>
      <c r="M6" s="5" t="n"/>
    </row>
    <row r="7">
      <c r="A7" s="3" t="inlineStr">
        <is>
          <t>Prepaid Income Taxes</t>
        </is>
      </c>
      <c r="B7" s="4" t="n">
        <v>24733</v>
      </c>
      <c r="C7" s="4" t="n">
        <v>33238</v>
      </c>
      <c r="D7" s="4" t="n">
        <v>33785</v>
      </c>
      <c r="E7" s="4" t="n">
        <v>54151</v>
      </c>
      <c r="F7" s="4" t="n">
        <v>42202</v>
      </c>
      <c r="G7" s="4" t="n">
        <v>74637</v>
      </c>
      <c r="H7" s="11">
        <f>'QTR BS'!Z7</f>
        <v/>
      </c>
      <c r="I7" s="11">
        <f>'QTR BS'!AD7</f>
        <v/>
      </c>
      <c r="J7" s="11">
        <f>'QTR BS'!AH7</f>
        <v/>
      </c>
      <c r="K7" s="11">
        <f>'QTR BS'!AL7</f>
        <v/>
      </c>
      <c r="L7" s="11">
        <f>'QTR BS'!AP7</f>
        <v/>
      </c>
      <c r="M7" s="5" t="n"/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</row>
    <row r="9">
      <c r="A9" s="3" t="inlineStr">
        <is>
          <t>Long-Term Investments</t>
        </is>
      </c>
      <c r="B9" s="4" t="n">
        <v>44291</v>
      </c>
      <c r="C9" s="4" t="n">
        <v>99419</v>
      </c>
      <c r="D9" s="4" t="n">
        <v>61443</v>
      </c>
      <c r="E9" s="4" t="n">
        <v>76431</v>
      </c>
      <c r="F9" s="4" t="n">
        <v>0</v>
      </c>
      <c r="G9" s="4" t="n">
        <v>487329</v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  <c r="L9" s="11">
        <f>'QTR BS'!AP9</f>
        <v/>
      </c>
      <c r="M9" s="5" t="n"/>
    </row>
    <row r="10">
      <c r="A10" s="3" t="inlineStr">
        <is>
          <t>Net PP&amp;E</t>
        </is>
      </c>
      <c r="B10" s="4" t="n">
        <v>314656</v>
      </c>
      <c r="C10" s="4" t="n">
        <v>313753</v>
      </c>
      <c r="D10" s="4" t="n">
        <v>516897</v>
      </c>
      <c r="E10" s="4" t="n">
        <v>890796</v>
      </c>
      <c r="F10" s="4" t="n">
        <v>1047024</v>
      </c>
      <c r="G10" s="4" t="n">
        <v>1081544</v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  <c r="L10" s="11">
        <f>'QTR BS'!AP10</f>
        <v/>
      </c>
      <c r="M10" s="5" t="n"/>
    </row>
    <row r="11">
      <c r="A11" s="3" t="inlineStr">
        <is>
          <t>Deferred Tax Assets</t>
        </is>
      </c>
      <c r="B11" s="4" t="n">
        <v>241650</v>
      </c>
      <c r="C11" s="4" t="n">
        <v>225221</v>
      </c>
      <c r="D11" s="4" t="n">
        <v>177039</v>
      </c>
      <c r="E11" s="4" t="n">
        <v>175003</v>
      </c>
      <c r="F11" s="4" t="n">
        <v>184260</v>
      </c>
      <c r="G11" s="4" t="n">
        <v>188646</v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  <c r="L11" s="11">
        <f>'QTR BS'!AP11</f>
        <v/>
      </c>
      <c r="M11" s="5" t="n"/>
    </row>
    <row r="12">
      <c r="A12" s="3" t="inlineStr">
        <is>
          <t>Goodwill</t>
        </is>
      </c>
      <c r="B12" s="4" t="n">
        <v>1331643</v>
      </c>
      <c r="C12" s="4" t="n">
        <v>1331643</v>
      </c>
      <c r="D12" s="4" t="n">
        <v>1417941</v>
      </c>
      <c r="E12" s="4" t="n">
        <v>1417941</v>
      </c>
      <c r="F12" s="4" t="n">
        <v>1331643</v>
      </c>
      <c r="G12" s="4" t="n">
        <v>1331643</v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  <c r="L12" s="11">
        <f>'QTR BS'!AP12</f>
        <v/>
      </c>
      <c r="M12" s="5" t="n"/>
    </row>
    <row r="13">
      <c r="A13" s="3" t="inlineStr">
        <is>
          <t>Intangible Assets</t>
        </is>
      </c>
      <c r="B13" s="4" t="n">
        <v>1059046</v>
      </c>
      <c r="C13" s="4" t="n">
        <v>1072386</v>
      </c>
      <c r="D13" s="4" t="n">
        <v>1220410</v>
      </c>
      <c r="E13" s="4" t="n">
        <v>1427139</v>
      </c>
      <c r="F13" s="4" t="n">
        <v>1414252</v>
      </c>
      <c r="G13" s="4" t="n">
        <v>1379268</v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  <c r="L13" s="11">
        <f>'QTR BS'!AP13</f>
        <v/>
      </c>
      <c r="M13" s="5" t="n"/>
    </row>
    <row r="14">
      <c r="A14" s="3" t="inlineStr">
        <is>
          <t>Other Non-Current Assets</t>
        </is>
      </c>
      <c r="B14" s="4" t="n">
        <v>70475</v>
      </c>
      <c r="C14" s="4" t="n">
        <v>80252</v>
      </c>
      <c r="D14" s="4" t="n">
        <v>134478</v>
      </c>
      <c r="E14" s="4" t="n">
        <v>110216</v>
      </c>
      <c r="F14" s="4" t="n">
        <v>100406</v>
      </c>
      <c r="G14" s="4" t="n">
        <v>159431</v>
      </c>
      <c r="H14" s="11">
        <f>'QTR BS'!Z14</f>
        <v/>
      </c>
      <c r="I14" s="11">
        <f>'QTR BS'!AD14</f>
        <v/>
      </c>
      <c r="J14" s="11">
        <f>'QTR BS'!AH14</f>
        <v/>
      </c>
      <c r="K14" s="11">
        <f>'QTR BS'!AL14</f>
        <v/>
      </c>
      <c r="L14" s="11">
        <f>'QTR BS'!AP14</f>
        <v/>
      </c>
      <c r="M14" s="5" t="n"/>
    </row>
    <row r="15">
      <c r="A15" s="3" t="inlineStr">
        <is>
          <t>Total Assets</t>
        </is>
      </c>
      <c r="B15" s="6">
        <f>B8+SUM(B9:B14)</f>
        <v/>
      </c>
      <c r="C15" s="6">
        <f>C8+SUM(C9:C14)</f>
        <v/>
      </c>
      <c r="D15" s="6">
        <f>D8+SUM(D9:D14)</f>
        <v/>
      </c>
      <c r="E15" s="6">
        <f>E8+SUM(E9:E14)</f>
        <v/>
      </c>
      <c r="F15" s="6">
        <f>F8+SUM(F9:F14)</f>
        <v/>
      </c>
      <c r="G15" s="6">
        <f>G8+SUM(G9:G14)</f>
        <v/>
      </c>
      <c r="H15" s="7">
        <f>H8+SUM(H9:H14)</f>
        <v/>
      </c>
      <c r="I15" s="7">
        <f>I8+SUM(I9:I14)</f>
        <v/>
      </c>
      <c r="J15" s="7">
        <f>J8+SUM(J9:J14)</f>
        <v/>
      </c>
      <c r="K15" s="7">
        <f>K8+SUM(K9:K14)</f>
        <v/>
      </c>
      <c r="L15" s="7">
        <f>L8+SUM(L9:L14)</f>
        <v/>
      </c>
      <c r="M15" s="7">
        <f>M8+SUM(M9:M14)</f>
        <v/>
      </c>
    </row>
    <row r="16">
      <c r="A16" s="3" t="inlineStr">
        <is>
          <t>Accounts Payable</t>
        </is>
      </c>
      <c r="B16" s="4" t="n">
        <v>296800</v>
      </c>
      <c r="C16" s="4" t="n">
        <v>404263</v>
      </c>
      <c r="D16" s="4" t="n">
        <v>444265</v>
      </c>
      <c r="E16" s="4" t="n">
        <v>564379</v>
      </c>
      <c r="F16" s="4" t="n">
        <v>466775</v>
      </c>
      <c r="G16" s="4" t="n">
        <v>565974</v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  <c r="L16" s="11">
        <f>'QTR BS'!AP16</f>
        <v/>
      </c>
      <c r="M16" s="5" t="n"/>
    </row>
    <row r="17">
      <c r="A17" s="3" t="inlineStr">
        <is>
          <t>Accrued Expenses</t>
        </is>
      </c>
      <c r="B17" s="4" t="n">
        <v>142653</v>
      </c>
      <c r="C17" s="4" t="n">
        <v>210964</v>
      </c>
      <c r="D17" s="4" t="n">
        <v>172991</v>
      </c>
      <c r="E17" s="4" t="n">
        <v>183988</v>
      </c>
      <c r="F17" s="4" t="n">
        <v>220764</v>
      </c>
      <c r="G17" s="4" t="n">
        <v>306085</v>
      </c>
      <c r="H17" s="11">
        <f>'QTR BS'!Z17</f>
        <v/>
      </c>
      <c r="I17" s="11">
        <f>'QTR BS'!AD17</f>
        <v/>
      </c>
      <c r="J17" s="11">
        <f>'QTR BS'!AH17</f>
        <v/>
      </c>
      <c r="K17" s="11">
        <f>'QTR BS'!AL17</f>
        <v/>
      </c>
      <c r="L17" s="11">
        <f>'QTR BS'!AP17</f>
        <v/>
      </c>
      <c r="M17" s="5" t="n"/>
    </row>
    <row r="18">
      <c r="A18" s="3" t="inlineStr">
        <is>
          <t>Accrued Promotional Allowance</t>
        </is>
      </c>
      <c r="B18" s="4" t="n">
        <v>186658</v>
      </c>
      <c r="C18" s="4" t="n">
        <v>211461</v>
      </c>
      <c r="D18" s="4" t="n">
        <v>255631</v>
      </c>
      <c r="E18" s="4" t="n">
        <v>269061</v>
      </c>
      <c r="F18" s="4" t="n">
        <v>267711</v>
      </c>
      <c r="G18" s="4" t="n">
        <v>384070</v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  <c r="L18" s="11">
        <f>'QTR BS'!AP18</f>
        <v/>
      </c>
      <c r="M18" s="5" t="n"/>
    </row>
    <row r="19">
      <c r="A19" s="3" t="inlineStr">
        <is>
          <t>Deferred Revenue - Current</t>
        </is>
      </c>
      <c r="B19" s="4" t="n">
        <v>45429</v>
      </c>
      <c r="C19" s="4" t="n">
        <v>42530</v>
      </c>
      <c r="D19" s="4" t="n">
        <v>43311</v>
      </c>
      <c r="E19" s="4" t="n">
        <v>41914</v>
      </c>
      <c r="F19" s="4" t="n">
        <v>45809</v>
      </c>
      <c r="G19" s="4" t="n">
        <v>45323</v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  <c r="L19" s="11">
        <f>'QTR BS'!AP19</f>
        <v/>
      </c>
      <c r="M19" s="5" t="n"/>
    </row>
    <row r="20">
      <c r="A20" s="3" t="inlineStr">
        <is>
          <t>Accrued Compensation</t>
        </is>
      </c>
      <c r="B20" s="4" t="n">
        <v>55015</v>
      </c>
      <c r="C20" s="4" t="n">
        <v>65459</v>
      </c>
      <c r="D20" s="4" t="n">
        <v>72463</v>
      </c>
      <c r="E20" s="4" t="n">
        <v>87392</v>
      </c>
      <c r="F20" s="4" t="n">
        <v>92454</v>
      </c>
      <c r="G20" s="4" t="n">
        <v>114023</v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  <c r="L20" s="11">
        <f>'QTR BS'!AP20</f>
        <v/>
      </c>
      <c r="M20" s="5" t="n"/>
    </row>
    <row r="21">
      <c r="A21" s="3" t="inlineStr">
        <is>
          <t>Income Taxes Payable</t>
        </is>
      </c>
      <c r="B21" s="4" t="n">
        <v>23433</v>
      </c>
      <c r="C21" s="4" t="n">
        <v>30399</v>
      </c>
      <c r="D21" s="4" t="n">
        <v>13317</v>
      </c>
      <c r="E21" s="4" t="n">
        <v>14955</v>
      </c>
      <c r="F21" s="4" t="n">
        <v>4006</v>
      </c>
      <c r="G21" s="4" t="n">
        <v>32305</v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  <c r="L21" s="11">
        <f>'QTR BS'!AP21</f>
        <v/>
      </c>
      <c r="M21" s="5" t="n"/>
    </row>
    <row r="22">
      <c r="A22" s="3" t="inlineStr">
        <is>
          <t>Total Current Liabilities</t>
        </is>
      </c>
      <c r="B22" s="6">
        <f>SUM(B16:B21)</f>
        <v/>
      </c>
      <c r="C22" s="6">
        <f>SUM(C16:C21)</f>
        <v/>
      </c>
      <c r="D22" s="6">
        <f>SUM(D16:D21)</f>
        <v/>
      </c>
      <c r="E22" s="6">
        <f>SUM(E16:E21)</f>
        <v/>
      </c>
      <c r="F22" s="6">
        <f>SUM(F16:F21)</f>
        <v/>
      </c>
      <c r="G22" s="6">
        <f>SUM(G16:G21)</f>
        <v/>
      </c>
      <c r="H22" s="7">
        <f>SUM(H16:H21)</f>
        <v/>
      </c>
      <c r="I22" s="7">
        <f>SUM(I16:I21)</f>
        <v/>
      </c>
      <c r="J22" s="7">
        <f>SUM(J16:J21)</f>
        <v/>
      </c>
      <c r="K22" s="7">
        <f>SUM(K16:K21)</f>
        <v/>
      </c>
      <c r="L22" s="7">
        <f>SUM(L16:L21)</f>
        <v/>
      </c>
      <c r="M22" s="7">
        <f>SUM(M16:M21)</f>
        <v/>
      </c>
    </row>
    <row r="23">
      <c r="A23" s="3" t="inlineStr">
        <is>
          <t>Deferred Revenue - Non-Current</t>
        </is>
      </c>
      <c r="B23" s="4" t="n">
        <v>264436</v>
      </c>
      <c r="C23" s="4" t="n">
        <v>243249</v>
      </c>
      <c r="D23" s="4" t="n">
        <v>223800</v>
      </c>
      <c r="E23" s="4" t="n">
        <v>204251</v>
      </c>
      <c r="F23" s="4" t="n">
        <v>179008</v>
      </c>
      <c r="G23" s="4" t="n">
        <v>159991</v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  <c r="L23" s="11">
        <f>'QTR BS'!AP23</f>
        <v/>
      </c>
      <c r="M23" s="5" t="n"/>
    </row>
    <row r="24">
      <c r="A24" s="3" t="inlineStr">
        <is>
          <t>Other Non-Current Liabilities</t>
        </is>
      </c>
      <c r="B24" s="4" t="n">
        <v>27432</v>
      </c>
      <c r="C24" s="4" t="n">
        <v>29508</v>
      </c>
      <c r="D24" s="4" t="n">
        <v>42286</v>
      </c>
      <c r="E24" s="4" t="n">
        <v>91838</v>
      </c>
      <c r="F24" s="4" t="n">
        <v>110893</v>
      </c>
      <c r="G24" s="4" t="n">
        <v>127066</v>
      </c>
      <c r="H24" s="11">
        <f>'QTR BS'!Z25</f>
        <v/>
      </c>
      <c r="I24" s="11">
        <f>'QTR BS'!AD25</f>
        <v/>
      </c>
      <c r="J24" s="11">
        <f>'QTR BS'!AH25</f>
        <v/>
      </c>
      <c r="K24" s="11">
        <f>'QTR BS'!AL25</f>
        <v/>
      </c>
      <c r="L24" s="11">
        <f>'QTR BS'!AP25</f>
        <v/>
      </c>
      <c r="M24" s="5" t="n"/>
    </row>
    <row r="25">
      <c r="A25" s="3" t="inlineStr">
        <is>
          <t>Long-Term Debt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373951</v>
      </c>
      <c r="G25" s="4" t="n">
        <v>0</v>
      </c>
      <c r="H25" s="11">
        <f>'QTR BS'!Z26</f>
        <v/>
      </c>
      <c r="I25" s="11">
        <f>'QTR BS'!AD26</f>
        <v/>
      </c>
      <c r="J25" s="11">
        <f>'QTR BS'!AH26</f>
        <v/>
      </c>
      <c r="K25" s="11">
        <f>'QTR BS'!AL26</f>
        <v/>
      </c>
      <c r="L25" s="11">
        <f>'QTR BS'!AP26</f>
        <v/>
      </c>
      <c r="M25" s="5" t="n"/>
    </row>
    <row r="26">
      <c r="A26" s="3" t="inlineStr">
        <is>
          <t>Total Liabilities</t>
        </is>
      </c>
      <c r="B26" s="6">
        <f>B22+SUM(B23:B25)</f>
        <v/>
      </c>
      <c r="C26" s="6">
        <f>C22+SUM(C23:C25)</f>
        <v/>
      </c>
      <c r="D26" s="6">
        <f>D22+SUM(D23:D25)</f>
        <v/>
      </c>
      <c r="E26" s="6">
        <f>E22+SUM(E23:E25)</f>
        <v/>
      </c>
      <c r="F26" s="6">
        <f>F22+SUM(F23:F25)</f>
        <v/>
      </c>
      <c r="G26" s="6">
        <f>G22+SUM(G23:G25)</f>
        <v/>
      </c>
      <c r="H26" s="7">
        <f>H22+SUM(H23:H25)</f>
        <v/>
      </c>
      <c r="I26" s="7">
        <f>I22+SUM(I23:I25)</f>
        <v/>
      </c>
      <c r="J26" s="7">
        <f>J22+SUM(J23:J25)</f>
        <v/>
      </c>
      <c r="K26" s="7">
        <f>K22+SUM(K23:K25)</f>
        <v/>
      </c>
      <c r="L26" s="7">
        <f>L22+SUM(L23:L25)</f>
        <v/>
      </c>
      <c r="M26" s="7">
        <f>M22+SUM(M23:M25)</f>
        <v/>
      </c>
    </row>
    <row r="27">
      <c r="A27" s="3" t="inlineStr">
        <is>
          <t>Common Stock</t>
        </is>
      </c>
      <c r="B27" s="4" t="n">
        <v>3193</v>
      </c>
      <c r="C27" s="4" t="n">
        <v>3200</v>
      </c>
      <c r="D27" s="4" t="n">
        <v>3209</v>
      </c>
      <c r="E27" s="4" t="n">
        <v>5613</v>
      </c>
      <c r="F27" s="4" t="n">
        <v>5632</v>
      </c>
      <c r="G27" s="4" t="n">
        <v>5665</v>
      </c>
      <c r="H27" s="11">
        <f>'QTR BS'!Z28</f>
        <v/>
      </c>
      <c r="I27" s="11">
        <f>'QTR BS'!AD28</f>
        <v/>
      </c>
      <c r="J27" s="11">
        <f>'QTR BS'!AH28</f>
        <v/>
      </c>
      <c r="K27" s="11">
        <f>'QTR BS'!AL28</f>
        <v/>
      </c>
      <c r="L27" s="11">
        <f>'QTR BS'!AP28</f>
        <v/>
      </c>
      <c r="M27" s="5" t="n"/>
    </row>
    <row r="28">
      <c r="A28" s="3" t="inlineStr">
        <is>
          <t>Additional Paid-in Capital</t>
        </is>
      </c>
      <c r="B28" s="4" t="n">
        <v>4537982</v>
      </c>
      <c r="C28" s="4" t="n">
        <v>4652620</v>
      </c>
      <c r="D28" s="4" t="n">
        <v>4780013</v>
      </c>
      <c r="E28" s="4" t="n">
        <v>4975115</v>
      </c>
      <c r="F28" s="4" t="n">
        <v>5144922</v>
      </c>
      <c r="G28" s="4" t="n">
        <v>5430847</v>
      </c>
      <c r="H28" s="11">
        <f>'QTR BS'!Z29</f>
        <v/>
      </c>
      <c r="I28" s="11">
        <f>'QTR BS'!AD29</f>
        <v/>
      </c>
      <c r="J28" s="11">
        <f>'QTR BS'!AH29</f>
        <v/>
      </c>
      <c r="K28" s="11">
        <f>'QTR BS'!AL29</f>
        <v/>
      </c>
      <c r="L28" s="11">
        <f>'QTR BS'!AP29</f>
        <v/>
      </c>
      <c r="M28" s="5" t="n"/>
    </row>
    <row r="29">
      <c r="A29" s="3" t="inlineStr">
        <is>
          <t>Retained Earnings (Accumulated Deficit)</t>
        </is>
      </c>
      <c r="B29" s="4" t="n">
        <v>6432074</v>
      </c>
      <c r="C29" s="4" t="n">
        <v>7809549</v>
      </c>
      <c r="D29" s="4" t="n">
        <v>9001173</v>
      </c>
      <c r="E29" s="4" t="n">
        <v>5939736</v>
      </c>
      <c r="F29" s="4" t="n">
        <v>7448784</v>
      </c>
      <c r="G29" s="4" t="n">
        <v>9354216</v>
      </c>
      <c r="H29" s="11">
        <f>'QTR BS'!Z30</f>
        <v/>
      </c>
      <c r="I29" s="11">
        <f>'QTR BS'!AD30</f>
        <v/>
      </c>
      <c r="J29" s="11">
        <f>'QTR BS'!AH30</f>
        <v/>
      </c>
      <c r="K29" s="11">
        <f>'QTR BS'!AL30</f>
        <v/>
      </c>
      <c r="L29" s="11">
        <f>'QTR BS'!AP30</f>
        <v/>
      </c>
      <c r="M29" s="5" t="n"/>
    </row>
    <row r="30">
      <c r="A30" s="3" t="inlineStr">
        <is>
          <t>Accumulated Other Comprehensive Income (Loss)</t>
        </is>
      </c>
      <c r="B30" s="4" t="n">
        <v>3034</v>
      </c>
      <c r="C30" s="4" t="n">
        <v>-69165</v>
      </c>
      <c r="D30" s="4" t="n">
        <v>-159073</v>
      </c>
      <c r="E30" s="4" t="n">
        <v>-125337</v>
      </c>
      <c r="F30" s="4" t="n">
        <v>-269487</v>
      </c>
      <c r="G30" s="4" t="n">
        <v>-60841</v>
      </c>
      <c r="H30" s="11">
        <f>'QTR BS'!Z31</f>
        <v/>
      </c>
      <c r="I30" s="11">
        <f>'QTR BS'!AD31</f>
        <v/>
      </c>
      <c r="J30" s="11">
        <f>'QTR BS'!AH31</f>
        <v/>
      </c>
      <c r="K30" s="11">
        <f>'QTR BS'!AL31</f>
        <v/>
      </c>
      <c r="L30" s="11">
        <f>'QTR BS'!AP31</f>
        <v/>
      </c>
      <c r="M30" s="5" t="n"/>
    </row>
    <row r="31">
      <c r="A31" s="3" t="inlineStr">
        <is>
          <t>Treasury Stock</t>
        </is>
      </c>
      <c r="B31" s="4" t="n">
        <v>-5815423</v>
      </c>
      <c r="C31" s="4" t="n">
        <v>-5829253</v>
      </c>
      <c r="D31" s="4" t="n">
        <v>-6600281</v>
      </c>
      <c r="E31" s="4" t="n">
        <v>-2566383</v>
      </c>
      <c r="F31" s="4" t="n">
        <v>-6372133</v>
      </c>
      <c r="G31" s="4" t="n">
        <v>-6475779</v>
      </c>
      <c r="H31" s="11">
        <f>'QTR BS'!Z32</f>
        <v/>
      </c>
      <c r="I31" s="11">
        <f>'QTR BS'!AD32</f>
        <v/>
      </c>
      <c r="J31" s="11">
        <f>'QTR BS'!AH32</f>
        <v/>
      </c>
      <c r="K31" s="11">
        <f>'QTR BS'!AL32</f>
        <v/>
      </c>
      <c r="L31" s="11">
        <f>'QTR BS'!AP32</f>
        <v/>
      </c>
      <c r="M31" s="5" t="n"/>
    </row>
    <row r="32">
      <c r="A32" s="3" t="inlineStr">
        <is>
          <t>Total Stockholders' Equity</t>
        </is>
      </c>
      <c r="B32" s="6">
        <f>SUM(B27:B31)</f>
        <v/>
      </c>
      <c r="C32" s="6">
        <f>SUM(C27:C31)</f>
        <v/>
      </c>
      <c r="D32" s="6">
        <f>SUM(D27:D31)</f>
        <v/>
      </c>
      <c r="E32" s="6">
        <f>SUM(E27:E31)</f>
        <v/>
      </c>
      <c r="F32" s="6">
        <f>SUM(F27:F31)</f>
        <v/>
      </c>
      <c r="G32" s="6">
        <f>SUM(G27:G31)</f>
        <v/>
      </c>
      <c r="H32" s="7">
        <f>SUM(H27:H31)</f>
        <v/>
      </c>
      <c r="I32" s="7">
        <f>SUM(I27:I31)</f>
        <v/>
      </c>
      <c r="J32" s="7">
        <f>SUM(J27:J31)</f>
        <v/>
      </c>
      <c r="K32" s="7">
        <f>SUM(K27:K31)</f>
        <v/>
      </c>
      <c r="L32" s="7">
        <f>SUM(L27:L31)</f>
        <v/>
      </c>
      <c r="M32" s="7">
        <f>SUM(M27:M31)</f>
        <v/>
      </c>
    </row>
    <row r="33">
      <c r="A33" s="3" t="inlineStr">
        <is>
          <t>Total Liabilities, Mezzanine &amp; Stockholders' Equity</t>
        </is>
      </c>
      <c r="B33" s="6">
        <f>B26+B32</f>
        <v/>
      </c>
      <c r="C33" s="6">
        <f>C26+C32</f>
        <v/>
      </c>
      <c r="D33" s="6">
        <f>D26+D32</f>
        <v/>
      </c>
      <c r="E33" s="6">
        <f>E26+E32</f>
        <v/>
      </c>
      <c r="F33" s="6">
        <f>F26+F32</f>
        <v/>
      </c>
      <c r="G33" s="6">
        <f>G26+G32</f>
        <v/>
      </c>
      <c r="H33" s="7">
        <f>H26+H32</f>
        <v/>
      </c>
      <c r="I33" s="7">
        <f>I26+I32</f>
        <v/>
      </c>
      <c r="J33" s="7">
        <f>J26+J32</f>
        <v/>
      </c>
      <c r="K33" s="7">
        <f>K26+K32</f>
        <v/>
      </c>
      <c r="L33" s="7">
        <f>L26+L32</f>
        <v/>
      </c>
      <c r="M33" s="7">
        <f>M26+M32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Net Income (Loss)</t>
        </is>
      </c>
      <c r="B2" s="4" t="n">
        <v>1107835</v>
      </c>
      <c r="C2" s="4" t="n">
        <v>1409594</v>
      </c>
      <c r="D2" s="4" t="n">
        <v>1377475</v>
      </c>
      <c r="E2" s="4" t="n">
        <v>1191624</v>
      </c>
      <c r="F2" s="4" t="n">
        <v>1630988</v>
      </c>
      <c r="G2" s="4" t="n">
        <v>1509048</v>
      </c>
      <c r="H2" s="4" t="n">
        <v>1905432</v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  <c r="M2" s="11">
        <f>'QTR CF'!AP2+'QTR CF'!AQ2+'QTR CF'!AR2+'QTR CF'!AS2</f>
        <v/>
      </c>
      <c r="N2" s="5" t="n"/>
    </row>
    <row r="3">
      <c r="A3" s="3" t="inlineStr">
        <is>
          <t>Depreciation &amp; Amortization</t>
        </is>
      </c>
      <c r="B3" s="4" t="n">
        <v>60727</v>
      </c>
      <c r="C3" s="4" t="n">
        <v>57030</v>
      </c>
      <c r="D3" s="4" t="n">
        <v>50155</v>
      </c>
      <c r="E3" s="4" t="n">
        <v>61241</v>
      </c>
      <c r="F3" s="4" t="n">
        <v>68898</v>
      </c>
      <c r="G3" s="4" t="n">
        <v>80434</v>
      </c>
      <c r="H3" s="4" t="n">
        <v>114441</v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  <c r="M3" s="11">
        <f>'QTR CF'!AP3+'QTR CF'!AQ3+'QTR CF'!AR3+'QTR CF'!AS3</f>
        <v/>
      </c>
      <c r="N3" s="5" t="n"/>
    </row>
    <row r="4">
      <c r="A4" s="3" t="inlineStr">
        <is>
          <t>Non-Cash Lease Expense</t>
        </is>
      </c>
      <c r="B4" s="4" t="n">
        <v>4087</v>
      </c>
      <c r="C4" s="4" t="n">
        <v>3943</v>
      </c>
      <c r="D4" s="4" t="n">
        <v>4107</v>
      </c>
      <c r="E4" s="4" t="n">
        <v>7337</v>
      </c>
      <c r="F4" s="4" t="n">
        <v>9043</v>
      </c>
      <c r="G4" s="4" t="n">
        <v>13521</v>
      </c>
      <c r="H4" s="4" t="n">
        <v>15398</v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  <c r="M4" s="11">
        <f>'QTR CF'!AP4+'QTR CF'!AQ4+'QTR CF'!AR4+'QTR CF'!AS4</f>
        <v/>
      </c>
      <c r="N4" s="5" t="n"/>
    </row>
    <row r="5">
      <c r="A5" s="3" t="inlineStr">
        <is>
          <t>Gain (Loss) on Disposal of PP&amp;E</t>
        </is>
      </c>
      <c r="B5" s="4" t="n">
        <v>-252</v>
      </c>
      <c r="C5" s="4" t="n">
        <v>-350</v>
      </c>
      <c r="D5" s="4" t="n">
        <v>-1013</v>
      </c>
      <c r="E5" s="4" t="n">
        <v>-185</v>
      </c>
      <c r="F5" s="4" t="n">
        <v>166</v>
      </c>
      <c r="G5" s="4" t="n">
        <v>3328</v>
      </c>
      <c r="H5" s="4" t="n">
        <v>2781</v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  <c r="M5" s="11">
        <f>'QTR CF'!AP5+'QTR CF'!AQ5+'QTR CF'!AR5+'QTR CF'!AS5</f>
        <v/>
      </c>
      <c r="N5" s="5" t="n"/>
    </row>
    <row r="6">
      <c r="A6" s="3" t="inlineStr">
        <is>
          <t>Gain on Bang Transaction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-45382</v>
      </c>
      <c r="G6" s="4" t="n">
        <v>0</v>
      </c>
      <c r="H6" s="4" t="n">
        <v>0</v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  <c r="M6" s="11">
        <f>'QTR CF'!AP6+'QTR CF'!AQ6+'QTR CF'!AR6+'QTR CF'!AS6</f>
        <v/>
      </c>
      <c r="N6" s="5" t="n"/>
    </row>
    <row r="7">
      <c r="A7" s="3" t="inlineStr">
        <is>
          <t>Impairment of Intangibles</t>
        </is>
      </c>
      <c r="B7" s="4" t="n">
        <v>0</v>
      </c>
      <c r="C7" s="4" t="n">
        <v>8700</v>
      </c>
      <c r="D7" s="4" t="n">
        <v>0</v>
      </c>
      <c r="E7" s="4" t="n">
        <v>2200</v>
      </c>
      <c r="F7" s="4" t="n">
        <v>38700</v>
      </c>
      <c r="G7" s="4" t="n">
        <v>127098</v>
      </c>
      <c r="H7" s="4" t="n">
        <v>38411</v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  <c r="M7" s="11">
        <f>'QTR CF'!AP7+'QTR CF'!AQ7+'QTR CF'!AR7+'QTR CF'!AS7</f>
        <v/>
      </c>
      <c r="N7" s="5" t="n"/>
    </row>
    <row r="8">
      <c r="A8" s="3" t="inlineStr">
        <is>
          <t>Impairment of Long-Lived Assets (PP&amp;E)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4336</v>
      </c>
      <c r="G8" s="4" t="n">
        <v>8184</v>
      </c>
      <c r="H8" s="4" t="n">
        <v>12029</v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  <c r="M8" s="11">
        <f>'QTR CF'!AP8+'QTR CF'!AQ8+'QTR CF'!AR8+'QTR CF'!AS8</f>
        <v/>
      </c>
      <c r="N8" s="5" t="n"/>
    </row>
    <row r="9">
      <c r="A9" s="3" t="inlineStr">
        <is>
          <t>Stock-Based Compensation</t>
        </is>
      </c>
      <c r="B9" s="4" t="n">
        <v>63356</v>
      </c>
      <c r="C9" s="4" t="n">
        <v>70289</v>
      </c>
      <c r="D9" s="4" t="n">
        <v>70483</v>
      </c>
      <c r="E9" s="4" t="n">
        <v>64109</v>
      </c>
      <c r="F9" s="4" t="n">
        <v>68836</v>
      </c>
      <c r="G9" s="4" t="n">
        <v>90985</v>
      </c>
      <c r="H9" s="4" t="n">
        <v>125687</v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  <c r="M9" s="11">
        <f>'QTR CF'!AP9+'QTR CF'!AQ9+'QTR CF'!AR9+'QTR CF'!AS9</f>
        <v/>
      </c>
      <c r="N9" s="5" t="n"/>
    </row>
    <row r="10">
      <c r="A10" s="3" t="inlineStr">
        <is>
          <t>(Benefit) Provision for Deferred Income Taxes</t>
        </is>
      </c>
      <c r="B10" s="4" t="n">
        <v>1263</v>
      </c>
      <c r="C10" s="4" t="n">
        <v>-156873</v>
      </c>
      <c r="D10" s="4" t="n">
        <v>16429</v>
      </c>
      <c r="E10" s="4" t="n">
        <v>48182</v>
      </c>
      <c r="F10" s="4" t="n">
        <v>2040</v>
      </c>
      <c r="G10" s="4" t="n">
        <v>-11705</v>
      </c>
      <c r="H10" s="4" t="n">
        <v>4210</v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  <c r="M10" s="11">
        <f>'QTR CF'!AP10+'QTR CF'!AQ10+'QTR CF'!AR10+'QTR CF'!AS10</f>
        <v/>
      </c>
      <c r="N10" s="5" t="n"/>
    </row>
    <row r="11">
      <c r="A11" s="3" t="inlineStr">
        <is>
          <t>Accounts Receivable</t>
        </is>
      </c>
      <c r="B11" s="4" t="n">
        <v>-59941</v>
      </c>
      <c r="C11" s="4" t="n">
        <v>-119672</v>
      </c>
      <c r="D11" s="4" t="n">
        <v>-254228</v>
      </c>
      <c r="E11" s="4" t="n">
        <v>-128981</v>
      </c>
      <c r="F11" s="4" t="n">
        <v>-163158</v>
      </c>
      <c r="G11" s="4" t="n">
        <v>-93915</v>
      </c>
      <c r="H11" s="4" t="n">
        <v>-300600</v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  <c r="M11" s="11">
        <f>'QTR CF'!AP11+'QTR CF'!AQ11+'QTR CF'!AR11+'QTR CF'!AS11</f>
        <v/>
      </c>
      <c r="N11" s="5" t="n"/>
    </row>
    <row r="12">
      <c r="A12" s="3" t="inlineStr">
        <is>
          <t>Inventories</t>
        </is>
      </c>
      <c r="B12" s="4" t="n">
        <v>-85222</v>
      </c>
      <c r="C12" s="4" t="n">
        <v>30304</v>
      </c>
      <c r="D12" s="4" t="n">
        <v>-277793</v>
      </c>
      <c r="E12" s="4" t="n">
        <v>-347712</v>
      </c>
      <c r="F12" s="4" t="n">
        <v>7898</v>
      </c>
      <c r="G12" s="4" t="n">
        <v>211503</v>
      </c>
      <c r="H12" s="4" t="n">
        <v>-34918</v>
      </c>
      <c r="I12" s="11">
        <f>'QTR CF'!Z13+'QTR CF'!AA13+'QTR CF'!AB13+'QTR CF'!AC13</f>
        <v/>
      </c>
      <c r="J12" s="11">
        <f>'QTR CF'!AD13+'QTR CF'!AE13+'QTR CF'!AF13+'QTR CF'!AG13</f>
        <v/>
      </c>
      <c r="K12" s="11">
        <f>'QTR CF'!AH13+'QTR CF'!AI13+'QTR CF'!AJ13+'QTR CF'!AK13</f>
        <v/>
      </c>
      <c r="L12" s="11">
        <f>'QTR CF'!AL13+'QTR CF'!AM13+'QTR CF'!AN13+'QTR CF'!AO13</f>
        <v/>
      </c>
      <c r="M12" s="11">
        <f>'QTR CF'!AP13+'QTR CF'!AQ13+'QTR CF'!AR13+'QTR CF'!AS13</f>
        <v/>
      </c>
      <c r="N12" s="5" t="n"/>
    </row>
    <row r="13">
      <c r="A13" s="3" t="inlineStr">
        <is>
          <t>Prepaid Expenses</t>
        </is>
      </c>
      <c r="B13" s="4" t="n">
        <v>-13774</v>
      </c>
      <c r="C13" s="4" t="n">
        <v>1024</v>
      </c>
      <c r="D13" s="4" t="n">
        <v>-29341</v>
      </c>
      <c r="E13" s="4" t="n">
        <v>-38268</v>
      </c>
      <c r="F13" s="4" t="n">
        <v>-10215</v>
      </c>
      <c r="G13" s="4" t="n">
        <v>8959</v>
      </c>
      <c r="H13" s="4" t="n">
        <v>-39307</v>
      </c>
      <c r="I13" s="11">
        <f>'QTR CF'!Z14+'QTR CF'!AA14+'QTR CF'!AB14+'QTR CF'!AC14</f>
        <v/>
      </c>
      <c r="J13" s="11">
        <f>'QTR CF'!AD14+'QTR CF'!AE14+'QTR CF'!AF14+'QTR CF'!AG14</f>
        <v/>
      </c>
      <c r="K13" s="11">
        <f>'QTR CF'!AH14+'QTR CF'!AI14+'QTR CF'!AJ14+'QTR CF'!AK14</f>
        <v/>
      </c>
      <c r="L13" s="11">
        <f>'QTR CF'!AL14+'QTR CF'!AM14+'QTR CF'!AN14+'QTR CF'!AO14</f>
        <v/>
      </c>
      <c r="M13" s="11">
        <f>'QTR CF'!AP14+'QTR CF'!AQ14+'QTR CF'!AR14+'QTR CF'!AS14</f>
        <v/>
      </c>
      <c r="N13" s="5" t="n"/>
    </row>
    <row r="14">
      <c r="A14" s="3" t="inlineStr">
        <is>
          <t>Change in Prepaid Income Taxes</t>
        </is>
      </c>
      <c r="B14" s="4" t="n">
        <v>9481</v>
      </c>
      <c r="C14" s="4" t="n">
        <v>5516</v>
      </c>
      <c r="D14" s="4" t="n">
        <v>-10919</v>
      </c>
      <c r="E14" s="4" t="n">
        <v>-4439</v>
      </c>
      <c r="F14" s="4" t="n">
        <v>-18833</v>
      </c>
      <c r="G14" s="4" t="n">
        <v>3062</v>
      </c>
      <c r="H14" s="4" t="n">
        <v>-21094</v>
      </c>
      <c r="I14" s="11">
        <f>'QTR CF'!Z15+'QTR CF'!AA15+'QTR CF'!AB15+'QTR CF'!AC15</f>
        <v/>
      </c>
      <c r="J14" s="11">
        <f>'QTR CF'!AD15+'QTR CF'!AE15+'QTR CF'!AF15+'QTR CF'!AG15</f>
        <v/>
      </c>
      <c r="K14" s="11">
        <f>'QTR CF'!AH15+'QTR CF'!AI15+'QTR CF'!AJ15+'QTR CF'!AK15</f>
        <v/>
      </c>
      <c r="L14" s="11">
        <f>'QTR CF'!AL15+'QTR CF'!AM15+'QTR CF'!AN15+'QTR CF'!AO15</f>
        <v/>
      </c>
      <c r="M14" s="11">
        <f>'QTR CF'!AP15+'QTR CF'!AQ15+'QTR CF'!AR15+'QTR CF'!AS15</f>
        <v/>
      </c>
      <c r="N14" s="5" t="n"/>
    </row>
    <row r="15">
      <c r="A15" s="3" t="inlineStr">
        <is>
          <t>Accounts Payable</t>
        </is>
      </c>
      <c r="B15" s="4" t="n">
        <v>28832</v>
      </c>
      <c r="C15" s="4" t="n">
        <v>18696</v>
      </c>
      <c r="D15" s="4" t="n">
        <v>114297</v>
      </c>
      <c r="E15" s="4" t="n">
        <v>49765</v>
      </c>
      <c r="F15" s="4" t="n">
        <v>112786</v>
      </c>
      <c r="G15" s="4" t="n">
        <v>-61491</v>
      </c>
      <c r="H15" s="4" t="n">
        <v>78460</v>
      </c>
      <c r="I15" s="11">
        <f>'QTR CF'!Z16+'QTR CF'!AA16+'QTR CF'!AB16+'QTR CF'!AC16</f>
        <v/>
      </c>
      <c r="J15" s="11">
        <f>'QTR CF'!AD16+'QTR CF'!AE16+'QTR CF'!AF16+'QTR CF'!AG16</f>
        <v/>
      </c>
      <c r="K15" s="11">
        <f>'QTR CF'!AH16+'QTR CF'!AI16+'QTR CF'!AJ16+'QTR CF'!AK16</f>
        <v/>
      </c>
      <c r="L15" s="11">
        <f>'QTR CF'!AL16+'QTR CF'!AM16+'QTR CF'!AN16+'QTR CF'!AO16</f>
        <v/>
      </c>
      <c r="M15" s="11">
        <f>'QTR CF'!AP16+'QTR CF'!AQ16+'QTR CF'!AR16+'QTR CF'!AS16</f>
        <v/>
      </c>
      <c r="N15" s="5" t="n"/>
    </row>
    <row r="16">
      <c r="A16" s="3" t="inlineStr">
        <is>
          <t>Accrued Expenses</t>
        </is>
      </c>
      <c r="B16" s="4" t="n">
        <v>-14018</v>
      </c>
      <c r="C16" s="4" t="n">
        <v>26113</v>
      </c>
      <c r="D16" s="4" t="n">
        <v>71586</v>
      </c>
      <c r="E16" s="4" t="n">
        <v>-30419</v>
      </c>
      <c r="F16" s="4" t="n">
        <v>-10393</v>
      </c>
      <c r="G16" s="4" t="n">
        <v>18371</v>
      </c>
      <c r="H16" s="4" t="n">
        <v>81341</v>
      </c>
      <c r="I16" s="11">
        <f>'QTR CF'!Z17+'QTR CF'!AA17+'QTR CF'!AB17+'QTR CF'!AC17</f>
        <v/>
      </c>
      <c r="J16" s="11">
        <f>'QTR CF'!AD17+'QTR CF'!AE17+'QTR CF'!AF17+'QTR CF'!AG17</f>
        <v/>
      </c>
      <c r="K16" s="11">
        <f>'QTR CF'!AH17+'QTR CF'!AI17+'QTR CF'!AJ17+'QTR CF'!AK17</f>
        <v/>
      </c>
      <c r="L16" s="11">
        <f>'QTR CF'!AL17+'QTR CF'!AM17+'QTR CF'!AN17+'QTR CF'!AO17</f>
        <v/>
      </c>
      <c r="M16" s="11">
        <f>'QTR CF'!AP17+'QTR CF'!AQ17+'QTR CF'!AR17+'QTR CF'!AS17</f>
        <v/>
      </c>
      <c r="N16" s="5" t="n"/>
    </row>
    <row r="17">
      <c r="A17" s="3" t="inlineStr">
        <is>
          <t>Accrued Promotional Allowance</t>
        </is>
      </c>
      <c r="B17" s="4" t="n">
        <v>21943</v>
      </c>
      <c r="C17" s="4" t="n">
        <v>13762</v>
      </c>
      <c r="D17" s="4" t="n">
        <v>31498</v>
      </c>
      <c r="E17" s="4" t="n">
        <v>50821</v>
      </c>
      <c r="F17" s="4" t="n">
        <v>8418</v>
      </c>
      <c r="G17" s="4" t="n">
        <v>9736</v>
      </c>
      <c r="H17" s="4" t="n">
        <v>98266</v>
      </c>
      <c r="I17" s="11">
        <f>'QTR CF'!Z18+'QTR CF'!AA18+'QTR CF'!AB18+'QTR CF'!AC18</f>
        <v/>
      </c>
      <c r="J17" s="11">
        <f>'QTR CF'!AD18+'QTR CF'!AE18+'QTR CF'!AF18+'QTR CF'!AG18</f>
        <v/>
      </c>
      <c r="K17" s="11">
        <f>'QTR CF'!AH18+'QTR CF'!AI18+'QTR CF'!AJ18+'QTR CF'!AK18</f>
        <v/>
      </c>
      <c r="L17" s="11">
        <f>'QTR CF'!AL18+'QTR CF'!AM18+'QTR CF'!AN18+'QTR CF'!AO18</f>
        <v/>
      </c>
      <c r="M17" s="11">
        <f>'QTR CF'!AP18+'QTR CF'!AQ18+'QTR CF'!AR18+'QTR CF'!AS18</f>
        <v/>
      </c>
      <c r="N17" s="5" t="n"/>
    </row>
    <row r="18">
      <c r="A18" s="3" t="inlineStr">
        <is>
          <t>Change in Accrued Compensation</t>
        </is>
      </c>
      <c r="B18" s="4" t="n">
        <v>7228</v>
      </c>
      <c r="C18" s="4" t="n">
        <v>7501</v>
      </c>
      <c r="D18" s="4" t="n">
        <v>7950</v>
      </c>
      <c r="E18" s="4" t="n">
        <v>3729</v>
      </c>
      <c r="F18" s="4" t="n">
        <v>13398</v>
      </c>
      <c r="G18" s="4" t="n">
        <v>5947</v>
      </c>
      <c r="H18" s="4" t="n">
        <v>17801</v>
      </c>
      <c r="I18" s="11">
        <f>'QTR CF'!Z20+'QTR CF'!AA20+'QTR CF'!AB20+'QTR CF'!AC20</f>
        <v/>
      </c>
      <c r="J18" s="11">
        <f>'QTR CF'!AD20+'QTR CF'!AE20+'QTR CF'!AF20+'QTR CF'!AG20</f>
        <v/>
      </c>
      <c r="K18" s="11">
        <f>'QTR CF'!AH20+'QTR CF'!AI20+'QTR CF'!AJ20+'QTR CF'!AK20</f>
        <v/>
      </c>
      <c r="L18" s="11">
        <f>'QTR CF'!AL20+'QTR CF'!AM20+'QTR CF'!AN20+'QTR CF'!AO20</f>
        <v/>
      </c>
      <c r="M18" s="11">
        <f>'QTR CF'!AP20+'QTR CF'!AQ20+'QTR CF'!AR20+'QTR CF'!AS20</f>
        <v/>
      </c>
      <c r="N18" s="5" t="n"/>
    </row>
    <row r="19">
      <c r="A19" s="3" t="inlineStr">
        <is>
          <t>Other Current Liabilities</t>
        </is>
      </c>
      <c r="B19" s="4" t="n">
        <v>8105</v>
      </c>
      <c r="C19" s="4" t="n">
        <v>10422</v>
      </c>
      <c r="D19" s="4" t="n">
        <v>7221</v>
      </c>
      <c r="E19" s="4" t="n">
        <v>-16860</v>
      </c>
      <c r="F19" s="4" t="n">
        <v>1748</v>
      </c>
      <c r="G19" s="4" t="n">
        <v>9438</v>
      </c>
      <c r="H19" s="4" t="n">
        <v>27779</v>
      </c>
      <c r="I19" s="11">
        <f>'QTR CF'!Z21+'QTR CF'!AA21+'QTR CF'!AB21+'QTR CF'!AC21</f>
        <v/>
      </c>
      <c r="J19" s="11">
        <f>'QTR CF'!AD21+'QTR CF'!AE21+'QTR CF'!AF21+'QTR CF'!AG21</f>
        <v/>
      </c>
      <c r="K19" s="11">
        <f>'QTR CF'!AH21+'QTR CF'!AI21+'QTR CF'!AJ21+'QTR CF'!AK21</f>
        <v/>
      </c>
      <c r="L19" s="11">
        <f>'QTR CF'!AL21+'QTR CF'!AM21+'QTR CF'!AN21+'QTR CF'!AO21</f>
        <v/>
      </c>
      <c r="M19" s="11">
        <f>'QTR CF'!AP21+'QTR CF'!AQ21+'QTR CF'!AR21+'QTR CF'!AS21</f>
        <v/>
      </c>
      <c r="N19" s="5" t="n"/>
    </row>
    <row r="20">
      <c r="A20" s="3" t="inlineStr">
        <is>
          <t>Net Change in Other Working Capital</t>
        </is>
      </c>
      <c r="B20" s="4" t="n">
        <v>-1030</v>
      </c>
      <c r="C20" s="4" t="n">
        <v>-356</v>
      </c>
      <c r="D20" s="4" t="n">
        <v>492</v>
      </c>
      <c r="E20" s="4" t="n">
        <v>-4540</v>
      </c>
      <c r="F20" s="4" t="n">
        <v>22951</v>
      </c>
      <c r="G20" s="4" t="n">
        <v>13390</v>
      </c>
      <c r="H20" s="4" t="n">
        <v>-4935</v>
      </c>
      <c r="I20" s="11">
        <f>'QTR CF'!Z22+'QTR CF'!AA22+'QTR CF'!AB22+'QTR CF'!AC22</f>
        <v/>
      </c>
      <c r="J20" s="11">
        <f>'QTR CF'!AD22+'QTR CF'!AE22+'QTR CF'!AF22+'QTR CF'!AG22</f>
        <v/>
      </c>
      <c r="K20" s="11">
        <f>'QTR CF'!AH22+'QTR CF'!AI22+'QTR CF'!AJ22+'QTR CF'!AK22</f>
        <v/>
      </c>
      <c r="L20" s="11">
        <f>'QTR CF'!AL22+'QTR CF'!AM22+'QTR CF'!AN22+'QTR CF'!AO22</f>
        <v/>
      </c>
      <c r="M20" s="11">
        <f>'QTR CF'!AP22+'QTR CF'!AQ22+'QTR CF'!AR22+'QTR CF'!AS22</f>
        <v/>
      </c>
      <c r="N20" s="5" t="n"/>
    </row>
    <row r="21">
      <c r="A21" s="3" t="inlineStr">
        <is>
          <t>Deferred Revenue</t>
        </is>
      </c>
      <c r="B21" s="4" t="n">
        <v>-24858</v>
      </c>
      <c r="C21" s="4" t="n">
        <v>-21480</v>
      </c>
      <c r="D21" s="4" t="n">
        <v>-22658</v>
      </c>
      <c r="E21" s="4" t="n">
        <v>-19905</v>
      </c>
      <c r="F21" s="4" t="n">
        <v>-24472</v>
      </c>
      <c r="G21" s="4" t="n">
        <v>-17360</v>
      </c>
      <c r="H21" s="4" t="n">
        <v>-23005</v>
      </c>
      <c r="I21" s="11">
        <f>'QTR CF'!Z23+'QTR CF'!AA23+'QTR CF'!AB23+'QTR CF'!AC23</f>
        <v/>
      </c>
      <c r="J21" s="11">
        <f>'QTR CF'!AD23+'QTR CF'!AE23+'QTR CF'!AF23+'QTR CF'!AG23</f>
        <v/>
      </c>
      <c r="K21" s="11">
        <f>'QTR CF'!AH23+'QTR CF'!AI23+'QTR CF'!AJ23+'QTR CF'!AK23</f>
        <v/>
      </c>
      <c r="L21" s="11">
        <f>'QTR CF'!AL23+'QTR CF'!AM23+'QTR CF'!AN23+'QTR CF'!AO23</f>
        <v/>
      </c>
      <c r="M21" s="11">
        <f>'QTR CF'!AP23+'QTR CF'!AQ23+'QTR CF'!AR23+'QTR CF'!AS23</f>
        <v/>
      </c>
      <c r="N21" s="5" t="n"/>
    </row>
    <row r="22">
      <c r="A22" s="3" t="inlineStr">
        <is>
          <t>Cash Flow from Operations</t>
        </is>
      </c>
      <c r="B22" s="6">
        <f>SUM(B2:B21)</f>
        <v/>
      </c>
      <c r="C22" s="6">
        <f>SUM(C2:C21)</f>
        <v/>
      </c>
      <c r="D22" s="6">
        <f>SUM(D2:D21)</f>
        <v/>
      </c>
      <c r="E22" s="6">
        <f>SUM(E2:E21)</f>
        <v/>
      </c>
      <c r="F22" s="6">
        <f>SUM(F2:F21)</f>
        <v/>
      </c>
      <c r="G22" s="6">
        <f>SUM(G2:G21)</f>
        <v/>
      </c>
      <c r="H22" s="6">
        <f>SUM(H2:H21)</f>
        <v/>
      </c>
      <c r="I22" s="7">
        <f>SUM(I2:I21)</f>
        <v/>
      </c>
      <c r="J22" s="7">
        <f>SUM(J2:J21)</f>
        <v/>
      </c>
      <c r="K22" s="7">
        <f>SUM(K2:K21)</f>
        <v/>
      </c>
      <c r="L22" s="7">
        <f>SUM(L2:L21)</f>
        <v/>
      </c>
      <c r="M22" s="7">
        <f>SUM(M2:M21)</f>
        <v/>
      </c>
      <c r="N22" s="7">
        <f>SUM(N2:N21)</f>
        <v/>
      </c>
    </row>
    <row r="23">
      <c r="A23" s="3" t="inlineStr">
        <is>
          <t>Net Change in Long-Term Investments</t>
        </is>
      </c>
      <c r="B23" s="4" t="n">
        <v>-216300</v>
      </c>
      <c r="C23" s="4" t="n">
        <v>-379785</v>
      </c>
      <c r="D23" s="4" t="n">
        <v>-924544</v>
      </c>
      <c r="E23" s="4" t="n">
        <v>405288</v>
      </c>
      <c r="F23" s="4" t="n">
        <v>409019</v>
      </c>
      <c r="G23" s="4" t="n">
        <v>1035794</v>
      </c>
      <c r="H23" s="4" t="n">
        <v>-1163150</v>
      </c>
      <c r="I23" s="11">
        <f>'QTR CF'!Z25+'QTR CF'!AA25+'QTR CF'!AB25+'QTR CF'!AC25</f>
        <v/>
      </c>
      <c r="J23" s="11">
        <f>'QTR CF'!AD25+'QTR CF'!AE25+'QTR CF'!AF25+'QTR CF'!AG25</f>
        <v/>
      </c>
      <c r="K23" s="11">
        <f>'QTR CF'!AH25+'QTR CF'!AI25+'QTR CF'!AJ25+'QTR CF'!AK25</f>
        <v/>
      </c>
      <c r="L23" s="11">
        <f>'QTR CF'!AL25+'QTR CF'!AM25+'QTR CF'!AN25+'QTR CF'!AO25</f>
        <v/>
      </c>
      <c r="M23" s="11">
        <f>'QTR CF'!AP25+'QTR CF'!AQ25+'QTR CF'!AR25+'QTR CF'!AS25</f>
        <v/>
      </c>
      <c r="N23" s="5" t="n"/>
    </row>
    <row r="24">
      <c r="A24" s="3" t="inlineStr">
        <is>
          <t>Acquisition of CANarchy</t>
        </is>
      </c>
      <c r="B24" s="4" t="n">
        <v>0</v>
      </c>
      <c r="C24" s="4" t="n">
        <v>0</v>
      </c>
      <c r="D24" s="4" t="n">
        <v>0</v>
      </c>
      <c r="E24" s="4" t="n">
        <v>-329472</v>
      </c>
      <c r="F24" s="4" t="n">
        <v>0</v>
      </c>
      <c r="G24" s="4" t="n">
        <v>0</v>
      </c>
      <c r="H24" s="4" t="n">
        <v>0</v>
      </c>
      <c r="I24" s="11">
        <f>'QTR CF'!Z26+'QTR CF'!AA26+'QTR CF'!AB26+'QTR CF'!AC26</f>
        <v/>
      </c>
      <c r="J24" s="11">
        <f>'QTR CF'!AD26+'QTR CF'!AE26+'QTR CF'!AF26+'QTR CF'!AG26</f>
        <v/>
      </c>
      <c r="K24" s="11">
        <f>'QTR CF'!AH26+'QTR CF'!AI26+'QTR CF'!AJ26+'QTR CF'!AK26</f>
        <v/>
      </c>
      <c r="L24" s="11">
        <f>'QTR CF'!AL26+'QTR CF'!AM26+'QTR CF'!AN26+'QTR CF'!AO26</f>
        <v/>
      </c>
      <c r="M24" s="11">
        <f>'QTR CF'!AP26+'QTR CF'!AQ26+'QTR CF'!AR26+'QTR CF'!AS26</f>
        <v/>
      </c>
      <c r="N24" s="5" t="n"/>
    </row>
    <row r="25">
      <c r="A25" s="3" t="inlineStr">
        <is>
          <t>Acquisition of Monster Brewing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11">
        <f>'QTR CF'!Z27+'QTR CF'!AA27+'QTR CF'!AB27+'QTR CF'!AC27</f>
        <v/>
      </c>
      <c r="J25" s="11">
        <f>'QTR CF'!AD27+'QTR CF'!AE27+'QTR CF'!AF27+'QTR CF'!AG27</f>
        <v/>
      </c>
      <c r="K25" s="11">
        <f>'QTR CF'!AH27+'QTR CF'!AI27+'QTR CF'!AJ27+'QTR CF'!AK27</f>
        <v/>
      </c>
      <c r="L25" s="11">
        <f>'QTR CF'!AL27+'QTR CF'!AM27+'QTR CF'!AN27+'QTR CF'!AO27</f>
        <v/>
      </c>
      <c r="M25" s="11">
        <f>'QTR CF'!AP27+'QTR CF'!AQ27+'QTR CF'!AR27+'QTR CF'!AS27</f>
        <v/>
      </c>
      <c r="N25" s="5" t="n"/>
    </row>
    <row r="26">
      <c r="A26" s="3" t="inlineStr">
        <is>
          <t>Acquisition of Bang Energy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-363385</v>
      </c>
      <c r="G26" s="4" t="n">
        <v>0</v>
      </c>
      <c r="H26" s="4" t="n">
        <v>0</v>
      </c>
      <c r="I26" s="11">
        <f>'QTR CF'!Z28+'QTR CF'!AA28+'QTR CF'!AB28+'QTR CF'!AC28</f>
        <v/>
      </c>
      <c r="J26" s="11">
        <f>'QTR CF'!AD28+'QTR CF'!AE28+'QTR CF'!AF28+'QTR CF'!AG28</f>
        <v/>
      </c>
      <c r="K26" s="11">
        <f>'QTR CF'!AH28+'QTR CF'!AI28+'QTR CF'!AJ28+'QTR CF'!AK28</f>
        <v/>
      </c>
      <c r="L26" s="11">
        <f>'QTR CF'!AL28+'QTR CF'!AM28+'QTR CF'!AN28+'QTR CF'!AO28</f>
        <v/>
      </c>
      <c r="M26" s="11">
        <f>'QTR CF'!AP28+'QTR CF'!AQ28+'QTR CF'!AR28+'QTR CF'!AS28</f>
        <v/>
      </c>
      <c r="N26" s="5" t="n"/>
    </row>
    <row r="27">
      <c r="A27" s="3" t="inlineStr">
        <is>
          <t>Purchase of PP&amp;E</t>
        </is>
      </c>
      <c r="B27" s="4" t="n">
        <v>-101661</v>
      </c>
      <c r="C27" s="4" t="n">
        <v>-48722</v>
      </c>
      <c r="D27" s="4" t="n">
        <v>-43868</v>
      </c>
      <c r="E27" s="4" t="n">
        <v>-188726</v>
      </c>
      <c r="F27" s="4" t="n">
        <v>-221428</v>
      </c>
      <c r="G27" s="4" t="n">
        <v>-264074</v>
      </c>
      <c r="H27" s="4" t="n">
        <v>-132275</v>
      </c>
      <c r="I27" s="11">
        <f>'QTR CF'!Z29+'QTR CF'!AA29+'QTR CF'!AB29+'QTR CF'!AC29</f>
        <v/>
      </c>
      <c r="J27" s="11">
        <f>'QTR CF'!AD29+'QTR CF'!AE29+'QTR CF'!AF29+'QTR CF'!AG29</f>
        <v/>
      </c>
      <c r="K27" s="11">
        <f>'QTR CF'!AH29+'QTR CF'!AI29+'QTR CF'!AJ29+'QTR CF'!AK29</f>
        <v/>
      </c>
      <c r="L27" s="11">
        <f>'QTR CF'!AL29+'QTR CF'!AM29+'QTR CF'!AN29+'QTR CF'!AO29</f>
        <v/>
      </c>
      <c r="M27" s="11">
        <f>'QTR CF'!AP29+'QTR CF'!AQ29+'QTR CF'!AR29+'QTR CF'!AS29</f>
        <v/>
      </c>
      <c r="N27" s="5" t="n"/>
    </row>
    <row r="28">
      <c r="A28" s="3" t="inlineStr">
        <is>
          <t>Proceeds from Sale of Assets</t>
        </is>
      </c>
      <c r="B28" s="4" t="n">
        <v>1239</v>
      </c>
      <c r="C28" s="4" t="n">
        <v>993</v>
      </c>
      <c r="D28" s="4" t="n">
        <v>1328</v>
      </c>
      <c r="E28" s="4" t="n">
        <v>1313</v>
      </c>
      <c r="F28" s="4" t="n">
        <v>2520</v>
      </c>
      <c r="G28" s="4" t="n">
        <v>2732</v>
      </c>
      <c r="H28" s="4" t="n">
        <v>4299</v>
      </c>
      <c r="I28" s="11">
        <f>'QTR CF'!Z30+'QTR CF'!AA30+'QTR CF'!AB30+'QTR CF'!AC30</f>
        <v/>
      </c>
      <c r="J28" s="11">
        <f>'QTR CF'!AD30+'QTR CF'!AE30+'QTR CF'!AF30+'QTR CF'!AG30</f>
        <v/>
      </c>
      <c r="K28" s="11">
        <f>'QTR CF'!AH30+'QTR CF'!AI30+'QTR CF'!AJ30+'QTR CF'!AK30</f>
        <v/>
      </c>
      <c r="L28" s="11">
        <f>'QTR CF'!AL30+'QTR CF'!AM30+'QTR CF'!AN30+'QTR CF'!AO30</f>
        <v/>
      </c>
      <c r="M28" s="11">
        <f>'QTR CF'!AP30+'QTR CF'!AQ30+'QTR CF'!AR30+'QTR CF'!AS30</f>
        <v/>
      </c>
      <c r="N28" s="5" t="n"/>
    </row>
    <row r="29">
      <c r="A29" s="3" t="inlineStr">
        <is>
          <t>Additions to Intangibles</t>
        </is>
      </c>
      <c r="B29" s="4" t="n">
        <v>-8737</v>
      </c>
      <c r="C29" s="4" t="n">
        <v>-18550</v>
      </c>
      <c r="D29" s="4" t="n">
        <v>-13585</v>
      </c>
      <c r="E29" s="4" t="n">
        <v>-23427</v>
      </c>
      <c r="F29" s="4" t="n">
        <v>-13296</v>
      </c>
      <c r="G29" s="4" t="n">
        <v>-42360</v>
      </c>
      <c r="H29" s="4" t="n">
        <v>-25254</v>
      </c>
      <c r="I29" s="11">
        <f>'QTR CF'!Z31+'QTR CF'!AA31+'QTR CF'!AB31+'QTR CF'!AC31</f>
        <v/>
      </c>
      <c r="J29" s="11">
        <f>'QTR CF'!AD31+'QTR CF'!AE31+'QTR CF'!AF31+'QTR CF'!AG31</f>
        <v/>
      </c>
      <c r="K29" s="11">
        <f>'QTR CF'!AH31+'QTR CF'!AI31+'QTR CF'!AJ31+'QTR CF'!AK31</f>
        <v/>
      </c>
      <c r="L29" s="11">
        <f>'QTR CF'!AL31+'QTR CF'!AM31+'QTR CF'!AN31+'QTR CF'!AO31</f>
        <v/>
      </c>
      <c r="M29" s="11">
        <f>'QTR CF'!AP31+'QTR CF'!AQ31+'QTR CF'!AR31+'QTR CF'!AS31</f>
        <v/>
      </c>
      <c r="N29" s="5" t="n"/>
    </row>
    <row r="30">
      <c r="A30" s="3" t="inlineStr">
        <is>
          <t>Other Investing Activities</t>
        </is>
      </c>
      <c r="B30" s="4" t="n">
        <v>-1265</v>
      </c>
      <c r="C30" s="4" t="n">
        <v>-26423</v>
      </c>
      <c r="D30" s="4" t="n">
        <v>-11353</v>
      </c>
      <c r="E30" s="4" t="n">
        <v>-26343</v>
      </c>
      <c r="F30" s="4" t="n">
        <v>-6825</v>
      </c>
      <c r="G30" s="4" t="n">
        <v>1635</v>
      </c>
      <c r="H30" s="4" t="n">
        <v>-398</v>
      </c>
      <c r="I30" s="11">
        <f>'QTR CF'!Z32+'QTR CF'!AA32+'QTR CF'!AB32+'QTR CF'!AC32</f>
        <v/>
      </c>
      <c r="J30" s="11">
        <f>'QTR CF'!AD32+'QTR CF'!AE32+'QTR CF'!AF32+'QTR CF'!AG32</f>
        <v/>
      </c>
      <c r="K30" s="11">
        <f>'QTR CF'!AH32+'QTR CF'!AI32+'QTR CF'!AJ32+'QTR CF'!AK32</f>
        <v/>
      </c>
      <c r="L30" s="11">
        <f>'QTR CF'!AL32+'QTR CF'!AM32+'QTR CF'!AN32+'QTR CF'!AO32</f>
        <v/>
      </c>
      <c r="M30" s="11">
        <f>'QTR CF'!AP32+'QTR CF'!AQ32+'QTR CF'!AR32+'QTR CF'!AS32</f>
        <v/>
      </c>
      <c r="N30" s="5" t="n"/>
    </row>
    <row r="31">
      <c r="A31" s="3" t="inlineStr">
        <is>
          <t>Cash Flow from Investing</t>
        </is>
      </c>
      <c r="B31" s="6">
        <f>SUM(B23:B30)</f>
        <v/>
      </c>
      <c r="C31" s="6">
        <f>SUM(C23:C30)</f>
        <v/>
      </c>
      <c r="D31" s="6">
        <f>SUM(D23:D30)</f>
        <v/>
      </c>
      <c r="E31" s="6">
        <f>SUM(E23:E30)</f>
        <v/>
      </c>
      <c r="F31" s="6">
        <f>SUM(F23:F30)</f>
        <v/>
      </c>
      <c r="G31" s="6">
        <f>SUM(G23:G30)</f>
        <v/>
      </c>
      <c r="H31" s="6">
        <f>SUM(H23:H30)</f>
        <v/>
      </c>
      <c r="I31" s="7">
        <f>SUM(I23:I30)</f>
        <v/>
      </c>
      <c r="J31" s="7">
        <f>SUM(J23:J30)</f>
        <v/>
      </c>
      <c r="K31" s="7">
        <f>SUM(K23:K30)</f>
        <v/>
      </c>
      <c r="L31" s="7">
        <f>SUM(L23:L30)</f>
        <v/>
      </c>
      <c r="M31" s="7">
        <f>SUM(M23:M30)</f>
        <v/>
      </c>
      <c r="N31" s="7">
        <f>SUM(N23:N30)</f>
        <v/>
      </c>
    </row>
    <row r="32">
      <c r="A32" s="3" t="inlineStr">
        <is>
          <t>Net Change in Other Short-Term Debt</t>
        </is>
      </c>
      <c r="B32" s="4" t="n">
        <v>-13569</v>
      </c>
      <c r="C32" s="4" t="n">
        <v>-3086</v>
      </c>
      <c r="D32" s="4" t="n">
        <v>2928</v>
      </c>
      <c r="E32" s="4" t="n">
        <v>75</v>
      </c>
      <c r="F32" s="4" t="n">
        <v>-13914</v>
      </c>
      <c r="G32" s="4" t="n">
        <v>-8223</v>
      </c>
      <c r="H32" s="4" t="n">
        <v>-10344</v>
      </c>
      <c r="I32" s="11">
        <f>'QTR CF'!Z35+'QTR CF'!AA35+'QTR CF'!AB35+'QTR CF'!AC35</f>
        <v/>
      </c>
      <c r="J32" s="11">
        <f>'QTR CF'!AD35+'QTR CF'!AE35+'QTR CF'!AF35+'QTR CF'!AG35</f>
        <v/>
      </c>
      <c r="K32" s="11">
        <f>'QTR CF'!AH35+'QTR CF'!AI35+'QTR CF'!AJ35+'QTR CF'!AK35</f>
        <v/>
      </c>
      <c r="L32" s="11">
        <f>'QTR CF'!AL35+'QTR CF'!AM35+'QTR CF'!AN35+'QTR CF'!AO35</f>
        <v/>
      </c>
      <c r="M32" s="11">
        <f>'QTR CF'!AP35+'QTR CF'!AQ35+'QTR CF'!AR35+'QTR CF'!AS35</f>
        <v/>
      </c>
      <c r="N32" s="5" t="n"/>
    </row>
    <row r="33">
      <c r="A33" s="3" t="inlineStr">
        <is>
          <t>Proceeds from Issuance of Long-Term Debt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750000</v>
      </c>
      <c r="H33" s="4" t="n">
        <v>0</v>
      </c>
      <c r="I33" s="11">
        <f>'QTR CF'!Z36+'QTR CF'!AA36+'QTR CF'!AB36+'QTR CF'!AC36</f>
        <v/>
      </c>
      <c r="J33" s="11">
        <f>'QTR CF'!AD36+'QTR CF'!AE36+'QTR CF'!AF36+'QTR CF'!AG36</f>
        <v/>
      </c>
      <c r="K33" s="11">
        <f>'QTR CF'!AH36+'QTR CF'!AI36+'QTR CF'!AJ36+'QTR CF'!AK36</f>
        <v/>
      </c>
      <c r="L33" s="11">
        <f>'QTR CF'!AL36+'QTR CF'!AM36+'QTR CF'!AN36+'QTR CF'!AO36</f>
        <v/>
      </c>
      <c r="M33" s="11">
        <f>'QTR CF'!AP36+'QTR CF'!AQ36+'QTR CF'!AR36+'QTR CF'!AS36</f>
        <v/>
      </c>
      <c r="N33" s="5" t="n"/>
    </row>
    <row r="34">
      <c r="A34" s="3" t="inlineStr">
        <is>
          <t>Repayments of 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-375000</v>
      </c>
      <c r="H34" s="4" t="n">
        <v>-375000</v>
      </c>
      <c r="I34" s="11">
        <f>'QTR CF'!Z38+'QTR CF'!AA38+'QTR CF'!AB38+'QTR CF'!AC38</f>
        <v/>
      </c>
      <c r="J34" s="11">
        <f>'QTR CF'!AD38+'QTR CF'!AE38+'QTR CF'!AF38+'QTR CF'!AG38</f>
        <v/>
      </c>
      <c r="K34" s="11">
        <f>'QTR CF'!AH38+'QTR CF'!AI38+'QTR CF'!AJ38+'QTR CF'!AK38</f>
        <v/>
      </c>
      <c r="L34" s="11">
        <f>'QTR CF'!AL38+'QTR CF'!AM38+'QTR CF'!AN38+'QTR CF'!AO38</f>
        <v/>
      </c>
      <c r="M34" s="11">
        <f>'QTR CF'!AP38+'QTR CF'!AQ38+'QTR CF'!AR38+'QTR CF'!AS38</f>
        <v/>
      </c>
      <c r="N34" s="5" t="n"/>
    </row>
    <row r="35">
      <c r="A35" s="3" t="inlineStr">
        <is>
          <t>Debt Issuance Fees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-2904</v>
      </c>
      <c r="H35" s="4" t="n">
        <v>0</v>
      </c>
      <c r="I35" s="11">
        <f>'QTR CF'!Z37+'QTR CF'!AA37+'QTR CF'!AB37+'QTR CF'!AC37</f>
        <v/>
      </c>
      <c r="J35" s="11">
        <f>'QTR CF'!AD37+'QTR CF'!AE37+'QTR CF'!AF37+'QTR CF'!AG37</f>
        <v/>
      </c>
      <c r="K35" s="11">
        <f>'QTR CF'!AH37+'QTR CF'!AI37+'QTR CF'!AJ37+'QTR CF'!AK37</f>
        <v/>
      </c>
      <c r="L35" s="11">
        <f>'QTR CF'!AL37+'QTR CF'!AM37+'QTR CF'!AN37+'QTR CF'!AO37</f>
        <v/>
      </c>
      <c r="M35" s="11">
        <f>'QTR CF'!AP37+'QTR CF'!AQ37+'QTR CF'!AR37+'QTR CF'!AS37</f>
        <v/>
      </c>
      <c r="N35" s="5" t="n"/>
    </row>
    <row r="36">
      <c r="A36" s="3" t="inlineStr">
        <is>
          <t>Proceeds from Issuance of Common Stock</t>
        </is>
      </c>
      <c r="B36" s="4" t="n">
        <v>92363</v>
      </c>
      <c r="C36" s="4" t="n">
        <v>72936</v>
      </c>
      <c r="D36" s="4" t="n">
        <v>45723</v>
      </c>
      <c r="E36" s="4" t="n">
        <v>64015</v>
      </c>
      <c r="F36" s="4" t="n">
        <v>130267</v>
      </c>
      <c r="G36" s="4" t="n">
        <v>78973</v>
      </c>
      <c r="H36" s="4" t="n">
        <v>164568</v>
      </c>
      <c r="I36" s="11">
        <f>'QTR CF'!Z39+'QTR CF'!AA39+'QTR CF'!AB39+'QTR CF'!AC39</f>
        <v/>
      </c>
      <c r="J36" s="11">
        <f>'QTR CF'!AD39+'QTR CF'!AE39+'QTR CF'!AF39+'QTR CF'!AG39</f>
        <v/>
      </c>
      <c r="K36" s="11">
        <f>'QTR CF'!AH39+'QTR CF'!AI39+'QTR CF'!AJ39+'QTR CF'!AK39</f>
        <v/>
      </c>
      <c r="L36" s="11">
        <f>'QTR CF'!AL39+'QTR CF'!AM39+'QTR CF'!AN39+'QTR CF'!AO39</f>
        <v/>
      </c>
      <c r="M36" s="11">
        <f>'QTR CF'!AP39+'QTR CF'!AQ39+'QTR CF'!AR39+'QTR CF'!AS39</f>
        <v/>
      </c>
      <c r="N36" s="5" t="n"/>
    </row>
    <row r="37">
      <c r="A37" s="3" t="inlineStr">
        <is>
          <t>Share Repurchases</t>
        </is>
      </c>
      <c r="B37" s="4" t="n">
        <v>-707300</v>
      </c>
      <c r="C37" s="4" t="n">
        <v>-595918</v>
      </c>
      <c r="D37" s="4" t="n">
        <v>-13830</v>
      </c>
      <c r="E37" s="4" t="n">
        <v>-771028</v>
      </c>
      <c r="F37" s="4" t="n">
        <v>-658952</v>
      </c>
      <c r="G37" s="4" t="n">
        <v>-3771875</v>
      </c>
      <c r="H37" s="4" t="n">
        <v>-103646</v>
      </c>
      <c r="I37" s="11">
        <f>'QTR CF'!Z40+'QTR CF'!AA40+'QTR CF'!AB40+'QTR CF'!AC40</f>
        <v/>
      </c>
      <c r="J37" s="11">
        <f>'QTR CF'!AD40+'QTR CF'!AE40+'QTR CF'!AF40+'QTR CF'!AG40</f>
        <v/>
      </c>
      <c r="K37" s="11">
        <f>'QTR CF'!AH40+'QTR CF'!AI40+'QTR CF'!AJ40+'QTR CF'!AK40</f>
        <v/>
      </c>
      <c r="L37" s="11">
        <f>'QTR CF'!AL40+'QTR CF'!AM40+'QTR CF'!AN40+'QTR CF'!AO40</f>
        <v/>
      </c>
      <c r="M37" s="11">
        <f>'QTR CF'!AP40+'QTR CF'!AQ40+'QTR CF'!AR40+'QTR CF'!AS40</f>
        <v/>
      </c>
      <c r="N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6">
        <f>SUM(F32:F37)</f>
        <v/>
      </c>
      <c r="G38" s="6">
        <f>SUM(G32:G37)</f>
        <v/>
      </c>
      <c r="H38" s="6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  <c r="L38" s="7">
        <f>SUM(L32:L37)</f>
        <v/>
      </c>
      <c r="M38" s="7">
        <f>SUM(M32:M37)</f>
        <v/>
      </c>
      <c r="N38" s="7">
        <f>SUM(N32:N37)</f>
        <v/>
      </c>
    </row>
    <row r="39">
      <c r="A39" s="3" t="inlineStr">
        <is>
          <t>FX Effect on Cash</t>
        </is>
      </c>
      <c r="B39" s="4" t="n">
        <v>1912</v>
      </c>
      <c r="C39" s="4" t="n">
        <v>16848</v>
      </c>
      <c r="D39" s="4" t="n">
        <v>-52491</v>
      </c>
      <c r="E39" s="4" t="n">
        <v>-38715</v>
      </c>
      <c r="F39" s="4" t="n">
        <v>8775</v>
      </c>
      <c r="G39" s="4" t="n">
        <v>-97619</v>
      </c>
      <c r="H39" s="4" t="n">
        <v>97853</v>
      </c>
      <c r="I39" s="11">
        <f>'QTR CF'!Z42+'QTR CF'!AA42+'QTR CF'!AB42+'QTR CF'!AC42</f>
        <v/>
      </c>
      <c r="J39" s="11">
        <f>'QTR CF'!AD42+'QTR CF'!AE42+'QTR CF'!AF42+'QTR CF'!AG42</f>
        <v/>
      </c>
      <c r="K39" s="11">
        <f>'QTR CF'!AH42+'QTR CF'!AI42+'QTR CF'!AJ42+'QTR CF'!AK42</f>
        <v/>
      </c>
      <c r="L39" s="11">
        <f>'QTR CF'!AL42+'QTR CF'!AM42+'QTR CF'!AN42+'QTR CF'!AO42</f>
        <v/>
      </c>
      <c r="M39" s="11">
        <f>'QTR CF'!AP42+'QTR CF'!AQ42+'QTR CF'!AR42+'QTR CF'!AS42</f>
        <v/>
      </c>
      <c r="N39" s="5" t="n"/>
    </row>
    <row r="40">
      <c r="A40" s="3" t="inlineStr">
        <is>
          <t>Net Change in Cash</t>
        </is>
      </c>
      <c r="B40" s="6">
        <f>B22+B31+B38+B39</f>
        <v/>
      </c>
      <c r="C40" s="6">
        <f>C22+C31+C38+C39</f>
        <v/>
      </c>
      <c r="D40" s="6">
        <f>D22+D31+D38+D39</f>
        <v/>
      </c>
      <c r="E40" s="6">
        <f>E22+E31+E38+E39</f>
        <v/>
      </c>
      <c r="F40" s="6">
        <f>F22+F31+F38+F39</f>
        <v/>
      </c>
      <c r="G40" s="6">
        <f>G22+G31+G38+G39</f>
        <v/>
      </c>
      <c r="H40" s="6">
        <f>H22+H31+H38+H39</f>
        <v/>
      </c>
      <c r="I40" s="7">
        <f>I22+I31+I38+I39</f>
        <v/>
      </c>
      <c r="J40" s="7">
        <f>J22+J31+J38+J39</f>
        <v/>
      </c>
      <c r="K40" s="7">
        <f>K22+K31+K38+K39</f>
        <v/>
      </c>
      <c r="L40" s="7">
        <f>L22+L31+L38+L39</f>
        <v/>
      </c>
      <c r="M40" s="7">
        <f>M22+M31+M38+M39</f>
        <v/>
      </c>
      <c r="N40" s="7">
        <f>N22+N31+N38+N39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Q1 FY2021</t>
        </is>
      </c>
      <c r="F1" s="2" t="inlineStr">
        <is>
          <t>Q2 FY2021</t>
        </is>
      </c>
      <c r="G1" s="2" t="inlineStr">
        <is>
          <t>Q3 FY2021</t>
        </is>
      </c>
      <c r="H1" s="2" t="inlineStr">
        <is>
          <t>Q1 FY2022</t>
        </is>
      </c>
      <c r="I1" s="2" t="inlineStr">
        <is>
          <t>Q2 FY2022</t>
        </is>
      </c>
      <c r="J1" s="2" t="inlineStr">
        <is>
          <t>Q3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Q1 FY2024</t>
        </is>
      </c>
      <c r="O1" s="2" t="inlineStr">
        <is>
          <t>Q2 FY2024</t>
        </is>
      </c>
      <c r="P1" s="2" t="inlineStr">
        <is>
          <t>Q3 FY2024</t>
        </is>
      </c>
      <c r="Q1" s="2" t="inlineStr">
        <is>
          <t>Q1 FY2025</t>
        </is>
      </c>
      <c r="R1" s="2" t="inlineStr">
        <is>
          <t>Q2 FY2025</t>
        </is>
      </c>
      <c r="S1" s="2" t="inlineStr">
        <is>
          <t>Q3 FY2025</t>
        </is>
      </c>
    </row>
    <row r="2">
      <c r="A2" s="3" t="inlineStr">
        <is>
          <t>Net Sales / Revenue</t>
        </is>
      </c>
      <c r="B2" s="4" t="n">
        <v>1062097</v>
      </c>
      <c r="C2" s="4" t="n">
        <v>2155993</v>
      </c>
      <c r="D2" s="4" t="n">
        <v>3402355</v>
      </c>
      <c r="E2" s="4" t="n">
        <v>1243816</v>
      </c>
      <c r="F2" s="4" t="n">
        <v>2705751</v>
      </c>
      <c r="G2" s="4" t="n">
        <v>4116308</v>
      </c>
      <c r="H2" s="4" t="n">
        <v>1518574</v>
      </c>
      <c r="I2" s="4" t="n">
        <v>3173833</v>
      </c>
      <c r="J2" s="4" t="n">
        <v>4798119</v>
      </c>
      <c r="K2" s="4" t="n">
        <v>1698930</v>
      </c>
      <c r="L2" s="4" t="n">
        <v>3553891</v>
      </c>
      <c r="M2" s="4" t="n">
        <v>5409919</v>
      </c>
      <c r="N2" s="4" t="n">
        <v>1899098</v>
      </c>
      <c r="O2" s="4" t="n">
        <v>3799695</v>
      </c>
      <c r="P2" s="4" t="n">
        <v>5680668</v>
      </c>
      <c r="Q2" s="4" t="n">
        <v>1854558</v>
      </c>
      <c r="R2" s="4" t="n">
        <v>3966150</v>
      </c>
      <c r="S2" s="4" t="n">
        <v>6163290</v>
      </c>
    </row>
    <row r="3">
      <c r="A3" s="3" t="inlineStr">
        <is>
          <t>COGS</t>
        </is>
      </c>
      <c r="B3" s="4" t="n">
        <v>-424901</v>
      </c>
      <c r="C3" s="4" t="n">
        <v>-859329</v>
      </c>
      <c r="D3" s="4" t="n">
        <v>-1369160</v>
      </c>
      <c r="E3" s="4" t="n">
        <v>-528881</v>
      </c>
      <c r="F3" s="4" t="n">
        <v>-1153976</v>
      </c>
      <c r="G3" s="4" t="n">
        <v>-1775375</v>
      </c>
      <c r="H3" s="4" t="n">
        <v>-741907</v>
      </c>
      <c r="I3" s="4" t="n">
        <v>-1617306</v>
      </c>
      <c r="J3" s="4" t="n">
        <v>-2407867</v>
      </c>
      <c r="K3" s="4" t="n">
        <v>-801081</v>
      </c>
      <c r="L3" s="4" t="n">
        <v>-1681820</v>
      </c>
      <c r="M3" s="4" t="n">
        <v>-2554086</v>
      </c>
      <c r="N3" s="4" t="n">
        <v>-871969</v>
      </c>
      <c r="O3" s="4" t="n">
        <v>-1753061</v>
      </c>
      <c r="P3" s="4" t="n">
        <v>-2634235</v>
      </c>
      <c r="Q3" s="4" t="n">
        <v>-806596</v>
      </c>
      <c r="R3" s="4" t="n">
        <v>-1741775</v>
      </c>
      <c r="S3" s="4" t="n">
        <v>-2714428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  <c r="P4" s="6">
        <f>P2+P3</f>
        <v/>
      </c>
      <c r="Q4" s="6">
        <f>Q2+Q3</f>
        <v/>
      </c>
      <c r="R4" s="6">
        <f>R2+R3</f>
        <v/>
      </c>
      <c r="S4" s="6">
        <f>S2+S3</f>
        <v/>
      </c>
    </row>
    <row r="5">
      <c r="A5" s="3" t="inlineStr">
        <is>
          <t>Operating Expenses</t>
        </is>
      </c>
      <c r="B5" s="4" t="n">
        <v>-272208</v>
      </c>
      <c r="C5" s="4" t="n">
        <v>-524412</v>
      </c>
      <c r="D5" s="4" t="n">
        <v>-802343</v>
      </c>
      <c r="E5" s="4" t="n">
        <v>-300789</v>
      </c>
      <c r="F5" s="4" t="n">
        <v>-611652</v>
      </c>
      <c r="G5" s="4" t="n">
        <v>-956346</v>
      </c>
      <c r="H5" s="4" t="n">
        <v>-377178</v>
      </c>
      <c r="I5" s="4" t="n">
        <v>-784088</v>
      </c>
      <c r="J5" s="4" t="n">
        <v>-1199883</v>
      </c>
      <c r="K5" s="4" t="n">
        <v>-412785</v>
      </c>
      <c r="L5" s="4" t="n">
        <v>-863201</v>
      </c>
      <c r="M5" s="4" t="n">
        <v>-1336437</v>
      </c>
      <c r="N5" s="4" t="n">
        <v>-485138</v>
      </c>
      <c r="O5" s="4" t="n">
        <v>-977480</v>
      </c>
      <c r="P5" s="4" t="n">
        <v>-1497363</v>
      </c>
      <c r="Q5" s="4" t="n">
        <v>-478217</v>
      </c>
      <c r="R5" s="4" t="n">
        <v>-1023008</v>
      </c>
      <c r="S5" s="4" t="n">
        <v>-1572142</v>
      </c>
    </row>
    <row r="6">
      <c r="A6" s="3" t="inlineStr">
        <is>
          <t>Income (Loss) from Operations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  <c r="G6" s="6">
        <f>G4+G5</f>
        <v/>
      </c>
      <c r="H6" s="6">
        <f>H4+H5</f>
        <v/>
      </c>
      <c r="I6" s="6">
        <f>I4+I5</f>
        <v/>
      </c>
      <c r="J6" s="6">
        <f>J4+J5</f>
        <v/>
      </c>
      <c r="K6" s="6">
        <f>K4+K5</f>
        <v/>
      </c>
      <c r="L6" s="6">
        <f>L4+L5</f>
        <v/>
      </c>
      <c r="M6" s="6">
        <f>M4+M5</f>
        <v/>
      </c>
      <c r="N6" s="6">
        <f>N4+N5</f>
        <v/>
      </c>
      <c r="O6" s="6">
        <f>O4+O5</f>
        <v/>
      </c>
      <c r="P6" s="6">
        <f>P4+P5</f>
        <v/>
      </c>
      <c r="Q6" s="6">
        <f>Q4+Q5</f>
        <v/>
      </c>
      <c r="R6" s="6">
        <f>R4+R5</f>
        <v/>
      </c>
      <c r="S6" s="6">
        <f>S4+S5</f>
        <v/>
      </c>
    </row>
    <row r="7">
      <c r="A7" s="3" t="inlineStr">
        <is>
          <t>Other Income (Expense)</t>
        </is>
      </c>
      <c r="B7" s="4" t="n">
        <v>872</v>
      </c>
      <c r="C7" s="4" t="n">
        <v>-923</v>
      </c>
      <c r="D7" s="4" t="n">
        <v>-5491</v>
      </c>
      <c r="E7" s="4" t="n">
        <v>-759</v>
      </c>
      <c r="F7" s="4" t="n">
        <v>111</v>
      </c>
      <c r="G7" s="4" t="n">
        <v>-2179</v>
      </c>
      <c r="H7" s="4" t="n">
        <v>-7300</v>
      </c>
      <c r="I7" s="4" t="n">
        <v>-14080</v>
      </c>
      <c r="J7" s="4" t="n">
        <v>-11932</v>
      </c>
      <c r="K7" s="4" t="n">
        <v>12496</v>
      </c>
      <c r="L7" s="4" t="n">
        <v>27653</v>
      </c>
      <c r="M7" s="4" t="n">
        <v>99010</v>
      </c>
      <c r="N7" s="4" t="n">
        <v>35754</v>
      </c>
      <c r="O7" s="4" t="n">
        <v>60131</v>
      </c>
      <c r="P7" s="4" t="n">
        <v>54311</v>
      </c>
      <c r="Q7" s="4" t="n">
        <v>8272</v>
      </c>
      <c r="R7" s="4" t="n">
        <v>23337</v>
      </c>
      <c r="S7" s="4" t="n">
        <v>37522</v>
      </c>
    </row>
    <row r="8">
      <c r="A8" s="3" t="inlineStr">
        <is>
          <t>Pre-Tax Income (Loss)</t>
        </is>
      </c>
      <c r="B8" s="6">
        <f>B6+B7</f>
        <v/>
      </c>
      <c r="C8" s="6">
        <f>C6+C7</f>
        <v/>
      </c>
      <c r="D8" s="6">
        <f>D6+D7</f>
        <v/>
      </c>
      <c r="E8" s="6">
        <f>E6+E7</f>
        <v/>
      </c>
      <c r="F8" s="6">
        <f>F6+F7</f>
        <v/>
      </c>
      <c r="G8" s="6">
        <f>G6+G7</f>
        <v/>
      </c>
      <c r="H8" s="6">
        <f>H6+H7</f>
        <v/>
      </c>
      <c r="I8" s="6">
        <f>I6+I7</f>
        <v/>
      </c>
      <c r="J8" s="6">
        <f>J6+J7</f>
        <v/>
      </c>
      <c r="K8" s="6">
        <f>K6+K7</f>
        <v/>
      </c>
      <c r="L8" s="6">
        <f>L6+L7</f>
        <v/>
      </c>
      <c r="M8" s="6">
        <f>M6+M7</f>
        <v/>
      </c>
      <c r="N8" s="6">
        <f>N6+N7</f>
        <v/>
      </c>
      <c r="O8" s="6">
        <f>O6+O7</f>
        <v/>
      </c>
      <c r="P8" s="6">
        <f>P6+P7</f>
        <v/>
      </c>
      <c r="Q8" s="6">
        <f>Q6+Q7</f>
        <v/>
      </c>
      <c r="R8" s="6">
        <f>R6+R7</f>
        <v/>
      </c>
      <c r="S8" s="6">
        <f>S6+S7</f>
        <v/>
      </c>
    </row>
    <row r="9">
      <c r="A9" s="3" t="inlineStr">
        <is>
          <t>Income Tax (Expense) Benefit</t>
        </is>
      </c>
      <c r="B9" s="4" t="n">
        <v>-87025</v>
      </c>
      <c r="C9" s="4" t="n">
        <v>-181125</v>
      </c>
      <c r="D9" s="4" t="n">
        <v>-287503</v>
      </c>
      <c r="E9" s="4" t="n">
        <v>-98193</v>
      </c>
      <c r="F9" s="4" t="n">
        <v>-221278</v>
      </c>
      <c r="G9" s="4" t="n">
        <v>-326247</v>
      </c>
      <c r="H9" s="4" t="n">
        <v>-97986</v>
      </c>
      <c r="I9" s="4" t="n">
        <v>-190796</v>
      </c>
      <c r="J9" s="4" t="n">
        <v>-288487</v>
      </c>
      <c r="K9" s="4" t="n">
        <v>-100116</v>
      </c>
      <c r="L9" s="4" t="n">
        <v>-225208</v>
      </c>
      <c r="M9" s="4" t="n">
        <v>-354397</v>
      </c>
      <c r="N9" s="4" t="n">
        <v>-135696</v>
      </c>
      <c r="O9" s="4" t="n">
        <v>-261867</v>
      </c>
      <c r="P9" s="4" t="n">
        <v>-365044</v>
      </c>
      <c r="Q9" s="4" t="n">
        <v>-135024</v>
      </c>
      <c r="R9" s="4" t="n">
        <v>-292917</v>
      </c>
      <c r="S9" s="4" t="n">
        <v>-458000</v>
      </c>
    </row>
    <row r="10">
      <c r="A10" s="3" t="inlineStr">
        <is>
          <t>Net Income (Loss)</t>
        </is>
      </c>
      <c r="B10" s="6">
        <f>B8+B9</f>
        <v/>
      </c>
      <c r="C10" s="6">
        <f>C8+C9</f>
        <v/>
      </c>
      <c r="D10" s="6">
        <f>D8+D9</f>
        <v/>
      </c>
      <c r="E10" s="6">
        <f>E8+E9</f>
        <v/>
      </c>
      <c r="F10" s="6">
        <f>F8+F9</f>
        <v/>
      </c>
      <c r="G10" s="6">
        <f>G8+G9</f>
        <v/>
      </c>
      <c r="H10" s="6">
        <f>H8+H9</f>
        <v/>
      </c>
      <c r="I10" s="6">
        <f>I8+I9</f>
        <v/>
      </c>
      <c r="J10" s="6">
        <f>J8+J9</f>
        <v/>
      </c>
      <c r="K10" s="6">
        <f>K8+K9</f>
        <v/>
      </c>
      <c r="L10" s="6">
        <f>L8+L9</f>
        <v/>
      </c>
      <c r="M10" s="6">
        <f>M8+M9</f>
        <v/>
      </c>
      <c r="N10" s="6">
        <f>N8+N9</f>
        <v/>
      </c>
      <c r="O10" s="6">
        <f>O8+O9</f>
        <v/>
      </c>
      <c r="P10" s="6">
        <f>P8+P9</f>
        <v/>
      </c>
      <c r="Q10" s="6">
        <f>Q8+Q9</f>
        <v/>
      </c>
      <c r="R10" s="6">
        <f>R8+R9</f>
        <v/>
      </c>
      <c r="S10" s="6">
        <f>S8+S9</f>
        <v/>
      </c>
    </row>
    <row r="11">
      <c r="A11" s="3" t="inlineStr">
        <is>
          <t>Basic Earnings (Loss) per Share</t>
        </is>
      </c>
      <c r="B11" s="8" t="n">
        <v>0.52</v>
      </c>
      <c r="C11" s="8" t="n">
        <v>1.11</v>
      </c>
      <c r="D11" s="8" t="n">
        <v>1.77</v>
      </c>
      <c r="E11" s="8" t="n">
        <v>0.6</v>
      </c>
      <c r="F11" s="8" t="n">
        <v>1.36</v>
      </c>
      <c r="G11" s="8" t="n">
        <v>2</v>
      </c>
      <c r="H11" s="8" t="n">
        <v>0.5600000000000001</v>
      </c>
      <c r="I11" s="8" t="n">
        <v>1.07</v>
      </c>
      <c r="J11" s="8" t="n">
        <v>1.68</v>
      </c>
      <c r="K11" s="8" t="n">
        <v>0.38</v>
      </c>
      <c r="L11" s="8" t="n">
        <v>0.78</v>
      </c>
      <c r="M11" s="8" t="n">
        <v>1.21</v>
      </c>
      <c r="N11" s="8" t="n">
        <v>0.42</v>
      </c>
      <c r="O11" s="8" t="n">
        <v>0.84</v>
      </c>
      <c r="P11" s="8" t="n">
        <v>1.22</v>
      </c>
      <c r="Q11" s="8" t="n">
        <v>0.45</v>
      </c>
      <c r="R11" s="8" t="n">
        <v>0.96</v>
      </c>
      <c r="S11" s="8" t="n">
        <v>1.49</v>
      </c>
    </row>
    <row r="12">
      <c r="A12" s="3" t="inlineStr">
        <is>
          <t>Diluted Earnings (Loss) per Share</t>
        </is>
      </c>
      <c r="B12" s="8" t="n">
        <v>0.52</v>
      </c>
      <c r="C12" s="8" t="n">
        <v>1.1</v>
      </c>
      <c r="D12" s="8" t="n">
        <v>1.75</v>
      </c>
      <c r="E12" s="8" t="n">
        <v>0.59</v>
      </c>
      <c r="F12" s="8" t="n">
        <v>1.34</v>
      </c>
      <c r="G12" s="8" t="n">
        <v>1.97</v>
      </c>
      <c r="H12" s="8" t="n">
        <v>0.55</v>
      </c>
      <c r="I12" s="8" t="n">
        <v>1.06</v>
      </c>
      <c r="J12" s="8" t="n">
        <v>1.66</v>
      </c>
      <c r="K12" s="8" t="n">
        <v>0.38</v>
      </c>
      <c r="L12" s="8" t="n">
        <v>0.77</v>
      </c>
      <c r="M12" s="8" t="n">
        <v>1.19</v>
      </c>
      <c r="N12" s="8" t="n">
        <v>0.42</v>
      </c>
      <c r="O12" s="8" t="n">
        <v>0.83</v>
      </c>
      <c r="P12" s="8" t="n">
        <v>1.21</v>
      </c>
      <c r="Q12" s="8" t="n">
        <v>0.45</v>
      </c>
      <c r="R12" s="8" t="n">
        <v>0.95</v>
      </c>
      <c r="S12" s="8" t="n">
        <v>1.48</v>
      </c>
    </row>
    <row r="13">
      <c r="A13" s="3" t="inlineStr">
        <is>
          <t>Weighted Average Shares Outstanding (Basic)</t>
        </is>
      </c>
      <c r="B13" s="4" t="n">
        <v>536061000</v>
      </c>
      <c r="C13" s="4" t="n">
        <v>531486000</v>
      </c>
      <c r="D13" s="4" t="n">
        <v>530194000</v>
      </c>
      <c r="E13" s="4" t="n">
        <v>528195000</v>
      </c>
      <c r="F13" s="4" t="n">
        <v>528425000</v>
      </c>
      <c r="G13" s="4" t="n">
        <v>528618000</v>
      </c>
      <c r="H13" s="4" t="n">
        <v>529405000</v>
      </c>
      <c r="I13" s="4" t="n">
        <v>529009000</v>
      </c>
      <c r="J13" s="4" t="n">
        <v>528263000</v>
      </c>
      <c r="K13" s="4" t="n">
        <v>1044909000</v>
      </c>
      <c r="L13" s="4" t="n">
        <v>1045993000</v>
      </c>
      <c r="M13" s="4" t="n">
        <v>1046337000</v>
      </c>
      <c r="N13" s="4" t="n">
        <v>1041081000</v>
      </c>
      <c r="O13" s="4" t="n">
        <v>1035175000</v>
      </c>
      <c r="P13" s="4" t="n">
        <v>1015252000</v>
      </c>
      <c r="Q13" s="4" t="n">
        <v>973622000</v>
      </c>
      <c r="R13" s="4" t="n">
        <v>974691000</v>
      </c>
      <c r="S13" s="4" t="n">
        <v>975337000</v>
      </c>
    </row>
    <row r="14">
      <c r="A14" s="3" t="inlineStr">
        <is>
          <t>Weighted Average Shares Outstanding (Diluted)</t>
        </is>
      </c>
      <c r="B14" s="4" t="n">
        <v>540518000</v>
      </c>
      <c r="C14" s="4" t="n">
        <v>535897000</v>
      </c>
      <c r="D14" s="4" t="n">
        <v>535011000</v>
      </c>
      <c r="E14" s="4" t="n">
        <v>534982000</v>
      </c>
      <c r="F14" s="4" t="n">
        <v>535324000</v>
      </c>
      <c r="G14" s="4" t="n">
        <v>535554000</v>
      </c>
      <c r="H14" s="4" t="n">
        <v>535554000</v>
      </c>
      <c r="I14" s="4" t="n">
        <v>535209000</v>
      </c>
      <c r="J14" s="4" t="n">
        <v>534599000</v>
      </c>
      <c r="K14" s="4" t="n">
        <v>1059069000</v>
      </c>
      <c r="L14" s="4" t="n">
        <v>1059667000</v>
      </c>
      <c r="M14" s="4" t="n">
        <v>1059809000</v>
      </c>
      <c r="N14" s="4" t="n">
        <v>1051282000</v>
      </c>
      <c r="O14" s="4" t="n">
        <v>1044363000</v>
      </c>
      <c r="P14" s="4" t="n">
        <v>1023912000</v>
      </c>
      <c r="Q14" s="4" t="n">
        <v>981282000</v>
      </c>
      <c r="R14" s="4" t="n">
        <v>982748000</v>
      </c>
      <c r="S14" s="4" t="n">
        <v>983532000</v>
      </c>
    </row>
    <row r="15">
      <c r="A15" s="3" t="inlineStr">
        <is>
          <t>Net Income (Loss) Attributable to Common Shareholders</t>
        </is>
      </c>
      <c r="B15" s="6">
        <f>B10</f>
        <v/>
      </c>
      <c r="C15" s="6">
        <f>C10</f>
        <v/>
      </c>
      <c r="D15" s="6">
        <f>D10</f>
        <v/>
      </c>
      <c r="E15" s="6">
        <f>E10</f>
        <v/>
      </c>
      <c r="F15" s="6">
        <f>F10</f>
        <v/>
      </c>
      <c r="G15" s="6">
        <f>G10</f>
        <v/>
      </c>
      <c r="H15" s="6">
        <f>H10</f>
        <v/>
      </c>
      <c r="I15" s="6">
        <f>I10</f>
        <v/>
      </c>
      <c r="J15" s="6">
        <f>J10</f>
        <v/>
      </c>
      <c r="K15" s="6">
        <f>K10</f>
        <v/>
      </c>
      <c r="L15" s="6">
        <f>L10</f>
        <v/>
      </c>
      <c r="M15" s="6">
        <f>M10</f>
        <v/>
      </c>
      <c r="N15" s="6">
        <f>N10</f>
        <v/>
      </c>
      <c r="O15" s="6">
        <f>O10</f>
        <v/>
      </c>
      <c r="P15" s="6">
        <f>P10</f>
        <v/>
      </c>
      <c r="Q15" s="6">
        <f>Q10</f>
        <v/>
      </c>
      <c r="R15" s="6">
        <f>R10</f>
        <v/>
      </c>
      <c r="S15" s="6">
        <f>S10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/>
      <c r="B1" s="2" t="inlineStr">
        <is>
          <t>Q4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</row>
    <row r="2">
      <c r="A2" s="3" t="inlineStr">
        <is>
          <t>Cash &amp; Cash Equivalents</t>
        </is>
      </c>
      <c r="B2" s="4" t="n">
        <v>1180413</v>
      </c>
      <c r="C2" s="4" t="n">
        <v>1178879</v>
      </c>
      <c r="D2" s="4" t="n">
        <v>1584239</v>
      </c>
      <c r="E2" s="4" t="n">
        <v>1712671</v>
      </c>
      <c r="F2" s="4" t="n">
        <v>1326462</v>
      </c>
      <c r="G2" s="4" t="n">
        <v>1014786</v>
      </c>
      <c r="H2" s="4" t="n">
        <v>1132039</v>
      </c>
      <c r="I2" s="4" t="n">
        <v>1303048</v>
      </c>
      <c r="J2" s="4" t="n">
        <v>1307141</v>
      </c>
      <c r="K2" s="4" t="n">
        <v>1672660</v>
      </c>
      <c r="L2" s="4" t="n">
        <v>1869774</v>
      </c>
      <c r="M2" s="4" t="n">
        <v>1773849</v>
      </c>
      <c r="N2" s="4" t="n">
        <v>2297675</v>
      </c>
      <c r="O2" s="4" t="n">
        <v>2576524</v>
      </c>
      <c r="P2" s="4" t="n">
        <v>1564734</v>
      </c>
      <c r="Q2" s="4" t="n">
        <v>1625339</v>
      </c>
      <c r="R2" s="4" t="n">
        <v>1533287</v>
      </c>
      <c r="S2" s="4" t="n">
        <v>1903419</v>
      </c>
      <c r="T2" s="4" t="n">
        <v>1926927</v>
      </c>
      <c r="U2" s="4" t="n">
        <v>2292939</v>
      </c>
    </row>
    <row r="3">
      <c r="A3" s="3" t="inlineStr">
        <is>
          <t>Short-Term Investments</t>
        </is>
      </c>
      <c r="B3" s="4" t="n">
        <v>881354</v>
      </c>
      <c r="C3" s="4" t="n">
        <v>980108</v>
      </c>
      <c r="D3" s="4" t="n">
        <v>968952</v>
      </c>
      <c r="E3" s="4" t="n">
        <v>1224066</v>
      </c>
      <c r="F3" s="4" t="n">
        <v>1749727</v>
      </c>
      <c r="G3" s="4" t="n">
        <v>1717648</v>
      </c>
      <c r="H3" s="4" t="n">
        <v>1337792</v>
      </c>
      <c r="I3" s="4" t="n">
        <v>1346781</v>
      </c>
      <c r="J3" s="4" t="n">
        <v>1362314</v>
      </c>
      <c r="K3" s="4" t="n">
        <v>1383028</v>
      </c>
      <c r="L3" s="4" t="n">
        <v>1417239</v>
      </c>
      <c r="M3" s="4" t="n">
        <v>1236752</v>
      </c>
      <c r="N3" s="4" t="n">
        <v>955605</v>
      </c>
      <c r="O3" s="4" t="n">
        <v>984201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145253</v>
      </c>
      <c r="U3" s="4" t="n">
        <v>286391</v>
      </c>
    </row>
    <row r="4">
      <c r="A4" s="3" t="inlineStr">
        <is>
          <t>Accounts Receivable</t>
        </is>
      </c>
      <c r="B4" s="4" t="n">
        <v>666012</v>
      </c>
      <c r="C4" s="4" t="n">
        <v>802509</v>
      </c>
      <c r="D4" s="4" t="n">
        <v>909169</v>
      </c>
      <c r="E4" s="4" t="n">
        <v>849157</v>
      </c>
      <c r="F4" s="4" t="n">
        <v>896658</v>
      </c>
      <c r="G4" s="4" t="n">
        <v>1039780</v>
      </c>
      <c r="H4" s="4" t="n">
        <v>1175587</v>
      </c>
      <c r="I4" s="4" t="n">
        <v>1051642</v>
      </c>
      <c r="J4" s="4" t="n">
        <v>1016203</v>
      </c>
      <c r="K4" s="4" t="n">
        <v>1190351</v>
      </c>
      <c r="L4" s="4" t="n">
        <v>1333004</v>
      </c>
      <c r="M4" s="4" t="n">
        <v>1231188</v>
      </c>
      <c r="N4" s="4" t="n">
        <v>1193964</v>
      </c>
      <c r="O4" s="4" t="n">
        <v>1370239</v>
      </c>
      <c r="P4" s="4" t="n">
        <v>1362398</v>
      </c>
      <c r="Q4" s="4" t="n">
        <v>1285397</v>
      </c>
      <c r="R4" s="4" t="n">
        <v>1221646</v>
      </c>
      <c r="S4" s="4" t="n">
        <v>1360233</v>
      </c>
      <c r="T4" s="4" t="n">
        <v>1522702</v>
      </c>
      <c r="U4" s="4" t="n">
        <v>1601216</v>
      </c>
    </row>
    <row r="5">
      <c r="A5" s="3" t="inlineStr">
        <is>
          <t>Inventories</t>
        </is>
      </c>
      <c r="B5" s="4" t="n">
        <v>333085</v>
      </c>
      <c r="C5" s="4" t="n">
        <v>368402</v>
      </c>
      <c r="D5" s="4" t="n">
        <v>382890</v>
      </c>
      <c r="E5" s="4" t="n">
        <v>471553</v>
      </c>
      <c r="F5" s="4" t="n">
        <v>593357</v>
      </c>
      <c r="G5" s="4" t="n">
        <v>821132</v>
      </c>
      <c r="H5" s="4" t="n">
        <v>885948</v>
      </c>
      <c r="I5" s="4" t="n">
        <v>862977</v>
      </c>
      <c r="J5" s="4" t="n">
        <v>935631</v>
      </c>
      <c r="K5" s="4" t="n">
        <v>906723</v>
      </c>
      <c r="L5" s="4" t="n">
        <v>846812</v>
      </c>
      <c r="M5" s="4" t="n">
        <v>883582</v>
      </c>
      <c r="N5" s="4" t="n">
        <v>971406</v>
      </c>
      <c r="O5" s="4" t="n">
        <v>939630</v>
      </c>
      <c r="P5" s="4" t="n">
        <v>834404</v>
      </c>
      <c r="Q5" s="4" t="n">
        <v>770338</v>
      </c>
      <c r="R5" s="4" t="n">
        <v>737107</v>
      </c>
      <c r="S5" s="4" t="n">
        <v>725129</v>
      </c>
      <c r="T5" s="4" t="n">
        <v>658167</v>
      </c>
      <c r="U5" s="4" t="n">
        <v>704586</v>
      </c>
    </row>
    <row r="6">
      <c r="A6" s="3" t="inlineStr">
        <is>
          <t>Prepaid Expenses</t>
        </is>
      </c>
      <c r="B6" s="4" t="n">
        <v>55358</v>
      </c>
      <c r="C6" s="4" t="n">
        <v>72803</v>
      </c>
      <c r="D6" s="4" t="n">
        <v>83086</v>
      </c>
      <c r="E6" s="4" t="n">
        <v>95607</v>
      </c>
      <c r="F6" s="4" t="n">
        <v>82668</v>
      </c>
      <c r="G6" s="4" t="n">
        <v>110327</v>
      </c>
      <c r="H6" s="4" t="n">
        <v>132273</v>
      </c>
      <c r="I6" s="4" t="n">
        <v>112294</v>
      </c>
      <c r="J6" s="4" t="n">
        <v>109823</v>
      </c>
      <c r="K6" s="4" t="n">
        <v>110958</v>
      </c>
      <c r="L6" s="4" t="n">
        <v>148750</v>
      </c>
      <c r="M6" s="4" t="n">
        <v>162676</v>
      </c>
      <c r="N6" s="4" t="n">
        <v>116195</v>
      </c>
      <c r="O6" s="4" t="n">
        <v>124580</v>
      </c>
      <c r="P6" s="4" t="n">
        <v>129303</v>
      </c>
      <c r="Q6" s="4" t="n">
        <v>124656</v>
      </c>
      <c r="R6" s="4" t="n">
        <v>107262</v>
      </c>
      <c r="S6" s="4" t="n">
        <v>112525</v>
      </c>
      <c r="T6" s="4" t="n">
        <v>137257</v>
      </c>
      <c r="U6" s="4" t="n">
        <v>142713</v>
      </c>
    </row>
    <row r="7">
      <c r="A7" s="3" t="inlineStr">
        <is>
          <t>Prepaid Income Taxes</t>
        </is>
      </c>
      <c r="B7" s="4" t="n">
        <v>24733</v>
      </c>
      <c r="C7" s="4" t="n">
        <v>31171</v>
      </c>
      <c r="D7" s="4" t="n">
        <v>22339</v>
      </c>
      <c r="E7" s="4" t="n">
        <v>30619</v>
      </c>
      <c r="F7" s="4" t="n">
        <v>33238</v>
      </c>
      <c r="G7" s="4" t="n">
        <v>39993</v>
      </c>
      <c r="H7" s="4" t="n">
        <v>32981</v>
      </c>
      <c r="I7" s="4" t="n">
        <v>19949</v>
      </c>
      <c r="J7" s="4" t="n">
        <v>33785</v>
      </c>
      <c r="K7" s="4" t="n">
        <v>30889</v>
      </c>
      <c r="L7" s="4" t="n">
        <v>38534</v>
      </c>
      <c r="M7" s="4" t="n">
        <v>23468</v>
      </c>
      <c r="N7" s="4" t="n">
        <v>54151</v>
      </c>
      <c r="O7" s="4" t="n">
        <v>40340</v>
      </c>
      <c r="P7" s="4" t="n">
        <v>63458</v>
      </c>
      <c r="Q7" s="4" t="n">
        <v>92028</v>
      </c>
      <c r="R7" s="4" t="n">
        <v>42202</v>
      </c>
      <c r="S7" s="4" t="n">
        <v>34113</v>
      </c>
      <c r="T7" s="4" t="n">
        <v>39034</v>
      </c>
      <c r="U7" s="4" t="n">
        <v>38372</v>
      </c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6">
        <f>SUM(I2:I7)</f>
        <v/>
      </c>
      <c r="J8" s="6">
        <f>SUM(J2:J7)</f>
        <v/>
      </c>
      <c r="K8" s="6">
        <f>SUM(K2:K7)</f>
        <v/>
      </c>
      <c r="L8" s="6">
        <f>SUM(L2:L7)</f>
        <v/>
      </c>
      <c r="M8" s="6">
        <f>SUM(M2:M7)</f>
        <v/>
      </c>
      <c r="N8" s="6">
        <f>SUM(N2:N7)</f>
        <v/>
      </c>
      <c r="O8" s="6">
        <f>SUM(O2:O7)</f>
        <v/>
      </c>
      <c r="P8" s="6">
        <f>SUM(P2:P7)</f>
        <v/>
      </c>
      <c r="Q8" s="6">
        <f>SUM(Q2:Q7)</f>
        <v/>
      </c>
      <c r="R8" s="6">
        <f>SUM(R2:R7)</f>
        <v/>
      </c>
      <c r="S8" s="6">
        <f>SUM(S2:S7)</f>
        <v/>
      </c>
      <c r="T8" s="6">
        <f>SUM(T2:T7)</f>
        <v/>
      </c>
      <c r="U8" s="6">
        <f>SUM(U2:U7)</f>
        <v/>
      </c>
    </row>
    <row r="9">
      <c r="A9" s="3" t="inlineStr">
        <is>
          <t>Long-Term Investments</t>
        </is>
      </c>
      <c r="B9" s="4" t="n">
        <v>44291</v>
      </c>
      <c r="C9" s="4" t="n">
        <v>63751</v>
      </c>
      <c r="D9" s="4" t="n">
        <v>91033</v>
      </c>
      <c r="E9" s="4" t="n">
        <v>28255</v>
      </c>
      <c r="F9" s="4" t="n">
        <v>99419</v>
      </c>
      <c r="G9" s="4" t="n">
        <v>65652</v>
      </c>
      <c r="H9" s="4" t="n">
        <v>64119</v>
      </c>
      <c r="I9" s="4" t="n">
        <v>72373</v>
      </c>
      <c r="J9" s="4" t="n">
        <v>61443</v>
      </c>
      <c r="K9" s="4" t="n">
        <v>41152</v>
      </c>
      <c r="L9" s="4" t="n">
        <v>62248</v>
      </c>
      <c r="M9" s="4" t="n">
        <v>52636</v>
      </c>
      <c r="N9" s="4" t="n">
        <v>76431</v>
      </c>
      <c r="O9" s="4" t="n">
        <v>8162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138058</v>
      </c>
      <c r="U9" s="4" t="n">
        <v>359174</v>
      </c>
    </row>
    <row r="10">
      <c r="A10" s="3" t="inlineStr">
        <is>
          <t>Net PP&amp;E</t>
        </is>
      </c>
      <c r="B10" s="4" t="n">
        <v>314656</v>
      </c>
      <c r="C10" s="4" t="n">
        <v>312155</v>
      </c>
      <c r="D10" s="4" t="n">
        <v>309178</v>
      </c>
      <c r="E10" s="4" t="n">
        <v>309574</v>
      </c>
      <c r="F10" s="4" t="n">
        <v>313753</v>
      </c>
      <c r="G10" s="4" t="n">
        <v>407391</v>
      </c>
      <c r="H10" s="4" t="n">
        <v>464541</v>
      </c>
      <c r="I10" s="4" t="n">
        <v>485550</v>
      </c>
      <c r="J10" s="4" t="n">
        <v>516897</v>
      </c>
      <c r="K10" s="4" t="n">
        <v>545922</v>
      </c>
      <c r="L10" s="4" t="n">
        <v>576645</v>
      </c>
      <c r="M10" s="4" t="n">
        <v>731208</v>
      </c>
      <c r="N10" s="4" t="n">
        <v>890796</v>
      </c>
      <c r="O10" s="4" t="n">
        <v>923290</v>
      </c>
      <c r="P10" s="4" t="n">
        <v>960962</v>
      </c>
      <c r="Q10" s="4" t="n">
        <v>1006788</v>
      </c>
      <c r="R10" s="4" t="n">
        <v>1047024</v>
      </c>
      <c r="S10" s="4" t="n">
        <v>1064008</v>
      </c>
      <c r="T10" s="4" t="n">
        <v>1090898</v>
      </c>
      <c r="U10" s="4" t="n">
        <v>1110705</v>
      </c>
    </row>
    <row r="11">
      <c r="A11" s="3" t="inlineStr">
        <is>
          <t>Deferred Tax Assets</t>
        </is>
      </c>
      <c r="B11" s="4" t="n">
        <v>241650</v>
      </c>
      <c r="C11" s="4" t="n">
        <v>241650</v>
      </c>
      <c r="D11" s="4" t="n">
        <v>241297</v>
      </c>
      <c r="E11" s="4" t="n">
        <v>241297</v>
      </c>
      <c r="F11" s="4" t="n">
        <v>225221</v>
      </c>
      <c r="G11" s="4" t="n">
        <v>225221</v>
      </c>
      <c r="H11" s="4" t="n">
        <v>203287</v>
      </c>
      <c r="I11" s="4" t="n">
        <v>195511</v>
      </c>
      <c r="J11" s="4" t="n">
        <v>177039</v>
      </c>
      <c r="K11" s="4" t="n">
        <v>177039</v>
      </c>
      <c r="L11" s="4" t="n">
        <v>177039</v>
      </c>
      <c r="M11" s="4" t="n">
        <v>176724</v>
      </c>
      <c r="N11" s="4" t="n">
        <v>175003</v>
      </c>
      <c r="O11" s="4" t="n">
        <v>175271</v>
      </c>
      <c r="P11" s="4" t="n">
        <v>187269</v>
      </c>
      <c r="Q11" s="4" t="n">
        <v>183430</v>
      </c>
      <c r="R11" s="4" t="n">
        <v>184260</v>
      </c>
      <c r="S11" s="4" t="n">
        <v>184358</v>
      </c>
      <c r="T11" s="4" t="n">
        <v>184791</v>
      </c>
      <c r="U11" s="4" t="n">
        <v>185321</v>
      </c>
    </row>
    <row r="12">
      <c r="A12" s="3" t="inlineStr">
        <is>
          <t>Goodwill</t>
        </is>
      </c>
      <c r="B12" s="4" t="n">
        <v>1331643</v>
      </c>
      <c r="C12" s="4" t="n">
        <v>1331643</v>
      </c>
      <c r="D12" s="4" t="n">
        <v>1331643</v>
      </c>
      <c r="E12" s="4" t="n">
        <v>1331643</v>
      </c>
      <c r="F12" s="4" t="n">
        <v>1331643</v>
      </c>
      <c r="G12" s="4" t="n">
        <v>1411928</v>
      </c>
      <c r="H12" s="4" t="n">
        <v>1412941</v>
      </c>
      <c r="I12" s="4" t="n">
        <v>1412941</v>
      </c>
      <c r="J12" s="4" t="n">
        <v>1417941</v>
      </c>
      <c r="K12" s="4" t="n">
        <v>1417941</v>
      </c>
      <c r="L12" s="4" t="n">
        <v>1417941</v>
      </c>
      <c r="M12" s="4" t="n">
        <v>1417941</v>
      </c>
      <c r="N12" s="4" t="n">
        <v>1417941</v>
      </c>
      <c r="O12" s="4" t="n">
        <v>1417941</v>
      </c>
      <c r="P12" s="4" t="n">
        <v>1417941</v>
      </c>
      <c r="Q12" s="4" t="n">
        <v>1417941</v>
      </c>
      <c r="R12" s="4" t="n">
        <v>1331643</v>
      </c>
      <c r="S12" s="4" t="n">
        <v>1331643</v>
      </c>
      <c r="T12" s="4" t="n">
        <v>1331643</v>
      </c>
      <c r="U12" s="4" t="n">
        <v>1331643</v>
      </c>
    </row>
    <row r="13">
      <c r="A13" s="3" t="inlineStr">
        <is>
          <t>Intangible Assets</t>
        </is>
      </c>
      <c r="B13" s="4" t="n">
        <v>1059046</v>
      </c>
      <c r="C13" s="4" t="n">
        <v>1063092</v>
      </c>
      <c r="D13" s="4" t="n">
        <v>1058323</v>
      </c>
      <c r="E13" s="4" t="n">
        <v>1066083</v>
      </c>
      <c r="F13" s="4" t="n">
        <v>1072386</v>
      </c>
      <c r="G13" s="4" t="n">
        <v>1232113</v>
      </c>
      <c r="H13" s="4" t="n">
        <v>1223114</v>
      </c>
      <c r="I13" s="4" t="n">
        <v>1225826</v>
      </c>
      <c r="J13" s="4" t="n">
        <v>1220410</v>
      </c>
      <c r="K13" s="4" t="n">
        <v>1222598</v>
      </c>
      <c r="L13" s="4" t="n">
        <v>1224100</v>
      </c>
      <c r="M13" s="4" t="n">
        <v>1459447</v>
      </c>
      <c r="N13" s="4" t="n">
        <v>1427139</v>
      </c>
      <c r="O13" s="4" t="n">
        <v>1430762</v>
      </c>
      <c r="P13" s="4" t="n">
        <v>1433326</v>
      </c>
      <c r="Q13" s="4" t="n">
        <v>1442426</v>
      </c>
      <c r="R13" s="4" t="n">
        <v>1414252</v>
      </c>
      <c r="S13" s="4" t="n">
        <v>1415958</v>
      </c>
      <c r="T13" s="4" t="n">
        <v>1418827</v>
      </c>
      <c r="U13" s="4" t="n">
        <v>1419306</v>
      </c>
    </row>
    <row r="14">
      <c r="A14" s="3" t="inlineStr">
        <is>
          <t>Other Non-Current Assets</t>
        </is>
      </c>
      <c r="B14" s="4" t="n">
        <v>70475</v>
      </c>
      <c r="C14" s="4" t="n">
        <v>88203</v>
      </c>
      <c r="D14" s="4" t="n">
        <v>89394</v>
      </c>
      <c r="E14" s="4" t="n">
        <v>88883</v>
      </c>
      <c r="F14" s="4" t="n">
        <v>80252</v>
      </c>
      <c r="G14" s="4" t="n">
        <v>101488</v>
      </c>
      <c r="H14" s="4" t="n">
        <v>110390</v>
      </c>
      <c r="I14" s="4" t="n">
        <v>115913</v>
      </c>
      <c r="J14" s="4" t="n">
        <v>134478</v>
      </c>
      <c r="K14" s="4" t="n">
        <v>145101</v>
      </c>
      <c r="L14" s="4" t="n">
        <v>151252</v>
      </c>
      <c r="M14" s="4" t="n">
        <v>164867</v>
      </c>
      <c r="N14" s="4" t="n">
        <v>110216</v>
      </c>
      <c r="O14" s="4" t="n">
        <v>107126</v>
      </c>
      <c r="P14" s="4" t="n">
        <v>107109</v>
      </c>
      <c r="Q14" s="4" t="n">
        <v>104958</v>
      </c>
      <c r="R14" s="4" t="n">
        <v>100406</v>
      </c>
      <c r="S14" s="4" t="n">
        <v>95642</v>
      </c>
      <c r="T14" s="4" t="n">
        <v>136331</v>
      </c>
      <c r="U14" s="4" t="n">
        <v>138907</v>
      </c>
    </row>
    <row r="15">
      <c r="A15" s="3" t="inlineStr">
        <is>
          <t>Total Assets</t>
        </is>
      </c>
      <c r="B15" s="6">
        <f>B8+SUM(B9:B14)</f>
        <v/>
      </c>
      <c r="C15" s="6">
        <f>C8+SUM(C9:C14)</f>
        <v/>
      </c>
      <c r="D15" s="6">
        <f>D8+SUM(D9:D14)</f>
        <v/>
      </c>
      <c r="E15" s="6">
        <f>E8+SUM(E9:E14)</f>
        <v/>
      </c>
      <c r="F15" s="6">
        <f>F8+SUM(F9:F14)</f>
        <v/>
      </c>
      <c r="G15" s="6">
        <f>G8+SUM(G9:G14)</f>
        <v/>
      </c>
      <c r="H15" s="6">
        <f>H8+SUM(H9:H14)</f>
        <v/>
      </c>
      <c r="I15" s="6">
        <f>I8+SUM(I9:I14)</f>
        <v/>
      </c>
      <c r="J15" s="6">
        <f>J8+SUM(J9:J14)</f>
        <v/>
      </c>
      <c r="K15" s="6">
        <f>K8+SUM(K9:K14)</f>
        <v/>
      </c>
      <c r="L15" s="6">
        <f>L8+SUM(L9:L14)</f>
        <v/>
      </c>
      <c r="M15" s="6">
        <f>M8+SUM(M9:M14)</f>
        <v/>
      </c>
      <c r="N15" s="6">
        <f>N8+SUM(N9:N14)</f>
        <v/>
      </c>
      <c r="O15" s="6">
        <f>O8+SUM(O9:O14)</f>
        <v/>
      </c>
      <c r="P15" s="6">
        <f>P8+SUM(P9:P14)</f>
        <v/>
      </c>
      <c r="Q15" s="6">
        <f>Q8+SUM(Q9:Q14)</f>
        <v/>
      </c>
      <c r="R15" s="6">
        <f>R8+SUM(R9:R14)</f>
        <v/>
      </c>
      <c r="S15" s="6">
        <f>S8+SUM(S9:S14)</f>
        <v/>
      </c>
      <c r="T15" s="6">
        <f>T8+SUM(T9:T14)</f>
        <v/>
      </c>
      <c r="U15" s="6">
        <f>U8+SUM(U9:U14)</f>
        <v/>
      </c>
    </row>
    <row r="16">
      <c r="A16" s="3" t="inlineStr">
        <is>
          <t>Accounts Payable</t>
        </is>
      </c>
      <c r="B16" s="4" t="n">
        <v>296800</v>
      </c>
      <c r="C16" s="4" t="n">
        <v>334076</v>
      </c>
      <c r="D16" s="4" t="n">
        <v>362900</v>
      </c>
      <c r="E16" s="4" t="n">
        <v>396229</v>
      </c>
      <c r="F16" s="4" t="n">
        <v>404263</v>
      </c>
      <c r="G16" s="4" t="n">
        <v>438256</v>
      </c>
      <c r="H16" s="4" t="n">
        <v>492858</v>
      </c>
      <c r="I16" s="4" t="n">
        <v>520198</v>
      </c>
      <c r="J16" s="4" t="n">
        <v>444265</v>
      </c>
      <c r="K16" s="4" t="n">
        <v>491249</v>
      </c>
      <c r="L16" s="4" t="n">
        <v>568613</v>
      </c>
      <c r="M16" s="4" t="n">
        <v>539892</v>
      </c>
      <c r="N16" s="4" t="n">
        <v>564379</v>
      </c>
      <c r="O16" s="4" t="n">
        <v>533729</v>
      </c>
      <c r="P16" s="4" t="n">
        <v>511137</v>
      </c>
      <c r="Q16" s="4" t="n">
        <v>549028</v>
      </c>
      <c r="R16" s="4" t="n">
        <v>466775</v>
      </c>
      <c r="S16" s="4" t="n">
        <v>486951</v>
      </c>
      <c r="T16" s="4" t="n">
        <v>489037</v>
      </c>
      <c r="U16" s="4" t="n">
        <v>683030</v>
      </c>
    </row>
    <row r="17">
      <c r="A17" s="3" t="inlineStr">
        <is>
          <t>Accrued Expenses</t>
        </is>
      </c>
      <c r="B17" s="4" t="n">
        <v>142653</v>
      </c>
      <c r="C17" s="4" t="n">
        <v>170954</v>
      </c>
      <c r="D17" s="4" t="n">
        <v>172498</v>
      </c>
      <c r="E17" s="4" t="n">
        <v>180719</v>
      </c>
      <c r="F17" s="4" t="n">
        <v>210964</v>
      </c>
      <c r="G17" s="4" t="n">
        <v>234111</v>
      </c>
      <c r="H17" s="4" t="n">
        <v>209154</v>
      </c>
      <c r="I17" s="4" t="n">
        <v>198692</v>
      </c>
      <c r="J17" s="4" t="n">
        <v>172991</v>
      </c>
      <c r="K17" s="4" t="n">
        <v>245932</v>
      </c>
      <c r="L17" s="4" t="n">
        <v>198656</v>
      </c>
      <c r="M17" s="4" t="n">
        <v>207727</v>
      </c>
      <c r="N17" s="4" t="n">
        <v>183988</v>
      </c>
      <c r="O17" s="4" t="n">
        <v>204679</v>
      </c>
      <c r="P17" s="4" t="n">
        <v>213905</v>
      </c>
      <c r="Q17" s="4" t="n">
        <v>259088</v>
      </c>
      <c r="R17" s="4" t="n">
        <v>220764</v>
      </c>
      <c r="S17" s="4" t="n">
        <v>262545</v>
      </c>
      <c r="T17" s="4" t="n">
        <v>258937</v>
      </c>
      <c r="U17" s="4" t="n">
        <v>325450</v>
      </c>
    </row>
    <row r="18">
      <c r="A18" s="3" t="inlineStr">
        <is>
          <t>Accrued Promotional Allowance</t>
        </is>
      </c>
      <c r="B18" s="4" t="n">
        <v>186658</v>
      </c>
      <c r="C18" s="4" t="n">
        <v>197380</v>
      </c>
      <c r="D18" s="4" t="n">
        <v>227414</v>
      </c>
      <c r="E18" s="4" t="n">
        <v>232394</v>
      </c>
      <c r="F18" s="4" t="n">
        <v>211461</v>
      </c>
      <c r="G18" s="4" t="n">
        <v>270785</v>
      </c>
      <c r="H18" s="4" t="n">
        <v>277618</v>
      </c>
      <c r="I18" s="4" t="n">
        <v>281650</v>
      </c>
      <c r="J18" s="4" t="n">
        <v>255631</v>
      </c>
      <c r="K18" s="4" t="n">
        <v>308094</v>
      </c>
      <c r="L18" s="4" t="n">
        <v>283647</v>
      </c>
      <c r="M18" s="4" t="n">
        <v>296577</v>
      </c>
      <c r="N18" s="4" t="n">
        <v>269061</v>
      </c>
      <c r="O18" s="4" t="n">
        <v>318895</v>
      </c>
      <c r="P18" s="4" t="n">
        <v>319757</v>
      </c>
      <c r="Q18" s="4" t="n">
        <v>301973</v>
      </c>
      <c r="R18" s="4" t="n">
        <v>267711</v>
      </c>
      <c r="S18" s="4" t="n">
        <v>304670</v>
      </c>
      <c r="T18" s="4" t="n">
        <v>360406</v>
      </c>
      <c r="U18" s="4" t="n">
        <v>392628</v>
      </c>
    </row>
    <row r="19">
      <c r="A19" s="3" t="inlineStr">
        <is>
          <t>Deferred Revenue - Current</t>
        </is>
      </c>
      <c r="B19" s="4" t="n">
        <v>45429</v>
      </c>
      <c r="C19" s="4" t="n">
        <v>45961</v>
      </c>
      <c r="D19" s="4" t="n">
        <v>46656</v>
      </c>
      <c r="E19" s="4" t="n">
        <v>45278</v>
      </c>
      <c r="F19" s="4" t="n">
        <v>42530</v>
      </c>
      <c r="G19" s="4" t="n">
        <v>42540</v>
      </c>
      <c r="H19" s="4" t="n">
        <v>44344</v>
      </c>
      <c r="I19" s="4" t="n">
        <v>42608</v>
      </c>
      <c r="J19" s="4" t="n">
        <v>43311</v>
      </c>
      <c r="K19" s="4" t="n">
        <v>44440</v>
      </c>
      <c r="L19" s="4" t="n">
        <v>42765</v>
      </c>
      <c r="M19" s="4" t="n">
        <v>40127</v>
      </c>
      <c r="N19" s="4" t="n">
        <v>41914</v>
      </c>
      <c r="O19" s="4" t="n">
        <v>43776</v>
      </c>
      <c r="P19" s="4" t="n">
        <v>44377</v>
      </c>
      <c r="Q19" s="4" t="n">
        <v>45627</v>
      </c>
      <c r="R19" s="4" t="n">
        <v>45809</v>
      </c>
      <c r="S19" s="4" t="n">
        <v>47542</v>
      </c>
      <c r="T19" s="4" t="n">
        <v>49279</v>
      </c>
      <c r="U19" s="4" t="n">
        <v>47158</v>
      </c>
    </row>
    <row r="20">
      <c r="A20" s="3" t="inlineStr">
        <is>
          <t>Accrued Compensation</t>
        </is>
      </c>
      <c r="B20" s="4" t="n">
        <v>55015</v>
      </c>
      <c r="C20" s="4" t="n">
        <v>30499</v>
      </c>
      <c r="D20" s="4" t="n">
        <v>46770</v>
      </c>
      <c r="E20" s="4" t="n">
        <v>54507</v>
      </c>
      <c r="F20" s="4" t="n">
        <v>65459</v>
      </c>
      <c r="G20" s="4" t="n">
        <v>37551</v>
      </c>
      <c r="H20" s="4" t="n">
        <v>53717</v>
      </c>
      <c r="I20" s="4" t="n">
        <v>61426</v>
      </c>
      <c r="J20" s="4" t="n">
        <v>72463</v>
      </c>
      <c r="K20" s="4" t="n">
        <v>42673</v>
      </c>
      <c r="L20" s="4" t="n">
        <v>56195</v>
      </c>
      <c r="M20" s="4" t="n">
        <v>76835</v>
      </c>
      <c r="N20" s="4" t="n">
        <v>87392</v>
      </c>
      <c r="O20" s="4" t="n">
        <v>52638</v>
      </c>
      <c r="P20" s="4" t="n">
        <v>60357</v>
      </c>
      <c r="Q20" s="4" t="n">
        <v>81787</v>
      </c>
      <c r="R20" s="4" t="n">
        <v>92454</v>
      </c>
      <c r="S20" s="4" t="n">
        <v>55812</v>
      </c>
      <c r="T20" s="4" t="n">
        <v>72838</v>
      </c>
      <c r="U20" s="4" t="n">
        <v>102131</v>
      </c>
    </row>
    <row r="21">
      <c r="A21" s="3" t="inlineStr">
        <is>
          <t>Income Taxes Payable</t>
        </is>
      </c>
      <c r="B21" s="4" t="n">
        <v>23433</v>
      </c>
      <c r="C21" s="4" t="n">
        <v>9991</v>
      </c>
      <c r="D21" s="4" t="n">
        <v>31289</v>
      </c>
      <c r="E21" s="4" t="n">
        <v>23113</v>
      </c>
      <c r="F21" s="4" t="n">
        <v>30399</v>
      </c>
      <c r="G21" s="4" t="n">
        <v>21118</v>
      </c>
      <c r="H21" s="4" t="n">
        <v>15917</v>
      </c>
      <c r="I21" s="4" t="n">
        <v>17143</v>
      </c>
      <c r="J21" s="4" t="n">
        <v>13317</v>
      </c>
      <c r="K21" s="4" t="n">
        <v>55123</v>
      </c>
      <c r="L21" s="4" t="n">
        <v>12704</v>
      </c>
      <c r="M21" s="4" t="n">
        <v>17644</v>
      </c>
      <c r="N21" s="4" t="n">
        <v>14955</v>
      </c>
      <c r="O21" s="4" t="n">
        <v>75111</v>
      </c>
      <c r="P21" s="4" t="n">
        <v>10990</v>
      </c>
      <c r="Q21" s="4" t="n">
        <v>7641</v>
      </c>
      <c r="R21" s="4" t="n">
        <v>4006</v>
      </c>
      <c r="S21" s="4" t="n">
        <v>67837</v>
      </c>
      <c r="T21" s="4" t="n">
        <v>28121</v>
      </c>
      <c r="U21" s="4" t="n">
        <v>40023</v>
      </c>
    </row>
    <row r="22">
      <c r="A22" s="3" t="inlineStr">
        <is>
          <t>Total Current Liabilities</t>
        </is>
      </c>
      <c r="B22" s="6">
        <f>SUM(B16:B21)</f>
        <v/>
      </c>
      <c r="C22" s="6">
        <f>SUM(C16:C21)</f>
        <v/>
      </c>
      <c r="D22" s="6">
        <f>SUM(D16:D21)</f>
        <v/>
      </c>
      <c r="E22" s="6">
        <f>SUM(E16:E21)</f>
        <v/>
      </c>
      <c r="F22" s="6">
        <f>SUM(F16:F21)</f>
        <v/>
      </c>
      <c r="G22" s="6">
        <f>SUM(G16:G21)</f>
        <v/>
      </c>
      <c r="H22" s="6">
        <f>SUM(H16:H21)</f>
        <v/>
      </c>
      <c r="I22" s="6">
        <f>SUM(I16:I21)</f>
        <v/>
      </c>
      <c r="J22" s="6">
        <f>SUM(J16:J21)</f>
        <v/>
      </c>
      <c r="K22" s="6">
        <f>SUM(K16:K21)</f>
        <v/>
      </c>
      <c r="L22" s="6">
        <f>SUM(L16:L21)</f>
        <v/>
      </c>
      <c r="M22" s="6">
        <f>SUM(M16:M21)</f>
        <v/>
      </c>
      <c r="N22" s="6">
        <f>SUM(N16:N21)</f>
        <v/>
      </c>
      <c r="O22" s="6">
        <f>SUM(O16:O21)</f>
        <v/>
      </c>
      <c r="P22" s="6">
        <f>SUM(P16:P21)</f>
        <v/>
      </c>
      <c r="Q22" s="6">
        <f>SUM(Q16:Q21)</f>
        <v/>
      </c>
      <c r="R22" s="6">
        <f>SUM(R16:R21)</f>
        <v/>
      </c>
      <c r="S22" s="6">
        <f>SUM(S16:S21)</f>
        <v/>
      </c>
      <c r="T22" s="6">
        <f>SUM(T16:T21)</f>
        <v/>
      </c>
      <c r="U22" s="6">
        <f>SUM(U16:U21)</f>
        <v/>
      </c>
    </row>
    <row r="23">
      <c r="A23" s="3" t="inlineStr">
        <is>
          <t>Deferred Revenue - Non-Current</t>
        </is>
      </c>
      <c r="B23" s="4" t="n">
        <v>264436</v>
      </c>
      <c r="C23" s="4" t="n">
        <v>257730</v>
      </c>
      <c r="D23" s="4" t="n">
        <v>252056</v>
      </c>
      <c r="E23" s="4" t="n">
        <v>245621</v>
      </c>
      <c r="F23" s="4" t="n">
        <v>243249</v>
      </c>
      <c r="G23" s="4" t="n">
        <v>238241</v>
      </c>
      <c r="H23" s="4" t="n">
        <v>232170</v>
      </c>
      <c r="I23" s="4" t="n">
        <v>226294</v>
      </c>
      <c r="J23" s="4" t="n">
        <v>223800</v>
      </c>
      <c r="K23" s="4" t="n">
        <v>219764</v>
      </c>
      <c r="L23" s="4" t="n">
        <v>215039</v>
      </c>
      <c r="M23" s="4" t="n">
        <v>209136</v>
      </c>
      <c r="N23" s="4" t="n">
        <v>204251</v>
      </c>
      <c r="O23" s="4" t="n">
        <v>198759</v>
      </c>
      <c r="P23" s="4" t="n">
        <v>192354</v>
      </c>
      <c r="Q23" s="4" t="n">
        <v>186135</v>
      </c>
      <c r="R23" s="4" t="n">
        <v>179008</v>
      </c>
      <c r="S23" s="4" t="n">
        <v>173921</v>
      </c>
      <c r="T23" s="4" t="n">
        <v>169763</v>
      </c>
      <c r="U23" s="4" t="n">
        <v>164701</v>
      </c>
    </row>
    <row r="24">
      <c r="A24" s="3" t="inlineStr">
        <is>
          <t>Deferred Tax Liability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28896</v>
      </c>
      <c r="Q24" s="4" t="n">
        <v>28896</v>
      </c>
      <c r="R24" s="4" t="n">
        <v>0</v>
      </c>
      <c r="S24" s="4" t="n">
        <v>0</v>
      </c>
      <c r="T24" s="4" t="n">
        <v>0</v>
      </c>
      <c r="U24" s="4" t="n">
        <v>0</v>
      </c>
    </row>
    <row r="25">
      <c r="A25" s="3" t="inlineStr">
        <is>
          <t>Other Non-Current Liabilities</t>
        </is>
      </c>
      <c r="B25" s="4" t="n">
        <v>27432</v>
      </c>
      <c r="C25" s="4" t="n">
        <v>28338</v>
      </c>
      <c r="D25" s="4" t="n">
        <v>26462</v>
      </c>
      <c r="E25" s="4" t="n">
        <v>26550</v>
      </c>
      <c r="F25" s="4" t="n">
        <v>29508</v>
      </c>
      <c r="G25" s="4" t="n">
        <v>38185</v>
      </c>
      <c r="H25" s="4" t="n">
        <v>40056</v>
      </c>
      <c r="I25" s="4" t="n">
        <v>41034</v>
      </c>
      <c r="J25" s="4" t="n">
        <v>42286</v>
      </c>
      <c r="K25" s="4" t="n">
        <v>41727</v>
      </c>
      <c r="L25" s="4" t="n">
        <v>44255</v>
      </c>
      <c r="M25" s="4" t="n">
        <v>53251</v>
      </c>
      <c r="N25" s="4" t="n">
        <v>91838</v>
      </c>
      <c r="O25" s="4" t="n">
        <v>92690</v>
      </c>
      <c r="P25" s="4" t="n">
        <v>64068</v>
      </c>
      <c r="Q25" s="4" t="n">
        <v>64884</v>
      </c>
      <c r="R25" s="4" t="n">
        <v>110893</v>
      </c>
      <c r="S25" s="4" t="n">
        <v>109252</v>
      </c>
      <c r="T25" s="4" t="n">
        <v>110203</v>
      </c>
      <c r="U25" s="4" t="n">
        <v>110992</v>
      </c>
    </row>
    <row r="26">
      <c r="A26" s="3" t="inlineStr">
        <is>
          <t>Long-Term Debt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748740</v>
      </c>
      <c r="Q26" s="4" t="n">
        <v>748842</v>
      </c>
      <c r="R26" s="4" t="n">
        <v>373951</v>
      </c>
      <c r="S26" s="4" t="n">
        <v>199059</v>
      </c>
      <c r="T26" s="4" t="n">
        <v>0</v>
      </c>
      <c r="U26" s="4" t="n">
        <v>0</v>
      </c>
    </row>
    <row r="27">
      <c r="A27" s="3" t="inlineStr">
        <is>
          <t>Total Liabilities</t>
        </is>
      </c>
      <c r="B27" s="6">
        <f>B22+SUM(B23:B26)</f>
        <v/>
      </c>
      <c r="C27" s="6">
        <f>C22+SUM(C23:C26)</f>
        <v/>
      </c>
      <c r="D27" s="6">
        <f>D22+SUM(D23:D26)</f>
        <v/>
      </c>
      <c r="E27" s="6">
        <f>E22+SUM(E23:E26)</f>
        <v/>
      </c>
      <c r="F27" s="6">
        <f>F22+SUM(F23:F26)</f>
        <v/>
      </c>
      <c r="G27" s="6">
        <f>G22+SUM(G23:G26)</f>
        <v/>
      </c>
      <c r="H27" s="6">
        <f>H22+SUM(H23:H26)</f>
        <v/>
      </c>
      <c r="I27" s="6">
        <f>I22+SUM(I23:I26)</f>
        <v/>
      </c>
      <c r="J27" s="6">
        <f>J22+SUM(J23:J26)</f>
        <v/>
      </c>
      <c r="K27" s="6">
        <f>K22+SUM(K23:K26)</f>
        <v/>
      </c>
      <c r="L27" s="6">
        <f>L22+SUM(L23:L26)</f>
        <v/>
      </c>
      <c r="M27" s="6">
        <f>M22+SUM(M23:M26)</f>
        <v/>
      </c>
      <c r="N27" s="6">
        <f>N22+SUM(N23:N26)</f>
        <v/>
      </c>
      <c r="O27" s="6">
        <f>O22+SUM(O23:O26)</f>
        <v/>
      </c>
      <c r="P27" s="6">
        <f>P22+SUM(P23:P26)</f>
        <v/>
      </c>
      <c r="Q27" s="6">
        <f>Q22+SUM(Q23:Q26)</f>
        <v/>
      </c>
      <c r="R27" s="6">
        <f>R22+SUM(R23:R26)</f>
        <v/>
      </c>
      <c r="S27" s="6">
        <f>S22+SUM(S23:S26)</f>
        <v/>
      </c>
      <c r="T27" s="6">
        <f>T22+SUM(T23:T26)</f>
        <v/>
      </c>
      <c r="U27" s="6">
        <f>U22+SUM(U23:U26)</f>
        <v/>
      </c>
    </row>
    <row r="28">
      <c r="A28" s="3" t="inlineStr">
        <is>
          <t>Common Stock</t>
        </is>
      </c>
      <c r="B28" s="4" t="n">
        <v>3193</v>
      </c>
      <c r="C28" s="4" t="n">
        <v>3196</v>
      </c>
      <c r="D28" s="4" t="n">
        <v>3198</v>
      </c>
      <c r="E28" s="4" t="n">
        <v>3199</v>
      </c>
      <c r="F28" s="4" t="n">
        <v>3200</v>
      </c>
      <c r="G28" s="4" t="n">
        <v>3203</v>
      </c>
      <c r="H28" s="4" t="n">
        <v>3205</v>
      </c>
      <c r="I28" s="4" t="n">
        <v>3206</v>
      </c>
      <c r="J28" s="4" t="n">
        <v>6418</v>
      </c>
      <c r="K28" s="4" t="n">
        <v>5587</v>
      </c>
      <c r="L28" s="4" t="n">
        <v>5591</v>
      </c>
      <c r="M28" s="4" t="n">
        <v>5592</v>
      </c>
      <c r="N28" s="4" t="n">
        <v>5613</v>
      </c>
      <c r="O28" s="4" t="n">
        <v>5624</v>
      </c>
      <c r="P28" s="4" t="n">
        <v>5627</v>
      </c>
      <c r="Q28" s="4" t="n">
        <v>5628</v>
      </c>
      <c r="R28" s="4" t="n">
        <v>5632</v>
      </c>
      <c r="S28" s="4" t="n">
        <v>5643</v>
      </c>
      <c r="T28" s="4" t="n">
        <v>5650</v>
      </c>
      <c r="U28" s="4" t="n">
        <v>5655</v>
      </c>
    </row>
    <row r="29">
      <c r="A29" s="3" t="inlineStr">
        <is>
          <t>Additional Paid-in Capital</t>
        </is>
      </c>
      <c r="B29" s="4" t="n">
        <v>4537982</v>
      </c>
      <c r="C29" s="4" t="n">
        <v>4562689</v>
      </c>
      <c r="D29" s="4" t="n">
        <v>4597333</v>
      </c>
      <c r="E29" s="4" t="n">
        <v>4626299</v>
      </c>
      <c r="F29" s="4" t="n">
        <v>4652620</v>
      </c>
      <c r="G29" s="4" t="n">
        <v>4673302</v>
      </c>
      <c r="H29" s="4" t="n">
        <v>4707569</v>
      </c>
      <c r="I29" s="4" t="n">
        <v>4736141</v>
      </c>
      <c r="J29" s="4" t="n">
        <v>4776804</v>
      </c>
      <c r="K29" s="4" t="n">
        <v>4829301</v>
      </c>
      <c r="L29" s="4" t="n">
        <v>4869791</v>
      </c>
      <c r="M29" s="4" t="n">
        <v>4893289</v>
      </c>
      <c r="N29" s="4" t="n">
        <v>4975115</v>
      </c>
      <c r="O29" s="4" t="n">
        <v>5034948</v>
      </c>
      <c r="P29" s="4" t="n">
        <v>5068291</v>
      </c>
      <c r="Q29" s="4" t="n">
        <v>5105957</v>
      </c>
      <c r="R29" s="4" t="n">
        <v>5144922</v>
      </c>
      <c r="S29" s="4" t="n">
        <v>5213731</v>
      </c>
      <c r="T29" s="4" t="n">
        <v>5285157</v>
      </c>
      <c r="U29" s="4" t="n">
        <v>5343915</v>
      </c>
    </row>
    <row r="30">
      <c r="A30" s="3" t="inlineStr">
        <is>
          <t>Retained Earnings (Accumulated Deficit)</t>
        </is>
      </c>
      <c r="B30" s="4" t="n">
        <v>6432074</v>
      </c>
      <c r="C30" s="4" t="n">
        <v>6747268</v>
      </c>
      <c r="D30" s="4" t="n">
        <v>7151030</v>
      </c>
      <c r="E30" s="4" t="n">
        <v>7488235</v>
      </c>
      <c r="F30" s="4" t="n">
        <v>7809549</v>
      </c>
      <c r="G30" s="4" t="n">
        <v>8103752</v>
      </c>
      <c r="H30" s="4" t="n">
        <v>8377112</v>
      </c>
      <c r="I30" s="4" t="n">
        <v>8699499</v>
      </c>
      <c r="J30" s="4" t="n">
        <v>9001173</v>
      </c>
      <c r="K30" s="4" t="n">
        <v>4706192</v>
      </c>
      <c r="L30" s="4" t="n">
        <v>5120063</v>
      </c>
      <c r="M30" s="4" t="n">
        <v>5572757</v>
      </c>
      <c r="N30" s="4" t="n">
        <v>5939736</v>
      </c>
      <c r="O30" s="4" t="n">
        <v>6381785</v>
      </c>
      <c r="P30" s="4" t="n">
        <v>6807154</v>
      </c>
      <c r="Q30" s="4" t="n">
        <v>7178073</v>
      </c>
      <c r="R30" s="4" t="n">
        <v>7448784</v>
      </c>
      <c r="S30" s="4" t="n">
        <v>7891777</v>
      </c>
      <c r="T30" s="4" t="n">
        <v>8380571</v>
      </c>
      <c r="U30" s="4" t="n">
        <v>8905026</v>
      </c>
    </row>
    <row r="31">
      <c r="A31" s="3" t="inlineStr">
        <is>
          <t>Accumulated Other Comprehensive Income (Loss)</t>
        </is>
      </c>
      <c r="B31" s="4" t="n">
        <v>3034</v>
      </c>
      <c r="C31" s="4" t="n">
        <v>-24874</v>
      </c>
      <c r="D31" s="4" t="n">
        <v>-16822</v>
      </c>
      <c r="E31" s="4" t="n">
        <v>-43495</v>
      </c>
      <c r="F31" s="4" t="n">
        <v>-69165</v>
      </c>
      <c r="G31" s="4" t="n">
        <v>-72145</v>
      </c>
      <c r="H31" s="4" t="n">
        <v>-152957</v>
      </c>
      <c r="I31" s="4" t="n">
        <v>-224455</v>
      </c>
      <c r="J31" s="4" t="n">
        <v>-159073</v>
      </c>
      <c r="K31" s="4" t="n">
        <v>-147911</v>
      </c>
      <c r="L31" s="4" t="n">
        <v>-155725</v>
      </c>
      <c r="M31" s="4" t="n">
        <v>-198033</v>
      </c>
      <c r="N31" s="4" t="n">
        <v>-125337</v>
      </c>
      <c r="O31" s="4" t="n">
        <v>-157940</v>
      </c>
      <c r="P31" s="4" t="n">
        <v>-182304</v>
      </c>
      <c r="Q31" s="4" t="n">
        <v>-137842</v>
      </c>
      <c r="R31" s="4" t="n">
        <v>-269487</v>
      </c>
      <c r="S31" s="4" t="n">
        <v>-202946</v>
      </c>
      <c r="T31" s="4" t="n">
        <v>-91308</v>
      </c>
      <c r="U31" s="4" t="n">
        <v>-93382</v>
      </c>
    </row>
    <row r="32">
      <c r="A32" s="3" t="inlineStr">
        <is>
          <t>Treasury Stock</t>
        </is>
      </c>
      <c r="B32" s="4" t="n">
        <v>-5815423</v>
      </c>
      <c r="C32" s="4" t="n">
        <v>-5828842</v>
      </c>
      <c r="D32" s="4" t="n">
        <v>-5829241</v>
      </c>
      <c r="E32" s="4" t="n">
        <v>-5829241</v>
      </c>
      <c r="F32" s="4" t="n">
        <v>-5829253</v>
      </c>
      <c r="G32" s="4" t="n">
        <v>-5841440</v>
      </c>
      <c r="H32" s="4" t="n">
        <v>-6125751</v>
      </c>
      <c r="I32" s="4" t="n">
        <v>-6398631</v>
      </c>
      <c r="J32" s="4" t="n">
        <v>-6600281</v>
      </c>
      <c r="K32" s="4" t="n">
        <v>-1997809</v>
      </c>
      <c r="L32" s="4" t="n">
        <v>-1998256</v>
      </c>
      <c r="M32" s="4" t="n">
        <v>-2400456</v>
      </c>
      <c r="N32" s="4" t="n">
        <v>-2566383</v>
      </c>
      <c r="O32" s="4" t="n">
        <v>-2686628</v>
      </c>
      <c r="P32" s="4" t="n">
        <v>-5832445</v>
      </c>
      <c r="Q32" s="4" t="n">
        <v>-6372416</v>
      </c>
      <c r="R32" s="4" t="n">
        <v>-6372133</v>
      </c>
      <c r="S32" s="4" t="n">
        <v>-6388766</v>
      </c>
      <c r="T32" s="4" t="n">
        <v>-6388766</v>
      </c>
      <c r="U32" s="4" t="n">
        <v>-6416054</v>
      </c>
    </row>
    <row r="33">
      <c r="A33" s="3" t="inlineStr">
        <is>
          <t>Total Stockholders' Equity</t>
        </is>
      </c>
      <c r="B33" s="6">
        <f>SUM(B28:B32)</f>
        <v/>
      </c>
      <c r="C33" s="6">
        <f>SUM(C28:C32)</f>
        <v/>
      </c>
      <c r="D33" s="6">
        <f>SUM(D28:D32)</f>
        <v/>
      </c>
      <c r="E33" s="6">
        <f>SUM(E28:E32)</f>
        <v/>
      </c>
      <c r="F33" s="6">
        <f>SUM(F28:F32)</f>
        <v/>
      </c>
      <c r="G33" s="6">
        <f>SUM(G28:G32)</f>
        <v/>
      </c>
      <c r="H33" s="6">
        <f>SUM(H28:H32)</f>
        <v/>
      </c>
      <c r="I33" s="6">
        <f>SUM(I28:I32)</f>
        <v/>
      </c>
      <c r="J33" s="6">
        <f>SUM(J28:J32)</f>
        <v/>
      </c>
      <c r="K33" s="6">
        <f>SUM(K28:K32)</f>
        <v/>
      </c>
      <c r="L33" s="6">
        <f>SUM(L28:L32)</f>
        <v/>
      </c>
      <c r="M33" s="6">
        <f>SUM(M28:M32)</f>
        <v/>
      </c>
      <c r="N33" s="6">
        <f>SUM(N28:N32)</f>
        <v/>
      </c>
      <c r="O33" s="6">
        <f>SUM(O28:O32)</f>
        <v/>
      </c>
      <c r="P33" s="6">
        <f>SUM(P28:P32)</f>
        <v/>
      </c>
      <c r="Q33" s="6">
        <f>SUM(Q28:Q32)</f>
        <v/>
      </c>
      <c r="R33" s="6">
        <f>SUM(R28:R32)</f>
        <v/>
      </c>
      <c r="S33" s="6">
        <f>SUM(S28:S32)</f>
        <v/>
      </c>
      <c r="T33" s="6">
        <f>SUM(T28:T32)</f>
        <v/>
      </c>
      <c r="U33" s="6">
        <f>SUM(U28:U32)</f>
        <v/>
      </c>
    </row>
    <row r="34">
      <c r="A34" s="3" t="inlineStr">
        <is>
          <t>Total Liabilities, Mezzanine &amp; Stockholders' Equity</t>
        </is>
      </c>
      <c r="B34" s="6">
        <f>B27+B33</f>
        <v/>
      </c>
      <c r="C34" s="6">
        <f>C27+C33</f>
        <v/>
      </c>
      <c r="D34" s="6">
        <f>D27+D33</f>
        <v/>
      </c>
      <c r="E34" s="6">
        <f>E27+E33</f>
        <v/>
      </c>
      <c r="F34" s="6">
        <f>F27+F33</f>
        <v/>
      </c>
      <c r="G34" s="6">
        <f>G27+G33</f>
        <v/>
      </c>
      <c r="H34" s="6">
        <f>H27+H33</f>
        <v/>
      </c>
      <c r="I34" s="6">
        <f>I27+I33</f>
        <v/>
      </c>
      <c r="J34" s="6">
        <f>J27+J33</f>
        <v/>
      </c>
      <c r="K34" s="6">
        <f>K27+K33</f>
        <v/>
      </c>
      <c r="L34" s="6">
        <f>L27+L33</f>
        <v/>
      </c>
      <c r="M34" s="6">
        <f>M27+M33</f>
        <v/>
      </c>
      <c r="N34" s="6">
        <f>N27+N33</f>
        <v/>
      </c>
      <c r="O34" s="6">
        <f>O27+O33</f>
        <v/>
      </c>
      <c r="P34" s="6">
        <f>P27+P33</f>
        <v/>
      </c>
      <c r="Q34" s="6">
        <f>Q27+Q33</f>
        <v/>
      </c>
      <c r="R34" s="6">
        <f>R27+R33</f>
        <v/>
      </c>
      <c r="S34" s="6">
        <f>S27+S33</f>
        <v/>
      </c>
      <c r="T34" s="6">
        <f>T27+T33</f>
        <v/>
      </c>
      <c r="U34" s="6">
        <f>U27+U33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Q1 FY2021</t>
        </is>
      </c>
      <c r="F1" s="2" t="inlineStr">
        <is>
          <t>Q2 FY2021</t>
        </is>
      </c>
      <c r="G1" s="2" t="inlineStr">
        <is>
          <t>Q3 FY2021</t>
        </is>
      </c>
      <c r="H1" s="2" t="inlineStr">
        <is>
          <t>Q1 FY2022</t>
        </is>
      </c>
      <c r="I1" s="2" t="inlineStr">
        <is>
          <t>Q2 FY2022</t>
        </is>
      </c>
      <c r="J1" s="2" t="inlineStr">
        <is>
          <t>Q3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Q1 FY2024</t>
        </is>
      </c>
      <c r="O1" s="2" t="inlineStr">
        <is>
          <t>Q2 FY2024</t>
        </is>
      </c>
      <c r="P1" s="2" t="inlineStr">
        <is>
          <t>Q3 FY2024</t>
        </is>
      </c>
      <c r="Q1" s="2" t="inlineStr">
        <is>
          <t>Q1 FY2025</t>
        </is>
      </c>
      <c r="R1" s="2" t="inlineStr">
        <is>
          <t>Q2 FY2025</t>
        </is>
      </c>
      <c r="S1" s="2" t="inlineStr">
        <is>
          <t>Q3 FY2025</t>
        </is>
      </c>
    </row>
    <row r="2">
      <c r="A2" s="3" t="inlineStr">
        <is>
          <t>Net Income (Loss)</t>
        </is>
      </c>
      <c r="B2" s="4" t="n">
        <v>278835</v>
      </c>
      <c r="C2" s="4" t="n">
        <v>590204</v>
      </c>
      <c r="D2" s="4" t="n">
        <v>937858</v>
      </c>
      <c r="E2" s="4" t="n">
        <v>315194</v>
      </c>
      <c r="F2" s="4" t="n">
        <v>718956</v>
      </c>
      <c r="G2" s="4" t="n">
        <v>1056161</v>
      </c>
      <c r="H2" s="4" t="n">
        <v>294203</v>
      </c>
      <c r="I2" s="4" t="n">
        <v>567563</v>
      </c>
      <c r="J2" s="4" t="n">
        <v>889950</v>
      </c>
      <c r="K2" s="4" t="n">
        <v>397444</v>
      </c>
      <c r="L2" s="4" t="n">
        <v>811315</v>
      </c>
      <c r="M2" s="4" t="n">
        <v>1264009</v>
      </c>
      <c r="N2" s="4" t="n">
        <v>442049</v>
      </c>
      <c r="O2" s="4" t="n">
        <v>867418</v>
      </c>
      <c r="P2" s="4" t="n">
        <v>1238337</v>
      </c>
      <c r="Q2" s="4" t="n">
        <v>442993</v>
      </c>
      <c r="R2" s="4" t="n">
        <v>931787</v>
      </c>
      <c r="S2" s="4" t="n">
        <v>1456242</v>
      </c>
    </row>
    <row r="3">
      <c r="A3" s="3" t="inlineStr">
        <is>
          <t>Depreciation &amp; Amortization</t>
        </is>
      </c>
      <c r="B3" s="4" t="n">
        <v>16546</v>
      </c>
      <c r="C3" s="4" t="n">
        <v>32057</v>
      </c>
      <c r="D3" s="4" t="n">
        <v>45879</v>
      </c>
      <c r="E3" s="4" t="n">
        <v>13777</v>
      </c>
      <c r="F3" s="4" t="n">
        <v>27489</v>
      </c>
      <c r="G3" s="4" t="n">
        <v>40716</v>
      </c>
      <c r="H3" s="4" t="n">
        <v>14599</v>
      </c>
      <c r="I3" s="4" t="n">
        <v>30432</v>
      </c>
      <c r="J3" s="4" t="n">
        <v>46040</v>
      </c>
      <c r="K3" s="4" t="n">
        <v>16808</v>
      </c>
      <c r="L3" s="4" t="n">
        <v>32384</v>
      </c>
      <c r="M3" s="4" t="n">
        <v>50364</v>
      </c>
      <c r="N3" s="4" t="n">
        <v>20475</v>
      </c>
      <c r="O3" s="4" t="n">
        <v>39913</v>
      </c>
      <c r="P3" s="4" t="n">
        <v>59822</v>
      </c>
      <c r="Q3" s="4" t="n">
        <v>24848</v>
      </c>
      <c r="R3" s="4" t="n">
        <v>52405</v>
      </c>
      <c r="S3" s="4" t="n">
        <v>82023</v>
      </c>
    </row>
    <row r="4">
      <c r="A4" s="3" t="inlineStr">
        <is>
          <t>Non-Cash Lease Expense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1481</v>
      </c>
      <c r="I4" s="4" t="n">
        <v>3222</v>
      </c>
      <c r="J4" s="4" t="n">
        <v>5180</v>
      </c>
      <c r="K4" s="4" t="n">
        <v>2160</v>
      </c>
      <c r="L4" s="4" t="n">
        <v>2828</v>
      </c>
      <c r="M4" s="4" t="n">
        <v>6471</v>
      </c>
      <c r="N4" s="4" t="n">
        <v>3185</v>
      </c>
      <c r="O4" s="4" t="n">
        <v>6599</v>
      </c>
      <c r="P4" s="4" t="n">
        <v>9801</v>
      </c>
      <c r="Q4" s="4" t="n">
        <v>4014</v>
      </c>
      <c r="R4" s="4" t="n">
        <v>6966</v>
      </c>
      <c r="S4" s="4" t="n">
        <v>10266</v>
      </c>
    </row>
    <row r="5">
      <c r="A5" s="3" t="inlineStr">
        <is>
          <t>Gain (Loss) on Disposal of PP&amp;E</t>
        </is>
      </c>
      <c r="B5" s="4" t="n">
        <v>-58</v>
      </c>
      <c r="C5" s="4" t="n">
        <v>-179</v>
      </c>
      <c r="D5" s="4" t="n">
        <v>-210</v>
      </c>
      <c r="E5" s="4" t="n">
        <v>-88</v>
      </c>
      <c r="F5" s="4" t="n">
        <v>-822</v>
      </c>
      <c r="G5" s="4" t="n">
        <v>-984</v>
      </c>
      <c r="H5" s="4" t="n">
        <v>-6</v>
      </c>
      <c r="I5" s="4" t="n">
        <v>-69</v>
      </c>
      <c r="J5" s="4" t="n">
        <v>-253</v>
      </c>
      <c r="K5" s="4" t="n">
        <v>-385</v>
      </c>
      <c r="L5" s="4" t="n">
        <v>-767</v>
      </c>
      <c r="M5" s="4" t="n">
        <v>-686</v>
      </c>
      <c r="N5" s="4" t="n">
        <v>-177</v>
      </c>
      <c r="O5" s="4" t="n">
        <v>1849</v>
      </c>
      <c r="P5" s="4" t="n">
        <v>2070</v>
      </c>
      <c r="Q5" s="4" t="n">
        <v>324</v>
      </c>
      <c r="R5" s="4" t="n">
        <v>-641</v>
      </c>
      <c r="S5" s="4" t="n">
        <v>-916</v>
      </c>
    </row>
    <row r="6">
      <c r="A6" s="3" t="inlineStr">
        <is>
          <t>Gain on Bang Transaction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-45382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</row>
    <row r="7">
      <c r="A7" s="3" t="inlineStr">
        <is>
          <t>Impairment of Intangibles</t>
        </is>
      </c>
      <c r="B7" s="4" t="n">
        <v>3000</v>
      </c>
      <c r="C7" s="4" t="n">
        <v>4000</v>
      </c>
      <c r="D7" s="4" t="n">
        <v>7000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2800</v>
      </c>
      <c r="M7" s="4" t="n">
        <v>2800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</row>
    <row r="8">
      <c r="A8" s="3" t="inlineStr">
        <is>
          <t>Impairment of Long-Lived Assets (PP&amp;E)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6067</v>
      </c>
      <c r="P8" s="4" t="n">
        <v>6067</v>
      </c>
      <c r="Q8" s="4" t="n">
        <v>2279</v>
      </c>
      <c r="R8" s="4" t="n">
        <v>2279</v>
      </c>
      <c r="S8" s="4" t="n">
        <v>2279</v>
      </c>
    </row>
    <row r="9">
      <c r="A9" s="3" t="inlineStr">
        <is>
          <t>Stock-Based Compensation</t>
        </is>
      </c>
      <c r="B9" s="4" t="n">
        <v>17098</v>
      </c>
      <c r="C9" s="4" t="n">
        <v>33034</v>
      </c>
      <c r="D9" s="4" t="n">
        <v>53042</v>
      </c>
      <c r="E9" s="4" t="n">
        <v>18362</v>
      </c>
      <c r="F9" s="4" t="n">
        <v>35691</v>
      </c>
      <c r="G9" s="4" t="n">
        <v>52391</v>
      </c>
      <c r="H9" s="4" t="n">
        <v>16332</v>
      </c>
      <c r="I9" s="4" t="n">
        <v>32609</v>
      </c>
      <c r="J9" s="4" t="n">
        <v>49167</v>
      </c>
      <c r="K9" s="4" t="n">
        <v>16051</v>
      </c>
      <c r="L9" s="4" t="n">
        <v>34603</v>
      </c>
      <c r="M9" s="4" t="n">
        <v>52465</v>
      </c>
      <c r="N9" s="4" t="n">
        <v>22472</v>
      </c>
      <c r="O9" s="4" t="n">
        <v>41262</v>
      </c>
      <c r="P9" s="4" t="n">
        <v>68793</v>
      </c>
      <c r="Q9" s="4" t="n">
        <v>20727</v>
      </c>
      <c r="R9" s="4" t="n">
        <v>53854</v>
      </c>
      <c r="S9" s="4" t="n">
        <v>86664</v>
      </c>
    </row>
    <row r="10">
      <c r="A10" s="3" t="inlineStr">
        <is>
          <t>(Benefit) Provision for Deferred Income Taxes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353</v>
      </c>
      <c r="G10" s="4" t="n">
        <v>353</v>
      </c>
      <c r="H10" s="4" t="n">
        <v>0</v>
      </c>
      <c r="I10" s="4" t="n">
        <v>21934</v>
      </c>
      <c r="J10" s="4" t="n">
        <v>29710</v>
      </c>
      <c r="K10" s="4" t="n">
        <v>0</v>
      </c>
      <c r="L10" s="4" t="n">
        <v>0</v>
      </c>
      <c r="M10" s="4" t="n">
        <v>0</v>
      </c>
      <c r="N10" s="4" t="n">
        <v>9</v>
      </c>
      <c r="O10" s="4" t="n">
        <v>-13294</v>
      </c>
      <c r="P10" s="4" t="n">
        <v>-10242</v>
      </c>
      <c r="Q10" s="4" t="n">
        <v>135</v>
      </c>
      <c r="R10" s="4" t="n">
        <v>646</v>
      </c>
      <c r="S10" s="4" t="n">
        <v>455</v>
      </c>
    </row>
    <row r="11">
      <c r="A11" s="3" t="inlineStr">
        <is>
          <t>Accounts Receivable</t>
        </is>
      </c>
      <c r="B11" s="4" t="n">
        <v>-147660</v>
      </c>
      <c r="C11" s="4" t="n">
        <v>-231782</v>
      </c>
      <c r="D11" s="4" t="n">
        <v>-201677</v>
      </c>
      <c r="E11" s="4" t="n">
        <v>-147544</v>
      </c>
      <c r="F11" s="4" t="n">
        <v>-239700</v>
      </c>
      <c r="G11" s="4" t="n">
        <v>-199709</v>
      </c>
      <c r="H11" s="4" t="n">
        <v>-134433</v>
      </c>
      <c r="I11" s="4" t="n">
        <v>-289236</v>
      </c>
      <c r="J11" s="4" t="n">
        <v>-202447</v>
      </c>
      <c r="K11" s="4" t="n">
        <v>-167512</v>
      </c>
      <c r="L11" s="4" t="n">
        <v>-317808</v>
      </c>
      <c r="M11" s="4" t="n">
        <v>-218804</v>
      </c>
      <c r="N11" s="4" t="n">
        <v>-195081</v>
      </c>
      <c r="O11" s="4" t="n">
        <v>-197227</v>
      </c>
      <c r="P11" s="4" t="n">
        <v>-106404</v>
      </c>
      <c r="Q11" s="4" t="n">
        <v>-109557</v>
      </c>
      <c r="R11" s="4" t="n">
        <v>-222239</v>
      </c>
      <c r="S11" s="4" t="n">
        <v>-299139</v>
      </c>
    </row>
    <row r="12">
      <c r="A12" s="3" t="inlineStr">
        <is>
          <t>Distributor Receivables</t>
        </is>
      </c>
      <c r="B12" s="4" t="n">
        <v>176</v>
      </c>
      <c r="C12" s="4" t="n">
        <v>188</v>
      </c>
      <c r="D12" s="4" t="n">
        <v>341</v>
      </c>
      <c r="E12" s="4" t="n">
        <v>92</v>
      </c>
      <c r="F12" s="4" t="n">
        <v>160</v>
      </c>
      <c r="G12" s="4" t="n">
        <v>228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</row>
    <row r="13">
      <c r="A13" s="3" t="inlineStr">
        <is>
          <t>Inventories</t>
        </is>
      </c>
      <c r="B13" s="4" t="n">
        <v>1037</v>
      </c>
      <c r="C13" s="4" t="n">
        <v>14181</v>
      </c>
      <c r="D13" s="4" t="n">
        <v>39490</v>
      </c>
      <c r="E13" s="4" t="n">
        <v>-39546</v>
      </c>
      <c r="F13" s="4" t="n">
        <v>-52541</v>
      </c>
      <c r="G13" s="4" t="n">
        <v>-149414</v>
      </c>
      <c r="H13" s="4" t="n">
        <v>-208673</v>
      </c>
      <c r="I13" s="4" t="n">
        <v>-299076</v>
      </c>
      <c r="J13" s="4" t="n">
        <v>-297140</v>
      </c>
      <c r="K13" s="4" t="n">
        <v>35495</v>
      </c>
      <c r="L13" s="4" t="n">
        <v>93077</v>
      </c>
      <c r="M13" s="4" t="n">
        <v>69796</v>
      </c>
      <c r="N13" s="4" t="n">
        <v>22708</v>
      </c>
      <c r="O13" s="4" t="n">
        <v>123484</v>
      </c>
      <c r="P13" s="4" t="n">
        <v>197107</v>
      </c>
      <c r="Q13" s="4" t="n">
        <v>19594</v>
      </c>
      <c r="R13" s="4" t="n">
        <v>104633</v>
      </c>
      <c r="S13" s="4" t="n">
        <v>58387</v>
      </c>
    </row>
    <row r="14">
      <c r="A14" s="3" t="inlineStr">
        <is>
          <t>Prepaid Expenses</t>
        </is>
      </c>
      <c r="B14" s="4" t="n">
        <v>-18081</v>
      </c>
      <c r="C14" s="4" t="n">
        <v>-23394</v>
      </c>
      <c r="D14" s="4" t="n">
        <v>-20446</v>
      </c>
      <c r="E14" s="4" t="n">
        <v>-18487</v>
      </c>
      <c r="F14" s="4" t="n">
        <v>-28232</v>
      </c>
      <c r="G14" s="4" t="n">
        <v>-41162</v>
      </c>
      <c r="H14" s="4" t="n">
        <v>-29621</v>
      </c>
      <c r="I14" s="4" t="n">
        <v>-55663</v>
      </c>
      <c r="J14" s="4" t="n">
        <v>-39204</v>
      </c>
      <c r="K14" s="4" t="n">
        <v>1273</v>
      </c>
      <c r="L14" s="4" t="n">
        <v>-36779</v>
      </c>
      <c r="M14" s="4" t="n">
        <v>-67368</v>
      </c>
      <c r="N14" s="4" t="n">
        <v>-9507</v>
      </c>
      <c r="O14" s="4" t="n">
        <v>-13993</v>
      </c>
      <c r="P14" s="4" t="n">
        <v>-5861</v>
      </c>
      <c r="Q14" s="4" t="n">
        <v>-3995</v>
      </c>
      <c r="R14" s="4" t="n">
        <v>-63675</v>
      </c>
      <c r="S14" s="4" t="n">
        <v>-66269</v>
      </c>
    </row>
    <row r="15">
      <c r="A15" s="3" t="inlineStr">
        <is>
          <t>Change in Prepaid Income Taxes</t>
        </is>
      </c>
      <c r="B15" s="4" t="n">
        <v>8078</v>
      </c>
      <c r="C15" s="4" t="n">
        <v>7245</v>
      </c>
      <c r="D15" s="4" t="n">
        <v>11460</v>
      </c>
      <c r="E15" s="4" t="n">
        <v>-7076</v>
      </c>
      <c r="F15" s="4" t="n">
        <v>2452</v>
      </c>
      <c r="G15" s="4" t="n">
        <v>-7365</v>
      </c>
      <c r="H15" s="4" t="n">
        <v>-5885</v>
      </c>
      <c r="I15" s="4" t="n">
        <v>-1220</v>
      </c>
      <c r="J15" s="4" t="n">
        <v>7867</v>
      </c>
      <c r="K15" s="4" t="n">
        <v>3986</v>
      </c>
      <c r="L15" s="4" t="n">
        <v>-3345</v>
      </c>
      <c r="M15" s="4" t="n">
        <v>8032</v>
      </c>
      <c r="N15" s="4" t="n">
        <v>11840</v>
      </c>
      <c r="O15" s="4" t="n">
        <v>-12297</v>
      </c>
      <c r="P15" s="4" t="n">
        <v>-39668</v>
      </c>
      <c r="Q15" s="4" t="n">
        <v>11912</v>
      </c>
      <c r="R15" s="4" t="n">
        <v>14512</v>
      </c>
      <c r="S15" s="4" t="n">
        <v>14043</v>
      </c>
    </row>
    <row r="16">
      <c r="A16" s="3" t="inlineStr">
        <is>
          <t>Accounts Payable</t>
        </is>
      </c>
      <c r="B16" s="4" t="n">
        <v>19328</v>
      </c>
      <c r="C16" s="4" t="n">
        <v>-6772</v>
      </c>
      <c r="D16" s="4" t="n">
        <v>-9724</v>
      </c>
      <c r="E16" s="4" t="n">
        <v>36859</v>
      </c>
      <c r="F16" s="4" t="n">
        <v>63619</v>
      </c>
      <c r="G16" s="4" t="n">
        <v>106570</v>
      </c>
      <c r="H16" s="4" t="n">
        <v>18329</v>
      </c>
      <c r="I16" s="4" t="n">
        <v>85499</v>
      </c>
      <c r="J16" s="4" t="n">
        <v>52663</v>
      </c>
      <c r="K16" s="4" t="n">
        <v>51124</v>
      </c>
      <c r="L16" s="4" t="n">
        <v>132173</v>
      </c>
      <c r="M16" s="4" t="n">
        <v>109823</v>
      </c>
      <c r="N16" s="4" t="n">
        <v>-9062</v>
      </c>
      <c r="O16" s="4" t="n">
        <v>-33505</v>
      </c>
      <c r="P16" s="4" t="n">
        <v>-14346</v>
      </c>
      <c r="Q16" s="4" t="n">
        <v>11768</v>
      </c>
      <c r="R16" s="4" t="n">
        <v>4333</v>
      </c>
      <c r="S16" s="4" t="n">
        <v>148575</v>
      </c>
    </row>
    <row r="17">
      <c r="A17" s="3" t="inlineStr">
        <is>
          <t>Accrued Expenses</t>
        </is>
      </c>
      <c r="B17" s="4" t="n">
        <v>34500</v>
      </c>
      <c r="C17" s="4" t="n">
        <v>31691</v>
      </c>
      <c r="D17" s="4" t="n">
        <v>53501</v>
      </c>
      <c r="E17" s="4" t="n">
        <v>32441</v>
      </c>
      <c r="F17" s="4" t="n">
        <v>29883</v>
      </c>
      <c r="G17" s="4" t="n">
        <v>34085</v>
      </c>
      <c r="H17" s="4" t="n">
        <v>20603</v>
      </c>
      <c r="I17" s="4" t="n">
        <v>-789</v>
      </c>
      <c r="J17" s="4" t="n">
        <v>-2572</v>
      </c>
      <c r="K17" s="4" t="n">
        <v>14207</v>
      </c>
      <c r="L17" s="4" t="n">
        <v>20491</v>
      </c>
      <c r="M17" s="4" t="n">
        <v>24697</v>
      </c>
      <c r="N17" s="4" t="n">
        <v>28259</v>
      </c>
      <c r="O17" s="4" t="n">
        <v>2715</v>
      </c>
      <c r="P17" s="4" t="n">
        <v>46749</v>
      </c>
      <c r="Q17" s="4" t="n">
        <v>33661</v>
      </c>
      <c r="R17" s="4" t="n">
        <v>28510</v>
      </c>
      <c r="S17" s="4" t="n">
        <v>98535</v>
      </c>
    </row>
    <row r="18">
      <c r="A18" s="3" t="inlineStr">
        <is>
          <t>Accrued Promotional Allowance</t>
        </is>
      </c>
      <c r="B18" s="4" t="n">
        <v>9439</v>
      </c>
      <c r="C18" s="4" t="n">
        <v>3079</v>
      </c>
      <c r="D18" s="4" t="n">
        <v>31915</v>
      </c>
      <c r="E18" s="4" t="n">
        <v>13965</v>
      </c>
      <c r="F18" s="4" t="n">
        <v>42665</v>
      </c>
      <c r="G18" s="4" t="n">
        <v>51022</v>
      </c>
      <c r="H18" s="4" t="n">
        <v>61171</v>
      </c>
      <c r="I18" s="4" t="n">
        <v>77746</v>
      </c>
      <c r="J18" s="4" t="n">
        <v>89236</v>
      </c>
      <c r="K18" s="4" t="n">
        <v>48265</v>
      </c>
      <c r="L18" s="4" t="n">
        <v>23643</v>
      </c>
      <c r="M18" s="4" t="n">
        <v>42425</v>
      </c>
      <c r="N18" s="4" t="n">
        <v>52814</v>
      </c>
      <c r="O18" s="4" t="n">
        <v>54242</v>
      </c>
      <c r="P18" s="4" t="n">
        <v>31492</v>
      </c>
      <c r="Q18" s="4" t="n">
        <v>30785</v>
      </c>
      <c r="R18" s="4" t="n">
        <v>71516</v>
      </c>
      <c r="S18" s="4" t="n">
        <v>105806</v>
      </c>
    </row>
    <row r="19">
      <c r="A19" s="3" t="inlineStr">
        <is>
          <t>Accrued Distributor Terminations</t>
        </is>
      </c>
      <c r="B19" s="4" t="n">
        <v>-282</v>
      </c>
      <c r="C19" s="4" t="n">
        <v>-140</v>
      </c>
      <c r="D19" s="4" t="n">
        <v>-150</v>
      </c>
      <c r="E19" s="4" t="n">
        <v>0</v>
      </c>
      <c r="F19" s="4" t="n">
        <v>0</v>
      </c>
      <c r="G19" s="4" t="n">
        <v>5302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</row>
    <row r="20">
      <c r="A20" s="3" t="inlineStr">
        <is>
          <t>Change in Accrued Compensation</t>
        </is>
      </c>
      <c r="B20" s="4" t="n">
        <v>-24807</v>
      </c>
      <c r="C20" s="4" t="n">
        <v>-10932</v>
      </c>
      <c r="D20" s="4" t="n">
        <v>-1214</v>
      </c>
      <c r="E20" s="4" t="n">
        <v>-24443</v>
      </c>
      <c r="F20" s="4" t="n">
        <v>-10782</v>
      </c>
      <c r="G20" s="4" t="n">
        <v>-2888</v>
      </c>
      <c r="H20" s="4" t="n">
        <v>-32122</v>
      </c>
      <c r="I20" s="4" t="n">
        <v>-15311</v>
      </c>
      <c r="J20" s="4" t="n">
        <v>-6636</v>
      </c>
      <c r="K20" s="4" t="n">
        <v>-30261</v>
      </c>
      <c r="L20" s="4" t="n">
        <v>-17616</v>
      </c>
      <c r="M20" s="4" t="n">
        <v>3523</v>
      </c>
      <c r="N20" s="4" t="n">
        <v>-35653</v>
      </c>
      <c r="O20" s="4" t="n">
        <v>-26954</v>
      </c>
      <c r="P20" s="4" t="n">
        <v>-6043</v>
      </c>
      <c r="Q20" s="4" t="n">
        <v>-37338</v>
      </c>
      <c r="R20" s="4" t="n">
        <v>-22146</v>
      </c>
      <c r="S20" s="4" t="n">
        <v>6434</v>
      </c>
    </row>
    <row r="21">
      <c r="A21" s="3" t="inlineStr">
        <is>
          <t>Other Current Liabilities</t>
        </is>
      </c>
      <c r="B21" s="4" t="n">
        <v>-1552</v>
      </c>
      <c r="C21" s="4" t="n">
        <v>8278</v>
      </c>
      <c r="D21" s="4" t="n">
        <v>17969</v>
      </c>
      <c r="E21" s="4" t="n">
        <v>-13287</v>
      </c>
      <c r="F21" s="4" t="n">
        <v>7696</v>
      </c>
      <c r="G21" s="4" t="n">
        <v>-114</v>
      </c>
      <c r="H21" s="4" t="n">
        <v>-9818</v>
      </c>
      <c r="I21" s="4" t="n">
        <v>-14666</v>
      </c>
      <c r="J21" s="4" t="n">
        <v>-12823</v>
      </c>
      <c r="K21" s="4" t="n">
        <v>41617</v>
      </c>
      <c r="L21" s="4" t="n">
        <v>-1219</v>
      </c>
      <c r="M21" s="4" t="n">
        <v>4217</v>
      </c>
      <c r="N21" s="4" t="n">
        <v>60512</v>
      </c>
      <c r="O21" s="4" t="n">
        <v>11348</v>
      </c>
      <c r="P21" s="4" t="n">
        <v>4213</v>
      </c>
      <c r="Q21" s="4" t="n">
        <v>61674</v>
      </c>
      <c r="R21" s="4" t="n">
        <v>21056</v>
      </c>
      <c r="S21" s="4" t="n">
        <v>33361</v>
      </c>
    </row>
    <row r="22">
      <c r="A22" s="3" t="inlineStr">
        <is>
          <t>Net Change in Other Working Capital</t>
        </is>
      </c>
      <c r="B22" s="4" t="n">
        <v>-192</v>
      </c>
      <c r="C22" s="4" t="n">
        <v>83</v>
      </c>
      <c r="D22" s="4" t="n">
        <v>-562</v>
      </c>
      <c r="E22" s="4" t="n">
        <v>504</v>
      </c>
      <c r="F22" s="4" t="n">
        <v>621</v>
      </c>
      <c r="G22" s="4" t="n">
        <v>574</v>
      </c>
      <c r="H22" s="4" t="n">
        <v>-596</v>
      </c>
      <c r="I22" s="4" t="n">
        <v>-3211</v>
      </c>
      <c r="J22" s="4" t="n">
        <v>-3492</v>
      </c>
      <c r="K22" s="4" t="n">
        <v>-751</v>
      </c>
      <c r="L22" s="4" t="n">
        <v>-257</v>
      </c>
      <c r="M22" s="4" t="n">
        <v>-3636</v>
      </c>
      <c r="N22" s="4" t="n">
        <v>335</v>
      </c>
      <c r="O22" s="4" t="n">
        <v>-1463</v>
      </c>
      <c r="P22" s="4" t="n">
        <v>-2403</v>
      </c>
      <c r="Q22" s="4" t="n">
        <v>-1885</v>
      </c>
      <c r="R22" s="4" t="n">
        <v>-1582</v>
      </c>
      <c r="S22" s="4" t="n">
        <v>-2077</v>
      </c>
    </row>
    <row r="23">
      <c r="A23" s="3" t="inlineStr">
        <is>
          <t>Deferred Revenue</t>
        </is>
      </c>
      <c r="B23" s="4" t="n">
        <v>-4273</v>
      </c>
      <c r="C23" s="4" t="n">
        <v>-10383</v>
      </c>
      <c r="D23" s="4" t="n">
        <v>-15236</v>
      </c>
      <c r="E23" s="4" t="n">
        <v>-5250</v>
      </c>
      <c r="F23" s="4" t="n">
        <v>-10922</v>
      </c>
      <c r="G23" s="4" t="n">
        <v>-17784</v>
      </c>
      <c r="H23" s="4" t="n">
        <v>-5915</v>
      </c>
      <c r="I23" s="4" t="n">
        <v>-9101</v>
      </c>
      <c r="J23" s="4" t="n">
        <v>-16060</v>
      </c>
      <c r="K23" s="4" t="n">
        <v>-5046</v>
      </c>
      <c r="L23" s="4" t="n">
        <v>-12361</v>
      </c>
      <c r="M23" s="4" t="n">
        <v>-19320</v>
      </c>
      <c r="N23" s="4" t="n">
        <v>-3036</v>
      </c>
      <c r="O23" s="4" t="n">
        <v>-7731</v>
      </c>
      <c r="P23" s="4" t="n">
        <v>-12652</v>
      </c>
      <c r="Q23" s="4" t="n">
        <v>-4339</v>
      </c>
      <c r="R23" s="4" t="n">
        <v>-8598</v>
      </c>
      <c r="S23" s="4" t="n">
        <v>-15907</v>
      </c>
    </row>
    <row r="24">
      <c r="A24" s="3" t="inlineStr">
        <is>
          <t>Cash Flow from Operations</t>
        </is>
      </c>
      <c r="B24" s="6">
        <f>SUM(B2:B23)</f>
        <v/>
      </c>
      <c r="C24" s="6">
        <f>SUM(C2:C23)</f>
        <v/>
      </c>
      <c r="D24" s="6">
        <f>SUM(D2:D23)</f>
        <v/>
      </c>
      <c r="E24" s="6">
        <f>SUM(E2:E23)</f>
        <v/>
      </c>
      <c r="F24" s="6">
        <f>SUM(F2:F23)</f>
        <v/>
      </c>
      <c r="G24" s="6">
        <f>SUM(G2:G23)</f>
        <v/>
      </c>
      <c r="H24" s="6">
        <f>SUM(H2:H23)</f>
        <v/>
      </c>
      <c r="I24" s="6">
        <f>SUM(I2:I23)</f>
        <v/>
      </c>
      <c r="J24" s="6">
        <f>SUM(J2:J23)</f>
        <v/>
      </c>
      <c r="K24" s="6">
        <f>SUM(K2:K23)</f>
        <v/>
      </c>
      <c r="L24" s="6">
        <f>SUM(L2:L23)</f>
        <v/>
      </c>
      <c r="M24" s="6">
        <f>SUM(M2:M23)</f>
        <v/>
      </c>
      <c r="N24" s="6">
        <f>SUM(N2:N23)</f>
        <v/>
      </c>
      <c r="O24" s="6">
        <f>SUM(O2:O23)</f>
        <v/>
      </c>
      <c r="P24" s="6">
        <f>SUM(P2:P23)</f>
        <v/>
      </c>
      <c r="Q24" s="6">
        <f>SUM(Q2:Q23)</f>
        <v/>
      </c>
      <c r="R24" s="6">
        <f>SUM(R2:R23)</f>
        <v/>
      </c>
      <c r="S24" s="6">
        <f>SUM(S2:S23)</f>
        <v/>
      </c>
    </row>
    <row r="25">
      <c r="A25" s="3" t="inlineStr">
        <is>
          <t>Net Change in Long-Term Investments</t>
        </is>
      </c>
      <c r="B25" s="4" t="n">
        <v>298837</v>
      </c>
      <c r="C25" s="4" t="n">
        <v>293643</v>
      </c>
      <c r="D25" s="4" t="n">
        <v>-53418</v>
      </c>
      <c r="E25" s="4" t="n">
        <v>-114819</v>
      </c>
      <c r="F25" s="4" t="n">
        <v>-134502</v>
      </c>
      <c r="G25" s="4" t="n">
        <v>-326795</v>
      </c>
      <c r="H25" s="4" t="n">
        <v>62883</v>
      </c>
      <c r="I25" s="4" t="n">
        <v>445440</v>
      </c>
      <c r="J25" s="4" t="n">
        <v>430033</v>
      </c>
      <c r="K25" s="4" t="n">
        <v>3750</v>
      </c>
      <c r="L25" s="4" t="n">
        <v>-53323</v>
      </c>
      <c r="M25" s="4" t="n">
        <v>140805</v>
      </c>
      <c r="N25" s="4" t="n">
        <v>39897</v>
      </c>
      <c r="O25" s="4" t="n">
        <v>1035794</v>
      </c>
      <c r="P25" s="4" t="n">
        <v>1035794</v>
      </c>
      <c r="Q25" s="4" t="n">
        <v>0</v>
      </c>
      <c r="R25" s="4" t="n">
        <v>-283097</v>
      </c>
      <c r="S25" s="4" t="n">
        <v>-597703</v>
      </c>
    </row>
    <row r="26">
      <c r="A26" s="3" t="inlineStr">
        <is>
          <t>Acquisition of CANarchy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-330356</v>
      </c>
      <c r="I26" s="4" t="n">
        <v>-329472</v>
      </c>
      <c r="J26" s="4" t="n">
        <v>-329472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</row>
    <row r="27">
      <c r="A27" s="3" t="inlineStr">
        <is>
          <t>Acquisition of Monster Brewing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</row>
    <row r="28">
      <c r="A28" s="3" t="inlineStr">
        <is>
          <t>Acquisition of Bang Energy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-363385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</row>
    <row r="29">
      <c r="A29" s="3" t="inlineStr">
        <is>
          <t>Purchase of PP&amp;E</t>
        </is>
      </c>
      <c r="B29" s="4" t="n">
        <v>-11119</v>
      </c>
      <c r="C29" s="4" t="n">
        <v>-29116</v>
      </c>
      <c r="D29" s="4" t="n">
        <v>-42062</v>
      </c>
      <c r="E29" s="4" t="n">
        <v>-8400</v>
      </c>
      <c r="F29" s="4" t="n">
        <v>-15522</v>
      </c>
      <c r="G29" s="4" t="n">
        <v>-28131</v>
      </c>
      <c r="H29" s="4" t="n">
        <v>-21511</v>
      </c>
      <c r="I29" s="4" t="n">
        <v>-99446</v>
      </c>
      <c r="J29" s="4" t="n">
        <v>-136158</v>
      </c>
      <c r="K29" s="4" t="n">
        <v>-40100</v>
      </c>
      <c r="L29" s="4" t="n">
        <v>-82425</v>
      </c>
      <c r="M29" s="4" t="n">
        <v>-110224</v>
      </c>
      <c r="N29" s="4" t="n">
        <v>-66044</v>
      </c>
      <c r="O29" s="4" t="n">
        <v>-125812</v>
      </c>
      <c r="P29" s="4" t="n">
        <v>-172795</v>
      </c>
      <c r="Q29" s="4" t="n">
        <v>-29056</v>
      </c>
      <c r="R29" s="4" t="n">
        <v>-60460</v>
      </c>
      <c r="S29" s="4" t="n">
        <v>-104101</v>
      </c>
    </row>
    <row r="30">
      <c r="A30" s="3" t="inlineStr">
        <is>
          <t>Proceeds from Sale of Assets</t>
        </is>
      </c>
      <c r="B30" s="4" t="n">
        <v>217</v>
      </c>
      <c r="C30" s="4" t="n">
        <v>590</v>
      </c>
      <c r="D30" s="4" t="n">
        <v>880</v>
      </c>
      <c r="E30" s="4" t="n">
        <v>231</v>
      </c>
      <c r="F30" s="4" t="n">
        <v>1024</v>
      </c>
      <c r="G30" s="4" t="n">
        <v>1246</v>
      </c>
      <c r="H30" s="4" t="n">
        <v>14</v>
      </c>
      <c r="I30" s="4" t="n">
        <v>372</v>
      </c>
      <c r="J30" s="4" t="n">
        <v>603</v>
      </c>
      <c r="K30" s="4" t="n">
        <v>564</v>
      </c>
      <c r="L30" s="4" t="n">
        <v>1035</v>
      </c>
      <c r="M30" s="4" t="n">
        <v>1753</v>
      </c>
      <c r="N30" s="4" t="n">
        <v>422</v>
      </c>
      <c r="O30" s="4" t="n">
        <v>1052</v>
      </c>
      <c r="P30" s="4" t="n">
        <v>2095</v>
      </c>
      <c r="Q30" s="4" t="n">
        <v>1147</v>
      </c>
      <c r="R30" s="4" t="n">
        <v>2334</v>
      </c>
      <c r="S30" s="4" t="n">
        <v>2744</v>
      </c>
    </row>
    <row r="31">
      <c r="A31" s="3" t="inlineStr">
        <is>
          <t>Additions to Intangibles</t>
        </is>
      </c>
      <c r="B31" s="4" t="n">
        <v>-6811</v>
      </c>
      <c r="C31" s="4" t="n">
        <v>-13085</v>
      </c>
      <c r="D31" s="4" t="n">
        <v>-19686</v>
      </c>
      <c r="E31" s="4" t="n">
        <v>-7239</v>
      </c>
      <c r="F31" s="4" t="n">
        <v>-9926</v>
      </c>
      <c r="G31" s="4" t="n">
        <v>-5211</v>
      </c>
      <c r="H31" s="4" t="n">
        <v>-8419</v>
      </c>
      <c r="I31" s="4" t="n">
        <v>-9894</v>
      </c>
      <c r="J31" s="4" t="n">
        <v>-3578</v>
      </c>
      <c r="K31" s="4" t="n">
        <v>-3952</v>
      </c>
      <c r="L31" s="4" t="n">
        <v>-5926</v>
      </c>
      <c r="M31" s="4" t="n">
        <v>-9110</v>
      </c>
      <c r="N31" s="4" t="n">
        <v>-8612</v>
      </c>
      <c r="O31" s="4" t="n">
        <v>-6364</v>
      </c>
      <c r="P31" s="4" t="n">
        <v>-21473</v>
      </c>
      <c r="Q31" s="4" t="n">
        <v>-5343</v>
      </c>
      <c r="R31" s="4" t="n">
        <v>-15399</v>
      </c>
      <c r="S31" s="4" t="n">
        <v>-19681</v>
      </c>
    </row>
    <row r="32">
      <c r="A32" s="3" t="inlineStr">
        <is>
          <t>Other Investing Activities</t>
        </is>
      </c>
      <c r="B32" s="4" t="n">
        <v>-1148</v>
      </c>
      <c r="C32" s="4" t="n">
        <v>-1338</v>
      </c>
      <c r="D32" s="4" t="n">
        <v>-26228</v>
      </c>
      <c r="E32" s="4" t="n">
        <v>-18856</v>
      </c>
      <c r="F32" s="4" t="n">
        <v>-21236</v>
      </c>
      <c r="G32" s="4" t="n">
        <v>-22809</v>
      </c>
      <c r="H32" s="4" t="n">
        <v>-6241</v>
      </c>
      <c r="I32" s="4" t="n">
        <v>-12738</v>
      </c>
      <c r="J32" s="4" t="n">
        <v>-19171</v>
      </c>
      <c r="K32" s="4" t="n">
        <v>-13028</v>
      </c>
      <c r="L32" s="4" t="n">
        <v>-17570</v>
      </c>
      <c r="M32" s="4" t="n">
        <v>-19862</v>
      </c>
      <c r="N32" s="4" t="n">
        <v>-985</v>
      </c>
      <c r="O32" s="4" t="n">
        <v>-1366</v>
      </c>
      <c r="P32" s="4" t="n">
        <v>-603</v>
      </c>
      <c r="Q32" s="4" t="n">
        <v>2397</v>
      </c>
      <c r="R32" s="4" t="n">
        <v>-1107</v>
      </c>
      <c r="S32" s="4" t="n">
        <v>-507</v>
      </c>
    </row>
    <row r="33">
      <c r="A33" s="3" t="inlineStr">
        <is>
          <t>Cash Flow from Investing</t>
        </is>
      </c>
      <c r="B33" s="6">
        <f>SUM(B25:B32)</f>
        <v/>
      </c>
      <c r="C33" s="6">
        <f>SUM(C25:C32)</f>
        <v/>
      </c>
      <c r="D33" s="6">
        <f>SUM(D25:D32)</f>
        <v/>
      </c>
      <c r="E33" s="6">
        <f>SUM(E25:E32)</f>
        <v/>
      </c>
      <c r="F33" s="6">
        <f>SUM(F25:F32)</f>
        <v/>
      </c>
      <c r="G33" s="6">
        <f>SUM(G25:G32)</f>
        <v/>
      </c>
      <c r="H33" s="6">
        <f>SUM(H25:H32)</f>
        <v/>
      </c>
      <c r="I33" s="6">
        <f>SUM(I25:I32)</f>
        <v/>
      </c>
      <c r="J33" s="6">
        <f>SUM(J25:J32)</f>
        <v/>
      </c>
      <c r="K33" s="6">
        <f>SUM(K25:K32)</f>
        <v/>
      </c>
      <c r="L33" s="6">
        <f>SUM(L25:L32)</f>
        <v/>
      </c>
      <c r="M33" s="6">
        <f>SUM(M25:M32)</f>
        <v/>
      </c>
      <c r="N33" s="6">
        <f>SUM(N25:N32)</f>
        <v/>
      </c>
      <c r="O33" s="6">
        <f>SUM(O25:O32)</f>
        <v/>
      </c>
      <c r="P33" s="6">
        <f>SUM(P25:P32)</f>
        <v/>
      </c>
      <c r="Q33" s="6">
        <f>SUM(Q25:Q32)</f>
        <v/>
      </c>
      <c r="R33" s="6">
        <f>SUM(R25:R32)</f>
        <v/>
      </c>
      <c r="S33" s="6">
        <f>SUM(S25:S32)</f>
        <v/>
      </c>
    </row>
    <row r="34">
      <c r="A34" s="3" t="inlineStr">
        <is>
          <t>Repayments of Short-Term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-5269</v>
      </c>
      <c r="P34" s="4" t="n">
        <v>-6717</v>
      </c>
      <c r="Q34" s="4" t="n">
        <v>0</v>
      </c>
      <c r="R34" s="4" t="n">
        <v>0</v>
      </c>
      <c r="S34" s="4" t="n">
        <v>0</v>
      </c>
    </row>
    <row r="35">
      <c r="A35" s="3" t="inlineStr">
        <is>
          <t>Net Change in Other Short-Term Debt</t>
        </is>
      </c>
      <c r="B35" s="4" t="n">
        <v>-733</v>
      </c>
      <c r="C35" s="4" t="n">
        <v>-1680</v>
      </c>
      <c r="D35" s="4" t="n">
        <v>-2500</v>
      </c>
      <c r="E35" s="4" t="n">
        <v>957</v>
      </c>
      <c r="F35" s="4" t="n">
        <v>3624</v>
      </c>
      <c r="G35" s="4" t="n">
        <v>-1814</v>
      </c>
      <c r="H35" s="4" t="n">
        <v>3454</v>
      </c>
      <c r="I35" s="4" t="n">
        <v>4924</v>
      </c>
      <c r="J35" s="4" t="n">
        <v>-719</v>
      </c>
      <c r="K35" s="4" t="n">
        <v>-7271</v>
      </c>
      <c r="L35" s="4" t="n">
        <v>-6661</v>
      </c>
      <c r="M35" s="4" t="n">
        <v>-11273</v>
      </c>
      <c r="N35" s="4" t="n">
        <v>-2896</v>
      </c>
      <c r="O35" s="4" t="n">
        <v>0</v>
      </c>
      <c r="P35" s="4" t="n">
        <v>0</v>
      </c>
      <c r="Q35" s="4" t="n">
        <v>-2045</v>
      </c>
      <c r="R35" s="4" t="n">
        <v>-5023</v>
      </c>
      <c r="S35" s="4" t="n">
        <v>-8043</v>
      </c>
    </row>
    <row r="36">
      <c r="A36" s="3" t="inlineStr">
        <is>
          <t>Proceeds from Issuance of Long-Term Debt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750000</v>
      </c>
      <c r="P36" s="4" t="n">
        <v>750000</v>
      </c>
      <c r="Q36" s="4" t="n">
        <v>0</v>
      </c>
      <c r="R36" s="4" t="n">
        <v>0</v>
      </c>
      <c r="S36" s="4" t="n">
        <v>0</v>
      </c>
    </row>
    <row r="37">
      <c r="A37" s="3" t="inlineStr">
        <is>
          <t>Debt Issuance Fees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-2776</v>
      </c>
      <c r="P37" s="4" t="n">
        <v>-2904</v>
      </c>
      <c r="Q37" s="4" t="n">
        <v>0</v>
      </c>
      <c r="R37" s="4" t="n">
        <v>0</v>
      </c>
      <c r="S37" s="4" t="n">
        <v>0</v>
      </c>
    </row>
    <row r="38">
      <c r="A38" s="3" t="inlineStr">
        <is>
          <t>Repayments of Long-Term Debt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-175000</v>
      </c>
      <c r="R38" s="4" t="n">
        <v>-375000</v>
      </c>
      <c r="S38" s="4" t="n">
        <v>-375000</v>
      </c>
    </row>
    <row r="39">
      <c r="A39" s="3" t="inlineStr">
        <is>
          <t>Proceeds from Issuance of Common Stock</t>
        </is>
      </c>
      <c r="B39" s="4" t="n">
        <v>13975</v>
      </c>
      <c r="C39" s="4" t="n">
        <v>43842</v>
      </c>
      <c r="D39" s="4" t="n">
        <v>65540</v>
      </c>
      <c r="E39" s="4" t="n">
        <v>6761</v>
      </c>
      <c r="F39" s="4" t="n">
        <v>24486</v>
      </c>
      <c r="G39" s="4" t="n">
        <v>37160</v>
      </c>
      <c r="H39" s="4" t="n">
        <v>4510</v>
      </c>
      <c r="I39" s="4" t="n">
        <v>22622</v>
      </c>
      <c r="J39" s="4" t="n">
        <v>34759</v>
      </c>
      <c r="K39" s="4" t="n">
        <v>36348</v>
      </c>
      <c r="L39" s="4" t="n">
        <v>59666</v>
      </c>
      <c r="M39" s="4" t="n">
        <v>65560</v>
      </c>
      <c r="N39" s="4" t="n">
        <v>38392</v>
      </c>
      <c r="O39" s="4" t="n">
        <v>52093</v>
      </c>
      <c r="P39" s="4" t="n">
        <v>62101</v>
      </c>
      <c r="Q39" s="4" t="n">
        <v>48093</v>
      </c>
      <c r="R39" s="4" t="n">
        <v>87684</v>
      </c>
      <c r="S39" s="4" t="n">
        <v>114363</v>
      </c>
    </row>
    <row r="40">
      <c r="A40" s="3" t="inlineStr">
        <is>
          <t>Share Repurchases</t>
        </is>
      </c>
      <c r="B40" s="4" t="n">
        <v>-559210</v>
      </c>
      <c r="C40" s="4" t="n">
        <v>-595770</v>
      </c>
      <c r="D40" s="4" t="n">
        <v>-595918</v>
      </c>
      <c r="E40" s="4" t="n">
        <v>-13419</v>
      </c>
      <c r="F40" s="4" t="n">
        <v>-13818</v>
      </c>
      <c r="G40" s="4" t="n">
        <v>-13818</v>
      </c>
      <c r="H40" s="4" t="n">
        <v>-12187</v>
      </c>
      <c r="I40" s="4" t="n">
        <v>-296499</v>
      </c>
      <c r="J40" s="4" t="n">
        <v>-493315</v>
      </c>
      <c r="K40" s="4" t="n">
        <v>-35126</v>
      </c>
      <c r="L40" s="4" t="n">
        <v>-90825</v>
      </c>
      <c r="M40" s="4" t="n">
        <v>-488080</v>
      </c>
      <c r="N40" s="4" t="n">
        <v>-120245</v>
      </c>
      <c r="O40" s="4" t="n">
        <v>-3234523</v>
      </c>
      <c r="P40" s="4" t="n">
        <v>-3770184</v>
      </c>
      <c r="Q40" s="4" t="n">
        <v>-16633</v>
      </c>
      <c r="R40" s="4" t="n">
        <v>-16633</v>
      </c>
      <c r="S40" s="4" t="n">
        <v>-43921</v>
      </c>
    </row>
    <row r="41">
      <c r="A41" s="3" t="inlineStr">
        <is>
          <t>Cash Flow from Financing</t>
        </is>
      </c>
      <c r="B41" s="6">
        <f>SUM(B34:B40)</f>
        <v/>
      </c>
      <c r="C41" s="6">
        <f>SUM(C34:C40)</f>
        <v/>
      </c>
      <c r="D41" s="6">
        <f>SUM(D34:D40)</f>
        <v/>
      </c>
      <c r="E41" s="6">
        <f>SUM(E34:E40)</f>
        <v/>
      </c>
      <c r="F41" s="6">
        <f>SUM(F34:F40)</f>
        <v/>
      </c>
      <c r="G41" s="6">
        <f>SUM(G34:G40)</f>
        <v/>
      </c>
      <c r="H41" s="6">
        <f>SUM(H34:H40)</f>
        <v/>
      </c>
      <c r="I41" s="6">
        <f>SUM(I34:I40)</f>
        <v/>
      </c>
      <c r="J41" s="6">
        <f>SUM(J34:J40)</f>
        <v/>
      </c>
      <c r="K41" s="6">
        <f>SUM(K34:K40)</f>
        <v/>
      </c>
      <c r="L41" s="6">
        <f>SUM(L34:L40)</f>
        <v/>
      </c>
      <c r="M41" s="6">
        <f>SUM(M34:M40)</f>
        <v/>
      </c>
      <c r="N41" s="6">
        <f>SUM(N34:N40)</f>
        <v/>
      </c>
      <c r="O41" s="6">
        <f>SUM(O34:O40)</f>
        <v/>
      </c>
      <c r="P41" s="6">
        <f>SUM(P34:P40)</f>
        <v/>
      </c>
      <c r="Q41" s="6">
        <f>SUM(Q34:Q40)</f>
        <v/>
      </c>
      <c r="R41" s="6">
        <f>SUM(R34:R40)</f>
        <v/>
      </c>
      <c r="S41" s="6">
        <f>SUM(S34:S40)</f>
        <v/>
      </c>
    </row>
    <row r="42">
      <c r="A42" s="3" t="inlineStr">
        <is>
          <t>FX Effect on Cash</t>
        </is>
      </c>
      <c r="B42" s="4" t="n">
        <v>-21261</v>
      </c>
      <c r="C42" s="4" t="n">
        <v>-14175</v>
      </c>
      <c r="D42" s="4" t="n">
        <v>929</v>
      </c>
      <c r="E42" s="4" t="n">
        <v>-22223</v>
      </c>
      <c r="F42" s="4" t="n">
        <v>-16890</v>
      </c>
      <c r="G42" s="4" t="n">
        <v>-35552</v>
      </c>
      <c r="H42" s="4" t="n">
        <v>-3472</v>
      </c>
      <c r="I42" s="4" t="n">
        <v>-50395</v>
      </c>
      <c r="J42" s="4" t="n">
        <v>-95582</v>
      </c>
      <c r="K42" s="4" t="n">
        <v>-141</v>
      </c>
      <c r="L42" s="4" t="n">
        <v>-4500</v>
      </c>
      <c r="M42" s="4" t="n">
        <v>-22902</v>
      </c>
      <c r="N42" s="4" t="n">
        <v>-13222</v>
      </c>
      <c r="O42" s="4" t="n">
        <v>-44203</v>
      </c>
      <c r="P42" s="4" t="n">
        <v>-14482</v>
      </c>
      <c r="Q42" s="4" t="n">
        <v>38972</v>
      </c>
      <c r="R42" s="4" t="n">
        <v>86725</v>
      </c>
      <c r="S42" s="4" t="n">
        <v>72739</v>
      </c>
    </row>
    <row r="43">
      <c r="A43" s="3" t="inlineStr">
        <is>
          <t>Net Change in Cash</t>
        </is>
      </c>
      <c r="B43" s="6">
        <f>B24+B33+B41+B42</f>
        <v/>
      </c>
      <c r="C43" s="6">
        <f>C24+C33+C41+C42</f>
        <v/>
      </c>
      <c r="D43" s="6">
        <f>D24+D33+D41+D42</f>
        <v/>
      </c>
      <c r="E43" s="6">
        <f>E24+E33+E41+E42</f>
        <v/>
      </c>
      <c r="F43" s="6">
        <f>F24+F33+F41+F42</f>
        <v/>
      </c>
      <c r="G43" s="6">
        <f>G24+G33+G41+G42</f>
        <v/>
      </c>
      <c r="H43" s="6">
        <f>H24+H33+H41+H42</f>
        <v/>
      </c>
      <c r="I43" s="6">
        <f>I24+I33+I41+I42</f>
        <v/>
      </c>
      <c r="J43" s="6">
        <f>J24+J33+J41+J42</f>
        <v/>
      </c>
      <c r="K43" s="6">
        <f>K24+K33+K41+K42</f>
        <v/>
      </c>
      <c r="L43" s="6">
        <f>L24+L33+L41+L42</f>
        <v/>
      </c>
      <c r="M43" s="6">
        <f>M24+M33+M41+M42</f>
        <v/>
      </c>
      <c r="N43" s="6">
        <f>N24+N33+N41+N42</f>
        <v/>
      </c>
      <c r="O43" s="6">
        <f>O24+O33+O41+O42</f>
        <v/>
      </c>
      <c r="P43" s="6">
        <f>P24+P33+P41+P42</f>
        <v/>
      </c>
      <c r="Q43" s="6">
        <f>Q24+Q33+Q41+Q42</f>
        <v/>
      </c>
      <c r="R43" s="6">
        <f>R24+R33+R41+R42</f>
        <v/>
      </c>
      <c r="S43" s="6">
        <f>S24+S33+S41+S42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S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Q4 FY2020</t>
        </is>
      </c>
      <c r="F1" s="2" t="inlineStr">
        <is>
          <t>Q1 FY2021</t>
        </is>
      </c>
      <c r="G1" s="2" t="inlineStr">
        <is>
          <t>Q2 FY2021</t>
        </is>
      </c>
      <c r="H1" s="2" t="inlineStr">
        <is>
          <t>Q3 FY2021</t>
        </is>
      </c>
      <c r="I1" s="2" t="inlineStr">
        <is>
          <t>Q4 FY2021</t>
        </is>
      </c>
      <c r="J1" s="2" t="inlineStr">
        <is>
          <t>Q1 FY2022</t>
        </is>
      </c>
      <c r="K1" s="2" t="inlineStr">
        <is>
          <t>Q2 FY2022</t>
        </is>
      </c>
      <c r="L1" s="2" t="inlineStr">
        <is>
          <t>Q3 FY2022</t>
        </is>
      </c>
      <c r="M1" s="2" t="inlineStr">
        <is>
          <t>Q4 FY2022</t>
        </is>
      </c>
      <c r="N1" s="2" t="inlineStr">
        <is>
          <t>Q1 FY2023</t>
        </is>
      </c>
      <c r="O1" s="2" t="inlineStr">
        <is>
          <t>Q2 FY2023</t>
        </is>
      </c>
      <c r="P1" s="2" t="inlineStr">
        <is>
          <t>Q3 FY2023</t>
        </is>
      </c>
      <c r="Q1" s="2" t="inlineStr">
        <is>
          <t>Q4 FY2023</t>
        </is>
      </c>
      <c r="R1" s="2" t="inlineStr">
        <is>
          <t>Q1 FY2024</t>
        </is>
      </c>
      <c r="S1" s="2" t="inlineStr">
        <is>
          <t>Q2 FY2024</t>
        </is>
      </c>
      <c r="T1" s="2" t="inlineStr">
        <is>
          <t>Q3 FY2024</t>
        </is>
      </c>
      <c r="U1" s="2" t="inlineStr">
        <is>
          <t>Q4 FY2024</t>
        </is>
      </c>
      <c r="V1" s="2" t="inlineStr">
        <is>
          <t>Q1 FY2025</t>
        </is>
      </c>
      <c r="W1" s="2" t="inlineStr">
        <is>
          <t>Q2 FY2025</t>
        </is>
      </c>
      <c r="X1" s="2" t="inlineStr">
        <is>
          <t>Q3 FY2025</t>
        </is>
      </c>
      <c r="Y1" s="2" t="inlineStr">
        <is>
          <t>Q4 FY2025</t>
        </is>
      </c>
      <c r="Z1" s="2" t="inlineStr">
        <is>
          <t>Q1 FY2026E</t>
        </is>
      </c>
      <c r="AA1" s="2" t="inlineStr">
        <is>
          <t>Q2 FY2026E</t>
        </is>
      </c>
      <c r="AB1" s="2" t="inlineStr">
        <is>
          <t>Q3 FY2026E</t>
        </is>
      </c>
      <c r="AC1" s="2" t="inlineStr">
        <is>
          <t>Q4 FY2026E</t>
        </is>
      </c>
      <c r="AD1" s="2" t="inlineStr">
        <is>
          <t>Q1 FY2027E</t>
        </is>
      </c>
      <c r="AE1" s="2" t="inlineStr">
        <is>
          <t>Q2 FY2027E</t>
        </is>
      </c>
      <c r="AF1" s="2" t="inlineStr">
        <is>
          <t>Q3 FY2027E</t>
        </is>
      </c>
      <c r="AG1" s="2" t="inlineStr">
        <is>
          <t>Q4 FY2027E</t>
        </is>
      </c>
      <c r="AH1" s="2" t="inlineStr">
        <is>
          <t>Q1 FY2028E</t>
        </is>
      </c>
      <c r="AI1" s="2" t="inlineStr">
        <is>
          <t>Q2 FY2028E</t>
        </is>
      </c>
      <c r="AJ1" s="2" t="inlineStr">
        <is>
          <t>Q3 FY2028E</t>
        </is>
      </c>
      <c r="AK1" s="2" t="inlineStr">
        <is>
          <t>Q4 FY2028E</t>
        </is>
      </c>
      <c r="AL1" s="2" t="inlineStr">
        <is>
          <t>Q1 FY2029E</t>
        </is>
      </c>
      <c r="AM1" s="2" t="inlineStr">
        <is>
          <t>Q2 FY2029E</t>
        </is>
      </c>
      <c r="AN1" s="2" t="inlineStr">
        <is>
          <t>Q3 FY2029E</t>
        </is>
      </c>
      <c r="AO1" s="2" t="inlineStr">
        <is>
          <t>Q4 FY2029E</t>
        </is>
      </c>
      <c r="AP1" s="2" t="inlineStr">
        <is>
          <t>Q1 FY2030E</t>
        </is>
      </c>
      <c r="AQ1" s="2" t="inlineStr">
        <is>
          <t>Q2 FY2030E</t>
        </is>
      </c>
      <c r="AR1" s="2" t="inlineStr">
        <is>
          <t>Q3 FY2030E</t>
        </is>
      </c>
      <c r="AS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4">
        <f>'YTD P&amp;L'!P2-'YTD P&amp;L'!O2</f>
        <v/>
      </c>
      <c r="U2" s="4">
        <f>'ANNL P&amp;L'!G2-'YTD P&amp;L'!P2</f>
        <v/>
      </c>
      <c r="V2" s="4">
        <f>'YTD P&amp;L'!Q2</f>
        <v/>
      </c>
      <c r="W2" s="4">
        <f>'YTD P&amp;L'!R2-'YTD P&amp;L'!Q2</f>
        <v/>
      </c>
      <c r="X2" s="4">
        <f>'YTD P&amp;L'!S2-'YTD P&amp;L'!R2</f>
        <v/>
      </c>
      <c r="Y2" s="4">
        <f>'ANNL P&amp;L'!H2-'YTD P&amp;L'!S2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  <c r="AP2" s="11">
        <f>IF('IS DRIVERS'!$B2="QoQ",'QTR P&amp;L'!AO2,'QTR P&amp;L'!AL2)*(1+'IS DRIVERS'!AQ2)</f>
        <v/>
      </c>
      <c r="AQ2" s="11">
        <f>IF('IS DRIVERS'!$B2="QoQ",'QTR P&amp;L'!AP2,'QTR P&amp;L'!AM2)*(1+'IS DRIVERS'!AR2)</f>
        <v/>
      </c>
      <c r="AR2" s="11">
        <f>IF('IS DRIVERS'!$B2="QoQ",'QTR P&amp;L'!AQ2,'QTR P&amp;L'!AN2)*(1+'IS DRIVERS'!AS2)</f>
        <v/>
      </c>
      <c r="AS2" s="11">
        <f>IF('IS DRIVERS'!$B2="QoQ",'QTR P&amp;L'!AR2,'QTR P&amp;L'!AO2)*(1+'IS DRIVERS'!AT2)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4">
        <f>'YTD P&amp;L'!P3-'YTD P&amp;L'!O3</f>
        <v/>
      </c>
      <c r="U3" s="4">
        <f>'ANNL P&amp;L'!G3-'YTD P&amp;L'!P3</f>
        <v/>
      </c>
      <c r="V3" s="4">
        <f>'YTD P&amp;L'!Q3</f>
        <v/>
      </c>
      <c r="W3" s="4">
        <f>'YTD P&amp;L'!R3-'YTD P&amp;L'!Q3</f>
        <v/>
      </c>
      <c r="X3" s="4">
        <f>'YTD P&amp;L'!S3-'YTD P&amp;L'!R3</f>
        <v/>
      </c>
      <c r="Y3" s="4">
        <f>'ANNL P&amp;L'!H3-'YTD P&amp;L'!S3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  <c r="AP3" s="11">
        <f>'QTR P&amp;L'!AP2*'IS DRIVERS'!AQ3</f>
        <v/>
      </c>
      <c r="AQ3" s="11">
        <f>'QTR P&amp;L'!AQ2*'IS DRIVERS'!AR3</f>
        <v/>
      </c>
      <c r="AR3" s="11">
        <f>'QTR P&amp;L'!AR2*'IS DRIVERS'!AS3</f>
        <v/>
      </c>
      <c r="AS3" s="11">
        <f>'QTR P&amp;L'!AS2*'IS DRIVERS'!AT3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6">
        <f>'YTD P&amp;L'!P4-'YTD P&amp;L'!O4</f>
        <v/>
      </c>
      <c r="U4" s="6">
        <f>'ANNL P&amp;L'!G4-'YTD P&amp;L'!P4</f>
        <v/>
      </c>
      <c r="V4" s="6">
        <f>'YTD P&amp;L'!Q4</f>
        <v/>
      </c>
      <c r="W4" s="6">
        <f>'YTD P&amp;L'!R4-'YTD P&amp;L'!Q4</f>
        <v/>
      </c>
      <c r="X4" s="6">
        <f>'YTD P&amp;L'!S4-'YTD P&amp;L'!R4</f>
        <v/>
      </c>
      <c r="Y4" s="6">
        <f>'ANNL P&amp;L'!H4-'YTD P&amp;L'!S4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  <c r="AP4" s="7">
        <f>AP2+AP3</f>
        <v/>
      </c>
      <c r="AQ4" s="7">
        <f>AQ2+AQ3</f>
        <v/>
      </c>
      <c r="AR4" s="7">
        <f>AR2+AR3</f>
        <v/>
      </c>
      <c r="AS4" s="7">
        <f>AS2+AS3</f>
        <v/>
      </c>
    </row>
    <row r="5">
      <c r="A5" s="3" t="inlineStr">
        <is>
          <t>Operating Expenses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4">
        <f>'YTD P&amp;L'!P5-'YTD P&amp;L'!O5</f>
        <v/>
      </c>
      <c r="U5" s="4">
        <f>'ANNL P&amp;L'!G5-'YTD P&amp;L'!P5</f>
        <v/>
      </c>
      <c r="V5" s="4">
        <f>'YTD P&amp;L'!Q5</f>
        <v/>
      </c>
      <c r="W5" s="4">
        <f>'YTD P&amp;L'!R5-'YTD P&amp;L'!Q5</f>
        <v/>
      </c>
      <c r="X5" s="4">
        <f>'YTD P&amp;L'!S5-'YTD P&amp;L'!R5</f>
        <v/>
      </c>
      <c r="Y5" s="4">
        <f>'ANNL P&amp;L'!H5-'YTD P&amp;L'!S5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  <c r="AP5" s="11">
        <f>'QTR P&amp;L'!AP2*'IS DRIVERS'!AQ4</f>
        <v/>
      </c>
      <c r="AQ5" s="11">
        <f>'QTR P&amp;L'!AQ2*'IS DRIVERS'!AR4</f>
        <v/>
      </c>
      <c r="AR5" s="11">
        <f>'QTR P&amp;L'!AR2*'IS DRIVERS'!AS4</f>
        <v/>
      </c>
      <c r="AS5" s="11">
        <f>'QTR P&amp;L'!AS2*'IS DRIVERS'!AT4</f>
        <v/>
      </c>
    </row>
    <row r="6">
      <c r="A6" s="3" t="inlineStr">
        <is>
          <t>Income (Loss) from Operations</t>
        </is>
      </c>
      <c r="B6" s="6">
        <f>'YTD P&amp;L'!B6</f>
        <v/>
      </c>
      <c r="C6" s="6">
        <f>'YTD P&amp;L'!C6-'YTD P&amp;L'!B6</f>
        <v/>
      </c>
      <c r="D6" s="6">
        <f>'YTD P&amp;L'!D6-'YTD P&amp;L'!C6</f>
        <v/>
      </c>
      <c r="E6" s="6">
        <f>'ANNL P&amp;L'!C6-'YTD P&amp;L'!D6</f>
        <v/>
      </c>
      <c r="F6" s="6">
        <f>'YTD P&amp;L'!E6</f>
        <v/>
      </c>
      <c r="G6" s="6">
        <f>'YTD P&amp;L'!F6-'YTD P&amp;L'!E6</f>
        <v/>
      </c>
      <c r="H6" s="6">
        <f>'YTD P&amp;L'!G6-'YTD P&amp;L'!F6</f>
        <v/>
      </c>
      <c r="I6" s="6">
        <f>'ANNL P&amp;L'!D6-'YTD P&amp;L'!G6</f>
        <v/>
      </c>
      <c r="J6" s="6">
        <f>'YTD P&amp;L'!H6</f>
        <v/>
      </c>
      <c r="K6" s="6">
        <f>'YTD P&amp;L'!I6-'YTD P&amp;L'!H6</f>
        <v/>
      </c>
      <c r="L6" s="6">
        <f>'YTD P&amp;L'!J6-'YTD P&amp;L'!I6</f>
        <v/>
      </c>
      <c r="M6" s="6">
        <f>'ANNL P&amp;L'!E6-'YTD P&amp;L'!J6</f>
        <v/>
      </c>
      <c r="N6" s="6">
        <f>'YTD P&amp;L'!K6</f>
        <v/>
      </c>
      <c r="O6" s="6">
        <f>'YTD P&amp;L'!L6-'YTD P&amp;L'!K6</f>
        <v/>
      </c>
      <c r="P6" s="6">
        <f>'YTD P&amp;L'!M6-'YTD P&amp;L'!L6</f>
        <v/>
      </c>
      <c r="Q6" s="6">
        <f>'ANNL P&amp;L'!F6-'YTD P&amp;L'!M6</f>
        <v/>
      </c>
      <c r="R6" s="6">
        <f>'YTD P&amp;L'!N6</f>
        <v/>
      </c>
      <c r="S6" s="6">
        <f>'YTD P&amp;L'!O6-'YTD P&amp;L'!N6</f>
        <v/>
      </c>
      <c r="T6" s="6">
        <f>'YTD P&amp;L'!P6-'YTD P&amp;L'!O6</f>
        <v/>
      </c>
      <c r="U6" s="6">
        <f>'ANNL P&amp;L'!G6-'YTD P&amp;L'!P6</f>
        <v/>
      </c>
      <c r="V6" s="6">
        <f>'YTD P&amp;L'!Q6</f>
        <v/>
      </c>
      <c r="W6" s="6">
        <f>'YTD P&amp;L'!R6-'YTD P&amp;L'!Q6</f>
        <v/>
      </c>
      <c r="X6" s="6">
        <f>'YTD P&amp;L'!S6-'YTD P&amp;L'!R6</f>
        <v/>
      </c>
      <c r="Y6" s="6">
        <f>'ANNL P&amp;L'!H6-'YTD P&amp;L'!S6</f>
        <v/>
      </c>
      <c r="Z6" s="7">
        <f>Z4+Z5</f>
        <v/>
      </c>
      <c r="AA6" s="7">
        <f>AA4+AA5</f>
        <v/>
      </c>
      <c r="AB6" s="7">
        <f>AB4+AB5</f>
        <v/>
      </c>
      <c r="AC6" s="7">
        <f>AC4+AC5</f>
        <v/>
      </c>
      <c r="AD6" s="7">
        <f>AD4+AD5</f>
        <v/>
      </c>
      <c r="AE6" s="7">
        <f>AE4+AE5</f>
        <v/>
      </c>
      <c r="AF6" s="7">
        <f>AF4+AF5</f>
        <v/>
      </c>
      <c r="AG6" s="7">
        <f>AG4+AG5</f>
        <v/>
      </c>
      <c r="AH6" s="7">
        <f>AH4+AH5</f>
        <v/>
      </c>
      <c r="AI6" s="7">
        <f>AI4+AI5</f>
        <v/>
      </c>
      <c r="AJ6" s="7">
        <f>AJ4+AJ5</f>
        <v/>
      </c>
      <c r="AK6" s="7">
        <f>AK4+AK5</f>
        <v/>
      </c>
      <c r="AL6" s="7">
        <f>AL4+AL5</f>
        <v/>
      </c>
      <c r="AM6" s="7">
        <f>AM4+AM5</f>
        <v/>
      </c>
      <c r="AN6" s="7">
        <f>AN4+AN5</f>
        <v/>
      </c>
      <c r="AO6" s="7">
        <f>AO4+AO5</f>
        <v/>
      </c>
      <c r="AP6" s="7">
        <f>AP4+AP5</f>
        <v/>
      </c>
      <c r="AQ6" s="7">
        <f>AQ4+AQ5</f>
        <v/>
      </c>
      <c r="AR6" s="7">
        <f>AR4+AR5</f>
        <v/>
      </c>
      <c r="AS6" s="7">
        <f>AS4+AS5</f>
        <v/>
      </c>
    </row>
    <row r="7">
      <c r="A7" s="3" t="inlineStr">
        <is>
          <t>Other Income (Expense)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4">
        <f>'YTD P&amp;L'!O7-'YTD P&amp;L'!N7</f>
        <v/>
      </c>
      <c r="T7" s="4">
        <f>'YTD P&amp;L'!P7-'YTD P&amp;L'!O7</f>
        <v/>
      </c>
      <c r="U7" s="4">
        <f>'ANNL P&amp;L'!G7-'YTD P&amp;L'!P7</f>
        <v/>
      </c>
      <c r="V7" s="4">
        <f>'YTD P&amp;L'!Q7</f>
        <v/>
      </c>
      <c r="W7" s="4">
        <f>'YTD P&amp;L'!R7-'YTD P&amp;L'!Q7</f>
        <v/>
      </c>
      <c r="X7" s="4">
        <f>'YTD P&amp;L'!S7-'YTD P&amp;L'!R7</f>
        <v/>
      </c>
      <c r="Y7" s="4">
        <f>'ANNL P&amp;L'!H7-'YTD P&amp;L'!S7</f>
        <v/>
      </c>
      <c r="Z7" s="11">
        <f>'IS DRIVERS'!AA5</f>
        <v/>
      </c>
      <c r="AA7" s="11">
        <f>'IS DRIVERS'!AB5</f>
        <v/>
      </c>
      <c r="AB7" s="11">
        <f>'IS DRIVERS'!AC5</f>
        <v/>
      </c>
      <c r="AC7" s="11">
        <f>'IS DRIVERS'!AD5</f>
        <v/>
      </c>
      <c r="AD7" s="11">
        <f>'IS DRIVERS'!AE5</f>
        <v/>
      </c>
      <c r="AE7" s="11">
        <f>'IS DRIVERS'!AF5</f>
        <v/>
      </c>
      <c r="AF7" s="11">
        <f>'IS DRIVERS'!AG5</f>
        <v/>
      </c>
      <c r="AG7" s="11">
        <f>'IS DRIVERS'!AH5</f>
        <v/>
      </c>
      <c r="AH7" s="11">
        <f>'IS DRIVERS'!AI5</f>
        <v/>
      </c>
      <c r="AI7" s="11">
        <f>'IS DRIVERS'!AJ5</f>
        <v/>
      </c>
      <c r="AJ7" s="11">
        <f>'IS DRIVERS'!AK5</f>
        <v/>
      </c>
      <c r="AK7" s="11">
        <f>'IS DRIVERS'!AL5</f>
        <v/>
      </c>
      <c r="AL7" s="11">
        <f>'IS DRIVERS'!AM5</f>
        <v/>
      </c>
      <c r="AM7" s="11">
        <f>'IS DRIVERS'!AN5</f>
        <v/>
      </c>
      <c r="AN7" s="11">
        <f>'IS DRIVERS'!AO5</f>
        <v/>
      </c>
      <c r="AO7" s="11">
        <f>'IS DRIVERS'!AP5</f>
        <v/>
      </c>
      <c r="AP7" s="11">
        <f>'IS DRIVERS'!AQ5</f>
        <v/>
      </c>
      <c r="AQ7" s="11">
        <f>'IS DRIVERS'!AR5</f>
        <v/>
      </c>
      <c r="AR7" s="11">
        <f>'IS DRIVERS'!AS5</f>
        <v/>
      </c>
      <c r="AS7" s="11">
        <f>'IS DRIVERS'!AT5</f>
        <v/>
      </c>
    </row>
    <row r="8">
      <c r="A8" s="3" t="inlineStr">
        <is>
          <t>Pre-Tax Income (Loss)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6">
        <f>'YTD P&amp;L'!O8-'YTD P&amp;L'!N8</f>
        <v/>
      </c>
      <c r="T8" s="6">
        <f>'YTD P&amp;L'!P8-'YTD P&amp;L'!O8</f>
        <v/>
      </c>
      <c r="U8" s="6">
        <f>'ANNL P&amp;L'!G8-'YTD P&amp;L'!P8</f>
        <v/>
      </c>
      <c r="V8" s="6">
        <f>'YTD P&amp;L'!Q8</f>
        <v/>
      </c>
      <c r="W8" s="6">
        <f>'YTD P&amp;L'!R8-'YTD P&amp;L'!Q8</f>
        <v/>
      </c>
      <c r="X8" s="6">
        <f>'YTD P&amp;L'!S8-'YTD P&amp;L'!R8</f>
        <v/>
      </c>
      <c r="Y8" s="6">
        <f>'ANNL P&amp;L'!H8-'YTD P&amp;L'!S8</f>
        <v/>
      </c>
      <c r="Z8" s="7">
        <f>Z6+Z7</f>
        <v/>
      </c>
      <c r="AA8" s="7">
        <f>AA6+AA7</f>
        <v/>
      </c>
      <c r="AB8" s="7">
        <f>AB6+AB7</f>
        <v/>
      </c>
      <c r="AC8" s="7">
        <f>AC6+AC7</f>
        <v/>
      </c>
      <c r="AD8" s="7">
        <f>AD6+AD7</f>
        <v/>
      </c>
      <c r="AE8" s="7">
        <f>AE6+AE7</f>
        <v/>
      </c>
      <c r="AF8" s="7">
        <f>AF6+AF7</f>
        <v/>
      </c>
      <c r="AG8" s="7">
        <f>AG6+AG7</f>
        <v/>
      </c>
      <c r="AH8" s="7">
        <f>AH6+AH7</f>
        <v/>
      </c>
      <c r="AI8" s="7">
        <f>AI6+AI7</f>
        <v/>
      </c>
      <c r="AJ8" s="7">
        <f>AJ6+AJ7</f>
        <v/>
      </c>
      <c r="AK8" s="7">
        <f>AK6+AK7</f>
        <v/>
      </c>
      <c r="AL8" s="7">
        <f>AL6+AL7</f>
        <v/>
      </c>
      <c r="AM8" s="7">
        <f>AM6+AM7</f>
        <v/>
      </c>
      <c r="AN8" s="7">
        <f>AN6+AN7</f>
        <v/>
      </c>
      <c r="AO8" s="7">
        <f>AO6+AO7</f>
        <v/>
      </c>
      <c r="AP8" s="7">
        <f>AP6+AP7</f>
        <v/>
      </c>
      <c r="AQ8" s="7">
        <f>AQ6+AQ7</f>
        <v/>
      </c>
      <c r="AR8" s="7">
        <f>AR6+AR7</f>
        <v/>
      </c>
      <c r="AS8" s="7">
        <f>AS6+AS7</f>
        <v/>
      </c>
    </row>
    <row r="9">
      <c r="A9" s="3" t="inlineStr">
        <is>
          <t>Income Tax (Expense) Benefit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4">
        <f>'YTD P&amp;L'!P9-'YTD P&amp;L'!O9</f>
        <v/>
      </c>
      <c r="U9" s="4">
        <f>'ANNL P&amp;L'!G9-'YTD P&amp;L'!P9</f>
        <v/>
      </c>
      <c r="V9" s="4">
        <f>'YTD P&amp;L'!Q9</f>
        <v/>
      </c>
      <c r="W9" s="4">
        <f>'YTD P&amp;L'!R9-'YTD P&amp;L'!Q9</f>
        <v/>
      </c>
      <c r="X9" s="4">
        <f>'YTD P&amp;L'!S9-'YTD P&amp;L'!R9</f>
        <v/>
      </c>
      <c r="Y9" s="4">
        <f>'ANNL P&amp;L'!H9-'YTD P&amp;L'!S9</f>
        <v/>
      </c>
      <c r="Z9" s="11">
        <f>'QTR P&amp;L'!Z8*'IS DRIVERS'!AA6</f>
        <v/>
      </c>
      <c r="AA9" s="11">
        <f>'QTR P&amp;L'!AA8*'IS DRIVERS'!AB6</f>
        <v/>
      </c>
      <c r="AB9" s="11">
        <f>'QTR P&amp;L'!AB8*'IS DRIVERS'!AC6</f>
        <v/>
      </c>
      <c r="AC9" s="11">
        <f>'QTR P&amp;L'!AC8*'IS DRIVERS'!AD6</f>
        <v/>
      </c>
      <c r="AD9" s="11">
        <f>'QTR P&amp;L'!AD8*'IS DRIVERS'!AE6</f>
        <v/>
      </c>
      <c r="AE9" s="11">
        <f>'QTR P&amp;L'!AE8*'IS DRIVERS'!AF6</f>
        <v/>
      </c>
      <c r="AF9" s="11">
        <f>'QTR P&amp;L'!AF8*'IS DRIVERS'!AG6</f>
        <v/>
      </c>
      <c r="AG9" s="11">
        <f>'QTR P&amp;L'!AG8*'IS DRIVERS'!AH6</f>
        <v/>
      </c>
      <c r="AH9" s="11">
        <f>'QTR P&amp;L'!AH8*'IS DRIVERS'!AI6</f>
        <v/>
      </c>
      <c r="AI9" s="11">
        <f>'QTR P&amp;L'!AI8*'IS DRIVERS'!AJ6</f>
        <v/>
      </c>
      <c r="AJ9" s="11">
        <f>'QTR P&amp;L'!AJ8*'IS DRIVERS'!AK6</f>
        <v/>
      </c>
      <c r="AK9" s="11">
        <f>'QTR P&amp;L'!AK8*'IS DRIVERS'!AL6</f>
        <v/>
      </c>
      <c r="AL9" s="11">
        <f>'QTR P&amp;L'!AL8*'IS DRIVERS'!AM6</f>
        <v/>
      </c>
      <c r="AM9" s="11">
        <f>'QTR P&amp;L'!AM8*'IS DRIVERS'!AN6</f>
        <v/>
      </c>
      <c r="AN9" s="11">
        <f>'QTR P&amp;L'!AN8*'IS DRIVERS'!AO6</f>
        <v/>
      </c>
      <c r="AO9" s="11">
        <f>'QTR P&amp;L'!AO8*'IS DRIVERS'!AP6</f>
        <v/>
      </c>
      <c r="AP9" s="11">
        <f>'QTR P&amp;L'!AP8*'IS DRIVERS'!AQ6</f>
        <v/>
      </c>
      <c r="AQ9" s="11">
        <f>'QTR P&amp;L'!AQ8*'IS DRIVERS'!AR6</f>
        <v/>
      </c>
      <c r="AR9" s="11">
        <f>'QTR P&amp;L'!AR8*'IS DRIVERS'!AS6</f>
        <v/>
      </c>
      <c r="AS9" s="11">
        <f>'QTR P&amp;L'!AS8*'IS DRIVERS'!AT6</f>
        <v/>
      </c>
    </row>
    <row r="10">
      <c r="A10" s="3" t="inlineStr">
        <is>
          <t>Net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6">
        <f>'YTD P&amp;L'!P10-'YTD P&amp;L'!O10</f>
        <v/>
      </c>
      <c r="U10" s="6">
        <f>'ANNL P&amp;L'!G10-'YTD P&amp;L'!P10</f>
        <v/>
      </c>
      <c r="V10" s="6">
        <f>'YTD P&amp;L'!Q10</f>
        <v/>
      </c>
      <c r="W10" s="6">
        <f>'YTD P&amp;L'!R10-'YTD P&amp;L'!Q10</f>
        <v/>
      </c>
      <c r="X10" s="6">
        <f>'YTD P&amp;L'!S10-'YTD P&amp;L'!R10</f>
        <v/>
      </c>
      <c r="Y10" s="6">
        <f>'ANNL P&amp;L'!H10-'YTD P&amp;L'!S10</f>
        <v/>
      </c>
      <c r="Z10" s="7">
        <f>Z8+Z9</f>
        <v/>
      </c>
      <c r="AA10" s="7">
        <f>AA8+AA9</f>
        <v/>
      </c>
      <c r="AB10" s="7">
        <f>AB8+AB9</f>
        <v/>
      </c>
      <c r="AC10" s="7">
        <f>AC8+AC9</f>
        <v/>
      </c>
      <c r="AD10" s="7">
        <f>AD8+AD9</f>
        <v/>
      </c>
      <c r="AE10" s="7">
        <f>AE8+AE9</f>
        <v/>
      </c>
      <c r="AF10" s="7">
        <f>AF8+AF9</f>
        <v/>
      </c>
      <c r="AG10" s="7">
        <f>AG8+AG9</f>
        <v/>
      </c>
      <c r="AH10" s="7">
        <f>AH8+AH9</f>
        <v/>
      </c>
      <c r="AI10" s="7">
        <f>AI8+AI9</f>
        <v/>
      </c>
      <c r="AJ10" s="7">
        <f>AJ8+AJ9</f>
        <v/>
      </c>
      <c r="AK10" s="7">
        <f>AK8+AK9</f>
        <v/>
      </c>
      <c r="AL10" s="7">
        <f>AL8+AL9</f>
        <v/>
      </c>
      <c r="AM10" s="7">
        <f>AM8+AM9</f>
        <v/>
      </c>
      <c r="AN10" s="7">
        <f>AN8+AN9</f>
        <v/>
      </c>
      <c r="AO10" s="7">
        <f>AO8+AO9</f>
        <v/>
      </c>
      <c r="AP10" s="7">
        <f>AP8+AP9</f>
        <v/>
      </c>
      <c r="AQ10" s="7">
        <f>AQ8+AQ9</f>
        <v/>
      </c>
      <c r="AR10" s="7">
        <f>AR8+AR9</f>
        <v/>
      </c>
      <c r="AS10" s="7">
        <f>AS8+AS9</f>
        <v/>
      </c>
    </row>
    <row r="11">
      <c r="A11" s="3" t="inlineStr">
        <is>
          <t>Basic Earnings (Loss) per Share</t>
        </is>
      </c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</row>
    <row r="12">
      <c r="A12" s="3" t="inlineStr">
        <is>
          <t>Diluted Earnings (Loss) per Share</t>
        </is>
      </c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</row>
    <row r="13">
      <c r="A13" s="3" t="inlineStr">
        <is>
          <t>Weighted Average Shares Outstanding (Basic)</t>
        </is>
      </c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</row>
    <row r="14">
      <c r="A14" s="3" t="inlineStr">
        <is>
          <t>Weighted Average Shares Outstanding (Diluted)</t>
        </is>
      </c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</row>
    <row r="15">
      <c r="A15" s="3" t="inlineStr">
        <is>
          <t>Net Income (Loss) Attributable to Common Shareholders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6">
        <f>'YTD P&amp;L'!O15-'YTD P&amp;L'!N15</f>
        <v/>
      </c>
      <c r="T15" s="6">
        <f>'YTD P&amp;L'!P15-'YTD P&amp;L'!O15</f>
        <v/>
      </c>
      <c r="U15" s="6">
        <f>'ANNL P&amp;L'!G15-'YTD P&amp;L'!P15</f>
        <v/>
      </c>
      <c r="V15" s="6">
        <f>'YTD P&amp;L'!Q15</f>
        <v/>
      </c>
      <c r="W15" s="6">
        <f>'YTD P&amp;L'!R15-'YTD P&amp;L'!Q15</f>
        <v/>
      </c>
      <c r="X15" s="6">
        <f>'YTD P&amp;L'!S15-'YTD P&amp;L'!R15</f>
        <v/>
      </c>
      <c r="Y15" s="6">
        <f>'ANNL P&amp;L'!H15-'YTD P&amp;L'!S15</f>
        <v/>
      </c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/>
      <c r="B1" s="2" t="inlineStr">
        <is>
          <t>Q4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4">
        <f>'YTD BS'!Q2</f>
        <v/>
      </c>
      <c r="R2" s="4">
        <f>'BALANCE SHEET'!F2</f>
        <v/>
      </c>
      <c r="S2" s="4">
        <f>'YTD BS'!S2</f>
        <v/>
      </c>
      <c r="T2" s="4">
        <f>'YTD BS'!T2</f>
        <v/>
      </c>
      <c r="U2" s="4">
        <f>'YTD BS'!U2</f>
        <v/>
      </c>
      <c r="V2" s="4">
        <f>'BALANCE SHEET'!G2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  <c r="AM2" s="11">
        <f>'BS DRIVERS'!AM2</f>
        <v/>
      </c>
      <c r="AN2" s="11">
        <f>'BS DRIVERS'!AN2</f>
        <v/>
      </c>
      <c r="AO2" s="11">
        <f>'BS DRIVERS'!AO2</f>
        <v/>
      </c>
      <c r="AP2" s="11">
        <f>'BS DRIVERS'!AP2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4">
        <f>'YTD BS'!Q3</f>
        <v/>
      </c>
      <c r="R3" s="4">
        <f>'BALANCE SHEET'!F3</f>
        <v/>
      </c>
      <c r="S3" s="4">
        <f>'YTD BS'!S3</f>
        <v/>
      </c>
      <c r="T3" s="4">
        <f>'YTD BS'!T3</f>
        <v/>
      </c>
      <c r="U3" s="4">
        <f>'YTD BS'!U3</f>
        <v/>
      </c>
      <c r="V3" s="4">
        <f>'BALANCE SHEET'!G3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  <c r="AI3" s="11">
        <f>'BS DRIVERS'!AI3</f>
        <v/>
      </c>
      <c r="AJ3" s="11">
        <f>'BS DRIVERS'!AJ3</f>
        <v/>
      </c>
      <c r="AK3" s="11">
        <f>'BS DRIVERS'!AK3</f>
        <v/>
      </c>
      <c r="AL3" s="11">
        <f>'BS DRIVERS'!AL3</f>
        <v/>
      </c>
      <c r="AM3" s="11">
        <f>'BS DRIVERS'!AM3</f>
        <v/>
      </c>
      <c r="AN3" s="11">
        <f>'BS DRIVERS'!AN3</f>
        <v/>
      </c>
      <c r="AO3" s="11">
        <f>'BS DRIVERS'!AO3</f>
        <v/>
      </c>
      <c r="AP3" s="11">
        <f>'BS DRIVERS'!AP3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4">
        <f>'YTD BS'!Q4</f>
        <v/>
      </c>
      <c r="R4" s="4">
        <f>'BALANCE SHEET'!F4</f>
        <v/>
      </c>
      <c r="S4" s="4">
        <f>'YTD BS'!S4</f>
        <v/>
      </c>
      <c r="T4" s="4">
        <f>'YTD BS'!T4</f>
        <v/>
      </c>
      <c r="U4" s="4">
        <f>'YTD BS'!U4</f>
        <v/>
      </c>
      <c r="V4" s="4">
        <f>'BALANCE SHEET'!G4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  <c r="AM4" s="11">
        <f>'QTR P&amp;L'!AP2*'BS DRIVERS'!AM4/ASSUMPTIONS!$B$2</f>
        <v/>
      </c>
      <c r="AN4" s="11">
        <f>'QTR P&amp;L'!AQ2*'BS DRIVERS'!AN4/ASSUMPTIONS!$B$2</f>
        <v/>
      </c>
      <c r="AO4" s="11">
        <f>'QTR P&amp;L'!AR2*'BS DRIVERS'!AO4/ASSUMPTIONS!$B$2</f>
        <v/>
      </c>
      <c r="AP4" s="11">
        <f>'QTR P&amp;L'!AS2*'BS DRIVERS'!AP4/ASSUMPTIONS!$B$2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4">
        <f>'YTD BS'!Q5</f>
        <v/>
      </c>
      <c r="R5" s="4">
        <f>'BALANCE SHEET'!F5</f>
        <v/>
      </c>
      <c r="S5" s="4">
        <f>'YTD BS'!S5</f>
        <v/>
      </c>
      <c r="T5" s="4">
        <f>'YTD BS'!T5</f>
        <v/>
      </c>
      <c r="U5" s="4">
        <f>'YTD BS'!U5</f>
        <v/>
      </c>
      <c r="V5" s="4">
        <f>'BALANCE SHEET'!G5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  <c r="AI5" s="11">
        <f>'QTR P&amp;L'!AL3*'BS DRIVERS'!AI5/ASSUMPTIONS!$B$2</f>
        <v/>
      </c>
      <c r="AJ5" s="11">
        <f>'QTR P&amp;L'!AM3*'BS DRIVERS'!AJ5/ASSUMPTIONS!$B$2</f>
        <v/>
      </c>
      <c r="AK5" s="11">
        <f>'QTR P&amp;L'!AN3*'BS DRIVERS'!AK5/ASSUMPTIONS!$B$2</f>
        <v/>
      </c>
      <c r="AL5" s="11">
        <f>'QTR P&amp;L'!AO3*'BS DRIVERS'!AL5/ASSUMPTIONS!$B$2</f>
        <v/>
      </c>
      <c r="AM5" s="11">
        <f>'QTR P&amp;L'!AP3*'BS DRIVERS'!AM5/ASSUMPTIONS!$B$2</f>
        <v/>
      </c>
      <c r="AN5" s="11">
        <f>'QTR P&amp;L'!AQ3*'BS DRIVERS'!AN5/ASSUMPTIONS!$B$2</f>
        <v/>
      </c>
      <c r="AO5" s="11">
        <f>'QTR P&amp;L'!AR3*'BS DRIVERS'!AO5/ASSUMPTIONS!$B$2</f>
        <v/>
      </c>
      <c r="AP5" s="11">
        <f>'QTR P&amp;L'!AS3*'BS DRIVERS'!AP5/ASSUMPTIONS!$B$2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4">
        <f>'YTD BS'!P6</f>
        <v/>
      </c>
      <c r="Q6" s="4">
        <f>'YTD BS'!Q6</f>
        <v/>
      </c>
      <c r="R6" s="4">
        <f>'BALANCE SHEET'!F6</f>
        <v/>
      </c>
      <c r="S6" s="4">
        <f>'YTD BS'!S6</f>
        <v/>
      </c>
      <c r="T6" s="4">
        <f>'YTD BS'!T6</f>
        <v/>
      </c>
      <c r="U6" s="4">
        <f>'YTD BS'!U6</f>
        <v/>
      </c>
      <c r="V6" s="4">
        <f>'BALANCE SHEET'!G6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  <c r="AI6" s="11">
        <f>'QTR P&amp;L'!AL2*'BS DRIVERS'!AI6</f>
        <v/>
      </c>
      <c r="AJ6" s="11">
        <f>'QTR P&amp;L'!AM2*'BS DRIVERS'!AJ6</f>
        <v/>
      </c>
      <c r="AK6" s="11">
        <f>'QTR P&amp;L'!AN2*'BS DRIVERS'!AK6</f>
        <v/>
      </c>
      <c r="AL6" s="11">
        <f>'QTR P&amp;L'!AO2*'BS DRIVERS'!AL6</f>
        <v/>
      </c>
      <c r="AM6" s="11">
        <f>'QTR P&amp;L'!AP2*'BS DRIVERS'!AM6</f>
        <v/>
      </c>
      <c r="AN6" s="11">
        <f>'QTR P&amp;L'!AQ2*'BS DRIVERS'!AN6</f>
        <v/>
      </c>
      <c r="AO6" s="11">
        <f>'QTR P&amp;L'!AR2*'BS DRIVERS'!AO6</f>
        <v/>
      </c>
      <c r="AP6" s="11">
        <f>'QTR P&amp;L'!AS2*'BS DRIVERS'!AP6</f>
        <v/>
      </c>
    </row>
    <row r="7">
      <c r="A7" s="3" t="inlineStr">
        <is>
          <t>Prepaid Income Taxes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4">
        <f>'YTD BS'!Q7</f>
        <v/>
      </c>
      <c r="R7" s="4">
        <f>'BALANCE SHEET'!F7</f>
        <v/>
      </c>
      <c r="S7" s="4">
        <f>'YTD BS'!S7</f>
        <v/>
      </c>
      <c r="T7" s="4">
        <f>'YTD BS'!T7</f>
        <v/>
      </c>
      <c r="U7" s="4">
        <f>'YTD BS'!U7</f>
        <v/>
      </c>
      <c r="V7" s="4">
        <f>'BALANCE SHEET'!G7</f>
        <v/>
      </c>
      <c r="W7" s="11">
        <f>'QTR P&amp;L'!Z2*'BS DRIVERS'!W7</f>
        <v/>
      </c>
      <c r="X7" s="11">
        <f>'QTR P&amp;L'!AA2*'BS DRIVERS'!X7</f>
        <v/>
      </c>
      <c r="Y7" s="11">
        <f>'QTR P&amp;L'!AB2*'BS DRIVERS'!Y7</f>
        <v/>
      </c>
      <c r="Z7" s="11">
        <f>'QTR P&amp;L'!AC2*'BS DRIVERS'!Z7</f>
        <v/>
      </c>
      <c r="AA7" s="11">
        <f>'QTR P&amp;L'!AD2*'BS DRIVERS'!AA7</f>
        <v/>
      </c>
      <c r="AB7" s="11">
        <f>'QTR P&amp;L'!AE2*'BS DRIVERS'!AB7</f>
        <v/>
      </c>
      <c r="AC7" s="11">
        <f>'QTR P&amp;L'!AF2*'BS DRIVERS'!AC7</f>
        <v/>
      </c>
      <c r="AD7" s="11">
        <f>'QTR P&amp;L'!AG2*'BS DRIVERS'!AD7</f>
        <v/>
      </c>
      <c r="AE7" s="11">
        <f>'QTR P&amp;L'!AH2*'BS DRIVERS'!AE7</f>
        <v/>
      </c>
      <c r="AF7" s="11">
        <f>'QTR P&amp;L'!AI2*'BS DRIVERS'!AF7</f>
        <v/>
      </c>
      <c r="AG7" s="11">
        <f>'QTR P&amp;L'!AJ2*'BS DRIVERS'!AG7</f>
        <v/>
      </c>
      <c r="AH7" s="11">
        <f>'QTR P&amp;L'!AK2*'BS DRIVERS'!AH7</f>
        <v/>
      </c>
      <c r="AI7" s="11">
        <f>'QTR P&amp;L'!AL2*'BS DRIVERS'!AI7</f>
        <v/>
      </c>
      <c r="AJ7" s="11">
        <f>'QTR P&amp;L'!AM2*'BS DRIVERS'!AJ7</f>
        <v/>
      </c>
      <c r="AK7" s="11">
        <f>'QTR P&amp;L'!AN2*'BS DRIVERS'!AK7</f>
        <v/>
      </c>
      <c r="AL7" s="11">
        <f>'QTR P&amp;L'!AO2*'BS DRIVERS'!AL7</f>
        <v/>
      </c>
      <c r="AM7" s="11">
        <f>'QTR P&amp;L'!AP2*'BS DRIVERS'!AM7</f>
        <v/>
      </c>
      <c r="AN7" s="11">
        <f>'QTR P&amp;L'!AQ2*'BS DRIVERS'!AN7</f>
        <v/>
      </c>
      <c r="AO7" s="11">
        <f>'QTR P&amp;L'!AR2*'BS DRIVERS'!AO7</f>
        <v/>
      </c>
      <c r="AP7" s="11">
        <f>'QTR P&amp;L'!AS2*'BS DRIVERS'!AP7</f>
        <v/>
      </c>
    </row>
    <row r="8">
      <c r="A8" s="3" t="inlineStr">
        <is>
          <t>Total Current Assets</t>
        </is>
      </c>
      <c r="B8" s="6">
        <f>'BALANCE SHEET'!B8</f>
        <v/>
      </c>
      <c r="C8" s="6">
        <f>'YTD BS'!C8</f>
        <v/>
      </c>
      <c r="D8" s="6">
        <f>'YTD BS'!D8</f>
        <v/>
      </c>
      <c r="E8" s="6">
        <f>'YTD BS'!E8</f>
        <v/>
      </c>
      <c r="F8" s="6">
        <f>'BALANCE SHEET'!C8</f>
        <v/>
      </c>
      <c r="G8" s="6">
        <f>'YTD BS'!G8</f>
        <v/>
      </c>
      <c r="H8" s="6">
        <f>'YTD BS'!H8</f>
        <v/>
      </c>
      <c r="I8" s="6">
        <f>'YTD BS'!I8</f>
        <v/>
      </c>
      <c r="J8" s="6">
        <f>'BALANCE SHEET'!D8</f>
        <v/>
      </c>
      <c r="K8" s="6">
        <f>'YTD BS'!K8</f>
        <v/>
      </c>
      <c r="L8" s="6">
        <f>'YTD BS'!L8</f>
        <v/>
      </c>
      <c r="M8" s="6">
        <f>'YTD BS'!M8</f>
        <v/>
      </c>
      <c r="N8" s="6">
        <f>'BALANCE SHEET'!E8</f>
        <v/>
      </c>
      <c r="O8" s="6">
        <f>'YTD BS'!O8</f>
        <v/>
      </c>
      <c r="P8" s="6">
        <f>'YTD BS'!P8</f>
        <v/>
      </c>
      <c r="Q8" s="6">
        <f>'YTD BS'!Q8</f>
        <v/>
      </c>
      <c r="R8" s="6">
        <f>'BALANCE SHEET'!F8</f>
        <v/>
      </c>
      <c r="S8" s="6">
        <f>'YTD BS'!S8</f>
        <v/>
      </c>
      <c r="T8" s="6">
        <f>'YTD BS'!T8</f>
        <v/>
      </c>
      <c r="U8" s="6">
        <f>'YTD BS'!U8</f>
        <v/>
      </c>
      <c r="V8" s="6">
        <f>'BALANCE SHEET'!G8</f>
        <v/>
      </c>
      <c r="W8" s="7">
        <f>SUM(W2:W7)</f>
        <v/>
      </c>
      <c r="X8" s="7">
        <f>SUM(X2:X7)</f>
        <v/>
      </c>
      <c r="Y8" s="7">
        <f>SUM(Y2:Y7)</f>
        <v/>
      </c>
      <c r="Z8" s="7">
        <f>SUM(Z2:Z7)</f>
        <v/>
      </c>
      <c r="AA8" s="7">
        <f>SUM(AA2:AA7)</f>
        <v/>
      </c>
      <c r="AB8" s="7">
        <f>SUM(AB2:AB7)</f>
        <v/>
      </c>
      <c r="AC8" s="7">
        <f>SUM(AC2:AC7)</f>
        <v/>
      </c>
      <c r="AD8" s="7">
        <f>SUM(AD2:AD7)</f>
        <v/>
      </c>
      <c r="AE8" s="7">
        <f>SUM(AE2:AE7)</f>
        <v/>
      </c>
      <c r="AF8" s="7">
        <f>SUM(AF2:AF7)</f>
        <v/>
      </c>
      <c r="AG8" s="7">
        <f>SUM(AG2:AG7)</f>
        <v/>
      </c>
      <c r="AH8" s="7">
        <f>SUM(AH2:AH7)</f>
        <v/>
      </c>
      <c r="AI8" s="7">
        <f>SUM(AI2:AI7)</f>
        <v/>
      </c>
      <c r="AJ8" s="7">
        <f>SUM(AJ2:AJ7)</f>
        <v/>
      </c>
      <c r="AK8" s="7">
        <f>SUM(AK2:AK7)</f>
        <v/>
      </c>
      <c r="AL8" s="7">
        <f>SUM(AL2:AL7)</f>
        <v/>
      </c>
      <c r="AM8" s="7">
        <f>SUM(AM2:AM7)</f>
        <v/>
      </c>
      <c r="AN8" s="7">
        <f>SUM(AN2:AN7)</f>
        <v/>
      </c>
      <c r="AO8" s="7">
        <f>SUM(AO2:AO7)</f>
        <v/>
      </c>
      <c r="AP8" s="7">
        <f>SUM(AP2:AP7)</f>
        <v/>
      </c>
    </row>
    <row r="9">
      <c r="A9" s="3" t="inlineStr">
        <is>
          <t>Long-Term Investments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4">
        <f>'YTD BS'!Q9</f>
        <v/>
      </c>
      <c r="R9" s="4">
        <f>'BALANCE SHEET'!F9</f>
        <v/>
      </c>
      <c r="S9" s="4">
        <f>'YTD BS'!S9</f>
        <v/>
      </c>
      <c r="T9" s="4">
        <f>'YTD BS'!T9</f>
        <v/>
      </c>
      <c r="U9" s="4">
        <f>'YTD BS'!U9</f>
        <v/>
      </c>
      <c r="V9" s="4">
        <f>'BALANCE SHEET'!G9</f>
        <v/>
      </c>
      <c r="W9" s="11">
        <f>'QTR P&amp;L'!Z2*'BS DRIVERS'!W8</f>
        <v/>
      </c>
      <c r="X9" s="11">
        <f>'QTR P&amp;L'!AA2*'BS DRIVERS'!X8</f>
        <v/>
      </c>
      <c r="Y9" s="11">
        <f>'QTR P&amp;L'!AB2*'BS DRIVERS'!Y8</f>
        <v/>
      </c>
      <c r="Z9" s="11">
        <f>'QTR P&amp;L'!AC2*'BS DRIVERS'!Z8</f>
        <v/>
      </c>
      <c r="AA9" s="11">
        <f>'QTR P&amp;L'!AD2*'BS DRIVERS'!AA8</f>
        <v/>
      </c>
      <c r="AB9" s="11">
        <f>'QTR P&amp;L'!AE2*'BS DRIVERS'!AB8</f>
        <v/>
      </c>
      <c r="AC9" s="11">
        <f>'QTR P&amp;L'!AF2*'BS DRIVERS'!AC8</f>
        <v/>
      </c>
      <c r="AD9" s="11">
        <f>'QTR P&amp;L'!AG2*'BS DRIVERS'!AD8</f>
        <v/>
      </c>
      <c r="AE9" s="11">
        <f>'QTR P&amp;L'!AH2*'BS DRIVERS'!AE8</f>
        <v/>
      </c>
      <c r="AF9" s="11">
        <f>'QTR P&amp;L'!AI2*'BS DRIVERS'!AF8</f>
        <v/>
      </c>
      <c r="AG9" s="11">
        <f>'QTR P&amp;L'!AJ2*'BS DRIVERS'!AG8</f>
        <v/>
      </c>
      <c r="AH9" s="11">
        <f>'QTR P&amp;L'!AK2*'BS DRIVERS'!AH8</f>
        <v/>
      </c>
      <c r="AI9" s="11">
        <f>'QTR P&amp;L'!AL2*'BS DRIVERS'!AI8</f>
        <v/>
      </c>
      <c r="AJ9" s="11">
        <f>'QTR P&amp;L'!AM2*'BS DRIVERS'!AJ8</f>
        <v/>
      </c>
      <c r="AK9" s="11">
        <f>'QTR P&amp;L'!AN2*'BS DRIVERS'!AK8</f>
        <v/>
      </c>
      <c r="AL9" s="11">
        <f>'QTR P&amp;L'!AO2*'BS DRIVERS'!AL8</f>
        <v/>
      </c>
      <c r="AM9" s="11">
        <f>'QTR P&amp;L'!AP2*'BS DRIVERS'!AM8</f>
        <v/>
      </c>
      <c r="AN9" s="11">
        <f>'QTR P&amp;L'!AQ2*'BS DRIVERS'!AN8</f>
        <v/>
      </c>
      <c r="AO9" s="11">
        <f>'QTR P&amp;L'!AR2*'BS DRIVERS'!AO8</f>
        <v/>
      </c>
      <c r="AP9" s="11">
        <f>'QTR P&amp;L'!AS2*'BS DRIVERS'!AP8</f>
        <v/>
      </c>
    </row>
    <row r="10">
      <c r="A10" s="3" t="inlineStr">
        <is>
          <t>Net PP&amp;E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4">
        <f>'YTD BS'!Q10</f>
        <v/>
      </c>
      <c r="R10" s="4">
        <f>'BALANCE SHEET'!F10</f>
        <v/>
      </c>
      <c r="S10" s="4">
        <f>'YTD BS'!S10</f>
        <v/>
      </c>
      <c r="T10" s="4">
        <f>'YTD BS'!T10</f>
        <v/>
      </c>
      <c r="U10" s="4">
        <f>'YTD BS'!U10</f>
        <v/>
      </c>
      <c r="V10" s="4">
        <f>'BALANCE SHEET'!G10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  <c r="AM10" s="11">
        <f>'BS DRIVERS'!AM9</f>
        <v/>
      </c>
      <c r="AN10" s="11">
        <f>'BS DRIVERS'!AN9</f>
        <v/>
      </c>
      <c r="AO10" s="11">
        <f>'BS DRIVERS'!AO9</f>
        <v/>
      </c>
      <c r="AP10" s="11">
        <f>'BS DRIVERS'!AP9</f>
        <v/>
      </c>
    </row>
    <row r="11">
      <c r="A11" s="3" t="inlineStr">
        <is>
          <t>Deferred Tax Assets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4">
        <f>'YTD BS'!P11</f>
        <v/>
      </c>
      <c r="Q11" s="4">
        <f>'YTD BS'!Q11</f>
        <v/>
      </c>
      <c r="R11" s="4">
        <f>'BALANCE SHEET'!F11</f>
        <v/>
      </c>
      <c r="S11" s="4">
        <f>'YTD BS'!S11</f>
        <v/>
      </c>
      <c r="T11" s="4">
        <f>'YTD BS'!T11</f>
        <v/>
      </c>
      <c r="U11" s="4">
        <f>'YTD BS'!U11</f>
        <v/>
      </c>
      <c r="V11" s="4">
        <f>'BALANCE SHEET'!G11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  <c r="AM11" s="11">
        <f>'BS DRIVERS'!AM10</f>
        <v/>
      </c>
      <c r="AN11" s="11">
        <f>'BS DRIVERS'!AN10</f>
        <v/>
      </c>
      <c r="AO11" s="11">
        <f>'BS DRIVERS'!AO10</f>
        <v/>
      </c>
      <c r="AP11" s="11">
        <f>'BS DRIVERS'!AP10</f>
        <v/>
      </c>
    </row>
    <row r="12">
      <c r="A12" s="3" t="inlineStr">
        <is>
          <t>Goodwill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4">
        <f>'YTD BS'!Q12</f>
        <v/>
      </c>
      <c r="R12" s="4">
        <f>'BALANCE SHEET'!F12</f>
        <v/>
      </c>
      <c r="S12" s="4">
        <f>'YTD BS'!S12</f>
        <v/>
      </c>
      <c r="T12" s="4">
        <f>'YTD BS'!T12</f>
        <v/>
      </c>
      <c r="U12" s="4">
        <f>'YTD BS'!U12</f>
        <v/>
      </c>
      <c r="V12" s="4">
        <f>'BALANCE SHEET'!G12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  <c r="AM12" s="11">
        <f>'BS DRIVERS'!AM11</f>
        <v/>
      </c>
      <c r="AN12" s="11">
        <f>'BS DRIVERS'!AN11</f>
        <v/>
      </c>
      <c r="AO12" s="11">
        <f>'BS DRIVERS'!AO11</f>
        <v/>
      </c>
      <c r="AP12" s="11">
        <f>'BS DRIVERS'!AP11</f>
        <v/>
      </c>
    </row>
    <row r="13">
      <c r="A13" s="3" t="inlineStr">
        <is>
          <t>Intangible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4">
        <f>'YTD BS'!Q13</f>
        <v/>
      </c>
      <c r="R13" s="4">
        <f>'BALANCE SHEET'!F13</f>
        <v/>
      </c>
      <c r="S13" s="4">
        <f>'YTD BS'!S13</f>
        <v/>
      </c>
      <c r="T13" s="4">
        <f>'YTD BS'!T13</f>
        <v/>
      </c>
      <c r="U13" s="4">
        <f>'YTD BS'!U13</f>
        <v/>
      </c>
      <c r="V13" s="4">
        <f>'BALANCE SHEET'!G13</f>
        <v/>
      </c>
      <c r="W13" s="11">
        <f>'BS DRIVERS'!W12</f>
        <v/>
      </c>
      <c r="X13" s="11">
        <f>'BS DRIVERS'!X12</f>
        <v/>
      </c>
      <c r="Y13" s="11">
        <f>'BS DRIVERS'!Y12</f>
        <v/>
      </c>
      <c r="Z13" s="11">
        <f>'BS DRIVERS'!Z12</f>
        <v/>
      </c>
      <c r="AA13" s="11">
        <f>'BS DRIVERS'!AA12</f>
        <v/>
      </c>
      <c r="AB13" s="11">
        <f>'BS DRIVERS'!AB12</f>
        <v/>
      </c>
      <c r="AC13" s="11">
        <f>'BS DRIVERS'!AC12</f>
        <v/>
      </c>
      <c r="AD13" s="11">
        <f>'BS DRIVERS'!AD12</f>
        <v/>
      </c>
      <c r="AE13" s="11">
        <f>'BS DRIVERS'!AE12</f>
        <v/>
      </c>
      <c r="AF13" s="11">
        <f>'BS DRIVERS'!AF12</f>
        <v/>
      </c>
      <c r="AG13" s="11">
        <f>'BS DRIVERS'!AG12</f>
        <v/>
      </c>
      <c r="AH13" s="11">
        <f>'BS DRIVERS'!AH12</f>
        <v/>
      </c>
      <c r="AI13" s="11">
        <f>'BS DRIVERS'!AI12</f>
        <v/>
      </c>
      <c r="AJ13" s="11">
        <f>'BS DRIVERS'!AJ12</f>
        <v/>
      </c>
      <c r="AK13" s="11">
        <f>'BS DRIVERS'!AK12</f>
        <v/>
      </c>
      <c r="AL13" s="11">
        <f>'BS DRIVERS'!AL12</f>
        <v/>
      </c>
      <c r="AM13" s="11">
        <f>'BS DRIVERS'!AM12</f>
        <v/>
      </c>
      <c r="AN13" s="11">
        <f>'BS DRIVERS'!AN12</f>
        <v/>
      </c>
      <c r="AO13" s="11">
        <f>'BS DRIVERS'!AO12</f>
        <v/>
      </c>
      <c r="AP13" s="11">
        <f>'BS DRIVERS'!AP12</f>
        <v/>
      </c>
    </row>
    <row r="14">
      <c r="A14" s="3" t="inlineStr">
        <is>
          <t>Other Non-Current Assets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4">
        <f>'YTD BS'!Q14</f>
        <v/>
      </c>
      <c r="R14" s="4">
        <f>'BALANCE SHEET'!F14</f>
        <v/>
      </c>
      <c r="S14" s="4">
        <f>'YTD BS'!S14</f>
        <v/>
      </c>
      <c r="T14" s="4">
        <f>'YTD BS'!T14</f>
        <v/>
      </c>
      <c r="U14" s="4">
        <f>'YTD BS'!U14</f>
        <v/>
      </c>
      <c r="V14" s="4">
        <f>'BALANCE SHEET'!G14</f>
        <v/>
      </c>
      <c r="W14" s="11">
        <f>'QTR P&amp;L'!Z2*'BS DRIVERS'!W13</f>
        <v/>
      </c>
      <c r="X14" s="11">
        <f>'QTR P&amp;L'!AA2*'BS DRIVERS'!X13</f>
        <v/>
      </c>
      <c r="Y14" s="11">
        <f>'QTR P&amp;L'!AB2*'BS DRIVERS'!Y13</f>
        <v/>
      </c>
      <c r="Z14" s="11">
        <f>'QTR P&amp;L'!AC2*'BS DRIVERS'!Z13</f>
        <v/>
      </c>
      <c r="AA14" s="11">
        <f>'QTR P&amp;L'!AD2*'BS DRIVERS'!AA13</f>
        <v/>
      </c>
      <c r="AB14" s="11">
        <f>'QTR P&amp;L'!AE2*'BS DRIVERS'!AB13</f>
        <v/>
      </c>
      <c r="AC14" s="11">
        <f>'QTR P&amp;L'!AF2*'BS DRIVERS'!AC13</f>
        <v/>
      </c>
      <c r="AD14" s="11">
        <f>'QTR P&amp;L'!AG2*'BS DRIVERS'!AD13</f>
        <v/>
      </c>
      <c r="AE14" s="11">
        <f>'QTR P&amp;L'!AH2*'BS DRIVERS'!AE13</f>
        <v/>
      </c>
      <c r="AF14" s="11">
        <f>'QTR P&amp;L'!AI2*'BS DRIVERS'!AF13</f>
        <v/>
      </c>
      <c r="AG14" s="11">
        <f>'QTR P&amp;L'!AJ2*'BS DRIVERS'!AG13</f>
        <v/>
      </c>
      <c r="AH14" s="11">
        <f>'QTR P&amp;L'!AK2*'BS DRIVERS'!AH13</f>
        <v/>
      </c>
      <c r="AI14" s="11">
        <f>'QTR P&amp;L'!AL2*'BS DRIVERS'!AI13</f>
        <v/>
      </c>
      <c r="AJ14" s="11">
        <f>'QTR P&amp;L'!AM2*'BS DRIVERS'!AJ13</f>
        <v/>
      </c>
      <c r="AK14" s="11">
        <f>'QTR P&amp;L'!AN2*'BS DRIVERS'!AK13</f>
        <v/>
      </c>
      <c r="AL14" s="11">
        <f>'QTR P&amp;L'!AO2*'BS DRIVERS'!AL13</f>
        <v/>
      </c>
      <c r="AM14" s="11">
        <f>'QTR P&amp;L'!AP2*'BS DRIVERS'!AM13</f>
        <v/>
      </c>
      <c r="AN14" s="11">
        <f>'QTR P&amp;L'!AQ2*'BS DRIVERS'!AN13</f>
        <v/>
      </c>
      <c r="AO14" s="11">
        <f>'QTR P&amp;L'!AR2*'BS DRIVERS'!AO13</f>
        <v/>
      </c>
      <c r="AP14" s="11">
        <f>'QTR P&amp;L'!AS2*'BS DRIVERS'!AP13</f>
        <v/>
      </c>
    </row>
    <row r="15">
      <c r="A15" s="3" t="inlineStr">
        <is>
          <t>Total Assets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6">
        <f>'YTD BS'!Q15</f>
        <v/>
      </c>
      <c r="R15" s="6">
        <f>'BALANCE SHEET'!F15</f>
        <v/>
      </c>
      <c r="S15" s="6">
        <f>'YTD BS'!S15</f>
        <v/>
      </c>
      <c r="T15" s="6">
        <f>'YTD BS'!T15</f>
        <v/>
      </c>
      <c r="U15" s="6">
        <f>'YTD BS'!U15</f>
        <v/>
      </c>
      <c r="V15" s="6">
        <f>'BALANCE SHEET'!G15</f>
        <v/>
      </c>
      <c r="W15" s="7">
        <f>W8+SUM(W9:W14)</f>
        <v/>
      </c>
      <c r="X15" s="7">
        <f>X8+SUM(X9:X14)</f>
        <v/>
      </c>
      <c r="Y15" s="7">
        <f>Y8+SUM(Y9:Y14)</f>
        <v/>
      </c>
      <c r="Z15" s="7">
        <f>Z8+SUM(Z9:Z14)</f>
        <v/>
      </c>
      <c r="AA15" s="7">
        <f>AA8+SUM(AA9:AA14)</f>
        <v/>
      </c>
      <c r="AB15" s="7">
        <f>AB8+SUM(AB9:AB14)</f>
        <v/>
      </c>
      <c r="AC15" s="7">
        <f>AC8+SUM(AC9:AC14)</f>
        <v/>
      </c>
      <c r="AD15" s="7">
        <f>AD8+SUM(AD9:AD14)</f>
        <v/>
      </c>
      <c r="AE15" s="7">
        <f>AE8+SUM(AE9:AE14)</f>
        <v/>
      </c>
      <c r="AF15" s="7">
        <f>AF8+SUM(AF9:AF14)</f>
        <v/>
      </c>
      <c r="AG15" s="7">
        <f>AG8+SUM(AG9:AG14)</f>
        <v/>
      </c>
      <c r="AH15" s="7">
        <f>AH8+SUM(AH9:AH14)</f>
        <v/>
      </c>
      <c r="AI15" s="7">
        <f>AI8+SUM(AI9:AI14)</f>
        <v/>
      </c>
      <c r="AJ15" s="7">
        <f>AJ8+SUM(AJ9:AJ14)</f>
        <v/>
      </c>
      <c r="AK15" s="7">
        <f>AK8+SUM(AK9:AK14)</f>
        <v/>
      </c>
      <c r="AL15" s="7">
        <f>AL8+SUM(AL9:AL14)</f>
        <v/>
      </c>
      <c r="AM15" s="7">
        <f>AM8+SUM(AM9:AM14)</f>
        <v/>
      </c>
      <c r="AN15" s="7">
        <f>AN8+SUM(AN9:AN14)</f>
        <v/>
      </c>
      <c r="AO15" s="7">
        <f>AO8+SUM(AO9:AO14)</f>
        <v/>
      </c>
      <c r="AP15" s="7">
        <f>AP8+SUM(AP9:AP14)</f>
        <v/>
      </c>
    </row>
    <row r="16">
      <c r="A16" s="3" t="inlineStr">
        <is>
          <t>Accounts Payable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4">
        <f>'YTD BS'!Q16</f>
        <v/>
      </c>
      <c r="R16" s="4">
        <f>'BALANCE SHEET'!F16</f>
        <v/>
      </c>
      <c r="S16" s="4">
        <f>'YTD BS'!S16</f>
        <v/>
      </c>
      <c r="T16" s="4">
        <f>'YTD BS'!T16</f>
        <v/>
      </c>
      <c r="U16" s="4">
        <f>'YTD BS'!U16</f>
        <v/>
      </c>
      <c r="V16" s="4">
        <f>'BALANCE SHEET'!G16</f>
        <v/>
      </c>
      <c r="W16" s="11">
        <f>'QTR P&amp;L'!Z3*'BS DRIVERS'!W14/ASSUMPTIONS!$B$2</f>
        <v/>
      </c>
      <c r="X16" s="11">
        <f>'QTR P&amp;L'!AA3*'BS DRIVERS'!X14/ASSUMPTIONS!$B$2</f>
        <v/>
      </c>
      <c r="Y16" s="11">
        <f>'QTR P&amp;L'!AB3*'BS DRIVERS'!Y14/ASSUMPTIONS!$B$2</f>
        <v/>
      </c>
      <c r="Z16" s="11">
        <f>'QTR P&amp;L'!AC3*'BS DRIVERS'!Z14/ASSUMPTIONS!$B$2</f>
        <v/>
      </c>
      <c r="AA16" s="11">
        <f>'QTR P&amp;L'!AD3*'BS DRIVERS'!AA14/ASSUMPTIONS!$B$2</f>
        <v/>
      </c>
      <c r="AB16" s="11">
        <f>'QTR P&amp;L'!AE3*'BS DRIVERS'!AB14/ASSUMPTIONS!$B$2</f>
        <v/>
      </c>
      <c r="AC16" s="11">
        <f>'QTR P&amp;L'!AF3*'BS DRIVERS'!AC14/ASSUMPTIONS!$B$2</f>
        <v/>
      </c>
      <c r="AD16" s="11">
        <f>'QTR P&amp;L'!AG3*'BS DRIVERS'!AD14/ASSUMPTIONS!$B$2</f>
        <v/>
      </c>
      <c r="AE16" s="11">
        <f>'QTR P&amp;L'!AH3*'BS DRIVERS'!AE14/ASSUMPTIONS!$B$2</f>
        <v/>
      </c>
      <c r="AF16" s="11">
        <f>'QTR P&amp;L'!AI3*'BS DRIVERS'!AF14/ASSUMPTIONS!$B$2</f>
        <v/>
      </c>
      <c r="AG16" s="11">
        <f>'QTR P&amp;L'!AJ3*'BS DRIVERS'!AG14/ASSUMPTIONS!$B$2</f>
        <v/>
      </c>
      <c r="AH16" s="11">
        <f>'QTR P&amp;L'!AK3*'BS DRIVERS'!AH14/ASSUMPTIONS!$B$2</f>
        <v/>
      </c>
      <c r="AI16" s="11">
        <f>'QTR P&amp;L'!AL3*'BS DRIVERS'!AI14/ASSUMPTIONS!$B$2</f>
        <v/>
      </c>
      <c r="AJ16" s="11">
        <f>'QTR P&amp;L'!AM3*'BS DRIVERS'!AJ14/ASSUMPTIONS!$B$2</f>
        <v/>
      </c>
      <c r="AK16" s="11">
        <f>'QTR P&amp;L'!AN3*'BS DRIVERS'!AK14/ASSUMPTIONS!$B$2</f>
        <v/>
      </c>
      <c r="AL16" s="11">
        <f>'QTR P&amp;L'!AO3*'BS DRIVERS'!AL14/ASSUMPTIONS!$B$2</f>
        <v/>
      </c>
      <c r="AM16" s="11">
        <f>'QTR P&amp;L'!AP3*'BS DRIVERS'!AM14/ASSUMPTIONS!$B$2</f>
        <v/>
      </c>
      <c r="AN16" s="11">
        <f>'QTR P&amp;L'!AQ3*'BS DRIVERS'!AN14/ASSUMPTIONS!$B$2</f>
        <v/>
      </c>
      <c r="AO16" s="11">
        <f>'QTR P&amp;L'!AR3*'BS DRIVERS'!AO14/ASSUMPTIONS!$B$2</f>
        <v/>
      </c>
      <c r="AP16" s="11">
        <f>'QTR P&amp;L'!AS3*'BS DRIVERS'!AP14/ASSUMPTIONS!$B$2</f>
        <v/>
      </c>
    </row>
    <row r="17">
      <c r="A17" s="3" t="inlineStr">
        <is>
          <t>Accrued Expenses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4">
        <f>'YTD BS'!Q17</f>
        <v/>
      </c>
      <c r="R17" s="4">
        <f>'BALANCE SHEET'!F17</f>
        <v/>
      </c>
      <c r="S17" s="4">
        <f>'YTD BS'!S17</f>
        <v/>
      </c>
      <c r="T17" s="4">
        <f>'YTD BS'!T17</f>
        <v/>
      </c>
      <c r="U17" s="4">
        <f>'YTD BS'!U17</f>
        <v/>
      </c>
      <c r="V17" s="4">
        <f>'BALANCE SHEET'!G17</f>
        <v/>
      </c>
      <c r="W17" s="11">
        <f>'QTR P&amp;L'!Z2*'BS DRIVERS'!W15</f>
        <v/>
      </c>
      <c r="X17" s="11">
        <f>'QTR P&amp;L'!AA2*'BS DRIVERS'!X15</f>
        <v/>
      </c>
      <c r="Y17" s="11">
        <f>'QTR P&amp;L'!AB2*'BS DRIVERS'!Y15</f>
        <v/>
      </c>
      <c r="Z17" s="11">
        <f>'QTR P&amp;L'!AC2*'BS DRIVERS'!Z15</f>
        <v/>
      </c>
      <c r="AA17" s="11">
        <f>'QTR P&amp;L'!AD2*'BS DRIVERS'!AA15</f>
        <v/>
      </c>
      <c r="AB17" s="11">
        <f>'QTR P&amp;L'!AE2*'BS DRIVERS'!AB15</f>
        <v/>
      </c>
      <c r="AC17" s="11">
        <f>'QTR P&amp;L'!AF2*'BS DRIVERS'!AC15</f>
        <v/>
      </c>
      <c r="AD17" s="11">
        <f>'QTR P&amp;L'!AG2*'BS DRIVERS'!AD15</f>
        <v/>
      </c>
      <c r="AE17" s="11">
        <f>'QTR P&amp;L'!AH2*'BS DRIVERS'!AE15</f>
        <v/>
      </c>
      <c r="AF17" s="11">
        <f>'QTR P&amp;L'!AI2*'BS DRIVERS'!AF15</f>
        <v/>
      </c>
      <c r="AG17" s="11">
        <f>'QTR P&amp;L'!AJ2*'BS DRIVERS'!AG15</f>
        <v/>
      </c>
      <c r="AH17" s="11">
        <f>'QTR P&amp;L'!AK2*'BS DRIVERS'!AH15</f>
        <v/>
      </c>
      <c r="AI17" s="11">
        <f>'QTR P&amp;L'!AL2*'BS DRIVERS'!AI15</f>
        <v/>
      </c>
      <c r="AJ17" s="11">
        <f>'QTR P&amp;L'!AM2*'BS DRIVERS'!AJ15</f>
        <v/>
      </c>
      <c r="AK17" s="11">
        <f>'QTR P&amp;L'!AN2*'BS DRIVERS'!AK15</f>
        <v/>
      </c>
      <c r="AL17" s="11">
        <f>'QTR P&amp;L'!AO2*'BS DRIVERS'!AL15</f>
        <v/>
      </c>
      <c r="AM17" s="11">
        <f>'QTR P&amp;L'!AP2*'BS DRIVERS'!AM15</f>
        <v/>
      </c>
      <c r="AN17" s="11">
        <f>'QTR P&amp;L'!AQ2*'BS DRIVERS'!AN15</f>
        <v/>
      </c>
      <c r="AO17" s="11">
        <f>'QTR P&amp;L'!AR2*'BS DRIVERS'!AO15</f>
        <v/>
      </c>
      <c r="AP17" s="11">
        <f>'QTR P&amp;L'!AS2*'BS DRIVERS'!AP15</f>
        <v/>
      </c>
    </row>
    <row r="18">
      <c r="A18" s="3" t="inlineStr">
        <is>
          <t>Accrued Promotional Allowance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4">
        <f>'YTD BS'!Q18</f>
        <v/>
      </c>
      <c r="R18" s="4">
        <f>'BALANCE SHEET'!F18</f>
        <v/>
      </c>
      <c r="S18" s="4">
        <f>'YTD BS'!S18</f>
        <v/>
      </c>
      <c r="T18" s="4">
        <f>'YTD BS'!T18</f>
        <v/>
      </c>
      <c r="U18" s="4">
        <f>'YTD BS'!U18</f>
        <v/>
      </c>
      <c r="V18" s="4">
        <f>'BALANCE SHEET'!G18</f>
        <v/>
      </c>
      <c r="W18" s="11">
        <f>'QTR P&amp;L'!Z2*'BS DRIVERS'!W16</f>
        <v/>
      </c>
      <c r="X18" s="11">
        <f>'QTR P&amp;L'!AA2*'BS DRIVERS'!X16</f>
        <v/>
      </c>
      <c r="Y18" s="11">
        <f>'QTR P&amp;L'!AB2*'BS DRIVERS'!Y16</f>
        <v/>
      </c>
      <c r="Z18" s="11">
        <f>'QTR P&amp;L'!AC2*'BS DRIVERS'!Z16</f>
        <v/>
      </c>
      <c r="AA18" s="11">
        <f>'QTR P&amp;L'!AD2*'BS DRIVERS'!AA16</f>
        <v/>
      </c>
      <c r="AB18" s="11">
        <f>'QTR P&amp;L'!AE2*'BS DRIVERS'!AB16</f>
        <v/>
      </c>
      <c r="AC18" s="11">
        <f>'QTR P&amp;L'!AF2*'BS DRIVERS'!AC16</f>
        <v/>
      </c>
      <c r="AD18" s="11">
        <f>'QTR P&amp;L'!AG2*'BS DRIVERS'!AD16</f>
        <v/>
      </c>
      <c r="AE18" s="11">
        <f>'QTR P&amp;L'!AH2*'BS DRIVERS'!AE16</f>
        <v/>
      </c>
      <c r="AF18" s="11">
        <f>'QTR P&amp;L'!AI2*'BS DRIVERS'!AF16</f>
        <v/>
      </c>
      <c r="AG18" s="11">
        <f>'QTR P&amp;L'!AJ2*'BS DRIVERS'!AG16</f>
        <v/>
      </c>
      <c r="AH18" s="11">
        <f>'QTR P&amp;L'!AK2*'BS DRIVERS'!AH16</f>
        <v/>
      </c>
      <c r="AI18" s="11">
        <f>'QTR P&amp;L'!AL2*'BS DRIVERS'!AI16</f>
        <v/>
      </c>
      <c r="AJ18" s="11">
        <f>'QTR P&amp;L'!AM2*'BS DRIVERS'!AJ16</f>
        <v/>
      </c>
      <c r="AK18" s="11">
        <f>'QTR P&amp;L'!AN2*'BS DRIVERS'!AK16</f>
        <v/>
      </c>
      <c r="AL18" s="11">
        <f>'QTR P&amp;L'!AO2*'BS DRIVERS'!AL16</f>
        <v/>
      </c>
      <c r="AM18" s="11">
        <f>'QTR P&amp;L'!AP2*'BS DRIVERS'!AM16</f>
        <v/>
      </c>
      <c r="AN18" s="11">
        <f>'QTR P&amp;L'!AQ2*'BS DRIVERS'!AN16</f>
        <v/>
      </c>
      <c r="AO18" s="11">
        <f>'QTR P&amp;L'!AR2*'BS DRIVERS'!AO16</f>
        <v/>
      </c>
      <c r="AP18" s="11">
        <f>'QTR P&amp;L'!AS2*'BS DRIVERS'!AP16</f>
        <v/>
      </c>
    </row>
    <row r="19">
      <c r="A19" s="3" t="inlineStr">
        <is>
          <t>Deferred Revenue - Current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4">
        <f>'YTD BS'!P19</f>
        <v/>
      </c>
      <c r="Q19" s="4">
        <f>'YTD BS'!Q19</f>
        <v/>
      </c>
      <c r="R19" s="4">
        <f>'BALANCE SHEET'!F19</f>
        <v/>
      </c>
      <c r="S19" s="4">
        <f>'YTD BS'!S19</f>
        <v/>
      </c>
      <c r="T19" s="4">
        <f>'YTD BS'!T19</f>
        <v/>
      </c>
      <c r="U19" s="4">
        <f>'YTD BS'!U19</f>
        <v/>
      </c>
      <c r="V19" s="4">
        <f>'BALANCE SHEET'!G19</f>
        <v/>
      </c>
      <c r="W19" s="11">
        <f>'QTR P&amp;L'!Z2*'BS DRIVERS'!W17</f>
        <v/>
      </c>
      <c r="X19" s="11">
        <f>'QTR P&amp;L'!AA2*'BS DRIVERS'!X17</f>
        <v/>
      </c>
      <c r="Y19" s="11">
        <f>'QTR P&amp;L'!AB2*'BS DRIVERS'!Y17</f>
        <v/>
      </c>
      <c r="Z19" s="11">
        <f>'QTR P&amp;L'!AC2*'BS DRIVERS'!Z17</f>
        <v/>
      </c>
      <c r="AA19" s="11">
        <f>'QTR P&amp;L'!AD2*'BS DRIVERS'!AA17</f>
        <v/>
      </c>
      <c r="AB19" s="11">
        <f>'QTR P&amp;L'!AE2*'BS DRIVERS'!AB17</f>
        <v/>
      </c>
      <c r="AC19" s="11">
        <f>'QTR P&amp;L'!AF2*'BS DRIVERS'!AC17</f>
        <v/>
      </c>
      <c r="AD19" s="11">
        <f>'QTR P&amp;L'!AG2*'BS DRIVERS'!AD17</f>
        <v/>
      </c>
      <c r="AE19" s="11">
        <f>'QTR P&amp;L'!AH2*'BS DRIVERS'!AE17</f>
        <v/>
      </c>
      <c r="AF19" s="11">
        <f>'QTR P&amp;L'!AI2*'BS DRIVERS'!AF17</f>
        <v/>
      </c>
      <c r="AG19" s="11">
        <f>'QTR P&amp;L'!AJ2*'BS DRIVERS'!AG17</f>
        <v/>
      </c>
      <c r="AH19" s="11">
        <f>'QTR P&amp;L'!AK2*'BS DRIVERS'!AH17</f>
        <v/>
      </c>
      <c r="AI19" s="11">
        <f>'QTR P&amp;L'!AL2*'BS DRIVERS'!AI17</f>
        <v/>
      </c>
      <c r="AJ19" s="11">
        <f>'QTR P&amp;L'!AM2*'BS DRIVERS'!AJ17</f>
        <v/>
      </c>
      <c r="AK19" s="11">
        <f>'QTR P&amp;L'!AN2*'BS DRIVERS'!AK17</f>
        <v/>
      </c>
      <c r="AL19" s="11">
        <f>'QTR P&amp;L'!AO2*'BS DRIVERS'!AL17</f>
        <v/>
      </c>
      <c r="AM19" s="11">
        <f>'QTR P&amp;L'!AP2*'BS DRIVERS'!AM17</f>
        <v/>
      </c>
      <c r="AN19" s="11">
        <f>'QTR P&amp;L'!AQ2*'BS DRIVERS'!AN17</f>
        <v/>
      </c>
      <c r="AO19" s="11">
        <f>'QTR P&amp;L'!AR2*'BS DRIVERS'!AO17</f>
        <v/>
      </c>
      <c r="AP19" s="11">
        <f>'QTR P&amp;L'!AS2*'BS DRIVERS'!AP17</f>
        <v/>
      </c>
    </row>
    <row r="20">
      <c r="A20" s="3" t="inlineStr">
        <is>
          <t>Accrued Compensation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4">
        <f>'YTD BS'!Q20</f>
        <v/>
      </c>
      <c r="R20" s="4">
        <f>'BALANCE SHEET'!F20</f>
        <v/>
      </c>
      <c r="S20" s="4">
        <f>'YTD BS'!S20</f>
        <v/>
      </c>
      <c r="T20" s="4">
        <f>'YTD BS'!T20</f>
        <v/>
      </c>
      <c r="U20" s="4">
        <f>'YTD BS'!U20</f>
        <v/>
      </c>
      <c r="V20" s="4">
        <f>'BALANCE SHEET'!G20</f>
        <v/>
      </c>
      <c r="W20" s="11">
        <f>'QTR P&amp;L'!Z2*'BS DRIVERS'!W18</f>
        <v/>
      </c>
      <c r="X20" s="11">
        <f>'QTR P&amp;L'!AA2*'BS DRIVERS'!X18</f>
        <v/>
      </c>
      <c r="Y20" s="11">
        <f>'QTR P&amp;L'!AB2*'BS DRIVERS'!Y18</f>
        <v/>
      </c>
      <c r="Z20" s="11">
        <f>'QTR P&amp;L'!AC2*'BS DRIVERS'!Z18</f>
        <v/>
      </c>
      <c r="AA20" s="11">
        <f>'QTR P&amp;L'!AD2*'BS DRIVERS'!AA18</f>
        <v/>
      </c>
      <c r="AB20" s="11">
        <f>'QTR P&amp;L'!AE2*'BS DRIVERS'!AB18</f>
        <v/>
      </c>
      <c r="AC20" s="11">
        <f>'QTR P&amp;L'!AF2*'BS DRIVERS'!AC18</f>
        <v/>
      </c>
      <c r="AD20" s="11">
        <f>'QTR P&amp;L'!AG2*'BS DRIVERS'!AD18</f>
        <v/>
      </c>
      <c r="AE20" s="11">
        <f>'QTR P&amp;L'!AH2*'BS DRIVERS'!AE18</f>
        <v/>
      </c>
      <c r="AF20" s="11">
        <f>'QTR P&amp;L'!AI2*'BS DRIVERS'!AF18</f>
        <v/>
      </c>
      <c r="AG20" s="11">
        <f>'QTR P&amp;L'!AJ2*'BS DRIVERS'!AG18</f>
        <v/>
      </c>
      <c r="AH20" s="11">
        <f>'QTR P&amp;L'!AK2*'BS DRIVERS'!AH18</f>
        <v/>
      </c>
      <c r="AI20" s="11">
        <f>'QTR P&amp;L'!AL2*'BS DRIVERS'!AI18</f>
        <v/>
      </c>
      <c r="AJ20" s="11">
        <f>'QTR P&amp;L'!AM2*'BS DRIVERS'!AJ18</f>
        <v/>
      </c>
      <c r="AK20" s="11">
        <f>'QTR P&amp;L'!AN2*'BS DRIVERS'!AK18</f>
        <v/>
      </c>
      <c r="AL20" s="11">
        <f>'QTR P&amp;L'!AO2*'BS DRIVERS'!AL18</f>
        <v/>
      </c>
      <c r="AM20" s="11">
        <f>'QTR P&amp;L'!AP2*'BS DRIVERS'!AM18</f>
        <v/>
      </c>
      <c r="AN20" s="11">
        <f>'QTR P&amp;L'!AQ2*'BS DRIVERS'!AN18</f>
        <v/>
      </c>
      <c r="AO20" s="11">
        <f>'QTR P&amp;L'!AR2*'BS DRIVERS'!AO18</f>
        <v/>
      </c>
      <c r="AP20" s="11">
        <f>'QTR P&amp;L'!AS2*'BS DRIVERS'!AP18</f>
        <v/>
      </c>
    </row>
    <row r="21">
      <c r="A21" s="3" t="inlineStr">
        <is>
          <t>Income Taxes Payable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4">
        <f>'YTD BS'!Q21</f>
        <v/>
      </c>
      <c r="R21" s="4">
        <f>'BALANCE SHEET'!F21</f>
        <v/>
      </c>
      <c r="S21" s="4">
        <f>'YTD BS'!S21</f>
        <v/>
      </c>
      <c r="T21" s="4">
        <f>'YTD BS'!T21</f>
        <v/>
      </c>
      <c r="U21" s="4">
        <f>'YTD BS'!U21</f>
        <v/>
      </c>
      <c r="V21" s="4">
        <f>'BALANCE SHEET'!G21</f>
        <v/>
      </c>
      <c r="W21" s="11">
        <f>'QTR P&amp;L'!Z2*'BS DRIVERS'!W19</f>
        <v/>
      </c>
      <c r="X21" s="11">
        <f>'QTR P&amp;L'!AA2*'BS DRIVERS'!X19</f>
        <v/>
      </c>
      <c r="Y21" s="11">
        <f>'QTR P&amp;L'!AB2*'BS DRIVERS'!Y19</f>
        <v/>
      </c>
      <c r="Z21" s="11">
        <f>'QTR P&amp;L'!AC2*'BS DRIVERS'!Z19</f>
        <v/>
      </c>
      <c r="AA21" s="11">
        <f>'QTR P&amp;L'!AD2*'BS DRIVERS'!AA19</f>
        <v/>
      </c>
      <c r="AB21" s="11">
        <f>'QTR P&amp;L'!AE2*'BS DRIVERS'!AB19</f>
        <v/>
      </c>
      <c r="AC21" s="11">
        <f>'QTR P&amp;L'!AF2*'BS DRIVERS'!AC19</f>
        <v/>
      </c>
      <c r="AD21" s="11">
        <f>'QTR P&amp;L'!AG2*'BS DRIVERS'!AD19</f>
        <v/>
      </c>
      <c r="AE21" s="11">
        <f>'QTR P&amp;L'!AH2*'BS DRIVERS'!AE19</f>
        <v/>
      </c>
      <c r="AF21" s="11">
        <f>'QTR P&amp;L'!AI2*'BS DRIVERS'!AF19</f>
        <v/>
      </c>
      <c r="AG21" s="11">
        <f>'QTR P&amp;L'!AJ2*'BS DRIVERS'!AG19</f>
        <v/>
      </c>
      <c r="AH21" s="11">
        <f>'QTR P&amp;L'!AK2*'BS DRIVERS'!AH19</f>
        <v/>
      </c>
      <c r="AI21" s="11">
        <f>'QTR P&amp;L'!AL2*'BS DRIVERS'!AI19</f>
        <v/>
      </c>
      <c r="AJ21" s="11">
        <f>'QTR P&amp;L'!AM2*'BS DRIVERS'!AJ19</f>
        <v/>
      </c>
      <c r="AK21" s="11">
        <f>'QTR P&amp;L'!AN2*'BS DRIVERS'!AK19</f>
        <v/>
      </c>
      <c r="AL21" s="11">
        <f>'QTR P&amp;L'!AO2*'BS DRIVERS'!AL19</f>
        <v/>
      </c>
      <c r="AM21" s="11">
        <f>'QTR P&amp;L'!AP2*'BS DRIVERS'!AM19</f>
        <v/>
      </c>
      <c r="AN21" s="11">
        <f>'QTR P&amp;L'!AQ2*'BS DRIVERS'!AN19</f>
        <v/>
      </c>
      <c r="AO21" s="11">
        <f>'QTR P&amp;L'!AR2*'BS DRIVERS'!AO19</f>
        <v/>
      </c>
      <c r="AP21" s="11">
        <f>'QTR P&amp;L'!AS2*'BS DRIVERS'!AP19</f>
        <v/>
      </c>
    </row>
    <row r="22">
      <c r="A22" s="3" t="inlineStr">
        <is>
          <t>Total Current Liabilities</t>
        </is>
      </c>
      <c r="B22" s="6">
        <f>'BALANCE SHEET'!B22</f>
        <v/>
      </c>
      <c r="C22" s="6">
        <f>'YTD BS'!C22</f>
        <v/>
      </c>
      <c r="D22" s="6">
        <f>'YTD BS'!D22</f>
        <v/>
      </c>
      <c r="E22" s="6">
        <f>'YTD BS'!E22</f>
        <v/>
      </c>
      <c r="F22" s="6">
        <f>'BALANCE SHEET'!C22</f>
        <v/>
      </c>
      <c r="G22" s="6">
        <f>'YTD BS'!G22</f>
        <v/>
      </c>
      <c r="H22" s="6">
        <f>'YTD BS'!H22</f>
        <v/>
      </c>
      <c r="I22" s="6">
        <f>'YTD BS'!I22</f>
        <v/>
      </c>
      <c r="J22" s="6">
        <f>'BALANCE SHEET'!D22</f>
        <v/>
      </c>
      <c r="K22" s="6">
        <f>'YTD BS'!K22</f>
        <v/>
      </c>
      <c r="L22" s="6">
        <f>'YTD BS'!L22</f>
        <v/>
      </c>
      <c r="M22" s="6">
        <f>'YTD BS'!M22</f>
        <v/>
      </c>
      <c r="N22" s="6">
        <f>'BALANCE SHEET'!E22</f>
        <v/>
      </c>
      <c r="O22" s="6">
        <f>'YTD BS'!O22</f>
        <v/>
      </c>
      <c r="P22" s="6">
        <f>'YTD BS'!P22</f>
        <v/>
      </c>
      <c r="Q22" s="6">
        <f>'YTD BS'!Q22</f>
        <v/>
      </c>
      <c r="R22" s="6">
        <f>'BALANCE SHEET'!F22</f>
        <v/>
      </c>
      <c r="S22" s="6">
        <f>'YTD BS'!S22</f>
        <v/>
      </c>
      <c r="T22" s="6">
        <f>'YTD BS'!T22</f>
        <v/>
      </c>
      <c r="U22" s="6">
        <f>'YTD BS'!U22</f>
        <v/>
      </c>
      <c r="V22" s="6">
        <f>'BALANCE SHEET'!G22</f>
        <v/>
      </c>
      <c r="W22" s="7">
        <f>SUM(W16:W21)</f>
        <v/>
      </c>
      <c r="X22" s="7">
        <f>SUM(X16:X21)</f>
        <v/>
      </c>
      <c r="Y22" s="7">
        <f>SUM(Y16:Y21)</f>
        <v/>
      </c>
      <c r="Z22" s="7">
        <f>SUM(Z16:Z21)</f>
        <v/>
      </c>
      <c r="AA22" s="7">
        <f>SUM(AA16:AA21)</f>
        <v/>
      </c>
      <c r="AB22" s="7">
        <f>SUM(AB16:AB21)</f>
        <v/>
      </c>
      <c r="AC22" s="7">
        <f>SUM(AC16:AC21)</f>
        <v/>
      </c>
      <c r="AD22" s="7">
        <f>SUM(AD16:AD21)</f>
        <v/>
      </c>
      <c r="AE22" s="7">
        <f>SUM(AE16:AE21)</f>
        <v/>
      </c>
      <c r="AF22" s="7">
        <f>SUM(AF16:AF21)</f>
        <v/>
      </c>
      <c r="AG22" s="7">
        <f>SUM(AG16:AG21)</f>
        <v/>
      </c>
      <c r="AH22" s="7">
        <f>SUM(AH16:AH21)</f>
        <v/>
      </c>
      <c r="AI22" s="7">
        <f>SUM(AI16:AI21)</f>
        <v/>
      </c>
      <c r="AJ22" s="7">
        <f>SUM(AJ16:AJ21)</f>
        <v/>
      </c>
      <c r="AK22" s="7">
        <f>SUM(AK16:AK21)</f>
        <v/>
      </c>
      <c r="AL22" s="7">
        <f>SUM(AL16:AL21)</f>
        <v/>
      </c>
      <c r="AM22" s="7">
        <f>SUM(AM16:AM21)</f>
        <v/>
      </c>
      <c r="AN22" s="7">
        <f>SUM(AN16:AN21)</f>
        <v/>
      </c>
      <c r="AO22" s="7">
        <f>SUM(AO16:AO21)</f>
        <v/>
      </c>
      <c r="AP22" s="7">
        <f>SUM(AP16:AP21)</f>
        <v/>
      </c>
    </row>
    <row r="23">
      <c r="A23" s="3" t="inlineStr">
        <is>
          <t>Deferred Revenue - Non-Current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4">
        <f>'YTD BS'!Q23</f>
        <v/>
      </c>
      <c r="R23" s="4">
        <f>'BALANCE SHEET'!F23</f>
        <v/>
      </c>
      <c r="S23" s="4">
        <f>'YTD BS'!S23</f>
        <v/>
      </c>
      <c r="T23" s="4">
        <f>'YTD BS'!T23</f>
        <v/>
      </c>
      <c r="U23" s="4">
        <f>'YTD BS'!U23</f>
        <v/>
      </c>
      <c r="V23" s="4">
        <f>'BALANCE SHEET'!G23</f>
        <v/>
      </c>
      <c r="W23" s="11">
        <f>'QTR P&amp;L'!Z2*'BS DRIVERS'!W20</f>
        <v/>
      </c>
      <c r="X23" s="11">
        <f>'QTR P&amp;L'!AA2*'BS DRIVERS'!X20</f>
        <v/>
      </c>
      <c r="Y23" s="11">
        <f>'QTR P&amp;L'!AB2*'BS DRIVERS'!Y20</f>
        <v/>
      </c>
      <c r="Z23" s="11">
        <f>'QTR P&amp;L'!AC2*'BS DRIVERS'!Z20</f>
        <v/>
      </c>
      <c r="AA23" s="11">
        <f>'QTR P&amp;L'!AD2*'BS DRIVERS'!AA20</f>
        <v/>
      </c>
      <c r="AB23" s="11">
        <f>'QTR P&amp;L'!AE2*'BS DRIVERS'!AB20</f>
        <v/>
      </c>
      <c r="AC23" s="11">
        <f>'QTR P&amp;L'!AF2*'BS DRIVERS'!AC20</f>
        <v/>
      </c>
      <c r="AD23" s="11">
        <f>'QTR P&amp;L'!AG2*'BS DRIVERS'!AD20</f>
        <v/>
      </c>
      <c r="AE23" s="11">
        <f>'QTR P&amp;L'!AH2*'BS DRIVERS'!AE20</f>
        <v/>
      </c>
      <c r="AF23" s="11">
        <f>'QTR P&amp;L'!AI2*'BS DRIVERS'!AF20</f>
        <v/>
      </c>
      <c r="AG23" s="11">
        <f>'QTR P&amp;L'!AJ2*'BS DRIVERS'!AG20</f>
        <v/>
      </c>
      <c r="AH23" s="11">
        <f>'QTR P&amp;L'!AK2*'BS DRIVERS'!AH20</f>
        <v/>
      </c>
      <c r="AI23" s="11">
        <f>'QTR P&amp;L'!AL2*'BS DRIVERS'!AI20</f>
        <v/>
      </c>
      <c r="AJ23" s="11">
        <f>'QTR P&amp;L'!AM2*'BS DRIVERS'!AJ20</f>
        <v/>
      </c>
      <c r="AK23" s="11">
        <f>'QTR P&amp;L'!AN2*'BS DRIVERS'!AK20</f>
        <v/>
      </c>
      <c r="AL23" s="11">
        <f>'QTR P&amp;L'!AO2*'BS DRIVERS'!AL20</f>
        <v/>
      </c>
      <c r="AM23" s="11">
        <f>'QTR P&amp;L'!AP2*'BS DRIVERS'!AM20</f>
        <v/>
      </c>
      <c r="AN23" s="11">
        <f>'QTR P&amp;L'!AQ2*'BS DRIVERS'!AN20</f>
        <v/>
      </c>
      <c r="AO23" s="11">
        <f>'QTR P&amp;L'!AR2*'BS DRIVERS'!AO20</f>
        <v/>
      </c>
      <c r="AP23" s="11">
        <f>'QTR P&amp;L'!AS2*'BS DRIVERS'!AP20</f>
        <v/>
      </c>
    </row>
    <row r="24">
      <c r="A24" s="3" t="inlineStr">
        <is>
          <t>Deferred Tax Liability</t>
        </is>
      </c>
      <c r="C24" s="4">
        <f>'YTD BS'!C24</f>
        <v/>
      </c>
      <c r="D24" s="4">
        <f>'YTD BS'!D24</f>
        <v/>
      </c>
      <c r="E24" s="4">
        <f>'YTD BS'!E24</f>
        <v/>
      </c>
      <c r="G24" s="4">
        <f>'YTD BS'!G24</f>
        <v/>
      </c>
      <c r="H24" s="4">
        <f>'YTD BS'!H24</f>
        <v/>
      </c>
      <c r="I24" s="4">
        <f>'YTD BS'!I24</f>
        <v/>
      </c>
      <c r="K24" s="4">
        <f>'YTD BS'!K24</f>
        <v/>
      </c>
      <c r="L24" s="4">
        <f>'YTD BS'!L24</f>
        <v/>
      </c>
      <c r="M24" s="4">
        <f>'YTD BS'!M24</f>
        <v/>
      </c>
      <c r="O24" s="4">
        <f>'YTD BS'!O24</f>
        <v/>
      </c>
      <c r="P24" s="4">
        <f>'YTD BS'!P24</f>
        <v/>
      </c>
      <c r="Q24" s="4">
        <f>'YTD BS'!Q24</f>
        <v/>
      </c>
      <c r="S24" s="4">
        <f>'YTD BS'!S24</f>
        <v/>
      </c>
      <c r="T24" s="4">
        <f>'YTD BS'!T24</f>
        <v/>
      </c>
      <c r="U24" s="4">
        <f>'YTD BS'!U24</f>
        <v/>
      </c>
      <c r="W24" s="11">
        <f>'BS DRIVERS'!W21</f>
        <v/>
      </c>
      <c r="X24" s="11">
        <f>'BS DRIVERS'!X21</f>
        <v/>
      </c>
      <c r="Y24" s="11">
        <f>'BS DRIVERS'!Y21</f>
        <v/>
      </c>
      <c r="Z24" s="11">
        <f>'BS DRIVERS'!Z21</f>
        <v/>
      </c>
      <c r="AA24" s="11">
        <f>'BS DRIVERS'!AA21</f>
        <v/>
      </c>
      <c r="AB24" s="11">
        <f>'BS DRIVERS'!AB21</f>
        <v/>
      </c>
      <c r="AC24" s="11">
        <f>'BS DRIVERS'!AC21</f>
        <v/>
      </c>
      <c r="AD24" s="11">
        <f>'BS DRIVERS'!AD21</f>
        <v/>
      </c>
      <c r="AE24" s="11">
        <f>'BS DRIVERS'!AE21</f>
        <v/>
      </c>
      <c r="AF24" s="11">
        <f>'BS DRIVERS'!AF21</f>
        <v/>
      </c>
      <c r="AG24" s="11">
        <f>'BS DRIVERS'!AG21</f>
        <v/>
      </c>
      <c r="AH24" s="11">
        <f>'BS DRIVERS'!AH21</f>
        <v/>
      </c>
      <c r="AI24" s="11">
        <f>'BS DRIVERS'!AI21</f>
        <v/>
      </c>
      <c r="AJ24" s="11">
        <f>'BS DRIVERS'!AJ21</f>
        <v/>
      </c>
      <c r="AK24" s="11">
        <f>'BS DRIVERS'!AK21</f>
        <v/>
      </c>
      <c r="AL24" s="11">
        <f>'BS DRIVERS'!AL21</f>
        <v/>
      </c>
      <c r="AM24" s="11">
        <f>'BS DRIVERS'!AM21</f>
        <v/>
      </c>
      <c r="AN24" s="11">
        <f>'BS DRIVERS'!AN21</f>
        <v/>
      </c>
      <c r="AO24" s="11">
        <f>'BS DRIVERS'!AO21</f>
        <v/>
      </c>
      <c r="AP24" s="11">
        <f>'BS DRIVERS'!AP21</f>
        <v/>
      </c>
    </row>
    <row r="25">
      <c r="A25" s="3" t="inlineStr">
        <is>
          <t>Other Non-Current Liabilities</t>
        </is>
      </c>
      <c r="B25" s="4">
        <f>'BALANCE SHEET'!B24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SHEET'!C24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SHEET'!D24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SHEET'!E24</f>
        <v/>
      </c>
      <c r="O25" s="4">
        <f>'YTD BS'!O25</f>
        <v/>
      </c>
      <c r="P25" s="4">
        <f>'YTD BS'!P25</f>
        <v/>
      </c>
      <c r="Q25" s="4">
        <f>'YTD BS'!Q25</f>
        <v/>
      </c>
      <c r="R25" s="4">
        <f>'BALANCE SHEET'!F24</f>
        <v/>
      </c>
      <c r="S25" s="4">
        <f>'YTD BS'!S25</f>
        <v/>
      </c>
      <c r="T25" s="4">
        <f>'YTD BS'!T25</f>
        <v/>
      </c>
      <c r="U25" s="4">
        <f>'YTD BS'!U25</f>
        <v/>
      </c>
      <c r="V25" s="4">
        <f>'BALANCE SHEET'!G24</f>
        <v/>
      </c>
      <c r="W25" s="11">
        <f>'QTR P&amp;L'!Z2*'BS DRIVERS'!W22</f>
        <v/>
      </c>
      <c r="X25" s="11">
        <f>'QTR P&amp;L'!AA2*'BS DRIVERS'!X22</f>
        <v/>
      </c>
      <c r="Y25" s="11">
        <f>'QTR P&amp;L'!AB2*'BS DRIVERS'!Y22</f>
        <v/>
      </c>
      <c r="Z25" s="11">
        <f>'QTR P&amp;L'!AC2*'BS DRIVERS'!Z22</f>
        <v/>
      </c>
      <c r="AA25" s="11">
        <f>'QTR P&amp;L'!AD2*'BS DRIVERS'!AA22</f>
        <v/>
      </c>
      <c r="AB25" s="11">
        <f>'QTR P&amp;L'!AE2*'BS DRIVERS'!AB22</f>
        <v/>
      </c>
      <c r="AC25" s="11">
        <f>'QTR P&amp;L'!AF2*'BS DRIVERS'!AC22</f>
        <v/>
      </c>
      <c r="AD25" s="11">
        <f>'QTR P&amp;L'!AG2*'BS DRIVERS'!AD22</f>
        <v/>
      </c>
      <c r="AE25" s="11">
        <f>'QTR P&amp;L'!AH2*'BS DRIVERS'!AE22</f>
        <v/>
      </c>
      <c r="AF25" s="11">
        <f>'QTR P&amp;L'!AI2*'BS DRIVERS'!AF22</f>
        <v/>
      </c>
      <c r="AG25" s="11">
        <f>'QTR P&amp;L'!AJ2*'BS DRIVERS'!AG22</f>
        <v/>
      </c>
      <c r="AH25" s="11">
        <f>'QTR P&amp;L'!AK2*'BS DRIVERS'!AH22</f>
        <v/>
      </c>
      <c r="AI25" s="11">
        <f>'QTR P&amp;L'!AL2*'BS DRIVERS'!AI22</f>
        <v/>
      </c>
      <c r="AJ25" s="11">
        <f>'QTR P&amp;L'!AM2*'BS DRIVERS'!AJ22</f>
        <v/>
      </c>
      <c r="AK25" s="11">
        <f>'QTR P&amp;L'!AN2*'BS DRIVERS'!AK22</f>
        <v/>
      </c>
      <c r="AL25" s="11">
        <f>'QTR P&amp;L'!AO2*'BS DRIVERS'!AL22</f>
        <v/>
      </c>
      <c r="AM25" s="11">
        <f>'QTR P&amp;L'!AP2*'BS DRIVERS'!AM22</f>
        <v/>
      </c>
      <c r="AN25" s="11">
        <f>'QTR P&amp;L'!AQ2*'BS DRIVERS'!AN22</f>
        <v/>
      </c>
      <c r="AO25" s="11">
        <f>'QTR P&amp;L'!AR2*'BS DRIVERS'!AO22</f>
        <v/>
      </c>
      <c r="AP25" s="11">
        <f>'QTR P&amp;L'!AS2*'BS DRIVERS'!AP22</f>
        <v/>
      </c>
    </row>
    <row r="26">
      <c r="A26" s="3" t="inlineStr">
        <is>
          <t>Long-Term Debt</t>
        </is>
      </c>
      <c r="B26" s="4">
        <f>'BALANCE SHEET'!B25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SHEET'!C25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SHEET'!D25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SHEET'!E25</f>
        <v/>
      </c>
      <c r="O26" s="4">
        <f>'YTD BS'!O26</f>
        <v/>
      </c>
      <c r="P26" s="4">
        <f>'YTD BS'!P26</f>
        <v/>
      </c>
      <c r="Q26" s="4">
        <f>'YTD BS'!Q26</f>
        <v/>
      </c>
      <c r="R26" s="4">
        <f>'BALANCE SHEET'!F25</f>
        <v/>
      </c>
      <c r="S26" s="4">
        <f>'YTD BS'!S26</f>
        <v/>
      </c>
      <c r="T26" s="4">
        <f>'YTD BS'!T26</f>
        <v/>
      </c>
      <c r="U26" s="4">
        <f>'YTD BS'!U26</f>
        <v/>
      </c>
      <c r="V26" s="4">
        <f>'BALANCE SHEET'!G25</f>
        <v/>
      </c>
      <c r="W26" s="11">
        <f>'BS DRIVERS'!W23</f>
        <v/>
      </c>
      <c r="X26" s="11">
        <f>'BS DRIVERS'!X23</f>
        <v/>
      </c>
      <c r="Y26" s="11">
        <f>'BS DRIVERS'!Y23</f>
        <v/>
      </c>
      <c r="Z26" s="11">
        <f>'BS DRIVERS'!Z23</f>
        <v/>
      </c>
      <c r="AA26" s="11">
        <f>'BS DRIVERS'!AA23</f>
        <v/>
      </c>
      <c r="AB26" s="11">
        <f>'BS DRIVERS'!AB23</f>
        <v/>
      </c>
      <c r="AC26" s="11">
        <f>'BS DRIVERS'!AC23</f>
        <v/>
      </c>
      <c r="AD26" s="11">
        <f>'BS DRIVERS'!AD23</f>
        <v/>
      </c>
      <c r="AE26" s="11">
        <f>'BS DRIVERS'!AE23</f>
        <v/>
      </c>
      <c r="AF26" s="11">
        <f>'BS DRIVERS'!AF23</f>
        <v/>
      </c>
      <c r="AG26" s="11">
        <f>'BS DRIVERS'!AG23</f>
        <v/>
      </c>
      <c r="AH26" s="11">
        <f>'BS DRIVERS'!AH23</f>
        <v/>
      </c>
      <c r="AI26" s="11">
        <f>'BS DRIVERS'!AI23</f>
        <v/>
      </c>
      <c r="AJ26" s="11">
        <f>'BS DRIVERS'!AJ23</f>
        <v/>
      </c>
      <c r="AK26" s="11">
        <f>'BS DRIVERS'!AK23</f>
        <v/>
      </c>
      <c r="AL26" s="11">
        <f>'BS DRIVERS'!AL23</f>
        <v/>
      </c>
      <c r="AM26" s="11">
        <f>'BS DRIVERS'!AM23</f>
        <v/>
      </c>
      <c r="AN26" s="11">
        <f>'BS DRIVERS'!AN23</f>
        <v/>
      </c>
      <c r="AO26" s="11">
        <f>'BS DRIVERS'!AO23</f>
        <v/>
      </c>
      <c r="AP26" s="11">
        <f>'BS DRIVERS'!AP23</f>
        <v/>
      </c>
    </row>
    <row r="27">
      <c r="A27" s="3" t="inlineStr">
        <is>
          <t>Total Liabilities</t>
        </is>
      </c>
      <c r="B27" s="6">
        <f>'BALANCE SHEET'!B26</f>
        <v/>
      </c>
      <c r="C27" s="6">
        <f>'YTD BS'!C27</f>
        <v/>
      </c>
      <c r="D27" s="6">
        <f>'YTD BS'!D27</f>
        <v/>
      </c>
      <c r="E27" s="6">
        <f>'YTD BS'!E27</f>
        <v/>
      </c>
      <c r="F27" s="6">
        <f>'BALANCE SHEET'!C26</f>
        <v/>
      </c>
      <c r="G27" s="6">
        <f>'YTD BS'!G27</f>
        <v/>
      </c>
      <c r="H27" s="6">
        <f>'YTD BS'!H27</f>
        <v/>
      </c>
      <c r="I27" s="6">
        <f>'YTD BS'!I27</f>
        <v/>
      </c>
      <c r="J27" s="6">
        <f>'BALANCE SHEET'!D26</f>
        <v/>
      </c>
      <c r="K27" s="6">
        <f>'YTD BS'!K27</f>
        <v/>
      </c>
      <c r="L27" s="6">
        <f>'YTD BS'!L27</f>
        <v/>
      </c>
      <c r="M27" s="6">
        <f>'YTD BS'!M27</f>
        <v/>
      </c>
      <c r="N27" s="6">
        <f>'BALANCE SHEET'!E26</f>
        <v/>
      </c>
      <c r="O27" s="6">
        <f>'YTD BS'!O27</f>
        <v/>
      </c>
      <c r="P27" s="6">
        <f>'YTD BS'!P27</f>
        <v/>
      </c>
      <c r="Q27" s="6">
        <f>'YTD BS'!Q27</f>
        <v/>
      </c>
      <c r="R27" s="6">
        <f>'BALANCE SHEET'!F26</f>
        <v/>
      </c>
      <c r="S27" s="6">
        <f>'YTD BS'!S27</f>
        <v/>
      </c>
      <c r="T27" s="6">
        <f>'YTD BS'!T27</f>
        <v/>
      </c>
      <c r="U27" s="6">
        <f>'YTD BS'!U27</f>
        <v/>
      </c>
      <c r="V27" s="6">
        <f>'BALANCE SHEET'!G26</f>
        <v/>
      </c>
      <c r="W27" s="7">
        <f>W22+SUM(W23:W26)</f>
        <v/>
      </c>
      <c r="X27" s="7">
        <f>X22+SUM(X23:X26)</f>
        <v/>
      </c>
      <c r="Y27" s="7">
        <f>Y22+SUM(Y23:Y26)</f>
        <v/>
      </c>
      <c r="Z27" s="7">
        <f>Z22+SUM(Z23:Z26)</f>
        <v/>
      </c>
      <c r="AA27" s="7">
        <f>AA22+SUM(AA23:AA26)</f>
        <v/>
      </c>
      <c r="AB27" s="7">
        <f>AB22+SUM(AB23:AB26)</f>
        <v/>
      </c>
      <c r="AC27" s="7">
        <f>AC22+SUM(AC23:AC26)</f>
        <v/>
      </c>
      <c r="AD27" s="7">
        <f>AD22+SUM(AD23:AD26)</f>
        <v/>
      </c>
      <c r="AE27" s="7">
        <f>AE22+SUM(AE23:AE26)</f>
        <v/>
      </c>
      <c r="AF27" s="7">
        <f>AF22+SUM(AF23:AF26)</f>
        <v/>
      </c>
      <c r="AG27" s="7">
        <f>AG22+SUM(AG23:AG26)</f>
        <v/>
      </c>
      <c r="AH27" s="7">
        <f>AH22+SUM(AH23:AH26)</f>
        <v/>
      </c>
      <c r="AI27" s="7">
        <f>AI22+SUM(AI23:AI26)</f>
        <v/>
      </c>
      <c r="AJ27" s="7">
        <f>AJ22+SUM(AJ23:AJ26)</f>
        <v/>
      </c>
      <c r="AK27" s="7">
        <f>AK22+SUM(AK23:AK26)</f>
        <v/>
      </c>
      <c r="AL27" s="7">
        <f>AL22+SUM(AL23:AL26)</f>
        <v/>
      </c>
      <c r="AM27" s="7">
        <f>AM22+SUM(AM23:AM26)</f>
        <v/>
      </c>
      <c r="AN27" s="7">
        <f>AN22+SUM(AN23:AN26)</f>
        <v/>
      </c>
      <c r="AO27" s="7">
        <f>AO22+SUM(AO23:AO26)</f>
        <v/>
      </c>
      <c r="AP27" s="7">
        <f>AP22+SUM(AP23:AP26)</f>
        <v/>
      </c>
    </row>
    <row r="28">
      <c r="A28" s="3" t="inlineStr">
        <is>
          <t>Common Stock</t>
        </is>
      </c>
      <c r="B28" s="4">
        <f>'BALANCE SHEET'!B27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SHEET'!C27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SHEET'!D27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SHEET'!E27</f>
        <v/>
      </c>
      <c r="O28" s="4">
        <f>'YTD BS'!O28</f>
        <v/>
      </c>
      <c r="P28" s="4">
        <f>'YTD BS'!P28</f>
        <v/>
      </c>
      <c r="Q28" s="4">
        <f>'YTD BS'!Q28</f>
        <v/>
      </c>
      <c r="R28" s="4">
        <f>'BALANCE SHEET'!F27</f>
        <v/>
      </c>
      <c r="S28" s="4">
        <f>'YTD BS'!S28</f>
        <v/>
      </c>
      <c r="T28" s="4">
        <f>'YTD BS'!T28</f>
        <v/>
      </c>
      <c r="U28" s="4">
        <f>'YTD BS'!U28</f>
        <v/>
      </c>
      <c r="V28" s="4">
        <f>'BALANCE SHEET'!G27</f>
        <v/>
      </c>
      <c r="W28" s="11">
        <f>'BS DRIVERS'!W24</f>
        <v/>
      </c>
      <c r="X28" s="11">
        <f>'BS DRIVERS'!X24</f>
        <v/>
      </c>
      <c r="Y28" s="11">
        <f>'BS DRIVERS'!Y24</f>
        <v/>
      </c>
      <c r="Z28" s="11">
        <f>'BS DRIVERS'!Z24</f>
        <v/>
      </c>
      <c r="AA28" s="11">
        <f>'BS DRIVERS'!AA24</f>
        <v/>
      </c>
      <c r="AB28" s="11">
        <f>'BS DRIVERS'!AB24</f>
        <v/>
      </c>
      <c r="AC28" s="11">
        <f>'BS DRIVERS'!AC24</f>
        <v/>
      </c>
      <c r="AD28" s="11">
        <f>'BS DRIVERS'!AD24</f>
        <v/>
      </c>
      <c r="AE28" s="11">
        <f>'BS DRIVERS'!AE24</f>
        <v/>
      </c>
      <c r="AF28" s="11">
        <f>'BS DRIVERS'!AF24</f>
        <v/>
      </c>
      <c r="AG28" s="11">
        <f>'BS DRIVERS'!AG24</f>
        <v/>
      </c>
      <c r="AH28" s="11">
        <f>'BS DRIVERS'!AH24</f>
        <v/>
      </c>
      <c r="AI28" s="11">
        <f>'BS DRIVERS'!AI24</f>
        <v/>
      </c>
      <c r="AJ28" s="11">
        <f>'BS DRIVERS'!AJ24</f>
        <v/>
      </c>
      <c r="AK28" s="11">
        <f>'BS DRIVERS'!AK24</f>
        <v/>
      </c>
      <c r="AL28" s="11">
        <f>'BS DRIVERS'!AL24</f>
        <v/>
      </c>
      <c r="AM28" s="11">
        <f>'BS DRIVERS'!AM24</f>
        <v/>
      </c>
      <c r="AN28" s="11">
        <f>'BS DRIVERS'!AN24</f>
        <v/>
      </c>
      <c r="AO28" s="11">
        <f>'BS DRIVERS'!AO24</f>
        <v/>
      </c>
      <c r="AP28" s="11">
        <f>'BS DRIVERS'!AP24</f>
        <v/>
      </c>
    </row>
    <row r="29">
      <c r="A29" s="3" t="inlineStr">
        <is>
          <t>Additional Paid-in Capital</t>
        </is>
      </c>
      <c r="B29" s="4">
        <f>'BALANCE SHEET'!B28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SHEET'!C28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SHEET'!D28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SHEET'!E28</f>
        <v/>
      </c>
      <c r="O29" s="4">
        <f>'YTD BS'!O29</f>
        <v/>
      </c>
      <c r="P29" s="4">
        <f>'YTD BS'!P29</f>
        <v/>
      </c>
      <c r="Q29" s="4">
        <f>'YTD BS'!Q29</f>
        <v/>
      </c>
      <c r="R29" s="4">
        <f>'BALANCE SHEET'!F28</f>
        <v/>
      </c>
      <c r="S29" s="4">
        <f>'YTD BS'!S29</f>
        <v/>
      </c>
      <c r="T29" s="4">
        <f>'YTD BS'!T29</f>
        <v/>
      </c>
      <c r="U29" s="4">
        <f>'YTD BS'!U29</f>
        <v/>
      </c>
      <c r="V29" s="4">
        <f>'BALANCE SHEET'!G28</f>
        <v/>
      </c>
      <c r="W29" s="11">
        <f>'BS DRIVERS'!W25</f>
        <v/>
      </c>
      <c r="X29" s="11">
        <f>'BS DRIVERS'!X25</f>
        <v/>
      </c>
      <c r="Y29" s="11">
        <f>'BS DRIVERS'!Y25</f>
        <v/>
      </c>
      <c r="Z29" s="11">
        <f>'BS DRIVERS'!Z25</f>
        <v/>
      </c>
      <c r="AA29" s="11">
        <f>'BS DRIVERS'!AA25</f>
        <v/>
      </c>
      <c r="AB29" s="11">
        <f>'BS DRIVERS'!AB25</f>
        <v/>
      </c>
      <c r="AC29" s="11">
        <f>'BS DRIVERS'!AC25</f>
        <v/>
      </c>
      <c r="AD29" s="11">
        <f>'BS DRIVERS'!AD25</f>
        <v/>
      </c>
      <c r="AE29" s="11">
        <f>'BS DRIVERS'!AE25</f>
        <v/>
      </c>
      <c r="AF29" s="11">
        <f>'BS DRIVERS'!AF25</f>
        <v/>
      </c>
      <c r="AG29" s="11">
        <f>'BS DRIVERS'!AG25</f>
        <v/>
      </c>
      <c r="AH29" s="11">
        <f>'BS DRIVERS'!AH25</f>
        <v/>
      </c>
      <c r="AI29" s="11">
        <f>'BS DRIVERS'!AI25</f>
        <v/>
      </c>
      <c r="AJ29" s="11">
        <f>'BS DRIVERS'!AJ25</f>
        <v/>
      </c>
      <c r="AK29" s="11">
        <f>'BS DRIVERS'!AK25</f>
        <v/>
      </c>
      <c r="AL29" s="11">
        <f>'BS DRIVERS'!AL25</f>
        <v/>
      </c>
      <c r="AM29" s="11">
        <f>'BS DRIVERS'!AM25</f>
        <v/>
      </c>
      <c r="AN29" s="11">
        <f>'BS DRIVERS'!AN25</f>
        <v/>
      </c>
      <c r="AO29" s="11">
        <f>'BS DRIVERS'!AO25</f>
        <v/>
      </c>
      <c r="AP29" s="11">
        <f>'BS DRIVERS'!AP25</f>
        <v/>
      </c>
    </row>
    <row r="30">
      <c r="A30" s="3" t="inlineStr">
        <is>
          <t>Retained Earnings (Accumulated Deficit)</t>
        </is>
      </c>
      <c r="B30" s="4">
        <f>'BALANCE SHEET'!B29</f>
        <v/>
      </c>
      <c r="C30" s="4">
        <f>'YTD BS'!C30</f>
        <v/>
      </c>
      <c r="D30" s="4">
        <f>'YTD BS'!D30</f>
        <v/>
      </c>
      <c r="E30" s="4">
        <f>'YTD BS'!E30</f>
        <v/>
      </c>
      <c r="F30" s="4">
        <f>'BALANCE SHEET'!C29</f>
        <v/>
      </c>
      <c r="G30" s="4">
        <f>'YTD BS'!G30</f>
        <v/>
      </c>
      <c r="H30" s="4">
        <f>'YTD BS'!H30</f>
        <v/>
      </c>
      <c r="I30" s="4">
        <f>'YTD BS'!I30</f>
        <v/>
      </c>
      <c r="J30" s="4">
        <f>'BALANCE SHEET'!D29</f>
        <v/>
      </c>
      <c r="K30" s="4">
        <f>'YTD BS'!K30</f>
        <v/>
      </c>
      <c r="L30" s="4">
        <f>'YTD BS'!L30</f>
        <v/>
      </c>
      <c r="M30" s="4">
        <f>'YTD BS'!M30</f>
        <v/>
      </c>
      <c r="N30" s="4">
        <f>'BALANCE SHEET'!E29</f>
        <v/>
      </c>
      <c r="O30" s="4">
        <f>'YTD BS'!O30</f>
        <v/>
      </c>
      <c r="P30" s="4">
        <f>'YTD BS'!P30</f>
        <v/>
      </c>
      <c r="Q30" s="4">
        <f>'YTD BS'!Q30</f>
        <v/>
      </c>
      <c r="R30" s="4">
        <f>'BALANCE SHEET'!F29</f>
        <v/>
      </c>
      <c r="S30" s="4">
        <f>'YTD BS'!S30</f>
        <v/>
      </c>
      <c r="T30" s="4">
        <f>'YTD BS'!T30</f>
        <v/>
      </c>
      <c r="U30" s="4">
        <f>'YTD BS'!U30</f>
        <v/>
      </c>
      <c r="V30" s="4">
        <f>'BALANCE SHEET'!G29</f>
        <v/>
      </c>
      <c r="W30" s="11">
        <f>'BS DRIVERS'!W26</f>
        <v/>
      </c>
      <c r="X30" s="11">
        <f>'BS DRIVERS'!X26</f>
        <v/>
      </c>
      <c r="Y30" s="11">
        <f>'BS DRIVERS'!Y26</f>
        <v/>
      </c>
      <c r="Z30" s="11">
        <f>'BS DRIVERS'!Z26</f>
        <v/>
      </c>
      <c r="AA30" s="11">
        <f>'BS DRIVERS'!AA26</f>
        <v/>
      </c>
      <c r="AB30" s="11">
        <f>'BS DRIVERS'!AB26</f>
        <v/>
      </c>
      <c r="AC30" s="11">
        <f>'BS DRIVERS'!AC26</f>
        <v/>
      </c>
      <c r="AD30" s="11">
        <f>'BS DRIVERS'!AD26</f>
        <v/>
      </c>
      <c r="AE30" s="11">
        <f>'BS DRIVERS'!AE26</f>
        <v/>
      </c>
      <c r="AF30" s="11">
        <f>'BS DRIVERS'!AF26</f>
        <v/>
      </c>
      <c r="AG30" s="11">
        <f>'BS DRIVERS'!AG26</f>
        <v/>
      </c>
      <c r="AH30" s="11">
        <f>'BS DRIVERS'!AH26</f>
        <v/>
      </c>
      <c r="AI30" s="11">
        <f>'BS DRIVERS'!AI26</f>
        <v/>
      </c>
      <c r="AJ30" s="11">
        <f>'BS DRIVERS'!AJ26</f>
        <v/>
      </c>
      <c r="AK30" s="11">
        <f>'BS DRIVERS'!AK26</f>
        <v/>
      </c>
      <c r="AL30" s="11">
        <f>'BS DRIVERS'!AL26</f>
        <v/>
      </c>
      <c r="AM30" s="11">
        <f>'BS DRIVERS'!AM26</f>
        <v/>
      </c>
      <c r="AN30" s="11">
        <f>'BS DRIVERS'!AN26</f>
        <v/>
      </c>
      <c r="AO30" s="11">
        <f>'BS DRIVERS'!AO26</f>
        <v/>
      </c>
      <c r="AP30" s="11">
        <f>'BS DRIVERS'!AP26</f>
        <v/>
      </c>
    </row>
    <row r="31">
      <c r="A31" s="3" t="inlineStr">
        <is>
          <t>Accumulated Other Comprehensive Income (Loss)</t>
        </is>
      </c>
      <c r="B31" s="4">
        <f>'BALANCE SHEET'!B30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SHEET'!C30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SHEET'!D30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SHEET'!E30</f>
        <v/>
      </c>
      <c r="O31" s="4">
        <f>'YTD BS'!O31</f>
        <v/>
      </c>
      <c r="P31" s="4">
        <f>'YTD BS'!P31</f>
        <v/>
      </c>
      <c r="Q31" s="4">
        <f>'YTD BS'!Q31</f>
        <v/>
      </c>
      <c r="R31" s="4">
        <f>'BALANCE SHEET'!F30</f>
        <v/>
      </c>
      <c r="S31" s="4">
        <f>'YTD BS'!S31</f>
        <v/>
      </c>
      <c r="T31" s="4">
        <f>'YTD BS'!T31</f>
        <v/>
      </c>
      <c r="U31" s="4">
        <f>'YTD BS'!U31</f>
        <v/>
      </c>
      <c r="V31" s="4">
        <f>'BALANCE SHEET'!G30</f>
        <v/>
      </c>
      <c r="W31" s="11">
        <f>'BS DRIVERS'!W27</f>
        <v/>
      </c>
      <c r="X31" s="11">
        <f>'BS DRIVERS'!X27</f>
        <v/>
      </c>
      <c r="Y31" s="11">
        <f>'BS DRIVERS'!Y27</f>
        <v/>
      </c>
      <c r="Z31" s="11">
        <f>'BS DRIVERS'!Z27</f>
        <v/>
      </c>
      <c r="AA31" s="11">
        <f>'BS DRIVERS'!AA27</f>
        <v/>
      </c>
      <c r="AB31" s="11">
        <f>'BS DRIVERS'!AB27</f>
        <v/>
      </c>
      <c r="AC31" s="11">
        <f>'BS DRIVERS'!AC27</f>
        <v/>
      </c>
      <c r="AD31" s="11">
        <f>'BS DRIVERS'!AD27</f>
        <v/>
      </c>
      <c r="AE31" s="11">
        <f>'BS DRIVERS'!AE27</f>
        <v/>
      </c>
      <c r="AF31" s="11">
        <f>'BS DRIVERS'!AF27</f>
        <v/>
      </c>
      <c r="AG31" s="11">
        <f>'BS DRIVERS'!AG27</f>
        <v/>
      </c>
      <c r="AH31" s="11">
        <f>'BS DRIVERS'!AH27</f>
        <v/>
      </c>
      <c r="AI31" s="11">
        <f>'BS DRIVERS'!AI27</f>
        <v/>
      </c>
      <c r="AJ31" s="11">
        <f>'BS DRIVERS'!AJ27</f>
        <v/>
      </c>
      <c r="AK31" s="11">
        <f>'BS DRIVERS'!AK27</f>
        <v/>
      </c>
      <c r="AL31" s="11">
        <f>'BS DRIVERS'!AL27</f>
        <v/>
      </c>
      <c r="AM31" s="11">
        <f>'BS DRIVERS'!AM27</f>
        <v/>
      </c>
      <c r="AN31" s="11">
        <f>'BS DRIVERS'!AN27</f>
        <v/>
      </c>
      <c r="AO31" s="11">
        <f>'BS DRIVERS'!AO27</f>
        <v/>
      </c>
      <c r="AP31" s="11">
        <f>'BS DRIVERS'!AP27</f>
        <v/>
      </c>
    </row>
    <row r="32">
      <c r="A32" s="3" t="inlineStr">
        <is>
          <t>Treasury Stock</t>
        </is>
      </c>
      <c r="B32" s="4">
        <f>'BALANCE SHEET'!B31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SHEET'!C31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SHEET'!D31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SHEET'!E31</f>
        <v/>
      </c>
      <c r="O32" s="4">
        <f>'YTD BS'!O32</f>
        <v/>
      </c>
      <c r="P32" s="4">
        <f>'YTD BS'!P32</f>
        <v/>
      </c>
      <c r="Q32" s="4">
        <f>'YTD BS'!Q32</f>
        <v/>
      </c>
      <c r="R32" s="4">
        <f>'BALANCE SHEET'!F31</f>
        <v/>
      </c>
      <c r="S32" s="4">
        <f>'YTD BS'!S32</f>
        <v/>
      </c>
      <c r="T32" s="4">
        <f>'YTD BS'!T32</f>
        <v/>
      </c>
      <c r="U32" s="4">
        <f>'YTD BS'!U32</f>
        <v/>
      </c>
      <c r="V32" s="4">
        <f>'BALANCE SHEET'!G31</f>
        <v/>
      </c>
      <c r="W32" s="11">
        <f>'BS DRIVERS'!W28</f>
        <v/>
      </c>
      <c r="X32" s="11">
        <f>'BS DRIVERS'!X28</f>
        <v/>
      </c>
      <c r="Y32" s="11">
        <f>'BS DRIVERS'!Y28</f>
        <v/>
      </c>
      <c r="Z32" s="11">
        <f>'BS DRIVERS'!Z28</f>
        <v/>
      </c>
      <c r="AA32" s="11">
        <f>'BS DRIVERS'!AA28</f>
        <v/>
      </c>
      <c r="AB32" s="11">
        <f>'BS DRIVERS'!AB28</f>
        <v/>
      </c>
      <c r="AC32" s="11">
        <f>'BS DRIVERS'!AC28</f>
        <v/>
      </c>
      <c r="AD32" s="11">
        <f>'BS DRIVERS'!AD28</f>
        <v/>
      </c>
      <c r="AE32" s="11">
        <f>'BS DRIVERS'!AE28</f>
        <v/>
      </c>
      <c r="AF32" s="11">
        <f>'BS DRIVERS'!AF28</f>
        <v/>
      </c>
      <c r="AG32" s="11">
        <f>'BS DRIVERS'!AG28</f>
        <v/>
      </c>
      <c r="AH32" s="11">
        <f>'BS DRIVERS'!AH28</f>
        <v/>
      </c>
      <c r="AI32" s="11">
        <f>'BS DRIVERS'!AI28</f>
        <v/>
      </c>
      <c r="AJ32" s="11">
        <f>'BS DRIVERS'!AJ28</f>
        <v/>
      </c>
      <c r="AK32" s="11">
        <f>'BS DRIVERS'!AK28</f>
        <v/>
      </c>
      <c r="AL32" s="11">
        <f>'BS DRIVERS'!AL28</f>
        <v/>
      </c>
      <c r="AM32" s="11">
        <f>'BS DRIVERS'!AM28</f>
        <v/>
      </c>
      <c r="AN32" s="11">
        <f>'BS DRIVERS'!AN28</f>
        <v/>
      </c>
      <c r="AO32" s="11">
        <f>'BS DRIVERS'!AO28</f>
        <v/>
      </c>
      <c r="AP32" s="11">
        <f>'BS DRIVERS'!AP28</f>
        <v/>
      </c>
    </row>
    <row r="33">
      <c r="A33" s="3" t="inlineStr">
        <is>
          <t>Total Stockholders' Equity</t>
        </is>
      </c>
      <c r="B33" s="6">
        <f>'BALANCE SHEET'!B32</f>
        <v/>
      </c>
      <c r="C33" s="6">
        <f>'YTD BS'!C33</f>
        <v/>
      </c>
      <c r="D33" s="6">
        <f>'YTD BS'!D33</f>
        <v/>
      </c>
      <c r="E33" s="6">
        <f>'YTD BS'!E33</f>
        <v/>
      </c>
      <c r="F33" s="6">
        <f>'BALANCE SHEET'!C32</f>
        <v/>
      </c>
      <c r="G33" s="6">
        <f>'YTD BS'!G33</f>
        <v/>
      </c>
      <c r="H33" s="6">
        <f>'YTD BS'!H33</f>
        <v/>
      </c>
      <c r="I33" s="6">
        <f>'YTD BS'!I33</f>
        <v/>
      </c>
      <c r="J33" s="6">
        <f>'BALANCE SHEET'!D32</f>
        <v/>
      </c>
      <c r="K33" s="6">
        <f>'YTD BS'!K33</f>
        <v/>
      </c>
      <c r="L33" s="6">
        <f>'YTD BS'!L33</f>
        <v/>
      </c>
      <c r="M33" s="6">
        <f>'YTD BS'!M33</f>
        <v/>
      </c>
      <c r="N33" s="6">
        <f>'BALANCE SHEET'!E32</f>
        <v/>
      </c>
      <c r="O33" s="6">
        <f>'YTD BS'!O33</f>
        <v/>
      </c>
      <c r="P33" s="6">
        <f>'YTD BS'!P33</f>
        <v/>
      </c>
      <c r="Q33" s="6">
        <f>'YTD BS'!Q33</f>
        <v/>
      </c>
      <c r="R33" s="6">
        <f>'BALANCE SHEET'!F32</f>
        <v/>
      </c>
      <c r="S33" s="6">
        <f>'YTD BS'!S33</f>
        <v/>
      </c>
      <c r="T33" s="6">
        <f>'YTD BS'!T33</f>
        <v/>
      </c>
      <c r="U33" s="6">
        <f>'YTD BS'!U33</f>
        <v/>
      </c>
      <c r="V33" s="6">
        <f>'BALANCE SHEET'!G32</f>
        <v/>
      </c>
      <c r="W33" s="7">
        <f>SUM(W28:W32)</f>
        <v/>
      </c>
      <c r="X33" s="7">
        <f>SUM(X28:X32)</f>
        <v/>
      </c>
      <c r="Y33" s="7">
        <f>SUM(Y28:Y32)</f>
        <v/>
      </c>
      <c r="Z33" s="7">
        <f>SUM(Z28:Z32)</f>
        <v/>
      </c>
      <c r="AA33" s="7">
        <f>SUM(AA28:AA32)</f>
        <v/>
      </c>
      <c r="AB33" s="7">
        <f>SUM(AB28:AB32)</f>
        <v/>
      </c>
      <c r="AC33" s="7">
        <f>SUM(AC28:AC32)</f>
        <v/>
      </c>
      <c r="AD33" s="7">
        <f>SUM(AD28:AD32)</f>
        <v/>
      </c>
      <c r="AE33" s="7">
        <f>SUM(AE28:AE32)</f>
        <v/>
      </c>
      <c r="AF33" s="7">
        <f>SUM(AF28:AF32)</f>
        <v/>
      </c>
      <c r="AG33" s="7">
        <f>SUM(AG28:AG32)</f>
        <v/>
      </c>
      <c r="AH33" s="7">
        <f>SUM(AH28:AH32)</f>
        <v/>
      </c>
      <c r="AI33" s="7">
        <f>SUM(AI28:AI32)</f>
        <v/>
      </c>
      <c r="AJ33" s="7">
        <f>SUM(AJ28:AJ32)</f>
        <v/>
      </c>
      <c r="AK33" s="7">
        <f>SUM(AK28:AK32)</f>
        <v/>
      </c>
      <c r="AL33" s="7">
        <f>SUM(AL28:AL32)</f>
        <v/>
      </c>
      <c r="AM33" s="7">
        <f>SUM(AM28:AM32)</f>
        <v/>
      </c>
      <c r="AN33" s="7">
        <f>SUM(AN28:AN32)</f>
        <v/>
      </c>
      <c r="AO33" s="7">
        <f>SUM(AO28:AO32)</f>
        <v/>
      </c>
      <c r="AP33" s="7">
        <f>SUM(AP28:AP32)</f>
        <v/>
      </c>
    </row>
    <row r="34">
      <c r="A34" s="3" t="inlineStr">
        <is>
          <t>Total Liabilities, Mezzanine &amp; Stockholders' Equity</t>
        </is>
      </c>
      <c r="B34" s="6">
        <f>'BALANCE SHEET'!B33</f>
        <v/>
      </c>
      <c r="C34" s="6">
        <f>'YTD BS'!C34</f>
        <v/>
      </c>
      <c r="D34" s="6">
        <f>'YTD BS'!D34</f>
        <v/>
      </c>
      <c r="E34" s="6">
        <f>'YTD BS'!E34</f>
        <v/>
      </c>
      <c r="F34" s="6">
        <f>'BALANCE SHEET'!C33</f>
        <v/>
      </c>
      <c r="G34" s="6">
        <f>'YTD BS'!G34</f>
        <v/>
      </c>
      <c r="H34" s="6">
        <f>'YTD BS'!H34</f>
        <v/>
      </c>
      <c r="I34" s="6">
        <f>'YTD BS'!I34</f>
        <v/>
      </c>
      <c r="J34" s="6">
        <f>'BALANCE SHEET'!D33</f>
        <v/>
      </c>
      <c r="K34" s="6">
        <f>'YTD BS'!K34</f>
        <v/>
      </c>
      <c r="L34" s="6">
        <f>'YTD BS'!L34</f>
        <v/>
      </c>
      <c r="M34" s="6">
        <f>'YTD BS'!M34</f>
        <v/>
      </c>
      <c r="N34" s="6">
        <f>'BALANCE SHEET'!E33</f>
        <v/>
      </c>
      <c r="O34" s="6">
        <f>'YTD BS'!O34</f>
        <v/>
      </c>
      <c r="P34" s="6">
        <f>'YTD BS'!P34</f>
        <v/>
      </c>
      <c r="Q34" s="6">
        <f>'YTD BS'!Q34</f>
        <v/>
      </c>
      <c r="R34" s="6">
        <f>'BALANCE SHEET'!F33</f>
        <v/>
      </c>
      <c r="S34" s="6">
        <f>'YTD BS'!S34</f>
        <v/>
      </c>
      <c r="T34" s="6">
        <f>'YTD BS'!T34</f>
        <v/>
      </c>
      <c r="U34" s="6">
        <f>'YTD BS'!U34</f>
        <v/>
      </c>
      <c r="V34" s="6">
        <f>'BALANCE SHEET'!G33</f>
        <v/>
      </c>
      <c r="W34" s="7">
        <f>W27+W33</f>
        <v/>
      </c>
      <c r="X34" s="7">
        <f>X27+X33</f>
        <v/>
      </c>
      <c r="Y34" s="7">
        <f>Y27+Y33</f>
        <v/>
      </c>
      <c r="Z34" s="7">
        <f>Z27+Z33</f>
        <v/>
      </c>
      <c r="AA34" s="7">
        <f>AA27+AA33</f>
        <v/>
      </c>
      <c r="AB34" s="7">
        <f>AB27+AB33</f>
        <v/>
      </c>
      <c r="AC34" s="7">
        <f>AC27+AC33</f>
        <v/>
      </c>
      <c r="AD34" s="7">
        <f>AD27+AD33</f>
        <v/>
      </c>
      <c r="AE34" s="7">
        <f>AE27+AE33</f>
        <v/>
      </c>
      <c r="AF34" s="7">
        <f>AF27+AF33</f>
        <v/>
      </c>
      <c r="AG34" s="7">
        <f>AG27+AG33</f>
        <v/>
      </c>
      <c r="AH34" s="7">
        <f>AH27+AH33</f>
        <v/>
      </c>
      <c r="AI34" s="7">
        <f>AI27+AI33</f>
        <v/>
      </c>
      <c r="AJ34" s="7">
        <f>AJ27+AJ33</f>
        <v/>
      </c>
      <c r="AK34" s="7">
        <f>AK27+AK33</f>
        <v/>
      </c>
      <c r="AL34" s="7">
        <f>AL27+AL33</f>
        <v/>
      </c>
      <c r="AM34" s="7">
        <f>AM27+AM33</f>
        <v/>
      </c>
      <c r="AN34" s="7">
        <f>AN27+AN33</f>
        <v/>
      </c>
      <c r="AO34" s="7">
        <f>AO27+AO33</f>
        <v/>
      </c>
      <c r="AP34" s="7">
        <f>AP27+AP33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S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Q4 FY2020</t>
        </is>
      </c>
      <c r="F1" s="2" t="inlineStr">
        <is>
          <t>Q1 FY2021</t>
        </is>
      </c>
      <c r="G1" s="2" t="inlineStr">
        <is>
          <t>Q2 FY2021</t>
        </is>
      </c>
      <c r="H1" s="2" t="inlineStr">
        <is>
          <t>Q3 FY2021</t>
        </is>
      </c>
      <c r="I1" s="2" t="inlineStr">
        <is>
          <t>Q4 FY2021</t>
        </is>
      </c>
      <c r="J1" s="2" t="inlineStr">
        <is>
          <t>Q1 FY2022</t>
        </is>
      </c>
      <c r="K1" s="2" t="inlineStr">
        <is>
          <t>Q2 FY2022</t>
        </is>
      </c>
      <c r="L1" s="2" t="inlineStr">
        <is>
          <t>Q3 FY2022</t>
        </is>
      </c>
      <c r="M1" s="2" t="inlineStr">
        <is>
          <t>Q4 FY2022</t>
        </is>
      </c>
      <c r="N1" s="2" t="inlineStr">
        <is>
          <t>Q1 FY2023</t>
        </is>
      </c>
      <c r="O1" s="2" t="inlineStr">
        <is>
          <t>Q2 FY2023</t>
        </is>
      </c>
      <c r="P1" s="2" t="inlineStr">
        <is>
          <t>Q3 FY2023</t>
        </is>
      </c>
      <c r="Q1" s="2" t="inlineStr">
        <is>
          <t>Q4 FY2023</t>
        </is>
      </c>
      <c r="R1" s="2" t="inlineStr">
        <is>
          <t>Q1 FY2024</t>
        </is>
      </c>
      <c r="S1" s="2" t="inlineStr">
        <is>
          <t>Q2 FY2024</t>
        </is>
      </c>
      <c r="T1" s="2" t="inlineStr">
        <is>
          <t>Q3 FY2024</t>
        </is>
      </c>
      <c r="U1" s="2" t="inlineStr">
        <is>
          <t>Q4 FY2024</t>
        </is>
      </c>
      <c r="V1" s="2" t="inlineStr">
        <is>
          <t>Q1 FY2025</t>
        </is>
      </c>
      <c r="W1" s="2" t="inlineStr">
        <is>
          <t>Q2 FY2025</t>
        </is>
      </c>
      <c r="X1" s="2" t="inlineStr">
        <is>
          <t>Q3 FY2025</t>
        </is>
      </c>
      <c r="Y1" s="2" t="inlineStr">
        <is>
          <t>Q4 FY2025</t>
        </is>
      </c>
      <c r="Z1" s="2" t="inlineStr">
        <is>
          <t>Q1 FY2026E</t>
        </is>
      </c>
      <c r="AA1" s="2" t="inlineStr">
        <is>
          <t>Q2 FY2026E</t>
        </is>
      </c>
      <c r="AB1" s="2" t="inlineStr">
        <is>
          <t>Q3 FY2026E</t>
        </is>
      </c>
      <c r="AC1" s="2" t="inlineStr">
        <is>
          <t>Q4 FY2026E</t>
        </is>
      </c>
      <c r="AD1" s="2" t="inlineStr">
        <is>
          <t>Q1 FY2027E</t>
        </is>
      </c>
      <c r="AE1" s="2" t="inlineStr">
        <is>
          <t>Q2 FY2027E</t>
        </is>
      </c>
      <c r="AF1" s="2" t="inlineStr">
        <is>
          <t>Q3 FY2027E</t>
        </is>
      </c>
      <c r="AG1" s="2" t="inlineStr">
        <is>
          <t>Q4 FY2027E</t>
        </is>
      </c>
      <c r="AH1" s="2" t="inlineStr">
        <is>
          <t>Q1 FY2028E</t>
        </is>
      </c>
      <c r="AI1" s="2" t="inlineStr">
        <is>
          <t>Q2 FY2028E</t>
        </is>
      </c>
      <c r="AJ1" s="2" t="inlineStr">
        <is>
          <t>Q3 FY2028E</t>
        </is>
      </c>
      <c r="AK1" s="2" t="inlineStr">
        <is>
          <t>Q4 FY2028E</t>
        </is>
      </c>
      <c r="AL1" s="2" t="inlineStr">
        <is>
          <t>Q1 FY2029E</t>
        </is>
      </c>
      <c r="AM1" s="2" t="inlineStr">
        <is>
          <t>Q2 FY2029E</t>
        </is>
      </c>
      <c r="AN1" s="2" t="inlineStr">
        <is>
          <t>Q3 FY2029E</t>
        </is>
      </c>
      <c r="AO1" s="2" t="inlineStr">
        <is>
          <t>Q4 FY2029E</t>
        </is>
      </c>
      <c r="AP1" s="2" t="inlineStr">
        <is>
          <t>Q1 FY2030E</t>
        </is>
      </c>
      <c r="AQ1" s="2" t="inlineStr">
        <is>
          <t>Q2 FY2030E</t>
        </is>
      </c>
      <c r="AR1" s="2" t="inlineStr">
        <is>
          <t>Q3 FY2030E</t>
        </is>
      </c>
      <c r="AS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4">
        <f>'YTD CF'!P2-'YTD CF'!O2</f>
        <v/>
      </c>
      <c r="U2" s="4">
        <f>'CASH FLOW'!G2-'YTD CF'!P2</f>
        <v/>
      </c>
      <c r="V2" s="4">
        <f>'YTD CF'!Q2</f>
        <v/>
      </c>
      <c r="W2" s="4">
        <f>'YTD CF'!R2-'YTD CF'!Q2</f>
        <v/>
      </c>
      <c r="X2" s="4">
        <f>'YTD CF'!S2-'YTD CF'!R2</f>
        <v/>
      </c>
      <c r="Y2" s="4">
        <f>'CASH FLOW'!H2-'YTD CF'!S2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  <c r="AP2" s="11">
        <f>'CF DRIVERS'!AP2</f>
        <v/>
      </c>
      <c r="AQ2" s="11">
        <f>'CF DRIVERS'!AQ2</f>
        <v/>
      </c>
      <c r="AR2" s="11">
        <f>'CF DRIVERS'!AR2</f>
        <v/>
      </c>
      <c r="AS2" s="11">
        <f>'CF DRIVERS'!AS2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4">
        <f>'YTD CF'!P3-'YTD CF'!O3</f>
        <v/>
      </c>
      <c r="U3" s="4">
        <f>'CASH FLOW'!G3-'YTD CF'!P3</f>
        <v/>
      </c>
      <c r="V3" s="4">
        <f>'YTD CF'!Q3</f>
        <v/>
      </c>
      <c r="W3" s="4">
        <f>'YTD CF'!R3-'YTD CF'!Q3</f>
        <v/>
      </c>
      <c r="X3" s="4">
        <f>'YTD CF'!S3-'YTD CF'!R3</f>
        <v/>
      </c>
      <c r="Y3" s="4">
        <f>'CASH FLOW'!H3-'YTD CF'!S3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  <c r="AP3" s="11">
        <f>'QTR P&amp;L'!AP2*'CF DRIVERS'!AP3</f>
        <v/>
      </c>
      <c r="AQ3" s="11">
        <f>'QTR P&amp;L'!AQ2*'CF DRIVERS'!AQ3</f>
        <v/>
      </c>
      <c r="AR3" s="11">
        <f>'QTR P&amp;L'!AR2*'CF DRIVERS'!AR3</f>
        <v/>
      </c>
      <c r="AS3" s="11">
        <f>'QTR P&amp;L'!AS2*'CF DRIVERS'!AS3</f>
        <v/>
      </c>
    </row>
    <row r="4">
      <c r="A4" s="3" t="inlineStr">
        <is>
          <t>Non-Cash Lease Expense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4">
        <f>'YTD CF'!P4-'YTD CF'!O4</f>
        <v/>
      </c>
      <c r="U4" s="4">
        <f>'CASH FLOW'!G4-'YTD CF'!P4</f>
        <v/>
      </c>
      <c r="V4" s="4">
        <f>'YTD CF'!Q4</f>
        <v/>
      </c>
      <c r="W4" s="4">
        <f>'YTD CF'!R4-'YTD CF'!Q4</f>
        <v/>
      </c>
      <c r="X4" s="4">
        <f>'YTD CF'!S4-'YTD CF'!R4</f>
        <v/>
      </c>
      <c r="Y4" s="4">
        <f>'CASH FLOW'!H4-'YTD CF'!S4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  <c r="AP4" s="11">
        <f>'CF DRIVERS'!AP4</f>
        <v/>
      </c>
      <c r="AQ4" s="11">
        <f>'CF DRIVERS'!AQ4</f>
        <v/>
      </c>
      <c r="AR4" s="11">
        <f>'CF DRIVERS'!AR4</f>
        <v/>
      </c>
      <c r="AS4" s="11">
        <f>'CF DRIVERS'!AS4</f>
        <v/>
      </c>
    </row>
    <row r="5">
      <c r="A5" s="3" t="inlineStr">
        <is>
          <t>Gain (Loss) on Disposal of PP&amp;E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4">
        <f>'YTD CF'!P5-'YTD CF'!O5</f>
        <v/>
      </c>
      <c r="U5" s="4">
        <f>'CASH FLOW'!G5-'YTD CF'!P5</f>
        <v/>
      </c>
      <c r="V5" s="4">
        <f>'YTD CF'!Q5</f>
        <v/>
      </c>
      <c r="W5" s="4">
        <f>'YTD CF'!R5-'YTD CF'!Q5</f>
        <v/>
      </c>
      <c r="X5" s="4">
        <f>'YTD CF'!S5-'YTD CF'!R5</f>
        <v/>
      </c>
      <c r="Y5" s="4">
        <f>'CASH FLOW'!H5-'YTD CF'!S5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  <c r="AP5" s="11">
        <f>'CF DRIVERS'!AP5</f>
        <v/>
      </c>
      <c r="AQ5" s="11">
        <f>'CF DRIVERS'!AQ5</f>
        <v/>
      </c>
      <c r="AR5" s="11">
        <f>'CF DRIVERS'!AR5</f>
        <v/>
      </c>
      <c r="AS5" s="11">
        <f>'CF DRIVERS'!AS5</f>
        <v/>
      </c>
    </row>
    <row r="6">
      <c r="A6" s="3" t="inlineStr">
        <is>
          <t>Gain on Bang Transaction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4">
        <f>'YTD CF'!P6-'YTD CF'!O6</f>
        <v/>
      </c>
      <c r="U6" s="4">
        <f>'CASH FLOW'!G6-'YTD CF'!P6</f>
        <v/>
      </c>
      <c r="V6" s="4">
        <f>'YTD CF'!Q6</f>
        <v/>
      </c>
      <c r="W6" s="4">
        <f>'YTD CF'!R6-'YTD CF'!Q6</f>
        <v/>
      </c>
      <c r="X6" s="4">
        <f>'YTD CF'!S6-'YTD CF'!R6</f>
        <v/>
      </c>
      <c r="Y6" s="4">
        <f>'CASH FLOW'!H6-'YTD CF'!S6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  <c r="AP6" s="11">
        <f>'CF DRIVERS'!AP6</f>
        <v/>
      </c>
      <c r="AQ6" s="11">
        <f>'CF DRIVERS'!AQ6</f>
        <v/>
      </c>
      <c r="AR6" s="11">
        <f>'CF DRIVERS'!AR6</f>
        <v/>
      </c>
      <c r="AS6" s="11">
        <f>'CF DRIVERS'!AS6</f>
        <v/>
      </c>
    </row>
    <row r="7">
      <c r="A7" s="3" t="inlineStr">
        <is>
          <t>Impairment of Intangibles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4">
        <f>'YTD CF'!P7-'YTD CF'!O7</f>
        <v/>
      </c>
      <c r="U7" s="4">
        <f>'CASH FLOW'!G7-'YTD CF'!P7</f>
        <v/>
      </c>
      <c r="V7" s="4">
        <f>'YTD CF'!Q7</f>
        <v/>
      </c>
      <c r="W7" s="4">
        <f>'YTD CF'!R7-'YTD CF'!Q7</f>
        <v/>
      </c>
      <c r="X7" s="4">
        <f>'YTD CF'!S7-'YTD CF'!R7</f>
        <v/>
      </c>
      <c r="Y7" s="4">
        <f>'CASH FLOW'!H7-'YTD CF'!S7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  <c r="AP7" s="11">
        <f>'CF DRIVERS'!AP7</f>
        <v/>
      </c>
      <c r="AQ7" s="11">
        <f>'CF DRIVERS'!AQ7</f>
        <v/>
      </c>
      <c r="AR7" s="11">
        <f>'CF DRIVERS'!AR7</f>
        <v/>
      </c>
      <c r="AS7" s="11">
        <f>'CF DRIVERS'!AS7</f>
        <v/>
      </c>
    </row>
    <row r="8">
      <c r="A8" s="3" t="inlineStr">
        <is>
          <t>Impairment of Long-Lived Assets (PP&amp;E)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4">
        <f>'YTD CF'!P8-'YTD CF'!O8</f>
        <v/>
      </c>
      <c r="U8" s="4">
        <f>'CASH FLOW'!G8-'YTD CF'!P8</f>
        <v/>
      </c>
      <c r="V8" s="4">
        <f>'YTD CF'!Q8</f>
        <v/>
      </c>
      <c r="W8" s="4">
        <f>'YTD CF'!R8-'YTD CF'!Q8</f>
        <v/>
      </c>
      <c r="X8" s="4">
        <f>'YTD CF'!S8-'YTD CF'!R8</f>
        <v/>
      </c>
      <c r="Y8" s="4">
        <f>'CASH FLOW'!H8-'YTD CF'!S8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  <c r="AP8" s="11">
        <f>'CF DRIVERS'!AP8</f>
        <v/>
      </c>
      <c r="AQ8" s="11">
        <f>'CF DRIVERS'!AQ8</f>
        <v/>
      </c>
      <c r="AR8" s="11">
        <f>'CF DRIVERS'!AR8</f>
        <v/>
      </c>
      <c r="AS8" s="11">
        <f>'CF DRIVERS'!AS8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4">
        <f>'YTD CF'!P9-'YTD CF'!O9</f>
        <v/>
      </c>
      <c r="U9" s="4">
        <f>'CASH FLOW'!G9-'YTD CF'!P9</f>
        <v/>
      </c>
      <c r="V9" s="4">
        <f>'YTD CF'!Q9</f>
        <v/>
      </c>
      <c r="W9" s="4">
        <f>'YTD CF'!R9-'YTD CF'!Q9</f>
        <v/>
      </c>
      <c r="X9" s="4">
        <f>'YTD CF'!S9-'YTD CF'!R9</f>
        <v/>
      </c>
      <c r="Y9" s="4">
        <f>'CASH FLOW'!H9-'YTD CF'!S9</f>
        <v/>
      </c>
      <c r="Z9" s="11">
        <f>'QTR P&amp;L'!Z2*'CF DRIVERS'!Z9</f>
        <v/>
      </c>
      <c r="AA9" s="11">
        <f>'QTR P&amp;L'!AA2*'CF DRIVERS'!AA9</f>
        <v/>
      </c>
      <c r="AB9" s="11">
        <f>'QTR P&amp;L'!AB2*'CF DRIVERS'!AB9</f>
        <v/>
      </c>
      <c r="AC9" s="11">
        <f>'QTR P&amp;L'!AC2*'CF DRIVERS'!AC9</f>
        <v/>
      </c>
      <c r="AD9" s="11">
        <f>'QTR P&amp;L'!AD2*'CF DRIVERS'!AD9</f>
        <v/>
      </c>
      <c r="AE9" s="11">
        <f>'QTR P&amp;L'!AE2*'CF DRIVERS'!AE9</f>
        <v/>
      </c>
      <c r="AF9" s="11">
        <f>'QTR P&amp;L'!AF2*'CF DRIVERS'!AF9</f>
        <v/>
      </c>
      <c r="AG9" s="11">
        <f>'QTR P&amp;L'!AG2*'CF DRIVERS'!AG9</f>
        <v/>
      </c>
      <c r="AH9" s="11">
        <f>'QTR P&amp;L'!AH2*'CF DRIVERS'!AH9</f>
        <v/>
      </c>
      <c r="AI9" s="11">
        <f>'QTR P&amp;L'!AI2*'CF DRIVERS'!AI9</f>
        <v/>
      </c>
      <c r="AJ9" s="11">
        <f>'QTR P&amp;L'!AJ2*'CF DRIVERS'!AJ9</f>
        <v/>
      </c>
      <c r="AK9" s="11">
        <f>'QTR P&amp;L'!AK2*'CF DRIVERS'!AK9</f>
        <v/>
      </c>
      <c r="AL9" s="11">
        <f>'QTR P&amp;L'!AL2*'CF DRIVERS'!AL9</f>
        <v/>
      </c>
      <c r="AM9" s="11">
        <f>'QTR P&amp;L'!AM2*'CF DRIVERS'!AM9</f>
        <v/>
      </c>
      <c r="AN9" s="11">
        <f>'QTR P&amp;L'!AN2*'CF DRIVERS'!AN9</f>
        <v/>
      </c>
      <c r="AO9" s="11">
        <f>'QTR P&amp;L'!AO2*'CF DRIVERS'!AO9</f>
        <v/>
      </c>
      <c r="AP9" s="11">
        <f>'QTR P&amp;L'!AP2*'CF DRIVERS'!AP9</f>
        <v/>
      </c>
      <c r="AQ9" s="11">
        <f>'QTR P&amp;L'!AQ2*'CF DRIVERS'!AQ9</f>
        <v/>
      </c>
      <c r="AR9" s="11">
        <f>'QTR P&amp;L'!AR2*'CF DRIVERS'!AR9</f>
        <v/>
      </c>
      <c r="AS9" s="11">
        <f>'QTR P&amp;L'!AS2*'CF DRIVERS'!AS9</f>
        <v/>
      </c>
    </row>
    <row r="10">
      <c r="A10" s="3" t="inlineStr">
        <is>
          <t>(Benefit) Provision for Deferred Income Taxes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4">
        <f>'YTD CF'!P10-'YTD CF'!O10</f>
        <v/>
      </c>
      <c r="U10" s="4">
        <f>'CASH FLOW'!G10-'YTD CF'!P10</f>
        <v/>
      </c>
      <c r="V10" s="4">
        <f>'YTD CF'!Q10</f>
        <v/>
      </c>
      <c r="W10" s="4">
        <f>'YTD CF'!R10-'YTD CF'!Q10</f>
        <v/>
      </c>
      <c r="X10" s="4">
        <f>'YTD CF'!S10-'YTD CF'!R10</f>
        <v/>
      </c>
      <c r="Y10" s="4">
        <f>'CASH FLOW'!H10-'YTD CF'!S10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  <c r="AP10" s="11">
        <f>'CF DRIVERS'!AP10</f>
        <v/>
      </c>
      <c r="AQ10" s="11">
        <f>'CF DRIVERS'!AQ10</f>
        <v/>
      </c>
      <c r="AR10" s="11">
        <f>'CF DRIVERS'!AR10</f>
        <v/>
      </c>
      <c r="AS10" s="11">
        <f>'CF DRIVERS'!AS10</f>
        <v/>
      </c>
    </row>
    <row r="11">
      <c r="A11" s="3" t="inlineStr">
        <is>
          <t>Accounts Receivable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4">
        <f>'YTD CF'!P11-'YTD CF'!O11</f>
        <v/>
      </c>
      <c r="U11" s="4">
        <f>'CASH FLOW'!G11-'YTD CF'!P11</f>
        <v/>
      </c>
      <c r="V11" s="4">
        <f>'YTD CF'!Q11</f>
        <v/>
      </c>
      <c r="W11" s="4">
        <f>'YTD CF'!R11-'YTD CF'!Q11</f>
        <v/>
      </c>
      <c r="X11" s="4">
        <f>'YTD CF'!S11-'YTD CF'!R11</f>
        <v/>
      </c>
      <c r="Y11" s="4">
        <f>'CASH FLOW'!H11-'YTD CF'!S11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  <c r="AP11" s="11">
        <f>'CF DRIVERS'!AP11</f>
        <v/>
      </c>
      <c r="AQ11" s="11">
        <f>'CF DRIVERS'!AQ11</f>
        <v/>
      </c>
      <c r="AR11" s="11">
        <f>'CF DRIVERS'!AR11</f>
        <v/>
      </c>
      <c r="AS11" s="11">
        <f>'CF DRIVERS'!AS11</f>
        <v/>
      </c>
    </row>
    <row r="12">
      <c r="A12" s="3" t="inlineStr">
        <is>
          <t>Distributor Receivables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R12" s="4">
        <f>'YTD CF'!N12</f>
        <v/>
      </c>
      <c r="S12" s="4">
        <f>'YTD CF'!O12-'YTD CF'!N12</f>
        <v/>
      </c>
      <c r="T12" s="4">
        <f>'YTD CF'!P12-'YTD CF'!O12</f>
        <v/>
      </c>
      <c r="V12" s="4">
        <f>'YTD CF'!Q12</f>
        <v/>
      </c>
      <c r="W12" s="4">
        <f>'YTD CF'!R12-'YTD CF'!Q12</f>
        <v/>
      </c>
      <c r="X12" s="4">
        <f>'YTD CF'!S12-'YTD CF'!R12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  <c r="AP12" s="11">
        <f>'CF DRIVERS'!AP12</f>
        <v/>
      </c>
      <c r="AQ12" s="11">
        <f>'CF DRIVERS'!AQ12</f>
        <v/>
      </c>
      <c r="AR12" s="11">
        <f>'CF DRIVERS'!AR12</f>
        <v/>
      </c>
      <c r="AS12" s="11">
        <f>'CF DRIVERS'!AS12</f>
        <v/>
      </c>
    </row>
    <row r="13">
      <c r="A13" s="3" t="inlineStr">
        <is>
          <t>Inventories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FLOW'!C12-'YTD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FLOW'!D12-'YTD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FLOW'!E12-'YTD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FLOW'!F12-'YTD CF'!M13</f>
        <v/>
      </c>
      <c r="R13" s="4">
        <f>'YTD CF'!N13</f>
        <v/>
      </c>
      <c r="S13" s="4">
        <f>'YTD CF'!O13-'YTD CF'!N13</f>
        <v/>
      </c>
      <c r="T13" s="4">
        <f>'YTD CF'!P13-'YTD CF'!O13</f>
        <v/>
      </c>
      <c r="U13" s="4">
        <f>'CASH FLOW'!G12-'YTD CF'!P13</f>
        <v/>
      </c>
      <c r="V13" s="4">
        <f>'YTD CF'!Q13</f>
        <v/>
      </c>
      <c r="W13" s="4">
        <f>'YTD CF'!R13-'YTD CF'!Q13</f>
        <v/>
      </c>
      <c r="X13" s="4">
        <f>'YTD CF'!S13-'YTD CF'!R13</f>
        <v/>
      </c>
      <c r="Y13" s="4">
        <f>'CASH FLOW'!H12-'YTD CF'!S13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  <c r="AP13" s="11">
        <f>'CF DRIVERS'!AP13</f>
        <v/>
      </c>
      <c r="AQ13" s="11">
        <f>'CF DRIVERS'!AQ13</f>
        <v/>
      </c>
      <c r="AR13" s="11">
        <f>'CF DRIVERS'!AR13</f>
        <v/>
      </c>
      <c r="AS13" s="11">
        <f>'CF DRIVERS'!AS13</f>
        <v/>
      </c>
    </row>
    <row r="14">
      <c r="A14" s="3" t="inlineStr">
        <is>
          <t>Prepaid Expenses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FLOW'!C13-'YTD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FLOW'!D13-'YTD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FLOW'!E13-'YTD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FLOW'!F13-'YTD CF'!M14</f>
        <v/>
      </c>
      <c r="R14" s="4">
        <f>'YTD CF'!N14</f>
        <v/>
      </c>
      <c r="S14" s="4">
        <f>'YTD CF'!O14-'YTD CF'!N14</f>
        <v/>
      </c>
      <c r="T14" s="4">
        <f>'YTD CF'!P14-'YTD CF'!O14</f>
        <v/>
      </c>
      <c r="U14" s="4">
        <f>'CASH FLOW'!G13-'YTD CF'!P14</f>
        <v/>
      </c>
      <c r="V14" s="4">
        <f>'YTD CF'!Q14</f>
        <v/>
      </c>
      <c r="W14" s="4">
        <f>'YTD CF'!R14-'YTD CF'!Q14</f>
        <v/>
      </c>
      <c r="X14" s="4">
        <f>'YTD CF'!S14-'YTD CF'!R14</f>
        <v/>
      </c>
      <c r="Y14" s="4">
        <f>'CASH FLOW'!H13-'YTD CF'!S14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  <c r="AP14" s="11">
        <f>'CF DRIVERS'!AP14</f>
        <v/>
      </c>
      <c r="AQ14" s="11">
        <f>'CF DRIVERS'!AQ14</f>
        <v/>
      </c>
      <c r="AR14" s="11">
        <f>'CF DRIVERS'!AR14</f>
        <v/>
      </c>
      <c r="AS14" s="11">
        <f>'CF DRIVERS'!AS14</f>
        <v/>
      </c>
    </row>
    <row r="15">
      <c r="A15" s="3" t="inlineStr">
        <is>
          <t>Change in Prepaid Income Taxes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FLOW'!C14-'YTD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FLOW'!D14-'YTD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FLOW'!E14-'YTD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FLOW'!F14-'YTD CF'!M15</f>
        <v/>
      </c>
      <c r="R15" s="4">
        <f>'YTD CF'!N15</f>
        <v/>
      </c>
      <c r="S15" s="4">
        <f>'YTD CF'!O15-'YTD CF'!N15</f>
        <v/>
      </c>
      <c r="T15" s="4">
        <f>'YTD CF'!P15-'YTD CF'!O15</f>
        <v/>
      </c>
      <c r="U15" s="4">
        <f>'CASH FLOW'!G14-'YTD CF'!P15</f>
        <v/>
      </c>
      <c r="V15" s="4">
        <f>'YTD CF'!Q15</f>
        <v/>
      </c>
      <c r="W15" s="4">
        <f>'YTD CF'!R15-'YTD CF'!Q15</f>
        <v/>
      </c>
      <c r="X15" s="4">
        <f>'YTD CF'!S15-'YTD CF'!R15</f>
        <v/>
      </c>
      <c r="Y15" s="4">
        <f>'CASH FLOW'!H14-'YTD CF'!S15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  <c r="AP15" s="11">
        <f>'CF DRIVERS'!AP15</f>
        <v/>
      </c>
      <c r="AQ15" s="11">
        <f>'CF DRIVERS'!AQ15</f>
        <v/>
      </c>
      <c r="AR15" s="11">
        <f>'CF DRIVERS'!AR15</f>
        <v/>
      </c>
      <c r="AS15" s="11">
        <f>'CF DRIVERS'!AS15</f>
        <v/>
      </c>
    </row>
    <row r="16">
      <c r="A16" s="3" t="inlineStr">
        <is>
          <t>Accounts Payable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FLOW'!C15-'YTD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FLOW'!D15-'YTD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FLOW'!E15-'YTD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FLOW'!F15-'YTD CF'!M16</f>
        <v/>
      </c>
      <c r="R16" s="4">
        <f>'YTD CF'!N16</f>
        <v/>
      </c>
      <c r="S16" s="4">
        <f>'YTD CF'!O16-'YTD CF'!N16</f>
        <v/>
      </c>
      <c r="T16" s="4">
        <f>'YTD CF'!P16-'YTD CF'!O16</f>
        <v/>
      </c>
      <c r="U16" s="4">
        <f>'CASH FLOW'!G15-'YTD CF'!P16</f>
        <v/>
      </c>
      <c r="V16" s="4">
        <f>'YTD CF'!Q16</f>
        <v/>
      </c>
      <c r="W16" s="4">
        <f>'YTD CF'!R16-'YTD CF'!Q16</f>
        <v/>
      </c>
      <c r="X16" s="4">
        <f>'YTD CF'!S16-'YTD CF'!R16</f>
        <v/>
      </c>
      <c r="Y16" s="4">
        <f>'CASH FLOW'!H15-'YTD CF'!S16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  <c r="AP16" s="11">
        <f>'CF DRIVERS'!AP16</f>
        <v/>
      </c>
      <c r="AQ16" s="11">
        <f>'CF DRIVERS'!AQ16</f>
        <v/>
      </c>
      <c r="AR16" s="11">
        <f>'CF DRIVERS'!AR16</f>
        <v/>
      </c>
      <c r="AS16" s="11">
        <f>'CF DRIVERS'!AS16</f>
        <v/>
      </c>
    </row>
    <row r="17">
      <c r="A17" s="3" t="inlineStr">
        <is>
          <t>Accrued Expenses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FLOW'!C16-'YTD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FLOW'!D16-'YTD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FLOW'!E16-'YTD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FLOW'!F16-'YTD CF'!M17</f>
        <v/>
      </c>
      <c r="R17" s="4">
        <f>'YTD CF'!N17</f>
        <v/>
      </c>
      <c r="S17" s="4">
        <f>'YTD CF'!O17-'YTD CF'!N17</f>
        <v/>
      </c>
      <c r="T17" s="4">
        <f>'YTD CF'!P17-'YTD CF'!O17</f>
        <v/>
      </c>
      <c r="U17" s="4">
        <f>'CASH FLOW'!G16-'YTD CF'!P17</f>
        <v/>
      </c>
      <c r="V17" s="4">
        <f>'YTD CF'!Q17</f>
        <v/>
      </c>
      <c r="W17" s="4">
        <f>'YTD CF'!R17-'YTD CF'!Q17</f>
        <v/>
      </c>
      <c r="X17" s="4">
        <f>'YTD CF'!S17-'YTD CF'!R17</f>
        <v/>
      </c>
      <c r="Y17" s="4">
        <f>'CASH FLOW'!H16-'YTD CF'!S17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  <c r="AP17" s="11">
        <f>'CF DRIVERS'!AP17</f>
        <v/>
      </c>
      <c r="AQ17" s="11">
        <f>'CF DRIVERS'!AQ17</f>
        <v/>
      </c>
      <c r="AR17" s="11">
        <f>'CF DRIVERS'!AR17</f>
        <v/>
      </c>
      <c r="AS17" s="11">
        <f>'CF DRIVERS'!AS17</f>
        <v/>
      </c>
    </row>
    <row r="18">
      <c r="A18" s="3" t="inlineStr">
        <is>
          <t>Accrued Promotional Allowance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FLOW'!C17-'YTD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FLOW'!D17-'YTD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FLOW'!E17-'YTD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FLOW'!F17-'YTD CF'!M18</f>
        <v/>
      </c>
      <c r="R18" s="4">
        <f>'YTD CF'!N18</f>
        <v/>
      </c>
      <c r="S18" s="4">
        <f>'YTD CF'!O18-'YTD CF'!N18</f>
        <v/>
      </c>
      <c r="T18" s="4">
        <f>'YTD CF'!P18-'YTD CF'!O18</f>
        <v/>
      </c>
      <c r="U18" s="4">
        <f>'CASH FLOW'!G17-'YTD CF'!P18</f>
        <v/>
      </c>
      <c r="V18" s="4">
        <f>'YTD CF'!Q18</f>
        <v/>
      </c>
      <c r="W18" s="4">
        <f>'YTD CF'!R18-'YTD CF'!Q18</f>
        <v/>
      </c>
      <c r="X18" s="4">
        <f>'YTD CF'!S18-'YTD CF'!R18</f>
        <v/>
      </c>
      <c r="Y18" s="4">
        <f>'CASH FLOW'!H17-'YTD CF'!S18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  <c r="AP18" s="11">
        <f>'CF DRIVERS'!AP18</f>
        <v/>
      </c>
      <c r="AQ18" s="11">
        <f>'CF DRIVERS'!AQ18</f>
        <v/>
      </c>
      <c r="AR18" s="11">
        <f>'CF DRIVERS'!AR18</f>
        <v/>
      </c>
      <c r="AS18" s="11">
        <f>'CF DRIVERS'!AS18</f>
        <v/>
      </c>
    </row>
    <row r="19">
      <c r="A19" s="3" t="inlineStr">
        <is>
          <t>Accrued Distributor Terminations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R19" s="4">
        <f>'YTD CF'!N19</f>
        <v/>
      </c>
      <c r="S19" s="4">
        <f>'YTD CF'!O19-'YTD CF'!N19</f>
        <v/>
      </c>
      <c r="T19" s="4">
        <f>'YTD CF'!P19-'YTD CF'!O19</f>
        <v/>
      </c>
      <c r="V19" s="4">
        <f>'YTD CF'!Q19</f>
        <v/>
      </c>
      <c r="W19" s="4">
        <f>'YTD CF'!R19-'YTD CF'!Q19</f>
        <v/>
      </c>
      <c r="X19" s="4">
        <f>'YTD CF'!S19-'YTD CF'!R19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  <c r="AP19" s="11">
        <f>'CF DRIVERS'!AP19</f>
        <v/>
      </c>
      <c r="AQ19" s="11">
        <f>'CF DRIVERS'!AQ19</f>
        <v/>
      </c>
      <c r="AR19" s="11">
        <f>'CF DRIVERS'!AR19</f>
        <v/>
      </c>
      <c r="AS19" s="11">
        <f>'CF DRIVERS'!AS19</f>
        <v/>
      </c>
    </row>
    <row r="20">
      <c r="A20" s="3" t="inlineStr">
        <is>
          <t>Change in Accrued Compensation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4">
        <f>'YTD CF'!N20</f>
        <v/>
      </c>
      <c r="S20" s="4">
        <f>'YTD CF'!O20-'YTD CF'!N20</f>
        <v/>
      </c>
      <c r="T20" s="4">
        <f>'YTD CF'!P20-'YTD CF'!O20</f>
        <v/>
      </c>
      <c r="U20" s="4">
        <f>'CASH FLOW'!G18-'YTD CF'!P20</f>
        <v/>
      </c>
      <c r="V20" s="4">
        <f>'YTD CF'!Q20</f>
        <v/>
      </c>
      <c r="W20" s="4">
        <f>'YTD CF'!R20-'YTD CF'!Q20</f>
        <v/>
      </c>
      <c r="X20" s="4">
        <f>'YTD CF'!S20-'YTD CF'!R20</f>
        <v/>
      </c>
      <c r="Y20" s="4">
        <f>'CASH FLOW'!H18-'YTD CF'!S20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  <c r="AP20" s="11">
        <f>'CF DRIVERS'!AP20</f>
        <v/>
      </c>
      <c r="AQ20" s="11">
        <f>'CF DRIVERS'!AQ20</f>
        <v/>
      </c>
      <c r="AR20" s="11">
        <f>'CF DRIVERS'!AR20</f>
        <v/>
      </c>
      <c r="AS20" s="11">
        <f>'CF DRIVERS'!AS20</f>
        <v/>
      </c>
    </row>
    <row r="21">
      <c r="A21" s="3" t="inlineStr">
        <is>
          <t>Other Current Liabilities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4">
        <f>'YTD CF'!N21</f>
        <v/>
      </c>
      <c r="S21" s="4">
        <f>'YTD CF'!O21-'YTD CF'!N21</f>
        <v/>
      </c>
      <c r="T21" s="4">
        <f>'YTD CF'!P21-'YTD CF'!O21</f>
        <v/>
      </c>
      <c r="U21" s="4">
        <f>'CASH FLOW'!G19-'YTD CF'!P21</f>
        <v/>
      </c>
      <c r="V21" s="4">
        <f>'YTD CF'!Q21</f>
        <v/>
      </c>
      <c r="W21" s="4">
        <f>'YTD CF'!R21-'YTD CF'!Q21</f>
        <v/>
      </c>
      <c r="X21" s="4">
        <f>'YTD CF'!S21-'YTD CF'!R21</f>
        <v/>
      </c>
      <c r="Y21" s="4">
        <f>'CASH FLOW'!H19-'YTD CF'!S21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  <c r="AP21" s="11">
        <f>'CF DRIVERS'!AP21</f>
        <v/>
      </c>
      <c r="AQ21" s="11">
        <f>'CF DRIVERS'!AQ21</f>
        <v/>
      </c>
      <c r="AR21" s="11">
        <f>'CF DRIVERS'!AR21</f>
        <v/>
      </c>
      <c r="AS21" s="11">
        <f>'CF DRIVERS'!AS21</f>
        <v/>
      </c>
    </row>
    <row r="22">
      <c r="A22" s="3" t="inlineStr">
        <is>
          <t>Net Change in Other Working Capital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FLOW'!C20-'YTD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FLOW'!D20-'YTD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FLOW'!E20-'YTD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FLOW'!F20-'YTD CF'!M22</f>
        <v/>
      </c>
      <c r="R22" s="4">
        <f>'YTD CF'!N22</f>
        <v/>
      </c>
      <c r="S22" s="4">
        <f>'YTD CF'!O22-'YTD CF'!N22</f>
        <v/>
      </c>
      <c r="T22" s="4">
        <f>'YTD CF'!P22-'YTD CF'!O22</f>
        <v/>
      </c>
      <c r="U22" s="4">
        <f>'CASH FLOW'!G20-'YTD CF'!P22</f>
        <v/>
      </c>
      <c r="V22" s="4">
        <f>'YTD CF'!Q22</f>
        <v/>
      </c>
      <c r="W22" s="4">
        <f>'YTD CF'!R22-'YTD CF'!Q22</f>
        <v/>
      </c>
      <c r="X22" s="4">
        <f>'YTD CF'!S22-'YTD CF'!R22</f>
        <v/>
      </c>
      <c r="Y22" s="4">
        <f>'CASH FLOW'!H20-'YTD CF'!S22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  <c r="AP22" s="11">
        <f>'CF DRIVERS'!AP22</f>
        <v/>
      </c>
      <c r="AQ22" s="11">
        <f>'CF DRIVERS'!AQ22</f>
        <v/>
      </c>
      <c r="AR22" s="11">
        <f>'CF DRIVERS'!AR22</f>
        <v/>
      </c>
      <c r="AS22" s="11">
        <f>'CF DRIVERS'!AS22</f>
        <v/>
      </c>
    </row>
    <row r="23">
      <c r="A23" s="3" t="inlineStr">
        <is>
          <t>Deferred Revenue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FLOW'!C21-'YTD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FLOW'!D21-'YTD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FLOW'!E21-'YTD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FLOW'!F21-'YTD CF'!M23</f>
        <v/>
      </c>
      <c r="R23" s="4">
        <f>'YTD CF'!N23</f>
        <v/>
      </c>
      <c r="S23" s="4">
        <f>'YTD CF'!O23-'YTD CF'!N23</f>
        <v/>
      </c>
      <c r="T23" s="4">
        <f>'YTD CF'!P23-'YTD CF'!O23</f>
        <v/>
      </c>
      <c r="U23" s="4">
        <f>'CASH FLOW'!G21-'YTD CF'!P23</f>
        <v/>
      </c>
      <c r="V23" s="4">
        <f>'YTD CF'!Q23</f>
        <v/>
      </c>
      <c r="W23" s="4">
        <f>'YTD CF'!R23-'YTD CF'!Q23</f>
        <v/>
      </c>
      <c r="X23" s="4">
        <f>'YTD CF'!S23-'YTD CF'!R23</f>
        <v/>
      </c>
      <c r="Y23" s="4">
        <f>'CASH FLOW'!H21-'YTD CF'!S23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  <c r="AP23" s="11">
        <f>'CF DRIVERS'!AP23</f>
        <v/>
      </c>
      <c r="AQ23" s="11">
        <f>'CF DRIVERS'!AQ23</f>
        <v/>
      </c>
      <c r="AR23" s="11">
        <f>'CF DRIVERS'!AR23</f>
        <v/>
      </c>
      <c r="AS23" s="11">
        <f>'CF DRIVERS'!AS23</f>
        <v/>
      </c>
    </row>
    <row r="24">
      <c r="A24" s="3" t="inlineStr">
        <is>
          <t>Cash Flow from Operations</t>
        </is>
      </c>
      <c r="B24" s="6">
        <f>'YTD CF'!B24</f>
        <v/>
      </c>
      <c r="C24" s="6">
        <f>'YTD CF'!C24-'YTD CF'!B24</f>
        <v/>
      </c>
      <c r="D24" s="6">
        <f>'YTD CF'!D24-'YTD CF'!C24</f>
        <v/>
      </c>
      <c r="E24" s="6">
        <f>'CASH FLOW'!C22-'YTD CF'!D24</f>
        <v/>
      </c>
      <c r="F24" s="6">
        <f>'YTD CF'!E24</f>
        <v/>
      </c>
      <c r="G24" s="6">
        <f>'YTD CF'!F24-'YTD CF'!E24</f>
        <v/>
      </c>
      <c r="H24" s="6">
        <f>'YTD CF'!G24-'YTD CF'!F24</f>
        <v/>
      </c>
      <c r="I24" s="6">
        <f>'CASH FLOW'!D22-'YTD CF'!G24</f>
        <v/>
      </c>
      <c r="J24" s="6">
        <f>'YTD CF'!H24</f>
        <v/>
      </c>
      <c r="K24" s="6">
        <f>'YTD CF'!I24-'YTD CF'!H24</f>
        <v/>
      </c>
      <c r="L24" s="6">
        <f>'YTD CF'!J24-'YTD CF'!I24</f>
        <v/>
      </c>
      <c r="M24" s="6">
        <f>'CASH FLOW'!E22-'YTD CF'!J24</f>
        <v/>
      </c>
      <c r="N24" s="6">
        <f>'YTD CF'!K24</f>
        <v/>
      </c>
      <c r="O24" s="6">
        <f>'YTD CF'!L24-'YTD CF'!K24</f>
        <v/>
      </c>
      <c r="P24" s="6">
        <f>'YTD CF'!M24-'YTD CF'!L24</f>
        <v/>
      </c>
      <c r="Q24" s="6">
        <f>'CASH FLOW'!F22-'YTD CF'!M24</f>
        <v/>
      </c>
      <c r="R24" s="6">
        <f>'YTD CF'!N24</f>
        <v/>
      </c>
      <c r="S24" s="6">
        <f>'YTD CF'!O24-'YTD CF'!N24</f>
        <v/>
      </c>
      <c r="T24" s="6">
        <f>'YTD CF'!P24-'YTD CF'!O24</f>
        <v/>
      </c>
      <c r="U24" s="6">
        <f>'CASH FLOW'!G22-'YTD CF'!P24</f>
        <v/>
      </c>
      <c r="V24" s="6">
        <f>'YTD CF'!Q24</f>
        <v/>
      </c>
      <c r="W24" s="6">
        <f>'YTD CF'!R24-'YTD CF'!Q24</f>
        <v/>
      </c>
      <c r="X24" s="6">
        <f>'YTD CF'!S24-'YTD CF'!R24</f>
        <v/>
      </c>
      <c r="Y24" s="6">
        <f>'CASH FLOW'!H22-'YTD CF'!S24</f>
        <v/>
      </c>
      <c r="Z24" s="7">
        <f>SUM(Z2:Z23)</f>
        <v/>
      </c>
      <c r="AA24" s="7">
        <f>SUM(AA2:AA23)</f>
        <v/>
      </c>
      <c r="AB24" s="7">
        <f>SUM(AB2:AB23)</f>
        <v/>
      </c>
      <c r="AC24" s="7">
        <f>SUM(AC2:AC23)</f>
        <v/>
      </c>
      <c r="AD24" s="7">
        <f>SUM(AD2:AD23)</f>
        <v/>
      </c>
      <c r="AE24" s="7">
        <f>SUM(AE2:AE23)</f>
        <v/>
      </c>
      <c r="AF24" s="7">
        <f>SUM(AF2:AF23)</f>
        <v/>
      </c>
      <c r="AG24" s="7">
        <f>SUM(AG2:AG23)</f>
        <v/>
      </c>
      <c r="AH24" s="7">
        <f>SUM(AH2:AH23)</f>
        <v/>
      </c>
      <c r="AI24" s="7">
        <f>SUM(AI2:AI23)</f>
        <v/>
      </c>
      <c r="AJ24" s="7">
        <f>SUM(AJ2:AJ23)</f>
        <v/>
      </c>
      <c r="AK24" s="7">
        <f>SUM(AK2:AK23)</f>
        <v/>
      </c>
      <c r="AL24" s="7">
        <f>SUM(AL2:AL23)</f>
        <v/>
      </c>
      <c r="AM24" s="7">
        <f>SUM(AM2:AM23)</f>
        <v/>
      </c>
      <c r="AN24" s="7">
        <f>SUM(AN2:AN23)</f>
        <v/>
      </c>
      <c r="AO24" s="7">
        <f>SUM(AO2:AO23)</f>
        <v/>
      </c>
      <c r="AP24" s="7">
        <f>SUM(AP2:AP23)</f>
        <v/>
      </c>
      <c r="AQ24" s="7">
        <f>SUM(AQ2:AQ23)</f>
        <v/>
      </c>
      <c r="AR24" s="7">
        <f>SUM(AR2:AR23)</f>
        <v/>
      </c>
      <c r="AS24" s="7">
        <f>SUM(AS2:AS23)</f>
        <v/>
      </c>
    </row>
    <row r="25">
      <c r="A25" s="3" t="inlineStr">
        <is>
          <t>Net Change in Long-Term Investments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FLOW'!C23-'YTD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FLOW'!D23-'YTD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FLOW'!E23-'YTD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FLOW'!F23-'YTD CF'!M25</f>
        <v/>
      </c>
      <c r="R25" s="4">
        <f>'YTD CF'!N25</f>
        <v/>
      </c>
      <c r="S25" s="4">
        <f>'YTD CF'!O25-'YTD CF'!N25</f>
        <v/>
      </c>
      <c r="T25" s="4">
        <f>'YTD CF'!P25-'YTD CF'!O25</f>
        <v/>
      </c>
      <c r="U25" s="4">
        <f>'CASH FLOW'!G23-'YTD CF'!P25</f>
        <v/>
      </c>
      <c r="V25" s="4">
        <f>'YTD CF'!Q25</f>
        <v/>
      </c>
      <c r="W25" s="4">
        <f>'YTD CF'!R25-'YTD CF'!Q25</f>
        <v/>
      </c>
      <c r="X25" s="4">
        <f>'YTD CF'!S25-'YTD CF'!R25</f>
        <v/>
      </c>
      <c r="Y25" s="4">
        <f>'CASH FLOW'!H23-'YTD CF'!S25</f>
        <v/>
      </c>
      <c r="Z25" s="11">
        <f>'CF DRIVERS'!Z24</f>
        <v/>
      </c>
      <c r="AA25" s="11">
        <f>'CF DRIVERS'!AA24</f>
        <v/>
      </c>
      <c r="AB25" s="11">
        <f>'CF DRIVERS'!AB24</f>
        <v/>
      </c>
      <c r="AC25" s="11">
        <f>'CF DRIVERS'!AC24</f>
        <v/>
      </c>
      <c r="AD25" s="11">
        <f>'CF DRIVERS'!AD24</f>
        <v/>
      </c>
      <c r="AE25" s="11">
        <f>'CF DRIVERS'!AE24</f>
        <v/>
      </c>
      <c r="AF25" s="11">
        <f>'CF DRIVERS'!AF24</f>
        <v/>
      </c>
      <c r="AG25" s="11">
        <f>'CF DRIVERS'!AG24</f>
        <v/>
      </c>
      <c r="AH25" s="11">
        <f>'CF DRIVERS'!AH24</f>
        <v/>
      </c>
      <c r="AI25" s="11">
        <f>'CF DRIVERS'!AI24</f>
        <v/>
      </c>
      <c r="AJ25" s="11">
        <f>'CF DRIVERS'!AJ24</f>
        <v/>
      </c>
      <c r="AK25" s="11">
        <f>'CF DRIVERS'!AK24</f>
        <v/>
      </c>
      <c r="AL25" s="11">
        <f>'CF DRIVERS'!AL24</f>
        <v/>
      </c>
      <c r="AM25" s="11">
        <f>'CF DRIVERS'!AM24</f>
        <v/>
      </c>
      <c r="AN25" s="11">
        <f>'CF DRIVERS'!AN24</f>
        <v/>
      </c>
      <c r="AO25" s="11">
        <f>'CF DRIVERS'!AO24</f>
        <v/>
      </c>
      <c r="AP25" s="11">
        <f>'CF DRIVERS'!AP24</f>
        <v/>
      </c>
      <c r="AQ25" s="11">
        <f>'CF DRIVERS'!AQ24</f>
        <v/>
      </c>
      <c r="AR25" s="11">
        <f>'CF DRIVERS'!AR24</f>
        <v/>
      </c>
      <c r="AS25" s="11">
        <f>'CF DRIVERS'!AS24</f>
        <v/>
      </c>
    </row>
    <row r="26">
      <c r="A26" s="3" t="inlineStr">
        <is>
          <t>Acquisition of CANarchy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FLOW'!C24-'YTD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FLOW'!D24-'YTD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FLOW'!E24-'YTD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FLOW'!F24-'YTD CF'!M26</f>
        <v/>
      </c>
      <c r="R26" s="4">
        <f>'YTD CF'!N26</f>
        <v/>
      </c>
      <c r="S26" s="4">
        <f>'YTD CF'!O26-'YTD CF'!N26</f>
        <v/>
      </c>
      <c r="T26" s="4">
        <f>'YTD CF'!P26-'YTD CF'!O26</f>
        <v/>
      </c>
      <c r="U26" s="4">
        <f>'CASH FLOW'!G24-'YTD CF'!P26</f>
        <v/>
      </c>
      <c r="V26" s="4">
        <f>'YTD CF'!Q26</f>
        <v/>
      </c>
      <c r="W26" s="4">
        <f>'YTD CF'!R26-'YTD CF'!Q26</f>
        <v/>
      </c>
      <c r="X26" s="4">
        <f>'YTD CF'!S26-'YTD CF'!R26</f>
        <v/>
      </c>
      <c r="Y26" s="4">
        <f>'CASH FLOW'!H24-'YTD CF'!S26</f>
        <v/>
      </c>
      <c r="Z26" s="11">
        <f>'CF DRIVERS'!Z25</f>
        <v/>
      </c>
      <c r="AA26" s="11">
        <f>'CF DRIVERS'!AA25</f>
        <v/>
      </c>
      <c r="AB26" s="11">
        <f>'CF DRIVERS'!AB25</f>
        <v/>
      </c>
      <c r="AC26" s="11">
        <f>'CF DRIVERS'!AC25</f>
        <v/>
      </c>
      <c r="AD26" s="11">
        <f>'CF DRIVERS'!AD25</f>
        <v/>
      </c>
      <c r="AE26" s="11">
        <f>'CF DRIVERS'!AE25</f>
        <v/>
      </c>
      <c r="AF26" s="11">
        <f>'CF DRIVERS'!AF25</f>
        <v/>
      </c>
      <c r="AG26" s="11">
        <f>'CF DRIVERS'!AG25</f>
        <v/>
      </c>
      <c r="AH26" s="11">
        <f>'CF DRIVERS'!AH25</f>
        <v/>
      </c>
      <c r="AI26" s="11">
        <f>'CF DRIVERS'!AI25</f>
        <v/>
      </c>
      <c r="AJ26" s="11">
        <f>'CF DRIVERS'!AJ25</f>
        <v/>
      </c>
      <c r="AK26" s="11">
        <f>'CF DRIVERS'!AK25</f>
        <v/>
      </c>
      <c r="AL26" s="11">
        <f>'CF DRIVERS'!AL25</f>
        <v/>
      </c>
      <c r="AM26" s="11">
        <f>'CF DRIVERS'!AM25</f>
        <v/>
      </c>
      <c r="AN26" s="11">
        <f>'CF DRIVERS'!AN25</f>
        <v/>
      </c>
      <c r="AO26" s="11">
        <f>'CF DRIVERS'!AO25</f>
        <v/>
      </c>
      <c r="AP26" s="11">
        <f>'CF DRIVERS'!AP25</f>
        <v/>
      </c>
      <c r="AQ26" s="11">
        <f>'CF DRIVERS'!AQ25</f>
        <v/>
      </c>
      <c r="AR26" s="11">
        <f>'CF DRIVERS'!AR25</f>
        <v/>
      </c>
      <c r="AS26" s="11">
        <f>'CF DRIVERS'!AS25</f>
        <v/>
      </c>
    </row>
    <row r="27">
      <c r="A27" s="3" t="inlineStr">
        <is>
          <t>Acquisition of Monster Brewing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FLOW'!C25-'YTD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FLOW'!D25-'YTD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FLOW'!E25-'YTD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FLOW'!F25-'YTD CF'!M27</f>
        <v/>
      </c>
      <c r="R27" s="4">
        <f>'YTD CF'!N27</f>
        <v/>
      </c>
      <c r="S27" s="4">
        <f>'YTD CF'!O27-'YTD CF'!N27</f>
        <v/>
      </c>
      <c r="T27" s="4">
        <f>'YTD CF'!P27-'YTD CF'!O27</f>
        <v/>
      </c>
      <c r="U27" s="4">
        <f>'CASH FLOW'!G25-'YTD CF'!P27</f>
        <v/>
      </c>
      <c r="V27" s="4">
        <f>'YTD CF'!Q27</f>
        <v/>
      </c>
      <c r="W27" s="4">
        <f>'YTD CF'!R27-'YTD CF'!Q27</f>
        <v/>
      </c>
      <c r="X27" s="4">
        <f>'YTD CF'!S27-'YTD CF'!R27</f>
        <v/>
      </c>
      <c r="Y27" s="4">
        <f>'CASH FLOW'!H25-'YTD CF'!S27</f>
        <v/>
      </c>
      <c r="Z27" s="11">
        <f>'CF DRIVERS'!Z26</f>
        <v/>
      </c>
      <c r="AA27" s="11">
        <f>'CF DRIVERS'!AA26</f>
        <v/>
      </c>
      <c r="AB27" s="11">
        <f>'CF DRIVERS'!AB26</f>
        <v/>
      </c>
      <c r="AC27" s="11">
        <f>'CF DRIVERS'!AC26</f>
        <v/>
      </c>
      <c r="AD27" s="11">
        <f>'CF DRIVERS'!AD26</f>
        <v/>
      </c>
      <c r="AE27" s="11">
        <f>'CF DRIVERS'!AE26</f>
        <v/>
      </c>
      <c r="AF27" s="11">
        <f>'CF DRIVERS'!AF26</f>
        <v/>
      </c>
      <c r="AG27" s="11">
        <f>'CF DRIVERS'!AG26</f>
        <v/>
      </c>
      <c r="AH27" s="11">
        <f>'CF DRIVERS'!AH26</f>
        <v/>
      </c>
      <c r="AI27" s="11">
        <f>'CF DRIVERS'!AI26</f>
        <v/>
      </c>
      <c r="AJ27" s="11">
        <f>'CF DRIVERS'!AJ26</f>
        <v/>
      </c>
      <c r="AK27" s="11">
        <f>'CF DRIVERS'!AK26</f>
        <v/>
      </c>
      <c r="AL27" s="11">
        <f>'CF DRIVERS'!AL26</f>
        <v/>
      </c>
      <c r="AM27" s="11">
        <f>'CF DRIVERS'!AM26</f>
        <v/>
      </c>
      <c r="AN27" s="11">
        <f>'CF DRIVERS'!AN26</f>
        <v/>
      </c>
      <c r="AO27" s="11">
        <f>'CF DRIVERS'!AO26</f>
        <v/>
      </c>
      <c r="AP27" s="11">
        <f>'CF DRIVERS'!AP26</f>
        <v/>
      </c>
      <c r="AQ27" s="11">
        <f>'CF DRIVERS'!AQ26</f>
        <v/>
      </c>
      <c r="AR27" s="11">
        <f>'CF DRIVERS'!AR26</f>
        <v/>
      </c>
      <c r="AS27" s="11">
        <f>'CF DRIVERS'!AS26</f>
        <v/>
      </c>
    </row>
    <row r="28">
      <c r="A28" s="3" t="inlineStr">
        <is>
          <t>Acquisition of Bang Energy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FLOW'!C26-'YTD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FLOW'!D26-'YTD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FLOW'!E26-'YTD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FLOW'!F26-'YTD CF'!M28</f>
        <v/>
      </c>
      <c r="R28" s="4">
        <f>'YTD CF'!N28</f>
        <v/>
      </c>
      <c r="S28" s="4">
        <f>'YTD CF'!O28-'YTD CF'!N28</f>
        <v/>
      </c>
      <c r="T28" s="4">
        <f>'YTD CF'!P28-'YTD CF'!O28</f>
        <v/>
      </c>
      <c r="U28" s="4">
        <f>'CASH FLOW'!G26-'YTD CF'!P28</f>
        <v/>
      </c>
      <c r="V28" s="4">
        <f>'YTD CF'!Q28</f>
        <v/>
      </c>
      <c r="W28" s="4">
        <f>'YTD CF'!R28-'YTD CF'!Q28</f>
        <v/>
      </c>
      <c r="X28" s="4">
        <f>'YTD CF'!S28-'YTD CF'!R28</f>
        <v/>
      </c>
      <c r="Y28" s="4">
        <f>'CASH FLOW'!H26-'YTD CF'!S28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  <c r="AL28" s="11">
        <f>'CF DRIVERS'!AL27</f>
        <v/>
      </c>
      <c r="AM28" s="11">
        <f>'CF DRIVERS'!AM27</f>
        <v/>
      </c>
      <c r="AN28" s="11">
        <f>'CF DRIVERS'!AN27</f>
        <v/>
      </c>
      <c r="AO28" s="11">
        <f>'CF DRIVERS'!AO27</f>
        <v/>
      </c>
      <c r="AP28" s="11">
        <f>'CF DRIVERS'!AP27</f>
        <v/>
      </c>
      <c r="AQ28" s="11">
        <f>'CF DRIVERS'!AQ27</f>
        <v/>
      </c>
      <c r="AR28" s="11">
        <f>'CF DRIVERS'!AR27</f>
        <v/>
      </c>
      <c r="AS28" s="11">
        <f>'CF DRIVERS'!AS27</f>
        <v/>
      </c>
    </row>
    <row r="29">
      <c r="A29" s="3" t="inlineStr">
        <is>
          <t>Purchase of PP&amp;E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FLOW'!C27-'YTD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FLOW'!D27-'YTD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FLOW'!E27-'YTD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FLOW'!F27-'YTD CF'!M29</f>
        <v/>
      </c>
      <c r="R29" s="4">
        <f>'YTD CF'!N29</f>
        <v/>
      </c>
      <c r="S29" s="4">
        <f>'YTD CF'!O29-'YTD CF'!N29</f>
        <v/>
      </c>
      <c r="T29" s="4">
        <f>'YTD CF'!P29-'YTD CF'!O29</f>
        <v/>
      </c>
      <c r="U29" s="4">
        <f>'CASH FLOW'!G27-'YTD CF'!P29</f>
        <v/>
      </c>
      <c r="V29" s="4">
        <f>'YTD CF'!Q29</f>
        <v/>
      </c>
      <c r="W29" s="4">
        <f>'YTD CF'!R29-'YTD CF'!Q29</f>
        <v/>
      </c>
      <c r="X29" s="4">
        <f>'YTD CF'!S29-'YTD CF'!R29</f>
        <v/>
      </c>
      <c r="Y29" s="4">
        <f>'CASH FLOW'!H27-'YTD CF'!S29</f>
        <v/>
      </c>
      <c r="Z29" s="11">
        <f>'QTR P&amp;L'!Z2*'CF DRIVERS'!Z28</f>
        <v/>
      </c>
      <c r="AA29" s="11">
        <f>'QTR P&amp;L'!AA2*'CF DRIVERS'!AA28</f>
        <v/>
      </c>
      <c r="AB29" s="11">
        <f>'QTR P&amp;L'!AB2*'CF DRIVERS'!AB28</f>
        <v/>
      </c>
      <c r="AC29" s="11">
        <f>'QTR P&amp;L'!AC2*'CF DRIVERS'!AC28</f>
        <v/>
      </c>
      <c r="AD29" s="11">
        <f>'QTR P&amp;L'!AD2*'CF DRIVERS'!AD28</f>
        <v/>
      </c>
      <c r="AE29" s="11">
        <f>'QTR P&amp;L'!AE2*'CF DRIVERS'!AE28</f>
        <v/>
      </c>
      <c r="AF29" s="11">
        <f>'QTR P&amp;L'!AF2*'CF DRIVERS'!AF28</f>
        <v/>
      </c>
      <c r="AG29" s="11">
        <f>'QTR P&amp;L'!AG2*'CF DRIVERS'!AG28</f>
        <v/>
      </c>
      <c r="AH29" s="11">
        <f>'QTR P&amp;L'!AH2*'CF DRIVERS'!AH28</f>
        <v/>
      </c>
      <c r="AI29" s="11">
        <f>'QTR P&amp;L'!AI2*'CF DRIVERS'!AI28</f>
        <v/>
      </c>
      <c r="AJ29" s="11">
        <f>'QTR P&amp;L'!AJ2*'CF DRIVERS'!AJ28</f>
        <v/>
      </c>
      <c r="AK29" s="11">
        <f>'QTR P&amp;L'!AK2*'CF DRIVERS'!AK28</f>
        <v/>
      </c>
      <c r="AL29" s="11">
        <f>'QTR P&amp;L'!AL2*'CF DRIVERS'!AL28</f>
        <v/>
      </c>
      <c r="AM29" s="11">
        <f>'QTR P&amp;L'!AM2*'CF DRIVERS'!AM28</f>
        <v/>
      </c>
      <c r="AN29" s="11">
        <f>'QTR P&amp;L'!AN2*'CF DRIVERS'!AN28</f>
        <v/>
      </c>
      <c r="AO29" s="11">
        <f>'QTR P&amp;L'!AO2*'CF DRIVERS'!AO28</f>
        <v/>
      </c>
      <c r="AP29" s="11">
        <f>'QTR P&amp;L'!AP2*'CF DRIVERS'!AP28</f>
        <v/>
      </c>
      <c r="AQ29" s="11">
        <f>'QTR P&amp;L'!AQ2*'CF DRIVERS'!AQ28</f>
        <v/>
      </c>
      <c r="AR29" s="11">
        <f>'QTR P&amp;L'!AR2*'CF DRIVERS'!AR28</f>
        <v/>
      </c>
      <c r="AS29" s="11">
        <f>'QTR P&amp;L'!AS2*'CF DRIVERS'!AS28</f>
        <v/>
      </c>
    </row>
    <row r="30">
      <c r="A30" s="3" t="inlineStr">
        <is>
          <t>Proceeds from Sale of Assets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FLOW'!C28-'YTD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FLOW'!D28-'YTD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FLOW'!E28-'YTD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FLOW'!F28-'YTD CF'!M30</f>
        <v/>
      </c>
      <c r="R30" s="4">
        <f>'YTD CF'!N30</f>
        <v/>
      </c>
      <c r="S30" s="4">
        <f>'YTD CF'!O30-'YTD CF'!N30</f>
        <v/>
      </c>
      <c r="T30" s="4">
        <f>'YTD CF'!P30-'YTD CF'!O30</f>
        <v/>
      </c>
      <c r="U30" s="4">
        <f>'CASH FLOW'!G28-'YTD CF'!P30</f>
        <v/>
      </c>
      <c r="V30" s="4">
        <f>'YTD CF'!Q30</f>
        <v/>
      </c>
      <c r="W30" s="4">
        <f>'YTD CF'!R30-'YTD CF'!Q30</f>
        <v/>
      </c>
      <c r="X30" s="4">
        <f>'YTD CF'!S30-'YTD CF'!R30</f>
        <v/>
      </c>
      <c r="Y30" s="4">
        <f>'CASH FLOW'!H28-'YTD CF'!S30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  <c r="AL30" s="11">
        <f>'CF DRIVERS'!AL29</f>
        <v/>
      </c>
      <c r="AM30" s="11">
        <f>'CF DRIVERS'!AM29</f>
        <v/>
      </c>
      <c r="AN30" s="11">
        <f>'CF DRIVERS'!AN29</f>
        <v/>
      </c>
      <c r="AO30" s="11">
        <f>'CF DRIVERS'!AO29</f>
        <v/>
      </c>
      <c r="AP30" s="11">
        <f>'CF DRIVERS'!AP29</f>
        <v/>
      </c>
      <c r="AQ30" s="11">
        <f>'CF DRIVERS'!AQ29</f>
        <v/>
      </c>
      <c r="AR30" s="11">
        <f>'CF DRIVERS'!AR29</f>
        <v/>
      </c>
      <c r="AS30" s="11">
        <f>'CF DRIVERS'!AS29</f>
        <v/>
      </c>
    </row>
    <row r="31">
      <c r="A31" s="3" t="inlineStr">
        <is>
          <t>Additions to Intangibles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FLOW'!C29-'YTD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FLOW'!D29-'YTD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FLOW'!E29-'YTD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FLOW'!F29-'YTD CF'!M31</f>
        <v/>
      </c>
      <c r="R31" s="4">
        <f>'YTD CF'!N31</f>
        <v/>
      </c>
      <c r="S31" s="4">
        <f>'YTD CF'!O31-'YTD CF'!N31</f>
        <v/>
      </c>
      <c r="T31" s="4">
        <f>'YTD CF'!P31-'YTD CF'!O31</f>
        <v/>
      </c>
      <c r="U31" s="4">
        <f>'CASH FLOW'!G29-'YTD CF'!P31</f>
        <v/>
      </c>
      <c r="V31" s="4">
        <f>'YTD CF'!Q31</f>
        <v/>
      </c>
      <c r="W31" s="4">
        <f>'YTD CF'!R31-'YTD CF'!Q31</f>
        <v/>
      </c>
      <c r="X31" s="4">
        <f>'YTD CF'!S31-'YTD CF'!R31</f>
        <v/>
      </c>
      <c r="Y31" s="4">
        <f>'CASH FLOW'!H29-'YTD CF'!S31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  <c r="AL31" s="11">
        <f>'CF DRIVERS'!AL30</f>
        <v/>
      </c>
      <c r="AM31" s="11">
        <f>'CF DRIVERS'!AM30</f>
        <v/>
      </c>
      <c r="AN31" s="11">
        <f>'CF DRIVERS'!AN30</f>
        <v/>
      </c>
      <c r="AO31" s="11">
        <f>'CF DRIVERS'!AO30</f>
        <v/>
      </c>
      <c r="AP31" s="11">
        <f>'CF DRIVERS'!AP30</f>
        <v/>
      </c>
      <c r="AQ31" s="11">
        <f>'CF DRIVERS'!AQ30</f>
        <v/>
      </c>
      <c r="AR31" s="11">
        <f>'CF DRIVERS'!AR30</f>
        <v/>
      </c>
      <c r="AS31" s="11">
        <f>'CF DRIVERS'!AS30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FLOW'!C30-'YTD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FLOW'!D30-'YTD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FLOW'!E30-'YTD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FLOW'!F30-'YTD CF'!M32</f>
        <v/>
      </c>
      <c r="R32" s="4">
        <f>'YTD CF'!N32</f>
        <v/>
      </c>
      <c r="S32" s="4">
        <f>'YTD CF'!O32-'YTD CF'!N32</f>
        <v/>
      </c>
      <c r="T32" s="4">
        <f>'YTD CF'!P32-'YTD CF'!O32</f>
        <v/>
      </c>
      <c r="U32" s="4">
        <f>'CASH FLOW'!G30-'YTD CF'!P32</f>
        <v/>
      </c>
      <c r="V32" s="4">
        <f>'YTD CF'!Q32</f>
        <v/>
      </c>
      <c r="W32" s="4">
        <f>'YTD CF'!R32-'YTD CF'!Q32</f>
        <v/>
      </c>
      <c r="X32" s="4">
        <f>'YTD CF'!S32-'YTD CF'!R32</f>
        <v/>
      </c>
      <c r="Y32" s="4">
        <f>'CASH FLOW'!H30-'YTD CF'!S32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  <c r="AL32" s="11">
        <f>'CF DRIVERS'!AL31</f>
        <v/>
      </c>
      <c r="AM32" s="11">
        <f>'CF DRIVERS'!AM31</f>
        <v/>
      </c>
      <c r="AN32" s="11">
        <f>'CF DRIVERS'!AN31</f>
        <v/>
      </c>
      <c r="AO32" s="11">
        <f>'CF DRIVERS'!AO31</f>
        <v/>
      </c>
      <c r="AP32" s="11">
        <f>'CF DRIVERS'!AP31</f>
        <v/>
      </c>
      <c r="AQ32" s="11">
        <f>'CF DRIVERS'!AQ31</f>
        <v/>
      </c>
      <c r="AR32" s="11">
        <f>'CF DRIVERS'!AR31</f>
        <v/>
      </c>
      <c r="AS32" s="11">
        <f>'CF DRIVERS'!AS31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FLOW'!C31-'YTD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FLOW'!D31-'YTD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FLOW'!E31-'YTD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FLOW'!F31-'YTD CF'!M33</f>
        <v/>
      </c>
      <c r="R33" s="6">
        <f>'YTD CF'!N33</f>
        <v/>
      </c>
      <c r="S33" s="6">
        <f>'YTD CF'!O33-'YTD CF'!N33</f>
        <v/>
      </c>
      <c r="T33" s="6">
        <f>'YTD CF'!P33-'YTD CF'!O33</f>
        <v/>
      </c>
      <c r="U33" s="6">
        <f>'CASH FLOW'!G31-'YTD CF'!P33</f>
        <v/>
      </c>
      <c r="V33" s="6">
        <f>'YTD CF'!Q33</f>
        <v/>
      </c>
      <c r="W33" s="6">
        <f>'YTD CF'!R33-'YTD CF'!Q33</f>
        <v/>
      </c>
      <c r="X33" s="6">
        <f>'YTD CF'!S33-'YTD CF'!R33</f>
        <v/>
      </c>
      <c r="Y33" s="6">
        <f>'CASH FLOW'!H31-'YTD CF'!S33</f>
        <v/>
      </c>
      <c r="Z33" s="7">
        <f>SUM(Z25:Z32)</f>
        <v/>
      </c>
      <c r="AA33" s="7">
        <f>SUM(AA25:AA32)</f>
        <v/>
      </c>
      <c r="AB33" s="7">
        <f>SUM(AB25:AB32)</f>
        <v/>
      </c>
      <c r="AC33" s="7">
        <f>SUM(AC25:AC32)</f>
        <v/>
      </c>
      <c r="AD33" s="7">
        <f>SUM(AD25:AD32)</f>
        <v/>
      </c>
      <c r="AE33" s="7">
        <f>SUM(AE25:AE32)</f>
        <v/>
      </c>
      <c r="AF33" s="7">
        <f>SUM(AF25:AF32)</f>
        <v/>
      </c>
      <c r="AG33" s="7">
        <f>SUM(AG25:AG32)</f>
        <v/>
      </c>
      <c r="AH33" s="7">
        <f>SUM(AH25:AH32)</f>
        <v/>
      </c>
      <c r="AI33" s="7">
        <f>SUM(AI25:AI32)</f>
        <v/>
      </c>
      <c r="AJ33" s="7">
        <f>SUM(AJ25:AJ32)</f>
        <v/>
      </c>
      <c r="AK33" s="7">
        <f>SUM(AK25:AK32)</f>
        <v/>
      </c>
      <c r="AL33" s="7">
        <f>SUM(AL25:AL32)</f>
        <v/>
      </c>
      <c r="AM33" s="7">
        <f>SUM(AM25:AM32)</f>
        <v/>
      </c>
      <c r="AN33" s="7">
        <f>SUM(AN25:AN32)</f>
        <v/>
      </c>
      <c r="AO33" s="7">
        <f>SUM(AO25:AO32)</f>
        <v/>
      </c>
      <c r="AP33" s="7">
        <f>SUM(AP25:AP32)</f>
        <v/>
      </c>
      <c r="AQ33" s="7">
        <f>SUM(AQ25:AQ32)</f>
        <v/>
      </c>
      <c r="AR33" s="7">
        <f>SUM(AR25:AR32)</f>
        <v/>
      </c>
      <c r="AS33" s="7">
        <f>SUM(AS25:AS32)</f>
        <v/>
      </c>
    </row>
    <row r="34">
      <c r="A34" s="3" t="inlineStr">
        <is>
          <t>Repayments of Short-Term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R34" s="4">
        <f>'YTD CF'!N34</f>
        <v/>
      </c>
      <c r="S34" s="4">
        <f>'YTD CF'!O34-'YTD CF'!N34</f>
        <v/>
      </c>
      <c r="T34" s="4">
        <f>'YTD CF'!P34-'YTD CF'!O34</f>
        <v/>
      </c>
      <c r="V34" s="4">
        <f>'YTD CF'!Q34</f>
        <v/>
      </c>
      <c r="W34" s="4">
        <f>'YTD CF'!R34-'YTD CF'!Q34</f>
        <v/>
      </c>
      <c r="X34" s="4">
        <f>'YTD CF'!S34-'YTD CF'!R34</f>
        <v/>
      </c>
      <c r="Z34" s="11">
        <f>'CF DRIVERS'!Z32</f>
        <v/>
      </c>
      <c r="AA34" s="11">
        <f>'CF DRIVERS'!AA32</f>
        <v/>
      </c>
      <c r="AB34" s="11">
        <f>'CF DRIVERS'!AB32</f>
        <v/>
      </c>
      <c r="AC34" s="11">
        <f>'CF DRIVERS'!AC32</f>
        <v/>
      </c>
      <c r="AD34" s="11">
        <f>'CF DRIVERS'!AD32</f>
        <v/>
      </c>
      <c r="AE34" s="11">
        <f>'CF DRIVERS'!AE32</f>
        <v/>
      </c>
      <c r="AF34" s="11">
        <f>'CF DRIVERS'!AF32</f>
        <v/>
      </c>
      <c r="AG34" s="11">
        <f>'CF DRIVERS'!AG32</f>
        <v/>
      </c>
      <c r="AH34" s="11">
        <f>'CF DRIVERS'!AH32</f>
        <v/>
      </c>
      <c r="AI34" s="11">
        <f>'CF DRIVERS'!AI32</f>
        <v/>
      </c>
      <c r="AJ34" s="11">
        <f>'CF DRIVERS'!AJ32</f>
        <v/>
      </c>
      <c r="AK34" s="11">
        <f>'CF DRIVERS'!AK32</f>
        <v/>
      </c>
      <c r="AL34" s="11">
        <f>'CF DRIVERS'!AL32</f>
        <v/>
      </c>
      <c r="AM34" s="11">
        <f>'CF DRIVERS'!AM32</f>
        <v/>
      </c>
      <c r="AN34" s="11">
        <f>'CF DRIVERS'!AN32</f>
        <v/>
      </c>
      <c r="AO34" s="11">
        <f>'CF DRIVERS'!AO32</f>
        <v/>
      </c>
      <c r="AP34" s="11">
        <f>'CF DRIVERS'!AP32</f>
        <v/>
      </c>
      <c r="AQ34" s="11">
        <f>'CF DRIVERS'!AQ32</f>
        <v/>
      </c>
      <c r="AR34" s="11">
        <f>'CF DRIVERS'!AR32</f>
        <v/>
      </c>
      <c r="AS34" s="11">
        <f>'CF DRIVERS'!AS32</f>
        <v/>
      </c>
    </row>
    <row r="35">
      <c r="A35" s="3" t="inlineStr">
        <is>
          <t>Net Change in Other Short-Term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4">
        <f>'YTD CF'!N35</f>
        <v/>
      </c>
      <c r="S35" s="4">
        <f>'YTD CF'!O35-'YTD CF'!N35</f>
        <v/>
      </c>
      <c r="T35" s="4">
        <f>'YTD CF'!P35-'YTD CF'!O35</f>
        <v/>
      </c>
      <c r="U35" s="4">
        <f>'CASH FLOW'!G32-'YTD CF'!P35</f>
        <v/>
      </c>
      <c r="V35" s="4">
        <f>'YTD CF'!Q35</f>
        <v/>
      </c>
      <c r="W35" s="4">
        <f>'YTD CF'!R35-'YTD CF'!Q35</f>
        <v/>
      </c>
      <c r="X35" s="4">
        <f>'YTD CF'!S35-'YTD CF'!R35</f>
        <v/>
      </c>
      <c r="Y35" s="4">
        <f>'CASH FLOW'!H32-'YTD CF'!S35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  <c r="AL35" s="11">
        <f>'CF DRIVERS'!AL33</f>
        <v/>
      </c>
      <c r="AM35" s="11">
        <f>'CF DRIVERS'!AM33</f>
        <v/>
      </c>
      <c r="AN35" s="11">
        <f>'CF DRIVERS'!AN33</f>
        <v/>
      </c>
      <c r="AO35" s="11">
        <f>'CF DRIVERS'!AO33</f>
        <v/>
      </c>
      <c r="AP35" s="11">
        <f>'CF DRIVERS'!AP33</f>
        <v/>
      </c>
      <c r="AQ35" s="11">
        <f>'CF DRIVERS'!AQ33</f>
        <v/>
      </c>
      <c r="AR35" s="11">
        <f>'CF DRIVERS'!AR33</f>
        <v/>
      </c>
      <c r="AS35" s="11">
        <f>'CF DRIVERS'!AS33</f>
        <v/>
      </c>
    </row>
    <row r="36">
      <c r="A36" s="3" t="inlineStr">
        <is>
          <t>Proceeds from Issuance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4">
        <f>'YTD CF'!N36</f>
        <v/>
      </c>
      <c r="S36" s="4">
        <f>'YTD CF'!O36-'YTD CF'!N36</f>
        <v/>
      </c>
      <c r="T36" s="4">
        <f>'YTD CF'!P36-'YTD CF'!O36</f>
        <v/>
      </c>
      <c r="U36" s="4">
        <f>'CASH FLOW'!G33-'YTD CF'!P36</f>
        <v/>
      </c>
      <c r="V36" s="4">
        <f>'YTD CF'!Q36</f>
        <v/>
      </c>
      <c r="W36" s="4">
        <f>'YTD CF'!R36-'YTD CF'!Q36</f>
        <v/>
      </c>
      <c r="X36" s="4">
        <f>'YTD CF'!S36-'YTD CF'!R36</f>
        <v/>
      </c>
      <c r="Y36" s="4">
        <f>'CASH FLOW'!H33-'YTD CF'!S36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  <c r="AL36" s="11">
        <f>'CF DRIVERS'!AL34</f>
        <v/>
      </c>
      <c r="AM36" s="11">
        <f>'CF DRIVERS'!AM34</f>
        <v/>
      </c>
      <c r="AN36" s="11">
        <f>'CF DRIVERS'!AN34</f>
        <v/>
      </c>
      <c r="AO36" s="11">
        <f>'CF DRIVERS'!AO34</f>
        <v/>
      </c>
      <c r="AP36" s="11">
        <f>'CF DRIVERS'!AP34</f>
        <v/>
      </c>
      <c r="AQ36" s="11">
        <f>'CF DRIVERS'!AQ34</f>
        <v/>
      </c>
      <c r="AR36" s="11">
        <f>'CF DRIVERS'!AR34</f>
        <v/>
      </c>
      <c r="AS36" s="11">
        <f>'CF DRIVERS'!AS34</f>
        <v/>
      </c>
    </row>
    <row r="37">
      <c r="A37" s="3" t="inlineStr">
        <is>
          <t>Debt Issuance Fees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FLOW'!C35-'YTD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FLOW'!D35-'YTD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FLOW'!E35-'YTD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FLOW'!F35-'YTD CF'!M37</f>
        <v/>
      </c>
      <c r="R37" s="4">
        <f>'YTD CF'!N37</f>
        <v/>
      </c>
      <c r="S37" s="4">
        <f>'YTD CF'!O37-'YTD CF'!N37</f>
        <v/>
      </c>
      <c r="T37" s="4">
        <f>'YTD CF'!P37-'YTD CF'!O37</f>
        <v/>
      </c>
      <c r="U37" s="4">
        <f>'CASH FLOW'!G35-'YTD CF'!P37</f>
        <v/>
      </c>
      <c r="V37" s="4">
        <f>'YTD CF'!Q37</f>
        <v/>
      </c>
      <c r="W37" s="4">
        <f>'YTD CF'!R37-'YTD CF'!Q37</f>
        <v/>
      </c>
      <c r="X37" s="4">
        <f>'YTD CF'!S37-'YTD CF'!R37</f>
        <v/>
      </c>
      <c r="Y37" s="4">
        <f>'CASH FLOW'!H35-'YTD CF'!S37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  <c r="AL37" s="11">
        <f>'CF DRIVERS'!AL35</f>
        <v/>
      </c>
      <c r="AM37" s="11">
        <f>'CF DRIVERS'!AM35</f>
        <v/>
      </c>
      <c r="AN37" s="11">
        <f>'CF DRIVERS'!AN35</f>
        <v/>
      </c>
      <c r="AO37" s="11">
        <f>'CF DRIVERS'!AO35</f>
        <v/>
      </c>
      <c r="AP37" s="11">
        <f>'CF DRIVERS'!AP35</f>
        <v/>
      </c>
      <c r="AQ37" s="11">
        <f>'CF DRIVERS'!AQ35</f>
        <v/>
      </c>
      <c r="AR37" s="11">
        <f>'CF DRIVERS'!AR35</f>
        <v/>
      </c>
      <c r="AS37" s="11">
        <f>'CF DRIVERS'!AS35</f>
        <v/>
      </c>
    </row>
    <row r="38">
      <c r="A38" s="3" t="inlineStr">
        <is>
          <t>Repayments of Long-Term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FLOW'!C34-'YTD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FLOW'!D34-'YTD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FLOW'!E34-'YTD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FLOW'!F34-'YTD CF'!M38</f>
        <v/>
      </c>
      <c r="R38" s="4">
        <f>'YTD CF'!N38</f>
        <v/>
      </c>
      <c r="S38" s="4">
        <f>'YTD CF'!O38-'YTD CF'!N38</f>
        <v/>
      </c>
      <c r="T38" s="4">
        <f>'YTD CF'!P38-'YTD CF'!O38</f>
        <v/>
      </c>
      <c r="U38" s="4">
        <f>'CASH FLOW'!G34-'YTD CF'!P38</f>
        <v/>
      </c>
      <c r="V38" s="4">
        <f>'YTD CF'!Q38</f>
        <v/>
      </c>
      <c r="W38" s="4">
        <f>'YTD CF'!R38-'YTD CF'!Q38</f>
        <v/>
      </c>
      <c r="X38" s="4">
        <f>'YTD CF'!S38-'YTD CF'!R38</f>
        <v/>
      </c>
      <c r="Y38" s="4">
        <f>'CASH FLOW'!H34-'YTD CF'!S38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  <c r="AL38" s="11">
        <f>'CF DRIVERS'!AL36</f>
        <v/>
      </c>
      <c r="AM38" s="11">
        <f>'CF DRIVERS'!AM36</f>
        <v/>
      </c>
      <c r="AN38" s="11">
        <f>'CF DRIVERS'!AN36</f>
        <v/>
      </c>
      <c r="AO38" s="11">
        <f>'CF DRIVERS'!AO36</f>
        <v/>
      </c>
      <c r="AP38" s="11">
        <f>'CF DRIVERS'!AP36</f>
        <v/>
      </c>
      <c r="AQ38" s="11">
        <f>'CF DRIVERS'!AQ36</f>
        <v/>
      </c>
      <c r="AR38" s="11">
        <f>'CF DRIVERS'!AR36</f>
        <v/>
      </c>
      <c r="AS38" s="11">
        <f>'CF DRIVERS'!AS36</f>
        <v/>
      </c>
    </row>
    <row r="39">
      <c r="A39" s="3" t="inlineStr">
        <is>
          <t>Proceeds from Issuance of Common Stock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FLOW'!C36-'YTD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FLOW'!D36-'YTD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FLOW'!E36-'YTD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FLOW'!F36-'YTD CF'!M39</f>
        <v/>
      </c>
      <c r="R39" s="4">
        <f>'YTD CF'!N39</f>
        <v/>
      </c>
      <c r="S39" s="4">
        <f>'YTD CF'!O39-'YTD CF'!N39</f>
        <v/>
      </c>
      <c r="T39" s="4">
        <f>'YTD CF'!P39-'YTD CF'!O39</f>
        <v/>
      </c>
      <c r="U39" s="4">
        <f>'CASH FLOW'!G36-'YTD CF'!P39</f>
        <v/>
      </c>
      <c r="V39" s="4">
        <f>'YTD CF'!Q39</f>
        <v/>
      </c>
      <c r="W39" s="4">
        <f>'YTD CF'!R39-'YTD CF'!Q39</f>
        <v/>
      </c>
      <c r="X39" s="4">
        <f>'YTD CF'!S39-'YTD CF'!R39</f>
        <v/>
      </c>
      <c r="Y39" s="4">
        <f>'CASH FLOW'!H36-'YTD CF'!S39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  <c r="AL39" s="11">
        <f>'CF DRIVERS'!AL37</f>
        <v/>
      </c>
      <c r="AM39" s="11">
        <f>'CF DRIVERS'!AM37</f>
        <v/>
      </c>
      <c r="AN39" s="11">
        <f>'CF DRIVERS'!AN37</f>
        <v/>
      </c>
      <c r="AO39" s="11">
        <f>'CF DRIVERS'!AO37</f>
        <v/>
      </c>
      <c r="AP39" s="11">
        <f>'CF DRIVERS'!AP37</f>
        <v/>
      </c>
      <c r="AQ39" s="11">
        <f>'CF DRIVERS'!AQ37</f>
        <v/>
      </c>
      <c r="AR39" s="11">
        <f>'CF DRIVERS'!AR37</f>
        <v/>
      </c>
      <c r="AS39" s="11">
        <f>'CF DRIVERS'!AS37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4">
        <f>'YTD CF'!N40</f>
        <v/>
      </c>
      <c r="S40" s="4">
        <f>'YTD CF'!O40-'YTD CF'!N40</f>
        <v/>
      </c>
      <c r="T40" s="4">
        <f>'YTD CF'!P40-'YTD CF'!O40</f>
        <v/>
      </c>
      <c r="U40" s="4">
        <f>'CASH FLOW'!G37-'YTD CF'!P40</f>
        <v/>
      </c>
      <c r="V40" s="4">
        <f>'YTD CF'!Q40</f>
        <v/>
      </c>
      <c r="W40" s="4">
        <f>'YTD CF'!R40-'YTD CF'!Q40</f>
        <v/>
      </c>
      <c r="X40" s="4">
        <f>'YTD CF'!S40-'YTD CF'!R40</f>
        <v/>
      </c>
      <c r="Y40" s="4">
        <f>'CASH FLOW'!H37-'YTD CF'!S40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  <c r="AL40" s="11">
        <f>'CF DRIVERS'!AL38</f>
        <v/>
      </c>
      <c r="AM40" s="11">
        <f>'CF DRIVERS'!AM38</f>
        <v/>
      </c>
      <c r="AN40" s="11">
        <f>'CF DRIVERS'!AN38</f>
        <v/>
      </c>
      <c r="AO40" s="11">
        <f>'CF DRIVERS'!AO38</f>
        <v/>
      </c>
      <c r="AP40" s="11">
        <f>'CF DRIVERS'!AP38</f>
        <v/>
      </c>
      <c r="AQ40" s="11">
        <f>'CF DRIVERS'!AQ38</f>
        <v/>
      </c>
      <c r="AR40" s="11">
        <f>'CF DRIVERS'!AR38</f>
        <v/>
      </c>
      <c r="AS40" s="11">
        <f>'CF DRIVERS'!AS38</f>
        <v/>
      </c>
    </row>
    <row r="41">
      <c r="A41" s="3" t="inlineStr">
        <is>
          <t>Cash Flow from Financing</t>
        </is>
      </c>
      <c r="B41" s="6">
        <f>'YTD CF'!B41</f>
        <v/>
      </c>
      <c r="C41" s="6">
        <f>'YTD CF'!C41-'YTD CF'!B41</f>
        <v/>
      </c>
      <c r="D41" s="6">
        <f>'YTD CF'!D41-'YTD CF'!C41</f>
        <v/>
      </c>
      <c r="E41" s="6">
        <f>'CASH FLOW'!C38-'YTD CF'!D41</f>
        <v/>
      </c>
      <c r="F41" s="6">
        <f>'YTD CF'!E41</f>
        <v/>
      </c>
      <c r="G41" s="6">
        <f>'YTD CF'!F41-'YTD CF'!E41</f>
        <v/>
      </c>
      <c r="H41" s="6">
        <f>'YTD CF'!G41-'YTD CF'!F41</f>
        <v/>
      </c>
      <c r="I41" s="6">
        <f>'CASH FLOW'!D38-'YTD CF'!G41</f>
        <v/>
      </c>
      <c r="J41" s="6">
        <f>'YTD CF'!H41</f>
        <v/>
      </c>
      <c r="K41" s="6">
        <f>'YTD CF'!I41-'YTD CF'!H41</f>
        <v/>
      </c>
      <c r="L41" s="6">
        <f>'YTD CF'!J41-'YTD CF'!I41</f>
        <v/>
      </c>
      <c r="M41" s="6">
        <f>'CASH FLOW'!E38-'YTD CF'!J41</f>
        <v/>
      </c>
      <c r="N41" s="6">
        <f>'YTD CF'!K41</f>
        <v/>
      </c>
      <c r="O41" s="6">
        <f>'YTD CF'!L41-'YTD CF'!K41</f>
        <v/>
      </c>
      <c r="P41" s="6">
        <f>'YTD CF'!M41-'YTD CF'!L41</f>
        <v/>
      </c>
      <c r="Q41" s="6">
        <f>'CASH FLOW'!F38-'YTD CF'!M41</f>
        <v/>
      </c>
      <c r="R41" s="6">
        <f>'YTD CF'!N41</f>
        <v/>
      </c>
      <c r="S41" s="6">
        <f>'YTD CF'!O41-'YTD CF'!N41</f>
        <v/>
      </c>
      <c r="T41" s="6">
        <f>'YTD CF'!P41-'YTD CF'!O41</f>
        <v/>
      </c>
      <c r="U41" s="6">
        <f>'CASH FLOW'!G38-'YTD CF'!P41</f>
        <v/>
      </c>
      <c r="V41" s="6">
        <f>'YTD CF'!Q41</f>
        <v/>
      </c>
      <c r="W41" s="6">
        <f>'YTD CF'!R41-'YTD CF'!Q41</f>
        <v/>
      </c>
      <c r="X41" s="6">
        <f>'YTD CF'!S41-'YTD CF'!R41</f>
        <v/>
      </c>
      <c r="Y41" s="6">
        <f>'CASH FLOW'!H38-'YTD CF'!S41</f>
        <v/>
      </c>
      <c r="Z41" s="7">
        <f>SUM(Z34:Z40)</f>
        <v/>
      </c>
      <c r="AA41" s="7">
        <f>SUM(AA34:AA40)</f>
        <v/>
      </c>
      <c r="AB41" s="7">
        <f>SUM(AB34:AB40)</f>
        <v/>
      </c>
      <c r="AC41" s="7">
        <f>SUM(AC34:AC40)</f>
        <v/>
      </c>
      <c r="AD41" s="7">
        <f>SUM(AD34:AD40)</f>
        <v/>
      </c>
      <c r="AE41" s="7">
        <f>SUM(AE34:AE40)</f>
        <v/>
      </c>
      <c r="AF41" s="7">
        <f>SUM(AF34:AF40)</f>
        <v/>
      </c>
      <c r="AG41" s="7">
        <f>SUM(AG34:AG40)</f>
        <v/>
      </c>
      <c r="AH41" s="7">
        <f>SUM(AH34:AH40)</f>
        <v/>
      </c>
      <c r="AI41" s="7">
        <f>SUM(AI34:AI40)</f>
        <v/>
      </c>
      <c r="AJ41" s="7">
        <f>SUM(AJ34:AJ40)</f>
        <v/>
      </c>
      <c r="AK41" s="7">
        <f>SUM(AK34:AK40)</f>
        <v/>
      </c>
      <c r="AL41" s="7">
        <f>SUM(AL34:AL40)</f>
        <v/>
      </c>
      <c r="AM41" s="7">
        <f>SUM(AM34:AM40)</f>
        <v/>
      </c>
      <c r="AN41" s="7">
        <f>SUM(AN34:AN40)</f>
        <v/>
      </c>
      <c r="AO41" s="7">
        <f>SUM(AO34:AO40)</f>
        <v/>
      </c>
      <c r="AP41" s="7">
        <f>SUM(AP34:AP40)</f>
        <v/>
      </c>
      <c r="AQ41" s="7">
        <f>SUM(AQ34:AQ40)</f>
        <v/>
      </c>
      <c r="AR41" s="7">
        <f>SUM(AR34:AR40)</f>
        <v/>
      </c>
      <c r="AS41" s="7">
        <f>SUM(AS34:AS40)</f>
        <v/>
      </c>
    </row>
    <row r="42">
      <c r="A42" s="3" t="inlineStr">
        <is>
          <t>FX Effect on Cash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4">
        <f>'YTD CF'!N42</f>
        <v/>
      </c>
      <c r="S42" s="4">
        <f>'YTD CF'!O42-'YTD CF'!N42</f>
        <v/>
      </c>
      <c r="T42" s="4">
        <f>'YTD CF'!P42-'YTD CF'!O42</f>
        <v/>
      </c>
      <c r="U42" s="4">
        <f>'CASH FLOW'!G39-'YTD CF'!P42</f>
        <v/>
      </c>
      <c r="V42" s="4">
        <f>'YTD CF'!Q42</f>
        <v/>
      </c>
      <c r="W42" s="4">
        <f>'YTD CF'!R42-'YTD CF'!Q42</f>
        <v/>
      </c>
      <c r="X42" s="4">
        <f>'YTD CF'!S42-'YTD CF'!R42</f>
        <v/>
      </c>
      <c r="Y42" s="4">
        <f>'CASH FLOW'!H39-'YTD CF'!S42</f>
        <v/>
      </c>
      <c r="Z42" s="11">
        <f>'CF DRIVERS'!Z39</f>
        <v/>
      </c>
      <c r="AA42" s="11">
        <f>'CF DRIVERS'!AA39</f>
        <v/>
      </c>
      <c r="AB42" s="11">
        <f>'CF DRIVERS'!AB39</f>
        <v/>
      </c>
      <c r="AC42" s="11">
        <f>'CF DRIVERS'!AC39</f>
        <v/>
      </c>
      <c r="AD42" s="11">
        <f>'CF DRIVERS'!AD39</f>
        <v/>
      </c>
      <c r="AE42" s="11">
        <f>'CF DRIVERS'!AE39</f>
        <v/>
      </c>
      <c r="AF42" s="11">
        <f>'CF DRIVERS'!AF39</f>
        <v/>
      </c>
      <c r="AG42" s="11">
        <f>'CF DRIVERS'!AG39</f>
        <v/>
      </c>
      <c r="AH42" s="11">
        <f>'CF DRIVERS'!AH39</f>
        <v/>
      </c>
      <c r="AI42" s="11">
        <f>'CF DRIVERS'!AI39</f>
        <v/>
      </c>
      <c r="AJ42" s="11">
        <f>'CF DRIVERS'!AJ39</f>
        <v/>
      </c>
      <c r="AK42" s="11">
        <f>'CF DRIVERS'!AK39</f>
        <v/>
      </c>
      <c r="AL42" s="11">
        <f>'CF DRIVERS'!AL39</f>
        <v/>
      </c>
      <c r="AM42" s="11">
        <f>'CF DRIVERS'!AM39</f>
        <v/>
      </c>
      <c r="AN42" s="11">
        <f>'CF DRIVERS'!AN39</f>
        <v/>
      </c>
      <c r="AO42" s="11">
        <f>'CF DRIVERS'!AO39</f>
        <v/>
      </c>
      <c r="AP42" s="11">
        <f>'CF DRIVERS'!AP39</f>
        <v/>
      </c>
      <c r="AQ42" s="11">
        <f>'CF DRIVERS'!AQ39</f>
        <v/>
      </c>
      <c r="AR42" s="11">
        <f>'CF DRIVERS'!AR39</f>
        <v/>
      </c>
      <c r="AS42" s="11">
        <f>'CF DRIVERS'!AS39</f>
        <v/>
      </c>
    </row>
    <row r="43">
      <c r="A43" s="3" t="inlineStr">
        <is>
          <t>Net Change in Cash</t>
        </is>
      </c>
      <c r="B43" s="6">
        <f>'YTD CF'!B43</f>
        <v/>
      </c>
      <c r="C43" s="6">
        <f>'YTD CF'!C43-'YTD CF'!B43</f>
        <v/>
      </c>
      <c r="D43" s="6">
        <f>'YTD CF'!D43-'YTD CF'!C43</f>
        <v/>
      </c>
      <c r="E43" s="6">
        <f>'CASH FLOW'!C40-'YTD CF'!D43</f>
        <v/>
      </c>
      <c r="F43" s="6">
        <f>'YTD CF'!E43</f>
        <v/>
      </c>
      <c r="G43" s="6">
        <f>'YTD CF'!F43-'YTD CF'!E43</f>
        <v/>
      </c>
      <c r="H43" s="6">
        <f>'YTD CF'!G43-'YTD CF'!F43</f>
        <v/>
      </c>
      <c r="I43" s="6">
        <f>'CASH FLOW'!D40-'YTD CF'!G43</f>
        <v/>
      </c>
      <c r="J43" s="6">
        <f>'YTD CF'!H43</f>
        <v/>
      </c>
      <c r="K43" s="6">
        <f>'YTD CF'!I43-'YTD CF'!H43</f>
        <v/>
      </c>
      <c r="L43" s="6">
        <f>'YTD CF'!J43-'YTD CF'!I43</f>
        <v/>
      </c>
      <c r="M43" s="6">
        <f>'CASH FLOW'!E40-'YTD CF'!J43</f>
        <v/>
      </c>
      <c r="N43" s="6">
        <f>'YTD CF'!K43</f>
        <v/>
      </c>
      <c r="O43" s="6">
        <f>'YTD CF'!L43-'YTD CF'!K43</f>
        <v/>
      </c>
      <c r="P43" s="6">
        <f>'YTD CF'!M43-'YTD CF'!L43</f>
        <v/>
      </c>
      <c r="Q43" s="6">
        <f>'CASH FLOW'!F40-'YTD CF'!M43</f>
        <v/>
      </c>
      <c r="R43" s="6">
        <f>'YTD CF'!N43</f>
        <v/>
      </c>
      <c r="S43" s="6">
        <f>'YTD CF'!O43-'YTD CF'!N43</f>
        <v/>
      </c>
      <c r="T43" s="6">
        <f>'YTD CF'!P43-'YTD CF'!O43</f>
        <v/>
      </c>
      <c r="U43" s="6">
        <f>'CASH FLOW'!G40-'YTD CF'!P43</f>
        <v/>
      </c>
      <c r="V43" s="6">
        <f>'YTD CF'!Q43</f>
        <v/>
      </c>
      <c r="W43" s="6">
        <f>'YTD CF'!R43-'YTD CF'!Q43</f>
        <v/>
      </c>
      <c r="X43" s="6">
        <f>'YTD CF'!S43-'YTD CF'!R43</f>
        <v/>
      </c>
      <c r="Y43" s="6">
        <f>'CASH FLOW'!H40-'YTD CF'!S43</f>
        <v/>
      </c>
      <c r="Z43" s="7">
        <f>Z24+Z33+Z41+Z42</f>
        <v/>
      </c>
      <c r="AA43" s="7">
        <f>AA24+AA33+AA41+AA42</f>
        <v/>
      </c>
      <c r="AB43" s="7">
        <f>AB24+AB33+AB41+AB42</f>
        <v/>
      </c>
      <c r="AC43" s="7">
        <f>AC24+AC33+AC41+AC42</f>
        <v/>
      </c>
      <c r="AD43" s="7">
        <f>AD24+AD33+AD41+AD42</f>
        <v/>
      </c>
      <c r="AE43" s="7">
        <f>AE24+AE33+AE41+AE42</f>
        <v/>
      </c>
      <c r="AF43" s="7">
        <f>AF24+AF33+AF41+AF42</f>
        <v/>
      </c>
      <c r="AG43" s="7">
        <f>AG24+AG33+AG41+AG42</f>
        <v/>
      </c>
      <c r="AH43" s="7">
        <f>AH24+AH33+AH41+AH42</f>
        <v/>
      </c>
      <c r="AI43" s="7">
        <f>AI24+AI33+AI41+AI42</f>
        <v/>
      </c>
      <c r="AJ43" s="7">
        <f>AJ24+AJ33+AJ41+AJ42</f>
        <v/>
      </c>
      <c r="AK43" s="7">
        <f>AK24+AK33+AK41+AK42</f>
        <v/>
      </c>
      <c r="AL43" s="7">
        <f>AL24+AL33+AL41+AL42</f>
        <v/>
      </c>
      <c r="AM43" s="7">
        <f>AM24+AM33+AM41+AM42</f>
        <v/>
      </c>
      <c r="AN43" s="7">
        <f>AN24+AN33+AN41+AN42</f>
        <v/>
      </c>
      <c r="AO43" s="7">
        <f>AO24+AO33+AO41+AO42</f>
        <v/>
      </c>
      <c r="AP43" s="7">
        <f>AP24+AP33+AP41+AP42</f>
        <v/>
      </c>
      <c r="AQ43" s="7">
        <f>AQ24+AQ33+AQ41+AQ42</f>
        <v/>
      </c>
      <c r="AR43" s="7">
        <f>AR24+AR33+AR41+AR42</f>
        <v/>
      </c>
      <c r="AS43" s="7">
        <f>AS24+AS33+AS41+AS42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T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FY2020</t>
        </is>
      </c>
      <c r="D1" s="2" t="inlineStr">
        <is>
          <t>Q2 FY2020</t>
        </is>
      </c>
      <c r="E1" s="2" t="inlineStr">
        <is>
          <t>Q3 FY2020</t>
        </is>
      </c>
      <c r="F1" s="2" t="inlineStr">
        <is>
          <t>Q4 FY2020</t>
        </is>
      </c>
      <c r="G1" s="2" t="inlineStr">
        <is>
          <t>Q1 FY2021</t>
        </is>
      </c>
      <c r="H1" s="2" t="inlineStr">
        <is>
          <t>Q2 FY2021</t>
        </is>
      </c>
      <c r="I1" s="2" t="inlineStr">
        <is>
          <t>Q3 FY2021</t>
        </is>
      </c>
      <c r="J1" s="2" t="inlineStr">
        <is>
          <t>Q4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Q4 FY2022</t>
        </is>
      </c>
      <c r="O1" s="2" t="inlineStr">
        <is>
          <t>Q1 FY2023</t>
        </is>
      </c>
      <c r="P1" s="2" t="inlineStr">
        <is>
          <t>Q2 FY2023</t>
        </is>
      </c>
      <c r="Q1" s="2" t="inlineStr">
        <is>
          <t>Q3 FY2023</t>
        </is>
      </c>
      <c r="R1" s="2" t="inlineStr">
        <is>
          <t>Q4 FY2023</t>
        </is>
      </c>
      <c r="S1" s="2" t="inlineStr">
        <is>
          <t>Q1 FY2024</t>
        </is>
      </c>
      <c r="T1" s="2" t="inlineStr">
        <is>
          <t>Q2 FY2024</t>
        </is>
      </c>
      <c r="U1" s="2" t="inlineStr">
        <is>
          <t>Q3 FY2024</t>
        </is>
      </c>
      <c r="V1" s="2" t="inlineStr">
        <is>
          <t>Q4 FY2024</t>
        </is>
      </c>
      <c r="W1" s="2" t="inlineStr">
        <is>
          <t>Q1 FY2025</t>
        </is>
      </c>
      <c r="X1" s="2" t="inlineStr">
        <is>
          <t>Q2 FY2025</t>
        </is>
      </c>
      <c r="Y1" s="2" t="inlineStr">
        <is>
          <t>Q3 FY2025</t>
        </is>
      </c>
      <c r="Z1" s="2" t="inlineStr">
        <is>
          <t>Q4 FY2025</t>
        </is>
      </c>
      <c r="AA1" s="2" t="inlineStr">
        <is>
          <t>Q1 FY2026E</t>
        </is>
      </c>
      <c r="AB1" s="2" t="inlineStr">
        <is>
          <t>Q2 FY2026E</t>
        </is>
      </c>
      <c r="AC1" s="2" t="inlineStr">
        <is>
          <t>Q3 FY2026E</t>
        </is>
      </c>
      <c r="AD1" s="2" t="inlineStr">
        <is>
          <t>Q4 FY2026E</t>
        </is>
      </c>
      <c r="AE1" s="2" t="inlineStr">
        <is>
          <t>Q1 FY2027E</t>
        </is>
      </c>
      <c r="AF1" s="2" t="inlineStr">
        <is>
          <t>Q2 FY2027E</t>
        </is>
      </c>
      <c r="AG1" s="2" t="inlineStr">
        <is>
          <t>Q3 FY2027E</t>
        </is>
      </c>
      <c r="AH1" s="2" t="inlineStr">
        <is>
          <t>Q4 FY2027E</t>
        </is>
      </c>
      <c r="AI1" s="2" t="inlineStr">
        <is>
          <t>Q1 FY2028E</t>
        </is>
      </c>
      <c r="AJ1" s="2" t="inlineStr">
        <is>
          <t>Q2 FY2028E</t>
        </is>
      </c>
      <c r="AK1" s="2" t="inlineStr">
        <is>
          <t>Q3 FY2028E</t>
        </is>
      </c>
      <c r="AL1" s="2" t="inlineStr">
        <is>
          <t>Q4 FY2028E</t>
        </is>
      </c>
      <c r="AM1" s="2" t="inlineStr">
        <is>
          <t>Q1 FY2029E</t>
        </is>
      </c>
      <c r="AN1" s="2" t="inlineStr">
        <is>
          <t>Q2 FY2029E</t>
        </is>
      </c>
      <c r="AO1" s="2" t="inlineStr">
        <is>
          <t>Q3 FY2029E</t>
        </is>
      </c>
      <c r="AP1" s="2" t="inlineStr">
        <is>
          <t>Q4 FY2029E</t>
        </is>
      </c>
      <c r="AQ1" s="2" t="inlineStr">
        <is>
          <t>Q1 FY2030E</t>
        </is>
      </c>
      <c r="AR1" s="2" t="inlineStr">
        <is>
          <t>Q2 FY2030E</t>
        </is>
      </c>
      <c r="AS1" s="2" t="inlineStr">
        <is>
          <t>Q3 FY2030E</t>
        </is>
      </c>
      <c r="AT1" s="2" t="inlineStr">
        <is>
          <t>Q4 FY2030E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3">
        <f>IFERROR('QTR P&amp;L'!T2/IF($B2="QoQ",'QTR P&amp;L'!S2,'QTR P&amp;L'!P2)-1,"")</f>
        <v/>
      </c>
      <c r="V2" s="13">
        <f>IFERROR('QTR P&amp;L'!U2/IF($B2="QoQ",'QTR P&amp;L'!T2,'QTR P&amp;L'!Q2)-1,"")</f>
        <v/>
      </c>
      <c r="W2" s="13">
        <f>IFERROR('QTR P&amp;L'!V2/IF($B2="QoQ",'QTR P&amp;L'!U2,'QTR P&amp;L'!R2)-1,"")</f>
        <v/>
      </c>
      <c r="X2" s="13">
        <f>IFERROR('QTR P&amp;L'!W2/IF($B2="QoQ",'QTR P&amp;L'!V2,'QTR P&amp;L'!S2)-1,"")</f>
        <v/>
      </c>
      <c r="Y2" s="13">
        <f>IFERROR('QTR P&amp;L'!X2/IF($B2="QoQ",'QTR P&amp;L'!W2,'QTR P&amp;L'!T2)-1,"")</f>
        <v/>
      </c>
      <c r="Z2" s="13">
        <f>IFERROR('QTR P&amp;L'!Y2/IF($B2="QoQ",'QTR P&amp;L'!X2,'QTR P&amp;L'!U2)-1,"")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  <c r="AQ2" s="14">
        <f>AP2</f>
        <v/>
      </c>
      <c r="AR2" s="14">
        <f>AQ2</f>
        <v/>
      </c>
      <c r="AS2" s="14">
        <f>AR2</f>
        <v/>
      </c>
      <c r="AT2" s="14">
        <f>AS2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3">
        <f>IFERROR('QTR P&amp;L'!T3/'QTR P&amp;L'!T2,"")</f>
        <v/>
      </c>
      <c r="V3" s="13">
        <f>IFERROR('QTR P&amp;L'!U3/'QTR P&amp;L'!U2,"")</f>
        <v/>
      </c>
      <c r="W3" s="13">
        <f>IFERROR('QTR P&amp;L'!V3/'QTR P&amp;L'!V2,"")</f>
        <v/>
      </c>
      <c r="X3" s="13">
        <f>IFERROR('QTR P&amp;L'!W3/'QTR P&amp;L'!W2,"")</f>
        <v/>
      </c>
      <c r="Y3" s="13">
        <f>IFERROR('QTR P&amp;L'!X3/'QTR P&amp;L'!X2,"")</f>
        <v/>
      </c>
      <c r="Z3" s="13">
        <f>IFERROR('QTR P&amp;L'!Y3/'QTR P&amp;L'!Y2,"")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  <c r="AQ3" s="14">
        <f>AP3</f>
        <v/>
      </c>
      <c r="AR3" s="14">
        <f>AQ3</f>
        <v/>
      </c>
      <c r="AS3" s="14">
        <f>AR3</f>
        <v/>
      </c>
      <c r="AT3" s="14">
        <f>AS3</f>
        <v/>
      </c>
    </row>
    <row r="4">
      <c r="A4" s="3" t="inlineStr">
        <is>
          <t>Operating Expenses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3">
        <f>IFERROR('QTR P&amp;L'!T5/'QTR P&amp;L'!T2,"")</f>
        <v/>
      </c>
      <c r="V4" s="13">
        <f>IFERROR('QTR P&amp;L'!U5/'QTR P&amp;L'!U2,"")</f>
        <v/>
      </c>
      <c r="W4" s="13">
        <f>IFERROR('QTR P&amp;L'!V5/'QTR P&amp;L'!V2,"")</f>
        <v/>
      </c>
      <c r="X4" s="13">
        <f>IFERROR('QTR P&amp;L'!W5/'QTR P&amp;L'!W2,"")</f>
        <v/>
      </c>
      <c r="Y4" s="13">
        <f>IFERROR('QTR P&amp;L'!X5/'QTR P&amp;L'!X2,"")</f>
        <v/>
      </c>
      <c r="Z4" s="13">
        <f>IFERROR('QTR P&amp;L'!Y5/'QTR P&amp;L'!Y2,"")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  <c r="AQ4" s="14">
        <f>AP4</f>
        <v/>
      </c>
      <c r="AR4" s="14">
        <f>AQ4</f>
        <v/>
      </c>
      <c r="AS4" s="14">
        <f>AR4</f>
        <v/>
      </c>
      <c r="AT4" s="14">
        <f>AS4</f>
        <v/>
      </c>
    </row>
    <row r="5">
      <c r="A5" s="3" t="inlineStr">
        <is>
          <t>Other Income (Expense)</t>
        </is>
      </c>
      <c r="C5" s="4">
        <f>'QTR P&amp;L'!B7</f>
        <v/>
      </c>
      <c r="D5" s="4">
        <f>'QTR P&amp;L'!C7</f>
        <v/>
      </c>
      <c r="E5" s="4">
        <f>'QTR P&amp;L'!D7</f>
        <v/>
      </c>
      <c r="F5" s="4">
        <f>'QTR P&amp;L'!E7</f>
        <v/>
      </c>
      <c r="G5" s="4">
        <f>'QTR P&amp;L'!F7</f>
        <v/>
      </c>
      <c r="H5" s="4">
        <f>'QTR P&amp;L'!G7</f>
        <v/>
      </c>
      <c r="I5" s="4">
        <f>'QTR P&amp;L'!H7</f>
        <v/>
      </c>
      <c r="J5" s="4">
        <f>'QTR P&amp;L'!I7</f>
        <v/>
      </c>
      <c r="K5" s="4">
        <f>'QTR P&amp;L'!J7</f>
        <v/>
      </c>
      <c r="L5" s="4">
        <f>'QTR P&amp;L'!K7</f>
        <v/>
      </c>
      <c r="M5" s="4">
        <f>'QTR P&amp;L'!L7</f>
        <v/>
      </c>
      <c r="N5" s="4">
        <f>'QTR P&amp;L'!M7</f>
        <v/>
      </c>
      <c r="O5" s="4">
        <f>'QTR P&amp;L'!N7</f>
        <v/>
      </c>
      <c r="P5" s="4">
        <f>'QTR P&amp;L'!O7</f>
        <v/>
      </c>
      <c r="Q5" s="4">
        <f>'QTR P&amp;L'!P7</f>
        <v/>
      </c>
      <c r="R5" s="4">
        <f>'QTR P&amp;L'!Q7</f>
        <v/>
      </c>
      <c r="S5" s="4">
        <f>'QTR P&amp;L'!R7</f>
        <v/>
      </c>
      <c r="T5" s="4">
        <f>'QTR P&amp;L'!S7</f>
        <v/>
      </c>
      <c r="U5" s="4">
        <f>'QTR P&amp;L'!T7</f>
        <v/>
      </c>
      <c r="V5" s="4">
        <f>'QTR P&amp;L'!U7</f>
        <v/>
      </c>
      <c r="W5" s="4">
        <f>'QTR P&amp;L'!V7</f>
        <v/>
      </c>
      <c r="X5" s="4">
        <f>'QTR P&amp;L'!W7</f>
        <v/>
      </c>
      <c r="Y5" s="4">
        <f>'QTR P&amp;L'!X7</f>
        <v/>
      </c>
      <c r="Z5" s="4">
        <f>'QTR P&amp;L'!Y7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  <c r="AI5" s="15">
        <f>AH5</f>
        <v/>
      </c>
      <c r="AJ5" s="15">
        <f>AI5</f>
        <v/>
      </c>
      <c r="AK5" s="15">
        <f>AJ5</f>
        <v/>
      </c>
      <c r="AL5" s="15">
        <f>AK5</f>
        <v/>
      </c>
      <c r="AM5" s="15">
        <f>AL5</f>
        <v/>
      </c>
      <c r="AN5" s="15">
        <f>AM5</f>
        <v/>
      </c>
      <c r="AO5" s="15">
        <f>AN5</f>
        <v/>
      </c>
      <c r="AP5" s="15">
        <f>AO5</f>
        <v/>
      </c>
      <c r="AQ5" s="15">
        <f>AP5</f>
        <v/>
      </c>
      <c r="AR5" s="15">
        <f>AQ5</f>
        <v/>
      </c>
      <c r="AS5" s="15">
        <f>AR5</f>
        <v/>
      </c>
      <c r="AT5" s="15">
        <f>AS5</f>
        <v/>
      </c>
    </row>
    <row r="6">
      <c r="A6" s="3" t="inlineStr">
        <is>
          <t>Income Tax (Expense) Benefit — Effective Tax Rate %</t>
        </is>
      </c>
      <c r="C6" s="13">
        <f>IFERROR('QTR P&amp;L'!B9/'QTR P&amp;L'!B8,"")</f>
        <v/>
      </c>
      <c r="D6" s="13">
        <f>IFERROR('QTR P&amp;L'!C9/'QTR P&amp;L'!C8,"")</f>
        <v/>
      </c>
      <c r="E6" s="13">
        <f>IFERROR('QTR P&amp;L'!D9/'QTR P&amp;L'!D8,"")</f>
        <v/>
      </c>
      <c r="F6" s="13">
        <f>IFERROR('QTR P&amp;L'!E9/'QTR P&amp;L'!E8,"")</f>
        <v/>
      </c>
      <c r="G6" s="13">
        <f>IFERROR('QTR P&amp;L'!F9/'QTR P&amp;L'!F8,"")</f>
        <v/>
      </c>
      <c r="H6" s="13">
        <f>IFERROR('QTR P&amp;L'!G9/'QTR P&amp;L'!G8,"")</f>
        <v/>
      </c>
      <c r="I6" s="13">
        <f>IFERROR('QTR P&amp;L'!H9/'QTR P&amp;L'!H8,"")</f>
        <v/>
      </c>
      <c r="J6" s="13">
        <f>IFERROR('QTR P&amp;L'!I9/'QTR P&amp;L'!I8,"")</f>
        <v/>
      </c>
      <c r="K6" s="13">
        <f>IFERROR('QTR P&amp;L'!J9/'QTR P&amp;L'!J8,"")</f>
        <v/>
      </c>
      <c r="L6" s="13">
        <f>IFERROR('QTR P&amp;L'!K9/'QTR P&amp;L'!K8,"")</f>
        <v/>
      </c>
      <c r="M6" s="13">
        <f>IFERROR('QTR P&amp;L'!L9/'QTR P&amp;L'!L8,"")</f>
        <v/>
      </c>
      <c r="N6" s="13">
        <f>IFERROR('QTR P&amp;L'!M9/'QTR P&amp;L'!M8,"")</f>
        <v/>
      </c>
      <c r="O6" s="13">
        <f>IFERROR('QTR P&amp;L'!N9/'QTR P&amp;L'!N8,"")</f>
        <v/>
      </c>
      <c r="P6" s="13">
        <f>IFERROR('QTR P&amp;L'!O9/'QTR P&amp;L'!O8,"")</f>
        <v/>
      </c>
      <c r="Q6" s="13">
        <f>IFERROR('QTR P&amp;L'!P9/'QTR P&amp;L'!P8,"")</f>
        <v/>
      </c>
      <c r="R6" s="13">
        <f>IFERROR('QTR P&amp;L'!Q9/'QTR P&amp;L'!Q8,"")</f>
        <v/>
      </c>
      <c r="S6" s="13">
        <f>IFERROR('QTR P&amp;L'!R9/'QTR P&amp;L'!R8,"")</f>
        <v/>
      </c>
      <c r="T6" s="13">
        <f>IFERROR('QTR P&amp;L'!S9/'QTR P&amp;L'!S8,"")</f>
        <v/>
      </c>
      <c r="U6" s="13">
        <f>IFERROR('QTR P&amp;L'!T9/'QTR P&amp;L'!T8,"")</f>
        <v/>
      </c>
      <c r="V6" s="13">
        <f>IFERROR('QTR P&amp;L'!U9/'QTR P&amp;L'!U8,"")</f>
        <v/>
      </c>
      <c r="W6" s="13">
        <f>IFERROR('QTR P&amp;L'!V9/'QTR P&amp;L'!V8,"")</f>
        <v/>
      </c>
      <c r="X6" s="13">
        <f>IFERROR('QTR P&amp;L'!W9/'QTR P&amp;L'!W8,"")</f>
        <v/>
      </c>
      <c r="Y6" s="13">
        <f>IFERROR('QTR P&amp;L'!X9/'QTR P&amp;L'!X8,"")</f>
        <v/>
      </c>
      <c r="Z6" s="13">
        <f>IFERROR('QTR P&amp;L'!Y9/'QTR P&amp;L'!Y8,"")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  <c r="AQ6" s="14">
        <f>AP6</f>
        <v/>
      </c>
      <c r="AR6" s="14">
        <f>AQ6</f>
        <v/>
      </c>
      <c r="AS6" s="14">
        <f>AR6</f>
        <v/>
      </c>
      <c r="AT6" s="14">
        <f>AS6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Q4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'QTR BS'!Q2</f>
        <v/>
      </c>
      <c r="R2" s="4">
        <f>'QTR BS'!R2</f>
        <v/>
      </c>
      <c r="S2" s="4">
        <f>'QTR BS'!S2</f>
        <v/>
      </c>
      <c r="T2" s="4">
        <f>'QTR BS'!T2</f>
        <v/>
      </c>
      <c r="U2" s="4">
        <f>'QTR BS'!U2</f>
        <v/>
      </c>
      <c r="V2" s="4">
        <f>'QTR BS'!V2</f>
        <v/>
      </c>
      <c r="W2" s="4">
        <f>V2+'QTR CF'!Z43</f>
        <v/>
      </c>
      <c r="X2" s="4">
        <f>W2+'QTR CF'!AA43</f>
        <v/>
      </c>
      <c r="Y2" s="4">
        <f>X2+'QTR CF'!AB43</f>
        <v/>
      </c>
      <c r="Z2" s="4">
        <f>Y2+'QTR CF'!AC43</f>
        <v/>
      </c>
      <c r="AA2" s="4">
        <f>Z2+'QTR CF'!AD43</f>
        <v/>
      </c>
      <c r="AB2" s="4">
        <f>AA2+'QTR CF'!AE43</f>
        <v/>
      </c>
      <c r="AC2" s="4">
        <f>AB2+'QTR CF'!AF43</f>
        <v/>
      </c>
      <c r="AD2" s="4">
        <f>AC2+'QTR CF'!AG43</f>
        <v/>
      </c>
      <c r="AE2" s="4">
        <f>AD2+'QTR CF'!AH43</f>
        <v/>
      </c>
      <c r="AF2" s="4">
        <f>AE2+'QTR CF'!AI43</f>
        <v/>
      </c>
      <c r="AG2" s="4">
        <f>AF2+'QTR CF'!AJ43</f>
        <v/>
      </c>
      <c r="AH2" s="4">
        <f>AG2+'QTR CF'!AK43</f>
        <v/>
      </c>
      <c r="AI2" s="4">
        <f>AH2+'QTR CF'!AL43</f>
        <v/>
      </c>
      <c r="AJ2" s="4">
        <f>AI2+'QTR CF'!AM43</f>
        <v/>
      </c>
      <c r="AK2" s="4">
        <f>AJ2+'QTR CF'!AN43</f>
        <v/>
      </c>
      <c r="AL2" s="4">
        <f>AK2+'QTR CF'!AO43</f>
        <v/>
      </c>
      <c r="AM2" s="4">
        <f>AL2+'QTR CF'!AP43</f>
        <v/>
      </c>
      <c r="AN2" s="4">
        <f>AM2+'QTR CF'!AQ43</f>
        <v/>
      </c>
      <c r="AO2" s="4">
        <f>AN2+'QTR CF'!AR43</f>
        <v/>
      </c>
      <c r="AP2" s="4">
        <f>AO2+'QTR CF'!AS43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4">
        <f>'QTR BS'!P3</f>
        <v/>
      </c>
      <c r="Q3" s="4">
        <f>'QTR BS'!Q3</f>
        <v/>
      </c>
      <c r="R3" s="4">
        <f>'QTR BS'!R3</f>
        <v/>
      </c>
      <c r="S3" s="4">
        <f>'QTR BS'!S3</f>
        <v/>
      </c>
      <c r="T3" s="4">
        <f>'QTR BS'!T3</f>
        <v/>
      </c>
      <c r="U3" s="4">
        <f>'QTR BS'!U3</f>
        <v/>
      </c>
      <c r="V3" s="4">
        <f>'QTR BS'!V3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  <c r="AM3" s="15">
        <f>AL3</f>
        <v/>
      </c>
      <c r="AN3" s="15">
        <f>AM3</f>
        <v/>
      </c>
      <c r="AO3" s="15">
        <f>AN3</f>
        <v/>
      </c>
      <c r="AP3" s="15">
        <f>AO3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6">
        <f>IFERROR('QTR BS'!P4/'QTR P&amp;L'!S2*ASSUMPTIONS!$B$2,"")</f>
        <v/>
      </c>
      <c r="Q4" s="16">
        <f>IFERROR('QTR BS'!Q4/'QTR P&amp;L'!T2*ASSUMPTIONS!$B$2,"")</f>
        <v/>
      </c>
      <c r="R4" s="16">
        <f>IFERROR('QTR BS'!R4/'QTR P&amp;L'!U2*ASSUMPTIONS!$B$2,"")</f>
        <v/>
      </c>
      <c r="S4" s="16">
        <f>IFERROR('QTR BS'!S4/'QTR P&amp;L'!V2*ASSUMPTIONS!$B$2,"")</f>
        <v/>
      </c>
      <c r="T4" s="16">
        <f>IFERROR('QTR BS'!T4/'QTR P&amp;L'!W2*ASSUMPTIONS!$B$2,"")</f>
        <v/>
      </c>
      <c r="U4" s="16">
        <f>IFERROR('QTR BS'!U4/'QTR P&amp;L'!X2*ASSUMPTIONS!$B$2,"")</f>
        <v/>
      </c>
      <c r="V4" s="16">
        <f>IFERROR('QTR BS'!V4/'QTR P&amp;L'!Y2*ASSUMPTIONS!$B$2,"")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  <c r="AM4" s="17">
        <f>AL4</f>
        <v/>
      </c>
      <c r="AN4" s="17">
        <f>AM4</f>
        <v/>
      </c>
      <c r="AO4" s="17">
        <f>AN4</f>
        <v/>
      </c>
      <c r="AP4" s="17">
        <f>AO4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6">
        <f>IFERROR('QTR BS'!P5/'QTR P&amp;L'!S3*ASSUMPTIONS!$B$2,"")</f>
        <v/>
      </c>
      <c r="Q5" s="16">
        <f>IFERROR('QTR BS'!Q5/'QTR P&amp;L'!T3*ASSUMPTIONS!$B$2,"")</f>
        <v/>
      </c>
      <c r="R5" s="16">
        <f>IFERROR('QTR BS'!R5/'QTR P&amp;L'!U3*ASSUMPTIONS!$B$2,"")</f>
        <v/>
      </c>
      <c r="S5" s="16">
        <f>IFERROR('QTR BS'!S5/'QTR P&amp;L'!V3*ASSUMPTIONS!$B$2,"")</f>
        <v/>
      </c>
      <c r="T5" s="16">
        <f>IFERROR('QTR BS'!T5/'QTR P&amp;L'!W3*ASSUMPTIONS!$B$2,"")</f>
        <v/>
      </c>
      <c r="U5" s="16">
        <f>IFERROR('QTR BS'!U5/'QTR P&amp;L'!X3*ASSUMPTIONS!$B$2,"")</f>
        <v/>
      </c>
      <c r="V5" s="16">
        <f>IFERROR('QTR BS'!V5/'QTR P&amp;L'!Y3*ASSUMPTIONS!$B$2,"")</f>
        <v/>
      </c>
      <c r="W5" s="17">
        <f>V5</f>
        <v/>
      </c>
      <c r="X5" s="17">
        <f>W5</f>
        <v/>
      </c>
      <c r="Y5" s="17">
        <f>X5</f>
        <v/>
      </c>
      <c r="Z5" s="17">
        <f>Y5</f>
        <v/>
      </c>
      <c r="AA5" s="17">
        <f>Z5</f>
        <v/>
      </c>
      <c r="AB5" s="17">
        <f>AA5</f>
        <v/>
      </c>
      <c r="AC5" s="17">
        <f>AB5</f>
        <v/>
      </c>
      <c r="AD5" s="17">
        <f>AC5</f>
        <v/>
      </c>
      <c r="AE5" s="17">
        <f>AD5</f>
        <v/>
      </c>
      <c r="AF5" s="17">
        <f>AE5</f>
        <v/>
      </c>
      <c r="AG5" s="17">
        <f>AF5</f>
        <v/>
      </c>
      <c r="AH5" s="17">
        <f>AG5</f>
        <v/>
      </c>
      <c r="AI5" s="17">
        <f>AH5</f>
        <v/>
      </c>
      <c r="AJ5" s="17">
        <f>AI5</f>
        <v/>
      </c>
      <c r="AK5" s="17">
        <f>AJ5</f>
        <v/>
      </c>
      <c r="AL5" s="17">
        <f>AK5</f>
        <v/>
      </c>
      <c r="AM5" s="17">
        <f>AL5</f>
        <v/>
      </c>
      <c r="AN5" s="17">
        <f>AM5</f>
        <v/>
      </c>
      <c r="AO5" s="17">
        <f>AN5</f>
        <v/>
      </c>
      <c r="AP5" s="17">
        <f>AO5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3">
        <f>IFERROR('QTR BS'!P6/'QTR P&amp;L'!S2,"")</f>
        <v/>
      </c>
      <c r="Q6" s="13">
        <f>IFERROR('QTR BS'!Q6/'QTR P&amp;L'!T2,"")</f>
        <v/>
      </c>
      <c r="R6" s="13">
        <f>IFERROR('QTR BS'!R6/'QTR P&amp;L'!U2,"")</f>
        <v/>
      </c>
      <c r="S6" s="13">
        <f>IFERROR('QTR BS'!S6/'QTR P&amp;L'!V2,"")</f>
        <v/>
      </c>
      <c r="T6" s="13">
        <f>IFERROR('QTR BS'!T6/'QTR P&amp;L'!W2,"")</f>
        <v/>
      </c>
      <c r="U6" s="13">
        <f>IFERROR('QTR BS'!U6/'QTR P&amp;L'!X2,"")</f>
        <v/>
      </c>
      <c r="V6" s="13">
        <f>IFERROR('QTR BS'!V6/'QTR P&amp;L'!Y2,"")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</row>
    <row r="7">
      <c r="A7" s="3" t="inlineStr">
        <is>
          <t>Prepaid Income Taxes — % of Revenue</t>
        </is>
      </c>
      <c r="B7" s="13">
        <f>IFERROR('QTR BS'!B7/'QTR P&amp;L'!E2,"")</f>
        <v/>
      </c>
      <c r="C7" s="13">
        <f>IFERROR('QTR BS'!C7/'QTR P&amp;L'!F2,"")</f>
        <v/>
      </c>
      <c r="D7" s="13">
        <f>IFERROR('QTR BS'!D7/'QTR P&amp;L'!G2,"")</f>
        <v/>
      </c>
      <c r="E7" s="13">
        <f>IFERROR('QTR BS'!E7/'QTR P&amp;L'!H2,"")</f>
        <v/>
      </c>
      <c r="F7" s="13">
        <f>IFERROR('QTR BS'!F7/'QTR P&amp;L'!I2,"")</f>
        <v/>
      </c>
      <c r="G7" s="13">
        <f>IFERROR('QTR BS'!G7/'QTR P&amp;L'!J2,"")</f>
        <v/>
      </c>
      <c r="H7" s="13">
        <f>IFERROR('QTR BS'!H7/'QTR P&amp;L'!K2,"")</f>
        <v/>
      </c>
      <c r="I7" s="13">
        <f>IFERROR('QTR BS'!I7/'QTR P&amp;L'!L2,"")</f>
        <v/>
      </c>
      <c r="J7" s="13">
        <f>IFERROR('QTR BS'!J7/'QTR P&amp;L'!M2,"")</f>
        <v/>
      </c>
      <c r="K7" s="13">
        <f>IFERROR('QTR BS'!K7/'QTR P&amp;L'!N2,"")</f>
        <v/>
      </c>
      <c r="L7" s="13">
        <f>IFERROR('QTR BS'!L7/'QTR P&amp;L'!O2,"")</f>
        <v/>
      </c>
      <c r="M7" s="13">
        <f>IFERROR('QTR BS'!M7/'QTR P&amp;L'!P2,"")</f>
        <v/>
      </c>
      <c r="N7" s="13">
        <f>IFERROR('QTR BS'!N7/'QTR P&amp;L'!Q2,"")</f>
        <v/>
      </c>
      <c r="O7" s="13">
        <f>IFERROR('QTR BS'!O7/'QTR P&amp;L'!R2,"")</f>
        <v/>
      </c>
      <c r="P7" s="13">
        <f>IFERROR('QTR BS'!P7/'QTR P&amp;L'!S2,"")</f>
        <v/>
      </c>
      <c r="Q7" s="13">
        <f>IFERROR('QTR BS'!Q7/'QTR P&amp;L'!T2,"")</f>
        <v/>
      </c>
      <c r="R7" s="13">
        <f>IFERROR('QTR BS'!R7/'QTR P&amp;L'!U2,"")</f>
        <v/>
      </c>
      <c r="S7" s="13">
        <f>IFERROR('QTR BS'!S7/'QTR P&amp;L'!V2,"")</f>
        <v/>
      </c>
      <c r="T7" s="13">
        <f>IFERROR('QTR BS'!T7/'QTR P&amp;L'!W2,"")</f>
        <v/>
      </c>
      <c r="U7" s="13">
        <f>IFERROR('QTR BS'!U7/'QTR P&amp;L'!X2,"")</f>
        <v/>
      </c>
      <c r="V7" s="13">
        <f>IFERROR('QTR BS'!V7/'QTR P&amp;L'!Y2,"")</f>
        <v/>
      </c>
      <c r="W7" s="14">
        <f>V7</f>
        <v/>
      </c>
      <c r="X7" s="14">
        <f>W7</f>
        <v/>
      </c>
      <c r="Y7" s="14">
        <f>X7</f>
        <v/>
      </c>
      <c r="Z7" s="14">
        <f>Y7</f>
        <v/>
      </c>
      <c r="AA7" s="14">
        <f>Z7</f>
        <v/>
      </c>
      <c r="AB7" s="14">
        <f>AA7</f>
        <v/>
      </c>
      <c r="AC7" s="14">
        <f>AB7</f>
        <v/>
      </c>
      <c r="AD7" s="14">
        <f>AC7</f>
        <v/>
      </c>
      <c r="AE7" s="14">
        <f>AD7</f>
        <v/>
      </c>
      <c r="AF7" s="14">
        <f>AE7</f>
        <v/>
      </c>
      <c r="AG7" s="14">
        <f>AF7</f>
        <v/>
      </c>
      <c r="AH7" s="14">
        <f>AG7</f>
        <v/>
      </c>
      <c r="AI7" s="14">
        <f>AH7</f>
        <v/>
      </c>
      <c r="AJ7" s="14">
        <f>AI7</f>
        <v/>
      </c>
      <c r="AK7" s="14">
        <f>AJ7</f>
        <v/>
      </c>
      <c r="AL7" s="14">
        <f>AK7</f>
        <v/>
      </c>
      <c r="AM7" s="14">
        <f>AL7</f>
        <v/>
      </c>
      <c r="AN7" s="14">
        <f>AM7</f>
        <v/>
      </c>
      <c r="AO7" s="14">
        <f>AN7</f>
        <v/>
      </c>
      <c r="AP7" s="14">
        <f>AO7</f>
        <v/>
      </c>
    </row>
    <row r="8">
      <c r="A8" s="3" t="inlineStr">
        <is>
          <t>Long-Term Investments — % of Revenue</t>
        </is>
      </c>
      <c r="B8" s="13">
        <f>IFERROR('QTR BS'!B9/'QTR P&amp;L'!E2,"")</f>
        <v/>
      </c>
      <c r="C8" s="13">
        <f>IFERROR('QTR BS'!C9/'QTR P&amp;L'!F2,"")</f>
        <v/>
      </c>
      <c r="D8" s="13">
        <f>IFERROR('QTR BS'!D9/'QTR P&amp;L'!G2,"")</f>
        <v/>
      </c>
      <c r="E8" s="13">
        <f>IFERROR('QTR BS'!E9/'QTR P&amp;L'!H2,"")</f>
        <v/>
      </c>
      <c r="F8" s="13">
        <f>IFERROR('QTR BS'!F9/'QTR P&amp;L'!I2,"")</f>
        <v/>
      </c>
      <c r="G8" s="13">
        <f>IFERROR('QTR BS'!G9/'QTR P&amp;L'!J2,"")</f>
        <v/>
      </c>
      <c r="H8" s="13">
        <f>IFERROR('QTR BS'!H9/'QTR P&amp;L'!K2,"")</f>
        <v/>
      </c>
      <c r="I8" s="13">
        <f>IFERROR('QTR BS'!I9/'QTR P&amp;L'!L2,"")</f>
        <v/>
      </c>
      <c r="J8" s="13">
        <f>IFERROR('QTR BS'!J9/'QTR P&amp;L'!M2,"")</f>
        <v/>
      </c>
      <c r="K8" s="13">
        <f>IFERROR('QTR BS'!K9/'QTR P&amp;L'!N2,"")</f>
        <v/>
      </c>
      <c r="L8" s="13">
        <f>IFERROR('QTR BS'!L9/'QTR P&amp;L'!O2,"")</f>
        <v/>
      </c>
      <c r="M8" s="13">
        <f>IFERROR('QTR BS'!M9/'QTR P&amp;L'!P2,"")</f>
        <v/>
      </c>
      <c r="N8" s="13">
        <f>IFERROR('QTR BS'!N9/'QTR P&amp;L'!Q2,"")</f>
        <v/>
      </c>
      <c r="O8" s="13">
        <f>IFERROR('QTR BS'!O9/'QTR P&amp;L'!R2,"")</f>
        <v/>
      </c>
      <c r="P8" s="13">
        <f>IFERROR('QTR BS'!P9/'QTR P&amp;L'!S2,"")</f>
        <v/>
      </c>
      <c r="Q8" s="13">
        <f>IFERROR('QTR BS'!Q9/'QTR P&amp;L'!T2,"")</f>
        <v/>
      </c>
      <c r="R8" s="13">
        <f>IFERROR('QTR BS'!R9/'QTR P&amp;L'!U2,"")</f>
        <v/>
      </c>
      <c r="S8" s="13">
        <f>IFERROR('QTR BS'!S9/'QTR P&amp;L'!V2,"")</f>
        <v/>
      </c>
      <c r="T8" s="13">
        <f>IFERROR('QTR BS'!T9/'QTR P&amp;L'!W2,"")</f>
        <v/>
      </c>
      <c r="U8" s="13">
        <f>IFERROR('QTR BS'!U9/'QTR P&amp;L'!X2,"")</f>
        <v/>
      </c>
      <c r="V8" s="13">
        <f>IFERROR('QTR BS'!V9/'QTR P&amp;L'!Y2,"")</f>
        <v/>
      </c>
      <c r="W8" s="14">
        <f>V8</f>
        <v/>
      </c>
      <c r="X8" s="14">
        <f>W8</f>
        <v/>
      </c>
      <c r="Y8" s="14">
        <f>X8</f>
        <v/>
      </c>
      <c r="Z8" s="14">
        <f>Y8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  <c r="AM8" s="14">
        <f>AL8</f>
        <v/>
      </c>
      <c r="AN8" s="14">
        <f>AM8</f>
        <v/>
      </c>
      <c r="AO8" s="14">
        <f>AN8</f>
        <v/>
      </c>
      <c r="AP8" s="14">
        <f>AO8</f>
        <v/>
      </c>
    </row>
    <row r="9">
      <c r="A9" s="3" t="inlineStr">
        <is>
          <t>Net PP&amp;E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4">
        <f>'QTR BS'!P10</f>
        <v/>
      </c>
      <c r="Q9" s="4">
        <f>'QTR BS'!Q10</f>
        <v/>
      </c>
      <c r="R9" s="4">
        <f>'QTR BS'!R10</f>
        <v/>
      </c>
      <c r="S9" s="4">
        <f>'QTR BS'!S10</f>
        <v/>
      </c>
      <c r="T9" s="4">
        <f>'QTR BS'!T10</f>
        <v/>
      </c>
      <c r="U9" s="4">
        <f>'QTR BS'!U10</f>
        <v/>
      </c>
      <c r="V9" s="4">
        <f>'QTR BS'!V10</f>
        <v/>
      </c>
      <c r="W9" s="4">
        <f>V9-'QTR CF'!Z29-'QTR CF'!Z3</f>
        <v/>
      </c>
      <c r="X9" s="4">
        <f>W9-'QTR CF'!AA29-'QTR CF'!AA3</f>
        <v/>
      </c>
      <c r="Y9" s="4">
        <f>X9-'QTR CF'!AB29-'QTR CF'!AB3</f>
        <v/>
      </c>
      <c r="Z9" s="4">
        <f>Y9-'QTR CF'!AC29-'QTR CF'!AC3</f>
        <v/>
      </c>
      <c r="AA9" s="4">
        <f>Z9-'QTR CF'!AD29-'QTR CF'!AD3</f>
        <v/>
      </c>
      <c r="AB9" s="4">
        <f>AA9-'QTR CF'!AE29-'QTR CF'!AE3</f>
        <v/>
      </c>
      <c r="AC9" s="4">
        <f>AB9-'QTR CF'!AF29-'QTR CF'!AF3</f>
        <v/>
      </c>
      <c r="AD9" s="4">
        <f>AC9-'QTR CF'!AG29-'QTR CF'!AG3</f>
        <v/>
      </c>
      <c r="AE9" s="4">
        <f>AD9-'QTR CF'!AH29-'QTR CF'!AH3</f>
        <v/>
      </c>
      <c r="AF9" s="4">
        <f>AE9-'QTR CF'!AI29-'QTR CF'!AI3</f>
        <v/>
      </c>
      <c r="AG9" s="4">
        <f>AF9-'QTR CF'!AJ29-'QTR CF'!AJ3</f>
        <v/>
      </c>
      <c r="AH9" s="4">
        <f>AG9-'QTR CF'!AK29-'QTR CF'!AK3</f>
        <v/>
      </c>
      <c r="AI9" s="4">
        <f>AH9-'QTR CF'!AL29-'QTR CF'!AL3</f>
        <v/>
      </c>
      <c r="AJ9" s="4">
        <f>AI9-'QTR CF'!AM29-'QTR CF'!AM3</f>
        <v/>
      </c>
      <c r="AK9" s="4">
        <f>AJ9-'QTR CF'!AN29-'QTR CF'!AN3</f>
        <v/>
      </c>
      <c r="AL9" s="4">
        <f>AK9-'QTR CF'!AO29-'QTR CF'!AO3</f>
        <v/>
      </c>
      <c r="AM9" s="4">
        <f>AL9-'QTR CF'!AP29-'QTR CF'!AP3</f>
        <v/>
      </c>
      <c r="AN9" s="4">
        <f>AM9-'QTR CF'!AQ29-'QTR CF'!AQ3</f>
        <v/>
      </c>
      <c r="AO9" s="4">
        <f>AN9-'QTR CF'!AR29-'QTR CF'!AR3</f>
        <v/>
      </c>
      <c r="AP9" s="4">
        <f>AO9-'QTR CF'!AS29-'QTR CF'!AS3</f>
        <v/>
      </c>
    </row>
    <row r="10">
      <c r="A10" s="3" t="inlineStr">
        <is>
          <t>Deferred Tax Assets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4">
        <f>'QTR BS'!P11</f>
        <v/>
      </c>
      <c r="Q10" s="4">
        <f>'QTR BS'!Q11</f>
        <v/>
      </c>
      <c r="R10" s="4">
        <f>'QTR BS'!R11</f>
        <v/>
      </c>
      <c r="S10" s="4">
        <f>'QTR BS'!S11</f>
        <v/>
      </c>
      <c r="T10" s="4">
        <f>'QTR BS'!T11</f>
        <v/>
      </c>
      <c r="U10" s="4">
        <f>'QTR BS'!U11</f>
        <v/>
      </c>
      <c r="V10" s="4">
        <f>'QTR BS'!V11</f>
        <v/>
      </c>
      <c r="W10" s="4">
        <f>V10-'QTR CF'!Z10</f>
        <v/>
      </c>
      <c r="X10" s="4">
        <f>W10-'QTR CF'!AA10</f>
        <v/>
      </c>
      <c r="Y10" s="4">
        <f>X10-'QTR CF'!AB10</f>
        <v/>
      </c>
      <c r="Z10" s="4">
        <f>Y10-'QTR CF'!AC10</f>
        <v/>
      </c>
      <c r="AA10" s="4">
        <f>Z10-'QTR CF'!AD10</f>
        <v/>
      </c>
      <c r="AB10" s="4">
        <f>AA10-'QTR CF'!AE10</f>
        <v/>
      </c>
      <c r="AC10" s="4">
        <f>AB10-'QTR CF'!AF10</f>
        <v/>
      </c>
      <c r="AD10" s="4">
        <f>AC10-'QTR CF'!AG10</f>
        <v/>
      </c>
      <c r="AE10" s="4">
        <f>AD10-'QTR CF'!AH10</f>
        <v/>
      </c>
      <c r="AF10" s="4">
        <f>AE10-'QTR CF'!AI10</f>
        <v/>
      </c>
      <c r="AG10" s="4">
        <f>AF10-'QTR CF'!AJ10</f>
        <v/>
      </c>
      <c r="AH10" s="4">
        <f>AG10-'QTR CF'!AK10</f>
        <v/>
      </c>
      <c r="AI10" s="4">
        <f>AH10-'QTR CF'!AL10</f>
        <v/>
      </c>
      <c r="AJ10" s="4">
        <f>AI10-'QTR CF'!AM10</f>
        <v/>
      </c>
      <c r="AK10" s="4">
        <f>AJ10-'QTR CF'!AN10</f>
        <v/>
      </c>
      <c r="AL10" s="4">
        <f>AK10-'QTR CF'!AO10</f>
        <v/>
      </c>
      <c r="AM10" s="4">
        <f>AL10-'QTR CF'!AP10</f>
        <v/>
      </c>
      <c r="AN10" s="4">
        <f>AM10-'QTR CF'!AQ10</f>
        <v/>
      </c>
      <c r="AO10" s="4">
        <f>AN10-'QTR CF'!AR10</f>
        <v/>
      </c>
      <c r="AP10" s="4">
        <f>AO10-'QTR CF'!AS10</f>
        <v/>
      </c>
    </row>
    <row r="11">
      <c r="A11" s="3" t="inlineStr">
        <is>
          <t>Goodwill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'QTR BS'!P12</f>
        <v/>
      </c>
      <c r="Q11" s="4">
        <f>'QTR BS'!Q12</f>
        <v/>
      </c>
      <c r="R11" s="4">
        <f>'QTR BS'!R12</f>
        <v/>
      </c>
      <c r="S11" s="4">
        <f>'QTR BS'!S12</f>
        <v/>
      </c>
      <c r="T11" s="4">
        <f>'QTR BS'!T12</f>
        <v/>
      </c>
      <c r="U11" s="4">
        <f>'QTR BS'!U12</f>
        <v/>
      </c>
      <c r="V11" s="4">
        <f>'QTR BS'!V12</f>
        <v/>
      </c>
      <c r="W11" s="15">
        <f>V11</f>
        <v/>
      </c>
      <c r="X11" s="15">
        <f>W11</f>
        <v/>
      </c>
      <c r="Y11" s="15">
        <f>X11</f>
        <v/>
      </c>
      <c r="Z11" s="15">
        <f>Y11</f>
        <v/>
      </c>
      <c r="AA11" s="15">
        <f>Z11</f>
        <v/>
      </c>
      <c r="AB11" s="15">
        <f>AA11</f>
        <v/>
      </c>
      <c r="AC11" s="15">
        <f>AB11</f>
        <v/>
      </c>
      <c r="AD11" s="15">
        <f>AC11</f>
        <v/>
      </c>
      <c r="AE11" s="15">
        <f>AD11</f>
        <v/>
      </c>
      <c r="AF11" s="15">
        <f>AE11</f>
        <v/>
      </c>
      <c r="AG11" s="15">
        <f>AF11</f>
        <v/>
      </c>
      <c r="AH11" s="15">
        <f>AG11</f>
        <v/>
      </c>
      <c r="AI11" s="15">
        <f>AH11</f>
        <v/>
      </c>
      <c r="AJ11" s="15">
        <f>AI11</f>
        <v/>
      </c>
      <c r="AK11" s="15">
        <f>AJ11</f>
        <v/>
      </c>
      <c r="AL11" s="15">
        <f>AK11</f>
        <v/>
      </c>
      <c r="AM11" s="15">
        <f>AL11</f>
        <v/>
      </c>
      <c r="AN11" s="15">
        <f>AM11</f>
        <v/>
      </c>
      <c r="AO11" s="15">
        <f>AN11</f>
        <v/>
      </c>
      <c r="AP11" s="15">
        <f>AO11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4">
        <f>'QTR BS'!O13</f>
        <v/>
      </c>
      <c r="P12" s="4">
        <f>'QTR BS'!P13</f>
        <v/>
      </c>
      <c r="Q12" s="4">
        <f>'QTR BS'!Q13</f>
        <v/>
      </c>
      <c r="R12" s="4">
        <f>'QTR BS'!R13</f>
        <v/>
      </c>
      <c r="S12" s="4">
        <f>'QTR BS'!S13</f>
        <v/>
      </c>
      <c r="T12" s="4">
        <f>'QTR BS'!T13</f>
        <v/>
      </c>
      <c r="U12" s="4">
        <f>'QTR BS'!U13</f>
        <v/>
      </c>
      <c r="V12" s="4">
        <f>'QTR BS'!V13</f>
        <v/>
      </c>
      <c r="W12" s="15">
        <f>V12</f>
        <v/>
      </c>
      <c r="X12" s="15">
        <f>W12</f>
        <v/>
      </c>
      <c r="Y12" s="15">
        <f>X12</f>
        <v/>
      </c>
      <c r="Z12" s="15">
        <f>Y12</f>
        <v/>
      </c>
      <c r="AA12" s="15">
        <f>Z12</f>
        <v/>
      </c>
      <c r="AB12" s="15">
        <f>AA12</f>
        <v/>
      </c>
      <c r="AC12" s="15">
        <f>AB12</f>
        <v/>
      </c>
      <c r="AD12" s="15">
        <f>AC12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  <c r="AM12" s="15">
        <f>AL12</f>
        <v/>
      </c>
      <c r="AN12" s="15">
        <f>AM12</f>
        <v/>
      </c>
      <c r="AO12" s="15">
        <f>AN12</f>
        <v/>
      </c>
      <c r="AP12" s="15">
        <f>AO12</f>
        <v/>
      </c>
    </row>
    <row r="13">
      <c r="A13" s="3" t="inlineStr">
        <is>
          <t>Other Non-Current Assets — % of Revenue</t>
        </is>
      </c>
      <c r="B13" s="13">
        <f>IFERROR('QTR BS'!B14/'QTR P&amp;L'!E2,"")</f>
        <v/>
      </c>
      <c r="C13" s="13">
        <f>IFERROR('QTR BS'!C14/'QTR P&amp;L'!F2,"")</f>
        <v/>
      </c>
      <c r="D13" s="13">
        <f>IFERROR('QTR BS'!D14/'QTR P&amp;L'!G2,"")</f>
        <v/>
      </c>
      <c r="E13" s="13">
        <f>IFERROR('QTR BS'!E14/'QTR P&amp;L'!H2,"")</f>
        <v/>
      </c>
      <c r="F13" s="13">
        <f>IFERROR('QTR BS'!F14/'QTR P&amp;L'!I2,"")</f>
        <v/>
      </c>
      <c r="G13" s="13">
        <f>IFERROR('QTR BS'!G14/'QTR P&amp;L'!J2,"")</f>
        <v/>
      </c>
      <c r="H13" s="13">
        <f>IFERROR('QTR BS'!H14/'QTR P&amp;L'!K2,"")</f>
        <v/>
      </c>
      <c r="I13" s="13">
        <f>IFERROR('QTR BS'!I14/'QTR P&amp;L'!L2,"")</f>
        <v/>
      </c>
      <c r="J13" s="13">
        <f>IFERROR('QTR BS'!J14/'QTR P&amp;L'!M2,"")</f>
        <v/>
      </c>
      <c r="K13" s="13">
        <f>IFERROR('QTR BS'!K14/'QTR P&amp;L'!N2,"")</f>
        <v/>
      </c>
      <c r="L13" s="13">
        <f>IFERROR('QTR BS'!L14/'QTR P&amp;L'!O2,"")</f>
        <v/>
      </c>
      <c r="M13" s="13">
        <f>IFERROR('QTR BS'!M14/'QTR P&amp;L'!P2,"")</f>
        <v/>
      </c>
      <c r="N13" s="13">
        <f>IFERROR('QTR BS'!N14/'QTR P&amp;L'!Q2,"")</f>
        <v/>
      </c>
      <c r="O13" s="13">
        <f>IFERROR('QTR BS'!O14/'QTR P&amp;L'!R2,"")</f>
        <v/>
      </c>
      <c r="P13" s="13">
        <f>IFERROR('QTR BS'!P14/'QTR P&amp;L'!S2,"")</f>
        <v/>
      </c>
      <c r="Q13" s="13">
        <f>IFERROR('QTR BS'!Q14/'QTR P&amp;L'!T2,"")</f>
        <v/>
      </c>
      <c r="R13" s="13">
        <f>IFERROR('QTR BS'!R14/'QTR P&amp;L'!U2,"")</f>
        <v/>
      </c>
      <c r="S13" s="13">
        <f>IFERROR('QTR BS'!S14/'QTR P&amp;L'!V2,"")</f>
        <v/>
      </c>
      <c r="T13" s="13">
        <f>IFERROR('QTR BS'!T14/'QTR P&amp;L'!W2,"")</f>
        <v/>
      </c>
      <c r="U13" s="13">
        <f>IFERROR('QTR BS'!U14/'QTR P&amp;L'!X2,"")</f>
        <v/>
      </c>
      <c r="V13" s="13">
        <f>IFERROR('QTR BS'!V14/'QTR P&amp;L'!Y2,"")</f>
        <v/>
      </c>
      <c r="W13" s="14">
        <f>V13</f>
        <v/>
      </c>
      <c r="X13" s="14">
        <f>W13</f>
        <v/>
      </c>
      <c r="Y13" s="14">
        <f>X13</f>
        <v/>
      </c>
      <c r="Z13" s="14">
        <f>Y13</f>
        <v/>
      </c>
      <c r="AA13" s="14">
        <f>Z13</f>
        <v/>
      </c>
      <c r="AB13" s="14">
        <f>AA13</f>
        <v/>
      </c>
      <c r="AC13" s="14">
        <f>AB13</f>
        <v/>
      </c>
      <c r="AD13" s="14">
        <f>AC13</f>
        <v/>
      </c>
      <c r="AE13" s="14">
        <f>AD13</f>
        <v/>
      </c>
      <c r="AF13" s="14">
        <f>AE13</f>
        <v/>
      </c>
      <c r="AG13" s="14">
        <f>AF13</f>
        <v/>
      </c>
      <c r="AH13" s="14">
        <f>AG13</f>
        <v/>
      </c>
      <c r="AI13" s="14">
        <f>AH13</f>
        <v/>
      </c>
      <c r="AJ13" s="14">
        <f>AI13</f>
        <v/>
      </c>
      <c r="AK13" s="14">
        <f>AJ13</f>
        <v/>
      </c>
      <c r="AL13" s="14">
        <f>AK13</f>
        <v/>
      </c>
      <c r="AM13" s="14">
        <f>AL13</f>
        <v/>
      </c>
      <c r="AN13" s="14">
        <f>AM13</f>
        <v/>
      </c>
      <c r="AO13" s="14">
        <f>AN13</f>
        <v/>
      </c>
      <c r="AP13" s="14">
        <f>AO13</f>
        <v/>
      </c>
    </row>
    <row r="14">
      <c r="A14" s="3" t="inlineStr">
        <is>
          <t>Accounts Payable — DPO (days)</t>
        </is>
      </c>
      <c r="B14" s="16">
        <f>IFERROR('QTR BS'!B16/'QTR P&amp;L'!E3*ASSUMPTIONS!$B$2,"")</f>
        <v/>
      </c>
      <c r="C14" s="16">
        <f>IFERROR('QTR BS'!C16/'QTR P&amp;L'!F3*ASSUMPTIONS!$B$2,"")</f>
        <v/>
      </c>
      <c r="D14" s="16">
        <f>IFERROR('QTR BS'!D16/'QTR P&amp;L'!G3*ASSUMPTIONS!$B$2,"")</f>
        <v/>
      </c>
      <c r="E14" s="16">
        <f>IFERROR('QTR BS'!E16/'QTR P&amp;L'!H3*ASSUMPTIONS!$B$2,"")</f>
        <v/>
      </c>
      <c r="F14" s="16">
        <f>IFERROR('QTR BS'!F16/'QTR P&amp;L'!I3*ASSUMPTIONS!$B$2,"")</f>
        <v/>
      </c>
      <c r="G14" s="16">
        <f>IFERROR('QTR BS'!G16/'QTR P&amp;L'!J3*ASSUMPTIONS!$B$2,"")</f>
        <v/>
      </c>
      <c r="H14" s="16">
        <f>IFERROR('QTR BS'!H16/'QTR P&amp;L'!K3*ASSUMPTIONS!$B$2,"")</f>
        <v/>
      </c>
      <c r="I14" s="16">
        <f>IFERROR('QTR BS'!I16/'QTR P&amp;L'!L3*ASSUMPTIONS!$B$2,"")</f>
        <v/>
      </c>
      <c r="J14" s="16">
        <f>IFERROR('QTR BS'!J16/'QTR P&amp;L'!M3*ASSUMPTIONS!$B$2,"")</f>
        <v/>
      </c>
      <c r="K14" s="16">
        <f>IFERROR('QTR BS'!K16/'QTR P&amp;L'!N3*ASSUMPTIONS!$B$2,"")</f>
        <v/>
      </c>
      <c r="L14" s="16">
        <f>IFERROR('QTR BS'!L16/'QTR P&amp;L'!O3*ASSUMPTIONS!$B$2,"")</f>
        <v/>
      </c>
      <c r="M14" s="16">
        <f>IFERROR('QTR BS'!M16/'QTR P&amp;L'!P3*ASSUMPTIONS!$B$2,"")</f>
        <v/>
      </c>
      <c r="N14" s="16">
        <f>IFERROR('QTR BS'!N16/'QTR P&amp;L'!Q3*ASSUMPTIONS!$B$2,"")</f>
        <v/>
      </c>
      <c r="O14" s="16">
        <f>IFERROR('QTR BS'!O16/'QTR P&amp;L'!R3*ASSUMPTIONS!$B$2,"")</f>
        <v/>
      </c>
      <c r="P14" s="16">
        <f>IFERROR('QTR BS'!P16/'QTR P&amp;L'!S3*ASSUMPTIONS!$B$2,"")</f>
        <v/>
      </c>
      <c r="Q14" s="16">
        <f>IFERROR('QTR BS'!Q16/'QTR P&amp;L'!T3*ASSUMPTIONS!$B$2,"")</f>
        <v/>
      </c>
      <c r="R14" s="16">
        <f>IFERROR('QTR BS'!R16/'QTR P&amp;L'!U3*ASSUMPTIONS!$B$2,"")</f>
        <v/>
      </c>
      <c r="S14" s="16">
        <f>IFERROR('QTR BS'!S16/'QTR P&amp;L'!V3*ASSUMPTIONS!$B$2,"")</f>
        <v/>
      </c>
      <c r="T14" s="16">
        <f>IFERROR('QTR BS'!T16/'QTR P&amp;L'!W3*ASSUMPTIONS!$B$2,"")</f>
        <v/>
      </c>
      <c r="U14" s="16">
        <f>IFERROR('QTR BS'!U16/'QTR P&amp;L'!X3*ASSUMPTIONS!$B$2,"")</f>
        <v/>
      </c>
      <c r="V14" s="16">
        <f>IFERROR('QTR BS'!V16/'QTR P&amp;L'!Y3*ASSUMPTIONS!$B$2,"")</f>
        <v/>
      </c>
      <c r="W14" s="17">
        <f>V14</f>
        <v/>
      </c>
      <c r="X14" s="17">
        <f>W14</f>
        <v/>
      </c>
      <c r="Y14" s="17">
        <f>X14</f>
        <v/>
      </c>
      <c r="Z14" s="17">
        <f>Y14</f>
        <v/>
      </c>
      <c r="AA14" s="17">
        <f>Z14</f>
        <v/>
      </c>
      <c r="AB14" s="17">
        <f>AA14</f>
        <v/>
      </c>
      <c r="AC14" s="17">
        <f>AB14</f>
        <v/>
      </c>
      <c r="AD14" s="17">
        <f>AC14</f>
        <v/>
      </c>
      <c r="AE14" s="17">
        <f>AD14</f>
        <v/>
      </c>
      <c r="AF14" s="17">
        <f>AE14</f>
        <v/>
      </c>
      <c r="AG14" s="17">
        <f>AF14</f>
        <v/>
      </c>
      <c r="AH14" s="17">
        <f>AG14</f>
        <v/>
      </c>
      <c r="AI14" s="17">
        <f>AH14</f>
        <v/>
      </c>
      <c r="AJ14" s="17">
        <f>AI14</f>
        <v/>
      </c>
      <c r="AK14" s="17">
        <f>AJ14</f>
        <v/>
      </c>
      <c r="AL14" s="17">
        <f>AK14</f>
        <v/>
      </c>
      <c r="AM14" s="17">
        <f>AL14</f>
        <v/>
      </c>
      <c r="AN14" s="17">
        <f>AM14</f>
        <v/>
      </c>
      <c r="AO14" s="17">
        <f>AN14</f>
        <v/>
      </c>
      <c r="AP14" s="17">
        <f>AO14</f>
        <v/>
      </c>
    </row>
    <row r="15">
      <c r="A15" s="3" t="inlineStr">
        <is>
          <t>Accrued Expenses — % of Revenue</t>
        </is>
      </c>
      <c r="B15" s="13">
        <f>IFERROR('QTR BS'!B17/'QTR P&amp;L'!E2,"")</f>
        <v/>
      </c>
      <c r="C15" s="13">
        <f>IFERROR('QTR BS'!C17/'QTR P&amp;L'!F2,"")</f>
        <v/>
      </c>
      <c r="D15" s="13">
        <f>IFERROR('QTR BS'!D17/'QTR P&amp;L'!G2,"")</f>
        <v/>
      </c>
      <c r="E15" s="13">
        <f>IFERROR('QTR BS'!E17/'QTR P&amp;L'!H2,"")</f>
        <v/>
      </c>
      <c r="F15" s="13">
        <f>IFERROR('QTR BS'!F17/'QTR P&amp;L'!I2,"")</f>
        <v/>
      </c>
      <c r="G15" s="13">
        <f>IFERROR('QTR BS'!G17/'QTR P&amp;L'!J2,"")</f>
        <v/>
      </c>
      <c r="H15" s="13">
        <f>IFERROR('QTR BS'!H17/'QTR P&amp;L'!K2,"")</f>
        <v/>
      </c>
      <c r="I15" s="13">
        <f>IFERROR('QTR BS'!I17/'QTR P&amp;L'!L2,"")</f>
        <v/>
      </c>
      <c r="J15" s="13">
        <f>IFERROR('QTR BS'!J17/'QTR P&amp;L'!M2,"")</f>
        <v/>
      </c>
      <c r="K15" s="13">
        <f>IFERROR('QTR BS'!K17/'QTR P&amp;L'!N2,"")</f>
        <v/>
      </c>
      <c r="L15" s="13">
        <f>IFERROR('QTR BS'!L17/'QTR P&amp;L'!O2,"")</f>
        <v/>
      </c>
      <c r="M15" s="13">
        <f>IFERROR('QTR BS'!M17/'QTR P&amp;L'!P2,"")</f>
        <v/>
      </c>
      <c r="N15" s="13">
        <f>IFERROR('QTR BS'!N17/'QTR P&amp;L'!Q2,"")</f>
        <v/>
      </c>
      <c r="O15" s="13">
        <f>IFERROR('QTR BS'!O17/'QTR P&amp;L'!R2,"")</f>
        <v/>
      </c>
      <c r="P15" s="13">
        <f>IFERROR('QTR BS'!P17/'QTR P&amp;L'!S2,"")</f>
        <v/>
      </c>
      <c r="Q15" s="13">
        <f>IFERROR('QTR BS'!Q17/'QTR P&amp;L'!T2,"")</f>
        <v/>
      </c>
      <c r="R15" s="13">
        <f>IFERROR('QTR BS'!R17/'QTR P&amp;L'!U2,"")</f>
        <v/>
      </c>
      <c r="S15" s="13">
        <f>IFERROR('QTR BS'!S17/'QTR P&amp;L'!V2,"")</f>
        <v/>
      </c>
      <c r="T15" s="13">
        <f>IFERROR('QTR BS'!T17/'QTR P&amp;L'!W2,"")</f>
        <v/>
      </c>
      <c r="U15" s="13">
        <f>IFERROR('QTR BS'!U17/'QTR P&amp;L'!X2,"")</f>
        <v/>
      </c>
      <c r="V15" s="13">
        <f>IFERROR('QTR BS'!V17/'QTR P&amp;L'!Y2,"")</f>
        <v/>
      </c>
      <c r="W15" s="14">
        <f>V15</f>
        <v/>
      </c>
      <c r="X15" s="14">
        <f>W15</f>
        <v/>
      </c>
      <c r="Y15" s="14">
        <f>X15</f>
        <v/>
      </c>
      <c r="Z15" s="14">
        <f>Y15</f>
        <v/>
      </c>
      <c r="AA15" s="14">
        <f>Z15</f>
        <v/>
      </c>
      <c r="AB15" s="14">
        <f>AA15</f>
        <v/>
      </c>
      <c r="AC15" s="14">
        <f>AB15</f>
        <v/>
      </c>
      <c r="AD15" s="14">
        <f>AC15</f>
        <v/>
      </c>
      <c r="AE15" s="14">
        <f>AD15</f>
        <v/>
      </c>
      <c r="AF15" s="14">
        <f>AE15</f>
        <v/>
      </c>
      <c r="AG15" s="14">
        <f>AF15</f>
        <v/>
      </c>
      <c r="AH15" s="14">
        <f>AG15</f>
        <v/>
      </c>
      <c r="AI15" s="14">
        <f>AH15</f>
        <v/>
      </c>
      <c r="AJ15" s="14">
        <f>AI15</f>
        <v/>
      </c>
      <c r="AK15" s="14">
        <f>AJ15</f>
        <v/>
      </c>
      <c r="AL15" s="14">
        <f>AK15</f>
        <v/>
      </c>
      <c r="AM15" s="14">
        <f>AL15</f>
        <v/>
      </c>
      <c r="AN15" s="14">
        <f>AM15</f>
        <v/>
      </c>
      <c r="AO15" s="14">
        <f>AN15</f>
        <v/>
      </c>
      <c r="AP15" s="14">
        <f>AO15</f>
        <v/>
      </c>
    </row>
    <row r="16">
      <c r="A16" s="3" t="inlineStr">
        <is>
          <t>Accrued Promotional Allowance — % of Revenue</t>
        </is>
      </c>
      <c r="B16" s="13">
        <f>IFERROR('QTR BS'!B18/'QTR P&amp;L'!E2,"")</f>
        <v/>
      </c>
      <c r="C16" s="13">
        <f>IFERROR('QTR BS'!C18/'QTR P&amp;L'!F2,"")</f>
        <v/>
      </c>
      <c r="D16" s="13">
        <f>IFERROR('QTR BS'!D18/'QTR P&amp;L'!G2,"")</f>
        <v/>
      </c>
      <c r="E16" s="13">
        <f>IFERROR('QTR BS'!E18/'QTR P&amp;L'!H2,"")</f>
        <v/>
      </c>
      <c r="F16" s="13">
        <f>IFERROR('QTR BS'!F18/'QTR P&amp;L'!I2,"")</f>
        <v/>
      </c>
      <c r="G16" s="13">
        <f>IFERROR('QTR BS'!G18/'QTR P&amp;L'!J2,"")</f>
        <v/>
      </c>
      <c r="H16" s="13">
        <f>IFERROR('QTR BS'!H18/'QTR P&amp;L'!K2,"")</f>
        <v/>
      </c>
      <c r="I16" s="13">
        <f>IFERROR('QTR BS'!I18/'QTR P&amp;L'!L2,"")</f>
        <v/>
      </c>
      <c r="J16" s="13">
        <f>IFERROR('QTR BS'!J18/'QTR P&amp;L'!M2,"")</f>
        <v/>
      </c>
      <c r="K16" s="13">
        <f>IFERROR('QTR BS'!K18/'QTR P&amp;L'!N2,"")</f>
        <v/>
      </c>
      <c r="L16" s="13">
        <f>IFERROR('QTR BS'!L18/'QTR P&amp;L'!O2,"")</f>
        <v/>
      </c>
      <c r="M16" s="13">
        <f>IFERROR('QTR BS'!M18/'QTR P&amp;L'!P2,"")</f>
        <v/>
      </c>
      <c r="N16" s="13">
        <f>IFERROR('QTR BS'!N18/'QTR P&amp;L'!Q2,"")</f>
        <v/>
      </c>
      <c r="O16" s="13">
        <f>IFERROR('QTR BS'!O18/'QTR P&amp;L'!R2,"")</f>
        <v/>
      </c>
      <c r="P16" s="13">
        <f>IFERROR('QTR BS'!P18/'QTR P&amp;L'!S2,"")</f>
        <v/>
      </c>
      <c r="Q16" s="13">
        <f>IFERROR('QTR BS'!Q18/'QTR P&amp;L'!T2,"")</f>
        <v/>
      </c>
      <c r="R16" s="13">
        <f>IFERROR('QTR BS'!R18/'QTR P&amp;L'!U2,"")</f>
        <v/>
      </c>
      <c r="S16" s="13">
        <f>IFERROR('QTR BS'!S18/'QTR P&amp;L'!V2,"")</f>
        <v/>
      </c>
      <c r="T16" s="13">
        <f>IFERROR('QTR BS'!T18/'QTR P&amp;L'!W2,"")</f>
        <v/>
      </c>
      <c r="U16" s="13">
        <f>IFERROR('QTR BS'!U18/'QTR P&amp;L'!X2,"")</f>
        <v/>
      </c>
      <c r="V16" s="13">
        <f>IFERROR('QTR BS'!V18/'QTR P&amp;L'!Y2,"")</f>
        <v/>
      </c>
      <c r="W16" s="14">
        <f>V16</f>
        <v/>
      </c>
      <c r="X16" s="14">
        <f>W16</f>
        <v/>
      </c>
      <c r="Y16" s="14">
        <f>X16</f>
        <v/>
      </c>
      <c r="Z16" s="14">
        <f>Y16</f>
        <v/>
      </c>
      <c r="AA16" s="14">
        <f>Z16</f>
        <v/>
      </c>
      <c r="AB16" s="14">
        <f>AA16</f>
        <v/>
      </c>
      <c r="AC16" s="14">
        <f>AB16</f>
        <v/>
      </c>
      <c r="AD16" s="14">
        <f>AC16</f>
        <v/>
      </c>
      <c r="AE16" s="14">
        <f>AD16</f>
        <v/>
      </c>
      <c r="AF16" s="14">
        <f>AE16</f>
        <v/>
      </c>
      <c r="AG16" s="14">
        <f>AF16</f>
        <v/>
      </c>
      <c r="AH16" s="14">
        <f>AG16</f>
        <v/>
      </c>
      <c r="AI16" s="14">
        <f>AH16</f>
        <v/>
      </c>
      <c r="AJ16" s="14">
        <f>AI16</f>
        <v/>
      </c>
      <c r="AK16" s="14">
        <f>AJ16</f>
        <v/>
      </c>
      <c r="AL16" s="14">
        <f>AK16</f>
        <v/>
      </c>
      <c r="AM16" s="14">
        <f>AL16</f>
        <v/>
      </c>
      <c r="AN16" s="14">
        <f>AM16</f>
        <v/>
      </c>
      <c r="AO16" s="14">
        <f>AN16</f>
        <v/>
      </c>
      <c r="AP16" s="14">
        <f>AO16</f>
        <v/>
      </c>
    </row>
    <row r="17">
      <c r="A17" s="3" t="inlineStr">
        <is>
          <t>Deferred Revenue - Current — % of Revenue</t>
        </is>
      </c>
      <c r="B17" s="13">
        <f>IFERROR('QTR BS'!B19/'QTR P&amp;L'!E2,"")</f>
        <v/>
      </c>
      <c r="C17" s="13">
        <f>IFERROR('QTR BS'!C19/'QTR P&amp;L'!F2,"")</f>
        <v/>
      </c>
      <c r="D17" s="13">
        <f>IFERROR('QTR BS'!D19/'QTR P&amp;L'!G2,"")</f>
        <v/>
      </c>
      <c r="E17" s="13">
        <f>IFERROR('QTR BS'!E19/'QTR P&amp;L'!H2,"")</f>
        <v/>
      </c>
      <c r="F17" s="13">
        <f>IFERROR('QTR BS'!F19/'QTR P&amp;L'!I2,"")</f>
        <v/>
      </c>
      <c r="G17" s="13">
        <f>IFERROR('QTR BS'!G19/'QTR P&amp;L'!J2,"")</f>
        <v/>
      </c>
      <c r="H17" s="13">
        <f>IFERROR('QTR BS'!H19/'QTR P&amp;L'!K2,"")</f>
        <v/>
      </c>
      <c r="I17" s="13">
        <f>IFERROR('QTR BS'!I19/'QTR P&amp;L'!L2,"")</f>
        <v/>
      </c>
      <c r="J17" s="13">
        <f>IFERROR('QTR BS'!J19/'QTR P&amp;L'!M2,"")</f>
        <v/>
      </c>
      <c r="K17" s="13">
        <f>IFERROR('QTR BS'!K19/'QTR P&amp;L'!N2,"")</f>
        <v/>
      </c>
      <c r="L17" s="13">
        <f>IFERROR('QTR BS'!L19/'QTR P&amp;L'!O2,"")</f>
        <v/>
      </c>
      <c r="M17" s="13">
        <f>IFERROR('QTR BS'!M19/'QTR P&amp;L'!P2,"")</f>
        <v/>
      </c>
      <c r="N17" s="13">
        <f>IFERROR('QTR BS'!N19/'QTR P&amp;L'!Q2,"")</f>
        <v/>
      </c>
      <c r="O17" s="13">
        <f>IFERROR('QTR BS'!O19/'QTR P&amp;L'!R2,"")</f>
        <v/>
      </c>
      <c r="P17" s="13">
        <f>IFERROR('QTR BS'!P19/'QTR P&amp;L'!S2,"")</f>
        <v/>
      </c>
      <c r="Q17" s="13">
        <f>IFERROR('QTR BS'!Q19/'QTR P&amp;L'!T2,"")</f>
        <v/>
      </c>
      <c r="R17" s="13">
        <f>IFERROR('QTR BS'!R19/'QTR P&amp;L'!U2,"")</f>
        <v/>
      </c>
      <c r="S17" s="13">
        <f>IFERROR('QTR BS'!S19/'QTR P&amp;L'!V2,"")</f>
        <v/>
      </c>
      <c r="T17" s="13">
        <f>IFERROR('QTR BS'!T19/'QTR P&amp;L'!W2,"")</f>
        <v/>
      </c>
      <c r="U17" s="13">
        <f>IFERROR('QTR BS'!U19/'QTR P&amp;L'!X2,"")</f>
        <v/>
      </c>
      <c r="V17" s="13">
        <f>IFERROR('QTR BS'!V19/'QTR P&amp;L'!Y2,"")</f>
        <v/>
      </c>
      <c r="W17" s="14">
        <f>V17</f>
        <v/>
      </c>
      <c r="X17" s="14">
        <f>W17</f>
        <v/>
      </c>
      <c r="Y17" s="14">
        <f>X17</f>
        <v/>
      </c>
      <c r="Z17" s="14">
        <f>Y17</f>
        <v/>
      </c>
      <c r="AA17" s="14">
        <f>Z17</f>
        <v/>
      </c>
      <c r="AB17" s="14">
        <f>AA17</f>
        <v/>
      </c>
      <c r="AC17" s="14">
        <f>AB17</f>
        <v/>
      </c>
      <c r="AD17" s="14">
        <f>AC17</f>
        <v/>
      </c>
      <c r="AE17" s="14">
        <f>AD17</f>
        <v/>
      </c>
      <c r="AF17" s="14">
        <f>AE17</f>
        <v/>
      </c>
      <c r="AG17" s="14">
        <f>AF17</f>
        <v/>
      </c>
      <c r="AH17" s="14">
        <f>AG17</f>
        <v/>
      </c>
      <c r="AI17" s="14">
        <f>AH17</f>
        <v/>
      </c>
      <c r="AJ17" s="14">
        <f>AI17</f>
        <v/>
      </c>
      <c r="AK17" s="14">
        <f>AJ17</f>
        <v/>
      </c>
      <c r="AL17" s="14">
        <f>AK17</f>
        <v/>
      </c>
      <c r="AM17" s="14">
        <f>AL17</f>
        <v/>
      </c>
      <c r="AN17" s="14">
        <f>AM17</f>
        <v/>
      </c>
      <c r="AO17" s="14">
        <f>AN17</f>
        <v/>
      </c>
      <c r="AP17" s="14">
        <f>AO17</f>
        <v/>
      </c>
    </row>
    <row r="18">
      <c r="A18" s="3" t="inlineStr">
        <is>
          <t>Accrued Compensation — % of Revenue</t>
        </is>
      </c>
      <c r="B18" s="13">
        <f>IFERROR('QTR BS'!B20/'QTR P&amp;L'!E2,"")</f>
        <v/>
      </c>
      <c r="C18" s="13">
        <f>IFERROR('QTR BS'!C20/'QTR P&amp;L'!F2,"")</f>
        <v/>
      </c>
      <c r="D18" s="13">
        <f>IFERROR('QTR BS'!D20/'QTR P&amp;L'!G2,"")</f>
        <v/>
      </c>
      <c r="E18" s="13">
        <f>IFERROR('QTR BS'!E20/'QTR P&amp;L'!H2,"")</f>
        <v/>
      </c>
      <c r="F18" s="13">
        <f>IFERROR('QTR BS'!F20/'QTR P&amp;L'!I2,"")</f>
        <v/>
      </c>
      <c r="G18" s="13">
        <f>IFERROR('QTR BS'!G20/'QTR P&amp;L'!J2,"")</f>
        <v/>
      </c>
      <c r="H18" s="13">
        <f>IFERROR('QTR BS'!H20/'QTR P&amp;L'!K2,"")</f>
        <v/>
      </c>
      <c r="I18" s="13">
        <f>IFERROR('QTR BS'!I20/'QTR P&amp;L'!L2,"")</f>
        <v/>
      </c>
      <c r="J18" s="13">
        <f>IFERROR('QTR BS'!J20/'QTR P&amp;L'!M2,"")</f>
        <v/>
      </c>
      <c r="K18" s="13">
        <f>IFERROR('QTR BS'!K20/'QTR P&amp;L'!N2,"")</f>
        <v/>
      </c>
      <c r="L18" s="13">
        <f>IFERROR('QTR BS'!L20/'QTR P&amp;L'!O2,"")</f>
        <v/>
      </c>
      <c r="M18" s="13">
        <f>IFERROR('QTR BS'!M20/'QTR P&amp;L'!P2,"")</f>
        <v/>
      </c>
      <c r="N18" s="13">
        <f>IFERROR('QTR BS'!N20/'QTR P&amp;L'!Q2,"")</f>
        <v/>
      </c>
      <c r="O18" s="13">
        <f>IFERROR('QTR BS'!O20/'QTR P&amp;L'!R2,"")</f>
        <v/>
      </c>
      <c r="P18" s="13">
        <f>IFERROR('QTR BS'!P20/'QTR P&amp;L'!S2,"")</f>
        <v/>
      </c>
      <c r="Q18" s="13">
        <f>IFERROR('QTR BS'!Q20/'QTR P&amp;L'!T2,"")</f>
        <v/>
      </c>
      <c r="R18" s="13">
        <f>IFERROR('QTR BS'!R20/'QTR P&amp;L'!U2,"")</f>
        <v/>
      </c>
      <c r="S18" s="13">
        <f>IFERROR('QTR BS'!S20/'QTR P&amp;L'!V2,"")</f>
        <v/>
      </c>
      <c r="T18" s="13">
        <f>IFERROR('QTR BS'!T20/'QTR P&amp;L'!W2,"")</f>
        <v/>
      </c>
      <c r="U18" s="13">
        <f>IFERROR('QTR BS'!U20/'QTR P&amp;L'!X2,"")</f>
        <v/>
      </c>
      <c r="V18" s="13">
        <f>IFERROR('QTR BS'!V20/'QTR P&amp;L'!Y2,"")</f>
        <v/>
      </c>
      <c r="W18" s="14">
        <f>V18</f>
        <v/>
      </c>
      <c r="X18" s="14">
        <f>W18</f>
        <v/>
      </c>
      <c r="Y18" s="14">
        <f>X18</f>
        <v/>
      </c>
      <c r="Z18" s="14">
        <f>Y18</f>
        <v/>
      </c>
      <c r="AA18" s="14">
        <f>Z18</f>
        <v/>
      </c>
      <c r="AB18" s="14">
        <f>AA18</f>
        <v/>
      </c>
      <c r="AC18" s="14">
        <f>AB18</f>
        <v/>
      </c>
      <c r="AD18" s="14">
        <f>AC18</f>
        <v/>
      </c>
      <c r="AE18" s="14">
        <f>AD18</f>
        <v/>
      </c>
      <c r="AF18" s="14">
        <f>AE18</f>
        <v/>
      </c>
      <c r="AG18" s="14">
        <f>AF18</f>
        <v/>
      </c>
      <c r="AH18" s="14">
        <f>AG18</f>
        <v/>
      </c>
      <c r="AI18" s="14">
        <f>AH18</f>
        <v/>
      </c>
      <c r="AJ18" s="14">
        <f>AI18</f>
        <v/>
      </c>
      <c r="AK18" s="14">
        <f>AJ18</f>
        <v/>
      </c>
      <c r="AL18" s="14">
        <f>AK18</f>
        <v/>
      </c>
      <c r="AM18" s="14">
        <f>AL18</f>
        <v/>
      </c>
      <c r="AN18" s="14">
        <f>AM18</f>
        <v/>
      </c>
      <c r="AO18" s="14">
        <f>AN18</f>
        <v/>
      </c>
      <c r="AP18" s="14">
        <f>AO18</f>
        <v/>
      </c>
    </row>
    <row r="19">
      <c r="A19" s="3" t="inlineStr">
        <is>
          <t>Income Taxes Payable — % of Revenue</t>
        </is>
      </c>
      <c r="B19" s="13">
        <f>IFERROR('QTR BS'!B21/'QTR P&amp;L'!E2,"")</f>
        <v/>
      </c>
      <c r="C19" s="13">
        <f>IFERROR('QTR BS'!C21/'QTR P&amp;L'!F2,"")</f>
        <v/>
      </c>
      <c r="D19" s="13">
        <f>IFERROR('QTR BS'!D21/'QTR P&amp;L'!G2,"")</f>
        <v/>
      </c>
      <c r="E19" s="13">
        <f>IFERROR('QTR BS'!E21/'QTR P&amp;L'!H2,"")</f>
        <v/>
      </c>
      <c r="F19" s="13">
        <f>IFERROR('QTR BS'!F21/'QTR P&amp;L'!I2,"")</f>
        <v/>
      </c>
      <c r="G19" s="13">
        <f>IFERROR('QTR BS'!G21/'QTR P&amp;L'!J2,"")</f>
        <v/>
      </c>
      <c r="H19" s="13">
        <f>IFERROR('QTR BS'!H21/'QTR P&amp;L'!K2,"")</f>
        <v/>
      </c>
      <c r="I19" s="13">
        <f>IFERROR('QTR BS'!I21/'QTR P&amp;L'!L2,"")</f>
        <v/>
      </c>
      <c r="J19" s="13">
        <f>IFERROR('QTR BS'!J21/'QTR P&amp;L'!M2,"")</f>
        <v/>
      </c>
      <c r="K19" s="13">
        <f>IFERROR('QTR BS'!K21/'QTR P&amp;L'!N2,"")</f>
        <v/>
      </c>
      <c r="L19" s="13">
        <f>IFERROR('QTR BS'!L21/'QTR P&amp;L'!O2,"")</f>
        <v/>
      </c>
      <c r="M19" s="13">
        <f>IFERROR('QTR BS'!M21/'QTR P&amp;L'!P2,"")</f>
        <v/>
      </c>
      <c r="N19" s="13">
        <f>IFERROR('QTR BS'!N21/'QTR P&amp;L'!Q2,"")</f>
        <v/>
      </c>
      <c r="O19" s="13">
        <f>IFERROR('QTR BS'!O21/'QTR P&amp;L'!R2,"")</f>
        <v/>
      </c>
      <c r="P19" s="13">
        <f>IFERROR('QTR BS'!P21/'QTR P&amp;L'!S2,"")</f>
        <v/>
      </c>
      <c r="Q19" s="13">
        <f>IFERROR('QTR BS'!Q21/'QTR P&amp;L'!T2,"")</f>
        <v/>
      </c>
      <c r="R19" s="13">
        <f>IFERROR('QTR BS'!R21/'QTR P&amp;L'!U2,"")</f>
        <v/>
      </c>
      <c r="S19" s="13">
        <f>IFERROR('QTR BS'!S21/'QTR P&amp;L'!V2,"")</f>
        <v/>
      </c>
      <c r="T19" s="13">
        <f>IFERROR('QTR BS'!T21/'QTR P&amp;L'!W2,"")</f>
        <v/>
      </c>
      <c r="U19" s="13">
        <f>IFERROR('QTR BS'!U21/'QTR P&amp;L'!X2,"")</f>
        <v/>
      </c>
      <c r="V19" s="13">
        <f>IFERROR('QTR BS'!V21/'QTR P&amp;L'!Y2,"")</f>
        <v/>
      </c>
      <c r="W19" s="14">
        <f>V19</f>
        <v/>
      </c>
      <c r="X19" s="14">
        <f>W19</f>
        <v/>
      </c>
      <c r="Y19" s="14">
        <f>X19</f>
        <v/>
      </c>
      <c r="Z19" s="14">
        <f>Y19</f>
        <v/>
      </c>
      <c r="AA19" s="14">
        <f>Z19</f>
        <v/>
      </c>
      <c r="AB19" s="14">
        <f>AA19</f>
        <v/>
      </c>
      <c r="AC19" s="14">
        <f>AB19</f>
        <v/>
      </c>
      <c r="AD19" s="14">
        <f>AC19</f>
        <v/>
      </c>
      <c r="AE19" s="14">
        <f>AD19</f>
        <v/>
      </c>
      <c r="AF19" s="14">
        <f>AE19</f>
        <v/>
      </c>
      <c r="AG19" s="14">
        <f>AF19</f>
        <v/>
      </c>
      <c r="AH19" s="14">
        <f>AG19</f>
        <v/>
      </c>
      <c r="AI19" s="14">
        <f>AH19</f>
        <v/>
      </c>
      <c r="AJ19" s="14">
        <f>AI19</f>
        <v/>
      </c>
      <c r="AK19" s="14">
        <f>AJ19</f>
        <v/>
      </c>
      <c r="AL19" s="14">
        <f>AK19</f>
        <v/>
      </c>
      <c r="AM19" s="14">
        <f>AL19</f>
        <v/>
      </c>
      <c r="AN19" s="14">
        <f>AM19</f>
        <v/>
      </c>
      <c r="AO19" s="14">
        <f>AN19</f>
        <v/>
      </c>
      <c r="AP19" s="14">
        <f>AO19</f>
        <v/>
      </c>
    </row>
    <row r="20">
      <c r="A20" s="3" t="inlineStr">
        <is>
          <t>Deferred Revenue - Non-Current — % of Revenue</t>
        </is>
      </c>
      <c r="B20" s="13">
        <f>IFERROR('QTR BS'!B23/'QTR P&amp;L'!E2,"")</f>
        <v/>
      </c>
      <c r="C20" s="13">
        <f>IFERROR('QTR BS'!C23/'QTR P&amp;L'!F2,"")</f>
        <v/>
      </c>
      <c r="D20" s="13">
        <f>IFERROR('QTR BS'!D23/'QTR P&amp;L'!G2,"")</f>
        <v/>
      </c>
      <c r="E20" s="13">
        <f>IFERROR('QTR BS'!E23/'QTR P&amp;L'!H2,"")</f>
        <v/>
      </c>
      <c r="F20" s="13">
        <f>IFERROR('QTR BS'!F23/'QTR P&amp;L'!I2,"")</f>
        <v/>
      </c>
      <c r="G20" s="13">
        <f>IFERROR('QTR BS'!G23/'QTR P&amp;L'!J2,"")</f>
        <v/>
      </c>
      <c r="H20" s="13">
        <f>IFERROR('QTR BS'!H23/'QTR P&amp;L'!K2,"")</f>
        <v/>
      </c>
      <c r="I20" s="13">
        <f>IFERROR('QTR BS'!I23/'QTR P&amp;L'!L2,"")</f>
        <v/>
      </c>
      <c r="J20" s="13">
        <f>IFERROR('QTR BS'!J23/'QTR P&amp;L'!M2,"")</f>
        <v/>
      </c>
      <c r="K20" s="13">
        <f>IFERROR('QTR BS'!K23/'QTR P&amp;L'!N2,"")</f>
        <v/>
      </c>
      <c r="L20" s="13">
        <f>IFERROR('QTR BS'!L23/'QTR P&amp;L'!O2,"")</f>
        <v/>
      </c>
      <c r="M20" s="13">
        <f>IFERROR('QTR BS'!M23/'QTR P&amp;L'!P2,"")</f>
        <v/>
      </c>
      <c r="N20" s="13">
        <f>IFERROR('QTR BS'!N23/'QTR P&amp;L'!Q2,"")</f>
        <v/>
      </c>
      <c r="O20" s="13">
        <f>IFERROR('QTR BS'!O23/'QTR P&amp;L'!R2,"")</f>
        <v/>
      </c>
      <c r="P20" s="13">
        <f>IFERROR('QTR BS'!P23/'QTR P&amp;L'!S2,"")</f>
        <v/>
      </c>
      <c r="Q20" s="13">
        <f>IFERROR('QTR BS'!Q23/'QTR P&amp;L'!T2,"")</f>
        <v/>
      </c>
      <c r="R20" s="13">
        <f>IFERROR('QTR BS'!R23/'QTR P&amp;L'!U2,"")</f>
        <v/>
      </c>
      <c r="S20" s="13">
        <f>IFERROR('QTR BS'!S23/'QTR P&amp;L'!V2,"")</f>
        <v/>
      </c>
      <c r="T20" s="13">
        <f>IFERROR('QTR BS'!T23/'QTR P&amp;L'!W2,"")</f>
        <v/>
      </c>
      <c r="U20" s="13">
        <f>IFERROR('QTR BS'!U23/'QTR P&amp;L'!X2,"")</f>
        <v/>
      </c>
      <c r="V20" s="13">
        <f>IFERROR('QTR BS'!V23/'QTR P&amp;L'!Y2,"")</f>
        <v/>
      </c>
      <c r="W20" s="14">
        <f>V20</f>
        <v/>
      </c>
      <c r="X20" s="14">
        <f>W20</f>
        <v/>
      </c>
      <c r="Y20" s="14">
        <f>X20</f>
        <v/>
      </c>
      <c r="Z20" s="14">
        <f>Y20</f>
        <v/>
      </c>
      <c r="AA20" s="14">
        <f>Z20</f>
        <v/>
      </c>
      <c r="AB20" s="14">
        <f>AA20</f>
        <v/>
      </c>
      <c r="AC20" s="14">
        <f>AB20</f>
        <v/>
      </c>
      <c r="AD20" s="14">
        <f>AC20</f>
        <v/>
      </c>
      <c r="AE20" s="14">
        <f>AD20</f>
        <v/>
      </c>
      <c r="AF20" s="14">
        <f>AE20</f>
        <v/>
      </c>
      <c r="AG20" s="14">
        <f>AF20</f>
        <v/>
      </c>
      <c r="AH20" s="14">
        <f>AG20</f>
        <v/>
      </c>
      <c r="AI20" s="14">
        <f>AH20</f>
        <v/>
      </c>
      <c r="AJ20" s="14">
        <f>AI20</f>
        <v/>
      </c>
      <c r="AK20" s="14">
        <f>AJ20</f>
        <v/>
      </c>
      <c r="AL20" s="14">
        <f>AK20</f>
        <v/>
      </c>
      <c r="AM20" s="14">
        <f>AL20</f>
        <v/>
      </c>
      <c r="AN20" s="14">
        <f>AM20</f>
        <v/>
      </c>
      <c r="AO20" s="14">
        <f>AN20</f>
        <v/>
      </c>
      <c r="AP20" s="14">
        <f>AO20</f>
        <v/>
      </c>
    </row>
    <row r="21">
      <c r="A21" s="3" t="inlineStr">
        <is>
          <t>Deferred Tax Liability</t>
        </is>
      </c>
      <c r="B21" s="4">
        <f>'QTR BS'!B24</f>
        <v/>
      </c>
      <c r="C21" s="4">
        <f>'QTR BS'!C24</f>
        <v/>
      </c>
      <c r="D21" s="4">
        <f>'QTR BS'!D24</f>
        <v/>
      </c>
      <c r="E21" s="4">
        <f>'QTR BS'!E24</f>
        <v/>
      </c>
      <c r="F21" s="4">
        <f>'QTR BS'!F24</f>
        <v/>
      </c>
      <c r="G21" s="4">
        <f>'QTR BS'!G24</f>
        <v/>
      </c>
      <c r="H21" s="4">
        <f>'QTR BS'!H24</f>
        <v/>
      </c>
      <c r="I21" s="4">
        <f>'QTR BS'!I24</f>
        <v/>
      </c>
      <c r="J21" s="4">
        <f>'QTR BS'!J24</f>
        <v/>
      </c>
      <c r="K21" s="4">
        <f>'QTR BS'!K24</f>
        <v/>
      </c>
      <c r="L21" s="4">
        <f>'QTR BS'!L24</f>
        <v/>
      </c>
      <c r="M21" s="4">
        <f>'QTR BS'!M24</f>
        <v/>
      </c>
      <c r="N21" s="4">
        <f>'QTR BS'!N24</f>
        <v/>
      </c>
      <c r="O21" s="4">
        <f>'QTR BS'!O24</f>
        <v/>
      </c>
      <c r="P21" s="4">
        <f>'QTR BS'!P24</f>
        <v/>
      </c>
      <c r="Q21" s="4">
        <f>'QTR BS'!Q24</f>
        <v/>
      </c>
      <c r="R21" s="4">
        <f>'QTR BS'!R24</f>
        <v/>
      </c>
      <c r="S21" s="4">
        <f>'QTR BS'!S24</f>
        <v/>
      </c>
      <c r="T21" s="4">
        <f>'QTR BS'!T24</f>
        <v/>
      </c>
      <c r="U21" s="4">
        <f>'QTR BS'!U24</f>
        <v/>
      </c>
      <c r="V21" s="4">
        <f>'QTR BS'!V24</f>
        <v/>
      </c>
      <c r="W21" s="15">
        <f>V21</f>
        <v/>
      </c>
      <c r="X21" s="15">
        <f>W21</f>
        <v/>
      </c>
      <c r="Y21" s="15">
        <f>X21</f>
        <v/>
      </c>
      <c r="Z21" s="15">
        <f>Y21</f>
        <v/>
      </c>
      <c r="AA21" s="15">
        <f>Z21</f>
        <v/>
      </c>
      <c r="AB21" s="15">
        <f>AA21</f>
        <v/>
      </c>
      <c r="AC21" s="15">
        <f>AB21</f>
        <v/>
      </c>
      <c r="AD21" s="15">
        <f>AC21</f>
        <v/>
      </c>
      <c r="AE21" s="15">
        <f>AD21</f>
        <v/>
      </c>
      <c r="AF21" s="15">
        <f>AE21</f>
        <v/>
      </c>
      <c r="AG21" s="15">
        <f>AF21</f>
        <v/>
      </c>
      <c r="AH21" s="15">
        <f>AG21</f>
        <v/>
      </c>
      <c r="AI21" s="15">
        <f>AH21</f>
        <v/>
      </c>
      <c r="AJ21" s="15">
        <f>AI21</f>
        <v/>
      </c>
      <c r="AK21" s="15">
        <f>AJ21</f>
        <v/>
      </c>
      <c r="AL21" s="15">
        <f>AK21</f>
        <v/>
      </c>
      <c r="AM21" s="15">
        <f>AL21</f>
        <v/>
      </c>
      <c r="AN21" s="15">
        <f>AM21</f>
        <v/>
      </c>
      <c r="AO21" s="15">
        <f>AN21</f>
        <v/>
      </c>
      <c r="AP21" s="15">
        <f>AO21</f>
        <v/>
      </c>
    </row>
    <row r="22">
      <c r="A22" s="3" t="inlineStr">
        <is>
          <t>Other Non-Current Liabilities — % of Revenue</t>
        </is>
      </c>
      <c r="B22" s="13">
        <f>IFERROR('QTR BS'!B25/'QTR P&amp;L'!E2,"")</f>
        <v/>
      </c>
      <c r="C22" s="13">
        <f>IFERROR('QTR BS'!C25/'QTR P&amp;L'!F2,"")</f>
        <v/>
      </c>
      <c r="D22" s="13">
        <f>IFERROR('QTR BS'!D25/'QTR P&amp;L'!G2,"")</f>
        <v/>
      </c>
      <c r="E22" s="13">
        <f>IFERROR('QTR BS'!E25/'QTR P&amp;L'!H2,"")</f>
        <v/>
      </c>
      <c r="F22" s="13">
        <f>IFERROR('QTR BS'!F25/'QTR P&amp;L'!I2,"")</f>
        <v/>
      </c>
      <c r="G22" s="13">
        <f>IFERROR('QTR BS'!G25/'QTR P&amp;L'!J2,"")</f>
        <v/>
      </c>
      <c r="H22" s="13">
        <f>IFERROR('QTR BS'!H25/'QTR P&amp;L'!K2,"")</f>
        <v/>
      </c>
      <c r="I22" s="13">
        <f>IFERROR('QTR BS'!I25/'QTR P&amp;L'!L2,"")</f>
        <v/>
      </c>
      <c r="J22" s="13">
        <f>IFERROR('QTR BS'!J25/'QTR P&amp;L'!M2,"")</f>
        <v/>
      </c>
      <c r="K22" s="13">
        <f>IFERROR('QTR BS'!K25/'QTR P&amp;L'!N2,"")</f>
        <v/>
      </c>
      <c r="L22" s="13">
        <f>IFERROR('QTR BS'!L25/'QTR P&amp;L'!O2,"")</f>
        <v/>
      </c>
      <c r="M22" s="13">
        <f>IFERROR('QTR BS'!M25/'QTR P&amp;L'!P2,"")</f>
        <v/>
      </c>
      <c r="N22" s="13">
        <f>IFERROR('QTR BS'!N25/'QTR P&amp;L'!Q2,"")</f>
        <v/>
      </c>
      <c r="O22" s="13">
        <f>IFERROR('QTR BS'!O25/'QTR P&amp;L'!R2,"")</f>
        <v/>
      </c>
      <c r="P22" s="13">
        <f>IFERROR('QTR BS'!P25/'QTR P&amp;L'!S2,"")</f>
        <v/>
      </c>
      <c r="Q22" s="13">
        <f>IFERROR('QTR BS'!Q25/'QTR P&amp;L'!T2,"")</f>
        <v/>
      </c>
      <c r="R22" s="13">
        <f>IFERROR('QTR BS'!R25/'QTR P&amp;L'!U2,"")</f>
        <v/>
      </c>
      <c r="S22" s="13">
        <f>IFERROR('QTR BS'!S25/'QTR P&amp;L'!V2,"")</f>
        <v/>
      </c>
      <c r="T22" s="13">
        <f>IFERROR('QTR BS'!T25/'QTR P&amp;L'!W2,"")</f>
        <v/>
      </c>
      <c r="U22" s="13">
        <f>IFERROR('QTR BS'!U25/'QTR P&amp;L'!X2,"")</f>
        <v/>
      </c>
      <c r="V22" s="13">
        <f>IFERROR('QTR BS'!V25/'QTR P&amp;L'!Y2,"")</f>
        <v/>
      </c>
      <c r="W22" s="14">
        <f>V22</f>
        <v/>
      </c>
      <c r="X22" s="14">
        <f>W22</f>
        <v/>
      </c>
      <c r="Y22" s="14">
        <f>X22</f>
        <v/>
      </c>
      <c r="Z22" s="14">
        <f>Y22</f>
        <v/>
      </c>
      <c r="AA22" s="14">
        <f>Z22</f>
        <v/>
      </c>
      <c r="AB22" s="14">
        <f>AA22</f>
        <v/>
      </c>
      <c r="AC22" s="14">
        <f>AB22</f>
        <v/>
      </c>
      <c r="AD22" s="14">
        <f>AC22</f>
        <v/>
      </c>
      <c r="AE22" s="14">
        <f>AD22</f>
        <v/>
      </c>
      <c r="AF22" s="14">
        <f>AE22</f>
        <v/>
      </c>
      <c r="AG22" s="14">
        <f>AF22</f>
        <v/>
      </c>
      <c r="AH22" s="14">
        <f>AG22</f>
        <v/>
      </c>
      <c r="AI22" s="14">
        <f>AH22</f>
        <v/>
      </c>
      <c r="AJ22" s="14">
        <f>AI22</f>
        <v/>
      </c>
      <c r="AK22" s="14">
        <f>AJ22</f>
        <v/>
      </c>
      <c r="AL22" s="14">
        <f>AK22</f>
        <v/>
      </c>
      <c r="AM22" s="14">
        <f>AL22</f>
        <v/>
      </c>
      <c r="AN22" s="14">
        <f>AM22</f>
        <v/>
      </c>
      <c r="AO22" s="14">
        <f>AN22</f>
        <v/>
      </c>
      <c r="AP22" s="14">
        <f>AO22</f>
        <v/>
      </c>
    </row>
    <row r="23">
      <c r="A23" s="3" t="inlineStr">
        <is>
          <t>Long-Term Debt</t>
        </is>
      </c>
      <c r="B23" s="4">
        <f>'QTR BS'!B26</f>
        <v/>
      </c>
      <c r="C23" s="4">
        <f>'QTR BS'!C26</f>
        <v/>
      </c>
      <c r="D23" s="4">
        <f>'QTR BS'!D26</f>
        <v/>
      </c>
      <c r="E23" s="4">
        <f>'QTR BS'!E26</f>
        <v/>
      </c>
      <c r="F23" s="4">
        <f>'QTR BS'!F26</f>
        <v/>
      </c>
      <c r="G23" s="4">
        <f>'QTR BS'!G26</f>
        <v/>
      </c>
      <c r="H23" s="4">
        <f>'QTR BS'!H26</f>
        <v/>
      </c>
      <c r="I23" s="4">
        <f>'QTR BS'!I26</f>
        <v/>
      </c>
      <c r="J23" s="4">
        <f>'QTR BS'!J26</f>
        <v/>
      </c>
      <c r="K23" s="4">
        <f>'QTR BS'!K26</f>
        <v/>
      </c>
      <c r="L23" s="4">
        <f>'QTR BS'!L26</f>
        <v/>
      </c>
      <c r="M23" s="4">
        <f>'QTR BS'!M26</f>
        <v/>
      </c>
      <c r="N23" s="4">
        <f>'QTR BS'!N26</f>
        <v/>
      </c>
      <c r="O23" s="4">
        <f>'QTR BS'!O26</f>
        <v/>
      </c>
      <c r="P23" s="4">
        <f>'QTR BS'!P26</f>
        <v/>
      </c>
      <c r="Q23" s="4">
        <f>'QTR BS'!Q26</f>
        <v/>
      </c>
      <c r="R23" s="4">
        <f>'QTR BS'!R26</f>
        <v/>
      </c>
      <c r="S23" s="4">
        <f>'QTR BS'!S26</f>
        <v/>
      </c>
      <c r="T23" s="4">
        <f>'QTR BS'!T26</f>
        <v/>
      </c>
      <c r="U23" s="4">
        <f>'QTR BS'!U26</f>
        <v/>
      </c>
      <c r="V23" s="4">
        <f>'QTR BS'!V26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  <c r="AM23" s="15">
        <f>AL23</f>
        <v/>
      </c>
      <c r="AN23" s="15">
        <f>AM23</f>
        <v/>
      </c>
      <c r="AO23" s="15">
        <f>AN23</f>
        <v/>
      </c>
      <c r="AP23" s="15">
        <f>AO23</f>
        <v/>
      </c>
    </row>
    <row r="24">
      <c r="A24" s="3" t="inlineStr">
        <is>
          <t>Common Stock</t>
        </is>
      </c>
      <c r="B24" s="4">
        <f>'QTR BS'!B28</f>
        <v/>
      </c>
      <c r="C24" s="4">
        <f>'QTR BS'!C28</f>
        <v/>
      </c>
      <c r="D24" s="4">
        <f>'QTR BS'!D28</f>
        <v/>
      </c>
      <c r="E24" s="4">
        <f>'QTR BS'!E28</f>
        <v/>
      </c>
      <c r="F24" s="4">
        <f>'QTR BS'!F28</f>
        <v/>
      </c>
      <c r="G24" s="4">
        <f>'QTR BS'!G28</f>
        <v/>
      </c>
      <c r="H24" s="4">
        <f>'QTR BS'!H28</f>
        <v/>
      </c>
      <c r="I24" s="4">
        <f>'QTR BS'!I28</f>
        <v/>
      </c>
      <c r="J24" s="4">
        <f>'QTR BS'!J28</f>
        <v/>
      </c>
      <c r="K24" s="4">
        <f>'QTR BS'!K28</f>
        <v/>
      </c>
      <c r="L24" s="4">
        <f>'QTR BS'!L28</f>
        <v/>
      </c>
      <c r="M24" s="4">
        <f>'QTR BS'!M28</f>
        <v/>
      </c>
      <c r="N24" s="4">
        <f>'QTR BS'!N28</f>
        <v/>
      </c>
      <c r="O24" s="4">
        <f>'QTR BS'!O28</f>
        <v/>
      </c>
      <c r="P24" s="4">
        <f>'QTR BS'!P28</f>
        <v/>
      </c>
      <c r="Q24" s="4">
        <f>'QTR BS'!Q28</f>
        <v/>
      </c>
      <c r="R24" s="4">
        <f>'QTR BS'!R28</f>
        <v/>
      </c>
      <c r="S24" s="4">
        <f>'QTR BS'!S28</f>
        <v/>
      </c>
      <c r="T24" s="4">
        <f>'QTR BS'!T28</f>
        <v/>
      </c>
      <c r="U24" s="4">
        <f>'QTR BS'!U28</f>
        <v/>
      </c>
      <c r="V24" s="4">
        <f>'QTR BS'!V28</f>
        <v/>
      </c>
      <c r="W24" s="15">
        <f>V24</f>
        <v/>
      </c>
      <c r="X24" s="15">
        <f>W24</f>
        <v/>
      </c>
      <c r="Y24" s="15">
        <f>X24</f>
        <v/>
      </c>
      <c r="Z24" s="15">
        <f>Y24</f>
        <v/>
      </c>
      <c r="AA24" s="15">
        <f>Z24</f>
        <v/>
      </c>
      <c r="AB24" s="15">
        <f>AA24</f>
        <v/>
      </c>
      <c r="AC24" s="15">
        <f>AB24</f>
        <v/>
      </c>
      <c r="AD24" s="15">
        <f>AC24</f>
        <v/>
      </c>
      <c r="AE24" s="15">
        <f>AD24</f>
        <v/>
      </c>
      <c r="AF24" s="15">
        <f>AE24</f>
        <v/>
      </c>
      <c r="AG24" s="15">
        <f>AF24</f>
        <v/>
      </c>
      <c r="AH24" s="15">
        <f>AG24</f>
        <v/>
      </c>
      <c r="AI24" s="15">
        <f>AH24</f>
        <v/>
      </c>
      <c r="AJ24" s="15">
        <f>AI24</f>
        <v/>
      </c>
      <c r="AK24" s="15">
        <f>AJ24</f>
        <v/>
      </c>
      <c r="AL24" s="15">
        <f>AK24</f>
        <v/>
      </c>
      <c r="AM24" s="15">
        <f>AL24</f>
        <v/>
      </c>
      <c r="AN24" s="15">
        <f>AM24</f>
        <v/>
      </c>
      <c r="AO24" s="15">
        <f>AN24</f>
        <v/>
      </c>
      <c r="AP24" s="15">
        <f>AO24</f>
        <v/>
      </c>
    </row>
    <row r="25">
      <c r="A25" s="3" t="inlineStr">
        <is>
          <t>Additional Paid-in Capital</t>
        </is>
      </c>
      <c r="B25" s="4">
        <f>'QTR BS'!B29</f>
        <v/>
      </c>
      <c r="C25" s="4">
        <f>'QTR BS'!C29</f>
        <v/>
      </c>
      <c r="D25" s="4">
        <f>'QTR BS'!D29</f>
        <v/>
      </c>
      <c r="E25" s="4">
        <f>'QTR BS'!E29</f>
        <v/>
      </c>
      <c r="F25" s="4">
        <f>'QTR BS'!F29</f>
        <v/>
      </c>
      <c r="G25" s="4">
        <f>'QTR BS'!G29</f>
        <v/>
      </c>
      <c r="H25" s="4">
        <f>'QTR BS'!H29</f>
        <v/>
      </c>
      <c r="I25" s="4">
        <f>'QTR BS'!I29</f>
        <v/>
      </c>
      <c r="J25" s="4">
        <f>'QTR BS'!J29</f>
        <v/>
      </c>
      <c r="K25" s="4">
        <f>'QTR BS'!K29</f>
        <v/>
      </c>
      <c r="L25" s="4">
        <f>'QTR BS'!L29</f>
        <v/>
      </c>
      <c r="M25" s="4">
        <f>'QTR BS'!M29</f>
        <v/>
      </c>
      <c r="N25" s="4">
        <f>'QTR BS'!N29</f>
        <v/>
      </c>
      <c r="O25" s="4">
        <f>'QTR BS'!O29</f>
        <v/>
      </c>
      <c r="P25" s="4">
        <f>'QTR BS'!P29</f>
        <v/>
      </c>
      <c r="Q25" s="4">
        <f>'QTR BS'!Q29</f>
        <v/>
      </c>
      <c r="R25" s="4">
        <f>'QTR BS'!R29</f>
        <v/>
      </c>
      <c r="S25" s="4">
        <f>'QTR BS'!S29</f>
        <v/>
      </c>
      <c r="T25" s="4">
        <f>'QTR BS'!T29</f>
        <v/>
      </c>
      <c r="U25" s="4">
        <f>'QTR BS'!U29</f>
        <v/>
      </c>
      <c r="V25" s="4">
        <f>'QTR BS'!V29</f>
        <v/>
      </c>
      <c r="W25" s="4">
        <f>V25+'QTR CF'!Z9</f>
        <v/>
      </c>
      <c r="X25" s="4">
        <f>W25+'QTR CF'!AA9</f>
        <v/>
      </c>
      <c r="Y25" s="4">
        <f>X25+'QTR CF'!AB9</f>
        <v/>
      </c>
      <c r="Z25" s="4">
        <f>Y25+'QTR CF'!AC9</f>
        <v/>
      </c>
      <c r="AA25" s="4">
        <f>Z25+'QTR CF'!AD9</f>
        <v/>
      </c>
      <c r="AB25" s="4">
        <f>AA25+'QTR CF'!AE9</f>
        <v/>
      </c>
      <c r="AC25" s="4">
        <f>AB25+'QTR CF'!AF9</f>
        <v/>
      </c>
      <c r="AD25" s="4">
        <f>AC25+'QTR CF'!AG9</f>
        <v/>
      </c>
      <c r="AE25" s="4">
        <f>AD25+'QTR CF'!AH9</f>
        <v/>
      </c>
      <c r="AF25" s="4">
        <f>AE25+'QTR CF'!AI9</f>
        <v/>
      </c>
      <c r="AG25" s="4">
        <f>AF25+'QTR CF'!AJ9</f>
        <v/>
      </c>
      <c r="AH25" s="4">
        <f>AG25+'QTR CF'!AK9</f>
        <v/>
      </c>
      <c r="AI25" s="4">
        <f>AH25+'QTR CF'!AL9</f>
        <v/>
      </c>
      <c r="AJ25" s="4">
        <f>AI25+'QTR CF'!AM9</f>
        <v/>
      </c>
      <c r="AK25" s="4">
        <f>AJ25+'QTR CF'!AN9</f>
        <v/>
      </c>
      <c r="AL25" s="4">
        <f>AK25+'QTR CF'!AO9</f>
        <v/>
      </c>
      <c r="AM25" s="4">
        <f>AL25+'QTR CF'!AP9</f>
        <v/>
      </c>
      <c r="AN25" s="4">
        <f>AM25+'QTR CF'!AQ9</f>
        <v/>
      </c>
      <c r="AO25" s="4">
        <f>AN25+'QTR CF'!AR9</f>
        <v/>
      </c>
      <c r="AP25" s="4">
        <f>AO25+'QTR CF'!AS9</f>
        <v/>
      </c>
    </row>
    <row r="26">
      <c r="A26" s="3" t="inlineStr">
        <is>
          <t>Retained Earnings (Accumulated Deficit)</t>
        </is>
      </c>
      <c r="B26" s="4">
        <f>'QTR BS'!B30</f>
        <v/>
      </c>
      <c r="C26" s="4">
        <f>'QTR BS'!C30</f>
        <v/>
      </c>
      <c r="D26" s="4">
        <f>'QTR BS'!D30</f>
        <v/>
      </c>
      <c r="E26" s="4">
        <f>'QTR BS'!E30</f>
        <v/>
      </c>
      <c r="F26" s="4">
        <f>'QTR BS'!F30</f>
        <v/>
      </c>
      <c r="G26" s="4">
        <f>'QTR BS'!G30</f>
        <v/>
      </c>
      <c r="H26" s="4">
        <f>'QTR BS'!H30</f>
        <v/>
      </c>
      <c r="I26" s="4">
        <f>'QTR BS'!I30</f>
        <v/>
      </c>
      <c r="J26" s="4">
        <f>'QTR BS'!J30</f>
        <v/>
      </c>
      <c r="K26" s="4">
        <f>'QTR BS'!K30</f>
        <v/>
      </c>
      <c r="L26" s="4">
        <f>'QTR BS'!L30</f>
        <v/>
      </c>
      <c r="M26" s="4">
        <f>'QTR BS'!M30</f>
        <v/>
      </c>
      <c r="N26" s="4">
        <f>'QTR BS'!N30</f>
        <v/>
      </c>
      <c r="O26" s="4">
        <f>'QTR BS'!O30</f>
        <v/>
      </c>
      <c r="P26" s="4">
        <f>'QTR BS'!P30</f>
        <v/>
      </c>
      <c r="Q26" s="4">
        <f>'QTR BS'!Q30</f>
        <v/>
      </c>
      <c r="R26" s="4">
        <f>'QTR BS'!R30</f>
        <v/>
      </c>
      <c r="S26" s="4">
        <f>'QTR BS'!S30</f>
        <v/>
      </c>
      <c r="T26" s="4">
        <f>'QTR BS'!T30</f>
        <v/>
      </c>
      <c r="U26" s="4">
        <f>'QTR BS'!U30</f>
        <v/>
      </c>
      <c r="V26" s="4">
        <f>'QTR BS'!V30</f>
        <v/>
      </c>
      <c r="W26" s="4">
        <f>V26+'QTR P&amp;L'!Z10</f>
        <v/>
      </c>
      <c r="X26" s="4">
        <f>W26+'QTR P&amp;L'!AA10</f>
        <v/>
      </c>
      <c r="Y26" s="4">
        <f>X26+'QTR P&amp;L'!AB10</f>
        <v/>
      </c>
      <c r="Z26" s="4">
        <f>Y26+'QTR P&amp;L'!AC10</f>
        <v/>
      </c>
      <c r="AA26" s="4">
        <f>Z26+'QTR P&amp;L'!AD10</f>
        <v/>
      </c>
      <c r="AB26" s="4">
        <f>AA26+'QTR P&amp;L'!AE10</f>
        <v/>
      </c>
      <c r="AC26" s="4">
        <f>AB26+'QTR P&amp;L'!AF10</f>
        <v/>
      </c>
      <c r="AD26" s="4">
        <f>AC26+'QTR P&amp;L'!AG10</f>
        <v/>
      </c>
      <c r="AE26" s="4">
        <f>AD26+'QTR P&amp;L'!AH10</f>
        <v/>
      </c>
      <c r="AF26" s="4">
        <f>AE26+'QTR P&amp;L'!AI10</f>
        <v/>
      </c>
      <c r="AG26" s="4">
        <f>AF26+'QTR P&amp;L'!AJ10</f>
        <v/>
      </c>
      <c r="AH26" s="4">
        <f>AG26+'QTR P&amp;L'!AK10</f>
        <v/>
      </c>
      <c r="AI26" s="4">
        <f>AH26+'QTR P&amp;L'!AL10</f>
        <v/>
      </c>
      <c r="AJ26" s="4">
        <f>AI26+'QTR P&amp;L'!AM10</f>
        <v/>
      </c>
      <c r="AK26" s="4">
        <f>AJ26+'QTR P&amp;L'!AN10</f>
        <v/>
      </c>
      <c r="AL26" s="4">
        <f>AK26+'QTR P&amp;L'!AO10</f>
        <v/>
      </c>
      <c r="AM26" s="4">
        <f>AL26+'QTR P&amp;L'!AP10</f>
        <v/>
      </c>
      <c r="AN26" s="4">
        <f>AM26+'QTR P&amp;L'!AQ10</f>
        <v/>
      </c>
      <c r="AO26" s="4">
        <f>AN26+'QTR P&amp;L'!AR10</f>
        <v/>
      </c>
      <c r="AP26" s="4">
        <f>AO26+'QTR P&amp;L'!AS10</f>
        <v/>
      </c>
    </row>
    <row r="27">
      <c r="A27" s="3" t="inlineStr">
        <is>
          <t>Accumulated Other Comprehensive Income (Loss)</t>
        </is>
      </c>
      <c r="B27" s="4">
        <f>'QTR BS'!B31</f>
        <v/>
      </c>
      <c r="C27" s="4">
        <f>'QTR BS'!C31</f>
        <v/>
      </c>
      <c r="D27" s="4">
        <f>'QTR BS'!D31</f>
        <v/>
      </c>
      <c r="E27" s="4">
        <f>'QTR BS'!E31</f>
        <v/>
      </c>
      <c r="F27" s="4">
        <f>'QTR BS'!F31</f>
        <v/>
      </c>
      <c r="G27" s="4">
        <f>'QTR BS'!G31</f>
        <v/>
      </c>
      <c r="H27" s="4">
        <f>'QTR BS'!H31</f>
        <v/>
      </c>
      <c r="I27" s="4">
        <f>'QTR BS'!I31</f>
        <v/>
      </c>
      <c r="J27" s="4">
        <f>'QTR BS'!J31</f>
        <v/>
      </c>
      <c r="K27" s="4">
        <f>'QTR BS'!K31</f>
        <v/>
      </c>
      <c r="L27" s="4">
        <f>'QTR BS'!L31</f>
        <v/>
      </c>
      <c r="M27" s="4">
        <f>'QTR BS'!M31</f>
        <v/>
      </c>
      <c r="N27" s="4">
        <f>'QTR BS'!N31</f>
        <v/>
      </c>
      <c r="O27" s="4">
        <f>'QTR BS'!O31</f>
        <v/>
      </c>
      <c r="P27" s="4">
        <f>'QTR BS'!P31</f>
        <v/>
      </c>
      <c r="Q27" s="4">
        <f>'QTR BS'!Q31</f>
        <v/>
      </c>
      <c r="R27" s="4">
        <f>'QTR BS'!R31</f>
        <v/>
      </c>
      <c r="S27" s="4">
        <f>'QTR BS'!S31</f>
        <v/>
      </c>
      <c r="T27" s="4">
        <f>'QTR BS'!T31</f>
        <v/>
      </c>
      <c r="U27" s="4">
        <f>'QTR BS'!U31</f>
        <v/>
      </c>
      <c r="V27" s="4">
        <f>'QTR BS'!V31</f>
        <v/>
      </c>
      <c r="W27" s="4">
        <f>V27+'QTR CF'!Z42</f>
        <v/>
      </c>
      <c r="X27" s="4">
        <f>W27+'QTR CF'!AA42</f>
        <v/>
      </c>
      <c r="Y27" s="4">
        <f>X27+'QTR CF'!AB42</f>
        <v/>
      </c>
      <c r="Z27" s="4">
        <f>Y27+'QTR CF'!AC42</f>
        <v/>
      </c>
      <c r="AA27" s="4">
        <f>Z27+'QTR CF'!AD42</f>
        <v/>
      </c>
      <c r="AB27" s="4">
        <f>AA27+'QTR CF'!AE42</f>
        <v/>
      </c>
      <c r="AC27" s="4">
        <f>AB27+'QTR CF'!AF42</f>
        <v/>
      </c>
      <c r="AD27" s="4">
        <f>AC27+'QTR CF'!AG42</f>
        <v/>
      </c>
      <c r="AE27" s="4">
        <f>AD27+'QTR CF'!AH42</f>
        <v/>
      </c>
      <c r="AF27" s="4">
        <f>AE27+'QTR CF'!AI42</f>
        <v/>
      </c>
      <c r="AG27" s="4">
        <f>AF27+'QTR CF'!AJ42</f>
        <v/>
      </c>
      <c r="AH27" s="4">
        <f>AG27+'QTR CF'!AK42</f>
        <v/>
      </c>
      <c r="AI27" s="4">
        <f>AH27+'QTR CF'!AL42</f>
        <v/>
      </c>
      <c r="AJ27" s="4">
        <f>AI27+'QTR CF'!AM42</f>
        <v/>
      </c>
      <c r="AK27" s="4">
        <f>AJ27+'QTR CF'!AN42</f>
        <v/>
      </c>
      <c r="AL27" s="4">
        <f>AK27+'QTR CF'!AO42</f>
        <v/>
      </c>
      <c r="AM27" s="4">
        <f>AL27+'QTR CF'!AP42</f>
        <v/>
      </c>
      <c r="AN27" s="4">
        <f>AM27+'QTR CF'!AQ42</f>
        <v/>
      </c>
      <c r="AO27" s="4">
        <f>AN27+'QTR CF'!AR42</f>
        <v/>
      </c>
      <c r="AP27" s="4">
        <f>AO27+'QTR CF'!AS42</f>
        <v/>
      </c>
    </row>
    <row r="28">
      <c r="A28" s="3" t="inlineStr">
        <is>
          <t>Treasury Stock</t>
        </is>
      </c>
      <c r="B28" s="4">
        <f>'QTR BS'!B32</f>
        <v/>
      </c>
      <c r="C28" s="4">
        <f>'QTR BS'!C32</f>
        <v/>
      </c>
      <c r="D28" s="4">
        <f>'QTR BS'!D32</f>
        <v/>
      </c>
      <c r="E28" s="4">
        <f>'QTR BS'!E32</f>
        <v/>
      </c>
      <c r="F28" s="4">
        <f>'QTR BS'!F32</f>
        <v/>
      </c>
      <c r="G28" s="4">
        <f>'QTR BS'!G32</f>
        <v/>
      </c>
      <c r="H28" s="4">
        <f>'QTR BS'!H32</f>
        <v/>
      </c>
      <c r="I28" s="4">
        <f>'QTR BS'!I32</f>
        <v/>
      </c>
      <c r="J28" s="4">
        <f>'QTR BS'!J32</f>
        <v/>
      </c>
      <c r="K28" s="4">
        <f>'QTR BS'!K32</f>
        <v/>
      </c>
      <c r="L28" s="4">
        <f>'QTR BS'!L32</f>
        <v/>
      </c>
      <c r="M28" s="4">
        <f>'QTR BS'!M32</f>
        <v/>
      </c>
      <c r="N28" s="4">
        <f>'QTR BS'!N32</f>
        <v/>
      </c>
      <c r="O28" s="4">
        <f>'QTR BS'!O32</f>
        <v/>
      </c>
      <c r="P28" s="4">
        <f>'QTR BS'!P32</f>
        <v/>
      </c>
      <c r="Q28" s="4">
        <f>'QTR BS'!Q32</f>
        <v/>
      </c>
      <c r="R28" s="4">
        <f>'QTR BS'!R32</f>
        <v/>
      </c>
      <c r="S28" s="4">
        <f>'QTR BS'!S32</f>
        <v/>
      </c>
      <c r="T28" s="4">
        <f>'QTR BS'!T32</f>
        <v/>
      </c>
      <c r="U28" s="4">
        <f>'QTR BS'!U32</f>
        <v/>
      </c>
      <c r="V28" s="4">
        <f>'QTR BS'!V32</f>
        <v/>
      </c>
      <c r="W28" s="15">
        <f>V28</f>
        <v/>
      </c>
      <c r="X28" s="15">
        <f>W28</f>
        <v/>
      </c>
      <c r="Y28" s="15">
        <f>X28</f>
        <v/>
      </c>
      <c r="Z28" s="15">
        <f>Y28</f>
        <v/>
      </c>
      <c r="AA28" s="15">
        <f>Z28</f>
        <v/>
      </c>
      <c r="AB28" s="15">
        <f>AA28</f>
        <v/>
      </c>
      <c r="AC28" s="15">
        <f>AB28</f>
        <v/>
      </c>
      <c r="AD28" s="15">
        <f>AC28</f>
        <v/>
      </c>
      <c r="AE28" s="15">
        <f>AD28</f>
        <v/>
      </c>
      <c r="AF28" s="15">
        <f>AE28</f>
        <v/>
      </c>
      <c r="AG28" s="15">
        <f>AF28</f>
        <v/>
      </c>
      <c r="AH28" s="15">
        <f>AG28</f>
        <v/>
      </c>
      <c r="AI28" s="15">
        <f>AH28</f>
        <v/>
      </c>
      <c r="AJ28" s="15">
        <f>AI28</f>
        <v/>
      </c>
      <c r="AK28" s="15">
        <f>AJ28</f>
        <v/>
      </c>
      <c r="AL28" s="15">
        <f>AK28</f>
        <v/>
      </c>
      <c r="AM28" s="15">
        <f>AL28</f>
        <v/>
      </c>
      <c r="AN28" s="15">
        <f>AM28</f>
        <v/>
      </c>
      <c r="AO28" s="15">
        <f>AN28</f>
        <v/>
      </c>
      <c r="AP28" s="15">
        <f>AO28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S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Driver</t>
        </is>
      </c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Q4 FY2020</t>
        </is>
      </c>
      <c r="F1" s="2" t="inlineStr">
        <is>
          <t>Q1 FY2021</t>
        </is>
      </c>
      <c r="G1" s="2" t="inlineStr">
        <is>
          <t>Q2 FY2021</t>
        </is>
      </c>
      <c r="H1" s="2" t="inlineStr">
        <is>
          <t>Q3 FY2021</t>
        </is>
      </c>
      <c r="I1" s="2" t="inlineStr">
        <is>
          <t>Q4 FY2021</t>
        </is>
      </c>
      <c r="J1" s="2" t="inlineStr">
        <is>
          <t>Q1 FY2022</t>
        </is>
      </c>
      <c r="K1" s="2" t="inlineStr">
        <is>
          <t>Q2 FY2022</t>
        </is>
      </c>
      <c r="L1" s="2" t="inlineStr">
        <is>
          <t>Q3 FY2022</t>
        </is>
      </c>
      <c r="M1" s="2" t="inlineStr">
        <is>
          <t>Q4 FY2022</t>
        </is>
      </c>
      <c r="N1" s="2" t="inlineStr">
        <is>
          <t>Q1 FY2023</t>
        </is>
      </c>
      <c r="O1" s="2" t="inlineStr">
        <is>
          <t>Q2 FY2023</t>
        </is>
      </c>
      <c r="P1" s="2" t="inlineStr">
        <is>
          <t>Q3 FY2023</t>
        </is>
      </c>
      <c r="Q1" s="2" t="inlineStr">
        <is>
          <t>Q4 FY2023</t>
        </is>
      </c>
      <c r="R1" s="2" t="inlineStr">
        <is>
          <t>Q1 FY2024</t>
        </is>
      </c>
      <c r="S1" s="2" t="inlineStr">
        <is>
          <t>Q2 FY2024</t>
        </is>
      </c>
      <c r="T1" s="2" t="inlineStr">
        <is>
          <t>Q3 FY2024</t>
        </is>
      </c>
      <c r="U1" s="2" t="inlineStr">
        <is>
          <t>Q4 FY2024</t>
        </is>
      </c>
      <c r="V1" s="2" t="inlineStr">
        <is>
          <t>Q1 FY2025</t>
        </is>
      </c>
      <c r="W1" s="2" t="inlineStr">
        <is>
          <t>Q2 FY2025</t>
        </is>
      </c>
      <c r="X1" s="2" t="inlineStr">
        <is>
          <t>Q3 FY2025</t>
        </is>
      </c>
      <c r="Y1" s="2" t="inlineStr">
        <is>
          <t>Q4 FY2025</t>
        </is>
      </c>
      <c r="Z1" s="2" t="inlineStr">
        <is>
          <t>Q1 FY2026E</t>
        </is>
      </c>
      <c r="AA1" s="2" t="inlineStr">
        <is>
          <t>Q2 FY2026E</t>
        </is>
      </c>
      <c r="AB1" s="2" t="inlineStr">
        <is>
          <t>Q3 FY2026E</t>
        </is>
      </c>
      <c r="AC1" s="2" t="inlineStr">
        <is>
          <t>Q4 FY2026E</t>
        </is>
      </c>
      <c r="AD1" s="2" t="inlineStr">
        <is>
          <t>Q1 FY2027E</t>
        </is>
      </c>
      <c r="AE1" s="2" t="inlineStr">
        <is>
          <t>Q2 FY2027E</t>
        </is>
      </c>
      <c r="AF1" s="2" t="inlineStr">
        <is>
          <t>Q3 FY2027E</t>
        </is>
      </c>
      <c r="AG1" s="2" t="inlineStr">
        <is>
          <t>Q4 FY2027E</t>
        </is>
      </c>
      <c r="AH1" s="2" t="inlineStr">
        <is>
          <t>Q1 FY2028E</t>
        </is>
      </c>
      <c r="AI1" s="2" t="inlineStr">
        <is>
          <t>Q2 FY2028E</t>
        </is>
      </c>
      <c r="AJ1" s="2" t="inlineStr">
        <is>
          <t>Q3 FY2028E</t>
        </is>
      </c>
      <c r="AK1" s="2" t="inlineStr">
        <is>
          <t>Q4 FY2028E</t>
        </is>
      </c>
      <c r="AL1" s="2" t="inlineStr">
        <is>
          <t>Q1 FY2029E</t>
        </is>
      </c>
      <c r="AM1" s="2" t="inlineStr">
        <is>
          <t>Q2 FY2029E</t>
        </is>
      </c>
      <c r="AN1" s="2" t="inlineStr">
        <is>
          <t>Q3 FY2029E</t>
        </is>
      </c>
      <c r="AO1" s="2" t="inlineStr">
        <is>
          <t>Q4 FY2029E</t>
        </is>
      </c>
      <c r="AP1" s="2" t="inlineStr">
        <is>
          <t>Q1 FY2030E</t>
        </is>
      </c>
      <c r="AQ1" s="2" t="inlineStr">
        <is>
          <t>Q2 FY2030E</t>
        </is>
      </c>
      <c r="AR1" s="2" t="inlineStr">
        <is>
          <t>Q3 FY2030E</t>
        </is>
      </c>
      <c r="AS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CF'!T2</f>
        <v/>
      </c>
      <c r="U2" s="4">
        <f>'QTR CF'!U2</f>
        <v/>
      </c>
      <c r="V2" s="4">
        <f>'QTR CF'!V2</f>
        <v/>
      </c>
      <c r="W2" s="4">
        <f>'QTR CF'!W2</f>
        <v/>
      </c>
      <c r="X2" s="4">
        <f>'QTR CF'!X2</f>
        <v/>
      </c>
      <c r="Y2" s="4">
        <f>'QTR CF'!Y2</f>
        <v/>
      </c>
      <c r="Z2" s="4">
        <f>'QTR P&amp;L'!Z10</f>
        <v/>
      </c>
      <c r="AA2" s="4">
        <f>'QTR P&amp;L'!AA10</f>
        <v/>
      </c>
      <c r="AB2" s="4">
        <f>'QTR P&amp;L'!AB10</f>
        <v/>
      </c>
      <c r="AC2" s="4">
        <f>'QTR P&amp;L'!AC10</f>
        <v/>
      </c>
      <c r="AD2" s="4">
        <f>'QTR P&amp;L'!AD10</f>
        <v/>
      </c>
      <c r="AE2" s="4">
        <f>'QTR P&amp;L'!AE10</f>
        <v/>
      </c>
      <c r="AF2" s="4">
        <f>'QTR P&amp;L'!AF10</f>
        <v/>
      </c>
      <c r="AG2" s="4">
        <f>'QTR P&amp;L'!AG10</f>
        <v/>
      </c>
      <c r="AH2" s="4">
        <f>'QTR P&amp;L'!AH10</f>
        <v/>
      </c>
      <c r="AI2" s="4">
        <f>'QTR P&amp;L'!AI10</f>
        <v/>
      </c>
      <c r="AJ2" s="4">
        <f>'QTR P&amp;L'!AJ10</f>
        <v/>
      </c>
      <c r="AK2" s="4">
        <f>'QTR P&amp;L'!AK10</f>
        <v/>
      </c>
      <c r="AL2" s="4">
        <f>'QTR P&amp;L'!AL10</f>
        <v/>
      </c>
      <c r="AM2" s="4">
        <f>'QTR P&amp;L'!AM10</f>
        <v/>
      </c>
      <c r="AN2" s="4">
        <f>'QTR P&amp;L'!AN10</f>
        <v/>
      </c>
      <c r="AO2" s="4">
        <f>'QTR P&amp;L'!AO10</f>
        <v/>
      </c>
      <c r="AP2" s="4">
        <f>'QTR P&amp;L'!AP10</f>
        <v/>
      </c>
      <c r="AQ2" s="4">
        <f>'QTR P&amp;L'!AQ10</f>
        <v/>
      </c>
      <c r="AR2" s="4">
        <f>'QTR P&amp;L'!AR10</f>
        <v/>
      </c>
      <c r="AS2" s="4">
        <f>'QTR P&amp;L'!AS10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3">
        <f>IFERROR('QTR CF'!T3/'QTR P&amp;L'!T2,"")</f>
        <v/>
      </c>
      <c r="U3" s="13">
        <f>IFERROR('QTR CF'!U3/'QTR P&amp;L'!U2,"")</f>
        <v/>
      </c>
      <c r="V3" s="13">
        <f>IFERROR('QTR CF'!V3/'QTR P&amp;L'!V2,"")</f>
        <v/>
      </c>
      <c r="W3" s="13">
        <f>IFERROR('QTR CF'!W3/'QTR P&amp;L'!W2,"")</f>
        <v/>
      </c>
      <c r="X3" s="13">
        <f>IFERROR('QTR CF'!X3/'QTR P&amp;L'!X2,"")</f>
        <v/>
      </c>
      <c r="Y3" s="13">
        <f>IFERROR('QTR CF'!Y3/'QTR P&amp;L'!Y2,"")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  <c r="AQ3" s="14">
        <f>AP3</f>
        <v/>
      </c>
      <c r="AR3" s="14">
        <f>AQ3</f>
        <v/>
      </c>
      <c r="AS3" s="14">
        <f>AR3</f>
        <v/>
      </c>
    </row>
    <row r="4">
      <c r="A4" s="3" t="inlineStr">
        <is>
          <t>Non-Cash Lease Expense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4">
        <f>'QTR CF'!T4</f>
        <v/>
      </c>
      <c r="U4" s="4">
        <f>'QTR CF'!U4</f>
        <v/>
      </c>
      <c r="V4" s="4">
        <f>'QTR CF'!V4</f>
        <v/>
      </c>
      <c r="W4" s="4">
        <f>'QTR CF'!W4</f>
        <v/>
      </c>
      <c r="X4" s="4">
        <f>'QTR CF'!X4</f>
        <v/>
      </c>
      <c r="Y4" s="4">
        <f>'QTR CF'!Y4</f>
        <v/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</row>
    <row r="5">
      <c r="A5" s="3" t="inlineStr">
        <is>
          <t>Gain (Loss) on Disposal of PP&amp;E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4">
        <f>'QTR CF'!S5</f>
        <v/>
      </c>
      <c r="T5" s="4">
        <f>'QTR CF'!T5</f>
        <v/>
      </c>
      <c r="U5" s="4">
        <f>'QTR CF'!U5</f>
        <v/>
      </c>
      <c r="V5" s="4">
        <f>'QTR CF'!V5</f>
        <v/>
      </c>
      <c r="W5" s="4">
        <f>'QTR CF'!W5</f>
        <v/>
      </c>
      <c r="X5" s="4">
        <f>'QTR CF'!X5</f>
        <v/>
      </c>
      <c r="Y5" s="4">
        <f>'QTR CF'!Y5</f>
        <v/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</row>
    <row r="6">
      <c r="A6" s="3" t="inlineStr">
        <is>
          <t>Gain on Bang Transaction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4">
        <f>'QTR CF'!T6</f>
        <v/>
      </c>
      <c r="U6" s="4">
        <f>'QTR CF'!U6</f>
        <v/>
      </c>
      <c r="V6" s="4">
        <f>'QTR CF'!V6</f>
        <v/>
      </c>
      <c r="W6" s="4">
        <f>'QTR CF'!W6</f>
        <v/>
      </c>
      <c r="X6" s="4">
        <f>'QTR CF'!X6</f>
        <v/>
      </c>
      <c r="Y6" s="4">
        <f>'QTR CF'!Y6</f>
        <v/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</row>
    <row r="7">
      <c r="A7" s="3" t="inlineStr">
        <is>
          <t>Impairment of Intangibles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4">
        <f>'QTR CF'!T7</f>
        <v/>
      </c>
      <c r="U7" s="4">
        <f>'QTR CF'!U7</f>
        <v/>
      </c>
      <c r="V7" s="4">
        <f>'QTR CF'!V7</f>
        <v/>
      </c>
      <c r="W7" s="4">
        <f>'QTR CF'!W7</f>
        <v/>
      </c>
      <c r="X7" s="4">
        <f>'QTR CF'!X7</f>
        <v/>
      </c>
      <c r="Y7" s="4">
        <f>'QTR CF'!Y7</f>
        <v/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</row>
    <row r="8">
      <c r="A8" s="3" t="inlineStr">
        <is>
          <t>Impairment of Long-Lived Assets (PP&amp;E)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4">
        <f>'QTR CF'!T8</f>
        <v/>
      </c>
      <c r="U8" s="4">
        <f>'QTR CF'!U8</f>
        <v/>
      </c>
      <c r="V8" s="4">
        <f>'QTR CF'!V8</f>
        <v/>
      </c>
      <c r="W8" s="4">
        <f>'QTR CF'!W8</f>
        <v/>
      </c>
      <c r="X8" s="4">
        <f>'QTR CF'!X8</f>
        <v/>
      </c>
      <c r="Y8" s="4">
        <f>'QTR CF'!Y8</f>
        <v/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</row>
    <row r="9">
      <c r="A9" s="3" t="inlineStr">
        <is>
          <t>Stock-Based Compensation — % of Revenue</t>
        </is>
      </c>
      <c r="B9" s="13">
        <f>IFERROR('QTR CF'!B9/'QTR P&amp;L'!B2,"")</f>
        <v/>
      </c>
      <c r="C9" s="13">
        <f>IFERROR('QTR CF'!C9/'QTR P&amp;L'!C2,"")</f>
        <v/>
      </c>
      <c r="D9" s="13">
        <f>IFERROR('QTR CF'!D9/'QTR P&amp;L'!D2,"")</f>
        <v/>
      </c>
      <c r="E9" s="13">
        <f>IFERROR('QTR CF'!E9/'QTR P&amp;L'!E2,"")</f>
        <v/>
      </c>
      <c r="F9" s="13">
        <f>IFERROR('QTR CF'!F9/'QTR P&amp;L'!F2,"")</f>
        <v/>
      </c>
      <c r="G9" s="13">
        <f>IFERROR('QTR CF'!G9/'QTR P&amp;L'!G2,"")</f>
        <v/>
      </c>
      <c r="H9" s="13">
        <f>IFERROR('QTR CF'!H9/'QTR P&amp;L'!H2,"")</f>
        <v/>
      </c>
      <c r="I9" s="13">
        <f>IFERROR('QTR CF'!I9/'QTR P&amp;L'!I2,"")</f>
        <v/>
      </c>
      <c r="J9" s="13">
        <f>IFERROR('QTR CF'!J9/'QTR P&amp;L'!J2,"")</f>
        <v/>
      </c>
      <c r="K9" s="13">
        <f>IFERROR('QTR CF'!K9/'QTR P&amp;L'!K2,"")</f>
        <v/>
      </c>
      <c r="L9" s="13">
        <f>IFERROR('QTR CF'!L9/'QTR P&amp;L'!L2,"")</f>
        <v/>
      </c>
      <c r="M9" s="13">
        <f>IFERROR('QTR CF'!M9/'QTR P&amp;L'!M2,"")</f>
        <v/>
      </c>
      <c r="N9" s="13">
        <f>IFERROR('QTR CF'!N9/'QTR P&amp;L'!N2,"")</f>
        <v/>
      </c>
      <c r="O9" s="13">
        <f>IFERROR('QTR CF'!O9/'QTR P&amp;L'!O2,"")</f>
        <v/>
      </c>
      <c r="P9" s="13">
        <f>IFERROR('QTR CF'!P9/'QTR P&amp;L'!P2,"")</f>
        <v/>
      </c>
      <c r="Q9" s="13">
        <f>IFERROR('QTR CF'!Q9/'QTR P&amp;L'!Q2,"")</f>
        <v/>
      </c>
      <c r="R9" s="13">
        <f>IFERROR('QTR CF'!R9/'QTR P&amp;L'!R2,"")</f>
        <v/>
      </c>
      <c r="S9" s="13">
        <f>IFERROR('QTR CF'!S9/'QTR P&amp;L'!S2,"")</f>
        <v/>
      </c>
      <c r="T9" s="13">
        <f>IFERROR('QTR CF'!T9/'QTR P&amp;L'!T2,"")</f>
        <v/>
      </c>
      <c r="U9" s="13">
        <f>IFERROR('QTR CF'!U9/'QTR P&amp;L'!U2,"")</f>
        <v/>
      </c>
      <c r="V9" s="13">
        <f>IFERROR('QTR CF'!V9/'QTR P&amp;L'!V2,"")</f>
        <v/>
      </c>
      <c r="W9" s="13">
        <f>IFERROR('QTR CF'!W9/'QTR P&amp;L'!W2,"")</f>
        <v/>
      </c>
      <c r="X9" s="13">
        <f>IFERROR('QTR CF'!X9/'QTR P&amp;L'!X2,"")</f>
        <v/>
      </c>
      <c r="Y9" s="13">
        <f>IFERROR('QTR CF'!Y9/'QTR P&amp;L'!Y2,"")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  <c r="AM9" s="14">
        <f>AL9</f>
        <v/>
      </c>
      <c r="AN9" s="14">
        <f>AM9</f>
        <v/>
      </c>
      <c r="AO9" s="14">
        <f>AN9</f>
        <v/>
      </c>
      <c r="AP9" s="14">
        <f>AO9</f>
        <v/>
      </c>
      <c r="AQ9" s="14">
        <f>AP9</f>
        <v/>
      </c>
      <c r="AR9" s="14">
        <f>AQ9</f>
        <v/>
      </c>
      <c r="AS9" s="14">
        <f>AR9</f>
        <v/>
      </c>
    </row>
    <row r="10">
      <c r="A10" s="3" t="inlineStr">
        <is>
          <t>(Benefit) Provision for Deferred Income Taxes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'QTR CF'!T10</f>
        <v/>
      </c>
      <c r="U10" s="4">
        <f>'QTR CF'!U10</f>
        <v/>
      </c>
      <c r="V10" s="4">
        <f>'QTR CF'!V10</f>
        <v/>
      </c>
      <c r="W10" s="4">
        <f>'QTR CF'!W10</f>
        <v/>
      </c>
      <c r="X10" s="4">
        <f>'QTR CF'!X10</f>
        <v/>
      </c>
      <c r="Y10" s="4">
        <f>'QTR CF'!Y10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  <c r="AQ10" s="15">
        <f>AP10</f>
        <v/>
      </c>
      <c r="AR10" s="15">
        <f>AQ10</f>
        <v/>
      </c>
      <c r="AS10" s="15">
        <f>AR10</f>
        <v/>
      </c>
    </row>
    <row r="11">
      <c r="A11" s="3" t="inlineStr">
        <is>
          <t>Accounts Receivable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'QTR CF'!T11</f>
        <v/>
      </c>
      <c r="U11" s="4">
        <f>'QTR CF'!U11</f>
        <v/>
      </c>
      <c r="V11" s="4">
        <f>'QTR CF'!V11</f>
        <v/>
      </c>
      <c r="W11" s="4">
        <f>'QTR CF'!W11</f>
        <v/>
      </c>
      <c r="X11" s="4">
        <f>'QTR CF'!X11</f>
        <v/>
      </c>
      <c r="Y11" s="4">
        <f>'QTR CF'!Y11</f>
        <v/>
      </c>
      <c r="Z11" s="4">
        <f>-('QTR BS'!W4-'QTR BS'!V4)</f>
        <v/>
      </c>
      <c r="AA11" s="4">
        <f>-('QTR BS'!X4-'QTR BS'!W4)</f>
        <v/>
      </c>
      <c r="AB11" s="4">
        <f>-('QTR BS'!Y4-'QTR BS'!X4)</f>
        <v/>
      </c>
      <c r="AC11" s="4">
        <f>-('QTR BS'!Z4-'QTR BS'!Y4)</f>
        <v/>
      </c>
      <c r="AD11" s="4">
        <f>-('QTR BS'!AA4-'QTR BS'!Z4)</f>
        <v/>
      </c>
      <c r="AE11" s="4">
        <f>-('QTR BS'!AB4-'QTR BS'!AA4)</f>
        <v/>
      </c>
      <c r="AF11" s="4">
        <f>-('QTR BS'!AC4-'QTR BS'!AB4)</f>
        <v/>
      </c>
      <c r="AG11" s="4">
        <f>-('QTR BS'!AD4-'QTR BS'!AC4)</f>
        <v/>
      </c>
      <c r="AH11" s="4">
        <f>-('QTR BS'!AE4-'QTR BS'!AD4)</f>
        <v/>
      </c>
      <c r="AI11" s="4">
        <f>-('QTR BS'!AF4-'QTR BS'!AE4)</f>
        <v/>
      </c>
      <c r="AJ11" s="4">
        <f>-('QTR BS'!AG4-'QTR BS'!AF4)</f>
        <v/>
      </c>
      <c r="AK11" s="4">
        <f>-('QTR BS'!AH4-'QTR BS'!AG4)</f>
        <v/>
      </c>
      <c r="AL11" s="4">
        <f>-('QTR BS'!AI4-'QTR BS'!AH4)</f>
        <v/>
      </c>
      <c r="AM11" s="4">
        <f>-('QTR BS'!AJ4-'QTR BS'!AI4)</f>
        <v/>
      </c>
      <c r="AN11" s="4">
        <f>-('QTR BS'!AK4-'QTR BS'!AJ4)</f>
        <v/>
      </c>
      <c r="AO11" s="4">
        <f>-('QTR BS'!AL4-'QTR BS'!AK4)</f>
        <v/>
      </c>
      <c r="AP11" s="4">
        <f>-('QTR BS'!AM4-'QTR BS'!AL4)</f>
        <v/>
      </c>
      <c r="AQ11" s="4">
        <f>-('QTR BS'!AN4-'QTR BS'!AM4)</f>
        <v/>
      </c>
      <c r="AR11" s="4">
        <f>-('QTR BS'!AO4-'QTR BS'!AN4)</f>
        <v/>
      </c>
      <c r="AS11" s="4">
        <f>-('QTR BS'!AP4-'QTR BS'!AO4)</f>
        <v/>
      </c>
    </row>
    <row r="12">
      <c r="A12" s="3" t="inlineStr">
        <is>
          <t>Distributor Receivables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4">
        <f>'QTR CF'!T12</f>
        <v/>
      </c>
      <c r="U12" s="4">
        <f>'QTR CF'!U12</f>
        <v/>
      </c>
      <c r="V12" s="4">
        <f>'QTR CF'!V12</f>
        <v/>
      </c>
      <c r="W12" s="4">
        <f>'QTR CF'!W12</f>
        <v/>
      </c>
      <c r="X12" s="4">
        <f>'QTR CF'!X12</f>
        <v/>
      </c>
      <c r="Y12" s="4">
        <f>'QTR CF'!Y12</f>
        <v/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  <c r="AP12" s="15" t="n">
        <v>0</v>
      </c>
      <c r="AQ12" s="15" t="n">
        <v>0</v>
      </c>
      <c r="AR12" s="15" t="n">
        <v>0</v>
      </c>
      <c r="AS12" s="15" t="n">
        <v>0</v>
      </c>
    </row>
    <row r="13">
      <c r="A13" s="3" t="inlineStr">
        <is>
          <t>Inventories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'QTR CF'!T13</f>
        <v/>
      </c>
      <c r="U13" s="4">
        <f>'QTR CF'!U13</f>
        <v/>
      </c>
      <c r="V13" s="4">
        <f>'QTR CF'!V13</f>
        <v/>
      </c>
      <c r="W13" s="4">
        <f>'QTR CF'!W13</f>
        <v/>
      </c>
      <c r="X13" s="4">
        <f>'QTR CF'!X13</f>
        <v/>
      </c>
      <c r="Y13" s="4">
        <f>'QTR CF'!Y13</f>
        <v/>
      </c>
      <c r="Z13" s="4">
        <f>-('QTR BS'!W5-'QTR BS'!V5)</f>
        <v/>
      </c>
      <c r="AA13" s="4">
        <f>-('QTR BS'!X5-'QTR BS'!W5)</f>
        <v/>
      </c>
      <c r="AB13" s="4">
        <f>-('QTR BS'!Y5-'QTR BS'!X5)</f>
        <v/>
      </c>
      <c r="AC13" s="4">
        <f>-('QTR BS'!Z5-'QTR BS'!Y5)</f>
        <v/>
      </c>
      <c r="AD13" s="4">
        <f>-('QTR BS'!AA5-'QTR BS'!Z5)</f>
        <v/>
      </c>
      <c r="AE13" s="4">
        <f>-('QTR BS'!AB5-'QTR BS'!AA5)</f>
        <v/>
      </c>
      <c r="AF13" s="4">
        <f>-('QTR BS'!AC5-'QTR BS'!AB5)</f>
        <v/>
      </c>
      <c r="AG13" s="4">
        <f>-('QTR BS'!AD5-'QTR BS'!AC5)</f>
        <v/>
      </c>
      <c r="AH13" s="4">
        <f>-('QTR BS'!AE5-'QTR BS'!AD5)</f>
        <v/>
      </c>
      <c r="AI13" s="4">
        <f>-('QTR BS'!AF5-'QTR BS'!AE5)</f>
        <v/>
      </c>
      <c r="AJ13" s="4">
        <f>-('QTR BS'!AG5-'QTR BS'!AF5)</f>
        <v/>
      </c>
      <c r="AK13" s="4">
        <f>-('QTR BS'!AH5-'QTR BS'!AG5)</f>
        <v/>
      </c>
      <c r="AL13" s="4">
        <f>-('QTR BS'!AI5-'QTR BS'!AH5)</f>
        <v/>
      </c>
      <c r="AM13" s="4">
        <f>-('QTR BS'!AJ5-'QTR BS'!AI5)</f>
        <v/>
      </c>
      <c r="AN13" s="4">
        <f>-('QTR BS'!AK5-'QTR BS'!AJ5)</f>
        <v/>
      </c>
      <c r="AO13" s="4">
        <f>-('QTR BS'!AL5-'QTR BS'!AK5)</f>
        <v/>
      </c>
      <c r="AP13" s="4">
        <f>-('QTR BS'!AM5-'QTR BS'!AL5)</f>
        <v/>
      </c>
      <c r="AQ13" s="4">
        <f>-('QTR BS'!AN5-'QTR BS'!AM5)</f>
        <v/>
      </c>
      <c r="AR13" s="4">
        <f>-('QTR BS'!AO5-'QTR BS'!AN5)</f>
        <v/>
      </c>
      <c r="AS13" s="4">
        <f>-('QTR BS'!AP5-'QTR BS'!AO5)</f>
        <v/>
      </c>
    </row>
    <row r="14">
      <c r="A14" s="3" t="inlineStr">
        <is>
          <t>Prepaid Expenses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4">
        <f>'QTR CF'!S14</f>
        <v/>
      </c>
      <c r="T14" s="4">
        <f>'QTR CF'!T14</f>
        <v/>
      </c>
      <c r="U14" s="4">
        <f>'QTR CF'!U14</f>
        <v/>
      </c>
      <c r="V14" s="4">
        <f>'QTR CF'!V14</f>
        <v/>
      </c>
      <c r="W14" s="4">
        <f>'QTR CF'!W14</f>
        <v/>
      </c>
      <c r="X14" s="4">
        <f>'QTR CF'!X14</f>
        <v/>
      </c>
      <c r="Y14" s="4">
        <f>'QTR CF'!Y14</f>
        <v/>
      </c>
      <c r="Z14" s="4">
        <f>-('QTR BS'!W6-'QTR BS'!V6)</f>
        <v/>
      </c>
      <c r="AA14" s="4">
        <f>-('QTR BS'!X6-'QTR BS'!W6)</f>
        <v/>
      </c>
      <c r="AB14" s="4">
        <f>-('QTR BS'!Y6-'QTR BS'!X6)</f>
        <v/>
      </c>
      <c r="AC14" s="4">
        <f>-('QTR BS'!Z6-'QTR BS'!Y6)</f>
        <v/>
      </c>
      <c r="AD14" s="4">
        <f>-('QTR BS'!AA6-'QTR BS'!Z6)</f>
        <v/>
      </c>
      <c r="AE14" s="4">
        <f>-('QTR BS'!AB6-'QTR BS'!AA6)</f>
        <v/>
      </c>
      <c r="AF14" s="4">
        <f>-('QTR BS'!AC6-'QTR BS'!AB6)</f>
        <v/>
      </c>
      <c r="AG14" s="4">
        <f>-('QTR BS'!AD6-'QTR BS'!AC6)</f>
        <v/>
      </c>
      <c r="AH14" s="4">
        <f>-('QTR BS'!AE6-'QTR BS'!AD6)</f>
        <v/>
      </c>
      <c r="AI14" s="4">
        <f>-('QTR BS'!AF6-'QTR BS'!AE6)</f>
        <v/>
      </c>
      <c r="AJ14" s="4">
        <f>-('QTR BS'!AG6-'QTR BS'!AF6)</f>
        <v/>
      </c>
      <c r="AK14" s="4">
        <f>-('QTR BS'!AH6-'QTR BS'!AG6)</f>
        <v/>
      </c>
      <c r="AL14" s="4">
        <f>-('QTR BS'!AI6-'QTR BS'!AH6)</f>
        <v/>
      </c>
      <c r="AM14" s="4">
        <f>-('QTR BS'!AJ6-'QTR BS'!AI6)</f>
        <v/>
      </c>
      <c r="AN14" s="4">
        <f>-('QTR BS'!AK6-'QTR BS'!AJ6)</f>
        <v/>
      </c>
      <c r="AO14" s="4">
        <f>-('QTR BS'!AL6-'QTR BS'!AK6)</f>
        <v/>
      </c>
      <c r="AP14" s="4">
        <f>-('QTR BS'!AM6-'QTR BS'!AL6)</f>
        <v/>
      </c>
      <c r="AQ14" s="4">
        <f>-('QTR BS'!AN6-'QTR BS'!AM6)</f>
        <v/>
      </c>
      <c r="AR14" s="4">
        <f>-('QTR BS'!AO6-'QTR BS'!AN6)</f>
        <v/>
      </c>
      <c r="AS14" s="4">
        <f>-('QTR BS'!AP6-'QTR BS'!AO6)</f>
        <v/>
      </c>
    </row>
    <row r="15">
      <c r="A15" s="3" t="inlineStr">
        <is>
          <t>Change in Prepaid Income Taxes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4">
        <f>'QTR CF'!S15</f>
        <v/>
      </c>
      <c r="T15" s="4">
        <f>'QTR CF'!T15</f>
        <v/>
      </c>
      <c r="U15" s="4">
        <f>'QTR CF'!U15</f>
        <v/>
      </c>
      <c r="V15" s="4">
        <f>'QTR CF'!V15</f>
        <v/>
      </c>
      <c r="W15" s="4">
        <f>'QTR CF'!W15</f>
        <v/>
      </c>
      <c r="X15" s="4">
        <f>'QTR CF'!X15</f>
        <v/>
      </c>
      <c r="Y15" s="4">
        <f>'QTR CF'!Y15</f>
        <v/>
      </c>
      <c r="Z15" s="4">
        <f>-('QTR BS'!W7-'QTR BS'!V7)</f>
        <v/>
      </c>
      <c r="AA15" s="4">
        <f>-('QTR BS'!X7-'QTR BS'!W7)</f>
        <v/>
      </c>
      <c r="AB15" s="4">
        <f>-('QTR BS'!Y7-'QTR BS'!X7)</f>
        <v/>
      </c>
      <c r="AC15" s="4">
        <f>-('QTR BS'!Z7-'QTR BS'!Y7)</f>
        <v/>
      </c>
      <c r="AD15" s="4">
        <f>-('QTR BS'!AA7-'QTR BS'!Z7)</f>
        <v/>
      </c>
      <c r="AE15" s="4">
        <f>-('QTR BS'!AB7-'QTR BS'!AA7)</f>
        <v/>
      </c>
      <c r="AF15" s="4">
        <f>-('QTR BS'!AC7-'QTR BS'!AB7)</f>
        <v/>
      </c>
      <c r="AG15" s="4">
        <f>-('QTR BS'!AD7-'QTR BS'!AC7)</f>
        <v/>
      </c>
      <c r="AH15" s="4">
        <f>-('QTR BS'!AE7-'QTR BS'!AD7)</f>
        <v/>
      </c>
      <c r="AI15" s="4">
        <f>-('QTR BS'!AF7-'QTR BS'!AE7)</f>
        <v/>
      </c>
      <c r="AJ15" s="4">
        <f>-('QTR BS'!AG7-'QTR BS'!AF7)</f>
        <v/>
      </c>
      <c r="AK15" s="4">
        <f>-('QTR BS'!AH7-'QTR BS'!AG7)</f>
        <v/>
      </c>
      <c r="AL15" s="4">
        <f>-('QTR BS'!AI7-'QTR BS'!AH7)</f>
        <v/>
      </c>
      <c r="AM15" s="4">
        <f>-('QTR BS'!AJ7-'QTR BS'!AI7)</f>
        <v/>
      </c>
      <c r="AN15" s="4">
        <f>-('QTR BS'!AK7-'QTR BS'!AJ7)</f>
        <v/>
      </c>
      <c r="AO15" s="4">
        <f>-('QTR BS'!AL7-'QTR BS'!AK7)</f>
        <v/>
      </c>
      <c r="AP15" s="4">
        <f>-('QTR BS'!AM7-'QTR BS'!AL7)</f>
        <v/>
      </c>
      <c r="AQ15" s="4">
        <f>-('QTR BS'!AN7-'QTR BS'!AM7)</f>
        <v/>
      </c>
      <c r="AR15" s="4">
        <f>-('QTR BS'!AO7-'QTR BS'!AN7)</f>
        <v/>
      </c>
      <c r="AS15" s="4">
        <f>-('QTR BS'!AP7-'QTR BS'!AO7)</f>
        <v/>
      </c>
    </row>
    <row r="16">
      <c r="A16" s="3" t="inlineStr">
        <is>
          <t>Accounts Payable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4">
        <f>'QTR CF'!S16</f>
        <v/>
      </c>
      <c r="T16" s="4">
        <f>'QTR CF'!T16</f>
        <v/>
      </c>
      <c r="U16" s="4">
        <f>'QTR CF'!U16</f>
        <v/>
      </c>
      <c r="V16" s="4">
        <f>'QTR CF'!V16</f>
        <v/>
      </c>
      <c r="W16" s="4">
        <f>'QTR CF'!W16</f>
        <v/>
      </c>
      <c r="X16" s="4">
        <f>'QTR CF'!X16</f>
        <v/>
      </c>
      <c r="Y16" s="4">
        <f>'QTR CF'!Y16</f>
        <v/>
      </c>
      <c r="Z16" s="4">
        <f>('QTR BS'!W16-'QTR BS'!V16)</f>
        <v/>
      </c>
      <c r="AA16" s="4">
        <f>('QTR BS'!X16-'QTR BS'!W16)</f>
        <v/>
      </c>
      <c r="AB16" s="4">
        <f>('QTR BS'!Y16-'QTR BS'!X16)</f>
        <v/>
      </c>
      <c r="AC16" s="4">
        <f>('QTR BS'!Z16-'QTR BS'!Y16)</f>
        <v/>
      </c>
      <c r="AD16" s="4">
        <f>('QTR BS'!AA16-'QTR BS'!Z16)</f>
        <v/>
      </c>
      <c r="AE16" s="4">
        <f>('QTR BS'!AB16-'QTR BS'!AA16)</f>
        <v/>
      </c>
      <c r="AF16" s="4">
        <f>('QTR BS'!AC16-'QTR BS'!AB16)</f>
        <v/>
      </c>
      <c r="AG16" s="4">
        <f>('QTR BS'!AD16-'QTR BS'!AC16)</f>
        <v/>
      </c>
      <c r="AH16" s="4">
        <f>('QTR BS'!AE16-'QTR BS'!AD16)</f>
        <v/>
      </c>
      <c r="AI16" s="4">
        <f>('QTR BS'!AF16-'QTR BS'!AE16)</f>
        <v/>
      </c>
      <c r="AJ16" s="4">
        <f>('QTR BS'!AG16-'QTR BS'!AF16)</f>
        <v/>
      </c>
      <c r="AK16" s="4">
        <f>('QTR BS'!AH16-'QTR BS'!AG16)</f>
        <v/>
      </c>
      <c r="AL16" s="4">
        <f>('QTR BS'!AI16-'QTR BS'!AH16)</f>
        <v/>
      </c>
      <c r="AM16" s="4">
        <f>('QTR BS'!AJ16-'QTR BS'!AI16)</f>
        <v/>
      </c>
      <c r="AN16" s="4">
        <f>('QTR BS'!AK16-'QTR BS'!AJ16)</f>
        <v/>
      </c>
      <c r="AO16" s="4">
        <f>('QTR BS'!AL16-'QTR BS'!AK16)</f>
        <v/>
      </c>
      <c r="AP16" s="4">
        <f>('QTR BS'!AM16-'QTR BS'!AL16)</f>
        <v/>
      </c>
      <c r="AQ16" s="4">
        <f>('QTR BS'!AN16-'QTR BS'!AM16)</f>
        <v/>
      </c>
      <c r="AR16" s="4">
        <f>('QTR BS'!AO16-'QTR BS'!AN16)</f>
        <v/>
      </c>
      <c r="AS16" s="4">
        <f>('QTR BS'!AP16-'QTR BS'!AO16)</f>
        <v/>
      </c>
    </row>
    <row r="17">
      <c r="A17" s="3" t="inlineStr">
        <is>
          <t>Accrued Expenses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4">
        <f>'QTR CF'!S17</f>
        <v/>
      </c>
      <c r="T17" s="4">
        <f>'QTR CF'!T17</f>
        <v/>
      </c>
      <c r="U17" s="4">
        <f>'QTR CF'!U17</f>
        <v/>
      </c>
      <c r="V17" s="4">
        <f>'QTR CF'!V17</f>
        <v/>
      </c>
      <c r="W17" s="4">
        <f>'QTR CF'!W17</f>
        <v/>
      </c>
      <c r="X17" s="4">
        <f>'QTR CF'!X17</f>
        <v/>
      </c>
      <c r="Y17" s="4">
        <f>'QTR CF'!Y17</f>
        <v/>
      </c>
      <c r="Z17" s="4">
        <f>('QTR BS'!W17-'QTR BS'!V17)</f>
        <v/>
      </c>
      <c r="AA17" s="4">
        <f>('QTR BS'!X17-'QTR BS'!W17)</f>
        <v/>
      </c>
      <c r="AB17" s="4">
        <f>('QTR BS'!Y17-'QTR BS'!X17)</f>
        <v/>
      </c>
      <c r="AC17" s="4">
        <f>('QTR BS'!Z17-'QTR BS'!Y17)</f>
        <v/>
      </c>
      <c r="AD17" s="4">
        <f>('QTR BS'!AA17-'QTR BS'!Z17)</f>
        <v/>
      </c>
      <c r="AE17" s="4">
        <f>('QTR BS'!AB17-'QTR BS'!AA17)</f>
        <v/>
      </c>
      <c r="AF17" s="4">
        <f>('QTR BS'!AC17-'QTR BS'!AB17)</f>
        <v/>
      </c>
      <c r="AG17" s="4">
        <f>('QTR BS'!AD17-'QTR BS'!AC17)</f>
        <v/>
      </c>
      <c r="AH17" s="4">
        <f>('QTR BS'!AE17-'QTR BS'!AD17)</f>
        <v/>
      </c>
      <c r="AI17" s="4">
        <f>('QTR BS'!AF17-'QTR BS'!AE17)</f>
        <v/>
      </c>
      <c r="AJ17" s="4">
        <f>('QTR BS'!AG17-'QTR BS'!AF17)</f>
        <v/>
      </c>
      <c r="AK17" s="4">
        <f>('QTR BS'!AH17-'QTR BS'!AG17)</f>
        <v/>
      </c>
      <c r="AL17" s="4">
        <f>('QTR BS'!AI17-'QTR BS'!AH17)</f>
        <v/>
      </c>
      <c r="AM17" s="4">
        <f>('QTR BS'!AJ17-'QTR BS'!AI17)</f>
        <v/>
      </c>
      <c r="AN17" s="4">
        <f>('QTR BS'!AK17-'QTR BS'!AJ17)</f>
        <v/>
      </c>
      <c r="AO17" s="4">
        <f>('QTR BS'!AL17-'QTR BS'!AK17)</f>
        <v/>
      </c>
      <c r="AP17" s="4">
        <f>('QTR BS'!AM17-'QTR BS'!AL17)</f>
        <v/>
      </c>
      <c r="AQ17" s="4">
        <f>('QTR BS'!AN17-'QTR BS'!AM17)</f>
        <v/>
      </c>
      <c r="AR17" s="4">
        <f>('QTR BS'!AO17-'QTR BS'!AN17)</f>
        <v/>
      </c>
      <c r="AS17" s="4">
        <f>('QTR BS'!AP17-'QTR BS'!AO17)</f>
        <v/>
      </c>
    </row>
    <row r="18">
      <c r="A18" s="3" t="inlineStr">
        <is>
          <t>Accrued Promotional Allowance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4">
        <f>'QTR CF'!S18</f>
        <v/>
      </c>
      <c r="T18" s="4">
        <f>'QTR CF'!T18</f>
        <v/>
      </c>
      <c r="U18" s="4">
        <f>'QTR CF'!U18</f>
        <v/>
      </c>
      <c r="V18" s="4">
        <f>'QTR CF'!V18</f>
        <v/>
      </c>
      <c r="W18" s="4">
        <f>'QTR CF'!W18</f>
        <v/>
      </c>
      <c r="X18" s="4">
        <f>'QTR CF'!X18</f>
        <v/>
      </c>
      <c r="Y18" s="4">
        <f>'QTR CF'!Y18</f>
        <v/>
      </c>
      <c r="Z18" s="4">
        <f>('QTR BS'!W18-'QTR BS'!V18)</f>
        <v/>
      </c>
      <c r="AA18" s="4">
        <f>('QTR BS'!X18-'QTR BS'!W18)</f>
        <v/>
      </c>
      <c r="AB18" s="4">
        <f>('QTR BS'!Y18-'QTR BS'!X18)</f>
        <v/>
      </c>
      <c r="AC18" s="4">
        <f>('QTR BS'!Z18-'QTR BS'!Y18)</f>
        <v/>
      </c>
      <c r="AD18" s="4">
        <f>('QTR BS'!AA18-'QTR BS'!Z18)</f>
        <v/>
      </c>
      <c r="AE18" s="4">
        <f>('QTR BS'!AB18-'QTR BS'!AA18)</f>
        <v/>
      </c>
      <c r="AF18" s="4">
        <f>('QTR BS'!AC18-'QTR BS'!AB18)</f>
        <v/>
      </c>
      <c r="AG18" s="4">
        <f>('QTR BS'!AD18-'QTR BS'!AC18)</f>
        <v/>
      </c>
      <c r="AH18" s="4">
        <f>('QTR BS'!AE18-'QTR BS'!AD18)</f>
        <v/>
      </c>
      <c r="AI18" s="4">
        <f>('QTR BS'!AF18-'QTR BS'!AE18)</f>
        <v/>
      </c>
      <c r="AJ18" s="4">
        <f>('QTR BS'!AG18-'QTR BS'!AF18)</f>
        <v/>
      </c>
      <c r="AK18" s="4">
        <f>('QTR BS'!AH18-'QTR BS'!AG18)</f>
        <v/>
      </c>
      <c r="AL18" s="4">
        <f>('QTR BS'!AI18-'QTR BS'!AH18)</f>
        <v/>
      </c>
      <c r="AM18" s="4">
        <f>('QTR BS'!AJ18-'QTR BS'!AI18)</f>
        <v/>
      </c>
      <c r="AN18" s="4">
        <f>('QTR BS'!AK18-'QTR BS'!AJ18)</f>
        <v/>
      </c>
      <c r="AO18" s="4">
        <f>('QTR BS'!AL18-'QTR BS'!AK18)</f>
        <v/>
      </c>
      <c r="AP18" s="4">
        <f>('QTR BS'!AM18-'QTR BS'!AL18)</f>
        <v/>
      </c>
      <c r="AQ18" s="4">
        <f>('QTR BS'!AN18-'QTR BS'!AM18)</f>
        <v/>
      </c>
      <c r="AR18" s="4">
        <f>('QTR BS'!AO18-'QTR BS'!AN18)</f>
        <v/>
      </c>
      <c r="AS18" s="4">
        <f>('QTR BS'!AP18-'QTR BS'!AO18)</f>
        <v/>
      </c>
    </row>
    <row r="19">
      <c r="A19" s="3" t="inlineStr">
        <is>
          <t>Accrued Distributor Terminations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'QTR CF'!S19</f>
        <v/>
      </c>
      <c r="T19" s="4">
        <f>'QTR CF'!T19</f>
        <v/>
      </c>
      <c r="U19" s="4">
        <f>'QTR CF'!U19</f>
        <v/>
      </c>
      <c r="V19" s="4">
        <f>'QTR CF'!V19</f>
        <v/>
      </c>
      <c r="W19" s="4">
        <f>'QTR CF'!W19</f>
        <v/>
      </c>
      <c r="X19" s="4">
        <f>'QTR CF'!X19</f>
        <v/>
      </c>
      <c r="Y19" s="4">
        <f>'QTR CF'!Y19</f>
        <v/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  <c r="AM19" s="15" t="n">
        <v>0</v>
      </c>
      <c r="AN19" s="15" t="n">
        <v>0</v>
      </c>
      <c r="AO19" s="15" t="n">
        <v>0</v>
      </c>
      <c r="AP19" s="15" t="n">
        <v>0</v>
      </c>
      <c r="AQ19" s="15" t="n">
        <v>0</v>
      </c>
      <c r="AR19" s="15" t="n">
        <v>0</v>
      </c>
      <c r="AS19" s="15" t="n">
        <v>0</v>
      </c>
    </row>
    <row r="20">
      <c r="A20" s="3" t="inlineStr">
        <is>
          <t>Change in Accrued Compensation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'QTR CF'!S20</f>
        <v/>
      </c>
      <c r="T20" s="4">
        <f>'QTR CF'!T20</f>
        <v/>
      </c>
      <c r="U20" s="4">
        <f>'QTR CF'!U20</f>
        <v/>
      </c>
      <c r="V20" s="4">
        <f>'QTR CF'!V20</f>
        <v/>
      </c>
      <c r="W20" s="4">
        <f>'QTR CF'!W20</f>
        <v/>
      </c>
      <c r="X20" s="4">
        <f>'QTR CF'!X20</f>
        <v/>
      </c>
      <c r="Y20" s="4">
        <f>'QTR CF'!Y20</f>
        <v/>
      </c>
      <c r="Z20" s="4">
        <f>('QTR BS'!W20-'QTR BS'!V20)</f>
        <v/>
      </c>
      <c r="AA20" s="4">
        <f>('QTR BS'!X20-'QTR BS'!W20)</f>
        <v/>
      </c>
      <c r="AB20" s="4">
        <f>('QTR BS'!Y20-'QTR BS'!X20)</f>
        <v/>
      </c>
      <c r="AC20" s="4">
        <f>('QTR BS'!Z20-'QTR BS'!Y20)</f>
        <v/>
      </c>
      <c r="AD20" s="4">
        <f>('QTR BS'!AA20-'QTR BS'!Z20)</f>
        <v/>
      </c>
      <c r="AE20" s="4">
        <f>('QTR BS'!AB20-'QTR BS'!AA20)</f>
        <v/>
      </c>
      <c r="AF20" s="4">
        <f>('QTR BS'!AC20-'QTR BS'!AB20)</f>
        <v/>
      </c>
      <c r="AG20" s="4">
        <f>('QTR BS'!AD20-'QTR BS'!AC20)</f>
        <v/>
      </c>
      <c r="AH20" s="4">
        <f>('QTR BS'!AE20-'QTR BS'!AD20)</f>
        <v/>
      </c>
      <c r="AI20" s="4">
        <f>('QTR BS'!AF20-'QTR BS'!AE20)</f>
        <v/>
      </c>
      <c r="AJ20" s="4">
        <f>('QTR BS'!AG20-'QTR BS'!AF20)</f>
        <v/>
      </c>
      <c r="AK20" s="4">
        <f>('QTR BS'!AH20-'QTR BS'!AG20)</f>
        <v/>
      </c>
      <c r="AL20" s="4">
        <f>('QTR BS'!AI20-'QTR BS'!AH20)</f>
        <v/>
      </c>
      <c r="AM20" s="4">
        <f>('QTR BS'!AJ20-'QTR BS'!AI20)</f>
        <v/>
      </c>
      <c r="AN20" s="4">
        <f>('QTR BS'!AK20-'QTR BS'!AJ20)</f>
        <v/>
      </c>
      <c r="AO20" s="4">
        <f>('QTR BS'!AL20-'QTR BS'!AK20)</f>
        <v/>
      </c>
      <c r="AP20" s="4">
        <f>('QTR BS'!AM20-'QTR BS'!AL20)</f>
        <v/>
      </c>
      <c r="AQ20" s="4">
        <f>('QTR BS'!AN20-'QTR BS'!AM20)</f>
        <v/>
      </c>
      <c r="AR20" s="4">
        <f>('QTR BS'!AO20-'QTR BS'!AN20)</f>
        <v/>
      </c>
      <c r="AS20" s="4">
        <f>('QTR BS'!AP20-'QTR BS'!AO20)</f>
        <v/>
      </c>
    </row>
    <row r="21">
      <c r="A21" s="3" t="inlineStr">
        <is>
          <t>Other Current Liabilities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'QTR CF'!S21</f>
        <v/>
      </c>
      <c r="T21" s="4">
        <f>'QTR CF'!T21</f>
        <v/>
      </c>
      <c r="U21" s="4">
        <f>'QTR CF'!U21</f>
        <v/>
      </c>
      <c r="V21" s="4">
        <f>'QTR CF'!V21</f>
        <v/>
      </c>
      <c r="W21" s="4">
        <f>'QTR CF'!W21</f>
        <v/>
      </c>
      <c r="X21" s="4">
        <f>'QTR CF'!X21</f>
        <v/>
      </c>
      <c r="Y21" s="4">
        <f>'QTR CF'!Y21</f>
        <v/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  <c r="AL21" s="15" t="n">
        <v>0</v>
      </c>
      <c r="AM21" s="15" t="n">
        <v>0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0</v>
      </c>
      <c r="AS21" s="15" t="n">
        <v>0</v>
      </c>
    </row>
    <row r="22">
      <c r="A22" s="3" t="inlineStr">
        <is>
          <t>Net Change in Other Working Capital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'QTR CF'!S22</f>
        <v/>
      </c>
      <c r="T22" s="4">
        <f>'QTR CF'!T22</f>
        <v/>
      </c>
      <c r="U22" s="4">
        <f>'QTR CF'!U22</f>
        <v/>
      </c>
      <c r="V22" s="4">
        <f>'QTR CF'!V22</f>
        <v/>
      </c>
      <c r="W22" s="4">
        <f>'QTR CF'!W22</f>
        <v/>
      </c>
      <c r="X22" s="4">
        <f>'QTR CF'!X22</f>
        <v/>
      </c>
      <c r="Y22" s="4">
        <f>'QTR CF'!Y22</f>
        <v/>
      </c>
      <c r="Z22" s="4">
        <f>-('QTR BS'!W14-'QTR BS'!V14)+('QTR BS'!W19-'QTR BS'!V19)+('QTR BS'!W21-'QTR BS'!V21)+('QTR BS'!W23-'QTR BS'!V23)+('QTR BS'!W25-'QTR BS'!V25)-('QTR BS'!W3-'QTR BS'!V3)-('QTR BS'!W12-'QTR BS'!V12)-('QTR BS'!W13-'QTR BS'!V13)+('QTR BS'!W24-'QTR BS'!V24)+('QTR BS'!W26-'QTR BS'!V26)+('QTR BS'!W28-'QTR BS'!V28)+('QTR BS'!W32-'QTR BS'!V32)</f>
        <v/>
      </c>
      <c r="AA22" s="4">
        <f>-('QTR BS'!X14-'QTR BS'!W14)+('QTR BS'!X19-'QTR BS'!W19)+('QTR BS'!X21-'QTR BS'!W21)+('QTR BS'!X23-'QTR BS'!W23)+('QTR BS'!X25-'QTR BS'!W25)-('QTR BS'!X3-'QTR BS'!W3)-('QTR BS'!X12-'QTR BS'!W12)-('QTR BS'!X13-'QTR BS'!W13)+('QTR BS'!X24-'QTR BS'!W24)+('QTR BS'!X26-'QTR BS'!W26)+('QTR BS'!X28-'QTR BS'!W28)+('QTR BS'!X32-'QTR BS'!W32)</f>
        <v/>
      </c>
      <c r="AB22" s="4">
        <f>-('QTR BS'!Y14-'QTR BS'!X14)+('QTR BS'!Y19-'QTR BS'!X19)+('QTR BS'!Y21-'QTR BS'!X21)+('QTR BS'!Y23-'QTR BS'!X23)+('QTR BS'!Y25-'QTR BS'!X25)-('QTR BS'!Y3-'QTR BS'!X3)-('QTR BS'!Y12-'QTR BS'!X12)-('QTR BS'!Y13-'QTR BS'!X13)+('QTR BS'!Y24-'QTR BS'!X24)+('QTR BS'!Y26-'QTR BS'!X26)+('QTR BS'!Y28-'QTR BS'!X28)+('QTR BS'!Y32-'QTR BS'!X32)</f>
        <v/>
      </c>
      <c r="AC22" s="4">
        <f>-('QTR BS'!Z14-'QTR BS'!Y14)+('QTR BS'!Z19-'QTR BS'!Y19)+('QTR BS'!Z21-'QTR BS'!Y21)+('QTR BS'!Z23-'QTR BS'!Y23)+('QTR BS'!Z25-'QTR BS'!Y25)-('QTR BS'!Z3-'QTR BS'!Y3)-('QTR BS'!Z12-'QTR BS'!Y12)-('QTR BS'!Z13-'QTR BS'!Y13)+('QTR BS'!Z24-'QTR BS'!Y24)+('QTR BS'!Z26-'QTR BS'!Y26)+('QTR BS'!Z28-'QTR BS'!Y28)+('QTR BS'!Z32-'QTR BS'!Y32)</f>
        <v/>
      </c>
      <c r="AD22" s="4">
        <f>-('QTR BS'!AA14-'QTR BS'!Z14)+('QTR BS'!AA19-'QTR BS'!Z19)+('QTR BS'!AA21-'QTR BS'!Z21)+('QTR BS'!AA23-'QTR BS'!Z23)+('QTR BS'!AA25-'QTR BS'!Z25)-('QTR BS'!AA3-'QTR BS'!Z3)-('QTR BS'!AA12-'QTR BS'!Z12)-('QTR BS'!AA13-'QTR BS'!Z13)+('QTR BS'!AA24-'QTR BS'!Z24)+('QTR BS'!AA26-'QTR BS'!Z26)+('QTR BS'!AA28-'QTR BS'!Z28)+('QTR BS'!AA32-'QTR BS'!Z32)</f>
        <v/>
      </c>
      <c r="AE22" s="4">
        <f>-('QTR BS'!AB14-'QTR BS'!AA14)+('QTR BS'!AB19-'QTR BS'!AA19)+('QTR BS'!AB21-'QTR BS'!AA21)+('QTR BS'!AB23-'QTR BS'!AA23)+('QTR BS'!AB25-'QTR BS'!AA25)-('QTR BS'!AB3-'QTR BS'!AA3)-('QTR BS'!AB12-'QTR BS'!AA12)-('QTR BS'!AB13-'QTR BS'!AA13)+('QTR BS'!AB24-'QTR BS'!AA24)+('QTR BS'!AB26-'QTR BS'!AA26)+('QTR BS'!AB28-'QTR BS'!AA28)+('QTR BS'!AB32-'QTR BS'!AA32)</f>
        <v/>
      </c>
      <c r="AF22" s="4">
        <f>-('QTR BS'!AC14-'QTR BS'!AB14)+('QTR BS'!AC19-'QTR BS'!AB19)+('QTR BS'!AC21-'QTR BS'!AB21)+('QTR BS'!AC23-'QTR BS'!AB23)+('QTR BS'!AC25-'QTR BS'!AB25)-('QTR BS'!AC3-'QTR BS'!AB3)-('QTR BS'!AC12-'QTR BS'!AB12)-('QTR BS'!AC13-'QTR BS'!AB13)+('QTR BS'!AC24-'QTR BS'!AB24)+('QTR BS'!AC26-'QTR BS'!AB26)+('QTR BS'!AC28-'QTR BS'!AB28)+('QTR BS'!AC32-'QTR BS'!AB32)</f>
        <v/>
      </c>
      <c r="AG22" s="4">
        <f>-('QTR BS'!AD14-'QTR BS'!AC14)+('QTR BS'!AD19-'QTR BS'!AC19)+('QTR BS'!AD21-'QTR BS'!AC21)+('QTR BS'!AD23-'QTR BS'!AC23)+('QTR BS'!AD25-'QTR BS'!AC25)-('QTR BS'!AD3-'QTR BS'!AC3)-('QTR BS'!AD12-'QTR BS'!AC12)-('QTR BS'!AD13-'QTR BS'!AC13)+('QTR BS'!AD24-'QTR BS'!AC24)+('QTR BS'!AD26-'QTR BS'!AC26)+('QTR BS'!AD28-'QTR BS'!AC28)+('QTR BS'!AD32-'QTR BS'!AC32)</f>
        <v/>
      </c>
      <c r="AH22" s="4">
        <f>-('QTR BS'!AE14-'QTR BS'!AD14)+('QTR BS'!AE19-'QTR BS'!AD19)+('QTR BS'!AE21-'QTR BS'!AD21)+('QTR BS'!AE23-'QTR BS'!AD23)+('QTR BS'!AE25-'QTR BS'!AD25)-('QTR BS'!AE3-'QTR BS'!AD3)-('QTR BS'!AE12-'QTR BS'!AD12)-('QTR BS'!AE13-'QTR BS'!AD13)+('QTR BS'!AE24-'QTR BS'!AD24)+('QTR BS'!AE26-'QTR BS'!AD26)+('QTR BS'!AE28-'QTR BS'!AD28)+('QTR BS'!AE32-'QTR BS'!AD32)</f>
        <v/>
      </c>
      <c r="AI22" s="4">
        <f>-('QTR BS'!AF14-'QTR BS'!AE14)+('QTR BS'!AF19-'QTR BS'!AE19)+('QTR BS'!AF21-'QTR BS'!AE21)+('QTR BS'!AF23-'QTR BS'!AE23)+('QTR BS'!AF25-'QTR BS'!AE25)-('QTR BS'!AF3-'QTR BS'!AE3)-('QTR BS'!AF12-'QTR BS'!AE12)-('QTR BS'!AF13-'QTR BS'!AE13)+('QTR BS'!AF24-'QTR BS'!AE24)+('QTR BS'!AF26-'QTR BS'!AE26)+('QTR BS'!AF28-'QTR BS'!AE28)+('QTR BS'!AF32-'QTR BS'!AE32)</f>
        <v/>
      </c>
      <c r="AJ22" s="4">
        <f>-('QTR BS'!AG14-'QTR BS'!AF14)+('QTR BS'!AG19-'QTR BS'!AF19)+('QTR BS'!AG21-'QTR BS'!AF21)+('QTR BS'!AG23-'QTR BS'!AF23)+('QTR BS'!AG25-'QTR BS'!AF25)-('QTR BS'!AG3-'QTR BS'!AF3)-('QTR BS'!AG12-'QTR BS'!AF12)-('QTR BS'!AG13-'QTR BS'!AF13)+('QTR BS'!AG24-'QTR BS'!AF24)+('QTR BS'!AG26-'QTR BS'!AF26)+('QTR BS'!AG28-'QTR BS'!AF28)+('QTR BS'!AG32-'QTR BS'!AF32)</f>
        <v/>
      </c>
      <c r="AK22" s="4">
        <f>-('QTR BS'!AH14-'QTR BS'!AG14)+('QTR BS'!AH19-'QTR BS'!AG19)+('QTR BS'!AH21-'QTR BS'!AG21)+('QTR BS'!AH23-'QTR BS'!AG23)+('QTR BS'!AH25-'QTR BS'!AG25)-('QTR BS'!AH3-'QTR BS'!AG3)-('QTR BS'!AH12-'QTR BS'!AG12)-('QTR BS'!AH13-'QTR BS'!AG13)+('QTR BS'!AH24-'QTR BS'!AG24)+('QTR BS'!AH26-'QTR BS'!AG26)+('QTR BS'!AH28-'QTR BS'!AG28)+('QTR BS'!AH32-'QTR BS'!AG32)</f>
        <v/>
      </c>
      <c r="AL22" s="4">
        <f>-('QTR BS'!AI14-'QTR BS'!AH14)+('QTR BS'!AI19-'QTR BS'!AH19)+('QTR BS'!AI21-'QTR BS'!AH21)+('QTR BS'!AI23-'QTR BS'!AH23)+('QTR BS'!AI25-'QTR BS'!AH25)-('QTR BS'!AI3-'QTR BS'!AH3)-('QTR BS'!AI12-'QTR BS'!AH12)-('QTR BS'!AI13-'QTR BS'!AH13)+('QTR BS'!AI24-'QTR BS'!AH24)+('QTR BS'!AI26-'QTR BS'!AH26)+('QTR BS'!AI28-'QTR BS'!AH28)+('QTR BS'!AI32-'QTR BS'!AH32)</f>
        <v/>
      </c>
      <c r="AM22" s="4">
        <f>-('QTR BS'!AJ14-'QTR BS'!AI14)+('QTR BS'!AJ19-'QTR BS'!AI19)+('QTR BS'!AJ21-'QTR BS'!AI21)+('QTR BS'!AJ23-'QTR BS'!AI23)+('QTR BS'!AJ25-'QTR BS'!AI25)-('QTR BS'!AJ3-'QTR BS'!AI3)-('QTR BS'!AJ12-'QTR BS'!AI12)-('QTR BS'!AJ13-'QTR BS'!AI13)+('QTR BS'!AJ24-'QTR BS'!AI24)+('QTR BS'!AJ26-'QTR BS'!AI26)+('QTR BS'!AJ28-'QTR BS'!AI28)+('QTR BS'!AJ32-'QTR BS'!AI32)</f>
        <v/>
      </c>
      <c r="AN22" s="4">
        <f>-('QTR BS'!AK14-'QTR BS'!AJ14)+('QTR BS'!AK19-'QTR BS'!AJ19)+('QTR BS'!AK21-'QTR BS'!AJ21)+('QTR BS'!AK23-'QTR BS'!AJ23)+('QTR BS'!AK25-'QTR BS'!AJ25)-('QTR BS'!AK3-'QTR BS'!AJ3)-('QTR BS'!AK12-'QTR BS'!AJ12)-('QTR BS'!AK13-'QTR BS'!AJ13)+('QTR BS'!AK24-'QTR BS'!AJ24)+('QTR BS'!AK26-'QTR BS'!AJ26)+('QTR BS'!AK28-'QTR BS'!AJ28)+('QTR BS'!AK32-'QTR BS'!AJ32)</f>
        <v/>
      </c>
      <c r="AO22" s="4">
        <f>-('QTR BS'!AL14-'QTR BS'!AK14)+('QTR BS'!AL19-'QTR BS'!AK19)+('QTR BS'!AL21-'QTR BS'!AK21)+('QTR BS'!AL23-'QTR BS'!AK23)+('QTR BS'!AL25-'QTR BS'!AK25)-('QTR BS'!AL3-'QTR BS'!AK3)-('QTR BS'!AL12-'QTR BS'!AK12)-('QTR BS'!AL13-'QTR BS'!AK13)+('QTR BS'!AL24-'QTR BS'!AK24)+('QTR BS'!AL26-'QTR BS'!AK26)+('QTR BS'!AL28-'QTR BS'!AK28)+('QTR BS'!AL32-'QTR BS'!AK32)</f>
        <v/>
      </c>
      <c r="AP22" s="4">
        <f>-('QTR BS'!AM14-'QTR BS'!AL14)+('QTR BS'!AM19-'QTR BS'!AL19)+('QTR BS'!AM21-'QTR BS'!AL21)+('QTR BS'!AM23-'QTR BS'!AL23)+('QTR BS'!AM25-'QTR BS'!AL25)-('QTR BS'!AM3-'QTR BS'!AL3)-('QTR BS'!AM12-'QTR BS'!AL12)-('QTR BS'!AM13-'QTR BS'!AL13)+('QTR BS'!AM24-'QTR BS'!AL24)+('QTR BS'!AM26-'QTR BS'!AL26)+('QTR BS'!AM28-'QTR BS'!AL28)+('QTR BS'!AM32-'QTR BS'!AL32)</f>
        <v/>
      </c>
      <c r="AQ22" s="4">
        <f>-('QTR BS'!AN14-'QTR BS'!AM14)+('QTR BS'!AN19-'QTR BS'!AM19)+('QTR BS'!AN21-'QTR BS'!AM21)+('QTR BS'!AN23-'QTR BS'!AM23)+('QTR BS'!AN25-'QTR BS'!AM25)-('QTR BS'!AN3-'QTR BS'!AM3)-('QTR BS'!AN12-'QTR BS'!AM12)-('QTR BS'!AN13-'QTR BS'!AM13)+('QTR BS'!AN24-'QTR BS'!AM24)+('QTR BS'!AN26-'QTR BS'!AM26)+('QTR BS'!AN28-'QTR BS'!AM28)+('QTR BS'!AN32-'QTR BS'!AM32)</f>
        <v/>
      </c>
      <c r="AR22" s="4">
        <f>-('QTR BS'!AO14-'QTR BS'!AN14)+('QTR BS'!AO19-'QTR BS'!AN19)+('QTR BS'!AO21-'QTR BS'!AN21)+('QTR BS'!AO23-'QTR BS'!AN23)+('QTR BS'!AO25-'QTR BS'!AN25)-('QTR BS'!AO3-'QTR BS'!AN3)-('QTR BS'!AO12-'QTR BS'!AN12)-('QTR BS'!AO13-'QTR BS'!AN13)+('QTR BS'!AO24-'QTR BS'!AN24)+('QTR BS'!AO26-'QTR BS'!AN26)+('QTR BS'!AO28-'QTR BS'!AN28)+('QTR BS'!AO32-'QTR BS'!AN32)</f>
        <v/>
      </c>
      <c r="AS22" s="4">
        <f>-('QTR BS'!AP14-'QTR BS'!AO14)+('QTR BS'!AP19-'QTR BS'!AO19)+('QTR BS'!AP21-'QTR BS'!AO21)+('QTR BS'!AP23-'QTR BS'!AO23)+('QTR BS'!AP25-'QTR BS'!AO25)-('QTR BS'!AP3-'QTR BS'!AO3)-('QTR BS'!AP12-'QTR BS'!AO12)-('QTR BS'!AP13-'QTR BS'!AO13)+('QTR BS'!AP24-'QTR BS'!AO24)+('QTR BS'!AP26-'QTR BS'!AO26)+('QTR BS'!AP28-'QTR BS'!AO28)+('QTR BS'!AP32-'QTR BS'!AO32)</f>
        <v/>
      </c>
    </row>
    <row r="23">
      <c r="A23" s="3" t="inlineStr">
        <is>
          <t>Deferred Revenue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'QTR CF'!S23</f>
        <v/>
      </c>
      <c r="T23" s="4">
        <f>'QTR CF'!T23</f>
        <v/>
      </c>
      <c r="U23" s="4">
        <f>'QTR CF'!U23</f>
        <v/>
      </c>
      <c r="V23" s="4">
        <f>'QTR CF'!V23</f>
        <v/>
      </c>
      <c r="W23" s="4">
        <f>'QTR CF'!W23</f>
        <v/>
      </c>
      <c r="X23" s="4">
        <f>'QTR CF'!X23</f>
        <v/>
      </c>
      <c r="Y23" s="4">
        <f>'QTR CF'!Y23</f>
        <v/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  <c r="AP23" s="15" t="n">
        <v>0</v>
      </c>
      <c r="AQ23" s="15" t="n">
        <v>0</v>
      </c>
      <c r="AR23" s="15" t="n">
        <v>0</v>
      </c>
      <c r="AS23" s="15" t="n">
        <v>0</v>
      </c>
    </row>
    <row r="24">
      <c r="A24" s="3" t="inlineStr">
        <is>
          <t>Net Change in Long-Term Investments</t>
        </is>
      </c>
      <c r="B24" s="4">
        <f>'QTR CF'!B25</f>
        <v/>
      </c>
      <c r="C24" s="4">
        <f>'QTR CF'!C25</f>
        <v/>
      </c>
      <c r="D24" s="4">
        <f>'QTR CF'!D25</f>
        <v/>
      </c>
      <c r="E24" s="4">
        <f>'QTR CF'!E25</f>
        <v/>
      </c>
      <c r="F24" s="4">
        <f>'QTR CF'!F25</f>
        <v/>
      </c>
      <c r="G24" s="4">
        <f>'QTR CF'!G25</f>
        <v/>
      </c>
      <c r="H24" s="4">
        <f>'QTR CF'!H25</f>
        <v/>
      </c>
      <c r="I24" s="4">
        <f>'QTR CF'!I25</f>
        <v/>
      </c>
      <c r="J24" s="4">
        <f>'QTR CF'!J25</f>
        <v/>
      </c>
      <c r="K24" s="4">
        <f>'QTR CF'!K25</f>
        <v/>
      </c>
      <c r="L24" s="4">
        <f>'QTR CF'!L25</f>
        <v/>
      </c>
      <c r="M24" s="4">
        <f>'QTR CF'!M25</f>
        <v/>
      </c>
      <c r="N24" s="4">
        <f>'QTR CF'!N25</f>
        <v/>
      </c>
      <c r="O24" s="4">
        <f>'QTR CF'!O25</f>
        <v/>
      </c>
      <c r="P24" s="4">
        <f>'QTR CF'!P25</f>
        <v/>
      </c>
      <c r="Q24" s="4">
        <f>'QTR CF'!Q25</f>
        <v/>
      </c>
      <c r="R24" s="4">
        <f>'QTR CF'!R25</f>
        <v/>
      </c>
      <c r="S24" s="4">
        <f>'QTR CF'!S25</f>
        <v/>
      </c>
      <c r="T24" s="4">
        <f>'QTR CF'!T25</f>
        <v/>
      </c>
      <c r="U24" s="4">
        <f>'QTR CF'!U25</f>
        <v/>
      </c>
      <c r="V24" s="4">
        <f>'QTR CF'!V25</f>
        <v/>
      </c>
      <c r="W24" s="4">
        <f>'QTR CF'!W25</f>
        <v/>
      </c>
      <c r="X24" s="4">
        <f>'QTR CF'!X25</f>
        <v/>
      </c>
      <c r="Y24" s="4">
        <f>'QTR CF'!Y25</f>
        <v/>
      </c>
      <c r="Z24" s="4">
        <f>-('QTR BS'!W9-'QTR BS'!V9)</f>
        <v/>
      </c>
      <c r="AA24" s="4">
        <f>-('QTR BS'!X9-'QTR BS'!W9)</f>
        <v/>
      </c>
      <c r="AB24" s="4">
        <f>-('QTR BS'!Y9-'QTR BS'!X9)</f>
        <v/>
      </c>
      <c r="AC24" s="4">
        <f>-('QTR BS'!Z9-'QTR BS'!Y9)</f>
        <v/>
      </c>
      <c r="AD24" s="4">
        <f>-('QTR BS'!AA9-'QTR BS'!Z9)</f>
        <v/>
      </c>
      <c r="AE24" s="4">
        <f>-('QTR BS'!AB9-'QTR BS'!AA9)</f>
        <v/>
      </c>
      <c r="AF24" s="4">
        <f>-('QTR BS'!AC9-'QTR BS'!AB9)</f>
        <v/>
      </c>
      <c r="AG24" s="4">
        <f>-('QTR BS'!AD9-'QTR BS'!AC9)</f>
        <v/>
      </c>
      <c r="AH24" s="4">
        <f>-('QTR BS'!AE9-'QTR BS'!AD9)</f>
        <v/>
      </c>
      <c r="AI24" s="4">
        <f>-('QTR BS'!AF9-'QTR BS'!AE9)</f>
        <v/>
      </c>
      <c r="AJ24" s="4">
        <f>-('QTR BS'!AG9-'QTR BS'!AF9)</f>
        <v/>
      </c>
      <c r="AK24" s="4">
        <f>-('QTR BS'!AH9-'QTR BS'!AG9)</f>
        <v/>
      </c>
      <c r="AL24" s="4">
        <f>-('QTR BS'!AI9-'QTR BS'!AH9)</f>
        <v/>
      </c>
      <c r="AM24" s="4">
        <f>-('QTR BS'!AJ9-'QTR BS'!AI9)</f>
        <v/>
      </c>
      <c r="AN24" s="4">
        <f>-('QTR BS'!AK9-'QTR BS'!AJ9)</f>
        <v/>
      </c>
      <c r="AO24" s="4">
        <f>-('QTR BS'!AL9-'QTR BS'!AK9)</f>
        <v/>
      </c>
      <c r="AP24" s="4">
        <f>-('QTR BS'!AM9-'QTR BS'!AL9)</f>
        <v/>
      </c>
      <c r="AQ24" s="4">
        <f>-('QTR BS'!AN9-'QTR BS'!AM9)</f>
        <v/>
      </c>
      <c r="AR24" s="4">
        <f>-('QTR BS'!AO9-'QTR BS'!AN9)</f>
        <v/>
      </c>
      <c r="AS24" s="4">
        <f>-('QTR BS'!AP9-'QTR BS'!AO9)</f>
        <v/>
      </c>
    </row>
    <row r="25">
      <c r="A25" s="3" t="inlineStr">
        <is>
          <t>Acquisition of CANarchy</t>
        </is>
      </c>
      <c r="B25" s="4">
        <f>'QTR CF'!B26</f>
        <v/>
      </c>
      <c r="C25" s="4">
        <f>'QTR CF'!C26</f>
        <v/>
      </c>
      <c r="D25" s="4">
        <f>'QTR CF'!D26</f>
        <v/>
      </c>
      <c r="E25" s="4">
        <f>'QTR CF'!E26</f>
        <v/>
      </c>
      <c r="F25" s="4">
        <f>'QTR CF'!F26</f>
        <v/>
      </c>
      <c r="G25" s="4">
        <f>'QTR CF'!G26</f>
        <v/>
      </c>
      <c r="H25" s="4">
        <f>'QTR CF'!H26</f>
        <v/>
      </c>
      <c r="I25" s="4">
        <f>'QTR CF'!I26</f>
        <v/>
      </c>
      <c r="J25" s="4">
        <f>'QTR CF'!J26</f>
        <v/>
      </c>
      <c r="K25" s="4">
        <f>'QTR CF'!K26</f>
        <v/>
      </c>
      <c r="L25" s="4">
        <f>'QTR CF'!L26</f>
        <v/>
      </c>
      <c r="M25" s="4">
        <f>'QTR CF'!M26</f>
        <v/>
      </c>
      <c r="N25" s="4">
        <f>'QTR CF'!N26</f>
        <v/>
      </c>
      <c r="O25" s="4">
        <f>'QTR CF'!O26</f>
        <v/>
      </c>
      <c r="P25" s="4">
        <f>'QTR CF'!P26</f>
        <v/>
      </c>
      <c r="Q25" s="4">
        <f>'QTR CF'!Q26</f>
        <v/>
      </c>
      <c r="R25" s="4">
        <f>'QTR CF'!R26</f>
        <v/>
      </c>
      <c r="S25" s="4">
        <f>'QTR CF'!S26</f>
        <v/>
      </c>
      <c r="T25" s="4">
        <f>'QTR CF'!T26</f>
        <v/>
      </c>
      <c r="U25" s="4">
        <f>'QTR CF'!U26</f>
        <v/>
      </c>
      <c r="V25" s="4">
        <f>'QTR CF'!V26</f>
        <v/>
      </c>
      <c r="W25" s="4">
        <f>'QTR CF'!W26</f>
        <v/>
      </c>
      <c r="X25" s="4">
        <f>'QTR CF'!X26</f>
        <v/>
      </c>
      <c r="Y25" s="4">
        <f>'QTR CF'!Y26</f>
        <v/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  <c r="AL25" s="15" t="n">
        <v>0</v>
      </c>
      <c r="AM25" s="15" t="n">
        <v>0</v>
      </c>
      <c r="AN25" s="15" t="n">
        <v>0</v>
      </c>
      <c r="AO25" s="15" t="n">
        <v>0</v>
      </c>
      <c r="AP25" s="15" t="n">
        <v>0</v>
      </c>
      <c r="AQ25" s="15" t="n">
        <v>0</v>
      </c>
      <c r="AR25" s="15" t="n">
        <v>0</v>
      </c>
      <c r="AS25" s="15" t="n">
        <v>0</v>
      </c>
    </row>
    <row r="26">
      <c r="A26" s="3" t="inlineStr">
        <is>
          <t>Acquisition of Monster Brewing</t>
        </is>
      </c>
      <c r="B26" s="4">
        <f>'QTR CF'!B27</f>
        <v/>
      </c>
      <c r="C26" s="4">
        <f>'QTR CF'!C27</f>
        <v/>
      </c>
      <c r="D26" s="4">
        <f>'QTR CF'!D27</f>
        <v/>
      </c>
      <c r="E26" s="4">
        <f>'QTR CF'!E27</f>
        <v/>
      </c>
      <c r="F26" s="4">
        <f>'QTR CF'!F27</f>
        <v/>
      </c>
      <c r="G26" s="4">
        <f>'QTR CF'!G27</f>
        <v/>
      </c>
      <c r="H26" s="4">
        <f>'QTR CF'!H27</f>
        <v/>
      </c>
      <c r="I26" s="4">
        <f>'QTR CF'!I27</f>
        <v/>
      </c>
      <c r="J26" s="4">
        <f>'QTR CF'!J27</f>
        <v/>
      </c>
      <c r="K26" s="4">
        <f>'QTR CF'!K27</f>
        <v/>
      </c>
      <c r="L26" s="4">
        <f>'QTR CF'!L27</f>
        <v/>
      </c>
      <c r="M26" s="4">
        <f>'QTR CF'!M27</f>
        <v/>
      </c>
      <c r="N26" s="4">
        <f>'QTR CF'!N27</f>
        <v/>
      </c>
      <c r="O26" s="4">
        <f>'QTR CF'!O27</f>
        <v/>
      </c>
      <c r="P26" s="4">
        <f>'QTR CF'!P27</f>
        <v/>
      </c>
      <c r="Q26" s="4">
        <f>'QTR CF'!Q27</f>
        <v/>
      </c>
      <c r="R26" s="4">
        <f>'QTR CF'!R27</f>
        <v/>
      </c>
      <c r="S26" s="4">
        <f>'QTR CF'!S27</f>
        <v/>
      </c>
      <c r="T26" s="4">
        <f>'QTR CF'!T27</f>
        <v/>
      </c>
      <c r="U26" s="4">
        <f>'QTR CF'!U27</f>
        <v/>
      </c>
      <c r="V26" s="4">
        <f>'QTR CF'!V27</f>
        <v/>
      </c>
      <c r="W26" s="4">
        <f>'QTR CF'!W27</f>
        <v/>
      </c>
      <c r="X26" s="4">
        <f>'QTR CF'!X27</f>
        <v/>
      </c>
      <c r="Y26" s="4">
        <f>'QTR CF'!Y27</f>
        <v/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0</v>
      </c>
      <c r="AP26" s="15" t="n">
        <v>0</v>
      </c>
      <c r="AQ26" s="15" t="n">
        <v>0</v>
      </c>
      <c r="AR26" s="15" t="n">
        <v>0</v>
      </c>
      <c r="AS26" s="15" t="n">
        <v>0</v>
      </c>
    </row>
    <row r="27">
      <c r="A27" s="3" t="inlineStr">
        <is>
          <t>Acquisition of Bang Energy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4">
        <f>'QTR CF'!S28</f>
        <v/>
      </c>
      <c r="T27" s="4">
        <f>'QTR CF'!T28</f>
        <v/>
      </c>
      <c r="U27" s="4">
        <f>'QTR CF'!U28</f>
        <v/>
      </c>
      <c r="V27" s="4">
        <f>'QTR CF'!V28</f>
        <v/>
      </c>
      <c r="W27" s="4">
        <f>'QTR CF'!W28</f>
        <v/>
      </c>
      <c r="X27" s="4">
        <f>'QTR CF'!X28</f>
        <v/>
      </c>
      <c r="Y27" s="4">
        <f>'QTR CF'!Y28</f>
        <v/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  <c r="AL27" s="15" t="n">
        <v>0</v>
      </c>
      <c r="AM27" s="15" t="n">
        <v>0</v>
      </c>
      <c r="AN27" s="15" t="n">
        <v>0</v>
      </c>
      <c r="AO27" s="15" t="n">
        <v>0</v>
      </c>
      <c r="AP27" s="15" t="n">
        <v>0</v>
      </c>
      <c r="AQ27" s="15" t="n">
        <v>0</v>
      </c>
      <c r="AR27" s="15" t="n">
        <v>0</v>
      </c>
      <c r="AS27" s="15" t="n">
        <v>0</v>
      </c>
    </row>
    <row r="28">
      <c r="A28" s="3" t="inlineStr">
        <is>
          <t>Purchase of PP&amp;E — % of Revenue</t>
        </is>
      </c>
      <c r="B28" s="13">
        <f>IFERROR('QTR CF'!B29/'QTR P&amp;L'!B2,"")</f>
        <v/>
      </c>
      <c r="C28" s="13">
        <f>IFERROR('QTR CF'!C29/'QTR P&amp;L'!C2,"")</f>
        <v/>
      </c>
      <c r="D28" s="13">
        <f>IFERROR('QTR CF'!D29/'QTR P&amp;L'!D2,"")</f>
        <v/>
      </c>
      <c r="E28" s="13">
        <f>IFERROR('QTR CF'!E29/'QTR P&amp;L'!E2,"")</f>
        <v/>
      </c>
      <c r="F28" s="13">
        <f>IFERROR('QTR CF'!F29/'QTR P&amp;L'!F2,"")</f>
        <v/>
      </c>
      <c r="G28" s="13">
        <f>IFERROR('QTR CF'!G29/'QTR P&amp;L'!G2,"")</f>
        <v/>
      </c>
      <c r="H28" s="13">
        <f>IFERROR('QTR CF'!H29/'QTR P&amp;L'!H2,"")</f>
        <v/>
      </c>
      <c r="I28" s="13">
        <f>IFERROR('QTR CF'!I29/'QTR P&amp;L'!I2,"")</f>
        <v/>
      </c>
      <c r="J28" s="13">
        <f>IFERROR('QTR CF'!J29/'QTR P&amp;L'!J2,"")</f>
        <v/>
      </c>
      <c r="K28" s="13">
        <f>IFERROR('QTR CF'!K29/'QTR P&amp;L'!K2,"")</f>
        <v/>
      </c>
      <c r="L28" s="13">
        <f>IFERROR('QTR CF'!L29/'QTR P&amp;L'!L2,"")</f>
        <v/>
      </c>
      <c r="M28" s="13">
        <f>IFERROR('QTR CF'!M29/'QTR P&amp;L'!M2,"")</f>
        <v/>
      </c>
      <c r="N28" s="13">
        <f>IFERROR('QTR CF'!N29/'QTR P&amp;L'!N2,"")</f>
        <v/>
      </c>
      <c r="O28" s="13">
        <f>IFERROR('QTR CF'!O29/'QTR P&amp;L'!O2,"")</f>
        <v/>
      </c>
      <c r="P28" s="13">
        <f>IFERROR('QTR CF'!P29/'QTR P&amp;L'!P2,"")</f>
        <v/>
      </c>
      <c r="Q28" s="13">
        <f>IFERROR('QTR CF'!Q29/'QTR P&amp;L'!Q2,"")</f>
        <v/>
      </c>
      <c r="R28" s="13">
        <f>IFERROR('QTR CF'!R29/'QTR P&amp;L'!R2,"")</f>
        <v/>
      </c>
      <c r="S28" s="13">
        <f>IFERROR('QTR CF'!S29/'QTR P&amp;L'!S2,"")</f>
        <v/>
      </c>
      <c r="T28" s="13">
        <f>IFERROR('QTR CF'!T29/'QTR P&amp;L'!T2,"")</f>
        <v/>
      </c>
      <c r="U28" s="13">
        <f>IFERROR('QTR CF'!U29/'QTR P&amp;L'!U2,"")</f>
        <v/>
      </c>
      <c r="V28" s="13">
        <f>IFERROR('QTR CF'!V29/'QTR P&amp;L'!V2,"")</f>
        <v/>
      </c>
      <c r="W28" s="13">
        <f>IFERROR('QTR CF'!W29/'QTR P&amp;L'!W2,"")</f>
        <v/>
      </c>
      <c r="X28" s="13">
        <f>IFERROR('QTR CF'!X29/'QTR P&amp;L'!X2,"")</f>
        <v/>
      </c>
      <c r="Y28" s="13">
        <f>IFERROR('QTR CF'!Y29/'QTR P&amp;L'!Y2,"")</f>
        <v/>
      </c>
      <c r="Z28" s="14">
        <f>Y28</f>
        <v/>
      </c>
      <c r="AA28" s="14">
        <f>Z28</f>
        <v/>
      </c>
      <c r="AB28" s="14">
        <f>AA28</f>
        <v/>
      </c>
      <c r="AC28" s="14">
        <f>AB28</f>
        <v/>
      </c>
      <c r="AD28" s="14">
        <f>AC28</f>
        <v/>
      </c>
      <c r="AE28" s="14">
        <f>AD28</f>
        <v/>
      </c>
      <c r="AF28" s="14">
        <f>AE28</f>
        <v/>
      </c>
      <c r="AG28" s="14">
        <f>AF28</f>
        <v/>
      </c>
      <c r="AH28" s="14">
        <f>AG28</f>
        <v/>
      </c>
      <c r="AI28" s="14">
        <f>AH28</f>
        <v/>
      </c>
      <c r="AJ28" s="14">
        <f>AI28</f>
        <v/>
      </c>
      <c r="AK28" s="14">
        <f>AJ28</f>
        <v/>
      </c>
      <c r="AL28" s="14">
        <f>AK28</f>
        <v/>
      </c>
      <c r="AM28" s="14">
        <f>AL28</f>
        <v/>
      </c>
      <c r="AN28" s="14">
        <f>AM28</f>
        <v/>
      </c>
      <c r="AO28" s="14">
        <f>AN28</f>
        <v/>
      </c>
      <c r="AP28" s="14">
        <f>AO28</f>
        <v/>
      </c>
      <c r="AQ28" s="14">
        <f>AP28</f>
        <v/>
      </c>
      <c r="AR28" s="14">
        <f>AQ28</f>
        <v/>
      </c>
      <c r="AS28" s="14">
        <f>AR28</f>
        <v/>
      </c>
    </row>
    <row r="29">
      <c r="A29" s="3" t="inlineStr">
        <is>
          <t>Proceeds from Sale of Assets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4">
        <f>'QTR CF'!S30</f>
        <v/>
      </c>
      <c r="T29" s="4">
        <f>'QTR CF'!T30</f>
        <v/>
      </c>
      <c r="U29" s="4">
        <f>'QTR CF'!U30</f>
        <v/>
      </c>
      <c r="V29" s="4">
        <f>'QTR CF'!V30</f>
        <v/>
      </c>
      <c r="W29" s="4">
        <f>'QTR CF'!W30</f>
        <v/>
      </c>
      <c r="X29" s="4">
        <f>'QTR CF'!X30</f>
        <v/>
      </c>
      <c r="Y29" s="4">
        <f>'QTR CF'!Y30</f>
        <v/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</row>
    <row r="30">
      <c r="A30" s="3" t="inlineStr">
        <is>
          <t>Additions to Intangibles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4">
        <f>'QTR CF'!S31</f>
        <v/>
      </c>
      <c r="T30" s="4">
        <f>'QTR CF'!T31</f>
        <v/>
      </c>
      <c r="U30" s="4">
        <f>'QTR CF'!U31</f>
        <v/>
      </c>
      <c r="V30" s="4">
        <f>'QTR CF'!V31</f>
        <v/>
      </c>
      <c r="W30" s="4">
        <f>'QTR CF'!W31</f>
        <v/>
      </c>
      <c r="X30" s="4">
        <f>'QTR CF'!X31</f>
        <v/>
      </c>
      <c r="Y30" s="4">
        <f>'QTR CF'!Y31</f>
        <v/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  <c r="AL30" s="15" t="n">
        <v>0</v>
      </c>
      <c r="AM30" s="15" t="n">
        <v>0</v>
      </c>
      <c r="AN30" s="15" t="n">
        <v>0</v>
      </c>
      <c r="AO30" s="15" t="n">
        <v>0</v>
      </c>
      <c r="AP30" s="15" t="n">
        <v>0</v>
      </c>
      <c r="AQ30" s="15" t="n">
        <v>0</v>
      </c>
      <c r="AR30" s="15" t="n">
        <v>0</v>
      </c>
      <c r="AS30" s="15" t="n">
        <v>0</v>
      </c>
    </row>
    <row r="31">
      <c r="A31" s="3" t="inlineStr">
        <is>
          <t>Other Investing Activities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4">
        <f>'QTR CF'!S32</f>
        <v/>
      </c>
      <c r="T31" s="4">
        <f>'QTR CF'!T32</f>
        <v/>
      </c>
      <c r="U31" s="4">
        <f>'QTR CF'!U32</f>
        <v/>
      </c>
      <c r="V31" s="4">
        <f>'QTR CF'!V32</f>
        <v/>
      </c>
      <c r="W31" s="4">
        <f>'QTR CF'!W32</f>
        <v/>
      </c>
      <c r="X31" s="4">
        <f>'QTR CF'!X32</f>
        <v/>
      </c>
      <c r="Y31" s="4">
        <f>'QTR CF'!Y32</f>
        <v/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  <c r="AP31" s="15" t="n">
        <v>0</v>
      </c>
      <c r="AQ31" s="15" t="n">
        <v>0</v>
      </c>
      <c r="AR31" s="15" t="n">
        <v>0</v>
      </c>
      <c r="AS31" s="15" t="n">
        <v>0</v>
      </c>
    </row>
    <row r="32">
      <c r="A32" s="3" t="inlineStr">
        <is>
          <t>Repayments of Short-Term Debt</t>
        </is>
      </c>
      <c r="B32" s="4">
        <f>'QTR CF'!B34</f>
        <v/>
      </c>
      <c r="C32" s="4">
        <f>'QTR CF'!C34</f>
        <v/>
      </c>
      <c r="D32" s="4">
        <f>'QTR CF'!D34</f>
        <v/>
      </c>
      <c r="E32" s="4">
        <f>'QTR CF'!E34</f>
        <v/>
      </c>
      <c r="F32" s="4">
        <f>'QTR CF'!F34</f>
        <v/>
      </c>
      <c r="G32" s="4">
        <f>'QTR CF'!G34</f>
        <v/>
      </c>
      <c r="H32" s="4">
        <f>'QTR CF'!H34</f>
        <v/>
      </c>
      <c r="I32" s="4">
        <f>'QTR CF'!I34</f>
        <v/>
      </c>
      <c r="J32" s="4">
        <f>'QTR CF'!J34</f>
        <v/>
      </c>
      <c r="K32" s="4">
        <f>'QTR CF'!K34</f>
        <v/>
      </c>
      <c r="L32" s="4">
        <f>'QTR CF'!L34</f>
        <v/>
      </c>
      <c r="M32" s="4">
        <f>'QTR CF'!M34</f>
        <v/>
      </c>
      <c r="N32" s="4">
        <f>'QTR CF'!N34</f>
        <v/>
      </c>
      <c r="O32" s="4">
        <f>'QTR CF'!O34</f>
        <v/>
      </c>
      <c r="P32" s="4">
        <f>'QTR CF'!P34</f>
        <v/>
      </c>
      <c r="Q32" s="4">
        <f>'QTR CF'!Q34</f>
        <v/>
      </c>
      <c r="R32" s="4">
        <f>'QTR CF'!R34</f>
        <v/>
      </c>
      <c r="S32" s="4">
        <f>'QTR CF'!S34</f>
        <v/>
      </c>
      <c r="T32" s="4">
        <f>'QTR CF'!T34</f>
        <v/>
      </c>
      <c r="U32" s="4">
        <f>'QTR CF'!U34</f>
        <v/>
      </c>
      <c r="V32" s="4">
        <f>'QTR CF'!V34</f>
        <v/>
      </c>
      <c r="W32" s="4">
        <f>'QTR CF'!W34</f>
        <v/>
      </c>
      <c r="X32" s="4">
        <f>'QTR CF'!X34</f>
        <v/>
      </c>
      <c r="Y32" s="4">
        <f>'QTR CF'!Y34</f>
        <v/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  <c r="AP32" s="15" t="n">
        <v>0</v>
      </c>
      <c r="AQ32" s="15" t="n">
        <v>0</v>
      </c>
      <c r="AR32" s="15" t="n">
        <v>0</v>
      </c>
      <c r="AS32" s="15" t="n">
        <v>0</v>
      </c>
    </row>
    <row r="33">
      <c r="A33" s="3" t="inlineStr">
        <is>
          <t>Net Change in Other Short-Term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4">
        <f>'QTR CF'!S35</f>
        <v/>
      </c>
      <c r="T33" s="4">
        <f>'QTR CF'!T35</f>
        <v/>
      </c>
      <c r="U33" s="4">
        <f>'QTR CF'!U35</f>
        <v/>
      </c>
      <c r="V33" s="4">
        <f>'QTR CF'!V35</f>
        <v/>
      </c>
      <c r="W33" s="4">
        <f>'QTR CF'!W35</f>
        <v/>
      </c>
      <c r="X33" s="4">
        <f>'QTR CF'!X35</f>
        <v/>
      </c>
      <c r="Y33" s="4">
        <f>'QTR CF'!Y35</f>
        <v/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</v>
      </c>
      <c r="AQ33" s="15" t="n">
        <v>0</v>
      </c>
      <c r="AR33" s="15" t="n">
        <v>0</v>
      </c>
      <c r="AS33" s="15" t="n">
        <v>0</v>
      </c>
    </row>
    <row r="34">
      <c r="A34" s="3" t="inlineStr">
        <is>
          <t>Proceeds from Issuance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4">
        <f>'QTR CF'!S36</f>
        <v/>
      </c>
      <c r="T34" s="4">
        <f>'QTR CF'!T36</f>
        <v/>
      </c>
      <c r="U34" s="4">
        <f>'QTR CF'!U36</f>
        <v/>
      </c>
      <c r="V34" s="4">
        <f>'QTR CF'!V36</f>
        <v/>
      </c>
      <c r="W34" s="4">
        <f>'QTR CF'!W36</f>
        <v/>
      </c>
      <c r="X34" s="4">
        <f>'QTR CF'!X36</f>
        <v/>
      </c>
      <c r="Y34" s="4">
        <f>'QTR CF'!Y36</f>
        <v/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  <c r="AP34" s="15" t="n">
        <v>0</v>
      </c>
      <c r="AQ34" s="15" t="n">
        <v>0</v>
      </c>
      <c r="AR34" s="15" t="n">
        <v>0</v>
      </c>
      <c r="AS34" s="15" t="n">
        <v>0</v>
      </c>
    </row>
    <row r="35">
      <c r="A35" s="3" t="inlineStr">
        <is>
          <t>Debt Issuance Fees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4">
        <f>'QTR CF'!S37</f>
        <v/>
      </c>
      <c r="T35" s="4">
        <f>'QTR CF'!T37</f>
        <v/>
      </c>
      <c r="U35" s="4">
        <f>'QTR CF'!U37</f>
        <v/>
      </c>
      <c r="V35" s="4">
        <f>'QTR CF'!V37</f>
        <v/>
      </c>
      <c r="W35" s="4">
        <f>'QTR CF'!W37</f>
        <v/>
      </c>
      <c r="X35" s="4">
        <f>'QTR CF'!X37</f>
        <v/>
      </c>
      <c r="Y35" s="4">
        <f>'QTR CF'!Y37</f>
        <v/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</v>
      </c>
      <c r="AR35" s="15" t="n">
        <v>0</v>
      </c>
      <c r="AS35" s="15" t="n">
        <v>0</v>
      </c>
    </row>
    <row r="36">
      <c r="A36" s="3" t="inlineStr">
        <is>
          <t>Repayments of Long-Term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4">
        <f>'QTR CF'!S38</f>
        <v/>
      </c>
      <c r="T36" s="4">
        <f>'QTR CF'!T38</f>
        <v/>
      </c>
      <c r="U36" s="4">
        <f>'QTR CF'!U38</f>
        <v/>
      </c>
      <c r="V36" s="4">
        <f>'QTR CF'!V38</f>
        <v/>
      </c>
      <c r="W36" s="4">
        <f>'QTR CF'!W38</f>
        <v/>
      </c>
      <c r="X36" s="4">
        <f>'QTR CF'!X38</f>
        <v/>
      </c>
      <c r="Y36" s="4">
        <f>'QTR CF'!Y38</f>
        <v/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  <c r="AP36" s="15" t="n">
        <v>0</v>
      </c>
      <c r="AQ36" s="15" t="n">
        <v>0</v>
      </c>
      <c r="AR36" s="15" t="n">
        <v>0</v>
      </c>
      <c r="AS36" s="15" t="n">
        <v>0</v>
      </c>
    </row>
    <row r="37">
      <c r="A37" s="3" t="inlineStr">
        <is>
          <t>Proceeds from Issuance of Common Stock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4">
        <f>'QTR CF'!S39</f>
        <v/>
      </c>
      <c r="T37" s="4">
        <f>'QTR CF'!T39</f>
        <v/>
      </c>
      <c r="U37" s="4">
        <f>'QTR CF'!U39</f>
        <v/>
      </c>
      <c r="V37" s="4">
        <f>'QTR CF'!V39</f>
        <v/>
      </c>
      <c r="W37" s="4">
        <f>'QTR CF'!W39</f>
        <v/>
      </c>
      <c r="X37" s="4">
        <f>'QTR CF'!X39</f>
        <v/>
      </c>
      <c r="Y37" s="4">
        <f>'QTR CF'!Y39</f>
        <v/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4">
        <f>'QTR CF'!S40</f>
        <v/>
      </c>
      <c r="T38" s="4">
        <f>'QTR CF'!T40</f>
        <v/>
      </c>
      <c r="U38" s="4">
        <f>'QTR CF'!U40</f>
        <v/>
      </c>
      <c r="V38" s="4">
        <f>'QTR CF'!V40</f>
        <v/>
      </c>
      <c r="W38" s="4">
        <f>'QTR CF'!W40</f>
        <v/>
      </c>
      <c r="X38" s="4">
        <f>'QTR CF'!X40</f>
        <v/>
      </c>
      <c r="Y38" s="4">
        <f>'QTR CF'!Y40</f>
        <v/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  <c r="AP38" s="15" t="n">
        <v>0</v>
      </c>
      <c r="AQ38" s="15" t="n">
        <v>0</v>
      </c>
      <c r="AR38" s="15" t="n">
        <v>0</v>
      </c>
      <c r="AS38" s="15" t="n">
        <v>0</v>
      </c>
    </row>
    <row r="39">
      <c r="A39" s="3" t="inlineStr">
        <is>
          <t>FX Effect on Cash</t>
        </is>
      </c>
      <c r="B39" s="4">
        <f>'QTR CF'!B42</f>
        <v/>
      </c>
      <c r="C39" s="4">
        <f>'QTR CF'!C42</f>
        <v/>
      </c>
      <c r="D39" s="4">
        <f>'QTR CF'!D42</f>
        <v/>
      </c>
      <c r="E39" s="4">
        <f>'QTR CF'!E42</f>
        <v/>
      </c>
      <c r="F39" s="4">
        <f>'QTR CF'!F42</f>
        <v/>
      </c>
      <c r="G39" s="4">
        <f>'QTR CF'!G42</f>
        <v/>
      </c>
      <c r="H39" s="4">
        <f>'QTR CF'!H42</f>
        <v/>
      </c>
      <c r="I39" s="4">
        <f>'QTR CF'!I42</f>
        <v/>
      </c>
      <c r="J39" s="4">
        <f>'QTR CF'!J42</f>
        <v/>
      </c>
      <c r="K39" s="4">
        <f>'QTR CF'!K42</f>
        <v/>
      </c>
      <c r="L39" s="4">
        <f>'QTR CF'!L42</f>
        <v/>
      </c>
      <c r="M39" s="4">
        <f>'QTR CF'!M42</f>
        <v/>
      </c>
      <c r="N39" s="4">
        <f>'QTR CF'!N42</f>
        <v/>
      </c>
      <c r="O39" s="4">
        <f>'QTR CF'!O42</f>
        <v/>
      </c>
      <c r="P39" s="4">
        <f>'QTR CF'!P42</f>
        <v/>
      </c>
      <c r="Q39" s="4">
        <f>'QTR CF'!Q42</f>
        <v/>
      </c>
      <c r="R39" s="4">
        <f>'QTR CF'!R42</f>
        <v/>
      </c>
      <c r="S39" s="4">
        <f>'QTR CF'!S42</f>
        <v/>
      </c>
      <c r="T39" s="4">
        <f>'QTR CF'!T42</f>
        <v/>
      </c>
      <c r="U39" s="4">
        <f>'QTR CF'!U42</f>
        <v/>
      </c>
      <c r="V39" s="4">
        <f>'QTR CF'!V42</f>
        <v/>
      </c>
      <c r="W39" s="4">
        <f>'QTR CF'!W42</f>
        <v/>
      </c>
      <c r="X39" s="4">
        <f>'QTR CF'!X42</f>
        <v/>
      </c>
      <c r="Y39" s="4">
        <f>'QTR CF'!Y42</f>
        <v/>
      </c>
      <c r="Z39" s="15">
        <f>Y39</f>
        <v/>
      </c>
      <c r="AA39" s="15">
        <f>Z39</f>
        <v/>
      </c>
      <c r="AB39" s="15">
        <f>AA39</f>
        <v/>
      </c>
      <c r="AC39" s="15">
        <f>AB39</f>
        <v/>
      </c>
      <c r="AD39" s="15">
        <f>AC39</f>
        <v/>
      </c>
      <c r="AE39" s="15">
        <f>AD39</f>
        <v/>
      </c>
      <c r="AF39" s="15">
        <f>AE39</f>
        <v/>
      </c>
      <c r="AG39" s="15">
        <f>AF39</f>
        <v/>
      </c>
      <c r="AH39" s="15">
        <f>AG39</f>
        <v/>
      </c>
      <c r="AI39" s="15">
        <f>AH39</f>
        <v/>
      </c>
      <c r="AJ39" s="15">
        <f>AI39</f>
        <v/>
      </c>
      <c r="AK39" s="15">
        <f>AJ39</f>
        <v/>
      </c>
      <c r="AL39" s="15">
        <f>AK39</f>
        <v/>
      </c>
      <c r="AM39" s="15">
        <f>AL39</f>
        <v/>
      </c>
      <c r="AN39" s="15">
        <f>AM39</f>
        <v/>
      </c>
      <c r="AO39" s="15">
        <f>AN39</f>
        <v/>
      </c>
      <c r="AP39" s="15">
        <f>AO39</f>
        <v/>
      </c>
      <c r="AQ39" s="15">
        <f>AP39</f>
        <v/>
      </c>
      <c r="AR39" s="15">
        <f>AQ39</f>
        <v/>
      </c>
      <c r="AS39" s="15">
        <f>AR39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2026-04-29T16:26:51Z</dcterms:created>
  <dcterms:modified xmlns:dcterms="http://purl.org/dc/terms/" xmlns:xsi="http://www.w3.org/2001/XMLSchema-instance" xsi:type="dcterms:W3CDTF">2026-04-29T16:27:04Z</dcterms:modified>
</cp:coreProperties>
</file>