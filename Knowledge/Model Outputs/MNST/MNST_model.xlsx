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in\Desktop\Brain\Knowledge\Model Outputs\MNST\"/>
    </mc:Choice>
  </mc:AlternateContent>
  <xr:revisionPtr revIDLastSave="0" documentId="13_ncr:1_{4494808D-52CD-41C0-905D-FD3F44160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UMPTIONS" sheetId="1" r:id="rId1"/>
    <sheet name="ANNL P&amp;L" sheetId="2" r:id="rId2"/>
    <sheet name="BALANCE SHEET" sheetId="3" r:id="rId3"/>
    <sheet name="CASH FLOW" sheetId="4" r:id="rId4"/>
    <sheet name="YTD P&amp;L" sheetId="5" r:id="rId5"/>
    <sheet name="YTD BS" sheetId="6" r:id="rId6"/>
    <sheet name="YTD CF" sheetId="7" r:id="rId7"/>
    <sheet name="QTR P&amp;L" sheetId="8" r:id="rId8"/>
    <sheet name="QTR BS" sheetId="9" r:id="rId9"/>
    <sheet name="QTR CF" sheetId="10" r:id="rId10"/>
    <sheet name="IS DRIVERS" sheetId="11" r:id="rId11"/>
    <sheet name="BS DRIVERS" sheetId="12" r:id="rId12"/>
    <sheet name="CF DRIVER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2" i="13" l="1"/>
  <c r="U32" i="13"/>
  <c r="Q32" i="13"/>
  <c r="M32" i="13"/>
  <c r="I32" i="13"/>
  <c r="E32" i="13"/>
  <c r="Y19" i="13"/>
  <c r="U19" i="13"/>
  <c r="Q19" i="13"/>
  <c r="M19" i="13"/>
  <c r="I19" i="13"/>
  <c r="E19" i="13"/>
  <c r="Y12" i="13"/>
  <c r="U12" i="13"/>
  <c r="Q12" i="13"/>
  <c r="M12" i="13"/>
  <c r="I12" i="13"/>
  <c r="E12" i="13"/>
  <c r="V21" i="12"/>
  <c r="W21" i="12" s="1"/>
  <c r="X21" i="12" s="1"/>
  <c r="Y21" i="12" s="1"/>
  <c r="Z21" i="12" s="1"/>
  <c r="AA21" i="12" s="1"/>
  <c r="AB21" i="12" s="1"/>
  <c r="AC21" i="12" s="1"/>
  <c r="AD21" i="12" s="1"/>
  <c r="AE21" i="12" s="1"/>
  <c r="AF21" i="12" s="1"/>
  <c r="AG21" i="12" s="1"/>
  <c r="AH21" i="12" s="1"/>
  <c r="AI21" i="12" s="1"/>
  <c r="AJ21" i="12" s="1"/>
  <c r="AK21" i="12" s="1"/>
  <c r="AL21" i="12" s="1"/>
  <c r="AM21" i="12" s="1"/>
  <c r="AN21" i="12" s="1"/>
  <c r="AO21" i="12" s="1"/>
  <c r="AP21" i="12" s="1"/>
  <c r="R21" i="12"/>
  <c r="N21" i="12"/>
  <c r="J21" i="12"/>
  <c r="F21" i="12"/>
  <c r="B21" i="12"/>
  <c r="AN42" i="10"/>
  <c r="AM42" i="10"/>
  <c r="AI42" i="10"/>
  <c r="AF42" i="10"/>
  <c r="AE42" i="10"/>
  <c r="AD42" i="10"/>
  <c r="AC42" i="10"/>
  <c r="AB42" i="10"/>
  <c r="Y42" i="10"/>
  <c r="Y39" i="13" s="1"/>
  <c r="Z39" i="13" s="1"/>
  <c r="AA39" i="13" s="1"/>
  <c r="AB39" i="13" s="1"/>
  <c r="AC39" i="13" s="1"/>
  <c r="AD39" i="13" s="1"/>
  <c r="AE39" i="13" s="1"/>
  <c r="AF39" i="13" s="1"/>
  <c r="AG39" i="13" s="1"/>
  <c r="AH39" i="13" s="1"/>
  <c r="AI39" i="13" s="1"/>
  <c r="AJ39" i="13" s="1"/>
  <c r="AK39" i="13" s="1"/>
  <c r="AL39" i="13" s="1"/>
  <c r="AM39" i="13" s="1"/>
  <c r="AN39" i="13" s="1"/>
  <c r="AO39" i="13" s="1"/>
  <c r="AP39" i="13" s="1"/>
  <c r="AQ39" i="13" s="1"/>
  <c r="AR39" i="13" s="1"/>
  <c r="AS39" i="13" s="1"/>
  <c r="AS42" i="10" s="1"/>
  <c r="X42" i="10"/>
  <c r="X39" i="13" s="1"/>
  <c r="W42" i="10"/>
  <c r="W39" i="13" s="1"/>
  <c r="V42" i="10"/>
  <c r="V39" i="13" s="1"/>
  <c r="U42" i="10"/>
  <c r="U39" i="13" s="1"/>
  <c r="T42" i="10"/>
  <c r="T39" i="13" s="1"/>
  <c r="S42" i="10"/>
  <c r="S39" i="13" s="1"/>
  <c r="R42" i="10"/>
  <c r="R39" i="13" s="1"/>
  <c r="Q42" i="10"/>
  <c r="Q39" i="13" s="1"/>
  <c r="P42" i="10"/>
  <c r="P39" i="13" s="1"/>
  <c r="O42" i="10"/>
  <c r="O39" i="13" s="1"/>
  <c r="N42" i="10"/>
  <c r="N39" i="13" s="1"/>
  <c r="M42" i="10"/>
  <c r="M39" i="13" s="1"/>
  <c r="L42" i="10"/>
  <c r="L39" i="13" s="1"/>
  <c r="K42" i="10"/>
  <c r="K39" i="13" s="1"/>
  <c r="J42" i="10"/>
  <c r="J39" i="13" s="1"/>
  <c r="I42" i="10"/>
  <c r="I39" i="13" s="1"/>
  <c r="H42" i="10"/>
  <c r="H39" i="13" s="1"/>
  <c r="G42" i="10"/>
  <c r="G39" i="13" s="1"/>
  <c r="F42" i="10"/>
  <c r="F39" i="13" s="1"/>
  <c r="E42" i="10"/>
  <c r="E39" i="13" s="1"/>
  <c r="D42" i="10"/>
  <c r="D39" i="13" s="1"/>
  <c r="C42" i="10"/>
  <c r="C39" i="13" s="1"/>
  <c r="B42" i="10"/>
  <c r="B39" i="13" s="1"/>
  <c r="AS40" i="10"/>
  <c r="AR40" i="10"/>
  <c r="AQ40" i="10"/>
  <c r="AP40" i="10"/>
  <c r="AO40" i="10"/>
  <c r="L37" i="4" s="1"/>
  <c r="AN40" i="10"/>
  <c r="AM40" i="10"/>
  <c r="AL40" i="10"/>
  <c r="AK40" i="10"/>
  <c r="AJ40" i="10"/>
  <c r="AI40" i="10"/>
  <c r="K37" i="4" s="1"/>
  <c r="AH40" i="10"/>
  <c r="AG40" i="10"/>
  <c r="AF40" i="10"/>
  <c r="AE40" i="10"/>
  <c r="AD40" i="10"/>
  <c r="AC40" i="10"/>
  <c r="I37" i="4" s="1"/>
  <c r="AB40" i="10"/>
  <c r="AA40" i="10"/>
  <c r="Z40" i="10"/>
  <c r="Y40" i="10"/>
  <c r="Y38" i="13" s="1"/>
  <c r="X40" i="10"/>
  <c r="X38" i="13" s="1"/>
  <c r="W40" i="10"/>
  <c r="W38" i="13" s="1"/>
  <c r="V40" i="10"/>
  <c r="V38" i="13" s="1"/>
  <c r="U40" i="10"/>
  <c r="U38" i="13" s="1"/>
  <c r="T40" i="10"/>
  <c r="T38" i="13" s="1"/>
  <c r="S40" i="10"/>
  <c r="S38" i="13" s="1"/>
  <c r="R40" i="10"/>
  <c r="R38" i="13" s="1"/>
  <c r="Q40" i="10"/>
  <c r="Q38" i="13" s="1"/>
  <c r="P40" i="10"/>
  <c r="P38" i="13" s="1"/>
  <c r="O40" i="10"/>
  <c r="O38" i="13" s="1"/>
  <c r="N40" i="10"/>
  <c r="N38" i="13" s="1"/>
  <c r="M40" i="10"/>
  <c r="M38" i="13" s="1"/>
  <c r="L40" i="10"/>
  <c r="L38" i="13" s="1"/>
  <c r="K40" i="10"/>
  <c r="K38" i="13" s="1"/>
  <c r="J40" i="10"/>
  <c r="J38" i="13" s="1"/>
  <c r="I40" i="10"/>
  <c r="I38" i="13" s="1"/>
  <c r="H40" i="10"/>
  <c r="H38" i="13" s="1"/>
  <c r="G40" i="10"/>
  <c r="G38" i="13" s="1"/>
  <c r="F40" i="10"/>
  <c r="F38" i="13" s="1"/>
  <c r="E40" i="10"/>
  <c r="E38" i="13" s="1"/>
  <c r="D40" i="10"/>
  <c r="D38" i="13" s="1"/>
  <c r="C40" i="10"/>
  <c r="C38" i="13" s="1"/>
  <c r="B40" i="10"/>
  <c r="B38" i="13" s="1"/>
  <c r="AS39" i="10"/>
  <c r="AR39" i="10"/>
  <c r="AQ39" i="10"/>
  <c r="M36" i="4" s="1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J36" i="4" s="1"/>
  <c r="AD39" i="10"/>
  <c r="AC39" i="10"/>
  <c r="AB39" i="10"/>
  <c r="AA39" i="10"/>
  <c r="Z39" i="10"/>
  <c r="Y39" i="10"/>
  <c r="Y37" i="13" s="1"/>
  <c r="X39" i="10"/>
  <c r="X37" i="13" s="1"/>
  <c r="W39" i="10"/>
  <c r="W37" i="13" s="1"/>
  <c r="V39" i="10"/>
  <c r="V37" i="13" s="1"/>
  <c r="U39" i="10"/>
  <c r="U37" i="13" s="1"/>
  <c r="T39" i="10"/>
  <c r="T37" i="13" s="1"/>
  <c r="S39" i="10"/>
  <c r="S37" i="13" s="1"/>
  <c r="R39" i="10"/>
  <c r="R37" i="13" s="1"/>
  <c r="Q39" i="10"/>
  <c r="Q37" i="13" s="1"/>
  <c r="P39" i="10"/>
  <c r="P37" i="13" s="1"/>
  <c r="O39" i="10"/>
  <c r="O37" i="13" s="1"/>
  <c r="N39" i="10"/>
  <c r="N37" i="13" s="1"/>
  <c r="M39" i="10"/>
  <c r="M37" i="13" s="1"/>
  <c r="L39" i="10"/>
  <c r="L37" i="13" s="1"/>
  <c r="K39" i="10"/>
  <c r="K37" i="13" s="1"/>
  <c r="J39" i="10"/>
  <c r="J37" i="13" s="1"/>
  <c r="I39" i="10"/>
  <c r="I37" i="13" s="1"/>
  <c r="H39" i="10"/>
  <c r="H37" i="13" s="1"/>
  <c r="G39" i="10"/>
  <c r="G37" i="13" s="1"/>
  <c r="F39" i="10"/>
  <c r="F37" i="13" s="1"/>
  <c r="E39" i="10"/>
  <c r="E37" i="13" s="1"/>
  <c r="D39" i="10"/>
  <c r="D37" i="13" s="1"/>
  <c r="C39" i="10"/>
  <c r="C37" i="13" s="1"/>
  <c r="B39" i="10"/>
  <c r="B37" i="13" s="1"/>
  <c r="AS38" i="10"/>
  <c r="AR38" i="10"/>
  <c r="AQ38" i="10"/>
  <c r="AP38" i="10"/>
  <c r="AO38" i="10"/>
  <c r="AN38" i="10"/>
  <c r="AM38" i="10"/>
  <c r="L34" i="4" s="1"/>
  <c r="AL38" i="10"/>
  <c r="AK38" i="10"/>
  <c r="AJ38" i="10"/>
  <c r="AI38" i="10"/>
  <c r="AH38" i="10"/>
  <c r="AG38" i="10"/>
  <c r="J34" i="4" s="1"/>
  <c r="AF38" i="10"/>
  <c r="AE38" i="10"/>
  <c r="AD38" i="10"/>
  <c r="AC38" i="10"/>
  <c r="AB38" i="10"/>
  <c r="AA38" i="10"/>
  <c r="I34" i="4" s="1"/>
  <c r="Z38" i="10"/>
  <c r="Y38" i="10"/>
  <c r="Y36" i="13" s="1"/>
  <c r="X38" i="10"/>
  <c r="X36" i="13" s="1"/>
  <c r="W38" i="10"/>
  <c r="W36" i="13" s="1"/>
  <c r="V38" i="10"/>
  <c r="V36" i="13" s="1"/>
  <c r="U38" i="10"/>
  <c r="U36" i="13" s="1"/>
  <c r="T38" i="10"/>
  <c r="T36" i="13" s="1"/>
  <c r="S38" i="10"/>
  <c r="S36" i="13" s="1"/>
  <c r="R38" i="10"/>
  <c r="R36" i="13" s="1"/>
  <c r="Q38" i="10"/>
  <c r="Q36" i="13" s="1"/>
  <c r="P38" i="10"/>
  <c r="P36" i="13" s="1"/>
  <c r="O38" i="10"/>
  <c r="O36" i="13" s="1"/>
  <c r="N38" i="10"/>
  <c r="N36" i="13" s="1"/>
  <c r="M38" i="10"/>
  <c r="M36" i="13" s="1"/>
  <c r="L38" i="10"/>
  <c r="L36" i="13" s="1"/>
  <c r="K38" i="10"/>
  <c r="K36" i="13" s="1"/>
  <c r="J38" i="10"/>
  <c r="J36" i="13" s="1"/>
  <c r="I38" i="10"/>
  <c r="I36" i="13" s="1"/>
  <c r="H38" i="10"/>
  <c r="H36" i="13" s="1"/>
  <c r="G38" i="10"/>
  <c r="G36" i="13" s="1"/>
  <c r="F38" i="10"/>
  <c r="F36" i="13" s="1"/>
  <c r="E38" i="10"/>
  <c r="E36" i="13" s="1"/>
  <c r="D38" i="10"/>
  <c r="D36" i="13" s="1"/>
  <c r="C38" i="10"/>
  <c r="C36" i="13" s="1"/>
  <c r="B38" i="10"/>
  <c r="B36" i="13" s="1"/>
  <c r="AS37" i="10"/>
  <c r="AR37" i="10"/>
  <c r="AQ37" i="10"/>
  <c r="AP37" i="10"/>
  <c r="AO37" i="10"/>
  <c r="L35" i="4" s="1"/>
  <c r="AN37" i="10"/>
  <c r="AM37" i="10"/>
  <c r="AL37" i="10"/>
  <c r="AK37" i="10"/>
  <c r="AJ37" i="10"/>
  <c r="AI37" i="10"/>
  <c r="K35" i="4" s="1"/>
  <c r="AH37" i="10"/>
  <c r="AG37" i="10"/>
  <c r="AF37" i="10"/>
  <c r="AE37" i="10"/>
  <c r="AD37" i="10"/>
  <c r="AC37" i="10"/>
  <c r="I35" i="4" s="1"/>
  <c r="AB37" i="10"/>
  <c r="AA37" i="10"/>
  <c r="Z37" i="10"/>
  <c r="Y37" i="10"/>
  <c r="Y35" i="13" s="1"/>
  <c r="X37" i="10"/>
  <c r="X35" i="13" s="1"/>
  <c r="W37" i="10"/>
  <c r="W35" i="13" s="1"/>
  <c r="V37" i="10"/>
  <c r="V35" i="13" s="1"/>
  <c r="U37" i="10"/>
  <c r="U35" i="13" s="1"/>
  <c r="T37" i="10"/>
  <c r="T35" i="13" s="1"/>
  <c r="S37" i="10"/>
  <c r="S35" i="13" s="1"/>
  <c r="R37" i="10"/>
  <c r="R35" i="13" s="1"/>
  <c r="Q37" i="10"/>
  <c r="Q35" i="13" s="1"/>
  <c r="P37" i="10"/>
  <c r="P35" i="13" s="1"/>
  <c r="O37" i="10"/>
  <c r="O35" i="13" s="1"/>
  <c r="N37" i="10"/>
  <c r="N35" i="13" s="1"/>
  <c r="M37" i="10"/>
  <c r="M35" i="13" s="1"/>
  <c r="L37" i="10"/>
  <c r="L35" i="13" s="1"/>
  <c r="K37" i="10"/>
  <c r="K35" i="13" s="1"/>
  <c r="J37" i="10"/>
  <c r="J35" i="13" s="1"/>
  <c r="I37" i="10"/>
  <c r="I35" i="13" s="1"/>
  <c r="H37" i="10"/>
  <c r="H35" i="13" s="1"/>
  <c r="G37" i="10"/>
  <c r="G35" i="13" s="1"/>
  <c r="F37" i="10"/>
  <c r="F35" i="13" s="1"/>
  <c r="E37" i="10"/>
  <c r="E35" i="13" s="1"/>
  <c r="D37" i="10"/>
  <c r="D35" i="13" s="1"/>
  <c r="C37" i="10"/>
  <c r="C35" i="13" s="1"/>
  <c r="B37" i="10"/>
  <c r="B35" i="13" s="1"/>
  <c r="AS36" i="10"/>
  <c r="AR36" i="10"/>
  <c r="AQ36" i="10"/>
  <c r="M33" i="4" s="1"/>
  <c r="AP36" i="10"/>
  <c r="AO36" i="10"/>
  <c r="AN36" i="10"/>
  <c r="AM36" i="10"/>
  <c r="AL36" i="10"/>
  <c r="AK36" i="10"/>
  <c r="K33" i="4" s="1"/>
  <c r="AJ36" i="10"/>
  <c r="AI36" i="10"/>
  <c r="AH36" i="10"/>
  <c r="AG36" i="10"/>
  <c r="AF36" i="10"/>
  <c r="AE36" i="10"/>
  <c r="J33" i="4" s="1"/>
  <c r="AD36" i="10"/>
  <c r="AC36" i="10"/>
  <c r="AB36" i="10"/>
  <c r="AA36" i="10"/>
  <c r="Z36" i="10"/>
  <c r="Y36" i="10"/>
  <c r="Y34" i="13" s="1"/>
  <c r="X36" i="10"/>
  <c r="X34" i="13" s="1"/>
  <c r="W36" i="10"/>
  <c r="W34" i="13" s="1"/>
  <c r="V36" i="10"/>
  <c r="V34" i="13" s="1"/>
  <c r="U36" i="10"/>
  <c r="U34" i="13" s="1"/>
  <c r="T36" i="10"/>
  <c r="T34" i="13" s="1"/>
  <c r="S36" i="10"/>
  <c r="S34" i="13" s="1"/>
  <c r="R36" i="10"/>
  <c r="R34" i="13" s="1"/>
  <c r="Q36" i="10"/>
  <c r="Q34" i="13" s="1"/>
  <c r="P36" i="10"/>
  <c r="P34" i="13" s="1"/>
  <c r="O36" i="10"/>
  <c r="O34" i="13" s="1"/>
  <c r="N36" i="10"/>
  <c r="N34" i="13" s="1"/>
  <c r="M36" i="10"/>
  <c r="M34" i="13" s="1"/>
  <c r="L36" i="10"/>
  <c r="L34" i="13" s="1"/>
  <c r="K36" i="10"/>
  <c r="K34" i="13" s="1"/>
  <c r="J36" i="10"/>
  <c r="J34" i="13" s="1"/>
  <c r="I36" i="10"/>
  <c r="I34" i="13" s="1"/>
  <c r="H36" i="10"/>
  <c r="H34" i="13" s="1"/>
  <c r="G36" i="10"/>
  <c r="G34" i="13" s="1"/>
  <c r="F36" i="10"/>
  <c r="F34" i="13" s="1"/>
  <c r="E36" i="10"/>
  <c r="E34" i="13" s="1"/>
  <c r="D36" i="10"/>
  <c r="D34" i="13" s="1"/>
  <c r="C36" i="10"/>
  <c r="C34" i="13" s="1"/>
  <c r="B36" i="10"/>
  <c r="B34" i="13" s="1"/>
  <c r="AS35" i="10"/>
  <c r="AS41" i="10" s="1"/>
  <c r="AR35" i="10"/>
  <c r="AQ35" i="10"/>
  <c r="AP35" i="10"/>
  <c r="AO35" i="10"/>
  <c r="AN35" i="10"/>
  <c r="AM35" i="10"/>
  <c r="L32" i="4" s="1"/>
  <c r="AL35" i="10"/>
  <c r="AK35" i="10"/>
  <c r="AJ35" i="10"/>
  <c r="AI35" i="10"/>
  <c r="AH35" i="10"/>
  <c r="AG35" i="10"/>
  <c r="J32" i="4" s="1"/>
  <c r="AF35" i="10"/>
  <c r="AE35" i="10"/>
  <c r="AD35" i="10"/>
  <c r="AC35" i="10"/>
  <c r="AB35" i="10"/>
  <c r="AA35" i="10"/>
  <c r="I32" i="4" s="1"/>
  <c r="Z35" i="10"/>
  <c r="Y35" i="10"/>
  <c r="Y33" i="13" s="1"/>
  <c r="X35" i="10"/>
  <c r="X33" i="13" s="1"/>
  <c r="W35" i="10"/>
  <c r="W33" i="13" s="1"/>
  <c r="V35" i="10"/>
  <c r="V33" i="13" s="1"/>
  <c r="U35" i="10"/>
  <c r="U33" i="13" s="1"/>
  <c r="T35" i="10"/>
  <c r="T33" i="13" s="1"/>
  <c r="S35" i="10"/>
  <c r="S33" i="13" s="1"/>
  <c r="R35" i="10"/>
  <c r="R33" i="13" s="1"/>
  <c r="Q35" i="10"/>
  <c r="Q33" i="13" s="1"/>
  <c r="P35" i="10"/>
  <c r="P33" i="13" s="1"/>
  <c r="O35" i="10"/>
  <c r="O33" i="13" s="1"/>
  <c r="N35" i="10"/>
  <c r="N33" i="13" s="1"/>
  <c r="M35" i="10"/>
  <c r="M33" i="13" s="1"/>
  <c r="L35" i="10"/>
  <c r="L33" i="13" s="1"/>
  <c r="K35" i="10"/>
  <c r="K33" i="13" s="1"/>
  <c r="J35" i="10"/>
  <c r="J33" i="13" s="1"/>
  <c r="I35" i="10"/>
  <c r="I33" i="13" s="1"/>
  <c r="H35" i="10"/>
  <c r="H33" i="13" s="1"/>
  <c r="G35" i="10"/>
  <c r="G33" i="13" s="1"/>
  <c r="F35" i="10"/>
  <c r="F33" i="13" s="1"/>
  <c r="E35" i="10"/>
  <c r="E33" i="13" s="1"/>
  <c r="D35" i="10"/>
  <c r="D33" i="13" s="1"/>
  <c r="C35" i="10"/>
  <c r="C33" i="13" s="1"/>
  <c r="B35" i="10"/>
  <c r="B33" i="13" s="1"/>
  <c r="AS34" i="10"/>
  <c r="AR34" i="10"/>
  <c r="AQ34" i="10"/>
  <c r="AP34" i="10"/>
  <c r="AO34" i="10"/>
  <c r="AO41" i="10" s="1"/>
  <c r="AN34" i="10"/>
  <c r="AM34" i="10"/>
  <c r="AL34" i="10"/>
  <c r="AL41" i="10" s="1"/>
  <c r="AK34" i="10"/>
  <c r="AJ34" i="10"/>
  <c r="AJ41" i="10" s="1"/>
  <c r="AI34" i="10"/>
  <c r="AH34" i="10"/>
  <c r="AG34" i="10"/>
  <c r="AF34" i="10"/>
  <c r="AE34" i="10"/>
  <c r="AD34" i="10"/>
  <c r="AC34" i="10"/>
  <c r="AC41" i="10" s="1"/>
  <c r="AB34" i="10"/>
  <c r="AA34" i="10"/>
  <c r="Z34" i="10"/>
  <c r="Z41" i="10" s="1"/>
  <c r="X34" i="10"/>
  <c r="X32" i="13" s="1"/>
  <c r="W34" i="10"/>
  <c r="W32" i="13" s="1"/>
  <c r="V34" i="10"/>
  <c r="V32" i="13" s="1"/>
  <c r="T34" i="10"/>
  <c r="T32" i="13" s="1"/>
  <c r="S34" i="10"/>
  <c r="S32" i="13" s="1"/>
  <c r="R34" i="10"/>
  <c r="R32" i="13" s="1"/>
  <c r="P34" i="10"/>
  <c r="P32" i="13" s="1"/>
  <c r="O34" i="10"/>
  <c r="O32" i="13" s="1"/>
  <c r="N34" i="10"/>
  <c r="N32" i="13" s="1"/>
  <c r="L34" i="10"/>
  <c r="L32" i="13" s="1"/>
  <c r="K34" i="10"/>
  <c r="K32" i="13" s="1"/>
  <c r="J34" i="10"/>
  <c r="J32" i="13" s="1"/>
  <c r="H34" i="10"/>
  <c r="H32" i="13" s="1"/>
  <c r="G34" i="10"/>
  <c r="G32" i="13" s="1"/>
  <c r="F34" i="10"/>
  <c r="F32" i="13" s="1"/>
  <c r="D34" i="10"/>
  <c r="D32" i="13" s="1"/>
  <c r="C34" i="10"/>
  <c r="C32" i="13" s="1"/>
  <c r="B34" i="10"/>
  <c r="B32" i="13" s="1"/>
  <c r="AS32" i="10"/>
  <c r="AR32" i="10"/>
  <c r="AQ32" i="10"/>
  <c r="M30" i="4" s="1"/>
  <c r="AP32" i="10"/>
  <c r="AO32" i="10"/>
  <c r="AN32" i="10"/>
  <c r="AM32" i="10"/>
  <c r="AL32" i="10"/>
  <c r="L30" i="4" s="1"/>
  <c r="AK32" i="10"/>
  <c r="K30" i="4" s="1"/>
  <c r="AJ32" i="10"/>
  <c r="AI32" i="10"/>
  <c r="AH32" i="10"/>
  <c r="AG32" i="10"/>
  <c r="AF32" i="10"/>
  <c r="AE32" i="10"/>
  <c r="AD32" i="10"/>
  <c r="AC32" i="10"/>
  <c r="AB32" i="10"/>
  <c r="AA32" i="10"/>
  <c r="Z32" i="10"/>
  <c r="I30" i="4" s="1"/>
  <c r="Y32" i="10"/>
  <c r="Y31" i="13" s="1"/>
  <c r="X32" i="10"/>
  <c r="X31" i="13" s="1"/>
  <c r="W32" i="10"/>
  <c r="W31" i="13" s="1"/>
  <c r="V32" i="10"/>
  <c r="V31" i="13" s="1"/>
  <c r="U32" i="10"/>
  <c r="U31" i="13" s="1"/>
  <c r="T32" i="10"/>
  <c r="T31" i="13" s="1"/>
  <c r="S32" i="10"/>
  <c r="S31" i="13" s="1"/>
  <c r="R32" i="10"/>
  <c r="R31" i="13" s="1"/>
  <c r="Q32" i="10"/>
  <c r="Q31" i="13" s="1"/>
  <c r="P32" i="10"/>
  <c r="P31" i="13" s="1"/>
  <c r="O32" i="10"/>
  <c r="O31" i="13" s="1"/>
  <c r="N32" i="10"/>
  <c r="N31" i="13" s="1"/>
  <c r="M32" i="10"/>
  <c r="M31" i="13" s="1"/>
  <c r="L32" i="10"/>
  <c r="L31" i="13" s="1"/>
  <c r="K32" i="10"/>
  <c r="K31" i="13" s="1"/>
  <c r="J32" i="10"/>
  <c r="J31" i="13" s="1"/>
  <c r="I32" i="10"/>
  <c r="I31" i="13" s="1"/>
  <c r="H32" i="10"/>
  <c r="H31" i="13" s="1"/>
  <c r="G32" i="10"/>
  <c r="G31" i="13" s="1"/>
  <c r="F32" i="10"/>
  <c r="F31" i="13" s="1"/>
  <c r="E32" i="10"/>
  <c r="E31" i="13" s="1"/>
  <c r="D32" i="10"/>
  <c r="D31" i="13" s="1"/>
  <c r="C32" i="10"/>
  <c r="C31" i="13" s="1"/>
  <c r="B32" i="10"/>
  <c r="B31" i="13" s="1"/>
  <c r="AS31" i="10"/>
  <c r="M29" i="4" s="1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J29" i="4" s="1"/>
  <c r="AF31" i="10"/>
  <c r="AE31" i="10"/>
  <c r="AD31" i="10"/>
  <c r="AC31" i="10"/>
  <c r="AB31" i="10"/>
  <c r="AA31" i="10"/>
  <c r="I29" i="4" s="1"/>
  <c r="Z31" i="10"/>
  <c r="Y31" i="10"/>
  <c r="Y30" i="13" s="1"/>
  <c r="X31" i="10"/>
  <c r="X30" i="13" s="1"/>
  <c r="W31" i="10"/>
  <c r="W30" i="13" s="1"/>
  <c r="V31" i="10"/>
  <c r="V30" i="13" s="1"/>
  <c r="U31" i="10"/>
  <c r="U30" i="13" s="1"/>
  <c r="T31" i="10"/>
  <c r="T30" i="13" s="1"/>
  <c r="S31" i="10"/>
  <c r="S30" i="13" s="1"/>
  <c r="R31" i="10"/>
  <c r="R30" i="13" s="1"/>
  <c r="Q31" i="10"/>
  <c r="Q30" i="13" s="1"/>
  <c r="P31" i="10"/>
  <c r="P30" i="13" s="1"/>
  <c r="O31" i="10"/>
  <c r="O30" i="13" s="1"/>
  <c r="N31" i="10"/>
  <c r="N30" i="13" s="1"/>
  <c r="M31" i="10"/>
  <c r="M30" i="13" s="1"/>
  <c r="L31" i="10"/>
  <c r="L30" i="13" s="1"/>
  <c r="K31" i="10"/>
  <c r="K30" i="13" s="1"/>
  <c r="J31" i="10"/>
  <c r="J30" i="13" s="1"/>
  <c r="I31" i="10"/>
  <c r="I30" i="13" s="1"/>
  <c r="H31" i="10"/>
  <c r="H30" i="13" s="1"/>
  <c r="G31" i="10"/>
  <c r="G30" i="13" s="1"/>
  <c r="F31" i="10"/>
  <c r="F30" i="13" s="1"/>
  <c r="E31" i="10"/>
  <c r="E30" i="13" s="1"/>
  <c r="D31" i="10"/>
  <c r="D30" i="13" s="1"/>
  <c r="C31" i="10"/>
  <c r="C30" i="13" s="1"/>
  <c r="B31" i="10"/>
  <c r="B30" i="13" s="1"/>
  <c r="AS30" i="10"/>
  <c r="AR30" i="10"/>
  <c r="AQ30" i="10"/>
  <c r="AP30" i="10"/>
  <c r="M28" i="4" s="1"/>
  <c r="AO30" i="10"/>
  <c r="L28" i="4" s="1"/>
  <c r="AN30" i="10"/>
  <c r="AM30" i="10"/>
  <c r="AL30" i="10"/>
  <c r="AK30" i="10"/>
  <c r="AJ30" i="10"/>
  <c r="AI30" i="10"/>
  <c r="K28" i="4" s="1"/>
  <c r="AH30" i="10"/>
  <c r="AG30" i="10"/>
  <c r="AF30" i="10"/>
  <c r="AE30" i="10"/>
  <c r="AD30" i="10"/>
  <c r="J28" i="4" s="1"/>
  <c r="AC30" i="10"/>
  <c r="I28" i="4" s="1"/>
  <c r="AB30" i="10"/>
  <c r="AA30" i="10"/>
  <c r="Z30" i="10"/>
  <c r="Y30" i="10"/>
  <c r="Y29" i="13" s="1"/>
  <c r="X30" i="10"/>
  <c r="X29" i="13" s="1"/>
  <c r="W30" i="10"/>
  <c r="W29" i="13" s="1"/>
  <c r="V30" i="10"/>
  <c r="V29" i="13" s="1"/>
  <c r="U30" i="10"/>
  <c r="U29" i="13" s="1"/>
  <c r="T30" i="10"/>
  <c r="T29" i="13" s="1"/>
  <c r="S30" i="10"/>
  <c r="S29" i="13" s="1"/>
  <c r="R30" i="10"/>
  <c r="R29" i="13" s="1"/>
  <c r="Q30" i="10"/>
  <c r="Q29" i="13" s="1"/>
  <c r="P30" i="10"/>
  <c r="P29" i="13" s="1"/>
  <c r="O30" i="10"/>
  <c r="O29" i="13" s="1"/>
  <c r="N30" i="10"/>
  <c r="N29" i="13" s="1"/>
  <c r="M30" i="10"/>
  <c r="M29" i="13" s="1"/>
  <c r="L30" i="10"/>
  <c r="L29" i="13" s="1"/>
  <c r="K30" i="10"/>
  <c r="K29" i="13" s="1"/>
  <c r="J30" i="10"/>
  <c r="J29" i="13" s="1"/>
  <c r="I30" i="10"/>
  <c r="I29" i="13" s="1"/>
  <c r="H30" i="10"/>
  <c r="H29" i="13" s="1"/>
  <c r="G30" i="10"/>
  <c r="G29" i="13" s="1"/>
  <c r="F30" i="10"/>
  <c r="F29" i="13" s="1"/>
  <c r="E30" i="10"/>
  <c r="E29" i="13" s="1"/>
  <c r="D30" i="10"/>
  <c r="D29" i="13" s="1"/>
  <c r="C30" i="10"/>
  <c r="C29" i="13" s="1"/>
  <c r="B30" i="10"/>
  <c r="B29" i="13" s="1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S28" i="10"/>
  <c r="AR28" i="10"/>
  <c r="AQ28" i="10"/>
  <c r="AP28" i="10"/>
  <c r="AO28" i="10"/>
  <c r="AN28" i="10"/>
  <c r="AM28" i="10"/>
  <c r="AL28" i="10"/>
  <c r="L26" i="4" s="1"/>
  <c r="AK28" i="10"/>
  <c r="K26" i="4" s="1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Y27" i="13" s="1"/>
  <c r="X28" i="10"/>
  <c r="X27" i="13" s="1"/>
  <c r="W28" i="10"/>
  <c r="W27" i="13" s="1"/>
  <c r="V28" i="10"/>
  <c r="V27" i="13" s="1"/>
  <c r="U28" i="10"/>
  <c r="U27" i="13" s="1"/>
  <c r="T28" i="10"/>
  <c r="T27" i="13" s="1"/>
  <c r="S28" i="10"/>
  <c r="S27" i="13" s="1"/>
  <c r="R28" i="10"/>
  <c r="R27" i="13" s="1"/>
  <c r="Q28" i="10"/>
  <c r="Q27" i="13" s="1"/>
  <c r="P28" i="10"/>
  <c r="P27" i="13" s="1"/>
  <c r="O28" i="10"/>
  <c r="O27" i="13" s="1"/>
  <c r="N28" i="10"/>
  <c r="N27" i="13" s="1"/>
  <c r="M28" i="10"/>
  <c r="M27" i="13" s="1"/>
  <c r="L28" i="10"/>
  <c r="L27" i="13" s="1"/>
  <c r="K28" i="10"/>
  <c r="K27" i="13" s="1"/>
  <c r="J28" i="10"/>
  <c r="J27" i="13" s="1"/>
  <c r="I28" i="10"/>
  <c r="I27" i="13" s="1"/>
  <c r="H28" i="10"/>
  <c r="H27" i="13" s="1"/>
  <c r="G28" i="10"/>
  <c r="G27" i="13" s="1"/>
  <c r="F28" i="10"/>
  <c r="F27" i="13" s="1"/>
  <c r="E28" i="10"/>
  <c r="E27" i="13" s="1"/>
  <c r="D28" i="10"/>
  <c r="D27" i="13" s="1"/>
  <c r="C28" i="10"/>
  <c r="C27" i="13" s="1"/>
  <c r="B28" i="10"/>
  <c r="B27" i="13" s="1"/>
  <c r="AS27" i="10"/>
  <c r="M25" i="4" s="1"/>
  <c r="AR27" i="10"/>
  <c r="AQ27" i="10"/>
  <c r="AP27" i="10"/>
  <c r="AO27" i="10"/>
  <c r="AN27" i="10"/>
  <c r="AM27" i="10"/>
  <c r="L25" i="4" s="1"/>
  <c r="AL27" i="10"/>
  <c r="AK27" i="10"/>
  <c r="AJ27" i="10"/>
  <c r="AI27" i="10"/>
  <c r="AH27" i="10"/>
  <c r="K25" i="4" s="1"/>
  <c r="AG27" i="10"/>
  <c r="J25" i="4" s="1"/>
  <c r="AF27" i="10"/>
  <c r="AE27" i="10"/>
  <c r="AD27" i="10"/>
  <c r="AC27" i="10"/>
  <c r="AB27" i="10"/>
  <c r="AA27" i="10"/>
  <c r="I25" i="4" s="1"/>
  <c r="Z27" i="10"/>
  <c r="Y27" i="10"/>
  <c r="Y26" i="13" s="1"/>
  <c r="X27" i="10"/>
  <c r="X26" i="13" s="1"/>
  <c r="W27" i="10"/>
  <c r="W26" i="13" s="1"/>
  <c r="V27" i="10"/>
  <c r="V26" i="13" s="1"/>
  <c r="U27" i="10"/>
  <c r="U26" i="13" s="1"/>
  <c r="T27" i="10"/>
  <c r="T26" i="13" s="1"/>
  <c r="S27" i="10"/>
  <c r="S26" i="13" s="1"/>
  <c r="R27" i="10"/>
  <c r="R26" i="13" s="1"/>
  <c r="Q27" i="10"/>
  <c r="Q26" i="13" s="1"/>
  <c r="P27" i="10"/>
  <c r="P26" i="13" s="1"/>
  <c r="O27" i="10"/>
  <c r="O26" i="13" s="1"/>
  <c r="N27" i="10"/>
  <c r="N26" i="13" s="1"/>
  <c r="M27" i="10"/>
  <c r="M26" i="13" s="1"/>
  <c r="L27" i="10"/>
  <c r="L26" i="13" s="1"/>
  <c r="K27" i="10"/>
  <c r="K26" i="13" s="1"/>
  <c r="J27" i="10"/>
  <c r="J26" i="13" s="1"/>
  <c r="I27" i="10"/>
  <c r="I26" i="13" s="1"/>
  <c r="H27" i="10"/>
  <c r="H26" i="13" s="1"/>
  <c r="G27" i="10"/>
  <c r="G26" i="13" s="1"/>
  <c r="F27" i="10"/>
  <c r="F26" i="13" s="1"/>
  <c r="E27" i="10"/>
  <c r="E26" i="13" s="1"/>
  <c r="D27" i="10"/>
  <c r="D26" i="13" s="1"/>
  <c r="C27" i="10"/>
  <c r="C26" i="13" s="1"/>
  <c r="B27" i="10"/>
  <c r="B26" i="13" s="1"/>
  <c r="AS26" i="10"/>
  <c r="AR26" i="10"/>
  <c r="AQ26" i="10"/>
  <c r="AP26" i="10"/>
  <c r="M24" i="4" s="1"/>
  <c r="AO26" i="10"/>
  <c r="L24" i="4" s="1"/>
  <c r="AN26" i="10"/>
  <c r="AM26" i="10"/>
  <c r="AL26" i="10"/>
  <c r="AK26" i="10"/>
  <c r="AJ26" i="10"/>
  <c r="AI26" i="10"/>
  <c r="AH26" i="10"/>
  <c r="AG26" i="10"/>
  <c r="AF26" i="10"/>
  <c r="AE26" i="10"/>
  <c r="AD26" i="10"/>
  <c r="J24" i="4" s="1"/>
  <c r="AC26" i="10"/>
  <c r="I24" i="4" s="1"/>
  <c r="AB26" i="10"/>
  <c r="AA26" i="10"/>
  <c r="Z26" i="10"/>
  <c r="Y26" i="10"/>
  <c r="Y25" i="13" s="1"/>
  <c r="X26" i="10"/>
  <c r="X25" i="13" s="1"/>
  <c r="W26" i="10"/>
  <c r="W25" i="13" s="1"/>
  <c r="V26" i="10"/>
  <c r="V25" i="13" s="1"/>
  <c r="U26" i="10"/>
  <c r="U25" i="13" s="1"/>
  <c r="T26" i="10"/>
  <c r="T25" i="13" s="1"/>
  <c r="S26" i="10"/>
  <c r="S25" i="13" s="1"/>
  <c r="R26" i="10"/>
  <c r="R25" i="13" s="1"/>
  <c r="Q26" i="10"/>
  <c r="Q25" i="13" s="1"/>
  <c r="P26" i="10"/>
  <c r="P25" i="13" s="1"/>
  <c r="O26" i="10"/>
  <c r="O25" i="13" s="1"/>
  <c r="N26" i="10"/>
  <c r="N25" i="13" s="1"/>
  <c r="M26" i="10"/>
  <c r="M25" i="13" s="1"/>
  <c r="L26" i="10"/>
  <c r="L25" i="13" s="1"/>
  <c r="K26" i="10"/>
  <c r="K25" i="13" s="1"/>
  <c r="J26" i="10"/>
  <c r="J25" i="13" s="1"/>
  <c r="I26" i="10"/>
  <c r="I25" i="13" s="1"/>
  <c r="H26" i="10"/>
  <c r="H25" i="13" s="1"/>
  <c r="G26" i="10"/>
  <c r="G25" i="13" s="1"/>
  <c r="F26" i="10"/>
  <c r="F25" i="13" s="1"/>
  <c r="E26" i="10"/>
  <c r="E25" i="13" s="1"/>
  <c r="D26" i="10"/>
  <c r="D25" i="13" s="1"/>
  <c r="C26" i="10"/>
  <c r="C25" i="13" s="1"/>
  <c r="B26" i="10"/>
  <c r="B25" i="13" s="1"/>
  <c r="Y25" i="10"/>
  <c r="Y24" i="13" s="1"/>
  <c r="X25" i="10"/>
  <c r="X24" i="13" s="1"/>
  <c r="W25" i="10"/>
  <c r="W24" i="13" s="1"/>
  <c r="V25" i="10"/>
  <c r="V24" i="13" s="1"/>
  <c r="U25" i="10"/>
  <c r="U24" i="13" s="1"/>
  <c r="T25" i="10"/>
  <c r="T24" i="13" s="1"/>
  <c r="S25" i="10"/>
  <c r="S24" i="13" s="1"/>
  <c r="R25" i="10"/>
  <c r="R24" i="13" s="1"/>
  <c r="Q25" i="10"/>
  <c r="Q24" i="13" s="1"/>
  <c r="P25" i="10"/>
  <c r="P24" i="13" s="1"/>
  <c r="O25" i="10"/>
  <c r="O24" i="13" s="1"/>
  <c r="N25" i="10"/>
  <c r="N24" i="13" s="1"/>
  <c r="M25" i="10"/>
  <c r="M24" i="13" s="1"/>
  <c r="L25" i="10"/>
  <c r="L24" i="13" s="1"/>
  <c r="K25" i="10"/>
  <c r="K24" i="13" s="1"/>
  <c r="J25" i="10"/>
  <c r="J24" i="13" s="1"/>
  <c r="I25" i="10"/>
  <c r="I24" i="13" s="1"/>
  <c r="H25" i="10"/>
  <c r="H24" i="13" s="1"/>
  <c r="G25" i="10"/>
  <c r="G24" i="13" s="1"/>
  <c r="F25" i="10"/>
  <c r="F24" i="13" s="1"/>
  <c r="E25" i="10"/>
  <c r="E24" i="13" s="1"/>
  <c r="D25" i="10"/>
  <c r="D24" i="13" s="1"/>
  <c r="C25" i="10"/>
  <c r="C24" i="13" s="1"/>
  <c r="B25" i="10"/>
  <c r="B24" i="13" s="1"/>
  <c r="AS23" i="10"/>
  <c r="AR23" i="10"/>
  <c r="AQ23" i="10"/>
  <c r="M21" i="4" s="1"/>
  <c r="AP23" i="10"/>
  <c r="AO23" i="10"/>
  <c r="AN23" i="10"/>
  <c r="AM23" i="10"/>
  <c r="AL23" i="10"/>
  <c r="L21" i="4" s="1"/>
  <c r="AK23" i="10"/>
  <c r="K21" i="4" s="1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Y23" i="13" s="1"/>
  <c r="X23" i="10"/>
  <c r="X23" i="13" s="1"/>
  <c r="W23" i="10"/>
  <c r="W23" i="13" s="1"/>
  <c r="V23" i="10"/>
  <c r="V23" i="13" s="1"/>
  <c r="U23" i="10"/>
  <c r="U23" i="13" s="1"/>
  <c r="T23" i="10"/>
  <c r="T23" i="13" s="1"/>
  <c r="S23" i="10"/>
  <c r="S23" i="13" s="1"/>
  <c r="R23" i="10"/>
  <c r="R23" i="13" s="1"/>
  <c r="Q23" i="10"/>
  <c r="Q23" i="13" s="1"/>
  <c r="P23" i="10"/>
  <c r="P23" i="13" s="1"/>
  <c r="O23" i="10"/>
  <c r="O23" i="13" s="1"/>
  <c r="N23" i="10"/>
  <c r="N23" i="13" s="1"/>
  <c r="M23" i="10"/>
  <c r="M23" i="13" s="1"/>
  <c r="L23" i="10"/>
  <c r="L23" i="13" s="1"/>
  <c r="K23" i="10"/>
  <c r="K23" i="13" s="1"/>
  <c r="J23" i="10"/>
  <c r="J23" i="13" s="1"/>
  <c r="I23" i="10"/>
  <c r="I23" i="13" s="1"/>
  <c r="H23" i="10"/>
  <c r="H23" i="13" s="1"/>
  <c r="G23" i="10"/>
  <c r="G23" i="13" s="1"/>
  <c r="F23" i="10"/>
  <c r="F23" i="13" s="1"/>
  <c r="E23" i="10"/>
  <c r="E23" i="13" s="1"/>
  <c r="D23" i="10"/>
  <c r="D23" i="13" s="1"/>
  <c r="C23" i="10"/>
  <c r="C23" i="13" s="1"/>
  <c r="B23" i="10"/>
  <c r="B23" i="13" s="1"/>
  <c r="AS22" i="10"/>
  <c r="AR22" i="10"/>
  <c r="AQ22" i="10"/>
  <c r="AP22" i="10"/>
  <c r="AO22" i="10"/>
  <c r="AN22" i="10"/>
  <c r="AM22" i="10"/>
  <c r="L20" i="4" s="1"/>
  <c r="AL22" i="10"/>
  <c r="AK22" i="10"/>
  <c r="AJ22" i="10"/>
  <c r="AI22" i="10"/>
  <c r="AH22" i="10"/>
  <c r="K20" i="4" s="1"/>
  <c r="AG22" i="10"/>
  <c r="J20" i="4" s="1"/>
  <c r="AF22" i="10"/>
  <c r="AE22" i="10"/>
  <c r="AD22" i="10"/>
  <c r="AC22" i="10"/>
  <c r="AB22" i="10"/>
  <c r="AA22" i="10"/>
  <c r="I20" i="4" s="1"/>
  <c r="Z22" i="10"/>
  <c r="Y22" i="10"/>
  <c r="Y22" i="13" s="1"/>
  <c r="X22" i="10"/>
  <c r="X22" i="13" s="1"/>
  <c r="W22" i="10"/>
  <c r="W22" i="13" s="1"/>
  <c r="V22" i="10"/>
  <c r="V22" i="13" s="1"/>
  <c r="U22" i="10"/>
  <c r="U22" i="13" s="1"/>
  <c r="T22" i="10"/>
  <c r="T22" i="13" s="1"/>
  <c r="S22" i="10"/>
  <c r="S22" i="13" s="1"/>
  <c r="R22" i="10"/>
  <c r="R22" i="13" s="1"/>
  <c r="Q22" i="10"/>
  <c r="Q22" i="13" s="1"/>
  <c r="P22" i="10"/>
  <c r="P22" i="13" s="1"/>
  <c r="O22" i="10"/>
  <c r="O22" i="13" s="1"/>
  <c r="N22" i="10"/>
  <c r="N22" i="13" s="1"/>
  <c r="M22" i="10"/>
  <c r="M22" i="13" s="1"/>
  <c r="L22" i="10"/>
  <c r="L22" i="13" s="1"/>
  <c r="K22" i="10"/>
  <c r="K22" i="13" s="1"/>
  <c r="J22" i="10"/>
  <c r="J22" i="13" s="1"/>
  <c r="I22" i="10"/>
  <c r="I22" i="13" s="1"/>
  <c r="H22" i="10"/>
  <c r="H22" i="13" s="1"/>
  <c r="G22" i="10"/>
  <c r="G22" i="13" s="1"/>
  <c r="F22" i="10"/>
  <c r="F22" i="13" s="1"/>
  <c r="E22" i="10"/>
  <c r="E22" i="13" s="1"/>
  <c r="D22" i="10"/>
  <c r="D22" i="13" s="1"/>
  <c r="C22" i="10"/>
  <c r="C22" i="13" s="1"/>
  <c r="B22" i="10"/>
  <c r="B22" i="13" s="1"/>
  <c r="AS21" i="10"/>
  <c r="AR21" i="10"/>
  <c r="AQ21" i="10"/>
  <c r="AP21" i="10"/>
  <c r="M19" i="4" s="1"/>
  <c r="AO21" i="10"/>
  <c r="L19" i="4" s="1"/>
  <c r="AN21" i="10"/>
  <c r="AM21" i="10"/>
  <c r="AL21" i="10"/>
  <c r="AK21" i="10"/>
  <c r="AJ21" i="10"/>
  <c r="AI21" i="10"/>
  <c r="K19" i="4" s="1"/>
  <c r="AH21" i="10"/>
  <c r="AG21" i="10"/>
  <c r="AF21" i="10"/>
  <c r="AE21" i="10"/>
  <c r="AD21" i="10"/>
  <c r="J19" i="4" s="1"/>
  <c r="AC21" i="10"/>
  <c r="I19" i="4" s="1"/>
  <c r="AB21" i="10"/>
  <c r="AA21" i="10"/>
  <c r="Z21" i="10"/>
  <c r="Y21" i="10"/>
  <c r="Y21" i="13" s="1"/>
  <c r="X21" i="10"/>
  <c r="X21" i="13" s="1"/>
  <c r="W21" i="10"/>
  <c r="W21" i="13" s="1"/>
  <c r="V21" i="10"/>
  <c r="V21" i="13" s="1"/>
  <c r="U21" i="10"/>
  <c r="U21" i="13" s="1"/>
  <c r="T21" i="10"/>
  <c r="T21" i="13" s="1"/>
  <c r="S21" i="10"/>
  <c r="S21" i="13" s="1"/>
  <c r="R21" i="10"/>
  <c r="R21" i="13" s="1"/>
  <c r="Q21" i="10"/>
  <c r="Q21" i="13" s="1"/>
  <c r="P21" i="10"/>
  <c r="P21" i="13" s="1"/>
  <c r="O21" i="10"/>
  <c r="O21" i="13" s="1"/>
  <c r="N21" i="10"/>
  <c r="N21" i="13" s="1"/>
  <c r="M21" i="10"/>
  <c r="M21" i="13" s="1"/>
  <c r="L21" i="10"/>
  <c r="L21" i="13" s="1"/>
  <c r="K21" i="10"/>
  <c r="K21" i="13" s="1"/>
  <c r="J21" i="10"/>
  <c r="J21" i="13" s="1"/>
  <c r="I21" i="10"/>
  <c r="I21" i="13" s="1"/>
  <c r="H21" i="10"/>
  <c r="H21" i="13" s="1"/>
  <c r="G21" i="10"/>
  <c r="G21" i="13" s="1"/>
  <c r="F21" i="10"/>
  <c r="F21" i="13" s="1"/>
  <c r="E21" i="10"/>
  <c r="E21" i="13" s="1"/>
  <c r="D21" i="10"/>
  <c r="D21" i="13" s="1"/>
  <c r="C21" i="10"/>
  <c r="C21" i="13" s="1"/>
  <c r="B21" i="10"/>
  <c r="B21" i="13" s="1"/>
  <c r="Y20" i="10"/>
  <c r="Y20" i="13" s="1"/>
  <c r="X20" i="10"/>
  <c r="X20" i="13" s="1"/>
  <c r="W20" i="10"/>
  <c r="W20" i="13" s="1"/>
  <c r="V20" i="10"/>
  <c r="V20" i="13" s="1"/>
  <c r="U20" i="10"/>
  <c r="U20" i="13" s="1"/>
  <c r="T20" i="10"/>
  <c r="T20" i="13" s="1"/>
  <c r="S20" i="10"/>
  <c r="S20" i="13" s="1"/>
  <c r="R20" i="10"/>
  <c r="R20" i="13" s="1"/>
  <c r="Q20" i="10"/>
  <c r="Q20" i="13" s="1"/>
  <c r="P20" i="10"/>
  <c r="P20" i="13" s="1"/>
  <c r="O20" i="10"/>
  <c r="O20" i="13" s="1"/>
  <c r="N20" i="10"/>
  <c r="N20" i="13" s="1"/>
  <c r="M20" i="10"/>
  <c r="M20" i="13" s="1"/>
  <c r="L20" i="10"/>
  <c r="L20" i="13" s="1"/>
  <c r="K20" i="10"/>
  <c r="K20" i="13" s="1"/>
  <c r="J20" i="10"/>
  <c r="J20" i="13" s="1"/>
  <c r="I20" i="10"/>
  <c r="I20" i="13" s="1"/>
  <c r="H20" i="10"/>
  <c r="H20" i="13" s="1"/>
  <c r="G20" i="10"/>
  <c r="G20" i="13" s="1"/>
  <c r="F20" i="10"/>
  <c r="F20" i="13" s="1"/>
  <c r="E20" i="10"/>
  <c r="E20" i="13" s="1"/>
  <c r="D20" i="10"/>
  <c r="D20" i="13" s="1"/>
  <c r="C20" i="10"/>
  <c r="C20" i="13" s="1"/>
  <c r="B20" i="10"/>
  <c r="B20" i="13" s="1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X19" i="10"/>
  <c r="X19" i="13" s="1"/>
  <c r="W19" i="10"/>
  <c r="W19" i="13" s="1"/>
  <c r="V19" i="10"/>
  <c r="V19" i="13" s="1"/>
  <c r="T19" i="10"/>
  <c r="T19" i="13" s="1"/>
  <c r="S19" i="10"/>
  <c r="S19" i="13" s="1"/>
  <c r="R19" i="10"/>
  <c r="R19" i="13" s="1"/>
  <c r="P19" i="10"/>
  <c r="P19" i="13" s="1"/>
  <c r="O19" i="10"/>
  <c r="O19" i="13" s="1"/>
  <c r="N19" i="10"/>
  <c r="N19" i="13" s="1"/>
  <c r="L19" i="10"/>
  <c r="L19" i="13" s="1"/>
  <c r="K19" i="10"/>
  <c r="K19" i="13" s="1"/>
  <c r="J19" i="10"/>
  <c r="J19" i="13" s="1"/>
  <c r="H19" i="10"/>
  <c r="H19" i="13" s="1"/>
  <c r="G19" i="10"/>
  <c r="G19" i="13" s="1"/>
  <c r="F19" i="10"/>
  <c r="F19" i="13" s="1"/>
  <c r="D19" i="10"/>
  <c r="D19" i="13" s="1"/>
  <c r="C19" i="10"/>
  <c r="C19" i="13" s="1"/>
  <c r="B19" i="10"/>
  <c r="B19" i="13" s="1"/>
  <c r="Y18" i="10"/>
  <c r="Y18" i="13" s="1"/>
  <c r="X18" i="10"/>
  <c r="X18" i="13" s="1"/>
  <c r="W18" i="10"/>
  <c r="W18" i="13" s="1"/>
  <c r="V18" i="10"/>
  <c r="V18" i="13" s="1"/>
  <c r="U18" i="10"/>
  <c r="U18" i="13" s="1"/>
  <c r="T18" i="10"/>
  <c r="T18" i="13" s="1"/>
  <c r="S18" i="10"/>
  <c r="S18" i="13" s="1"/>
  <c r="R18" i="10"/>
  <c r="R18" i="13" s="1"/>
  <c r="Q18" i="10"/>
  <c r="Q18" i="13" s="1"/>
  <c r="P18" i="10"/>
  <c r="P18" i="13" s="1"/>
  <c r="O18" i="10"/>
  <c r="O18" i="13" s="1"/>
  <c r="N18" i="10"/>
  <c r="N18" i="13" s="1"/>
  <c r="M18" i="10"/>
  <c r="M18" i="13" s="1"/>
  <c r="L18" i="10"/>
  <c r="L18" i="13" s="1"/>
  <c r="K18" i="10"/>
  <c r="K18" i="13" s="1"/>
  <c r="J18" i="10"/>
  <c r="J18" i="13" s="1"/>
  <c r="I18" i="10"/>
  <c r="I18" i="13" s="1"/>
  <c r="H18" i="10"/>
  <c r="H18" i="13" s="1"/>
  <c r="G18" i="10"/>
  <c r="G18" i="13" s="1"/>
  <c r="F18" i="10"/>
  <c r="F18" i="13" s="1"/>
  <c r="E18" i="10"/>
  <c r="E18" i="13" s="1"/>
  <c r="D18" i="10"/>
  <c r="D18" i="13" s="1"/>
  <c r="C18" i="10"/>
  <c r="C18" i="13" s="1"/>
  <c r="B18" i="10"/>
  <c r="B18" i="13" s="1"/>
  <c r="Y17" i="10"/>
  <c r="Y17" i="13" s="1"/>
  <c r="X17" i="10"/>
  <c r="X17" i="13" s="1"/>
  <c r="W17" i="10"/>
  <c r="W17" i="13" s="1"/>
  <c r="V17" i="10"/>
  <c r="V17" i="13" s="1"/>
  <c r="U17" i="10"/>
  <c r="U17" i="13" s="1"/>
  <c r="T17" i="10"/>
  <c r="T17" i="13" s="1"/>
  <c r="S17" i="10"/>
  <c r="S17" i="13" s="1"/>
  <c r="R17" i="10"/>
  <c r="R17" i="13" s="1"/>
  <c r="Q17" i="10"/>
  <c r="Q17" i="13" s="1"/>
  <c r="P17" i="10"/>
  <c r="P17" i="13" s="1"/>
  <c r="O17" i="10"/>
  <c r="O17" i="13" s="1"/>
  <c r="N17" i="10"/>
  <c r="N17" i="13" s="1"/>
  <c r="M17" i="10"/>
  <c r="M17" i="13" s="1"/>
  <c r="L17" i="10"/>
  <c r="L17" i="13" s="1"/>
  <c r="K17" i="10"/>
  <c r="K17" i="13" s="1"/>
  <c r="J17" i="10"/>
  <c r="J17" i="13" s="1"/>
  <c r="I17" i="10"/>
  <c r="I17" i="13" s="1"/>
  <c r="H17" i="10"/>
  <c r="H17" i="13" s="1"/>
  <c r="G17" i="10"/>
  <c r="G17" i="13" s="1"/>
  <c r="F17" i="10"/>
  <c r="F17" i="13" s="1"/>
  <c r="E17" i="10"/>
  <c r="E17" i="13" s="1"/>
  <c r="D17" i="10"/>
  <c r="D17" i="13" s="1"/>
  <c r="C17" i="10"/>
  <c r="C17" i="13" s="1"/>
  <c r="B17" i="10"/>
  <c r="B17" i="13" s="1"/>
  <c r="Y16" i="10"/>
  <c r="Y16" i="13" s="1"/>
  <c r="X16" i="10"/>
  <c r="X16" i="13" s="1"/>
  <c r="W16" i="10"/>
  <c r="W16" i="13" s="1"/>
  <c r="V16" i="10"/>
  <c r="V16" i="13" s="1"/>
  <c r="U16" i="10"/>
  <c r="U16" i="13" s="1"/>
  <c r="T16" i="10"/>
  <c r="T16" i="13" s="1"/>
  <c r="S16" i="10"/>
  <c r="S16" i="13" s="1"/>
  <c r="R16" i="10"/>
  <c r="R16" i="13" s="1"/>
  <c r="Q16" i="10"/>
  <c r="Q16" i="13" s="1"/>
  <c r="P16" i="10"/>
  <c r="P16" i="13" s="1"/>
  <c r="O16" i="10"/>
  <c r="O16" i="13" s="1"/>
  <c r="N16" i="10"/>
  <c r="N16" i="13" s="1"/>
  <c r="M16" i="10"/>
  <c r="M16" i="13" s="1"/>
  <c r="L16" i="10"/>
  <c r="L16" i="13" s="1"/>
  <c r="K16" i="10"/>
  <c r="K16" i="13" s="1"/>
  <c r="J16" i="10"/>
  <c r="J16" i="13" s="1"/>
  <c r="I16" i="10"/>
  <c r="I16" i="13" s="1"/>
  <c r="H16" i="10"/>
  <c r="H16" i="13" s="1"/>
  <c r="G16" i="10"/>
  <c r="G16" i="13" s="1"/>
  <c r="F16" i="10"/>
  <c r="F16" i="13" s="1"/>
  <c r="E16" i="10"/>
  <c r="E16" i="13" s="1"/>
  <c r="D16" i="10"/>
  <c r="D16" i="13" s="1"/>
  <c r="C16" i="10"/>
  <c r="C16" i="13" s="1"/>
  <c r="B16" i="10"/>
  <c r="B16" i="13" s="1"/>
  <c r="Y15" i="10"/>
  <c r="Y15" i="13" s="1"/>
  <c r="X15" i="10"/>
  <c r="X15" i="13" s="1"/>
  <c r="W15" i="10"/>
  <c r="W15" i="13" s="1"/>
  <c r="V15" i="10"/>
  <c r="V15" i="13" s="1"/>
  <c r="U15" i="10"/>
  <c r="U15" i="13" s="1"/>
  <c r="T15" i="10"/>
  <c r="T15" i="13" s="1"/>
  <c r="S15" i="10"/>
  <c r="S15" i="13" s="1"/>
  <c r="R15" i="10"/>
  <c r="R15" i="13" s="1"/>
  <c r="Q15" i="10"/>
  <c r="Q15" i="13" s="1"/>
  <c r="P15" i="10"/>
  <c r="P15" i="13" s="1"/>
  <c r="O15" i="10"/>
  <c r="O15" i="13" s="1"/>
  <c r="N15" i="10"/>
  <c r="N15" i="13" s="1"/>
  <c r="M15" i="10"/>
  <c r="M15" i="13" s="1"/>
  <c r="L15" i="10"/>
  <c r="L15" i="13" s="1"/>
  <c r="K15" i="10"/>
  <c r="K15" i="13" s="1"/>
  <c r="J15" i="10"/>
  <c r="J15" i="13" s="1"/>
  <c r="I15" i="10"/>
  <c r="I15" i="13" s="1"/>
  <c r="H15" i="10"/>
  <c r="H15" i="13" s="1"/>
  <c r="G15" i="10"/>
  <c r="G15" i="13" s="1"/>
  <c r="F15" i="10"/>
  <c r="F15" i="13" s="1"/>
  <c r="E15" i="10"/>
  <c r="E15" i="13" s="1"/>
  <c r="D15" i="10"/>
  <c r="D15" i="13" s="1"/>
  <c r="C15" i="10"/>
  <c r="C15" i="13" s="1"/>
  <c r="B15" i="10"/>
  <c r="B15" i="13" s="1"/>
  <c r="Y14" i="10"/>
  <c r="Y14" i="13" s="1"/>
  <c r="X14" i="10"/>
  <c r="X14" i="13" s="1"/>
  <c r="W14" i="10"/>
  <c r="W14" i="13" s="1"/>
  <c r="V14" i="10"/>
  <c r="V14" i="13" s="1"/>
  <c r="U14" i="10"/>
  <c r="U14" i="13" s="1"/>
  <c r="T14" i="10"/>
  <c r="T14" i="13" s="1"/>
  <c r="S14" i="10"/>
  <c r="S14" i="13" s="1"/>
  <c r="R14" i="10"/>
  <c r="R14" i="13" s="1"/>
  <c r="Q14" i="10"/>
  <c r="Q14" i="13" s="1"/>
  <c r="P14" i="10"/>
  <c r="P14" i="13" s="1"/>
  <c r="O14" i="10"/>
  <c r="O14" i="13" s="1"/>
  <c r="N14" i="10"/>
  <c r="N14" i="13" s="1"/>
  <c r="M14" i="10"/>
  <c r="M14" i="13" s="1"/>
  <c r="L14" i="10"/>
  <c r="L14" i="13" s="1"/>
  <c r="K14" i="10"/>
  <c r="K14" i="13" s="1"/>
  <c r="J14" i="10"/>
  <c r="J14" i="13" s="1"/>
  <c r="I14" i="10"/>
  <c r="I14" i="13" s="1"/>
  <c r="H14" i="10"/>
  <c r="H14" i="13" s="1"/>
  <c r="G14" i="10"/>
  <c r="G14" i="13" s="1"/>
  <c r="F14" i="10"/>
  <c r="F14" i="13" s="1"/>
  <c r="E14" i="10"/>
  <c r="E14" i="13" s="1"/>
  <c r="D14" i="10"/>
  <c r="D14" i="13" s="1"/>
  <c r="C14" i="10"/>
  <c r="C14" i="13" s="1"/>
  <c r="B14" i="10"/>
  <c r="B14" i="13" s="1"/>
  <c r="Y13" i="10"/>
  <c r="Y13" i="13" s="1"/>
  <c r="X13" i="10"/>
  <c r="X13" i="13" s="1"/>
  <c r="W13" i="10"/>
  <c r="W13" i="13" s="1"/>
  <c r="V13" i="10"/>
  <c r="V13" i="13" s="1"/>
  <c r="U13" i="10"/>
  <c r="U13" i="13" s="1"/>
  <c r="T13" i="10"/>
  <c r="T13" i="13" s="1"/>
  <c r="S13" i="10"/>
  <c r="S13" i="13" s="1"/>
  <c r="R13" i="10"/>
  <c r="R13" i="13" s="1"/>
  <c r="Q13" i="10"/>
  <c r="Q13" i="13" s="1"/>
  <c r="P13" i="10"/>
  <c r="P13" i="13" s="1"/>
  <c r="O13" i="10"/>
  <c r="O13" i="13" s="1"/>
  <c r="N13" i="10"/>
  <c r="N13" i="13" s="1"/>
  <c r="M13" i="10"/>
  <c r="M13" i="13" s="1"/>
  <c r="L13" i="10"/>
  <c r="L13" i="13" s="1"/>
  <c r="K13" i="10"/>
  <c r="K13" i="13" s="1"/>
  <c r="J13" i="10"/>
  <c r="J13" i="13" s="1"/>
  <c r="I13" i="10"/>
  <c r="I13" i="13" s="1"/>
  <c r="H13" i="10"/>
  <c r="H13" i="13" s="1"/>
  <c r="G13" i="10"/>
  <c r="G13" i="13" s="1"/>
  <c r="F13" i="10"/>
  <c r="F13" i="13" s="1"/>
  <c r="E13" i="10"/>
  <c r="E13" i="13" s="1"/>
  <c r="D13" i="10"/>
  <c r="D13" i="13" s="1"/>
  <c r="C13" i="10"/>
  <c r="C13" i="13" s="1"/>
  <c r="B13" i="10"/>
  <c r="B13" i="13" s="1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X12" i="10"/>
  <c r="X12" i="13" s="1"/>
  <c r="W12" i="10"/>
  <c r="W12" i="13" s="1"/>
  <c r="V12" i="10"/>
  <c r="V12" i="13" s="1"/>
  <c r="T12" i="10"/>
  <c r="T12" i="13" s="1"/>
  <c r="S12" i="10"/>
  <c r="S12" i="13" s="1"/>
  <c r="R12" i="10"/>
  <c r="R12" i="13" s="1"/>
  <c r="P12" i="10"/>
  <c r="P12" i="13" s="1"/>
  <c r="O12" i="10"/>
  <c r="O12" i="13" s="1"/>
  <c r="N12" i="10"/>
  <c r="N12" i="13" s="1"/>
  <c r="L12" i="10"/>
  <c r="L12" i="13" s="1"/>
  <c r="K12" i="10"/>
  <c r="K12" i="13" s="1"/>
  <c r="J12" i="10"/>
  <c r="J12" i="13" s="1"/>
  <c r="H12" i="10"/>
  <c r="H12" i="13" s="1"/>
  <c r="G12" i="10"/>
  <c r="G12" i="13" s="1"/>
  <c r="F12" i="10"/>
  <c r="F12" i="13" s="1"/>
  <c r="D12" i="10"/>
  <c r="D12" i="13" s="1"/>
  <c r="C12" i="10"/>
  <c r="C12" i="13" s="1"/>
  <c r="B12" i="10"/>
  <c r="B12" i="13" s="1"/>
  <c r="Y11" i="10"/>
  <c r="Y11" i="13" s="1"/>
  <c r="X11" i="10"/>
  <c r="X11" i="13" s="1"/>
  <c r="W11" i="10"/>
  <c r="W11" i="13" s="1"/>
  <c r="V11" i="10"/>
  <c r="V11" i="13" s="1"/>
  <c r="U11" i="10"/>
  <c r="U11" i="13" s="1"/>
  <c r="T11" i="10"/>
  <c r="T11" i="13" s="1"/>
  <c r="S11" i="10"/>
  <c r="S11" i="13" s="1"/>
  <c r="R11" i="10"/>
  <c r="R11" i="13" s="1"/>
  <c r="Q11" i="10"/>
  <c r="Q11" i="13" s="1"/>
  <c r="P11" i="10"/>
  <c r="P11" i="13" s="1"/>
  <c r="O11" i="10"/>
  <c r="O11" i="13" s="1"/>
  <c r="N11" i="10"/>
  <c r="N11" i="13" s="1"/>
  <c r="M11" i="10"/>
  <c r="M11" i="13" s="1"/>
  <c r="L11" i="10"/>
  <c r="L11" i="13" s="1"/>
  <c r="K11" i="10"/>
  <c r="K11" i="13" s="1"/>
  <c r="J11" i="10"/>
  <c r="J11" i="13" s="1"/>
  <c r="I11" i="10"/>
  <c r="I11" i="13" s="1"/>
  <c r="H11" i="10"/>
  <c r="H11" i="13" s="1"/>
  <c r="G11" i="10"/>
  <c r="G11" i="13" s="1"/>
  <c r="F11" i="10"/>
  <c r="F11" i="13" s="1"/>
  <c r="E11" i="10"/>
  <c r="E11" i="13" s="1"/>
  <c r="D11" i="10"/>
  <c r="D11" i="13" s="1"/>
  <c r="C11" i="10"/>
  <c r="C11" i="13" s="1"/>
  <c r="B11" i="10"/>
  <c r="B11" i="13" s="1"/>
  <c r="AS10" i="10"/>
  <c r="AR10" i="10"/>
  <c r="AQ10" i="10"/>
  <c r="AP10" i="10"/>
  <c r="M10" i="4" s="1"/>
  <c r="AO10" i="10"/>
  <c r="AM10" i="10"/>
  <c r="AI10" i="10"/>
  <c r="AH10" i="10"/>
  <c r="AF10" i="10"/>
  <c r="AE10" i="10"/>
  <c r="AD10" i="10"/>
  <c r="AC10" i="10"/>
  <c r="AB10" i="10"/>
  <c r="Z10" i="10"/>
  <c r="Y10" i="10"/>
  <c r="Y10" i="13" s="1"/>
  <c r="Z10" i="13" s="1"/>
  <c r="AA10" i="13" s="1"/>
  <c r="AB10" i="13" s="1"/>
  <c r="AC10" i="13" s="1"/>
  <c r="AD10" i="13" s="1"/>
  <c r="AE10" i="13" s="1"/>
  <c r="AF10" i="13" s="1"/>
  <c r="AG10" i="13" s="1"/>
  <c r="AH10" i="13" s="1"/>
  <c r="AI10" i="13" s="1"/>
  <c r="AJ10" i="13" s="1"/>
  <c r="AK10" i="13" s="1"/>
  <c r="AL10" i="13" s="1"/>
  <c r="AM10" i="13" s="1"/>
  <c r="AN10" i="13" s="1"/>
  <c r="AO10" i="13" s="1"/>
  <c r="AP10" i="13" s="1"/>
  <c r="AQ10" i="13" s="1"/>
  <c r="AR10" i="13" s="1"/>
  <c r="AS10" i="13" s="1"/>
  <c r="X10" i="10"/>
  <c r="X10" i="13" s="1"/>
  <c r="W10" i="10"/>
  <c r="W10" i="13" s="1"/>
  <c r="V10" i="10"/>
  <c r="V10" i="13" s="1"/>
  <c r="U10" i="10"/>
  <c r="U10" i="13" s="1"/>
  <c r="T10" i="10"/>
  <c r="T10" i="13" s="1"/>
  <c r="S10" i="10"/>
  <c r="S10" i="13" s="1"/>
  <c r="R10" i="10"/>
  <c r="R10" i="13" s="1"/>
  <c r="Q10" i="10"/>
  <c r="Q10" i="13" s="1"/>
  <c r="P10" i="10"/>
  <c r="P10" i="13" s="1"/>
  <c r="O10" i="10"/>
  <c r="O10" i="13" s="1"/>
  <c r="N10" i="10"/>
  <c r="N10" i="13" s="1"/>
  <c r="M10" i="10"/>
  <c r="M10" i="13" s="1"/>
  <c r="L10" i="10"/>
  <c r="L10" i="13" s="1"/>
  <c r="K10" i="10"/>
  <c r="K10" i="13" s="1"/>
  <c r="J10" i="10"/>
  <c r="J10" i="13" s="1"/>
  <c r="I10" i="10"/>
  <c r="I10" i="13" s="1"/>
  <c r="H10" i="10"/>
  <c r="H10" i="13" s="1"/>
  <c r="G10" i="10"/>
  <c r="G10" i="13" s="1"/>
  <c r="F10" i="10"/>
  <c r="F10" i="13" s="1"/>
  <c r="E10" i="10"/>
  <c r="E10" i="13" s="1"/>
  <c r="D10" i="10"/>
  <c r="D10" i="13" s="1"/>
  <c r="C10" i="10"/>
  <c r="C10" i="13" s="1"/>
  <c r="B10" i="10"/>
  <c r="B10" i="13" s="1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S8" i="10"/>
  <c r="AR8" i="10"/>
  <c r="AQ8" i="10"/>
  <c r="AP8" i="10"/>
  <c r="M8" i="4" s="1"/>
  <c r="AO8" i="10"/>
  <c r="AN8" i="10"/>
  <c r="AM8" i="10"/>
  <c r="AL8" i="10"/>
  <c r="L8" i="4" s="1"/>
  <c r="AK8" i="10"/>
  <c r="AJ8" i="10"/>
  <c r="K8" i="4" s="1"/>
  <c r="AI8" i="10"/>
  <c r="AH8" i="10"/>
  <c r="AG8" i="10"/>
  <c r="AF8" i="10"/>
  <c r="AE8" i="10"/>
  <c r="AD8" i="10"/>
  <c r="J8" i="4" s="1"/>
  <c r="AC8" i="10"/>
  <c r="AB8" i="10"/>
  <c r="AA8" i="10"/>
  <c r="Z8" i="10"/>
  <c r="I8" i="4" s="1"/>
  <c r="Y8" i="10"/>
  <c r="Y8" i="13" s="1"/>
  <c r="X8" i="10"/>
  <c r="X8" i="13" s="1"/>
  <c r="W8" i="10"/>
  <c r="W8" i="13" s="1"/>
  <c r="V8" i="10"/>
  <c r="V8" i="13" s="1"/>
  <c r="U8" i="10"/>
  <c r="U8" i="13" s="1"/>
  <c r="T8" i="10"/>
  <c r="T8" i="13" s="1"/>
  <c r="S8" i="10"/>
  <c r="S8" i="13" s="1"/>
  <c r="R8" i="10"/>
  <c r="R8" i="13" s="1"/>
  <c r="Q8" i="10"/>
  <c r="Q8" i="13" s="1"/>
  <c r="P8" i="10"/>
  <c r="P8" i="13" s="1"/>
  <c r="O8" i="10"/>
  <c r="O8" i="13" s="1"/>
  <c r="N8" i="10"/>
  <c r="N8" i="13" s="1"/>
  <c r="M8" i="10"/>
  <c r="M8" i="13" s="1"/>
  <c r="L8" i="10"/>
  <c r="L8" i="13" s="1"/>
  <c r="K8" i="10"/>
  <c r="K8" i="13" s="1"/>
  <c r="J8" i="10"/>
  <c r="J8" i="13" s="1"/>
  <c r="I8" i="10"/>
  <c r="I8" i="13" s="1"/>
  <c r="H8" i="10"/>
  <c r="H8" i="13" s="1"/>
  <c r="G8" i="10"/>
  <c r="G8" i="13" s="1"/>
  <c r="F8" i="10"/>
  <c r="F8" i="13" s="1"/>
  <c r="E8" i="10"/>
  <c r="E8" i="13" s="1"/>
  <c r="D8" i="10"/>
  <c r="D8" i="13" s="1"/>
  <c r="C8" i="10"/>
  <c r="C8" i="13" s="1"/>
  <c r="B8" i="10"/>
  <c r="B8" i="13" s="1"/>
  <c r="AS7" i="10"/>
  <c r="AR7" i="10"/>
  <c r="M7" i="4" s="1"/>
  <c r="AQ7" i="10"/>
  <c r="AP7" i="10"/>
  <c r="AO7" i="10"/>
  <c r="AN7" i="10"/>
  <c r="AM7" i="10"/>
  <c r="AL7" i="10"/>
  <c r="L7" i="4" s="1"/>
  <c r="AK7" i="10"/>
  <c r="AJ7" i="10"/>
  <c r="AI7" i="10"/>
  <c r="AH7" i="10"/>
  <c r="K7" i="4" s="1"/>
  <c r="AG7" i="10"/>
  <c r="AF7" i="10"/>
  <c r="J7" i="4" s="1"/>
  <c r="AE7" i="10"/>
  <c r="AD7" i="10"/>
  <c r="AC7" i="10"/>
  <c r="AB7" i="10"/>
  <c r="AA7" i="10"/>
  <c r="Z7" i="10"/>
  <c r="Y7" i="10"/>
  <c r="Y7" i="13" s="1"/>
  <c r="X7" i="10"/>
  <c r="X7" i="13" s="1"/>
  <c r="W7" i="10"/>
  <c r="W7" i="13" s="1"/>
  <c r="V7" i="10"/>
  <c r="V7" i="13" s="1"/>
  <c r="U7" i="10"/>
  <c r="U7" i="13" s="1"/>
  <c r="T7" i="10"/>
  <c r="T7" i="13" s="1"/>
  <c r="S7" i="10"/>
  <c r="S7" i="13" s="1"/>
  <c r="R7" i="10"/>
  <c r="R7" i="13" s="1"/>
  <c r="Q7" i="10"/>
  <c r="Q7" i="13" s="1"/>
  <c r="P7" i="10"/>
  <c r="P7" i="13" s="1"/>
  <c r="O7" i="10"/>
  <c r="O7" i="13" s="1"/>
  <c r="N7" i="10"/>
  <c r="N7" i="13" s="1"/>
  <c r="M7" i="10"/>
  <c r="M7" i="13" s="1"/>
  <c r="L7" i="10"/>
  <c r="L7" i="13" s="1"/>
  <c r="K7" i="10"/>
  <c r="K7" i="13" s="1"/>
  <c r="J7" i="10"/>
  <c r="J7" i="13" s="1"/>
  <c r="I7" i="10"/>
  <c r="I7" i="13" s="1"/>
  <c r="H7" i="10"/>
  <c r="H7" i="13" s="1"/>
  <c r="G7" i="10"/>
  <c r="G7" i="13" s="1"/>
  <c r="F7" i="10"/>
  <c r="F7" i="13" s="1"/>
  <c r="E7" i="10"/>
  <c r="E7" i="13" s="1"/>
  <c r="D7" i="10"/>
  <c r="D7" i="13" s="1"/>
  <c r="C7" i="10"/>
  <c r="C7" i="13" s="1"/>
  <c r="B7" i="10"/>
  <c r="B7" i="13" s="1"/>
  <c r="AS6" i="10"/>
  <c r="AR6" i="10"/>
  <c r="AQ6" i="10"/>
  <c r="AP6" i="10"/>
  <c r="AO6" i="10"/>
  <c r="AN6" i="10"/>
  <c r="AM6" i="10"/>
  <c r="AL6" i="10"/>
  <c r="AK6" i="10"/>
  <c r="AJ6" i="10"/>
  <c r="AI6" i="10"/>
  <c r="AH6" i="10"/>
  <c r="K6" i="4" s="1"/>
  <c r="AG6" i="10"/>
  <c r="AF6" i="10"/>
  <c r="AE6" i="10"/>
  <c r="AD6" i="10"/>
  <c r="J6" i="4" s="1"/>
  <c r="AC6" i="10"/>
  <c r="AB6" i="10"/>
  <c r="I6" i="4" s="1"/>
  <c r="AA6" i="10"/>
  <c r="Z6" i="10"/>
  <c r="Y6" i="10"/>
  <c r="Y6" i="13" s="1"/>
  <c r="X6" i="10"/>
  <c r="X6" i="13" s="1"/>
  <c r="W6" i="10"/>
  <c r="W6" i="13" s="1"/>
  <c r="V6" i="10"/>
  <c r="V6" i="13" s="1"/>
  <c r="U6" i="10"/>
  <c r="U6" i="13" s="1"/>
  <c r="T6" i="10"/>
  <c r="T6" i="13" s="1"/>
  <c r="S6" i="10"/>
  <c r="S6" i="13" s="1"/>
  <c r="R6" i="10"/>
  <c r="R6" i="13" s="1"/>
  <c r="Q6" i="10"/>
  <c r="Q6" i="13" s="1"/>
  <c r="P6" i="10"/>
  <c r="P6" i="13" s="1"/>
  <c r="O6" i="10"/>
  <c r="O6" i="13" s="1"/>
  <c r="N6" i="10"/>
  <c r="N6" i="13" s="1"/>
  <c r="M6" i="10"/>
  <c r="M6" i="13" s="1"/>
  <c r="L6" i="10"/>
  <c r="L6" i="13" s="1"/>
  <c r="K6" i="10"/>
  <c r="K6" i="13" s="1"/>
  <c r="J6" i="10"/>
  <c r="J6" i="13" s="1"/>
  <c r="I6" i="10"/>
  <c r="I6" i="13" s="1"/>
  <c r="H6" i="10"/>
  <c r="H6" i="13" s="1"/>
  <c r="G6" i="10"/>
  <c r="G6" i="13" s="1"/>
  <c r="F6" i="10"/>
  <c r="F6" i="13" s="1"/>
  <c r="E6" i="10"/>
  <c r="E6" i="13" s="1"/>
  <c r="D6" i="10"/>
  <c r="D6" i="13" s="1"/>
  <c r="C6" i="10"/>
  <c r="C6" i="13" s="1"/>
  <c r="B6" i="10"/>
  <c r="B6" i="13" s="1"/>
  <c r="AS5" i="10"/>
  <c r="AR5" i="10"/>
  <c r="AQ5" i="10"/>
  <c r="AP5" i="10"/>
  <c r="M5" i="4" s="1"/>
  <c r="AO5" i="10"/>
  <c r="AN5" i="10"/>
  <c r="AM5" i="10"/>
  <c r="AL5" i="10"/>
  <c r="L5" i="4" s="1"/>
  <c r="AK5" i="10"/>
  <c r="AJ5" i="10"/>
  <c r="K5" i="4" s="1"/>
  <c r="AI5" i="10"/>
  <c r="AH5" i="10"/>
  <c r="AG5" i="10"/>
  <c r="AF5" i="10"/>
  <c r="AE5" i="10"/>
  <c r="AD5" i="10"/>
  <c r="J5" i="4" s="1"/>
  <c r="AC5" i="10"/>
  <c r="AB5" i="10"/>
  <c r="AA5" i="10"/>
  <c r="Z5" i="10"/>
  <c r="I5" i="4" s="1"/>
  <c r="Y5" i="10"/>
  <c r="Y5" i="13" s="1"/>
  <c r="X5" i="10"/>
  <c r="X5" i="13" s="1"/>
  <c r="W5" i="10"/>
  <c r="W5" i="13" s="1"/>
  <c r="V5" i="10"/>
  <c r="V5" i="13" s="1"/>
  <c r="U5" i="10"/>
  <c r="U5" i="13" s="1"/>
  <c r="T5" i="10"/>
  <c r="T5" i="13" s="1"/>
  <c r="S5" i="10"/>
  <c r="S5" i="13" s="1"/>
  <c r="R5" i="10"/>
  <c r="R5" i="13" s="1"/>
  <c r="Q5" i="10"/>
  <c r="Q5" i="13" s="1"/>
  <c r="P5" i="10"/>
  <c r="P5" i="13" s="1"/>
  <c r="O5" i="10"/>
  <c r="O5" i="13" s="1"/>
  <c r="N5" i="10"/>
  <c r="N5" i="13" s="1"/>
  <c r="M5" i="10"/>
  <c r="M5" i="13" s="1"/>
  <c r="L5" i="10"/>
  <c r="L5" i="13" s="1"/>
  <c r="K5" i="10"/>
  <c r="K5" i="13" s="1"/>
  <c r="J5" i="10"/>
  <c r="J5" i="13" s="1"/>
  <c r="I5" i="10"/>
  <c r="I5" i="13" s="1"/>
  <c r="H5" i="10"/>
  <c r="H5" i="13" s="1"/>
  <c r="G5" i="10"/>
  <c r="G5" i="13" s="1"/>
  <c r="F5" i="10"/>
  <c r="F5" i="13" s="1"/>
  <c r="E5" i="10"/>
  <c r="E5" i="13" s="1"/>
  <c r="D5" i="10"/>
  <c r="D5" i="13" s="1"/>
  <c r="C5" i="10"/>
  <c r="C5" i="13" s="1"/>
  <c r="B5" i="10"/>
  <c r="B5" i="13" s="1"/>
  <c r="AS4" i="10"/>
  <c r="AR4" i="10"/>
  <c r="M4" i="4" s="1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I4" i="4" s="1"/>
  <c r="Y4" i="10"/>
  <c r="Y4" i="13" s="1"/>
  <c r="X4" i="10"/>
  <c r="X4" i="13" s="1"/>
  <c r="W4" i="10"/>
  <c r="W4" i="13" s="1"/>
  <c r="V4" i="10"/>
  <c r="V4" i="13" s="1"/>
  <c r="U4" i="10"/>
  <c r="U4" i="13" s="1"/>
  <c r="T4" i="10"/>
  <c r="T4" i="13" s="1"/>
  <c r="S4" i="10"/>
  <c r="S4" i="13" s="1"/>
  <c r="R4" i="10"/>
  <c r="R4" i="13" s="1"/>
  <c r="Q4" i="10"/>
  <c r="Q4" i="13" s="1"/>
  <c r="P4" i="10"/>
  <c r="P4" i="13" s="1"/>
  <c r="O4" i="10"/>
  <c r="O4" i="13" s="1"/>
  <c r="N4" i="10"/>
  <c r="N4" i="13" s="1"/>
  <c r="M4" i="10"/>
  <c r="M4" i="13" s="1"/>
  <c r="L4" i="10"/>
  <c r="L4" i="13" s="1"/>
  <c r="K4" i="10"/>
  <c r="K4" i="13" s="1"/>
  <c r="J4" i="10"/>
  <c r="J4" i="13" s="1"/>
  <c r="I4" i="10"/>
  <c r="I4" i="13" s="1"/>
  <c r="H4" i="10"/>
  <c r="H4" i="13" s="1"/>
  <c r="G4" i="10"/>
  <c r="G4" i="13" s="1"/>
  <c r="F4" i="10"/>
  <c r="F4" i="13" s="1"/>
  <c r="E4" i="10"/>
  <c r="E4" i="13" s="1"/>
  <c r="D4" i="10"/>
  <c r="D4" i="13" s="1"/>
  <c r="C4" i="10"/>
  <c r="C4" i="13" s="1"/>
  <c r="B4" i="10"/>
  <c r="B4" i="13" s="1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Y2" i="10"/>
  <c r="Y2" i="13" s="1"/>
  <c r="X2" i="10"/>
  <c r="X2" i="13" s="1"/>
  <c r="W2" i="10"/>
  <c r="W2" i="13" s="1"/>
  <c r="V2" i="10"/>
  <c r="V2" i="13" s="1"/>
  <c r="U2" i="10"/>
  <c r="U2" i="13" s="1"/>
  <c r="T2" i="10"/>
  <c r="T2" i="13" s="1"/>
  <c r="S2" i="10"/>
  <c r="S2" i="13" s="1"/>
  <c r="R2" i="10"/>
  <c r="R2" i="13" s="1"/>
  <c r="Q2" i="10"/>
  <c r="Q2" i="13" s="1"/>
  <c r="P2" i="10"/>
  <c r="P2" i="13" s="1"/>
  <c r="O2" i="10"/>
  <c r="O2" i="13" s="1"/>
  <c r="N2" i="10"/>
  <c r="N2" i="13" s="1"/>
  <c r="M2" i="10"/>
  <c r="M2" i="13" s="1"/>
  <c r="L2" i="10"/>
  <c r="L2" i="13" s="1"/>
  <c r="K2" i="10"/>
  <c r="K2" i="13" s="1"/>
  <c r="J2" i="10"/>
  <c r="J2" i="13" s="1"/>
  <c r="I2" i="10"/>
  <c r="I2" i="13" s="1"/>
  <c r="H2" i="10"/>
  <c r="H2" i="13" s="1"/>
  <c r="G2" i="10"/>
  <c r="G2" i="13" s="1"/>
  <c r="F2" i="10"/>
  <c r="F2" i="13" s="1"/>
  <c r="E2" i="10"/>
  <c r="E2" i="13" s="1"/>
  <c r="D2" i="10"/>
  <c r="D2" i="13" s="1"/>
  <c r="C2" i="10"/>
  <c r="C2" i="13" s="1"/>
  <c r="B2" i="10"/>
  <c r="B2" i="13" s="1"/>
  <c r="V32" i="9"/>
  <c r="V28" i="12" s="1"/>
  <c r="W28" i="12" s="1"/>
  <c r="U32" i="9"/>
  <c r="U28" i="12" s="1"/>
  <c r="T32" i="9"/>
  <c r="T28" i="12" s="1"/>
  <c r="S32" i="9"/>
  <c r="S28" i="12" s="1"/>
  <c r="R32" i="9"/>
  <c r="R28" i="12" s="1"/>
  <c r="Q32" i="9"/>
  <c r="Q28" i="12" s="1"/>
  <c r="P32" i="9"/>
  <c r="P28" i="12" s="1"/>
  <c r="O32" i="9"/>
  <c r="O28" i="12" s="1"/>
  <c r="N32" i="9"/>
  <c r="N28" i="12" s="1"/>
  <c r="M32" i="9"/>
  <c r="M28" i="12" s="1"/>
  <c r="L32" i="9"/>
  <c r="L28" i="12" s="1"/>
  <c r="K32" i="9"/>
  <c r="K28" i="12" s="1"/>
  <c r="J32" i="9"/>
  <c r="J28" i="12" s="1"/>
  <c r="I32" i="9"/>
  <c r="I28" i="12" s="1"/>
  <c r="H32" i="9"/>
  <c r="H28" i="12" s="1"/>
  <c r="G32" i="9"/>
  <c r="G28" i="12" s="1"/>
  <c r="F32" i="9"/>
  <c r="F28" i="12" s="1"/>
  <c r="E32" i="9"/>
  <c r="E28" i="12" s="1"/>
  <c r="D32" i="9"/>
  <c r="D28" i="12" s="1"/>
  <c r="C32" i="9"/>
  <c r="C28" i="12" s="1"/>
  <c r="B32" i="9"/>
  <c r="B28" i="12" s="1"/>
  <c r="V31" i="9"/>
  <c r="V27" i="12" s="1"/>
  <c r="U31" i="9"/>
  <c r="U27" i="12" s="1"/>
  <c r="T31" i="9"/>
  <c r="T27" i="12" s="1"/>
  <c r="S31" i="9"/>
  <c r="S27" i="12" s="1"/>
  <c r="R31" i="9"/>
  <c r="R27" i="12" s="1"/>
  <c r="Q31" i="9"/>
  <c r="Q27" i="12" s="1"/>
  <c r="P31" i="9"/>
  <c r="P27" i="12" s="1"/>
  <c r="O31" i="9"/>
  <c r="O27" i="12" s="1"/>
  <c r="N31" i="9"/>
  <c r="N27" i="12" s="1"/>
  <c r="M31" i="9"/>
  <c r="M27" i="12" s="1"/>
  <c r="L31" i="9"/>
  <c r="L27" i="12" s="1"/>
  <c r="K31" i="9"/>
  <c r="K27" i="12" s="1"/>
  <c r="J31" i="9"/>
  <c r="J27" i="12" s="1"/>
  <c r="I31" i="9"/>
  <c r="I27" i="12" s="1"/>
  <c r="H31" i="9"/>
  <c r="H27" i="12" s="1"/>
  <c r="G31" i="9"/>
  <c r="G27" i="12" s="1"/>
  <c r="F31" i="9"/>
  <c r="F27" i="12" s="1"/>
  <c r="E31" i="9"/>
  <c r="E27" i="12" s="1"/>
  <c r="D31" i="9"/>
  <c r="D27" i="12" s="1"/>
  <c r="C31" i="9"/>
  <c r="C27" i="12" s="1"/>
  <c r="B31" i="9"/>
  <c r="B27" i="12" s="1"/>
  <c r="V30" i="9"/>
  <c r="V26" i="12" s="1"/>
  <c r="U30" i="9"/>
  <c r="U26" i="12" s="1"/>
  <c r="T30" i="9"/>
  <c r="T26" i="12" s="1"/>
  <c r="S30" i="9"/>
  <c r="S26" i="12" s="1"/>
  <c r="R30" i="9"/>
  <c r="R26" i="12" s="1"/>
  <c r="Q30" i="9"/>
  <c r="Q26" i="12" s="1"/>
  <c r="P30" i="9"/>
  <c r="P26" i="12" s="1"/>
  <c r="O30" i="9"/>
  <c r="O26" i="12" s="1"/>
  <c r="N30" i="9"/>
  <c r="N26" i="12" s="1"/>
  <c r="M30" i="9"/>
  <c r="M26" i="12" s="1"/>
  <c r="L30" i="9"/>
  <c r="L26" i="12" s="1"/>
  <c r="K30" i="9"/>
  <c r="K26" i="12" s="1"/>
  <c r="J30" i="9"/>
  <c r="J26" i="12" s="1"/>
  <c r="I30" i="9"/>
  <c r="I26" i="12" s="1"/>
  <c r="H30" i="9"/>
  <c r="H26" i="12" s="1"/>
  <c r="G30" i="9"/>
  <c r="G26" i="12" s="1"/>
  <c r="F30" i="9"/>
  <c r="F26" i="12" s="1"/>
  <c r="E30" i="9"/>
  <c r="E26" i="12" s="1"/>
  <c r="D30" i="9"/>
  <c r="D26" i="12" s="1"/>
  <c r="C30" i="9"/>
  <c r="C26" i="12" s="1"/>
  <c r="B30" i="9"/>
  <c r="B26" i="12" s="1"/>
  <c r="V29" i="9"/>
  <c r="V25" i="12" s="1"/>
  <c r="U29" i="9"/>
  <c r="U25" i="12" s="1"/>
  <c r="T29" i="9"/>
  <c r="T25" i="12" s="1"/>
  <c r="S29" i="9"/>
  <c r="S25" i="12" s="1"/>
  <c r="R29" i="9"/>
  <c r="R25" i="12" s="1"/>
  <c r="Q29" i="9"/>
  <c r="Q25" i="12" s="1"/>
  <c r="P29" i="9"/>
  <c r="P25" i="12" s="1"/>
  <c r="O29" i="9"/>
  <c r="O25" i="12" s="1"/>
  <c r="N29" i="9"/>
  <c r="N25" i="12" s="1"/>
  <c r="M29" i="9"/>
  <c r="M25" i="12" s="1"/>
  <c r="L29" i="9"/>
  <c r="L25" i="12" s="1"/>
  <c r="K29" i="9"/>
  <c r="K25" i="12" s="1"/>
  <c r="J29" i="9"/>
  <c r="J25" i="12" s="1"/>
  <c r="I29" i="9"/>
  <c r="I25" i="12" s="1"/>
  <c r="H29" i="9"/>
  <c r="H25" i="12" s="1"/>
  <c r="G29" i="9"/>
  <c r="G25" i="12" s="1"/>
  <c r="F29" i="9"/>
  <c r="F25" i="12" s="1"/>
  <c r="E29" i="9"/>
  <c r="E25" i="12" s="1"/>
  <c r="D29" i="9"/>
  <c r="D25" i="12" s="1"/>
  <c r="C29" i="9"/>
  <c r="C25" i="12" s="1"/>
  <c r="B29" i="9"/>
  <c r="B25" i="12" s="1"/>
  <c r="V28" i="9"/>
  <c r="V24" i="12" s="1"/>
  <c r="W24" i="12" s="1"/>
  <c r="U28" i="9"/>
  <c r="U24" i="12" s="1"/>
  <c r="T28" i="9"/>
  <c r="T24" i="12" s="1"/>
  <c r="S28" i="9"/>
  <c r="S24" i="12" s="1"/>
  <c r="R28" i="9"/>
  <c r="R24" i="12" s="1"/>
  <c r="Q28" i="9"/>
  <c r="Q24" i="12" s="1"/>
  <c r="P28" i="9"/>
  <c r="P24" i="12" s="1"/>
  <c r="O28" i="9"/>
  <c r="O24" i="12" s="1"/>
  <c r="N28" i="9"/>
  <c r="N24" i="12" s="1"/>
  <c r="M28" i="9"/>
  <c r="M24" i="12" s="1"/>
  <c r="L28" i="9"/>
  <c r="L24" i="12" s="1"/>
  <c r="K28" i="9"/>
  <c r="K24" i="12" s="1"/>
  <c r="J28" i="9"/>
  <c r="J24" i="12" s="1"/>
  <c r="I28" i="9"/>
  <c r="I24" i="12" s="1"/>
  <c r="H28" i="9"/>
  <c r="H24" i="12" s="1"/>
  <c r="G28" i="9"/>
  <c r="G24" i="12" s="1"/>
  <c r="F28" i="9"/>
  <c r="F24" i="12" s="1"/>
  <c r="E28" i="9"/>
  <c r="E24" i="12" s="1"/>
  <c r="D28" i="9"/>
  <c r="D24" i="12" s="1"/>
  <c r="C28" i="9"/>
  <c r="C24" i="12" s="1"/>
  <c r="B28" i="9"/>
  <c r="B24" i="12" s="1"/>
  <c r="V26" i="9"/>
  <c r="V23" i="12" s="1"/>
  <c r="W23" i="12" s="1"/>
  <c r="U26" i="9"/>
  <c r="U23" i="12" s="1"/>
  <c r="T26" i="9"/>
  <c r="T23" i="12" s="1"/>
  <c r="S26" i="9"/>
  <c r="S23" i="12" s="1"/>
  <c r="R26" i="9"/>
  <c r="R23" i="12" s="1"/>
  <c r="Q26" i="9"/>
  <c r="Q23" i="12" s="1"/>
  <c r="P26" i="9"/>
  <c r="P23" i="12" s="1"/>
  <c r="O26" i="9"/>
  <c r="O23" i="12" s="1"/>
  <c r="N26" i="9"/>
  <c r="N23" i="12" s="1"/>
  <c r="M26" i="9"/>
  <c r="M23" i="12" s="1"/>
  <c r="L26" i="9"/>
  <c r="L23" i="12" s="1"/>
  <c r="K26" i="9"/>
  <c r="K23" i="12" s="1"/>
  <c r="J26" i="9"/>
  <c r="J23" i="12" s="1"/>
  <c r="I26" i="9"/>
  <c r="I23" i="12" s="1"/>
  <c r="H26" i="9"/>
  <c r="H23" i="12" s="1"/>
  <c r="G26" i="9"/>
  <c r="G23" i="12" s="1"/>
  <c r="F26" i="9"/>
  <c r="F23" i="12" s="1"/>
  <c r="E26" i="9"/>
  <c r="E23" i="12" s="1"/>
  <c r="D26" i="9"/>
  <c r="D23" i="12" s="1"/>
  <c r="C26" i="9"/>
  <c r="C23" i="12" s="1"/>
  <c r="B26" i="9"/>
  <c r="B23" i="12" s="1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U24" i="9"/>
  <c r="U21" i="12" s="1"/>
  <c r="T24" i="9"/>
  <c r="T21" i="12" s="1"/>
  <c r="S24" i="9"/>
  <c r="S21" i="12" s="1"/>
  <c r="Q24" i="9"/>
  <c r="Q21" i="12" s="1"/>
  <c r="P24" i="9"/>
  <c r="P21" i="12" s="1"/>
  <c r="O24" i="9"/>
  <c r="O21" i="12" s="1"/>
  <c r="M24" i="9"/>
  <c r="M21" i="12" s="1"/>
  <c r="L24" i="9"/>
  <c r="L21" i="12" s="1"/>
  <c r="K24" i="9"/>
  <c r="K21" i="12" s="1"/>
  <c r="I24" i="9"/>
  <c r="I21" i="12" s="1"/>
  <c r="H24" i="9"/>
  <c r="H21" i="12" s="1"/>
  <c r="G24" i="9"/>
  <c r="G21" i="12" s="1"/>
  <c r="E24" i="9"/>
  <c r="E21" i="12" s="1"/>
  <c r="D24" i="9"/>
  <c r="D21" i="12" s="1"/>
  <c r="C24" i="9"/>
  <c r="C21" i="12" s="1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R22" i="9"/>
  <c r="Q22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V18" i="9"/>
  <c r="U18" i="9"/>
  <c r="T18" i="9"/>
  <c r="S18" i="9"/>
  <c r="R18" i="9"/>
  <c r="Q18" i="9"/>
  <c r="Q16" i="12" s="1"/>
  <c r="P18" i="9"/>
  <c r="O18" i="9"/>
  <c r="N18" i="9"/>
  <c r="M18" i="9"/>
  <c r="L18" i="9"/>
  <c r="K18" i="9"/>
  <c r="J18" i="9"/>
  <c r="I18" i="9"/>
  <c r="H18" i="9"/>
  <c r="G18" i="9"/>
  <c r="F18" i="9"/>
  <c r="E18" i="9"/>
  <c r="E16" i="12" s="1"/>
  <c r="D18" i="9"/>
  <c r="C18" i="9"/>
  <c r="B18" i="9"/>
  <c r="V17" i="9"/>
  <c r="U17" i="9"/>
  <c r="T17" i="9"/>
  <c r="S17" i="9"/>
  <c r="R17" i="9"/>
  <c r="Q17" i="9"/>
  <c r="P17" i="9"/>
  <c r="O17" i="9"/>
  <c r="N17" i="9"/>
  <c r="M17" i="9"/>
  <c r="M15" i="12" s="1"/>
  <c r="L17" i="9"/>
  <c r="K17" i="9"/>
  <c r="J17" i="9"/>
  <c r="I17" i="9"/>
  <c r="H17" i="9"/>
  <c r="G17" i="9"/>
  <c r="F17" i="9"/>
  <c r="E17" i="9"/>
  <c r="D17" i="9"/>
  <c r="C17" i="9"/>
  <c r="B17" i="9"/>
  <c r="V16" i="9"/>
  <c r="V14" i="12" s="1"/>
  <c r="W14" i="12" s="1"/>
  <c r="X14" i="12" s="1"/>
  <c r="Y14" i="12" s="1"/>
  <c r="Z14" i="12" s="1"/>
  <c r="AA14" i="12" s="1"/>
  <c r="AB14" i="12" s="1"/>
  <c r="AC14" i="12" s="1"/>
  <c r="AD14" i="12" s="1"/>
  <c r="AE14" i="12" s="1"/>
  <c r="AF14" i="12" s="1"/>
  <c r="AG14" i="12" s="1"/>
  <c r="AH14" i="12" s="1"/>
  <c r="AI14" i="12" s="1"/>
  <c r="AJ14" i="12" s="1"/>
  <c r="AK14" i="12" s="1"/>
  <c r="AL14" i="12" s="1"/>
  <c r="AM14" i="12" s="1"/>
  <c r="AN14" i="12" s="1"/>
  <c r="AO14" i="12" s="1"/>
  <c r="AP14" i="12" s="1"/>
  <c r="U16" i="9"/>
  <c r="T16" i="9"/>
  <c r="S16" i="9"/>
  <c r="R16" i="9"/>
  <c r="Q16" i="9"/>
  <c r="P16" i="9"/>
  <c r="O16" i="9"/>
  <c r="N16" i="9"/>
  <c r="M16" i="9"/>
  <c r="M14" i="12" s="1"/>
  <c r="L16" i="9"/>
  <c r="K16" i="9"/>
  <c r="J16" i="9"/>
  <c r="J14" i="12" s="1"/>
  <c r="I16" i="9"/>
  <c r="H16" i="9"/>
  <c r="G16" i="9"/>
  <c r="F16" i="9"/>
  <c r="E16" i="9"/>
  <c r="D16" i="9"/>
  <c r="C16" i="9"/>
  <c r="B16" i="9"/>
  <c r="V14" i="9"/>
  <c r="U14" i="9"/>
  <c r="T14" i="9"/>
  <c r="S14" i="9"/>
  <c r="R14" i="9"/>
  <c r="Q14" i="9"/>
  <c r="Q13" i="12" s="1"/>
  <c r="P14" i="9"/>
  <c r="O14" i="9"/>
  <c r="N14" i="9"/>
  <c r="M14" i="9"/>
  <c r="L14" i="9"/>
  <c r="K14" i="9"/>
  <c r="J14" i="9"/>
  <c r="I14" i="9"/>
  <c r="H14" i="9"/>
  <c r="G14" i="9"/>
  <c r="F14" i="9"/>
  <c r="E14" i="9"/>
  <c r="E13" i="12" s="1"/>
  <c r="D14" i="9"/>
  <c r="C14" i="9"/>
  <c r="B14" i="9"/>
  <c r="W13" i="9"/>
  <c r="V13" i="9"/>
  <c r="V12" i="12" s="1"/>
  <c r="W12" i="12" s="1"/>
  <c r="X12" i="12" s="1"/>
  <c r="U13" i="9"/>
  <c r="U12" i="12" s="1"/>
  <c r="T13" i="9"/>
  <c r="T12" i="12" s="1"/>
  <c r="S13" i="9"/>
  <c r="S12" i="12" s="1"/>
  <c r="R13" i="9"/>
  <c r="R12" i="12" s="1"/>
  <c r="Q13" i="9"/>
  <c r="Q12" i="12" s="1"/>
  <c r="P13" i="9"/>
  <c r="P12" i="12" s="1"/>
  <c r="O13" i="9"/>
  <c r="O12" i="12" s="1"/>
  <c r="N13" i="9"/>
  <c r="N12" i="12" s="1"/>
  <c r="M13" i="9"/>
  <c r="M12" i="12" s="1"/>
  <c r="L13" i="9"/>
  <c r="L12" i="12" s="1"/>
  <c r="K13" i="9"/>
  <c r="K12" i="12" s="1"/>
  <c r="J13" i="9"/>
  <c r="J12" i="12" s="1"/>
  <c r="I13" i="9"/>
  <c r="I12" i="12" s="1"/>
  <c r="H13" i="9"/>
  <c r="H12" i="12" s="1"/>
  <c r="G13" i="9"/>
  <c r="G12" i="12" s="1"/>
  <c r="F13" i="9"/>
  <c r="F12" i="12" s="1"/>
  <c r="E13" i="9"/>
  <c r="E12" i="12" s="1"/>
  <c r="D13" i="9"/>
  <c r="D12" i="12" s="1"/>
  <c r="C13" i="9"/>
  <c r="C12" i="12" s="1"/>
  <c r="B13" i="9"/>
  <c r="B12" i="12" s="1"/>
  <c r="V12" i="9"/>
  <c r="V11" i="12" s="1"/>
  <c r="W11" i="12" s="1"/>
  <c r="U12" i="9"/>
  <c r="U11" i="12" s="1"/>
  <c r="T12" i="9"/>
  <c r="T11" i="12" s="1"/>
  <c r="S12" i="9"/>
  <c r="S11" i="12" s="1"/>
  <c r="R12" i="9"/>
  <c r="R11" i="12" s="1"/>
  <c r="Q12" i="9"/>
  <c r="Q11" i="12" s="1"/>
  <c r="P12" i="9"/>
  <c r="P11" i="12" s="1"/>
  <c r="O12" i="9"/>
  <c r="O11" i="12" s="1"/>
  <c r="N12" i="9"/>
  <c r="N11" i="12" s="1"/>
  <c r="M12" i="9"/>
  <c r="M11" i="12" s="1"/>
  <c r="L12" i="9"/>
  <c r="L11" i="12" s="1"/>
  <c r="K12" i="9"/>
  <c r="K11" i="12" s="1"/>
  <c r="J12" i="9"/>
  <c r="J11" i="12" s="1"/>
  <c r="I12" i="9"/>
  <c r="I11" i="12" s="1"/>
  <c r="H12" i="9"/>
  <c r="H11" i="12" s="1"/>
  <c r="G12" i="9"/>
  <c r="G11" i="12" s="1"/>
  <c r="F12" i="9"/>
  <c r="F11" i="12" s="1"/>
  <c r="E12" i="9"/>
  <c r="E11" i="12" s="1"/>
  <c r="D12" i="9"/>
  <c r="D11" i="12" s="1"/>
  <c r="C12" i="9"/>
  <c r="C11" i="12" s="1"/>
  <c r="B12" i="9"/>
  <c r="B11" i="12" s="1"/>
  <c r="V11" i="9"/>
  <c r="V10" i="12" s="1"/>
  <c r="U11" i="9"/>
  <c r="U10" i="12" s="1"/>
  <c r="T11" i="9"/>
  <c r="T10" i="12" s="1"/>
  <c r="S11" i="9"/>
  <c r="S10" i="12" s="1"/>
  <c r="R11" i="9"/>
  <c r="R10" i="12" s="1"/>
  <c r="Q11" i="9"/>
  <c r="Q10" i="12" s="1"/>
  <c r="P11" i="9"/>
  <c r="P10" i="12" s="1"/>
  <c r="O11" i="9"/>
  <c r="O10" i="12" s="1"/>
  <c r="N11" i="9"/>
  <c r="N10" i="12" s="1"/>
  <c r="M11" i="9"/>
  <c r="M10" i="12" s="1"/>
  <c r="L11" i="9"/>
  <c r="L10" i="12" s="1"/>
  <c r="K11" i="9"/>
  <c r="K10" i="12" s="1"/>
  <c r="J11" i="9"/>
  <c r="J10" i="12" s="1"/>
  <c r="I11" i="9"/>
  <c r="I10" i="12" s="1"/>
  <c r="H11" i="9"/>
  <c r="H10" i="12" s="1"/>
  <c r="G11" i="9"/>
  <c r="G10" i="12" s="1"/>
  <c r="F11" i="9"/>
  <c r="F10" i="12" s="1"/>
  <c r="E11" i="9"/>
  <c r="E10" i="12" s="1"/>
  <c r="D11" i="9"/>
  <c r="D10" i="12" s="1"/>
  <c r="C11" i="9"/>
  <c r="C10" i="12" s="1"/>
  <c r="B11" i="9"/>
  <c r="B10" i="12" s="1"/>
  <c r="V10" i="9"/>
  <c r="V9" i="12" s="1"/>
  <c r="U10" i="9"/>
  <c r="U9" i="12" s="1"/>
  <c r="T10" i="9"/>
  <c r="T9" i="12" s="1"/>
  <c r="S10" i="9"/>
  <c r="S9" i="12" s="1"/>
  <c r="R10" i="9"/>
  <c r="R9" i="12" s="1"/>
  <c r="Q10" i="9"/>
  <c r="Q9" i="12" s="1"/>
  <c r="P10" i="9"/>
  <c r="P9" i="12" s="1"/>
  <c r="O10" i="9"/>
  <c r="O9" i="12" s="1"/>
  <c r="N10" i="9"/>
  <c r="N9" i="12" s="1"/>
  <c r="M10" i="9"/>
  <c r="M9" i="12" s="1"/>
  <c r="L10" i="9"/>
  <c r="L9" i="12" s="1"/>
  <c r="K10" i="9"/>
  <c r="K9" i="12" s="1"/>
  <c r="J10" i="9"/>
  <c r="J9" i="12" s="1"/>
  <c r="I10" i="9"/>
  <c r="I9" i="12" s="1"/>
  <c r="H10" i="9"/>
  <c r="H9" i="12" s="1"/>
  <c r="G10" i="9"/>
  <c r="G9" i="12" s="1"/>
  <c r="F10" i="9"/>
  <c r="F9" i="12" s="1"/>
  <c r="E10" i="9"/>
  <c r="E9" i="12" s="1"/>
  <c r="D10" i="9"/>
  <c r="D9" i="12" s="1"/>
  <c r="C10" i="9"/>
  <c r="C9" i="12" s="1"/>
  <c r="B10" i="9"/>
  <c r="B9" i="12" s="1"/>
  <c r="V9" i="9"/>
  <c r="U9" i="9"/>
  <c r="T9" i="9"/>
  <c r="S9" i="9"/>
  <c r="R9" i="9"/>
  <c r="Q9" i="9"/>
  <c r="Q8" i="12" s="1"/>
  <c r="P9" i="9"/>
  <c r="O9" i="9"/>
  <c r="N9" i="9"/>
  <c r="M9" i="9"/>
  <c r="L9" i="9"/>
  <c r="K9" i="9"/>
  <c r="J9" i="9"/>
  <c r="I9" i="9"/>
  <c r="H9" i="9"/>
  <c r="G9" i="9"/>
  <c r="F9" i="9"/>
  <c r="E9" i="9"/>
  <c r="E8" i="12" s="1"/>
  <c r="D9" i="9"/>
  <c r="C9" i="9"/>
  <c r="B9" i="9"/>
  <c r="V7" i="9"/>
  <c r="U7" i="9"/>
  <c r="T7" i="9"/>
  <c r="S7" i="9"/>
  <c r="R7" i="9"/>
  <c r="Q7" i="9"/>
  <c r="P7" i="9"/>
  <c r="O7" i="9"/>
  <c r="N7" i="9"/>
  <c r="M7" i="9"/>
  <c r="L7" i="9"/>
  <c r="K7" i="9"/>
  <c r="K7" i="12" s="1"/>
  <c r="J7" i="9"/>
  <c r="I7" i="9"/>
  <c r="H7" i="9"/>
  <c r="G7" i="9"/>
  <c r="F7" i="9"/>
  <c r="E7" i="9"/>
  <c r="D7" i="9"/>
  <c r="C7" i="9"/>
  <c r="B7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V5" i="9"/>
  <c r="U5" i="9"/>
  <c r="T5" i="9"/>
  <c r="S5" i="9"/>
  <c r="R5" i="9"/>
  <c r="Q5" i="9"/>
  <c r="P5" i="9"/>
  <c r="O5" i="9"/>
  <c r="N5" i="9"/>
  <c r="N5" i="12" s="1"/>
  <c r="M5" i="9"/>
  <c r="M5" i="12" s="1"/>
  <c r="L5" i="9"/>
  <c r="K5" i="9"/>
  <c r="J5" i="9"/>
  <c r="I5" i="9"/>
  <c r="H5" i="9"/>
  <c r="G5" i="9"/>
  <c r="F5" i="9"/>
  <c r="E5" i="9"/>
  <c r="D5" i="9"/>
  <c r="C5" i="9"/>
  <c r="B5" i="9"/>
  <c r="B5" i="12" s="1"/>
  <c r="V4" i="9"/>
  <c r="U4" i="9"/>
  <c r="T4" i="9"/>
  <c r="T4" i="12" s="1"/>
  <c r="S4" i="9"/>
  <c r="S4" i="12" s="1"/>
  <c r="R4" i="9"/>
  <c r="Q4" i="9"/>
  <c r="Q4" i="12" s="1"/>
  <c r="P4" i="9"/>
  <c r="O4" i="9"/>
  <c r="N4" i="9"/>
  <c r="M4" i="9"/>
  <c r="L4" i="9"/>
  <c r="K4" i="9"/>
  <c r="J4" i="9"/>
  <c r="I4" i="9"/>
  <c r="H4" i="9"/>
  <c r="H4" i="12" s="1"/>
  <c r="G4" i="9"/>
  <c r="G4" i="12" s="1"/>
  <c r="F4" i="9"/>
  <c r="E4" i="9"/>
  <c r="E4" i="12" s="1"/>
  <c r="D4" i="9"/>
  <c r="C4" i="9"/>
  <c r="B4" i="9"/>
  <c r="V3" i="9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AG3" i="12" s="1"/>
  <c r="U3" i="9"/>
  <c r="U3" i="12" s="1"/>
  <c r="T3" i="9"/>
  <c r="T3" i="12" s="1"/>
  <c r="S3" i="9"/>
  <c r="S3" i="12" s="1"/>
  <c r="R3" i="9"/>
  <c r="R3" i="12" s="1"/>
  <c r="Q3" i="9"/>
  <c r="Q3" i="12" s="1"/>
  <c r="P3" i="9"/>
  <c r="P3" i="12" s="1"/>
  <c r="O3" i="9"/>
  <c r="O3" i="12" s="1"/>
  <c r="N3" i="9"/>
  <c r="N3" i="12" s="1"/>
  <c r="M3" i="9"/>
  <c r="M3" i="12" s="1"/>
  <c r="L3" i="9"/>
  <c r="L3" i="12" s="1"/>
  <c r="K3" i="9"/>
  <c r="K3" i="12" s="1"/>
  <c r="J3" i="9"/>
  <c r="J3" i="12" s="1"/>
  <c r="I3" i="9"/>
  <c r="I3" i="12" s="1"/>
  <c r="H3" i="9"/>
  <c r="H3" i="12" s="1"/>
  <c r="G3" i="9"/>
  <c r="G3" i="12" s="1"/>
  <c r="F3" i="9"/>
  <c r="F3" i="12" s="1"/>
  <c r="E3" i="9"/>
  <c r="E3" i="12" s="1"/>
  <c r="D3" i="9"/>
  <c r="D3" i="12" s="1"/>
  <c r="C3" i="9"/>
  <c r="C3" i="12" s="1"/>
  <c r="B3" i="9"/>
  <c r="B3" i="12" s="1"/>
  <c r="V2" i="9"/>
  <c r="V2" i="12" s="1"/>
  <c r="U2" i="9"/>
  <c r="U2" i="12" s="1"/>
  <c r="T2" i="9"/>
  <c r="T2" i="12" s="1"/>
  <c r="S2" i="9"/>
  <c r="S2" i="12" s="1"/>
  <c r="R2" i="9"/>
  <c r="R2" i="12" s="1"/>
  <c r="Q2" i="9"/>
  <c r="Q2" i="12" s="1"/>
  <c r="P2" i="9"/>
  <c r="P2" i="12" s="1"/>
  <c r="O2" i="9"/>
  <c r="O2" i="12" s="1"/>
  <c r="N2" i="9"/>
  <c r="N2" i="12" s="1"/>
  <c r="M2" i="9"/>
  <c r="M2" i="12" s="1"/>
  <c r="L2" i="9"/>
  <c r="L2" i="12" s="1"/>
  <c r="K2" i="9"/>
  <c r="K2" i="12" s="1"/>
  <c r="J2" i="9"/>
  <c r="J2" i="12" s="1"/>
  <c r="I2" i="9"/>
  <c r="I2" i="12" s="1"/>
  <c r="H2" i="9"/>
  <c r="H2" i="12" s="1"/>
  <c r="G2" i="9"/>
  <c r="G2" i="12" s="1"/>
  <c r="F2" i="9"/>
  <c r="F2" i="12" s="1"/>
  <c r="E2" i="9"/>
  <c r="E2" i="12" s="1"/>
  <c r="D2" i="9"/>
  <c r="D2" i="12" s="1"/>
  <c r="C2" i="9"/>
  <c r="C2" i="12" s="1"/>
  <c r="B2" i="9"/>
  <c r="B2" i="12" s="1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G8" i="8"/>
  <c r="AE8" i="8"/>
  <c r="AC8" i="8"/>
  <c r="AB8" i="8"/>
  <c r="AA8" i="8"/>
  <c r="Y8" i="8"/>
  <c r="Z6" i="11" s="1"/>
  <c r="AA6" i="11" s="1"/>
  <c r="AB6" i="11" s="1"/>
  <c r="AC6" i="11" s="1"/>
  <c r="AD6" i="11" s="1"/>
  <c r="AE6" i="11" s="1"/>
  <c r="AF6" i="11" s="1"/>
  <c r="AG6" i="11" s="1"/>
  <c r="AH6" i="11" s="1"/>
  <c r="AI6" i="11" s="1"/>
  <c r="X8" i="8"/>
  <c r="Y6" i="11" s="1"/>
  <c r="W8" i="8"/>
  <c r="X6" i="11" s="1"/>
  <c r="V8" i="8"/>
  <c r="W6" i="11" s="1"/>
  <c r="U8" i="8"/>
  <c r="V6" i="11" s="1"/>
  <c r="T8" i="8"/>
  <c r="U6" i="11" s="1"/>
  <c r="S8" i="8"/>
  <c r="T6" i="11" s="1"/>
  <c r="R8" i="8"/>
  <c r="S6" i="11" s="1"/>
  <c r="Q8" i="8"/>
  <c r="R6" i="11" s="1"/>
  <c r="P8" i="8"/>
  <c r="Q6" i="11" s="1"/>
  <c r="O8" i="8"/>
  <c r="P6" i="11" s="1"/>
  <c r="N8" i="8"/>
  <c r="O6" i="11" s="1"/>
  <c r="M8" i="8"/>
  <c r="N6" i="11" s="1"/>
  <c r="L8" i="8"/>
  <c r="M6" i="11" s="1"/>
  <c r="K8" i="8"/>
  <c r="L6" i="11" s="1"/>
  <c r="J8" i="8"/>
  <c r="K6" i="11" s="1"/>
  <c r="I8" i="8"/>
  <c r="J6" i="11" s="1"/>
  <c r="H8" i="8"/>
  <c r="I6" i="11" s="1"/>
  <c r="G8" i="8"/>
  <c r="H6" i="11" s="1"/>
  <c r="F8" i="8"/>
  <c r="G6" i="11" s="1"/>
  <c r="E8" i="8"/>
  <c r="F6" i="11" s="1"/>
  <c r="D8" i="8"/>
  <c r="E6" i="11" s="1"/>
  <c r="C8" i="8"/>
  <c r="D6" i="11" s="1"/>
  <c r="B8" i="8"/>
  <c r="C6" i="11" s="1"/>
  <c r="Y7" i="8"/>
  <c r="Z5" i="11" s="1"/>
  <c r="AA5" i="11" s="1"/>
  <c r="AB5" i="11" s="1"/>
  <c r="X7" i="8"/>
  <c r="Y5" i="11" s="1"/>
  <c r="W7" i="8"/>
  <c r="X5" i="11" s="1"/>
  <c r="V7" i="8"/>
  <c r="W5" i="11" s="1"/>
  <c r="U7" i="8"/>
  <c r="V5" i="11" s="1"/>
  <c r="T7" i="8"/>
  <c r="U5" i="11" s="1"/>
  <c r="S7" i="8"/>
  <c r="T5" i="11" s="1"/>
  <c r="R7" i="8"/>
  <c r="S5" i="11" s="1"/>
  <c r="Q7" i="8"/>
  <c r="R5" i="11" s="1"/>
  <c r="P7" i="8"/>
  <c r="Q5" i="11" s="1"/>
  <c r="O7" i="8"/>
  <c r="P5" i="11" s="1"/>
  <c r="N7" i="8"/>
  <c r="O5" i="11" s="1"/>
  <c r="M7" i="8"/>
  <c r="N5" i="11" s="1"/>
  <c r="L7" i="8"/>
  <c r="M5" i="11" s="1"/>
  <c r="K7" i="8"/>
  <c r="L5" i="11" s="1"/>
  <c r="J7" i="8"/>
  <c r="K5" i="11" s="1"/>
  <c r="I7" i="8"/>
  <c r="J5" i="11" s="1"/>
  <c r="H7" i="8"/>
  <c r="I5" i="11" s="1"/>
  <c r="G7" i="8"/>
  <c r="H5" i="11" s="1"/>
  <c r="F7" i="8"/>
  <c r="G5" i="11" s="1"/>
  <c r="E7" i="8"/>
  <c r="F5" i="11" s="1"/>
  <c r="D7" i="8"/>
  <c r="E5" i="11" s="1"/>
  <c r="C7" i="8"/>
  <c r="D5" i="11" s="1"/>
  <c r="B7" i="8"/>
  <c r="C5" i="11" s="1"/>
  <c r="Y5" i="8"/>
  <c r="X5" i="8"/>
  <c r="Y4" i="11" s="1"/>
  <c r="W5" i="8"/>
  <c r="V5" i="8"/>
  <c r="U5" i="8"/>
  <c r="T5" i="8"/>
  <c r="U4" i="11" s="1"/>
  <c r="S5" i="8"/>
  <c r="R5" i="8"/>
  <c r="Q5" i="8"/>
  <c r="R4" i="11" s="1"/>
  <c r="P5" i="8"/>
  <c r="Q4" i="11" s="1"/>
  <c r="O5" i="8"/>
  <c r="N5" i="8"/>
  <c r="O4" i="11" s="1"/>
  <c r="M5" i="8"/>
  <c r="L5" i="8"/>
  <c r="M4" i="11" s="1"/>
  <c r="K5" i="8"/>
  <c r="J5" i="8"/>
  <c r="I5" i="8"/>
  <c r="H5" i="8"/>
  <c r="I4" i="11" s="1"/>
  <c r="G5" i="8"/>
  <c r="F5" i="8"/>
  <c r="E5" i="8"/>
  <c r="F4" i="11" s="1"/>
  <c r="D5" i="8"/>
  <c r="E4" i="11" s="1"/>
  <c r="C5" i="8"/>
  <c r="B5" i="8"/>
  <c r="C4" i="11" s="1"/>
  <c r="Y3" i="8"/>
  <c r="X3" i="8"/>
  <c r="W3" i="8"/>
  <c r="X3" i="11" s="1"/>
  <c r="V3" i="8"/>
  <c r="U3" i="8"/>
  <c r="T3" i="8"/>
  <c r="S3" i="8"/>
  <c r="R3" i="8"/>
  <c r="Q3" i="8"/>
  <c r="P3" i="8"/>
  <c r="O3" i="8"/>
  <c r="N3" i="8"/>
  <c r="M3" i="8"/>
  <c r="L3" i="8"/>
  <c r="K3" i="8"/>
  <c r="L3" i="11" s="1"/>
  <c r="J3" i="8"/>
  <c r="I3" i="8"/>
  <c r="H3" i="8"/>
  <c r="G3" i="8"/>
  <c r="F3" i="8"/>
  <c r="E3" i="8"/>
  <c r="D3" i="8"/>
  <c r="C3" i="8"/>
  <c r="B3" i="8"/>
  <c r="Y2" i="8"/>
  <c r="X2" i="8"/>
  <c r="Y2" i="11" s="1"/>
  <c r="W2" i="8"/>
  <c r="V2" i="8"/>
  <c r="U2" i="8"/>
  <c r="T2" i="8"/>
  <c r="S2" i="8"/>
  <c r="R2" i="8"/>
  <c r="S2" i="11" s="1"/>
  <c r="Q2" i="8"/>
  <c r="P2" i="8"/>
  <c r="O2" i="8"/>
  <c r="N2" i="8"/>
  <c r="M2" i="8"/>
  <c r="L2" i="8"/>
  <c r="M2" i="11" s="1"/>
  <c r="K2" i="8"/>
  <c r="J2" i="8"/>
  <c r="I2" i="8"/>
  <c r="H2" i="8"/>
  <c r="G2" i="8"/>
  <c r="F2" i="8"/>
  <c r="G2" i="11" s="1"/>
  <c r="E2" i="8"/>
  <c r="F2" i="11" s="1"/>
  <c r="D2" i="8"/>
  <c r="C2" i="8"/>
  <c r="D2" i="11" s="1"/>
  <c r="B2" i="8"/>
  <c r="R43" i="7"/>
  <c r="L43" i="7"/>
  <c r="F43" i="7"/>
  <c r="S41" i="7"/>
  <c r="X41" i="10" s="1"/>
  <c r="R41" i="7"/>
  <c r="Q41" i="7"/>
  <c r="V41" i="10" s="1"/>
  <c r="P41" i="7"/>
  <c r="O41" i="7"/>
  <c r="S41" i="10" s="1"/>
  <c r="N41" i="7"/>
  <c r="R41" i="10" s="1"/>
  <c r="M41" i="7"/>
  <c r="P41" i="10" s="1"/>
  <c r="L41" i="7"/>
  <c r="K41" i="7"/>
  <c r="N41" i="10" s="1"/>
  <c r="J41" i="7"/>
  <c r="I41" i="7"/>
  <c r="H41" i="7"/>
  <c r="J41" i="10" s="1"/>
  <c r="G41" i="7"/>
  <c r="H41" i="10" s="1"/>
  <c r="F41" i="7"/>
  <c r="E41" i="7"/>
  <c r="F41" i="10" s="1"/>
  <c r="D41" i="7"/>
  <c r="C41" i="7"/>
  <c r="C41" i="10" s="1"/>
  <c r="B41" i="7"/>
  <c r="B41" i="10" s="1"/>
  <c r="S33" i="7"/>
  <c r="X33" i="10" s="1"/>
  <c r="R33" i="7"/>
  <c r="Q33" i="7"/>
  <c r="V33" i="10" s="1"/>
  <c r="P33" i="7"/>
  <c r="O33" i="7"/>
  <c r="N33" i="7"/>
  <c r="M33" i="7"/>
  <c r="P33" i="10" s="1"/>
  <c r="L33" i="7"/>
  <c r="K33" i="7"/>
  <c r="N33" i="10" s="1"/>
  <c r="J33" i="7"/>
  <c r="I33" i="7"/>
  <c r="H33" i="7"/>
  <c r="J33" i="10" s="1"/>
  <c r="G33" i="7"/>
  <c r="H33" i="10" s="1"/>
  <c r="F33" i="7"/>
  <c r="E33" i="7"/>
  <c r="F33" i="10" s="1"/>
  <c r="D33" i="7"/>
  <c r="C33" i="7"/>
  <c r="B33" i="7"/>
  <c r="B33" i="10" s="1"/>
  <c r="S24" i="7"/>
  <c r="X24" i="10" s="1"/>
  <c r="R24" i="7"/>
  <c r="Q24" i="7"/>
  <c r="P24" i="7"/>
  <c r="O24" i="7"/>
  <c r="S24" i="10" s="1"/>
  <c r="N24" i="7"/>
  <c r="R24" i="10" s="1"/>
  <c r="M24" i="7"/>
  <c r="L24" i="7"/>
  <c r="K24" i="7"/>
  <c r="J24" i="7"/>
  <c r="I24" i="7"/>
  <c r="H24" i="7"/>
  <c r="J24" i="10" s="1"/>
  <c r="G24" i="7"/>
  <c r="F24" i="7"/>
  <c r="E24" i="7"/>
  <c r="F24" i="10" s="1"/>
  <c r="D24" i="7"/>
  <c r="C24" i="7"/>
  <c r="B24" i="7"/>
  <c r="B24" i="10" s="1"/>
  <c r="U33" i="6"/>
  <c r="U33" i="9" s="1"/>
  <c r="T33" i="6"/>
  <c r="T33" i="9" s="1"/>
  <c r="S33" i="6"/>
  <c r="S33" i="9" s="1"/>
  <c r="R33" i="6"/>
  <c r="Q33" i="6"/>
  <c r="Q33" i="9" s="1"/>
  <c r="P33" i="6"/>
  <c r="P33" i="9" s="1"/>
  <c r="O33" i="6"/>
  <c r="O33" i="9" s="1"/>
  <c r="N33" i="6"/>
  <c r="M33" i="6"/>
  <c r="M33" i="9" s="1"/>
  <c r="L33" i="6"/>
  <c r="L33" i="9" s="1"/>
  <c r="K33" i="6"/>
  <c r="K33" i="9" s="1"/>
  <c r="J33" i="6"/>
  <c r="I33" i="6"/>
  <c r="I33" i="9" s="1"/>
  <c r="H33" i="6"/>
  <c r="H33" i="9" s="1"/>
  <c r="G33" i="6"/>
  <c r="F33" i="6"/>
  <c r="E33" i="6"/>
  <c r="E33" i="9" s="1"/>
  <c r="D33" i="6"/>
  <c r="D33" i="9" s="1"/>
  <c r="C33" i="6"/>
  <c r="C33" i="9" s="1"/>
  <c r="B33" i="6"/>
  <c r="P27" i="6"/>
  <c r="P27" i="9" s="1"/>
  <c r="K27" i="6"/>
  <c r="K27" i="9" s="1"/>
  <c r="J27" i="6"/>
  <c r="H27" i="6"/>
  <c r="U22" i="6"/>
  <c r="T22" i="6"/>
  <c r="T22" i="9" s="1"/>
  <c r="S22" i="6"/>
  <c r="S22" i="9" s="1"/>
  <c r="R22" i="6"/>
  <c r="R27" i="6" s="1"/>
  <c r="Q22" i="6"/>
  <c r="Q27" i="6" s="1"/>
  <c r="P22" i="6"/>
  <c r="P22" i="9" s="1"/>
  <c r="O22" i="6"/>
  <c r="O22" i="9" s="1"/>
  <c r="N22" i="6"/>
  <c r="N27" i="6" s="1"/>
  <c r="N34" i="6" s="1"/>
  <c r="M22" i="6"/>
  <c r="M27" i="6" s="1"/>
  <c r="L22" i="6"/>
  <c r="K22" i="6"/>
  <c r="K22" i="9" s="1"/>
  <c r="J22" i="6"/>
  <c r="I22" i="6"/>
  <c r="H22" i="6"/>
  <c r="H22" i="9" s="1"/>
  <c r="G22" i="6"/>
  <c r="G22" i="9" s="1"/>
  <c r="F22" i="6"/>
  <c r="F27" i="6" s="1"/>
  <c r="E22" i="6"/>
  <c r="E22" i="9" s="1"/>
  <c r="D22" i="6"/>
  <c r="D22" i="9" s="1"/>
  <c r="C22" i="6"/>
  <c r="C22" i="9" s="1"/>
  <c r="B22" i="6"/>
  <c r="B27" i="6" s="1"/>
  <c r="B34" i="6" s="1"/>
  <c r="U15" i="6"/>
  <c r="U15" i="9" s="1"/>
  <c r="L15" i="6"/>
  <c r="L15" i="9" s="1"/>
  <c r="J15" i="6"/>
  <c r="I15" i="6"/>
  <c r="I15" i="9" s="1"/>
  <c r="U8" i="6"/>
  <c r="U8" i="9" s="1"/>
  <c r="T8" i="6"/>
  <c r="S8" i="6"/>
  <c r="R8" i="6"/>
  <c r="R15" i="6" s="1"/>
  <c r="Q8" i="6"/>
  <c r="Q8" i="9" s="1"/>
  <c r="P8" i="6"/>
  <c r="P15" i="6" s="1"/>
  <c r="P15" i="9" s="1"/>
  <c r="O8" i="6"/>
  <c r="O8" i="9" s="1"/>
  <c r="N8" i="6"/>
  <c r="N15" i="6" s="1"/>
  <c r="M8" i="6"/>
  <c r="L8" i="6"/>
  <c r="L8" i="9" s="1"/>
  <c r="K8" i="6"/>
  <c r="K8" i="9" s="1"/>
  <c r="J8" i="6"/>
  <c r="I8" i="6"/>
  <c r="I8" i="9" s="1"/>
  <c r="H8" i="6"/>
  <c r="G8" i="6"/>
  <c r="F8" i="6"/>
  <c r="F15" i="6" s="1"/>
  <c r="E8" i="6"/>
  <c r="D8" i="6"/>
  <c r="D15" i="6" s="1"/>
  <c r="D15" i="9" s="1"/>
  <c r="C8" i="6"/>
  <c r="C8" i="9" s="1"/>
  <c r="B8" i="6"/>
  <c r="B15" i="6" s="1"/>
  <c r="S9" i="5"/>
  <c r="S11" i="5" s="1"/>
  <c r="Q6" i="5"/>
  <c r="V6" i="8" s="1"/>
  <c r="G6" i="5"/>
  <c r="C6" i="5"/>
  <c r="S4" i="5"/>
  <c r="S6" i="5" s="1"/>
  <c r="R4" i="5"/>
  <c r="R6" i="5" s="1"/>
  <c r="Q4" i="5"/>
  <c r="V4" i="8" s="1"/>
  <c r="P4" i="5"/>
  <c r="T4" i="8" s="1"/>
  <c r="O4" i="5"/>
  <c r="O6" i="5" s="1"/>
  <c r="O9" i="5" s="1"/>
  <c r="O11" i="5" s="1"/>
  <c r="O16" i="5" s="1"/>
  <c r="N4" i="5"/>
  <c r="M4" i="5"/>
  <c r="L4" i="5"/>
  <c r="L6" i="5" s="1"/>
  <c r="L9" i="5" s="1"/>
  <c r="K4" i="5"/>
  <c r="J4" i="5"/>
  <c r="J6" i="5" s="1"/>
  <c r="I4" i="5"/>
  <c r="H4" i="5"/>
  <c r="J4" i="8" s="1"/>
  <c r="G4" i="5"/>
  <c r="F4" i="5"/>
  <c r="E4" i="5"/>
  <c r="F4" i="8" s="1"/>
  <c r="D4" i="5"/>
  <c r="D4" i="8" s="1"/>
  <c r="C4" i="5"/>
  <c r="B4" i="5"/>
  <c r="N38" i="4"/>
  <c r="H38" i="4"/>
  <c r="G38" i="4"/>
  <c r="F38" i="4"/>
  <c r="Q41" i="10" s="1"/>
  <c r="E38" i="4"/>
  <c r="M41" i="10" s="1"/>
  <c r="D38" i="4"/>
  <c r="I41" i="10" s="1"/>
  <c r="C38" i="4"/>
  <c r="B38" i="4"/>
  <c r="M37" i="4"/>
  <c r="J37" i="4"/>
  <c r="L36" i="4"/>
  <c r="K36" i="4"/>
  <c r="I36" i="4"/>
  <c r="M35" i="4"/>
  <c r="J35" i="4"/>
  <c r="M34" i="4"/>
  <c r="K34" i="4"/>
  <c r="L33" i="4"/>
  <c r="I33" i="4"/>
  <c r="K32" i="4"/>
  <c r="N31" i="4"/>
  <c r="H31" i="4"/>
  <c r="Y33" i="10" s="1"/>
  <c r="G31" i="4"/>
  <c r="U33" i="10" s="1"/>
  <c r="F31" i="4"/>
  <c r="Q33" i="10" s="1"/>
  <c r="E31" i="4"/>
  <c r="D31" i="4"/>
  <c r="C31" i="4"/>
  <c r="B31" i="4"/>
  <c r="J30" i="4"/>
  <c r="L29" i="4"/>
  <c r="K29" i="4"/>
  <c r="M26" i="4"/>
  <c r="J26" i="4"/>
  <c r="I26" i="4"/>
  <c r="K24" i="4"/>
  <c r="N22" i="4"/>
  <c r="N40" i="4" s="1"/>
  <c r="H22" i="4"/>
  <c r="Y24" i="10" s="1"/>
  <c r="G22" i="4"/>
  <c r="F22" i="4"/>
  <c r="E22" i="4"/>
  <c r="D22" i="4"/>
  <c r="C22" i="4"/>
  <c r="E24" i="10" s="1"/>
  <c r="B22" i="4"/>
  <c r="B40" i="4" s="1"/>
  <c r="J21" i="4"/>
  <c r="I21" i="4"/>
  <c r="M20" i="4"/>
  <c r="I7" i="4"/>
  <c r="M6" i="4"/>
  <c r="L6" i="4"/>
  <c r="L4" i="4"/>
  <c r="K4" i="4"/>
  <c r="J4" i="4"/>
  <c r="M32" i="3"/>
  <c r="G32" i="3"/>
  <c r="V33" i="9" s="1"/>
  <c r="F32" i="3"/>
  <c r="R33" i="9" s="1"/>
  <c r="E32" i="3"/>
  <c r="N33" i="9" s="1"/>
  <c r="D32" i="3"/>
  <c r="J33" i="9" s="1"/>
  <c r="C32" i="3"/>
  <c r="F33" i="9" s="1"/>
  <c r="B32" i="3"/>
  <c r="B33" i="9" s="1"/>
  <c r="F26" i="3"/>
  <c r="R27" i="9" s="1"/>
  <c r="M22" i="3"/>
  <c r="M26" i="3" s="1"/>
  <c r="M33" i="3" s="1"/>
  <c r="G22" i="3"/>
  <c r="V22" i="9" s="1"/>
  <c r="F22" i="3"/>
  <c r="E22" i="3"/>
  <c r="N22" i="9" s="1"/>
  <c r="D22" i="3"/>
  <c r="C22" i="3"/>
  <c r="B22" i="3"/>
  <c r="B22" i="9" s="1"/>
  <c r="F15" i="3"/>
  <c r="R15" i="9" s="1"/>
  <c r="C15" i="3"/>
  <c r="F15" i="9" s="1"/>
  <c r="B15" i="3"/>
  <c r="B15" i="9" s="1"/>
  <c r="M8" i="3"/>
  <c r="M15" i="3" s="1"/>
  <c r="G8" i="3"/>
  <c r="V8" i="9" s="1"/>
  <c r="F8" i="3"/>
  <c r="R8" i="9" s="1"/>
  <c r="E8" i="3"/>
  <c r="N8" i="9" s="1"/>
  <c r="D8" i="3"/>
  <c r="J8" i="9" s="1"/>
  <c r="C8" i="3"/>
  <c r="F8" i="9" s="1"/>
  <c r="B8" i="3"/>
  <c r="B8" i="9" s="1"/>
  <c r="D9" i="2"/>
  <c r="N4" i="2"/>
  <c r="N6" i="2" s="1"/>
  <c r="N9" i="2" s="1"/>
  <c r="N11" i="2" s="1"/>
  <c r="N16" i="2" s="1"/>
  <c r="H4" i="2"/>
  <c r="G4" i="2"/>
  <c r="F4" i="2"/>
  <c r="E4" i="2"/>
  <c r="E6" i="2" s="1"/>
  <c r="D4" i="2"/>
  <c r="D6" i="2" s="1"/>
  <c r="C4" i="2"/>
  <c r="B4" i="2"/>
  <c r="B6" i="2" s="1"/>
  <c r="B9" i="2" s="1"/>
  <c r="B11" i="2" s="1"/>
  <c r="B16" i="2" s="1"/>
  <c r="W6" i="8" l="1"/>
  <c r="R9" i="5"/>
  <c r="K38" i="4"/>
  <c r="M22" i="9"/>
  <c r="S8" i="12"/>
  <c r="I6" i="8"/>
  <c r="E15" i="3"/>
  <c r="N15" i="9" s="1"/>
  <c r="U41" i="10"/>
  <c r="X6" i="8"/>
  <c r="L24" i="10"/>
  <c r="D33" i="10"/>
  <c r="T33" i="10"/>
  <c r="H4" i="11"/>
  <c r="T4" i="11"/>
  <c r="AD8" i="8"/>
  <c r="AA3" i="9"/>
  <c r="G7" i="12"/>
  <c r="S7" i="12"/>
  <c r="H8" i="12"/>
  <c r="T8" i="12"/>
  <c r="P6" i="5"/>
  <c r="T6" i="8" s="1"/>
  <c r="K3" i="11"/>
  <c r="M6" i="8"/>
  <c r="Y41" i="10"/>
  <c r="N2" i="11"/>
  <c r="Z2" i="11"/>
  <c r="AA2" i="11" s="1"/>
  <c r="AB3" i="9"/>
  <c r="G15" i="3"/>
  <c r="V15" i="9" s="1"/>
  <c r="D6" i="5"/>
  <c r="Q9" i="5"/>
  <c r="Q11" i="5" s="1"/>
  <c r="F34" i="6"/>
  <c r="R34" i="6"/>
  <c r="O24" i="10"/>
  <c r="O2" i="11"/>
  <c r="I4" i="8"/>
  <c r="AF8" i="8"/>
  <c r="AD3" i="9"/>
  <c r="I3" i="3" s="1"/>
  <c r="AG10" i="10"/>
  <c r="J10" i="4" s="1"/>
  <c r="AB41" i="10"/>
  <c r="E4" i="8"/>
  <c r="G4" i="8"/>
  <c r="T27" i="6"/>
  <c r="M4" i="8"/>
  <c r="L4" i="11"/>
  <c r="X4" i="11"/>
  <c r="H6" i="12"/>
  <c r="T6" i="12"/>
  <c r="L8" i="12"/>
  <c r="G15" i="12"/>
  <c r="S15" i="12"/>
  <c r="G19" i="12"/>
  <c r="S19" i="12"/>
  <c r="AD41" i="10"/>
  <c r="W3" i="11"/>
  <c r="X3" i="9"/>
  <c r="W4" i="8"/>
  <c r="Y3" i="9"/>
  <c r="P2" i="11"/>
  <c r="L4" i="8"/>
  <c r="S6" i="12"/>
  <c r="M32" i="4"/>
  <c r="M38" i="4" s="1"/>
  <c r="C40" i="4"/>
  <c r="H6" i="5"/>
  <c r="K15" i="6"/>
  <c r="K15" i="9" s="1"/>
  <c r="R2" i="11"/>
  <c r="O4" i="8"/>
  <c r="B17" i="12"/>
  <c r="N17" i="12"/>
  <c r="G20" i="12"/>
  <c r="S20" i="12"/>
  <c r="AJ10" i="10"/>
  <c r="AE41" i="10"/>
  <c r="AQ41" i="10"/>
  <c r="AO42" i="10"/>
  <c r="H43" i="7"/>
  <c r="J43" i="10" s="1"/>
  <c r="G6" i="12"/>
  <c r="AL10" i="10"/>
  <c r="L10" i="4" s="1"/>
  <c r="AF41" i="10"/>
  <c r="AR41" i="10"/>
  <c r="AP42" i="10"/>
  <c r="M39" i="4" s="1"/>
  <c r="G8" i="12"/>
  <c r="E6" i="5"/>
  <c r="F6" i="8" s="1"/>
  <c r="S27" i="6"/>
  <c r="C27" i="6"/>
  <c r="C27" i="9" s="1"/>
  <c r="Z7" i="8"/>
  <c r="AQ42" i="10"/>
  <c r="AF3" i="9"/>
  <c r="G3" i="11"/>
  <c r="S3" i="11"/>
  <c r="I33" i="10"/>
  <c r="E27" i="6"/>
  <c r="E27" i="9" s="1"/>
  <c r="H2" i="11"/>
  <c r="T2" i="11"/>
  <c r="G18" i="12"/>
  <c r="S18" i="12"/>
  <c r="E41" i="10"/>
  <c r="O15" i="6"/>
  <c r="O15" i="9" s="1"/>
  <c r="G27" i="6"/>
  <c r="G27" i="9" s="1"/>
  <c r="I3" i="11"/>
  <c r="U3" i="11"/>
  <c r="Z8" i="8"/>
  <c r="I7" i="2" s="1"/>
  <c r="I5" i="12"/>
  <c r="U5" i="12"/>
  <c r="K19" i="12"/>
  <c r="AA10" i="10"/>
  <c r="I10" i="4" s="1"/>
  <c r="AN10" i="10"/>
  <c r="AH41" i="10"/>
  <c r="AA42" i="10"/>
  <c r="AR42" i="10"/>
  <c r="V11" i="8"/>
  <c r="Q16" i="5"/>
  <c r="V16" i="8" s="1"/>
  <c r="D11" i="2"/>
  <c r="E9" i="2"/>
  <c r="N4" i="8"/>
  <c r="K6" i="5"/>
  <c r="H6" i="8"/>
  <c r="G9" i="5"/>
  <c r="I9" i="8" s="1"/>
  <c r="J7" i="11" s="1"/>
  <c r="I27" i="6"/>
  <c r="I22" i="9"/>
  <c r="U27" i="6"/>
  <c r="U22" i="9"/>
  <c r="P34" i="6"/>
  <c r="P34" i="9" s="1"/>
  <c r="N24" i="10"/>
  <c r="K43" i="7"/>
  <c r="N43" i="10" s="1"/>
  <c r="J43" i="7"/>
  <c r="C6" i="2"/>
  <c r="P4" i="8"/>
  <c r="M6" i="5"/>
  <c r="L6" i="8"/>
  <c r="J9" i="5"/>
  <c r="W9" i="8"/>
  <c r="X7" i="11" s="1"/>
  <c r="R11" i="5"/>
  <c r="X9" i="8"/>
  <c r="C4" i="8"/>
  <c r="B4" i="8"/>
  <c r="B6" i="5"/>
  <c r="Q15" i="6"/>
  <c r="Q15" i="9" s="1"/>
  <c r="Y7" i="11"/>
  <c r="V9" i="8"/>
  <c r="F6" i="2"/>
  <c r="Q4" i="8"/>
  <c r="F22" i="9"/>
  <c r="C26" i="3"/>
  <c r="G6" i="2"/>
  <c r="U4" i="8"/>
  <c r="G8" i="9"/>
  <c r="G15" i="6"/>
  <c r="G15" i="9" s="1"/>
  <c r="S8" i="9"/>
  <c r="S15" i="6"/>
  <c r="S15" i="9" s="1"/>
  <c r="S16" i="5"/>
  <c r="X11" i="8"/>
  <c r="J22" i="9"/>
  <c r="D26" i="3"/>
  <c r="B26" i="3"/>
  <c r="Y4" i="8"/>
  <c r="H6" i="2"/>
  <c r="H8" i="9"/>
  <c r="H15" i="6"/>
  <c r="H15" i="9" s="1"/>
  <c r="T8" i="9"/>
  <c r="T15" i="6"/>
  <c r="T15" i="9" s="1"/>
  <c r="G33" i="9"/>
  <c r="G34" i="6"/>
  <c r="G34" i="9" s="1"/>
  <c r="R4" i="8"/>
  <c r="N6" i="5"/>
  <c r="S4" i="8"/>
  <c r="E8" i="9"/>
  <c r="E15" i="6"/>
  <c r="E15" i="9" s="1"/>
  <c r="M24" i="10"/>
  <c r="E40" i="4"/>
  <c r="I38" i="4"/>
  <c r="M27" i="9"/>
  <c r="M34" i="6"/>
  <c r="M34" i="9" s="1"/>
  <c r="C7" i="12"/>
  <c r="O7" i="12"/>
  <c r="H9" i="5"/>
  <c r="J6" i="8"/>
  <c r="U24" i="10"/>
  <c r="G40" i="4"/>
  <c r="Q27" i="9"/>
  <c r="Q34" i="6"/>
  <c r="Q34" i="9" s="1"/>
  <c r="R33" i="10"/>
  <c r="N43" i="7"/>
  <c r="R43" i="10" s="1"/>
  <c r="B43" i="7"/>
  <c r="B43" i="10" s="1"/>
  <c r="D19" i="12"/>
  <c r="P19" i="12"/>
  <c r="Q24" i="10"/>
  <c r="F40" i="4"/>
  <c r="E33" i="10"/>
  <c r="L38" i="4"/>
  <c r="E9" i="5"/>
  <c r="D15" i="3"/>
  <c r="J15" i="9" s="1"/>
  <c r="I24" i="10"/>
  <c r="D40" i="4"/>
  <c r="F6" i="5"/>
  <c r="L11" i="5"/>
  <c r="O27" i="6"/>
  <c r="E43" i="7"/>
  <c r="F43" i="10" s="1"/>
  <c r="F3" i="11"/>
  <c r="R3" i="11"/>
  <c r="I22" i="12"/>
  <c r="U22" i="12"/>
  <c r="D27" i="6"/>
  <c r="P24" i="10"/>
  <c r="M43" i="7"/>
  <c r="P43" i="10" s="1"/>
  <c r="J6" i="12"/>
  <c r="V6" i="12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AG6" i="12" s="1"/>
  <c r="AH6" i="12" s="1"/>
  <c r="AI6" i="12" s="1"/>
  <c r="AJ6" i="12" s="1"/>
  <c r="AK6" i="12" s="1"/>
  <c r="AL6" i="12" s="1"/>
  <c r="AM6" i="12" s="1"/>
  <c r="AN6" i="12" s="1"/>
  <c r="AO6" i="12" s="1"/>
  <c r="AP6" i="12" s="1"/>
  <c r="D8" i="9"/>
  <c r="F33" i="3"/>
  <c r="R34" i="9" s="1"/>
  <c r="J38" i="4"/>
  <c r="E26" i="3"/>
  <c r="C15" i="6"/>
  <c r="C15" i="9" s="1"/>
  <c r="L22" i="9"/>
  <c r="L27" i="6"/>
  <c r="J2" i="11"/>
  <c r="V2" i="11"/>
  <c r="AC5" i="11"/>
  <c r="AA7" i="8"/>
  <c r="C24" i="10"/>
  <c r="C43" i="7"/>
  <c r="K33" i="10"/>
  <c r="I43" i="7"/>
  <c r="K43" i="10" s="1"/>
  <c r="E5" i="12"/>
  <c r="Q5" i="12"/>
  <c r="L6" i="12"/>
  <c r="D8" i="12"/>
  <c r="P8" i="12"/>
  <c r="B20" i="12"/>
  <c r="N20" i="12"/>
  <c r="G26" i="3"/>
  <c r="H40" i="4"/>
  <c r="H4" i="8"/>
  <c r="X4" i="8"/>
  <c r="M15" i="6"/>
  <c r="M15" i="9" s="1"/>
  <c r="M8" i="9"/>
  <c r="D24" i="10"/>
  <c r="D43" i="7"/>
  <c r="P43" i="7"/>
  <c r="T24" i="10"/>
  <c r="L33" i="10"/>
  <c r="D41" i="10"/>
  <c r="T41" i="10"/>
  <c r="O43" i="7"/>
  <c r="N4" i="11"/>
  <c r="Z4" i="11"/>
  <c r="AA4" i="11" s="1"/>
  <c r="AB4" i="11" s="1"/>
  <c r="AC4" i="11" s="1"/>
  <c r="AD4" i="11" s="1"/>
  <c r="AE4" i="11" s="1"/>
  <c r="AF4" i="11" s="1"/>
  <c r="AG4" i="11" s="1"/>
  <c r="AH4" i="11" s="1"/>
  <c r="AI4" i="11" s="1"/>
  <c r="AJ4" i="11" s="1"/>
  <c r="AK4" i="11" s="1"/>
  <c r="AL4" i="11" s="1"/>
  <c r="AM4" i="11" s="1"/>
  <c r="AN4" i="11" s="1"/>
  <c r="AO4" i="11" s="1"/>
  <c r="AP4" i="11" s="1"/>
  <c r="AQ4" i="11" s="1"/>
  <c r="AR4" i="11" s="1"/>
  <c r="AS4" i="11" s="1"/>
  <c r="AT4" i="11" s="1"/>
  <c r="I7" i="12"/>
  <c r="U7" i="12"/>
  <c r="I18" i="12"/>
  <c r="U18" i="12"/>
  <c r="C20" i="12"/>
  <c r="O20" i="12"/>
  <c r="H27" i="9"/>
  <c r="H34" i="6"/>
  <c r="H34" i="9" s="1"/>
  <c r="K34" i="6"/>
  <c r="K34" i="9" s="1"/>
  <c r="V24" i="10"/>
  <c r="Q43" i="7"/>
  <c r="V43" i="10" s="1"/>
  <c r="L4" i="12"/>
  <c r="P8" i="9"/>
  <c r="I16" i="12"/>
  <c r="U16" i="12"/>
  <c r="J18" i="12"/>
  <c r="V18" i="12"/>
  <c r="W18" i="12" s="1"/>
  <c r="X18" i="12" s="1"/>
  <c r="Y18" i="12" s="1"/>
  <c r="Z18" i="12" s="1"/>
  <c r="AA18" i="12" s="1"/>
  <c r="AB18" i="12" s="1"/>
  <c r="AC18" i="12" s="1"/>
  <c r="AD18" i="12" s="1"/>
  <c r="AE18" i="12" s="1"/>
  <c r="AF18" i="12" s="1"/>
  <c r="AG18" i="12" s="1"/>
  <c r="AH18" i="12" s="1"/>
  <c r="AI18" i="12" s="1"/>
  <c r="AJ18" i="12" s="1"/>
  <c r="AK18" i="12" s="1"/>
  <c r="AL18" i="12" s="1"/>
  <c r="AM18" i="12" s="1"/>
  <c r="AN18" i="12" s="1"/>
  <c r="AO18" i="12" s="1"/>
  <c r="AP18" i="12" s="1"/>
  <c r="K4" i="8"/>
  <c r="I6" i="5"/>
  <c r="C9" i="5"/>
  <c r="C6" i="8"/>
  <c r="J34" i="6"/>
  <c r="G24" i="10"/>
  <c r="W24" i="10"/>
  <c r="S43" i="7"/>
  <c r="X43" i="10" s="1"/>
  <c r="AB2" i="11"/>
  <c r="Z2" i="8"/>
  <c r="L14" i="12"/>
  <c r="J16" i="12"/>
  <c r="V16" i="12"/>
  <c r="W16" i="12" s="1"/>
  <c r="X16" i="12" s="1"/>
  <c r="Y16" i="12" s="1"/>
  <c r="Z16" i="12" s="1"/>
  <c r="AA16" i="12" s="1"/>
  <c r="AB16" i="12" s="1"/>
  <c r="AC16" i="12" s="1"/>
  <c r="AD16" i="12" s="1"/>
  <c r="AE16" i="12" s="1"/>
  <c r="AF16" i="12" s="1"/>
  <c r="AG16" i="12" s="1"/>
  <c r="AH16" i="12" s="1"/>
  <c r="AI16" i="12" s="1"/>
  <c r="AJ16" i="12" s="1"/>
  <c r="AK16" i="12" s="1"/>
  <c r="AL16" i="12" s="1"/>
  <c r="AM16" i="12" s="1"/>
  <c r="AN16" i="12" s="1"/>
  <c r="AO16" i="12" s="1"/>
  <c r="AP16" i="12" s="1"/>
  <c r="H24" i="10"/>
  <c r="G43" i="7"/>
  <c r="H43" i="10" s="1"/>
  <c r="D3" i="11"/>
  <c r="P3" i="11"/>
  <c r="B4" i="12"/>
  <c r="N4" i="12"/>
  <c r="D6" i="12"/>
  <c r="P6" i="12"/>
  <c r="L7" i="12"/>
  <c r="J13" i="12"/>
  <c r="V13" i="12"/>
  <c r="W13" i="12" s="1"/>
  <c r="X13" i="12" s="1"/>
  <c r="Y13" i="12" s="1"/>
  <c r="Z13" i="12" s="1"/>
  <c r="AA13" i="12" s="1"/>
  <c r="AB13" i="12" s="1"/>
  <c r="AC13" i="12" s="1"/>
  <c r="AD13" i="12" s="1"/>
  <c r="AE13" i="12" s="1"/>
  <c r="AF13" i="12" s="1"/>
  <c r="AG13" i="12" s="1"/>
  <c r="AH13" i="12" s="1"/>
  <c r="AI13" i="12" s="1"/>
  <c r="AJ13" i="12" s="1"/>
  <c r="AK13" i="12" s="1"/>
  <c r="AL13" i="12" s="1"/>
  <c r="AM13" i="12" s="1"/>
  <c r="AN13" i="12" s="1"/>
  <c r="AO13" i="12" s="1"/>
  <c r="AP13" i="12" s="1"/>
  <c r="G33" i="10"/>
  <c r="W33" i="10"/>
  <c r="O41" i="10"/>
  <c r="H3" i="11"/>
  <c r="T3" i="11"/>
  <c r="J4" i="11"/>
  <c r="V4" i="11"/>
  <c r="AC3" i="9"/>
  <c r="M4" i="12"/>
  <c r="J5" i="12"/>
  <c r="V5" i="12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I6" i="12"/>
  <c r="U6" i="12"/>
  <c r="M8" i="12"/>
  <c r="L15" i="12"/>
  <c r="F16" i="12"/>
  <c r="R16" i="12"/>
  <c r="M17" i="12"/>
  <c r="L19" i="12"/>
  <c r="E2" i="11"/>
  <c r="Q2" i="11"/>
  <c r="J3" i="11"/>
  <c r="V3" i="11"/>
  <c r="AE3" i="9"/>
  <c r="C4" i="12"/>
  <c r="O4" i="12"/>
  <c r="L5" i="12"/>
  <c r="K6" i="12"/>
  <c r="J7" i="12"/>
  <c r="V7" i="12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AH7" i="12" s="1"/>
  <c r="AI7" i="12" s="1"/>
  <c r="AJ7" i="12" s="1"/>
  <c r="AK7" i="12" s="1"/>
  <c r="AL7" i="12" s="1"/>
  <c r="AM7" i="12" s="1"/>
  <c r="AN7" i="12" s="1"/>
  <c r="AO7" i="12" s="1"/>
  <c r="AP7" i="12" s="1"/>
  <c r="H13" i="12"/>
  <c r="T13" i="12"/>
  <c r="B15" i="12"/>
  <c r="N15" i="12"/>
  <c r="C17" i="12"/>
  <c r="O17" i="12"/>
  <c r="M20" i="12"/>
  <c r="M3" i="11"/>
  <c r="Y3" i="11"/>
  <c r="W7" i="11"/>
  <c r="AH3" i="12"/>
  <c r="AG3" i="9"/>
  <c r="F4" i="12"/>
  <c r="R4" i="12"/>
  <c r="C5" i="12"/>
  <c r="O5" i="12"/>
  <c r="B6" i="12"/>
  <c r="N6" i="12"/>
  <c r="F8" i="12"/>
  <c r="R8" i="12"/>
  <c r="K13" i="12"/>
  <c r="B14" i="12"/>
  <c r="N14" i="12"/>
  <c r="E15" i="12"/>
  <c r="F17" i="12"/>
  <c r="R17" i="12"/>
  <c r="K18" i="12"/>
  <c r="O33" i="10"/>
  <c r="G41" i="10"/>
  <c r="W41" i="10"/>
  <c r="I2" i="11"/>
  <c r="U2" i="11"/>
  <c r="N3" i="11"/>
  <c r="Z3" i="11"/>
  <c r="AA3" i="11" s="1"/>
  <c r="AB3" i="11" s="1"/>
  <c r="AC3" i="11" s="1"/>
  <c r="AD3" i="11" s="1"/>
  <c r="AE3" i="11" s="1"/>
  <c r="AF3" i="11" s="1"/>
  <c r="AG3" i="11" s="1"/>
  <c r="AH3" i="11" s="1"/>
  <c r="AI3" i="11" s="1"/>
  <c r="AJ3" i="11" s="1"/>
  <c r="AK3" i="11" s="1"/>
  <c r="AL3" i="11" s="1"/>
  <c r="AM3" i="11" s="1"/>
  <c r="AN3" i="11" s="1"/>
  <c r="AO3" i="11" s="1"/>
  <c r="AP3" i="11" s="1"/>
  <c r="AQ3" i="11" s="1"/>
  <c r="AR3" i="11" s="1"/>
  <c r="AS3" i="11" s="1"/>
  <c r="AT3" i="11" s="1"/>
  <c r="D4" i="11"/>
  <c r="P4" i="11"/>
  <c r="W3" i="9"/>
  <c r="D5" i="12"/>
  <c r="P5" i="12"/>
  <c r="C6" i="12"/>
  <c r="O6" i="12"/>
  <c r="B7" i="12"/>
  <c r="N7" i="12"/>
  <c r="Y12" i="12"/>
  <c r="X13" i="9"/>
  <c r="L13" i="12"/>
  <c r="F19" i="12"/>
  <c r="R19" i="12"/>
  <c r="K22" i="12"/>
  <c r="X24" i="12"/>
  <c r="W28" i="9"/>
  <c r="D28" i="13"/>
  <c r="P28" i="13"/>
  <c r="F20" i="12"/>
  <c r="R20" i="12"/>
  <c r="L22" i="12"/>
  <c r="I4" i="12"/>
  <c r="U4" i="12"/>
  <c r="F5" i="12"/>
  <c r="E6" i="12"/>
  <c r="Q6" i="12"/>
  <c r="D7" i="12"/>
  <c r="P7" i="12"/>
  <c r="I8" i="12"/>
  <c r="U8" i="12"/>
  <c r="X11" i="12"/>
  <c r="W12" i="9"/>
  <c r="E14" i="12"/>
  <c r="Q14" i="12"/>
  <c r="H15" i="12"/>
  <c r="T15" i="12"/>
  <c r="B16" i="12"/>
  <c r="N16" i="12"/>
  <c r="H19" i="12"/>
  <c r="T19" i="12"/>
  <c r="M22" i="12"/>
  <c r="G3" i="13"/>
  <c r="S3" i="13"/>
  <c r="M33" i="10"/>
  <c r="K24" i="10"/>
  <c r="C33" i="10"/>
  <c r="S33" i="10"/>
  <c r="K41" i="10"/>
  <c r="L2" i="11"/>
  <c r="X2" i="11"/>
  <c r="E3" i="11"/>
  <c r="Q3" i="11"/>
  <c r="G4" i="11"/>
  <c r="S4" i="11"/>
  <c r="AJ6" i="11"/>
  <c r="AH8" i="8"/>
  <c r="Z3" i="9"/>
  <c r="H3" i="3" s="1"/>
  <c r="J4" i="12"/>
  <c r="V4" i="12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G5" i="12"/>
  <c r="S5" i="12"/>
  <c r="E7" i="12"/>
  <c r="Q7" i="12"/>
  <c r="C13" i="12"/>
  <c r="O13" i="12"/>
  <c r="F14" i="12"/>
  <c r="R14" i="12"/>
  <c r="I15" i="12"/>
  <c r="U15" i="12"/>
  <c r="C18" i="12"/>
  <c r="O18" i="12"/>
  <c r="B9" i="13"/>
  <c r="N9" i="13"/>
  <c r="K4" i="12"/>
  <c r="H5" i="12"/>
  <c r="T5" i="12"/>
  <c r="F7" i="12"/>
  <c r="R7" i="12"/>
  <c r="K8" i="12"/>
  <c r="W10" i="12"/>
  <c r="D13" i="12"/>
  <c r="P13" i="12"/>
  <c r="G14" i="12"/>
  <c r="S14" i="12"/>
  <c r="D16" i="12"/>
  <c r="P16" i="12"/>
  <c r="K17" i="12"/>
  <c r="C9" i="13"/>
  <c r="O9" i="13"/>
  <c r="D3" i="13"/>
  <c r="R5" i="12"/>
  <c r="M6" i="12"/>
  <c r="H7" i="12"/>
  <c r="T7" i="12"/>
  <c r="J8" i="12"/>
  <c r="V8" i="12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AG8" i="12" s="1"/>
  <c r="AH8" i="12" s="1"/>
  <c r="AI8" i="12" s="1"/>
  <c r="AJ8" i="12" s="1"/>
  <c r="AK8" i="12" s="1"/>
  <c r="AL8" i="12" s="1"/>
  <c r="AM8" i="12" s="1"/>
  <c r="AN8" i="12" s="1"/>
  <c r="AO8" i="12" s="1"/>
  <c r="AP8" i="12" s="1"/>
  <c r="I13" i="12"/>
  <c r="U13" i="12"/>
  <c r="K14" i="12"/>
  <c r="F15" i="12"/>
  <c r="R15" i="12"/>
  <c r="C16" i="12"/>
  <c r="O16" i="12"/>
  <c r="L17" i="12"/>
  <c r="H18" i="12"/>
  <c r="T18" i="12"/>
  <c r="E19" i="12"/>
  <c r="Q19" i="12"/>
  <c r="L20" i="12"/>
  <c r="J22" i="12"/>
  <c r="V22" i="12"/>
  <c r="W22" i="12" s="1"/>
  <c r="X22" i="12" s="1"/>
  <c r="Y22" i="12" s="1"/>
  <c r="Z22" i="12" s="1"/>
  <c r="AA22" i="12" s="1"/>
  <c r="AB22" i="12" s="1"/>
  <c r="AC22" i="12" s="1"/>
  <c r="AD22" i="12" s="1"/>
  <c r="AE22" i="12" s="1"/>
  <c r="AF22" i="12" s="1"/>
  <c r="AG22" i="12" s="1"/>
  <c r="AH22" i="12" s="1"/>
  <c r="AI22" i="12" s="1"/>
  <c r="AJ22" i="12" s="1"/>
  <c r="AK22" i="12" s="1"/>
  <c r="AL22" i="12" s="1"/>
  <c r="AM22" i="12" s="1"/>
  <c r="AN22" i="12" s="1"/>
  <c r="AO22" i="12" s="1"/>
  <c r="AP22" i="12" s="1"/>
  <c r="E3" i="13"/>
  <c r="Q3" i="13"/>
  <c r="C28" i="13"/>
  <c r="O28" i="13"/>
  <c r="AA41" i="10"/>
  <c r="X23" i="12"/>
  <c r="W26" i="9"/>
  <c r="H3" i="13"/>
  <c r="T3" i="13"/>
  <c r="F28" i="13"/>
  <c r="R28" i="13"/>
  <c r="B8" i="12"/>
  <c r="N8" i="12"/>
  <c r="M13" i="12"/>
  <c r="C14" i="12"/>
  <c r="O14" i="12"/>
  <c r="J15" i="12"/>
  <c r="V15" i="12"/>
  <c r="W15" i="12" s="1"/>
  <c r="X15" i="12" s="1"/>
  <c r="Y15" i="12" s="1"/>
  <c r="Z15" i="12" s="1"/>
  <c r="AA15" i="12" s="1"/>
  <c r="AB15" i="12" s="1"/>
  <c r="AC15" i="12" s="1"/>
  <c r="AD15" i="12" s="1"/>
  <c r="AE15" i="12" s="1"/>
  <c r="AF15" i="12" s="1"/>
  <c r="AG15" i="12" s="1"/>
  <c r="AH15" i="12" s="1"/>
  <c r="AI15" i="12" s="1"/>
  <c r="AJ15" i="12" s="1"/>
  <c r="AK15" i="12" s="1"/>
  <c r="AL15" i="12" s="1"/>
  <c r="AM15" i="12" s="1"/>
  <c r="AN15" i="12" s="1"/>
  <c r="AO15" i="12" s="1"/>
  <c r="AP15" i="12" s="1"/>
  <c r="G16" i="12"/>
  <c r="S16" i="12"/>
  <c r="D17" i="12"/>
  <c r="P17" i="12"/>
  <c r="L18" i="12"/>
  <c r="D20" i="12"/>
  <c r="P20" i="12"/>
  <c r="B22" i="12"/>
  <c r="N22" i="12"/>
  <c r="X28" i="12"/>
  <c r="W32" i="9"/>
  <c r="E9" i="13"/>
  <c r="Q9" i="13"/>
  <c r="L41" i="10"/>
  <c r="K2" i="11"/>
  <c r="W2" i="11"/>
  <c r="C3" i="11"/>
  <c r="O3" i="11"/>
  <c r="K4" i="11"/>
  <c r="W4" i="11"/>
  <c r="D4" i="12"/>
  <c r="P4" i="12"/>
  <c r="K5" i="12"/>
  <c r="F6" i="12"/>
  <c r="R6" i="12"/>
  <c r="M7" i="12"/>
  <c r="C8" i="12"/>
  <c r="O8" i="12"/>
  <c r="B13" i="12"/>
  <c r="N13" i="12"/>
  <c r="D14" i="12"/>
  <c r="P14" i="12"/>
  <c r="K15" i="12"/>
  <c r="H16" i="12"/>
  <c r="T16" i="12"/>
  <c r="E17" i="12"/>
  <c r="Q17" i="12"/>
  <c r="M18" i="12"/>
  <c r="J19" i="12"/>
  <c r="V19" i="12"/>
  <c r="W19" i="12" s="1"/>
  <c r="X19" i="12" s="1"/>
  <c r="Y19" i="12" s="1"/>
  <c r="Z19" i="12" s="1"/>
  <c r="AA19" i="12" s="1"/>
  <c r="AB19" i="12" s="1"/>
  <c r="AC19" i="12" s="1"/>
  <c r="AD19" i="12" s="1"/>
  <c r="AE19" i="12" s="1"/>
  <c r="AF19" i="12" s="1"/>
  <c r="AG19" i="12" s="1"/>
  <c r="AH19" i="12" s="1"/>
  <c r="AI19" i="12" s="1"/>
  <c r="AJ19" i="12" s="1"/>
  <c r="AK19" i="12" s="1"/>
  <c r="AL19" i="12" s="1"/>
  <c r="AM19" i="12" s="1"/>
  <c r="AN19" i="12" s="1"/>
  <c r="AO19" i="12" s="1"/>
  <c r="AP19" i="12" s="1"/>
  <c r="E20" i="12"/>
  <c r="Q20" i="12"/>
  <c r="C22" i="12"/>
  <c r="O22" i="12"/>
  <c r="J3" i="13"/>
  <c r="V3" i="13"/>
  <c r="D22" i="12"/>
  <c r="P22" i="12"/>
  <c r="K3" i="13"/>
  <c r="W3" i="13"/>
  <c r="G9" i="13"/>
  <c r="S9" i="13"/>
  <c r="AG41" i="10"/>
  <c r="E22" i="12"/>
  <c r="Q22" i="12"/>
  <c r="H9" i="13"/>
  <c r="T9" i="13"/>
  <c r="K16" i="12"/>
  <c r="H17" i="12"/>
  <c r="T17" i="12"/>
  <c r="D18" i="12"/>
  <c r="P18" i="12"/>
  <c r="M19" i="12"/>
  <c r="H20" i="12"/>
  <c r="T20" i="12"/>
  <c r="F22" i="12"/>
  <c r="R22" i="12"/>
  <c r="F13" i="12"/>
  <c r="R13" i="12"/>
  <c r="H14" i="12"/>
  <c r="T14" i="12"/>
  <c r="C15" i="12"/>
  <c r="O15" i="12"/>
  <c r="I17" i="12"/>
  <c r="U17" i="12"/>
  <c r="E18" i="12"/>
  <c r="Q18" i="12"/>
  <c r="B19" i="12"/>
  <c r="N19" i="12"/>
  <c r="I20" i="12"/>
  <c r="U20" i="12"/>
  <c r="B3" i="13"/>
  <c r="N3" i="13"/>
  <c r="J9" i="13"/>
  <c r="V9" i="13"/>
  <c r="G13" i="12"/>
  <c r="S13" i="12"/>
  <c r="I14" i="12"/>
  <c r="U14" i="12"/>
  <c r="D15" i="12"/>
  <c r="P15" i="12"/>
  <c r="M16" i="12"/>
  <c r="J17" i="12"/>
  <c r="V17" i="12"/>
  <c r="W17" i="12" s="1"/>
  <c r="X17" i="12" s="1"/>
  <c r="Y17" i="12" s="1"/>
  <c r="Z17" i="12" s="1"/>
  <c r="AA17" i="12" s="1"/>
  <c r="AB17" i="12" s="1"/>
  <c r="AC17" i="12" s="1"/>
  <c r="AD17" i="12" s="1"/>
  <c r="AE17" i="12" s="1"/>
  <c r="AF17" i="12" s="1"/>
  <c r="AG17" i="12" s="1"/>
  <c r="AH17" i="12" s="1"/>
  <c r="AI17" i="12" s="1"/>
  <c r="AJ17" i="12" s="1"/>
  <c r="AK17" i="12" s="1"/>
  <c r="AL17" i="12" s="1"/>
  <c r="AM17" i="12" s="1"/>
  <c r="AN17" i="12" s="1"/>
  <c r="AO17" i="12" s="1"/>
  <c r="AP17" i="12" s="1"/>
  <c r="F18" i="12"/>
  <c r="R18" i="12"/>
  <c r="C19" i="12"/>
  <c r="O19" i="12"/>
  <c r="J20" i="12"/>
  <c r="V20" i="12"/>
  <c r="W20" i="12" s="1"/>
  <c r="X20" i="12" s="1"/>
  <c r="Y20" i="12" s="1"/>
  <c r="Z20" i="12" s="1"/>
  <c r="AA20" i="12" s="1"/>
  <c r="AB20" i="12" s="1"/>
  <c r="AC20" i="12" s="1"/>
  <c r="AD20" i="12" s="1"/>
  <c r="AE20" i="12" s="1"/>
  <c r="AF20" i="12" s="1"/>
  <c r="AG20" i="12" s="1"/>
  <c r="AH20" i="12" s="1"/>
  <c r="AI20" i="12" s="1"/>
  <c r="AJ20" i="12" s="1"/>
  <c r="AK20" i="12" s="1"/>
  <c r="AL20" i="12" s="1"/>
  <c r="AM20" i="12" s="1"/>
  <c r="AN20" i="12" s="1"/>
  <c r="AO20" i="12" s="1"/>
  <c r="AP20" i="12" s="1"/>
  <c r="H22" i="12"/>
  <c r="T22" i="12"/>
  <c r="C3" i="13"/>
  <c r="O3" i="13"/>
  <c r="K9" i="13"/>
  <c r="W9" i="13"/>
  <c r="M28" i="13"/>
  <c r="Y28" i="13"/>
  <c r="Z28" i="13" s="1"/>
  <c r="AA28" i="13" s="1"/>
  <c r="AB28" i="13" s="1"/>
  <c r="AC28" i="13" s="1"/>
  <c r="AD28" i="13" s="1"/>
  <c r="AE28" i="13" s="1"/>
  <c r="AF28" i="13" s="1"/>
  <c r="AG28" i="13" s="1"/>
  <c r="AH28" i="13" s="1"/>
  <c r="AI28" i="13" s="1"/>
  <c r="AJ28" i="13" s="1"/>
  <c r="AK28" i="13" s="1"/>
  <c r="AL28" i="13" s="1"/>
  <c r="AM28" i="13" s="1"/>
  <c r="AN28" i="13" s="1"/>
  <c r="AO28" i="13" s="1"/>
  <c r="AP28" i="13" s="1"/>
  <c r="AQ28" i="13" s="1"/>
  <c r="AR28" i="13" s="1"/>
  <c r="AS28" i="13" s="1"/>
  <c r="F3" i="13"/>
  <c r="R3" i="13"/>
  <c r="F9" i="13"/>
  <c r="R9" i="13"/>
  <c r="B28" i="13"/>
  <c r="N28" i="13"/>
  <c r="AP41" i="10"/>
  <c r="Q15" i="12"/>
  <c r="L16" i="12"/>
  <c r="G17" i="12"/>
  <c r="S17" i="12"/>
  <c r="B18" i="12"/>
  <c r="N18" i="12"/>
  <c r="I19" i="12"/>
  <c r="U19" i="12"/>
  <c r="K20" i="12"/>
  <c r="G22" i="12"/>
  <c r="S22" i="12"/>
  <c r="I3" i="13"/>
  <c r="U3" i="13"/>
  <c r="I9" i="13"/>
  <c r="U9" i="13"/>
  <c r="AK10" i="10"/>
  <c r="K10" i="4" s="1"/>
  <c r="E28" i="13"/>
  <c r="Q28" i="13"/>
  <c r="G28" i="13"/>
  <c r="S28" i="13"/>
  <c r="AI41" i="10"/>
  <c r="L3" i="13"/>
  <c r="X3" i="13"/>
  <c r="L9" i="13"/>
  <c r="X9" i="13"/>
  <c r="H28" i="13"/>
  <c r="T28" i="13"/>
  <c r="M3" i="13"/>
  <c r="Y3" i="13"/>
  <c r="Z3" i="13" s="1"/>
  <c r="AA3" i="13" s="1"/>
  <c r="AB3" i="13" s="1"/>
  <c r="AC3" i="13" s="1"/>
  <c r="AD3" i="13" s="1"/>
  <c r="AE3" i="13" s="1"/>
  <c r="AF3" i="13" s="1"/>
  <c r="AG3" i="13" s="1"/>
  <c r="AH3" i="13" s="1"/>
  <c r="AI3" i="13" s="1"/>
  <c r="AJ3" i="13" s="1"/>
  <c r="AK3" i="13" s="1"/>
  <c r="AL3" i="13" s="1"/>
  <c r="AM3" i="13" s="1"/>
  <c r="AN3" i="13" s="1"/>
  <c r="AO3" i="13" s="1"/>
  <c r="AP3" i="13" s="1"/>
  <c r="AQ3" i="13" s="1"/>
  <c r="AR3" i="13" s="1"/>
  <c r="AS3" i="13" s="1"/>
  <c r="M9" i="13"/>
  <c r="Y9" i="13"/>
  <c r="Z9" i="13" s="1"/>
  <c r="AA9" i="13" s="1"/>
  <c r="AB9" i="13" s="1"/>
  <c r="AC9" i="13" s="1"/>
  <c r="AD9" i="13" s="1"/>
  <c r="AE9" i="13" s="1"/>
  <c r="AF9" i="13" s="1"/>
  <c r="AG9" i="13" s="1"/>
  <c r="AH9" i="13" s="1"/>
  <c r="AI9" i="13" s="1"/>
  <c r="AJ9" i="13" s="1"/>
  <c r="AK9" i="13" s="1"/>
  <c r="AL9" i="13" s="1"/>
  <c r="AM9" i="13" s="1"/>
  <c r="AN9" i="13" s="1"/>
  <c r="AO9" i="13" s="1"/>
  <c r="AP9" i="13" s="1"/>
  <c r="AQ9" i="13" s="1"/>
  <c r="AR9" i="13" s="1"/>
  <c r="AS9" i="13" s="1"/>
  <c r="I28" i="13"/>
  <c r="U28" i="13"/>
  <c r="AK41" i="10"/>
  <c r="J28" i="13"/>
  <c r="V28" i="13"/>
  <c r="K28" i="13"/>
  <c r="W28" i="13"/>
  <c r="AM41" i="10"/>
  <c r="P3" i="13"/>
  <c r="D9" i="13"/>
  <c r="P9" i="13"/>
  <c r="L28" i="13"/>
  <c r="X28" i="13"/>
  <c r="AN41" i="10"/>
  <c r="AG42" i="10"/>
  <c r="J39" i="4" s="1"/>
  <c r="AH42" i="10"/>
  <c r="AJ42" i="10"/>
  <c r="AK42" i="10"/>
  <c r="Z42" i="10"/>
  <c r="I39" i="4" s="1"/>
  <c r="AL42" i="10"/>
  <c r="L39" i="4" s="1"/>
  <c r="S27" i="9" l="1"/>
  <c r="S34" i="6"/>
  <c r="S34" i="9" s="1"/>
  <c r="P9" i="5"/>
  <c r="T34" i="6"/>
  <c r="T34" i="9" s="1"/>
  <c r="T27" i="9"/>
  <c r="I43" i="10"/>
  <c r="D6" i="8"/>
  <c r="D9" i="5"/>
  <c r="D11" i="5" s="1"/>
  <c r="D16" i="5" s="1"/>
  <c r="T43" i="10"/>
  <c r="O43" i="10"/>
  <c r="D43" i="10"/>
  <c r="E34" i="6"/>
  <c r="E34" i="9" s="1"/>
  <c r="J7" i="2"/>
  <c r="G43" i="10"/>
  <c r="M43" i="10"/>
  <c r="C34" i="6"/>
  <c r="C34" i="9" s="1"/>
  <c r="D27" i="9"/>
  <c r="D34" i="6"/>
  <c r="D34" i="9" s="1"/>
  <c r="F9" i="2"/>
  <c r="Q6" i="8"/>
  <c r="P6" i="8"/>
  <c r="M9" i="5"/>
  <c r="N6" i="8"/>
  <c r="K9" i="5"/>
  <c r="O6" i="8"/>
  <c r="L27" i="9"/>
  <c r="L34" i="6"/>
  <c r="L34" i="9" s="1"/>
  <c r="K39" i="4"/>
  <c r="Y28" i="12"/>
  <c r="X32" i="9"/>
  <c r="Y23" i="12"/>
  <c r="X26" i="9"/>
  <c r="Y24" i="12"/>
  <c r="X28" i="9"/>
  <c r="W43" i="10"/>
  <c r="E6" i="8"/>
  <c r="C9" i="2"/>
  <c r="C11" i="5"/>
  <c r="F9" i="8"/>
  <c r="G7" i="11" s="1"/>
  <c r="E11" i="5"/>
  <c r="L43" i="10"/>
  <c r="E43" i="10"/>
  <c r="I9" i="5"/>
  <c r="L9" i="8" s="1"/>
  <c r="M7" i="11" s="1"/>
  <c r="K6" i="8"/>
  <c r="N27" i="9"/>
  <c r="E33" i="3"/>
  <c r="N34" i="9" s="1"/>
  <c r="B6" i="8"/>
  <c r="B9" i="5"/>
  <c r="C9" i="8" s="1"/>
  <c r="D7" i="11" s="1"/>
  <c r="M9" i="8"/>
  <c r="N7" i="11" s="1"/>
  <c r="E11" i="2"/>
  <c r="C43" i="10"/>
  <c r="U43" i="10"/>
  <c r="I27" i="9"/>
  <c r="I34" i="6"/>
  <c r="I34" i="9" s="1"/>
  <c r="X10" i="12"/>
  <c r="W11" i="9"/>
  <c r="S43" i="10"/>
  <c r="Y43" i="10"/>
  <c r="O27" i="9"/>
  <c r="O34" i="6"/>
  <c r="O34" i="9" s="1"/>
  <c r="Q43" i="10"/>
  <c r="Y6" i="8"/>
  <c r="H9" i="2"/>
  <c r="D16" i="2"/>
  <c r="AI3" i="12"/>
  <c r="AH3" i="9"/>
  <c r="J3" i="3" s="1"/>
  <c r="V27" i="9"/>
  <c r="G33" i="3"/>
  <c r="V34" i="9" s="1"/>
  <c r="L16" i="5"/>
  <c r="U6" i="8"/>
  <c r="G9" i="2"/>
  <c r="G11" i="5"/>
  <c r="AK6" i="11"/>
  <c r="AI8" i="8"/>
  <c r="Z12" i="12"/>
  <c r="Y13" i="9"/>
  <c r="W23" i="9"/>
  <c r="Z29" i="10"/>
  <c r="Z3" i="10"/>
  <c r="W18" i="9"/>
  <c r="Z18" i="13" s="1"/>
  <c r="Z18" i="10" s="1"/>
  <c r="W17" i="9"/>
  <c r="Z17" i="13" s="1"/>
  <c r="Z17" i="10" s="1"/>
  <c r="Z3" i="8"/>
  <c r="W19" i="9"/>
  <c r="W9" i="9"/>
  <c r="Z24" i="13" s="1"/>
  <c r="Z25" i="10" s="1"/>
  <c r="W4" i="9"/>
  <c r="Z11" i="13" s="1"/>
  <c r="Z11" i="10" s="1"/>
  <c r="Z9" i="10"/>
  <c r="W25" i="9"/>
  <c r="W20" i="9"/>
  <c r="Z20" i="13" s="1"/>
  <c r="Z20" i="10" s="1"/>
  <c r="W14" i="9"/>
  <c r="Z5" i="8"/>
  <c r="W6" i="9"/>
  <c r="Z14" i="13" s="1"/>
  <c r="Z14" i="10" s="1"/>
  <c r="W7" i="9"/>
  <c r="Z15" i="13" s="1"/>
  <c r="Z15" i="10" s="1"/>
  <c r="Z4" i="8"/>
  <c r="Z6" i="8" s="1"/>
  <c r="Z9" i="8" s="1"/>
  <c r="W21" i="9"/>
  <c r="AD5" i="11"/>
  <c r="AB7" i="8"/>
  <c r="T9" i="8"/>
  <c r="U7" i="11" s="1"/>
  <c r="P11" i="5"/>
  <c r="J9" i="8"/>
  <c r="K7" i="11" s="1"/>
  <c r="H11" i="5"/>
  <c r="B27" i="9"/>
  <c r="B33" i="3"/>
  <c r="B34" i="9" s="1"/>
  <c r="W11" i="8"/>
  <c r="R16" i="5"/>
  <c r="W16" i="8" s="1"/>
  <c r="U27" i="9"/>
  <c r="U34" i="6"/>
  <c r="U34" i="9" s="1"/>
  <c r="J11" i="5"/>
  <c r="W27" i="12"/>
  <c r="Y11" i="12"/>
  <c r="X12" i="9"/>
  <c r="AC2" i="11"/>
  <c r="AA2" i="8"/>
  <c r="G6" i="8"/>
  <c r="F9" i="5"/>
  <c r="R6" i="8"/>
  <c r="S6" i="8"/>
  <c r="N9" i="5"/>
  <c r="J27" i="9"/>
  <c r="D33" i="3"/>
  <c r="J34" i="9" s="1"/>
  <c r="F27" i="9"/>
  <c r="C33" i="3"/>
  <c r="F34" i="9" s="1"/>
  <c r="D9" i="8" l="1"/>
  <c r="E7" i="11" s="1"/>
  <c r="AD2" i="11"/>
  <c r="AB2" i="8"/>
  <c r="J11" i="8"/>
  <c r="H16" i="5"/>
  <c r="J16" i="8" s="1"/>
  <c r="C16" i="5"/>
  <c r="X16" i="8"/>
  <c r="G9" i="8"/>
  <c r="H7" i="11" s="1"/>
  <c r="F11" i="5"/>
  <c r="H11" i="8" s="1"/>
  <c r="Z11" i="12"/>
  <c r="Y12" i="9"/>
  <c r="T11" i="8"/>
  <c r="P16" i="5"/>
  <c r="T16" i="8" s="1"/>
  <c r="AA12" i="12"/>
  <c r="Z13" i="9"/>
  <c r="H13" i="3" s="1"/>
  <c r="E9" i="8"/>
  <c r="F7" i="11" s="1"/>
  <c r="C11" i="2"/>
  <c r="X27" i="12"/>
  <c r="W31" i="9"/>
  <c r="W25" i="12"/>
  <c r="AJ3" i="12"/>
  <c r="AI3" i="9"/>
  <c r="N9" i="8"/>
  <c r="O7" i="11" s="1"/>
  <c r="K11" i="5"/>
  <c r="O9" i="8"/>
  <c r="P7" i="11" s="1"/>
  <c r="Z33" i="10"/>
  <c r="G16" i="5"/>
  <c r="I11" i="5"/>
  <c r="K9" i="8"/>
  <c r="L7" i="11" s="1"/>
  <c r="J16" i="5"/>
  <c r="AL6" i="11"/>
  <c r="AJ8" i="8"/>
  <c r="Y10" i="12"/>
  <c r="X11" i="9"/>
  <c r="AE5" i="11"/>
  <c r="AC7" i="8"/>
  <c r="I8" i="2" s="1"/>
  <c r="N11" i="5"/>
  <c r="R9" i="8"/>
  <c r="S7" i="11" s="1"/>
  <c r="S9" i="8"/>
  <c r="T7" i="11" s="1"/>
  <c r="Z24" i="12"/>
  <c r="Y28" i="9"/>
  <c r="P9" i="8"/>
  <c r="Q7" i="11" s="1"/>
  <c r="M11" i="5"/>
  <c r="H9" i="8"/>
  <c r="I7" i="11" s="1"/>
  <c r="W5" i="9"/>
  <c r="Z13" i="13" s="1"/>
  <c r="Z13" i="10" s="1"/>
  <c r="W16" i="9"/>
  <c r="U9" i="8"/>
  <c r="V7" i="11" s="1"/>
  <c r="G11" i="2"/>
  <c r="I11" i="8"/>
  <c r="Y9" i="8"/>
  <c r="Z7" i="11" s="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AK7" i="11" s="1"/>
  <c r="AL7" i="11" s="1"/>
  <c r="AM7" i="11" s="1"/>
  <c r="AN7" i="11" s="1"/>
  <c r="AO7" i="11" s="1"/>
  <c r="AP7" i="11" s="1"/>
  <c r="AQ7" i="11" s="1"/>
  <c r="AR7" i="11" s="1"/>
  <c r="AS7" i="11" s="1"/>
  <c r="AT7" i="11" s="1"/>
  <c r="H11" i="2"/>
  <c r="Z23" i="12"/>
  <c r="Y26" i="9"/>
  <c r="E16" i="2"/>
  <c r="M16" i="8" s="1"/>
  <c r="M11" i="8"/>
  <c r="D11" i="8"/>
  <c r="Q9" i="8"/>
  <c r="R7" i="11" s="1"/>
  <c r="F11" i="2"/>
  <c r="F11" i="8"/>
  <c r="E16" i="5"/>
  <c r="F16" i="8" s="1"/>
  <c r="Z28" i="12"/>
  <c r="Y32" i="9"/>
  <c r="X18" i="9"/>
  <c r="AA18" i="13" s="1"/>
  <c r="AA18" i="10" s="1"/>
  <c r="AA3" i="10"/>
  <c r="X20" i="9"/>
  <c r="AA20" i="13" s="1"/>
  <c r="AA20" i="10" s="1"/>
  <c r="X7" i="9"/>
  <c r="AA15" i="13" s="1"/>
  <c r="AA15" i="10" s="1"/>
  <c r="X19" i="9"/>
  <c r="AA29" i="10"/>
  <c r="AA9" i="10"/>
  <c r="X25" i="9"/>
  <c r="X14" i="9"/>
  <c r="AA5" i="8"/>
  <c r="X23" i="9"/>
  <c r="X21" i="9"/>
  <c r="X17" i="9"/>
  <c r="AA17" i="13" s="1"/>
  <c r="AA17" i="10" s="1"/>
  <c r="AA3" i="8"/>
  <c r="AA4" i="8" s="1"/>
  <c r="X4" i="9"/>
  <c r="AA11" i="13" s="1"/>
  <c r="AA11" i="10" s="1"/>
  <c r="X6" i="9"/>
  <c r="AA14" i="13" s="1"/>
  <c r="AA14" i="10" s="1"/>
  <c r="X9" i="9"/>
  <c r="AA24" i="13" s="1"/>
  <c r="AA25" i="10" s="1"/>
  <c r="AA33" i="10" s="1"/>
  <c r="W9" i="12"/>
  <c r="B9" i="8"/>
  <c r="C7" i="11" s="1"/>
  <c r="B11" i="5"/>
  <c r="Z10" i="8" l="1"/>
  <c r="Z11" i="8" s="1"/>
  <c r="Z2" i="13"/>
  <c r="Z2" i="10" s="1"/>
  <c r="W26" i="12"/>
  <c r="K11" i="8"/>
  <c r="I16" i="5"/>
  <c r="K16" i="8" s="1"/>
  <c r="G11" i="8"/>
  <c r="F16" i="5"/>
  <c r="G16" i="8" s="1"/>
  <c r="B11" i="8"/>
  <c r="B16" i="5"/>
  <c r="B16" i="8" s="1"/>
  <c r="AF5" i="11"/>
  <c r="AD7" i="8"/>
  <c r="E11" i="8"/>
  <c r="C16" i="2"/>
  <c r="E16" i="8" s="1"/>
  <c r="X9" i="12"/>
  <c r="W10" i="9"/>
  <c r="Z10" i="12"/>
  <c r="Y11" i="9"/>
  <c r="AA24" i="12"/>
  <c r="Z28" i="9"/>
  <c r="AA6" i="8"/>
  <c r="AA9" i="8" s="1"/>
  <c r="R11" i="8"/>
  <c r="N16" i="5"/>
  <c r="S11" i="8"/>
  <c r="Y27" i="12"/>
  <c r="X31" i="9"/>
  <c r="D16" i="8"/>
  <c r="P11" i="8"/>
  <c r="M16" i="5"/>
  <c r="P16" i="8" s="1"/>
  <c r="N11" i="8"/>
  <c r="K16" i="5"/>
  <c r="O11" i="8"/>
  <c r="AM6" i="11"/>
  <c r="AK8" i="8"/>
  <c r="K7" i="2" s="1"/>
  <c r="AB12" i="12"/>
  <c r="AA13" i="9"/>
  <c r="Z16" i="13"/>
  <c r="Z16" i="10" s="1"/>
  <c r="W22" i="9"/>
  <c r="W27" i="9" s="1"/>
  <c r="C11" i="8"/>
  <c r="Y11" i="8"/>
  <c r="H16" i="2"/>
  <c r="Y16" i="8" s="1"/>
  <c r="AB9" i="10"/>
  <c r="AB3" i="10"/>
  <c r="Y18" i="9"/>
  <c r="AB18" i="13" s="1"/>
  <c r="AB18" i="10" s="1"/>
  <c r="Y21" i="9"/>
  <c r="Y20" i="9"/>
  <c r="AB20" i="13" s="1"/>
  <c r="AB20" i="10" s="1"/>
  <c r="Y7" i="9"/>
  <c r="AB15" i="13" s="1"/>
  <c r="AB15" i="10" s="1"/>
  <c r="Y14" i="9"/>
  <c r="AB29" i="10"/>
  <c r="Y23" i="9"/>
  <c r="Y6" i="9"/>
  <c r="AB14" i="13" s="1"/>
  <c r="AB14" i="10" s="1"/>
  <c r="Y25" i="9"/>
  <c r="Y17" i="9"/>
  <c r="AB17" i="13" s="1"/>
  <c r="AB17" i="10" s="1"/>
  <c r="Y9" i="9"/>
  <c r="AB24" i="13" s="1"/>
  <c r="AB25" i="10" s="1"/>
  <c r="Y4" i="9"/>
  <c r="AB11" i="13" s="1"/>
  <c r="AB11" i="10" s="1"/>
  <c r="AB3" i="8"/>
  <c r="Y19" i="9"/>
  <c r="AB5" i="8"/>
  <c r="AA23" i="12"/>
  <c r="Z26" i="9"/>
  <c r="H25" i="3" s="1"/>
  <c r="AA28" i="12"/>
  <c r="Z32" i="9"/>
  <c r="H31" i="3" s="1"/>
  <c r="AE2" i="11"/>
  <c r="AC2" i="8"/>
  <c r="Q11" i="8"/>
  <c r="F16" i="2"/>
  <c r="Q16" i="8" s="1"/>
  <c r="I16" i="8"/>
  <c r="L11" i="8"/>
  <c r="X25" i="12"/>
  <c r="W29" i="9"/>
  <c r="I2" i="2"/>
  <c r="AK3" i="12"/>
  <c r="AJ3" i="9"/>
  <c r="X16" i="9"/>
  <c r="X5" i="9"/>
  <c r="AA13" i="13" s="1"/>
  <c r="AA13" i="10" s="1"/>
  <c r="U11" i="8"/>
  <c r="G16" i="2"/>
  <c r="U16" i="8" s="1"/>
  <c r="AA11" i="12"/>
  <c r="Z12" i="9"/>
  <c r="H12" i="3" s="1"/>
  <c r="C16" i="8" l="1"/>
  <c r="AL3" i="12"/>
  <c r="AK3" i="9"/>
  <c r="H27" i="3"/>
  <c r="L16" i="8"/>
  <c r="AB28" i="12"/>
  <c r="AA32" i="9"/>
  <c r="AB24" i="12"/>
  <c r="AA28" i="9"/>
  <c r="W30" i="9"/>
  <c r="Y25" i="12"/>
  <c r="X29" i="9"/>
  <c r="AC12" i="12"/>
  <c r="AB13" i="9"/>
  <c r="Y9" i="12"/>
  <c r="X10" i="9"/>
  <c r="Z24" i="10"/>
  <c r="Z43" i="10" s="1"/>
  <c r="W2" i="12" s="1"/>
  <c r="AA10" i="12"/>
  <c r="Z11" i="9"/>
  <c r="H11" i="3" s="1"/>
  <c r="Y5" i="9"/>
  <c r="AB13" i="13" s="1"/>
  <c r="AB13" i="10" s="1"/>
  <c r="Y16" i="9"/>
  <c r="Z27" i="12"/>
  <c r="Y31" i="9"/>
  <c r="W33" i="9"/>
  <c r="W34" i="9" s="1"/>
  <c r="AB11" i="12"/>
  <c r="AA12" i="9"/>
  <c r="AB4" i="8"/>
  <c r="AB6" i="8" s="1"/>
  <c r="AB9" i="8" s="1"/>
  <c r="AN6" i="11"/>
  <c r="AL8" i="8"/>
  <c r="H16" i="8"/>
  <c r="AB23" i="12"/>
  <c r="AA26" i="9"/>
  <c r="I3" i="4"/>
  <c r="AB33" i="10"/>
  <c r="R16" i="8"/>
  <c r="S16" i="8"/>
  <c r="AG5" i="11"/>
  <c r="AE7" i="8"/>
  <c r="AA16" i="13"/>
  <c r="AA16" i="10" s="1"/>
  <c r="X22" i="9"/>
  <c r="X27" i="9" s="1"/>
  <c r="AC29" i="10"/>
  <c r="I27" i="4" s="1"/>
  <c r="Z20" i="9"/>
  <c r="Z18" i="9"/>
  <c r="Z21" i="9"/>
  <c r="H21" i="3" s="1"/>
  <c r="Z14" i="9"/>
  <c r="H14" i="3" s="1"/>
  <c r="Z25" i="9"/>
  <c r="H24" i="3" s="1"/>
  <c r="Z9" i="9"/>
  <c r="AC9" i="10"/>
  <c r="I9" i="4" s="1"/>
  <c r="AC3" i="10"/>
  <c r="AC3" i="8"/>
  <c r="AC4" i="8"/>
  <c r="Z19" i="9"/>
  <c r="H19" i="3" s="1"/>
  <c r="Z17" i="9"/>
  <c r="Z7" i="9"/>
  <c r="AC5" i="8"/>
  <c r="I5" i="2" s="1"/>
  <c r="Z4" i="9"/>
  <c r="Z6" i="9"/>
  <c r="Z23" i="9"/>
  <c r="H23" i="3" s="1"/>
  <c r="N16" i="8"/>
  <c r="O16" i="8"/>
  <c r="AF2" i="11"/>
  <c r="AD2" i="8"/>
  <c r="AA10" i="8"/>
  <c r="AA11" i="8"/>
  <c r="AA2" i="13" s="1"/>
  <c r="AA2" i="10" s="1"/>
  <c r="AA24" i="10" s="1"/>
  <c r="AA43" i="10" s="1"/>
  <c r="I3" i="2"/>
  <c r="I4" i="2" s="1"/>
  <c r="I6" i="2" l="1"/>
  <c r="I9" i="2" s="1"/>
  <c r="AC20" i="13"/>
  <c r="AC20" i="10" s="1"/>
  <c r="I18" i="4" s="1"/>
  <c r="H20" i="3"/>
  <c r="AC17" i="13"/>
  <c r="AC17" i="10" s="1"/>
  <c r="I16" i="4" s="1"/>
  <c r="H17" i="3"/>
  <c r="AA27" i="12"/>
  <c r="Z31" i="9"/>
  <c r="H30" i="3" s="1"/>
  <c r="AC11" i="13"/>
  <c r="AC11" i="10" s="1"/>
  <c r="I11" i="4" s="1"/>
  <c r="H4" i="3"/>
  <c r="AC11" i="12"/>
  <c r="AB12" i="9"/>
  <c r="AC28" i="12"/>
  <c r="AB32" i="9"/>
  <c r="AC15" i="13"/>
  <c r="AC15" i="10" s="1"/>
  <c r="I14" i="4" s="1"/>
  <c r="H7" i="3"/>
  <c r="AD12" i="12"/>
  <c r="AC13" i="9"/>
  <c r="AM3" i="12"/>
  <c r="AL3" i="9"/>
  <c r="K3" i="3" s="1"/>
  <c r="AO6" i="11"/>
  <c r="AM8" i="8"/>
  <c r="AB10" i="12"/>
  <c r="AA11" i="9"/>
  <c r="Z9" i="12"/>
  <c r="Y10" i="9"/>
  <c r="AC18" i="13"/>
  <c r="AC18" i="10" s="1"/>
  <c r="I17" i="4" s="1"/>
  <c r="H18" i="3"/>
  <c r="AC23" i="12"/>
  <c r="AB26" i="9"/>
  <c r="Z25" i="12"/>
  <c r="Y29" i="9"/>
  <c r="Z16" i="9"/>
  <c r="Z5" i="9"/>
  <c r="AG2" i="11"/>
  <c r="AE2" i="8"/>
  <c r="AH5" i="11"/>
  <c r="AF7" i="8"/>
  <c r="AC24" i="13"/>
  <c r="AC25" i="10" s="1"/>
  <c r="H9" i="3"/>
  <c r="X26" i="12"/>
  <c r="AB16" i="13"/>
  <c r="AB16" i="10" s="1"/>
  <c r="Y22" i="9"/>
  <c r="Y27" i="9" s="1"/>
  <c r="AB10" i="8"/>
  <c r="AB11" i="8" s="1"/>
  <c r="AB2" i="13" s="1"/>
  <c r="AB2" i="10" s="1"/>
  <c r="X2" i="12"/>
  <c r="W2" i="9"/>
  <c r="W8" i="9" s="1"/>
  <c r="W15" i="9" s="1"/>
  <c r="AC6" i="8"/>
  <c r="AC9" i="8" s="1"/>
  <c r="AD9" i="10"/>
  <c r="AD3" i="10"/>
  <c r="AA21" i="9"/>
  <c r="AA17" i="9"/>
  <c r="AD17" i="13" s="1"/>
  <c r="AD17" i="10" s="1"/>
  <c r="AA25" i="9"/>
  <c r="AA9" i="9"/>
  <c r="AD24" i="13" s="1"/>
  <c r="AD25" i="10" s="1"/>
  <c r="AD5" i="8"/>
  <c r="AA14" i="9"/>
  <c r="AA20" i="9"/>
  <c r="AD20" i="13" s="1"/>
  <c r="AD20" i="10" s="1"/>
  <c r="AA18" i="9"/>
  <c r="AD18" i="13" s="1"/>
  <c r="AD18" i="10" s="1"/>
  <c r="AA7" i="9"/>
  <c r="AD15" i="13" s="1"/>
  <c r="AD15" i="10" s="1"/>
  <c r="AA6" i="9"/>
  <c r="AD14" i="13" s="1"/>
  <c r="AD14" i="10" s="1"/>
  <c r="AA23" i="9"/>
  <c r="AA4" i="9"/>
  <c r="AD11" i="13" s="1"/>
  <c r="AD11" i="10" s="1"/>
  <c r="AA19" i="9"/>
  <c r="AD29" i="10"/>
  <c r="AD3" i="8"/>
  <c r="AC14" i="13"/>
  <c r="AC14" i="10" s="1"/>
  <c r="I13" i="4" s="1"/>
  <c r="H6" i="3"/>
  <c r="AC24" i="12"/>
  <c r="AB28" i="9"/>
  <c r="AB24" i="10" l="1"/>
  <c r="AB43" i="10" s="1"/>
  <c r="AC13" i="13"/>
  <c r="AC13" i="10" s="1"/>
  <c r="I12" i="4" s="1"/>
  <c r="H5" i="3"/>
  <c r="AC16" i="13"/>
  <c r="AC16" i="10" s="1"/>
  <c r="I15" i="4" s="1"/>
  <c r="Z22" i="9"/>
  <c r="Z27" i="9" s="1"/>
  <c r="H16" i="3"/>
  <c r="H22" i="3" s="1"/>
  <c r="H26" i="3" s="1"/>
  <c r="AP6" i="11"/>
  <c r="AN8" i="8"/>
  <c r="AD11" i="12"/>
  <c r="AC12" i="9"/>
  <c r="AD33" i="10"/>
  <c r="Y26" i="12"/>
  <c r="X30" i="9"/>
  <c r="X33" i="9" s="1"/>
  <c r="X34" i="9" s="1"/>
  <c r="AC10" i="8"/>
  <c r="I10" i="2" s="1"/>
  <c r="I11" i="2" s="1"/>
  <c r="I16" i="2" s="1"/>
  <c r="AC11" i="8"/>
  <c r="AC2" i="13" s="1"/>
  <c r="AC2" i="10" s="1"/>
  <c r="AC24" i="10" s="1"/>
  <c r="AA25" i="12"/>
  <c r="Z29" i="9"/>
  <c r="AN3" i="12"/>
  <c r="AM3" i="9"/>
  <c r="AE12" i="12"/>
  <c r="AD13" i="9"/>
  <c r="I13" i="3" s="1"/>
  <c r="AB27" i="12"/>
  <c r="AA31" i="9"/>
  <c r="AC33" i="10"/>
  <c r="I23" i="4"/>
  <c r="I31" i="4" s="1"/>
  <c r="AD24" i="12"/>
  <c r="AC28" i="9"/>
  <c r="Y2" i="12"/>
  <c r="X2" i="9"/>
  <c r="X8" i="9" s="1"/>
  <c r="X15" i="9" s="1"/>
  <c r="AI5" i="11"/>
  <c r="AG7" i="8"/>
  <c r="J8" i="2" s="1"/>
  <c r="AA9" i="12"/>
  <c r="Z10" i="9"/>
  <c r="H10" i="3" s="1"/>
  <c r="AD23" i="12"/>
  <c r="AC26" i="9"/>
  <c r="AE29" i="10"/>
  <c r="AB17" i="9"/>
  <c r="AE17" i="13" s="1"/>
  <c r="AE17" i="10" s="1"/>
  <c r="AB25" i="9"/>
  <c r="AB4" i="9"/>
  <c r="AE11" i="13" s="1"/>
  <c r="AE11" i="10" s="1"/>
  <c r="AE9" i="10"/>
  <c r="AB19" i="9"/>
  <c r="AE3" i="10"/>
  <c r="AB18" i="9"/>
  <c r="AE18" i="13" s="1"/>
  <c r="AE18" i="10" s="1"/>
  <c r="AB14" i="9"/>
  <c r="AB20" i="9"/>
  <c r="AE20" i="13" s="1"/>
  <c r="AE20" i="10" s="1"/>
  <c r="AB7" i="9"/>
  <c r="AE15" i="13" s="1"/>
  <c r="AE15" i="10" s="1"/>
  <c r="AB6" i="9"/>
  <c r="AE14" i="13" s="1"/>
  <c r="AE14" i="10" s="1"/>
  <c r="AE5" i="8"/>
  <c r="AB21" i="9"/>
  <c r="AB23" i="9"/>
  <c r="AE3" i="8"/>
  <c r="AE4" i="8" s="1"/>
  <c r="AE6" i="8" s="1"/>
  <c r="AE9" i="8" s="1"/>
  <c r="AB9" i="9"/>
  <c r="AE24" i="13" s="1"/>
  <c r="AE25" i="10" s="1"/>
  <c r="AA16" i="9"/>
  <c r="AA5" i="9"/>
  <c r="AD13" i="13" s="1"/>
  <c r="AD13" i="10" s="1"/>
  <c r="AD4" i="8"/>
  <c r="AD6" i="8" s="1"/>
  <c r="AD9" i="8" s="1"/>
  <c r="AH2" i="11"/>
  <c r="AF2" i="8"/>
  <c r="AC10" i="12"/>
  <c r="AB11" i="9"/>
  <c r="AD28" i="12"/>
  <c r="AC32" i="9"/>
  <c r="AC43" i="10" l="1"/>
  <c r="AE10" i="8"/>
  <c r="AE11" i="8" s="1"/>
  <c r="AE2" i="13" s="1"/>
  <c r="AE2" i="10" s="1"/>
  <c r="AB9" i="12"/>
  <c r="AA10" i="9"/>
  <c r="AC27" i="12"/>
  <c r="AB31" i="9"/>
  <c r="AB16" i="9"/>
  <c r="AB5" i="9"/>
  <c r="AE13" i="13" s="1"/>
  <c r="AE13" i="10" s="1"/>
  <c r="AF29" i="10"/>
  <c r="AC17" i="9"/>
  <c r="AF17" i="13" s="1"/>
  <c r="AF17" i="10" s="1"/>
  <c r="AC20" i="9"/>
  <c r="AF20" i="13" s="1"/>
  <c r="AF20" i="10" s="1"/>
  <c r="AC25" i="9"/>
  <c r="AF9" i="10"/>
  <c r="AC19" i="9"/>
  <c r="AC23" i="9"/>
  <c r="AC21" i="9"/>
  <c r="AC14" i="9"/>
  <c r="AC18" i="9"/>
  <c r="AF18" i="13" s="1"/>
  <c r="AF18" i="10" s="1"/>
  <c r="AC9" i="9"/>
  <c r="AF24" i="13" s="1"/>
  <c r="AF25" i="10" s="1"/>
  <c r="AF3" i="8"/>
  <c r="AC4" i="9"/>
  <c r="AF11" i="13" s="1"/>
  <c r="AF11" i="10" s="1"/>
  <c r="AF3" i="10"/>
  <c r="AC6" i="9"/>
  <c r="AF14" i="13" s="1"/>
  <c r="AF14" i="10" s="1"/>
  <c r="AF4" i="8"/>
  <c r="AF5" i="8"/>
  <c r="AC7" i="9"/>
  <c r="AF15" i="13" s="1"/>
  <c r="AF15" i="10" s="1"/>
  <c r="AF12" i="12"/>
  <c r="AE13" i="9"/>
  <c r="Z26" i="12"/>
  <c r="Y30" i="9"/>
  <c r="Y33" i="9" s="1"/>
  <c r="Y34" i="9" s="1"/>
  <c r="AE28" i="12"/>
  <c r="AD32" i="9"/>
  <c r="I31" i="3" s="1"/>
  <c r="AE24" i="12"/>
  <c r="AD28" i="9"/>
  <c r="AJ5" i="11"/>
  <c r="AH7" i="8"/>
  <c r="AE23" i="12"/>
  <c r="AD26" i="9"/>
  <c r="I25" i="3" s="1"/>
  <c r="AI2" i="11"/>
  <c r="AG2" i="8"/>
  <c r="J2" i="2" s="1"/>
  <c r="AO3" i="12"/>
  <c r="AN3" i="9"/>
  <c r="AD10" i="8"/>
  <c r="H28" i="3"/>
  <c r="AB25" i="12"/>
  <c r="AA29" i="9"/>
  <c r="I2" i="4"/>
  <c r="I22" i="4" s="1"/>
  <c r="I40" i="4" s="1"/>
  <c r="AE11" i="12"/>
  <c r="AD12" i="9"/>
  <c r="I12" i="3" s="1"/>
  <c r="AQ6" i="11"/>
  <c r="AO8" i="8"/>
  <c r="L7" i="2" s="1"/>
  <c r="AD10" i="12"/>
  <c r="AC11" i="9"/>
  <c r="Z2" i="12"/>
  <c r="Y2" i="9"/>
  <c r="Y8" i="9" s="1"/>
  <c r="Y15" i="9" s="1"/>
  <c r="AD16" i="13"/>
  <c r="AD16" i="10" s="1"/>
  <c r="AA22" i="9"/>
  <c r="AA27" i="9" s="1"/>
  <c r="AE33" i="10"/>
  <c r="J27" i="4" l="1"/>
  <c r="AF6" i="8"/>
  <c r="AF9" i="8" s="1"/>
  <c r="AE10" i="12"/>
  <c r="AD11" i="9"/>
  <c r="I11" i="3" s="1"/>
  <c r="AF23" i="12"/>
  <c r="AE26" i="9"/>
  <c r="I27" i="3"/>
  <c r="AR6" i="11"/>
  <c r="AP8" i="8"/>
  <c r="AF28" i="12"/>
  <c r="AE32" i="9"/>
  <c r="AP3" i="12"/>
  <c r="AP3" i="9" s="1"/>
  <c r="L3" i="3" s="1"/>
  <c r="AO3" i="9"/>
  <c r="Z2" i="9"/>
  <c r="AF24" i="12"/>
  <c r="AE28" i="9"/>
  <c r="AG29" i="10"/>
  <c r="AG9" i="10"/>
  <c r="J9" i="4" s="1"/>
  <c r="AG3" i="10"/>
  <c r="J3" i="4" s="1"/>
  <c r="AD20" i="9"/>
  <c r="AD14" i="9"/>
  <c r="I14" i="3" s="1"/>
  <c r="AD25" i="9"/>
  <c r="I24" i="3" s="1"/>
  <c r="AD23" i="9"/>
  <c r="I23" i="3" s="1"/>
  <c r="AD6" i="9"/>
  <c r="AD7" i="9"/>
  <c r="AD18" i="9"/>
  <c r="AD21" i="9"/>
  <c r="I21" i="3" s="1"/>
  <c r="AD19" i="9"/>
  <c r="I19" i="3" s="1"/>
  <c r="AD17" i="9"/>
  <c r="AG5" i="8"/>
  <c r="J5" i="2" s="1"/>
  <c r="AD4" i="9"/>
  <c r="AG3" i="8"/>
  <c r="AD9" i="9"/>
  <c r="AA26" i="12"/>
  <c r="Z30" i="9"/>
  <c r="AF33" i="10"/>
  <c r="AE16" i="13"/>
  <c r="AE16" i="10" s="1"/>
  <c r="AE24" i="10" s="1"/>
  <c r="AE43" i="10" s="1"/>
  <c r="AB22" i="9"/>
  <c r="AB27" i="9" s="1"/>
  <c r="AD11" i="8"/>
  <c r="AD2" i="13" s="1"/>
  <c r="AD2" i="10" s="1"/>
  <c r="AG12" i="12"/>
  <c r="AF13" i="9"/>
  <c r="AK5" i="11"/>
  <c r="AI7" i="8"/>
  <c r="AC5" i="9"/>
  <c r="AF13" i="13" s="1"/>
  <c r="AF13" i="10" s="1"/>
  <c r="AC16" i="9"/>
  <c r="AF11" i="12"/>
  <c r="AE12" i="9"/>
  <c r="AJ2" i="11"/>
  <c r="AH2" i="8"/>
  <c r="AC25" i="12"/>
  <c r="AB29" i="9"/>
  <c r="AD27" i="12"/>
  <c r="AC31" i="9"/>
  <c r="AC9" i="12"/>
  <c r="AB10" i="9"/>
  <c r="AF16" i="13" l="1"/>
  <c r="AF16" i="10" s="1"/>
  <c r="AC22" i="9"/>
  <c r="AC27" i="9" s="1"/>
  <c r="AG24" i="13"/>
  <c r="AG25" i="10" s="1"/>
  <c r="I9" i="3"/>
  <c r="AG28" i="12"/>
  <c r="AF32" i="9"/>
  <c r="AG11" i="13"/>
  <c r="AG11" i="10" s="1"/>
  <c r="J11" i="4" s="1"/>
  <c r="I4" i="3"/>
  <c r="AS6" i="11"/>
  <c r="AQ8" i="8"/>
  <c r="AB26" i="12"/>
  <c r="AA30" i="9"/>
  <c r="AA33" i="9" s="1"/>
  <c r="AA34" i="9" s="1"/>
  <c r="AD25" i="12"/>
  <c r="AC29" i="9"/>
  <c r="AG17" i="13"/>
  <c r="AG17" i="10" s="1"/>
  <c r="J16" i="4" s="1"/>
  <c r="I17" i="3"/>
  <c r="AD5" i="9"/>
  <c r="AD16" i="9"/>
  <c r="J3" i="2"/>
  <c r="J4" i="2" s="1"/>
  <c r="J6" i="2" s="1"/>
  <c r="J9" i="2" s="1"/>
  <c r="AD24" i="10"/>
  <c r="AD43" i="10" s="1"/>
  <c r="AA2" i="12" s="1"/>
  <c r="AE27" i="12"/>
  <c r="AD31" i="9"/>
  <c r="I30" i="3" s="1"/>
  <c r="AG20" i="13"/>
  <c r="AG20" i="10" s="1"/>
  <c r="J18" i="4" s="1"/>
  <c r="I20" i="3"/>
  <c r="AH12" i="12"/>
  <c r="AG13" i="9"/>
  <c r="AF10" i="8"/>
  <c r="AL5" i="11"/>
  <c r="AJ7" i="8"/>
  <c r="AH29" i="10"/>
  <c r="AE25" i="9"/>
  <c r="AE19" i="9"/>
  <c r="AE20" i="9"/>
  <c r="AH20" i="13" s="1"/>
  <c r="AH20" i="10" s="1"/>
  <c r="AE14" i="9"/>
  <c r="AH9" i="10"/>
  <c r="AH5" i="8"/>
  <c r="AE17" i="9"/>
  <c r="AH17" i="13" s="1"/>
  <c r="AH17" i="10" s="1"/>
  <c r="AE7" i="9"/>
  <c r="AH15" i="13" s="1"/>
  <c r="AH15" i="10" s="1"/>
  <c r="AE18" i="9"/>
  <c r="AH18" i="13" s="1"/>
  <c r="AH18" i="10" s="1"/>
  <c r="AE6" i="9"/>
  <c r="AH14" i="13" s="1"/>
  <c r="AH14" i="10" s="1"/>
  <c r="AE4" i="9"/>
  <c r="AH11" i="13" s="1"/>
  <c r="AH11" i="10" s="1"/>
  <c r="AH3" i="8"/>
  <c r="AE21" i="9"/>
  <c r="AH3" i="10"/>
  <c r="AE23" i="9"/>
  <c r="AE9" i="9"/>
  <c r="AH24" i="13" s="1"/>
  <c r="AH25" i="10" s="1"/>
  <c r="AG4" i="8"/>
  <c r="AG6" i="8" s="1"/>
  <c r="AG9" i="8" s="1"/>
  <c r="AG24" i="12"/>
  <c r="AF28" i="9"/>
  <c r="AD9" i="12"/>
  <c r="AC10" i="9"/>
  <c r="AK2" i="11"/>
  <c r="AI2" i="8"/>
  <c r="AG18" i="13"/>
  <c r="AG18" i="10" s="1"/>
  <c r="J17" i="4" s="1"/>
  <c r="I18" i="3"/>
  <c r="Z8" i="9"/>
  <c r="Z15" i="9" s="1"/>
  <c r="H2" i="3"/>
  <c r="H8" i="3" s="1"/>
  <c r="H15" i="3" s="1"/>
  <c r="AG23" i="12"/>
  <c r="AF26" i="9"/>
  <c r="AG15" i="13"/>
  <c r="AG15" i="10" s="1"/>
  <c r="J14" i="4" s="1"/>
  <c r="I7" i="3"/>
  <c r="AG11" i="12"/>
  <c r="AF12" i="9"/>
  <c r="H29" i="3"/>
  <c r="H32" i="3" s="1"/>
  <c r="H33" i="3" s="1"/>
  <c r="Z33" i="9"/>
  <c r="Z34" i="9" s="1"/>
  <c r="AG14" i="13"/>
  <c r="AG14" i="10" s="1"/>
  <c r="J13" i="4" s="1"/>
  <c r="I6" i="3"/>
  <c r="AF10" i="12"/>
  <c r="AE11" i="9"/>
  <c r="AG10" i="8" l="1"/>
  <c r="J10" i="2" s="1"/>
  <c r="J11" i="2" s="1"/>
  <c r="J16" i="2" s="1"/>
  <c r="AG16" i="13"/>
  <c r="AG16" i="10" s="1"/>
  <c r="J15" i="4" s="1"/>
  <c r="AD22" i="9"/>
  <c r="AD27" i="9" s="1"/>
  <c r="I16" i="3"/>
  <c r="I22" i="3" s="1"/>
  <c r="I26" i="3" s="1"/>
  <c r="AH11" i="12"/>
  <c r="AG12" i="9"/>
  <c r="AM5" i="11"/>
  <c r="AK7" i="8"/>
  <c r="K8" i="2" s="1"/>
  <c r="AG13" i="13"/>
  <c r="AG13" i="10" s="1"/>
  <c r="J12" i="4" s="1"/>
  <c r="I5" i="3"/>
  <c r="AH33" i="10"/>
  <c r="AG10" i="12"/>
  <c r="AF11" i="9"/>
  <c r="AI12" i="12"/>
  <c r="AH13" i="9"/>
  <c r="J13" i="3" s="1"/>
  <c r="AH28" i="12"/>
  <c r="AG32" i="9"/>
  <c r="AE9" i="12"/>
  <c r="AD10" i="9"/>
  <c r="I10" i="3" s="1"/>
  <c r="AH24" i="12"/>
  <c r="AG28" i="9"/>
  <c r="AG33" i="10"/>
  <c r="J23" i="4"/>
  <c r="J31" i="4" s="1"/>
  <c r="AI29" i="10"/>
  <c r="AF25" i="9"/>
  <c r="AI9" i="10"/>
  <c r="AF18" i="9"/>
  <c r="AI18" i="13" s="1"/>
  <c r="AI18" i="10" s="1"/>
  <c r="AI3" i="10"/>
  <c r="AF7" i="9"/>
  <c r="AI15" i="13" s="1"/>
  <c r="AI15" i="10" s="1"/>
  <c r="AF14" i="9"/>
  <c r="AF6" i="9"/>
  <c r="AI14" i="13" s="1"/>
  <c r="AI14" i="10" s="1"/>
  <c r="AF20" i="9"/>
  <c r="AI20" i="13" s="1"/>
  <c r="AI20" i="10" s="1"/>
  <c r="AF4" i="9"/>
  <c r="AI11" i="13" s="1"/>
  <c r="AI11" i="10" s="1"/>
  <c r="AF23" i="9"/>
  <c r="AF9" i="9"/>
  <c r="AI24" i="13" s="1"/>
  <c r="AI25" i="10" s="1"/>
  <c r="AI33" i="10" s="1"/>
  <c r="AF19" i="9"/>
  <c r="AI5" i="8"/>
  <c r="AI3" i="8"/>
  <c r="AI4" i="8" s="1"/>
  <c r="AI6" i="8" s="1"/>
  <c r="AI9" i="8" s="1"/>
  <c r="AF21" i="9"/>
  <c r="AF17" i="9"/>
  <c r="AI17" i="13" s="1"/>
  <c r="AI17" i="10" s="1"/>
  <c r="AE16" i="9"/>
  <c r="AE5" i="9"/>
  <c r="AH13" i="13" s="1"/>
  <c r="AH13" i="10" s="1"/>
  <c r="AE25" i="12"/>
  <c r="AD29" i="9"/>
  <c r="AH23" i="12"/>
  <c r="AG26" i="9"/>
  <c r="AL2" i="11"/>
  <c r="AJ2" i="8"/>
  <c r="AF27" i="12"/>
  <c r="AE31" i="9"/>
  <c r="AH4" i="8"/>
  <c r="AH6" i="8" s="1"/>
  <c r="AH9" i="8" s="1"/>
  <c r="AB30" i="9"/>
  <c r="AB33" i="9" s="1"/>
  <c r="AB34" i="9" s="1"/>
  <c r="AB2" i="12"/>
  <c r="AA2" i="9"/>
  <c r="AA8" i="9" s="1"/>
  <c r="AA15" i="9" s="1"/>
  <c r="AF11" i="8"/>
  <c r="AF2" i="13" s="1"/>
  <c r="AF2" i="10" s="1"/>
  <c r="AT6" i="11"/>
  <c r="AS8" i="8" s="1"/>
  <c r="AR8" i="8"/>
  <c r="AI10" i="8" l="1"/>
  <c r="AI11" i="8" s="1"/>
  <c r="AI2" i="13" s="1"/>
  <c r="AI2" i="10" s="1"/>
  <c r="AI23" i="12"/>
  <c r="AH26" i="9"/>
  <c r="J25" i="3" s="1"/>
  <c r="AJ12" i="12"/>
  <c r="AI13" i="9"/>
  <c r="AI11" i="12"/>
  <c r="AH12" i="9"/>
  <c r="J12" i="3" s="1"/>
  <c r="AC26" i="12"/>
  <c r="I28" i="3"/>
  <c r="AF25" i="12"/>
  <c r="AE29" i="9"/>
  <c r="M7" i="2"/>
  <c r="AH16" i="13"/>
  <c r="AH16" i="10" s="1"/>
  <c r="AE22" i="9"/>
  <c r="AE27" i="9" s="1"/>
  <c r="AI24" i="12"/>
  <c r="AH28" i="9"/>
  <c r="AH10" i="8"/>
  <c r="AG11" i="8"/>
  <c r="AG2" i="13" s="1"/>
  <c r="AG2" i="10" s="1"/>
  <c r="AG24" i="10" s="1"/>
  <c r="AG43" i="10" s="1"/>
  <c r="AH10" i="12"/>
  <c r="AG11" i="9"/>
  <c r="AF24" i="10"/>
  <c r="AF43" i="10" s="1"/>
  <c r="AC2" i="12" s="1"/>
  <c r="AG27" i="12"/>
  <c r="AF31" i="9"/>
  <c r="AF9" i="12"/>
  <c r="AE10" i="9"/>
  <c r="AJ29" i="10"/>
  <c r="AJ9" i="10"/>
  <c r="AJ3" i="10"/>
  <c r="AG21" i="9"/>
  <c r="AG25" i="9"/>
  <c r="AG23" i="9"/>
  <c r="AG19" i="9"/>
  <c r="AG18" i="9"/>
  <c r="AJ18" i="13" s="1"/>
  <c r="AJ18" i="10" s="1"/>
  <c r="AG20" i="9"/>
  <c r="AJ20" i="13" s="1"/>
  <c r="AJ20" i="10" s="1"/>
  <c r="AG14" i="9"/>
  <c r="AG7" i="9"/>
  <c r="AJ15" i="13" s="1"/>
  <c r="AJ15" i="10" s="1"/>
  <c r="AG6" i="9"/>
  <c r="AJ14" i="13" s="1"/>
  <c r="AJ14" i="10" s="1"/>
  <c r="AG9" i="9"/>
  <c r="AJ24" i="13" s="1"/>
  <c r="AJ25" i="10" s="1"/>
  <c r="AJ33" i="10" s="1"/>
  <c r="AJ5" i="8"/>
  <c r="AG17" i="9"/>
  <c r="AJ17" i="13" s="1"/>
  <c r="AJ17" i="10" s="1"/>
  <c r="AJ3" i="8"/>
  <c r="AJ4" i="8" s="1"/>
  <c r="AJ6" i="8" s="1"/>
  <c r="AJ9" i="8" s="1"/>
  <c r="AG4" i="9"/>
  <c r="AJ11" i="13" s="1"/>
  <c r="AJ11" i="10" s="1"/>
  <c r="AF16" i="9"/>
  <c r="AF5" i="9"/>
  <c r="AI13" i="13" s="1"/>
  <c r="AI13" i="10" s="1"/>
  <c r="AM2" i="11"/>
  <c r="AK2" i="8"/>
  <c r="K2" i="2" s="1"/>
  <c r="AI28" i="12"/>
  <c r="AH32" i="9"/>
  <c r="J31" i="3" s="1"/>
  <c r="AN5" i="11"/>
  <c r="AL7" i="8"/>
  <c r="AB2" i="9"/>
  <c r="AB8" i="9" s="1"/>
  <c r="AB15" i="9" s="1"/>
  <c r="AI24" i="10" l="1"/>
  <c r="AI43" i="10" s="1"/>
  <c r="AD2" i="12"/>
  <c r="AC2" i="9"/>
  <c r="AC8" i="9" s="1"/>
  <c r="AC15" i="9" s="1"/>
  <c r="AH27" i="12"/>
  <c r="AG31" i="9"/>
  <c r="AJ11" i="12"/>
  <c r="AI12" i="9"/>
  <c r="J2" i="4"/>
  <c r="J22" i="4" s="1"/>
  <c r="J40" i="4" s="1"/>
  <c r="AK12" i="12"/>
  <c r="AJ13" i="9"/>
  <c r="AJ10" i="8"/>
  <c r="AJ11" i="8" s="1"/>
  <c r="AJ2" i="13" s="1"/>
  <c r="AJ2" i="10" s="1"/>
  <c r="AG16" i="9"/>
  <c r="AG5" i="9"/>
  <c r="AJ13" i="13" s="1"/>
  <c r="AJ13" i="10" s="1"/>
  <c r="AI10" i="12"/>
  <c r="AH11" i="9"/>
  <c r="J11" i="3" s="1"/>
  <c r="AJ23" i="12"/>
  <c r="AI26" i="9"/>
  <c r="AG25" i="12"/>
  <c r="AF29" i="9"/>
  <c r="K27" i="4"/>
  <c r="AO5" i="11"/>
  <c r="AM7" i="8"/>
  <c r="AJ28" i="12"/>
  <c r="AI32" i="9"/>
  <c r="AH11" i="8"/>
  <c r="AH2" i="13" s="1"/>
  <c r="AH2" i="10" s="1"/>
  <c r="AI16" i="13"/>
  <c r="AI16" i="10" s="1"/>
  <c r="AF22" i="9"/>
  <c r="AF27" i="9" s="1"/>
  <c r="AK9" i="10"/>
  <c r="K9" i="4" s="1"/>
  <c r="AK3" i="10"/>
  <c r="K3" i="4" s="1"/>
  <c r="AH23" i="9"/>
  <c r="J23" i="3" s="1"/>
  <c r="AH19" i="9"/>
  <c r="J19" i="3" s="1"/>
  <c r="AH21" i="9"/>
  <c r="J21" i="3" s="1"/>
  <c r="AH9" i="9"/>
  <c r="AH25" i="9"/>
  <c r="J24" i="3" s="1"/>
  <c r="AH20" i="9"/>
  <c r="AH18" i="9"/>
  <c r="AK4" i="8"/>
  <c r="AK6" i="8" s="1"/>
  <c r="AK9" i="8" s="1"/>
  <c r="AH4" i="9"/>
  <c r="AK29" i="10"/>
  <c r="AH17" i="9"/>
  <c r="AK3" i="8"/>
  <c r="K3" i="2" s="1"/>
  <c r="K4" i="2" s="1"/>
  <c r="AH6" i="9"/>
  <c r="AH7" i="9"/>
  <c r="AK5" i="8"/>
  <c r="K5" i="2" s="1"/>
  <c r="AH14" i="9"/>
  <c r="J14" i="3" s="1"/>
  <c r="J27" i="3"/>
  <c r="AN2" i="11"/>
  <c r="AL2" i="8"/>
  <c r="AG9" i="12"/>
  <c r="AF10" i="9"/>
  <c r="AJ24" i="12"/>
  <c r="AI28" i="9"/>
  <c r="AD26" i="12"/>
  <c r="AC30" i="9"/>
  <c r="AC33" i="9" s="1"/>
  <c r="AC34" i="9" s="1"/>
  <c r="K6" i="2" l="1"/>
  <c r="K9" i="2" s="1"/>
  <c r="AK15" i="13"/>
  <c r="AK15" i="10" s="1"/>
  <c r="K14" i="4" s="1"/>
  <c r="J7" i="3"/>
  <c r="AJ10" i="12"/>
  <c r="AI11" i="9"/>
  <c r="AI27" i="12"/>
  <c r="AH31" i="9"/>
  <c r="J30" i="3" s="1"/>
  <c r="AP5" i="11"/>
  <c r="AN7" i="8"/>
  <c r="AK17" i="13"/>
  <c r="AK17" i="10" s="1"/>
  <c r="K16" i="4" s="1"/>
  <c r="J17" i="3"/>
  <c r="AE26" i="12"/>
  <c r="AD30" i="9"/>
  <c r="AH5" i="9"/>
  <c r="AH16" i="9"/>
  <c r="AH25" i="12"/>
  <c r="AG29" i="9"/>
  <c r="AK24" i="12"/>
  <c r="AJ28" i="9"/>
  <c r="AI23" i="9"/>
  <c r="AL29" i="10"/>
  <c r="AI19" i="9"/>
  <c r="AL9" i="10"/>
  <c r="AI21" i="9"/>
  <c r="AL3" i="8"/>
  <c r="AL3" i="10"/>
  <c r="AI17" i="9"/>
  <c r="AL17" i="13" s="1"/>
  <c r="AL17" i="10" s="1"/>
  <c r="AI25" i="9"/>
  <c r="AI20" i="9"/>
  <c r="AL20" i="13" s="1"/>
  <c r="AL20" i="10" s="1"/>
  <c r="AI18" i="9"/>
  <c r="AL18" i="13" s="1"/>
  <c r="AL18" i="10" s="1"/>
  <c r="AI4" i="9"/>
  <c r="AL11" i="13" s="1"/>
  <c r="AL11" i="10" s="1"/>
  <c r="AI9" i="9"/>
  <c r="AL24" i="13" s="1"/>
  <c r="AL25" i="10" s="1"/>
  <c r="AI14" i="9"/>
  <c r="AI7" i="9"/>
  <c r="AL15" i="13" s="1"/>
  <c r="AL15" i="10" s="1"/>
  <c r="AI6" i="9"/>
  <c r="AL14" i="13" s="1"/>
  <c r="AL14" i="10" s="1"/>
  <c r="AL5" i="8"/>
  <c r="AL4" i="8"/>
  <c r="AK11" i="13"/>
  <c r="AK11" i="10" s="1"/>
  <c r="K11" i="4" s="1"/>
  <c r="J4" i="3"/>
  <c r="AJ16" i="13"/>
  <c r="AJ16" i="10" s="1"/>
  <c r="AG22" i="9"/>
  <c r="AG27" i="9" s="1"/>
  <c r="AH24" i="10"/>
  <c r="AH43" i="10" s="1"/>
  <c r="AE2" i="12" s="1"/>
  <c r="AL12" i="12"/>
  <c r="AK13" i="9"/>
  <c r="AK10" i="8"/>
  <c r="K10" i="2" s="1"/>
  <c r="AK18" i="13"/>
  <c r="AK18" i="10" s="1"/>
  <c r="K17" i="4" s="1"/>
  <c r="J18" i="3"/>
  <c r="AK14" i="13"/>
  <c r="AK14" i="10" s="1"/>
  <c r="K13" i="4" s="1"/>
  <c r="J6" i="3"/>
  <c r="AK24" i="13"/>
  <c r="AK25" i="10" s="1"/>
  <c r="J9" i="3"/>
  <c r="AH9" i="12"/>
  <c r="AG10" i="9"/>
  <c r="AO2" i="11"/>
  <c r="AM2" i="8"/>
  <c r="AK20" i="13"/>
  <c r="AK20" i="10" s="1"/>
  <c r="K18" i="4" s="1"/>
  <c r="J20" i="3"/>
  <c r="AK28" i="12"/>
  <c r="AJ32" i="9"/>
  <c r="AK23" i="12"/>
  <c r="AJ26" i="9"/>
  <c r="AK11" i="12"/>
  <c r="AJ12" i="9"/>
  <c r="AD2" i="9"/>
  <c r="AL6" i="8" l="1"/>
  <c r="AL9" i="8" s="1"/>
  <c r="AF2" i="12"/>
  <c r="AE2" i="9"/>
  <c r="AE8" i="9" s="1"/>
  <c r="AE15" i="9" s="1"/>
  <c r="AK33" i="10"/>
  <c r="K23" i="4"/>
  <c r="K31" i="4" s="1"/>
  <c r="AL24" i="12"/>
  <c r="AK28" i="9"/>
  <c r="AL28" i="12"/>
  <c r="AK32" i="9"/>
  <c r="AI25" i="12"/>
  <c r="AH29" i="9"/>
  <c r="AL11" i="12"/>
  <c r="AK12" i="9"/>
  <c r="AJ27" i="12"/>
  <c r="AI31" i="9"/>
  <c r="AL10" i="8"/>
  <c r="AL11" i="8" s="1"/>
  <c r="AL2" i="13" s="1"/>
  <c r="AL2" i="10" s="1"/>
  <c r="AI5" i="9"/>
  <c r="AL13" i="13" s="1"/>
  <c r="AL13" i="10" s="1"/>
  <c r="AI16" i="9"/>
  <c r="AK16" i="13"/>
  <c r="AK16" i="10" s="1"/>
  <c r="K15" i="4" s="1"/>
  <c r="AH22" i="9"/>
  <c r="AH27" i="9" s="1"/>
  <c r="J16" i="3"/>
  <c r="J22" i="3" s="1"/>
  <c r="J26" i="3" s="1"/>
  <c r="AK10" i="12"/>
  <c r="AJ11" i="9"/>
  <c r="AK11" i="8"/>
  <c r="AK2" i="13" s="1"/>
  <c r="AK2" i="10" s="1"/>
  <c r="AK13" i="13"/>
  <c r="AK13" i="10" s="1"/>
  <c r="K12" i="4" s="1"/>
  <c r="J5" i="3"/>
  <c r="I29" i="3"/>
  <c r="I32" i="3" s="1"/>
  <c r="I33" i="3" s="1"/>
  <c r="AD33" i="9"/>
  <c r="AD34" i="9" s="1"/>
  <c r="AL23" i="12"/>
  <c r="AK26" i="9"/>
  <c r="AQ5" i="11"/>
  <c r="AO7" i="8"/>
  <c r="L8" i="2" s="1"/>
  <c r="AJ18" i="9"/>
  <c r="AM18" i="13" s="1"/>
  <c r="AM18" i="10" s="1"/>
  <c r="AJ23" i="9"/>
  <c r="AM9" i="10"/>
  <c r="AM3" i="10"/>
  <c r="AJ17" i="9"/>
  <c r="AM17" i="13" s="1"/>
  <c r="AM17" i="10" s="1"/>
  <c r="AJ7" i="9"/>
  <c r="AM15" i="13" s="1"/>
  <c r="AM15" i="10" s="1"/>
  <c r="AM29" i="10"/>
  <c r="AJ25" i="9"/>
  <c r="AJ4" i="9"/>
  <c r="AM11" i="13" s="1"/>
  <c r="AM11" i="10" s="1"/>
  <c r="AJ9" i="9"/>
  <c r="AM24" i="13" s="1"/>
  <c r="AM25" i="10" s="1"/>
  <c r="AM33" i="10" s="1"/>
  <c r="AM3" i="8"/>
  <c r="AM4" i="8" s="1"/>
  <c r="AJ21" i="9"/>
  <c r="AM5" i="8"/>
  <c r="AJ20" i="9"/>
  <c r="AM20" i="13" s="1"/>
  <c r="AM20" i="10" s="1"/>
  <c r="AJ6" i="9"/>
  <c r="AM14" i="13" s="1"/>
  <c r="AM14" i="10" s="1"/>
  <c r="AJ14" i="9"/>
  <c r="AJ19" i="9"/>
  <c r="AM12" i="12"/>
  <c r="AL13" i="9"/>
  <c r="K13" i="3" s="1"/>
  <c r="I2" i="3"/>
  <c r="I8" i="3" s="1"/>
  <c r="I15" i="3" s="1"/>
  <c r="AD8" i="9"/>
  <c r="AD15" i="9" s="1"/>
  <c r="AP2" i="11"/>
  <c r="AN2" i="8"/>
  <c r="AF26" i="12"/>
  <c r="AE30" i="9"/>
  <c r="AE33" i="9" s="1"/>
  <c r="AE34" i="9" s="1"/>
  <c r="K11" i="2"/>
  <c r="K16" i="2" s="1"/>
  <c r="AJ24" i="10"/>
  <c r="AJ43" i="10" s="1"/>
  <c r="AI9" i="12"/>
  <c r="AH10" i="9"/>
  <c r="J10" i="3" s="1"/>
  <c r="AL33" i="10"/>
  <c r="AM6" i="8" l="1"/>
  <c r="AM9" i="8" s="1"/>
  <c r="AM10" i="8" s="1"/>
  <c r="AJ25" i="12"/>
  <c r="AI29" i="9"/>
  <c r="AK24" i="10"/>
  <c r="AK43" i="10" s="1"/>
  <c r="K2" i="4"/>
  <c r="K22" i="4" s="1"/>
  <c r="K40" i="4" s="1"/>
  <c r="AN9" i="10"/>
  <c r="AN3" i="10"/>
  <c r="AK18" i="9"/>
  <c r="AN18" i="13" s="1"/>
  <c r="AN18" i="10" s="1"/>
  <c r="AK7" i="9"/>
  <c r="AN15" i="13" s="1"/>
  <c r="AN15" i="10" s="1"/>
  <c r="AN29" i="10"/>
  <c r="AK20" i="9"/>
  <c r="AN20" i="13" s="1"/>
  <c r="AN20" i="10" s="1"/>
  <c r="AK14" i="9"/>
  <c r="AK19" i="9"/>
  <c r="AK6" i="9"/>
  <c r="AN14" i="13" s="1"/>
  <c r="AN14" i="10" s="1"/>
  <c r="AK9" i="9"/>
  <c r="AN24" i="13" s="1"/>
  <c r="AN25" i="10" s="1"/>
  <c r="AK23" i="9"/>
  <c r="AK21" i="9"/>
  <c r="AK17" i="9"/>
  <c r="AN17" i="13" s="1"/>
  <c r="AN17" i="10" s="1"/>
  <c r="AN5" i="8"/>
  <c r="AN3" i="8"/>
  <c r="AN4" i="8" s="1"/>
  <c r="AK4" i="9"/>
  <c r="AN11" i="13" s="1"/>
  <c r="AN11" i="10" s="1"/>
  <c r="AK25" i="9"/>
  <c r="AJ16" i="9"/>
  <c r="AJ5" i="9"/>
  <c r="AM13" i="13" s="1"/>
  <c r="AM13" i="10" s="1"/>
  <c r="AL10" i="12"/>
  <c r="AK11" i="9"/>
  <c r="AQ2" i="11"/>
  <c r="AO2" i="8"/>
  <c r="AJ9" i="12"/>
  <c r="AI10" i="9"/>
  <c r="AK27" i="12"/>
  <c r="AJ31" i="9"/>
  <c r="AM23" i="12"/>
  <c r="AL26" i="9"/>
  <c r="K25" i="3" s="1"/>
  <c r="AM11" i="12"/>
  <c r="AL12" i="9"/>
  <c r="K12" i="3" s="1"/>
  <c r="AM24" i="12"/>
  <c r="AL28" i="9"/>
  <c r="AN12" i="12"/>
  <c r="AM13" i="9"/>
  <c r="AG2" i="12"/>
  <c r="AF2" i="9"/>
  <c r="AF8" i="9" s="1"/>
  <c r="AF15" i="9" s="1"/>
  <c r="AG26" i="12"/>
  <c r="AF30" i="9"/>
  <c r="AF33" i="9" s="1"/>
  <c r="AF34" i="9" s="1"/>
  <c r="AM28" i="12"/>
  <c r="AL32" i="9"/>
  <c r="K31" i="3" s="1"/>
  <c r="AR5" i="11"/>
  <c r="AP7" i="8"/>
  <c r="AL16" i="13"/>
  <c r="AL16" i="10" s="1"/>
  <c r="AI22" i="9"/>
  <c r="AI27" i="9" s="1"/>
  <c r="J28" i="3"/>
  <c r="L2" i="2"/>
  <c r="AM11" i="8" l="1"/>
  <c r="AM2" i="13" s="1"/>
  <c r="AM2" i="10" s="1"/>
  <c r="AM10" i="12"/>
  <c r="AL11" i="9"/>
  <c r="K11" i="3" s="1"/>
  <c r="AH26" i="12"/>
  <c r="AG30" i="9"/>
  <c r="AG33" i="9" s="1"/>
  <c r="AG34" i="9" s="1"/>
  <c r="AH2" i="12"/>
  <c r="AG2" i="9"/>
  <c r="AG8" i="9" s="1"/>
  <c r="AG15" i="9" s="1"/>
  <c r="AL27" i="12"/>
  <c r="AK31" i="9"/>
  <c r="AK16" i="9"/>
  <c r="AK5" i="9"/>
  <c r="AN13" i="13" s="1"/>
  <c r="AN13" i="10" s="1"/>
  <c r="L5" i="2"/>
  <c r="AK9" i="12"/>
  <c r="AJ10" i="9"/>
  <c r="L9" i="4"/>
  <c r="AO12" i="12"/>
  <c r="AN13" i="9"/>
  <c r="K27" i="3"/>
  <c r="AN24" i="12"/>
  <c r="AM28" i="9"/>
  <c r="AS5" i="11"/>
  <c r="AQ7" i="8"/>
  <c r="AO29" i="10"/>
  <c r="L27" i="4" s="1"/>
  <c r="AL20" i="9"/>
  <c r="AO9" i="10"/>
  <c r="AL18" i="9"/>
  <c r="AL21" i="9"/>
  <c r="K21" i="3" s="1"/>
  <c r="AO3" i="10"/>
  <c r="L3" i="4" s="1"/>
  <c r="AL14" i="9"/>
  <c r="K14" i="3" s="1"/>
  <c r="AL9" i="9"/>
  <c r="AL23" i="9"/>
  <c r="K23" i="3" s="1"/>
  <c r="AL17" i="9"/>
  <c r="AL19" i="9"/>
  <c r="K19" i="3" s="1"/>
  <c r="AL6" i="9"/>
  <c r="AL25" i="9"/>
  <c r="K24" i="3" s="1"/>
  <c r="AL4" i="9"/>
  <c r="AO3" i="8"/>
  <c r="AL7" i="9"/>
  <c r="AO5" i="8"/>
  <c r="AL24" i="10"/>
  <c r="AL43" i="10" s="1"/>
  <c r="AK25" i="12"/>
  <c r="AJ29" i="9"/>
  <c r="AN23" i="12"/>
  <c r="AM26" i="9"/>
  <c r="AM16" i="13"/>
  <c r="AM16" i="10" s="1"/>
  <c r="AJ22" i="9"/>
  <c r="AJ27" i="9" s="1"/>
  <c r="AN6" i="8"/>
  <c r="AN9" i="8" s="1"/>
  <c r="AR2" i="11"/>
  <c r="AP2" i="8"/>
  <c r="AN28" i="12"/>
  <c r="AM32" i="9"/>
  <c r="AN11" i="12"/>
  <c r="AM12" i="9"/>
  <c r="AN33" i="10"/>
  <c r="AT5" i="11" l="1"/>
  <c r="AS7" i="8" s="1"/>
  <c r="AR7" i="8"/>
  <c r="AL9" i="12"/>
  <c r="AK10" i="9"/>
  <c r="AI26" i="12"/>
  <c r="AH30" i="9"/>
  <c r="AO20" i="13"/>
  <c r="AO20" i="10" s="1"/>
  <c r="L18" i="4" s="1"/>
  <c r="K20" i="3"/>
  <c r="AO23" i="12"/>
  <c r="AN26" i="9"/>
  <c r="AO24" i="12"/>
  <c r="AN28" i="9"/>
  <c r="AN10" i="12"/>
  <c r="AM11" i="9"/>
  <c r="AL25" i="12"/>
  <c r="AK29" i="9"/>
  <c r="AI2" i="12"/>
  <c r="AH2" i="9"/>
  <c r="AO17" i="13"/>
  <c r="AO17" i="10" s="1"/>
  <c r="L16" i="4" s="1"/>
  <c r="K17" i="3"/>
  <c r="AO11" i="12"/>
  <c r="AN12" i="9"/>
  <c r="AO14" i="13"/>
  <c r="AO14" i="10" s="1"/>
  <c r="L13" i="4" s="1"/>
  <c r="K6" i="3"/>
  <c r="AO24" i="13"/>
  <c r="AO25" i="10" s="1"/>
  <c r="K9" i="3"/>
  <c r="AM24" i="10"/>
  <c r="AM43" i="10" s="1"/>
  <c r="AO15" i="13"/>
  <c r="AO15" i="10" s="1"/>
  <c r="L14" i="4" s="1"/>
  <c r="K7" i="3"/>
  <c r="AO28" i="12"/>
  <c r="AN32" i="9"/>
  <c r="AN16" i="13"/>
  <c r="AN16" i="10" s="1"/>
  <c r="AK22" i="9"/>
  <c r="AK27" i="9" s="1"/>
  <c r="AP9" i="10"/>
  <c r="AP3" i="10"/>
  <c r="AM18" i="9"/>
  <c r="AP18" i="13" s="1"/>
  <c r="AP18" i="10" s="1"/>
  <c r="AM21" i="9"/>
  <c r="AM17" i="9"/>
  <c r="AP17" i="13" s="1"/>
  <c r="AP17" i="10" s="1"/>
  <c r="AP29" i="10"/>
  <c r="AM20" i="9"/>
  <c r="AP20" i="13" s="1"/>
  <c r="AP20" i="10" s="1"/>
  <c r="AM9" i="9"/>
  <c r="AP24" i="13" s="1"/>
  <c r="AP25" i="10" s="1"/>
  <c r="AM25" i="9"/>
  <c r="AP3" i="8"/>
  <c r="AP4" i="8" s="1"/>
  <c r="AP6" i="8" s="1"/>
  <c r="AP9" i="8" s="1"/>
  <c r="AM23" i="9"/>
  <c r="AM19" i="9"/>
  <c r="AM14" i="9"/>
  <c r="AM7" i="9"/>
  <c r="AP15" i="13" s="1"/>
  <c r="AP15" i="10" s="1"/>
  <c r="AM6" i="9"/>
  <c r="AP14" i="13" s="1"/>
  <c r="AP14" i="10" s="1"/>
  <c r="AP5" i="8"/>
  <c r="AM4" i="9"/>
  <c r="AP11" i="13" s="1"/>
  <c r="AP11" i="10" s="1"/>
  <c r="AL16" i="9"/>
  <c r="AL5" i="9"/>
  <c r="L3" i="2"/>
  <c r="L4" i="2" s="1"/>
  <c r="L6" i="2" s="1"/>
  <c r="L9" i="2" s="1"/>
  <c r="AO18" i="13"/>
  <c r="AO18" i="10" s="1"/>
  <c r="L17" i="4" s="1"/>
  <c r="K18" i="3"/>
  <c r="AM27" i="12"/>
  <c r="AL31" i="9"/>
  <c r="K30" i="3" s="1"/>
  <c r="AO11" i="13"/>
  <c r="AO11" i="10" s="1"/>
  <c r="L11" i="4" s="1"/>
  <c r="K4" i="3"/>
  <c r="AS2" i="11"/>
  <c r="AQ2" i="8"/>
  <c r="AN10" i="8"/>
  <c r="AN11" i="8"/>
  <c r="AN2" i="13" s="1"/>
  <c r="AN2" i="10" s="1"/>
  <c r="AO4" i="8"/>
  <c r="AO6" i="8" s="1"/>
  <c r="AO9" i="8" s="1"/>
  <c r="AP12" i="12"/>
  <c r="AP13" i="9" s="1"/>
  <c r="L13" i="3" s="1"/>
  <c r="AO13" i="9"/>
  <c r="M8" i="2" l="1"/>
  <c r="AP33" i="10"/>
  <c r="AQ29" i="10"/>
  <c r="AN25" i="9"/>
  <c r="AN21" i="9"/>
  <c r="AN17" i="9"/>
  <c r="AQ17" i="13" s="1"/>
  <c r="AQ17" i="10" s="1"/>
  <c r="AQ3" i="10"/>
  <c r="AN4" i="9"/>
  <c r="AQ11" i="13" s="1"/>
  <c r="AQ11" i="10" s="1"/>
  <c r="AQ9" i="10"/>
  <c r="AN9" i="9"/>
  <c r="AQ24" i="13" s="1"/>
  <c r="AQ25" i="10" s="1"/>
  <c r="AQ33" i="10" s="1"/>
  <c r="AQ5" i="8"/>
  <c r="AN23" i="9"/>
  <c r="AN19" i="9"/>
  <c r="AN20" i="9"/>
  <c r="AQ20" i="13" s="1"/>
  <c r="AQ20" i="10" s="1"/>
  <c r="AN18" i="9"/>
  <c r="AQ18" i="13" s="1"/>
  <c r="AQ18" i="10" s="1"/>
  <c r="AQ3" i="8"/>
  <c r="AN14" i="9"/>
  <c r="AN7" i="9"/>
  <c r="AQ15" i="13" s="1"/>
  <c r="AQ15" i="10" s="1"/>
  <c r="AN6" i="9"/>
  <c r="AQ14" i="13" s="1"/>
  <c r="AQ14" i="10" s="1"/>
  <c r="AJ2" i="12"/>
  <c r="AI2" i="9"/>
  <c r="AI8" i="9" s="1"/>
  <c r="AI15" i="9" s="1"/>
  <c r="AJ26" i="12"/>
  <c r="AI30" i="9"/>
  <c r="AI33" i="9" s="1"/>
  <c r="AI34" i="9" s="1"/>
  <c r="J29" i="3"/>
  <c r="J32" i="3" s="1"/>
  <c r="J33" i="3" s="1"/>
  <c r="AH33" i="9"/>
  <c r="AH34" i="9" s="1"/>
  <c r="AO33" i="10"/>
  <c r="L23" i="4"/>
  <c r="L31" i="4" s="1"/>
  <c r="AM25" i="12"/>
  <c r="AL29" i="9"/>
  <c r="AM9" i="12"/>
  <c r="AL10" i="9"/>
  <c r="K10" i="3" s="1"/>
  <c r="AO10" i="12"/>
  <c r="AN11" i="9"/>
  <c r="AN24" i="10"/>
  <c r="AN43" i="10" s="1"/>
  <c r="L10" i="2"/>
  <c r="L11" i="2" s="1"/>
  <c r="L16" i="2" s="1"/>
  <c r="AO16" i="13"/>
  <c r="AO16" i="10" s="1"/>
  <c r="L15" i="4" s="1"/>
  <c r="AL22" i="9"/>
  <c r="AL27" i="9" s="1"/>
  <c r="K16" i="3"/>
  <c r="K22" i="3" s="1"/>
  <c r="K26" i="3" s="1"/>
  <c r="AO13" i="13"/>
  <c r="AO13" i="10" s="1"/>
  <c r="L12" i="4" s="1"/>
  <c r="K5" i="3"/>
  <c r="AP28" i="12"/>
  <c r="AP32" i="9" s="1"/>
  <c r="L31" i="3" s="1"/>
  <c r="AO32" i="9"/>
  <c r="AT2" i="11"/>
  <c r="AS2" i="8" s="1"/>
  <c r="AR2" i="8"/>
  <c r="AP24" i="12"/>
  <c r="AP28" i="9" s="1"/>
  <c r="AO28" i="9"/>
  <c r="AP10" i="8"/>
  <c r="AP11" i="8" s="1"/>
  <c r="AP2" i="13" s="1"/>
  <c r="AP2" i="10" s="1"/>
  <c r="AP23" i="12"/>
  <c r="AP26" i="9" s="1"/>
  <c r="L25" i="3" s="1"/>
  <c r="AO26" i="9"/>
  <c r="AH8" i="9"/>
  <c r="AH15" i="9" s="1"/>
  <c r="J2" i="3"/>
  <c r="J8" i="3" s="1"/>
  <c r="J15" i="3" s="1"/>
  <c r="AN27" i="12"/>
  <c r="AM31" i="9"/>
  <c r="AM16" i="9"/>
  <c r="AM5" i="9"/>
  <c r="AP13" i="13" s="1"/>
  <c r="AP13" i="10" s="1"/>
  <c r="AO10" i="8"/>
  <c r="AO11" i="8"/>
  <c r="AO2" i="13" s="1"/>
  <c r="AO2" i="10" s="1"/>
  <c r="L2" i="4" s="1"/>
  <c r="AP11" i="12"/>
  <c r="AP12" i="9" s="1"/>
  <c r="L12" i="3" s="1"/>
  <c r="AO12" i="9"/>
  <c r="L22" i="4" l="1"/>
  <c r="L40" i="4" s="1"/>
  <c r="AP16" i="13"/>
  <c r="AP16" i="10" s="1"/>
  <c r="AM22" i="9"/>
  <c r="AM27" i="9" s="1"/>
  <c r="AO27" i="12"/>
  <c r="AN31" i="9"/>
  <c r="AN25" i="12"/>
  <c r="AM29" i="9"/>
  <c r="AN9" i="12"/>
  <c r="AM10" i="9"/>
  <c r="AK2" i="12"/>
  <c r="AJ2" i="9"/>
  <c r="AJ8" i="9" s="1"/>
  <c r="AJ15" i="9" s="1"/>
  <c r="K28" i="3"/>
  <c r="AR29" i="10"/>
  <c r="AO17" i="9"/>
  <c r="AR17" i="13" s="1"/>
  <c r="AR17" i="10" s="1"/>
  <c r="AR3" i="10"/>
  <c r="AO25" i="9"/>
  <c r="AO19" i="9"/>
  <c r="AR9" i="10"/>
  <c r="M9" i="4" s="1"/>
  <c r="AO18" i="9"/>
  <c r="AR18" i="13" s="1"/>
  <c r="AR18" i="10" s="1"/>
  <c r="AO23" i="9"/>
  <c r="AO21" i="9"/>
  <c r="AO6" i="9"/>
  <c r="AR14" i="13" s="1"/>
  <c r="AR14" i="10" s="1"/>
  <c r="AO4" i="9"/>
  <c r="AR11" i="13" s="1"/>
  <c r="AR11" i="10" s="1"/>
  <c r="AO20" i="9"/>
  <c r="AR20" i="13" s="1"/>
  <c r="AR20" i="10" s="1"/>
  <c r="AR3" i="8"/>
  <c r="AR4" i="8"/>
  <c r="AO9" i="9"/>
  <c r="AR24" i="13" s="1"/>
  <c r="AR25" i="10" s="1"/>
  <c r="AR33" i="10" s="1"/>
  <c r="AR5" i="8"/>
  <c r="AO7" i="9"/>
  <c r="AR15" i="13" s="1"/>
  <c r="AR15" i="10" s="1"/>
  <c r="AO14" i="9"/>
  <c r="AN16" i="9"/>
  <c r="AN5" i="9"/>
  <c r="AQ13" i="13" s="1"/>
  <c r="AQ13" i="10" s="1"/>
  <c r="AK26" i="12"/>
  <c r="AJ30" i="9"/>
  <c r="AJ33" i="9" s="1"/>
  <c r="AJ34" i="9" s="1"/>
  <c r="AO24" i="10"/>
  <c r="AO43" i="10" s="1"/>
  <c r="AP10" i="12"/>
  <c r="AP11" i="9" s="1"/>
  <c r="L11" i="3" s="1"/>
  <c r="AO11" i="9"/>
  <c r="AQ4" i="8"/>
  <c r="AQ6" i="8" s="1"/>
  <c r="AQ9" i="8" s="1"/>
  <c r="L27" i="3"/>
  <c r="AS29" i="10"/>
  <c r="AS9" i="10"/>
  <c r="AS3" i="10"/>
  <c r="AP17" i="9"/>
  <c r="AP14" i="9"/>
  <c r="L14" i="3" s="1"/>
  <c r="AP20" i="9"/>
  <c r="AP25" i="9"/>
  <c r="L24" i="3" s="1"/>
  <c r="AP19" i="9"/>
  <c r="L19" i="3" s="1"/>
  <c r="AP6" i="9"/>
  <c r="AP23" i="9"/>
  <c r="L23" i="3" s="1"/>
  <c r="AP21" i="9"/>
  <c r="L21" i="3" s="1"/>
  <c r="AP7" i="9"/>
  <c r="AP18" i="9"/>
  <c r="AP9" i="9"/>
  <c r="AS3" i="8"/>
  <c r="AS4" i="8"/>
  <c r="AS5" i="8"/>
  <c r="AP4" i="9"/>
  <c r="AP24" i="10"/>
  <c r="AP43" i="10" s="1"/>
  <c r="M2" i="2"/>
  <c r="M3" i="2"/>
  <c r="M5" i="2" l="1"/>
  <c r="M3" i="4"/>
  <c r="M27" i="4"/>
  <c r="AP27" i="12"/>
  <c r="AP31" i="9" s="1"/>
  <c r="L30" i="3" s="1"/>
  <c r="AO31" i="9"/>
  <c r="AO25" i="12"/>
  <c r="AN29" i="9"/>
  <c r="M4" i="2"/>
  <c r="M6" i="2" s="1"/>
  <c r="M9" i="2" s="1"/>
  <c r="AR6" i="8"/>
  <c r="AR9" i="8" s="1"/>
  <c r="AS6" i="8"/>
  <c r="AS9" i="8" s="1"/>
  <c r="AQ11" i="8"/>
  <c r="AQ2" i="13" s="1"/>
  <c r="AQ2" i="10" s="1"/>
  <c r="AQ10" i="8"/>
  <c r="AS11" i="13"/>
  <c r="AS11" i="10" s="1"/>
  <c r="M11" i="4" s="1"/>
  <c r="L4" i="3"/>
  <c r="AO16" i="9"/>
  <c r="AO5" i="9"/>
  <c r="AR13" i="13" s="1"/>
  <c r="AR13" i="10" s="1"/>
  <c r="AS17" i="13"/>
  <c r="AS17" i="10" s="1"/>
  <c r="M16" i="4" s="1"/>
  <c r="L17" i="3"/>
  <c r="AP5" i="9"/>
  <c r="AP16" i="9"/>
  <c r="AL26" i="12"/>
  <c r="AK30" i="9"/>
  <c r="AK33" i="9" s="1"/>
  <c r="AK34" i="9" s="1"/>
  <c r="AS24" i="13"/>
  <c r="AS25" i="10" s="1"/>
  <c r="AS33" i="10" s="1"/>
  <c r="L9" i="3"/>
  <c r="AL2" i="12"/>
  <c r="AK2" i="9"/>
  <c r="AK8" i="9" s="1"/>
  <c r="AK15" i="9" s="1"/>
  <c r="AS14" i="13"/>
  <c r="AS14" i="10" s="1"/>
  <c r="M13" i="4" s="1"/>
  <c r="L6" i="3"/>
  <c r="AS20" i="13"/>
  <c r="AS20" i="10" s="1"/>
  <c r="M18" i="4" s="1"/>
  <c r="L20" i="3"/>
  <c r="AS18" i="13"/>
  <c r="AS18" i="10" s="1"/>
  <c r="M17" i="4" s="1"/>
  <c r="L18" i="3"/>
  <c r="AS15" i="13"/>
  <c r="AS15" i="10" s="1"/>
  <c r="M14" i="4" s="1"/>
  <c r="L7" i="3"/>
  <c r="AQ16" i="13"/>
  <c r="AQ16" i="10" s="1"/>
  <c r="AN22" i="9"/>
  <c r="AN27" i="9" s="1"/>
  <c r="AO9" i="12"/>
  <c r="AN10" i="9"/>
  <c r="M23" i="4" l="1"/>
  <c r="M31" i="4" s="1"/>
  <c r="AP25" i="12"/>
  <c r="AP29" i="9" s="1"/>
  <c r="AO29" i="9"/>
  <c r="AS10" i="8"/>
  <c r="AS11" i="8"/>
  <c r="AS2" i="13" s="1"/>
  <c r="AS2" i="10" s="1"/>
  <c r="AS16" i="13"/>
  <c r="AS16" i="10" s="1"/>
  <c r="AP22" i="9"/>
  <c r="AP27" i="9" s="1"/>
  <c r="L16" i="3"/>
  <c r="L22" i="3" s="1"/>
  <c r="L26" i="3" s="1"/>
  <c r="AM26" i="12"/>
  <c r="AL30" i="9"/>
  <c r="AS13" i="13"/>
  <c r="AS13" i="10" s="1"/>
  <c r="M12" i="4" s="1"/>
  <c r="L5" i="3"/>
  <c r="AR10" i="8"/>
  <c r="M10" i="2" s="1"/>
  <c r="M11" i="2" s="1"/>
  <c r="M16" i="2" s="1"/>
  <c r="AP9" i="12"/>
  <c r="AP10" i="9" s="1"/>
  <c r="L10" i="3" s="1"/>
  <c r="AO10" i="9"/>
  <c r="AR16" i="13"/>
  <c r="AR16" i="10" s="1"/>
  <c r="AO22" i="9"/>
  <c r="AO27" i="9" s="1"/>
  <c r="AM2" i="12"/>
  <c r="AL2" i="9"/>
  <c r="AQ24" i="10"/>
  <c r="AQ43" i="10" s="1"/>
  <c r="AN2" i="12" l="1"/>
  <c r="AM2" i="9"/>
  <c r="AM8" i="9" s="1"/>
  <c r="AM15" i="9" s="1"/>
  <c r="AS24" i="10"/>
  <c r="AS43" i="10" s="1"/>
  <c r="L28" i="3"/>
  <c r="AL8" i="9"/>
  <c r="AL15" i="9" s="1"/>
  <c r="K2" i="3"/>
  <c r="K8" i="3" s="1"/>
  <c r="K15" i="3" s="1"/>
  <c r="M15" i="4"/>
  <c r="AR11" i="8"/>
  <c r="AR2" i="13" s="1"/>
  <c r="AR2" i="10" s="1"/>
  <c r="K29" i="3"/>
  <c r="K32" i="3" s="1"/>
  <c r="K33" i="3" s="1"/>
  <c r="AL33" i="9"/>
  <c r="AL34" i="9" s="1"/>
  <c r="AN26" i="12"/>
  <c r="AM30" i="9"/>
  <c r="AM33" i="9" s="1"/>
  <c r="AM34" i="9" s="1"/>
  <c r="AO26" i="12" l="1"/>
  <c r="AN30" i="9"/>
  <c r="AN33" i="9" s="1"/>
  <c r="AN34" i="9" s="1"/>
  <c r="AN2" i="9"/>
  <c r="AN8" i="9" s="1"/>
  <c r="AN15" i="9" s="1"/>
  <c r="AR24" i="10"/>
  <c r="AR43" i="10" s="1"/>
  <c r="AO2" i="12" s="1"/>
  <c r="M2" i="4"/>
  <c r="M22" i="4" s="1"/>
  <c r="M40" i="4" s="1"/>
  <c r="AP2" i="12" l="1"/>
  <c r="AP2" i="9" s="1"/>
  <c r="AO2" i="9"/>
  <c r="AO8" i="9" s="1"/>
  <c r="AO15" i="9" s="1"/>
  <c r="AP26" i="12"/>
  <c r="AP30" i="9" s="1"/>
  <c r="AO30" i="9"/>
  <c r="AO33" i="9" s="1"/>
  <c r="AO34" i="9" s="1"/>
  <c r="L29" i="3" l="1"/>
  <c r="L32" i="3" s="1"/>
  <c r="L33" i="3" s="1"/>
  <c r="AP33" i="9"/>
  <c r="AP34" i="9" s="1"/>
  <c r="AP8" i="9"/>
  <c r="AP15" i="9" s="1"/>
  <c r="L2" i="3"/>
  <c r="L8" i="3" s="1"/>
  <c r="L15" i="3" s="1"/>
</calcChain>
</file>

<file path=xl/sharedStrings.xml><?xml version="1.0" encoding="utf-8"?>
<sst xmlns="http://schemas.openxmlformats.org/spreadsheetml/2006/main" count="699" uniqueCount="169">
  <si>
    <t>Assumption</t>
  </si>
  <si>
    <t>Value</t>
  </si>
  <si>
    <t>Note</t>
  </si>
  <si>
    <t>Days in Quarter</t>
  </si>
  <si>
    <t>Used by DSO/DIO/DPO ratios. Approximation; varies 89-92 by quarter.</t>
  </si>
  <si>
    <t>FY2019</t>
  </si>
  <si>
    <t>FY2020</t>
  </si>
  <si>
    <t>FY2021</t>
  </si>
  <si>
    <t>FY2022</t>
  </si>
  <si>
    <t>FY2023</t>
  </si>
  <si>
    <t>FY2024</t>
  </si>
  <si>
    <t>FY2025</t>
  </si>
  <si>
    <t>FY2026E</t>
  </si>
  <si>
    <t>FY2027E</t>
  </si>
  <si>
    <t>FY2028E</t>
  </si>
  <si>
    <t>FY2029E</t>
  </si>
  <si>
    <t>FY2030E</t>
  </si>
  <si>
    <t>FY2031E</t>
  </si>
  <si>
    <t>Net Sales / Revenue</t>
  </si>
  <si>
    <t>COGS</t>
  </si>
  <si>
    <t>Gross Profit (Loss)</t>
  </si>
  <si>
    <t>Operating Expenses</t>
  </si>
  <si>
    <t>Income (Loss) from Operations</t>
  </si>
  <si>
    <t>Interest Income (Expense)</t>
  </si>
  <si>
    <t>Other Income (Expense)</t>
  </si>
  <si>
    <t>Pre-Tax Income (Loss)</t>
  </si>
  <si>
    <t>Income Tax (Expense) Benefit</t>
  </si>
  <si>
    <t>Net Income (Loss)</t>
  </si>
  <si>
    <t>Basic Earnings (Loss) per Share</t>
  </si>
  <si>
    <t>Diluted Earnings (Loss) per Share</t>
  </si>
  <si>
    <t>Weighted Average Shares Outstanding (Basic)</t>
  </si>
  <si>
    <t>Weighted Average Shares Outstanding (Diluted)</t>
  </si>
  <si>
    <t>Net Income (Loss) Attributable to Common Shareholders</t>
  </si>
  <si>
    <t>Cash &amp; Cash Equivalents</t>
  </si>
  <si>
    <t>Short-Term Investments</t>
  </si>
  <si>
    <t>Accounts Receivable</t>
  </si>
  <si>
    <t>Inventories</t>
  </si>
  <si>
    <t>Prepaid Expenses</t>
  </si>
  <si>
    <t>Prepaid Income Taxes</t>
  </si>
  <si>
    <t>Total Current Assets</t>
  </si>
  <si>
    <t>Long-Term Investments</t>
  </si>
  <si>
    <t>Net PP&amp;E</t>
  </si>
  <si>
    <t>Deferred Tax Assets</t>
  </si>
  <si>
    <t>Goodwill</t>
  </si>
  <si>
    <t>Intangible Assets</t>
  </si>
  <si>
    <t>Other Non-Current Assets</t>
  </si>
  <si>
    <t>Total Assets</t>
  </si>
  <si>
    <t>Accounts Payable</t>
  </si>
  <si>
    <t>Accrued Expenses</t>
  </si>
  <si>
    <t>Accrued Promotional Allowance</t>
  </si>
  <si>
    <t>Deferred Revenue - Current</t>
  </si>
  <si>
    <t>Accrued Compensation</t>
  </si>
  <si>
    <t>Income Taxes Payable</t>
  </si>
  <si>
    <t>Total Current Liabilities</t>
  </si>
  <si>
    <t>Deferred Revenue - Non-Current</t>
  </si>
  <si>
    <t>Other Non-Current Liabilities</t>
  </si>
  <si>
    <t>Long-Term Debt</t>
  </si>
  <si>
    <t>Total Liabilities</t>
  </si>
  <si>
    <t>Common Stock</t>
  </si>
  <si>
    <t>Additional Paid-in Capital</t>
  </si>
  <si>
    <t>Retained Earnings (Accumulated Deficit)</t>
  </si>
  <si>
    <t>Accumulated Other Comprehensive Income (Loss)</t>
  </si>
  <si>
    <t>Treasury Stock</t>
  </si>
  <si>
    <t>Total Stockholders' Equity</t>
  </si>
  <si>
    <t>Total Liabilities, Mezzanine &amp; Stockholders' Equity</t>
  </si>
  <si>
    <t>Depreciation &amp; Amortization</t>
  </si>
  <si>
    <t>Non-Cash Lease Expense</t>
  </si>
  <si>
    <t>Gain (Loss) on Disposal of PP&amp;E</t>
  </si>
  <si>
    <t>Gain on Bang Transaction</t>
  </si>
  <si>
    <t>Impairment of Intangibles</t>
  </si>
  <si>
    <t>Impairment of Long-Lived Assets (PP&amp;E)</t>
  </si>
  <si>
    <t>Stock-Based Compensation</t>
  </si>
  <si>
    <t>(Benefit) Provision for Deferred Income Taxes</t>
  </si>
  <si>
    <t>Change in Prepaid Income Taxes</t>
  </si>
  <si>
    <t>Change in Accrued Compensation</t>
  </si>
  <si>
    <t>Other Current Liabilities</t>
  </si>
  <si>
    <t>Net Change in Other Working Capital</t>
  </si>
  <si>
    <t>Deferred Revenue</t>
  </si>
  <si>
    <t>Cash Flow from Operations</t>
  </si>
  <si>
    <t>Net Change in Long-Term Investments</t>
  </si>
  <si>
    <t>Acquisition of CANarchy</t>
  </si>
  <si>
    <t>Acquisition of Monster Brewing</t>
  </si>
  <si>
    <t>Acquisition of Bang Energy</t>
  </si>
  <si>
    <t>Purchase of PP&amp;E</t>
  </si>
  <si>
    <t>Proceeds from Sale of Assets</t>
  </si>
  <si>
    <t>Additions to Intangibles</t>
  </si>
  <si>
    <t>Other Investing Activities</t>
  </si>
  <si>
    <t>Cash Flow from Investing</t>
  </si>
  <si>
    <t>Net Change in Other Short-Term Debt</t>
  </si>
  <si>
    <t>Proceeds from Issuance of Long-Term Debt</t>
  </si>
  <si>
    <t>Repayments of Long-Term Debt</t>
  </si>
  <si>
    <t>Debt Issuance Fees</t>
  </si>
  <si>
    <t>Proceeds from Issuance of Common Stock</t>
  </si>
  <si>
    <t>Share Repurchases</t>
  </si>
  <si>
    <t>Cash Flow from Financing</t>
  </si>
  <si>
    <t>FX Effect on Cash</t>
  </si>
  <si>
    <t>Net Change in Cash</t>
  </si>
  <si>
    <t>Q1 FY2020</t>
  </si>
  <si>
    <t>Q2 FY2020</t>
  </si>
  <si>
    <t>Q3 FY2020</t>
  </si>
  <si>
    <t>Q1 FY2021</t>
  </si>
  <si>
    <t>Q2 FY2021</t>
  </si>
  <si>
    <t>Q3 FY2021</t>
  </si>
  <si>
    <t>Q1 FY2022</t>
  </si>
  <si>
    <t>Q2 FY2022</t>
  </si>
  <si>
    <t>Q3 FY2022</t>
  </si>
  <si>
    <t>Q1 FY2023</t>
  </si>
  <si>
    <t>Q2 FY2023</t>
  </si>
  <si>
    <t>Q3 FY2023</t>
  </si>
  <si>
    <t>Q1 FY2024</t>
  </si>
  <si>
    <t>Q2 FY2024</t>
  </si>
  <si>
    <t>Q3 FY2024</t>
  </si>
  <si>
    <t>Q1 FY2025</t>
  </si>
  <si>
    <t>Q2 FY2025</t>
  </si>
  <si>
    <t>Q3 FY2025</t>
  </si>
  <si>
    <t>Q4 FY2020</t>
  </si>
  <si>
    <t>Q4 FY2021</t>
  </si>
  <si>
    <t>Q4 FY2022</t>
  </si>
  <si>
    <t>Q4 FY2023</t>
  </si>
  <si>
    <t>Q4 FY2024</t>
  </si>
  <si>
    <t>Deferred Tax Liability</t>
  </si>
  <si>
    <t>Distributor Receivables</t>
  </si>
  <si>
    <t>Accrued Distributor Terminations</t>
  </si>
  <si>
    <t>Repayments of Short-Term Debt</t>
  </si>
  <si>
    <t>Q4 FY2025</t>
  </si>
  <si>
    <t>Q1 FY2026E</t>
  </si>
  <si>
    <t>Q2 FY2026E</t>
  </si>
  <si>
    <t>Q3 FY2026E</t>
  </si>
  <si>
    <t>Q4 FY2026E</t>
  </si>
  <si>
    <t>Q1 FY2027E</t>
  </si>
  <si>
    <t>Q2 FY2027E</t>
  </si>
  <si>
    <t>Q3 FY2027E</t>
  </si>
  <si>
    <t>Q4 FY2027E</t>
  </si>
  <si>
    <t>Q1 FY2028E</t>
  </si>
  <si>
    <t>Q2 FY2028E</t>
  </si>
  <si>
    <t>Q3 FY2028E</t>
  </si>
  <si>
    <t>Q4 FY2028E</t>
  </si>
  <si>
    <t>Q1 FY2029E</t>
  </si>
  <si>
    <t>Q2 FY2029E</t>
  </si>
  <si>
    <t>Q3 FY2029E</t>
  </si>
  <si>
    <t>Q4 FY2029E</t>
  </si>
  <si>
    <t>Q1 FY2030E</t>
  </si>
  <si>
    <t>Q2 FY2030E</t>
  </si>
  <si>
    <t>Q3 FY2030E</t>
  </si>
  <si>
    <t>Q4 FY2030E</t>
  </si>
  <si>
    <t>Driver</t>
  </si>
  <si>
    <t>Basis</t>
  </si>
  <si>
    <t>Net Sales / Revenue — Growth %</t>
  </si>
  <si>
    <t>YoY</t>
  </si>
  <si>
    <t>COGS — % of Revenue</t>
  </si>
  <si>
    <t>Operating Expenses — % of Revenue</t>
  </si>
  <si>
    <t>Income Tax (Expense) Benefit — Effective Tax Rate %</t>
  </si>
  <si>
    <t>Accounts Receivable — DSO (days)</t>
  </si>
  <si>
    <t>Inventories — DIO (days)</t>
  </si>
  <si>
    <t>Prepaid Expenses — % of Revenue</t>
  </si>
  <si>
    <t>Prepaid Income Taxes — % of Revenue</t>
  </si>
  <si>
    <t>Long-Term Investments — % of Revenue</t>
  </si>
  <si>
    <t>Other Non-Current Assets — % of Revenue</t>
  </si>
  <si>
    <t>Accounts Payable — DPO (days)</t>
  </si>
  <si>
    <t>Accrued Expenses — % of Revenue</t>
  </si>
  <si>
    <t>Accrued Promotional Allowance — % of Revenue</t>
  </si>
  <si>
    <t>Deferred Revenue - Current — % of Revenue</t>
  </si>
  <si>
    <t>Accrued Compensation — % of Revenue</t>
  </si>
  <si>
    <t>Income Taxes Payable — % of Revenue</t>
  </si>
  <si>
    <t>Deferred Revenue - Non-Current — % of Revenue</t>
  </si>
  <si>
    <t>Other Non-Current Liabilities — % of Revenue</t>
  </si>
  <si>
    <t>Depreciation &amp; Amortization — % of Revenue</t>
  </si>
  <si>
    <t>Stock-Based Compensation — % of Revenue</t>
  </si>
  <si>
    <t>Purchase of PP&amp;E — %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</si>
</sst>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&quot;--&quot;"/>
    <numFmt numFmtId="165" formatCode="\$#,##0_);\(\$#,##0\);&quot;$--&quot;_)"/>
    <numFmt numFmtId="166" formatCode="\$#,##0.00_);\(\$#,##0.00\)"/>
    <numFmt numFmtId="167" formatCode="0.0%;\(0.0%\);&quot;--&quot;"/>
    <numFmt numFmtId="168" formatCode="0.0_);\(0.0\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0" fontId="0" fillId="3" borderId="0" xfId="0" applyFill="1"/>
    <xf numFmtId="165" fontId="2" fillId="0" borderId="1" xfId="0" applyNumberFormat="1" applyFont="1" applyBorder="1"/>
    <xf numFmtId="165" fontId="2" fillId="3" borderId="1" xfId="0" applyNumberFormat="1" applyFont="1" applyFill="1" applyBorder="1"/>
    <xf numFmtId="166" fontId="0" fillId="0" borderId="0" xfId="0" applyNumberFormat="1"/>
    <xf numFmtId="166" fontId="0" fillId="3" borderId="0" xfId="0" applyNumberFormat="1" applyFill="1"/>
    <xf numFmtId="0" fontId="0" fillId="4" borderId="0" xfId="0" applyFill="1"/>
    <xf numFmtId="164" fontId="0" fillId="3" borderId="0" xfId="0" applyNumberFormat="1" applyFill="1"/>
    <xf numFmtId="0" fontId="0" fillId="4" borderId="0" xfId="0" applyFill="1" applyAlignment="1">
      <alignment horizontal="center"/>
    </xf>
    <xf numFmtId="167" fontId="0" fillId="0" borderId="0" xfId="0" applyNumberFormat="1"/>
    <xf numFmtId="167" fontId="0" fillId="4" borderId="0" xfId="0" applyNumberFormat="1" applyFill="1"/>
    <xf numFmtId="164" fontId="0" fillId="4" borderId="0" xfId="0" applyNumberFormat="1" applyFill="1"/>
    <xf numFmtId="168" fontId="0" fillId="0" borderId="0" xfId="0" applyNumberFormat="1"/>
    <xf numFmtId="168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2" customWidth="1"/>
    <col min="3" max="3" width="60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10">
        <v>91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14" width="13" customWidth="1"/>
  </cols>
  <sheetData>
    <row r="1" spans="1:14" x14ac:dyDescent="0.25">
      <c r="A1" s="1"/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</row>
    <row r="2" spans="1:14" x14ac:dyDescent="0.25">
      <c r="A2" s="3" t="s">
        <v>18</v>
      </c>
      <c r="B2" s="4">
        <v>4200819</v>
      </c>
      <c r="C2" s="4">
        <v>4598638</v>
      </c>
      <c r="D2" s="4">
        <v>5541352</v>
      </c>
      <c r="E2" s="4">
        <v>6311050</v>
      </c>
      <c r="F2" s="4">
        <v>7140027</v>
      </c>
      <c r="G2" s="4">
        <v>7492709</v>
      </c>
      <c r="H2" s="4">
        <v>8294343</v>
      </c>
      <c r="I2" s="11">
        <f>'QTR P&amp;L'!Z2+'QTR P&amp;L'!AA2+'QTR P&amp;L'!AB2+'QTR P&amp;L'!AC2</f>
        <v>9754572.0726953745</v>
      </c>
      <c r="J2" s="11">
        <f>'QTR P&amp;L'!AD2+'QTR P&amp;L'!AE2+'QTR P&amp;L'!AF2+'QTR P&amp;L'!AG2</f>
        <v>11471876.231958158</v>
      </c>
      <c r="K2" s="11">
        <f>'QTR P&amp;L'!AH2+'QTR P&amp;L'!AI2+'QTR P&amp;L'!AJ2+'QTR P&amp;L'!AK2</f>
        <v>13491513.856332794</v>
      </c>
      <c r="L2" s="11">
        <f>'QTR P&amp;L'!AL2+'QTR P&amp;L'!AM2+'QTR P&amp;L'!AN2+'QTR P&amp;L'!AO2</f>
        <v>15866711.116403863</v>
      </c>
      <c r="M2" s="11">
        <f>'QTR P&amp;L'!AP2+'QTR P&amp;L'!AQ2+'QTR P&amp;L'!AR2+'QTR P&amp;L'!AS2</f>
        <v>18660064.714179095</v>
      </c>
      <c r="N2" s="5"/>
    </row>
    <row r="3" spans="1:14" x14ac:dyDescent="0.25">
      <c r="A3" s="3" t="s">
        <v>19</v>
      </c>
      <c r="B3" s="4">
        <v>-1682234</v>
      </c>
      <c r="C3" s="4">
        <v>-1874758</v>
      </c>
      <c r="D3" s="4">
        <v>-2432839</v>
      </c>
      <c r="E3" s="4">
        <v>-3136483</v>
      </c>
      <c r="F3" s="4">
        <v>-3345821</v>
      </c>
      <c r="G3" s="4">
        <v>-3443831</v>
      </c>
      <c r="H3" s="4">
        <v>-3662148</v>
      </c>
      <c r="I3" s="11">
        <f>'QTR P&amp;L'!Z3+'QTR P&amp;L'!AA3+'QTR P&amp;L'!AB3+'QTR P&amp;L'!AC3</f>
        <v>-4338044.6402482064</v>
      </c>
      <c r="J3" s="11">
        <f>'QTR P&amp;L'!AD3+'QTR P&amp;L'!AE3+'QTR P&amp;L'!AF3+'QTR P&amp;L'!AG3</f>
        <v>-5101762.6227744631</v>
      </c>
      <c r="K3" s="11">
        <f>'QTR P&amp;L'!AH3+'QTR P&amp;L'!AI3+'QTR P&amp;L'!AJ3+'QTR P&amp;L'!AK3</f>
        <v>-5999934.0757473968</v>
      </c>
      <c r="L3" s="11">
        <f>'QTR P&amp;L'!AL3+'QTR P&amp;L'!AM3+'QTR P&amp;L'!AN3+'QTR P&amp;L'!AO3</f>
        <v>-7056229.6945398673</v>
      </c>
      <c r="M3" s="11">
        <f>'QTR P&amp;L'!AP3+'QTR P&amp;L'!AQ3+'QTR P&amp;L'!AR3+'QTR P&amp;L'!AS3</f>
        <v>-8298487.4289479479</v>
      </c>
      <c r="N3" s="5"/>
    </row>
    <row r="4" spans="1:14" x14ac:dyDescent="0.25">
      <c r="A4" s="3" t="s">
        <v>20</v>
      </c>
      <c r="B4" s="6">
        <f t="shared" ref="B4:N4" si="0">B2+B3</f>
        <v>2518585</v>
      </c>
      <c r="C4" s="6">
        <f t="shared" si="0"/>
        <v>2723880</v>
      </c>
      <c r="D4" s="6">
        <f t="shared" si="0"/>
        <v>3108513</v>
      </c>
      <c r="E4" s="6">
        <f t="shared" si="0"/>
        <v>3174567</v>
      </c>
      <c r="F4" s="6">
        <f t="shared" si="0"/>
        <v>3794206</v>
      </c>
      <c r="G4" s="6">
        <f t="shared" si="0"/>
        <v>4048878</v>
      </c>
      <c r="H4" s="6">
        <f t="shared" si="0"/>
        <v>4632195</v>
      </c>
      <c r="I4" s="7">
        <f t="shared" si="0"/>
        <v>5416527.432447168</v>
      </c>
      <c r="J4" s="7">
        <f t="shared" si="0"/>
        <v>6370113.6091836952</v>
      </c>
      <c r="K4" s="7">
        <f t="shared" si="0"/>
        <v>7491579.780585397</v>
      </c>
      <c r="L4" s="7">
        <f t="shared" si="0"/>
        <v>8810481.4218639955</v>
      </c>
      <c r="M4" s="7">
        <f t="shared" si="0"/>
        <v>10361577.285231147</v>
      </c>
      <c r="N4" s="7">
        <f t="shared" si="0"/>
        <v>0</v>
      </c>
    </row>
    <row r="5" spans="1:14" x14ac:dyDescent="0.25">
      <c r="A5" s="3" t="s">
        <v>21</v>
      </c>
      <c r="B5" s="4">
        <v>-1115646</v>
      </c>
      <c r="C5" s="4">
        <v>-1090727</v>
      </c>
      <c r="D5" s="4">
        <v>-1311046</v>
      </c>
      <c r="E5" s="4">
        <v>-1589846</v>
      </c>
      <c r="F5" s="4">
        <v>-1840851</v>
      </c>
      <c r="G5" s="4">
        <v>-2118584</v>
      </c>
      <c r="H5" s="4">
        <v>-2212841</v>
      </c>
      <c r="I5" s="11">
        <f>'QTR P&amp;L'!Z5+'QTR P&amp;L'!AA5+'QTR P&amp;L'!AB5+'QTR P&amp;L'!AC5</f>
        <v>-2932702.5524019599</v>
      </c>
      <c r="J5" s="11">
        <f>'QTR P&amp;L'!AD5+'QTR P&amp;L'!AE5+'QTR P&amp;L'!AF5+'QTR P&amp;L'!AG5</f>
        <v>-3449008.3681350774</v>
      </c>
      <c r="K5" s="11">
        <f>'QTR P&amp;L'!AH5+'QTR P&amp;L'!AI5+'QTR P&amp;L'!AJ5+'QTR P&amp;L'!AK5</f>
        <v>-4056210.4444321962</v>
      </c>
      <c r="L5" s="11">
        <f>'QTR P&amp;L'!AL5+'QTR P&amp;L'!AM5+'QTR P&amp;L'!AN5+'QTR P&amp;L'!AO5</f>
        <v>-4770311.1774173789</v>
      </c>
      <c r="M5" s="11">
        <f>'QTR P&amp;L'!AP5+'QTR P&amp;L'!AQ5+'QTR P&amp;L'!AR5+'QTR P&amp;L'!AS5</f>
        <v>-5610130.2043214459</v>
      </c>
      <c r="N5" s="5"/>
    </row>
    <row r="6" spans="1:14" x14ac:dyDescent="0.25">
      <c r="A6" s="3" t="s">
        <v>22</v>
      </c>
      <c r="B6" s="6">
        <f t="shared" ref="B6:N6" si="1">B4+B5</f>
        <v>1402939</v>
      </c>
      <c r="C6" s="6">
        <f t="shared" si="1"/>
        <v>1633153</v>
      </c>
      <c r="D6" s="6">
        <f t="shared" si="1"/>
        <v>1797467</v>
      </c>
      <c r="E6" s="6">
        <f t="shared" si="1"/>
        <v>1584721</v>
      </c>
      <c r="F6" s="6">
        <f t="shared" si="1"/>
        <v>1953355</v>
      </c>
      <c r="G6" s="6">
        <f t="shared" si="1"/>
        <v>1930294</v>
      </c>
      <c r="H6" s="6">
        <f t="shared" si="1"/>
        <v>2419354</v>
      </c>
      <c r="I6" s="7">
        <f t="shared" si="1"/>
        <v>2483824.8800452081</v>
      </c>
      <c r="J6" s="7">
        <f t="shared" si="1"/>
        <v>2921105.2410486178</v>
      </c>
      <c r="K6" s="7">
        <f t="shared" si="1"/>
        <v>3435369.3361532008</v>
      </c>
      <c r="L6" s="7">
        <f t="shared" si="1"/>
        <v>4040170.2444466166</v>
      </c>
      <c r="M6" s="7">
        <f t="shared" si="1"/>
        <v>4751447.0809097011</v>
      </c>
      <c r="N6" s="7">
        <f t="shared" si="1"/>
        <v>0</v>
      </c>
    </row>
    <row r="7" spans="1:14" x14ac:dyDescent="0.25">
      <c r="A7" s="3" t="s">
        <v>23</v>
      </c>
      <c r="B7" s="4">
        <v>0</v>
      </c>
      <c r="C7" s="4">
        <v>0</v>
      </c>
      <c r="D7" s="4">
        <v>0</v>
      </c>
      <c r="E7" s="4">
        <v>0</v>
      </c>
      <c r="F7" s="4">
        <v>115127</v>
      </c>
      <c r="G7" s="4">
        <v>59165</v>
      </c>
      <c r="H7" s="4">
        <v>0</v>
      </c>
      <c r="I7" s="11">
        <f>'QTR P&amp;L'!Z8+'QTR P&amp;L'!AA8+'QTR P&amp;L'!AB8+'QTR P&amp;L'!AC8</f>
        <v>-150088</v>
      </c>
      <c r="J7" s="11">
        <f>'QTR P&amp;L'!AD8+'QTR P&amp;L'!AE8+'QTR P&amp;L'!AF8+'QTR P&amp;L'!AG8</f>
        <v>-150088</v>
      </c>
      <c r="K7" s="11">
        <f>'QTR P&amp;L'!AH8+'QTR P&amp;L'!AI8+'QTR P&amp;L'!AJ8+'QTR P&amp;L'!AK8</f>
        <v>-150088</v>
      </c>
      <c r="L7" s="11">
        <f>'QTR P&amp;L'!AL8+'QTR P&amp;L'!AM8+'QTR P&amp;L'!AN8+'QTR P&amp;L'!AO8</f>
        <v>-150088</v>
      </c>
      <c r="M7" s="11">
        <f>'QTR P&amp;L'!AP8+'QTR P&amp;L'!AQ8+'QTR P&amp;L'!AR8+'QTR P&amp;L'!AS8</f>
        <v>-150088</v>
      </c>
      <c r="N7" s="5"/>
    </row>
    <row r="8" spans="1:14" x14ac:dyDescent="0.25">
      <c r="A8" s="3" t="s">
        <v>24</v>
      </c>
      <c r="B8" s="4">
        <v>13023</v>
      </c>
      <c r="C8" s="4">
        <v>-6996</v>
      </c>
      <c r="D8" s="4">
        <v>3952</v>
      </c>
      <c r="E8" s="4">
        <v>-12757</v>
      </c>
      <c r="F8" s="4">
        <v>0</v>
      </c>
      <c r="G8" s="4">
        <v>0</v>
      </c>
      <c r="H8" s="4">
        <v>63175</v>
      </c>
      <c r="I8" s="11">
        <f>'QTR P&amp;L'!Z7+'QTR P&amp;L'!AA7+'QTR P&amp;L'!AB7+'QTR P&amp;L'!AC7</f>
        <v>252700</v>
      </c>
      <c r="J8" s="11">
        <f>'QTR P&amp;L'!AD7+'QTR P&amp;L'!AE7+'QTR P&amp;L'!AF7+'QTR P&amp;L'!AG7</f>
        <v>252700</v>
      </c>
      <c r="K8" s="11">
        <f>'QTR P&amp;L'!AH7+'QTR P&amp;L'!AI7+'QTR P&amp;L'!AJ7+'QTR P&amp;L'!AK7</f>
        <v>252700</v>
      </c>
      <c r="L8" s="11">
        <f>'QTR P&amp;L'!AL7+'QTR P&amp;L'!AM7+'QTR P&amp;L'!AN7+'QTR P&amp;L'!AO7</f>
        <v>252700</v>
      </c>
      <c r="M8" s="11">
        <f>'QTR P&amp;L'!AP7+'QTR P&amp;L'!AQ7+'QTR P&amp;L'!AR7+'QTR P&amp;L'!AS7</f>
        <v>252700</v>
      </c>
      <c r="N8" s="5"/>
    </row>
    <row r="9" spans="1:14" x14ac:dyDescent="0.25">
      <c r="A9" s="3" t="s">
        <v>25</v>
      </c>
      <c r="B9" s="6">
        <f t="shared" ref="B9:N9" si="2">B6+SUM(B7:B8)</f>
        <v>1415962</v>
      </c>
      <c r="C9" s="6">
        <f t="shared" si="2"/>
        <v>1626157</v>
      </c>
      <c r="D9" s="6">
        <f t="shared" si="2"/>
        <v>1801419</v>
      </c>
      <c r="E9" s="6">
        <f t="shared" si="2"/>
        <v>1571964</v>
      </c>
      <c r="F9" s="6">
        <f t="shared" si="2"/>
        <v>2068482</v>
      </c>
      <c r="G9" s="6">
        <f t="shared" si="2"/>
        <v>1989459</v>
      </c>
      <c r="H9" s="6">
        <f t="shared" si="2"/>
        <v>2482529</v>
      </c>
      <c r="I9" s="7">
        <f t="shared" si="2"/>
        <v>2586436.8800452081</v>
      </c>
      <c r="J9" s="7">
        <f t="shared" si="2"/>
        <v>3023717.2410486178</v>
      </c>
      <c r="K9" s="7">
        <f t="shared" si="2"/>
        <v>3537981.3361532008</v>
      </c>
      <c r="L9" s="7">
        <f t="shared" si="2"/>
        <v>4142782.2444466166</v>
      </c>
      <c r="M9" s="7">
        <f t="shared" si="2"/>
        <v>4854059.0809097011</v>
      </c>
      <c r="N9" s="7">
        <f t="shared" si="2"/>
        <v>0</v>
      </c>
    </row>
    <row r="10" spans="1:14" x14ac:dyDescent="0.25">
      <c r="A10" s="3" t="s">
        <v>26</v>
      </c>
      <c r="B10" s="4">
        <v>-308127</v>
      </c>
      <c r="C10" s="4">
        <v>-216563</v>
      </c>
      <c r="D10" s="4">
        <v>-423944</v>
      </c>
      <c r="E10" s="4">
        <v>-380340</v>
      </c>
      <c r="F10" s="4">
        <v>-437494</v>
      </c>
      <c r="G10" s="4">
        <v>-480411</v>
      </c>
      <c r="H10" s="4">
        <v>-577097</v>
      </c>
      <c r="I10" s="11">
        <f>'QTR P&amp;L'!Z10+'QTR P&amp;L'!AA10+'QTR P&amp;L'!AB10+'QTR P&amp;L'!AC10</f>
        <v>-542044.55337310943</v>
      </c>
      <c r="J10" s="11">
        <f>'QTR P&amp;L'!AD10+'QTR P&amp;L'!AE10+'QTR P&amp;L'!AF10+'QTR P&amp;L'!AG10</f>
        <v>-633686.23997587035</v>
      </c>
      <c r="K10" s="11">
        <f>'QTR P&amp;L'!AH10+'QTR P&amp;L'!AI10+'QTR P&amp;L'!AJ10+'QTR P&amp;L'!AK10</f>
        <v>-741461.55585441482</v>
      </c>
      <c r="L10" s="11">
        <f>'QTR P&amp;L'!AL10+'QTR P&amp;L'!AM10+'QTR P&amp;L'!AN10+'QTR P&amp;L'!AO10</f>
        <v>-868210.84586988366</v>
      </c>
      <c r="M10" s="11">
        <f>'QTR P&amp;L'!AP10+'QTR P&amp;L'!AQ10+'QTR P&amp;L'!AR10+'QTR P&amp;L'!AS10</f>
        <v>-1017274.5010163925</v>
      </c>
      <c r="N10" s="5"/>
    </row>
    <row r="11" spans="1:14" x14ac:dyDescent="0.25">
      <c r="A11" s="3" t="s">
        <v>27</v>
      </c>
      <c r="B11" s="6">
        <f t="shared" ref="B11:N11" si="3">B9+B10</f>
        <v>1107835</v>
      </c>
      <c r="C11" s="6">
        <f t="shared" si="3"/>
        <v>1409594</v>
      </c>
      <c r="D11" s="6">
        <f t="shared" si="3"/>
        <v>1377475</v>
      </c>
      <c r="E11" s="6">
        <f t="shared" si="3"/>
        <v>1191624</v>
      </c>
      <c r="F11" s="6">
        <f t="shared" si="3"/>
        <v>1630988</v>
      </c>
      <c r="G11" s="6">
        <f t="shared" si="3"/>
        <v>1509048</v>
      </c>
      <c r="H11" s="6">
        <f t="shared" si="3"/>
        <v>1905432</v>
      </c>
      <c r="I11" s="7">
        <f t="shared" si="3"/>
        <v>2044392.3266720986</v>
      </c>
      <c r="J11" s="7">
        <f t="shared" si="3"/>
        <v>2390031.0010727476</v>
      </c>
      <c r="K11" s="7">
        <f t="shared" si="3"/>
        <v>2796519.7802987862</v>
      </c>
      <c r="L11" s="7">
        <f t="shared" si="3"/>
        <v>3274571.3985767327</v>
      </c>
      <c r="M11" s="7">
        <f t="shared" si="3"/>
        <v>3836784.5798933087</v>
      </c>
      <c r="N11" s="7">
        <f t="shared" si="3"/>
        <v>0</v>
      </c>
    </row>
    <row r="12" spans="1:14" x14ac:dyDescent="0.25">
      <c r="A12" s="3" t="s">
        <v>28</v>
      </c>
      <c r="B12" s="8">
        <v>2.04</v>
      </c>
      <c r="C12" s="8">
        <v>2.66</v>
      </c>
      <c r="D12" s="8">
        <v>2.61</v>
      </c>
      <c r="E12" s="8">
        <v>2.2599999999999998</v>
      </c>
      <c r="F12" s="8">
        <v>1.56</v>
      </c>
      <c r="G12" s="8">
        <v>1.5</v>
      </c>
      <c r="H12" s="8">
        <v>1.95</v>
      </c>
      <c r="I12" s="9"/>
      <c r="J12" s="9"/>
      <c r="K12" s="9"/>
      <c r="L12" s="9"/>
      <c r="M12" s="9"/>
      <c r="N12" s="9"/>
    </row>
    <row r="13" spans="1:14" x14ac:dyDescent="0.25">
      <c r="A13" s="3" t="s">
        <v>29</v>
      </c>
      <c r="B13" s="8">
        <v>2.0299999999999998</v>
      </c>
      <c r="C13" s="8">
        <v>2.64</v>
      </c>
      <c r="D13" s="8">
        <v>2.57</v>
      </c>
      <c r="E13" s="8">
        <v>2.23</v>
      </c>
      <c r="F13" s="8">
        <v>1.54</v>
      </c>
      <c r="G13" s="8">
        <v>1.49</v>
      </c>
      <c r="H13" s="8">
        <v>1.94</v>
      </c>
      <c r="I13" s="9"/>
      <c r="J13" s="9"/>
      <c r="K13" s="9"/>
      <c r="L13" s="9"/>
      <c r="M13" s="9"/>
      <c r="N13" s="9"/>
    </row>
    <row r="14" spans="1:14" x14ac:dyDescent="0.25">
      <c r="A14" s="3" t="s">
        <v>30</v>
      </c>
      <c r="B14" s="4">
        <v>542191000</v>
      </c>
      <c r="C14" s="4">
        <v>529639000</v>
      </c>
      <c r="D14" s="4">
        <v>528763000</v>
      </c>
      <c r="E14" s="4">
        <v>526779000</v>
      </c>
      <c r="F14" s="4">
        <v>1044887000</v>
      </c>
      <c r="G14" s="4">
        <v>1004566000</v>
      </c>
      <c r="H14" s="4">
        <v>975887000</v>
      </c>
      <c r="I14" s="5"/>
      <c r="J14" s="5"/>
      <c r="K14" s="5"/>
      <c r="L14" s="5"/>
      <c r="M14" s="5"/>
      <c r="N14" s="5"/>
    </row>
    <row r="15" spans="1:14" x14ac:dyDescent="0.25">
      <c r="A15" s="3" t="s">
        <v>31</v>
      </c>
      <c r="B15" s="4">
        <v>546608000</v>
      </c>
      <c r="C15" s="4">
        <v>534807000</v>
      </c>
      <c r="D15" s="4">
        <v>535639000</v>
      </c>
      <c r="E15" s="4">
        <v>533221000</v>
      </c>
      <c r="F15" s="4">
        <v>1057981000</v>
      </c>
      <c r="G15" s="4">
        <v>1013107000</v>
      </c>
      <c r="H15" s="4">
        <v>984451000</v>
      </c>
      <c r="I15" s="5"/>
      <c r="J15" s="5"/>
      <c r="K15" s="5"/>
      <c r="L15" s="5"/>
      <c r="M15" s="5"/>
      <c r="N15" s="5"/>
    </row>
    <row r="16" spans="1:14" x14ac:dyDescent="0.25">
      <c r="A16" s="3" t="s">
        <v>32</v>
      </c>
      <c r="B16" s="6">
        <f t="shared" ref="B16:N16" si="4">B11</f>
        <v>1107835</v>
      </c>
      <c r="C16" s="6">
        <f t="shared" si="4"/>
        <v>1409594</v>
      </c>
      <c r="D16" s="6">
        <f t="shared" si="4"/>
        <v>1377475</v>
      </c>
      <c r="E16" s="6">
        <f t="shared" si="4"/>
        <v>1191624</v>
      </c>
      <c r="F16" s="6">
        <f t="shared" si="4"/>
        <v>1630988</v>
      </c>
      <c r="G16" s="6">
        <f t="shared" si="4"/>
        <v>1509048</v>
      </c>
      <c r="H16" s="6">
        <f t="shared" si="4"/>
        <v>1905432</v>
      </c>
      <c r="I16" s="7">
        <f t="shared" si="4"/>
        <v>2044392.3266720986</v>
      </c>
      <c r="J16" s="7">
        <f t="shared" si="4"/>
        <v>2390031.0010727476</v>
      </c>
      <c r="K16" s="7">
        <f t="shared" si="4"/>
        <v>2796519.7802987862</v>
      </c>
      <c r="L16" s="7">
        <f t="shared" si="4"/>
        <v>3274571.3985767327</v>
      </c>
      <c r="M16" s="7">
        <f t="shared" si="4"/>
        <v>3836784.5798933087</v>
      </c>
      <c r="N16" s="7">
        <f t="shared" si="4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13" width="13" customWidth="1"/>
  </cols>
  <sheetData>
    <row r="1" spans="1:13" x14ac:dyDescent="0.25">
      <c r="A1" s="1"/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 spans="1:13" x14ac:dyDescent="0.25">
      <c r="A2" s="3" t="s">
        <v>33</v>
      </c>
      <c r="B2" s="4">
        <v>1180413</v>
      </c>
      <c r="C2" s="4">
        <v>1326462</v>
      </c>
      <c r="D2" s="4">
        <v>1307141</v>
      </c>
      <c r="E2" s="4">
        <v>2297675</v>
      </c>
      <c r="F2" s="4">
        <v>1533287</v>
      </c>
      <c r="G2" s="4">
        <v>2088117</v>
      </c>
      <c r="H2" s="11">
        <f>'QTR BS'!Z2</f>
        <v>4144447.1847983776</v>
      </c>
      <c r="I2" s="11">
        <f>'QTR BS'!AD2</f>
        <v>6528188.0294461809</v>
      </c>
      <c r="J2" s="11">
        <f>'QTR BS'!AH2</f>
        <v>9296980.5748579782</v>
      </c>
      <c r="K2" s="11">
        <f>'QTR BS'!AL2</f>
        <v>12518613.636609204</v>
      </c>
      <c r="L2" s="11">
        <f>'QTR BS'!AP2</f>
        <v>16272810.332884535</v>
      </c>
      <c r="M2" s="5"/>
    </row>
    <row r="3" spans="1:13" x14ac:dyDescent="0.25">
      <c r="A3" s="3" t="s">
        <v>34</v>
      </c>
      <c r="B3" s="4">
        <v>881354</v>
      </c>
      <c r="C3" s="4">
        <v>1749727</v>
      </c>
      <c r="D3" s="4">
        <v>1362314</v>
      </c>
      <c r="E3" s="4">
        <v>955605</v>
      </c>
      <c r="F3" s="4">
        <v>0</v>
      </c>
      <c r="G3" s="4">
        <v>677084</v>
      </c>
      <c r="H3" s="11">
        <f>'QTR BS'!Z3</f>
        <v>677084</v>
      </c>
      <c r="I3" s="11">
        <f>'QTR BS'!AD3</f>
        <v>677084</v>
      </c>
      <c r="J3" s="11">
        <f>'QTR BS'!AH3</f>
        <v>677084</v>
      </c>
      <c r="K3" s="11">
        <f>'QTR BS'!AL3</f>
        <v>677084</v>
      </c>
      <c r="L3" s="11">
        <f>'QTR BS'!AP3</f>
        <v>677084</v>
      </c>
      <c r="M3" s="5"/>
    </row>
    <row r="4" spans="1:13" x14ac:dyDescent="0.25">
      <c r="A4" s="3" t="s">
        <v>35</v>
      </c>
      <c r="B4" s="4">
        <v>666012</v>
      </c>
      <c r="C4" s="4">
        <v>896658</v>
      </c>
      <c r="D4" s="4">
        <v>1016203</v>
      </c>
      <c r="E4" s="4">
        <v>1193964</v>
      </c>
      <c r="F4" s="4">
        <v>1221646</v>
      </c>
      <c r="G4" s="4">
        <v>1618072</v>
      </c>
      <c r="H4" s="11">
        <f>'QTR BS'!Z4</f>
        <v>1902935.5239842809</v>
      </c>
      <c r="I4" s="11">
        <f>'QTR BS'!AD4</f>
        <v>2237949.6143813925</v>
      </c>
      <c r="J4" s="11">
        <f>'QTR BS'!AH4</f>
        <v>2631943.3387965891</v>
      </c>
      <c r="K4" s="11">
        <f>'QTR BS'!AL4</f>
        <v>3095300.1328184558</v>
      </c>
      <c r="L4" s="11">
        <f>'QTR BS'!AP4</f>
        <v>3640231.4483740539</v>
      </c>
      <c r="M4" s="5"/>
    </row>
    <row r="5" spans="1:13" x14ac:dyDescent="0.25">
      <c r="A5" s="3" t="s">
        <v>36</v>
      </c>
      <c r="B5" s="4">
        <v>333085</v>
      </c>
      <c r="C5" s="4">
        <v>593357</v>
      </c>
      <c r="D5" s="4">
        <v>935631</v>
      </c>
      <c r="E5" s="4">
        <v>971406</v>
      </c>
      <c r="F5" s="4">
        <v>737107</v>
      </c>
      <c r="G5" s="4">
        <v>799623</v>
      </c>
      <c r="H5" s="11">
        <f>'QTR BS'!Z5</f>
        <v>940397.59200757591</v>
      </c>
      <c r="I5" s="11">
        <f>'QTR BS'!AD5</f>
        <v>1105955.7204503212</v>
      </c>
      <c r="J5" s="11">
        <f>'QTR BS'!AH5</f>
        <v>1300660.5567604809</v>
      </c>
      <c r="K5" s="11">
        <f>'QTR BS'!AL5</f>
        <v>1529643.4139548128</v>
      </c>
      <c r="L5" s="11">
        <f>'QTR BS'!AP5</f>
        <v>1798938.9788854921</v>
      </c>
      <c r="M5" s="5"/>
    </row>
    <row r="6" spans="1:13" x14ac:dyDescent="0.25">
      <c r="A6" s="3" t="s">
        <v>37</v>
      </c>
      <c r="B6" s="4">
        <v>55358</v>
      </c>
      <c r="C6" s="4">
        <v>82668</v>
      </c>
      <c r="D6" s="4">
        <v>109823</v>
      </c>
      <c r="E6" s="4">
        <v>116195</v>
      </c>
      <c r="F6" s="4">
        <v>107262</v>
      </c>
      <c r="G6" s="4">
        <v>103551</v>
      </c>
      <c r="H6" s="11">
        <f>'QTR BS'!Z6</f>
        <v>121781.27823984115</v>
      </c>
      <c r="I6" s="11">
        <f>'QTR BS'!AD6</f>
        <v>143221.018915603</v>
      </c>
      <c r="J6" s="11">
        <f>'QTR BS'!AH6</f>
        <v>168435.25175376967</v>
      </c>
      <c r="K6" s="11">
        <f>'QTR BS'!AL6</f>
        <v>198088.48064454726</v>
      </c>
      <c r="L6" s="11">
        <f>'QTR BS'!AP6</f>
        <v>232962.19618816816</v>
      </c>
      <c r="M6" s="5"/>
    </row>
    <row r="7" spans="1:13" x14ac:dyDescent="0.25">
      <c r="A7" s="3" t="s">
        <v>38</v>
      </c>
      <c r="B7" s="4">
        <v>24733</v>
      </c>
      <c r="C7" s="4">
        <v>33238</v>
      </c>
      <c r="D7" s="4">
        <v>33785</v>
      </c>
      <c r="E7" s="4">
        <v>54151</v>
      </c>
      <c r="F7" s="4">
        <v>42202</v>
      </c>
      <c r="G7" s="4">
        <v>74637</v>
      </c>
      <c r="H7" s="11">
        <f>'QTR BS'!Z7</f>
        <v>87776.933723353941</v>
      </c>
      <c r="I7" s="11">
        <f>'QTR BS'!AD7</f>
        <v>103230.16860101651</v>
      </c>
      <c r="J7" s="11">
        <f>'QTR BS'!AH7</f>
        <v>121403.96408674089</v>
      </c>
      <c r="K7" s="11">
        <f>'QTR BS'!AL7</f>
        <v>142777.2781515106</v>
      </c>
      <c r="L7" s="11">
        <f>'QTR BS'!AP7</f>
        <v>167913.38989383305</v>
      </c>
      <c r="M7" s="5"/>
    </row>
    <row r="8" spans="1:13" x14ac:dyDescent="0.25">
      <c r="A8" s="3" t="s">
        <v>39</v>
      </c>
      <c r="B8" s="6">
        <f t="shared" ref="B8:M8" si="0">SUM(B2:B7)</f>
        <v>3140955</v>
      </c>
      <c r="C8" s="6">
        <f t="shared" si="0"/>
        <v>4682110</v>
      </c>
      <c r="D8" s="6">
        <f t="shared" si="0"/>
        <v>4764897</v>
      </c>
      <c r="E8" s="6">
        <f t="shared" si="0"/>
        <v>5588996</v>
      </c>
      <c r="F8" s="6">
        <f t="shared" si="0"/>
        <v>3641504</v>
      </c>
      <c r="G8" s="6">
        <f t="shared" si="0"/>
        <v>5361084</v>
      </c>
      <c r="H8" s="7">
        <f t="shared" si="0"/>
        <v>7874422.5127534289</v>
      </c>
      <c r="I8" s="7">
        <f t="shared" si="0"/>
        <v>10795628.551794514</v>
      </c>
      <c r="J8" s="7">
        <f t="shared" si="0"/>
        <v>14196507.686255559</v>
      </c>
      <c r="K8" s="7">
        <f t="shared" si="0"/>
        <v>18161506.942178532</v>
      </c>
      <c r="L8" s="7">
        <f t="shared" si="0"/>
        <v>22789940.346226081</v>
      </c>
      <c r="M8" s="7">
        <f t="shared" si="0"/>
        <v>0</v>
      </c>
    </row>
    <row r="9" spans="1:13" x14ac:dyDescent="0.25">
      <c r="A9" s="3" t="s">
        <v>40</v>
      </c>
      <c r="B9" s="4">
        <v>44291</v>
      </c>
      <c r="C9" s="4">
        <v>99419</v>
      </c>
      <c r="D9" s="4">
        <v>61443</v>
      </c>
      <c r="E9" s="4">
        <v>76431</v>
      </c>
      <c r="F9" s="4">
        <v>0</v>
      </c>
      <c r="G9" s="4">
        <v>487329</v>
      </c>
      <c r="H9" s="11">
        <f>'QTR BS'!Z9</f>
        <v>573123.8572620597</v>
      </c>
      <c r="I9" s="11">
        <f>'QTR BS'!AD9</f>
        <v>674023.00245407468</v>
      </c>
      <c r="J9" s="11">
        <f>'QTR BS'!AH9</f>
        <v>792685.56365378236</v>
      </c>
      <c r="K9" s="11">
        <f>'QTR BS'!AL9</f>
        <v>932238.81163896609</v>
      </c>
      <c r="L9" s="11">
        <f>'QTR BS'!AP9</f>
        <v>1096360.5769735088</v>
      </c>
      <c r="M9" s="5"/>
    </row>
    <row r="10" spans="1:13" x14ac:dyDescent="0.25">
      <c r="A10" s="3" t="s">
        <v>41</v>
      </c>
      <c r="B10" s="4">
        <v>314656</v>
      </c>
      <c r="C10" s="4">
        <v>313753</v>
      </c>
      <c r="D10" s="4">
        <v>516897</v>
      </c>
      <c r="E10" s="4">
        <v>890796</v>
      </c>
      <c r="F10" s="4">
        <v>1047024</v>
      </c>
      <c r="G10" s="4">
        <v>1081544</v>
      </c>
      <c r="H10" s="11">
        <f>'QTR BS'!Z10</f>
        <v>1062117.7333250188</v>
      </c>
      <c r="I10" s="11">
        <f>'QTR BS'!AD10</f>
        <v>1039271.4490099732</v>
      </c>
      <c r="J10" s="11">
        <f>'QTR BS'!AH10</f>
        <v>1012403.0488311527</v>
      </c>
      <c r="K10" s="11">
        <f>'QTR BS'!AL10</f>
        <v>980804.43444755091</v>
      </c>
      <c r="L10" s="11">
        <f>'QTR BS'!AP10</f>
        <v>943642.84595257882</v>
      </c>
      <c r="M10" s="5"/>
    </row>
    <row r="11" spans="1:13" x14ac:dyDescent="0.25">
      <c r="A11" s="3" t="s">
        <v>42</v>
      </c>
      <c r="B11" s="4">
        <v>241650</v>
      </c>
      <c r="C11" s="4">
        <v>225221</v>
      </c>
      <c r="D11" s="4">
        <v>177039</v>
      </c>
      <c r="E11" s="4">
        <v>175003</v>
      </c>
      <c r="F11" s="4">
        <v>184260</v>
      </c>
      <c r="G11" s="4">
        <v>188646</v>
      </c>
      <c r="H11" s="11">
        <f>'QTR BS'!Z11</f>
        <v>173626</v>
      </c>
      <c r="I11" s="11">
        <f>'QTR BS'!AD11</f>
        <v>158606</v>
      </c>
      <c r="J11" s="11">
        <f>'QTR BS'!AH11</f>
        <v>143586</v>
      </c>
      <c r="K11" s="11">
        <f>'QTR BS'!AL11</f>
        <v>128566</v>
      </c>
      <c r="L11" s="11">
        <f>'QTR BS'!AP11</f>
        <v>113546</v>
      </c>
      <c r="M11" s="5"/>
    </row>
    <row r="12" spans="1:13" x14ac:dyDescent="0.25">
      <c r="A12" s="3" t="s">
        <v>43</v>
      </c>
      <c r="B12" s="4">
        <v>1331643</v>
      </c>
      <c r="C12" s="4">
        <v>1331643</v>
      </c>
      <c r="D12" s="4">
        <v>1417941</v>
      </c>
      <c r="E12" s="4">
        <v>1417941</v>
      </c>
      <c r="F12" s="4">
        <v>1331643</v>
      </c>
      <c r="G12" s="4">
        <v>1331643</v>
      </c>
      <c r="H12" s="11">
        <f>'QTR BS'!Z12</f>
        <v>1331643</v>
      </c>
      <c r="I12" s="11">
        <f>'QTR BS'!AD12</f>
        <v>1331643</v>
      </c>
      <c r="J12" s="11">
        <f>'QTR BS'!AH12</f>
        <v>1331643</v>
      </c>
      <c r="K12" s="11">
        <f>'QTR BS'!AL12</f>
        <v>1331643</v>
      </c>
      <c r="L12" s="11">
        <f>'QTR BS'!AP12</f>
        <v>1331643</v>
      </c>
      <c r="M12" s="5"/>
    </row>
    <row r="13" spans="1:13" x14ac:dyDescent="0.25">
      <c r="A13" s="3" t="s">
        <v>44</v>
      </c>
      <c r="B13" s="4">
        <v>1059046</v>
      </c>
      <c r="C13" s="4">
        <v>1072386</v>
      </c>
      <c r="D13" s="4">
        <v>1220410</v>
      </c>
      <c r="E13" s="4">
        <v>1427139</v>
      </c>
      <c r="F13" s="4">
        <v>1414252</v>
      </c>
      <c r="G13" s="4">
        <v>1379268</v>
      </c>
      <c r="H13" s="11">
        <f>'QTR BS'!Z13</f>
        <v>1379268</v>
      </c>
      <c r="I13" s="11">
        <f>'QTR BS'!AD13</f>
        <v>1379268</v>
      </c>
      <c r="J13" s="11">
        <f>'QTR BS'!AH13</f>
        <v>1379268</v>
      </c>
      <c r="K13" s="11">
        <f>'QTR BS'!AL13</f>
        <v>1379268</v>
      </c>
      <c r="L13" s="11">
        <f>'QTR BS'!AP13</f>
        <v>1379268</v>
      </c>
      <c r="M13" s="5"/>
    </row>
    <row r="14" spans="1:13" x14ac:dyDescent="0.25">
      <c r="A14" s="3" t="s">
        <v>45</v>
      </c>
      <c r="B14" s="4">
        <v>70475</v>
      </c>
      <c r="C14" s="4">
        <v>80252</v>
      </c>
      <c r="D14" s="4">
        <v>134478</v>
      </c>
      <c r="E14" s="4">
        <v>110216</v>
      </c>
      <c r="F14" s="4">
        <v>100406</v>
      </c>
      <c r="G14" s="4">
        <v>159431</v>
      </c>
      <c r="H14" s="11">
        <f>'QTR BS'!Z14</f>
        <v>187499.01952715195</v>
      </c>
      <c r="I14" s="11">
        <f>'QTR BS'!AD14</f>
        <v>220508.44768986781</v>
      </c>
      <c r="J14" s="11">
        <f>'QTR BS'!AH14</f>
        <v>259329.22542858348</v>
      </c>
      <c r="K14" s="11">
        <f>'QTR BS'!AL14</f>
        <v>304984.44783382886</v>
      </c>
      <c r="L14" s="11">
        <f>'QTR BS'!AP14</f>
        <v>358677.3271187708</v>
      </c>
      <c r="M14" s="5"/>
    </row>
    <row r="15" spans="1:13" x14ac:dyDescent="0.25">
      <c r="A15" s="3" t="s">
        <v>46</v>
      </c>
      <c r="B15" s="6">
        <f t="shared" ref="B15:M15" si="1">B8+SUM(B9:B14)</f>
        <v>6202716</v>
      </c>
      <c r="C15" s="6">
        <f t="shared" si="1"/>
        <v>7804784</v>
      </c>
      <c r="D15" s="6">
        <f t="shared" si="1"/>
        <v>8293105</v>
      </c>
      <c r="E15" s="6">
        <f t="shared" si="1"/>
        <v>9686522</v>
      </c>
      <c r="F15" s="6">
        <f t="shared" si="1"/>
        <v>7719089</v>
      </c>
      <c r="G15" s="6">
        <f t="shared" si="1"/>
        <v>9988945</v>
      </c>
      <c r="H15" s="7">
        <f t="shared" si="1"/>
        <v>12581700.122867659</v>
      </c>
      <c r="I15" s="7">
        <f t="shared" si="1"/>
        <v>15598948.450948428</v>
      </c>
      <c r="J15" s="7">
        <f t="shared" si="1"/>
        <v>19115422.52416908</v>
      </c>
      <c r="K15" s="7">
        <f t="shared" si="1"/>
        <v>23219011.636098877</v>
      </c>
      <c r="L15" s="7">
        <f t="shared" si="1"/>
        <v>28013078.096270941</v>
      </c>
      <c r="M15" s="7">
        <f t="shared" si="1"/>
        <v>0</v>
      </c>
    </row>
    <row r="16" spans="1:13" x14ac:dyDescent="0.25">
      <c r="A16" s="3" t="s">
        <v>47</v>
      </c>
      <c r="B16" s="4">
        <v>296800</v>
      </c>
      <c r="C16" s="4">
        <v>404263</v>
      </c>
      <c r="D16" s="4">
        <v>444265</v>
      </c>
      <c r="E16" s="4">
        <v>564379</v>
      </c>
      <c r="F16" s="4">
        <v>466775</v>
      </c>
      <c r="G16" s="4">
        <v>565974</v>
      </c>
      <c r="H16" s="11">
        <f>'QTR BS'!Z16</f>
        <v>665614.40421160439</v>
      </c>
      <c r="I16" s="11">
        <f>'QTR BS'!AD16</f>
        <v>782796.62156560051</v>
      </c>
      <c r="J16" s="11">
        <f>'QTR BS'!AH16</f>
        <v>920608.90938849479</v>
      </c>
      <c r="K16" s="11">
        <f>'QTR BS'!AL16</f>
        <v>1082683.2164278182</v>
      </c>
      <c r="L16" s="11">
        <f>'QTR BS'!AP16</f>
        <v>1273290.9003814766</v>
      </c>
      <c r="M16" s="5"/>
    </row>
    <row r="17" spans="1:13" x14ac:dyDescent="0.25">
      <c r="A17" s="3" t="s">
        <v>48</v>
      </c>
      <c r="B17" s="4">
        <v>142653</v>
      </c>
      <c r="C17" s="4">
        <v>210964</v>
      </c>
      <c r="D17" s="4">
        <v>172991</v>
      </c>
      <c r="E17" s="4">
        <v>183988</v>
      </c>
      <c r="F17" s="4">
        <v>220764</v>
      </c>
      <c r="G17" s="4">
        <v>306085</v>
      </c>
      <c r="H17" s="11">
        <f>'QTR BS'!Z17</f>
        <v>359971.6328190146</v>
      </c>
      <c r="I17" s="11">
        <f>'QTR BS'!AD17</f>
        <v>423345.07223283552</v>
      </c>
      <c r="J17" s="11">
        <f>'QTR BS'!AH17</f>
        <v>497875.48196591623</v>
      </c>
      <c r="K17" s="11">
        <f>'QTR BS'!AL17</f>
        <v>585527.06007751019</v>
      </c>
      <c r="L17" s="11">
        <f>'QTR BS'!AP17</f>
        <v>688609.80406037078</v>
      </c>
      <c r="M17" s="5"/>
    </row>
    <row r="18" spans="1:13" x14ac:dyDescent="0.25">
      <c r="A18" s="3" t="s">
        <v>49</v>
      </c>
      <c r="B18" s="4">
        <v>186658</v>
      </c>
      <c r="C18" s="4">
        <v>211461</v>
      </c>
      <c r="D18" s="4">
        <v>255631</v>
      </c>
      <c r="E18" s="4">
        <v>269061</v>
      </c>
      <c r="F18" s="4">
        <v>267711</v>
      </c>
      <c r="G18" s="4">
        <v>384070</v>
      </c>
      <c r="H18" s="11">
        <f>'QTR BS'!Z18</f>
        <v>451685.98597382725</v>
      </c>
      <c r="I18" s="11">
        <f>'QTR BS'!AD18</f>
        <v>531205.84769742098</v>
      </c>
      <c r="J18" s="11">
        <f>'QTR BS'!AH18</f>
        <v>624725.27683045366</v>
      </c>
      <c r="K18" s="11">
        <f>'QTR BS'!AL18</f>
        <v>734708.91407278797</v>
      </c>
      <c r="L18" s="11">
        <f>'QTR BS'!AP18</f>
        <v>864055.30308726849</v>
      </c>
      <c r="M18" s="5"/>
    </row>
    <row r="19" spans="1:13" x14ac:dyDescent="0.25">
      <c r="A19" s="3" t="s">
        <v>50</v>
      </c>
      <c r="B19" s="4">
        <v>45429</v>
      </c>
      <c r="C19" s="4">
        <v>42530</v>
      </c>
      <c r="D19" s="4">
        <v>43311</v>
      </c>
      <c r="E19" s="4">
        <v>41914</v>
      </c>
      <c r="F19" s="4">
        <v>45809</v>
      </c>
      <c r="G19" s="4">
        <v>45323</v>
      </c>
      <c r="H19" s="11">
        <f>'QTR BS'!Z19</f>
        <v>53302.168725210962</v>
      </c>
      <c r="I19" s="11">
        <f>'QTR BS'!AD19</f>
        <v>62686.079712526924</v>
      </c>
      <c r="J19" s="11">
        <f>'QTR BS'!AH19</f>
        <v>73722.039528697002</v>
      </c>
      <c r="K19" s="11">
        <f>'QTR BS'!AL19</f>
        <v>86700.893359338064</v>
      </c>
      <c r="L19" s="11">
        <f>'QTR BS'!AP19</f>
        <v>101964.69003521305</v>
      </c>
      <c r="M19" s="5"/>
    </row>
    <row r="20" spans="1:13" x14ac:dyDescent="0.25">
      <c r="A20" s="3" t="s">
        <v>51</v>
      </c>
      <c r="B20" s="4">
        <v>55015</v>
      </c>
      <c r="C20" s="4">
        <v>65459</v>
      </c>
      <c r="D20" s="4">
        <v>72463</v>
      </c>
      <c r="E20" s="4">
        <v>87392</v>
      </c>
      <c r="F20" s="4">
        <v>92454</v>
      </c>
      <c r="G20" s="4">
        <v>114023</v>
      </c>
      <c r="H20" s="11">
        <f>'QTR BS'!Z20</f>
        <v>134096.88644958916</v>
      </c>
      <c r="I20" s="11">
        <f>'QTR BS'!AD20</f>
        <v>157704.80478038648</v>
      </c>
      <c r="J20" s="11">
        <f>'QTR BS'!AH20</f>
        <v>185468.92556054579</v>
      </c>
      <c r="K20" s="11">
        <f>'QTR BS'!AL20</f>
        <v>218120.95323592445</v>
      </c>
      <c r="L20" s="11">
        <f>'QTR BS'!AP20</f>
        <v>256521.40970114723</v>
      </c>
      <c r="M20" s="5"/>
    </row>
    <row r="21" spans="1:13" x14ac:dyDescent="0.25">
      <c r="A21" s="3" t="s">
        <v>52</v>
      </c>
      <c r="B21" s="4">
        <v>23433</v>
      </c>
      <c r="C21" s="4">
        <v>30399</v>
      </c>
      <c r="D21" s="4">
        <v>13317</v>
      </c>
      <c r="E21" s="4">
        <v>14955</v>
      </c>
      <c r="F21" s="4">
        <v>4006</v>
      </c>
      <c r="G21" s="4">
        <v>32305</v>
      </c>
      <c r="H21" s="11">
        <f>'QTR BS'!Z21</f>
        <v>37992.334149723982</v>
      </c>
      <c r="I21" s="11">
        <f>'QTR BS'!AD21</f>
        <v>44680.930324850116</v>
      </c>
      <c r="J21" s="11">
        <f>'QTR BS'!AH21</f>
        <v>52547.06191060954</v>
      </c>
      <c r="K21" s="11">
        <f>'QTR BS'!AL21</f>
        <v>61798.035433961035</v>
      </c>
      <c r="L21" s="11">
        <f>'QTR BS'!AP21</f>
        <v>72677.653985560464</v>
      </c>
      <c r="M21" s="5"/>
    </row>
    <row r="22" spans="1:13" x14ac:dyDescent="0.25">
      <c r="A22" s="3" t="s">
        <v>53</v>
      </c>
      <c r="B22" s="6">
        <f t="shared" ref="B22:M22" si="2">SUM(B16:B21)</f>
        <v>749988</v>
      </c>
      <c r="C22" s="6">
        <f t="shared" si="2"/>
        <v>965076</v>
      </c>
      <c r="D22" s="6">
        <f t="shared" si="2"/>
        <v>1001978</v>
      </c>
      <c r="E22" s="6">
        <f t="shared" si="2"/>
        <v>1161689</v>
      </c>
      <c r="F22" s="6">
        <f t="shared" si="2"/>
        <v>1097519</v>
      </c>
      <c r="G22" s="6">
        <f t="shared" si="2"/>
        <v>1447780</v>
      </c>
      <c r="H22" s="7">
        <f t="shared" si="2"/>
        <v>1702663.4123289702</v>
      </c>
      <c r="I22" s="7">
        <f t="shared" si="2"/>
        <v>2002419.3563136205</v>
      </c>
      <c r="J22" s="7">
        <f t="shared" si="2"/>
        <v>2354947.695184717</v>
      </c>
      <c r="K22" s="7">
        <f t="shared" si="2"/>
        <v>2769539.0726073394</v>
      </c>
      <c r="L22" s="7">
        <f t="shared" si="2"/>
        <v>3257119.7612510365</v>
      </c>
      <c r="M22" s="7">
        <f t="shared" si="2"/>
        <v>0</v>
      </c>
    </row>
    <row r="23" spans="1:13" x14ac:dyDescent="0.25">
      <c r="A23" s="3" t="s">
        <v>54</v>
      </c>
      <c r="B23" s="4">
        <v>264436</v>
      </c>
      <c r="C23" s="4">
        <v>243249</v>
      </c>
      <c r="D23" s="4">
        <v>223800</v>
      </c>
      <c r="E23" s="4">
        <v>204251</v>
      </c>
      <c r="F23" s="4">
        <v>179008</v>
      </c>
      <c r="G23" s="4">
        <v>159991</v>
      </c>
      <c r="H23" s="11">
        <f>'QTR BS'!Z23</f>
        <v>188157.60820147005</v>
      </c>
      <c r="I23" s="11">
        <f>'QTR BS'!AD23</f>
        <v>221282.98169333217</v>
      </c>
      <c r="J23" s="11">
        <f>'QTR BS'!AH23</f>
        <v>260240.11707600468</v>
      </c>
      <c r="K23" s="11">
        <f>'QTR BS'!AL23</f>
        <v>306055.70305261912</v>
      </c>
      <c r="L23" s="11">
        <f>'QTR BS'!AP23</f>
        <v>359937.1781087697</v>
      </c>
      <c r="M23" s="5"/>
    </row>
    <row r="24" spans="1:13" x14ac:dyDescent="0.25">
      <c r="A24" s="3" t="s">
        <v>55</v>
      </c>
      <c r="B24" s="4">
        <v>27432</v>
      </c>
      <c r="C24" s="4">
        <v>29508</v>
      </c>
      <c r="D24" s="4">
        <v>42286</v>
      </c>
      <c r="E24" s="4">
        <v>91838</v>
      </c>
      <c r="F24" s="4">
        <v>110893</v>
      </c>
      <c r="G24" s="4">
        <v>127066</v>
      </c>
      <c r="H24" s="11">
        <f>'QTR BS'!Z25</f>
        <v>149436.12230517963</v>
      </c>
      <c r="I24" s="11">
        <f>'QTR BS'!AD25</f>
        <v>175744.53157893225</v>
      </c>
      <c r="J24" s="11">
        <f>'QTR BS'!AH25</f>
        <v>206684.56798432171</v>
      </c>
      <c r="K24" s="11">
        <f>'QTR BS'!AL25</f>
        <v>243071.63505499749</v>
      </c>
      <c r="L24" s="11">
        <f>'QTR BS'!AP25</f>
        <v>285864.68909856764</v>
      </c>
      <c r="M24" s="5"/>
    </row>
    <row r="25" spans="1:13" x14ac:dyDescent="0.25">
      <c r="A25" s="3" t="s">
        <v>56</v>
      </c>
      <c r="B25" s="4">
        <v>0</v>
      </c>
      <c r="C25" s="4">
        <v>0</v>
      </c>
      <c r="D25" s="4">
        <v>0</v>
      </c>
      <c r="E25" s="4">
        <v>0</v>
      </c>
      <c r="F25" s="4">
        <v>373951</v>
      </c>
      <c r="G25" s="4">
        <v>0</v>
      </c>
      <c r="H25" s="11">
        <f>'QTR BS'!Z26</f>
        <v>0</v>
      </c>
      <c r="I25" s="11">
        <f>'QTR BS'!AD26</f>
        <v>0</v>
      </c>
      <c r="J25" s="11">
        <f>'QTR BS'!AH26</f>
        <v>0</v>
      </c>
      <c r="K25" s="11">
        <f>'QTR BS'!AL26</f>
        <v>0</v>
      </c>
      <c r="L25" s="11">
        <f>'QTR BS'!AP26</f>
        <v>0</v>
      </c>
      <c r="M25" s="5"/>
    </row>
    <row r="26" spans="1:13" x14ac:dyDescent="0.25">
      <c r="A26" s="3" t="s">
        <v>57</v>
      </c>
      <c r="B26" s="6">
        <f t="shared" ref="B26:M26" si="3">B22+SUM(B23:B25)</f>
        <v>1041856</v>
      </c>
      <c r="C26" s="6">
        <f t="shared" si="3"/>
        <v>1237833</v>
      </c>
      <c r="D26" s="6">
        <f t="shared" si="3"/>
        <v>1268064</v>
      </c>
      <c r="E26" s="6">
        <f t="shared" si="3"/>
        <v>1457778</v>
      </c>
      <c r="F26" s="6">
        <f t="shared" si="3"/>
        <v>1761371</v>
      </c>
      <c r="G26" s="6">
        <f t="shared" si="3"/>
        <v>1734837</v>
      </c>
      <c r="H26" s="7">
        <f t="shared" si="3"/>
        <v>2040257.1428356199</v>
      </c>
      <c r="I26" s="7">
        <f t="shared" si="3"/>
        <v>2399446.8695858847</v>
      </c>
      <c r="J26" s="7">
        <f t="shared" si="3"/>
        <v>2821872.3802450434</v>
      </c>
      <c r="K26" s="7">
        <f t="shared" si="3"/>
        <v>3318666.410714956</v>
      </c>
      <c r="L26" s="7">
        <f t="shared" si="3"/>
        <v>3902921.6284583742</v>
      </c>
      <c r="M26" s="7">
        <f t="shared" si="3"/>
        <v>0</v>
      </c>
    </row>
    <row r="27" spans="1:13" x14ac:dyDescent="0.25">
      <c r="A27" s="3" t="s">
        <v>58</v>
      </c>
      <c r="B27" s="4">
        <v>3193</v>
      </c>
      <c r="C27" s="4">
        <v>3200</v>
      </c>
      <c r="D27" s="4">
        <v>3209</v>
      </c>
      <c r="E27" s="4">
        <v>5613</v>
      </c>
      <c r="F27" s="4">
        <v>5632</v>
      </c>
      <c r="G27" s="4">
        <v>5665</v>
      </c>
      <c r="H27" s="11">
        <f>'QTR BS'!Z28</f>
        <v>5665</v>
      </c>
      <c r="I27" s="11">
        <f>'QTR BS'!AD28</f>
        <v>5665</v>
      </c>
      <c r="J27" s="11">
        <f>'QTR BS'!AH28</f>
        <v>5665</v>
      </c>
      <c r="K27" s="11">
        <f>'QTR BS'!AL28</f>
        <v>5665</v>
      </c>
      <c r="L27" s="11">
        <f>'QTR BS'!AP28</f>
        <v>5665</v>
      </c>
      <c r="M27" s="5"/>
    </row>
    <row r="28" spans="1:13" x14ac:dyDescent="0.25">
      <c r="A28" s="3" t="s">
        <v>59</v>
      </c>
      <c r="B28" s="4">
        <v>4537982</v>
      </c>
      <c r="C28" s="4">
        <v>4652620</v>
      </c>
      <c r="D28" s="4">
        <v>4780013</v>
      </c>
      <c r="E28" s="4">
        <v>4975115</v>
      </c>
      <c r="F28" s="4">
        <v>5144922</v>
      </c>
      <c r="G28" s="4">
        <v>5430847</v>
      </c>
      <c r="H28" s="11">
        <f>'QTR BS'!Z29</f>
        <v>5609468.8672143724</v>
      </c>
      <c r="I28" s="11">
        <f>'QTR BS'!AD29</f>
        <v>5819537.3292374676</v>
      </c>
      <c r="J28" s="11">
        <f>'QTR BS'!AH29</f>
        <v>6066588.5969514456</v>
      </c>
      <c r="K28" s="11">
        <f>'QTR BS'!AL29</f>
        <v>6357133.5378306387</v>
      </c>
      <c r="L28" s="11">
        <f>'QTR BS'!AP29</f>
        <v>6698829.26540823</v>
      </c>
      <c r="M28" s="5"/>
    </row>
    <row r="29" spans="1:13" x14ac:dyDescent="0.25">
      <c r="A29" s="3" t="s">
        <v>60</v>
      </c>
      <c r="B29" s="4">
        <v>6432074</v>
      </c>
      <c r="C29" s="4">
        <v>7809549</v>
      </c>
      <c r="D29" s="4">
        <v>9001173</v>
      </c>
      <c r="E29" s="4">
        <v>5939736</v>
      </c>
      <c r="F29" s="4">
        <v>7448784</v>
      </c>
      <c r="G29" s="4">
        <v>9354216</v>
      </c>
      <c r="H29" s="11">
        <f>'QTR BS'!Z30</f>
        <v>11398608.3266721</v>
      </c>
      <c r="I29" s="11">
        <f>'QTR BS'!AD30</f>
        <v>13788639.327744847</v>
      </c>
      <c r="J29" s="11">
        <f>'QTR BS'!AH30</f>
        <v>16585159.108043633</v>
      </c>
      <c r="K29" s="11">
        <f>'QTR BS'!AL30</f>
        <v>19859730.506620366</v>
      </c>
      <c r="L29" s="11">
        <f>'QTR BS'!AP30</f>
        <v>23696515.086513672</v>
      </c>
      <c r="M29" s="5"/>
    </row>
    <row r="30" spans="1:13" x14ac:dyDescent="0.25">
      <c r="A30" s="3" t="s">
        <v>61</v>
      </c>
      <c r="B30" s="4">
        <v>3034</v>
      </c>
      <c r="C30" s="4">
        <v>-69165</v>
      </c>
      <c r="D30" s="4">
        <v>-159073</v>
      </c>
      <c r="E30" s="4">
        <v>-125337</v>
      </c>
      <c r="F30" s="4">
        <v>-269487</v>
      </c>
      <c r="G30" s="4">
        <v>-60841</v>
      </c>
      <c r="H30" s="11">
        <f>'QTR BS'!Z31</f>
        <v>39615</v>
      </c>
      <c r="I30" s="11">
        <f>'QTR BS'!AD31</f>
        <v>140071</v>
      </c>
      <c r="J30" s="11">
        <f>'QTR BS'!AH31</f>
        <v>240527</v>
      </c>
      <c r="K30" s="11">
        <f>'QTR BS'!AL31</f>
        <v>340983</v>
      </c>
      <c r="L30" s="11">
        <f>'QTR BS'!AP31</f>
        <v>441439</v>
      </c>
      <c r="M30" s="5"/>
    </row>
    <row r="31" spans="1:13" x14ac:dyDescent="0.25">
      <c r="A31" s="3" t="s">
        <v>62</v>
      </c>
      <c r="B31" s="4">
        <v>-5815423</v>
      </c>
      <c r="C31" s="4">
        <v>-5829253</v>
      </c>
      <c r="D31" s="4">
        <v>-6600281</v>
      </c>
      <c r="E31" s="4">
        <v>-2566383</v>
      </c>
      <c r="F31" s="4">
        <v>-6372133</v>
      </c>
      <c r="G31" s="4">
        <v>-6475779</v>
      </c>
      <c r="H31" s="11">
        <f>'QTR BS'!Z32</f>
        <v>-6475779</v>
      </c>
      <c r="I31" s="11">
        <f>'QTR BS'!AD32</f>
        <v>-6475779</v>
      </c>
      <c r="J31" s="11">
        <f>'QTR BS'!AH32</f>
        <v>-6475779</v>
      </c>
      <c r="K31" s="11">
        <f>'QTR BS'!AL32</f>
        <v>-6475779</v>
      </c>
      <c r="L31" s="11">
        <f>'QTR BS'!AP32</f>
        <v>-6475779</v>
      </c>
      <c r="M31" s="5"/>
    </row>
    <row r="32" spans="1:13" x14ac:dyDescent="0.25">
      <c r="A32" s="3" t="s">
        <v>63</v>
      </c>
      <c r="B32" s="6">
        <f t="shared" ref="B32:M32" si="4">SUM(B27:B31)</f>
        <v>5160860</v>
      </c>
      <c r="C32" s="6">
        <f t="shared" si="4"/>
        <v>6566951</v>
      </c>
      <c r="D32" s="6">
        <f t="shared" si="4"/>
        <v>7025041</v>
      </c>
      <c r="E32" s="6">
        <f t="shared" si="4"/>
        <v>8228744</v>
      </c>
      <c r="F32" s="6">
        <f t="shared" si="4"/>
        <v>5957718</v>
      </c>
      <c r="G32" s="6">
        <f t="shared" si="4"/>
        <v>8254108</v>
      </c>
      <c r="H32" s="7">
        <f t="shared" si="4"/>
        <v>10577578.193886474</v>
      </c>
      <c r="I32" s="7">
        <f t="shared" si="4"/>
        <v>13278133.656982314</v>
      </c>
      <c r="J32" s="7">
        <f t="shared" si="4"/>
        <v>16422160.704995081</v>
      </c>
      <c r="K32" s="7">
        <f t="shared" si="4"/>
        <v>20087733.044451006</v>
      </c>
      <c r="L32" s="7">
        <f t="shared" si="4"/>
        <v>24366669.351921901</v>
      </c>
      <c r="M32" s="7">
        <f t="shared" si="4"/>
        <v>0</v>
      </c>
    </row>
    <row r="33" spans="1:13" x14ac:dyDescent="0.25">
      <c r="A33" s="3" t="s">
        <v>64</v>
      </c>
      <c r="B33" s="6">
        <f t="shared" ref="B33:M33" si="5">B26+B32</f>
        <v>6202716</v>
      </c>
      <c r="C33" s="6">
        <f t="shared" si="5"/>
        <v>7804784</v>
      </c>
      <c r="D33" s="6">
        <f t="shared" si="5"/>
        <v>8293105</v>
      </c>
      <c r="E33" s="6">
        <f t="shared" si="5"/>
        <v>9686522</v>
      </c>
      <c r="F33" s="6">
        <f t="shared" si="5"/>
        <v>7719089</v>
      </c>
      <c r="G33" s="6">
        <f t="shared" si="5"/>
        <v>9988945</v>
      </c>
      <c r="H33" s="7">
        <f t="shared" si="5"/>
        <v>12617835.336722095</v>
      </c>
      <c r="I33" s="7">
        <f t="shared" si="5"/>
        <v>15677580.526568199</v>
      </c>
      <c r="J33" s="7">
        <f t="shared" si="5"/>
        <v>19244033.085240126</v>
      </c>
      <c r="K33" s="7">
        <f t="shared" si="5"/>
        <v>23406399.45516596</v>
      </c>
      <c r="L33" s="7">
        <f t="shared" si="5"/>
        <v>28269590.980380274</v>
      </c>
      <c r="M33" s="7">
        <f t="shared" si="5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14" width="13" customWidth="1"/>
  </cols>
  <sheetData>
    <row r="1" spans="1:14" x14ac:dyDescent="0.25">
      <c r="A1" s="1"/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</row>
    <row r="2" spans="1:14" x14ac:dyDescent="0.25">
      <c r="A2" s="3" t="s">
        <v>27</v>
      </c>
      <c r="B2" s="4">
        <v>1107835</v>
      </c>
      <c r="C2" s="4">
        <v>1409594</v>
      </c>
      <c r="D2" s="4">
        <v>1377475</v>
      </c>
      <c r="E2" s="4">
        <v>1191624</v>
      </c>
      <c r="F2" s="4">
        <v>1630988</v>
      </c>
      <c r="G2" s="4">
        <v>1509048</v>
      </c>
      <c r="H2" s="4">
        <v>1905432</v>
      </c>
      <c r="I2" s="11">
        <f>'QTR CF'!Z2+'QTR CF'!AA2+'QTR CF'!AB2+'QTR CF'!AC2</f>
        <v>2044392.3266720993</v>
      </c>
      <c r="J2" s="11">
        <f>'QTR CF'!AD2+'QTR CF'!AE2+'QTR CF'!AF2+'QTR CF'!AG2</f>
        <v>2390031.0010727495</v>
      </c>
      <c r="K2" s="11">
        <f>'QTR CF'!AH2+'QTR CF'!AI2+'QTR CF'!AJ2+'QTR CF'!AK2</f>
        <v>2796519.7802987872</v>
      </c>
      <c r="L2" s="11">
        <f>'QTR CF'!AL2+'QTR CF'!AM2+'QTR CF'!AN2+'QTR CF'!AO2</f>
        <v>3274571.3985767318</v>
      </c>
      <c r="M2" s="11">
        <f>'QTR CF'!AP2+'QTR CF'!AQ2+'QTR CF'!AR2+'QTR CF'!AS2</f>
        <v>3836784.5798933078</v>
      </c>
      <c r="N2" s="5"/>
    </row>
    <row r="3" spans="1:14" x14ac:dyDescent="0.25">
      <c r="A3" s="3" t="s">
        <v>65</v>
      </c>
      <c r="B3" s="4">
        <v>60727</v>
      </c>
      <c r="C3" s="4">
        <v>57030</v>
      </c>
      <c r="D3" s="4">
        <v>50155</v>
      </c>
      <c r="E3" s="4">
        <v>61241</v>
      </c>
      <c r="F3" s="4">
        <v>68898</v>
      </c>
      <c r="G3" s="4">
        <v>80434</v>
      </c>
      <c r="H3" s="4">
        <v>114441</v>
      </c>
      <c r="I3" s="11">
        <f>'QTR CF'!Z3+'QTR CF'!AA3+'QTR CF'!AB3+'QTR CF'!AC3</f>
        <v>148388.48093061912</v>
      </c>
      <c r="J3" s="11">
        <f>'QTR CF'!AD3+'QTR CF'!AE3+'QTR CF'!AF3+'QTR CF'!AG3</f>
        <v>174512.45167887409</v>
      </c>
      <c r="K3" s="11">
        <f>'QTR CF'!AH3+'QTR CF'!AI3+'QTR CF'!AJ3+'QTR CF'!AK3</f>
        <v>205235.5789342623</v>
      </c>
      <c r="L3" s="11">
        <f>'QTR CF'!AL3+'QTR CF'!AM3+'QTR CF'!AN3+'QTR CF'!AO3</f>
        <v>241367.54973789031</v>
      </c>
      <c r="M3" s="11">
        <f>'QTR CF'!AP3+'QTR CF'!AQ3+'QTR CF'!AR3+'QTR CF'!AS3</f>
        <v>283860.5975094274</v>
      </c>
      <c r="N3" s="5"/>
    </row>
    <row r="4" spans="1:14" x14ac:dyDescent="0.25">
      <c r="A4" s="3" t="s">
        <v>66</v>
      </c>
      <c r="B4" s="4">
        <v>4087</v>
      </c>
      <c r="C4" s="4">
        <v>3943</v>
      </c>
      <c r="D4" s="4">
        <v>4107</v>
      </c>
      <c r="E4" s="4">
        <v>7337</v>
      </c>
      <c r="F4" s="4">
        <v>9043</v>
      </c>
      <c r="G4" s="4">
        <v>13521</v>
      </c>
      <c r="H4" s="4">
        <v>15398</v>
      </c>
      <c r="I4" s="11">
        <f>'QTR CF'!Z4+'QTR CF'!AA4+'QTR CF'!AB4+'QTR CF'!AC4</f>
        <v>0</v>
      </c>
      <c r="J4" s="11">
        <f>'QTR CF'!AD4+'QTR CF'!AE4+'QTR CF'!AF4+'QTR CF'!AG4</f>
        <v>0</v>
      </c>
      <c r="K4" s="11">
        <f>'QTR CF'!AH4+'QTR CF'!AI4+'QTR CF'!AJ4+'QTR CF'!AK4</f>
        <v>0</v>
      </c>
      <c r="L4" s="11">
        <f>'QTR CF'!AL4+'QTR CF'!AM4+'QTR CF'!AN4+'QTR CF'!AO4</f>
        <v>0</v>
      </c>
      <c r="M4" s="11">
        <f>'QTR CF'!AP4+'QTR CF'!AQ4+'QTR CF'!AR4+'QTR CF'!AS4</f>
        <v>0</v>
      </c>
      <c r="N4" s="5"/>
    </row>
    <row r="5" spans="1:14" x14ac:dyDescent="0.25">
      <c r="A5" s="3" t="s">
        <v>67</v>
      </c>
      <c r="B5" s="4">
        <v>-252</v>
      </c>
      <c r="C5" s="4">
        <v>-350</v>
      </c>
      <c r="D5" s="4">
        <v>-1013</v>
      </c>
      <c r="E5" s="4">
        <v>-185</v>
      </c>
      <c r="F5" s="4">
        <v>166</v>
      </c>
      <c r="G5" s="4">
        <v>3328</v>
      </c>
      <c r="H5" s="4">
        <v>2781</v>
      </c>
      <c r="I5" s="11">
        <f>'QTR CF'!Z5+'QTR CF'!AA5+'QTR CF'!AB5+'QTR CF'!AC5</f>
        <v>0</v>
      </c>
      <c r="J5" s="11">
        <f>'QTR CF'!AD5+'QTR CF'!AE5+'QTR CF'!AF5+'QTR CF'!AG5</f>
        <v>0</v>
      </c>
      <c r="K5" s="11">
        <f>'QTR CF'!AH5+'QTR CF'!AI5+'QTR CF'!AJ5+'QTR CF'!AK5</f>
        <v>0</v>
      </c>
      <c r="L5" s="11">
        <f>'QTR CF'!AL5+'QTR CF'!AM5+'QTR CF'!AN5+'QTR CF'!AO5</f>
        <v>0</v>
      </c>
      <c r="M5" s="11">
        <f>'QTR CF'!AP5+'QTR CF'!AQ5+'QTR CF'!AR5+'QTR CF'!AS5</f>
        <v>0</v>
      </c>
      <c r="N5" s="5"/>
    </row>
    <row r="6" spans="1:14" x14ac:dyDescent="0.25">
      <c r="A6" s="3" t="s">
        <v>68</v>
      </c>
      <c r="B6" s="4">
        <v>0</v>
      </c>
      <c r="C6" s="4">
        <v>0</v>
      </c>
      <c r="D6" s="4">
        <v>0</v>
      </c>
      <c r="E6" s="4">
        <v>0</v>
      </c>
      <c r="F6" s="4">
        <v>-45382</v>
      </c>
      <c r="G6" s="4">
        <v>0</v>
      </c>
      <c r="H6" s="4">
        <v>0</v>
      </c>
      <c r="I6" s="11">
        <f>'QTR CF'!Z6+'QTR CF'!AA6+'QTR CF'!AB6+'QTR CF'!AC6</f>
        <v>0</v>
      </c>
      <c r="J6" s="11">
        <f>'QTR CF'!AD6+'QTR CF'!AE6+'QTR CF'!AF6+'QTR CF'!AG6</f>
        <v>0</v>
      </c>
      <c r="K6" s="11">
        <f>'QTR CF'!AH6+'QTR CF'!AI6+'QTR CF'!AJ6+'QTR CF'!AK6</f>
        <v>0</v>
      </c>
      <c r="L6" s="11">
        <f>'QTR CF'!AL6+'QTR CF'!AM6+'QTR CF'!AN6+'QTR CF'!AO6</f>
        <v>0</v>
      </c>
      <c r="M6" s="11">
        <f>'QTR CF'!AP6+'QTR CF'!AQ6+'QTR CF'!AR6+'QTR CF'!AS6</f>
        <v>0</v>
      </c>
      <c r="N6" s="5"/>
    </row>
    <row r="7" spans="1:14" x14ac:dyDescent="0.25">
      <c r="A7" s="3" t="s">
        <v>69</v>
      </c>
      <c r="B7" s="4">
        <v>0</v>
      </c>
      <c r="C7" s="4">
        <v>8700</v>
      </c>
      <c r="D7" s="4">
        <v>0</v>
      </c>
      <c r="E7" s="4">
        <v>2200</v>
      </c>
      <c r="F7" s="4">
        <v>38700</v>
      </c>
      <c r="G7" s="4">
        <v>127098</v>
      </c>
      <c r="H7" s="4">
        <v>38411</v>
      </c>
      <c r="I7" s="11">
        <f>'QTR CF'!Z7+'QTR CF'!AA7+'QTR CF'!AB7+'QTR CF'!AC7</f>
        <v>0</v>
      </c>
      <c r="J7" s="11">
        <f>'QTR CF'!AD7+'QTR CF'!AE7+'QTR CF'!AF7+'QTR CF'!AG7</f>
        <v>0</v>
      </c>
      <c r="K7" s="11">
        <f>'QTR CF'!AH7+'QTR CF'!AI7+'QTR CF'!AJ7+'QTR CF'!AK7</f>
        <v>0</v>
      </c>
      <c r="L7" s="11">
        <f>'QTR CF'!AL7+'QTR CF'!AM7+'QTR CF'!AN7+'QTR CF'!AO7</f>
        <v>0</v>
      </c>
      <c r="M7" s="11">
        <f>'QTR CF'!AP7+'QTR CF'!AQ7+'QTR CF'!AR7+'QTR CF'!AS7</f>
        <v>0</v>
      </c>
      <c r="N7" s="5"/>
    </row>
    <row r="8" spans="1:14" x14ac:dyDescent="0.25">
      <c r="A8" s="3" t="s">
        <v>70</v>
      </c>
      <c r="B8" s="4">
        <v>0</v>
      </c>
      <c r="C8" s="4">
        <v>0</v>
      </c>
      <c r="D8" s="4">
        <v>0</v>
      </c>
      <c r="E8" s="4">
        <v>0</v>
      </c>
      <c r="F8" s="4">
        <v>4336</v>
      </c>
      <c r="G8" s="4">
        <v>8184</v>
      </c>
      <c r="H8" s="4">
        <v>12029</v>
      </c>
      <c r="I8" s="11">
        <f>'QTR CF'!Z8+'QTR CF'!AA8+'QTR CF'!AB8+'QTR CF'!AC8</f>
        <v>0</v>
      </c>
      <c r="J8" s="11">
        <f>'QTR CF'!AD8+'QTR CF'!AE8+'QTR CF'!AF8+'QTR CF'!AG8</f>
        <v>0</v>
      </c>
      <c r="K8" s="11">
        <f>'QTR CF'!AH8+'QTR CF'!AI8+'QTR CF'!AJ8+'QTR CF'!AK8</f>
        <v>0</v>
      </c>
      <c r="L8" s="11">
        <f>'QTR CF'!AL8+'QTR CF'!AM8+'QTR CF'!AN8+'QTR CF'!AO8</f>
        <v>0</v>
      </c>
      <c r="M8" s="11">
        <f>'QTR CF'!AP8+'QTR CF'!AQ8+'QTR CF'!AR8+'QTR CF'!AS8</f>
        <v>0</v>
      </c>
      <c r="N8" s="5"/>
    </row>
    <row r="9" spans="1:14" x14ac:dyDescent="0.25">
      <c r="A9" s="3" t="s">
        <v>71</v>
      </c>
      <c r="B9" s="4">
        <v>63356</v>
      </c>
      <c r="C9" s="4">
        <v>70289</v>
      </c>
      <c r="D9" s="4">
        <v>70483</v>
      </c>
      <c r="E9" s="4">
        <v>64109</v>
      </c>
      <c r="F9" s="4">
        <v>68836</v>
      </c>
      <c r="G9" s="4">
        <v>90985</v>
      </c>
      <c r="H9" s="4">
        <v>125687</v>
      </c>
      <c r="I9" s="11">
        <f>'QTR CF'!Z9+'QTR CF'!AA9+'QTR CF'!AB9+'QTR CF'!AC9</f>
        <v>178621.86721437317</v>
      </c>
      <c r="J9" s="11">
        <f>'QTR CF'!AD9+'QTR CF'!AE9+'QTR CF'!AF9+'QTR CF'!AG9</f>
        <v>210068.46202309529</v>
      </c>
      <c r="K9" s="11">
        <f>'QTR CF'!AH9+'QTR CF'!AI9+'QTR CF'!AJ9+'QTR CF'!AK9</f>
        <v>247051.26771397737</v>
      </c>
      <c r="L9" s="11">
        <f>'QTR CF'!AL9+'QTR CF'!AM9+'QTR CF'!AN9+'QTR CF'!AO9</f>
        <v>290544.94087919348</v>
      </c>
      <c r="M9" s="11">
        <f>'QTR CF'!AP9+'QTR CF'!AQ9+'QTR CF'!AR9+'QTR CF'!AS9</f>
        <v>341695.7275775923</v>
      </c>
      <c r="N9" s="5"/>
    </row>
    <row r="10" spans="1:14" x14ac:dyDescent="0.25">
      <c r="A10" s="3" t="s">
        <v>72</v>
      </c>
      <c r="B10" s="4">
        <v>1263</v>
      </c>
      <c r="C10" s="4">
        <v>-156873</v>
      </c>
      <c r="D10" s="4">
        <v>16429</v>
      </c>
      <c r="E10" s="4">
        <v>48182</v>
      </c>
      <c r="F10" s="4">
        <v>2040</v>
      </c>
      <c r="G10" s="4">
        <v>-11705</v>
      </c>
      <c r="H10" s="4">
        <v>4210</v>
      </c>
      <c r="I10" s="11">
        <f>'QTR CF'!Z10+'QTR CF'!AA10+'QTR CF'!AB10+'QTR CF'!AC10</f>
        <v>15020</v>
      </c>
      <c r="J10" s="11">
        <f>'QTR CF'!AD10+'QTR CF'!AE10+'QTR CF'!AF10+'QTR CF'!AG10</f>
        <v>15020</v>
      </c>
      <c r="K10" s="11">
        <f>'QTR CF'!AH10+'QTR CF'!AI10+'QTR CF'!AJ10+'QTR CF'!AK10</f>
        <v>15020</v>
      </c>
      <c r="L10" s="11">
        <f>'QTR CF'!AL10+'QTR CF'!AM10+'QTR CF'!AN10+'QTR CF'!AO10</f>
        <v>15020</v>
      </c>
      <c r="M10" s="11">
        <f>'QTR CF'!AP10+'QTR CF'!AQ10+'QTR CF'!AR10+'QTR CF'!AS10</f>
        <v>15020</v>
      </c>
      <c r="N10" s="5"/>
    </row>
    <row r="11" spans="1:14" x14ac:dyDescent="0.25">
      <c r="A11" s="3" t="s">
        <v>35</v>
      </c>
      <c r="B11" s="4">
        <v>-59941</v>
      </c>
      <c r="C11" s="4">
        <v>-119672</v>
      </c>
      <c r="D11" s="4">
        <v>-254228</v>
      </c>
      <c r="E11" s="4">
        <v>-128981</v>
      </c>
      <c r="F11" s="4">
        <v>-163158</v>
      </c>
      <c r="G11" s="4">
        <v>-93915</v>
      </c>
      <c r="H11" s="4">
        <v>-300600</v>
      </c>
      <c r="I11" s="11">
        <f>'QTR CF'!Z11+'QTR CF'!AA11+'QTR CF'!AB11+'QTR CF'!AC11</f>
        <v>-284863.52398428088</v>
      </c>
      <c r="J11" s="11">
        <f>'QTR CF'!AD11+'QTR CF'!AE11+'QTR CF'!AF11+'QTR CF'!AG11</f>
        <v>-335014.09039711161</v>
      </c>
      <c r="K11" s="11">
        <f>'QTR CF'!AH11+'QTR CF'!AI11+'QTR CF'!AJ11+'QTR CF'!AK11</f>
        <v>-393993.72441519657</v>
      </c>
      <c r="L11" s="11">
        <f>'QTR CF'!AL11+'QTR CF'!AM11+'QTR CF'!AN11+'QTR CF'!AO11</f>
        <v>-463356.79402186675</v>
      </c>
      <c r="M11" s="11">
        <f>'QTR CF'!AP11+'QTR CF'!AQ11+'QTR CF'!AR11+'QTR CF'!AS11</f>
        <v>-544931.31555559812</v>
      </c>
      <c r="N11" s="5"/>
    </row>
    <row r="12" spans="1:14" x14ac:dyDescent="0.25">
      <c r="A12" s="3" t="s">
        <v>36</v>
      </c>
      <c r="B12" s="4">
        <v>-85222</v>
      </c>
      <c r="C12" s="4">
        <v>30304</v>
      </c>
      <c r="D12" s="4">
        <v>-277793</v>
      </c>
      <c r="E12" s="4">
        <v>-347712</v>
      </c>
      <c r="F12" s="4">
        <v>7898</v>
      </c>
      <c r="G12" s="4">
        <v>211503</v>
      </c>
      <c r="H12" s="4">
        <v>-34918</v>
      </c>
      <c r="I12" s="11">
        <f>'QTR CF'!Z13+'QTR CF'!AA13+'QTR CF'!AB13+'QTR CF'!AC13</f>
        <v>-140774.59200757591</v>
      </c>
      <c r="J12" s="11">
        <f>'QTR CF'!AD13+'QTR CF'!AE13+'QTR CF'!AF13+'QTR CF'!AG13</f>
        <v>-165558.12844274531</v>
      </c>
      <c r="K12" s="11">
        <f>'QTR CF'!AH13+'QTR CF'!AI13+'QTR CF'!AJ13+'QTR CF'!AK13</f>
        <v>-194704.83631015965</v>
      </c>
      <c r="L12" s="11">
        <f>'QTR CF'!AL13+'QTR CF'!AM13+'QTR CF'!AN13+'QTR CF'!AO13</f>
        <v>-228982.85719433194</v>
      </c>
      <c r="M12" s="11">
        <f>'QTR CF'!AP13+'QTR CF'!AQ13+'QTR CF'!AR13+'QTR CF'!AS13</f>
        <v>-269295.56493067928</v>
      </c>
      <c r="N12" s="5"/>
    </row>
    <row r="13" spans="1:14" x14ac:dyDescent="0.25">
      <c r="A13" s="3" t="s">
        <v>37</v>
      </c>
      <c r="B13" s="4">
        <v>-13774</v>
      </c>
      <c r="C13" s="4">
        <v>1024</v>
      </c>
      <c r="D13" s="4">
        <v>-29341</v>
      </c>
      <c r="E13" s="4">
        <v>-38268</v>
      </c>
      <c r="F13" s="4">
        <v>-10215</v>
      </c>
      <c r="G13" s="4">
        <v>8959</v>
      </c>
      <c r="H13" s="4">
        <v>-39307</v>
      </c>
      <c r="I13" s="11">
        <f>'QTR CF'!Z14+'QTR CF'!AA14+'QTR CF'!AB14+'QTR CF'!AC14</f>
        <v>-18230.278239841151</v>
      </c>
      <c r="J13" s="11">
        <f>'QTR CF'!AD14+'QTR CF'!AE14+'QTR CF'!AF14+'QTR CF'!AG14</f>
        <v>-21439.740675761845</v>
      </c>
      <c r="K13" s="11">
        <f>'QTR CF'!AH14+'QTR CF'!AI14+'QTR CF'!AJ14+'QTR CF'!AK14</f>
        <v>-25214.232838166674</v>
      </c>
      <c r="L13" s="11">
        <f>'QTR CF'!AL14+'QTR CF'!AM14+'QTR CF'!AN14+'QTR CF'!AO14</f>
        <v>-29653.228890777595</v>
      </c>
      <c r="M13" s="11">
        <f>'QTR CF'!AP14+'QTR CF'!AQ14+'QTR CF'!AR14+'QTR CF'!AS14</f>
        <v>-34873.7155436209</v>
      </c>
      <c r="N13" s="5"/>
    </row>
    <row r="14" spans="1:14" x14ac:dyDescent="0.25">
      <c r="A14" s="3" t="s">
        <v>73</v>
      </c>
      <c r="B14" s="4">
        <v>9481</v>
      </c>
      <c r="C14" s="4">
        <v>5516</v>
      </c>
      <c r="D14" s="4">
        <v>-10919</v>
      </c>
      <c r="E14" s="4">
        <v>-4439</v>
      </c>
      <c r="F14" s="4">
        <v>-18833</v>
      </c>
      <c r="G14" s="4">
        <v>3062</v>
      </c>
      <c r="H14" s="4">
        <v>-21094</v>
      </c>
      <c r="I14" s="11">
        <f>'QTR CF'!Z15+'QTR CF'!AA15+'QTR CF'!AB15+'QTR CF'!AC15</f>
        <v>-13139.933723353941</v>
      </c>
      <c r="J14" s="11">
        <f>'QTR CF'!AD15+'QTR CF'!AE15+'QTR CF'!AF15+'QTR CF'!AG15</f>
        <v>-15453.234877662573</v>
      </c>
      <c r="K14" s="11">
        <f>'QTR CF'!AH15+'QTR CF'!AI15+'QTR CF'!AJ15+'QTR CF'!AK15</f>
        <v>-18173.795485724375</v>
      </c>
      <c r="L14" s="11">
        <f>'QTR CF'!AL15+'QTR CF'!AM15+'QTR CF'!AN15+'QTR CF'!AO15</f>
        <v>-21373.314064769715</v>
      </c>
      <c r="M14" s="11">
        <f>'QTR CF'!AP15+'QTR CF'!AQ15+'QTR CF'!AR15+'QTR CF'!AS15</f>
        <v>-25136.11174232245</v>
      </c>
      <c r="N14" s="5"/>
    </row>
    <row r="15" spans="1:14" x14ac:dyDescent="0.25">
      <c r="A15" s="3" t="s">
        <v>47</v>
      </c>
      <c r="B15" s="4">
        <v>28832</v>
      </c>
      <c r="C15" s="4">
        <v>18696</v>
      </c>
      <c r="D15" s="4">
        <v>114297</v>
      </c>
      <c r="E15" s="4">
        <v>49765</v>
      </c>
      <c r="F15" s="4">
        <v>112786</v>
      </c>
      <c r="G15" s="4">
        <v>-61491</v>
      </c>
      <c r="H15" s="4">
        <v>78460</v>
      </c>
      <c r="I15" s="11">
        <f>'QTR CF'!Z16+'QTR CF'!AA16+'QTR CF'!AB16+'QTR CF'!AC16</f>
        <v>99640.404211604386</v>
      </c>
      <c r="J15" s="11">
        <f>'QTR CF'!AD16+'QTR CF'!AE16+'QTR CF'!AF16+'QTR CF'!AG16</f>
        <v>117182.21735399612</v>
      </c>
      <c r="K15" s="11">
        <f>'QTR CF'!AH16+'QTR CF'!AI16+'QTR CF'!AJ16+'QTR CF'!AK16</f>
        <v>137812.28782289429</v>
      </c>
      <c r="L15" s="11">
        <f>'QTR CF'!AL16+'QTR CF'!AM16+'QTR CF'!AN16+'QTR CF'!AO16</f>
        <v>162074.30703932338</v>
      </c>
      <c r="M15" s="11">
        <f>'QTR CF'!AP16+'QTR CF'!AQ16+'QTR CF'!AR16+'QTR CF'!AS16</f>
        <v>190607.68395365844</v>
      </c>
      <c r="N15" s="5"/>
    </row>
    <row r="16" spans="1:14" x14ac:dyDescent="0.25">
      <c r="A16" s="3" t="s">
        <v>48</v>
      </c>
      <c r="B16" s="4">
        <v>-14018</v>
      </c>
      <c r="C16" s="4">
        <v>26113</v>
      </c>
      <c r="D16" s="4">
        <v>71586</v>
      </c>
      <c r="E16" s="4">
        <v>-30419</v>
      </c>
      <c r="F16" s="4">
        <v>-10393</v>
      </c>
      <c r="G16" s="4">
        <v>18371</v>
      </c>
      <c r="H16" s="4">
        <v>81341</v>
      </c>
      <c r="I16" s="11">
        <f>'QTR CF'!Z17+'QTR CF'!AA17+'QTR CF'!AB17+'QTR CF'!AC17</f>
        <v>53886.632819014601</v>
      </c>
      <c r="J16" s="11">
        <f>'QTR CF'!AD17+'QTR CF'!AE17+'QTR CF'!AF17+'QTR CF'!AG17</f>
        <v>63373.439413820917</v>
      </c>
      <c r="K16" s="11">
        <f>'QTR CF'!AH17+'QTR CF'!AI17+'QTR CF'!AJ17+'QTR CF'!AK17</f>
        <v>74530.409733080713</v>
      </c>
      <c r="L16" s="11">
        <f>'QTR CF'!AL17+'QTR CF'!AM17+'QTR CF'!AN17+'QTR CF'!AO17</f>
        <v>87651.578111593961</v>
      </c>
      <c r="M16" s="11">
        <f>'QTR CF'!AP17+'QTR CF'!AQ17+'QTR CF'!AR17+'QTR CF'!AS17</f>
        <v>103082.74398286059</v>
      </c>
      <c r="N16" s="5"/>
    </row>
    <row r="17" spans="1:14" x14ac:dyDescent="0.25">
      <c r="A17" s="3" t="s">
        <v>49</v>
      </c>
      <c r="B17" s="4">
        <v>21943</v>
      </c>
      <c r="C17" s="4">
        <v>13762</v>
      </c>
      <c r="D17" s="4">
        <v>31498</v>
      </c>
      <c r="E17" s="4">
        <v>50821</v>
      </c>
      <c r="F17" s="4">
        <v>8418</v>
      </c>
      <c r="G17" s="4">
        <v>9736</v>
      </c>
      <c r="H17" s="4">
        <v>98266</v>
      </c>
      <c r="I17" s="11">
        <f>'QTR CF'!Z18+'QTR CF'!AA18+'QTR CF'!AB18+'QTR CF'!AC18</f>
        <v>67615.98597382725</v>
      </c>
      <c r="J17" s="11">
        <f>'QTR CF'!AD18+'QTR CF'!AE18+'QTR CF'!AF18+'QTR CF'!AG18</f>
        <v>79519.861723593727</v>
      </c>
      <c r="K17" s="11">
        <f>'QTR CF'!AH18+'QTR CF'!AI18+'QTR CF'!AJ18+'QTR CF'!AK18</f>
        <v>93519.429133032681</v>
      </c>
      <c r="L17" s="11">
        <f>'QTR CF'!AL18+'QTR CF'!AM18+'QTR CF'!AN18+'QTR CF'!AO18</f>
        <v>109983.63724233431</v>
      </c>
      <c r="M17" s="11">
        <f>'QTR CF'!AP18+'QTR CF'!AQ18+'QTR CF'!AR18+'QTR CF'!AS18</f>
        <v>129346.38901448052</v>
      </c>
      <c r="N17" s="5"/>
    </row>
    <row r="18" spans="1:14" x14ac:dyDescent="0.25">
      <c r="A18" s="3" t="s">
        <v>74</v>
      </c>
      <c r="B18" s="4">
        <v>7228</v>
      </c>
      <c r="C18" s="4">
        <v>7501</v>
      </c>
      <c r="D18" s="4">
        <v>7950</v>
      </c>
      <c r="E18" s="4">
        <v>3729</v>
      </c>
      <c r="F18" s="4">
        <v>13398</v>
      </c>
      <c r="G18" s="4">
        <v>5947</v>
      </c>
      <c r="H18" s="4">
        <v>17801</v>
      </c>
      <c r="I18" s="11">
        <f>'QTR CF'!Z20+'QTR CF'!AA20+'QTR CF'!AB20+'QTR CF'!AC20</f>
        <v>20073.886449589161</v>
      </c>
      <c r="J18" s="11">
        <f>'QTR CF'!AD20+'QTR CF'!AE20+'QTR CF'!AF20+'QTR CF'!AG20</f>
        <v>23607.918330797314</v>
      </c>
      <c r="K18" s="11">
        <f>'QTR CF'!AH20+'QTR CF'!AI20+'QTR CF'!AJ20+'QTR CF'!AK20</f>
        <v>27764.120780159312</v>
      </c>
      <c r="L18" s="11">
        <f>'QTR CF'!AL20+'QTR CF'!AM20+'QTR CF'!AN20+'QTR CF'!AO20</f>
        <v>32652.02767537866</v>
      </c>
      <c r="M18" s="11">
        <f>'QTR CF'!AP20+'QTR CF'!AQ20+'QTR CF'!AR20+'QTR CF'!AS20</f>
        <v>38400.456465222785</v>
      </c>
      <c r="N18" s="5"/>
    </row>
    <row r="19" spans="1:14" x14ac:dyDescent="0.25">
      <c r="A19" s="3" t="s">
        <v>75</v>
      </c>
      <c r="B19" s="4">
        <v>8105</v>
      </c>
      <c r="C19" s="4">
        <v>10422</v>
      </c>
      <c r="D19" s="4">
        <v>7221</v>
      </c>
      <c r="E19" s="4">
        <v>-16860</v>
      </c>
      <c r="F19" s="4">
        <v>1748</v>
      </c>
      <c r="G19" s="4">
        <v>9438</v>
      </c>
      <c r="H19" s="4">
        <v>27779</v>
      </c>
      <c r="I19" s="11">
        <f>'QTR CF'!Z21+'QTR CF'!AA21+'QTR CF'!AB21+'QTR CF'!AC21</f>
        <v>0</v>
      </c>
      <c r="J19" s="11">
        <f>'QTR CF'!AD21+'QTR CF'!AE21+'QTR CF'!AF21+'QTR CF'!AG21</f>
        <v>0</v>
      </c>
      <c r="K19" s="11">
        <f>'QTR CF'!AH21+'QTR CF'!AI21+'QTR CF'!AJ21+'QTR CF'!AK21</f>
        <v>0</v>
      </c>
      <c r="L19" s="11">
        <f>'QTR CF'!AL21+'QTR CF'!AM21+'QTR CF'!AN21+'QTR CF'!AO21</f>
        <v>0</v>
      </c>
      <c r="M19" s="11">
        <f>'QTR CF'!AP21+'QTR CF'!AQ21+'QTR CF'!AR21+'QTR CF'!AS21</f>
        <v>0</v>
      </c>
      <c r="N19" s="5"/>
    </row>
    <row r="20" spans="1:14" x14ac:dyDescent="0.25">
      <c r="A20" s="3" t="s">
        <v>76</v>
      </c>
      <c r="B20" s="4">
        <v>-1030</v>
      </c>
      <c r="C20" s="4">
        <v>-356</v>
      </c>
      <c r="D20" s="4">
        <v>492</v>
      </c>
      <c r="E20" s="4">
        <v>-4540</v>
      </c>
      <c r="F20" s="4">
        <v>22951</v>
      </c>
      <c r="G20" s="4">
        <v>13390</v>
      </c>
      <c r="H20" s="4">
        <v>-4935</v>
      </c>
      <c r="I20" s="11">
        <f>'QTR CF'!Z22+'QTR CF'!AA22+'QTR CF'!AB22+'QTR CF'!AC22</f>
        <v>0</v>
      </c>
      <c r="J20" s="11">
        <f>'QTR CF'!AD22+'QTR CF'!AE22+'QTR CF'!AF22+'QTR CF'!AG22</f>
        <v>0</v>
      </c>
      <c r="K20" s="11">
        <f>'QTR CF'!AH22+'QTR CF'!AI22+'QTR CF'!AJ22+'QTR CF'!AK22</f>
        <v>0</v>
      </c>
      <c r="L20" s="11">
        <f>'QTR CF'!AL22+'QTR CF'!AM22+'QTR CF'!AN22+'QTR CF'!AO22</f>
        <v>0</v>
      </c>
      <c r="M20" s="11">
        <f>'QTR CF'!AP22+'QTR CF'!AQ22+'QTR CF'!AR22+'QTR CF'!AS22</f>
        <v>0</v>
      </c>
      <c r="N20" s="5"/>
    </row>
    <row r="21" spans="1:14" x14ac:dyDescent="0.25">
      <c r="A21" s="3" t="s">
        <v>77</v>
      </c>
      <c r="B21" s="4">
        <v>-24858</v>
      </c>
      <c r="C21" s="4">
        <v>-21480</v>
      </c>
      <c r="D21" s="4">
        <v>-22658</v>
      </c>
      <c r="E21" s="4">
        <v>-19905</v>
      </c>
      <c r="F21" s="4">
        <v>-24472</v>
      </c>
      <c r="G21" s="4">
        <v>-17360</v>
      </c>
      <c r="H21" s="4">
        <v>-23005</v>
      </c>
      <c r="I21" s="11">
        <f>'QTR CF'!Z23+'QTR CF'!AA23+'QTR CF'!AB23+'QTR CF'!AC23</f>
        <v>0</v>
      </c>
      <c r="J21" s="11">
        <f>'QTR CF'!AD23+'QTR CF'!AE23+'QTR CF'!AF23+'QTR CF'!AG23</f>
        <v>0</v>
      </c>
      <c r="K21" s="11">
        <f>'QTR CF'!AH23+'QTR CF'!AI23+'QTR CF'!AJ23+'QTR CF'!AK23</f>
        <v>0</v>
      </c>
      <c r="L21" s="11">
        <f>'QTR CF'!AL23+'QTR CF'!AM23+'QTR CF'!AN23+'QTR CF'!AO23</f>
        <v>0</v>
      </c>
      <c r="M21" s="11">
        <f>'QTR CF'!AP23+'QTR CF'!AQ23+'QTR CF'!AR23+'QTR CF'!AS23</f>
        <v>0</v>
      </c>
      <c r="N21" s="5"/>
    </row>
    <row r="22" spans="1:14" x14ac:dyDescent="0.25">
      <c r="A22" s="3" t="s">
        <v>78</v>
      </c>
      <c r="B22" s="6">
        <f t="shared" ref="B22:N22" si="0">SUM(B2:B21)</f>
        <v>1113762</v>
      </c>
      <c r="C22" s="6">
        <f t="shared" si="0"/>
        <v>1364163</v>
      </c>
      <c r="D22" s="6">
        <f t="shared" si="0"/>
        <v>1155741</v>
      </c>
      <c r="E22" s="6">
        <f t="shared" si="0"/>
        <v>887699</v>
      </c>
      <c r="F22" s="6">
        <f t="shared" si="0"/>
        <v>1717753</v>
      </c>
      <c r="G22" s="6">
        <f t="shared" si="0"/>
        <v>1928533</v>
      </c>
      <c r="H22" s="6">
        <f t="shared" si="0"/>
        <v>2098177</v>
      </c>
      <c r="I22" s="7">
        <f t="shared" si="0"/>
        <v>2170631.2563160751</v>
      </c>
      <c r="J22" s="7">
        <f t="shared" si="0"/>
        <v>2535850.1572036459</v>
      </c>
      <c r="K22" s="7">
        <f t="shared" si="0"/>
        <v>2965366.2853669473</v>
      </c>
      <c r="L22" s="7">
        <f t="shared" si="0"/>
        <v>3470499.2450907002</v>
      </c>
      <c r="M22" s="7">
        <f t="shared" si="0"/>
        <v>4064561.4706243305</v>
      </c>
      <c r="N22" s="7">
        <f t="shared" si="0"/>
        <v>0</v>
      </c>
    </row>
    <row r="23" spans="1:14" x14ac:dyDescent="0.25">
      <c r="A23" s="3" t="s">
        <v>79</v>
      </c>
      <c r="B23" s="4">
        <v>-216300</v>
      </c>
      <c r="C23" s="4">
        <v>-379785</v>
      </c>
      <c r="D23" s="4">
        <v>-924544</v>
      </c>
      <c r="E23" s="4">
        <v>405288</v>
      </c>
      <c r="F23" s="4">
        <v>409019</v>
      </c>
      <c r="G23" s="4">
        <v>1035794</v>
      </c>
      <c r="H23" s="4">
        <v>-1163150</v>
      </c>
      <c r="I23" s="11">
        <f>'QTR CF'!Z25+'QTR CF'!AA25+'QTR CF'!AB25+'QTR CF'!AC25</f>
        <v>-85794.857262059697</v>
      </c>
      <c r="J23" s="11">
        <f>'QTR CF'!AD25+'QTR CF'!AE25+'QTR CF'!AF25+'QTR CF'!AG25</f>
        <v>-100899.14519201498</v>
      </c>
      <c r="K23" s="11">
        <f>'QTR CF'!AH25+'QTR CF'!AI25+'QTR CF'!AJ25+'QTR CF'!AK25</f>
        <v>-118662.56119970768</v>
      </c>
      <c r="L23" s="11">
        <f>'QTR CF'!AL25+'QTR CF'!AM25+'QTR CF'!AN25+'QTR CF'!AO25</f>
        <v>-139553.24798518373</v>
      </c>
      <c r="M23" s="11">
        <f>'QTR CF'!AP25+'QTR CF'!AQ25+'QTR CF'!AR25+'QTR CF'!AS25</f>
        <v>-164121.76533454272</v>
      </c>
      <c r="N23" s="5"/>
    </row>
    <row r="24" spans="1:14" x14ac:dyDescent="0.25">
      <c r="A24" s="3" t="s">
        <v>80</v>
      </c>
      <c r="B24" s="4">
        <v>0</v>
      </c>
      <c r="C24" s="4">
        <v>0</v>
      </c>
      <c r="D24" s="4">
        <v>0</v>
      </c>
      <c r="E24" s="4">
        <v>-329472</v>
      </c>
      <c r="F24" s="4">
        <v>0</v>
      </c>
      <c r="G24" s="4">
        <v>0</v>
      </c>
      <c r="H24" s="4">
        <v>0</v>
      </c>
      <c r="I24" s="11">
        <f>'QTR CF'!Z26+'QTR CF'!AA26+'QTR CF'!AB26+'QTR CF'!AC26</f>
        <v>0</v>
      </c>
      <c r="J24" s="11">
        <f>'QTR CF'!AD26+'QTR CF'!AE26+'QTR CF'!AF26+'QTR CF'!AG26</f>
        <v>0</v>
      </c>
      <c r="K24" s="11">
        <f>'QTR CF'!AH26+'QTR CF'!AI26+'QTR CF'!AJ26+'QTR CF'!AK26</f>
        <v>0</v>
      </c>
      <c r="L24" s="11">
        <f>'QTR CF'!AL26+'QTR CF'!AM26+'QTR CF'!AN26+'QTR CF'!AO26</f>
        <v>0</v>
      </c>
      <c r="M24" s="11">
        <f>'QTR CF'!AP26+'QTR CF'!AQ26+'QTR CF'!AR26+'QTR CF'!AS26</f>
        <v>0</v>
      </c>
      <c r="N24" s="5"/>
    </row>
    <row r="25" spans="1:14" x14ac:dyDescent="0.25">
      <c r="A25" s="3" t="s">
        <v>81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11">
        <f>'QTR CF'!Z27+'QTR CF'!AA27+'QTR CF'!AB27+'QTR CF'!AC27</f>
        <v>0</v>
      </c>
      <c r="J25" s="11">
        <f>'QTR CF'!AD27+'QTR CF'!AE27+'QTR CF'!AF27+'QTR CF'!AG27</f>
        <v>0</v>
      </c>
      <c r="K25" s="11">
        <f>'QTR CF'!AH27+'QTR CF'!AI27+'QTR CF'!AJ27+'QTR CF'!AK27</f>
        <v>0</v>
      </c>
      <c r="L25" s="11">
        <f>'QTR CF'!AL27+'QTR CF'!AM27+'QTR CF'!AN27+'QTR CF'!AO27</f>
        <v>0</v>
      </c>
      <c r="M25" s="11">
        <f>'QTR CF'!AP27+'QTR CF'!AQ27+'QTR CF'!AR27+'QTR CF'!AS27</f>
        <v>0</v>
      </c>
      <c r="N25" s="5"/>
    </row>
    <row r="26" spans="1:14" x14ac:dyDescent="0.25">
      <c r="A26" s="3" t="s">
        <v>82</v>
      </c>
      <c r="B26" s="4">
        <v>0</v>
      </c>
      <c r="C26" s="4">
        <v>0</v>
      </c>
      <c r="D26" s="4">
        <v>0</v>
      </c>
      <c r="E26" s="4">
        <v>0</v>
      </c>
      <c r="F26" s="4">
        <v>-363385</v>
      </c>
      <c r="G26" s="4">
        <v>0</v>
      </c>
      <c r="H26" s="4">
        <v>0</v>
      </c>
      <c r="I26" s="11">
        <f>'QTR CF'!Z28+'QTR CF'!AA28+'QTR CF'!AB28+'QTR CF'!AC28</f>
        <v>0</v>
      </c>
      <c r="J26" s="11">
        <f>'QTR CF'!AD28+'QTR CF'!AE28+'QTR CF'!AF28+'QTR CF'!AG28</f>
        <v>0</v>
      </c>
      <c r="K26" s="11">
        <f>'QTR CF'!AH28+'QTR CF'!AI28+'QTR CF'!AJ28+'QTR CF'!AK28</f>
        <v>0</v>
      </c>
      <c r="L26" s="11">
        <f>'QTR CF'!AL28+'QTR CF'!AM28+'QTR CF'!AN28+'QTR CF'!AO28</f>
        <v>0</v>
      </c>
      <c r="M26" s="11">
        <f>'QTR CF'!AP28+'QTR CF'!AQ28+'QTR CF'!AR28+'QTR CF'!AS28</f>
        <v>0</v>
      </c>
      <c r="N26" s="5"/>
    </row>
    <row r="27" spans="1:14" x14ac:dyDescent="0.25">
      <c r="A27" s="3" t="s">
        <v>83</v>
      </c>
      <c r="B27" s="4">
        <v>-101661</v>
      </c>
      <c r="C27" s="4">
        <v>-48722</v>
      </c>
      <c r="D27" s="4">
        <v>-43868</v>
      </c>
      <c r="E27" s="4">
        <v>-188726</v>
      </c>
      <c r="F27" s="4">
        <v>-221428</v>
      </c>
      <c r="G27" s="4">
        <v>-264074</v>
      </c>
      <c r="H27" s="4">
        <v>-132275</v>
      </c>
      <c r="I27" s="11">
        <f>'QTR CF'!Z29+'QTR CF'!AA29+'QTR CF'!AB29+'QTR CF'!AC29</f>
        <v>-128962.21425563771</v>
      </c>
      <c r="J27" s="11">
        <f>'QTR CF'!AD29+'QTR CF'!AE29+'QTR CF'!AF29+'QTR CF'!AG29</f>
        <v>-151666.16736382869</v>
      </c>
      <c r="K27" s="11">
        <f>'QTR CF'!AH29+'QTR CF'!AI29+'QTR CF'!AJ29+'QTR CF'!AK29</f>
        <v>-178367.17875544162</v>
      </c>
      <c r="L27" s="11">
        <f>'QTR CF'!AL29+'QTR CF'!AM29+'QTR CF'!AN29+'QTR CF'!AO29</f>
        <v>-209768.93535428843</v>
      </c>
      <c r="M27" s="11">
        <f>'QTR CF'!AP29+'QTR CF'!AQ29+'QTR CF'!AR29+'QTR CF'!AS29</f>
        <v>-246699.00901445519</v>
      </c>
      <c r="N27" s="5"/>
    </row>
    <row r="28" spans="1:14" x14ac:dyDescent="0.25">
      <c r="A28" s="3" t="s">
        <v>84</v>
      </c>
      <c r="B28" s="4">
        <v>1239</v>
      </c>
      <c r="C28" s="4">
        <v>993</v>
      </c>
      <c r="D28" s="4">
        <v>1328</v>
      </c>
      <c r="E28" s="4">
        <v>1313</v>
      </c>
      <c r="F28" s="4">
        <v>2520</v>
      </c>
      <c r="G28" s="4">
        <v>2732</v>
      </c>
      <c r="H28" s="4">
        <v>4299</v>
      </c>
      <c r="I28" s="11">
        <f>'QTR CF'!Z30+'QTR CF'!AA30+'QTR CF'!AB30+'QTR CF'!AC30</f>
        <v>0</v>
      </c>
      <c r="J28" s="11">
        <f>'QTR CF'!AD30+'QTR CF'!AE30+'QTR CF'!AF30+'QTR CF'!AG30</f>
        <v>0</v>
      </c>
      <c r="K28" s="11">
        <f>'QTR CF'!AH30+'QTR CF'!AI30+'QTR CF'!AJ30+'QTR CF'!AK30</f>
        <v>0</v>
      </c>
      <c r="L28" s="11">
        <f>'QTR CF'!AL30+'QTR CF'!AM30+'QTR CF'!AN30+'QTR CF'!AO30</f>
        <v>0</v>
      </c>
      <c r="M28" s="11">
        <f>'QTR CF'!AP30+'QTR CF'!AQ30+'QTR CF'!AR30+'QTR CF'!AS30</f>
        <v>0</v>
      </c>
      <c r="N28" s="5"/>
    </row>
    <row r="29" spans="1:14" x14ac:dyDescent="0.25">
      <c r="A29" s="3" t="s">
        <v>85</v>
      </c>
      <c r="B29" s="4">
        <v>-8737</v>
      </c>
      <c r="C29" s="4">
        <v>-18550</v>
      </c>
      <c r="D29" s="4">
        <v>-13585</v>
      </c>
      <c r="E29" s="4">
        <v>-23427</v>
      </c>
      <c r="F29" s="4">
        <v>-13296</v>
      </c>
      <c r="G29" s="4">
        <v>-42360</v>
      </c>
      <c r="H29" s="4">
        <v>-25254</v>
      </c>
      <c r="I29" s="11">
        <f>'QTR CF'!Z31+'QTR CF'!AA31+'QTR CF'!AB31+'QTR CF'!AC31</f>
        <v>0</v>
      </c>
      <c r="J29" s="11">
        <f>'QTR CF'!AD31+'QTR CF'!AE31+'QTR CF'!AF31+'QTR CF'!AG31</f>
        <v>0</v>
      </c>
      <c r="K29" s="11">
        <f>'QTR CF'!AH31+'QTR CF'!AI31+'QTR CF'!AJ31+'QTR CF'!AK31</f>
        <v>0</v>
      </c>
      <c r="L29" s="11">
        <f>'QTR CF'!AL31+'QTR CF'!AM31+'QTR CF'!AN31+'QTR CF'!AO31</f>
        <v>0</v>
      </c>
      <c r="M29" s="11">
        <f>'QTR CF'!AP31+'QTR CF'!AQ31+'QTR CF'!AR31+'QTR CF'!AS31</f>
        <v>0</v>
      </c>
      <c r="N29" s="5"/>
    </row>
    <row r="30" spans="1:14" x14ac:dyDescent="0.25">
      <c r="A30" s="3" t="s">
        <v>86</v>
      </c>
      <c r="B30" s="4">
        <v>-1265</v>
      </c>
      <c r="C30" s="4">
        <v>-26423</v>
      </c>
      <c r="D30" s="4">
        <v>-11353</v>
      </c>
      <c r="E30" s="4">
        <v>-26343</v>
      </c>
      <c r="F30" s="4">
        <v>-6825</v>
      </c>
      <c r="G30" s="4">
        <v>1635</v>
      </c>
      <c r="H30" s="4">
        <v>-398</v>
      </c>
      <c r="I30" s="11">
        <f>'QTR CF'!Z32+'QTR CF'!AA32+'QTR CF'!AB32+'QTR CF'!AC32</f>
        <v>0</v>
      </c>
      <c r="J30" s="11">
        <f>'QTR CF'!AD32+'QTR CF'!AE32+'QTR CF'!AF32+'QTR CF'!AG32</f>
        <v>0</v>
      </c>
      <c r="K30" s="11">
        <f>'QTR CF'!AH32+'QTR CF'!AI32+'QTR CF'!AJ32+'QTR CF'!AK32</f>
        <v>0</v>
      </c>
      <c r="L30" s="11">
        <f>'QTR CF'!AL32+'QTR CF'!AM32+'QTR CF'!AN32+'QTR CF'!AO32</f>
        <v>0</v>
      </c>
      <c r="M30" s="11">
        <f>'QTR CF'!AP32+'QTR CF'!AQ32+'QTR CF'!AR32+'QTR CF'!AS32</f>
        <v>0</v>
      </c>
      <c r="N30" s="5"/>
    </row>
    <row r="31" spans="1:14" x14ac:dyDescent="0.25">
      <c r="A31" s="3" t="s">
        <v>87</v>
      </c>
      <c r="B31" s="6">
        <f t="shared" ref="B31:N31" si="1">SUM(B23:B30)</f>
        <v>-326724</v>
      </c>
      <c r="C31" s="6">
        <f t="shared" si="1"/>
        <v>-472487</v>
      </c>
      <c r="D31" s="6">
        <f t="shared" si="1"/>
        <v>-992022</v>
      </c>
      <c r="E31" s="6">
        <f t="shared" si="1"/>
        <v>-161367</v>
      </c>
      <c r="F31" s="6">
        <f t="shared" si="1"/>
        <v>-193395</v>
      </c>
      <c r="G31" s="6">
        <f t="shared" si="1"/>
        <v>733727</v>
      </c>
      <c r="H31" s="6">
        <f t="shared" si="1"/>
        <v>-1316778</v>
      </c>
      <c r="I31" s="7">
        <f t="shared" si="1"/>
        <v>-214757.07151769742</v>
      </c>
      <c r="J31" s="7">
        <f t="shared" si="1"/>
        <v>-252565.31255584367</v>
      </c>
      <c r="K31" s="7">
        <f t="shared" si="1"/>
        <v>-297029.7399551493</v>
      </c>
      <c r="L31" s="7">
        <f t="shared" si="1"/>
        <v>-349322.18333947216</v>
      </c>
      <c r="M31" s="7">
        <f t="shared" si="1"/>
        <v>-410820.77434899792</v>
      </c>
      <c r="N31" s="7">
        <f t="shared" si="1"/>
        <v>0</v>
      </c>
    </row>
    <row r="32" spans="1:14" x14ac:dyDescent="0.25">
      <c r="A32" s="3" t="s">
        <v>88</v>
      </c>
      <c r="B32" s="4">
        <v>-13569</v>
      </c>
      <c r="C32" s="4">
        <v>-3086</v>
      </c>
      <c r="D32" s="4">
        <v>2928</v>
      </c>
      <c r="E32" s="4">
        <v>75</v>
      </c>
      <c r="F32" s="4">
        <v>-13914</v>
      </c>
      <c r="G32" s="4">
        <v>-8223</v>
      </c>
      <c r="H32" s="4">
        <v>-10344</v>
      </c>
      <c r="I32" s="11">
        <f>'QTR CF'!Z35+'QTR CF'!AA35+'QTR CF'!AB35+'QTR CF'!AC35</f>
        <v>0</v>
      </c>
      <c r="J32" s="11">
        <f>'QTR CF'!AD35+'QTR CF'!AE35+'QTR CF'!AF35+'QTR CF'!AG35</f>
        <v>0</v>
      </c>
      <c r="K32" s="11">
        <f>'QTR CF'!AH35+'QTR CF'!AI35+'QTR CF'!AJ35+'QTR CF'!AK35</f>
        <v>0</v>
      </c>
      <c r="L32" s="11">
        <f>'QTR CF'!AL35+'QTR CF'!AM35+'QTR CF'!AN35+'QTR CF'!AO35</f>
        <v>0</v>
      </c>
      <c r="M32" s="11">
        <f>'QTR CF'!AP35+'QTR CF'!AQ35+'QTR CF'!AR35+'QTR CF'!AS35</f>
        <v>0</v>
      </c>
      <c r="N32" s="5"/>
    </row>
    <row r="33" spans="1:14" x14ac:dyDescent="0.25">
      <c r="A33" s="3" t="s">
        <v>89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750000</v>
      </c>
      <c r="H33" s="4">
        <v>0</v>
      </c>
      <c r="I33" s="11">
        <f>'QTR CF'!Z36+'QTR CF'!AA36+'QTR CF'!AB36+'QTR CF'!AC36</f>
        <v>0</v>
      </c>
      <c r="J33" s="11">
        <f>'QTR CF'!AD36+'QTR CF'!AE36+'QTR CF'!AF36+'QTR CF'!AG36</f>
        <v>0</v>
      </c>
      <c r="K33" s="11">
        <f>'QTR CF'!AH36+'QTR CF'!AI36+'QTR CF'!AJ36+'QTR CF'!AK36</f>
        <v>0</v>
      </c>
      <c r="L33" s="11">
        <f>'QTR CF'!AL36+'QTR CF'!AM36+'QTR CF'!AN36+'QTR CF'!AO36</f>
        <v>0</v>
      </c>
      <c r="M33" s="11">
        <f>'QTR CF'!AP36+'QTR CF'!AQ36+'QTR CF'!AR36+'QTR CF'!AS36</f>
        <v>0</v>
      </c>
      <c r="N33" s="5"/>
    </row>
    <row r="34" spans="1:14" x14ac:dyDescent="0.25">
      <c r="A34" s="3" t="s">
        <v>90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-375000</v>
      </c>
      <c r="H34" s="4">
        <v>-375000</v>
      </c>
      <c r="I34" s="11">
        <f>'QTR CF'!Z38+'QTR CF'!AA38+'QTR CF'!AB38+'QTR CF'!AC38</f>
        <v>0</v>
      </c>
      <c r="J34" s="11">
        <f>'QTR CF'!AD38+'QTR CF'!AE38+'QTR CF'!AF38+'QTR CF'!AG38</f>
        <v>0</v>
      </c>
      <c r="K34" s="11">
        <f>'QTR CF'!AH38+'QTR CF'!AI38+'QTR CF'!AJ38+'QTR CF'!AK38</f>
        <v>0</v>
      </c>
      <c r="L34" s="11">
        <f>'QTR CF'!AL38+'QTR CF'!AM38+'QTR CF'!AN38+'QTR CF'!AO38</f>
        <v>0</v>
      </c>
      <c r="M34" s="11">
        <f>'QTR CF'!AP38+'QTR CF'!AQ38+'QTR CF'!AR38+'QTR CF'!AS38</f>
        <v>0</v>
      </c>
      <c r="N34" s="5"/>
    </row>
    <row r="35" spans="1:14" x14ac:dyDescent="0.25">
      <c r="A35" s="3" t="s">
        <v>91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-2904</v>
      </c>
      <c r="H35" s="4">
        <v>0</v>
      </c>
      <c r="I35" s="11">
        <f>'QTR CF'!Z37+'QTR CF'!AA37+'QTR CF'!AB37+'QTR CF'!AC37</f>
        <v>0</v>
      </c>
      <c r="J35" s="11">
        <f>'QTR CF'!AD37+'QTR CF'!AE37+'QTR CF'!AF37+'QTR CF'!AG37</f>
        <v>0</v>
      </c>
      <c r="K35" s="11">
        <f>'QTR CF'!AH37+'QTR CF'!AI37+'QTR CF'!AJ37+'QTR CF'!AK37</f>
        <v>0</v>
      </c>
      <c r="L35" s="11">
        <f>'QTR CF'!AL37+'QTR CF'!AM37+'QTR CF'!AN37+'QTR CF'!AO37</f>
        <v>0</v>
      </c>
      <c r="M35" s="11">
        <f>'QTR CF'!AP37+'QTR CF'!AQ37+'QTR CF'!AR37+'QTR CF'!AS37</f>
        <v>0</v>
      </c>
      <c r="N35" s="5"/>
    </row>
    <row r="36" spans="1:14" x14ac:dyDescent="0.25">
      <c r="A36" s="3" t="s">
        <v>92</v>
      </c>
      <c r="B36" s="4">
        <v>92363</v>
      </c>
      <c r="C36" s="4">
        <v>72936</v>
      </c>
      <c r="D36" s="4">
        <v>45723</v>
      </c>
      <c r="E36" s="4">
        <v>64015</v>
      </c>
      <c r="F36" s="4">
        <v>130267</v>
      </c>
      <c r="G36" s="4">
        <v>78973</v>
      </c>
      <c r="H36" s="4">
        <v>164568</v>
      </c>
      <c r="I36" s="11">
        <f>'QTR CF'!Z39+'QTR CF'!AA39+'QTR CF'!AB39+'QTR CF'!AC39</f>
        <v>0</v>
      </c>
      <c r="J36" s="11">
        <f>'QTR CF'!AD39+'QTR CF'!AE39+'QTR CF'!AF39+'QTR CF'!AG39</f>
        <v>0</v>
      </c>
      <c r="K36" s="11">
        <f>'QTR CF'!AH39+'QTR CF'!AI39+'QTR CF'!AJ39+'QTR CF'!AK39</f>
        <v>0</v>
      </c>
      <c r="L36" s="11">
        <f>'QTR CF'!AL39+'QTR CF'!AM39+'QTR CF'!AN39+'QTR CF'!AO39</f>
        <v>0</v>
      </c>
      <c r="M36" s="11">
        <f>'QTR CF'!AP39+'QTR CF'!AQ39+'QTR CF'!AR39+'QTR CF'!AS39</f>
        <v>0</v>
      </c>
      <c r="N36" s="5"/>
    </row>
    <row r="37" spans="1:14" x14ac:dyDescent="0.25">
      <c r="A37" s="3" t="s">
        <v>93</v>
      </c>
      <c r="B37" s="4">
        <v>-707300</v>
      </c>
      <c r="C37" s="4">
        <v>-595918</v>
      </c>
      <c r="D37" s="4">
        <v>-13830</v>
      </c>
      <c r="E37" s="4">
        <v>-771028</v>
      </c>
      <c r="F37" s="4">
        <v>-658952</v>
      </c>
      <c r="G37" s="4">
        <v>-3771875</v>
      </c>
      <c r="H37" s="4">
        <v>-103646</v>
      </c>
      <c r="I37" s="11">
        <f>'QTR CF'!Z40+'QTR CF'!AA40+'QTR CF'!AB40+'QTR CF'!AC40</f>
        <v>0</v>
      </c>
      <c r="J37" s="11">
        <f>'QTR CF'!AD40+'QTR CF'!AE40+'QTR CF'!AF40+'QTR CF'!AG40</f>
        <v>0</v>
      </c>
      <c r="K37" s="11">
        <f>'QTR CF'!AH40+'QTR CF'!AI40+'QTR CF'!AJ40+'QTR CF'!AK40</f>
        <v>0</v>
      </c>
      <c r="L37" s="11">
        <f>'QTR CF'!AL40+'QTR CF'!AM40+'QTR CF'!AN40+'QTR CF'!AO40</f>
        <v>0</v>
      </c>
      <c r="M37" s="11">
        <f>'QTR CF'!AP40+'QTR CF'!AQ40+'QTR CF'!AR40+'QTR CF'!AS40</f>
        <v>0</v>
      </c>
      <c r="N37" s="5"/>
    </row>
    <row r="38" spans="1:14" x14ac:dyDescent="0.25">
      <c r="A38" s="3" t="s">
        <v>94</v>
      </c>
      <c r="B38" s="6">
        <f t="shared" ref="B38:N38" si="2">SUM(B32:B37)</f>
        <v>-628506</v>
      </c>
      <c r="C38" s="6">
        <f t="shared" si="2"/>
        <v>-526068</v>
      </c>
      <c r="D38" s="6">
        <f t="shared" si="2"/>
        <v>34821</v>
      </c>
      <c r="E38" s="6">
        <f t="shared" si="2"/>
        <v>-706938</v>
      </c>
      <c r="F38" s="6">
        <f t="shared" si="2"/>
        <v>-542599</v>
      </c>
      <c r="G38" s="6">
        <f t="shared" si="2"/>
        <v>-3329029</v>
      </c>
      <c r="H38" s="6">
        <f t="shared" si="2"/>
        <v>-324422</v>
      </c>
      <c r="I38" s="7">
        <f t="shared" si="2"/>
        <v>0</v>
      </c>
      <c r="J38" s="7">
        <f t="shared" si="2"/>
        <v>0</v>
      </c>
      <c r="K38" s="7">
        <f t="shared" si="2"/>
        <v>0</v>
      </c>
      <c r="L38" s="7">
        <f t="shared" si="2"/>
        <v>0</v>
      </c>
      <c r="M38" s="7">
        <f t="shared" si="2"/>
        <v>0</v>
      </c>
      <c r="N38" s="7">
        <f t="shared" si="2"/>
        <v>0</v>
      </c>
    </row>
    <row r="39" spans="1:14" x14ac:dyDescent="0.25">
      <c r="A39" s="3" t="s">
        <v>95</v>
      </c>
      <c r="B39" s="4">
        <v>1912</v>
      </c>
      <c r="C39" s="4">
        <v>16848</v>
      </c>
      <c r="D39" s="4">
        <v>-52491</v>
      </c>
      <c r="E39" s="4">
        <v>-38715</v>
      </c>
      <c r="F39" s="4">
        <v>8775</v>
      </c>
      <c r="G39" s="4">
        <v>-97619</v>
      </c>
      <c r="H39" s="4">
        <v>97853</v>
      </c>
      <c r="I39" s="11">
        <f>'QTR CF'!Z42+'QTR CF'!AA42+'QTR CF'!AB42+'QTR CF'!AC42</f>
        <v>100456</v>
      </c>
      <c r="J39" s="11">
        <f>'QTR CF'!AD42+'QTR CF'!AE42+'QTR CF'!AF42+'QTR CF'!AG42</f>
        <v>100456</v>
      </c>
      <c r="K39" s="11">
        <f>'QTR CF'!AH42+'QTR CF'!AI42+'QTR CF'!AJ42+'QTR CF'!AK42</f>
        <v>100456</v>
      </c>
      <c r="L39" s="11">
        <f>'QTR CF'!AL42+'QTR CF'!AM42+'QTR CF'!AN42+'QTR CF'!AO42</f>
        <v>100456</v>
      </c>
      <c r="M39" s="11">
        <f>'QTR CF'!AP42+'QTR CF'!AQ42+'QTR CF'!AR42+'QTR CF'!AS42</f>
        <v>100456</v>
      </c>
      <c r="N39" s="5"/>
    </row>
    <row r="40" spans="1:14" x14ac:dyDescent="0.25">
      <c r="A40" s="3" t="s">
        <v>96</v>
      </c>
      <c r="B40" s="6">
        <f t="shared" ref="B40:N40" si="3">B22+B31+B38+B39</f>
        <v>160444</v>
      </c>
      <c r="C40" s="6">
        <f t="shared" si="3"/>
        <v>382456</v>
      </c>
      <c r="D40" s="6">
        <f t="shared" si="3"/>
        <v>146049</v>
      </c>
      <c r="E40" s="6">
        <f t="shared" si="3"/>
        <v>-19321</v>
      </c>
      <c r="F40" s="6">
        <f t="shared" si="3"/>
        <v>990534</v>
      </c>
      <c r="G40" s="6">
        <f t="shared" si="3"/>
        <v>-764388</v>
      </c>
      <c r="H40" s="6">
        <f t="shared" si="3"/>
        <v>554830</v>
      </c>
      <c r="I40" s="7">
        <f t="shared" si="3"/>
        <v>2056330.1847983776</v>
      </c>
      <c r="J40" s="7">
        <f t="shared" si="3"/>
        <v>2383740.8446478024</v>
      </c>
      <c r="K40" s="7">
        <f t="shared" si="3"/>
        <v>2768792.5454117982</v>
      </c>
      <c r="L40" s="7">
        <f t="shared" si="3"/>
        <v>3221633.0617512278</v>
      </c>
      <c r="M40" s="7">
        <f t="shared" si="3"/>
        <v>3754196.6962753325</v>
      </c>
      <c r="N40" s="7">
        <f t="shared" si="3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19" width="13" customWidth="1"/>
  </cols>
  <sheetData>
    <row r="1" spans="1:19" x14ac:dyDescent="0.25">
      <c r="A1" s="1"/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113</v>
      </c>
      <c r="S1" s="2" t="s">
        <v>114</v>
      </c>
    </row>
    <row r="2" spans="1:19" x14ac:dyDescent="0.25">
      <c r="A2" s="3" t="s">
        <v>18</v>
      </c>
      <c r="B2" s="4">
        <v>1062097</v>
      </c>
      <c r="C2" s="4">
        <v>2155993</v>
      </c>
      <c r="D2" s="4">
        <v>3402355</v>
      </c>
      <c r="E2" s="4">
        <v>1243816</v>
      </c>
      <c r="F2" s="4">
        <v>2705751</v>
      </c>
      <c r="G2" s="4">
        <v>4116308</v>
      </c>
      <c r="H2" s="4">
        <v>1518574</v>
      </c>
      <c r="I2" s="4">
        <v>3173833</v>
      </c>
      <c r="J2" s="4">
        <v>4798119</v>
      </c>
      <c r="K2" s="4">
        <v>1698930</v>
      </c>
      <c r="L2" s="4">
        <v>3553891</v>
      </c>
      <c r="M2" s="4">
        <v>5409919</v>
      </c>
      <c r="N2" s="4">
        <v>1899098</v>
      </c>
      <c r="O2" s="4">
        <v>3799695</v>
      </c>
      <c r="P2" s="4">
        <v>5680668</v>
      </c>
      <c r="Q2" s="4">
        <v>1854558</v>
      </c>
      <c r="R2" s="4">
        <v>3966150</v>
      </c>
      <c r="S2" s="4">
        <v>6163290</v>
      </c>
    </row>
    <row r="3" spans="1:19" x14ac:dyDescent="0.25">
      <c r="A3" s="3" t="s">
        <v>19</v>
      </c>
      <c r="B3" s="4">
        <v>-424901</v>
      </c>
      <c r="C3" s="4">
        <v>-859329</v>
      </c>
      <c r="D3" s="4">
        <v>-1369160</v>
      </c>
      <c r="E3" s="4">
        <v>-528881</v>
      </c>
      <c r="F3" s="4">
        <v>-1153976</v>
      </c>
      <c r="G3" s="4">
        <v>-1775375</v>
      </c>
      <c r="H3" s="4">
        <v>-741907</v>
      </c>
      <c r="I3" s="4">
        <v>-1617306</v>
      </c>
      <c r="J3" s="4">
        <v>-2407867</v>
      </c>
      <c r="K3" s="4">
        <v>-801081</v>
      </c>
      <c r="L3" s="4">
        <v>-1681820</v>
      </c>
      <c r="M3" s="4">
        <v>-2554086</v>
      </c>
      <c r="N3" s="4">
        <v>-871969</v>
      </c>
      <c r="O3" s="4">
        <v>-1753061</v>
      </c>
      <c r="P3" s="4">
        <v>-2634235</v>
      </c>
      <c r="Q3" s="4">
        <v>-806596</v>
      </c>
      <c r="R3" s="4">
        <v>-1741775</v>
      </c>
      <c r="S3" s="4">
        <v>-2714428</v>
      </c>
    </row>
    <row r="4" spans="1:19" x14ac:dyDescent="0.25">
      <c r="A4" s="3" t="s">
        <v>20</v>
      </c>
      <c r="B4" s="6">
        <f t="shared" ref="B4:S4" si="0">B2+B3</f>
        <v>637196</v>
      </c>
      <c r="C4" s="6">
        <f t="shared" si="0"/>
        <v>1296664</v>
      </c>
      <c r="D4" s="6">
        <f t="shared" si="0"/>
        <v>2033195</v>
      </c>
      <c r="E4" s="6">
        <f t="shared" si="0"/>
        <v>714935</v>
      </c>
      <c r="F4" s="6">
        <f t="shared" si="0"/>
        <v>1551775</v>
      </c>
      <c r="G4" s="6">
        <f t="shared" si="0"/>
        <v>2340933</v>
      </c>
      <c r="H4" s="6">
        <f t="shared" si="0"/>
        <v>776667</v>
      </c>
      <c r="I4" s="6">
        <f t="shared" si="0"/>
        <v>1556527</v>
      </c>
      <c r="J4" s="6">
        <f t="shared" si="0"/>
        <v>2390252</v>
      </c>
      <c r="K4" s="6">
        <f t="shared" si="0"/>
        <v>897849</v>
      </c>
      <c r="L4" s="6">
        <f t="shared" si="0"/>
        <v>1872071</v>
      </c>
      <c r="M4" s="6">
        <f t="shared" si="0"/>
        <v>2855833</v>
      </c>
      <c r="N4" s="6">
        <f t="shared" si="0"/>
        <v>1027129</v>
      </c>
      <c r="O4" s="6">
        <f t="shared" si="0"/>
        <v>2046634</v>
      </c>
      <c r="P4" s="6">
        <f t="shared" si="0"/>
        <v>3046433</v>
      </c>
      <c r="Q4" s="6">
        <f t="shared" si="0"/>
        <v>1047962</v>
      </c>
      <c r="R4" s="6">
        <f t="shared" si="0"/>
        <v>2224375</v>
      </c>
      <c r="S4" s="6">
        <f t="shared" si="0"/>
        <v>3448862</v>
      </c>
    </row>
    <row r="5" spans="1:19" x14ac:dyDescent="0.25">
      <c r="A5" s="3" t="s">
        <v>21</v>
      </c>
      <c r="B5" s="4">
        <v>-272208</v>
      </c>
      <c r="C5" s="4">
        <v>-524412</v>
      </c>
      <c r="D5" s="4">
        <v>-802343</v>
      </c>
      <c r="E5" s="4">
        <v>-300789</v>
      </c>
      <c r="F5" s="4">
        <v>-611652</v>
      </c>
      <c r="G5" s="4">
        <v>-956346</v>
      </c>
      <c r="H5" s="4">
        <v>-377178</v>
      </c>
      <c r="I5" s="4">
        <v>-784088</v>
      </c>
      <c r="J5" s="4">
        <v>-1199883</v>
      </c>
      <c r="K5" s="4">
        <v>-412785</v>
      </c>
      <c r="L5" s="4">
        <v>-863201</v>
      </c>
      <c r="M5" s="4">
        <v>-1336437</v>
      </c>
      <c r="N5" s="4">
        <v>-485138</v>
      </c>
      <c r="O5" s="4">
        <v>-977480</v>
      </c>
      <c r="P5" s="4">
        <v>-1497363</v>
      </c>
      <c r="Q5" s="4">
        <v>-478217</v>
      </c>
      <c r="R5" s="4">
        <v>-1023008</v>
      </c>
      <c r="S5" s="4">
        <v>-1572142</v>
      </c>
    </row>
    <row r="6" spans="1:19" x14ac:dyDescent="0.25">
      <c r="A6" s="3" t="s">
        <v>22</v>
      </c>
      <c r="B6" s="6">
        <f t="shared" ref="B6:S6" si="1">B4+B5</f>
        <v>364988</v>
      </c>
      <c r="C6" s="6">
        <f t="shared" si="1"/>
        <v>772252</v>
      </c>
      <c r="D6" s="6">
        <f t="shared" si="1"/>
        <v>1230852</v>
      </c>
      <c r="E6" s="6">
        <f t="shared" si="1"/>
        <v>414146</v>
      </c>
      <c r="F6" s="6">
        <f t="shared" si="1"/>
        <v>940123</v>
      </c>
      <c r="G6" s="6">
        <f t="shared" si="1"/>
        <v>1384587</v>
      </c>
      <c r="H6" s="6">
        <f t="shared" si="1"/>
        <v>399489</v>
      </c>
      <c r="I6" s="6">
        <f t="shared" si="1"/>
        <v>772439</v>
      </c>
      <c r="J6" s="6">
        <f t="shared" si="1"/>
        <v>1190369</v>
      </c>
      <c r="K6" s="6">
        <f t="shared" si="1"/>
        <v>485064</v>
      </c>
      <c r="L6" s="6">
        <f t="shared" si="1"/>
        <v>1008870</v>
      </c>
      <c r="M6" s="6">
        <f t="shared" si="1"/>
        <v>1519396</v>
      </c>
      <c r="N6" s="6">
        <f t="shared" si="1"/>
        <v>541991</v>
      </c>
      <c r="O6" s="6">
        <f t="shared" si="1"/>
        <v>1069154</v>
      </c>
      <c r="P6" s="6">
        <f t="shared" si="1"/>
        <v>1549070</v>
      </c>
      <c r="Q6" s="6">
        <f t="shared" si="1"/>
        <v>569745</v>
      </c>
      <c r="R6" s="6">
        <f t="shared" si="1"/>
        <v>1201367</v>
      </c>
      <c r="S6" s="6">
        <f t="shared" si="1"/>
        <v>1876720</v>
      </c>
    </row>
    <row r="7" spans="1:19" x14ac:dyDescent="0.25">
      <c r="A7" s="3" t="s">
        <v>24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35754</v>
      </c>
      <c r="O7" s="4">
        <v>60131</v>
      </c>
      <c r="P7" s="4">
        <v>0</v>
      </c>
      <c r="Q7" s="4">
        <v>8272</v>
      </c>
      <c r="R7" s="4">
        <v>23337</v>
      </c>
      <c r="S7" s="4">
        <v>0</v>
      </c>
    </row>
    <row r="8" spans="1:19" x14ac:dyDescent="0.25">
      <c r="A8" s="3" t="s">
        <v>23</v>
      </c>
      <c r="B8" s="4">
        <v>872</v>
      </c>
      <c r="C8" s="4">
        <v>-923</v>
      </c>
      <c r="D8" s="4">
        <v>-5491</v>
      </c>
      <c r="E8" s="4">
        <v>-759</v>
      </c>
      <c r="F8" s="4">
        <v>111</v>
      </c>
      <c r="G8" s="4">
        <v>-2179</v>
      </c>
      <c r="H8" s="4">
        <v>-7300</v>
      </c>
      <c r="I8" s="4">
        <v>-14080</v>
      </c>
      <c r="J8" s="4">
        <v>-11932</v>
      </c>
      <c r="K8" s="4">
        <v>12496</v>
      </c>
      <c r="L8" s="4">
        <v>27653</v>
      </c>
      <c r="M8" s="4">
        <v>99010</v>
      </c>
      <c r="N8" s="4">
        <v>0</v>
      </c>
      <c r="O8" s="4">
        <v>0</v>
      </c>
      <c r="P8" s="4">
        <v>54311</v>
      </c>
      <c r="Q8" s="4">
        <v>0</v>
      </c>
      <c r="R8" s="4">
        <v>0</v>
      </c>
      <c r="S8" s="4">
        <v>37522</v>
      </c>
    </row>
    <row r="9" spans="1:19" x14ac:dyDescent="0.25">
      <c r="A9" s="3" t="s">
        <v>25</v>
      </c>
      <c r="B9" s="6">
        <f t="shared" ref="B9:S9" si="2">B6+SUM(B7:B8)</f>
        <v>365860</v>
      </c>
      <c r="C9" s="6">
        <f t="shared" si="2"/>
        <v>771329</v>
      </c>
      <c r="D9" s="6">
        <f t="shared" si="2"/>
        <v>1225361</v>
      </c>
      <c r="E9" s="6">
        <f t="shared" si="2"/>
        <v>413387</v>
      </c>
      <c r="F9" s="6">
        <f t="shared" si="2"/>
        <v>940234</v>
      </c>
      <c r="G9" s="6">
        <f t="shared" si="2"/>
        <v>1382408</v>
      </c>
      <c r="H9" s="6">
        <f t="shared" si="2"/>
        <v>392189</v>
      </c>
      <c r="I9" s="6">
        <f t="shared" si="2"/>
        <v>758359</v>
      </c>
      <c r="J9" s="6">
        <f t="shared" si="2"/>
        <v>1178437</v>
      </c>
      <c r="K9" s="6">
        <f t="shared" si="2"/>
        <v>497560</v>
      </c>
      <c r="L9" s="6">
        <f t="shared" si="2"/>
        <v>1036523</v>
      </c>
      <c r="M9" s="6">
        <f t="shared" si="2"/>
        <v>1618406</v>
      </c>
      <c r="N9" s="6">
        <f t="shared" si="2"/>
        <v>577745</v>
      </c>
      <c r="O9" s="6">
        <f t="shared" si="2"/>
        <v>1129285</v>
      </c>
      <c r="P9" s="6">
        <f t="shared" si="2"/>
        <v>1603381</v>
      </c>
      <c r="Q9" s="6">
        <f t="shared" si="2"/>
        <v>578017</v>
      </c>
      <c r="R9" s="6">
        <f t="shared" si="2"/>
        <v>1224704</v>
      </c>
      <c r="S9" s="6">
        <f t="shared" si="2"/>
        <v>1914242</v>
      </c>
    </row>
    <row r="10" spans="1:19" x14ac:dyDescent="0.25">
      <c r="A10" s="3" t="s">
        <v>26</v>
      </c>
      <c r="B10" s="4">
        <v>-87025</v>
      </c>
      <c r="C10" s="4">
        <v>-181125</v>
      </c>
      <c r="D10" s="4">
        <v>-287503</v>
      </c>
      <c r="E10" s="4">
        <v>-98193</v>
      </c>
      <c r="F10" s="4">
        <v>-221278</v>
      </c>
      <c r="G10" s="4">
        <v>-326247</v>
      </c>
      <c r="H10" s="4">
        <v>-97986</v>
      </c>
      <c r="I10" s="4">
        <v>-190796</v>
      </c>
      <c r="J10" s="4">
        <v>-288487</v>
      </c>
      <c r="K10" s="4">
        <v>-100116</v>
      </c>
      <c r="L10" s="4">
        <v>-225208</v>
      </c>
      <c r="M10" s="4">
        <v>-354397</v>
      </c>
      <c r="N10" s="4">
        <v>-135696</v>
      </c>
      <c r="O10" s="4">
        <v>-261867</v>
      </c>
      <c r="P10" s="4">
        <v>-365044</v>
      </c>
      <c r="Q10" s="4">
        <v>-135024</v>
      </c>
      <c r="R10" s="4">
        <v>-292917</v>
      </c>
      <c r="S10" s="4">
        <v>-458000</v>
      </c>
    </row>
    <row r="11" spans="1:19" x14ac:dyDescent="0.25">
      <c r="A11" s="3" t="s">
        <v>27</v>
      </c>
      <c r="B11" s="6">
        <f t="shared" ref="B11:S11" si="3">B9+B10</f>
        <v>278835</v>
      </c>
      <c r="C11" s="6">
        <f t="shared" si="3"/>
        <v>590204</v>
      </c>
      <c r="D11" s="6">
        <f t="shared" si="3"/>
        <v>937858</v>
      </c>
      <c r="E11" s="6">
        <f t="shared" si="3"/>
        <v>315194</v>
      </c>
      <c r="F11" s="6">
        <f t="shared" si="3"/>
        <v>718956</v>
      </c>
      <c r="G11" s="6">
        <f t="shared" si="3"/>
        <v>1056161</v>
      </c>
      <c r="H11" s="6">
        <f t="shared" si="3"/>
        <v>294203</v>
      </c>
      <c r="I11" s="6">
        <f t="shared" si="3"/>
        <v>567563</v>
      </c>
      <c r="J11" s="6">
        <f t="shared" si="3"/>
        <v>889950</v>
      </c>
      <c r="K11" s="6">
        <f t="shared" si="3"/>
        <v>397444</v>
      </c>
      <c r="L11" s="6">
        <f t="shared" si="3"/>
        <v>811315</v>
      </c>
      <c r="M11" s="6">
        <f t="shared" si="3"/>
        <v>1264009</v>
      </c>
      <c r="N11" s="6">
        <f t="shared" si="3"/>
        <v>442049</v>
      </c>
      <c r="O11" s="6">
        <f t="shared" si="3"/>
        <v>867418</v>
      </c>
      <c r="P11" s="6">
        <f t="shared" si="3"/>
        <v>1238337</v>
      </c>
      <c r="Q11" s="6">
        <f t="shared" si="3"/>
        <v>442993</v>
      </c>
      <c r="R11" s="6">
        <f t="shared" si="3"/>
        <v>931787</v>
      </c>
      <c r="S11" s="6">
        <f t="shared" si="3"/>
        <v>1456242</v>
      </c>
    </row>
    <row r="12" spans="1:19" x14ac:dyDescent="0.25">
      <c r="A12" s="3" t="s">
        <v>28</v>
      </c>
      <c r="B12" s="8">
        <v>0.52</v>
      </c>
      <c r="C12" s="8">
        <v>1.1100000000000001</v>
      </c>
      <c r="D12" s="8">
        <v>1.77</v>
      </c>
      <c r="E12" s="8">
        <v>0.6</v>
      </c>
      <c r="F12" s="8">
        <v>1.36</v>
      </c>
      <c r="G12" s="8">
        <v>2</v>
      </c>
      <c r="H12" s="8">
        <v>0.56000000000000005</v>
      </c>
      <c r="I12" s="8">
        <v>1.07</v>
      </c>
      <c r="J12" s="8">
        <v>1.68</v>
      </c>
      <c r="K12" s="8">
        <v>0.38</v>
      </c>
      <c r="L12" s="8">
        <v>0.78</v>
      </c>
      <c r="M12" s="8">
        <v>1.21</v>
      </c>
      <c r="N12" s="8">
        <v>0.42</v>
      </c>
      <c r="O12" s="8">
        <v>0.84</v>
      </c>
      <c r="P12" s="8">
        <v>1.22</v>
      </c>
      <c r="Q12" s="8">
        <v>0.45</v>
      </c>
      <c r="R12" s="8">
        <v>0.96</v>
      </c>
      <c r="S12" s="8">
        <v>1.49</v>
      </c>
    </row>
    <row r="13" spans="1:19" x14ac:dyDescent="0.25">
      <c r="A13" s="3" t="s">
        <v>29</v>
      </c>
      <c r="B13" s="8">
        <v>0.52</v>
      </c>
      <c r="C13" s="8">
        <v>1.1000000000000001</v>
      </c>
      <c r="D13" s="8">
        <v>1.75</v>
      </c>
      <c r="E13" s="8">
        <v>0.59</v>
      </c>
      <c r="F13" s="8">
        <v>1.34</v>
      </c>
      <c r="G13" s="8">
        <v>1.97</v>
      </c>
      <c r="H13" s="8">
        <v>0.55000000000000004</v>
      </c>
      <c r="I13" s="8">
        <v>1.06</v>
      </c>
      <c r="J13" s="8">
        <v>1.66</v>
      </c>
      <c r="K13" s="8">
        <v>0.38</v>
      </c>
      <c r="L13" s="8">
        <v>0.77</v>
      </c>
      <c r="M13" s="8">
        <v>1.19</v>
      </c>
      <c r="N13" s="8">
        <v>0.42</v>
      </c>
      <c r="O13" s="8">
        <v>0.83</v>
      </c>
      <c r="P13" s="8">
        <v>1.21</v>
      </c>
      <c r="Q13" s="8">
        <v>0.45</v>
      </c>
      <c r="R13" s="8">
        <v>0.95</v>
      </c>
      <c r="S13" s="8">
        <v>1.48</v>
      </c>
    </row>
    <row r="14" spans="1:19" x14ac:dyDescent="0.25">
      <c r="A14" s="3" t="s">
        <v>30</v>
      </c>
      <c r="B14" s="4">
        <v>536061000</v>
      </c>
      <c r="C14" s="4">
        <v>531486000</v>
      </c>
      <c r="D14" s="4">
        <v>530194000</v>
      </c>
      <c r="E14" s="4">
        <v>528195000</v>
      </c>
      <c r="F14" s="4">
        <v>528425000</v>
      </c>
      <c r="G14" s="4">
        <v>528618000</v>
      </c>
      <c r="H14" s="4">
        <v>529405000</v>
      </c>
      <c r="I14" s="4">
        <v>529009000</v>
      </c>
      <c r="J14" s="4">
        <v>528263000</v>
      </c>
      <c r="K14" s="4">
        <v>1044909000</v>
      </c>
      <c r="L14" s="4">
        <v>1045993000</v>
      </c>
      <c r="M14" s="4">
        <v>1046337000</v>
      </c>
      <c r="N14" s="4">
        <v>1041081000</v>
      </c>
      <c r="O14" s="4">
        <v>1035175000</v>
      </c>
      <c r="P14" s="4">
        <v>1015252000</v>
      </c>
      <c r="Q14" s="4">
        <v>973622000</v>
      </c>
      <c r="R14" s="4">
        <v>974691000</v>
      </c>
      <c r="S14" s="4">
        <v>975337000</v>
      </c>
    </row>
    <row r="15" spans="1:19" x14ac:dyDescent="0.25">
      <c r="A15" s="3" t="s">
        <v>31</v>
      </c>
      <c r="B15" s="4">
        <v>540518000</v>
      </c>
      <c r="C15" s="4">
        <v>535897000</v>
      </c>
      <c r="D15" s="4">
        <v>535011000</v>
      </c>
      <c r="E15" s="4">
        <v>534982000</v>
      </c>
      <c r="F15" s="4">
        <v>535324000</v>
      </c>
      <c r="G15" s="4">
        <v>535554000</v>
      </c>
      <c r="H15" s="4">
        <v>535554000</v>
      </c>
      <c r="I15" s="4">
        <v>535209000</v>
      </c>
      <c r="J15" s="4">
        <v>534599000</v>
      </c>
      <c r="K15" s="4">
        <v>1059069000</v>
      </c>
      <c r="L15" s="4">
        <v>1059667000</v>
      </c>
      <c r="M15" s="4">
        <v>1059809000</v>
      </c>
      <c r="N15" s="4">
        <v>1051282000</v>
      </c>
      <c r="O15" s="4">
        <v>1044363000</v>
      </c>
      <c r="P15" s="4">
        <v>1023912000</v>
      </c>
      <c r="Q15" s="4">
        <v>981282000</v>
      </c>
      <c r="R15" s="4">
        <v>982748000</v>
      </c>
      <c r="S15" s="4">
        <v>983532000</v>
      </c>
    </row>
    <row r="16" spans="1:19" x14ac:dyDescent="0.25">
      <c r="A16" s="3" t="s">
        <v>32</v>
      </c>
      <c r="B16" s="6">
        <f t="shared" ref="B16:S16" si="4">B11</f>
        <v>278835</v>
      </c>
      <c r="C16" s="6">
        <f t="shared" si="4"/>
        <v>590204</v>
      </c>
      <c r="D16" s="6">
        <f t="shared" si="4"/>
        <v>937858</v>
      </c>
      <c r="E16" s="6">
        <f t="shared" si="4"/>
        <v>315194</v>
      </c>
      <c r="F16" s="6">
        <f t="shared" si="4"/>
        <v>718956</v>
      </c>
      <c r="G16" s="6">
        <f t="shared" si="4"/>
        <v>1056161</v>
      </c>
      <c r="H16" s="6">
        <f t="shared" si="4"/>
        <v>294203</v>
      </c>
      <c r="I16" s="6">
        <f t="shared" si="4"/>
        <v>567563</v>
      </c>
      <c r="J16" s="6">
        <f t="shared" si="4"/>
        <v>889950</v>
      </c>
      <c r="K16" s="6">
        <f t="shared" si="4"/>
        <v>397444</v>
      </c>
      <c r="L16" s="6">
        <f t="shared" si="4"/>
        <v>811315</v>
      </c>
      <c r="M16" s="6">
        <f t="shared" si="4"/>
        <v>1264009</v>
      </c>
      <c r="N16" s="6">
        <f t="shared" si="4"/>
        <v>442049</v>
      </c>
      <c r="O16" s="6">
        <f t="shared" si="4"/>
        <v>867418</v>
      </c>
      <c r="P16" s="6">
        <f t="shared" si="4"/>
        <v>1238337</v>
      </c>
      <c r="Q16" s="6">
        <f t="shared" si="4"/>
        <v>442993</v>
      </c>
      <c r="R16" s="6">
        <f t="shared" si="4"/>
        <v>931787</v>
      </c>
      <c r="S16" s="6">
        <f t="shared" si="4"/>
        <v>1456242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21" width="13" customWidth="1"/>
  </cols>
  <sheetData>
    <row r="1" spans="1:21" x14ac:dyDescent="0.25">
      <c r="A1" s="1"/>
      <c r="B1" s="2" t="s">
        <v>115</v>
      </c>
      <c r="C1" s="2" t="s">
        <v>100</v>
      </c>
      <c r="D1" s="2" t="s">
        <v>101</v>
      </c>
      <c r="E1" s="2" t="s">
        <v>102</v>
      </c>
      <c r="F1" s="2" t="s">
        <v>116</v>
      </c>
      <c r="G1" s="2" t="s">
        <v>103</v>
      </c>
      <c r="H1" s="2" t="s">
        <v>104</v>
      </c>
      <c r="I1" s="2" t="s">
        <v>105</v>
      </c>
      <c r="J1" s="2" t="s">
        <v>117</v>
      </c>
      <c r="K1" s="2" t="s">
        <v>106</v>
      </c>
      <c r="L1" s="2" t="s">
        <v>107</v>
      </c>
      <c r="M1" s="2" t="s">
        <v>108</v>
      </c>
      <c r="N1" s="2" t="s">
        <v>118</v>
      </c>
      <c r="O1" s="2" t="s">
        <v>109</v>
      </c>
      <c r="P1" s="2" t="s">
        <v>110</v>
      </c>
      <c r="Q1" s="2" t="s">
        <v>111</v>
      </c>
      <c r="R1" s="2" t="s">
        <v>119</v>
      </c>
      <c r="S1" s="2" t="s">
        <v>112</v>
      </c>
      <c r="T1" s="2" t="s">
        <v>113</v>
      </c>
      <c r="U1" s="2" t="s">
        <v>114</v>
      </c>
    </row>
    <row r="2" spans="1:21" x14ac:dyDescent="0.25">
      <c r="A2" s="3" t="s">
        <v>33</v>
      </c>
      <c r="B2" s="4">
        <v>1180413</v>
      </c>
      <c r="C2" s="4">
        <v>1178879</v>
      </c>
      <c r="D2" s="4">
        <v>1584239</v>
      </c>
      <c r="E2" s="4">
        <v>1712671</v>
      </c>
      <c r="F2" s="4">
        <v>1326462</v>
      </c>
      <c r="G2" s="4">
        <v>1014786</v>
      </c>
      <c r="H2" s="4">
        <v>1132039</v>
      </c>
      <c r="I2" s="4">
        <v>1303048</v>
      </c>
      <c r="J2" s="4">
        <v>1307141</v>
      </c>
      <c r="K2" s="4">
        <v>1672660</v>
      </c>
      <c r="L2" s="4">
        <v>1869774</v>
      </c>
      <c r="M2" s="4">
        <v>1773849</v>
      </c>
      <c r="N2" s="4">
        <v>2297675</v>
      </c>
      <c r="O2" s="4">
        <v>2576524</v>
      </c>
      <c r="P2" s="4">
        <v>1564734</v>
      </c>
      <c r="Q2" s="4">
        <v>1625339</v>
      </c>
      <c r="R2" s="4">
        <v>1533287</v>
      </c>
      <c r="S2" s="4">
        <v>1903419</v>
      </c>
      <c r="T2" s="4">
        <v>1926927</v>
      </c>
      <c r="U2" s="4">
        <v>2292939</v>
      </c>
    </row>
    <row r="3" spans="1:21" x14ac:dyDescent="0.25">
      <c r="A3" s="3" t="s">
        <v>34</v>
      </c>
      <c r="B3" s="4">
        <v>881354</v>
      </c>
      <c r="C3" s="4">
        <v>980108</v>
      </c>
      <c r="D3" s="4">
        <v>968952</v>
      </c>
      <c r="E3" s="4">
        <v>1224066</v>
      </c>
      <c r="F3" s="4">
        <v>1749727</v>
      </c>
      <c r="G3" s="4">
        <v>1717648</v>
      </c>
      <c r="H3" s="4">
        <v>1337792</v>
      </c>
      <c r="I3" s="4">
        <v>1346781</v>
      </c>
      <c r="J3" s="4">
        <v>1362314</v>
      </c>
      <c r="K3" s="4">
        <v>1383028</v>
      </c>
      <c r="L3" s="4">
        <v>1417239</v>
      </c>
      <c r="M3" s="4">
        <v>1236752</v>
      </c>
      <c r="N3" s="4">
        <v>955605</v>
      </c>
      <c r="O3" s="4">
        <v>984201</v>
      </c>
      <c r="P3" s="4">
        <v>0</v>
      </c>
      <c r="Q3" s="4">
        <v>0</v>
      </c>
      <c r="R3" s="4">
        <v>0</v>
      </c>
      <c r="S3" s="4">
        <v>0</v>
      </c>
      <c r="T3" s="4">
        <v>145253</v>
      </c>
      <c r="U3" s="4">
        <v>286391</v>
      </c>
    </row>
    <row r="4" spans="1:21" x14ac:dyDescent="0.25">
      <c r="A4" s="3" t="s">
        <v>35</v>
      </c>
      <c r="B4" s="4">
        <v>666012</v>
      </c>
      <c r="C4" s="4">
        <v>802509</v>
      </c>
      <c r="D4" s="4">
        <v>909169</v>
      </c>
      <c r="E4" s="4">
        <v>849157</v>
      </c>
      <c r="F4" s="4">
        <v>896658</v>
      </c>
      <c r="G4" s="4">
        <v>1039780</v>
      </c>
      <c r="H4" s="4">
        <v>1175587</v>
      </c>
      <c r="I4" s="4">
        <v>1051642</v>
      </c>
      <c r="J4" s="4">
        <v>1016203</v>
      </c>
      <c r="K4" s="4">
        <v>1190351</v>
      </c>
      <c r="L4" s="4">
        <v>1333004</v>
      </c>
      <c r="M4" s="4">
        <v>1231188</v>
      </c>
      <c r="N4" s="4">
        <v>1193964</v>
      </c>
      <c r="O4" s="4">
        <v>1370239</v>
      </c>
      <c r="P4" s="4">
        <v>1362398</v>
      </c>
      <c r="Q4" s="4">
        <v>1285397</v>
      </c>
      <c r="R4" s="4">
        <v>1221646</v>
      </c>
      <c r="S4" s="4">
        <v>1360233</v>
      </c>
      <c r="T4" s="4">
        <v>1522702</v>
      </c>
      <c r="U4" s="4">
        <v>1601216</v>
      </c>
    </row>
    <row r="5" spans="1:21" x14ac:dyDescent="0.25">
      <c r="A5" s="3" t="s">
        <v>36</v>
      </c>
      <c r="B5" s="4">
        <v>333085</v>
      </c>
      <c r="C5" s="4">
        <v>368402</v>
      </c>
      <c r="D5" s="4">
        <v>382890</v>
      </c>
      <c r="E5" s="4">
        <v>471553</v>
      </c>
      <c r="F5" s="4">
        <v>593357</v>
      </c>
      <c r="G5" s="4">
        <v>821132</v>
      </c>
      <c r="H5" s="4">
        <v>885948</v>
      </c>
      <c r="I5" s="4">
        <v>862977</v>
      </c>
      <c r="J5" s="4">
        <v>935631</v>
      </c>
      <c r="K5" s="4">
        <v>906723</v>
      </c>
      <c r="L5" s="4">
        <v>846812</v>
      </c>
      <c r="M5" s="4">
        <v>883582</v>
      </c>
      <c r="N5" s="4">
        <v>971406</v>
      </c>
      <c r="O5" s="4">
        <v>939630</v>
      </c>
      <c r="P5" s="4">
        <v>834404</v>
      </c>
      <c r="Q5" s="4">
        <v>770338</v>
      </c>
      <c r="R5" s="4">
        <v>737107</v>
      </c>
      <c r="S5" s="4">
        <v>725129</v>
      </c>
      <c r="T5" s="4">
        <v>658167</v>
      </c>
      <c r="U5" s="4">
        <v>704586</v>
      </c>
    </row>
    <row r="6" spans="1:21" x14ac:dyDescent="0.25">
      <c r="A6" s="3" t="s">
        <v>37</v>
      </c>
      <c r="B6" s="4">
        <v>55358</v>
      </c>
      <c r="C6" s="4">
        <v>72803</v>
      </c>
      <c r="D6" s="4">
        <v>83086</v>
      </c>
      <c r="E6" s="4">
        <v>95607</v>
      </c>
      <c r="F6" s="4">
        <v>82668</v>
      </c>
      <c r="G6" s="4">
        <v>110327</v>
      </c>
      <c r="H6" s="4">
        <v>132273</v>
      </c>
      <c r="I6" s="4">
        <v>112294</v>
      </c>
      <c r="J6" s="4">
        <v>109823</v>
      </c>
      <c r="K6" s="4">
        <v>110958</v>
      </c>
      <c r="L6" s="4">
        <v>148750</v>
      </c>
      <c r="M6" s="4">
        <v>162676</v>
      </c>
      <c r="N6" s="4">
        <v>116195</v>
      </c>
      <c r="O6" s="4">
        <v>124580</v>
      </c>
      <c r="P6" s="4">
        <v>129303</v>
      </c>
      <c r="Q6" s="4">
        <v>124656</v>
      </c>
      <c r="R6" s="4">
        <v>107262</v>
      </c>
      <c r="S6" s="4">
        <v>112525</v>
      </c>
      <c r="T6" s="4">
        <v>137257</v>
      </c>
      <c r="U6" s="4">
        <v>142713</v>
      </c>
    </row>
    <row r="7" spans="1:21" x14ac:dyDescent="0.25">
      <c r="A7" s="3" t="s">
        <v>38</v>
      </c>
      <c r="B7" s="4">
        <v>24733</v>
      </c>
      <c r="C7" s="4">
        <v>31171</v>
      </c>
      <c r="D7" s="4">
        <v>22339</v>
      </c>
      <c r="E7" s="4">
        <v>30619</v>
      </c>
      <c r="F7" s="4">
        <v>33238</v>
      </c>
      <c r="G7" s="4">
        <v>39993</v>
      </c>
      <c r="H7" s="4">
        <v>32981</v>
      </c>
      <c r="I7" s="4">
        <v>19949</v>
      </c>
      <c r="J7" s="4">
        <v>33785</v>
      </c>
      <c r="K7" s="4">
        <v>30889</v>
      </c>
      <c r="L7" s="4">
        <v>38534</v>
      </c>
      <c r="M7" s="4">
        <v>23468</v>
      </c>
      <c r="N7" s="4">
        <v>54151</v>
      </c>
      <c r="O7" s="4">
        <v>40340</v>
      </c>
      <c r="P7" s="4">
        <v>63458</v>
      </c>
      <c r="Q7" s="4">
        <v>92028</v>
      </c>
      <c r="R7" s="4">
        <v>42202</v>
      </c>
      <c r="S7" s="4">
        <v>34113</v>
      </c>
      <c r="T7" s="4">
        <v>39034</v>
      </c>
      <c r="U7" s="4">
        <v>38372</v>
      </c>
    </row>
    <row r="8" spans="1:21" x14ac:dyDescent="0.25">
      <c r="A8" s="3" t="s">
        <v>39</v>
      </c>
      <c r="B8" s="6">
        <f t="shared" ref="B8:U8" si="0">SUM(B2:B7)</f>
        <v>3140955</v>
      </c>
      <c r="C8" s="6">
        <f t="shared" si="0"/>
        <v>3433872</v>
      </c>
      <c r="D8" s="6">
        <f t="shared" si="0"/>
        <v>3950675</v>
      </c>
      <c r="E8" s="6">
        <f t="shared" si="0"/>
        <v>4383673</v>
      </c>
      <c r="F8" s="6">
        <f t="shared" si="0"/>
        <v>4682110</v>
      </c>
      <c r="G8" s="6">
        <f t="shared" si="0"/>
        <v>4743666</v>
      </c>
      <c r="H8" s="6">
        <f t="shared" si="0"/>
        <v>4696620</v>
      </c>
      <c r="I8" s="6">
        <f t="shared" si="0"/>
        <v>4696691</v>
      </c>
      <c r="J8" s="6">
        <f t="shared" si="0"/>
        <v>4764897</v>
      </c>
      <c r="K8" s="6">
        <f t="shared" si="0"/>
        <v>5294609</v>
      </c>
      <c r="L8" s="6">
        <f t="shared" si="0"/>
        <v>5654113</v>
      </c>
      <c r="M8" s="6">
        <f t="shared" si="0"/>
        <v>5311515</v>
      </c>
      <c r="N8" s="6">
        <f t="shared" si="0"/>
        <v>5588996</v>
      </c>
      <c r="O8" s="6">
        <f t="shared" si="0"/>
        <v>6035514</v>
      </c>
      <c r="P8" s="6">
        <f t="shared" si="0"/>
        <v>3954297</v>
      </c>
      <c r="Q8" s="6">
        <f t="shared" si="0"/>
        <v>3897758</v>
      </c>
      <c r="R8" s="6">
        <f t="shared" si="0"/>
        <v>3641504</v>
      </c>
      <c r="S8" s="6">
        <f t="shared" si="0"/>
        <v>4135419</v>
      </c>
      <c r="T8" s="6">
        <f t="shared" si="0"/>
        <v>4429340</v>
      </c>
      <c r="U8" s="6">
        <f t="shared" si="0"/>
        <v>5066217</v>
      </c>
    </row>
    <row r="9" spans="1:21" x14ac:dyDescent="0.25">
      <c r="A9" s="3" t="s">
        <v>40</v>
      </c>
      <c r="B9" s="4">
        <v>44291</v>
      </c>
      <c r="C9" s="4">
        <v>63751</v>
      </c>
      <c r="D9" s="4">
        <v>91033</v>
      </c>
      <c r="E9" s="4">
        <v>28255</v>
      </c>
      <c r="F9" s="4">
        <v>99419</v>
      </c>
      <c r="G9" s="4">
        <v>65652</v>
      </c>
      <c r="H9" s="4">
        <v>64119</v>
      </c>
      <c r="I9" s="4">
        <v>72373</v>
      </c>
      <c r="J9" s="4">
        <v>61443</v>
      </c>
      <c r="K9" s="4">
        <v>41152</v>
      </c>
      <c r="L9" s="4">
        <v>62248</v>
      </c>
      <c r="M9" s="4">
        <v>52636</v>
      </c>
      <c r="N9" s="4">
        <v>76431</v>
      </c>
      <c r="O9" s="4">
        <v>8162</v>
      </c>
      <c r="P9" s="4">
        <v>0</v>
      </c>
      <c r="Q9" s="4">
        <v>0</v>
      </c>
      <c r="R9" s="4">
        <v>0</v>
      </c>
      <c r="S9" s="4">
        <v>0</v>
      </c>
      <c r="T9" s="4">
        <v>138058</v>
      </c>
      <c r="U9" s="4">
        <v>359174</v>
      </c>
    </row>
    <row r="10" spans="1:21" x14ac:dyDescent="0.25">
      <c r="A10" s="3" t="s">
        <v>41</v>
      </c>
      <c r="B10" s="4">
        <v>314656</v>
      </c>
      <c r="C10" s="4">
        <v>312155</v>
      </c>
      <c r="D10" s="4">
        <v>309178</v>
      </c>
      <c r="E10" s="4">
        <v>309574</v>
      </c>
      <c r="F10" s="4">
        <v>313753</v>
      </c>
      <c r="G10" s="4">
        <v>407391</v>
      </c>
      <c r="H10" s="4">
        <v>464541</v>
      </c>
      <c r="I10" s="4">
        <v>485550</v>
      </c>
      <c r="J10" s="4">
        <v>516897</v>
      </c>
      <c r="K10" s="4">
        <v>545922</v>
      </c>
      <c r="L10" s="4">
        <v>576645</v>
      </c>
      <c r="M10" s="4">
        <v>731208</v>
      </c>
      <c r="N10" s="4">
        <v>890796</v>
      </c>
      <c r="O10" s="4">
        <v>923290</v>
      </c>
      <c r="P10" s="4">
        <v>960962</v>
      </c>
      <c r="Q10" s="4">
        <v>1006788</v>
      </c>
      <c r="R10" s="4">
        <v>1047024</v>
      </c>
      <c r="S10" s="4">
        <v>1064008</v>
      </c>
      <c r="T10" s="4">
        <v>1090898</v>
      </c>
      <c r="U10" s="4">
        <v>1110705</v>
      </c>
    </row>
    <row r="11" spans="1:21" x14ac:dyDescent="0.25">
      <c r="A11" s="3" t="s">
        <v>42</v>
      </c>
      <c r="B11" s="4">
        <v>241650</v>
      </c>
      <c r="C11" s="4">
        <v>241650</v>
      </c>
      <c r="D11" s="4">
        <v>241297</v>
      </c>
      <c r="E11" s="4">
        <v>241297</v>
      </c>
      <c r="F11" s="4">
        <v>225221</v>
      </c>
      <c r="G11" s="4">
        <v>225221</v>
      </c>
      <c r="H11" s="4">
        <v>203287</v>
      </c>
      <c r="I11" s="4">
        <v>195511</v>
      </c>
      <c r="J11" s="4">
        <v>177039</v>
      </c>
      <c r="K11" s="4">
        <v>177039</v>
      </c>
      <c r="L11" s="4">
        <v>177039</v>
      </c>
      <c r="M11" s="4">
        <v>176724</v>
      </c>
      <c r="N11" s="4">
        <v>175003</v>
      </c>
      <c r="O11" s="4">
        <v>175271</v>
      </c>
      <c r="P11" s="4">
        <v>187269</v>
      </c>
      <c r="Q11" s="4">
        <v>183430</v>
      </c>
      <c r="R11" s="4">
        <v>184260</v>
      </c>
      <c r="S11" s="4">
        <v>184358</v>
      </c>
      <c r="T11" s="4">
        <v>184791</v>
      </c>
      <c r="U11" s="4">
        <v>185321</v>
      </c>
    </row>
    <row r="12" spans="1:21" x14ac:dyDescent="0.25">
      <c r="A12" s="3" t="s">
        <v>43</v>
      </c>
      <c r="B12" s="4">
        <v>1331643</v>
      </c>
      <c r="C12" s="4">
        <v>1331643</v>
      </c>
      <c r="D12" s="4">
        <v>1331643</v>
      </c>
      <c r="E12" s="4">
        <v>1331643</v>
      </c>
      <c r="F12" s="4">
        <v>1331643</v>
      </c>
      <c r="G12" s="4">
        <v>1411928</v>
      </c>
      <c r="H12" s="4">
        <v>1412941</v>
      </c>
      <c r="I12" s="4">
        <v>1412941</v>
      </c>
      <c r="J12" s="4">
        <v>1417941</v>
      </c>
      <c r="K12" s="4">
        <v>1417941</v>
      </c>
      <c r="L12" s="4">
        <v>1417941</v>
      </c>
      <c r="M12" s="4">
        <v>1417941</v>
      </c>
      <c r="N12" s="4">
        <v>1417941</v>
      </c>
      <c r="O12" s="4">
        <v>1417941</v>
      </c>
      <c r="P12" s="4">
        <v>1417941</v>
      </c>
      <c r="Q12" s="4">
        <v>1417941</v>
      </c>
      <c r="R12" s="4">
        <v>1331643</v>
      </c>
      <c r="S12" s="4">
        <v>1331643</v>
      </c>
      <c r="T12" s="4">
        <v>1331643</v>
      </c>
      <c r="U12" s="4">
        <v>1331643</v>
      </c>
    </row>
    <row r="13" spans="1:21" x14ac:dyDescent="0.25">
      <c r="A13" s="3" t="s">
        <v>44</v>
      </c>
      <c r="B13" s="4">
        <v>1059046</v>
      </c>
      <c r="C13" s="4">
        <v>1063092</v>
      </c>
      <c r="D13" s="4">
        <v>1058323</v>
      </c>
      <c r="E13" s="4">
        <v>1066083</v>
      </c>
      <c r="F13" s="4">
        <v>1072386</v>
      </c>
      <c r="G13" s="4">
        <v>1232113</v>
      </c>
      <c r="H13" s="4">
        <v>1223114</v>
      </c>
      <c r="I13" s="4">
        <v>1225826</v>
      </c>
      <c r="J13" s="4">
        <v>1220410</v>
      </c>
      <c r="K13" s="4">
        <v>1222598</v>
      </c>
      <c r="L13" s="4">
        <v>1224100</v>
      </c>
      <c r="M13" s="4">
        <v>1459447</v>
      </c>
      <c r="N13" s="4">
        <v>1427139</v>
      </c>
      <c r="O13" s="4">
        <v>1430762</v>
      </c>
      <c r="P13" s="4">
        <v>1433326</v>
      </c>
      <c r="Q13" s="4">
        <v>1442426</v>
      </c>
      <c r="R13" s="4">
        <v>1414252</v>
      </c>
      <c r="S13" s="4">
        <v>1415958</v>
      </c>
      <c r="T13" s="4">
        <v>1418827</v>
      </c>
      <c r="U13" s="4">
        <v>1419306</v>
      </c>
    </row>
    <row r="14" spans="1:21" x14ac:dyDescent="0.25">
      <c r="A14" s="3" t="s">
        <v>45</v>
      </c>
      <c r="B14" s="4">
        <v>70475</v>
      </c>
      <c r="C14" s="4">
        <v>88203</v>
      </c>
      <c r="D14" s="4">
        <v>89394</v>
      </c>
      <c r="E14" s="4">
        <v>88883</v>
      </c>
      <c r="F14" s="4">
        <v>80252</v>
      </c>
      <c r="G14" s="4">
        <v>101488</v>
      </c>
      <c r="H14" s="4">
        <v>110390</v>
      </c>
      <c r="I14" s="4">
        <v>115913</v>
      </c>
      <c r="J14" s="4">
        <v>134478</v>
      </c>
      <c r="K14" s="4">
        <v>145101</v>
      </c>
      <c r="L14" s="4">
        <v>151252</v>
      </c>
      <c r="M14" s="4">
        <v>164867</v>
      </c>
      <c r="N14" s="4">
        <v>110216</v>
      </c>
      <c r="O14" s="4">
        <v>107126</v>
      </c>
      <c r="P14" s="4">
        <v>107109</v>
      </c>
      <c r="Q14" s="4">
        <v>104958</v>
      </c>
      <c r="R14" s="4">
        <v>100406</v>
      </c>
      <c r="S14" s="4">
        <v>95642</v>
      </c>
      <c r="T14" s="4">
        <v>136331</v>
      </c>
      <c r="U14" s="4">
        <v>138907</v>
      </c>
    </row>
    <row r="15" spans="1:21" x14ac:dyDescent="0.25">
      <c r="A15" s="3" t="s">
        <v>46</v>
      </c>
      <c r="B15" s="6">
        <f t="shared" ref="B15:U15" si="1">B8+SUM(B9:B14)</f>
        <v>6202716</v>
      </c>
      <c r="C15" s="6">
        <f t="shared" si="1"/>
        <v>6534366</v>
      </c>
      <c r="D15" s="6">
        <f t="shared" si="1"/>
        <v>7071543</v>
      </c>
      <c r="E15" s="6">
        <f t="shared" si="1"/>
        <v>7449408</v>
      </c>
      <c r="F15" s="6">
        <f t="shared" si="1"/>
        <v>7804784</v>
      </c>
      <c r="G15" s="6">
        <f t="shared" si="1"/>
        <v>8187459</v>
      </c>
      <c r="H15" s="6">
        <f t="shared" si="1"/>
        <v>8175012</v>
      </c>
      <c r="I15" s="6">
        <f t="shared" si="1"/>
        <v>8204805</v>
      </c>
      <c r="J15" s="6">
        <f t="shared" si="1"/>
        <v>8293105</v>
      </c>
      <c r="K15" s="6">
        <f t="shared" si="1"/>
        <v>8844362</v>
      </c>
      <c r="L15" s="6">
        <f t="shared" si="1"/>
        <v>9263338</v>
      </c>
      <c r="M15" s="6">
        <f t="shared" si="1"/>
        <v>9314338</v>
      </c>
      <c r="N15" s="6">
        <f t="shared" si="1"/>
        <v>9686522</v>
      </c>
      <c r="O15" s="6">
        <f t="shared" si="1"/>
        <v>10098066</v>
      </c>
      <c r="P15" s="6">
        <f t="shared" si="1"/>
        <v>8060904</v>
      </c>
      <c r="Q15" s="6">
        <f t="shared" si="1"/>
        <v>8053301</v>
      </c>
      <c r="R15" s="6">
        <f t="shared" si="1"/>
        <v>7719089</v>
      </c>
      <c r="S15" s="6">
        <f t="shared" si="1"/>
        <v>8227028</v>
      </c>
      <c r="T15" s="6">
        <f t="shared" si="1"/>
        <v>8729888</v>
      </c>
      <c r="U15" s="6">
        <f t="shared" si="1"/>
        <v>9611273</v>
      </c>
    </row>
    <row r="16" spans="1:21" x14ac:dyDescent="0.25">
      <c r="A16" s="3" t="s">
        <v>47</v>
      </c>
      <c r="B16" s="4">
        <v>296800</v>
      </c>
      <c r="C16" s="4">
        <v>334076</v>
      </c>
      <c r="D16" s="4">
        <v>362900</v>
      </c>
      <c r="E16" s="4">
        <v>396229</v>
      </c>
      <c r="F16" s="4">
        <v>404263</v>
      </c>
      <c r="G16" s="4">
        <v>438256</v>
      </c>
      <c r="H16" s="4">
        <v>492858</v>
      </c>
      <c r="I16" s="4">
        <v>520198</v>
      </c>
      <c r="J16" s="4">
        <v>444265</v>
      </c>
      <c r="K16" s="4">
        <v>491249</v>
      </c>
      <c r="L16" s="4">
        <v>568613</v>
      </c>
      <c r="M16" s="4">
        <v>539892</v>
      </c>
      <c r="N16" s="4">
        <v>564379</v>
      </c>
      <c r="O16" s="4">
        <v>533729</v>
      </c>
      <c r="P16" s="4">
        <v>511137</v>
      </c>
      <c r="Q16" s="4">
        <v>549028</v>
      </c>
      <c r="R16" s="4">
        <v>466775</v>
      </c>
      <c r="S16" s="4">
        <v>486951</v>
      </c>
      <c r="T16" s="4">
        <v>489037</v>
      </c>
      <c r="U16" s="4">
        <v>683030</v>
      </c>
    </row>
    <row r="17" spans="1:21" x14ac:dyDescent="0.25">
      <c r="A17" s="3" t="s">
        <v>48</v>
      </c>
      <c r="B17" s="4">
        <v>142653</v>
      </c>
      <c r="C17" s="4">
        <v>170954</v>
      </c>
      <c r="D17" s="4">
        <v>172498</v>
      </c>
      <c r="E17" s="4">
        <v>180719</v>
      </c>
      <c r="F17" s="4">
        <v>210964</v>
      </c>
      <c r="G17" s="4">
        <v>234111</v>
      </c>
      <c r="H17" s="4">
        <v>209154</v>
      </c>
      <c r="I17" s="4">
        <v>198692</v>
      </c>
      <c r="J17" s="4">
        <v>172991</v>
      </c>
      <c r="K17" s="4">
        <v>245932</v>
      </c>
      <c r="L17" s="4">
        <v>198656</v>
      </c>
      <c r="M17" s="4">
        <v>207727</v>
      </c>
      <c r="N17" s="4">
        <v>183988</v>
      </c>
      <c r="O17" s="4">
        <v>204679</v>
      </c>
      <c r="P17" s="4">
        <v>213905</v>
      </c>
      <c r="Q17" s="4">
        <v>259088</v>
      </c>
      <c r="R17" s="4">
        <v>220764</v>
      </c>
      <c r="S17" s="4">
        <v>262545</v>
      </c>
      <c r="T17" s="4">
        <v>258937</v>
      </c>
      <c r="U17" s="4">
        <v>325450</v>
      </c>
    </row>
    <row r="18" spans="1:21" x14ac:dyDescent="0.25">
      <c r="A18" s="3" t="s">
        <v>49</v>
      </c>
      <c r="B18" s="4">
        <v>186658</v>
      </c>
      <c r="C18" s="4">
        <v>197380</v>
      </c>
      <c r="D18" s="4">
        <v>227414</v>
      </c>
      <c r="E18" s="4">
        <v>232394</v>
      </c>
      <c r="F18" s="4">
        <v>211461</v>
      </c>
      <c r="G18" s="4">
        <v>270785</v>
      </c>
      <c r="H18" s="4">
        <v>277618</v>
      </c>
      <c r="I18" s="4">
        <v>281650</v>
      </c>
      <c r="J18" s="4">
        <v>255631</v>
      </c>
      <c r="K18" s="4">
        <v>308094</v>
      </c>
      <c r="L18" s="4">
        <v>283647</v>
      </c>
      <c r="M18" s="4">
        <v>296577</v>
      </c>
      <c r="N18" s="4">
        <v>269061</v>
      </c>
      <c r="O18" s="4">
        <v>318895</v>
      </c>
      <c r="P18" s="4">
        <v>319757</v>
      </c>
      <c r="Q18" s="4">
        <v>301973</v>
      </c>
      <c r="R18" s="4">
        <v>267711</v>
      </c>
      <c r="S18" s="4">
        <v>304670</v>
      </c>
      <c r="T18" s="4">
        <v>360406</v>
      </c>
      <c r="U18" s="4">
        <v>392628</v>
      </c>
    </row>
    <row r="19" spans="1:21" x14ac:dyDescent="0.25">
      <c r="A19" s="3" t="s">
        <v>50</v>
      </c>
      <c r="B19" s="4">
        <v>45429</v>
      </c>
      <c r="C19" s="4">
        <v>45961</v>
      </c>
      <c r="D19" s="4">
        <v>46656</v>
      </c>
      <c r="E19" s="4">
        <v>45278</v>
      </c>
      <c r="F19" s="4">
        <v>42530</v>
      </c>
      <c r="G19" s="4">
        <v>42540</v>
      </c>
      <c r="H19" s="4">
        <v>44344</v>
      </c>
      <c r="I19" s="4">
        <v>42608</v>
      </c>
      <c r="J19" s="4">
        <v>43311</v>
      </c>
      <c r="K19" s="4">
        <v>44440</v>
      </c>
      <c r="L19" s="4">
        <v>42765</v>
      </c>
      <c r="M19" s="4">
        <v>40127</v>
      </c>
      <c r="N19" s="4">
        <v>41914</v>
      </c>
      <c r="O19" s="4">
        <v>43776</v>
      </c>
      <c r="P19" s="4">
        <v>44377</v>
      </c>
      <c r="Q19" s="4">
        <v>45627</v>
      </c>
      <c r="R19" s="4">
        <v>45809</v>
      </c>
      <c r="S19" s="4">
        <v>47542</v>
      </c>
      <c r="T19" s="4">
        <v>49279</v>
      </c>
      <c r="U19" s="4">
        <v>47158</v>
      </c>
    </row>
    <row r="20" spans="1:21" x14ac:dyDescent="0.25">
      <c r="A20" s="3" t="s">
        <v>51</v>
      </c>
      <c r="B20" s="4">
        <v>55015</v>
      </c>
      <c r="C20" s="4">
        <v>30499</v>
      </c>
      <c r="D20" s="4">
        <v>46770</v>
      </c>
      <c r="E20" s="4">
        <v>54507</v>
      </c>
      <c r="F20" s="4">
        <v>65459</v>
      </c>
      <c r="G20" s="4">
        <v>37551</v>
      </c>
      <c r="H20" s="4">
        <v>53717</v>
      </c>
      <c r="I20" s="4">
        <v>61426</v>
      </c>
      <c r="J20" s="4">
        <v>72463</v>
      </c>
      <c r="K20" s="4">
        <v>42673</v>
      </c>
      <c r="L20" s="4">
        <v>56195</v>
      </c>
      <c r="M20" s="4">
        <v>76835</v>
      </c>
      <c r="N20" s="4">
        <v>87392</v>
      </c>
      <c r="O20" s="4">
        <v>52638</v>
      </c>
      <c r="P20" s="4">
        <v>60357</v>
      </c>
      <c r="Q20" s="4">
        <v>81787</v>
      </c>
      <c r="R20" s="4">
        <v>92454</v>
      </c>
      <c r="S20" s="4">
        <v>55812</v>
      </c>
      <c r="T20" s="4">
        <v>72838</v>
      </c>
      <c r="U20" s="4">
        <v>102131</v>
      </c>
    </row>
    <row r="21" spans="1:21" x14ac:dyDescent="0.25">
      <c r="A21" s="3" t="s">
        <v>52</v>
      </c>
      <c r="B21" s="4">
        <v>23433</v>
      </c>
      <c r="C21" s="4">
        <v>9991</v>
      </c>
      <c r="D21" s="4">
        <v>31289</v>
      </c>
      <c r="E21" s="4">
        <v>23113</v>
      </c>
      <c r="F21" s="4">
        <v>30399</v>
      </c>
      <c r="G21" s="4">
        <v>21118</v>
      </c>
      <c r="H21" s="4">
        <v>15917</v>
      </c>
      <c r="I21" s="4">
        <v>17143</v>
      </c>
      <c r="J21" s="4">
        <v>13317</v>
      </c>
      <c r="K21" s="4">
        <v>55123</v>
      </c>
      <c r="L21" s="4">
        <v>12704</v>
      </c>
      <c r="M21" s="4">
        <v>17644</v>
      </c>
      <c r="N21" s="4">
        <v>14955</v>
      </c>
      <c r="O21" s="4">
        <v>75111</v>
      </c>
      <c r="P21" s="4">
        <v>10990</v>
      </c>
      <c r="Q21" s="4">
        <v>7641</v>
      </c>
      <c r="R21" s="4">
        <v>4006</v>
      </c>
      <c r="S21" s="4">
        <v>67837</v>
      </c>
      <c r="T21" s="4">
        <v>28121</v>
      </c>
      <c r="U21" s="4">
        <v>40023</v>
      </c>
    </row>
    <row r="22" spans="1:21" x14ac:dyDescent="0.25">
      <c r="A22" s="3" t="s">
        <v>53</v>
      </c>
      <c r="B22" s="6">
        <f t="shared" ref="B22:U22" si="2">SUM(B16:B21)</f>
        <v>749988</v>
      </c>
      <c r="C22" s="6">
        <f t="shared" si="2"/>
        <v>788861</v>
      </c>
      <c r="D22" s="6">
        <f t="shared" si="2"/>
        <v>887527</v>
      </c>
      <c r="E22" s="6">
        <f t="shared" si="2"/>
        <v>932240</v>
      </c>
      <c r="F22" s="6">
        <f t="shared" si="2"/>
        <v>965076</v>
      </c>
      <c r="G22" s="6">
        <f t="shared" si="2"/>
        <v>1044361</v>
      </c>
      <c r="H22" s="6">
        <f t="shared" si="2"/>
        <v>1093608</v>
      </c>
      <c r="I22" s="6">
        <f t="shared" si="2"/>
        <v>1121717</v>
      </c>
      <c r="J22" s="6">
        <f t="shared" si="2"/>
        <v>1001978</v>
      </c>
      <c r="K22" s="6">
        <f t="shared" si="2"/>
        <v>1187511</v>
      </c>
      <c r="L22" s="6">
        <f t="shared" si="2"/>
        <v>1162580</v>
      </c>
      <c r="M22" s="6">
        <f t="shared" si="2"/>
        <v>1178802</v>
      </c>
      <c r="N22" s="6">
        <f t="shared" si="2"/>
        <v>1161689</v>
      </c>
      <c r="O22" s="6">
        <f t="shared" si="2"/>
        <v>1228828</v>
      </c>
      <c r="P22" s="6">
        <f t="shared" si="2"/>
        <v>1160523</v>
      </c>
      <c r="Q22" s="6">
        <f t="shared" si="2"/>
        <v>1245144</v>
      </c>
      <c r="R22" s="6">
        <f t="shared" si="2"/>
        <v>1097519</v>
      </c>
      <c r="S22" s="6">
        <f t="shared" si="2"/>
        <v>1225357</v>
      </c>
      <c r="T22" s="6">
        <f t="shared" si="2"/>
        <v>1258618</v>
      </c>
      <c r="U22" s="6">
        <f t="shared" si="2"/>
        <v>1590420</v>
      </c>
    </row>
    <row r="23" spans="1:21" x14ac:dyDescent="0.25">
      <c r="A23" s="3" t="s">
        <v>54</v>
      </c>
      <c r="B23" s="4">
        <v>264436</v>
      </c>
      <c r="C23" s="4">
        <v>257730</v>
      </c>
      <c r="D23" s="4">
        <v>252056</v>
      </c>
      <c r="E23" s="4">
        <v>245621</v>
      </c>
      <c r="F23" s="4">
        <v>243249</v>
      </c>
      <c r="G23" s="4">
        <v>238241</v>
      </c>
      <c r="H23" s="4">
        <v>232170</v>
      </c>
      <c r="I23" s="4">
        <v>226294</v>
      </c>
      <c r="J23" s="4">
        <v>223800</v>
      </c>
      <c r="K23" s="4">
        <v>219764</v>
      </c>
      <c r="L23" s="4">
        <v>215039</v>
      </c>
      <c r="M23" s="4">
        <v>209136</v>
      </c>
      <c r="N23" s="4">
        <v>204251</v>
      </c>
      <c r="O23" s="4">
        <v>198759</v>
      </c>
      <c r="P23" s="4">
        <v>192354</v>
      </c>
      <c r="Q23" s="4">
        <v>186135</v>
      </c>
      <c r="R23" s="4">
        <v>179008</v>
      </c>
      <c r="S23" s="4">
        <v>173921</v>
      </c>
      <c r="T23" s="4">
        <v>169763</v>
      </c>
      <c r="U23" s="4">
        <v>164701</v>
      </c>
    </row>
    <row r="24" spans="1:21" x14ac:dyDescent="0.25">
      <c r="A24" s="3" t="s">
        <v>120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28896</v>
      </c>
      <c r="Q24" s="4">
        <v>28896</v>
      </c>
      <c r="R24" s="4">
        <v>0</v>
      </c>
      <c r="S24" s="4">
        <v>0</v>
      </c>
      <c r="T24" s="4">
        <v>0</v>
      </c>
      <c r="U24" s="4">
        <v>0</v>
      </c>
    </row>
    <row r="25" spans="1:21" x14ac:dyDescent="0.25">
      <c r="A25" s="3" t="s">
        <v>55</v>
      </c>
      <c r="B25" s="4">
        <v>27432</v>
      </c>
      <c r="C25" s="4">
        <v>28338</v>
      </c>
      <c r="D25" s="4">
        <v>26462</v>
      </c>
      <c r="E25" s="4">
        <v>26550</v>
      </c>
      <c r="F25" s="4">
        <v>29508</v>
      </c>
      <c r="G25" s="4">
        <v>38185</v>
      </c>
      <c r="H25" s="4">
        <v>40056</v>
      </c>
      <c r="I25" s="4">
        <v>41034</v>
      </c>
      <c r="J25" s="4">
        <v>42286</v>
      </c>
      <c r="K25" s="4">
        <v>41727</v>
      </c>
      <c r="L25" s="4">
        <v>44255</v>
      </c>
      <c r="M25" s="4">
        <v>53251</v>
      </c>
      <c r="N25" s="4">
        <v>91838</v>
      </c>
      <c r="O25" s="4">
        <v>92690</v>
      </c>
      <c r="P25" s="4">
        <v>64068</v>
      </c>
      <c r="Q25" s="4">
        <v>64884</v>
      </c>
      <c r="R25" s="4">
        <v>110893</v>
      </c>
      <c r="S25" s="4">
        <v>109252</v>
      </c>
      <c r="T25" s="4">
        <v>110203</v>
      </c>
      <c r="U25" s="4">
        <v>110992</v>
      </c>
    </row>
    <row r="26" spans="1:21" x14ac:dyDescent="0.25">
      <c r="A26" s="3" t="s">
        <v>56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748740</v>
      </c>
      <c r="Q26" s="4">
        <v>748842</v>
      </c>
      <c r="R26" s="4">
        <v>373951</v>
      </c>
      <c r="S26" s="4">
        <v>199059</v>
      </c>
      <c r="T26" s="4">
        <v>0</v>
      </c>
      <c r="U26" s="4">
        <v>0</v>
      </c>
    </row>
    <row r="27" spans="1:21" x14ac:dyDescent="0.25">
      <c r="A27" s="3" t="s">
        <v>57</v>
      </c>
      <c r="B27" s="6">
        <f t="shared" ref="B27:U27" si="3">B22+SUM(B23:B26)</f>
        <v>1041856</v>
      </c>
      <c r="C27" s="6">
        <f t="shared" si="3"/>
        <v>1074929</v>
      </c>
      <c r="D27" s="6">
        <f t="shared" si="3"/>
        <v>1166045</v>
      </c>
      <c r="E27" s="6">
        <f t="shared" si="3"/>
        <v>1204411</v>
      </c>
      <c r="F27" s="6">
        <f t="shared" si="3"/>
        <v>1237833</v>
      </c>
      <c r="G27" s="6">
        <f t="shared" si="3"/>
        <v>1320787</v>
      </c>
      <c r="H27" s="6">
        <f t="shared" si="3"/>
        <v>1365834</v>
      </c>
      <c r="I27" s="6">
        <f t="shared" si="3"/>
        <v>1389045</v>
      </c>
      <c r="J27" s="6">
        <f t="shared" si="3"/>
        <v>1268064</v>
      </c>
      <c r="K27" s="6">
        <f t="shared" si="3"/>
        <v>1449002</v>
      </c>
      <c r="L27" s="6">
        <f t="shared" si="3"/>
        <v>1421874</v>
      </c>
      <c r="M27" s="6">
        <f t="shared" si="3"/>
        <v>1441189</v>
      </c>
      <c r="N27" s="6">
        <f t="shared" si="3"/>
        <v>1457778</v>
      </c>
      <c r="O27" s="6">
        <f t="shared" si="3"/>
        <v>1520277</v>
      </c>
      <c r="P27" s="6">
        <f t="shared" si="3"/>
        <v>2194581</v>
      </c>
      <c r="Q27" s="6">
        <f t="shared" si="3"/>
        <v>2273901</v>
      </c>
      <c r="R27" s="6">
        <f t="shared" si="3"/>
        <v>1761371</v>
      </c>
      <c r="S27" s="6">
        <f t="shared" si="3"/>
        <v>1707589</v>
      </c>
      <c r="T27" s="6">
        <f t="shared" si="3"/>
        <v>1538584</v>
      </c>
      <c r="U27" s="6">
        <f t="shared" si="3"/>
        <v>1866113</v>
      </c>
    </row>
    <row r="28" spans="1:21" x14ac:dyDescent="0.25">
      <c r="A28" s="3" t="s">
        <v>58</v>
      </c>
      <c r="B28" s="4">
        <v>3193</v>
      </c>
      <c r="C28" s="4">
        <v>3196</v>
      </c>
      <c r="D28" s="4">
        <v>3198</v>
      </c>
      <c r="E28" s="4">
        <v>3199</v>
      </c>
      <c r="F28" s="4">
        <v>3200</v>
      </c>
      <c r="G28" s="4">
        <v>3203</v>
      </c>
      <c r="H28" s="4">
        <v>3205</v>
      </c>
      <c r="I28" s="4">
        <v>3206</v>
      </c>
      <c r="J28" s="4">
        <v>6418</v>
      </c>
      <c r="K28" s="4">
        <v>5587</v>
      </c>
      <c r="L28" s="4">
        <v>5591</v>
      </c>
      <c r="M28" s="4">
        <v>5592</v>
      </c>
      <c r="N28" s="4">
        <v>5613</v>
      </c>
      <c r="O28" s="4">
        <v>5624</v>
      </c>
      <c r="P28" s="4">
        <v>5627</v>
      </c>
      <c r="Q28" s="4">
        <v>5628</v>
      </c>
      <c r="R28" s="4">
        <v>5632</v>
      </c>
      <c r="S28" s="4">
        <v>5643</v>
      </c>
      <c r="T28" s="4">
        <v>5650</v>
      </c>
      <c r="U28" s="4">
        <v>5655</v>
      </c>
    </row>
    <row r="29" spans="1:21" x14ac:dyDescent="0.25">
      <c r="A29" s="3" t="s">
        <v>59</v>
      </c>
      <c r="B29" s="4">
        <v>4537982</v>
      </c>
      <c r="C29" s="4">
        <v>4562689</v>
      </c>
      <c r="D29" s="4">
        <v>4597333</v>
      </c>
      <c r="E29" s="4">
        <v>4626299</v>
      </c>
      <c r="F29" s="4">
        <v>4652620</v>
      </c>
      <c r="G29" s="4">
        <v>4673302</v>
      </c>
      <c r="H29" s="4">
        <v>4707569</v>
      </c>
      <c r="I29" s="4">
        <v>4736141</v>
      </c>
      <c r="J29" s="4">
        <v>4776804</v>
      </c>
      <c r="K29" s="4">
        <v>4829301</v>
      </c>
      <c r="L29" s="4">
        <v>4869791</v>
      </c>
      <c r="M29" s="4">
        <v>4893289</v>
      </c>
      <c r="N29" s="4">
        <v>4975115</v>
      </c>
      <c r="O29" s="4">
        <v>5034948</v>
      </c>
      <c r="P29" s="4">
        <v>5068291</v>
      </c>
      <c r="Q29" s="4">
        <v>5105957</v>
      </c>
      <c r="R29" s="4">
        <v>5144922</v>
      </c>
      <c r="S29" s="4">
        <v>5213731</v>
      </c>
      <c r="T29" s="4">
        <v>5285157</v>
      </c>
      <c r="U29" s="4">
        <v>5343915</v>
      </c>
    </row>
    <row r="30" spans="1:21" x14ac:dyDescent="0.25">
      <c r="A30" s="3" t="s">
        <v>60</v>
      </c>
      <c r="B30" s="4">
        <v>6432074</v>
      </c>
      <c r="C30" s="4">
        <v>6747268</v>
      </c>
      <c r="D30" s="4">
        <v>7151030</v>
      </c>
      <c r="E30" s="4">
        <v>7488235</v>
      </c>
      <c r="F30" s="4">
        <v>7809549</v>
      </c>
      <c r="G30" s="4">
        <v>8103752</v>
      </c>
      <c r="H30" s="4">
        <v>8377112</v>
      </c>
      <c r="I30" s="4">
        <v>8699499</v>
      </c>
      <c r="J30" s="4">
        <v>9001173</v>
      </c>
      <c r="K30" s="4">
        <v>4706192</v>
      </c>
      <c r="L30" s="4">
        <v>5120063</v>
      </c>
      <c r="M30" s="4">
        <v>5572757</v>
      </c>
      <c r="N30" s="4">
        <v>5939736</v>
      </c>
      <c r="O30" s="4">
        <v>6381785</v>
      </c>
      <c r="P30" s="4">
        <v>6807154</v>
      </c>
      <c r="Q30" s="4">
        <v>7178073</v>
      </c>
      <c r="R30" s="4">
        <v>7448784</v>
      </c>
      <c r="S30" s="4">
        <v>7891777</v>
      </c>
      <c r="T30" s="4">
        <v>8380571</v>
      </c>
      <c r="U30" s="4">
        <v>8905026</v>
      </c>
    </row>
    <row r="31" spans="1:21" x14ac:dyDescent="0.25">
      <c r="A31" s="3" t="s">
        <v>61</v>
      </c>
      <c r="B31" s="4">
        <v>3034</v>
      </c>
      <c r="C31" s="4">
        <v>-24874</v>
      </c>
      <c r="D31" s="4">
        <v>-16822</v>
      </c>
      <c r="E31" s="4">
        <v>-43495</v>
      </c>
      <c r="F31" s="4">
        <v>-69165</v>
      </c>
      <c r="G31" s="4">
        <v>-72145</v>
      </c>
      <c r="H31" s="4">
        <v>-152957</v>
      </c>
      <c r="I31" s="4">
        <v>-224455</v>
      </c>
      <c r="J31" s="4">
        <v>-159073</v>
      </c>
      <c r="K31" s="4">
        <v>-147911</v>
      </c>
      <c r="L31" s="4">
        <v>-155725</v>
      </c>
      <c r="M31" s="4">
        <v>-198033</v>
      </c>
      <c r="N31" s="4">
        <v>-125337</v>
      </c>
      <c r="O31" s="4">
        <v>-157940</v>
      </c>
      <c r="P31" s="4">
        <v>-182304</v>
      </c>
      <c r="Q31" s="4">
        <v>-137842</v>
      </c>
      <c r="R31" s="4">
        <v>-269487</v>
      </c>
      <c r="S31" s="4">
        <v>-202946</v>
      </c>
      <c r="T31" s="4">
        <v>-91308</v>
      </c>
      <c r="U31" s="4">
        <v>-93382</v>
      </c>
    </row>
    <row r="32" spans="1:21" x14ac:dyDescent="0.25">
      <c r="A32" s="3" t="s">
        <v>62</v>
      </c>
      <c r="B32" s="4">
        <v>-5815423</v>
      </c>
      <c r="C32" s="4">
        <v>-5828842</v>
      </c>
      <c r="D32" s="4">
        <v>-5829241</v>
      </c>
      <c r="E32" s="4">
        <v>-5829241</v>
      </c>
      <c r="F32" s="4">
        <v>-5829253</v>
      </c>
      <c r="G32" s="4">
        <v>-5841440</v>
      </c>
      <c r="H32" s="4">
        <v>-6125751</v>
      </c>
      <c r="I32" s="4">
        <v>-6398631</v>
      </c>
      <c r="J32" s="4">
        <v>-6600281</v>
      </c>
      <c r="K32" s="4">
        <v>-1997809</v>
      </c>
      <c r="L32" s="4">
        <v>-1998256</v>
      </c>
      <c r="M32" s="4">
        <v>-2400456</v>
      </c>
      <c r="N32" s="4">
        <v>-2566383</v>
      </c>
      <c r="O32" s="4">
        <v>-2686628</v>
      </c>
      <c r="P32" s="4">
        <v>-5832445</v>
      </c>
      <c r="Q32" s="4">
        <v>-6372416</v>
      </c>
      <c r="R32" s="4">
        <v>-6372133</v>
      </c>
      <c r="S32" s="4">
        <v>-6388766</v>
      </c>
      <c r="T32" s="4">
        <v>-6388766</v>
      </c>
      <c r="U32" s="4">
        <v>-6416054</v>
      </c>
    </row>
    <row r="33" spans="1:21" x14ac:dyDescent="0.25">
      <c r="A33" s="3" t="s">
        <v>63</v>
      </c>
      <c r="B33" s="6">
        <f t="shared" ref="B33:U33" si="4">SUM(B28:B32)</f>
        <v>5160860</v>
      </c>
      <c r="C33" s="6">
        <f t="shared" si="4"/>
        <v>5459437</v>
      </c>
      <c r="D33" s="6">
        <f t="shared" si="4"/>
        <v>5905498</v>
      </c>
      <c r="E33" s="6">
        <f t="shared" si="4"/>
        <v>6244997</v>
      </c>
      <c r="F33" s="6">
        <f t="shared" si="4"/>
        <v>6566951</v>
      </c>
      <c r="G33" s="6">
        <f t="shared" si="4"/>
        <v>6866672</v>
      </c>
      <c r="H33" s="6">
        <f t="shared" si="4"/>
        <v>6809178</v>
      </c>
      <c r="I33" s="6">
        <f t="shared" si="4"/>
        <v>6815760</v>
      </c>
      <c r="J33" s="6">
        <f t="shared" si="4"/>
        <v>7025041</v>
      </c>
      <c r="K33" s="6">
        <f t="shared" si="4"/>
        <v>7395360</v>
      </c>
      <c r="L33" s="6">
        <f t="shared" si="4"/>
        <v>7841464</v>
      </c>
      <c r="M33" s="6">
        <f t="shared" si="4"/>
        <v>7873149</v>
      </c>
      <c r="N33" s="6">
        <f t="shared" si="4"/>
        <v>8228744</v>
      </c>
      <c r="O33" s="6">
        <f t="shared" si="4"/>
        <v>8577789</v>
      </c>
      <c r="P33" s="6">
        <f t="shared" si="4"/>
        <v>5866323</v>
      </c>
      <c r="Q33" s="6">
        <f t="shared" si="4"/>
        <v>5779400</v>
      </c>
      <c r="R33" s="6">
        <f t="shared" si="4"/>
        <v>5957718</v>
      </c>
      <c r="S33" s="6">
        <f t="shared" si="4"/>
        <v>6519439</v>
      </c>
      <c r="T33" s="6">
        <f t="shared" si="4"/>
        <v>7191304</v>
      </c>
      <c r="U33" s="6">
        <f t="shared" si="4"/>
        <v>7745160</v>
      </c>
    </row>
    <row r="34" spans="1:21" x14ac:dyDescent="0.25">
      <c r="A34" s="3" t="s">
        <v>64</v>
      </c>
      <c r="B34" s="6">
        <f t="shared" ref="B34:U34" si="5">B27+B33</f>
        <v>6202716</v>
      </c>
      <c r="C34" s="6">
        <f t="shared" si="5"/>
        <v>6534366</v>
      </c>
      <c r="D34" s="6">
        <f t="shared" si="5"/>
        <v>7071543</v>
      </c>
      <c r="E34" s="6">
        <f t="shared" si="5"/>
        <v>7449408</v>
      </c>
      <c r="F34" s="6">
        <f t="shared" si="5"/>
        <v>7804784</v>
      </c>
      <c r="G34" s="6">
        <f t="shared" si="5"/>
        <v>8187459</v>
      </c>
      <c r="H34" s="6">
        <f t="shared" si="5"/>
        <v>8175012</v>
      </c>
      <c r="I34" s="6">
        <f t="shared" si="5"/>
        <v>8204805</v>
      </c>
      <c r="J34" s="6">
        <f t="shared" si="5"/>
        <v>8293105</v>
      </c>
      <c r="K34" s="6">
        <f t="shared" si="5"/>
        <v>8844362</v>
      </c>
      <c r="L34" s="6">
        <f t="shared" si="5"/>
        <v>9263338</v>
      </c>
      <c r="M34" s="6">
        <f t="shared" si="5"/>
        <v>9314338</v>
      </c>
      <c r="N34" s="6">
        <f t="shared" si="5"/>
        <v>9686522</v>
      </c>
      <c r="O34" s="6">
        <f t="shared" si="5"/>
        <v>10098066</v>
      </c>
      <c r="P34" s="6">
        <f t="shared" si="5"/>
        <v>8060904</v>
      </c>
      <c r="Q34" s="6">
        <f t="shared" si="5"/>
        <v>8053301</v>
      </c>
      <c r="R34" s="6">
        <f t="shared" si="5"/>
        <v>7719089</v>
      </c>
      <c r="S34" s="6">
        <f t="shared" si="5"/>
        <v>8227028</v>
      </c>
      <c r="T34" s="6">
        <f t="shared" si="5"/>
        <v>8729888</v>
      </c>
      <c r="U34" s="6">
        <f t="shared" si="5"/>
        <v>9611273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19" width="13" customWidth="1"/>
  </cols>
  <sheetData>
    <row r="1" spans="1:19" x14ac:dyDescent="0.25">
      <c r="A1" s="1"/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113</v>
      </c>
      <c r="S1" s="2" t="s">
        <v>114</v>
      </c>
    </row>
    <row r="2" spans="1:19" x14ac:dyDescent="0.25">
      <c r="A2" s="3" t="s">
        <v>27</v>
      </c>
      <c r="B2" s="4">
        <v>278835</v>
      </c>
      <c r="C2" s="4">
        <v>590204</v>
      </c>
      <c r="D2" s="4">
        <v>937858</v>
      </c>
      <c r="E2" s="4">
        <v>315194</v>
      </c>
      <c r="F2" s="4">
        <v>718956</v>
      </c>
      <c r="G2" s="4">
        <v>1056161</v>
      </c>
      <c r="H2" s="4">
        <v>294203</v>
      </c>
      <c r="I2" s="4">
        <v>567563</v>
      </c>
      <c r="J2" s="4">
        <v>889950</v>
      </c>
      <c r="K2" s="4">
        <v>397444</v>
      </c>
      <c r="L2" s="4">
        <v>811315</v>
      </c>
      <c r="M2" s="4">
        <v>1264009</v>
      </c>
      <c r="N2" s="4">
        <v>442049</v>
      </c>
      <c r="O2" s="4">
        <v>867418</v>
      </c>
      <c r="P2" s="4">
        <v>1238337</v>
      </c>
      <c r="Q2" s="4">
        <v>442993</v>
      </c>
      <c r="R2" s="4">
        <v>931787</v>
      </c>
      <c r="S2" s="4">
        <v>1456242</v>
      </c>
    </row>
    <row r="3" spans="1:19" x14ac:dyDescent="0.25">
      <c r="A3" s="3" t="s">
        <v>65</v>
      </c>
      <c r="B3" s="4">
        <v>16546</v>
      </c>
      <c r="C3" s="4">
        <v>32057</v>
      </c>
      <c r="D3" s="4">
        <v>45879</v>
      </c>
      <c r="E3" s="4">
        <v>13777</v>
      </c>
      <c r="F3" s="4">
        <v>27489</v>
      </c>
      <c r="G3" s="4">
        <v>40716</v>
      </c>
      <c r="H3" s="4">
        <v>14599</v>
      </c>
      <c r="I3" s="4">
        <v>30432</v>
      </c>
      <c r="J3" s="4">
        <v>46040</v>
      </c>
      <c r="K3" s="4">
        <v>16808</v>
      </c>
      <c r="L3" s="4">
        <v>32384</v>
      </c>
      <c r="M3" s="4">
        <v>50364</v>
      </c>
      <c r="N3" s="4">
        <v>20475</v>
      </c>
      <c r="O3" s="4">
        <v>39913</v>
      </c>
      <c r="P3" s="4">
        <v>59822</v>
      </c>
      <c r="Q3" s="4">
        <v>24848</v>
      </c>
      <c r="R3" s="4">
        <v>52405</v>
      </c>
      <c r="S3" s="4">
        <v>82023</v>
      </c>
    </row>
    <row r="4" spans="1:19" x14ac:dyDescent="0.25">
      <c r="A4" s="3" t="s">
        <v>66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1481</v>
      </c>
      <c r="I4" s="4">
        <v>3222</v>
      </c>
      <c r="J4" s="4">
        <v>5180</v>
      </c>
      <c r="K4" s="4">
        <v>2160</v>
      </c>
      <c r="L4" s="4">
        <v>2828</v>
      </c>
      <c r="M4" s="4">
        <v>6471</v>
      </c>
      <c r="N4" s="4">
        <v>3185</v>
      </c>
      <c r="O4" s="4">
        <v>6599</v>
      </c>
      <c r="P4" s="4">
        <v>9801</v>
      </c>
      <c r="Q4" s="4">
        <v>4014</v>
      </c>
      <c r="R4" s="4">
        <v>6966</v>
      </c>
      <c r="S4" s="4">
        <v>10266</v>
      </c>
    </row>
    <row r="5" spans="1:19" x14ac:dyDescent="0.25">
      <c r="A5" s="3" t="s">
        <v>67</v>
      </c>
      <c r="B5" s="4">
        <v>-58</v>
      </c>
      <c r="C5" s="4">
        <v>-179</v>
      </c>
      <c r="D5" s="4">
        <v>-210</v>
      </c>
      <c r="E5" s="4">
        <v>-88</v>
      </c>
      <c r="F5" s="4">
        <v>-822</v>
      </c>
      <c r="G5" s="4">
        <v>-984</v>
      </c>
      <c r="H5" s="4">
        <v>-6</v>
      </c>
      <c r="I5" s="4">
        <v>-69</v>
      </c>
      <c r="J5" s="4">
        <v>-253</v>
      </c>
      <c r="K5" s="4">
        <v>-385</v>
      </c>
      <c r="L5" s="4">
        <v>-767</v>
      </c>
      <c r="M5" s="4">
        <v>-686</v>
      </c>
      <c r="N5" s="4">
        <v>-177</v>
      </c>
      <c r="O5" s="4">
        <v>1849</v>
      </c>
      <c r="P5" s="4">
        <v>2070</v>
      </c>
      <c r="Q5" s="4">
        <v>324</v>
      </c>
      <c r="R5" s="4">
        <v>-641</v>
      </c>
      <c r="S5" s="4">
        <v>-916</v>
      </c>
    </row>
    <row r="6" spans="1:19" x14ac:dyDescent="0.25">
      <c r="A6" s="3" t="s">
        <v>68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-45382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spans="1:19" x14ac:dyDescent="0.25">
      <c r="A7" s="3" t="s">
        <v>69</v>
      </c>
      <c r="B7" s="4">
        <v>3000</v>
      </c>
      <c r="C7" s="4">
        <v>4000</v>
      </c>
      <c r="D7" s="4">
        <v>7000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2800</v>
      </c>
      <c r="M7" s="4">
        <v>2800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 spans="1:19" x14ac:dyDescent="0.25">
      <c r="A8" s="3" t="s">
        <v>70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6067</v>
      </c>
      <c r="P8" s="4">
        <v>6067</v>
      </c>
      <c r="Q8" s="4">
        <v>2279</v>
      </c>
      <c r="R8" s="4">
        <v>2279</v>
      </c>
      <c r="S8" s="4">
        <v>2279</v>
      </c>
    </row>
    <row r="9" spans="1:19" x14ac:dyDescent="0.25">
      <c r="A9" s="3" t="s">
        <v>71</v>
      </c>
      <c r="B9" s="4">
        <v>17098</v>
      </c>
      <c r="C9" s="4">
        <v>33034</v>
      </c>
      <c r="D9" s="4">
        <v>53042</v>
      </c>
      <c r="E9" s="4">
        <v>18362</v>
      </c>
      <c r="F9" s="4">
        <v>35691</v>
      </c>
      <c r="G9" s="4">
        <v>52391</v>
      </c>
      <c r="H9" s="4">
        <v>16332</v>
      </c>
      <c r="I9" s="4">
        <v>32609</v>
      </c>
      <c r="J9" s="4">
        <v>49167</v>
      </c>
      <c r="K9" s="4">
        <v>16051</v>
      </c>
      <c r="L9" s="4">
        <v>34603</v>
      </c>
      <c r="M9" s="4">
        <v>52465</v>
      </c>
      <c r="N9" s="4">
        <v>22472</v>
      </c>
      <c r="O9" s="4">
        <v>41262</v>
      </c>
      <c r="P9" s="4">
        <v>68793</v>
      </c>
      <c r="Q9" s="4">
        <v>20727</v>
      </c>
      <c r="R9" s="4">
        <v>53854</v>
      </c>
      <c r="S9" s="4">
        <v>86664</v>
      </c>
    </row>
    <row r="10" spans="1:19" x14ac:dyDescent="0.25">
      <c r="A10" s="3" t="s">
        <v>72</v>
      </c>
      <c r="B10" s="4">
        <v>0</v>
      </c>
      <c r="C10" s="4">
        <v>0</v>
      </c>
      <c r="D10" s="4">
        <v>0</v>
      </c>
      <c r="E10" s="4">
        <v>0</v>
      </c>
      <c r="F10" s="4">
        <v>353</v>
      </c>
      <c r="G10" s="4">
        <v>353</v>
      </c>
      <c r="H10" s="4">
        <v>0</v>
      </c>
      <c r="I10" s="4">
        <v>21934</v>
      </c>
      <c r="J10" s="4">
        <v>29710</v>
      </c>
      <c r="K10" s="4">
        <v>0</v>
      </c>
      <c r="L10" s="4">
        <v>0</v>
      </c>
      <c r="M10" s="4">
        <v>0</v>
      </c>
      <c r="N10" s="4">
        <v>9</v>
      </c>
      <c r="O10" s="4">
        <v>-13294</v>
      </c>
      <c r="P10" s="4">
        <v>-10242</v>
      </c>
      <c r="Q10" s="4">
        <v>135</v>
      </c>
      <c r="R10" s="4">
        <v>646</v>
      </c>
      <c r="S10" s="4">
        <v>455</v>
      </c>
    </row>
    <row r="11" spans="1:19" x14ac:dyDescent="0.25">
      <c r="A11" s="3" t="s">
        <v>35</v>
      </c>
      <c r="B11" s="4">
        <v>-147660</v>
      </c>
      <c r="C11" s="4">
        <v>-231782</v>
      </c>
      <c r="D11" s="4">
        <v>-201677</v>
      </c>
      <c r="E11" s="4">
        <v>-147544</v>
      </c>
      <c r="F11" s="4">
        <v>-239700</v>
      </c>
      <c r="G11" s="4">
        <v>-199709</v>
      </c>
      <c r="H11" s="4">
        <v>-134433</v>
      </c>
      <c r="I11" s="4">
        <v>-289236</v>
      </c>
      <c r="J11" s="4">
        <v>-202447</v>
      </c>
      <c r="K11" s="4">
        <v>-167512</v>
      </c>
      <c r="L11" s="4">
        <v>-317808</v>
      </c>
      <c r="M11" s="4">
        <v>-218804</v>
      </c>
      <c r="N11" s="4">
        <v>-195081</v>
      </c>
      <c r="O11" s="4">
        <v>-197227</v>
      </c>
      <c r="P11" s="4">
        <v>-106404</v>
      </c>
      <c r="Q11" s="4">
        <v>-109557</v>
      </c>
      <c r="R11" s="4">
        <v>-222239</v>
      </c>
      <c r="S11" s="4">
        <v>-299139</v>
      </c>
    </row>
    <row r="12" spans="1:19" x14ac:dyDescent="0.25">
      <c r="A12" s="3" t="s">
        <v>121</v>
      </c>
      <c r="B12" s="4">
        <v>176</v>
      </c>
      <c r="C12" s="4">
        <v>188</v>
      </c>
      <c r="D12" s="4">
        <v>341</v>
      </c>
      <c r="E12" s="4">
        <v>92</v>
      </c>
      <c r="F12" s="4">
        <v>160</v>
      </c>
      <c r="G12" s="4">
        <v>228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spans="1:19" x14ac:dyDescent="0.25">
      <c r="A13" s="3" t="s">
        <v>36</v>
      </c>
      <c r="B13" s="4">
        <v>1037</v>
      </c>
      <c r="C13" s="4">
        <v>14181</v>
      </c>
      <c r="D13" s="4">
        <v>39490</v>
      </c>
      <c r="E13" s="4">
        <v>-39546</v>
      </c>
      <c r="F13" s="4">
        <v>-52541</v>
      </c>
      <c r="G13" s="4">
        <v>-149414</v>
      </c>
      <c r="H13" s="4">
        <v>-208673</v>
      </c>
      <c r="I13" s="4">
        <v>-299076</v>
      </c>
      <c r="J13" s="4">
        <v>-297140</v>
      </c>
      <c r="K13" s="4">
        <v>35495</v>
      </c>
      <c r="L13" s="4">
        <v>93077</v>
      </c>
      <c r="M13" s="4">
        <v>69796</v>
      </c>
      <c r="N13" s="4">
        <v>22708</v>
      </c>
      <c r="O13" s="4">
        <v>123484</v>
      </c>
      <c r="P13" s="4">
        <v>197107</v>
      </c>
      <c r="Q13" s="4">
        <v>19594</v>
      </c>
      <c r="R13" s="4">
        <v>104633</v>
      </c>
      <c r="S13" s="4">
        <v>58387</v>
      </c>
    </row>
    <row r="14" spans="1:19" x14ac:dyDescent="0.25">
      <c r="A14" s="3" t="s">
        <v>37</v>
      </c>
      <c r="B14" s="4">
        <v>-18081</v>
      </c>
      <c r="C14" s="4">
        <v>-23394</v>
      </c>
      <c r="D14" s="4">
        <v>-20446</v>
      </c>
      <c r="E14" s="4">
        <v>-18487</v>
      </c>
      <c r="F14" s="4">
        <v>-28232</v>
      </c>
      <c r="G14" s="4">
        <v>-41162</v>
      </c>
      <c r="H14" s="4">
        <v>-29621</v>
      </c>
      <c r="I14" s="4">
        <v>-55663</v>
      </c>
      <c r="J14" s="4">
        <v>-39204</v>
      </c>
      <c r="K14" s="4">
        <v>1273</v>
      </c>
      <c r="L14" s="4">
        <v>-36779</v>
      </c>
      <c r="M14" s="4">
        <v>-67368</v>
      </c>
      <c r="N14" s="4">
        <v>-9507</v>
      </c>
      <c r="O14" s="4">
        <v>-13993</v>
      </c>
      <c r="P14" s="4">
        <v>-5861</v>
      </c>
      <c r="Q14" s="4">
        <v>-3995</v>
      </c>
      <c r="R14" s="4">
        <v>-63675</v>
      </c>
      <c r="S14" s="4">
        <v>-66269</v>
      </c>
    </row>
    <row r="15" spans="1:19" x14ac:dyDescent="0.25">
      <c r="A15" s="3" t="s">
        <v>73</v>
      </c>
      <c r="B15" s="4">
        <v>8078</v>
      </c>
      <c r="C15" s="4">
        <v>7245</v>
      </c>
      <c r="D15" s="4">
        <v>11460</v>
      </c>
      <c r="E15" s="4">
        <v>-7076</v>
      </c>
      <c r="F15" s="4">
        <v>2452</v>
      </c>
      <c r="G15" s="4">
        <v>-7365</v>
      </c>
      <c r="H15" s="4">
        <v>-5885</v>
      </c>
      <c r="I15" s="4">
        <v>-1220</v>
      </c>
      <c r="J15" s="4">
        <v>7867</v>
      </c>
      <c r="K15" s="4">
        <v>3986</v>
      </c>
      <c r="L15" s="4">
        <v>-3345</v>
      </c>
      <c r="M15" s="4">
        <v>8032</v>
      </c>
      <c r="N15" s="4">
        <v>11840</v>
      </c>
      <c r="O15" s="4">
        <v>-12297</v>
      </c>
      <c r="P15" s="4">
        <v>-39668</v>
      </c>
      <c r="Q15" s="4">
        <v>11912</v>
      </c>
      <c r="R15" s="4">
        <v>14512</v>
      </c>
      <c r="S15" s="4">
        <v>14043</v>
      </c>
    </row>
    <row r="16" spans="1:19" x14ac:dyDescent="0.25">
      <c r="A16" s="3" t="s">
        <v>47</v>
      </c>
      <c r="B16" s="4">
        <v>19328</v>
      </c>
      <c r="C16" s="4">
        <v>-6772</v>
      </c>
      <c r="D16" s="4">
        <v>-9724</v>
      </c>
      <c r="E16" s="4">
        <v>36859</v>
      </c>
      <c r="F16" s="4">
        <v>63619</v>
      </c>
      <c r="G16" s="4">
        <v>106570</v>
      </c>
      <c r="H16" s="4">
        <v>18329</v>
      </c>
      <c r="I16" s="4">
        <v>85499</v>
      </c>
      <c r="J16" s="4">
        <v>52663</v>
      </c>
      <c r="K16" s="4">
        <v>51124</v>
      </c>
      <c r="L16" s="4">
        <v>132173</v>
      </c>
      <c r="M16" s="4">
        <v>109823</v>
      </c>
      <c r="N16" s="4">
        <v>-9062</v>
      </c>
      <c r="O16" s="4">
        <v>-33505</v>
      </c>
      <c r="P16" s="4">
        <v>-14346</v>
      </c>
      <c r="Q16" s="4">
        <v>11768</v>
      </c>
      <c r="R16" s="4">
        <v>4333</v>
      </c>
      <c r="S16" s="4">
        <v>148575</v>
      </c>
    </row>
    <row r="17" spans="1:19" x14ac:dyDescent="0.25">
      <c r="A17" s="3" t="s">
        <v>48</v>
      </c>
      <c r="B17" s="4">
        <v>34500</v>
      </c>
      <c r="C17" s="4">
        <v>31691</v>
      </c>
      <c r="D17" s="4">
        <v>53501</v>
      </c>
      <c r="E17" s="4">
        <v>32441</v>
      </c>
      <c r="F17" s="4">
        <v>29883</v>
      </c>
      <c r="G17" s="4">
        <v>34085</v>
      </c>
      <c r="H17" s="4">
        <v>20603</v>
      </c>
      <c r="I17" s="4">
        <v>-789</v>
      </c>
      <c r="J17" s="4">
        <v>-2572</v>
      </c>
      <c r="K17" s="4">
        <v>14207</v>
      </c>
      <c r="L17" s="4">
        <v>20491</v>
      </c>
      <c r="M17" s="4">
        <v>24697</v>
      </c>
      <c r="N17" s="4">
        <v>28259</v>
      </c>
      <c r="O17" s="4">
        <v>2715</v>
      </c>
      <c r="P17" s="4">
        <v>46749</v>
      </c>
      <c r="Q17" s="4">
        <v>33661</v>
      </c>
      <c r="R17" s="4">
        <v>28510</v>
      </c>
      <c r="S17" s="4">
        <v>98535</v>
      </c>
    </row>
    <row r="18" spans="1:19" x14ac:dyDescent="0.25">
      <c r="A18" s="3" t="s">
        <v>49</v>
      </c>
      <c r="B18" s="4">
        <v>9439</v>
      </c>
      <c r="C18" s="4">
        <v>3079</v>
      </c>
      <c r="D18" s="4">
        <v>31915</v>
      </c>
      <c r="E18" s="4">
        <v>13965</v>
      </c>
      <c r="F18" s="4">
        <v>42665</v>
      </c>
      <c r="G18" s="4">
        <v>51022</v>
      </c>
      <c r="H18" s="4">
        <v>61171</v>
      </c>
      <c r="I18" s="4">
        <v>77746</v>
      </c>
      <c r="J18" s="4">
        <v>89236</v>
      </c>
      <c r="K18" s="4">
        <v>48265</v>
      </c>
      <c r="L18" s="4">
        <v>23643</v>
      </c>
      <c r="M18" s="4">
        <v>42425</v>
      </c>
      <c r="N18" s="4">
        <v>52814</v>
      </c>
      <c r="O18" s="4">
        <v>54242</v>
      </c>
      <c r="P18" s="4">
        <v>31492</v>
      </c>
      <c r="Q18" s="4">
        <v>30785</v>
      </c>
      <c r="R18" s="4">
        <v>71516</v>
      </c>
      <c r="S18" s="4">
        <v>105806</v>
      </c>
    </row>
    <row r="19" spans="1:19" x14ac:dyDescent="0.25">
      <c r="A19" s="3" t="s">
        <v>122</v>
      </c>
      <c r="B19" s="4">
        <v>-282</v>
      </c>
      <c r="C19" s="4">
        <v>-140</v>
      </c>
      <c r="D19" s="4">
        <v>-150</v>
      </c>
      <c r="E19" s="4">
        <v>0</v>
      </c>
      <c r="F19" s="4">
        <v>0</v>
      </c>
      <c r="G19" s="4">
        <v>5302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 spans="1:19" x14ac:dyDescent="0.25">
      <c r="A20" s="3" t="s">
        <v>74</v>
      </c>
      <c r="B20" s="4">
        <v>-24807</v>
      </c>
      <c r="C20" s="4">
        <v>-10932</v>
      </c>
      <c r="D20" s="4">
        <v>-1214</v>
      </c>
      <c r="E20" s="4">
        <v>-24443</v>
      </c>
      <c r="F20" s="4">
        <v>-10782</v>
      </c>
      <c r="G20" s="4">
        <v>-2888</v>
      </c>
      <c r="H20" s="4">
        <v>-32122</v>
      </c>
      <c r="I20" s="4">
        <v>-15311</v>
      </c>
      <c r="J20" s="4">
        <v>-6636</v>
      </c>
      <c r="K20" s="4">
        <v>-30261</v>
      </c>
      <c r="L20" s="4">
        <v>-17616</v>
      </c>
      <c r="M20" s="4">
        <v>3523</v>
      </c>
      <c r="N20" s="4">
        <v>-35653</v>
      </c>
      <c r="O20" s="4">
        <v>-26954</v>
      </c>
      <c r="P20" s="4">
        <v>-6043</v>
      </c>
      <c r="Q20" s="4">
        <v>-37338</v>
      </c>
      <c r="R20" s="4">
        <v>-22146</v>
      </c>
      <c r="S20" s="4">
        <v>6434</v>
      </c>
    </row>
    <row r="21" spans="1:19" x14ac:dyDescent="0.25">
      <c r="A21" s="3" t="s">
        <v>75</v>
      </c>
      <c r="B21" s="4">
        <v>-1552</v>
      </c>
      <c r="C21" s="4">
        <v>8278</v>
      </c>
      <c r="D21" s="4">
        <v>17969</v>
      </c>
      <c r="E21" s="4">
        <v>-13287</v>
      </c>
      <c r="F21" s="4">
        <v>7696</v>
      </c>
      <c r="G21" s="4">
        <v>-114</v>
      </c>
      <c r="H21" s="4">
        <v>-9818</v>
      </c>
      <c r="I21" s="4">
        <v>-14666</v>
      </c>
      <c r="J21" s="4">
        <v>-12823</v>
      </c>
      <c r="K21" s="4">
        <v>41617</v>
      </c>
      <c r="L21" s="4">
        <v>-1219</v>
      </c>
      <c r="M21" s="4">
        <v>4217</v>
      </c>
      <c r="N21" s="4">
        <v>60512</v>
      </c>
      <c r="O21" s="4">
        <v>11348</v>
      </c>
      <c r="P21" s="4">
        <v>4213</v>
      </c>
      <c r="Q21" s="4">
        <v>61674</v>
      </c>
      <c r="R21" s="4">
        <v>21056</v>
      </c>
      <c r="S21" s="4">
        <v>33361</v>
      </c>
    </row>
    <row r="22" spans="1:19" x14ac:dyDescent="0.25">
      <c r="A22" s="3" t="s">
        <v>76</v>
      </c>
      <c r="B22" s="4">
        <v>-192</v>
      </c>
      <c r="C22" s="4">
        <v>83</v>
      </c>
      <c r="D22" s="4">
        <v>-562</v>
      </c>
      <c r="E22" s="4">
        <v>504</v>
      </c>
      <c r="F22" s="4">
        <v>621</v>
      </c>
      <c r="G22" s="4">
        <v>574</v>
      </c>
      <c r="H22" s="4">
        <v>-596</v>
      </c>
      <c r="I22" s="4">
        <v>-3211</v>
      </c>
      <c r="J22" s="4">
        <v>-3492</v>
      </c>
      <c r="K22" s="4">
        <v>-751</v>
      </c>
      <c r="L22" s="4">
        <v>-257</v>
      </c>
      <c r="M22" s="4">
        <v>-3636</v>
      </c>
      <c r="N22" s="4">
        <v>335</v>
      </c>
      <c r="O22" s="4">
        <v>-1463</v>
      </c>
      <c r="P22" s="4">
        <v>-2403</v>
      </c>
      <c r="Q22" s="4">
        <v>-1885</v>
      </c>
      <c r="R22" s="4">
        <v>-1582</v>
      </c>
      <c r="S22" s="4">
        <v>-2077</v>
      </c>
    </row>
    <row r="23" spans="1:19" x14ac:dyDescent="0.25">
      <c r="A23" s="3" t="s">
        <v>77</v>
      </c>
      <c r="B23" s="4">
        <v>-4273</v>
      </c>
      <c r="C23" s="4">
        <v>-10383</v>
      </c>
      <c r="D23" s="4">
        <v>-15236</v>
      </c>
      <c r="E23" s="4">
        <v>-5250</v>
      </c>
      <c r="F23" s="4">
        <v>-10922</v>
      </c>
      <c r="G23" s="4">
        <v>-17784</v>
      </c>
      <c r="H23" s="4">
        <v>-5915</v>
      </c>
      <c r="I23" s="4">
        <v>-9101</v>
      </c>
      <c r="J23" s="4">
        <v>-16060</v>
      </c>
      <c r="K23" s="4">
        <v>-5046</v>
      </c>
      <c r="L23" s="4">
        <v>-12361</v>
      </c>
      <c r="M23" s="4">
        <v>-19320</v>
      </c>
      <c r="N23" s="4">
        <v>-3036</v>
      </c>
      <c r="O23" s="4">
        <v>-7731</v>
      </c>
      <c r="P23" s="4">
        <v>-12652</v>
      </c>
      <c r="Q23" s="4">
        <v>-4339</v>
      </c>
      <c r="R23" s="4">
        <v>-8598</v>
      </c>
      <c r="S23" s="4">
        <v>-15907</v>
      </c>
    </row>
    <row r="24" spans="1:19" x14ac:dyDescent="0.25">
      <c r="A24" s="3" t="s">
        <v>78</v>
      </c>
      <c r="B24" s="6">
        <f t="shared" ref="B24:S24" si="0">SUM(B2:B23)</f>
        <v>191132</v>
      </c>
      <c r="C24" s="6">
        <f t="shared" si="0"/>
        <v>440458</v>
      </c>
      <c r="D24" s="6">
        <f t="shared" si="0"/>
        <v>949236</v>
      </c>
      <c r="E24" s="6">
        <f t="shared" si="0"/>
        <v>175473</v>
      </c>
      <c r="F24" s="6">
        <f t="shared" si="0"/>
        <v>586586</v>
      </c>
      <c r="G24" s="6">
        <f t="shared" si="0"/>
        <v>927982</v>
      </c>
      <c r="H24" s="6">
        <f t="shared" si="0"/>
        <v>-351</v>
      </c>
      <c r="I24" s="6">
        <f t="shared" si="0"/>
        <v>130663</v>
      </c>
      <c r="J24" s="6">
        <f t="shared" si="0"/>
        <v>589186</v>
      </c>
      <c r="K24" s="6">
        <f t="shared" si="0"/>
        <v>424475</v>
      </c>
      <c r="L24" s="6">
        <f t="shared" si="0"/>
        <v>763162</v>
      </c>
      <c r="M24" s="6">
        <f t="shared" si="0"/>
        <v>1283426</v>
      </c>
      <c r="N24" s="6">
        <f t="shared" si="0"/>
        <v>412142</v>
      </c>
      <c r="O24" s="6">
        <f t="shared" si="0"/>
        <v>848433</v>
      </c>
      <c r="P24" s="6">
        <f t="shared" si="0"/>
        <v>1466832</v>
      </c>
      <c r="Q24" s="6">
        <f t="shared" si="0"/>
        <v>507600</v>
      </c>
      <c r="R24" s="6">
        <f t="shared" si="0"/>
        <v>973616</v>
      </c>
      <c r="S24" s="6">
        <f t="shared" si="0"/>
        <v>1718762</v>
      </c>
    </row>
    <row r="25" spans="1:19" x14ac:dyDescent="0.25">
      <c r="A25" s="3" t="s">
        <v>79</v>
      </c>
      <c r="B25" s="4">
        <v>298837</v>
      </c>
      <c r="C25" s="4">
        <v>293643</v>
      </c>
      <c r="D25" s="4">
        <v>-53418</v>
      </c>
      <c r="E25" s="4">
        <v>-114819</v>
      </c>
      <c r="F25" s="4">
        <v>-134502</v>
      </c>
      <c r="G25" s="4">
        <v>-326795</v>
      </c>
      <c r="H25" s="4">
        <v>62883</v>
      </c>
      <c r="I25" s="4">
        <v>445440</v>
      </c>
      <c r="J25" s="4">
        <v>430033</v>
      </c>
      <c r="K25" s="4">
        <v>3750</v>
      </c>
      <c r="L25" s="4">
        <v>-53323</v>
      </c>
      <c r="M25" s="4">
        <v>140805</v>
      </c>
      <c r="N25" s="4">
        <v>39897</v>
      </c>
      <c r="O25" s="4">
        <v>1035794</v>
      </c>
      <c r="P25" s="4">
        <v>1035794</v>
      </c>
      <c r="Q25" s="4">
        <v>0</v>
      </c>
      <c r="R25" s="4">
        <v>-283097</v>
      </c>
      <c r="S25" s="4">
        <v>-597703</v>
      </c>
    </row>
    <row r="26" spans="1:19" x14ac:dyDescent="0.25">
      <c r="A26" s="3" t="s">
        <v>80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-330356</v>
      </c>
      <c r="I26" s="4">
        <v>-329472</v>
      </c>
      <c r="J26" s="4">
        <v>-329472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</row>
    <row r="27" spans="1:19" x14ac:dyDescent="0.25">
      <c r="A27" s="3" t="s">
        <v>81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</row>
    <row r="28" spans="1:19" x14ac:dyDescent="0.25">
      <c r="A28" s="3" t="s">
        <v>82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-363385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</row>
    <row r="29" spans="1:19" x14ac:dyDescent="0.25">
      <c r="A29" s="3" t="s">
        <v>83</v>
      </c>
      <c r="B29" s="4">
        <v>-11119</v>
      </c>
      <c r="C29" s="4">
        <v>-29116</v>
      </c>
      <c r="D29" s="4">
        <v>-42062</v>
      </c>
      <c r="E29" s="4">
        <v>-8400</v>
      </c>
      <c r="F29" s="4">
        <v>-15522</v>
      </c>
      <c r="G29" s="4">
        <v>-28131</v>
      </c>
      <c r="H29" s="4">
        <v>-21511</v>
      </c>
      <c r="I29" s="4">
        <v>-99446</v>
      </c>
      <c r="J29" s="4">
        <v>-136158</v>
      </c>
      <c r="K29" s="4">
        <v>-40100</v>
      </c>
      <c r="L29" s="4">
        <v>-82425</v>
      </c>
      <c r="M29" s="4">
        <v>-110224</v>
      </c>
      <c r="N29" s="4">
        <v>-66044</v>
      </c>
      <c r="O29" s="4">
        <v>-125812</v>
      </c>
      <c r="P29" s="4">
        <v>-172795</v>
      </c>
      <c r="Q29" s="4">
        <v>-29056</v>
      </c>
      <c r="R29" s="4">
        <v>-60460</v>
      </c>
      <c r="S29" s="4">
        <v>-104101</v>
      </c>
    </row>
    <row r="30" spans="1:19" x14ac:dyDescent="0.25">
      <c r="A30" s="3" t="s">
        <v>84</v>
      </c>
      <c r="B30" s="4">
        <v>217</v>
      </c>
      <c r="C30" s="4">
        <v>590</v>
      </c>
      <c r="D30" s="4">
        <v>880</v>
      </c>
      <c r="E30" s="4">
        <v>231</v>
      </c>
      <c r="F30" s="4">
        <v>1024</v>
      </c>
      <c r="G30" s="4">
        <v>1246</v>
      </c>
      <c r="H30" s="4">
        <v>14</v>
      </c>
      <c r="I30" s="4">
        <v>372</v>
      </c>
      <c r="J30" s="4">
        <v>603</v>
      </c>
      <c r="K30" s="4">
        <v>564</v>
      </c>
      <c r="L30" s="4">
        <v>1035</v>
      </c>
      <c r="M30" s="4">
        <v>1753</v>
      </c>
      <c r="N30" s="4">
        <v>422</v>
      </c>
      <c r="O30" s="4">
        <v>1052</v>
      </c>
      <c r="P30" s="4">
        <v>2095</v>
      </c>
      <c r="Q30" s="4">
        <v>1147</v>
      </c>
      <c r="R30" s="4">
        <v>2334</v>
      </c>
      <c r="S30" s="4">
        <v>2744</v>
      </c>
    </row>
    <row r="31" spans="1:19" x14ac:dyDescent="0.25">
      <c r="A31" s="3" t="s">
        <v>85</v>
      </c>
      <c r="B31" s="4">
        <v>-6811</v>
      </c>
      <c r="C31" s="4">
        <v>-13085</v>
      </c>
      <c r="D31" s="4">
        <v>-19686</v>
      </c>
      <c r="E31" s="4">
        <v>-7239</v>
      </c>
      <c r="F31" s="4">
        <v>-9926</v>
      </c>
      <c r="G31" s="4">
        <v>-5211</v>
      </c>
      <c r="H31" s="4">
        <v>-8419</v>
      </c>
      <c r="I31" s="4">
        <v>-9894</v>
      </c>
      <c r="J31" s="4">
        <v>-3578</v>
      </c>
      <c r="K31" s="4">
        <v>-3952</v>
      </c>
      <c r="L31" s="4">
        <v>-5926</v>
      </c>
      <c r="M31" s="4">
        <v>-9110</v>
      </c>
      <c r="N31" s="4">
        <v>-8612</v>
      </c>
      <c r="O31" s="4">
        <v>-6364</v>
      </c>
      <c r="P31" s="4">
        <v>-21473</v>
      </c>
      <c r="Q31" s="4">
        <v>-5343</v>
      </c>
      <c r="R31" s="4">
        <v>-15399</v>
      </c>
      <c r="S31" s="4">
        <v>-19681</v>
      </c>
    </row>
    <row r="32" spans="1:19" x14ac:dyDescent="0.25">
      <c r="A32" s="3" t="s">
        <v>86</v>
      </c>
      <c r="B32" s="4">
        <v>-1148</v>
      </c>
      <c r="C32" s="4">
        <v>-1338</v>
      </c>
      <c r="D32" s="4">
        <v>-26228</v>
      </c>
      <c r="E32" s="4">
        <v>-18856</v>
      </c>
      <c r="F32" s="4">
        <v>-21236</v>
      </c>
      <c r="G32" s="4">
        <v>-22809</v>
      </c>
      <c r="H32" s="4">
        <v>-6241</v>
      </c>
      <c r="I32" s="4">
        <v>-12738</v>
      </c>
      <c r="J32" s="4">
        <v>-19171</v>
      </c>
      <c r="K32" s="4">
        <v>-13028</v>
      </c>
      <c r="L32" s="4">
        <v>-17570</v>
      </c>
      <c r="M32" s="4">
        <v>-19862</v>
      </c>
      <c r="N32" s="4">
        <v>-985</v>
      </c>
      <c r="O32" s="4">
        <v>-1366</v>
      </c>
      <c r="P32" s="4">
        <v>-603</v>
      </c>
      <c r="Q32" s="4">
        <v>2397</v>
      </c>
      <c r="R32" s="4">
        <v>-1107</v>
      </c>
      <c r="S32" s="4">
        <v>-507</v>
      </c>
    </row>
    <row r="33" spans="1:19" x14ac:dyDescent="0.25">
      <c r="A33" s="3" t="s">
        <v>87</v>
      </c>
      <c r="B33" s="6">
        <f t="shared" ref="B33:S33" si="1">SUM(B25:B32)</f>
        <v>279976</v>
      </c>
      <c r="C33" s="6">
        <f t="shared" si="1"/>
        <v>250694</v>
      </c>
      <c r="D33" s="6">
        <f t="shared" si="1"/>
        <v>-140514</v>
      </c>
      <c r="E33" s="6">
        <f t="shared" si="1"/>
        <v>-149083</v>
      </c>
      <c r="F33" s="6">
        <f t="shared" si="1"/>
        <v>-180162</v>
      </c>
      <c r="G33" s="6">
        <f t="shared" si="1"/>
        <v>-381700</v>
      </c>
      <c r="H33" s="6">
        <f t="shared" si="1"/>
        <v>-303630</v>
      </c>
      <c r="I33" s="6">
        <f t="shared" si="1"/>
        <v>-5738</v>
      </c>
      <c r="J33" s="6">
        <f t="shared" si="1"/>
        <v>-57743</v>
      </c>
      <c r="K33" s="6">
        <f t="shared" si="1"/>
        <v>-52766</v>
      </c>
      <c r="L33" s="6">
        <f t="shared" si="1"/>
        <v>-158209</v>
      </c>
      <c r="M33" s="6">
        <f t="shared" si="1"/>
        <v>-360023</v>
      </c>
      <c r="N33" s="6">
        <f t="shared" si="1"/>
        <v>-35322</v>
      </c>
      <c r="O33" s="6">
        <f t="shared" si="1"/>
        <v>903304</v>
      </c>
      <c r="P33" s="6">
        <f t="shared" si="1"/>
        <v>843018</v>
      </c>
      <c r="Q33" s="6">
        <f t="shared" si="1"/>
        <v>-30855</v>
      </c>
      <c r="R33" s="6">
        <f t="shared" si="1"/>
        <v>-357729</v>
      </c>
      <c r="S33" s="6">
        <f t="shared" si="1"/>
        <v>-719248</v>
      </c>
    </row>
    <row r="34" spans="1:19" x14ac:dyDescent="0.25">
      <c r="A34" s="3" t="s">
        <v>123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-5269</v>
      </c>
      <c r="P34" s="4">
        <v>-6717</v>
      </c>
      <c r="Q34" s="4">
        <v>0</v>
      </c>
      <c r="R34" s="4">
        <v>0</v>
      </c>
      <c r="S34" s="4">
        <v>0</v>
      </c>
    </row>
    <row r="35" spans="1:19" x14ac:dyDescent="0.25">
      <c r="A35" s="3" t="s">
        <v>88</v>
      </c>
      <c r="B35" s="4">
        <v>-733</v>
      </c>
      <c r="C35" s="4">
        <v>-1680</v>
      </c>
      <c r="D35" s="4">
        <v>-2500</v>
      </c>
      <c r="E35" s="4">
        <v>957</v>
      </c>
      <c r="F35" s="4">
        <v>3624</v>
      </c>
      <c r="G35" s="4">
        <v>-1814</v>
      </c>
      <c r="H35" s="4">
        <v>3454</v>
      </c>
      <c r="I35" s="4">
        <v>4924</v>
      </c>
      <c r="J35" s="4">
        <v>-719</v>
      </c>
      <c r="K35" s="4">
        <v>-7271</v>
      </c>
      <c r="L35" s="4">
        <v>-6661</v>
      </c>
      <c r="M35" s="4">
        <v>-11273</v>
      </c>
      <c r="N35" s="4">
        <v>-2896</v>
      </c>
      <c r="O35" s="4">
        <v>0</v>
      </c>
      <c r="P35" s="4">
        <v>0</v>
      </c>
      <c r="Q35" s="4">
        <v>-2045</v>
      </c>
      <c r="R35" s="4">
        <v>-5023</v>
      </c>
      <c r="S35" s="4">
        <v>-8043</v>
      </c>
    </row>
    <row r="36" spans="1:19" x14ac:dyDescent="0.25">
      <c r="A36" s="3" t="s">
        <v>89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750000</v>
      </c>
      <c r="P36" s="4">
        <v>750000</v>
      </c>
      <c r="Q36" s="4">
        <v>0</v>
      </c>
      <c r="R36" s="4">
        <v>0</v>
      </c>
      <c r="S36" s="4">
        <v>0</v>
      </c>
    </row>
    <row r="37" spans="1:19" x14ac:dyDescent="0.25">
      <c r="A37" s="3" t="s">
        <v>91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-2776</v>
      </c>
      <c r="P37" s="4">
        <v>-2904</v>
      </c>
      <c r="Q37" s="4">
        <v>0</v>
      </c>
      <c r="R37" s="4">
        <v>0</v>
      </c>
      <c r="S37" s="4">
        <v>0</v>
      </c>
    </row>
    <row r="38" spans="1:19" x14ac:dyDescent="0.25">
      <c r="A38" s="3" t="s">
        <v>90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-175000</v>
      </c>
      <c r="R38" s="4">
        <v>-375000</v>
      </c>
      <c r="S38" s="4">
        <v>-375000</v>
      </c>
    </row>
    <row r="39" spans="1:19" x14ac:dyDescent="0.25">
      <c r="A39" s="3" t="s">
        <v>92</v>
      </c>
      <c r="B39" s="4">
        <v>13975</v>
      </c>
      <c r="C39" s="4">
        <v>43842</v>
      </c>
      <c r="D39" s="4">
        <v>65540</v>
      </c>
      <c r="E39" s="4">
        <v>6761</v>
      </c>
      <c r="F39" s="4">
        <v>24486</v>
      </c>
      <c r="G39" s="4">
        <v>37160</v>
      </c>
      <c r="H39" s="4">
        <v>4510</v>
      </c>
      <c r="I39" s="4">
        <v>22622</v>
      </c>
      <c r="J39" s="4">
        <v>34759</v>
      </c>
      <c r="K39" s="4">
        <v>36348</v>
      </c>
      <c r="L39" s="4">
        <v>59666</v>
      </c>
      <c r="M39" s="4">
        <v>65560</v>
      </c>
      <c r="N39" s="4">
        <v>38392</v>
      </c>
      <c r="O39" s="4">
        <v>52093</v>
      </c>
      <c r="P39" s="4">
        <v>62101</v>
      </c>
      <c r="Q39" s="4">
        <v>48093</v>
      </c>
      <c r="R39" s="4">
        <v>87684</v>
      </c>
      <c r="S39" s="4">
        <v>114363</v>
      </c>
    </row>
    <row r="40" spans="1:19" x14ac:dyDescent="0.25">
      <c r="A40" s="3" t="s">
        <v>93</v>
      </c>
      <c r="B40" s="4">
        <v>-559210</v>
      </c>
      <c r="C40" s="4">
        <v>-595770</v>
      </c>
      <c r="D40" s="4">
        <v>-595918</v>
      </c>
      <c r="E40" s="4">
        <v>-13419</v>
      </c>
      <c r="F40" s="4">
        <v>-13818</v>
      </c>
      <c r="G40" s="4">
        <v>-13818</v>
      </c>
      <c r="H40" s="4">
        <v>-12187</v>
      </c>
      <c r="I40" s="4">
        <v>-296499</v>
      </c>
      <c r="J40" s="4">
        <v>-493315</v>
      </c>
      <c r="K40" s="4">
        <v>-35126</v>
      </c>
      <c r="L40" s="4">
        <v>-90825</v>
      </c>
      <c r="M40" s="4">
        <v>-488080</v>
      </c>
      <c r="N40" s="4">
        <v>-120245</v>
      </c>
      <c r="O40" s="4">
        <v>-3234523</v>
      </c>
      <c r="P40" s="4">
        <v>-3770184</v>
      </c>
      <c r="Q40" s="4">
        <v>-16633</v>
      </c>
      <c r="R40" s="4">
        <v>-16633</v>
      </c>
      <c r="S40" s="4">
        <v>-43921</v>
      </c>
    </row>
    <row r="41" spans="1:19" x14ac:dyDescent="0.25">
      <c r="A41" s="3" t="s">
        <v>94</v>
      </c>
      <c r="B41" s="6">
        <f t="shared" ref="B41:S41" si="2">SUM(B34:B40)</f>
        <v>-545968</v>
      </c>
      <c r="C41" s="6">
        <f t="shared" si="2"/>
        <v>-553608</v>
      </c>
      <c r="D41" s="6">
        <f t="shared" si="2"/>
        <v>-532878</v>
      </c>
      <c r="E41" s="6">
        <f t="shared" si="2"/>
        <v>-5701</v>
      </c>
      <c r="F41" s="6">
        <f t="shared" si="2"/>
        <v>14292</v>
      </c>
      <c r="G41" s="6">
        <f t="shared" si="2"/>
        <v>21528</v>
      </c>
      <c r="H41" s="6">
        <f t="shared" si="2"/>
        <v>-4223</v>
      </c>
      <c r="I41" s="6">
        <f t="shared" si="2"/>
        <v>-268953</v>
      </c>
      <c r="J41" s="6">
        <f t="shared" si="2"/>
        <v>-459275</v>
      </c>
      <c r="K41" s="6">
        <f t="shared" si="2"/>
        <v>-6049</v>
      </c>
      <c r="L41" s="6">
        <f t="shared" si="2"/>
        <v>-37820</v>
      </c>
      <c r="M41" s="6">
        <f t="shared" si="2"/>
        <v>-433793</v>
      </c>
      <c r="N41" s="6">
        <f t="shared" si="2"/>
        <v>-84749</v>
      </c>
      <c r="O41" s="6">
        <f t="shared" si="2"/>
        <v>-2440475</v>
      </c>
      <c r="P41" s="6">
        <f t="shared" si="2"/>
        <v>-2967704</v>
      </c>
      <c r="Q41" s="6">
        <f t="shared" si="2"/>
        <v>-145585</v>
      </c>
      <c r="R41" s="6">
        <f t="shared" si="2"/>
        <v>-308972</v>
      </c>
      <c r="S41" s="6">
        <f t="shared" si="2"/>
        <v>-312601</v>
      </c>
    </row>
    <row r="42" spans="1:19" x14ac:dyDescent="0.25">
      <c r="A42" s="3" t="s">
        <v>95</v>
      </c>
      <c r="B42" s="4">
        <v>-21261</v>
      </c>
      <c r="C42" s="4">
        <v>-14175</v>
      </c>
      <c r="D42" s="4">
        <v>929</v>
      </c>
      <c r="E42" s="4">
        <v>-22223</v>
      </c>
      <c r="F42" s="4">
        <v>-16890</v>
      </c>
      <c r="G42" s="4">
        <v>-35552</v>
      </c>
      <c r="H42" s="4">
        <v>-3472</v>
      </c>
      <c r="I42" s="4">
        <v>-50395</v>
      </c>
      <c r="J42" s="4">
        <v>-95582</v>
      </c>
      <c r="K42" s="4">
        <v>-141</v>
      </c>
      <c r="L42" s="4">
        <v>-4500</v>
      </c>
      <c r="M42" s="4">
        <v>-22902</v>
      </c>
      <c r="N42" s="4">
        <v>-13222</v>
      </c>
      <c r="O42" s="4">
        <v>-44203</v>
      </c>
      <c r="P42" s="4">
        <v>-14482</v>
      </c>
      <c r="Q42" s="4">
        <v>38972</v>
      </c>
      <c r="R42" s="4">
        <v>86725</v>
      </c>
      <c r="S42" s="4">
        <v>72739</v>
      </c>
    </row>
    <row r="43" spans="1:19" x14ac:dyDescent="0.25">
      <c r="A43" s="3" t="s">
        <v>96</v>
      </c>
      <c r="B43" s="6">
        <f t="shared" ref="B43:S43" si="3">B24+B33+B41+B42</f>
        <v>-96121</v>
      </c>
      <c r="C43" s="6">
        <f t="shared" si="3"/>
        <v>123369</v>
      </c>
      <c r="D43" s="6">
        <f t="shared" si="3"/>
        <v>276773</v>
      </c>
      <c r="E43" s="6">
        <f t="shared" si="3"/>
        <v>-1534</v>
      </c>
      <c r="F43" s="6">
        <f t="shared" si="3"/>
        <v>403826</v>
      </c>
      <c r="G43" s="6">
        <f t="shared" si="3"/>
        <v>532258</v>
      </c>
      <c r="H43" s="6">
        <f t="shared" si="3"/>
        <v>-311676</v>
      </c>
      <c r="I43" s="6">
        <f t="shared" si="3"/>
        <v>-194423</v>
      </c>
      <c r="J43" s="6">
        <f t="shared" si="3"/>
        <v>-23414</v>
      </c>
      <c r="K43" s="6">
        <f t="shared" si="3"/>
        <v>365519</v>
      </c>
      <c r="L43" s="6">
        <f t="shared" si="3"/>
        <v>562633</v>
      </c>
      <c r="M43" s="6">
        <f t="shared" si="3"/>
        <v>466708</v>
      </c>
      <c r="N43" s="6">
        <f t="shared" si="3"/>
        <v>278849</v>
      </c>
      <c r="O43" s="6">
        <f t="shared" si="3"/>
        <v>-732941</v>
      </c>
      <c r="P43" s="6">
        <f t="shared" si="3"/>
        <v>-672336</v>
      </c>
      <c r="Q43" s="6">
        <f t="shared" si="3"/>
        <v>370132</v>
      </c>
      <c r="R43" s="6">
        <f t="shared" si="3"/>
        <v>393640</v>
      </c>
      <c r="S43" s="6">
        <f t="shared" si="3"/>
        <v>759652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45" width="13" customWidth="1"/>
  </cols>
  <sheetData>
    <row r="1" spans="1:45" x14ac:dyDescent="0.25">
      <c r="A1" s="1"/>
      <c r="B1" s="2" t="s">
        <v>97</v>
      </c>
      <c r="C1" s="2" t="s">
        <v>98</v>
      </c>
      <c r="D1" s="2" t="s">
        <v>99</v>
      </c>
      <c r="E1" s="2" t="s">
        <v>115</v>
      </c>
      <c r="F1" s="2" t="s">
        <v>100</v>
      </c>
      <c r="G1" s="2" t="s">
        <v>101</v>
      </c>
      <c r="H1" s="2" t="s">
        <v>102</v>
      </c>
      <c r="I1" s="2" t="s">
        <v>116</v>
      </c>
      <c r="J1" s="2" t="s">
        <v>103</v>
      </c>
      <c r="K1" s="2" t="s">
        <v>104</v>
      </c>
      <c r="L1" s="2" t="s">
        <v>105</v>
      </c>
      <c r="M1" s="2" t="s">
        <v>117</v>
      </c>
      <c r="N1" s="2" t="s">
        <v>106</v>
      </c>
      <c r="O1" s="2" t="s">
        <v>107</v>
      </c>
      <c r="P1" s="2" t="s">
        <v>108</v>
      </c>
      <c r="Q1" s="2" t="s">
        <v>118</v>
      </c>
      <c r="R1" s="2" t="s">
        <v>109</v>
      </c>
      <c r="S1" s="2" t="s">
        <v>110</v>
      </c>
      <c r="T1" s="2" t="s">
        <v>111</v>
      </c>
      <c r="U1" s="2" t="s">
        <v>119</v>
      </c>
      <c r="V1" s="2" t="s">
        <v>112</v>
      </c>
      <c r="W1" s="2" t="s">
        <v>113</v>
      </c>
      <c r="X1" s="2" t="s">
        <v>114</v>
      </c>
      <c r="Y1" s="2" t="s">
        <v>124</v>
      </c>
      <c r="Z1" s="2" t="s">
        <v>125</v>
      </c>
      <c r="AA1" s="2" t="s">
        <v>126</v>
      </c>
      <c r="AB1" s="2" t="s">
        <v>127</v>
      </c>
      <c r="AC1" s="2" t="s">
        <v>128</v>
      </c>
      <c r="AD1" s="2" t="s">
        <v>129</v>
      </c>
      <c r="AE1" s="2" t="s">
        <v>130</v>
      </c>
      <c r="AF1" s="2" t="s">
        <v>131</v>
      </c>
      <c r="AG1" s="2" t="s">
        <v>132</v>
      </c>
      <c r="AH1" s="2" t="s">
        <v>133</v>
      </c>
      <c r="AI1" s="2" t="s">
        <v>134</v>
      </c>
      <c r="AJ1" s="2" t="s">
        <v>135</v>
      </c>
      <c r="AK1" s="2" t="s">
        <v>136</v>
      </c>
      <c r="AL1" s="2" t="s">
        <v>137</v>
      </c>
      <c r="AM1" s="2" t="s">
        <v>138</v>
      </c>
      <c r="AN1" s="2" t="s">
        <v>139</v>
      </c>
      <c r="AO1" s="2" t="s">
        <v>140</v>
      </c>
      <c r="AP1" s="2" t="s">
        <v>141</v>
      </c>
      <c r="AQ1" s="2" t="s">
        <v>142</v>
      </c>
      <c r="AR1" s="2" t="s">
        <v>143</v>
      </c>
      <c r="AS1" s="2" t="s">
        <v>144</v>
      </c>
    </row>
    <row r="2" spans="1:45" x14ac:dyDescent="0.25">
      <c r="A2" s="3" t="s">
        <v>18</v>
      </c>
      <c r="B2" s="4">
        <f>'YTD P&amp;L'!B2</f>
        <v>1062097</v>
      </c>
      <c r="C2" s="4">
        <f>'YTD P&amp;L'!C2-'YTD P&amp;L'!B2</f>
        <v>1093896</v>
      </c>
      <c r="D2" s="4">
        <f>'YTD P&amp;L'!D2-'YTD P&amp;L'!C2</f>
        <v>1246362</v>
      </c>
      <c r="E2" s="4">
        <f>'ANNL P&amp;L'!C2-'YTD P&amp;L'!D2</f>
        <v>1196283</v>
      </c>
      <c r="F2" s="4">
        <f>'YTD P&amp;L'!E2</f>
        <v>1243816</v>
      </c>
      <c r="G2" s="4">
        <f>'YTD P&amp;L'!F2-'YTD P&amp;L'!E2</f>
        <v>1461935</v>
      </c>
      <c r="H2" s="4">
        <f>'YTD P&amp;L'!G2-'YTD P&amp;L'!F2</f>
        <v>1410557</v>
      </c>
      <c r="I2" s="4">
        <f>'ANNL P&amp;L'!D2-'YTD P&amp;L'!G2</f>
        <v>1425044</v>
      </c>
      <c r="J2" s="4">
        <f>'YTD P&amp;L'!H2</f>
        <v>1518574</v>
      </c>
      <c r="K2" s="4">
        <f>'YTD P&amp;L'!I2-'YTD P&amp;L'!H2</f>
        <v>1655259</v>
      </c>
      <c r="L2" s="4">
        <f>'YTD P&amp;L'!J2-'YTD P&amp;L'!I2</f>
        <v>1624286</v>
      </c>
      <c r="M2" s="4">
        <f>'ANNL P&amp;L'!E2-'YTD P&amp;L'!J2</f>
        <v>1512931</v>
      </c>
      <c r="N2" s="4">
        <f>'YTD P&amp;L'!K2</f>
        <v>1698930</v>
      </c>
      <c r="O2" s="4">
        <f>'YTD P&amp;L'!L2-'YTD P&amp;L'!K2</f>
        <v>1854961</v>
      </c>
      <c r="P2" s="4">
        <f>'YTD P&amp;L'!M2-'YTD P&amp;L'!L2</f>
        <v>1856028</v>
      </c>
      <c r="Q2" s="4">
        <f>'ANNL P&amp;L'!F2-'YTD P&amp;L'!M2</f>
        <v>1730108</v>
      </c>
      <c r="R2" s="4">
        <f>'YTD P&amp;L'!N2</f>
        <v>1899098</v>
      </c>
      <c r="S2" s="4">
        <f>'YTD P&amp;L'!O2-'YTD P&amp;L'!N2</f>
        <v>1900597</v>
      </c>
      <c r="T2" s="4">
        <f>'YTD P&amp;L'!P2-'YTD P&amp;L'!O2</f>
        <v>1880973</v>
      </c>
      <c r="U2" s="4">
        <f>'ANNL P&amp;L'!G2-'YTD P&amp;L'!P2</f>
        <v>1812041</v>
      </c>
      <c r="V2" s="4">
        <f>'YTD P&amp;L'!Q2</f>
        <v>1854558</v>
      </c>
      <c r="W2" s="4">
        <f>'YTD P&amp;L'!R2-'YTD P&amp;L'!Q2</f>
        <v>2111592</v>
      </c>
      <c r="X2" s="4">
        <f>'YTD P&amp;L'!S2-'YTD P&amp;L'!R2</f>
        <v>2197140</v>
      </c>
      <c r="Y2" s="4">
        <f>'ANNL P&amp;L'!H2-'YTD P&amp;L'!S2</f>
        <v>2131053</v>
      </c>
      <c r="Z2" s="11">
        <f>IF('IS DRIVERS'!$B2="QoQ",'QTR P&amp;L'!Y2,'QTR P&amp;L'!V2)*(1+'IS DRIVERS'!AA2)</f>
        <v>2181055.1690463959</v>
      </c>
      <c r="AA2" s="11">
        <f>IF('IS DRIVERS'!$B2="QoQ",'QTR P&amp;L'!Z2,'QTR P&amp;L'!W2)*(1+'IS DRIVERS'!AB2)</f>
        <v>2483340.3142511677</v>
      </c>
      <c r="AB2" s="11">
        <f>IF('IS DRIVERS'!$B2="QoQ",'QTR P&amp;L'!AA2,'QTR P&amp;L'!X2)*(1+'IS DRIVERS'!AC2)</f>
        <v>2583949.1426628865</v>
      </c>
      <c r="AC2" s="11">
        <f>IF('IS DRIVERS'!$B2="QoQ",'QTR P&amp;L'!AB2,'QTR P&amp;L'!Y2)*(1+'IS DRIVERS'!AD2)</f>
        <v>2506227.4467349248</v>
      </c>
      <c r="AD2" s="11">
        <f>IF('IS DRIVERS'!$B2="QoQ",'QTR P&amp;L'!AC2,'QTR P&amp;L'!Z2)*(1+'IS DRIVERS'!AE2)</f>
        <v>2565032.5578515218</v>
      </c>
      <c r="AE2" s="11">
        <f>IF('IS DRIVERS'!$B2="QoQ",'QTR P&amp;L'!AD2,'QTR P&amp;L'!AA2)*(1+'IS DRIVERS'!AF2)</f>
        <v>2920535.3668630533</v>
      </c>
      <c r="AF2" s="11">
        <f>IF('IS DRIVERS'!$B2="QoQ",'QTR P&amp;L'!AE2,'QTR P&amp;L'!AB2)*(1+'IS DRIVERS'!AG2)</f>
        <v>3038856.5006637112</v>
      </c>
      <c r="AG2" s="11">
        <f>IF('IS DRIVERS'!$B2="QoQ",'QTR P&amp;L'!AF2,'QTR P&amp;L'!AC2)*(1+'IS DRIVERS'!AH2)</f>
        <v>2947451.8065798739</v>
      </c>
      <c r="AH2" s="11">
        <f>IF('IS DRIVERS'!$B2="QoQ",'QTR P&amp;L'!AG2,'QTR P&amp;L'!AD2)*(1+'IS DRIVERS'!AI2)</f>
        <v>3016609.6283181002</v>
      </c>
      <c r="AI2" s="11">
        <f>IF('IS DRIVERS'!$B2="QoQ",'QTR P&amp;L'!AH2,'QTR P&amp;L'!AE2)*(1+'IS DRIVERS'!AJ2)</f>
        <v>3434699.1349310586</v>
      </c>
      <c r="AJ2" s="11">
        <f>IF('IS DRIVERS'!$B2="QoQ",'QTR P&amp;L'!AI2,'QTR P&amp;L'!AF2)*(1+'IS DRIVERS'!AK2)</f>
        <v>3573850.8468124638</v>
      </c>
      <c r="AK2" s="11">
        <f>IF('IS DRIVERS'!$B2="QoQ",'QTR P&amp;L'!AJ2,'QTR P&amp;L'!AG2)*(1+'IS DRIVERS'!AL2)</f>
        <v>3466354.2462711716</v>
      </c>
      <c r="AL2" s="11">
        <f>IF('IS DRIVERS'!$B2="QoQ",'QTR P&amp;L'!AK2,'QTR P&amp;L'!AH2)*(1+'IS DRIVERS'!AM2)</f>
        <v>3547687.385802072</v>
      </c>
      <c r="AM2" s="11">
        <f>IF('IS DRIVERS'!$B2="QoQ",'QTR P&amp;L'!AL2,'QTR P&amp;L'!AI2)*(1+'IS DRIVERS'!AN2)</f>
        <v>4039382.0534922979</v>
      </c>
      <c r="AN2" s="11">
        <f>IF('IS DRIVERS'!$B2="QoQ",'QTR P&amp;L'!AM2,'QTR P&amp;L'!AJ2)*(1+'IS DRIVERS'!AO2)</f>
        <v>4203031.5918084867</v>
      </c>
      <c r="AO2" s="11">
        <f>IF('IS DRIVERS'!$B2="QoQ",'QTR P&amp;L'!AN2,'QTR P&amp;L'!AK2)*(1+'IS DRIVERS'!AP2)</f>
        <v>4076610.0853010053</v>
      </c>
      <c r="AP2" s="11">
        <f>IF('IS DRIVERS'!$B2="QoQ",'QTR P&amp;L'!AO2,'QTR P&amp;L'!AL2)*(1+'IS DRIVERS'!AQ2)</f>
        <v>4172262.0219827602</v>
      </c>
      <c r="AQ2" s="11">
        <f>IF('IS DRIVERS'!$B2="QoQ",'QTR P&amp;L'!AP2,'QTR P&amp;L'!AM2)*(1+'IS DRIVERS'!AR2)</f>
        <v>4750520.1279887827</v>
      </c>
      <c r="AR2" s="11">
        <f>IF('IS DRIVERS'!$B2="QoQ",'QTR P&amp;L'!AQ2,'QTR P&amp;L'!AN2)*(1+'IS DRIVERS'!AS2)</f>
        <v>4942980.364582397</v>
      </c>
      <c r="AS2" s="11">
        <f>IF('IS DRIVERS'!$B2="QoQ",'QTR P&amp;L'!AR2,'QTR P&amp;L'!AO2)*(1+'IS DRIVERS'!AT2)</f>
        <v>4794302.199625154</v>
      </c>
    </row>
    <row r="3" spans="1:45" x14ac:dyDescent="0.25">
      <c r="A3" s="3" t="s">
        <v>19</v>
      </c>
      <c r="B3" s="4">
        <f>'YTD P&amp;L'!B3</f>
        <v>-424901</v>
      </c>
      <c r="C3" s="4">
        <f>'YTD P&amp;L'!C3-'YTD P&amp;L'!B3</f>
        <v>-434428</v>
      </c>
      <c r="D3" s="4">
        <f>'YTD P&amp;L'!D3-'YTD P&amp;L'!C3</f>
        <v>-509831</v>
      </c>
      <c r="E3" s="4">
        <f>'ANNL P&amp;L'!C3-'YTD P&amp;L'!D3</f>
        <v>-505598</v>
      </c>
      <c r="F3" s="4">
        <f>'YTD P&amp;L'!E3</f>
        <v>-528881</v>
      </c>
      <c r="G3" s="4">
        <f>'YTD P&amp;L'!F3-'YTD P&amp;L'!E3</f>
        <v>-625095</v>
      </c>
      <c r="H3" s="4">
        <f>'YTD P&amp;L'!G3-'YTD P&amp;L'!F3</f>
        <v>-621399</v>
      </c>
      <c r="I3" s="4">
        <f>'ANNL P&amp;L'!D3-'YTD P&amp;L'!G3</f>
        <v>-657464</v>
      </c>
      <c r="J3" s="4">
        <f>'YTD P&amp;L'!H3</f>
        <v>-741907</v>
      </c>
      <c r="K3" s="4">
        <f>'YTD P&amp;L'!I3-'YTD P&amp;L'!H3</f>
        <v>-875399</v>
      </c>
      <c r="L3" s="4">
        <f>'YTD P&amp;L'!J3-'YTD P&amp;L'!I3</f>
        <v>-790561</v>
      </c>
      <c r="M3" s="4">
        <f>'ANNL P&amp;L'!E3-'YTD P&amp;L'!J3</f>
        <v>-728616</v>
      </c>
      <c r="N3" s="4">
        <f>'YTD P&amp;L'!K3</f>
        <v>-801081</v>
      </c>
      <c r="O3" s="4">
        <f>'YTD P&amp;L'!L3-'YTD P&amp;L'!K3</f>
        <v>-880739</v>
      </c>
      <c r="P3" s="4">
        <f>'YTD P&amp;L'!M3-'YTD P&amp;L'!L3</f>
        <v>-872266</v>
      </c>
      <c r="Q3" s="4">
        <f>'ANNL P&amp;L'!F3-'YTD P&amp;L'!M3</f>
        <v>-791735</v>
      </c>
      <c r="R3" s="4">
        <f>'YTD P&amp;L'!N3</f>
        <v>-871969</v>
      </c>
      <c r="S3" s="4">
        <f>'YTD P&amp;L'!O3-'YTD P&amp;L'!N3</f>
        <v>-881092</v>
      </c>
      <c r="T3" s="4">
        <f>'YTD P&amp;L'!P3-'YTD P&amp;L'!O3</f>
        <v>-881174</v>
      </c>
      <c r="U3" s="4">
        <f>'ANNL P&amp;L'!G3-'YTD P&amp;L'!P3</f>
        <v>-809596</v>
      </c>
      <c r="V3" s="4">
        <f>'YTD P&amp;L'!Q3</f>
        <v>-806596</v>
      </c>
      <c r="W3" s="4">
        <f>'YTD P&amp;L'!R3-'YTD P&amp;L'!Q3</f>
        <v>-935179</v>
      </c>
      <c r="X3" s="4">
        <f>'YTD P&amp;L'!S3-'YTD P&amp;L'!R3</f>
        <v>-972653</v>
      </c>
      <c r="Y3" s="4">
        <f>'ANNL P&amp;L'!H3-'YTD P&amp;L'!S3</f>
        <v>-947720</v>
      </c>
      <c r="Z3" s="11">
        <f>'QTR P&amp;L'!Z2*'IS DRIVERS'!AA3</f>
        <v>-969956.92026836041</v>
      </c>
      <c r="AA3" s="11">
        <f>'QTR P&amp;L'!AA2*'IS DRIVERS'!AB3</f>
        <v>-1104388.9019288195</v>
      </c>
      <c r="AB3" s="11">
        <f>'QTR P&amp;L'!AB2*'IS DRIVERS'!AC3</f>
        <v>-1149131.5708640146</v>
      </c>
      <c r="AC3" s="11">
        <f>'QTR P&amp;L'!AC2*'IS DRIVERS'!AD3</f>
        <v>-1114567.2471870116</v>
      </c>
      <c r="AD3" s="11">
        <f>'QTR P&amp;L'!AD2*'IS DRIVERS'!AE3</f>
        <v>-1140719.0040449693</v>
      </c>
      <c r="AE3" s="11">
        <f>'QTR P&amp;L'!AE2*'IS DRIVERS'!AF3</f>
        <v>-1298817.8979516008</v>
      </c>
      <c r="AF3" s="11">
        <f>'QTR P&amp;L'!AF2*'IS DRIVERS'!AG3</f>
        <v>-1351437.5676292484</v>
      </c>
      <c r="AG3" s="11">
        <f>'QTR P&amp;L'!AG2*'IS DRIVERS'!AH3</f>
        <v>-1310788.1531486444</v>
      </c>
      <c r="AH3" s="11">
        <f>'QTR P&amp;L'!AH2*'IS DRIVERS'!AI3</f>
        <v>-1341543.958291807</v>
      </c>
      <c r="AI3" s="11">
        <f>'QTR P&amp;L'!AI2*'IS DRIVERS'!AJ3</f>
        <v>-1527476.3528438115</v>
      </c>
      <c r="AJ3" s="11">
        <f>'QTR P&amp;L'!AJ2*'IS DRIVERS'!AK3</f>
        <v>-1589359.7787296271</v>
      </c>
      <c r="AK3" s="11">
        <f>'QTR P&amp;L'!AK2*'IS DRIVERS'!AL3</f>
        <v>-1541553.9858821507</v>
      </c>
      <c r="AL3" s="11">
        <f>'QTR P&amp;L'!AL2*'IS DRIVERS'!AM3</f>
        <v>-1577724.3875550441</v>
      </c>
      <c r="AM3" s="11">
        <f>'QTR P&amp;L'!AM2*'IS DRIVERS'!AN3</f>
        <v>-1796390.404056455</v>
      </c>
      <c r="AN3" s="11">
        <f>'QTR P&amp;L'!AN2*'IS DRIVERS'!AO3</f>
        <v>-1869168.4815857415</v>
      </c>
      <c r="AO3" s="11">
        <f>'QTR P&amp;L'!AO2*'IS DRIVERS'!AP3</f>
        <v>-1812946.4213426267</v>
      </c>
      <c r="AP3" s="11">
        <f>'QTR P&amp;L'!AP2*'IS DRIVERS'!AQ3</f>
        <v>-1855484.6657842398</v>
      </c>
      <c r="AQ3" s="11">
        <f>'QTR P&amp;L'!AQ2*'IS DRIVERS'!AR3</f>
        <v>-2112647.0977950944</v>
      </c>
      <c r="AR3" s="11">
        <f>'QTR P&amp;L'!AR2*'IS DRIVERS'!AS3</f>
        <v>-2198237.8435083637</v>
      </c>
      <c r="AS3" s="11">
        <f>'QTR P&amp;L'!AS2*'IS DRIVERS'!AT3</f>
        <v>-2132117.8218602496</v>
      </c>
    </row>
    <row r="4" spans="1:45" x14ac:dyDescent="0.25">
      <c r="A4" s="3" t="s">
        <v>20</v>
      </c>
      <c r="B4" s="6">
        <f>'YTD P&amp;L'!B4</f>
        <v>637196</v>
      </c>
      <c r="C4" s="6">
        <f>'YTD P&amp;L'!C4-'YTD P&amp;L'!B4</f>
        <v>659468</v>
      </c>
      <c r="D4" s="6">
        <f>'YTD P&amp;L'!D4-'YTD P&amp;L'!C4</f>
        <v>736531</v>
      </c>
      <c r="E4" s="6">
        <f>'ANNL P&amp;L'!C4-'YTD P&amp;L'!D4</f>
        <v>690685</v>
      </c>
      <c r="F4" s="6">
        <f>'YTD P&amp;L'!E4</f>
        <v>714935</v>
      </c>
      <c r="G4" s="6">
        <f>'YTD P&amp;L'!F4-'YTD P&amp;L'!E4</f>
        <v>836840</v>
      </c>
      <c r="H4" s="6">
        <f>'YTD P&amp;L'!G4-'YTD P&amp;L'!F4</f>
        <v>789158</v>
      </c>
      <c r="I4" s="6">
        <f>'ANNL P&amp;L'!D4-'YTD P&amp;L'!G4</f>
        <v>767580</v>
      </c>
      <c r="J4" s="6">
        <f>'YTD P&amp;L'!H4</f>
        <v>776667</v>
      </c>
      <c r="K4" s="6">
        <f>'YTD P&amp;L'!I4-'YTD P&amp;L'!H4</f>
        <v>779860</v>
      </c>
      <c r="L4" s="6">
        <f>'YTD P&amp;L'!J4-'YTD P&amp;L'!I4</f>
        <v>833725</v>
      </c>
      <c r="M4" s="6">
        <f>'ANNL P&amp;L'!E4-'YTD P&amp;L'!J4</f>
        <v>784315</v>
      </c>
      <c r="N4" s="6">
        <f>'YTD P&amp;L'!K4</f>
        <v>897849</v>
      </c>
      <c r="O4" s="6">
        <f>'YTD P&amp;L'!L4-'YTD P&amp;L'!K4</f>
        <v>974222</v>
      </c>
      <c r="P4" s="6">
        <f>'YTD P&amp;L'!M4-'YTD P&amp;L'!L4</f>
        <v>983762</v>
      </c>
      <c r="Q4" s="6">
        <f>'ANNL P&amp;L'!F4-'YTD P&amp;L'!M4</f>
        <v>938373</v>
      </c>
      <c r="R4" s="6">
        <f>'YTD P&amp;L'!N4</f>
        <v>1027129</v>
      </c>
      <c r="S4" s="6">
        <f>'YTD P&amp;L'!O4-'YTD P&amp;L'!N4</f>
        <v>1019505</v>
      </c>
      <c r="T4" s="6">
        <f>'YTD P&amp;L'!P4-'YTD P&amp;L'!O4</f>
        <v>999799</v>
      </c>
      <c r="U4" s="6">
        <f>'ANNL P&amp;L'!G4-'YTD P&amp;L'!P4</f>
        <v>1002445</v>
      </c>
      <c r="V4" s="6">
        <f>'YTD P&amp;L'!Q4</f>
        <v>1047962</v>
      </c>
      <c r="W4" s="6">
        <f>'YTD P&amp;L'!R4-'YTD P&amp;L'!Q4</f>
        <v>1176413</v>
      </c>
      <c r="X4" s="6">
        <f>'YTD P&amp;L'!S4-'YTD P&amp;L'!R4</f>
        <v>1224487</v>
      </c>
      <c r="Y4" s="6">
        <f>'ANNL P&amp;L'!H4-'YTD P&amp;L'!S4</f>
        <v>1183333</v>
      </c>
      <c r="Z4" s="7">
        <f t="shared" ref="Z4:AS4" si="0">Z2+Z3</f>
        <v>1211098.2487780354</v>
      </c>
      <c r="AA4" s="7">
        <f t="shared" si="0"/>
        <v>1378951.4123223482</v>
      </c>
      <c r="AB4" s="7">
        <f t="shared" si="0"/>
        <v>1434817.571798872</v>
      </c>
      <c r="AC4" s="7">
        <f t="shared" si="0"/>
        <v>1391660.1995479132</v>
      </c>
      <c r="AD4" s="7">
        <f t="shared" si="0"/>
        <v>1424313.5538065524</v>
      </c>
      <c r="AE4" s="7">
        <f t="shared" si="0"/>
        <v>1621717.4689114525</v>
      </c>
      <c r="AF4" s="7">
        <f t="shared" si="0"/>
        <v>1687418.9330344629</v>
      </c>
      <c r="AG4" s="7">
        <f t="shared" si="0"/>
        <v>1636663.6534312295</v>
      </c>
      <c r="AH4" s="7">
        <f t="shared" si="0"/>
        <v>1675065.6700262933</v>
      </c>
      <c r="AI4" s="7">
        <f t="shared" si="0"/>
        <v>1907222.7820872471</v>
      </c>
      <c r="AJ4" s="7">
        <f t="shared" si="0"/>
        <v>1984491.0680828367</v>
      </c>
      <c r="AK4" s="7">
        <f t="shared" si="0"/>
        <v>1924800.2603890209</v>
      </c>
      <c r="AL4" s="7">
        <f t="shared" si="0"/>
        <v>1969962.9982470279</v>
      </c>
      <c r="AM4" s="7">
        <f t="shared" si="0"/>
        <v>2242991.6494358429</v>
      </c>
      <c r="AN4" s="7">
        <f t="shared" si="0"/>
        <v>2333863.1102227452</v>
      </c>
      <c r="AO4" s="7">
        <f t="shared" si="0"/>
        <v>2263663.6639583786</v>
      </c>
      <c r="AP4" s="7">
        <f t="shared" si="0"/>
        <v>2316777.3561985204</v>
      </c>
      <c r="AQ4" s="7">
        <f t="shared" si="0"/>
        <v>2637873.0301936883</v>
      </c>
      <c r="AR4" s="7">
        <f t="shared" si="0"/>
        <v>2744742.5210740333</v>
      </c>
      <c r="AS4" s="7">
        <f t="shared" si="0"/>
        <v>2662184.3777649044</v>
      </c>
    </row>
    <row r="5" spans="1:45" x14ac:dyDescent="0.25">
      <c r="A5" s="3" t="s">
        <v>21</v>
      </c>
      <c r="B5" s="4">
        <f>'YTD P&amp;L'!B5</f>
        <v>-272208</v>
      </c>
      <c r="C5" s="4">
        <f>'YTD P&amp;L'!C5-'YTD P&amp;L'!B5</f>
        <v>-252204</v>
      </c>
      <c r="D5" s="4">
        <f>'YTD P&amp;L'!D5-'YTD P&amp;L'!C5</f>
        <v>-277931</v>
      </c>
      <c r="E5" s="4">
        <f>'ANNL P&amp;L'!C5-'YTD P&amp;L'!D5</f>
        <v>-288384</v>
      </c>
      <c r="F5" s="4">
        <f>'YTD P&amp;L'!E5</f>
        <v>-300789</v>
      </c>
      <c r="G5" s="4">
        <f>'YTD P&amp;L'!F5-'YTD P&amp;L'!E5</f>
        <v>-310863</v>
      </c>
      <c r="H5" s="4">
        <f>'YTD P&amp;L'!G5-'YTD P&amp;L'!F5</f>
        <v>-344694</v>
      </c>
      <c r="I5" s="4">
        <f>'ANNL P&amp;L'!D5-'YTD P&amp;L'!G5</f>
        <v>-354700</v>
      </c>
      <c r="J5" s="4">
        <f>'YTD P&amp;L'!H5</f>
        <v>-377178</v>
      </c>
      <c r="K5" s="4">
        <f>'YTD P&amp;L'!I5-'YTD P&amp;L'!H5</f>
        <v>-406910</v>
      </c>
      <c r="L5" s="4">
        <f>'YTD P&amp;L'!J5-'YTD P&amp;L'!I5</f>
        <v>-415795</v>
      </c>
      <c r="M5" s="4">
        <f>'ANNL P&amp;L'!E5-'YTD P&amp;L'!J5</f>
        <v>-389963</v>
      </c>
      <c r="N5" s="4">
        <f>'YTD P&amp;L'!K5</f>
        <v>-412785</v>
      </c>
      <c r="O5" s="4">
        <f>'YTD P&amp;L'!L5-'YTD P&amp;L'!K5</f>
        <v>-450416</v>
      </c>
      <c r="P5" s="4">
        <f>'YTD P&amp;L'!M5-'YTD P&amp;L'!L5</f>
        <v>-473236</v>
      </c>
      <c r="Q5" s="4">
        <f>'ANNL P&amp;L'!F5-'YTD P&amp;L'!M5</f>
        <v>-504414</v>
      </c>
      <c r="R5" s="4">
        <f>'YTD P&amp;L'!N5</f>
        <v>-485138</v>
      </c>
      <c r="S5" s="4">
        <f>'YTD P&amp;L'!O5-'YTD P&amp;L'!N5</f>
        <v>-492342</v>
      </c>
      <c r="T5" s="4">
        <f>'YTD P&amp;L'!P5-'YTD P&amp;L'!O5</f>
        <v>-519883</v>
      </c>
      <c r="U5" s="4">
        <f>'ANNL P&amp;L'!G5-'YTD P&amp;L'!P5</f>
        <v>-621221</v>
      </c>
      <c r="V5" s="4">
        <f>'YTD P&amp;L'!Q5</f>
        <v>-478217</v>
      </c>
      <c r="W5" s="4">
        <f>'YTD P&amp;L'!R5-'YTD P&amp;L'!Q5</f>
        <v>-544791</v>
      </c>
      <c r="X5" s="4">
        <f>'YTD P&amp;L'!S5-'YTD P&amp;L'!R5</f>
        <v>-549134</v>
      </c>
      <c r="Y5" s="4">
        <f>'ANNL P&amp;L'!H5-'YTD P&amp;L'!S5</f>
        <v>-640699</v>
      </c>
      <c r="Z5" s="11">
        <f>'QTR P&amp;L'!Z2*'IS DRIVERS'!AA4</f>
        <v>-655732.10321510385</v>
      </c>
      <c r="AA5" s="11">
        <f>'QTR P&amp;L'!AA2*'IS DRIVERS'!AB4</f>
        <v>-746613.83644630562</v>
      </c>
      <c r="AB5" s="11">
        <f>'QTR P&amp;L'!AB2*'IS DRIVERS'!AC4</f>
        <v>-776861.78229962778</v>
      </c>
      <c r="AC5" s="11">
        <f>'QTR P&amp;L'!AC2*'IS DRIVERS'!AD4</f>
        <v>-753494.83044092264</v>
      </c>
      <c r="AD5" s="11">
        <f>'QTR P&amp;L'!AD2*'IS DRIVERS'!AE4</f>
        <v>-771174.52957899787</v>
      </c>
      <c r="AE5" s="11">
        <f>'QTR P&amp;L'!AE2*'IS DRIVERS'!AF4</f>
        <v>-878056.10137983027</v>
      </c>
      <c r="AF5" s="11">
        <f>'QTR P&amp;L'!AF2*'IS DRIVERS'!AG4</f>
        <v>-913629.23452337366</v>
      </c>
      <c r="AG5" s="11">
        <f>'QTR P&amp;L'!AG2*'IS DRIVERS'!AH4</f>
        <v>-886148.50265287561</v>
      </c>
      <c r="AH5" s="11">
        <f>'QTR P&amp;L'!AH2*'IS DRIVERS'!AI4</f>
        <v>-906940.73411303165</v>
      </c>
      <c r="AI5" s="11">
        <f>'QTR P&amp;L'!AI2*'IS DRIVERS'!AJ4</f>
        <v>-1032638.9353297146</v>
      </c>
      <c r="AJ5" s="11">
        <f>'QTR P&amp;L'!AJ2*'IS DRIVERS'!AK4</f>
        <v>-1074474.7613981909</v>
      </c>
      <c r="AK5" s="11">
        <f>'QTR P&amp;L'!AK2*'IS DRIVERS'!AL4</f>
        <v>-1042156.013591259</v>
      </c>
      <c r="AL5" s="11">
        <f>'QTR P&amp;L'!AL2*'IS DRIVERS'!AM4</f>
        <v>-1066608.742436721</v>
      </c>
      <c r="AM5" s="11">
        <f>'QTR P&amp;L'!AM2*'IS DRIVERS'!AN4</f>
        <v>-1214436.2633357602</v>
      </c>
      <c r="AN5" s="11">
        <f>'QTR P&amp;L'!AN2*'IS DRIVERS'!AO4</f>
        <v>-1263637.3369597592</v>
      </c>
      <c r="AO5" s="11">
        <f>'QTR P&amp;L'!AO2*'IS DRIVERS'!AP4</f>
        <v>-1225628.8346851387</v>
      </c>
      <c r="AP5" s="11">
        <f>'QTR P&amp;L'!AP2*'IS DRIVERS'!AQ4</f>
        <v>-1254386.4958883389</v>
      </c>
      <c r="AQ5" s="11">
        <f>'QTR P&amp;L'!AQ2*'IS DRIVERS'!AR4</f>
        <v>-1428239.2298465993</v>
      </c>
      <c r="AR5" s="11">
        <f>'QTR P&amp;L'!AR2*'IS DRIVERS'!AS4</f>
        <v>-1486102.2117270557</v>
      </c>
      <c r="AS5" s="11">
        <f>'QTR P&amp;L'!AS2*'IS DRIVERS'!AT4</f>
        <v>-1441402.2668594522</v>
      </c>
    </row>
    <row r="6" spans="1:45" x14ac:dyDescent="0.25">
      <c r="A6" s="3" t="s">
        <v>22</v>
      </c>
      <c r="B6" s="6">
        <f>'YTD P&amp;L'!B6</f>
        <v>364988</v>
      </c>
      <c r="C6" s="6">
        <f>'YTD P&amp;L'!C6-'YTD P&amp;L'!B6</f>
        <v>407264</v>
      </c>
      <c r="D6" s="6">
        <f>'YTD P&amp;L'!D6-'YTD P&amp;L'!C6</f>
        <v>458600</v>
      </c>
      <c r="E6" s="6">
        <f>'ANNL P&amp;L'!C6-'YTD P&amp;L'!D6</f>
        <v>402301</v>
      </c>
      <c r="F6" s="6">
        <f>'YTD P&amp;L'!E6</f>
        <v>414146</v>
      </c>
      <c r="G6" s="6">
        <f>'YTD P&amp;L'!F6-'YTD P&amp;L'!E6</f>
        <v>525977</v>
      </c>
      <c r="H6" s="6">
        <f>'YTD P&amp;L'!G6-'YTD P&amp;L'!F6</f>
        <v>444464</v>
      </c>
      <c r="I6" s="6">
        <f>'ANNL P&amp;L'!D6-'YTD P&amp;L'!G6</f>
        <v>412880</v>
      </c>
      <c r="J6" s="6">
        <f>'YTD P&amp;L'!H6</f>
        <v>399489</v>
      </c>
      <c r="K6" s="6">
        <f>'YTD P&amp;L'!I6-'YTD P&amp;L'!H6</f>
        <v>372950</v>
      </c>
      <c r="L6" s="6">
        <f>'YTD P&amp;L'!J6-'YTD P&amp;L'!I6</f>
        <v>417930</v>
      </c>
      <c r="M6" s="6">
        <f>'ANNL P&amp;L'!E6-'YTD P&amp;L'!J6</f>
        <v>394352</v>
      </c>
      <c r="N6" s="6">
        <f>'YTD P&amp;L'!K6</f>
        <v>485064</v>
      </c>
      <c r="O6" s="6">
        <f>'YTD P&amp;L'!L6-'YTD P&amp;L'!K6</f>
        <v>523806</v>
      </c>
      <c r="P6" s="6">
        <f>'YTD P&amp;L'!M6-'YTD P&amp;L'!L6</f>
        <v>510526</v>
      </c>
      <c r="Q6" s="6">
        <f>'ANNL P&amp;L'!F6-'YTD P&amp;L'!M6</f>
        <v>433959</v>
      </c>
      <c r="R6" s="6">
        <f>'YTD P&amp;L'!N6</f>
        <v>541991</v>
      </c>
      <c r="S6" s="6">
        <f>'YTD P&amp;L'!O6-'YTD P&amp;L'!N6</f>
        <v>527163</v>
      </c>
      <c r="T6" s="6">
        <f>'YTD P&amp;L'!P6-'YTD P&amp;L'!O6</f>
        <v>479916</v>
      </c>
      <c r="U6" s="6">
        <f>'ANNL P&amp;L'!G6-'YTD P&amp;L'!P6</f>
        <v>381224</v>
      </c>
      <c r="V6" s="6">
        <f>'YTD P&amp;L'!Q6</f>
        <v>569745</v>
      </c>
      <c r="W6" s="6">
        <f>'YTD P&amp;L'!R6-'YTD P&amp;L'!Q6</f>
        <v>631622</v>
      </c>
      <c r="X6" s="6">
        <f>'YTD P&amp;L'!S6-'YTD P&amp;L'!R6</f>
        <v>675353</v>
      </c>
      <c r="Y6" s="6">
        <f>'ANNL P&amp;L'!H6-'YTD P&amp;L'!S6</f>
        <v>542634</v>
      </c>
      <c r="Z6" s="7">
        <f t="shared" ref="Z6:AS6" si="1">Z4+Z5</f>
        <v>555366.14556293155</v>
      </c>
      <c r="AA6" s="7">
        <f t="shared" si="1"/>
        <v>632337.5758760426</v>
      </c>
      <c r="AB6" s="7">
        <f t="shared" si="1"/>
        <v>657955.78949924419</v>
      </c>
      <c r="AC6" s="7">
        <f t="shared" si="1"/>
        <v>638165.36910699052</v>
      </c>
      <c r="AD6" s="7">
        <f t="shared" si="1"/>
        <v>653139.02422755456</v>
      </c>
      <c r="AE6" s="7">
        <f t="shared" si="1"/>
        <v>743661.36753162218</v>
      </c>
      <c r="AF6" s="7">
        <f t="shared" si="1"/>
        <v>773789.6985110892</v>
      </c>
      <c r="AG6" s="7">
        <f t="shared" si="1"/>
        <v>750515.15077835391</v>
      </c>
      <c r="AH6" s="7">
        <f t="shared" si="1"/>
        <v>768124.93591326161</v>
      </c>
      <c r="AI6" s="7">
        <f t="shared" si="1"/>
        <v>874583.84675753256</v>
      </c>
      <c r="AJ6" s="7">
        <f t="shared" si="1"/>
        <v>910016.30668464582</v>
      </c>
      <c r="AK6" s="7">
        <f t="shared" si="1"/>
        <v>882644.24679776188</v>
      </c>
      <c r="AL6" s="7">
        <f t="shared" si="1"/>
        <v>903354.25581030687</v>
      </c>
      <c r="AM6" s="7">
        <f t="shared" si="1"/>
        <v>1028555.3861000827</v>
      </c>
      <c r="AN6" s="7">
        <f t="shared" si="1"/>
        <v>1070225.773262986</v>
      </c>
      <c r="AO6" s="7">
        <f t="shared" si="1"/>
        <v>1038034.8292732399</v>
      </c>
      <c r="AP6" s="7">
        <f t="shared" si="1"/>
        <v>1062390.8603101815</v>
      </c>
      <c r="AQ6" s="7">
        <f t="shared" si="1"/>
        <v>1209633.8003470891</v>
      </c>
      <c r="AR6" s="7">
        <f t="shared" si="1"/>
        <v>1258640.3093469776</v>
      </c>
      <c r="AS6" s="7">
        <f t="shared" si="1"/>
        <v>1220782.1109054522</v>
      </c>
    </row>
    <row r="7" spans="1:45" x14ac:dyDescent="0.25">
      <c r="A7" s="3" t="s">
        <v>24</v>
      </c>
      <c r="B7" s="4">
        <f>'YTD P&amp;L'!B7</f>
        <v>0</v>
      </c>
      <c r="C7" s="4">
        <f>'YTD P&amp;L'!C7-'YTD P&amp;L'!B7</f>
        <v>0</v>
      </c>
      <c r="D7" s="4">
        <f>'YTD P&amp;L'!D7-'YTD P&amp;L'!C7</f>
        <v>0</v>
      </c>
      <c r="E7" s="4">
        <f>'ANNL P&amp;L'!C8-'YTD P&amp;L'!D7</f>
        <v>-6996</v>
      </c>
      <c r="F7" s="4">
        <f>'YTD P&amp;L'!E7</f>
        <v>0</v>
      </c>
      <c r="G7" s="4">
        <f>'YTD P&amp;L'!F7-'YTD P&amp;L'!E7</f>
        <v>0</v>
      </c>
      <c r="H7" s="4">
        <f>'YTD P&amp;L'!G7-'YTD P&amp;L'!F7</f>
        <v>0</v>
      </c>
      <c r="I7" s="4">
        <f>'ANNL P&amp;L'!D8-'YTD P&amp;L'!G7</f>
        <v>3952</v>
      </c>
      <c r="J7" s="4">
        <f>'YTD P&amp;L'!H7</f>
        <v>0</v>
      </c>
      <c r="K7" s="4">
        <f>'YTD P&amp;L'!I7-'YTD P&amp;L'!H7</f>
        <v>0</v>
      </c>
      <c r="L7" s="4">
        <f>'YTD P&amp;L'!J7-'YTD P&amp;L'!I7</f>
        <v>0</v>
      </c>
      <c r="M7" s="4">
        <f>'ANNL P&amp;L'!E8-'YTD P&amp;L'!J7</f>
        <v>-12757</v>
      </c>
      <c r="N7" s="4">
        <f>'YTD P&amp;L'!K7</f>
        <v>0</v>
      </c>
      <c r="O7" s="4">
        <f>'YTD P&amp;L'!L7-'YTD P&amp;L'!K7</f>
        <v>0</v>
      </c>
      <c r="P7" s="4">
        <f>'YTD P&amp;L'!M7-'YTD P&amp;L'!L7</f>
        <v>0</v>
      </c>
      <c r="Q7" s="4">
        <f>'ANNL P&amp;L'!F8-'YTD P&amp;L'!M7</f>
        <v>0</v>
      </c>
      <c r="R7" s="4">
        <f>'YTD P&amp;L'!N7</f>
        <v>35754</v>
      </c>
      <c r="S7" s="4">
        <f>'YTD P&amp;L'!O7-'YTD P&amp;L'!N7</f>
        <v>24377</v>
      </c>
      <c r="T7" s="4">
        <f>'YTD P&amp;L'!P7-'YTD P&amp;L'!O7</f>
        <v>-60131</v>
      </c>
      <c r="U7" s="4">
        <f>'ANNL P&amp;L'!G8-'YTD P&amp;L'!P7</f>
        <v>0</v>
      </c>
      <c r="V7" s="4">
        <f>'YTD P&amp;L'!Q7</f>
        <v>8272</v>
      </c>
      <c r="W7" s="4">
        <f>'YTD P&amp;L'!R7-'YTD P&amp;L'!Q7</f>
        <v>15065</v>
      </c>
      <c r="X7" s="4">
        <f>'YTD P&amp;L'!S7-'YTD P&amp;L'!R7</f>
        <v>-23337</v>
      </c>
      <c r="Y7" s="4">
        <f>'ANNL P&amp;L'!H8-'YTD P&amp;L'!S7</f>
        <v>63175</v>
      </c>
      <c r="Z7" s="11">
        <f>'IS DRIVERS'!AA5</f>
        <v>63175</v>
      </c>
      <c r="AA7" s="11">
        <f>'IS DRIVERS'!AB5</f>
        <v>63175</v>
      </c>
      <c r="AB7" s="11">
        <f>'IS DRIVERS'!AC5</f>
        <v>63175</v>
      </c>
      <c r="AC7" s="11">
        <f>'IS DRIVERS'!AD5</f>
        <v>63175</v>
      </c>
      <c r="AD7" s="11">
        <f>'IS DRIVERS'!AE5</f>
        <v>63175</v>
      </c>
      <c r="AE7" s="11">
        <f>'IS DRIVERS'!AF5</f>
        <v>63175</v>
      </c>
      <c r="AF7" s="11">
        <f>'IS DRIVERS'!AG5</f>
        <v>63175</v>
      </c>
      <c r="AG7" s="11">
        <f>'IS DRIVERS'!AH5</f>
        <v>63175</v>
      </c>
      <c r="AH7" s="11">
        <f>'IS DRIVERS'!AI5</f>
        <v>63175</v>
      </c>
      <c r="AI7" s="11">
        <f>'IS DRIVERS'!AJ5</f>
        <v>63175</v>
      </c>
      <c r="AJ7" s="11">
        <f>'IS DRIVERS'!AK5</f>
        <v>63175</v>
      </c>
      <c r="AK7" s="11">
        <f>'IS DRIVERS'!AL5</f>
        <v>63175</v>
      </c>
      <c r="AL7" s="11">
        <f>'IS DRIVERS'!AM5</f>
        <v>63175</v>
      </c>
      <c r="AM7" s="11">
        <f>'IS DRIVERS'!AN5</f>
        <v>63175</v>
      </c>
      <c r="AN7" s="11">
        <f>'IS DRIVERS'!AO5</f>
        <v>63175</v>
      </c>
      <c r="AO7" s="11">
        <f>'IS DRIVERS'!AP5</f>
        <v>63175</v>
      </c>
      <c r="AP7" s="11">
        <f>'IS DRIVERS'!AQ5</f>
        <v>63175</v>
      </c>
      <c r="AQ7" s="11">
        <f>'IS DRIVERS'!AR5</f>
        <v>63175</v>
      </c>
      <c r="AR7" s="11">
        <f>'IS DRIVERS'!AS5</f>
        <v>63175</v>
      </c>
      <c r="AS7" s="11">
        <f>'IS DRIVERS'!AT5</f>
        <v>63175</v>
      </c>
    </row>
    <row r="8" spans="1:45" x14ac:dyDescent="0.25">
      <c r="A8" s="3" t="s">
        <v>23</v>
      </c>
      <c r="B8" s="4">
        <f>'YTD P&amp;L'!B8</f>
        <v>872</v>
      </c>
      <c r="C8" s="4">
        <f>'YTD P&amp;L'!C8-'YTD P&amp;L'!B8</f>
        <v>-1795</v>
      </c>
      <c r="D8" s="4">
        <f>'YTD P&amp;L'!D8-'YTD P&amp;L'!C8</f>
        <v>-4568</v>
      </c>
      <c r="E8" s="4">
        <f>'ANNL P&amp;L'!C7-'YTD P&amp;L'!D8</f>
        <v>5491</v>
      </c>
      <c r="F8" s="4">
        <f>'YTD P&amp;L'!E8</f>
        <v>-759</v>
      </c>
      <c r="G8" s="4">
        <f>'YTD P&amp;L'!F8-'YTD P&amp;L'!E8</f>
        <v>870</v>
      </c>
      <c r="H8" s="4">
        <f>'YTD P&amp;L'!G8-'YTD P&amp;L'!F8</f>
        <v>-2290</v>
      </c>
      <c r="I8" s="4">
        <f>'ANNL P&amp;L'!D7-'YTD P&amp;L'!G8</f>
        <v>2179</v>
      </c>
      <c r="J8" s="4">
        <f>'YTD P&amp;L'!H8</f>
        <v>-7300</v>
      </c>
      <c r="K8" s="4">
        <f>'YTD P&amp;L'!I8-'YTD P&amp;L'!H8</f>
        <v>-6780</v>
      </c>
      <c r="L8" s="4">
        <f>'YTD P&amp;L'!J8-'YTD P&amp;L'!I8</f>
        <v>2148</v>
      </c>
      <c r="M8" s="4">
        <f>'ANNL P&amp;L'!E7-'YTD P&amp;L'!J8</f>
        <v>11932</v>
      </c>
      <c r="N8" s="4">
        <f>'YTD P&amp;L'!K8</f>
        <v>12496</v>
      </c>
      <c r="O8" s="4">
        <f>'YTD P&amp;L'!L8-'YTD P&amp;L'!K8</f>
        <v>15157</v>
      </c>
      <c r="P8" s="4">
        <f>'YTD P&amp;L'!M8-'YTD P&amp;L'!L8</f>
        <v>71357</v>
      </c>
      <c r="Q8" s="4">
        <f>'ANNL P&amp;L'!F7-'YTD P&amp;L'!M8</f>
        <v>16117</v>
      </c>
      <c r="R8" s="4">
        <f>'YTD P&amp;L'!N8</f>
        <v>0</v>
      </c>
      <c r="S8" s="4">
        <f>'YTD P&amp;L'!O8-'YTD P&amp;L'!N8</f>
        <v>0</v>
      </c>
      <c r="T8" s="4">
        <f>'YTD P&amp;L'!P8-'YTD P&amp;L'!O8</f>
        <v>54311</v>
      </c>
      <c r="U8" s="4">
        <f>'ANNL P&amp;L'!G7-'YTD P&amp;L'!P8</f>
        <v>4854</v>
      </c>
      <c r="V8" s="4">
        <f>'YTD P&amp;L'!Q8</f>
        <v>0</v>
      </c>
      <c r="W8" s="4">
        <f>'YTD P&amp;L'!R8-'YTD P&amp;L'!Q8</f>
        <v>0</v>
      </c>
      <c r="X8" s="4">
        <f>'YTD P&amp;L'!S8-'YTD P&amp;L'!R8</f>
        <v>37522</v>
      </c>
      <c r="Y8" s="4">
        <f>'ANNL P&amp;L'!H7-'YTD P&amp;L'!S8</f>
        <v>-37522</v>
      </c>
      <c r="Z8" s="11">
        <f>'IS DRIVERS'!AA6</f>
        <v>-37522</v>
      </c>
      <c r="AA8" s="11">
        <f>'IS DRIVERS'!AB6</f>
        <v>-37522</v>
      </c>
      <c r="AB8" s="11">
        <f>'IS DRIVERS'!AC6</f>
        <v>-37522</v>
      </c>
      <c r="AC8" s="11">
        <f>'IS DRIVERS'!AD6</f>
        <v>-37522</v>
      </c>
      <c r="AD8" s="11">
        <f>'IS DRIVERS'!AE6</f>
        <v>-37522</v>
      </c>
      <c r="AE8" s="11">
        <f>'IS DRIVERS'!AF6</f>
        <v>-37522</v>
      </c>
      <c r="AF8" s="11">
        <f>'IS DRIVERS'!AG6</f>
        <v>-37522</v>
      </c>
      <c r="AG8" s="11">
        <f>'IS DRIVERS'!AH6</f>
        <v>-37522</v>
      </c>
      <c r="AH8" s="11">
        <f>'IS DRIVERS'!AI6</f>
        <v>-37522</v>
      </c>
      <c r="AI8" s="11">
        <f>'IS DRIVERS'!AJ6</f>
        <v>-37522</v>
      </c>
      <c r="AJ8" s="11">
        <f>'IS DRIVERS'!AK6</f>
        <v>-37522</v>
      </c>
      <c r="AK8" s="11">
        <f>'IS DRIVERS'!AL6</f>
        <v>-37522</v>
      </c>
      <c r="AL8" s="11">
        <f>'IS DRIVERS'!AM6</f>
        <v>-37522</v>
      </c>
      <c r="AM8" s="11">
        <f>'IS DRIVERS'!AN6</f>
        <v>-37522</v>
      </c>
      <c r="AN8" s="11">
        <f>'IS DRIVERS'!AO6</f>
        <v>-37522</v>
      </c>
      <c r="AO8" s="11">
        <f>'IS DRIVERS'!AP6</f>
        <v>-37522</v>
      </c>
      <c r="AP8" s="11">
        <f>'IS DRIVERS'!AQ6</f>
        <v>-37522</v>
      </c>
      <c r="AQ8" s="11">
        <f>'IS DRIVERS'!AR6</f>
        <v>-37522</v>
      </c>
      <c r="AR8" s="11">
        <f>'IS DRIVERS'!AS6</f>
        <v>-37522</v>
      </c>
      <c r="AS8" s="11">
        <f>'IS DRIVERS'!AT6</f>
        <v>-37522</v>
      </c>
    </row>
    <row r="9" spans="1:45" x14ac:dyDescent="0.25">
      <c r="A9" s="3" t="s">
        <v>25</v>
      </c>
      <c r="B9" s="6">
        <f>'YTD P&amp;L'!B9</f>
        <v>365860</v>
      </c>
      <c r="C9" s="6">
        <f>'YTD P&amp;L'!C9-'YTD P&amp;L'!B9</f>
        <v>405469</v>
      </c>
      <c r="D9" s="6">
        <f>'YTD P&amp;L'!D9-'YTD P&amp;L'!C9</f>
        <v>454032</v>
      </c>
      <c r="E9" s="6">
        <f>'ANNL P&amp;L'!C9-'YTD P&amp;L'!D9</f>
        <v>400796</v>
      </c>
      <c r="F9" s="6">
        <f>'YTD P&amp;L'!E9</f>
        <v>413387</v>
      </c>
      <c r="G9" s="6">
        <f>'YTD P&amp;L'!F9-'YTD P&amp;L'!E9</f>
        <v>526847</v>
      </c>
      <c r="H9" s="6">
        <f>'YTD P&amp;L'!G9-'YTD P&amp;L'!F9</f>
        <v>442174</v>
      </c>
      <c r="I9" s="6">
        <f>'ANNL P&amp;L'!D9-'YTD P&amp;L'!G9</f>
        <v>419011</v>
      </c>
      <c r="J9" s="6">
        <f>'YTD P&amp;L'!H9</f>
        <v>392189</v>
      </c>
      <c r="K9" s="6">
        <f>'YTD P&amp;L'!I9-'YTD P&amp;L'!H9</f>
        <v>366170</v>
      </c>
      <c r="L9" s="6">
        <f>'YTD P&amp;L'!J9-'YTD P&amp;L'!I9</f>
        <v>420078</v>
      </c>
      <c r="M9" s="6">
        <f>'ANNL P&amp;L'!E9-'YTD P&amp;L'!J9</f>
        <v>393527</v>
      </c>
      <c r="N9" s="6">
        <f>'YTD P&amp;L'!K9</f>
        <v>497560</v>
      </c>
      <c r="O9" s="6">
        <f>'YTD P&amp;L'!L9-'YTD P&amp;L'!K9</f>
        <v>538963</v>
      </c>
      <c r="P9" s="6">
        <f>'YTD P&amp;L'!M9-'YTD P&amp;L'!L9</f>
        <v>581883</v>
      </c>
      <c r="Q9" s="6">
        <f>'ANNL P&amp;L'!F9-'YTD P&amp;L'!M9</f>
        <v>450076</v>
      </c>
      <c r="R9" s="6">
        <f>'YTD P&amp;L'!N9</f>
        <v>577745</v>
      </c>
      <c r="S9" s="6">
        <f>'YTD P&amp;L'!O9-'YTD P&amp;L'!N9</f>
        <v>551540</v>
      </c>
      <c r="T9" s="6">
        <f>'YTD P&amp;L'!P9-'YTD P&amp;L'!O9</f>
        <v>474096</v>
      </c>
      <c r="U9" s="6">
        <f>'ANNL P&amp;L'!G9-'YTD P&amp;L'!P9</f>
        <v>386078</v>
      </c>
      <c r="V9" s="6">
        <f>'YTD P&amp;L'!Q9</f>
        <v>578017</v>
      </c>
      <c r="W9" s="6">
        <f>'YTD P&amp;L'!R9-'YTD P&amp;L'!Q9</f>
        <v>646687</v>
      </c>
      <c r="X9" s="6">
        <f>'YTD P&amp;L'!S9-'YTD P&amp;L'!R9</f>
        <v>689538</v>
      </c>
      <c r="Y9" s="6">
        <f>'ANNL P&amp;L'!H9-'YTD P&amp;L'!S9</f>
        <v>568287</v>
      </c>
      <c r="Z9" s="7">
        <f t="shared" ref="Z9:AS9" si="2">Z6+SUM(Z7:Z8)</f>
        <v>581019.14556293155</v>
      </c>
      <c r="AA9" s="7">
        <f t="shared" si="2"/>
        <v>657990.5758760426</v>
      </c>
      <c r="AB9" s="7">
        <f t="shared" si="2"/>
        <v>683608.78949924419</v>
      </c>
      <c r="AC9" s="7">
        <f t="shared" si="2"/>
        <v>663818.36910699052</v>
      </c>
      <c r="AD9" s="7">
        <f t="shared" si="2"/>
        <v>678792.02422755456</v>
      </c>
      <c r="AE9" s="7">
        <f t="shared" si="2"/>
        <v>769314.36753162218</v>
      </c>
      <c r="AF9" s="7">
        <f t="shared" si="2"/>
        <v>799442.6985110892</v>
      </c>
      <c r="AG9" s="7">
        <f t="shared" si="2"/>
        <v>776168.15077835391</v>
      </c>
      <c r="AH9" s="7">
        <f t="shared" si="2"/>
        <v>793777.93591326161</v>
      </c>
      <c r="AI9" s="7">
        <f t="shared" si="2"/>
        <v>900236.84675753256</v>
      </c>
      <c r="AJ9" s="7">
        <f t="shared" si="2"/>
        <v>935669.30668464582</v>
      </c>
      <c r="AK9" s="7">
        <f t="shared" si="2"/>
        <v>908297.24679776188</v>
      </c>
      <c r="AL9" s="7">
        <f t="shared" si="2"/>
        <v>929007.25581030687</v>
      </c>
      <c r="AM9" s="7">
        <f t="shared" si="2"/>
        <v>1054208.3861000827</v>
      </c>
      <c r="AN9" s="7">
        <f t="shared" si="2"/>
        <v>1095878.773262986</v>
      </c>
      <c r="AO9" s="7">
        <f t="shared" si="2"/>
        <v>1063687.8292732399</v>
      </c>
      <c r="AP9" s="7">
        <f t="shared" si="2"/>
        <v>1088043.8603101815</v>
      </c>
      <c r="AQ9" s="7">
        <f t="shared" si="2"/>
        <v>1235286.8003470891</v>
      </c>
      <c r="AR9" s="7">
        <f t="shared" si="2"/>
        <v>1284293.3093469776</v>
      </c>
      <c r="AS9" s="7">
        <f t="shared" si="2"/>
        <v>1246435.1109054522</v>
      </c>
    </row>
    <row r="10" spans="1:45" x14ac:dyDescent="0.25">
      <c r="A10" s="3" t="s">
        <v>26</v>
      </c>
      <c r="B10" s="4">
        <f>'YTD P&amp;L'!B10</f>
        <v>-87025</v>
      </c>
      <c r="C10" s="4">
        <f>'YTD P&amp;L'!C10-'YTD P&amp;L'!B10</f>
        <v>-94100</v>
      </c>
      <c r="D10" s="4">
        <f>'YTD P&amp;L'!D10-'YTD P&amp;L'!C10</f>
        <v>-106378</v>
      </c>
      <c r="E10" s="4">
        <f>'ANNL P&amp;L'!C10-'YTD P&amp;L'!D10</f>
        <v>70940</v>
      </c>
      <c r="F10" s="4">
        <f>'YTD P&amp;L'!E10</f>
        <v>-98193</v>
      </c>
      <c r="G10" s="4">
        <f>'YTD P&amp;L'!F10-'YTD P&amp;L'!E10</f>
        <v>-123085</v>
      </c>
      <c r="H10" s="4">
        <f>'YTD P&amp;L'!G10-'YTD P&amp;L'!F10</f>
        <v>-104969</v>
      </c>
      <c r="I10" s="4">
        <f>'ANNL P&amp;L'!D10-'YTD P&amp;L'!G10</f>
        <v>-97697</v>
      </c>
      <c r="J10" s="4">
        <f>'YTD P&amp;L'!H10</f>
        <v>-97986</v>
      </c>
      <c r="K10" s="4">
        <f>'YTD P&amp;L'!I10-'YTD P&amp;L'!H10</f>
        <v>-92810</v>
      </c>
      <c r="L10" s="4">
        <f>'YTD P&amp;L'!J10-'YTD P&amp;L'!I10</f>
        <v>-97691</v>
      </c>
      <c r="M10" s="4">
        <f>'ANNL P&amp;L'!E10-'YTD P&amp;L'!J10</f>
        <v>-91853</v>
      </c>
      <c r="N10" s="4">
        <f>'YTD P&amp;L'!K10</f>
        <v>-100116</v>
      </c>
      <c r="O10" s="4">
        <f>'YTD P&amp;L'!L10-'YTD P&amp;L'!K10</f>
        <v>-125092</v>
      </c>
      <c r="P10" s="4">
        <f>'YTD P&amp;L'!M10-'YTD P&amp;L'!L10</f>
        <v>-129189</v>
      </c>
      <c r="Q10" s="4">
        <f>'ANNL P&amp;L'!F10-'YTD P&amp;L'!M10</f>
        <v>-83097</v>
      </c>
      <c r="R10" s="4">
        <f>'YTD P&amp;L'!N10</f>
        <v>-135696</v>
      </c>
      <c r="S10" s="4">
        <f>'YTD P&amp;L'!O10-'YTD P&amp;L'!N10</f>
        <v>-126171</v>
      </c>
      <c r="T10" s="4">
        <f>'YTD P&amp;L'!P10-'YTD P&amp;L'!O10</f>
        <v>-103177</v>
      </c>
      <c r="U10" s="4">
        <f>'ANNL P&amp;L'!G10-'YTD P&amp;L'!P10</f>
        <v>-115367</v>
      </c>
      <c r="V10" s="4">
        <f>'YTD P&amp;L'!Q10</f>
        <v>-135024</v>
      </c>
      <c r="W10" s="4">
        <f>'YTD P&amp;L'!R10-'YTD P&amp;L'!Q10</f>
        <v>-157893</v>
      </c>
      <c r="X10" s="4">
        <f>'YTD P&amp;L'!S10-'YTD P&amp;L'!R10</f>
        <v>-165083</v>
      </c>
      <c r="Y10" s="4">
        <f>'ANNL P&amp;L'!H10-'YTD P&amp;L'!S10</f>
        <v>-119097</v>
      </c>
      <c r="Z10" s="11">
        <f>'QTR P&amp;L'!Z9*'IS DRIVERS'!AA7</f>
        <v>-121765.30024284993</v>
      </c>
      <c r="AA10" s="11">
        <f>'QTR P&amp;L'!AA9*'IS DRIVERS'!AB7</f>
        <v>-137896.35099009663</v>
      </c>
      <c r="AB10" s="11">
        <f>'QTR P&amp;L'!AB9*'IS DRIVERS'!AC7</f>
        <v>-143265.20930971761</v>
      </c>
      <c r="AC10" s="11">
        <f>'QTR P&amp;L'!AC9*'IS DRIVERS'!AD7</f>
        <v>-139117.69283044527</v>
      </c>
      <c r="AD10" s="11">
        <f>'QTR P&amp;L'!AD9*'IS DRIVERS'!AE7</f>
        <v>-142255.75054405443</v>
      </c>
      <c r="AE10" s="11">
        <f>'QTR P&amp;L'!AE9*'IS DRIVERS'!AF7</f>
        <v>-161226.692199388</v>
      </c>
      <c r="AF10" s="11">
        <f>'QTR P&amp;L'!AF9*'IS DRIVERS'!AG7</f>
        <v>-167540.74449103215</v>
      </c>
      <c r="AG10" s="11">
        <f>'QTR P&amp;L'!AG9*'IS DRIVERS'!AH7</f>
        <v>-162663.05274139583</v>
      </c>
      <c r="AH10" s="11">
        <f>'QTR P&amp;L'!AH9*'IS DRIVERS'!AI7</f>
        <v>-166353.56929414489</v>
      </c>
      <c r="AI10" s="11">
        <f>'QTR P&amp;L'!AI9*'IS DRIVERS'!AJ7</f>
        <v>-188664.36807155865</v>
      </c>
      <c r="AJ10" s="11">
        <f>'QTR P&amp;L'!AJ9*'IS DRIVERS'!AK7</f>
        <v>-196090.01687214605</v>
      </c>
      <c r="AK10" s="11">
        <f>'QTR P&amp;L'!AK9*'IS DRIVERS'!AL7</f>
        <v>-190353.60161656531</v>
      </c>
      <c r="AL10" s="11">
        <f>'QTR P&amp;L'!AL9*'IS DRIVERS'!AM7</f>
        <v>-194693.83805232236</v>
      </c>
      <c r="AM10" s="11">
        <f>'QTR P&amp;L'!AM9*'IS DRIVERS'!AN7</f>
        <v>-220932.47981981208</v>
      </c>
      <c r="AN10" s="11">
        <f>'QTR P&amp;L'!AN9*'IS DRIVERS'!AO7</f>
        <v>-229665.42303325931</v>
      </c>
      <c r="AO10" s="11">
        <f>'QTR P&amp;L'!AO9*'IS DRIVERS'!AP7</f>
        <v>-222919.10496448987</v>
      </c>
      <c r="AP10" s="11">
        <f>'QTR P&amp;L'!AP9*'IS DRIVERS'!AQ7</f>
        <v>-228023.4452510117</v>
      </c>
      <c r="AQ10" s="11">
        <f>'QTR P&amp;L'!AQ9*'IS DRIVERS'!AR7</f>
        <v>-258881.43149665094</v>
      </c>
      <c r="AR10" s="11">
        <f>'QTR P&amp;L'!AR9*'IS DRIVERS'!AS7</f>
        <v>-269151.81987850682</v>
      </c>
      <c r="AS10" s="11">
        <f>'QTR P&amp;L'!AS9*'IS DRIVERS'!AT7</f>
        <v>-261217.80439022297</v>
      </c>
    </row>
    <row r="11" spans="1:45" x14ac:dyDescent="0.25">
      <c r="A11" s="3" t="s">
        <v>27</v>
      </c>
      <c r="B11" s="6">
        <f>'YTD P&amp;L'!B11</f>
        <v>278835</v>
      </c>
      <c r="C11" s="6">
        <f>'YTD P&amp;L'!C11-'YTD P&amp;L'!B11</f>
        <v>311369</v>
      </c>
      <c r="D11" s="6">
        <f>'YTD P&amp;L'!D11-'YTD P&amp;L'!C11</f>
        <v>347654</v>
      </c>
      <c r="E11" s="6">
        <f>'ANNL P&amp;L'!C11-'YTD P&amp;L'!D11</f>
        <v>471736</v>
      </c>
      <c r="F11" s="6">
        <f>'YTD P&amp;L'!E11</f>
        <v>315194</v>
      </c>
      <c r="G11" s="6">
        <f>'YTD P&amp;L'!F11-'YTD P&amp;L'!E11</f>
        <v>403762</v>
      </c>
      <c r="H11" s="6">
        <f>'YTD P&amp;L'!G11-'YTD P&amp;L'!F11</f>
        <v>337205</v>
      </c>
      <c r="I11" s="6">
        <f>'ANNL P&amp;L'!D11-'YTD P&amp;L'!G11</f>
        <v>321314</v>
      </c>
      <c r="J11" s="6">
        <f>'YTD P&amp;L'!H11</f>
        <v>294203</v>
      </c>
      <c r="K11" s="6">
        <f>'YTD P&amp;L'!I11-'YTD P&amp;L'!H11</f>
        <v>273360</v>
      </c>
      <c r="L11" s="6">
        <f>'YTD P&amp;L'!J11-'YTD P&amp;L'!I11</f>
        <v>322387</v>
      </c>
      <c r="M11" s="6">
        <f>'ANNL P&amp;L'!E11-'YTD P&amp;L'!J11</f>
        <v>301674</v>
      </c>
      <c r="N11" s="6">
        <f>'YTD P&amp;L'!K11</f>
        <v>397444</v>
      </c>
      <c r="O11" s="6">
        <f>'YTD P&amp;L'!L11-'YTD P&amp;L'!K11</f>
        <v>413871</v>
      </c>
      <c r="P11" s="6">
        <f>'YTD P&amp;L'!M11-'YTD P&amp;L'!L11</f>
        <v>452694</v>
      </c>
      <c r="Q11" s="6">
        <f>'ANNL P&amp;L'!F11-'YTD P&amp;L'!M11</f>
        <v>366979</v>
      </c>
      <c r="R11" s="6">
        <f>'YTD P&amp;L'!N11</f>
        <v>442049</v>
      </c>
      <c r="S11" s="6">
        <f>'YTD P&amp;L'!O11-'YTD P&amp;L'!N11</f>
        <v>425369</v>
      </c>
      <c r="T11" s="6">
        <f>'YTD P&amp;L'!P11-'YTD P&amp;L'!O11</f>
        <v>370919</v>
      </c>
      <c r="U11" s="6">
        <f>'ANNL P&amp;L'!G11-'YTD P&amp;L'!P11</f>
        <v>270711</v>
      </c>
      <c r="V11" s="6">
        <f>'YTD P&amp;L'!Q11</f>
        <v>442993</v>
      </c>
      <c r="W11" s="6">
        <f>'YTD P&amp;L'!R11-'YTD P&amp;L'!Q11</f>
        <v>488794</v>
      </c>
      <c r="X11" s="6">
        <f>'YTD P&amp;L'!S11-'YTD P&amp;L'!R11</f>
        <v>524455</v>
      </c>
      <c r="Y11" s="6">
        <f>'ANNL P&amp;L'!H11-'YTD P&amp;L'!S11</f>
        <v>449190</v>
      </c>
      <c r="Z11" s="7">
        <f t="shared" ref="Z11:AS11" si="3">Z9+Z10</f>
        <v>459253.84532008163</v>
      </c>
      <c r="AA11" s="7">
        <f t="shared" si="3"/>
        <v>520094.22488594597</v>
      </c>
      <c r="AB11" s="7">
        <f t="shared" si="3"/>
        <v>540343.58018952655</v>
      </c>
      <c r="AC11" s="7">
        <f t="shared" si="3"/>
        <v>524700.67627654527</v>
      </c>
      <c r="AD11" s="7">
        <f t="shared" si="3"/>
        <v>536536.27368350013</v>
      </c>
      <c r="AE11" s="7">
        <f t="shared" si="3"/>
        <v>608087.67533223424</v>
      </c>
      <c r="AF11" s="7">
        <f t="shared" si="3"/>
        <v>631901.95402005711</v>
      </c>
      <c r="AG11" s="7">
        <f t="shared" si="3"/>
        <v>613505.09803695814</v>
      </c>
      <c r="AH11" s="7">
        <f t="shared" si="3"/>
        <v>627424.36661911674</v>
      </c>
      <c r="AI11" s="7">
        <f t="shared" si="3"/>
        <v>711572.47868597391</v>
      </c>
      <c r="AJ11" s="7">
        <f t="shared" si="3"/>
        <v>739579.28981249977</v>
      </c>
      <c r="AK11" s="7">
        <f t="shared" si="3"/>
        <v>717943.64518119651</v>
      </c>
      <c r="AL11" s="7">
        <f t="shared" si="3"/>
        <v>734313.41775798448</v>
      </c>
      <c r="AM11" s="7">
        <f t="shared" si="3"/>
        <v>833275.90628027054</v>
      </c>
      <c r="AN11" s="7">
        <f t="shared" si="3"/>
        <v>866213.35022972664</v>
      </c>
      <c r="AO11" s="7">
        <f t="shared" si="3"/>
        <v>840768.72430875013</v>
      </c>
      <c r="AP11" s="7">
        <f t="shared" si="3"/>
        <v>860020.41505916975</v>
      </c>
      <c r="AQ11" s="7">
        <f t="shared" si="3"/>
        <v>976405.36885043816</v>
      </c>
      <c r="AR11" s="7">
        <f t="shared" si="3"/>
        <v>1015141.4894684708</v>
      </c>
      <c r="AS11" s="7">
        <f t="shared" si="3"/>
        <v>985217.30651522917</v>
      </c>
    </row>
    <row r="12" spans="1:45" x14ac:dyDescent="0.25">
      <c r="A12" s="3" t="s">
        <v>28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x14ac:dyDescent="0.25">
      <c r="A13" s="3" t="s">
        <v>29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</row>
    <row r="14" spans="1:45" x14ac:dyDescent="0.25">
      <c r="A14" s="3" t="s">
        <v>30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x14ac:dyDescent="0.25">
      <c r="A15" s="3" t="s">
        <v>31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x14ac:dyDescent="0.25">
      <c r="A16" s="3" t="s">
        <v>32</v>
      </c>
      <c r="B16" s="6">
        <f>'YTD P&amp;L'!B16</f>
        <v>278835</v>
      </c>
      <c r="C16" s="6">
        <f>'YTD P&amp;L'!C16-'YTD P&amp;L'!B16</f>
        <v>311369</v>
      </c>
      <c r="D16" s="6">
        <f>'YTD P&amp;L'!D16-'YTD P&amp;L'!C16</f>
        <v>347654</v>
      </c>
      <c r="E16" s="6">
        <f>'ANNL P&amp;L'!C16-'YTD P&amp;L'!D16</f>
        <v>471736</v>
      </c>
      <c r="F16" s="6">
        <f>'YTD P&amp;L'!E16</f>
        <v>315194</v>
      </c>
      <c r="G16" s="6">
        <f>'YTD P&amp;L'!F16-'YTD P&amp;L'!E16</f>
        <v>403762</v>
      </c>
      <c r="H16" s="6">
        <f>'YTD P&amp;L'!G16-'YTD P&amp;L'!F16</f>
        <v>337205</v>
      </c>
      <c r="I16" s="6">
        <f>'ANNL P&amp;L'!D16-'YTD P&amp;L'!G16</f>
        <v>321314</v>
      </c>
      <c r="J16" s="6">
        <f>'YTD P&amp;L'!H16</f>
        <v>294203</v>
      </c>
      <c r="K16" s="6">
        <f>'YTD P&amp;L'!I16-'YTD P&amp;L'!H16</f>
        <v>273360</v>
      </c>
      <c r="L16" s="6">
        <f>'YTD P&amp;L'!J16-'YTD P&amp;L'!I16</f>
        <v>322387</v>
      </c>
      <c r="M16" s="6">
        <f>'ANNL P&amp;L'!E16-'YTD P&amp;L'!J16</f>
        <v>301674</v>
      </c>
      <c r="N16" s="6">
        <f>'YTD P&amp;L'!K16</f>
        <v>397444</v>
      </c>
      <c r="O16" s="6">
        <f>'YTD P&amp;L'!L16-'YTD P&amp;L'!K16</f>
        <v>413871</v>
      </c>
      <c r="P16" s="6">
        <f>'YTD P&amp;L'!M16-'YTD P&amp;L'!L16</f>
        <v>452694</v>
      </c>
      <c r="Q16" s="6">
        <f>'ANNL P&amp;L'!F16-'YTD P&amp;L'!M16</f>
        <v>366979</v>
      </c>
      <c r="R16" s="6">
        <f>'YTD P&amp;L'!N16</f>
        <v>442049</v>
      </c>
      <c r="S16" s="6">
        <f>'YTD P&amp;L'!O16-'YTD P&amp;L'!N16</f>
        <v>425369</v>
      </c>
      <c r="T16" s="6">
        <f>'YTD P&amp;L'!P16-'YTD P&amp;L'!O16</f>
        <v>370919</v>
      </c>
      <c r="U16" s="6">
        <f>'ANNL P&amp;L'!G16-'YTD P&amp;L'!P16</f>
        <v>270711</v>
      </c>
      <c r="V16" s="6">
        <f>'YTD P&amp;L'!Q16</f>
        <v>442993</v>
      </c>
      <c r="W16" s="6">
        <f>'YTD P&amp;L'!R16-'YTD P&amp;L'!Q16</f>
        <v>488794</v>
      </c>
      <c r="X16" s="6">
        <f>'YTD P&amp;L'!S16-'YTD P&amp;L'!R16</f>
        <v>524455</v>
      </c>
      <c r="Y16" s="6">
        <f>'ANNL P&amp;L'!H16-'YTD P&amp;L'!S16</f>
        <v>449190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3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42" width="13" customWidth="1"/>
  </cols>
  <sheetData>
    <row r="1" spans="1:42" x14ac:dyDescent="0.25">
      <c r="A1" s="1"/>
      <c r="B1" s="2" t="s">
        <v>115</v>
      </c>
      <c r="C1" s="2" t="s">
        <v>100</v>
      </c>
      <c r="D1" s="2" t="s">
        <v>101</v>
      </c>
      <c r="E1" s="2" t="s">
        <v>102</v>
      </c>
      <c r="F1" s="2" t="s">
        <v>116</v>
      </c>
      <c r="G1" s="2" t="s">
        <v>103</v>
      </c>
      <c r="H1" s="2" t="s">
        <v>104</v>
      </c>
      <c r="I1" s="2" t="s">
        <v>105</v>
      </c>
      <c r="J1" s="2" t="s">
        <v>117</v>
      </c>
      <c r="K1" s="2" t="s">
        <v>106</v>
      </c>
      <c r="L1" s="2" t="s">
        <v>107</v>
      </c>
      <c r="M1" s="2" t="s">
        <v>108</v>
      </c>
      <c r="N1" s="2" t="s">
        <v>118</v>
      </c>
      <c r="O1" s="2" t="s">
        <v>109</v>
      </c>
      <c r="P1" s="2" t="s">
        <v>110</v>
      </c>
      <c r="Q1" s="2" t="s">
        <v>111</v>
      </c>
      <c r="R1" s="2" t="s">
        <v>119</v>
      </c>
      <c r="S1" s="2" t="s">
        <v>112</v>
      </c>
      <c r="T1" s="2" t="s">
        <v>113</v>
      </c>
      <c r="U1" s="2" t="s">
        <v>114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134</v>
      </c>
      <c r="AG1" s="2" t="s">
        <v>135</v>
      </c>
      <c r="AH1" s="2" t="s">
        <v>136</v>
      </c>
      <c r="AI1" s="2" t="s">
        <v>137</v>
      </c>
      <c r="AJ1" s="2" t="s">
        <v>138</v>
      </c>
      <c r="AK1" s="2" t="s">
        <v>139</v>
      </c>
      <c r="AL1" s="2" t="s">
        <v>140</v>
      </c>
      <c r="AM1" s="2" t="s">
        <v>141</v>
      </c>
      <c r="AN1" s="2" t="s">
        <v>142</v>
      </c>
      <c r="AO1" s="2" t="s">
        <v>143</v>
      </c>
      <c r="AP1" s="2" t="s">
        <v>144</v>
      </c>
    </row>
    <row r="2" spans="1:42" x14ac:dyDescent="0.25">
      <c r="A2" s="3" t="s">
        <v>33</v>
      </c>
      <c r="B2" s="4">
        <f>'BALANCE SHEET'!B2</f>
        <v>1180413</v>
      </c>
      <c r="C2" s="4">
        <f>'YTD BS'!C2</f>
        <v>1178879</v>
      </c>
      <c r="D2" s="4">
        <f>'YTD BS'!D2</f>
        <v>1584239</v>
      </c>
      <c r="E2" s="4">
        <f>'YTD BS'!E2</f>
        <v>1712671</v>
      </c>
      <c r="F2" s="4">
        <f>'BALANCE SHEET'!C2</f>
        <v>1326462</v>
      </c>
      <c r="G2" s="4">
        <f>'YTD BS'!G2</f>
        <v>1014786</v>
      </c>
      <c r="H2" s="4">
        <f>'YTD BS'!H2</f>
        <v>1132039</v>
      </c>
      <c r="I2" s="4">
        <f>'YTD BS'!I2</f>
        <v>1303048</v>
      </c>
      <c r="J2" s="4">
        <f>'BALANCE SHEET'!D2</f>
        <v>1307141</v>
      </c>
      <c r="K2" s="4">
        <f>'YTD BS'!K2</f>
        <v>1672660</v>
      </c>
      <c r="L2" s="4">
        <f>'YTD BS'!L2</f>
        <v>1869774</v>
      </c>
      <c r="M2" s="4">
        <f>'YTD BS'!M2</f>
        <v>1773849</v>
      </c>
      <c r="N2" s="4">
        <f>'BALANCE SHEET'!E2</f>
        <v>2297675</v>
      </c>
      <c r="O2" s="4">
        <f>'YTD BS'!O2</f>
        <v>2576524</v>
      </c>
      <c r="P2" s="4">
        <f>'YTD BS'!P2</f>
        <v>1564734</v>
      </c>
      <c r="Q2" s="4">
        <f>'YTD BS'!Q2</f>
        <v>1625339</v>
      </c>
      <c r="R2" s="4">
        <f>'BALANCE SHEET'!F2</f>
        <v>1533287</v>
      </c>
      <c r="S2" s="4">
        <f>'YTD BS'!S2</f>
        <v>1903419</v>
      </c>
      <c r="T2" s="4">
        <f>'YTD BS'!T2</f>
        <v>1926927</v>
      </c>
      <c r="U2" s="4">
        <f>'YTD BS'!U2</f>
        <v>2292939</v>
      </c>
      <c r="V2" s="4">
        <f>'BALANCE SHEET'!G2</f>
        <v>2088117</v>
      </c>
      <c r="W2" s="11">
        <f>'BS DRIVERS'!W2</f>
        <v>2580327.4950840767</v>
      </c>
      <c r="X2" s="11">
        <f>'BS DRIVERS'!X2</f>
        <v>2936716.4829764888</v>
      </c>
      <c r="Y2" s="11">
        <f>'BS DRIVERS'!Y2</f>
        <v>3477516.2400014186</v>
      </c>
      <c r="Z2" s="11">
        <f>'BS DRIVERS'!Z2</f>
        <v>4144447.1847983776</v>
      </c>
      <c r="AA2" s="11">
        <f>'BS DRIVERS'!AA2</f>
        <v>4714659.743908925</v>
      </c>
      <c r="AB2" s="11">
        <f>'BS DRIVERS'!AB2</f>
        <v>5125139.2559386836</v>
      </c>
      <c r="AC2" s="11">
        <f>'BS DRIVERS'!AC2</f>
        <v>5752495.2750630165</v>
      </c>
      <c r="AD2" s="11">
        <f>'BS DRIVERS'!AD2</f>
        <v>6528188.0294461809</v>
      </c>
      <c r="AE2" s="11">
        <f>'BS DRIVERS'!AE2</f>
        <v>7190135.009880417</v>
      </c>
      <c r="AF2" s="11">
        <f>'BS DRIVERS'!AF2</f>
        <v>7664227.7479544347</v>
      </c>
      <c r="AG2" s="11">
        <f>'BS DRIVERS'!AG2</f>
        <v>8393378.3633465767</v>
      </c>
      <c r="AH2" s="11">
        <f>'BS DRIVERS'!AH2</f>
        <v>9296980.5748579782</v>
      </c>
      <c r="AI2" s="11">
        <f>'BS DRIVERS'!AI2</f>
        <v>10066811.931950973</v>
      </c>
      <c r="AJ2" s="11">
        <f>'BS DRIVERS'!AJ2</f>
        <v>10615717.081113534</v>
      </c>
      <c r="AK2" s="11">
        <f>'BS DRIVERS'!AK2</f>
        <v>11464583.35402132</v>
      </c>
      <c r="AL2" s="11">
        <f>'BS DRIVERS'!AL2</f>
        <v>12518613.636609204</v>
      </c>
      <c r="AM2" s="11">
        <f>'BS DRIVERS'!AM2</f>
        <v>13415322.544779563</v>
      </c>
      <c r="AN2" s="11">
        <f>'BS DRIVERS'!AN2</f>
        <v>14052210.920087378</v>
      </c>
      <c r="AO2" s="11">
        <f>'BS DRIVERS'!AO2</f>
        <v>15041868.936170781</v>
      </c>
      <c r="AP2" s="11">
        <f>'BS DRIVERS'!AP2</f>
        <v>16272810.332884535</v>
      </c>
    </row>
    <row r="3" spans="1:42" x14ac:dyDescent="0.25">
      <c r="A3" s="3" t="s">
        <v>34</v>
      </c>
      <c r="B3" s="4">
        <f>'BALANCE SHEET'!B3</f>
        <v>881354</v>
      </c>
      <c r="C3" s="4">
        <f>'YTD BS'!C3</f>
        <v>980108</v>
      </c>
      <c r="D3" s="4">
        <f>'YTD BS'!D3</f>
        <v>968952</v>
      </c>
      <c r="E3" s="4">
        <f>'YTD BS'!E3</f>
        <v>1224066</v>
      </c>
      <c r="F3" s="4">
        <f>'BALANCE SHEET'!C3</f>
        <v>1749727</v>
      </c>
      <c r="G3" s="4">
        <f>'YTD BS'!G3</f>
        <v>1717648</v>
      </c>
      <c r="H3" s="4">
        <f>'YTD BS'!H3</f>
        <v>1337792</v>
      </c>
      <c r="I3" s="4">
        <f>'YTD BS'!I3</f>
        <v>1346781</v>
      </c>
      <c r="J3" s="4">
        <f>'BALANCE SHEET'!D3</f>
        <v>1362314</v>
      </c>
      <c r="K3" s="4">
        <f>'YTD BS'!K3</f>
        <v>1383028</v>
      </c>
      <c r="L3" s="4">
        <f>'YTD BS'!L3</f>
        <v>1417239</v>
      </c>
      <c r="M3" s="4">
        <f>'YTD BS'!M3</f>
        <v>1236752</v>
      </c>
      <c r="N3" s="4">
        <f>'BALANCE SHEET'!E3</f>
        <v>955605</v>
      </c>
      <c r="O3" s="4">
        <f>'YTD BS'!O3</f>
        <v>984201</v>
      </c>
      <c r="P3" s="4">
        <f>'YTD BS'!P3</f>
        <v>0</v>
      </c>
      <c r="Q3" s="4">
        <f>'YTD BS'!Q3</f>
        <v>0</v>
      </c>
      <c r="R3" s="4">
        <f>'BALANCE SHEET'!F3</f>
        <v>0</v>
      </c>
      <c r="S3" s="4">
        <f>'YTD BS'!S3</f>
        <v>0</v>
      </c>
      <c r="T3" s="4">
        <f>'YTD BS'!T3</f>
        <v>145253</v>
      </c>
      <c r="U3" s="4">
        <f>'YTD BS'!U3</f>
        <v>286391</v>
      </c>
      <c r="V3" s="4">
        <f>'BALANCE SHEET'!G3</f>
        <v>677084</v>
      </c>
      <c r="W3" s="11">
        <f>'BS DRIVERS'!W3</f>
        <v>677084</v>
      </c>
      <c r="X3" s="11">
        <f>'BS DRIVERS'!X3</f>
        <v>677084</v>
      </c>
      <c r="Y3" s="11">
        <f>'BS DRIVERS'!Y3</f>
        <v>677084</v>
      </c>
      <c r="Z3" s="11">
        <f>'BS DRIVERS'!Z3</f>
        <v>677084</v>
      </c>
      <c r="AA3" s="11">
        <f>'BS DRIVERS'!AA3</f>
        <v>677084</v>
      </c>
      <c r="AB3" s="11">
        <f>'BS DRIVERS'!AB3</f>
        <v>677084</v>
      </c>
      <c r="AC3" s="11">
        <f>'BS DRIVERS'!AC3</f>
        <v>677084</v>
      </c>
      <c r="AD3" s="11">
        <f>'BS DRIVERS'!AD3</f>
        <v>677084</v>
      </c>
      <c r="AE3" s="11">
        <f>'BS DRIVERS'!AE3</f>
        <v>677084</v>
      </c>
      <c r="AF3" s="11">
        <f>'BS DRIVERS'!AF3</f>
        <v>677084</v>
      </c>
      <c r="AG3" s="11">
        <f>'BS DRIVERS'!AG3</f>
        <v>677084</v>
      </c>
      <c r="AH3" s="11">
        <f>'BS DRIVERS'!AH3</f>
        <v>677084</v>
      </c>
      <c r="AI3" s="11">
        <f>'BS DRIVERS'!AI3</f>
        <v>677084</v>
      </c>
      <c r="AJ3" s="11">
        <f>'BS DRIVERS'!AJ3</f>
        <v>677084</v>
      </c>
      <c r="AK3" s="11">
        <f>'BS DRIVERS'!AK3</f>
        <v>677084</v>
      </c>
      <c r="AL3" s="11">
        <f>'BS DRIVERS'!AL3</f>
        <v>677084</v>
      </c>
      <c r="AM3" s="11">
        <f>'BS DRIVERS'!AM3</f>
        <v>677084</v>
      </c>
      <c r="AN3" s="11">
        <f>'BS DRIVERS'!AN3</f>
        <v>677084</v>
      </c>
      <c r="AO3" s="11">
        <f>'BS DRIVERS'!AO3</f>
        <v>677084</v>
      </c>
      <c r="AP3" s="11">
        <f>'BS DRIVERS'!AP3</f>
        <v>677084</v>
      </c>
    </row>
    <row r="4" spans="1:42" x14ac:dyDescent="0.25">
      <c r="A4" s="3" t="s">
        <v>35</v>
      </c>
      <c r="B4" s="4">
        <f>'BALANCE SHEET'!B4</f>
        <v>666012</v>
      </c>
      <c r="C4" s="4">
        <f>'YTD BS'!C4</f>
        <v>802509</v>
      </c>
      <c r="D4" s="4">
        <f>'YTD BS'!D4</f>
        <v>909169</v>
      </c>
      <c r="E4" s="4">
        <f>'YTD BS'!E4</f>
        <v>849157</v>
      </c>
      <c r="F4" s="4">
        <f>'BALANCE SHEET'!C4</f>
        <v>896658</v>
      </c>
      <c r="G4" s="4">
        <f>'YTD BS'!G4</f>
        <v>1039780</v>
      </c>
      <c r="H4" s="4">
        <f>'YTD BS'!H4</f>
        <v>1175587</v>
      </c>
      <c r="I4" s="4">
        <f>'YTD BS'!I4</f>
        <v>1051642</v>
      </c>
      <c r="J4" s="4">
        <f>'BALANCE SHEET'!D4</f>
        <v>1016203</v>
      </c>
      <c r="K4" s="4">
        <f>'YTD BS'!K4</f>
        <v>1190351</v>
      </c>
      <c r="L4" s="4">
        <f>'YTD BS'!L4</f>
        <v>1333004</v>
      </c>
      <c r="M4" s="4">
        <f>'YTD BS'!M4</f>
        <v>1231188</v>
      </c>
      <c r="N4" s="4">
        <f>'BALANCE SHEET'!E4</f>
        <v>1193964</v>
      </c>
      <c r="O4" s="4">
        <f>'YTD BS'!O4</f>
        <v>1370239</v>
      </c>
      <c r="P4" s="4">
        <f>'YTD BS'!P4</f>
        <v>1362398</v>
      </c>
      <c r="Q4" s="4">
        <f>'YTD BS'!Q4</f>
        <v>1285397</v>
      </c>
      <c r="R4" s="4">
        <f>'BALANCE SHEET'!F4</f>
        <v>1221646</v>
      </c>
      <c r="S4" s="4">
        <f>'YTD BS'!S4</f>
        <v>1360233</v>
      </c>
      <c r="T4" s="4">
        <f>'YTD BS'!T4</f>
        <v>1522702</v>
      </c>
      <c r="U4" s="4">
        <f>'YTD BS'!U4</f>
        <v>1601216</v>
      </c>
      <c r="V4" s="4">
        <f>'BALANCE SHEET'!G4</f>
        <v>1618072</v>
      </c>
      <c r="W4" s="11">
        <f>'QTR P&amp;L'!Z2*'BS DRIVERS'!W4/ASSUMPTIONS!$B$2</f>
        <v>1656037.7895290451</v>
      </c>
      <c r="X4" s="11">
        <f>'QTR P&amp;L'!AA2*'BS DRIVERS'!X4/ASSUMPTIONS!$B$2</f>
        <v>1885557.7167536498</v>
      </c>
      <c r="Y4" s="11">
        <f>'QTR P&amp;L'!AB2*'BS DRIVERS'!Y4/ASSUMPTIONS!$B$2</f>
        <v>1961948.2749452135</v>
      </c>
      <c r="Z4" s="11">
        <f>'QTR P&amp;L'!AC2*'BS DRIVERS'!Z4/ASSUMPTIONS!$B$2</f>
        <v>1902935.5239842809</v>
      </c>
      <c r="AA4" s="11">
        <f>'QTR P&amp;L'!AD2*'BS DRIVERS'!AA4/ASSUMPTIONS!$B$2</f>
        <v>1947585.2364760181</v>
      </c>
      <c r="AB4" s="11">
        <f>'QTR P&amp;L'!AE2*'BS DRIVERS'!AB4/ASSUMPTIONS!$B$2</f>
        <v>2217512.4232625067</v>
      </c>
      <c r="AC4" s="11">
        <f>'QTR P&amp;L'!AF2*'BS DRIVERS'!AC4/ASSUMPTIONS!$B$2</f>
        <v>2307351.6312085777</v>
      </c>
      <c r="AD4" s="11">
        <f>'QTR P&amp;L'!AG2*'BS DRIVERS'!AD4/ASSUMPTIONS!$B$2</f>
        <v>2237949.6143813925</v>
      </c>
      <c r="AE4" s="11">
        <f>'QTR P&amp;L'!AH2*'BS DRIVERS'!AE4/ASSUMPTIONS!$B$2</f>
        <v>2290459.9625217794</v>
      </c>
      <c r="AF4" s="11">
        <f>'QTR P&amp;L'!AI2*'BS DRIVERS'!AF4/ASSUMPTIONS!$B$2</f>
        <v>2607908.1555719958</v>
      </c>
      <c r="AG4" s="11">
        <f>'QTR P&amp;L'!AJ2*'BS DRIVERS'!AG4/ASSUMPTIONS!$B$2</f>
        <v>2713563.6642559045</v>
      </c>
      <c r="AH4" s="11">
        <f>'QTR P&amp;L'!AK2*'BS DRIVERS'!AH4/ASSUMPTIONS!$B$2</f>
        <v>2631943.3387965891</v>
      </c>
      <c r="AI4" s="11">
        <f>'QTR P&amp;L'!AL2*'BS DRIVERS'!AI4/ASSUMPTIONS!$B$2</f>
        <v>2693698.1969568711</v>
      </c>
      <c r="AJ4" s="11">
        <f>'QTR P&amp;L'!AM2*'BS DRIVERS'!AJ4/ASSUMPTIONS!$B$2</f>
        <v>3067033.5266454611</v>
      </c>
      <c r="AK4" s="11">
        <f>'QTR P&amp;L'!AN2*'BS DRIVERS'!AK4/ASSUMPTIONS!$B$2</f>
        <v>3191289.8148571351</v>
      </c>
      <c r="AL4" s="11">
        <f>'QTR P&amp;L'!AO2*'BS DRIVERS'!AL4/ASSUMPTIONS!$B$2</f>
        <v>3095300.1328184558</v>
      </c>
      <c r="AM4" s="11">
        <f>'QTR P&amp;L'!AP2*'BS DRIVERS'!AM4/ASSUMPTIONS!$B$2</f>
        <v>3167927.0081193144</v>
      </c>
      <c r="AN4" s="11">
        <f>'QTR P&amp;L'!AQ2*'BS DRIVERS'!AN4/ASSUMPTIONS!$B$2</f>
        <v>3606988.4721473684</v>
      </c>
      <c r="AO4" s="11">
        <f>'QTR P&amp;L'!AR2*'BS DRIVERS'!AO4/ASSUMPTIONS!$B$2</f>
        <v>3753120.2295206026</v>
      </c>
      <c r="AP4" s="11">
        <f>'QTR P&amp;L'!AS2*'BS DRIVERS'!AP4/ASSUMPTIONS!$B$2</f>
        <v>3640231.4483740539</v>
      </c>
    </row>
    <row r="5" spans="1:42" x14ac:dyDescent="0.25">
      <c r="A5" s="3" t="s">
        <v>36</v>
      </c>
      <c r="B5" s="4">
        <f>'BALANCE SHEET'!B5</f>
        <v>333085</v>
      </c>
      <c r="C5" s="4">
        <f>'YTD BS'!C5</f>
        <v>368402</v>
      </c>
      <c r="D5" s="4">
        <f>'YTD BS'!D5</f>
        <v>382890</v>
      </c>
      <c r="E5" s="4">
        <f>'YTD BS'!E5</f>
        <v>471553</v>
      </c>
      <c r="F5" s="4">
        <f>'BALANCE SHEET'!C5</f>
        <v>593357</v>
      </c>
      <c r="G5" s="4">
        <f>'YTD BS'!G5</f>
        <v>821132</v>
      </c>
      <c r="H5" s="4">
        <f>'YTD BS'!H5</f>
        <v>885948</v>
      </c>
      <c r="I5" s="4">
        <f>'YTD BS'!I5</f>
        <v>862977</v>
      </c>
      <c r="J5" s="4">
        <f>'BALANCE SHEET'!D5</f>
        <v>935631</v>
      </c>
      <c r="K5" s="4">
        <f>'YTD BS'!K5</f>
        <v>906723</v>
      </c>
      <c r="L5" s="4">
        <f>'YTD BS'!L5</f>
        <v>846812</v>
      </c>
      <c r="M5" s="4">
        <f>'YTD BS'!M5</f>
        <v>883582</v>
      </c>
      <c r="N5" s="4">
        <f>'BALANCE SHEET'!E5</f>
        <v>971406</v>
      </c>
      <c r="O5" s="4">
        <f>'YTD BS'!O5</f>
        <v>939630</v>
      </c>
      <c r="P5" s="4">
        <f>'YTD BS'!P5</f>
        <v>834404</v>
      </c>
      <c r="Q5" s="4">
        <f>'YTD BS'!Q5</f>
        <v>770338</v>
      </c>
      <c r="R5" s="4">
        <f>'BALANCE SHEET'!F5</f>
        <v>737107</v>
      </c>
      <c r="S5" s="4">
        <f>'YTD BS'!S5</f>
        <v>725129</v>
      </c>
      <c r="T5" s="4">
        <f>'YTD BS'!T5</f>
        <v>658167</v>
      </c>
      <c r="U5" s="4">
        <f>'YTD BS'!U5</f>
        <v>704586</v>
      </c>
      <c r="V5" s="4">
        <f>'BALANCE SHEET'!G5</f>
        <v>799623</v>
      </c>
      <c r="W5" s="11">
        <f>'QTR P&amp;L'!Z3*'BS DRIVERS'!W5/ASSUMPTIONS!$B$2</f>
        <v>818385.0319247744</v>
      </c>
      <c r="X5" s="11">
        <f>'QTR P&amp;L'!AA3*'BS DRIVERS'!X5/ASSUMPTIONS!$B$2</f>
        <v>931809.78234819195</v>
      </c>
      <c r="Y5" s="11">
        <f>'QTR P&amp;L'!AB3*'BS DRIVERS'!Y5/ASSUMPTIONS!$B$2</f>
        <v>969560.66569133918</v>
      </c>
      <c r="Z5" s="11">
        <f>'QTR P&amp;L'!AC3*'BS DRIVERS'!Z5/ASSUMPTIONS!$B$2</f>
        <v>940397.59200757591</v>
      </c>
      <c r="AA5" s="11">
        <f>'QTR P&amp;L'!AD3*'BS DRIVERS'!AA5/ASSUMPTIONS!$B$2</f>
        <v>962462.70224480925</v>
      </c>
      <c r="AB5" s="11">
        <f>'QTR P&amp;L'!AE3*'BS DRIVERS'!AB5/ASSUMPTIONS!$B$2</f>
        <v>1095856.0165594828</v>
      </c>
      <c r="AC5" s="11">
        <f>'QTR P&amp;L'!AF3*'BS DRIVERS'!AC5/ASSUMPTIONS!$B$2</f>
        <v>1140252.9883725177</v>
      </c>
      <c r="AD5" s="11">
        <f>'QTR P&amp;L'!AG3*'BS DRIVERS'!AD5/ASSUMPTIONS!$B$2</f>
        <v>1105955.7204503212</v>
      </c>
      <c r="AE5" s="11">
        <f>'QTR P&amp;L'!AH3*'BS DRIVERS'!AE5/ASSUMPTIONS!$B$2</f>
        <v>1131905.4199142887</v>
      </c>
      <c r="AF5" s="11">
        <f>'QTR P&amp;L'!AI3*'BS DRIVERS'!AF5/ASSUMPTIONS!$B$2</f>
        <v>1288782.7878382087</v>
      </c>
      <c r="AG5" s="11">
        <f>'QTR P&amp;L'!AJ3*'BS DRIVERS'!AG5/ASSUMPTIONS!$B$2</f>
        <v>1340995.8999990723</v>
      </c>
      <c r="AH5" s="11">
        <f>'QTR P&amp;L'!AK3*'BS DRIVERS'!AH5/ASSUMPTIONS!$B$2</f>
        <v>1300660.5567604809</v>
      </c>
      <c r="AI5" s="11">
        <f>'QTR P&amp;L'!AL3*'BS DRIVERS'!AI5/ASSUMPTIONS!$B$2</f>
        <v>1331178.7320621356</v>
      </c>
      <c r="AJ5" s="11">
        <f>'QTR P&amp;L'!AM3*'BS DRIVERS'!AJ5/ASSUMPTIONS!$B$2</f>
        <v>1515674.5495112846</v>
      </c>
      <c r="AK5" s="11">
        <f>'QTR P&amp;L'!AN3*'BS DRIVERS'!AK5/ASSUMPTIONS!$B$2</f>
        <v>1577079.8429399352</v>
      </c>
      <c r="AL5" s="11">
        <f>'QTR P&amp;L'!AO3*'BS DRIVERS'!AL5/ASSUMPTIONS!$B$2</f>
        <v>1529643.4139548128</v>
      </c>
      <c r="AM5" s="11">
        <f>'QTR P&amp;L'!AP3*'BS DRIVERS'!AM5/ASSUMPTIONS!$B$2</f>
        <v>1565534.350766462</v>
      </c>
      <c r="AN5" s="11">
        <f>'QTR P&amp;L'!AQ3*'BS DRIVERS'!AN5/ASSUMPTIONS!$B$2</f>
        <v>1782510.8790362205</v>
      </c>
      <c r="AO5" s="11">
        <f>'QTR P&amp;L'!AR3*'BS DRIVERS'!AO5/ASSUMPTIONS!$B$2</f>
        <v>1854726.6483135191</v>
      </c>
      <c r="AP5" s="11">
        <f>'QTR P&amp;L'!AS3*'BS DRIVERS'!AP5/ASSUMPTIONS!$B$2</f>
        <v>1798938.9788854921</v>
      </c>
    </row>
    <row r="6" spans="1:42" x14ac:dyDescent="0.25">
      <c r="A6" s="3" t="s">
        <v>37</v>
      </c>
      <c r="B6" s="4">
        <f>'BALANCE SHEET'!B6</f>
        <v>55358</v>
      </c>
      <c r="C6" s="4">
        <f>'YTD BS'!C6</f>
        <v>72803</v>
      </c>
      <c r="D6" s="4">
        <f>'YTD BS'!D6</f>
        <v>83086</v>
      </c>
      <c r="E6" s="4">
        <f>'YTD BS'!E6</f>
        <v>95607</v>
      </c>
      <c r="F6" s="4">
        <f>'BALANCE SHEET'!C6</f>
        <v>82668</v>
      </c>
      <c r="G6" s="4">
        <f>'YTD BS'!G6</f>
        <v>110327</v>
      </c>
      <c r="H6" s="4">
        <f>'YTD BS'!H6</f>
        <v>132273</v>
      </c>
      <c r="I6" s="4">
        <f>'YTD BS'!I6</f>
        <v>112294</v>
      </c>
      <c r="J6" s="4">
        <f>'BALANCE SHEET'!D6</f>
        <v>109823</v>
      </c>
      <c r="K6" s="4">
        <f>'YTD BS'!K6</f>
        <v>110958</v>
      </c>
      <c r="L6" s="4">
        <f>'YTD BS'!L6</f>
        <v>148750</v>
      </c>
      <c r="M6" s="4">
        <f>'YTD BS'!M6</f>
        <v>162676</v>
      </c>
      <c r="N6" s="4">
        <f>'BALANCE SHEET'!E6</f>
        <v>116195</v>
      </c>
      <c r="O6" s="4">
        <f>'YTD BS'!O6</f>
        <v>124580</v>
      </c>
      <c r="P6" s="4">
        <f>'YTD BS'!P6</f>
        <v>129303</v>
      </c>
      <c r="Q6" s="4">
        <f>'YTD BS'!Q6</f>
        <v>124656</v>
      </c>
      <c r="R6" s="4">
        <f>'BALANCE SHEET'!F6</f>
        <v>107262</v>
      </c>
      <c r="S6" s="4">
        <f>'YTD BS'!S6</f>
        <v>112525</v>
      </c>
      <c r="T6" s="4">
        <f>'YTD BS'!T6</f>
        <v>137257</v>
      </c>
      <c r="U6" s="4">
        <f>'YTD BS'!U6</f>
        <v>142713</v>
      </c>
      <c r="V6" s="4">
        <f>'BALANCE SHEET'!G6</f>
        <v>103551</v>
      </c>
      <c r="W6" s="11">
        <f>'QTR P&amp;L'!Z2*'BS DRIVERS'!W6</f>
        <v>105980.6789460062</v>
      </c>
      <c r="X6" s="11">
        <f>'QTR P&amp;L'!AA2*'BS DRIVERS'!X6</f>
        <v>120669.15880600936</v>
      </c>
      <c r="Y6" s="11">
        <f>'QTR P&amp;L'!AB2*'BS DRIVERS'!Y6</f>
        <v>125557.88977180979</v>
      </c>
      <c r="Z6" s="11">
        <f>'QTR P&amp;L'!AC2*'BS DRIVERS'!Z6</f>
        <v>121781.27823984115</v>
      </c>
      <c r="AA6" s="11">
        <f>'QTR P&amp;L'!AD2*'BS DRIVERS'!AA6</f>
        <v>124638.70508996394</v>
      </c>
      <c r="AB6" s="11">
        <f>'QTR P&amp;L'!AE2*'BS DRIVERS'!AB6</f>
        <v>141913.10951629831</v>
      </c>
      <c r="AC6" s="11">
        <f>'QTR P&amp;L'!AF2*'BS DRIVERS'!AC6</f>
        <v>147662.50745534155</v>
      </c>
      <c r="AD6" s="11">
        <f>'QTR P&amp;L'!AG2*'BS DRIVERS'!AD6</f>
        <v>143221.018915603</v>
      </c>
      <c r="AE6" s="11">
        <f>'QTR P&amp;L'!AH2*'BS DRIVERS'!AE6</f>
        <v>146581.49920343023</v>
      </c>
      <c r="AF6" s="11">
        <f>'QTR P&amp;L'!AI2*'BS DRIVERS'!AF6</f>
        <v>166897.0833298121</v>
      </c>
      <c r="AG6" s="11">
        <f>'QTR P&amp;L'!AJ2*'BS DRIVERS'!AG6</f>
        <v>173658.6696991006</v>
      </c>
      <c r="AH6" s="11">
        <f>'QTR P&amp;L'!AK2*'BS DRIVERS'!AH6</f>
        <v>168435.25175376967</v>
      </c>
      <c r="AI6" s="11">
        <f>'QTR P&amp;L'!AL2*'BS DRIVERS'!AI6</f>
        <v>172387.34864275565</v>
      </c>
      <c r="AJ6" s="11">
        <f>'QTR P&amp;L'!AM2*'BS DRIVERS'!AJ6</f>
        <v>196279.51581738275</v>
      </c>
      <c r="AK6" s="11">
        <f>'QTR P&amp;L'!AN2*'BS DRIVERS'!AK6</f>
        <v>204231.48760887721</v>
      </c>
      <c r="AL6" s="11">
        <f>'QTR P&amp;L'!AO2*'BS DRIVERS'!AL6</f>
        <v>198088.48064454726</v>
      </c>
      <c r="AM6" s="11">
        <f>'QTR P&amp;L'!AP2*'BS DRIVERS'!AM6</f>
        <v>202736.34894971491</v>
      </c>
      <c r="AN6" s="11">
        <f>'QTR P&amp;L'!AQ2*'BS DRIVERS'!AN6</f>
        <v>230834.76092493546</v>
      </c>
      <c r="AO6" s="11">
        <f>'QTR P&amp;L'!AR2*'BS DRIVERS'!AO6</f>
        <v>240186.68692560523</v>
      </c>
      <c r="AP6" s="11">
        <f>'QTR P&amp;L'!AS2*'BS DRIVERS'!AP6</f>
        <v>232962.19618816816</v>
      </c>
    </row>
    <row r="7" spans="1:42" x14ac:dyDescent="0.25">
      <c r="A7" s="3" t="s">
        <v>38</v>
      </c>
      <c r="B7" s="4">
        <f>'BALANCE SHEET'!B7</f>
        <v>24733</v>
      </c>
      <c r="C7" s="4">
        <f>'YTD BS'!C7</f>
        <v>31171</v>
      </c>
      <c r="D7" s="4">
        <f>'YTD BS'!D7</f>
        <v>22339</v>
      </c>
      <c r="E7" s="4">
        <f>'YTD BS'!E7</f>
        <v>30619</v>
      </c>
      <c r="F7" s="4">
        <f>'BALANCE SHEET'!C7</f>
        <v>33238</v>
      </c>
      <c r="G7" s="4">
        <f>'YTD BS'!G7</f>
        <v>39993</v>
      </c>
      <c r="H7" s="4">
        <f>'YTD BS'!H7</f>
        <v>32981</v>
      </c>
      <c r="I7" s="4">
        <f>'YTD BS'!I7</f>
        <v>19949</v>
      </c>
      <c r="J7" s="4">
        <f>'BALANCE SHEET'!D7</f>
        <v>33785</v>
      </c>
      <c r="K7" s="4">
        <f>'YTD BS'!K7</f>
        <v>30889</v>
      </c>
      <c r="L7" s="4">
        <f>'YTD BS'!L7</f>
        <v>38534</v>
      </c>
      <c r="M7" s="4">
        <f>'YTD BS'!M7</f>
        <v>23468</v>
      </c>
      <c r="N7" s="4">
        <f>'BALANCE SHEET'!E7</f>
        <v>54151</v>
      </c>
      <c r="O7" s="4">
        <f>'YTD BS'!O7</f>
        <v>40340</v>
      </c>
      <c r="P7" s="4">
        <f>'YTD BS'!P7</f>
        <v>63458</v>
      </c>
      <c r="Q7" s="4">
        <f>'YTD BS'!Q7</f>
        <v>92028</v>
      </c>
      <c r="R7" s="4">
        <f>'BALANCE SHEET'!F7</f>
        <v>42202</v>
      </c>
      <c r="S7" s="4">
        <f>'YTD BS'!S7</f>
        <v>34113</v>
      </c>
      <c r="T7" s="4">
        <f>'YTD BS'!T7</f>
        <v>39034</v>
      </c>
      <c r="U7" s="4">
        <f>'YTD BS'!U7</f>
        <v>38372</v>
      </c>
      <c r="V7" s="4">
        <f>'BALANCE SHEET'!G7</f>
        <v>74637</v>
      </c>
      <c r="W7" s="11">
        <f>'QTR P&amp;L'!Z2*'BS DRIVERS'!W7</f>
        <v>76388.252498701739</v>
      </c>
      <c r="X7" s="11">
        <f>'QTR P&amp;L'!AA2*'BS DRIVERS'!X7</f>
        <v>86975.345537987276</v>
      </c>
      <c r="Y7" s="11">
        <f>'QTR P&amp;L'!AB2*'BS DRIVERS'!Y7</f>
        <v>90499.02192058567</v>
      </c>
      <c r="Z7" s="11">
        <f>'QTR P&amp;L'!AC2*'BS DRIVERS'!Z7</f>
        <v>87776.933723353941</v>
      </c>
      <c r="AA7" s="11">
        <f>'QTR P&amp;L'!AD2*'BS DRIVERS'!AA7</f>
        <v>89836.496333204297</v>
      </c>
      <c r="AB7" s="11">
        <f>'QTR P&amp;L'!AE2*'BS DRIVERS'!AB7</f>
        <v>102287.45985039213</v>
      </c>
      <c r="AC7" s="11">
        <f>'QTR P&amp;L'!AF2*'BS DRIVERS'!AC7</f>
        <v>106431.48370314459</v>
      </c>
      <c r="AD7" s="11">
        <f>'QTR P&amp;L'!AG2*'BS DRIVERS'!AD7</f>
        <v>103230.16860101651</v>
      </c>
      <c r="AE7" s="11">
        <f>'QTR P&amp;L'!AH2*'BS DRIVERS'!AE7</f>
        <v>105652.31968833155</v>
      </c>
      <c r="AF7" s="11">
        <f>'QTR P&amp;L'!AI2*'BS DRIVERS'!AF7</f>
        <v>120295.29032541631</v>
      </c>
      <c r="AG7" s="11">
        <f>'QTR P&amp;L'!AJ2*'BS DRIVERS'!AG7</f>
        <v>125168.87456742833</v>
      </c>
      <c r="AH7" s="11">
        <f>'QTR P&amp;L'!AK2*'BS DRIVERS'!AH7</f>
        <v>121403.96408674089</v>
      </c>
      <c r="AI7" s="11">
        <f>'QTR P&amp;L'!AL2*'BS DRIVERS'!AI7</f>
        <v>124252.53778958536</v>
      </c>
      <c r="AJ7" s="11">
        <f>'QTR P&amp;L'!AM2*'BS DRIVERS'!AJ7</f>
        <v>141473.42103950705</v>
      </c>
      <c r="AK7" s="11">
        <f>'QTR P&amp;L'!AN2*'BS DRIVERS'!AK7</f>
        <v>147205.00565580023</v>
      </c>
      <c r="AL7" s="11">
        <f>'QTR P&amp;L'!AO2*'BS DRIVERS'!AL7</f>
        <v>142777.2781515106</v>
      </c>
      <c r="AM7" s="11">
        <f>'QTR P&amp;L'!AP2*'BS DRIVERS'!AM7</f>
        <v>146127.34668482072</v>
      </c>
      <c r="AN7" s="11">
        <f>'QTR P&amp;L'!AQ2*'BS DRIVERS'!AN7</f>
        <v>166379.98716723552</v>
      </c>
      <c r="AO7" s="11">
        <f>'QTR P&amp;L'!AR2*'BS DRIVERS'!AO7</f>
        <v>173120.62415685409</v>
      </c>
      <c r="AP7" s="11">
        <f>'QTR P&amp;L'!AS2*'BS DRIVERS'!AP7</f>
        <v>167913.38989383305</v>
      </c>
    </row>
    <row r="8" spans="1:42" x14ac:dyDescent="0.25">
      <c r="A8" s="3" t="s">
        <v>39</v>
      </c>
      <c r="B8" s="6">
        <f>'BALANCE SHEET'!B8</f>
        <v>3140955</v>
      </c>
      <c r="C8" s="6">
        <f>'YTD BS'!C8</f>
        <v>3433872</v>
      </c>
      <c r="D8" s="6">
        <f>'YTD BS'!D8</f>
        <v>3950675</v>
      </c>
      <c r="E8" s="6">
        <f>'YTD BS'!E8</f>
        <v>4383673</v>
      </c>
      <c r="F8" s="6">
        <f>'BALANCE SHEET'!C8</f>
        <v>4682110</v>
      </c>
      <c r="G8" s="6">
        <f>'YTD BS'!G8</f>
        <v>4743666</v>
      </c>
      <c r="H8" s="6">
        <f>'YTD BS'!H8</f>
        <v>4696620</v>
      </c>
      <c r="I8" s="6">
        <f>'YTD BS'!I8</f>
        <v>4696691</v>
      </c>
      <c r="J8" s="6">
        <f>'BALANCE SHEET'!D8</f>
        <v>4764897</v>
      </c>
      <c r="K8" s="6">
        <f>'YTD BS'!K8</f>
        <v>5294609</v>
      </c>
      <c r="L8" s="6">
        <f>'YTD BS'!L8</f>
        <v>5654113</v>
      </c>
      <c r="M8" s="6">
        <f>'YTD BS'!M8</f>
        <v>5311515</v>
      </c>
      <c r="N8" s="6">
        <f>'BALANCE SHEET'!E8</f>
        <v>5588996</v>
      </c>
      <c r="O8" s="6">
        <f>'YTD BS'!O8</f>
        <v>6035514</v>
      </c>
      <c r="P8" s="6">
        <f>'YTD BS'!P8</f>
        <v>3954297</v>
      </c>
      <c r="Q8" s="6">
        <f>'YTD BS'!Q8</f>
        <v>3897758</v>
      </c>
      <c r="R8" s="6">
        <f>'BALANCE SHEET'!F8</f>
        <v>3641504</v>
      </c>
      <c r="S8" s="6">
        <f>'YTD BS'!S8</f>
        <v>4135419</v>
      </c>
      <c r="T8" s="6">
        <f>'YTD BS'!T8</f>
        <v>4429340</v>
      </c>
      <c r="U8" s="6">
        <f>'YTD BS'!U8</f>
        <v>5066217</v>
      </c>
      <c r="V8" s="6">
        <f>'BALANCE SHEET'!G8</f>
        <v>5361084</v>
      </c>
      <c r="W8" s="7">
        <f t="shared" ref="W8:AP8" si="0">SUM(W2:W7)</f>
        <v>5914203.2479826044</v>
      </c>
      <c r="X8" s="7">
        <f t="shared" si="0"/>
        <v>6638812.4864223273</v>
      </c>
      <c r="Y8" s="7">
        <f t="shared" si="0"/>
        <v>7302166.0923303673</v>
      </c>
      <c r="Z8" s="7">
        <f t="shared" si="0"/>
        <v>7874422.5127534289</v>
      </c>
      <c r="AA8" s="7">
        <f t="shared" si="0"/>
        <v>8516266.8840529192</v>
      </c>
      <c r="AB8" s="7">
        <f t="shared" si="0"/>
        <v>9359792.2651273627</v>
      </c>
      <c r="AC8" s="7">
        <f t="shared" si="0"/>
        <v>10131277.885802597</v>
      </c>
      <c r="AD8" s="7">
        <f t="shared" si="0"/>
        <v>10795628.551794514</v>
      </c>
      <c r="AE8" s="7">
        <f t="shared" si="0"/>
        <v>11541818.211208247</v>
      </c>
      <c r="AF8" s="7">
        <f t="shared" si="0"/>
        <v>12525195.065019868</v>
      </c>
      <c r="AG8" s="7">
        <f t="shared" si="0"/>
        <v>13423849.471868083</v>
      </c>
      <c r="AH8" s="7">
        <f t="shared" si="0"/>
        <v>14196507.686255559</v>
      </c>
      <c r="AI8" s="7">
        <f t="shared" si="0"/>
        <v>15065412.74740232</v>
      </c>
      <c r="AJ8" s="7">
        <f t="shared" si="0"/>
        <v>16213262.094127169</v>
      </c>
      <c r="AK8" s="7">
        <f t="shared" si="0"/>
        <v>17261473.505083065</v>
      </c>
      <c r="AL8" s="7">
        <f t="shared" si="0"/>
        <v>18161506.942178532</v>
      </c>
      <c r="AM8" s="7">
        <f t="shared" si="0"/>
        <v>19174731.599299874</v>
      </c>
      <c r="AN8" s="7">
        <f t="shared" si="0"/>
        <v>20516009.019363139</v>
      </c>
      <c r="AO8" s="7">
        <f t="shared" si="0"/>
        <v>21740107.125087362</v>
      </c>
      <c r="AP8" s="7">
        <f t="shared" si="0"/>
        <v>22789940.346226081</v>
      </c>
    </row>
    <row r="9" spans="1:42" x14ac:dyDescent="0.25">
      <c r="A9" s="3" t="s">
        <v>40</v>
      </c>
      <c r="B9" s="4">
        <f>'BALANCE SHEET'!B9</f>
        <v>44291</v>
      </c>
      <c r="C9" s="4">
        <f>'YTD BS'!C9</f>
        <v>63751</v>
      </c>
      <c r="D9" s="4">
        <f>'YTD BS'!D9</f>
        <v>91033</v>
      </c>
      <c r="E9" s="4">
        <f>'YTD BS'!E9</f>
        <v>28255</v>
      </c>
      <c r="F9" s="4">
        <f>'BALANCE SHEET'!C9</f>
        <v>99419</v>
      </c>
      <c r="G9" s="4">
        <f>'YTD BS'!G9</f>
        <v>65652</v>
      </c>
      <c r="H9" s="4">
        <f>'YTD BS'!H9</f>
        <v>64119</v>
      </c>
      <c r="I9" s="4">
        <f>'YTD BS'!I9</f>
        <v>72373</v>
      </c>
      <c r="J9" s="4">
        <f>'BALANCE SHEET'!D9</f>
        <v>61443</v>
      </c>
      <c r="K9" s="4">
        <f>'YTD BS'!K9</f>
        <v>41152</v>
      </c>
      <c r="L9" s="4">
        <f>'YTD BS'!L9</f>
        <v>62248</v>
      </c>
      <c r="M9" s="4">
        <f>'YTD BS'!M9</f>
        <v>52636</v>
      </c>
      <c r="N9" s="4">
        <f>'BALANCE SHEET'!E9</f>
        <v>76431</v>
      </c>
      <c r="O9" s="4">
        <f>'YTD BS'!O9</f>
        <v>8162</v>
      </c>
      <c r="P9" s="4">
        <f>'YTD BS'!P9</f>
        <v>0</v>
      </c>
      <c r="Q9" s="4">
        <f>'YTD BS'!Q9</f>
        <v>0</v>
      </c>
      <c r="R9" s="4">
        <f>'BALANCE SHEET'!F9</f>
        <v>0</v>
      </c>
      <c r="S9" s="4">
        <f>'YTD BS'!S9</f>
        <v>0</v>
      </c>
      <c r="T9" s="4">
        <f>'YTD BS'!T9</f>
        <v>138058</v>
      </c>
      <c r="U9" s="4">
        <f>'YTD BS'!U9</f>
        <v>359174</v>
      </c>
      <c r="V9" s="4">
        <f>'BALANCE SHEET'!G9</f>
        <v>487329</v>
      </c>
      <c r="W9" s="11">
        <f>'QTR P&amp;L'!Z2*'BS DRIVERS'!W8</f>
        <v>498763.49132387183</v>
      </c>
      <c r="X9" s="11">
        <f>'QTR P&amp;L'!AA2*'BS DRIVERS'!X8</f>
        <v>567890.02995406836</v>
      </c>
      <c r="Y9" s="11">
        <f>'QTR P&amp;L'!AB2*'BS DRIVERS'!Y8</f>
        <v>590897.24739120132</v>
      </c>
      <c r="Z9" s="11">
        <f>'QTR P&amp;L'!AC2*'BS DRIVERS'!Z8</f>
        <v>573123.8572620597</v>
      </c>
      <c r="AA9" s="11">
        <f>'QTR P&amp;L'!AD2*'BS DRIVERS'!AA8</f>
        <v>586571.40455222095</v>
      </c>
      <c r="AB9" s="11">
        <f>'QTR P&amp;L'!AE2*'BS DRIVERS'!AB8</f>
        <v>667867.75354625378</v>
      </c>
      <c r="AC9" s="11">
        <f>'QTR P&amp;L'!AF2*'BS DRIVERS'!AC8</f>
        <v>694925.41931709147</v>
      </c>
      <c r="AD9" s="11">
        <f>'QTR P&amp;L'!AG2*'BS DRIVERS'!AD8</f>
        <v>674023.00245407468</v>
      </c>
      <c r="AE9" s="11">
        <f>'QTR P&amp;L'!AH2*'BS DRIVERS'!AE8</f>
        <v>689838.0066373907</v>
      </c>
      <c r="AF9" s="11">
        <f>'QTR P&amp;L'!AI2*'BS DRIVERS'!AF8</f>
        <v>785446.67576396163</v>
      </c>
      <c r="AG9" s="11">
        <f>'QTR P&amp;L'!AJ2*'BS DRIVERS'!AG8</f>
        <v>817267.87617495726</v>
      </c>
      <c r="AH9" s="11">
        <f>'QTR P&amp;L'!AK2*'BS DRIVERS'!AH8</f>
        <v>792685.56365378236</v>
      </c>
      <c r="AI9" s="11">
        <f>'QTR P&amp;L'!AL2*'BS DRIVERS'!AI8</f>
        <v>811284.81836704107</v>
      </c>
      <c r="AJ9" s="11">
        <f>'QTR P&amp;L'!AM2*'BS DRIVERS'!AJ8</f>
        <v>923725.50881951221</v>
      </c>
      <c r="AK9" s="11">
        <f>'QTR P&amp;L'!AN2*'BS DRIVERS'!AK8</f>
        <v>961148.86988002551</v>
      </c>
      <c r="AL9" s="11">
        <f>'QTR P&amp;L'!AO2*'BS DRIVERS'!AL8</f>
        <v>932238.81163896609</v>
      </c>
      <c r="AM9" s="11">
        <f>'QTR P&amp;L'!AP2*'BS DRIVERS'!AM8</f>
        <v>954112.48754058976</v>
      </c>
      <c r="AN9" s="11">
        <f>'QTR P&amp;L'!AQ2*'BS DRIVERS'!AN8</f>
        <v>1086348.4969414864</v>
      </c>
      <c r="AO9" s="11">
        <f>'QTR P&amp;L'!AR2*'BS DRIVERS'!AO8</f>
        <v>1130360.2857796473</v>
      </c>
      <c r="AP9" s="11">
        <f>'QTR P&amp;L'!AS2*'BS DRIVERS'!AP8</f>
        <v>1096360.5769735088</v>
      </c>
    </row>
    <row r="10" spans="1:42" x14ac:dyDescent="0.25">
      <c r="A10" s="3" t="s">
        <v>41</v>
      </c>
      <c r="B10" s="4">
        <f>'BALANCE SHEET'!B10</f>
        <v>314656</v>
      </c>
      <c r="C10" s="4">
        <f>'YTD BS'!C10</f>
        <v>312155</v>
      </c>
      <c r="D10" s="4">
        <f>'YTD BS'!D10</f>
        <v>309178</v>
      </c>
      <c r="E10" s="4">
        <f>'YTD BS'!E10</f>
        <v>309574</v>
      </c>
      <c r="F10" s="4">
        <f>'BALANCE SHEET'!C10</f>
        <v>313753</v>
      </c>
      <c r="G10" s="4">
        <f>'YTD BS'!G10</f>
        <v>407391</v>
      </c>
      <c r="H10" s="4">
        <f>'YTD BS'!H10</f>
        <v>464541</v>
      </c>
      <c r="I10" s="4">
        <f>'YTD BS'!I10</f>
        <v>485550</v>
      </c>
      <c r="J10" s="4">
        <f>'BALANCE SHEET'!D10</f>
        <v>516897</v>
      </c>
      <c r="K10" s="4">
        <f>'YTD BS'!K10</f>
        <v>545922</v>
      </c>
      <c r="L10" s="4">
        <f>'YTD BS'!L10</f>
        <v>576645</v>
      </c>
      <c r="M10" s="4">
        <f>'YTD BS'!M10</f>
        <v>731208</v>
      </c>
      <c r="N10" s="4">
        <f>'BALANCE SHEET'!E10</f>
        <v>890796</v>
      </c>
      <c r="O10" s="4">
        <f>'YTD BS'!O10</f>
        <v>923290</v>
      </c>
      <c r="P10" s="4">
        <f>'YTD BS'!P10</f>
        <v>960962</v>
      </c>
      <c r="Q10" s="4">
        <f>'YTD BS'!Q10</f>
        <v>1006788</v>
      </c>
      <c r="R10" s="4">
        <f>'BALANCE SHEET'!F10</f>
        <v>1047024</v>
      </c>
      <c r="S10" s="4">
        <f>'YTD BS'!S10</f>
        <v>1064008</v>
      </c>
      <c r="T10" s="4">
        <f>'YTD BS'!T10</f>
        <v>1090898</v>
      </c>
      <c r="U10" s="4">
        <f>'YTD BS'!U10</f>
        <v>1110705</v>
      </c>
      <c r="V10" s="4">
        <f>'BALANCE SHEET'!G10</f>
        <v>1081544</v>
      </c>
      <c r="W10" s="11">
        <f>'BS DRIVERS'!W9</f>
        <v>1077200.4204937969</v>
      </c>
      <c r="X10" s="11">
        <f>'BS DRIVERS'!X9</f>
        <v>1072254.8389931577</v>
      </c>
      <c r="Y10" s="11">
        <f>'BS DRIVERS'!Y9</f>
        <v>1067108.8946353865</v>
      </c>
      <c r="Z10" s="11">
        <f>'BS DRIVERS'!Z9</f>
        <v>1062117.7333250188</v>
      </c>
      <c r="AA10" s="11">
        <f>'BS DRIVERS'!AA9</f>
        <v>1057009.4614164731</v>
      </c>
      <c r="AB10" s="11">
        <f>'BS DRIVERS'!AB9</f>
        <v>1051193.2043374765</v>
      </c>
      <c r="AC10" s="11">
        <f>'BS DRIVERS'!AC9</f>
        <v>1045141.3102790853</v>
      </c>
      <c r="AD10" s="11">
        <f>'BS DRIVERS'!AD9</f>
        <v>1039271.4490099732</v>
      </c>
      <c r="AE10" s="11">
        <f>'BS DRIVERS'!AE9</f>
        <v>1033263.8596808566</v>
      </c>
      <c r="AF10" s="11">
        <f>'BS DRIVERS'!AF9</f>
        <v>1026423.6435395184</v>
      </c>
      <c r="AG10" s="11">
        <f>'BS DRIVERS'!AG9</f>
        <v>1019306.3062448232</v>
      </c>
      <c r="AH10" s="11">
        <f>'BS DRIVERS'!AH9</f>
        <v>1012403.0488311527</v>
      </c>
      <c r="AI10" s="11">
        <f>'BS DRIVERS'!AI9</f>
        <v>1005337.8161666699</v>
      </c>
      <c r="AJ10" s="11">
        <f>'BS DRIVERS'!AJ9</f>
        <v>997293.37173707515</v>
      </c>
      <c r="AK10" s="11">
        <f>'BS DRIVERS'!AK9</f>
        <v>988923.01864138246</v>
      </c>
      <c r="AL10" s="11">
        <f>'BS DRIVERS'!AL9</f>
        <v>980804.43444755091</v>
      </c>
      <c r="AM10" s="11">
        <f>'BS DRIVERS'!AM9</f>
        <v>972495.35906496074</v>
      </c>
      <c r="AN10" s="11">
        <f>'BS DRIVERS'!AN9</f>
        <v>963034.68050690321</v>
      </c>
      <c r="AO10" s="11">
        <f>'BS DRIVERS'!AO9</f>
        <v>953190.71666964167</v>
      </c>
      <c r="AP10" s="11">
        <f>'BS DRIVERS'!AP9</f>
        <v>943642.84595257882</v>
      </c>
    </row>
    <row r="11" spans="1:42" x14ac:dyDescent="0.25">
      <c r="A11" s="3" t="s">
        <v>42</v>
      </c>
      <c r="B11" s="4">
        <f>'BALANCE SHEET'!B11</f>
        <v>241650</v>
      </c>
      <c r="C11" s="4">
        <f>'YTD BS'!C11</f>
        <v>241650</v>
      </c>
      <c r="D11" s="4">
        <f>'YTD BS'!D11</f>
        <v>241297</v>
      </c>
      <c r="E11" s="4">
        <f>'YTD BS'!E11</f>
        <v>241297</v>
      </c>
      <c r="F11" s="4">
        <f>'BALANCE SHEET'!C11</f>
        <v>225221</v>
      </c>
      <c r="G11" s="4">
        <f>'YTD BS'!G11</f>
        <v>225221</v>
      </c>
      <c r="H11" s="4">
        <f>'YTD BS'!H11</f>
        <v>203287</v>
      </c>
      <c r="I11" s="4">
        <f>'YTD BS'!I11</f>
        <v>195511</v>
      </c>
      <c r="J11" s="4">
        <f>'BALANCE SHEET'!D11</f>
        <v>177039</v>
      </c>
      <c r="K11" s="4">
        <f>'YTD BS'!K11</f>
        <v>177039</v>
      </c>
      <c r="L11" s="4">
        <f>'YTD BS'!L11</f>
        <v>177039</v>
      </c>
      <c r="M11" s="4">
        <f>'YTD BS'!M11</f>
        <v>176724</v>
      </c>
      <c r="N11" s="4">
        <f>'BALANCE SHEET'!E11</f>
        <v>175003</v>
      </c>
      <c r="O11" s="4">
        <f>'YTD BS'!O11</f>
        <v>175271</v>
      </c>
      <c r="P11" s="4">
        <f>'YTD BS'!P11</f>
        <v>187269</v>
      </c>
      <c r="Q11" s="4">
        <f>'YTD BS'!Q11</f>
        <v>183430</v>
      </c>
      <c r="R11" s="4">
        <f>'BALANCE SHEET'!F11</f>
        <v>184260</v>
      </c>
      <c r="S11" s="4">
        <f>'YTD BS'!S11</f>
        <v>184358</v>
      </c>
      <c r="T11" s="4">
        <f>'YTD BS'!T11</f>
        <v>184791</v>
      </c>
      <c r="U11" s="4">
        <f>'YTD BS'!U11</f>
        <v>185321</v>
      </c>
      <c r="V11" s="4">
        <f>'BALANCE SHEET'!G11</f>
        <v>188646</v>
      </c>
      <c r="W11" s="11">
        <f>'BS DRIVERS'!W10</f>
        <v>184891</v>
      </c>
      <c r="X11" s="11">
        <f>'BS DRIVERS'!X10</f>
        <v>181136</v>
      </c>
      <c r="Y11" s="11">
        <f>'BS DRIVERS'!Y10</f>
        <v>177381</v>
      </c>
      <c r="Z11" s="11">
        <f>'BS DRIVERS'!Z10</f>
        <v>173626</v>
      </c>
      <c r="AA11" s="11">
        <f>'BS DRIVERS'!AA10</f>
        <v>169871</v>
      </c>
      <c r="AB11" s="11">
        <f>'BS DRIVERS'!AB10</f>
        <v>166116</v>
      </c>
      <c r="AC11" s="11">
        <f>'BS DRIVERS'!AC10</f>
        <v>162361</v>
      </c>
      <c r="AD11" s="11">
        <f>'BS DRIVERS'!AD10</f>
        <v>158606</v>
      </c>
      <c r="AE11" s="11">
        <f>'BS DRIVERS'!AE10</f>
        <v>154851</v>
      </c>
      <c r="AF11" s="11">
        <f>'BS DRIVERS'!AF10</f>
        <v>151096</v>
      </c>
      <c r="AG11" s="11">
        <f>'BS DRIVERS'!AG10</f>
        <v>147341</v>
      </c>
      <c r="AH11" s="11">
        <f>'BS DRIVERS'!AH10</f>
        <v>143586</v>
      </c>
      <c r="AI11" s="11">
        <f>'BS DRIVERS'!AI10</f>
        <v>139831</v>
      </c>
      <c r="AJ11" s="11">
        <f>'BS DRIVERS'!AJ10</f>
        <v>136076</v>
      </c>
      <c r="AK11" s="11">
        <f>'BS DRIVERS'!AK10</f>
        <v>132321</v>
      </c>
      <c r="AL11" s="11">
        <f>'BS DRIVERS'!AL10</f>
        <v>128566</v>
      </c>
      <c r="AM11" s="11">
        <f>'BS DRIVERS'!AM10</f>
        <v>124811</v>
      </c>
      <c r="AN11" s="11">
        <f>'BS DRIVERS'!AN10</f>
        <v>121056</v>
      </c>
      <c r="AO11" s="11">
        <f>'BS DRIVERS'!AO10</f>
        <v>117301</v>
      </c>
      <c r="AP11" s="11">
        <f>'BS DRIVERS'!AP10</f>
        <v>113546</v>
      </c>
    </row>
    <row r="12" spans="1:42" x14ac:dyDescent="0.25">
      <c r="A12" s="3" t="s">
        <v>43</v>
      </c>
      <c r="B12" s="4">
        <f>'BALANCE SHEET'!B12</f>
        <v>1331643</v>
      </c>
      <c r="C12" s="4">
        <f>'YTD BS'!C12</f>
        <v>1331643</v>
      </c>
      <c r="D12" s="4">
        <f>'YTD BS'!D12</f>
        <v>1331643</v>
      </c>
      <c r="E12" s="4">
        <f>'YTD BS'!E12</f>
        <v>1331643</v>
      </c>
      <c r="F12" s="4">
        <f>'BALANCE SHEET'!C12</f>
        <v>1331643</v>
      </c>
      <c r="G12" s="4">
        <f>'YTD BS'!G12</f>
        <v>1411928</v>
      </c>
      <c r="H12" s="4">
        <f>'YTD BS'!H12</f>
        <v>1412941</v>
      </c>
      <c r="I12" s="4">
        <f>'YTD BS'!I12</f>
        <v>1412941</v>
      </c>
      <c r="J12" s="4">
        <f>'BALANCE SHEET'!D12</f>
        <v>1417941</v>
      </c>
      <c r="K12" s="4">
        <f>'YTD BS'!K12</f>
        <v>1417941</v>
      </c>
      <c r="L12" s="4">
        <f>'YTD BS'!L12</f>
        <v>1417941</v>
      </c>
      <c r="M12" s="4">
        <f>'YTD BS'!M12</f>
        <v>1417941</v>
      </c>
      <c r="N12" s="4">
        <f>'BALANCE SHEET'!E12</f>
        <v>1417941</v>
      </c>
      <c r="O12" s="4">
        <f>'YTD BS'!O12</f>
        <v>1417941</v>
      </c>
      <c r="P12" s="4">
        <f>'YTD BS'!P12</f>
        <v>1417941</v>
      </c>
      <c r="Q12" s="4">
        <f>'YTD BS'!Q12</f>
        <v>1417941</v>
      </c>
      <c r="R12" s="4">
        <f>'BALANCE SHEET'!F12</f>
        <v>1331643</v>
      </c>
      <c r="S12" s="4">
        <f>'YTD BS'!S12</f>
        <v>1331643</v>
      </c>
      <c r="T12" s="4">
        <f>'YTD BS'!T12</f>
        <v>1331643</v>
      </c>
      <c r="U12" s="4">
        <f>'YTD BS'!U12</f>
        <v>1331643</v>
      </c>
      <c r="V12" s="4">
        <f>'BALANCE SHEET'!G12</f>
        <v>1331643</v>
      </c>
      <c r="W12" s="11">
        <f>'BS DRIVERS'!W11</f>
        <v>1331643</v>
      </c>
      <c r="X12" s="11">
        <f>'BS DRIVERS'!X11</f>
        <v>1331643</v>
      </c>
      <c r="Y12" s="11">
        <f>'BS DRIVERS'!Y11</f>
        <v>1331643</v>
      </c>
      <c r="Z12" s="11">
        <f>'BS DRIVERS'!Z11</f>
        <v>1331643</v>
      </c>
      <c r="AA12" s="11">
        <f>'BS DRIVERS'!AA11</f>
        <v>1331643</v>
      </c>
      <c r="AB12" s="11">
        <f>'BS DRIVERS'!AB11</f>
        <v>1331643</v>
      </c>
      <c r="AC12" s="11">
        <f>'BS DRIVERS'!AC11</f>
        <v>1331643</v>
      </c>
      <c r="AD12" s="11">
        <f>'BS DRIVERS'!AD11</f>
        <v>1331643</v>
      </c>
      <c r="AE12" s="11">
        <f>'BS DRIVERS'!AE11</f>
        <v>1331643</v>
      </c>
      <c r="AF12" s="11">
        <f>'BS DRIVERS'!AF11</f>
        <v>1331643</v>
      </c>
      <c r="AG12" s="11">
        <f>'BS DRIVERS'!AG11</f>
        <v>1331643</v>
      </c>
      <c r="AH12" s="11">
        <f>'BS DRIVERS'!AH11</f>
        <v>1331643</v>
      </c>
      <c r="AI12" s="11">
        <f>'BS DRIVERS'!AI11</f>
        <v>1331643</v>
      </c>
      <c r="AJ12" s="11">
        <f>'BS DRIVERS'!AJ11</f>
        <v>1331643</v>
      </c>
      <c r="AK12" s="11">
        <f>'BS DRIVERS'!AK11</f>
        <v>1331643</v>
      </c>
      <c r="AL12" s="11">
        <f>'BS DRIVERS'!AL11</f>
        <v>1331643</v>
      </c>
      <c r="AM12" s="11">
        <f>'BS DRIVERS'!AM11</f>
        <v>1331643</v>
      </c>
      <c r="AN12" s="11">
        <f>'BS DRIVERS'!AN11</f>
        <v>1331643</v>
      </c>
      <c r="AO12" s="11">
        <f>'BS DRIVERS'!AO11</f>
        <v>1331643</v>
      </c>
      <c r="AP12" s="11">
        <f>'BS DRIVERS'!AP11</f>
        <v>1331643</v>
      </c>
    </row>
    <row r="13" spans="1:42" x14ac:dyDescent="0.25">
      <c r="A13" s="3" t="s">
        <v>44</v>
      </c>
      <c r="B13" s="4">
        <f>'BALANCE SHEET'!B13</f>
        <v>1059046</v>
      </c>
      <c r="C13" s="4">
        <f>'YTD BS'!C13</f>
        <v>1063092</v>
      </c>
      <c r="D13" s="4">
        <f>'YTD BS'!D13</f>
        <v>1058323</v>
      </c>
      <c r="E13" s="4">
        <f>'YTD BS'!E13</f>
        <v>1066083</v>
      </c>
      <c r="F13" s="4">
        <f>'BALANCE SHEET'!C13</f>
        <v>1072386</v>
      </c>
      <c r="G13" s="4">
        <f>'YTD BS'!G13</f>
        <v>1232113</v>
      </c>
      <c r="H13" s="4">
        <f>'YTD BS'!H13</f>
        <v>1223114</v>
      </c>
      <c r="I13" s="4">
        <f>'YTD BS'!I13</f>
        <v>1225826</v>
      </c>
      <c r="J13" s="4">
        <f>'BALANCE SHEET'!D13</f>
        <v>1220410</v>
      </c>
      <c r="K13" s="4">
        <f>'YTD BS'!K13</f>
        <v>1222598</v>
      </c>
      <c r="L13" s="4">
        <f>'YTD BS'!L13</f>
        <v>1224100</v>
      </c>
      <c r="M13" s="4">
        <f>'YTD BS'!M13</f>
        <v>1459447</v>
      </c>
      <c r="N13" s="4">
        <f>'BALANCE SHEET'!E13</f>
        <v>1427139</v>
      </c>
      <c r="O13" s="4">
        <f>'YTD BS'!O13</f>
        <v>1430762</v>
      </c>
      <c r="P13" s="4">
        <f>'YTD BS'!P13</f>
        <v>1433326</v>
      </c>
      <c r="Q13" s="4">
        <f>'YTD BS'!Q13</f>
        <v>1442426</v>
      </c>
      <c r="R13" s="4">
        <f>'BALANCE SHEET'!F13</f>
        <v>1414252</v>
      </c>
      <c r="S13" s="4">
        <f>'YTD BS'!S13</f>
        <v>1415958</v>
      </c>
      <c r="T13" s="4">
        <f>'YTD BS'!T13</f>
        <v>1418827</v>
      </c>
      <c r="U13" s="4">
        <f>'YTD BS'!U13</f>
        <v>1419306</v>
      </c>
      <c r="V13" s="4">
        <f>'BALANCE SHEET'!G13</f>
        <v>1379268</v>
      </c>
      <c r="W13" s="11">
        <f>'BS DRIVERS'!W12</f>
        <v>1379268</v>
      </c>
      <c r="X13" s="11">
        <f>'BS DRIVERS'!X12</f>
        <v>1379268</v>
      </c>
      <c r="Y13" s="11">
        <f>'BS DRIVERS'!Y12</f>
        <v>1379268</v>
      </c>
      <c r="Z13" s="11">
        <f>'BS DRIVERS'!Z12</f>
        <v>1379268</v>
      </c>
      <c r="AA13" s="11">
        <f>'BS DRIVERS'!AA12</f>
        <v>1379268</v>
      </c>
      <c r="AB13" s="11">
        <f>'BS DRIVERS'!AB12</f>
        <v>1379268</v>
      </c>
      <c r="AC13" s="11">
        <f>'BS DRIVERS'!AC12</f>
        <v>1379268</v>
      </c>
      <c r="AD13" s="11">
        <f>'BS DRIVERS'!AD12</f>
        <v>1379268</v>
      </c>
      <c r="AE13" s="11">
        <f>'BS DRIVERS'!AE12</f>
        <v>1379268</v>
      </c>
      <c r="AF13" s="11">
        <f>'BS DRIVERS'!AF12</f>
        <v>1379268</v>
      </c>
      <c r="AG13" s="11">
        <f>'BS DRIVERS'!AG12</f>
        <v>1379268</v>
      </c>
      <c r="AH13" s="11">
        <f>'BS DRIVERS'!AH12</f>
        <v>1379268</v>
      </c>
      <c r="AI13" s="11">
        <f>'BS DRIVERS'!AI12</f>
        <v>1379268</v>
      </c>
      <c r="AJ13" s="11">
        <f>'BS DRIVERS'!AJ12</f>
        <v>1379268</v>
      </c>
      <c r="AK13" s="11">
        <f>'BS DRIVERS'!AK12</f>
        <v>1379268</v>
      </c>
      <c r="AL13" s="11">
        <f>'BS DRIVERS'!AL12</f>
        <v>1379268</v>
      </c>
      <c r="AM13" s="11">
        <f>'BS DRIVERS'!AM12</f>
        <v>1379268</v>
      </c>
      <c r="AN13" s="11">
        <f>'BS DRIVERS'!AN12</f>
        <v>1379268</v>
      </c>
      <c r="AO13" s="11">
        <f>'BS DRIVERS'!AO12</f>
        <v>1379268</v>
      </c>
      <c r="AP13" s="11">
        <f>'BS DRIVERS'!AP12</f>
        <v>1379268</v>
      </c>
    </row>
    <row r="14" spans="1:42" x14ac:dyDescent="0.25">
      <c r="A14" s="3" t="s">
        <v>45</v>
      </c>
      <c r="B14" s="4">
        <f>'BALANCE SHEET'!B14</f>
        <v>70475</v>
      </c>
      <c r="C14" s="4">
        <f>'YTD BS'!C14</f>
        <v>88203</v>
      </c>
      <c r="D14" s="4">
        <f>'YTD BS'!D14</f>
        <v>89394</v>
      </c>
      <c r="E14" s="4">
        <f>'YTD BS'!E14</f>
        <v>88883</v>
      </c>
      <c r="F14" s="4">
        <f>'BALANCE SHEET'!C14</f>
        <v>80252</v>
      </c>
      <c r="G14" s="4">
        <f>'YTD BS'!G14</f>
        <v>101488</v>
      </c>
      <c r="H14" s="4">
        <f>'YTD BS'!H14</f>
        <v>110390</v>
      </c>
      <c r="I14" s="4">
        <f>'YTD BS'!I14</f>
        <v>115913</v>
      </c>
      <c r="J14" s="4">
        <f>'BALANCE SHEET'!D14</f>
        <v>134478</v>
      </c>
      <c r="K14" s="4">
        <f>'YTD BS'!K14</f>
        <v>145101</v>
      </c>
      <c r="L14" s="4">
        <f>'YTD BS'!L14</f>
        <v>151252</v>
      </c>
      <c r="M14" s="4">
        <f>'YTD BS'!M14</f>
        <v>164867</v>
      </c>
      <c r="N14" s="4">
        <f>'BALANCE SHEET'!E14</f>
        <v>110216</v>
      </c>
      <c r="O14" s="4">
        <f>'YTD BS'!O14</f>
        <v>107126</v>
      </c>
      <c r="P14" s="4">
        <f>'YTD BS'!P14</f>
        <v>107109</v>
      </c>
      <c r="Q14" s="4">
        <f>'YTD BS'!Q14</f>
        <v>104958</v>
      </c>
      <c r="R14" s="4">
        <f>'BALANCE SHEET'!F14</f>
        <v>100406</v>
      </c>
      <c r="S14" s="4">
        <f>'YTD BS'!S14</f>
        <v>95642</v>
      </c>
      <c r="T14" s="4">
        <f>'YTD BS'!T14</f>
        <v>136331</v>
      </c>
      <c r="U14" s="4">
        <f>'YTD BS'!U14</f>
        <v>138907</v>
      </c>
      <c r="V14" s="4">
        <f>'BALANCE SHEET'!G14</f>
        <v>159431</v>
      </c>
      <c r="W14" s="11">
        <f>'QTR P&amp;L'!Z2*'BS DRIVERS'!W13</f>
        <v>163171.82475341341</v>
      </c>
      <c r="X14" s="11">
        <f>'QTR P&amp;L'!AA2*'BS DRIVERS'!X13</f>
        <v>185786.75877201452</v>
      </c>
      <c r="Y14" s="11">
        <f>'QTR P&amp;L'!AB2*'BS DRIVERS'!Y13</f>
        <v>193313.6321639521</v>
      </c>
      <c r="Z14" s="11">
        <f>'QTR P&amp;L'!AC2*'BS DRIVERS'!Z13</f>
        <v>187499.01952715195</v>
      </c>
      <c r="AA14" s="11">
        <f>'QTR P&amp;L'!AD2*'BS DRIVERS'!AA13</f>
        <v>191898.42098287839</v>
      </c>
      <c r="AB14" s="11">
        <f>'QTR P&amp;L'!AE2*'BS DRIVERS'!AB13</f>
        <v>218494.74136698779</v>
      </c>
      <c r="AC14" s="11">
        <f>'QTR P&amp;L'!AF2*'BS DRIVERS'!AC13</f>
        <v>227346.7298829809</v>
      </c>
      <c r="AD14" s="11">
        <f>'QTR P&amp;L'!AG2*'BS DRIVERS'!AD13</f>
        <v>220508.44768986781</v>
      </c>
      <c r="AE14" s="11">
        <f>'QTR P&amp;L'!AH2*'BS DRIVERS'!AE13</f>
        <v>225682.36906936759</v>
      </c>
      <c r="AF14" s="11">
        <f>'QTR P&amp;L'!AI2*'BS DRIVERS'!AF13</f>
        <v>256961.00368277729</v>
      </c>
      <c r="AG14" s="11">
        <f>'QTR P&amp;L'!AJ2*'BS DRIVERS'!AG13</f>
        <v>267371.39543603931</v>
      </c>
      <c r="AH14" s="11">
        <f>'QTR P&amp;L'!AK2*'BS DRIVERS'!AH13</f>
        <v>259329.22542858348</v>
      </c>
      <c r="AI14" s="11">
        <f>'QTR P&amp;L'!AL2*'BS DRIVERS'!AI13</f>
        <v>265414.02189706691</v>
      </c>
      <c r="AJ14" s="11">
        <f>'QTR P&amp;L'!AM2*'BS DRIVERS'!AJ13</f>
        <v>302199.29779800429</v>
      </c>
      <c r="AK14" s="11">
        <f>'QTR P&amp;L'!AN2*'BS DRIVERS'!AK13</f>
        <v>314442.45155499125</v>
      </c>
      <c r="AL14" s="11">
        <f>'QTR P&amp;L'!AO2*'BS DRIVERS'!AL13</f>
        <v>304984.44783382886</v>
      </c>
      <c r="AM14" s="11">
        <f>'QTR P&amp;L'!AP2*'BS DRIVERS'!AM13</f>
        <v>312140.48004753207</v>
      </c>
      <c r="AN14" s="11">
        <f>'QTR P&amp;L'!AQ2*'BS DRIVERS'!AN13</f>
        <v>355401.84806543036</v>
      </c>
      <c r="AO14" s="11">
        <f>'QTR P&amp;L'!AR2*'BS DRIVERS'!AO13</f>
        <v>369800.42378379893</v>
      </c>
      <c r="AP14" s="11">
        <f>'QTR P&amp;L'!AS2*'BS DRIVERS'!AP13</f>
        <v>358677.3271187708</v>
      </c>
    </row>
    <row r="15" spans="1:42" x14ac:dyDescent="0.25">
      <c r="A15" s="3" t="s">
        <v>46</v>
      </c>
      <c r="B15" s="6">
        <f>'BALANCE SHEET'!B15</f>
        <v>6202716</v>
      </c>
      <c r="C15" s="6">
        <f>'YTD BS'!C15</f>
        <v>6534366</v>
      </c>
      <c r="D15" s="6">
        <f>'YTD BS'!D15</f>
        <v>7071543</v>
      </c>
      <c r="E15" s="6">
        <f>'YTD BS'!E15</f>
        <v>7449408</v>
      </c>
      <c r="F15" s="6">
        <f>'BALANCE SHEET'!C15</f>
        <v>7804784</v>
      </c>
      <c r="G15" s="6">
        <f>'YTD BS'!G15</f>
        <v>8187459</v>
      </c>
      <c r="H15" s="6">
        <f>'YTD BS'!H15</f>
        <v>8175012</v>
      </c>
      <c r="I15" s="6">
        <f>'YTD BS'!I15</f>
        <v>8204805</v>
      </c>
      <c r="J15" s="6">
        <f>'BALANCE SHEET'!D15</f>
        <v>8293105</v>
      </c>
      <c r="K15" s="6">
        <f>'YTD BS'!K15</f>
        <v>8844362</v>
      </c>
      <c r="L15" s="6">
        <f>'YTD BS'!L15</f>
        <v>9263338</v>
      </c>
      <c r="M15" s="6">
        <f>'YTD BS'!M15</f>
        <v>9314338</v>
      </c>
      <c r="N15" s="6">
        <f>'BALANCE SHEET'!E15</f>
        <v>9686522</v>
      </c>
      <c r="O15" s="6">
        <f>'YTD BS'!O15</f>
        <v>10098066</v>
      </c>
      <c r="P15" s="6">
        <f>'YTD BS'!P15</f>
        <v>8060904</v>
      </c>
      <c r="Q15" s="6">
        <f>'YTD BS'!Q15</f>
        <v>8053301</v>
      </c>
      <c r="R15" s="6">
        <f>'BALANCE SHEET'!F15</f>
        <v>7719089</v>
      </c>
      <c r="S15" s="6">
        <f>'YTD BS'!S15</f>
        <v>8227028</v>
      </c>
      <c r="T15" s="6">
        <f>'YTD BS'!T15</f>
        <v>8729888</v>
      </c>
      <c r="U15" s="6">
        <f>'YTD BS'!U15</f>
        <v>9611273</v>
      </c>
      <c r="V15" s="6">
        <f>'BALANCE SHEET'!G15</f>
        <v>9988945</v>
      </c>
      <c r="W15" s="7">
        <f t="shared" ref="W15:AP15" si="1">W8+SUM(W9:W14)</f>
        <v>10549140.984553687</v>
      </c>
      <c r="X15" s="7">
        <f t="shared" si="1"/>
        <v>11356791.114141569</v>
      </c>
      <c r="Y15" s="7">
        <f t="shared" si="1"/>
        <v>12041777.866520908</v>
      </c>
      <c r="Z15" s="7">
        <f t="shared" si="1"/>
        <v>12581700.122867659</v>
      </c>
      <c r="AA15" s="7">
        <f t="shared" si="1"/>
        <v>13232528.171004493</v>
      </c>
      <c r="AB15" s="7">
        <f t="shared" si="1"/>
        <v>14174374.964378081</v>
      </c>
      <c r="AC15" s="7">
        <f t="shared" si="1"/>
        <v>14971963.345281754</v>
      </c>
      <c r="AD15" s="7">
        <f t="shared" si="1"/>
        <v>15598948.450948428</v>
      </c>
      <c r="AE15" s="7">
        <f t="shared" si="1"/>
        <v>16356364.446595863</v>
      </c>
      <c r="AF15" s="7">
        <f t="shared" si="1"/>
        <v>17456033.388006125</v>
      </c>
      <c r="AG15" s="7">
        <f t="shared" si="1"/>
        <v>18386047.049723901</v>
      </c>
      <c r="AH15" s="7">
        <f t="shared" si="1"/>
        <v>19115422.52416908</v>
      </c>
      <c r="AI15" s="7">
        <f t="shared" si="1"/>
        <v>19998191.403833099</v>
      </c>
      <c r="AJ15" s="7">
        <f t="shared" si="1"/>
        <v>21283467.272481762</v>
      </c>
      <c r="AK15" s="7">
        <f t="shared" si="1"/>
        <v>22369219.845159464</v>
      </c>
      <c r="AL15" s="7">
        <f t="shared" si="1"/>
        <v>23219011.636098877</v>
      </c>
      <c r="AM15" s="7">
        <f t="shared" si="1"/>
        <v>24249201.925952956</v>
      </c>
      <c r="AN15" s="7">
        <f t="shared" si="1"/>
        <v>25752761.044876959</v>
      </c>
      <c r="AO15" s="7">
        <f t="shared" si="1"/>
        <v>27021670.551320449</v>
      </c>
      <c r="AP15" s="7">
        <f t="shared" si="1"/>
        <v>28013078.096270941</v>
      </c>
    </row>
    <row r="16" spans="1:42" x14ac:dyDescent="0.25">
      <c r="A16" s="3" t="s">
        <v>47</v>
      </c>
      <c r="B16" s="4">
        <f>'BALANCE SHEET'!B16</f>
        <v>296800</v>
      </c>
      <c r="C16" s="4">
        <f>'YTD BS'!C16</f>
        <v>334076</v>
      </c>
      <c r="D16" s="4">
        <f>'YTD BS'!D16</f>
        <v>362900</v>
      </c>
      <c r="E16" s="4">
        <f>'YTD BS'!E16</f>
        <v>396229</v>
      </c>
      <c r="F16" s="4">
        <f>'BALANCE SHEET'!C16</f>
        <v>404263</v>
      </c>
      <c r="G16" s="4">
        <f>'YTD BS'!G16</f>
        <v>438256</v>
      </c>
      <c r="H16" s="4">
        <f>'YTD BS'!H16</f>
        <v>492858</v>
      </c>
      <c r="I16" s="4">
        <f>'YTD BS'!I16</f>
        <v>520198</v>
      </c>
      <c r="J16" s="4">
        <f>'BALANCE SHEET'!D16</f>
        <v>444265</v>
      </c>
      <c r="K16" s="4">
        <f>'YTD BS'!K16</f>
        <v>491249</v>
      </c>
      <c r="L16" s="4">
        <f>'YTD BS'!L16</f>
        <v>568613</v>
      </c>
      <c r="M16" s="4">
        <f>'YTD BS'!M16</f>
        <v>539892</v>
      </c>
      <c r="N16" s="4">
        <f>'BALANCE SHEET'!E16</f>
        <v>564379</v>
      </c>
      <c r="O16" s="4">
        <f>'YTD BS'!O16</f>
        <v>533729</v>
      </c>
      <c r="P16" s="4">
        <f>'YTD BS'!P16</f>
        <v>511137</v>
      </c>
      <c r="Q16" s="4">
        <f>'YTD BS'!Q16</f>
        <v>549028</v>
      </c>
      <c r="R16" s="4">
        <f>'BALANCE SHEET'!F16</f>
        <v>466775</v>
      </c>
      <c r="S16" s="4">
        <f>'YTD BS'!S16</f>
        <v>486951</v>
      </c>
      <c r="T16" s="4">
        <f>'YTD BS'!T16</f>
        <v>489037</v>
      </c>
      <c r="U16" s="4">
        <f>'YTD BS'!U16</f>
        <v>683030</v>
      </c>
      <c r="V16" s="4">
        <f>'BALANCE SHEET'!G16</f>
        <v>565974</v>
      </c>
      <c r="W16" s="11">
        <f>'QTR P&amp;L'!Z3*'BS DRIVERS'!W14/ASSUMPTIONS!$B$2</f>
        <v>579253.78591985512</v>
      </c>
      <c r="X16" s="11">
        <f>'QTR P&amp;L'!AA3*'BS DRIVERS'!X14/ASSUMPTIONS!$B$2</f>
        <v>659535.94350679708</v>
      </c>
      <c r="Y16" s="11">
        <f>'QTR P&amp;L'!AB3*'BS DRIVERS'!Y14/ASSUMPTIONS!$B$2</f>
        <v>686256.05842251913</v>
      </c>
      <c r="Z16" s="11">
        <f>'QTR P&amp;L'!AC3*'BS DRIVERS'!Z14/ASSUMPTIONS!$B$2</f>
        <v>665614.40421160439</v>
      </c>
      <c r="AA16" s="11">
        <f>'QTR P&amp;L'!AD3*'BS DRIVERS'!AA14/ASSUMPTIONS!$B$2</f>
        <v>681232.1124333638</v>
      </c>
      <c r="AB16" s="11">
        <f>'QTR P&amp;L'!AE3*'BS DRIVERS'!AB14/ASSUMPTIONS!$B$2</f>
        <v>775648.0405343977</v>
      </c>
      <c r="AC16" s="11">
        <f>'QTR P&amp;L'!AF3*'BS DRIVERS'!AC14/ASSUMPTIONS!$B$2</f>
        <v>807072.26385577628</v>
      </c>
      <c r="AD16" s="11">
        <f>'QTR P&amp;L'!AG3*'BS DRIVERS'!AD14/ASSUMPTIONS!$B$2</f>
        <v>782796.62156560051</v>
      </c>
      <c r="AE16" s="11">
        <f>'QTR P&amp;L'!AH3*'BS DRIVERS'!AE14/ASSUMPTIONS!$B$2</f>
        <v>801163.84612569865</v>
      </c>
      <c r="AF16" s="11">
        <f>'QTR P&amp;L'!AI3*'BS DRIVERS'!AF14/ASSUMPTIONS!$B$2</f>
        <v>912201.81205886067</v>
      </c>
      <c r="AG16" s="11">
        <f>'QTR P&amp;L'!AJ3*'BS DRIVERS'!AG14/ASSUMPTIONS!$B$2</f>
        <v>949158.30773511378</v>
      </c>
      <c r="AH16" s="11">
        <f>'QTR P&amp;L'!AK3*'BS DRIVERS'!AH14/ASSUMPTIONS!$B$2</f>
        <v>920608.90938849479</v>
      </c>
      <c r="AI16" s="11">
        <f>'QTR P&amp;L'!AL3*'BS DRIVERS'!AI14/ASSUMPTIONS!$B$2</f>
        <v>942209.70594909741</v>
      </c>
      <c r="AJ16" s="11">
        <f>'QTR P&amp;L'!AM3*'BS DRIVERS'!AJ14/ASSUMPTIONS!$B$2</f>
        <v>1072796.0394899845</v>
      </c>
      <c r="AK16" s="11">
        <f>'QTR P&amp;L'!AN3*'BS DRIVERS'!AK14/ASSUMPTIONS!$B$2</f>
        <v>1116258.7707308156</v>
      </c>
      <c r="AL16" s="11">
        <f>'QTR P&amp;L'!AO3*'BS DRIVERS'!AL14/ASSUMPTIONS!$B$2</f>
        <v>1082683.2164278182</v>
      </c>
      <c r="AM16" s="11">
        <f>'QTR P&amp;L'!AP3*'BS DRIVERS'!AM14/ASSUMPTIONS!$B$2</f>
        <v>1108086.8592332855</v>
      </c>
      <c r="AN16" s="11">
        <f>'QTR P&amp;L'!AQ3*'BS DRIVERS'!AN14/ASSUMPTIONS!$B$2</f>
        <v>1261663.0740381978</v>
      </c>
      <c r="AO16" s="11">
        <f>'QTR P&amp;L'!AR3*'BS DRIVERS'!AO14/ASSUMPTIONS!$B$2</f>
        <v>1312777.4714491651</v>
      </c>
      <c r="AP16" s="11">
        <f>'QTR P&amp;L'!AS3*'BS DRIVERS'!AP14/ASSUMPTIONS!$B$2</f>
        <v>1273290.9003814766</v>
      </c>
    </row>
    <row r="17" spans="1:42" x14ac:dyDescent="0.25">
      <c r="A17" s="3" t="s">
        <v>48</v>
      </c>
      <c r="B17" s="4">
        <f>'BALANCE SHEET'!B17</f>
        <v>142653</v>
      </c>
      <c r="C17" s="4">
        <f>'YTD BS'!C17</f>
        <v>170954</v>
      </c>
      <c r="D17" s="4">
        <f>'YTD BS'!D17</f>
        <v>172498</v>
      </c>
      <c r="E17" s="4">
        <f>'YTD BS'!E17</f>
        <v>180719</v>
      </c>
      <c r="F17" s="4">
        <f>'BALANCE SHEET'!C17</f>
        <v>210964</v>
      </c>
      <c r="G17" s="4">
        <f>'YTD BS'!G17</f>
        <v>234111</v>
      </c>
      <c r="H17" s="4">
        <f>'YTD BS'!H17</f>
        <v>209154</v>
      </c>
      <c r="I17" s="4">
        <f>'YTD BS'!I17</f>
        <v>198692</v>
      </c>
      <c r="J17" s="4">
        <f>'BALANCE SHEET'!D17</f>
        <v>172991</v>
      </c>
      <c r="K17" s="4">
        <f>'YTD BS'!K17</f>
        <v>245932</v>
      </c>
      <c r="L17" s="4">
        <f>'YTD BS'!L17</f>
        <v>198656</v>
      </c>
      <c r="M17" s="4">
        <f>'YTD BS'!M17</f>
        <v>207727</v>
      </c>
      <c r="N17" s="4">
        <f>'BALANCE SHEET'!E17</f>
        <v>183988</v>
      </c>
      <c r="O17" s="4">
        <f>'YTD BS'!O17</f>
        <v>204679</v>
      </c>
      <c r="P17" s="4">
        <f>'YTD BS'!P17</f>
        <v>213905</v>
      </c>
      <c r="Q17" s="4">
        <f>'YTD BS'!Q17</f>
        <v>259088</v>
      </c>
      <c r="R17" s="4">
        <f>'BALANCE SHEET'!F17</f>
        <v>220764</v>
      </c>
      <c r="S17" s="4">
        <f>'YTD BS'!S17</f>
        <v>262545</v>
      </c>
      <c r="T17" s="4">
        <f>'YTD BS'!T17</f>
        <v>258937</v>
      </c>
      <c r="U17" s="4">
        <f>'YTD BS'!U17</f>
        <v>325450</v>
      </c>
      <c r="V17" s="4">
        <f>'BALANCE SHEET'!G17</f>
        <v>306085</v>
      </c>
      <c r="W17" s="11">
        <f>'QTR P&amp;L'!Z2*'BS DRIVERS'!W15</f>
        <v>313266.85512634652</v>
      </c>
      <c r="X17" s="11">
        <f>'QTR P&amp;L'!AA2*'BS DRIVERS'!X15</f>
        <v>356684.33402996958</v>
      </c>
      <c r="Y17" s="11">
        <f>'QTR P&amp;L'!AB2*'BS DRIVERS'!Y15</f>
        <v>371134.86775409605</v>
      </c>
      <c r="Z17" s="11">
        <f>'QTR P&amp;L'!AC2*'BS DRIVERS'!Z15</f>
        <v>359971.6328190146</v>
      </c>
      <c r="AA17" s="11">
        <f>'QTR P&amp;L'!AD2*'BS DRIVERS'!AA15</f>
        <v>368417.86218830931</v>
      </c>
      <c r="AB17" s="11">
        <f>'QTR P&amp;L'!AE2*'BS DRIVERS'!AB15</f>
        <v>419479.04053361306</v>
      </c>
      <c r="AC17" s="11">
        <f>'QTR P&amp;L'!AF2*'BS DRIVERS'!AC15</f>
        <v>436473.60812032933</v>
      </c>
      <c r="AD17" s="11">
        <f>'QTR P&amp;L'!AG2*'BS DRIVERS'!AD15</f>
        <v>423345.07223283552</v>
      </c>
      <c r="AE17" s="11">
        <f>'QTR P&amp;L'!AH2*'BS DRIVERS'!AE15</f>
        <v>433278.27045303228</v>
      </c>
      <c r="AF17" s="11">
        <f>'QTR P&amp;L'!AI2*'BS DRIVERS'!AF15</f>
        <v>493328.83073080453</v>
      </c>
      <c r="AG17" s="11">
        <f>'QTR P&amp;L'!AJ2*'BS DRIVERS'!AG15</f>
        <v>513315.31240499089</v>
      </c>
      <c r="AH17" s="11">
        <f>'QTR P&amp;L'!AK2*'BS DRIVERS'!AH15</f>
        <v>497875.48196591623</v>
      </c>
      <c r="AI17" s="11">
        <f>'QTR P&amp;L'!AL2*'BS DRIVERS'!AI15</f>
        <v>509557.43169373419</v>
      </c>
      <c r="AJ17" s="11">
        <f>'QTR P&amp;L'!AM2*'BS DRIVERS'!AJ15</f>
        <v>580179.96541765507</v>
      </c>
      <c r="AK17" s="11">
        <f>'QTR P&amp;L'!AN2*'BS DRIVERS'!AK15</f>
        <v>603685.09125709254</v>
      </c>
      <c r="AL17" s="11">
        <f>'QTR P&amp;L'!AO2*'BS DRIVERS'!AL15</f>
        <v>585527.06007751019</v>
      </c>
      <c r="AM17" s="11">
        <f>'QTR P&amp;L'!AP2*'BS DRIVERS'!AM15</f>
        <v>599265.63112160668</v>
      </c>
      <c r="AN17" s="11">
        <f>'QTR P&amp;L'!AQ2*'BS DRIVERS'!AN15</f>
        <v>682321.34694700071</v>
      </c>
      <c r="AO17" s="11">
        <f>'QTR P&amp;L'!AR2*'BS DRIVERS'!AO15</f>
        <v>709964.57849391969</v>
      </c>
      <c r="AP17" s="11">
        <f>'QTR P&amp;L'!AS2*'BS DRIVERS'!AP15</f>
        <v>688609.80406037078</v>
      </c>
    </row>
    <row r="18" spans="1:42" x14ac:dyDescent="0.25">
      <c r="A18" s="3" t="s">
        <v>49</v>
      </c>
      <c r="B18" s="4">
        <f>'BALANCE SHEET'!B18</f>
        <v>186658</v>
      </c>
      <c r="C18" s="4">
        <f>'YTD BS'!C18</f>
        <v>197380</v>
      </c>
      <c r="D18" s="4">
        <f>'YTD BS'!D18</f>
        <v>227414</v>
      </c>
      <c r="E18" s="4">
        <f>'YTD BS'!E18</f>
        <v>232394</v>
      </c>
      <c r="F18" s="4">
        <f>'BALANCE SHEET'!C18</f>
        <v>211461</v>
      </c>
      <c r="G18" s="4">
        <f>'YTD BS'!G18</f>
        <v>270785</v>
      </c>
      <c r="H18" s="4">
        <f>'YTD BS'!H18</f>
        <v>277618</v>
      </c>
      <c r="I18" s="4">
        <f>'YTD BS'!I18</f>
        <v>281650</v>
      </c>
      <c r="J18" s="4">
        <f>'BALANCE SHEET'!D18</f>
        <v>255631</v>
      </c>
      <c r="K18" s="4">
        <f>'YTD BS'!K18</f>
        <v>308094</v>
      </c>
      <c r="L18" s="4">
        <f>'YTD BS'!L18</f>
        <v>283647</v>
      </c>
      <c r="M18" s="4">
        <f>'YTD BS'!M18</f>
        <v>296577</v>
      </c>
      <c r="N18" s="4">
        <f>'BALANCE SHEET'!E18</f>
        <v>269061</v>
      </c>
      <c r="O18" s="4">
        <f>'YTD BS'!O18</f>
        <v>318895</v>
      </c>
      <c r="P18" s="4">
        <f>'YTD BS'!P18</f>
        <v>319757</v>
      </c>
      <c r="Q18" s="4">
        <f>'YTD BS'!Q18</f>
        <v>301973</v>
      </c>
      <c r="R18" s="4">
        <f>'BALANCE SHEET'!F18</f>
        <v>267711</v>
      </c>
      <c r="S18" s="4">
        <f>'YTD BS'!S18</f>
        <v>304670</v>
      </c>
      <c r="T18" s="4">
        <f>'YTD BS'!T18</f>
        <v>360406</v>
      </c>
      <c r="U18" s="4">
        <f>'YTD BS'!U18</f>
        <v>392628</v>
      </c>
      <c r="V18" s="4">
        <f>'BALANCE SHEET'!G18</f>
        <v>384070</v>
      </c>
      <c r="W18" s="11">
        <f>'QTR P&amp;L'!Z2*'BS DRIVERS'!W16</f>
        <v>393081.66374822648</v>
      </c>
      <c r="X18" s="11">
        <f>'QTR P&amp;L'!AA2*'BS DRIVERS'!X16</f>
        <v>447561.14207128866</v>
      </c>
      <c r="Y18" s="11">
        <f>'QTR P&amp;L'!AB2*'BS DRIVERS'!Y16</f>
        <v>465693.41411149077</v>
      </c>
      <c r="Z18" s="11">
        <f>'QTR P&amp;L'!AC2*'BS DRIVERS'!Z16</f>
        <v>451685.98597382725</v>
      </c>
      <c r="AA18" s="11">
        <f>'QTR P&amp;L'!AD2*'BS DRIVERS'!AA16</f>
        <v>462284.16397622862</v>
      </c>
      <c r="AB18" s="11">
        <f>'QTR P&amp;L'!AE2*'BS DRIVERS'!AB16</f>
        <v>526354.82005895337</v>
      </c>
      <c r="AC18" s="11">
        <f>'QTR P&amp;L'!AF2*'BS DRIVERS'!AC16</f>
        <v>547679.30042561656</v>
      </c>
      <c r="AD18" s="11">
        <f>'QTR P&amp;L'!AG2*'BS DRIVERS'!AD16</f>
        <v>531205.84769742098</v>
      </c>
      <c r="AE18" s="11">
        <f>'QTR P&amp;L'!AH2*'BS DRIVERS'!AE16</f>
        <v>543669.84769882902</v>
      </c>
      <c r="AF18" s="11">
        <f>'QTR P&amp;L'!AI2*'BS DRIVERS'!AF16</f>
        <v>619020.21993492031</v>
      </c>
      <c r="AG18" s="11">
        <f>'QTR P&amp;L'!AJ2*'BS DRIVERS'!AG16</f>
        <v>644098.90074778197</v>
      </c>
      <c r="AH18" s="11">
        <f>'QTR P&amp;L'!AK2*'BS DRIVERS'!AH16</f>
        <v>624725.27683045366</v>
      </c>
      <c r="AI18" s="11">
        <f>'QTR P&amp;L'!AL2*'BS DRIVERS'!AI16</f>
        <v>639383.57904050336</v>
      </c>
      <c r="AJ18" s="11">
        <f>'QTR P&amp;L'!AM2*'BS DRIVERS'!AJ16</f>
        <v>727999.47504111193</v>
      </c>
      <c r="AK18" s="11">
        <f>'QTR P&amp;L'!AN2*'BS DRIVERS'!AK16</f>
        <v>757493.28780930617</v>
      </c>
      <c r="AL18" s="11">
        <f>'QTR P&amp;L'!AO2*'BS DRIVERS'!AL16</f>
        <v>734708.91407278797</v>
      </c>
      <c r="AM18" s="11">
        <f>'QTR P&amp;L'!AP2*'BS DRIVERS'!AM16</f>
        <v>751947.82803755638</v>
      </c>
      <c r="AN18" s="11">
        <f>'QTR P&amp;L'!AQ2*'BS DRIVERS'!AN16</f>
        <v>856164.65923496592</v>
      </c>
      <c r="AO18" s="11">
        <f>'QTR P&amp;L'!AR2*'BS DRIVERS'!AO16</f>
        <v>890850.89325566334</v>
      </c>
      <c r="AP18" s="11">
        <f>'QTR P&amp;L'!AS2*'BS DRIVERS'!AP16</f>
        <v>864055.30308726849</v>
      </c>
    </row>
    <row r="19" spans="1:42" x14ac:dyDescent="0.25">
      <c r="A19" s="3" t="s">
        <v>50</v>
      </c>
      <c r="B19" s="4">
        <f>'BALANCE SHEET'!B19</f>
        <v>45429</v>
      </c>
      <c r="C19" s="4">
        <f>'YTD BS'!C19</f>
        <v>45961</v>
      </c>
      <c r="D19" s="4">
        <f>'YTD BS'!D19</f>
        <v>46656</v>
      </c>
      <c r="E19" s="4">
        <f>'YTD BS'!E19</f>
        <v>45278</v>
      </c>
      <c r="F19" s="4">
        <f>'BALANCE SHEET'!C19</f>
        <v>42530</v>
      </c>
      <c r="G19" s="4">
        <f>'YTD BS'!G19</f>
        <v>42540</v>
      </c>
      <c r="H19" s="4">
        <f>'YTD BS'!H19</f>
        <v>44344</v>
      </c>
      <c r="I19" s="4">
        <f>'YTD BS'!I19</f>
        <v>42608</v>
      </c>
      <c r="J19" s="4">
        <f>'BALANCE SHEET'!D19</f>
        <v>43311</v>
      </c>
      <c r="K19" s="4">
        <f>'YTD BS'!K19</f>
        <v>44440</v>
      </c>
      <c r="L19" s="4">
        <f>'YTD BS'!L19</f>
        <v>42765</v>
      </c>
      <c r="M19" s="4">
        <f>'YTD BS'!M19</f>
        <v>40127</v>
      </c>
      <c r="N19" s="4">
        <f>'BALANCE SHEET'!E19</f>
        <v>41914</v>
      </c>
      <c r="O19" s="4">
        <f>'YTD BS'!O19</f>
        <v>43776</v>
      </c>
      <c r="P19" s="4">
        <f>'YTD BS'!P19</f>
        <v>44377</v>
      </c>
      <c r="Q19" s="4">
        <f>'YTD BS'!Q19</f>
        <v>45627</v>
      </c>
      <c r="R19" s="4">
        <f>'BALANCE SHEET'!F19</f>
        <v>45809</v>
      </c>
      <c r="S19" s="4">
        <f>'YTD BS'!S19</f>
        <v>47542</v>
      </c>
      <c r="T19" s="4">
        <f>'YTD BS'!T19</f>
        <v>49279</v>
      </c>
      <c r="U19" s="4">
        <f>'YTD BS'!U19</f>
        <v>47158</v>
      </c>
      <c r="V19" s="4">
        <f>'BALANCE SHEET'!G19</f>
        <v>45323</v>
      </c>
      <c r="W19" s="11">
        <f>'QTR P&amp;L'!Z2*'BS DRIVERS'!W17</f>
        <v>46386.440612546852</v>
      </c>
      <c r="X19" s="11">
        <f>'QTR P&amp;L'!AA2*'BS DRIVERS'!X17</f>
        <v>52815.407717595801</v>
      </c>
      <c r="Y19" s="11">
        <f>'QTR P&amp;L'!AB2*'BS DRIVERS'!Y17</f>
        <v>54955.145176074933</v>
      </c>
      <c r="Z19" s="11">
        <f>'QTR P&amp;L'!AC2*'BS DRIVERS'!Z17</f>
        <v>53302.168725210962</v>
      </c>
      <c r="AA19" s="11">
        <f>'QTR P&amp;L'!AD2*'BS DRIVERS'!AA17</f>
        <v>54552.829338127456</v>
      </c>
      <c r="AB19" s="11">
        <f>'QTR P&amp;L'!AE2*'BS DRIVERS'!AB17</f>
        <v>62113.623843392998</v>
      </c>
      <c r="AC19" s="11">
        <f>'QTR P&amp;L'!AF2*'BS DRIVERS'!AC17</f>
        <v>64630.064657979594</v>
      </c>
      <c r="AD19" s="11">
        <f>'QTR P&amp;L'!AG2*'BS DRIVERS'!AD17</f>
        <v>62686.079712526924</v>
      </c>
      <c r="AE19" s="11">
        <f>'QTR P&amp;L'!AH2*'BS DRIVERS'!AE17</f>
        <v>64156.920632317109</v>
      </c>
      <c r="AF19" s="11">
        <f>'QTR P&amp;L'!AI2*'BS DRIVERS'!AF17</f>
        <v>73048.80211448537</v>
      </c>
      <c r="AG19" s="11">
        <f>'QTR P&amp;L'!AJ2*'BS DRIVERS'!AG17</f>
        <v>76008.26536462552</v>
      </c>
      <c r="AH19" s="11">
        <f>'QTR P&amp;L'!AK2*'BS DRIVERS'!AH17</f>
        <v>73722.039528697002</v>
      </c>
      <c r="AI19" s="11">
        <f>'QTR P&amp;L'!AL2*'BS DRIVERS'!AI17</f>
        <v>75451.823763513778</v>
      </c>
      <c r="AJ19" s="11">
        <f>'QTR P&amp;L'!AM2*'BS DRIVERS'!AJ17</f>
        <v>85909.131687682777</v>
      </c>
      <c r="AK19" s="11">
        <f>'QTR P&amp;L'!AN2*'BS DRIVERS'!AK17</f>
        <v>89389.612006616473</v>
      </c>
      <c r="AL19" s="11">
        <f>'QTR P&amp;L'!AO2*'BS DRIVERS'!AL17</f>
        <v>86700.893359338064</v>
      </c>
      <c r="AM19" s="11">
        <f>'QTR P&amp;L'!AP2*'BS DRIVERS'!AM17</f>
        <v>88735.208191595724</v>
      </c>
      <c r="AN19" s="11">
        <f>'QTR P&amp;L'!AQ2*'BS DRIVERS'!AN17</f>
        <v>101033.53776787138</v>
      </c>
      <c r="AO19" s="11">
        <f>'QTR P&amp;L'!AR2*'BS DRIVERS'!AO17</f>
        <v>105126.76083793692</v>
      </c>
      <c r="AP19" s="11">
        <f>'QTR P&amp;L'!AS2*'BS DRIVERS'!AP17</f>
        <v>101964.69003521305</v>
      </c>
    </row>
    <row r="20" spans="1:42" x14ac:dyDescent="0.25">
      <c r="A20" s="3" t="s">
        <v>51</v>
      </c>
      <c r="B20" s="4">
        <f>'BALANCE SHEET'!B20</f>
        <v>55015</v>
      </c>
      <c r="C20" s="4">
        <f>'YTD BS'!C20</f>
        <v>30499</v>
      </c>
      <c r="D20" s="4">
        <f>'YTD BS'!D20</f>
        <v>46770</v>
      </c>
      <c r="E20" s="4">
        <f>'YTD BS'!E20</f>
        <v>54507</v>
      </c>
      <c r="F20" s="4">
        <f>'BALANCE SHEET'!C20</f>
        <v>65459</v>
      </c>
      <c r="G20" s="4">
        <f>'YTD BS'!G20</f>
        <v>37551</v>
      </c>
      <c r="H20" s="4">
        <f>'YTD BS'!H20</f>
        <v>53717</v>
      </c>
      <c r="I20" s="4">
        <f>'YTD BS'!I20</f>
        <v>61426</v>
      </c>
      <c r="J20" s="4">
        <f>'BALANCE SHEET'!D20</f>
        <v>72463</v>
      </c>
      <c r="K20" s="4">
        <f>'YTD BS'!K20</f>
        <v>42673</v>
      </c>
      <c r="L20" s="4">
        <f>'YTD BS'!L20</f>
        <v>56195</v>
      </c>
      <c r="M20" s="4">
        <f>'YTD BS'!M20</f>
        <v>76835</v>
      </c>
      <c r="N20" s="4">
        <f>'BALANCE SHEET'!E20</f>
        <v>87392</v>
      </c>
      <c r="O20" s="4">
        <f>'YTD BS'!O20</f>
        <v>52638</v>
      </c>
      <c r="P20" s="4">
        <f>'YTD BS'!P20</f>
        <v>60357</v>
      </c>
      <c r="Q20" s="4">
        <f>'YTD BS'!Q20</f>
        <v>81787</v>
      </c>
      <c r="R20" s="4">
        <f>'BALANCE SHEET'!F20</f>
        <v>92454</v>
      </c>
      <c r="S20" s="4">
        <f>'YTD BS'!S20</f>
        <v>55812</v>
      </c>
      <c r="T20" s="4">
        <f>'YTD BS'!T20</f>
        <v>72838</v>
      </c>
      <c r="U20" s="4">
        <f>'YTD BS'!U20</f>
        <v>102131</v>
      </c>
      <c r="V20" s="4">
        <f>'BALANCE SHEET'!G20</f>
        <v>114023</v>
      </c>
      <c r="W20" s="11">
        <f>'QTR P&amp;L'!Z2*'BS DRIVERS'!W18</f>
        <v>116698.38973511086</v>
      </c>
      <c r="X20" s="11">
        <f>'QTR P&amp;L'!AA2*'BS DRIVERS'!X18</f>
        <v>132872.29958704027</v>
      </c>
      <c r="Y20" s="11">
        <f>'QTR P&amp;L'!AB2*'BS DRIVERS'!Y18</f>
        <v>138255.42259805379</v>
      </c>
      <c r="Z20" s="11">
        <f>'QTR P&amp;L'!AC2*'BS DRIVERS'!Z18</f>
        <v>134096.88644958916</v>
      </c>
      <c r="AA20" s="11">
        <f>'QTR P&amp;L'!AD2*'BS DRIVERS'!AA18</f>
        <v>137243.28176910855</v>
      </c>
      <c r="AB20" s="11">
        <f>'QTR P&amp;L'!AE2*'BS DRIVERS'!AB18</f>
        <v>156264.62792611256</v>
      </c>
      <c r="AC20" s="11">
        <f>'QTR P&amp;L'!AF2*'BS DRIVERS'!AC18</f>
        <v>162595.45622524561</v>
      </c>
      <c r="AD20" s="11">
        <f>'QTR P&amp;L'!AG2*'BS DRIVERS'!AD18</f>
        <v>157704.80478038648</v>
      </c>
      <c r="AE20" s="11">
        <f>'QTR P&amp;L'!AH2*'BS DRIVERS'!AE18</f>
        <v>161405.12678460591</v>
      </c>
      <c r="AF20" s="11">
        <f>'QTR P&amp;L'!AI2*'BS DRIVERS'!AF18</f>
        <v>183775.20383690321</v>
      </c>
      <c r="AG20" s="11">
        <f>'QTR P&amp;L'!AJ2*'BS DRIVERS'!AG18</f>
        <v>191220.58208129858</v>
      </c>
      <c r="AH20" s="11">
        <f>'QTR P&amp;L'!AK2*'BS DRIVERS'!AH18</f>
        <v>185468.92556054579</v>
      </c>
      <c r="AI20" s="11">
        <f>'QTR P&amp;L'!AL2*'BS DRIVERS'!AI18</f>
        <v>189820.69370931163</v>
      </c>
      <c r="AJ20" s="11">
        <f>'QTR P&amp;L'!AM2*'BS DRIVERS'!AJ18</f>
        <v>216129.0497633575</v>
      </c>
      <c r="AK20" s="11">
        <f>'QTR P&amp;L'!AN2*'BS DRIVERS'!AK18</f>
        <v>224885.19581295212</v>
      </c>
      <c r="AL20" s="11">
        <f>'QTR P&amp;L'!AO2*'BS DRIVERS'!AL18</f>
        <v>218120.95323592445</v>
      </c>
      <c r="AM20" s="11">
        <f>'QTR P&amp;L'!AP2*'BS DRIVERS'!AM18</f>
        <v>223238.85540741609</v>
      </c>
      <c r="AN20" s="11">
        <f>'QTR P&amp;L'!AQ2*'BS DRIVERS'!AN18</f>
        <v>254178.82922370537</v>
      </c>
      <c r="AO20" s="11">
        <f>'QTR P&amp;L'!AR2*'BS DRIVERS'!AO18</f>
        <v>264476.50532895175</v>
      </c>
      <c r="AP20" s="11">
        <f>'QTR P&amp;L'!AS2*'BS DRIVERS'!AP18</f>
        <v>256521.40970114723</v>
      </c>
    </row>
    <row r="21" spans="1:42" x14ac:dyDescent="0.25">
      <c r="A21" s="3" t="s">
        <v>52</v>
      </c>
      <c r="B21" s="4">
        <f>'BALANCE SHEET'!B21</f>
        <v>23433</v>
      </c>
      <c r="C21" s="4">
        <f>'YTD BS'!C21</f>
        <v>9991</v>
      </c>
      <c r="D21" s="4">
        <f>'YTD BS'!D21</f>
        <v>31289</v>
      </c>
      <c r="E21" s="4">
        <f>'YTD BS'!E21</f>
        <v>23113</v>
      </c>
      <c r="F21" s="4">
        <f>'BALANCE SHEET'!C21</f>
        <v>30399</v>
      </c>
      <c r="G21" s="4">
        <f>'YTD BS'!G21</f>
        <v>21118</v>
      </c>
      <c r="H21" s="4">
        <f>'YTD BS'!H21</f>
        <v>15917</v>
      </c>
      <c r="I21" s="4">
        <f>'YTD BS'!I21</f>
        <v>17143</v>
      </c>
      <c r="J21" s="4">
        <f>'BALANCE SHEET'!D21</f>
        <v>13317</v>
      </c>
      <c r="K21" s="4">
        <f>'YTD BS'!K21</f>
        <v>55123</v>
      </c>
      <c r="L21" s="4">
        <f>'YTD BS'!L21</f>
        <v>12704</v>
      </c>
      <c r="M21" s="4">
        <f>'YTD BS'!M21</f>
        <v>17644</v>
      </c>
      <c r="N21" s="4">
        <f>'BALANCE SHEET'!E21</f>
        <v>14955</v>
      </c>
      <c r="O21" s="4">
        <f>'YTD BS'!O21</f>
        <v>75111</v>
      </c>
      <c r="P21" s="4">
        <f>'YTD BS'!P21</f>
        <v>10990</v>
      </c>
      <c r="Q21" s="4">
        <f>'YTD BS'!Q21</f>
        <v>7641</v>
      </c>
      <c r="R21" s="4">
        <f>'BALANCE SHEET'!F21</f>
        <v>4006</v>
      </c>
      <c r="S21" s="4">
        <f>'YTD BS'!S21</f>
        <v>67837</v>
      </c>
      <c r="T21" s="4">
        <f>'YTD BS'!T21</f>
        <v>28121</v>
      </c>
      <c r="U21" s="4">
        <f>'YTD BS'!U21</f>
        <v>40023</v>
      </c>
      <c r="V21" s="4">
        <f>'BALANCE SHEET'!G21</f>
        <v>32305</v>
      </c>
      <c r="W21" s="11">
        <f>'QTR P&amp;L'!Z2*'BS DRIVERS'!W19</f>
        <v>33062.991505159102</v>
      </c>
      <c r="X21" s="11">
        <f>'QTR P&amp;L'!AA2*'BS DRIVERS'!X19</f>
        <v>37645.384160733673</v>
      </c>
      <c r="Y21" s="11">
        <f>'QTR P&amp;L'!AB2*'BS DRIVERS'!Y19</f>
        <v>39170.530744061522</v>
      </c>
      <c r="Z21" s="11">
        <f>'QTR P&amp;L'!AC2*'BS DRIVERS'!Z19</f>
        <v>37992.334149723982</v>
      </c>
      <c r="AA21" s="11">
        <f>'QTR P&amp;L'!AD2*'BS DRIVERS'!AA19</f>
        <v>38883.7709720938</v>
      </c>
      <c r="AB21" s="11">
        <f>'QTR P&amp;L'!AE2*'BS DRIVERS'!AB19</f>
        <v>44272.899372521912</v>
      </c>
      <c r="AC21" s="11">
        <f>'QTR P&amp;L'!AF2*'BS DRIVERS'!AC19</f>
        <v>46066.549848333751</v>
      </c>
      <c r="AD21" s="11">
        <f>'QTR P&amp;L'!AG2*'BS DRIVERS'!AD19</f>
        <v>44680.930324850116</v>
      </c>
      <c r="AE21" s="11">
        <f>'QTR P&amp;L'!AH2*'BS DRIVERS'!AE19</f>
        <v>45729.305673212359</v>
      </c>
      <c r="AF21" s="11">
        <f>'QTR P&amp;L'!AI2*'BS DRIVERS'!AF19</f>
        <v>52067.196617797796</v>
      </c>
      <c r="AG21" s="11">
        <f>'QTR P&amp;L'!AJ2*'BS DRIVERS'!AG19</f>
        <v>54176.621419681556</v>
      </c>
      <c r="AH21" s="11">
        <f>'QTR P&amp;L'!AK2*'BS DRIVERS'!AH19</f>
        <v>52547.06191060954</v>
      </c>
      <c r="AI21" s="11">
        <f>'QTR P&amp;L'!AL2*'BS DRIVERS'!AI19</f>
        <v>53780.005001441037</v>
      </c>
      <c r="AJ21" s="11">
        <f>'QTR P&amp;L'!AM2*'BS DRIVERS'!AJ19</f>
        <v>61233.689278525067</v>
      </c>
      <c r="AK21" s="11">
        <f>'QTR P&amp;L'!AN2*'BS DRIVERS'!AK19</f>
        <v>63714.480856822032</v>
      </c>
      <c r="AL21" s="11">
        <f>'QTR P&amp;L'!AO2*'BS DRIVERS'!AL19</f>
        <v>61798.035433961035</v>
      </c>
      <c r="AM21" s="11">
        <f>'QTR P&amp;L'!AP2*'BS DRIVERS'!AM19</f>
        <v>63248.039640568801</v>
      </c>
      <c r="AN21" s="11">
        <f>'QTR P&amp;L'!AQ2*'BS DRIVERS'!AN19</f>
        <v>72013.954009908543</v>
      </c>
      <c r="AO21" s="11">
        <f>'QTR P&amp;L'!AR2*'BS DRIVERS'!AO19</f>
        <v>74931.491932783625</v>
      </c>
      <c r="AP21" s="11">
        <f>'QTR P&amp;L'!AS2*'BS DRIVERS'!AP19</f>
        <v>72677.653985560464</v>
      </c>
    </row>
    <row r="22" spans="1:42" x14ac:dyDescent="0.25">
      <c r="A22" s="3" t="s">
        <v>53</v>
      </c>
      <c r="B22" s="6">
        <f>'BALANCE SHEET'!B22</f>
        <v>749988</v>
      </c>
      <c r="C22" s="6">
        <f>'YTD BS'!C22</f>
        <v>788861</v>
      </c>
      <c r="D22" s="6">
        <f>'YTD BS'!D22</f>
        <v>887527</v>
      </c>
      <c r="E22" s="6">
        <f>'YTD BS'!E22</f>
        <v>932240</v>
      </c>
      <c r="F22" s="6">
        <f>'BALANCE SHEET'!C22</f>
        <v>965076</v>
      </c>
      <c r="G22" s="6">
        <f>'YTD BS'!G22</f>
        <v>1044361</v>
      </c>
      <c r="H22" s="6">
        <f>'YTD BS'!H22</f>
        <v>1093608</v>
      </c>
      <c r="I22" s="6">
        <f>'YTD BS'!I22</f>
        <v>1121717</v>
      </c>
      <c r="J22" s="6">
        <f>'BALANCE SHEET'!D22</f>
        <v>1001978</v>
      </c>
      <c r="K22" s="6">
        <f>'YTD BS'!K22</f>
        <v>1187511</v>
      </c>
      <c r="L22" s="6">
        <f>'YTD BS'!L22</f>
        <v>1162580</v>
      </c>
      <c r="M22" s="6">
        <f>'YTD BS'!M22</f>
        <v>1178802</v>
      </c>
      <c r="N22" s="6">
        <f>'BALANCE SHEET'!E22</f>
        <v>1161689</v>
      </c>
      <c r="O22" s="6">
        <f>'YTD BS'!O22</f>
        <v>1228828</v>
      </c>
      <c r="P22" s="6">
        <f>'YTD BS'!P22</f>
        <v>1160523</v>
      </c>
      <c r="Q22" s="6">
        <f>'YTD BS'!Q22</f>
        <v>1245144</v>
      </c>
      <c r="R22" s="6">
        <f>'BALANCE SHEET'!F22</f>
        <v>1097519</v>
      </c>
      <c r="S22" s="6">
        <f>'YTD BS'!S22</f>
        <v>1225357</v>
      </c>
      <c r="T22" s="6">
        <f>'YTD BS'!T22</f>
        <v>1258618</v>
      </c>
      <c r="U22" s="6">
        <f>'YTD BS'!U22</f>
        <v>1590420</v>
      </c>
      <c r="V22" s="6">
        <f>'BALANCE SHEET'!G22</f>
        <v>1447780</v>
      </c>
      <c r="W22" s="7">
        <f t="shared" ref="W22:AP22" si="2">SUM(W16:W21)</f>
        <v>1481750.1266472447</v>
      </c>
      <c r="X22" s="7">
        <f t="shared" si="2"/>
        <v>1687114.5110734249</v>
      </c>
      <c r="Y22" s="7">
        <f t="shared" si="2"/>
        <v>1755465.4388062961</v>
      </c>
      <c r="Z22" s="7">
        <f t="shared" si="2"/>
        <v>1702663.4123289702</v>
      </c>
      <c r="AA22" s="7">
        <f t="shared" si="2"/>
        <v>1742614.0206772315</v>
      </c>
      <c r="AB22" s="7">
        <f t="shared" si="2"/>
        <v>1984133.0522689917</v>
      </c>
      <c r="AC22" s="7">
        <f t="shared" si="2"/>
        <v>2064517.2431332811</v>
      </c>
      <c r="AD22" s="7">
        <f t="shared" si="2"/>
        <v>2002419.3563136205</v>
      </c>
      <c r="AE22" s="7">
        <f t="shared" si="2"/>
        <v>2049403.3173676953</v>
      </c>
      <c r="AF22" s="7">
        <f t="shared" si="2"/>
        <v>2333442.0652937721</v>
      </c>
      <c r="AG22" s="7">
        <f t="shared" si="2"/>
        <v>2427977.9897534926</v>
      </c>
      <c r="AH22" s="7">
        <f t="shared" si="2"/>
        <v>2354947.695184717</v>
      </c>
      <c r="AI22" s="7">
        <f t="shared" si="2"/>
        <v>2410203.2391576013</v>
      </c>
      <c r="AJ22" s="7">
        <f t="shared" si="2"/>
        <v>2744247.3506783172</v>
      </c>
      <c r="AK22" s="7">
        <f t="shared" si="2"/>
        <v>2855426.4384736046</v>
      </c>
      <c r="AL22" s="7">
        <f t="shared" si="2"/>
        <v>2769539.0726073394</v>
      </c>
      <c r="AM22" s="7">
        <f t="shared" si="2"/>
        <v>2834522.4216320287</v>
      </c>
      <c r="AN22" s="7">
        <f t="shared" si="2"/>
        <v>3227375.4012216502</v>
      </c>
      <c r="AO22" s="7">
        <f t="shared" si="2"/>
        <v>3358127.7012984203</v>
      </c>
      <c r="AP22" s="7">
        <f t="shared" si="2"/>
        <v>3257119.7612510365</v>
      </c>
    </row>
    <row r="23" spans="1:42" x14ac:dyDescent="0.25">
      <c r="A23" s="3" t="s">
        <v>54</v>
      </c>
      <c r="B23" s="4">
        <f>'BALANCE SHEET'!B23</f>
        <v>264436</v>
      </c>
      <c r="C23" s="4">
        <f>'YTD BS'!C23</f>
        <v>257730</v>
      </c>
      <c r="D23" s="4">
        <f>'YTD BS'!D23</f>
        <v>252056</v>
      </c>
      <c r="E23" s="4">
        <f>'YTD BS'!E23</f>
        <v>245621</v>
      </c>
      <c r="F23" s="4">
        <f>'BALANCE SHEET'!C23</f>
        <v>243249</v>
      </c>
      <c r="G23" s="4">
        <f>'YTD BS'!G23</f>
        <v>238241</v>
      </c>
      <c r="H23" s="4">
        <f>'YTD BS'!H23</f>
        <v>232170</v>
      </c>
      <c r="I23" s="4">
        <f>'YTD BS'!I23</f>
        <v>226294</v>
      </c>
      <c r="J23" s="4">
        <f>'BALANCE SHEET'!D23</f>
        <v>223800</v>
      </c>
      <c r="K23" s="4">
        <f>'YTD BS'!K23</f>
        <v>219764</v>
      </c>
      <c r="L23" s="4">
        <f>'YTD BS'!L23</f>
        <v>215039</v>
      </c>
      <c r="M23" s="4">
        <f>'YTD BS'!M23</f>
        <v>209136</v>
      </c>
      <c r="N23" s="4">
        <f>'BALANCE SHEET'!E23</f>
        <v>204251</v>
      </c>
      <c r="O23" s="4">
        <f>'YTD BS'!O23</f>
        <v>198759</v>
      </c>
      <c r="P23" s="4">
        <f>'YTD BS'!P23</f>
        <v>192354</v>
      </c>
      <c r="Q23" s="4">
        <f>'YTD BS'!Q23</f>
        <v>186135</v>
      </c>
      <c r="R23" s="4">
        <f>'BALANCE SHEET'!F23</f>
        <v>179008</v>
      </c>
      <c r="S23" s="4">
        <f>'YTD BS'!S23</f>
        <v>173921</v>
      </c>
      <c r="T23" s="4">
        <f>'YTD BS'!T23</f>
        <v>169763</v>
      </c>
      <c r="U23" s="4">
        <f>'YTD BS'!U23</f>
        <v>164701</v>
      </c>
      <c r="V23" s="4">
        <f>'BALANCE SHEET'!G23</f>
        <v>159991</v>
      </c>
      <c r="W23" s="11">
        <f>'QTR P&amp;L'!Z2*'BS DRIVERS'!W20</f>
        <v>163744.96436780406</v>
      </c>
      <c r="X23" s="11">
        <f>'QTR P&amp;L'!AA2*'BS DRIVERS'!X20</f>
        <v>186439.33314533171</v>
      </c>
      <c r="Y23" s="11">
        <f>'QTR P&amp;L'!AB2*'BS DRIVERS'!Y20</f>
        <v>193992.6446145534</v>
      </c>
      <c r="Z23" s="11">
        <f>'QTR P&amp;L'!AC2*'BS DRIVERS'!Z20</f>
        <v>188157.60820147005</v>
      </c>
      <c r="AA23" s="11">
        <f>'QTR P&amp;L'!AD2*'BS DRIVERS'!AA20</f>
        <v>192572.4625165225</v>
      </c>
      <c r="AB23" s="11">
        <f>'QTR P&amp;L'!AE2*'BS DRIVERS'!AB20</f>
        <v>219262.20224451798</v>
      </c>
      <c r="AC23" s="11">
        <f>'QTR P&amp;L'!AF2*'BS DRIVERS'!AC20</f>
        <v>228145.28329313622</v>
      </c>
      <c r="AD23" s="11">
        <f>'QTR P&amp;L'!AG2*'BS DRIVERS'!AD20</f>
        <v>221282.98169333217</v>
      </c>
      <c r="AE23" s="11">
        <f>'QTR P&amp;L'!AH2*'BS DRIVERS'!AE20</f>
        <v>226475.07642664973</v>
      </c>
      <c r="AF23" s="11">
        <f>'QTR P&amp;L'!AI2*'BS DRIVERS'!AF20</f>
        <v>257863.57697192655</v>
      </c>
      <c r="AG23" s="11">
        <f>'QTR P&amp;L'!AJ2*'BS DRIVERS'!AG20</f>
        <v>268310.53513562208</v>
      </c>
      <c r="AH23" s="11">
        <f>'QTR P&amp;L'!AK2*'BS DRIVERS'!AH20</f>
        <v>260240.11707600468</v>
      </c>
      <c r="AI23" s="11">
        <f>'QTR P&amp;L'!AL2*'BS DRIVERS'!AI20</f>
        <v>266346.28633912874</v>
      </c>
      <c r="AJ23" s="11">
        <f>'QTR P&amp;L'!AM2*'BS DRIVERS'!AJ20</f>
        <v>303260.7702015324</v>
      </c>
      <c r="AK23" s="11">
        <f>'QTR P&amp;L'!AN2*'BS DRIVERS'!AK20</f>
        <v>315546.92792954075</v>
      </c>
      <c r="AL23" s="11">
        <f>'QTR P&amp;L'!AO2*'BS DRIVERS'!AL20</f>
        <v>306055.70305261912</v>
      </c>
      <c r="AM23" s="11">
        <f>'QTR P&amp;L'!AP2*'BS DRIVERS'!AM20</f>
        <v>313236.87076719524</v>
      </c>
      <c r="AN23" s="11">
        <f>'QTR P&amp;L'!AQ2*'BS DRIVERS'!AN20</f>
        <v>356650.19396376034</v>
      </c>
      <c r="AO23" s="11">
        <f>'QTR P&amp;L'!AR2*'BS DRIVERS'!AO20</f>
        <v>371099.34455403138</v>
      </c>
      <c r="AP23" s="11">
        <f>'QTR P&amp;L'!AS2*'BS DRIVERS'!AP20</f>
        <v>359937.1781087697</v>
      </c>
    </row>
    <row r="24" spans="1:42" x14ac:dyDescent="0.25">
      <c r="A24" s="3" t="s">
        <v>120</v>
      </c>
      <c r="C24" s="4">
        <f>'YTD BS'!C24</f>
        <v>0</v>
      </c>
      <c r="D24" s="4">
        <f>'YTD BS'!D24</f>
        <v>0</v>
      </c>
      <c r="E24" s="4">
        <f>'YTD BS'!E24</f>
        <v>0</v>
      </c>
      <c r="G24" s="4">
        <f>'YTD BS'!G24</f>
        <v>0</v>
      </c>
      <c r="H24" s="4">
        <f>'YTD BS'!H24</f>
        <v>0</v>
      </c>
      <c r="I24" s="4">
        <f>'YTD BS'!I24</f>
        <v>0</v>
      </c>
      <c r="K24" s="4">
        <f>'YTD BS'!K24</f>
        <v>0</v>
      </c>
      <c r="L24" s="4">
        <f>'YTD BS'!L24</f>
        <v>0</v>
      </c>
      <c r="M24" s="4">
        <f>'YTD BS'!M24</f>
        <v>0</v>
      </c>
      <c r="O24" s="4">
        <f>'YTD BS'!O24</f>
        <v>0</v>
      </c>
      <c r="P24" s="4">
        <f>'YTD BS'!P24</f>
        <v>28896</v>
      </c>
      <c r="Q24" s="4">
        <f>'YTD BS'!Q24</f>
        <v>28896</v>
      </c>
      <c r="S24" s="4">
        <f>'YTD BS'!S24</f>
        <v>0</v>
      </c>
      <c r="T24" s="4">
        <f>'YTD BS'!T24</f>
        <v>0</v>
      </c>
      <c r="U24" s="4">
        <f>'YTD BS'!U24</f>
        <v>0</v>
      </c>
      <c r="W24" s="11">
        <f>'BS DRIVERS'!W21</f>
        <v>0</v>
      </c>
      <c r="X24" s="11">
        <f>'BS DRIVERS'!X21</f>
        <v>0</v>
      </c>
      <c r="Y24" s="11">
        <f>'BS DRIVERS'!Y21</f>
        <v>0</v>
      </c>
      <c r="Z24" s="11">
        <f>'BS DRIVERS'!Z21</f>
        <v>0</v>
      </c>
      <c r="AA24" s="11">
        <f>'BS DRIVERS'!AA21</f>
        <v>0</v>
      </c>
      <c r="AB24" s="11">
        <f>'BS DRIVERS'!AB21</f>
        <v>0</v>
      </c>
      <c r="AC24" s="11">
        <f>'BS DRIVERS'!AC21</f>
        <v>0</v>
      </c>
      <c r="AD24" s="11">
        <f>'BS DRIVERS'!AD21</f>
        <v>0</v>
      </c>
      <c r="AE24" s="11">
        <f>'BS DRIVERS'!AE21</f>
        <v>0</v>
      </c>
      <c r="AF24" s="11">
        <f>'BS DRIVERS'!AF21</f>
        <v>0</v>
      </c>
      <c r="AG24" s="11">
        <f>'BS DRIVERS'!AG21</f>
        <v>0</v>
      </c>
      <c r="AH24" s="11">
        <f>'BS DRIVERS'!AH21</f>
        <v>0</v>
      </c>
      <c r="AI24" s="11">
        <f>'BS DRIVERS'!AI21</f>
        <v>0</v>
      </c>
      <c r="AJ24" s="11">
        <f>'BS DRIVERS'!AJ21</f>
        <v>0</v>
      </c>
      <c r="AK24" s="11">
        <f>'BS DRIVERS'!AK21</f>
        <v>0</v>
      </c>
      <c r="AL24" s="11">
        <f>'BS DRIVERS'!AL21</f>
        <v>0</v>
      </c>
      <c r="AM24" s="11">
        <f>'BS DRIVERS'!AM21</f>
        <v>0</v>
      </c>
      <c r="AN24" s="11">
        <f>'BS DRIVERS'!AN21</f>
        <v>0</v>
      </c>
      <c r="AO24" s="11">
        <f>'BS DRIVERS'!AO21</f>
        <v>0</v>
      </c>
      <c r="AP24" s="11">
        <f>'BS DRIVERS'!AP21</f>
        <v>0</v>
      </c>
    </row>
    <row r="25" spans="1:42" x14ac:dyDescent="0.25">
      <c r="A25" s="3" t="s">
        <v>55</v>
      </c>
      <c r="B25" s="4">
        <f>'BALANCE SHEET'!B24</f>
        <v>27432</v>
      </c>
      <c r="C25" s="4">
        <f>'YTD BS'!C25</f>
        <v>28338</v>
      </c>
      <c r="D25" s="4">
        <f>'YTD BS'!D25</f>
        <v>26462</v>
      </c>
      <c r="E25" s="4">
        <f>'YTD BS'!E25</f>
        <v>26550</v>
      </c>
      <c r="F25" s="4">
        <f>'BALANCE SHEET'!C24</f>
        <v>29508</v>
      </c>
      <c r="G25" s="4">
        <f>'YTD BS'!G25</f>
        <v>38185</v>
      </c>
      <c r="H25" s="4">
        <f>'YTD BS'!H25</f>
        <v>40056</v>
      </c>
      <c r="I25" s="4">
        <f>'YTD BS'!I25</f>
        <v>41034</v>
      </c>
      <c r="J25" s="4">
        <f>'BALANCE SHEET'!D24</f>
        <v>42286</v>
      </c>
      <c r="K25" s="4">
        <f>'YTD BS'!K25</f>
        <v>41727</v>
      </c>
      <c r="L25" s="4">
        <f>'YTD BS'!L25</f>
        <v>44255</v>
      </c>
      <c r="M25" s="4">
        <f>'YTD BS'!M25</f>
        <v>53251</v>
      </c>
      <c r="N25" s="4">
        <f>'BALANCE SHEET'!E24</f>
        <v>91838</v>
      </c>
      <c r="O25" s="4">
        <f>'YTD BS'!O25</f>
        <v>92690</v>
      </c>
      <c r="P25" s="4">
        <f>'YTD BS'!P25</f>
        <v>64068</v>
      </c>
      <c r="Q25" s="4">
        <f>'YTD BS'!Q25</f>
        <v>64884</v>
      </c>
      <c r="R25" s="4">
        <f>'BALANCE SHEET'!F24</f>
        <v>110893</v>
      </c>
      <c r="S25" s="4">
        <f>'YTD BS'!S25</f>
        <v>109252</v>
      </c>
      <c r="T25" s="4">
        <f>'YTD BS'!T25</f>
        <v>110203</v>
      </c>
      <c r="U25" s="4">
        <f>'YTD BS'!U25</f>
        <v>110992</v>
      </c>
      <c r="V25" s="4">
        <f>'BALANCE SHEET'!G24</f>
        <v>127066</v>
      </c>
      <c r="W25" s="11">
        <f>'QTR P&amp;L'!Z2*'BS DRIVERS'!W22</f>
        <v>130047.42543242677</v>
      </c>
      <c r="X25" s="11">
        <f>'QTR P&amp;L'!AA2*'BS DRIVERS'!X22</f>
        <v>148071.45592842548</v>
      </c>
      <c r="Y25" s="11">
        <f>'QTR P&amp;L'!AB2*'BS DRIVERS'!Y22</f>
        <v>154070.3500858976</v>
      </c>
      <c r="Z25" s="11">
        <f>'QTR P&amp;L'!AC2*'BS DRIVERS'!Z22</f>
        <v>149436.12230517963</v>
      </c>
      <c r="AA25" s="11">
        <f>'QTR P&amp;L'!AD2*'BS DRIVERS'!AA22</f>
        <v>152942.43127503703</v>
      </c>
      <c r="AB25" s="11">
        <f>'QTR P&amp;L'!AE2*'BS DRIVERS'!AB22</f>
        <v>174139.61404330196</v>
      </c>
      <c r="AC25" s="11">
        <f>'QTR P&amp;L'!AF2*'BS DRIVERS'!AC22</f>
        <v>181194.62074070197</v>
      </c>
      <c r="AD25" s="11">
        <f>'QTR P&amp;L'!AG2*'BS DRIVERS'!AD22</f>
        <v>175744.53157893225</v>
      </c>
      <c r="AE25" s="11">
        <f>'QTR P&amp;L'!AH2*'BS DRIVERS'!AE22</f>
        <v>179868.13046501786</v>
      </c>
      <c r="AF25" s="11">
        <f>'QTR P&amp;L'!AI2*'BS DRIVERS'!AF22</f>
        <v>204797.10278399923</v>
      </c>
      <c r="AG25" s="11">
        <f>'QTR P&amp;L'!AJ2*'BS DRIVERS'!AG22</f>
        <v>213094.1519056882</v>
      </c>
      <c r="AH25" s="11">
        <f>'QTR P&amp;L'!AK2*'BS DRIVERS'!AH22</f>
        <v>206684.56798432171</v>
      </c>
      <c r="AI25" s="11">
        <f>'QTR P&amp;L'!AL2*'BS DRIVERS'!AI22</f>
        <v>211534.1314196907</v>
      </c>
      <c r="AJ25" s="11">
        <f>'QTR P&amp;L'!AM2*'BS DRIVERS'!AJ22</f>
        <v>240851.87933338698</v>
      </c>
      <c r="AK25" s="11">
        <f>'QTR P&amp;L'!AN2*'BS DRIVERS'!AK22</f>
        <v>250609.63394375326</v>
      </c>
      <c r="AL25" s="11">
        <f>'QTR P&amp;L'!AO2*'BS DRIVERS'!AL22</f>
        <v>243071.63505499749</v>
      </c>
      <c r="AM25" s="11">
        <f>'QTR P&amp;L'!AP2*'BS DRIVERS'!AM22</f>
        <v>248774.9699727137</v>
      </c>
      <c r="AN25" s="11">
        <f>'QTR P&amp;L'!AQ2*'BS DRIVERS'!AN22</f>
        <v>283254.14270927222</v>
      </c>
      <c r="AO25" s="11">
        <f>'QTR P&amp;L'!AR2*'BS DRIVERS'!AO22</f>
        <v>294729.76176849048</v>
      </c>
      <c r="AP25" s="11">
        <f>'QTR P&amp;L'!AS2*'BS DRIVERS'!AP22</f>
        <v>285864.68909856764</v>
      </c>
    </row>
    <row r="26" spans="1:42" x14ac:dyDescent="0.25">
      <c r="A26" s="3" t="s">
        <v>56</v>
      </c>
      <c r="B26" s="4">
        <f>'BALANCE SHEET'!B25</f>
        <v>0</v>
      </c>
      <c r="C26" s="4">
        <f>'YTD BS'!C26</f>
        <v>0</v>
      </c>
      <c r="D26" s="4">
        <f>'YTD BS'!D26</f>
        <v>0</v>
      </c>
      <c r="E26" s="4">
        <f>'YTD BS'!E26</f>
        <v>0</v>
      </c>
      <c r="F26" s="4">
        <f>'BALANCE SHEET'!C25</f>
        <v>0</v>
      </c>
      <c r="G26" s="4">
        <f>'YTD BS'!G26</f>
        <v>0</v>
      </c>
      <c r="H26" s="4">
        <f>'YTD BS'!H26</f>
        <v>0</v>
      </c>
      <c r="I26" s="4">
        <f>'YTD BS'!I26</f>
        <v>0</v>
      </c>
      <c r="J26" s="4">
        <f>'BALANCE SHEET'!D25</f>
        <v>0</v>
      </c>
      <c r="K26" s="4">
        <f>'YTD BS'!K26</f>
        <v>0</v>
      </c>
      <c r="L26" s="4">
        <f>'YTD BS'!L26</f>
        <v>0</v>
      </c>
      <c r="M26" s="4">
        <f>'YTD BS'!M26</f>
        <v>0</v>
      </c>
      <c r="N26" s="4">
        <f>'BALANCE SHEET'!E25</f>
        <v>0</v>
      </c>
      <c r="O26" s="4">
        <f>'YTD BS'!O26</f>
        <v>0</v>
      </c>
      <c r="P26" s="4">
        <f>'YTD BS'!P26</f>
        <v>748740</v>
      </c>
      <c r="Q26" s="4">
        <f>'YTD BS'!Q26</f>
        <v>748842</v>
      </c>
      <c r="R26" s="4">
        <f>'BALANCE SHEET'!F25</f>
        <v>373951</v>
      </c>
      <c r="S26" s="4">
        <f>'YTD BS'!S26</f>
        <v>199059</v>
      </c>
      <c r="T26" s="4">
        <f>'YTD BS'!T26</f>
        <v>0</v>
      </c>
      <c r="U26" s="4">
        <f>'YTD BS'!U26</f>
        <v>0</v>
      </c>
      <c r="V26" s="4">
        <f>'BALANCE SHEET'!G25</f>
        <v>0</v>
      </c>
      <c r="W26" s="11">
        <f>'BS DRIVERS'!W23</f>
        <v>0</v>
      </c>
      <c r="X26" s="11">
        <f>'BS DRIVERS'!X23</f>
        <v>0</v>
      </c>
      <c r="Y26" s="11">
        <f>'BS DRIVERS'!Y23</f>
        <v>0</v>
      </c>
      <c r="Z26" s="11">
        <f>'BS DRIVERS'!Z23</f>
        <v>0</v>
      </c>
      <c r="AA26" s="11">
        <f>'BS DRIVERS'!AA23</f>
        <v>0</v>
      </c>
      <c r="AB26" s="11">
        <f>'BS DRIVERS'!AB23</f>
        <v>0</v>
      </c>
      <c r="AC26" s="11">
        <f>'BS DRIVERS'!AC23</f>
        <v>0</v>
      </c>
      <c r="AD26" s="11">
        <f>'BS DRIVERS'!AD23</f>
        <v>0</v>
      </c>
      <c r="AE26" s="11">
        <f>'BS DRIVERS'!AE23</f>
        <v>0</v>
      </c>
      <c r="AF26" s="11">
        <f>'BS DRIVERS'!AF23</f>
        <v>0</v>
      </c>
      <c r="AG26" s="11">
        <f>'BS DRIVERS'!AG23</f>
        <v>0</v>
      </c>
      <c r="AH26" s="11">
        <f>'BS DRIVERS'!AH23</f>
        <v>0</v>
      </c>
      <c r="AI26" s="11">
        <f>'BS DRIVERS'!AI23</f>
        <v>0</v>
      </c>
      <c r="AJ26" s="11">
        <f>'BS DRIVERS'!AJ23</f>
        <v>0</v>
      </c>
      <c r="AK26" s="11">
        <f>'BS DRIVERS'!AK23</f>
        <v>0</v>
      </c>
      <c r="AL26" s="11">
        <f>'BS DRIVERS'!AL23</f>
        <v>0</v>
      </c>
      <c r="AM26" s="11">
        <f>'BS DRIVERS'!AM23</f>
        <v>0</v>
      </c>
      <c r="AN26" s="11">
        <f>'BS DRIVERS'!AN23</f>
        <v>0</v>
      </c>
      <c r="AO26" s="11">
        <f>'BS DRIVERS'!AO23</f>
        <v>0</v>
      </c>
      <c r="AP26" s="11">
        <f>'BS DRIVERS'!AP23</f>
        <v>0</v>
      </c>
    </row>
    <row r="27" spans="1:42" x14ac:dyDescent="0.25">
      <c r="A27" s="3" t="s">
        <v>57</v>
      </c>
      <c r="B27" s="6">
        <f>'BALANCE SHEET'!B26</f>
        <v>1041856</v>
      </c>
      <c r="C27" s="6">
        <f>'YTD BS'!C27</f>
        <v>1074929</v>
      </c>
      <c r="D27" s="6">
        <f>'YTD BS'!D27</f>
        <v>1166045</v>
      </c>
      <c r="E27" s="6">
        <f>'YTD BS'!E27</f>
        <v>1204411</v>
      </c>
      <c r="F27" s="6">
        <f>'BALANCE SHEET'!C26</f>
        <v>1237833</v>
      </c>
      <c r="G27" s="6">
        <f>'YTD BS'!G27</f>
        <v>1320787</v>
      </c>
      <c r="H27" s="6">
        <f>'YTD BS'!H27</f>
        <v>1365834</v>
      </c>
      <c r="I27" s="6">
        <f>'YTD BS'!I27</f>
        <v>1389045</v>
      </c>
      <c r="J27" s="6">
        <f>'BALANCE SHEET'!D26</f>
        <v>1268064</v>
      </c>
      <c r="K27" s="6">
        <f>'YTD BS'!K27</f>
        <v>1449002</v>
      </c>
      <c r="L27" s="6">
        <f>'YTD BS'!L27</f>
        <v>1421874</v>
      </c>
      <c r="M27" s="6">
        <f>'YTD BS'!M27</f>
        <v>1441189</v>
      </c>
      <c r="N27" s="6">
        <f>'BALANCE SHEET'!E26</f>
        <v>1457778</v>
      </c>
      <c r="O27" s="6">
        <f>'YTD BS'!O27</f>
        <v>1520277</v>
      </c>
      <c r="P27" s="6">
        <f>'YTD BS'!P27</f>
        <v>2194581</v>
      </c>
      <c r="Q27" s="6">
        <f>'YTD BS'!Q27</f>
        <v>2273901</v>
      </c>
      <c r="R27" s="6">
        <f>'BALANCE SHEET'!F26</f>
        <v>1761371</v>
      </c>
      <c r="S27" s="6">
        <f>'YTD BS'!S27</f>
        <v>1707589</v>
      </c>
      <c r="T27" s="6">
        <f>'YTD BS'!T27</f>
        <v>1538584</v>
      </c>
      <c r="U27" s="6">
        <f>'YTD BS'!U27</f>
        <v>1866113</v>
      </c>
      <c r="V27" s="6">
        <f>'BALANCE SHEET'!G26</f>
        <v>1734837</v>
      </c>
      <c r="W27" s="7">
        <f t="shared" ref="W27:AP27" si="3">W22+SUM(W23:W26)</f>
        <v>1775542.5164474756</v>
      </c>
      <c r="X27" s="7">
        <f t="shared" si="3"/>
        <v>2021625.3001471821</v>
      </c>
      <c r="Y27" s="7">
        <f t="shared" si="3"/>
        <v>2103528.4335067472</v>
      </c>
      <c r="Z27" s="7">
        <f t="shared" si="3"/>
        <v>2040257.1428356199</v>
      </c>
      <c r="AA27" s="7">
        <f t="shared" si="3"/>
        <v>2088128.9144687909</v>
      </c>
      <c r="AB27" s="7">
        <f t="shared" si="3"/>
        <v>2377534.8685568115</v>
      </c>
      <c r="AC27" s="7">
        <f t="shared" si="3"/>
        <v>2473857.1471671192</v>
      </c>
      <c r="AD27" s="7">
        <f t="shared" si="3"/>
        <v>2399446.8695858847</v>
      </c>
      <c r="AE27" s="7">
        <f t="shared" si="3"/>
        <v>2455746.5242593628</v>
      </c>
      <c r="AF27" s="7">
        <f t="shared" si="3"/>
        <v>2796102.7450496978</v>
      </c>
      <c r="AG27" s="7">
        <f t="shared" si="3"/>
        <v>2909382.6767948028</v>
      </c>
      <c r="AH27" s="7">
        <f t="shared" si="3"/>
        <v>2821872.3802450434</v>
      </c>
      <c r="AI27" s="7">
        <f t="shared" si="3"/>
        <v>2888083.6569164209</v>
      </c>
      <c r="AJ27" s="7">
        <f t="shared" si="3"/>
        <v>3288360.0002132365</v>
      </c>
      <c r="AK27" s="7">
        <f t="shared" si="3"/>
        <v>3421583.0003468986</v>
      </c>
      <c r="AL27" s="7">
        <f t="shared" si="3"/>
        <v>3318666.410714956</v>
      </c>
      <c r="AM27" s="7">
        <f t="shared" si="3"/>
        <v>3396534.2623719377</v>
      </c>
      <c r="AN27" s="7">
        <f t="shared" si="3"/>
        <v>3867279.7378946827</v>
      </c>
      <c r="AO27" s="7">
        <f t="shared" si="3"/>
        <v>4023956.8076209421</v>
      </c>
      <c r="AP27" s="7">
        <f t="shared" si="3"/>
        <v>3902921.6284583742</v>
      </c>
    </row>
    <row r="28" spans="1:42" x14ac:dyDescent="0.25">
      <c r="A28" s="3" t="s">
        <v>58</v>
      </c>
      <c r="B28" s="4">
        <f>'BALANCE SHEET'!B27</f>
        <v>3193</v>
      </c>
      <c r="C28" s="4">
        <f>'YTD BS'!C28</f>
        <v>3196</v>
      </c>
      <c r="D28" s="4">
        <f>'YTD BS'!D28</f>
        <v>3198</v>
      </c>
      <c r="E28" s="4">
        <f>'YTD BS'!E28</f>
        <v>3199</v>
      </c>
      <c r="F28" s="4">
        <f>'BALANCE SHEET'!C27</f>
        <v>3200</v>
      </c>
      <c r="G28" s="4">
        <f>'YTD BS'!G28</f>
        <v>3203</v>
      </c>
      <c r="H28" s="4">
        <f>'YTD BS'!H28</f>
        <v>3205</v>
      </c>
      <c r="I28" s="4">
        <f>'YTD BS'!I28</f>
        <v>3206</v>
      </c>
      <c r="J28" s="4">
        <f>'BALANCE SHEET'!D27</f>
        <v>3209</v>
      </c>
      <c r="K28" s="4">
        <f>'YTD BS'!K28</f>
        <v>5587</v>
      </c>
      <c r="L28" s="4">
        <f>'YTD BS'!L28</f>
        <v>5591</v>
      </c>
      <c r="M28" s="4">
        <f>'YTD BS'!M28</f>
        <v>5592</v>
      </c>
      <c r="N28" s="4">
        <f>'BALANCE SHEET'!E27</f>
        <v>5613</v>
      </c>
      <c r="O28" s="4">
        <f>'YTD BS'!O28</f>
        <v>5624</v>
      </c>
      <c r="P28" s="4">
        <f>'YTD BS'!P28</f>
        <v>5627</v>
      </c>
      <c r="Q28" s="4">
        <f>'YTD BS'!Q28</f>
        <v>5628</v>
      </c>
      <c r="R28" s="4">
        <f>'BALANCE SHEET'!F27</f>
        <v>5632</v>
      </c>
      <c r="S28" s="4">
        <f>'YTD BS'!S28</f>
        <v>5643</v>
      </c>
      <c r="T28" s="4">
        <f>'YTD BS'!T28</f>
        <v>5650</v>
      </c>
      <c r="U28" s="4">
        <f>'YTD BS'!U28</f>
        <v>5655</v>
      </c>
      <c r="V28" s="4">
        <f>'BALANCE SHEET'!G27</f>
        <v>5665</v>
      </c>
      <c r="W28" s="11">
        <f>'BS DRIVERS'!W24</f>
        <v>5665</v>
      </c>
      <c r="X28" s="11">
        <f>'BS DRIVERS'!X24</f>
        <v>5665</v>
      </c>
      <c r="Y28" s="11">
        <f>'BS DRIVERS'!Y24</f>
        <v>5665</v>
      </c>
      <c r="Z28" s="11">
        <f>'BS DRIVERS'!Z24</f>
        <v>5665</v>
      </c>
      <c r="AA28" s="11">
        <f>'BS DRIVERS'!AA24</f>
        <v>5665</v>
      </c>
      <c r="AB28" s="11">
        <f>'BS DRIVERS'!AB24</f>
        <v>5665</v>
      </c>
      <c r="AC28" s="11">
        <f>'BS DRIVERS'!AC24</f>
        <v>5665</v>
      </c>
      <c r="AD28" s="11">
        <f>'BS DRIVERS'!AD24</f>
        <v>5665</v>
      </c>
      <c r="AE28" s="11">
        <f>'BS DRIVERS'!AE24</f>
        <v>5665</v>
      </c>
      <c r="AF28" s="11">
        <f>'BS DRIVERS'!AF24</f>
        <v>5665</v>
      </c>
      <c r="AG28" s="11">
        <f>'BS DRIVERS'!AG24</f>
        <v>5665</v>
      </c>
      <c r="AH28" s="11">
        <f>'BS DRIVERS'!AH24</f>
        <v>5665</v>
      </c>
      <c r="AI28" s="11">
        <f>'BS DRIVERS'!AI24</f>
        <v>5665</v>
      </c>
      <c r="AJ28" s="11">
        <f>'BS DRIVERS'!AJ24</f>
        <v>5665</v>
      </c>
      <c r="AK28" s="11">
        <f>'BS DRIVERS'!AK24</f>
        <v>5665</v>
      </c>
      <c r="AL28" s="11">
        <f>'BS DRIVERS'!AL24</f>
        <v>5665</v>
      </c>
      <c r="AM28" s="11">
        <f>'BS DRIVERS'!AM24</f>
        <v>5665</v>
      </c>
      <c r="AN28" s="11">
        <f>'BS DRIVERS'!AN24</f>
        <v>5665</v>
      </c>
      <c r="AO28" s="11">
        <f>'BS DRIVERS'!AO24</f>
        <v>5665</v>
      </c>
      <c r="AP28" s="11">
        <f>'BS DRIVERS'!AP24</f>
        <v>5665</v>
      </c>
    </row>
    <row r="29" spans="1:42" x14ac:dyDescent="0.25">
      <c r="A29" s="3" t="s">
        <v>59</v>
      </c>
      <c r="B29" s="4">
        <f>'BALANCE SHEET'!B28</f>
        <v>4537982</v>
      </c>
      <c r="C29" s="4">
        <f>'YTD BS'!C29</f>
        <v>4562689</v>
      </c>
      <c r="D29" s="4">
        <f>'YTD BS'!D29</f>
        <v>4597333</v>
      </c>
      <c r="E29" s="4">
        <f>'YTD BS'!E29</f>
        <v>4626299</v>
      </c>
      <c r="F29" s="4">
        <f>'BALANCE SHEET'!C28</f>
        <v>4652620</v>
      </c>
      <c r="G29" s="4">
        <f>'YTD BS'!G29</f>
        <v>4673302</v>
      </c>
      <c r="H29" s="4">
        <f>'YTD BS'!H29</f>
        <v>4707569</v>
      </c>
      <c r="I29" s="4">
        <f>'YTD BS'!I29</f>
        <v>4736141</v>
      </c>
      <c r="J29" s="4">
        <f>'BALANCE SHEET'!D28</f>
        <v>4780013</v>
      </c>
      <c r="K29" s="4">
        <f>'YTD BS'!K29</f>
        <v>4829301</v>
      </c>
      <c r="L29" s="4">
        <f>'YTD BS'!L29</f>
        <v>4869791</v>
      </c>
      <c r="M29" s="4">
        <f>'YTD BS'!M29</f>
        <v>4893289</v>
      </c>
      <c r="N29" s="4">
        <f>'BALANCE SHEET'!E28</f>
        <v>4975115</v>
      </c>
      <c r="O29" s="4">
        <f>'YTD BS'!O29</f>
        <v>5034948</v>
      </c>
      <c r="P29" s="4">
        <f>'YTD BS'!P29</f>
        <v>5068291</v>
      </c>
      <c r="Q29" s="4">
        <f>'YTD BS'!Q29</f>
        <v>5105957</v>
      </c>
      <c r="R29" s="4">
        <f>'BALANCE SHEET'!F28</f>
        <v>5144922</v>
      </c>
      <c r="S29" s="4">
        <f>'YTD BS'!S29</f>
        <v>5213731</v>
      </c>
      <c r="T29" s="4">
        <f>'YTD BS'!T29</f>
        <v>5285157</v>
      </c>
      <c r="U29" s="4">
        <f>'YTD BS'!U29</f>
        <v>5343915</v>
      </c>
      <c r="V29" s="4">
        <f>'BALANCE SHEET'!G28</f>
        <v>5430847</v>
      </c>
      <c r="W29" s="11">
        <f>'BS DRIVERS'!W25</f>
        <v>5470785.6199506521</v>
      </c>
      <c r="X29" s="11">
        <f>'BS DRIVERS'!X25</f>
        <v>5516259.5659684297</v>
      </c>
      <c r="Y29" s="11">
        <f>'BS DRIVERS'!Y25</f>
        <v>5563575.8210752402</v>
      </c>
      <c r="Z29" s="11">
        <f>'BS DRIVERS'!Z25</f>
        <v>5609468.8672143724</v>
      </c>
      <c r="AA29" s="11">
        <f>'BS DRIVERS'!AA25</f>
        <v>5656438.7292990042</v>
      </c>
      <c r="AB29" s="11">
        <f>'BS DRIVERS'!AB25</f>
        <v>5709918.4182701828</v>
      </c>
      <c r="AC29" s="11">
        <f>'BS DRIVERS'!AC25</f>
        <v>5765564.757063915</v>
      </c>
      <c r="AD29" s="11">
        <f>'BS DRIVERS'!AD25</f>
        <v>5819537.3292374676</v>
      </c>
      <c r="AE29" s="11">
        <f>'BS DRIVERS'!AE25</f>
        <v>5874776.2921003606</v>
      </c>
      <c r="AF29" s="11">
        <f>'BS DRIVERS'!AF25</f>
        <v>5937671.1447119173</v>
      </c>
      <c r="AG29" s="11">
        <f>'BS DRIVERS'!AG25</f>
        <v>6003114.0884562368</v>
      </c>
      <c r="AH29" s="11">
        <f>'BS DRIVERS'!AH25</f>
        <v>6066588.5969514456</v>
      </c>
      <c r="AI29" s="11">
        <f>'BS DRIVERS'!AI25</f>
        <v>6131552.4457417643</v>
      </c>
      <c r="AJ29" s="11">
        <f>'BS DRIVERS'!AJ25</f>
        <v>6205520.0128897559</v>
      </c>
      <c r="AK29" s="11">
        <f>'BS DRIVERS'!AK25</f>
        <v>6282484.2656826908</v>
      </c>
      <c r="AL29" s="11">
        <f>'BS DRIVERS'!AL25</f>
        <v>6357133.5378306387</v>
      </c>
      <c r="AM29" s="11">
        <f>'BS DRIVERS'!AM25</f>
        <v>6433534.3504260238</v>
      </c>
      <c r="AN29" s="11">
        <f>'BS DRIVERS'!AN25</f>
        <v>6520523.996837683</v>
      </c>
      <c r="AO29" s="11">
        <f>'BS DRIVERS'!AO25</f>
        <v>6611037.8990105046</v>
      </c>
      <c r="AP29" s="11">
        <f>'BS DRIVERS'!AP25</f>
        <v>6698829.26540823</v>
      </c>
    </row>
    <row r="30" spans="1:42" x14ac:dyDescent="0.25">
      <c r="A30" s="3" t="s">
        <v>60</v>
      </c>
      <c r="B30" s="4">
        <f>'BALANCE SHEET'!B29</f>
        <v>6432074</v>
      </c>
      <c r="C30" s="4">
        <f>'YTD BS'!C30</f>
        <v>6747268</v>
      </c>
      <c r="D30" s="4">
        <f>'YTD BS'!D30</f>
        <v>7151030</v>
      </c>
      <c r="E30" s="4">
        <f>'YTD BS'!E30</f>
        <v>7488235</v>
      </c>
      <c r="F30" s="4">
        <f>'BALANCE SHEET'!C29</f>
        <v>7809549</v>
      </c>
      <c r="G30" s="4">
        <f>'YTD BS'!G30</f>
        <v>8103752</v>
      </c>
      <c r="H30" s="4">
        <f>'YTD BS'!H30</f>
        <v>8377112</v>
      </c>
      <c r="I30" s="4">
        <f>'YTD BS'!I30</f>
        <v>8699499</v>
      </c>
      <c r="J30" s="4">
        <f>'BALANCE SHEET'!D29</f>
        <v>9001173</v>
      </c>
      <c r="K30" s="4">
        <f>'YTD BS'!K30</f>
        <v>4706192</v>
      </c>
      <c r="L30" s="4">
        <f>'YTD BS'!L30</f>
        <v>5120063</v>
      </c>
      <c r="M30" s="4">
        <f>'YTD BS'!M30</f>
        <v>5572757</v>
      </c>
      <c r="N30" s="4">
        <f>'BALANCE SHEET'!E29</f>
        <v>5939736</v>
      </c>
      <c r="O30" s="4">
        <f>'YTD BS'!O30</f>
        <v>6381785</v>
      </c>
      <c r="P30" s="4">
        <f>'YTD BS'!P30</f>
        <v>6807154</v>
      </c>
      <c r="Q30" s="4">
        <f>'YTD BS'!Q30</f>
        <v>7178073</v>
      </c>
      <c r="R30" s="4">
        <f>'BALANCE SHEET'!F29</f>
        <v>7448784</v>
      </c>
      <c r="S30" s="4">
        <f>'YTD BS'!S30</f>
        <v>7891777</v>
      </c>
      <c r="T30" s="4">
        <f>'YTD BS'!T30</f>
        <v>8380571</v>
      </c>
      <c r="U30" s="4">
        <f>'YTD BS'!U30</f>
        <v>8905026</v>
      </c>
      <c r="V30" s="4">
        <f>'BALANCE SHEET'!G29</f>
        <v>9354216</v>
      </c>
      <c r="W30" s="11">
        <f>'BS DRIVERS'!W26</f>
        <v>9813469.8453200813</v>
      </c>
      <c r="X30" s="11">
        <f>'BS DRIVERS'!X26</f>
        <v>10333564.070206027</v>
      </c>
      <c r="Y30" s="11">
        <f>'BS DRIVERS'!Y26</f>
        <v>10873907.650395554</v>
      </c>
      <c r="Z30" s="11">
        <f>'BS DRIVERS'!Z26</f>
        <v>11398608.3266721</v>
      </c>
      <c r="AA30" s="11">
        <f>'BS DRIVERS'!AA26</f>
        <v>11935144.600355599</v>
      </c>
      <c r="AB30" s="11">
        <f>'BS DRIVERS'!AB26</f>
        <v>12543232.275687832</v>
      </c>
      <c r="AC30" s="11">
        <f>'BS DRIVERS'!AC26</f>
        <v>13175134.229707889</v>
      </c>
      <c r="AD30" s="11">
        <f>'BS DRIVERS'!AD26</f>
        <v>13788639.327744847</v>
      </c>
      <c r="AE30" s="11">
        <f>'BS DRIVERS'!AE26</f>
        <v>14416063.694363965</v>
      </c>
      <c r="AF30" s="11">
        <f>'BS DRIVERS'!AF26</f>
        <v>15127636.173049938</v>
      </c>
      <c r="AG30" s="11">
        <f>'BS DRIVERS'!AG26</f>
        <v>15867215.462862438</v>
      </c>
      <c r="AH30" s="11">
        <f>'BS DRIVERS'!AH26</f>
        <v>16585159.108043633</v>
      </c>
      <c r="AI30" s="11">
        <f>'BS DRIVERS'!AI26</f>
        <v>17319472.525801618</v>
      </c>
      <c r="AJ30" s="11">
        <f>'BS DRIVERS'!AJ26</f>
        <v>18152748.432081889</v>
      </c>
      <c r="AK30" s="11">
        <f>'BS DRIVERS'!AK26</f>
        <v>19018961.782311615</v>
      </c>
      <c r="AL30" s="11">
        <f>'BS DRIVERS'!AL26</f>
        <v>19859730.506620366</v>
      </c>
      <c r="AM30" s="11">
        <f>'BS DRIVERS'!AM26</f>
        <v>20719750.921679534</v>
      </c>
      <c r="AN30" s="11">
        <f>'BS DRIVERS'!AN26</f>
        <v>21696156.290529974</v>
      </c>
      <c r="AO30" s="11">
        <f>'BS DRIVERS'!AO26</f>
        <v>22711297.779998444</v>
      </c>
      <c r="AP30" s="11">
        <f>'BS DRIVERS'!AP26</f>
        <v>23696515.086513672</v>
      </c>
    </row>
    <row r="31" spans="1:42" x14ac:dyDescent="0.25">
      <c r="A31" s="3" t="s">
        <v>61</v>
      </c>
      <c r="B31" s="4">
        <f>'BALANCE SHEET'!B30</f>
        <v>3034</v>
      </c>
      <c r="C31" s="4">
        <f>'YTD BS'!C31</f>
        <v>-24874</v>
      </c>
      <c r="D31" s="4">
        <f>'YTD BS'!D31</f>
        <v>-16822</v>
      </c>
      <c r="E31" s="4">
        <f>'YTD BS'!E31</f>
        <v>-43495</v>
      </c>
      <c r="F31" s="4">
        <f>'BALANCE SHEET'!C30</f>
        <v>-69165</v>
      </c>
      <c r="G31" s="4">
        <f>'YTD BS'!G31</f>
        <v>-72145</v>
      </c>
      <c r="H31" s="4">
        <f>'YTD BS'!H31</f>
        <v>-152957</v>
      </c>
      <c r="I31" s="4">
        <f>'YTD BS'!I31</f>
        <v>-224455</v>
      </c>
      <c r="J31" s="4">
        <f>'BALANCE SHEET'!D30</f>
        <v>-159073</v>
      </c>
      <c r="K31" s="4">
        <f>'YTD BS'!K31</f>
        <v>-147911</v>
      </c>
      <c r="L31" s="4">
        <f>'YTD BS'!L31</f>
        <v>-155725</v>
      </c>
      <c r="M31" s="4">
        <f>'YTD BS'!M31</f>
        <v>-198033</v>
      </c>
      <c r="N31" s="4">
        <f>'BALANCE SHEET'!E30</f>
        <v>-125337</v>
      </c>
      <c r="O31" s="4">
        <f>'YTD BS'!O31</f>
        <v>-157940</v>
      </c>
      <c r="P31" s="4">
        <f>'YTD BS'!P31</f>
        <v>-182304</v>
      </c>
      <c r="Q31" s="4">
        <f>'YTD BS'!Q31</f>
        <v>-137842</v>
      </c>
      <c r="R31" s="4">
        <f>'BALANCE SHEET'!F30</f>
        <v>-269487</v>
      </c>
      <c r="S31" s="4">
        <f>'YTD BS'!S31</f>
        <v>-202946</v>
      </c>
      <c r="T31" s="4">
        <f>'YTD BS'!T31</f>
        <v>-91308</v>
      </c>
      <c r="U31" s="4">
        <f>'YTD BS'!U31</f>
        <v>-93382</v>
      </c>
      <c r="V31" s="4">
        <f>'BALANCE SHEET'!G30</f>
        <v>-60841</v>
      </c>
      <c r="W31" s="11">
        <f>'BS DRIVERS'!W27</f>
        <v>-35727</v>
      </c>
      <c r="X31" s="11">
        <f>'BS DRIVERS'!X27</f>
        <v>-10613</v>
      </c>
      <c r="Y31" s="11">
        <f>'BS DRIVERS'!Y27</f>
        <v>14501</v>
      </c>
      <c r="Z31" s="11">
        <f>'BS DRIVERS'!Z27</f>
        <v>39615</v>
      </c>
      <c r="AA31" s="11">
        <f>'BS DRIVERS'!AA27</f>
        <v>64729</v>
      </c>
      <c r="AB31" s="11">
        <f>'BS DRIVERS'!AB27</f>
        <v>89843</v>
      </c>
      <c r="AC31" s="11">
        <f>'BS DRIVERS'!AC27</f>
        <v>114957</v>
      </c>
      <c r="AD31" s="11">
        <f>'BS DRIVERS'!AD27</f>
        <v>140071</v>
      </c>
      <c r="AE31" s="11">
        <f>'BS DRIVERS'!AE27</f>
        <v>165185</v>
      </c>
      <c r="AF31" s="11">
        <f>'BS DRIVERS'!AF27</f>
        <v>190299</v>
      </c>
      <c r="AG31" s="11">
        <f>'BS DRIVERS'!AG27</f>
        <v>215413</v>
      </c>
      <c r="AH31" s="11">
        <f>'BS DRIVERS'!AH27</f>
        <v>240527</v>
      </c>
      <c r="AI31" s="11">
        <f>'BS DRIVERS'!AI27</f>
        <v>265641</v>
      </c>
      <c r="AJ31" s="11">
        <f>'BS DRIVERS'!AJ27</f>
        <v>290755</v>
      </c>
      <c r="AK31" s="11">
        <f>'BS DRIVERS'!AK27</f>
        <v>315869</v>
      </c>
      <c r="AL31" s="11">
        <f>'BS DRIVERS'!AL27</f>
        <v>340983</v>
      </c>
      <c r="AM31" s="11">
        <f>'BS DRIVERS'!AM27</f>
        <v>366097</v>
      </c>
      <c r="AN31" s="11">
        <f>'BS DRIVERS'!AN27</f>
        <v>391211</v>
      </c>
      <c r="AO31" s="11">
        <f>'BS DRIVERS'!AO27</f>
        <v>416325</v>
      </c>
      <c r="AP31" s="11">
        <f>'BS DRIVERS'!AP27</f>
        <v>441439</v>
      </c>
    </row>
    <row r="32" spans="1:42" x14ac:dyDescent="0.25">
      <c r="A32" s="3" t="s">
        <v>62</v>
      </c>
      <c r="B32" s="4">
        <f>'BALANCE SHEET'!B31</f>
        <v>-5815423</v>
      </c>
      <c r="C32" s="4">
        <f>'YTD BS'!C32</f>
        <v>-5828842</v>
      </c>
      <c r="D32" s="4">
        <f>'YTD BS'!D32</f>
        <v>-5829241</v>
      </c>
      <c r="E32" s="4">
        <f>'YTD BS'!E32</f>
        <v>-5829241</v>
      </c>
      <c r="F32" s="4">
        <f>'BALANCE SHEET'!C31</f>
        <v>-5829253</v>
      </c>
      <c r="G32" s="4">
        <f>'YTD BS'!G32</f>
        <v>-5841440</v>
      </c>
      <c r="H32" s="4">
        <f>'YTD BS'!H32</f>
        <v>-6125751</v>
      </c>
      <c r="I32" s="4">
        <f>'YTD BS'!I32</f>
        <v>-6398631</v>
      </c>
      <c r="J32" s="4">
        <f>'BALANCE SHEET'!D31</f>
        <v>-6600281</v>
      </c>
      <c r="K32" s="4">
        <f>'YTD BS'!K32</f>
        <v>-1997809</v>
      </c>
      <c r="L32" s="4">
        <f>'YTD BS'!L32</f>
        <v>-1998256</v>
      </c>
      <c r="M32" s="4">
        <f>'YTD BS'!M32</f>
        <v>-2400456</v>
      </c>
      <c r="N32" s="4">
        <f>'BALANCE SHEET'!E31</f>
        <v>-2566383</v>
      </c>
      <c r="O32" s="4">
        <f>'YTD BS'!O32</f>
        <v>-2686628</v>
      </c>
      <c r="P32" s="4">
        <f>'YTD BS'!P32</f>
        <v>-5832445</v>
      </c>
      <c r="Q32" s="4">
        <f>'YTD BS'!Q32</f>
        <v>-6372416</v>
      </c>
      <c r="R32" s="4">
        <f>'BALANCE SHEET'!F31</f>
        <v>-6372133</v>
      </c>
      <c r="S32" s="4">
        <f>'YTD BS'!S32</f>
        <v>-6388766</v>
      </c>
      <c r="T32" s="4">
        <f>'YTD BS'!T32</f>
        <v>-6388766</v>
      </c>
      <c r="U32" s="4">
        <f>'YTD BS'!U32</f>
        <v>-6416054</v>
      </c>
      <c r="V32" s="4">
        <f>'BALANCE SHEET'!G31</f>
        <v>-6475779</v>
      </c>
      <c r="W32" s="11">
        <f>'BS DRIVERS'!W28</f>
        <v>-6475779</v>
      </c>
      <c r="X32" s="11">
        <f>'BS DRIVERS'!X28</f>
        <v>-6475779</v>
      </c>
      <c r="Y32" s="11">
        <f>'BS DRIVERS'!Y28</f>
        <v>-6475779</v>
      </c>
      <c r="Z32" s="11">
        <f>'BS DRIVERS'!Z28</f>
        <v>-6475779</v>
      </c>
      <c r="AA32" s="11">
        <f>'BS DRIVERS'!AA28</f>
        <v>-6475779</v>
      </c>
      <c r="AB32" s="11">
        <f>'BS DRIVERS'!AB28</f>
        <v>-6475779</v>
      </c>
      <c r="AC32" s="11">
        <f>'BS DRIVERS'!AC28</f>
        <v>-6475779</v>
      </c>
      <c r="AD32" s="11">
        <f>'BS DRIVERS'!AD28</f>
        <v>-6475779</v>
      </c>
      <c r="AE32" s="11">
        <f>'BS DRIVERS'!AE28</f>
        <v>-6475779</v>
      </c>
      <c r="AF32" s="11">
        <f>'BS DRIVERS'!AF28</f>
        <v>-6475779</v>
      </c>
      <c r="AG32" s="11">
        <f>'BS DRIVERS'!AG28</f>
        <v>-6475779</v>
      </c>
      <c r="AH32" s="11">
        <f>'BS DRIVERS'!AH28</f>
        <v>-6475779</v>
      </c>
      <c r="AI32" s="11">
        <f>'BS DRIVERS'!AI28</f>
        <v>-6475779</v>
      </c>
      <c r="AJ32" s="11">
        <f>'BS DRIVERS'!AJ28</f>
        <v>-6475779</v>
      </c>
      <c r="AK32" s="11">
        <f>'BS DRIVERS'!AK28</f>
        <v>-6475779</v>
      </c>
      <c r="AL32" s="11">
        <f>'BS DRIVERS'!AL28</f>
        <v>-6475779</v>
      </c>
      <c r="AM32" s="11">
        <f>'BS DRIVERS'!AM28</f>
        <v>-6475779</v>
      </c>
      <c r="AN32" s="11">
        <f>'BS DRIVERS'!AN28</f>
        <v>-6475779</v>
      </c>
      <c r="AO32" s="11">
        <f>'BS DRIVERS'!AO28</f>
        <v>-6475779</v>
      </c>
      <c r="AP32" s="11">
        <f>'BS DRIVERS'!AP28</f>
        <v>-6475779</v>
      </c>
    </row>
    <row r="33" spans="1:42" x14ac:dyDescent="0.25">
      <c r="A33" s="3" t="s">
        <v>63</v>
      </c>
      <c r="B33" s="6">
        <f>'BALANCE SHEET'!B32</f>
        <v>5160860</v>
      </c>
      <c r="C33" s="6">
        <f>'YTD BS'!C33</f>
        <v>5459437</v>
      </c>
      <c r="D33" s="6">
        <f>'YTD BS'!D33</f>
        <v>5905498</v>
      </c>
      <c r="E33" s="6">
        <f>'YTD BS'!E33</f>
        <v>6244997</v>
      </c>
      <c r="F33" s="6">
        <f>'BALANCE SHEET'!C32</f>
        <v>6566951</v>
      </c>
      <c r="G33" s="6">
        <f>'YTD BS'!G33</f>
        <v>6866672</v>
      </c>
      <c r="H33" s="6">
        <f>'YTD BS'!H33</f>
        <v>6809178</v>
      </c>
      <c r="I33" s="6">
        <f>'YTD BS'!I33</f>
        <v>6815760</v>
      </c>
      <c r="J33" s="6">
        <f>'BALANCE SHEET'!D32</f>
        <v>7025041</v>
      </c>
      <c r="K33" s="6">
        <f>'YTD BS'!K33</f>
        <v>7395360</v>
      </c>
      <c r="L33" s="6">
        <f>'YTD BS'!L33</f>
        <v>7841464</v>
      </c>
      <c r="M33" s="6">
        <f>'YTD BS'!M33</f>
        <v>7873149</v>
      </c>
      <c r="N33" s="6">
        <f>'BALANCE SHEET'!E32</f>
        <v>8228744</v>
      </c>
      <c r="O33" s="6">
        <f>'YTD BS'!O33</f>
        <v>8577789</v>
      </c>
      <c r="P33" s="6">
        <f>'YTD BS'!P33</f>
        <v>5866323</v>
      </c>
      <c r="Q33" s="6">
        <f>'YTD BS'!Q33</f>
        <v>5779400</v>
      </c>
      <c r="R33" s="6">
        <f>'BALANCE SHEET'!F32</f>
        <v>5957718</v>
      </c>
      <c r="S33" s="6">
        <f>'YTD BS'!S33</f>
        <v>6519439</v>
      </c>
      <c r="T33" s="6">
        <f>'YTD BS'!T33</f>
        <v>7191304</v>
      </c>
      <c r="U33" s="6">
        <f>'YTD BS'!U33</f>
        <v>7745160</v>
      </c>
      <c r="V33" s="6">
        <f>'BALANCE SHEET'!G32</f>
        <v>8254108</v>
      </c>
      <c r="W33" s="7">
        <f t="shared" ref="W33:AP33" si="4">SUM(W28:W32)</f>
        <v>8778414.4652707335</v>
      </c>
      <c r="X33" s="7">
        <f t="shared" si="4"/>
        <v>9369096.6361744571</v>
      </c>
      <c r="Y33" s="7">
        <f t="shared" si="4"/>
        <v>9981870.4714707937</v>
      </c>
      <c r="Z33" s="7">
        <f t="shared" si="4"/>
        <v>10577578.193886474</v>
      </c>
      <c r="AA33" s="7">
        <f t="shared" si="4"/>
        <v>11186198.329654604</v>
      </c>
      <c r="AB33" s="7">
        <f t="shared" si="4"/>
        <v>11872879.693958014</v>
      </c>
      <c r="AC33" s="7">
        <f t="shared" si="4"/>
        <v>12585541.986771803</v>
      </c>
      <c r="AD33" s="7">
        <f t="shared" si="4"/>
        <v>13278133.656982314</v>
      </c>
      <c r="AE33" s="7">
        <f t="shared" si="4"/>
        <v>13985910.986464325</v>
      </c>
      <c r="AF33" s="7">
        <f t="shared" si="4"/>
        <v>14785492.317761853</v>
      </c>
      <c r="AG33" s="7">
        <f t="shared" si="4"/>
        <v>15615628.551318675</v>
      </c>
      <c r="AH33" s="7">
        <f t="shared" si="4"/>
        <v>16422160.704995081</v>
      </c>
      <c r="AI33" s="7">
        <f t="shared" si="4"/>
        <v>17246551.971543383</v>
      </c>
      <c r="AJ33" s="7">
        <f t="shared" si="4"/>
        <v>18178909.444971643</v>
      </c>
      <c r="AK33" s="7">
        <f t="shared" si="4"/>
        <v>19147201.047994304</v>
      </c>
      <c r="AL33" s="7">
        <f t="shared" si="4"/>
        <v>20087733.044451006</v>
      </c>
      <c r="AM33" s="7">
        <f t="shared" si="4"/>
        <v>21049268.27210556</v>
      </c>
      <c r="AN33" s="7">
        <f t="shared" si="4"/>
        <v>22137777.287367657</v>
      </c>
      <c r="AO33" s="7">
        <f t="shared" si="4"/>
        <v>23268546.67900895</v>
      </c>
      <c r="AP33" s="7">
        <f t="shared" si="4"/>
        <v>24366669.351921901</v>
      </c>
    </row>
    <row r="34" spans="1:42" x14ac:dyDescent="0.25">
      <c r="A34" s="3" t="s">
        <v>64</v>
      </c>
      <c r="B34" s="6">
        <f>'BALANCE SHEET'!B33</f>
        <v>6202716</v>
      </c>
      <c r="C34" s="6">
        <f>'YTD BS'!C34</f>
        <v>6534366</v>
      </c>
      <c r="D34" s="6">
        <f>'YTD BS'!D34</f>
        <v>7071543</v>
      </c>
      <c r="E34" s="6">
        <f>'YTD BS'!E34</f>
        <v>7449408</v>
      </c>
      <c r="F34" s="6">
        <f>'BALANCE SHEET'!C33</f>
        <v>7804784</v>
      </c>
      <c r="G34" s="6">
        <f>'YTD BS'!G34</f>
        <v>8187459</v>
      </c>
      <c r="H34" s="6">
        <f>'YTD BS'!H34</f>
        <v>8175012</v>
      </c>
      <c r="I34" s="6">
        <f>'YTD BS'!I34</f>
        <v>8204805</v>
      </c>
      <c r="J34" s="6">
        <f>'BALANCE SHEET'!D33</f>
        <v>8293105</v>
      </c>
      <c r="K34" s="6">
        <f>'YTD BS'!K34</f>
        <v>8844362</v>
      </c>
      <c r="L34" s="6">
        <f>'YTD BS'!L34</f>
        <v>9263338</v>
      </c>
      <c r="M34" s="6">
        <f>'YTD BS'!M34</f>
        <v>9314338</v>
      </c>
      <c r="N34" s="6">
        <f>'BALANCE SHEET'!E33</f>
        <v>9686522</v>
      </c>
      <c r="O34" s="6">
        <f>'YTD BS'!O34</f>
        <v>10098066</v>
      </c>
      <c r="P34" s="6">
        <f>'YTD BS'!P34</f>
        <v>8060904</v>
      </c>
      <c r="Q34" s="6">
        <f>'YTD BS'!Q34</f>
        <v>8053301</v>
      </c>
      <c r="R34" s="6">
        <f>'BALANCE SHEET'!F33</f>
        <v>7719089</v>
      </c>
      <c r="S34" s="6">
        <f>'YTD BS'!S34</f>
        <v>8227028</v>
      </c>
      <c r="T34" s="6">
        <f>'YTD BS'!T34</f>
        <v>8729888</v>
      </c>
      <c r="U34" s="6">
        <f>'YTD BS'!U34</f>
        <v>9611273</v>
      </c>
      <c r="V34" s="6">
        <f>'BALANCE SHEET'!G33</f>
        <v>9988945</v>
      </c>
      <c r="W34" s="7">
        <f t="shared" ref="W34:AP34" si="5">W27+W33</f>
        <v>10553956.981718209</v>
      </c>
      <c r="X34" s="7">
        <f t="shared" si="5"/>
        <v>11390721.936321639</v>
      </c>
      <c r="Y34" s="7">
        <f t="shared" si="5"/>
        <v>12085398.904977541</v>
      </c>
      <c r="Z34" s="7">
        <f t="shared" si="5"/>
        <v>12617835.336722095</v>
      </c>
      <c r="AA34" s="7">
        <f t="shared" si="5"/>
        <v>13274327.244123396</v>
      </c>
      <c r="AB34" s="7">
        <f t="shared" si="5"/>
        <v>14250414.562514827</v>
      </c>
      <c r="AC34" s="7">
        <f t="shared" si="5"/>
        <v>15059399.133938923</v>
      </c>
      <c r="AD34" s="7">
        <f t="shared" si="5"/>
        <v>15677580.526568199</v>
      </c>
      <c r="AE34" s="7">
        <f t="shared" si="5"/>
        <v>16441657.510723688</v>
      </c>
      <c r="AF34" s="7">
        <f t="shared" si="5"/>
        <v>17581595.06281155</v>
      </c>
      <c r="AG34" s="7">
        <f t="shared" si="5"/>
        <v>18525011.22811348</v>
      </c>
      <c r="AH34" s="7">
        <f t="shared" si="5"/>
        <v>19244033.085240126</v>
      </c>
      <c r="AI34" s="7">
        <f t="shared" si="5"/>
        <v>20134635.628459804</v>
      </c>
      <c r="AJ34" s="7">
        <f t="shared" si="5"/>
        <v>21467269.445184879</v>
      </c>
      <c r="AK34" s="7">
        <f t="shared" si="5"/>
        <v>22568784.048341203</v>
      </c>
      <c r="AL34" s="7">
        <f t="shared" si="5"/>
        <v>23406399.45516596</v>
      </c>
      <c r="AM34" s="7">
        <f t="shared" si="5"/>
        <v>24445802.534477498</v>
      </c>
      <c r="AN34" s="7">
        <f t="shared" si="5"/>
        <v>26005057.025262341</v>
      </c>
      <c r="AO34" s="7">
        <f t="shared" si="5"/>
        <v>27292503.486629892</v>
      </c>
      <c r="AP34" s="7">
        <f t="shared" si="5"/>
        <v>28269590.980380274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S4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45" width="13" customWidth="1"/>
  </cols>
  <sheetData>
    <row r="1" spans="1:45" x14ac:dyDescent="0.25">
      <c r="A1" s="1"/>
      <c r="B1" s="2" t="s">
        <v>97</v>
      </c>
      <c r="C1" s="2" t="s">
        <v>98</v>
      </c>
      <c r="D1" s="2" t="s">
        <v>99</v>
      </c>
      <c r="E1" s="2" t="s">
        <v>115</v>
      </c>
      <c r="F1" s="2" t="s">
        <v>100</v>
      </c>
      <c r="G1" s="2" t="s">
        <v>101</v>
      </c>
      <c r="H1" s="2" t="s">
        <v>102</v>
      </c>
      <c r="I1" s="2" t="s">
        <v>116</v>
      </c>
      <c r="J1" s="2" t="s">
        <v>103</v>
      </c>
      <c r="K1" s="2" t="s">
        <v>104</v>
      </c>
      <c r="L1" s="2" t="s">
        <v>105</v>
      </c>
      <c r="M1" s="2" t="s">
        <v>117</v>
      </c>
      <c r="N1" s="2" t="s">
        <v>106</v>
      </c>
      <c r="O1" s="2" t="s">
        <v>107</v>
      </c>
      <c r="P1" s="2" t="s">
        <v>108</v>
      </c>
      <c r="Q1" s="2" t="s">
        <v>118</v>
      </c>
      <c r="R1" s="2" t="s">
        <v>109</v>
      </c>
      <c r="S1" s="2" t="s">
        <v>110</v>
      </c>
      <c r="T1" s="2" t="s">
        <v>111</v>
      </c>
      <c r="U1" s="2" t="s">
        <v>119</v>
      </c>
      <c r="V1" s="2" t="s">
        <v>112</v>
      </c>
      <c r="W1" s="2" t="s">
        <v>113</v>
      </c>
      <c r="X1" s="2" t="s">
        <v>114</v>
      </c>
      <c r="Y1" s="2" t="s">
        <v>124</v>
      </c>
      <c r="Z1" s="2" t="s">
        <v>125</v>
      </c>
      <c r="AA1" s="2" t="s">
        <v>126</v>
      </c>
      <c r="AB1" s="2" t="s">
        <v>127</v>
      </c>
      <c r="AC1" s="2" t="s">
        <v>128</v>
      </c>
      <c r="AD1" s="2" t="s">
        <v>129</v>
      </c>
      <c r="AE1" s="2" t="s">
        <v>130</v>
      </c>
      <c r="AF1" s="2" t="s">
        <v>131</v>
      </c>
      <c r="AG1" s="2" t="s">
        <v>132</v>
      </c>
      <c r="AH1" s="2" t="s">
        <v>133</v>
      </c>
      <c r="AI1" s="2" t="s">
        <v>134</v>
      </c>
      <c r="AJ1" s="2" t="s">
        <v>135</v>
      </c>
      <c r="AK1" s="2" t="s">
        <v>136</v>
      </c>
      <c r="AL1" s="2" t="s">
        <v>137</v>
      </c>
      <c r="AM1" s="2" t="s">
        <v>138</v>
      </c>
      <c r="AN1" s="2" t="s">
        <v>139</v>
      </c>
      <c r="AO1" s="2" t="s">
        <v>140</v>
      </c>
      <c r="AP1" s="2" t="s">
        <v>141</v>
      </c>
      <c r="AQ1" s="2" t="s">
        <v>142</v>
      </c>
      <c r="AR1" s="2" t="s">
        <v>143</v>
      </c>
      <c r="AS1" s="2" t="s">
        <v>144</v>
      </c>
    </row>
    <row r="2" spans="1:45" x14ac:dyDescent="0.25">
      <c r="A2" s="3" t="s">
        <v>27</v>
      </c>
      <c r="B2" s="4">
        <f>'YTD CF'!B2</f>
        <v>278835</v>
      </c>
      <c r="C2" s="4">
        <f>'YTD CF'!C2-'YTD CF'!B2</f>
        <v>311369</v>
      </c>
      <c r="D2" s="4">
        <f>'YTD CF'!D2-'YTD CF'!C2</f>
        <v>347654</v>
      </c>
      <c r="E2" s="4">
        <f>'CASH FLOW'!C2-'YTD CF'!D2</f>
        <v>471736</v>
      </c>
      <c r="F2" s="4">
        <f>'YTD CF'!E2</f>
        <v>315194</v>
      </c>
      <c r="G2" s="4">
        <f>'YTD CF'!F2-'YTD CF'!E2</f>
        <v>403762</v>
      </c>
      <c r="H2" s="4">
        <f>'YTD CF'!G2-'YTD CF'!F2</f>
        <v>337205</v>
      </c>
      <c r="I2" s="4">
        <f>'CASH FLOW'!D2-'YTD CF'!G2</f>
        <v>321314</v>
      </c>
      <c r="J2" s="4">
        <f>'YTD CF'!H2</f>
        <v>294203</v>
      </c>
      <c r="K2" s="4">
        <f>'YTD CF'!I2-'YTD CF'!H2</f>
        <v>273360</v>
      </c>
      <c r="L2" s="4">
        <f>'YTD CF'!J2-'YTD CF'!I2</f>
        <v>322387</v>
      </c>
      <c r="M2" s="4">
        <f>'CASH FLOW'!E2-'YTD CF'!J2</f>
        <v>301674</v>
      </c>
      <c r="N2" s="4">
        <f>'YTD CF'!K2</f>
        <v>397444</v>
      </c>
      <c r="O2" s="4">
        <f>'YTD CF'!L2-'YTD CF'!K2</f>
        <v>413871</v>
      </c>
      <c r="P2" s="4">
        <f>'YTD CF'!M2-'YTD CF'!L2</f>
        <v>452694</v>
      </c>
      <c r="Q2" s="4">
        <f>'CASH FLOW'!F2-'YTD CF'!M2</f>
        <v>366979</v>
      </c>
      <c r="R2" s="4">
        <f>'YTD CF'!N2</f>
        <v>442049</v>
      </c>
      <c r="S2" s="4">
        <f>'YTD CF'!O2-'YTD CF'!N2</f>
        <v>425369</v>
      </c>
      <c r="T2" s="4">
        <f>'YTD CF'!P2-'YTD CF'!O2</f>
        <v>370919</v>
      </c>
      <c r="U2" s="4">
        <f>'CASH FLOW'!G2-'YTD CF'!P2</f>
        <v>270711</v>
      </c>
      <c r="V2" s="4">
        <f>'YTD CF'!Q2</f>
        <v>442993</v>
      </c>
      <c r="W2" s="4">
        <f>'YTD CF'!R2-'YTD CF'!Q2</f>
        <v>488794</v>
      </c>
      <c r="X2" s="4">
        <f>'YTD CF'!S2-'YTD CF'!R2</f>
        <v>524455</v>
      </c>
      <c r="Y2" s="4">
        <f>'CASH FLOW'!H2-'YTD CF'!S2</f>
        <v>449190</v>
      </c>
      <c r="Z2" s="11">
        <f>'CF DRIVERS'!Z2</f>
        <v>459253.84532008163</v>
      </c>
      <c r="AA2" s="11">
        <f>'CF DRIVERS'!AA2</f>
        <v>520094.22488594597</v>
      </c>
      <c r="AB2" s="11">
        <f>'CF DRIVERS'!AB2</f>
        <v>540343.58018952655</v>
      </c>
      <c r="AC2" s="11">
        <f>'CF DRIVERS'!AC2</f>
        <v>524700.67627654527</v>
      </c>
      <c r="AD2" s="11">
        <f>'CF DRIVERS'!AD2</f>
        <v>536536.27368350013</v>
      </c>
      <c r="AE2" s="11">
        <f>'CF DRIVERS'!AE2</f>
        <v>608087.67533223424</v>
      </c>
      <c r="AF2" s="11">
        <f>'CF DRIVERS'!AF2</f>
        <v>631901.95402005711</v>
      </c>
      <c r="AG2" s="11">
        <f>'CF DRIVERS'!AG2</f>
        <v>613505.09803695814</v>
      </c>
      <c r="AH2" s="11">
        <f>'CF DRIVERS'!AH2</f>
        <v>627424.36661911674</v>
      </c>
      <c r="AI2" s="11">
        <f>'CF DRIVERS'!AI2</f>
        <v>711572.47868597391</v>
      </c>
      <c r="AJ2" s="11">
        <f>'CF DRIVERS'!AJ2</f>
        <v>739579.28981249977</v>
      </c>
      <c r="AK2" s="11">
        <f>'CF DRIVERS'!AK2</f>
        <v>717943.64518119651</v>
      </c>
      <c r="AL2" s="11">
        <f>'CF DRIVERS'!AL2</f>
        <v>734313.41775798448</v>
      </c>
      <c r="AM2" s="11">
        <f>'CF DRIVERS'!AM2</f>
        <v>833275.90628027054</v>
      </c>
      <c r="AN2" s="11">
        <f>'CF DRIVERS'!AN2</f>
        <v>866213.35022972664</v>
      </c>
      <c r="AO2" s="11">
        <f>'CF DRIVERS'!AO2</f>
        <v>840768.72430875013</v>
      </c>
      <c r="AP2" s="11">
        <f>'CF DRIVERS'!AP2</f>
        <v>860020.41505916975</v>
      </c>
      <c r="AQ2" s="11">
        <f>'CF DRIVERS'!AQ2</f>
        <v>976405.36885043816</v>
      </c>
      <c r="AR2" s="11">
        <f>'CF DRIVERS'!AR2</f>
        <v>1015141.4894684708</v>
      </c>
      <c r="AS2" s="11">
        <f>'CF DRIVERS'!AS2</f>
        <v>985217.30651522917</v>
      </c>
    </row>
    <row r="3" spans="1:45" x14ac:dyDescent="0.25">
      <c r="A3" s="3" t="s">
        <v>65</v>
      </c>
      <c r="B3" s="4">
        <f>'YTD CF'!B3</f>
        <v>16546</v>
      </c>
      <c r="C3" s="4">
        <f>'YTD CF'!C3-'YTD CF'!B3</f>
        <v>15511</v>
      </c>
      <c r="D3" s="4">
        <f>'YTD CF'!D3-'YTD CF'!C3</f>
        <v>13822</v>
      </c>
      <c r="E3" s="4">
        <f>'CASH FLOW'!C3-'YTD CF'!D3</f>
        <v>11151</v>
      </c>
      <c r="F3" s="4">
        <f>'YTD CF'!E3</f>
        <v>13777</v>
      </c>
      <c r="G3" s="4">
        <f>'YTD CF'!F3-'YTD CF'!E3</f>
        <v>13712</v>
      </c>
      <c r="H3" s="4">
        <f>'YTD CF'!G3-'YTD CF'!F3</f>
        <v>13227</v>
      </c>
      <c r="I3" s="4">
        <f>'CASH FLOW'!D3-'YTD CF'!G3</f>
        <v>9439</v>
      </c>
      <c r="J3" s="4">
        <f>'YTD CF'!H3</f>
        <v>14599</v>
      </c>
      <c r="K3" s="4">
        <f>'YTD CF'!I3-'YTD CF'!H3</f>
        <v>15833</v>
      </c>
      <c r="L3" s="4">
        <f>'YTD CF'!J3-'YTD CF'!I3</f>
        <v>15608</v>
      </c>
      <c r="M3" s="4">
        <f>'CASH FLOW'!E3-'YTD CF'!J3</f>
        <v>15201</v>
      </c>
      <c r="N3" s="4">
        <f>'YTD CF'!K3</f>
        <v>16808</v>
      </c>
      <c r="O3" s="4">
        <f>'YTD CF'!L3-'YTD CF'!K3</f>
        <v>15576</v>
      </c>
      <c r="P3" s="4">
        <f>'YTD CF'!M3-'YTD CF'!L3</f>
        <v>17980</v>
      </c>
      <c r="Q3" s="4">
        <f>'CASH FLOW'!F3-'YTD CF'!M3</f>
        <v>18534</v>
      </c>
      <c r="R3" s="4">
        <f>'YTD CF'!N3</f>
        <v>20475</v>
      </c>
      <c r="S3" s="4">
        <f>'YTD CF'!O3-'YTD CF'!N3</f>
        <v>19438</v>
      </c>
      <c r="T3" s="4">
        <f>'YTD CF'!P3-'YTD CF'!O3</f>
        <v>19909</v>
      </c>
      <c r="U3" s="4">
        <f>'CASH FLOW'!G3-'YTD CF'!P3</f>
        <v>20612</v>
      </c>
      <c r="V3" s="4">
        <f>'YTD CF'!Q3</f>
        <v>24848</v>
      </c>
      <c r="W3" s="4">
        <f>'YTD CF'!R3-'YTD CF'!Q3</f>
        <v>27557</v>
      </c>
      <c r="X3" s="4">
        <f>'YTD CF'!S3-'YTD CF'!R3</f>
        <v>29618</v>
      </c>
      <c r="Y3" s="4">
        <f>'CASH FLOW'!H3-'YTD CF'!S3</f>
        <v>32418</v>
      </c>
      <c r="Z3" s="11">
        <f>'QTR P&amp;L'!Z2*'CF DRIVERS'!Z3</f>
        <v>33178.64289163435</v>
      </c>
      <c r="AA3" s="11">
        <f>'QTR P&amp;L'!AA2*'CF DRIVERS'!AA3</f>
        <v>37777.064346778025</v>
      </c>
      <c r="AB3" s="11">
        <f>'QTR P&amp;L'!AB2*'CF DRIVERS'!AB3</f>
        <v>39307.545756414998</v>
      </c>
      <c r="AC3" s="11">
        <f>'QTR P&amp;L'!AC2*'CF DRIVERS'!AC3</f>
        <v>38125.227935791736</v>
      </c>
      <c r="AD3" s="11">
        <f>'QTR P&amp;L'!AD2*'CF DRIVERS'!AD3</f>
        <v>39019.78292441841</v>
      </c>
      <c r="AE3" s="11">
        <f>'QTR P&amp;L'!AE2*'CF DRIVERS'!AE3</f>
        <v>44427.762013880674</v>
      </c>
      <c r="AF3" s="11">
        <f>'QTR P&amp;L'!AF2*'CF DRIVERS'!AF3</f>
        <v>46227.686518597235</v>
      </c>
      <c r="AG3" s="11">
        <f>'QTR P&amp;L'!AG2*'CF DRIVERS'!AG3</f>
        <v>44837.220221977754</v>
      </c>
      <c r="AH3" s="11">
        <f>'QTR P&amp;L'!AH2*'CF DRIVERS'!AH3</f>
        <v>45889.262693521079</v>
      </c>
      <c r="AI3" s="11">
        <f>'QTR P&amp;L'!AI2*'CF DRIVERS'!AI3</f>
        <v>52249.323013643989</v>
      </c>
      <c r="AJ3" s="11">
        <f>'QTR P&amp;L'!AJ2*'CF DRIVERS'!AJ3</f>
        <v>54366.126394775936</v>
      </c>
      <c r="AK3" s="11">
        <f>'QTR P&amp;L'!AK2*'CF DRIVERS'!AK3</f>
        <v>52730.866832321313</v>
      </c>
      <c r="AL3" s="11">
        <f>'QTR P&amp;L'!AL2*'CF DRIVERS'!AL3</f>
        <v>53968.122647785654</v>
      </c>
      <c r="AM3" s="11">
        <f>'QTR P&amp;L'!AM2*'CF DRIVERS'!AM3</f>
        <v>61447.87924566555</v>
      </c>
      <c r="AN3" s="11">
        <f>'QTR P&amp;L'!AN2*'CF DRIVERS'!AN3</f>
        <v>63937.34841097219</v>
      </c>
      <c r="AO3" s="11">
        <f>'QTR P&amp;L'!AO2*'CF DRIVERS'!AO3</f>
        <v>62014.199433466922</v>
      </c>
      <c r="AP3" s="11">
        <f>'QTR P&amp;L'!AP2*'CF DRIVERS'!AP3</f>
        <v>63469.27562507226</v>
      </c>
      <c r="AQ3" s="11">
        <f>'QTR P&amp;L'!AQ2*'CF DRIVERS'!AQ3</f>
        <v>72265.852378678683</v>
      </c>
      <c r="AR3" s="11">
        <f>'QTR P&amp;L'!AR2*'CF DRIVERS'!AR3</f>
        <v>75193.595588205528</v>
      </c>
      <c r="AS3" s="11">
        <f>'QTR P&amp;L'!AS2*'CF DRIVERS'!AS3</f>
        <v>72931.873917470963</v>
      </c>
    </row>
    <row r="4" spans="1:45" x14ac:dyDescent="0.25">
      <c r="A4" s="3" t="s">
        <v>66</v>
      </c>
      <c r="B4" s="4">
        <f>'YTD CF'!B4</f>
        <v>0</v>
      </c>
      <c r="C4" s="4">
        <f>'YTD CF'!C4-'YTD CF'!B4</f>
        <v>0</v>
      </c>
      <c r="D4" s="4">
        <f>'YTD CF'!D4-'YTD CF'!C4</f>
        <v>0</v>
      </c>
      <c r="E4" s="4">
        <f>'CASH FLOW'!C4-'YTD CF'!D4</f>
        <v>3943</v>
      </c>
      <c r="F4" s="4">
        <f>'YTD CF'!E4</f>
        <v>0</v>
      </c>
      <c r="G4" s="4">
        <f>'YTD CF'!F4-'YTD CF'!E4</f>
        <v>0</v>
      </c>
      <c r="H4" s="4">
        <f>'YTD CF'!G4-'YTD CF'!F4</f>
        <v>0</v>
      </c>
      <c r="I4" s="4">
        <f>'CASH FLOW'!D4-'YTD CF'!G4</f>
        <v>4107</v>
      </c>
      <c r="J4" s="4">
        <f>'YTD CF'!H4</f>
        <v>1481</v>
      </c>
      <c r="K4" s="4">
        <f>'YTD CF'!I4-'YTD CF'!H4</f>
        <v>1741</v>
      </c>
      <c r="L4" s="4">
        <f>'YTD CF'!J4-'YTD CF'!I4</f>
        <v>1958</v>
      </c>
      <c r="M4" s="4">
        <f>'CASH FLOW'!E4-'YTD CF'!J4</f>
        <v>2157</v>
      </c>
      <c r="N4" s="4">
        <f>'YTD CF'!K4</f>
        <v>2160</v>
      </c>
      <c r="O4" s="4">
        <f>'YTD CF'!L4-'YTD CF'!K4</f>
        <v>668</v>
      </c>
      <c r="P4" s="4">
        <f>'YTD CF'!M4-'YTD CF'!L4</f>
        <v>3643</v>
      </c>
      <c r="Q4" s="4">
        <f>'CASH FLOW'!F4-'YTD CF'!M4</f>
        <v>2572</v>
      </c>
      <c r="R4" s="4">
        <f>'YTD CF'!N4</f>
        <v>3185</v>
      </c>
      <c r="S4" s="4">
        <f>'YTD CF'!O4-'YTD CF'!N4</f>
        <v>3414</v>
      </c>
      <c r="T4" s="4">
        <f>'YTD CF'!P4-'YTD CF'!O4</f>
        <v>3202</v>
      </c>
      <c r="U4" s="4">
        <f>'CASH FLOW'!G4-'YTD CF'!P4</f>
        <v>3720</v>
      </c>
      <c r="V4" s="4">
        <f>'YTD CF'!Q4</f>
        <v>4014</v>
      </c>
      <c r="W4" s="4">
        <f>'YTD CF'!R4-'YTD CF'!Q4</f>
        <v>2952</v>
      </c>
      <c r="X4" s="4">
        <f>'YTD CF'!S4-'YTD CF'!R4</f>
        <v>3300</v>
      </c>
      <c r="Y4" s="4">
        <f>'CASH FLOW'!H4-'YTD CF'!S4</f>
        <v>5132</v>
      </c>
      <c r="Z4" s="11">
        <f>'CF DRIVERS'!Z4</f>
        <v>0</v>
      </c>
      <c r="AA4" s="11">
        <f>'CF DRIVERS'!AA4</f>
        <v>0</v>
      </c>
      <c r="AB4" s="11">
        <f>'CF DRIVERS'!AB4</f>
        <v>0</v>
      </c>
      <c r="AC4" s="11">
        <f>'CF DRIVERS'!AC4</f>
        <v>0</v>
      </c>
      <c r="AD4" s="11">
        <f>'CF DRIVERS'!AD4</f>
        <v>0</v>
      </c>
      <c r="AE4" s="11">
        <f>'CF DRIVERS'!AE4</f>
        <v>0</v>
      </c>
      <c r="AF4" s="11">
        <f>'CF DRIVERS'!AF4</f>
        <v>0</v>
      </c>
      <c r="AG4" s="11">
        <f>'CF DRIVERS'!AG4</f>
        <v>0</v>
      </c>
      <c r="AH4" s="11">
        <f>'CF DRIVERS'!AH4</f>
        <v>0</v>
      </c>
      <c r="AI4" s="11">
        <f>'CF DRIVERS'!AI4</f>
        <v>0</v>
      </c>
      <c r="AJ4" s="11">
        <f>'CF DRIVERS'!AJ4</f>
        <v>0</v>
      </c>
      <c r="AK4" s="11">
        <f>'CF DRIVERS'!AK4</f>
        <v>0</v>
      </c>
      <c r="AL4" s="11">
        <f>'CF DRIVERS'!AL4</f>
        <v>0</v>
      </c>
      <c r="AM4" s="11">
        <f>'CF DRIVERS'!AM4</f>
        <v>0</v>
      </c>
      <c r="AN4" s="11">
        <f>'CF DRIVERS'!AN4</f>
        <v>0</v>
      </c>
      <c r="AO4" s="11">
        <f>'CF DRIVERS'!AO4</f>
        <v>0</v>
      </c>
      <c r="AP4" s="11">
        <f>'CF DRIVERS'!AP4</f>
        <v>0</v>
      </c>
      <c r="AQ4" s="11">
        <f>'CF DRIVERS'!AQ4</f>
        <v>0</v>
      </c>
      <c r="AR4" s="11">
        <f>'CF DRIVERS'!AR4</f>
        <v>0</v>
      </c>
      <c r="AS4" s="11">
        <f>'CF DRIVERS'!AS4</f>
        <v>0</v>
      </c>
    </row>
    <row r="5" spans="1:45" x14ac:dyDescent="0.25">
      <c r="A5" s="3" t="s">
        <v>67</v>
      </c>
      <c r="B5" s="4">
        <f>'YTD CF'!B5</f>
        <v>-58</v>
      </c>
      <c r="C5" s="4">
        <f>'YTD CF'!C5-'YTD CF'!B5</f>
        <v>-121</v>
      </c>
      <c r="D5" s="4">
        <f>'YTD CF'!D5-'YTD CF'!C5</f>
        <v>-31</v>
      </c>
      <c r="E5" s="4">
        <f>'CASH FLOW'!C5-'YTD CF'!D5</f>
        <v>-140</v>
      </c>
      <c r="F5" s="4">
        <f>'YTD CF'!E5</f>
        <v>-88</v>
      </c>
      <c r="G5" s="4">
        <f>'YTD CF'!F5-'YTD CF'!E5</f>
        <v>-734</v>
      </c>
      <c r="H5" s="4">
        <f>'YTD CF'!G5-'YTD CF'!F5</f>
        <v>-162</v>
      </c>
      <c r="I5" s="4">
        <f>'CASH FLOW'!D5-'YTD CF'!G5</f>
        <v>-29</v>
      </c>
      <c r="J5" s="4">
        <f>'YTD CF'!H5</f>
        <v>-6</v>
      </c>
      <c r="K5" s="4">
        <f>'YTD CF'!I5-'YTD CF'!H5</f>
        <v>-63</v>
      </c>
      <c r="L5" s="4">
        <f>'YTD CF'!J5-'YTD CF'!I5</f>
        <v>-184</v>
      </c>
      <c r="M5" s="4">
        <f>'CASH FLOW'!E5-'YTD CF'!J5</f>
        <v>68</v>
      </c>
      <c r="N5" s="4">
        <f>'YTD CF'!K5</f>
        <v>-385</v>
      </c>
      <c r="O5" s="4">
        <f>'YTD CF'!L5-'YTD CF'!K5</f>
        <v>-382</v>
      </c>
      <c r="P5" s="4">
        <f>'YTD CF'!M5-'YTD CF'!L5</f>
        <v>81</v>
      </c>
      <c r="Q5" s="4">
        <f>'CASH FLOW'!F5-'YTD CF'!M5</f>
        <v>852</v>
      </c>
      <c r="R5" s="4">
        <f>'YTD CF'!N5</f>
        <v>-177</v>
      </c>
      <c r="S5" s="4">
        <f>'YTD CF'!O5-'YTD CF'!N5</f>
        <v>2026</v>
      </c>
      <c r="T5" s="4">
        <f>'YTD CF'!P5-'YTD CF'!O5</f>
        <v>221</v>
      </c>
      <c r="U5" s="4">
        <f>'CASH FLOW'!G5-'YTD CF'!P5</f>
        <v>1258</v>
      </c>
      <c r="V5" s="4">
        <f>'YTD CF'!Q5</f>
        <v>324</v>
      </c>
      <c r="W5" s="4">
        <f>'YTD CF'!R5-'YTD CF'!Q5</f>
        <v>-965</v>
      </c>
      <c r="X5" s="4">
        <f>'YTD CF'!S5-'YTD CF'!R5</f>
        <v>-275</v>
      </c>
      <c r="Y5" s="4">
        <f>'CASH FLOW'!H5-'YTD CF'!S5</f>
        <v>3697</v>
      </c>
      <c r="Z5" s="11">
        <f>'CF DRIVERS'!Z5</f>
        <v>0</v>
      </c>
      <c r="AA5" s="11">
        <f>'CF DRIVERS'!AA5</f>
        <v>0</v>
      </c>
      <c r="AB5" s="11">
        <f>'CF DRIVERS'!AB5</f>
        <v>0</v>
      </c>
      <c r="AC5" s="11">
        <f>'CF DRIVERS'!AC5</f>
        <v>0</v>
      </c>
      <c r="AD5" s="11">
        <f>'CF DRIVERS'!AD5</f>
        <v>0</v>
      </c>
      <c r="AE5" s="11">
        <f>'CF DRIVERS'!AE5</f>
        <v>0</v>
      </c>
      <c r="AF5" s="11">
        <f>'CF DRIVERS'!AF5</f>
        <v>0</v>
      </c>
      <c r="AG5" s="11">
        <f>'CF DRIVERS'!AG5</f>
        <v>0</v>
      </c>
      <c r="AH5" s="11">
        <f>'CF DRIVERS'!AH5</f>
        <v>0</v>
      </c>
      <c r="AI5" s="11">
        <f>'CF DRIVERS'!AI5</f>
        <v>0</v>
      </c>
      <c r="AJ5" s="11">
        <f>'CF DRIVERS'!AJ5</f>
        <v>0</v>
      </c>
      <c r="AK5" s="11">
        <f>'CF DRIVERS'!AK5</f>
        <v>0</v>
      </c>
      <c r="AL5" s="11">
        <f>'CF DRIVERS'!AL5</f>
        <v>0</v>
      </c>
      <c r="AM5" s="11">
        <f>'CF DRIVERS'!AM5</f>
        <v>0</v>
      </c>
      <c r="AN5" s="11">
        <f>'CF DRIVERS'!AN5</f>
        <v>0</v>
      </c>
      <c r="AO5" s="11">
        <f>'CF DRIVERS'!AO5</f>
        <v>0</v>
      </c>
      <c r="AP5" s="11">
        <f>'CF DRIVERS'!AP5</f>
        <v>0</v>
      </c>
      <c r="AQ5" s="11">
        <f>'CF DRIVERS'!AQ5</f>
        <v>0</v>
      </c>
      <c r="AR5" s="11">
        <f>'CF DRIVERS'!AR5</f>
        <v>0</v>
      </c>
      <c r="AS5" s="11">
        <f>'CF DRIVERS'!AS5</f>
        <v>0</v>
      </c>
    </row>
    <row r="6" spans="1:45" x14ac:dyDescent="0.25">
      <c r="A6" s="3" t="s">
        <v>68</v>
      </c>
      <c r="B6" s="4">
        <f>'YTD CF'!B6</f>
        <v>0</v>
      </c>
      <c r="C6" s="4">
        <f>'YTD CF'!C6-'YTD CF'!B6</f>
        <v>0</v>
      </c>
      <c r="D6" s="4">
        <f>'YTD CF'!D6-'YTD CF'!C6</f>
        <v>0</v>
      </c>
      <c r="E6" s="4">
        <f>'CASH FLOW'!C6-'YTD CF'!D6</f>
        <v>0</v>
      </c>
      <c r="F6" s="4">
        <f>'YTD CF'!E6</f>
        <v>0</v>
      </c>
      <c r="G6" s="4">
        <f>'YTD CF'!F6-'YTD CF'!E6</f>
        <v>0</v>
      </c>
      <c r="H6" s="4">
        <f>'YTD CF'!G6-'YTD CF'!F6</f>
        <v>0</v>
      </c>
      <c r="I6" s="4">
        <f>'CASH FLOW'!D6-'YTD CF'!G6</f>
        <v>0</v>
      </c>
      <c r="J6" s="4">
        <f>'YTD CF'!H6</f>
        <v>0</v>
      </c>
      <c r="K6" s="4">
        <f>'YTD CF'!I6-'YTD CF'!H6</f>
        <v>0</v>
      </c>
      <c r="L6" s="4">
        <f>'YTD CF'!J6-'YTD CF'!I6</f>
        <v>0</v>
      </c>
      <c r="M6" s="4">
        <f>'CASH FLOW'!E6-'YTD CF'!J6</f>
        <v>0</v>
      </c>
      <c r="N6" s="4">
        <f>'YTD CF'!K6</f>
        <v>0</v>
      </c>
      <c r="O6" s="4">
        <f>'YTD CF'!L6-'YTD CF'!K6</f>
        <v>0</v>
      </c>
      <c r="P6" s="4">
        <f>'YTD CF'!M6-'YTD CF'!L6</f>
        <v>-45382</v>
      </c>
      <c r="Q6" s="4">
        <f>'CASH FLOW'!F6-'YTD CF'!M6</f>
        <v>0</v>
      </c>
      <c r="R6" s="4">
        <f>'YTD CF'!N6</f>
        <v>0</v>
      </c>
      <c r="S6" s="4">
        <f>'YTD CF'!O6-'YTD CF'!N6</f>
        <v>0</v>
      </c>
      <c r="T6" s="4">
        <f>'YTD CF'!P6-'YTD CF'!O6</f>
        <v>0</v>
      </c>
      <c r="U6" s="4">
        <f>'CASH FLOW'!G6-'YTD CF'!P6</f>
        <v>0</v>
      </c>
      <c r="V6" s="4">
        <f>'YTD CF'!Q6</f>
        <v>0</v>
      </c>
      <c r="W6" s="4">
        <f>'YTD CF'!R6-'YTD CF'!Q6</f>
        <v>0</v>
      </c>
      <c r="X6" s="4">
        <f>'YTD CF'!S6-'YTD CF'!R6</f>
        <v>0</v>
      </c>
      <c r="Y6" s="4">
        <f>'CASH FLOW'!H6-'YTD CF'!S6</f>
        <v>0</v>
      </c>
      <c r="Z6" s="11">
        <f>'CF DRIVERS'!Z6</f>
        <v>0</v>
      </c>
      <c r="AA6" s="11">
        <f>'CF DRIVERS'!AA6</f>
        <v>0</v>
      </c>
      <c r="AB6" s="11">
        <f>'CF DRIVERS'!AB6</f>
        <v>0</v>
      </c>
      <c r="AC6" s="11">
        <f>'CF DRIVERS'!AC6</f>
        <v>0</v>
      </c>
      <c r="AD6" s="11">
        <f>'CF DRIVERS'!AD6</f>
        <v>0</v>
      </c>
      <c r="AE6" s="11">
        <f>'CF DRIVERS'!AE6</f>
        <v>0</v>
      </c>
      <c r="AF6" s="11">
        <f>'CF DRIVERS'!AF6</f>
        <v>0</v>
      </c>
      <c r="AG6" s="11">
        <f>'CF DRIVERS'!AG6</f>
        <v>0</v>
      </c>
      <c r="AH6" s="11">
        <f>'CF DRIVERS'!AH6</f>
        <v>0</v>
      </c>
      <c r="AI6" s="11">
        <f>'CF DRIVERS'!AI6</f>
        <v>0</v>
      </c>
      <c r="AJ6" s="11">
        <f>'CF DRIVERS'!AJ6</f>
        <v>0</v>
      </c>
      <c r="AK6" s="11">
        <f>'CF DRIVERS'!AK6</f>
        <v>0</v>
      </c>
      <c r="AL6" s="11">
        <f>'CF DRIVERS'!AL6</f>
        <v>0</v>
      </c>
      <c r="AM6" s="11">
        <f>'CF DRIVERS'!AM6</f>
        <v>0</v>
      </c>
      <c r="AN6" s="11">
        <f>'CF DRIVERS'!AN6</f>
        <v>0</v>
      </c>
      <c r="AO6" s="11">
        <f>'CF DRIVERS'!AO6</f>
        <v>0</v>
      </c>
      <c r="AP6" s="11">
        <f>'CF DRIVERS'!AP6</f>
        <v>0</v>
      </c>
      <c r="AQ6" s="11">
        <f>'CF DRIVERS'!AQ6</f>
        <v>0</v>
      </c>
      <c r="AR6" s="11">
        <f>'CF DRIVERS'!AR6</f>
        <v>0</v>
      </c>
      <c r="AS6" s="11">
        <f>'CF DRIVERS'!AS6</f>
        <v>0</v>
      </c>
    </row>
    <row r="7" spans="1:45" x14ac:dyDescent="0.25">
      <c r="A7" s="3" t="s">
        <v>69</v>
      </c>
      <c r="B7" s="4">
        <f>'YTD CF'!B7</f>
        <v>3000</v>
      </c>
      <c r="C7" s="4">
        <f>'YTD CF'!C7-'YTD CF'!B7</f>
        <v>1000</v>
      </c>
      <c r="D7" s="4">
        <f>'YTD CF'!D7-'YTD CF'!C7</f>
        <v>3000</v>
      </c>
      <c r="E7" s="4">
        <f>'CASH FLOW'!C7-'YTD CF'!D7</f>
        <v>1700</v>
      </c>
      <c r="F7" s="4">
        <f>'YTD CF'!E7</f>
        <v>0</v>
      </c>
      <c r="G7" s="4">
        <f>'YTD CF'!F7-'YTD CF'!E7</f>
        <v>0</v>
      </c>
      <c r="H7" s="4">
        <f>'YTD CF'!G7-'YTD CF'!F7</f>
        <v>0</v>
      </c>
      <c r="I7" s="4">
        <f>'CASH FLOW'!D7-'YTD CF'!G7</f>
        <v>0</v>
      </c>
      <c r="J7" s="4">
        <f>'YTD CF'!H7</f>
        <v>0</v>
      </c>
      <c r="K7" s="4">
        <f>'YTD CF'!I7-'YTD CF'!H7</f>
        <v>0</v>
      </c>
      <c r="L7" s="4">
        <f>'YTD CF'!J7-'YTD CF'!I7</f>
        <v>0</v>
      </c>
      <c r="M7" s="4">
        <f>'CASH FLOW'!E7-'YTD CF'!J7</f>
        <v>2200</v>
      </c>
      <c r="N7" s="4">
        <f>'YTD CF'!K7</f>
        <v>0</v>
      </c>
      <c r="O7" s="4">
        <f>'YTD CF'!L7-'YTD CF'!K7</f>
        <v>2800</v>
      </c>
      <c r="P7" s="4">
        <f>'YTD CF'!M7-'YTD CF'!L7</f>
        <v>0</v>
      </c>
      <c r="Q7" s="4">
        <f>'CASH FLOW'!F7-'YTD CF'!M7</f>
        <v>35900</v>
      </c>
      <c r="R7" s="4">
        <f>'YTD CF'!N7</f>
        <v>0</v>
      </c>
      <c r="S7" s="4">
        <f>'YTD CF'!O7-'YTD CF'!N7</f>
        <v>0</v>
      </c>
      <c r="T7" s="4">
        <f>'YTD CF'!P7-'YTD CF'!O7</f>
        <v>0</v>
      </c>
      <c r="U7" s="4">
        <f>'CASH FLOW'!G7-'YTD CF'!P7</f>
        <v>127098</v>
      </c>
      <c r="V7" s="4">
        <f>'YTD CF'!Q7</f>
        <v>0</v>
      </c>
      <c r="W7" s="4">
        <f>'YTD CF'!R7-'YTD CF'!Q7</f>
        <v>0</v>
      </c>
      <c r="X7" s="4">
        <f>'YTD CF'!S7-'YTD CF'!R7</f>
        <v>0</v>
      </c>
      <c r="Y7" s="4">
        <f>'CASH FLOW'!H7-'YTD CF'!S7</f>
        <v>38411</v>
      </c>
      <c r="Z7" s="11">
        <f>'CF DRIVERS'!Z7</f>
        <v>0</v>
      </c>
      <c r="AA7" s="11">
        <f>'CF DRIVERS'!AA7</f>
        <v>0</v>
      </c>
      <c r="AB7" s="11">
        <f>'CF DRIVERS'!AB7</f>
        <v>0</v>
      </c>
      <c r="AC7" s="11">
        <f>'CF DRIVERS'!AC7</f>
        <v>0</v>
      </c>
      <c r="AD7" s="11">
        <f>'CF DRIVERS'!AD7</f>
        <v>0</v>
      </c>
      <c r="AE7" s="11">
        <f>'CF DRIVERS'!AE7</f>
        <v>0</v>
      </c>
      <c r="AF7" s="11">
        <f>'CF DRIVERS'!AF7</f>
        <v>0</v>
      </c>
      <c r="AG7" s="11">
        <f>'CF DRIVERS'!AG7</f>
        <v>0</v>
      </c>
      <c r="AH7" s="11">
        <f>'CF DRIVERS'!AH7</f>
        <v>0</v>
      </c>
      <c r="AI7" s="11">
        <f>'CF DRIVERS'!AI7</f>
        <v>0</v>
      </c>
      <c r="AJ7" s="11">
        <f>'CF DRIVERS'!AJ7</f>
        <v>0</v>
      </c>
      <c r="AK7" s="11">
        <f>'CF DRIVERS'!AK7</f>
        <v>0</v>
      </c>
      <c r="AL7" s="11">
        <f>'CF DRIVERS'!AL7</f>
        <v>0</v>
      </c>
      <c r="AM7" s="11">
        <f>'CF DRIVERS'!AM7</f>
        <v>0</v>
      </c>
      <c r="AN7" s="11">
        <f>'CF DRIVERS'!AN7</f>
        <v>0</v>
      </c>
      <c r="AO7" s="11">
        <f>'CF DRIVERS'!AO7</f>
        <v>0</v>
      </c>
      <c r="AP7" s="11">
        <f>'CF DRIVERS'!AP7</f>
        <v>0</v>
      </c>
      <c r="AQ7" s="11">
        <f>'CF DRIVERS'!AQ7</f>
        <v>0</v>
      </c>
      <c r="AR7" s="11">
        <f>'CF DRIVERS'!AR7</f>
        <v>0</v>
      </c>
      <c r="AS7" s="11">
        <f>'CF DRIVERS'!AS7</f>
        <v>0</v>
      </c>
    </row>
    <row r="8" spans="1:45" x14ac:dyDescent="0.25">
      <c r="A8" s="3" t="s">
        <v>70</v>
      </c>
      <c r="B8" s="4">
        <f>'YTD CF'!B8</f>
        <v>0</v>
      </c>
      <c r="C8" s="4">
        <f>'YTD CF'!C8-'YTD CF'!B8</f>
        <v>0</v>
      </c>
      <c r="D8" s="4">
        <f>'YTD CF'!D8-'YTD CF'!C8</f>
        <v>0</v>
      </c>
      <c r="E8" s="4">
        <f>'CASH FLOW'!C8-'YTD CF'!D8</f>
        <v>0</v>
      </c>
      <c r="F8" s="4">
        <f>'YTD CF'!E8</f>
        <v>0</v>
      </c>
      <c r="G8" s="4">
        <f>'YTD CF'!F8-'YTD CF'!E8</f>
        <v>0</v>
      </c>
      <c r="H8" s="4">
        <f>'YTD CF'!G8-'YTD CF'!F8</f>
        <v>0</v>
      </c>
      <c r="I8" s="4">
        <f>'CASH FLOW'!D8-'YTD CF'!G8</f>
        <v>0</v>
      </c>
      <c r="J8" s="4">
        <f>'YTD CF'!H8</f>
        <v>0</v>
      </c>
      <c r="K8" s="4">
        <f>'YTD CF'!I8-'YTD CF'!H8</f>
        <v>0</v>
      </c>
      <c r="L8" s="4">
        <f>'YTD CF'!J8-'YTD CF'!I8</f>
        <v>0</v>
      </c>
      <c r="M8" s="4">
        <f>'CASH FLOW'!E8-'YTD CF'!J8</f>
        <v>0</v>
      </c>
      <c r="N8" s="4">
        <f>'YTD CF'!K8</f>
        <v>0</v>
      </c>
      <c r="O8" s="4">
        <f>'YTD CF'!L8-'YTD CF'!K8</f>
        <v>0</v>
      </c>
      <c r="P8" s="4">
        <f>'YTD CF'!M8-'YTD CF'!L8</f>
        <v>0</v>
      </c>
      <c r="Q8" s="4">
        <f>'CASH FLOW'!F8-'YTD CF'!M8</f>
        <v>4336</v>
      </c>
      <c r="R8" s="4">
        <f>'YTD CF'!N8</f>
        <v>0</v>
      </c>
      <c r="S8" s="4">
        <f>'YTD CF'!O8-'YTD CF'!N8</f>
        <v>6067</v>
      </c>
      <c r="T8" s="4">
        <f>'YTD CF'!P8-'YTD CF'!O8</f>
        <v>0</v>
      </c>
      <c r="U8" s="4">
        <f>'CASH FLOW'!G8-'YTD CF'!P8</f>
        <v>2117</v>
      </c>
      <c r="V8" s="4">
        <f>'YTD CF'!Q8</f>
        <v>2279</v>
      </c>
      <c r="W8" s="4">
        <f>'YTD CF'!R8-'YTD CF'!Q8</f>
        <v>0</v>
      </c>
      <c r="X8" s="4">
        <f>'YTD CF'!S8-'YTD CF'!R8</f>
        <v>0</v>
      </c>
      <c r="Y8" s="4">
        <f>'CASH FLOW'!H8-'YTD CF'!S8</f>
        <v>9750</v>
      </c>
      <c r="Z8" s="11">
        <f>'CF DRIVERS'!Z8</f>
        <v>0</v>
      </c>
      <c r="AA8" s="11">
        <f>'CF DRIVERS'!AA8</f>
        <v>0</v>
      </c>
      <c r="AB8" s="11">
        <f>'CF DRIVERS'!AB8</f>
        <v>0</v>
      </c>
      <c r="AC8" s="11">
        <f>'CF DRIVERS'!AC8</f>
        <v>0</v>
      </c>
      <c r="AD8" s="11">
        <f>'CF DRIVERS'!AD8</f>
        <v>0</v>
      </c>
      <c r="AE8" s="11">
        <f>'CF DRIVERS'!AE8</f>
        <v>0</v>
      </c>
      <c r="AF8" s="11">
        <f>'CF DRIVERS'!AF8</f>
        <v>0</v>
      </c>
      <c r="AG8" s="11">
        <f>'CF DRIVERS'!AG8</f>
        <v>0</v>
      </c>
      <c r="AH8" s="11">
        <f>'CF DRIVERS'!AH8</f>
        <v>0</v>
      </c>
      <c r="AI8" s="11">
        <f>'CF DRIVERS'!AI8</f>
        <v>0</v>
      </c>
      <c r="AJ8" s="11">
        <f>'CF DRIVERS'!AJ8</f>
        <v>0</v>
      </c>
      <c r="AK8" s="11">
        <f>'CF DRIVERS'!AK8</f>
        <v>0</v>
      </c>
      <c r="AL8" s="11">
        <f>'CF DRIVERS'!AL8</f>
        <v>0</v>
      </c>
      <c r="AM8" s="11">
        <f>'CF DRIVERS'!AM8</f>
        <v>0</v>
      </c>
      <c r="AN8" s="11">
        <f>'CF DRIVERS'!AN8</f>
        <v>0</v>
      </c>
      <c r="AO8" s="11">
        <f>'CF DRIVERS'!AO8</f>
        <v>0</v>
      </c>
      <c r="AP8" s="11">
        <f>'CF DRIVERS'!AP8</f>
        <v>0</v>
      </c>
      <c r="AQ8" s="11">
        <f>'CF DRIVERS'!AQ8</f>
        <v>0</v>
      </c>
      <c r="AR8" s="11">
        <f>'CF DRIVERS'!AR8</f>
        <v>0</v>
      </c>
      <c r="AS8" s="11">
        <f>'CF DRIVERS'!AS8</f>
        <v>0</v>
      </c>
    </row>
    <row r="9" spans="1:45" x14ac:dyDescent="0.25">
      <c r="A9" s="3" t="s">
        <v>71</v>
      </c>
      <c r="B9" s="4">
        <f>'YTD CF'!B9</f>
        <v>17098</v>
      </c>
      <c r="C9" s="4">
        <f>'YTD CF'!C9-'YTD CF'!B9</f>
        <v>15936</v>
      </c>
      <c r="D9" s="4">
        <f>'YTD CF'!D9-'YTD CF'!C9</f>
        <v>20008</v>
      </c>
      <c r="E9" s="4">
        <f>'CASH FLOW'!C9-'YTD CF'!D9</f>
        <v>17247</v>
      </c>
      <c r="F9" s="4">
        <f>'YTD CF'!E9</f>
        <v>18362</v>
      </c>
      <c r="G9" s="4">
        <f>'YTD CF'!F9-'YTD CF'!E9</f>
        <v>17329</v>
      </c>
      <c r="H9" s="4">
        <f>'YTD CF'!G9-'YTD CF'!F9</f>
        <v>16700</v>
      </c>
      <c r="I9" s="4">
        <f>'CASH FLOW'!D9-'YTD CF'!G9</f>
        <v>18092</v>
      </c>
      <c r="J9" s="4">
        <f>'YTD CF'!H9</f>
        <v>16332</v>
      </c>
      <c r="K9" s="4">
        <f>'YTD CF'!I9-'YTD CF'!H9</f>
        <v>16277</v>
      </c>
      <c r="L9" s="4">
        <f>'YTD CF'!J9-'YTD CF'!I9</f>
        <v>16558</v>
      </c>
      <c r="M9" s="4">
        <f>'CASH FLOW'!E9-'YTD CF'!J9</f>
        <v>14942</v>
      </c>
      <c r="N9" s="4">
        <f>'YTD CF'!K9</f>
        <v>16051</v>
      </c>
      <c r="O9" s="4">
        <f>'YTD CF'!L9-'YTD CF'!K9</f>
        <v>18552</v>
      </c>
      <c r="P9" s="4">
        <f>'YTD CF'!M9-'YTD CF'!L9</f>
        <v>17862</v>
      </c>
      <c r="Q9" s="4">
        <f>'CASH FLOW'!F9-'YTD CF'!M9</f>
        <v>16371</v>
      </c>
      <c r="R9" s="4">
        <f>'YTD CF'!N9</f>
        <v>22472</v>
      </c>
      <c r="S9" s="4">
        <f>'YTD CF'!O9-'YTD CF'!N9</f>
        <v>18790</v>
      </c>
      <c r="T9" s="4">
        <f>'YTD CF'!P9-'YTD CF'!O9</f>
        <v>27531</v>
      </c>
      <c r="U9" s="4">
        <f>'CASH FLOW'!G9-'YTD CF'!P9</f>
        <v>22192</v>
      </c>
      <c r="V9" s="4">
        <f>'YTD CF'!Q9</f>
        <v>20727</v>
      </c>
      <c r="W9" s="4">
        <f>'YTD CF'!R9-'YTD CF'!Q9</f>
        <v>33127</v>
      </c>
      <c r="X9" s="4">
        <f>'YTD CF'!S9-'YTD CF'!R9</f>
        <v>32810</v>
      </c>
      <c r="Y9" s="4">
        <f>'CASH FLOW'!H9-'YTD CF'!S9</f>
        <v>39023</v>
      </c>
      <c r="Z9" s="11">
        <f>'QTR P&amp;L'!Z2*'CF DRIVERS'!Z9</f>
        <v>39938.619950652334</v>
      </c>
      <c r="AA9" s="11">
        <f>'QTR P&amp;L'!AA2*'CF DRIVERS'!AA9</f>
        <v>45473.946017777744</v>
      </c>
      <c r="AB9" s="11">
        <f>'QTR P&amp;L'!AB2*'CF DRIVERS'!AB9</f>
        <v>47316.255106810495</v>
      </c>
      <c r="AC9" s="11">
        <f>'QTR P&amp;L'!AC2*'CF DRIVERS'!AC9</f>
        <v>45893.04613913261</v>
      </c>
      <c r="AD9" s="11">
        <f>'QTR P&amp;L'!AD2*'CF DRIVERS'!AD9</f>
        <v>46969.862084631372</v>
      </c>
      <c r="AE9" s="11">
        <f>'QTR P&amp;L'!AE2*'CF DRIVERS'!AE9</f>
        <v>53479.688971178533</v>
      </c>
      <c r="AF9" s="11">
        <f>'QTR P&amp;L'!AF2*'CF DRIVERS'!AF9</f>
        <v>55646.338793732488</v>
      </c>
      <c r="AG9" s="11">
        <f>'QTR P&amp;L'!AG2*'CF DRIVERS'!AG9</f>
        <v>53972.572173552893</v>
      </c>
      <c r="AH9" s="11">
        <f>'QTR P&amp;L'!AH2*'CF DRIVERS'!AH9</f>
        <v>55238.962862893241</v>
      </c>
      <c r="AI9" s="11">
        <f>'QTR P&amp;L'!AI2*'CF DRIVERS'!AI9</f>
        <v>62894.852611556213</v>
      </c>
      <c r="AJ9" s="11">
        <f>'QTR P&amp;L'!AJ2*'CF DRIVERS'!AJ9</f>
        <v>65442.943744319251</v>
      </c>
      <c r="AK9" s="11">
        <f>'QTR P&amp;L'!AK2*'CF DRIVERS'!AK9</f>
        <v>63474.508495208676</v>
      </c>
      <c r="AL9" s="11">
        <f>'QTR P&amp;L'!AL2*'CF DRIVERS'!AL9</f>
        <v>64963.848790318334</v>
      </c>
      <c r="AM9" s="11">
        <f>'QTR P&amp;L'!AM2*'CF DRIVERS'!AM9</f>
        <v>73967.567147992071</v>
      </c>
      <c r="AN9" s="11">
        <f>'QTR P&amp;L'!AN2*'CF DRIVERS'!AN9</f>
        <v>76964.252792935033</v>
      </c>
      <c r="AO9" s="11">
        <f>'QTR P&amp;L'!AO2*'CF DRIVERS'!AO9</f>
        <v>74649.272147948053</v>
      </c>
      <c r="AP9" s="11">
        <f>'QTR P&amp;L'!AP2*'CF DRIVERS'!AP9</f>
        <v>76400.812595385127</v>
      </c>
      <c r="AQ9" s="11">
        <f>'QTR P&amp;L'!AQ2*'CF DRIVERS'!AQ9</f>
        <v>86989.646411659531</v>
      </c>
      <c r="AR9" s="11">
        <f>'QTR P&amp;L'!AR2*'CF DRIVERS'!AR9</f>
        <v>90513.90217282201</v>
      </c>
      <c r="AS9" s="11">
        <f>'QTR P&amp;L'!AS2*'CF DRIVERS'!AS9</f>
        <v>87791.366397725622</v>
      </c>
    </row>
    <row r="10" spans="1:45" x14ac:dyDescent="0.25">
      <c r="A10" s="3" t="s">
        <v>72</v>
      </c>
      <c r="B10" s="4">
        <f>'YTD CF'!B10</f>
        <v>0</v>
      </c>
      <c r="C10" s="4">
        <f>'YTD CF'!C10-'YTD CF'!B10</f>
        <v>0</v>
      </c>
      <c r="D10" s="4">
        <f>'YTD CF'!D10-'YTD CF'!C10</f>
        <v>0</v>
      </c>
      <c r="E10" s="4">
        <f>'CASH FLOW'!C10-'YTD CF'!D10</f>
        <v>-156873</v>
      </c>
      <c r="F10" s="4">
        <f>'YTD CF'!E10</f>
        <v>0</v>
      </c>
      <c r="G10" s="4">
        <f>'YTD CF'!F10-'YTD CF'!E10</f>
        <v>353</v>
      </c>
      <c r="H10" s="4">
        <f>'YTD CF'!G10-'YTD CF'!F10</f>
        <v>0</v>
      </c>
      <c r="I10" s="4">
        <f>'CASH FLOW'!D10-'YTD CF'!G10</f>
        <v>16076</v>
      </c>
      <c r="J10" s="4">
        <f>'YTD CF'!H10</f>
        <v>0</v>
      </c>
      <c r="K10" s="4">
        <f>'YTD CF'!I10-'YTD CF'!H10</f>
        <v>21934</v>
      </c>
      <c r="L10" s="4">
        <f>'YTD CF'!J10-'YTD CF'!I10</f>
        <v>7776</v>
      </c>
      <c r="M10" s="4">
        <f>'CASH FLOW'!E10-'YTD CF'!J10</f>
        <v>18472</v>
      </c>
      <c r="N10" s="4">
        <f>'YTD CF'!K10</f>
        <v>0</v>
      </c>
      <c r="O10" s="4">
        <f>'YTD CF'!L10-'YTD CF'!K10</f>
        <v>0</v>
      </c>
      <c r="P10" s="4">
        <f>'YTD CF'!M10-'YTD CF'!L10</f>
        <v>0</v>
      </c>
      <c r="Q10" s="4">
        <f>'CASH FLOW'!F10-'YTD CF'!M10</f>
        <v>2040</v>
      </c>
      <c r="R10" s="4">
        <f>'YTD CF'!N10</f>
        <v>9</v>
      </c>
      <c r="S10" s="4">
        <f>'YTD CF'!O10-'YTD CF'!N10</f>
        <v>-13303</v>
      </c>
      <c r="T10" s="4">
        <f>'YTD CF'!P10-'YTD CF'!O10</f>
        <v>3052</v>
      </c>
      <c r="U10" s="4">
        <f>'CASH FLOW'!G10-'YTD CF'!P10</f>
        <v>-1463</v>
      </c>
      <c r="V10" s="4">
        <f>'YTD CF'!Q10</f>
        <v>135</v>
      </c>
      <c r="W10" s="4">
        <f>'YTD CF'!R10-'YTD CF'!Q10</f>
        <v>511</v>
      </c>
      <c r="X10" s="4">
        <f>'YTD CF'!S10-'YTD CF'!R10</f>
        <v>-191</v>
      </c>
      <c r="Y10" s="4">
        <f>'CASH FLOW'!H10-'YTD CF'!S10</f>
        <v>3755</v>
      </c>
      <c r="Z10" s="11">
        <f>'CF DRIVERS'!Z10</f>
        <v>3755</v>
      </c>
      <c r="AA10" s="11">
        <f>'CF DRIVERS'!AA10</f>
        <v>3755</v>
      </c>
      <c r="AB10" s="11">
        <f>'CF DRIVERS'!AB10</f>
        <v>3755</v>
      </c>
      <c r="AC10" s="11">
        <f>'CF DRIVERS'!AC10</f>
        <v>3755</v>
      </c>
      <c r="AD10" s="11">
        <f>'CF DRIVERS'!AD10</f>
        <v>3755</v>
      </c>
      <c r="AE10" s="11">
        <f>'CF DRIVERS'!AE10</f>
        <v>3755</v>
      </c>
      <c r="AF10" s="11">
        <f>'CF DRIVERS'!AF10</f>
        <v>3755</v>
      </c>
      <c r="AG10" s="11">
        <f>'CF DRIVERS'!AG10</f>
        <v>3755</v>
      </c>
      <c r="AH10" s="11">
        <f>'CF DRIVERS'!AH10</f>
        <v>3755</v>
      </c>
      <c r="AI10" s="11">
        <f>'CF DRIVERS'!AI10</f>
        <v>3755</v>
      </c>
      <c r="AJ10" s="11">
        <f>'CF DRIVERS'!AJ10</f>
        <v>3755</v>
      </c>
      <c r="AK10" s="11">
        <f>'CF DRIVERS'!AK10</f>
        <v>3755</v>
      </c>
      <c r="AL10" s="11">
        <f>'CF DRIVERS'!AL10</f>
        <v>3755</v>
      </c>
      <c r="AM10" s="11">
        <f>'CF DRIVERS'!AM10</f>
        <v>3755</v>
      </c>
      <c r="AN10" s="11">
        <f>'CF DRIVERS'!AN10</f>
        <v>3755</v>
      </c>
      <c r="AO10" s="11">
        <f>'CF DRIVERS'!AO10</f>
        <v>3755</v>
      </c>
      <c r="AP10" s="11">
        <f>'CF DRIVERS'!AP10</f>
        <v>3755</v>
      </c>
      <c r="AQ10" s="11">
        <f>'CF DRIVERS'!AQ10</f>
        <v>3755</v>
      </c>
      <c r="AR10" s="11">
        <f>'CF DRIVERS'!AR10</f>
        <v>3755</v>
      </c>
      <c r="AS10" s="11">
        <f>'CF DRIVERS'!AS10</f>
        <v>3755</v>
      </c>
    </row>
    <row r="11" spans="1:45" x14ac:dyDescent="0.25">
      <c r="A11" s="3" t="s">
        <v>35</v>
      </c>
      <c r="B11" s="4">
        <f>'YTD CF'!B11</f>
        <v>-147660</v>
      </c>
      <c r="C11" s="4">
        <f>'YTD CF'!C11-'YTD CF'!B11</f>
        <v>-84122</v>
      </c>
      <c r="D11" s="4">
        <f>'YTD CF'!D11-'YTD CF'!C11</f>
        <v>30105</v>
      </c>
      <c r="E11" s="4">
        <f>'CASH FLOW'!C11-'YTD CF'!D11</f>
        <v>82005</v>
      </c>
      <c r="F11" s="4">
        <f>'YTD CF'!E11</f>
        <v>-147544</v>
      </c>
      <c r="G11" s="4">
        <f>'YTD CF'!F11-'YTD CF'!E11</f>
        <v>-92156</v>
      </c>
      <c r="H11" s="4">
        <f>'YTD CF'!G11-'YTD CF'!F11</f>
        <v>39991</v>
      </c>
      <c r="I11" s="4">
        <f>'CASH FLOW'!D11-'YTD CF'!G11</f>
        <v>-54519</v>
      </c>
      <c r="J11" s="4">
        <f>'YTD CF'!H11</f>
        <v>-134433</v>
      </c>
      <c r="K11" s="4">
        <f>'YTD CF'!I11-'YTD CF'!H11</f>
        <v>-154803</v>
      </c>
      <c r="L11" s="4">
        <f>'YTD CF'!J11-'YTD CF'!I11</f>
        <v>86789</v>
      </c>
      <c r="M11" s="4">
        <f>'CASH FLOW'!E11-'YTD CF'!J11</f>
        <v>73466</v>
      </c>
      <c r="N11" s="4">
        <f>'YTD CF'!K11</f>
        <v>-167512</v>
      </c>
      <c r="O11" s="4">
        <f>'YTD CF'!L11-'YTD CF'!K11</f>
        <v>-150296</v>
      </c>
      <c r="P11" s="4">
        <f>'YTD CF'!M11-'YTD CF'!L11</f>
        <v>99004</v>
      </c>
      <c r="Q11" s="4">
        <f>'CASH FLOW'!F11-'YTD CF'!M11</f>
        <v>55646</v>
      </c>
      <c r="R11" s="4">
        <f>'YTD CF'!N11</f>
        <v>-195081</v>
      </c>
      <c r="S11" s="4">
        <f>'YTD CF'!O11-'YTD CF'!N11</f>
        <v>-2146</v>
      </c>
      <c r="T11" s="4">
        <f>'YTD CF'!P11-'YTD CF'!O11</f>
        <v>90823</v>
      </c>
      <c r="U11" s="4">
        <f>'CASH FLOW'!G11-'YTD CF'!P11</f>
        <v>12489</v>
      </c>
      <c r="V11" s="4">
        <f>'YTD CF'!Q11</f>
        <v>-109557</v>
      </c>
      <c r="W11" s="4">
        <f>'YTD CF'!R11-'YTD CF'!Q11</f>
        <v>-112682</v>
      </c>
      <c r="X11" s="4">
        <f>'YTD CF'!S11-'YTD CF'!R11</f>
        <v>-76900</v>
      </c>
      <c r="Y11" s="4">
        <f>'CASH FLOW'!H11-'YTD CF'!S11</f>
        <v>-1461</v>
      </c>
      <c r="Z11" s="11">
        <f>'CF DRIVERS'!Z11</f>
        <v>-37965.789529045112</v>
      </c>
      <c r="AA11" s="11">
        <f>'CF DRIVERS'!AA11</f>
        <v>-229519.92722460465</v>
      </c>
      <c r="AB11" s="11">
        <f>'CF DRIVERS'!AB11</f>
        <v>-76390.558191563701</v>
      </c>
      <c r="AC11" s="11">
        <f>'CF DRIVERS'!AC11</f>
        <v>59012.750960932579</v>
      </c>
      <c r="AD11" s="11">
        <f>'CF DRIVERS'!AD11</f>
        <v>-44649.712491737213</v>
      </c>
      <c r="AE11" s="11">
        <f>'CF DRIVERS'!AE11</f>
        <v>-269927.18678648863</v>
      </c>
      <c r="AF11" s="11">
        <f>'CF DRIVERS'!AF11</f>
        <v>-89839.207946070936</v>
      </c>
      <c r="AG11" s="11">
        <f>'CF DRIVERS'!AG11</f>
        <v>69402.016827185173</v>
      </c>
      <c r="AH11" s="11">
        <f>'CF DRIVERS'!AH11</f>
        <v>-52510.348140386865</v>
      </c>
      <c r="AI11" s="11">
        <f>'CF DRIVERS'!AI11</f>
        <v>-317448.19305021642</v>
      </c>
      <c r="AJ11" s="11">
        <f>'CF DRIVERS'!AJ11</f>
        <v>-105655.50868390873</v>
      </c>
      <c r="AK11" s="11">
        <f>'CF DRIVERS'!AK11</f>
        <v>81620.325459315442</v>
      </c>
      <c r="AL11" s="11">
        <f>'CF DRIVERS'!AL11</f>
        <v>-61754.85816028202</v>
      </c>
      <c r="AM11" s="11">
        <f>'CF DRIVERS'!AM11</f>
        <v>-373335.32968859002</v>
      </c>
      <c r="AN11" s="11">
        <f>'CF DRIVERS'!AN11</f>
        <v>-124256.28821167396</v>
      </c>
      <c r="AO11" s="11">
        <f>'CF DRIVERS'!AO11</f>
        <v>95989.682038679253</v>
      </c>
      <c r="AP11" s="11">
        <f>'CF DRIVERS'!AP11</f>
        <v>-72626.875300858635</v>
      </c>
      <c r="AQ11" s="11">
        <f>'CF DRIVERS'!AQ11</f>
        <v>-439061.46402805392</v>
      </c>
      <c r="AR11" s="11">
        <f>'CF DRIVERS'!AR11</f>
        <v>-146131.75737323426</v>
      </c>
      <c r="AS11" s="11">
        <f>'CF DRIVERS'!AS11</f>
        <v>112888.78114654869</v>
      </c>
    </row>
    <row r="12" spans="1:45" x14ac:dyDescent="0.25">
      <c r="A12" s="3" t="s">
        <v>121</v>
      </c>
      <c r="B12" s="4">
        <f>'YTD CF'!B12</f>
        <v>176</v>
      </c>
      <c r="C12" s="4">
        <f>'YTD CF'!C12-'YTD CF'!B12</f>
        <v>12</v>
      </c>
      <c r="D12" s="4">
        <f>'YTD CF'!D12-'YTD CF'!C12</f>
        <v>153</v>
      </c>
      <c r="F12" s="4">
        <f>'YTD CF'!E12</f>
        <v>92</v>
      </c>
      <c r="G12" s="4">
        <f>'YTD CF'!F12-'YTD CF'!E12</f>
        <v>68</v>
      </c>
      <c r="H12" s="4">
        <f>'YTD CF'!G12-'YTD CF'!F12</f>
        <v>68</v>
      </c>
      <c r="J12" s="4">
        <f>'YTD CF'!H12</f>
        <v>0</v>
      </c>
      <c r="K12" s="4">
        <f>'YTD CF'!I12-'YTD CF'!H12</f>
        <v>0</v>
      </c>
      <c r="L12" s="4">
        <f>'YTD CF'!J12-'YTD CF'!I12</f>
        <v>0</v>
      </c>
      <c r="N12" s="4">
        <f>'YTD CF'!K12</f>
        <v>0</v>
      </c>
      <c r="O12" s="4">
        <f>'YTD CF'!L12-'YTD CF'!K12</f>
        <v>0</v>
      </c>
      <c r="P12" s="4">
        <f>'YTD CF'!M12-'YTD CF'!L12</f>
        <v>0</v>
      </c>
      <c r="R12" s="4">
        <f>'YTD CF'!N12</f>
        <v>0</v>
      </c>
      <c r="S12" s="4">
        <f>'YTD CF'!O12-'YTD CF'!N12</f>
        <v>0</v>
      </c>
      <c r="T12" s="4">
        <f>'YTD CF'!P12-'YTD CF'!O12</f>
        <v>0</v>
      </c>
      <c r="V12" s="4">
        <f>'YTD CF'!Q12</f>
        <v>0</v>
      </c>
      <c r="W12" s="4">
        <f>'YTD CF'!R12-'YTD CF'!Q12</f>
        <v>0</v>
      </c>
      <c r="X12" s="4">
        <f>'YTD CF'!S12-'YTD CF'!R12</f>
        <v>0</v>
      </c>
      <c r="Z12" s="11">
        <f>'CF DRIVERS'!Z12</f>
        <v>0</v>
      </c>
      <c r="AA12" s="11">
        <f>'CF DRIVERS'!AA12</f>
        <v>0</v>
      </c>
      <c r="AB12" s="11">
        <f>'CF DRIVERS'!AB12</f>
        <v>0</v>
      </c>
      <c r="AC12" s="11">
        <f>'CF DRIVERS'!AC12</f>
        <v>0</v>
      </c>
      <c r="AD12" s="11">
        <f>'CF DRIVERS'!AD12</f>
        <v>0</v>
      </c>
      <c r="AE12" s="11">
        <f>'CF DRIVERS'!AE12</f>
        <v>0</v>
      </c>
      <c r="AF12" s="11">
        <f>'CF DRIVERS'!AF12</f>
        <v>0</v>
      </c>
      <c r="AG12" s="11">
        <f>'CF DRIVERS'!AG12</f>
        <v>0</v>
      </c>
      <c r="AH12" s="11">
        <f>'CF DRIVERS'!AH12</f>
        <v>0</v>
      </c>
      <c r="AI12" s="11">
        <f>'CF DRIVERS'!AI12</f>
        <v>0</v>
      </c>
      <c r="AJ12" s="11">
        <f>'CF DRIVERS'!AJ12</f>
        <v>0</v>
      </c>
      <c r="AK12" s="11">
        <f>'CF DRIVERS'!AK12</f>
        <v>0</v>
      </c>
      <c r="AL12" s="11">
        <f>'CF DRIVERS'!AL12</f>
        <v>0</v>
      </c>
      <c r="AM12" s="11">
        <f>'CF DRIVERS'!AM12</f>
        <v>0</v>
      </c>
      <c r="AN12" s="11">
        <f>'CF DRIVERS'!AN12</f>
        <v>0</v>
      </c>
      <c r="AO12" s="11">
        <f>'CF DRIVERS'!AO12</f>
        <v>0</v>
      </c>
      <c r="AP12" s="11">
        <f>'CF DRIVERS'!AP12</f>
        <v>0</v>
      </c>
      <c r="AQ12" s="11">
        <f>'CF DRIVERS'!AQ12</f>
        <v>0</v>
      </c>
      <c r="AR12" s="11">
        <f>'CF DRIVERS'!AR12</f>
        <v>0</v>
      </c>
      <c r="AS12" s="11">
        <f>'CF DRIVERS'!AS12</f>
        <v>0</v>
      </c>
    </row>
    <row r="13" spans="1:45" x14ac:dyDescent="0.25">
      <c r="A13" s="3" t="s">
        <v>36</v>
      </c>
      <c r="B13" s="4">
        <f>'YTD CF'!B13</f>
        <v>1037</v>
      </c>
      <c r="C13" s="4">
        <f>'YTD CF'!C13-'YTD CF'!B13</f>
        <v>13144</v>
      </c>
      <c r="D13" s="4">
        <f>'YTD CF'!D13-'YTD CF'!C13</f>
        <v>25309</v>
      </c>
      <c r="E13" s="4">
        <f>'CASH FLOW'!C12-'YTD CF'!D13</f>
        <v>-9186</v>
      </c>
      <c r="F13" s="4">
        <f>'YTD CF'!E13</f>
        <v>-39546</v>
      </c>
      <c r="G13" s="4">
        <f>'YTD CF'!F13-'YTD CF'!E13</f>
        <v>-12995</v>
      </c>
      <c r="H13" s="4">
        <f>'YTD CF'!G13-'YTD CF'!F13</f>
        <v>-96873</v>
      </c>
      <c r="I13" s="4">
        <f>'CASH FLOW'!D12-'YTD CF'!G13</f>
        <v>-128379</v>
      </c>
      <c r="J13" s="4">
        <f>'YTD CF'!H13</f>
        <v>-208673</v>
      </c>
      <c r="K13" s="4">
        <f>'YTD CF'!I13-'YTD CF'!H13</f>
        <v>-90403</v>
      </c>
      <c r="L13" s="4">
        <f>'YTD CF'!J13-'YTD CF'!I13</f>
        <v>1936</v>
      </c>
      <c r="M13" s="4">
        <f>'CASH FLOW'!E12-'YTD CF'!J13</f>
        <v>-50572</v>
      </c>
      <c r="N13" s="4">
        <f>'YTD CF'!K13</f>
        <v>35495</v>
      </c>
      <c r="O13" s="4">
        <f>'YTD CF'!L13-'YTD CF'!K13</f>
        <v>57582</v>
      </c>
      <c r="P13" s="4">
        <f>'YTD CF'!M13-'YTD CF'!L13</f>
        <v>-23281</v>
      </c>
      <c r="Q13" s="4">
        <f>'CASH FLOW'!F12-'YTD CF'!M13</f>
        <v>-61898</v>
      </c>
      <c r="R13" s="4">
        <f>'YTD CF'!N13</f>
        <v>22708</v>
      </c>
      <c r="S13" s="4">
        <f>'YTD CF'!O13-'YTD CF'!N13</f>
        <v>100776</v>
      </c>
      <c r="T13" s="4">
        <f>'YTD CF'!P13-'YTD CF'!O13</f>
        <v>73623</v>
      </c>
      <c r="U13" s="4">
        <f>'CASH FLOW'!G12-'YTD CF'!P13</f>
        <v>14396</v>
      </c>
      <c r="V13" s="4">
        <f>'YTD CF'!Q13</f>
        <v>19594</v>
      </c>
      <c r="W13" s="4">
        <f>'YTD CF'!R13-'YTD CF'!Q13</f>
        <v>85039</v>
      </c>
      <c r="X13" s="4">
        <f>'YTD CF'!S13-'YTD CF'!R13</f>
        <v>-46246</v>
      </c>
      <c r="Y13" s="4">
        <f>'CASH FLOW'!H12-'YTD CF'!S13</f>
        <v>-93305</v>
      </c>
      <c r="Z13" s="11">
        <f>'CF DRIVERS'!Z13</f>
        <v>-18762.031924774405</v>
      </c>
      <c r="AA13" s="11">
        <f>'CF DRIVERS'!AA13</f>
        <v>-113424.75042341754</v>
      </c>
      <c r="AB13" s="11">
        <f>'CF DRIVERS'!AB13</f>
        <v>-37750.88334314723</v>
      </c>
      <c r="AC13" s="11">
        <f>'CF DRIVERS'!AC13</f>
        <v>29163.073683763272</v>
      </c>
      <c r="AD13" s="11">
        <f>'CF DRIVERS'!AD13</f>
        <v>-22065.110237233341</v>
      </c>
      <c r="AE13" s="11">
        <f>'CF DRIVERS'!AE13</f>
        <v>-133393.31431467354</v>
      </c>
      <c r="AF13" s="11">
        <f>'CF DRIVERS'!AF13</f>
        <v>-44396.971813034965</v>
      </c>
      <c r="AG13" s="11">
        <f>'CF DRIVERS'!AG13</f>
        <v>34297.267922196537</v>
      </c>
      <c r="AH13" s="11">
        <f>'CF DRIVERS'!AH13</f>
        <v>-25949.699463967467</v>
      </c>
      <c r="AI13" s="11">
        <f>'CF DRIVERS'!AI13</f>
        <v>-156877.36792392004</v>
      </c>
      <c r="AJ13" s="11">
        <f>'CF DRIVERS'!AJ13</f>
        <v>-52213.112160863588</v>
      </c>
      <c r="AK13" s="11">
        <f>'CF DRIVERS'!AK13</f>
        <v>40335.343238591449</v>
      </c>
      <c r="AL13" s="11">
        <f>'CF DRIVERS'!AL13</f>
        <v>-30518.17530165473</v>
      </c>
      <c r="AM13" s="11">
        <f>'CF DRIVERS'!AM13</f>
        <v>-184495.81744914898</v>
      </c>
      <c r="AN13" s="11">
        <f>'CF DRIVERS'!AN13</f>
        <v>-61405.293428650592</v>
      </c>
      <c r="AO13" s="11">
        <f>'CF DRIVERS'!AO13</f>
        <v>47436.428985122358</v>
      </c>
      <c r="AP13" s="11">
        <f>'CF DRIVERS'!AP13</f>
        <v>-35890.936811649241</v>
      </c>
      <c r="AQ13" s="11">
        <f>'CF DRIVERS'!AQ13</f>
        <v>-216976.52826975845</v>
      </c>
      <c r="AR13" s="11">
        <f>'CF DRIVERS'!AR13</f>
        <v>-72215.76927729859</v>
      </c>
      <c r="AS13" s="11">
        <f>'CF DRIVERS'!AS13</f>
        <v>55787.669428027002</v>
      </c>
    </row>
    <row r="14" spans="1:45" x14ac:dyDescent="0.25">
      <c r="A14" s="3" t="s">
        <v>37</v>
      </c>
      <c r="B14" s="4">
        <f>'YTD CF'!B14</f>
        <v>-18081</v>
      </c>
      <c r="C14" s="4">
        <f>'YTD CF'!C14-'YTD CF'!B14</f>
        <v>-5313</v>
      </c>
      <c r="D14" s="4">
        <f>'YTD CF'!D14-'YTD CF'!C14</f>
        <v>2948</v>
      </c>
      <c r="E14" s="4">
        <f>'CASH FLOW'!C13-'YTD CF'!D14</f>
        <v>21470</v>
      </c>
      <c r="F14" s="4">
        <f>'YTD CF'!E14</f>
        <v>-18487</v>
      </c>
      <c r="G14" s="4">
        <f>'YTD CF'!F14-'YTD CF'!E14</f>
        <v>-9745</v>
      </c>
      <c r="H14" s="4">
        <f>'YTD CF'!G14-'YTD CF'!F14</f>
        <v>-12930</v>
      </c>
      <c r="I14" s="4">
        <f>'CASH FLOW'!D13-'YTD CF'!G14</f>
        <v>11821</v>
      </c>
      <c r="J14" s="4">
        <f>'YTD CF'!H14</f>
        <v>-29621</v>
      </c>
      <c r="K14" s="4">
        <f>'YTD CF'!I14-'YTD CF'!H14</f>
        <v>-26042</v>
      </c>
      <c r="L14" s="4">
        <f>'YTD CF'!J14-'YTD CF'!I14</f>
        <v>16459</v>
      </c>
      <c r="M14" s="4">
        <f>'CASH FLOW'!E13-'YTD CF'!J14</f>
        <v>936</v>
      </c>
      <c r="N14" s="4">
        <f>'YTD CF'!K14</f>
        <v>1273</v>
      </c>
      <c r="O14" s="4">
        <f>'YTD CF'!L14-'YTD CF'!K14</f>
        <v>-38052</v>
      </c>
      <c r="P14" s="4">
        <f>'YTD CF'!M14-'YTD CF'!L14</f>
        <v>-30589</v>
      </c>
      <c r="Q14" s="4">
        <f>'CASH FLOW'!F13-'YTD CF'!M14</f>
        <v>57153</v>
      </c>
      <c r="R14" s="4">
        <f>'YTD CF'!N14</f>
        <v>-9507</v>
      </c>
      <c r="S14" s="4">
        <f>'YTD CF'!O14-'YTD CF'!N14</f>
        <v>-4486</v>
      </c>
      <c r="T14" s="4">
        <f>'YTD CF'!P14-'YTD CF'!O14</f>
        <v>8132</v>
      </c>
      <c r="U14" s="4">
        <f>'CASH FLOW'!G13-'YTD CF'!P14</f>
        <v>14820</v>
      </c>
      <c r="V14" s="4">
        <f>'YTD CF'!Q14</f>
        <v>-3995</v>
      </c>
      <c r="W14" s="4">
        <f>'YTD CF'!R14-'YTD CF'!Q14</f>
        <v>-59680</v>
      </c>
      <c r="X14" s="4">
        <f>'YTD CF'!S14-'YTD CF'!R14</f>
        <v>-2594</v>
      </c>
      <c r="Y14" s="4">
        <f>'CASH FLOW'!H13-'YTD CF'!S14</f>
        <v>26962</v>
      </c>
      <c r="Z14" s="11">
        <f>'CF DRIVERS'!Z14</f>
        <v>-2429.6789460061991</v>
      </c>
      <c r="AA14" s="11">
        <f>'CF DRIVERS'!AA14</f>
        <v>-14688.479860003165</v>
      </c>
      <c r="AB14" s="11">
        <f>'CF DRIVERS'!AB14</f>
        <v>-4888.7309658004233</v>
      </c>
      <c r="AC14" s="11">
        <f>'CF DRIVERS'!AC14</f>
        <v>3776.611531968636</v>
      </c>
      <c r="AD14" s="11">
        <f>'CF DRIVERS'!AD14</f>
        <v>-2857.4268501227925</v>
      </c>
      <c r="AE14" s="11">
        <f>'CF DRIVERS'!AE14</f>
        <v>-17274.404426334368</v>
      </c>
      <c r="AF14" s="11">
        <f>'CF DRIVERS'!AF14</f>
        <v>-5749.397939043236</v>
      </c>
      <c r="AG14" s="11">
        <f>'CF DRIVERS'!AG14</f>
        <v>4441.4885397385515</v>
      </c>
      <c r="AH14" s="11">
        <f>'CF DRIVERS'!AH14</f>
        <v>-3360.4802878272312</v>
      </c>
      <c r="AI14" s="11">
        <f>'CF DRIVERS'!AI14</f>
        <v>-20315.584126381873</v>
      </c>
      <c r="AJ14" s="11">
        <f>'CF DRIVERS'!AJ14</f>
        <v>-6761.5863692885032</v>
      </c>
      <c r="AK14" s="11">
        <f>'CF DRIVERS'!AK14</f>
        <v>5223.4179453309334</v>
      </c>
      <c r="AL14" s="11">
        <f>'CF DRIVERS'!AL14</f>
        <v>-3952.0968889859796</v>
      </c>
      <c r="AM14" s="11">
        <f>'CF DRIVERS'!AM14</f>
        <v>-23892.167174627102</v>
      </c>
      <c r="AN14" s="11">
        <f>'CF DRIVERS'!AN14</f>
        <v>-7951.9717914944631</v>
      </c>
      <c r="AO14" s="11">
        <f>'CF DRIVERS'!AO14</f>
        <v>6143.0069643299503</v>
      </c>
      <c r="AP14" s="11">
        <f>'CF DRIVERS'!AP14</f>
        <v>-4647.8683051676489</v>
      </c>
      <c r="AQ14" s="11">
        <f>'CF DRIVERS'!AQ14</f>
        <v>-28098.411975220544</v>
      </c>
      <c r="AR14" s="11">
        <f>'CF DRIVERS'!AR14</f>
        <v>-9351.9260006697732</v>
      </c>
      <c r="AS14" s="11">
        <f>'CF DRIVERS'!AS14</f>
        <v>7224.4907374370669</v>
      </c>
    </row>
    <row r="15" spans="1:45" x14ac:dyDescent="0.25">
      <c r="A15" s="3" t="s">
        <v>73</v>
      </c>
      <c r="B15" s="4">
        <f>'YTD CF'!B15</f>
        <v>8078</v>
      </c>
      <c r="C15" s="4">
        <f>'YTD CF'!C15-'YTD CF'!B15</f>
        <v>-833</v>
      </c>
      <c r="D15" s="4">
        <f>'YTD CF'!D15-'YTD CF'!C15</f>
        <v>4215</v>
      </c>
      <c r="E15" s="4">
        <f>'CASH FLOW'!C14-'YTD CF'!D15</f>
        <v>-5944</v>
      </c>
      <c r="F15" s="4">
        <f>'YTD CF'!E15</f>
        <v>-7076</v>
      </c>
      <c r="G15" s="4">
        <f>'YTD CF'!F15-'YTD CF'!E15</f>
        <v>9528</v>
      </c>
      <c r="H15" s="4">
        <f>'YTD CF'!G15-'YTD CF'!F15</f>
        <v>-9817</v>
      </c>
      <c r="I15" s="4">
        <f>'CASH FLOW'!D14-'YTD CF'!G15</f>
        <v>-3554</v>
      </c>
      <c r="J15" s="4">
        <f>'YTD CF'!H15</f>
        <v>-5885</v>
      </c>
      <c r="K15" s="4">
        <f>'YTD CF'!I15-'YTD CF'!H15</f>
        <v>4665</v>
      </c>
      <c r="L15" s="4">
        <f>'YTD CF'!J15-'YTD CF'!I15</f>
        <v>9087</v>
      </c>
      <c r="M15" s="4">
        <f>'CASH FLOW'!E14-'YTD CF'!J15</f>
        <v>-12306</v>
      </c>
      <c r="N15" s="4">
        <f>'YTD CF'!K15</f>
        <v>3986</v>
      </c>
      <c r="O15" s="4">
        <f>'YTD CF'!L15-'YTD CF'!K15</f>
        <v>-7331</v>
      </c>
      <c r="P15" s="4">
        <f>'YTD CF'!M15-'YTD CF'!L15</f>
        <v>11377</v>
      </c>
      <c r="Q15" s="4">
        <f>'CASH FLOW'!F14-'YTD CF'!M15</f>
        <v>-26865</v>
      </c>
      <c r="R15" s="4">
        <f>'YTD CF'!N15</f>
        <v>11840</v>
      </c>
      <c r="S15" s="4">
        <f>'YTD CF'!O15-'YTD CF'!N15</f>
        <v>-24137</v>
      </c>
      <c r="T15" s="4">
        <f>'YTD CF'!P15-'YTD CF'!O15</f>
        <v>-27371</v>
      </c>
      <c r="U15" s="4">
        <f>'CASH FLOW'!G14-'YTD CF'!P15</f>
        <v>42730</v>
      </c>
      <c r="V15" s="4">
        <f>'YTD CF'!Q15</f>
        <v>11912</v>
      </c>
      <c r="W15" s="4">
        <f>'YTD CF'!R15-'YTD CF'!Q15</f>
        <v>2600</v>
      </c>
      <c r="X15" s="4">
        <f>'YTD CF'!S15-'YTD CF'!R15</f>
        <v>-469</v>
      </c>
      <c r="Y15" s="4">
        <f>'CASH FLOW'!H14-'YTD CF'!S15</f>
        <v>-35137</v>
      </c>
      <c r="Z15" s="11">
        <f>'CF DRIVERS'!Z15</f>
        <v>-1751.2524987017387</v>
      </c>
      <c r="AA15" s="11">
        <f>'CF DRIVERS'!AA15</f>
        <v>-10587.093039285537</v>
      </c>
      <c r="AB15" s="11">
        <f>'CF DRIVERS'!AB15</f>
        <v>-3523.6763825983944</v>
      </c>
      <c r="AC15" s="11">
        <f>'CF DRIVERS'!AC15</f>
        <v>2722.0881972317293</v>
      </c>
      <c r="AD15" s="11">
        <f>'CF DRIVERS'!AD15</f>
        <v>-2059.5626098503562</v>
      </c>
      <c r="AE15" s="11">
        <f>'CF DRIVERS'!AE15</f>
        <v>-12450.963517187833</v>
      </c>
      <c r="AF15" s="11">
        <f>'CF DRIVERS'!AF15</f>
        <v>-4144.0238527524634</v>
      </c>
      <c r="AG15" s="11">
        <f>'CF DRIVERS'!AG15</f>
        <v>3201.3151021280792</v>
      </c>
      <c r="AH15" s="11">
        <f>'CF DRIVERS'!AH15</f>
        <v>-2422.1510873150401</v>
      </c>
      <c r="AI15" s="11">
        <f>'CF DRIVERS'!AI15</f>
        <v>-14642.970637084756</v>
      </c>
      <c r="AJ15" s="11">
        <f>'CF DRIVERS'!AJ15</f>
        <v>-4873.5842420120171</v>
      </c>
      <c r="AK15" s="11">
        <f>'CF DRIVERS'!AK15</f>
        <v>3764.9104806874384</v>
      </c>
      <c r="AL15" s="11">
        <f>'CF DRIVERS'!AL15</f>
        <v>-2848.573702844471</v>
      </c>
      <c r="AM15" s="11">
        <f>'CF DRIVERS'!AM15</f>
        <v>-17220.883249921695</v>
      </c>
      <c r="AN15" s="11">
        <f>'CF DRIVERS'!AN15</f>
        <v>-5731.5846162931703</v>
      </c>
      <c r="AO15" s="11">
        <f>'CF DRIVERS'!AO15</f>
        <v>4427.7275042896217</v>
      </c>
      <c r="AP15" s="11">
        <f>'CF DRIVERS'!AP15</f>
        <v>-3350.0685333101137</v>
      </c>
      <c r="AQ15" s="11">
        <f>'CF DRIVERS'!AQ15</f>
        <v>-20252.640482414805</v>
      </c>
      <c r="AR15" s="11">
        <f>'CF DRIVERS'!AR15</f>
        <v>-6740.6369896185643</v>
      </c>
      <c r="AS15" s="11">
        <f>'CF DRIVERS'!AS15</f>
        <v>5207.2342630210333</v>
      </c>
    </row>
    <row r="16" spans="1:45" x14ac:dyDescent="0.25">
      <c r="A16" s="3" t="s">
        <v>47</v>
      </c>
      <c r="B16" s="4">
        <f>'YTD CF'!B16</f>
        <v>19328</v>
      </c>
      <c r="C16" s="4">
        <f>'YTD CF'!C16-'YTD CF'!B16</f>
        <v>-26100</v>
      </c>
      <c r="D16" s="4">
        <f>'YTD CF'!D16-'YTD CF'!C16</f>
        <v>-2952</v>
      </c>
      <c r="E16" s="4">
        <f>'CASH FLOW'!C15-'YTD CF'!D16</f>
        <v>28420</v>
      </c>
      <c r="F16" s="4">
        <f>'YTD CF'!E16</f>
        <v>36859</v>
      </c>
      <c r="G16" s="4">
        <f>'YTD CF'!F16-'YTD CF'!E16</f>
        <v>26760</v>
      </c>
      <c r="H16" s="4">
        <f>'YTD CF'!G16-'YTD CF'!F16</f>
        <v>42951</v>
      </c>
      <c r="I16" s="4">
        <f>'CASH FLOW'!D15-'YTD CF'!G16</f>
        <v>7727</v>
      </c>
      <c r="J16" s="4">
        <f>'YTD CF'!H16</f>
        <v>18329</v>
      </c>
      <c r="K16" s="4">
        <f>'YTD CF'!I16-'YTD CF'!H16</f>
        <v>67170</v>
      </c>
      <c r="L16" s="4">
        <f>'YTD CF'!J16-'YTD CF'!I16</f>
        <v>-32836</v>
      </c>
      <c r="M16" s="4">
        <f>'CASH FLOW'!E15-'YTD CF'!J16</f>
        <v>-2898</v>
      </c>
      <c r="N16" s="4">
        <f>'YTD CF'!K16</f>
        <v>51124</v>
      </c>
      <c r="O16" s="4">
        <f>'YTD CF'!L16-'YTD CF'!K16</f>
        <v>81049</v>
      </c>
      <c r="P16" s="4">
        <f>'YTD CF'!M16-'YTD CF'!L16</f>
        <v>-22350</v>
      </c>
      <c r="Q16" s="4">
        <f>'CASH FLOW'!F15-'YTD CF'!M16</f>
        <v>2963</v>
      </c>
      <c r="R16" s="4">
        <f>'YTD CF'!N16</f>
        <v>-9062</v>
      </c>
      <c r="S16" s="4">
        <f>'YTD CF'!O16-'YTD CF'!N16</f>
        <v>-24443</v>
      </c>
      <c r="T16" s="4">
        <f>'YTD CF'!P16-'YTD CF'!O16</f>
        <v>19159</v>
      </c>
      <c r="U16" s="4">
        <f>'CASH FLOW'!G15-'YTD CF'!P16</f>
        <v>-47145</v>
      </c>
      <c r="V16" s="4">
        <f>'YTD CF'!Q16</f>
        <v>11768</v>
      </c>
      <c r="W16" s="4">
        <f>'YTD CF'!R16-'YTD CF'!Q16</f>
        <v>-7435</v>
      </c>
      <c r="X16" s="4">
        <f>'YTD CF'!S16-'YTD CF'!R16</f>
        <v>144242</v>
      </c>
      <c r="Y16" s="4">
        <f>'CASH FLOW'!H15-'YTD CF'!S16</f>
        <v>-70115</v>
      </c>
      <c r="Z16" s="11">
        <f>'CF DRIVERS'!Z16</f>
        <v>13279.785919855116</v>
      </c>
      <c r="AA16" s="11">
        <f>'CF DRIVERS'!AA16</f>
        <v>80282.157586941961</v>
      </c>
      <c r="AB16" s="11">
        <f>'CF DRIVERS'!AB16</f>
        <v>26720.11491572205</v>
      </c>
      <c r="AC16" s="11">
        <f>'CF DRIVERS'!AC16</f>
        <v>-20641.654210914741</v>
      </c>
      <c r="AD16" s="11">
        <f>'CF DRIVERS'!AD16</f>
        <v>15617.708221759414</v>
      </c>
      <c r="AE16" s="11">
        <f>'CF DRIVERS'!AE16</f>
        <v>94415.928101033904</v>
      </c>
      <c r="AF16" s="11">
        <f>'CF DRIVERS'!AF16</f>
        <v>31424.22332137858</v>
      </c>
      <c r="AG16" s="11">
        <f>'CF DRIVERS'!AG16</f>
        <v>-24275.642290175776</v>
      </c>
      <c r="AH16" s="11">
        <f>'CF DRIVERS'!AH16</f>
        <v>18367.224560098141</v>
      </c>
      <c r="AI16" s="11">
        <f>'CF DRIVERS'!AI16</f>
        <v>111037.96593316202</v>
      </c>
      <c r="AJ16" s="11">
        <f>'CF DRIVERS'!AJ16</f>
        <v>36956.495676253107</v>
      </c>
      <c r="AK16" s="11">
        <f>'CF DRIVERS'!AK16</f>
        <v>-28549.398346618982</v>
      </c>
      <c r="AL16" s="11">
        <f>'CF DRIVERS'!AL16</f>
        <v>21600.796560602612</v>
      </c>
      <c r="AM16" s="11">
        <f>'CF DRIVERS'!AM16</f>
        <v>130586.33354088711</v>
      </c>
      <c r="AN16" s="11">
        <f>'CF DRIVERS'!AN16</f>
        <v>43462.731240831083</v>
      </c>
      <c r="AO16" s="11">
        <f>'CF DRIVERS'!AO16</f>
        <v>-33575.554302997421</v>
      </c>
      <c r="AP16" s="11">
        <f>'CF DRIVERS'!AP16</f>
        <v>25403.64280546736</v>
      </c>
      <c r="AQ16" s="11">
        <f>'CF DRIVERS'!AQ16</f>
        <v>153576.21480491222</v>
      </c>
      <c r="AR16" s="11">
        <f>'CF DRIVERS'!AR16</f>
        <v>51114.397410967387</v>
      </c>
      <c r="AS16" s="11">
        <f>'CF DRIVERS'!AS16</f>
        <v>-39486.571067688521</v>
      </c>
    </row>
    <row r="17" spans="1:45" x14ac:dyDescent="0.25">
      <c r="A17" s="3" t="s">
        <v>48</v>
      </c>
      <c r="B17" s="4">
        <f>'YTD CF'!B17</f>
        <v>34500</v>
      </c>
      <c r="C17" s="4">
        <f>'YTD CF'!C17-'YTD CF'!B17</f>
        <v>-2809</v>
      </c>
      <c r="D17" s="4">
        <f>'YTD CF'!D17-'YTD CF'!C17</f>
        <v>21810</v>
      </c>
      <c r="E17" s="4">
        <f>'CASH FLOW'!C16-'YTD CF'!D17</f>
        <v>-27388</v>
      </c>
      <c r="F17" s="4">
        <f>'YTD CF'!E17</f>
        <v>32441</v>
      </c>
      <c r="G17" s="4">
        <f>'YTD CF'!F17-'YTD CF'!E17</f>
        <v>-2558</v>
      </c>
      <c r="H17" s="4">
        <f>'YTD CF'!G17-'YTD CF'!F17</f>
        <v>4202</v>
      </c>
      <c r="I17" s="4">
        <f>'CASH FLOW'!D16-'YTD CF'!G17</f>
        <v>37501</v>
      </c>
      <c r="J17" s="4">
        <f>'YTD CF'!H17</f>
        <v>20603</v>
      </c>
      <c r="K17" s="4">
        <f>'YTD CF'!I17-'YTD CF'!H17</f>
        <v>-21392</v>
      </c>
      <c r="L17" s="4">
        <f>'YTD CF'!J17-'YTD CF'!I17</f>
        <v>-1783</v>
      </c>
      <c r="M17" s="4">
        <f>'CASH FLOW'!E16-'YTD CF'!J17</f>
        <v>-27847</v>
      </c>
      <c r="N17" s="4">
        <f>'YTD CF'!K17</f>
        <v>14207</v>
      </c>
      <c r="O17" s="4">
        <f>'YTD CF'!L17-'YTD CF'!K17</f>
        <v>6284</v>
      </c>
      <c r="P17" s="4">
        <f>'YTD CF'!M17-'YTD CF'!L17</f>
        <v>4206</v>
      </c>
      <c r="Q17" s="4">
        <f>'CASH FLOW'!F16-'YTD CF'!M17</f>
        <v>-35090</v>
      </c>
      <c r="R17" s="4">
        <f>'YTD CF'!N17</f>
        <v>28259</v>
      </c>
      <c r="S17" s="4">
        <f>'YTD CF'!O17-'YTD CF'!N17</f>
        <v>-25544</v>
      </c>
      <c r="T17" s="4">
        <f>'YTD CF'!P17-'YTD CF'!O17</f>
        <v>44034</v>
      </c>
      <c r="U17" s="4">
        <f>'CASH FLOW'!G16-'YTD CF'!P17</f>
        <v>-28378</v>
      </c>
      <c r="V17" s="4">
        <f>'YTD CF'!Q17</f>
        <v>33661</v>
      </c>
      <c r="W17" s="4">
        <f>'YTD CF'!R17-'YTD CF'!Q17</f>
        <v>-5151</v>
      </c>
      <c r="X17" s="4">
        <f>'YTD CF'!S17-'YTD CF'!R17</f>
        <v>70025</v>
      </c>
      <c r="Y17" s="4">
        <f>'CASH FLOW'!H16-'YTD CF'!S17</f>
        <v>-17194</v>
      </c>
      <c r="Z17" s="11">
        <f>'CF DRIVERS'!Z17</f>
        <v>7181.8551263465197</v>
      </c>
      <c r="AA17" s="11">
        <f>'CF DRIVERS'!AA17</f>
        <v>43417.478903623065</v>
      </c>
      <c r="AB17" s="11">
        <f>'CF DRIVERS'!AB17</f>
        <v>14450.533724126464</v>
      </c>
      <c r="AC17" s="11">
        <f>'CF DRIVERS'!AC17</f>
        <v>-11163.234935081447</v>
      </c>
      <c r="AD17" s="11">
        <f>'CF DRIVERS'!AD17</f>
        <v>8446.2293692947133</v>
      </c>
      <c r="AE17" s="11">
        <f>'CF DRIVERS'!AE17</f>
        <v>51061.17834530375</v>
      </c>
      <c r="AF17" s="11">
        <f>'CF DRIVERS'!AF17</f>
        <v>16994.567586716264</v>
      </c>
      <c r="AG17" s="11">
        <f>'CF DRIVERS'!AG17</f>
        <v>-13128.53588749381</v>
      </c>
      <c r="AH17" s="11">
        <f>'CF DRIVERS'!AH17</f>
        <v>9933.1982201967621</v>
      </c>
      <c r="AI17" s="11">
        <f>'CF DRIVERS'!AI17</f>
        <v>60050.560277772252</v>
      </c>
      <c r="AJ17" s="11">
        <f>'CF DRIVERS'!AJ17</f>
        <v>19986.481674186361</v>
      </c>
      <c r="AK17" s="11">
        <f>'CF DRIVERS'!AK17</f>
        <v>-15439.830439074663</v>
      </c>
      <c r="AL17" s="11">
        <f>'CF DRIVERS'!AL17</f>
        <v>11681.949727817962</v>
      </c>
      <c r="AM17" s="11">
        <f>'CF DRIVERS'!AM17</f>
        <v>70622.533723920875</v>
      </c>
      <c r="AN17" s="11">
        <f>'CF DRIVERS'!AN17</f>
        <v>23505.125839437474</v>
      </c>
      <c r="AO17" s="11">
        <f>'CF DRIVERS'!AO17</f>
        <v>-18158.031179582351</v>
      </c>
      <c r="AP17" s="11">
        <f>'CF DRIVERS'!AP17</f>
        <v>13738.57104409649</v>
      </c>
      <c r="AQ17" s="11">
        <f>'CF DRIVERS'!AQ17</f>
        <v>83055.715825394029</v>
      </c>
      <c r="AR17" s="11">
        <f>'CF DRIVERS'!AR17</f>
        <v>27643.231546918978</v>
      </c>
      <c r="AS17" s="11">
        <f>'CF DRIVERS'!AS17</f>
        <v>-21354.774433548911</v>
      </c>
    </row>
    <row r="18" spans="1:45" x14ac:dyDescent="0.25">
      <c r="A18" s="3" t="s">
        <v>49</v>
      </c>
      <c r="B18" s="4">
        <f>'YTD CF'!B18</f>
        <v>9439</v>
      </c>
      <c r="C18" s="4">
        <f>'YTD CF'!C18-'YTD CF'!B18</f>
        <v>-6360</v>
      </c>
      <c r="D18" s="4">
        <f>'YTD CF'!D18-'YTD CF'!C18</f>
        <v>28836</v>
      </c>
      <c r="E18" s="4">
        <f>'CASH FLOW'!C17-'YTD CF'!D18</f>
        <v>-18153</v>
      </c>
      <c r="F18" s="4">
        <f>'YTD CF'!E18</f>
        <v>13965</v>
      </c>
      <c r="G18" s="4">
        <f>'YTD CF'!F18-'YTD CF'!E18</f>
        <v>28700</v>
      </c>
      <c r="H18" s="4">
        <f>'YTD CF'!G18-'YTD CF'!F18</f>
        <v>8357</v>
      </c>
      <c r="I18" s="4">
        <f>'CASH FLOW'!D17-'YTD CF'!G18</f>
        <v>-19524</v>
      </c>
      <c r="J18" s="4">
        <f>'YTD CF'!H18</f>
        <v>61171</v>
      </c>
      <c r="K18" s="4">
        <f>'YTD CF'!I18-'YTD CF'!H18</f>
        <v>16575</v>
      </c>
      <c r="L18" s="4">
        <f>'YTD CF'!J18-'YTD CF'!I18</f>
        <v>11490</v>
      </c>
      <c r="M18" s="4">
        <f>'CASH FLOW'!E17-'YTD CF'!J18</f>
        <v>-38415</v>
      </c>
      <c r="N18" s="4">
        <f>'YTD CF'!K18</f>
        <v>48265</v>
      </c>
      <c r="O18" s="4">
        <f>'YTD CF'!L18-'YTD CF'!K18</f>
        <v>-24622</v>
      </c>
      <c r="P18" s="4">
        <f>'YTD CF'!M18-'YTD CF'!L18</f>
        <v>18782</v>
      </c>
      <c r="Q18" s="4">
        <f>'CASH FLOW'!F17-'YTD CF'!M18</f>
        <v>-34007</v>
      </c>
      <c r="R18" s="4">
        <f>'YTD CF'!N18</f>
        <v>52814</v>
      </c>
      <c r="S18" s="4">
        <f>'YTD CF'!O18-'YTD CF'!N18</f>
        <v>1428</v>
      </c>
      <c r="T18" s="4">
        <f>'YTD CF'!P18-'YTD CF'!O18</f>
        <v>-22750</v>
      </c>
      <c r="U18" s="4">
        <f>'CASH FLOW'!G17-'YTD CF'!P18</f>
        <v>-21756</v>
      </c>
      <c r="V18" s="4">
        <f>'YTD CF'!Q18</f>
        <v>30785</v>
      </c>
      <c r="W18" s="4">
        <f>'YTD CF'!R18-'YTD CF'!Q18</f>
        <v>40731</v>
      </c>
      <c r="X18" s="4">
        <f>'YTD CF'!S18-'YTD CF'!R18</f>
        <v>34290</v>
      </c>
      <c r="Y18" s="4">
        <f>'CASH FLOW'!H17-'YTD CF'!S18</f>
        <v>-7540</v>
      </c>
      <c r="Z18" s="11">
        <f>'CF DRIVERS'!Z18</f>
        <v>9011.6637482264778</v>
      </c>
      <c r="AA18" s="11">
        <f>'CF DRIVERS'!AA18</f>
        <v>54479.478323062183</v>
      </c>
      <c r="AB18" s="11">
        <f>'CF DRIVERS'!AB18</f>
        <v>18132.272040202108</v>
      </c>
      <c r="AC18" s="11">
        <f>'CF DRIVERS'!AC18</f>
        <v>-14007.428137663519</v>
      </c>
      <c r="AD18" s="11">
        <f>'CF DRIVERS'!AD18</f>
        <v>10598.178002401371</v>
      </c>
      <c r="AE18" s="11">
        <f>'CF DRIVERS'!AE18</f>
        <v>64070.656082724745</v>
      </c>
      <c r="AF18" s="11">
        <f>'CF DRIVERS'!AF18</f>
        <v>21324.480366663192</v>
      </c>
      <c r="AG18" s="11">
        <f>'CF DRIVERS'!AG18</f>
        <v>-16473.452728195582</v>
      </c>
      <c r="AH18" s="11">
        <f>'CF DRIVERS'!AH18</f>
        <v>12464.000001408043</v>
      </c>
      <c r="AI18" s="11">
        <f>'CF DRIVERS'!AI18</f>
        <v>75350.372236091294</v>
      </c>
      <c r="AJ18" s="11">
        <f>'CF DRIVERS'!AJ18</f>
        <v>25078.680812861654</v>
      </c>
      <c r="AK18" s="11">
        <f>'CF DRIVERS'!AK18</f>
        <v>-19373.62391732831</v>
      </c>
      <c r="AL18" s="11">
        <f>'CF DRIVERS'!AL18</f>
        <v>14658.302210049704</v>
      </c>
      <c r="AM18" s="11">
        <f>'CF DRIVERS'!AM18</f>
        <v>88615.896000608569</v>
      </c>
      <c r="AN18" s="11">
        <f>'CF DRIVERS'!AN18</f>
        <v>29493.812768194242</v>
      </c>
      <c r="AO18" s="11">
        <f>'CF DRIVERS'!AO18</f>
        <v>-22784.373736518202</v>
      </c>
      <c r="AP18" s="11">
        <f>'CF DRIVERS'!AP18</f>
        <v>17238.913964768406</v>
      </c>
      <c r="AQ18" s="11">
        <f>'CF DRIVERS'!AQ18</f>
        <v>104216.83119740954</v>
      </c>
      <c r="AR18" s="11">
        <f>'CF DRIVERS'!AR18</f>
        <v>34686.234020697419</v>
      </c>
      <c r="AS18" s="11">
        <f>'CF DRIVERS'!AS18</f>
        <v>-26795.590168394847</v>
      </c>
    </row>
    <row r="19" spans="1:45" x14ac:dyDescent="0.25">
      <c r="A19" s="3" t="s">
        <v>122</v>
      </c>
      <c r="B19" s="4">
        <f>'YTD CF'!B19</f>
        <v>-282</v>
      </c>
      <c r="C19" s="4">
        <f>'YTD CF'!C19-'YTD CF'!B19</f>
        <v>142</v>
      </c>
      <c r="D19" s="4">
        <f>'YTD CF'!D19-'YTD CF'!C19</f>
        <v>-10</v>
      </c>
      <c r="F19" s="4">
        <f>'YTD CF'!E19</f>
        <v>0</v>
      </c>
      <c r="G19" s="4">
        <f>'YTD CF'!F19-'YTD CF'!E19</f>
        <v>0</v>
      </c>
      <c r="H19" s="4">
        <f>'YTD CF'!G19-'YTD CF'!F19</f>
        <v>5302</v>
      </c>
      <c r="J19" s="4">
        <f>'YTD CF'!H19</f>
        <v>0</v>
      </c>
      <c r="K19" s="4">
        <f>'YTD CF'!I19-'YTD CF'!H19</f>
        <v>0</v>
      </c>
      <c r="L19" s="4">
        <f>'YTD CF'!J19-'YTD CF'!I19</f>
        <v>0</v>
      </c>
      <c r="N19" s="4">
        <f>'YTD CF'!K19</f>
        <v>0</v>
      </c>
      <c r="O19" s="4">
        <f>'YTD CF'!L19-'YTD CF'!K19</f>
        <v>0</v>
      </c>
      <c r="P19" s="4">
        <f>'YTD CF'!M19-'YTD CF'!L19</f>
        <v>0</v>
      </c>
      <c r="R19" s="4">
        <f>'YTD CF'!N19</f>
        <v>0</v>
      </c>
      <c r="S19" s="4">
        <f>'YTD CF'!O19-'YTD CF'!N19</f>
        <v>0</v>
      </c>
      <c r="T19" s="4">
        <f>'YTD CF'!P19-'YTD CF'!O19</f>
        <v>0</v>
      </c>
      <c r="V19" s="4">
        <f>'YTD CF'!Q19</f>
        <v>0</v>
      </c>
      <c r="W19" s="4">
        <f>'YTD CF'!R19-'YTD CF'!Q19</f>
        <v>0</v>
      </c>
      <c r="X19" s="4">
        <f>'YTD CF'!S19-'YTD CF'!R19</f>
        <v>0</v>
      </c>
      <c r="Z19" s="11">
        <f>'CF DRIVERS'!Z19</f>
        <v>0</v>
      </c>
      <c r="AA19" s="11">
        <f>'CF DRIVERS'!AA19</f>
        <v>0</v>
      </c>
      <c r="AB19" s="11">
        <f>'CF DRIVERS'!AB19</f>
        <v>0</v>
      </c>
      <c r="AC19" s="11">
        <f>'CF DRIVERS'!AC19</f>
        <v>0</v>
      </c>
      <c r="AD19" s="11">
        <f>'CF DRIVERS'!AD19</f>
        <v>0</v>
      </c>
      <c r="AE19" s="11">
        <f>'CF DRIVERS'!AE19</f>
        <v>0</v>
      </c>
      <c r="AF19" s="11">
        <f>'CF DRIVERS'!AF19</f>
        <v>0</v>
      </c>
      <c r="AG19" s="11">
        <f>'CF DRIVERS'!AG19</f>
        <v>0</v>
      </c>
      <c r="AH19" s="11">
        <f>'CF DRIVERS'!AH19</f>
        <v>0</v>
      </c>
      <c r="AI19" s="11">
        <f>'CF DRIVERS'!AI19</f>
        <v>0</v>
      </c>
      <c r="AJ19" s="11">
        <f>'CF DRIVERS'!AJ19</f>
        <v>0</v>
      </c>
      <c r="AK19" s="11">
        <f>'CF DRIVERS'!AK19</f>
        <v>0</v>
      </c>
      <c r="AL19" s="11">
        <f>'CF DRIVERS'!AL19</f>
        <v>0</v>
      </c>
      <c r="AM19" s="11">
        <f>'CF DRIVERS'!AM19</f>
        <v>0</v>
      </c>
      <c r="AN19" s="11">
        <f>'CF DRIVERS'!AN19</f>
        <v>0</v>
      </c>
      <c r="AO19" s="11">
        <f>'CF DRIVERS'!AO19</f>
        <v>0</v>
      </c>
      <c r="AP19" s="11">
        <f>'CF DRIVERS'!AP19</f>
        <v>0</v>
      </c>
      <c r="AQ19" s="11">
        <f>'CF DRIVERS'!AQ19</f>
        <v>0</v>
      </c>
      <c r="AR19" s="11">
        <f>'CF DRIVERS'!AR19</f>
        <v>0</v>
      </c>
      <c r="AS19" s="11">
        <f>'CF DRIVERS'!AS19</f>
        <v>0</v>
      </c>
    </row>
    <row r="20" spans="1:45" x14ac:dyDescent="0.25">
      <c r="A20" s="3" t="s">
        <v>74</v>
      </c>
      <c r="B20" s="4">
        <f>'YTD CF'!B20</f>
        <v>-24807</v>
      </c>
      <c r="C20" s="4">
        <f>'YTD CF'!C20-'YTD CF'!B20</f>
        <v>13875</v>
      </c>
      <c r="D20" s="4">
        <f>'YTD CF'!D20-'YTD CF'!C20</f>
        <v>9718</v>
      </c>
      <c r="E20" s="4">
        <f>'CASH FLOW'!C18-'YTD CF'!D20</f>
        <v>8715</v>
      </c>
      <c r="F20" s="4">
        <f>'YTD CF'!E20</f>
        <v>-24443</v>
      </c>
      <c r="G20" s="4">
        <f>'YTD CF'!F20-'YTD CF'!E20</f>
        <v>13661</v>
      </c>
      <c r="H20" s="4">
        <f>'YTD CF'!G20-'YTD CF'!F20</f>
        <v>7894</v>
      </c>
      <c r="I20" s="4">
        <f>'CASH FLOW'!D18-'YTD CF'!G20</f>
        <v>10838</v>
      </c>
      <c r="J20" s="4">
        <f>'YTD CF'!H20</f>
        <v>-32122</v>
      </c>
      <c r="K20" s="4">
        <f>'YTD CF'!I20-'YTD CF'!H20</f>
        <v>16811</v>
      </c>
      <c r="L20" s="4">
        <f>'YTD CF'!J20-'YTD CF'!I20</f>
        <v>8675</v>
      </c>
      <c r="M20" s="4">
        <f>'CASH FLOW'!E18-'YTD CF'!J20</f>
        <v>10365</v>
      </c>
      <c r="N20" s="4">
        <f>'YTD CF'!K20</f>
        <v>-30261</v>
      </c>
      <c r="O20" s="4">
        <f>'YTD CF'!L20-'YTD CF'!K20</f>
        <v>12645</v>
      </c>
      <c r="P20" s="4">
        <f>'YTD CF'!M20-'YTD CF'!L20</f>
        <v>21139</v>
      </c>
      <c r="Q20" s="4">
        <f>'CASH FLOW'!F18-'YTD CF'!M20</f>
        <v>9875</v>
      </c>
      <c r="R20" s="4">
        <f>'YTD CF'!N20</f>
        <v>-35653</v>
      </c>
      <c r="S20" s="4">
        <f>'YTD CF'!O20-'YTD CF'!N20</f>
        <v>8699</v>
      </c>
      <c r="T20" s="4">
        <f>'YTD CF'!P20-'YTD CF'!O20</f>
        <v>20911</v>
      </c>
      <c r="U20" s="4">
        <f>'CASH FLOW'!G18-'YTD CF'!P20</f>
        <v>11990</v>
      </c>
      <c r="V20" s="4">
        <f>'YTD CF'!Q20</f>
        <v>-37338</v>
      </c>
      <c r="W20" s="4">
        <f>'YTD CF'!R20-'YTD CF'!Q20</f>
        <v>15192</v>
      </c>
      <c r="X20" s="4">
        <f>'YTD CF'!S20-'YTD CF'!R20</f>
        <v>28580</v>
      </c>
      <c r="Y20" s="4">
        <f>'CASH FLOW'!H18-'YTD CF'!S20</f>
        <v>11367</v>
      </c>
      <c r="Z20" s="11">
        <f>'CF DRIVERS'!Z20</f>
        <v>2675.3897351108608</v>
      </c>
      <c r="AA20" s="11">
        <f>'CF DRIVERS'!AA20</f>
        <v>16173.909851929406</v>
      </c>
      <c r="AB20" s="11">
        <f>'CF DRIVERS'!AB20</f>
        <v>5383.123011013522</v>
      </c>
      <c r="AC20" s="11">
        <f>'CF DRIVERS'!AC20</f>
        <v>-4158.5361484646273</v>
      </c>
      <c r="AD20" s="11">
        <f>'CF DRIVERS'!AD20</f>
        <v>3146.3953195193899</v>
      </c>
      <c r="AE20" s="11">
        <f>'CF DRIVERS'!AE20</f>
        <v>19021.346157004009</v>
      </c>
      <c r="AF20" s="11">
        <f>'CF DRIVERS'!AF20</f>
        <v>6330.8282991330489</v>
      </c>
      <c r="AG20" s="11">
        <f>'CF DRIVERS'!AG20</f>
        <v>-4890.6514448591333</v>
      </c>
      <c r="AH20" s="11">
        <f>'CF DRIVERS'!AH20</f>
        <v>3700.3220042194298</v>
      </c>
      <c r="AI20" s="11">
        <f>'CF DRIVERS'!AI20</f>
        <v>22370.077052297303</v>
      </c>
      <c r="AJ20" s="11">
        <f>'CF DRIVERS'!AJ20</f>
        <v>7445.3782443953678</v>
      </c>
      <c r="AK20" s="11">
        <f>'CF DRIVERS'!AK20</f>
        <v>-5751.6565207527892</v>
      </c>
      <c r="AL20" s="11">
        <f>'CF DRIVERS'!AL20</f>
        <v>4351.768148765841</v>
      </c>
      <c r="AM20" s="11">
        <f>'CF DRIVERS'!AM20</f>
        <v>26308.356054045871</v>
      </c>
      <c r="AN20" s="11">
        <f>'CF DRIVERS'!AN20</f>
        <v>8756.146049594623</v>
      </c>
      <c r="AO20" s="11">
        <f>'CF DRIVERS'!AO20</f>
        <v>-6764.242577027675</v>
      </c>
      <c r="AP20" s="11">
        <f>'CF DRIVERS'!AP20</f>
        <v>5117.9021714916453</v>
      </c>
      <c r="AQ20" s="11">
        <f>'CF DRIVERS'!AQ20</f>
        <v>30939.973816289275</v>
      </c>
      <c r="AR20" s="11">
        <f>'CF DRIVERS'!AR20</f>
        <v>10297.676105246384</v>
      </c>
      <c r="AS20" s="11">
        <f>'CF DRIVERS'!AS20</f>
        <v>-7955.0956278045196</v>
      </c>
    </row>
    <row r="21" spans="1:45" x14ac:dyDescent="0.25">
      <c r="A21" s="3" t="s">
        <v>75</v>
      </c>
      <c r="B21" s="4">
        <f>'YTD CF'!B21</f>
        <v>-1552</v>
      </c>
      <c r="C21" s="4">
        <f>'YTD CF'!C21-'YTD CF'!B21</f>
        <v>9830</v>
      </c>
      <c r="D21" s="4">
        <f>'YTD CF'!D21-'YTD CF'!C21</f>
        <v>9691</v>
      </c>
      <c r="E21" s="4">
        <f>'CASH FLOW'!C19-'YTD CF'!D21</f>
        <v>-7547</v>
      </c>
      <c r="F21" s="4">
        <f>'YTD CF'!E21</f>
        <v>-13287</v>
      </c>
      <c r="G21" s="4">
        <f>'YTD CF'!F21-'YTD CF'!E21</f>
        <v>20983</v>
      </c>
      <c r="H21" s="4">
        <f>'YTD CF'!G21-'YTD CF'!F21</f>
        <v>-7810</v>
      </c>
      <c r="I21" s="4">
        <f>'CASH FLOW'!D19-'YTD CF'!G21</f>
        <v>7335</v>
      </c>
      <c r="J21" s="4">
        <f>'YTD CF'!H21</f>
        <v>-9818</v>
      </c>
      <c r="K21" s="4">
        <f>'YTD CF'!I21-'YTD CF'!H21</f>
        <v>-4848</v>
      </c>
      <c r="L21" s="4">
        <f>'YTD CF'!J21-'YTD CF'!I21</f>
        <v>1843</v>
      </c>
      <c r="M21" s="4">
        <f>'CASH FLOW'!E19-'YTD CF'!J21</f>
        <v>-4037</v>
      </c>
      <c r="N21" s="4">
        <f>'YTD CF'!K21</f>
        <v>41617</v>
      </c>
      <c r="O21" s="4">
        <f>'YTD CF'!L21-'YTD CF'!K21</f>
        <v>-42836</v>
      </c>
      <c r="P21" s="4">
        <f>'YTD CF'!M21-'YTD CF'!L21</f>
        <v>5436</v>
      </c>
      <c r="Q21" s="4">
        <f>'CASH FLOW'!F19-'YTD CF'!M21</f>
        <v>-2469</v>
      </c>
      <c r="R21" s="4">
        <f>'YTD CF'!N21</f>
        <v>60512</v>
      </c>
      <c r="S21" s="4">
        <f>'YTD CF'!O21-'YTD CF'!N21</f>
        <v>-49164</v>
      </c>
      <c r="T21" s="4">
        <f>'YTD CF'!P21-'YTD CF'!O21</f>
        <v>-7135</v>
      </c>
      <c r="U21" s="4">
        <f>'CASH FLOW'!G19-'YTD CF'!P21</f>
        <v>5225</v>
      </c>
      <c r="V21" s="4">
        <f>'YTD CF'!Q21</f>
        <v>61674</v>
      </c>
      <c r="W21" s="4">
        <f>'YTD CF'!R21-'YTD CF'!Q21</f>
        <v>-40618</v>
      </c>
      <c r="X21" s="4">
        <f>'YTD CF'!S21-'YTD CF'!R21</f>
        <v>12305</v>
      </c>
      <c r="Y21" s="4">
        <f>'CASH FLOW'!H19-'YTD CF'!S21</f>
        <v>-5582</v>
      </c>
      <c r="Z21" s="11">
        <f>'CF DRIVERS'!Z21</f>
        <v>0</v>
      </c>
      <c r="AA21" s="11">
        <f>'CF DRIVERS'!AA21</f>
        <v>0</v>
      </c>
      <c r="AB21" s="11">
        <f>'CF DRIVERS'!AB21</f>
        <v>0</v>
      </c>
      <c r="AC21" s="11">
        <f>'CF DRIVERS'!AC21</f>
        <v>0</v>
      </c>
      <c r="AD21" s="11">
        <f>'CF DRIVERS'!AD21</f>
        <v>0</v>
      </c>
      <c r="AE21" s="11">
        <f>'CF DRIVERS'!AE21</f>
        <v>0</v>
      </c>
      <c r="AF21" s="11">
        <f>'CF DRIVERS'!AF21</f>
        <v>0</v>
      </c>
      <c r="AG21" s="11">
        <f>'CF DRIVERS'!AG21</f>
        <v>0</v>
      </c>
      <c r="AH21" s="11">
        <f>'CF DRIVERS'!AH21</f>
        <v>0</v>
      </c>
      <c r="AI21" s="11">
        <f>'CF DRIVERS'!AI21</f>
        <v>0</v>
      </c>
      <c r="AJ21" s="11">
        <f>'CF DRIVERS'!AJ21</f>
        <v>0</v>
      </c>
      <c r="AK21" s="11">
        <f>'CF DRIVERS'!AK21</f>
        <v>0</v>
      </c>
      <c r="AL21" s="11">
        <f>'CF DRIVERS'!AL21</f>
        <v>0</v>
      </c>
      <c r="AM21" s="11">
        <f>'CF DRIVERS'!AM21</f>
        <v>0</v>
      </c>
      <c r="AN21" s="11">
        <f>'CF DRIVERS'!AN21</f>
        <v>0</v>
      </c>
      <c r="AO21" s="11">
        <f>'CF DRIVERS'!AO21</f>
        <v>0</v>
      </c>
      <c r="AP21" s="11">
        <f>'CF DRIVERS'!AP21</f>
        <v>0</v>
      </c>
      <c r="AQ21" s="11">
        <f>'CF DRIVERS'!AQ21</f>
        <v>0</v>
      </c>
      <c r="AR21" s="11">
        <f>'CF DRIVERS'!AR21</f>
        <v>0</v>
      </c>
      <c r="AS21" s="11">
        <f>'CF DRIVERS'!AS21</f>
        <v>0</v>
      </c>
    </row>
    <row r="22" spans="1:45" x14ac:dyDescent="0.25">
      <c r="A22" s="3" t="s">
        <v>76</v>
      </c>
      <c r="B22" s="4">
        <f>'YTD CF'!B22</f>
        <v>-192</v>
      </c>
      <c r="C22" s="4">
        <f>'YTD CF'!C22-'YTD CF'!B22</f>
        <v>275</v>
      </c>
      <c r="D22" s="4">
        <f>'YTD CF'!D22-'YTD CF'!C22</f>
        <v>-645</v>
      </c>
      <c r="E22" s="4">
        <f>'CASH FLOW'!C20-'YTD CF'!D22</f>
        <v>206</v>
      </c>
      <c r="F22" s="4">
        <f>'YTD CF'!E22</f>
        <v>504</v>
      </c>
      <c r="G22" s="4">
        <f>'YTD CF'!F22-'YTD CF'!E22</f>
        <v>117</v>
      </c>
      <c r="H22" s="4">
        <f>'YTD CF'!G22-'YTD CF'!F22</f>
        <v>-47</v>
      </c>
      <c r="I22" s="4">
        <f>'CASH FLOW'!D20-'YTD CF'!G22</f>
        <v>-82</v>
      </c>
      <c r="J22" s="4">
        <f>'YTD CF'!H22</f>
        <v>-596</v>
      </c>
      <c r="K22" s="4">
        <f>'YTD CF'!I22-'YTD CF'!H22</f>
        <v>-2615</v>
      </c>
      <c r="L22" s="4">
        <f>'YTD CF'!J22-'YTD CF'!I22</f>
        <v>-281</v>
      </c>
      <c r="M22" s="4">
        <f>'CASH FLOW'!E20-'YTD CF'!J22</f>
        <v>-1048</v>
      </c>
      <c r="N22" s="4">
        <f>'YTD CF'!K22</f>
        <v>-751</v>
      </c>
      <c r="O22" s="4">
        <f>'YTD CF'!L22-'YTD CF'!K22</f>
        <v>494</v>
      </c>
      <c r="P22" s="4">
        <f>'YTD CF'!M22-'YTD CF'!L22</f>
        <v>-3379</v>
      </c>
      <c r="Q22" s="4">
        <f>'CASH FLOW'!F20-'YTD CF'!M22</f>
        <v>26587</v>
      </c>
      <c r="R22" s="4">
        <f>'YTD CF'!N22</f>
        <v>335</v>
      </c>
      <c r="S22" s="4">
        <f>'YTD CF'!O22-'YTD CF'!N22</f>
        <v>-1798</v>
      </c>
      <c r="T22" s="4">
        <f>'YTD CF'!P22-'YTD CF'!O22</f>
        <v>-940</v>
      </c>
      <c r="U22" s="4">
        <f>'CASH FLOW'!G20-'YTD CF'!P22</f>
        <v>15793</v>
      </c>
      <c r="V22" s="4">
        <f>'YTD CF'!Q22</f>
        <v>-1885</v>
      </c>
      <c r="W22" s="4">
        <f>'YTD CF'!R22-'YTD CF'!Q22</f>
        <v>303</v>
      </c>
      <c r="X22" s="4">
        <f>'YTD CF'!S22-'YTD CF'!R22</f>
        <v>-495</v>
      </c>
      <c r="Y22" s="4">
        <f>'CASH FLOW'!H20-'YTD CF'!S22</f>
        <v>-2858</v>
      </c>
      <c r="Z22" s="11">
        <f>'CF DRIVERS'!Z22</f>
        <v>0</v>
      </c>
      <c r="AA22" s="11">
        <f>'CF DRIVERS'!AA22</f>
        <v>0</v>
      </c>
      <c r="AB22" s="11">
        <f>'CF DRIVERS'!AB22</f>
        <v>0</v>
      </c>
      <c r="AC22" s="11">
        <f>'CF DRIVERS'!AC22</f>
        <v>0</v>
      </c>
      <c r="AD22" s="11">
        <f>'CF DRIVERS'!AD22</f>
        <v>0</v>
      </c>
      <c r="AE22" s="11">
        <f>'CF DRIVERS'!AE22</f>
        <v>0</v>
      </c>
      <c r="AF22" s="11">
        <f>'CF DRIVERS'!AF22</f>
        <v>0</v>
      </c>
      <c r="AG22" s="11">
        <f>'CF DRIVERS'!AG22</f>
        <v>0</v>
      </c>
      <c r="AH22" s="11">
        <f>'CF DRIVERS'!AH22</f>
        <v>0</v>
      </c>
      <c r="AI22" s="11">
        <f>'CF DRIVERS'!AI22</f>
        <v>0</v>
      </c>
      <c r="AJ22" s="11">
        <f>'CF DRIVERS'!AJ22</f>
        <v>0</v>
      </c>
      <c r="AK22" s="11">
        <f>'CF DRIVERS'!AK22</f>
        <v>0</v>
      </c>
      <c r="AL22" s="11">
        <f>'CF DRIVERS'!AL22</f>
        <v>0</v>
      </c>
      <c r="AM22" s="11">
        <f>'CF DRIVERS'!AM22</f>
        <v>0</v>
      </c>
      <c r="AN22" s="11">
        <f>'CF DRIVERS'!AN22</f>
        <v>0</v>
      </c>
      <c r="AO22" s="11">
        <f>'CF DRIVERS'!AO22</f>
        <v>0</v>
      </c>
      <c r="AP22" s="11">
        <f>'CF DRIVERS'!AP22</f>
        <v>0</v>
      </c>
      <c r="AQ22" s="11">
        <f>'CF DRIVERS'!AQ22</f>
        <v>0</v>
      </c>
      <c r="AR22" s="11">
        <f>'CF DRIVERS'!AR22</f>
        <v>0</v>
      </c>
      <c r="AS22" s="11">
        <f>'CF DRIVERS'!AS22</f>
        <v>0</v>
      </c>
    </row>
    <row r="23" spans="1:45" x14ac:dyDescent="0.25">
      <c r="A23" s="3" t="s">
        <v>77</v>
      </c>
      <c r="B23" s="4">
        <f>'YTD CF'!B23</f>
        <v>-4273</v>
      </c>
      <c r="C23" s="4">
        <f>'YTD CF'!C23-'YTD CF'!B23</f>
        <v>-6110</v>
      </c>
      <c r="D23" s="4">
        <f>'YTD CF'!D23-'YTD CF'!C23</f>
        <v>-4853</v>
      </c>
      <c r="E23" s="4">
        <f>'CASH FLOW'!C21-'YTD CF'!D23</f>
        <v>-6244</v>
      </c>
      <c r="F23" s="4">
        <f>'YTD CF'!E23</f>
        <v>-5250</v>
      </c>
      <c r="G23" s="4">
        <f>'YTD CF'!F23-'YTD CF'!E23</f>
        <v>-5672</v>
      </c>
      <c r="H23" s="4">
        <f>'YTD CF'!G23-'YTD CF'!F23</f>
        <v>-6862</v>
      </c>
      <c r="I23" s="4">
        <f>'CASH FLOW'!D21-'YTD CF'!G23</f>
        <v>-4874</v>
      </c>
      <c r="J23" s="4">
        <f>'YTD CF'!H23</f>
        <v>-5915</v>
      </c>
      <c r="K23" s="4">
        <f>'YTD CF'!I23-'YTD CF'!H23</f>
        <v>-3186</v>
      </c>
      <c r="L23" s="4">
        <f>'YTD CF'!J23-'YTD CF'!I23</f>
        <v>-6959</v>
      </c>
      <c r="M23" s="4">
        <f>'CASH FLOW'!E21-'YTD CF'!J23</f>
        <v>-3845</v>
      </c>
      <c r="N23" s="4">
        <f>'YTD CF'!K23</f>
        <v>-5046</v>
      </c>
      <c r="O23" s="4">
        <f>'YTD CF'!L23-'YTD CF'!K23</f>
        <v>-7315</v>
      </c>
      <c r="P23" s="4">
        <f>'YTD CF'!M23-'YTD CF'!L23</f>
        <v>-6959</v>
      </c>
      <c r="Q23" s="4">
        <f>'CASH FLOW'!F21-'YTD CF'!M23</f>
        <v>-5152</v>
      </c>
      <c r="R23" s="4">
        <f>'YTD CF'!N23</f>
        <v>-3036</v>
      </c>
      <c r="S23" s="4">
        <f>'YTD CF'!O23-'YTD CF'!N23</f>
        <v>-4695</v>
      </c>
      <c r="T23" s="4">
        <f>'YTD CF'!P23-'YTD CF'!O23</f>
        <v>-4921</v>
      </c>
      <c r="U23" s="4">
        <f>'CASH FLOW'!G21-'YTD CF'!P23</f>
        <v>-4708</v>
      </c>
      <c r="V23" s="4">
        <f>'YTD CF'!Q23</f>
        <v>-4339</v>
      </c>
      <c r="W23" s="4">
        <f>'YTD CF'!R23-'YTD CF'!Q23</f>
        <v>-4259</v>
      </c>
      <c r="X23" s="4">
        <f>'YTD CF'!S23-'YTD CF'!R23</f>
        <v>-7309</v>
      </c>
      <c r="Y23" s="4">
        <f>'CASH FLOW'!H21-'YTD CF'!S23</f>
        <v>-7098</v>
      </c>
      <c r="Z23" s="11">
        <f>'CF DRIVERS'!Z23</f>
        <v>0</v>
      </c>
      <c r="AA23" s="11">
        <f>'CF DRIVERS'!AA23</f>
        <v>0</v>
      </c>
      <c r="AB23" s="11">
        <f>'CF DRIVERS'!AB23</f>
        <v>0</v>
      </c>
      <c r="AC23" s="11">
        <f>'CF DRIVERS'!AC23</f>
        <v>0</v>
      </c>
      <c r="AD23" s="11">
        <f>'CF DRIVERS'!AD23</f>
        <v>0</v>
      </c>
      <c r="AE23" s="11">
        <f>'CF DRIVERS'!AE23</f>
        <v>0</v>
      </c>
      <c r="AF23" s="11">
        <f>'CF DRIVERS'!AF23</f>
        <v>0</v>
      </c>
      <c r="AG23" s="11">
        <f>'CF DRIVERS'!AG23</f>
        <v>0</v>
      </c>
      <c r="AH23" s="11">
        <f>'CF DRIVERS'!AH23</f>
        <v>0</v>
      </c>
      <c r="AI23" s="11">
        <f>'CF DRIVERS'!AI23</f>
        <v>0</v>
      </c>
      <c r="AJ23" s="11">
        <f>'CF DRIVERS'!AJ23</f>
        <v>0</v>
      </c>
      <c r="AK23" s="11">
        <f>'CF DRIVERS'!AK23</f>
        <v>0</v>
      </c>
      <c r="AL23" s="11">
        <f>'CF DRIVERS'!AL23</f>
        <v>0</v>
      </c>
      <c r="AM23" s="11">
        <f>'CF DRIVERS'!AM23</f>
        <v>0</v>
      </c>
      <c r="AN23" s="11">
        <f>'CF DRIVERS'!AN23</f>
        <v>0</v>
      </c>
      <c r="AO23" s="11">
        <f>'CF DRIVERS'!AO23</f>
        <v>0</v>
      </c>
      <c r="AP23" s="11">
        <f>'CF DRIVERS'!AP23</f>
        <v>0</v>
      </c>
      <c r="AQ23" s="11">
        <f>'CF DRIVERS'!AQ23</f>
        <v>0</v>
      </c>
      <c r="AR23" s="11">
        <f>'CF DRIVERS'!AR23</f>
        <v>0</v>
      </c>
      <c r="AS23" s="11">
        <f>'CF DRIVERS'!AS23</f>
        <v>0</v>
      </c>
    </row>
    <row r="24" spans="1:45" x14ac:dyDescent="0.25">
      <c r="A24" s="3" t="s">
        <v>78</v>
      </c>
      <c r="B24" s="6">
        <f>'YTD CF'!B24</f>
        <v>191132</v>
      </c>
      <c r="C24" s="6">
        <f>'YTD CF'!C24-'YTD CF'!B24</f>
        <v>249326</v>
      </c>
      <c r="D24" s="6">
        <f>'YTD CF'!D24-'YTD CF'!C24</f>
        <v>508778</v>
      </c>
      <c r="E24" s="6">
        <f>'CASH FLOW'!C22-'YTD CF'!D24</f>
        <v>414927</v>
      </c>
      <c r="F24" s="6">
        <f>'YTD CF'!E24</f>
        <v>175473</v>
      </c>
      <c r="G24" s="6">
        <f>'YTD CF'!F24-'YTD CF'!E24</f>
        <v>411113</v>
      </c>
      <c r="H24" s="6">
        <f>'YTD CF'!G24-'YTD CF'!F24</f>
        <v>341396</v>
      </c>
      <c r="I24" s="6">
        <f>'CASH FLOW'!D22-'YTD CF'!G24</f>
        <v>227759</v>
      </c>
      <c r="J24" s="6">
        <f>'YTD CF'!H24</f>
        <v>-351</v>
      </c>
      <c r="K24" s="6">
        <f>'YTD CF'!I24-'YTD CF'!H24</f>
        <v>131014</v>
      </c>
      <c r="L24" s="6">
        <f>'YTD CF'!J24-'YTD CF'!I24</f>
        <v>458523</v>
      </c>
      <c r="M24" s="6">
        <f>'CASH FLOW'!E22-'YTD CF'!J24</f>
        <v>298513</v>
      </c>
      <c r="N24" s="6">
        <f>'YTD CF'!K24</f>
        <v>424475</v>
      </c>
      <c r="O24" s="6">
        <f>'YTD CF'!L24-'YTD CF'!K24</f>
        <v>338687</v>
      </c>
      <c r="P24" s="6">
        <f>'YTD CF'!M24-'YTD CF'!L24</f>
        <v>520264</v>
      </c>
      <c r="Q24" s="6">
        <f>'CASH FLOW'!F22-'YTD CF'!M24</f>
        <v>434327</v>
      </c>
      <c r="R24" s="6">
        <f>'YTD CF'!N24</f>
        <v>412142</v>
      </c>
      <c r="S24" s="6">
        <f>'YTD CF'!O24-'YTD CF'!N24</f>
        <v>436291</v>
      </c>
      <c r="T24" s="6">
        <f>'YTD CF'!P24-'YTD CF'!O24</f>
        <v>618399</v>
      </c>
      <c r="U24" s="6">
        <f>'CASH FLOW'!G22-'YTD CF'!P24</f>
        <v>461701</v>
      </c>
      <c r="V24" s="6">
        <f>'YTD CF'!Q24</f>
        <v>507600</v>
      </c>
      <c r="W24" s="6">
        <f>'YTD CF'!R24-'YTD CF'!Q24</f>
        <v>466016</v>
      </c>
      <c r="X24" s="6">
        <f>'YTD CF'!S24-'YTD CF'!R24</f>
        <v>745146</v>
      </c>
      <c r="Y24" s="6">
        <f>'CASH FLOW'!H22-'YTD CF'!S24</f>
        <v>379415</v>
      </c>
      <c r="Z24" s="7">
        <f t="shared" ref="Z24:AS24" si="0">SUM(Z2:Z23)</f>
        <v>507366.04979337979</v>
      </c>
      <c r="AA24" s="7">
        <f t="shared" si="0"/>
        <v>433233.00936874747</v>
      </c>
      <c r="AB24" s="7">
        <f t="shared" si="0"/>
        <v>572854.57586070639</v>
      </c>
      <c r="AC24" s="7">
        <f t="shared" si="0"/>
        <v>657177.62129324151</v>
      </c>
      <c r="AD24" s="7">
        <f t="shared" si="0"/>
        <v>592457.61741658114</v>
      </c>
      <c r="AE24" s="7">
        <f t="shared" si="0"/>
        <v>505273.36595867545</v>
      </c>
      <c r="AF24" s="7">
        <f t="shared" si="0"/>
        <v>669475.47735537635</v>
      </c>
      <c r="AG24" s="7">
        <f t="shared" si="0"/>
        <v>768643.69647301291</v>
      </c>
      <c r="AH24" s="7">
        <f t="shared" si="0"/>
        <v>692529.65798195684</v>
      </c>
      <c r="AI24" s="7">
        <f t="shared" si="0"/>
        <v>589996.51407289389</v>
      </c>
      <c r="AJ24" s="7">
        <f t="shared" si="0"/>
        <v>783106.60490321869</v>
      </c>
      <c r="AK24" s="7">
        <f t="shared" si="0"/>
        <v>899733.50840887695</v>
      </c>
      <c r="AL24" s="7">
        <f t="shared" si="0"/>
        <v>810219.50178955751</v>
      </c>
      <c r="AM24" s="7">
        <f t="shared" si="0"/>
        <v>689635.27443110279</v>
      </c>
      <c r="AN24" s="7">
        <f t="shared" si="0"/>
        <v>916742.62928357895</v>
      </c>
      <c r="AO24" s="7">
        <f t="shared" si="0"/>
        <v>1053901.8395864605</v>
      </c>
      <c r="AP24" s="7">
        <f t="shared" si="0"/>
        <v>948628.78431446548</v>
      </c>
      <c r="AQ24" s="7">
        <f t="shared" si="0"/>
        <v>806815.55852933368</v>
      </c>
      <c r="AR24" s="7">
        <f t="shared" si="0"/>
        <v>1073905.4366725073</v>
      </c>
      <c r="AS24" s="7">
        <f t="shared" si="0"/>
        <v>1235211.6911080228</v>
      </c>
    </row>
    <row r="25" spans="1:45" x14ac:dyDescent="0.25">
      <c r="A25" s="3" t="s">
        <v>79</v>
      </c>
      <c r="B25" s="4">
        <f>'YTD CF'!B25</f>
        <v>298837</v>
      </c>
      <c r="C25" s="4">
        <f>'YTD CF'!C25-'YTD CF'!B25</f>
        <v>-5194</v>
      </c>
      <c r="D25" s="4">
        <f>'YTD CF'!D25-'YTD CF'!C25</f>
        <v>-347061</v>
      </c>
      <c r="E25" s="4">
        <f>'CASH FLOW'!C23-'YTD CF'!D25</f>
        <v>-326367</v>
      </c>
      <c r="F25" s="4">
        <f>'YTD CF'!E25</f>
        <v>-114819</v>
      </c>
      <c r="G25" s="4">
        <f>'YTD CF'!F25-'YTD CF'!E25</f>
        <v>-19683</v>
      </c>
      <c r="H25" s="4">
        <f>'YTD CF'!G25-'YTD CF'!F25</f>
        <v>-192293</v>
      </c>
      <c r="I25" s="4">
        <f>'CASH FLOW'!D23-'YTD CF'!G25</f>
        <v>-597749</v>
      </c>
      <c r="J25" s="4">
        <f>'YTD CF'!H25</f>
        <v>62883</v>
      </c>
      <c r="K25" s="4">
        <f>'YTD CF'!I25-'YTD CF'!H25</f>
        <v>382557</v>
      </c>
      <c r="L25" s="4">
        <f>'YTD CF'!J25-'YTD CF'!I25</f>
        <v>-15407</v>
      </c>
      <c r="M25" s="4">
        <f>'CASH FLOW'!E23-'YTD CF'!J25</f>
        <v>-24745</v>
      </c>
      <c r="N25" s="4">
        <f>'YTD CF'!K25</f>
        <v>3750</v>
      </c>
      <c r="O25" s="4">
        <f>'YTD CF'!L25-'YTD CF'!K25</f>
        <v>-57073</v>
      </c>
      <c r="P25" s="4">
        <f>'YTD CF'!M25-'YTD CF'!L25</f>
        <v>194128</v>
      </c>
      <c r="Q25" s="4">
        <f>'CASH FLOW'!F23-'YTD CF'!M25</f>
        <v>268214</v>
      </c>
      <c r="R25" s="4">
        <f>'YTD CF'!N25</f>
        <v>39897</v>
      </c>
      <c r="S25" s="4">
        <f>'YTD CF'!O25-'YTD CF'!N25</f>
        <v>995897</v>
      </c>
      <c r="T25" s="4">
        <f>'YTD CF'!P25-'YTD CF'!O25</f>
        <v>0</v>
      </c>
      <c r="U25" s="4">
        <f>'CASH FLOW'!G23-'YTD CF'!P25</f>
        <v>0</v>
      </c>
      <c r="V25" s="4">
        <f>'YTD CF'!Q25</f>
        <v>0</v>
      </c>
      <c r="W25" s="4">
        <f>'YTD CF'!R25-'YTD CF'!Q25</f>
        <v>-283097</v>
      </c>
      <c r="X25" s="4">
        <f>'YTD CF'!S25-'YTD CF'!R25</f>
        <v>-314606</v>
      </c>
      <c r="Y25" s="4">
        <f>'CASH FLOW'!H23-'YTD CF'!S25</f>
        <v>-565447</v>
      </c>
      <c r="Z25" s="11">
        <f>'CF DRIVERS'!Z24</f>
        <v>-11434.491323871829</v>
      </c>
      <c r="AA25" s="11">
        <f>'CF DRIVERS'!AA24</f>
        <v>-69126.538630196534</v>
      </c>
      <c r="AB25" s="11">
        <f>'CF DRIVERS'!AB24</f>
        <v>-23007.21743713296</v>
      </c>
      <c r="AC25" s="11">
        <f>'CF DRIVERS'!AC24</f>
        <v>17773.390129141626</v>
      </c>
      <c r="AD25" s="11">
        <f>'CF DRIVERS'!AD24</f>
        <v>-13447.547290161252</v>
      </c>
      <c r="AE25" s="11">
        <f>'CF DRIVERS'!AE24</f>
        <v>-81296.348994032829</v>
      </c>
      <c r="AF25" s="11">
        <f>'CF DRIVERS'!AF24</f>
        <v>-27057.665770837688</v>
      </c>
      <c r="AG25" s="11">
        <f>'CF DRIVERS'!AG24</f>
        <v>20902.416863016784</v>
      </c>
      <c r="AH25" s="11">
        <f>'CF DRIVERS'!AH24</f>
        <v>-15815.004183316021</v>
      </c>
      <c r="AI25" s="11">
        <f>'CF DRIVERS'!AI24</f>
        <v>-95608.669126570923</v>
      </c>
      <c r="AJ25" s="11">
        <f>'CF DRIVERS'!AJ24</f>
        <v>-31821.200410995632</v>
      </c>
      <c r="AK25" s="11">
        <f>'CF DRIVERS'!AK24</f>
        <v>24582.312521174899</v>
      </c>
      <c r="AL25" s="11">
        <f>'CF DRIVERS'!AL24</f>
        <v>-18599.254713258706</v>
      </c>
      <c r="AM25" s="11">
        <f>'CF DRIVERS'!AM24</f>
        <v>-112440.69045247114</v>
      </c>
      <c r="AN25" s="11">
        <f>'CF DRIVERS'!AN24</f>
        <v>-37423.3610605133</v>
      </c>
      <c r="AO25" s="11">
        <f>'CF DRIVERS'!AO24</f>
        <v>28910.058241059422</v>
      </c>
      <c r="AP25" s="11">
        <f>'CF DRIVERS'!AP24</f>
        <v>-21873.675901623676</v>
      </c>
      <c r="AQ25" s="11">
        <f>'CF DRIVERS'!AQ24</f>
        <v>-132236.00940089661</v>
      </c>
      <c r="AR25" s="11">
        <f>'CF DRIVERS'!AR24</f>
        <v>-44011.788838160923</v>
      </c>
      <c r="AS25" s="11">
        <f>'CF DRIVERS'!AS24</f>
        <v>33999.708806138486</v>
      </c>
    </row>
    <row r="26" spans="1:45" x14ac:dyDescent="0.25">
      <c r="A26" s="3" t="s">
        <v>80</v>
      </c>
      <c r="B26" s="4">
        <f>'YTD CF'!B26</f>
        <v>0</v>
      </c>
      <c r="C26" s="4">
        <f>'YTD CF'!C26-'YTD CF'!B26</f>
        <v>0</v>
      </c>
      <c r="D26" s="4">
        <f>'YTD CF'!D26-'YTD CF'!C26</f>
        <v>0</v>
      </c>
      <c r="E26" s="4">
        <f>'CASH FLOW'!C24-'YTD CF'!D26</f>
        <v>0</v>
      </c>
      <c r="F26" s="4">
        <f>'YTD CF'!E26</f>
        <v>0</v>
      </c>
      <c r="G26" s="4">
        <f>'YTD CF'!F26-'YTD CF'!E26</f>
        <v>0</v>
      </c>
      <c r="H26" s="4">
        <f>'YTD CF'!G26-'YTD CF'!F26</f>
        <v>0</v>
      </c>
      <c r="I26" s="4">
        <f>'CASH FLOW'!D24-'YTD CF'!G26</f>
        <v>0</v>
      </c>
      <c r="J26" s="4">
        <f>'YTD CF'!H26</f>
        <v>-330356</v>
      </c>
      <c r="K26" s="4">
        <f>'YTD CF'!I26-'YTD CF'!H26</f>
        <v>884</v>
      </c>
      <c r="L26" s="4">
        <f>'YTD CF'!J26-'YTD CF'!I26</f>
        <v>0</v>
      </c>
      <c r="M26" s="4">
        <f>'CASH FLOW'!E24-'YTD CF'!J26</f>
        <v>0</v>
      </c>
      <c r="N26" s="4">
        <f>'YTD CF'!K26</f>
        <v>0</v>
      </c>
      <c r="O26" s="4">
        <f>'YTD CF'!L26-'YTD CF'!K26</f>
        <v>0</v>
      </c>
      <c r="P26" s="4">
        <f>'YTD CF'!M26-'YTD CF'!L26</f>
        <v>0</v>
      </c>
      <c r="Q26" s="4">
        <f>'CASH FLOW'!F24-'YTD CF'!M26</f>
        <v>0</v>
      </c>
      <c r="R26" s="4">
        <f>'YTD CF'!N26</f>
        <v>0</v>
      </c>
      <c r="S26" s="4">
        <f>'YTD CF'!O26-'YTD CF'!N26</f>
        <v>0</v>
      </c>
      <c r="T26" s="4">
        <f>'YTD CF'!P26-'YTD CF'!O26</f>
        <v>0</v>
      </c>
      <c r="U26" s="4">
        <f>'CASH FLOW'!G24-'YTD CF'!P26</f>
        <v>0</v>
      </c>
      <c r="V26" s="4">
        <f>'YTD CF'!Q26</f>
        <v>0</v>
      </c>
      <c r="W26" s="4">
        <f>'YTD CF'!R26-'YTD CF'!Q26</f>
        <v>0</v>
      </c>
      <c r="X26" s="4">
        <f>'YTD CF'!S26-'YTD CF'!R26</f>
        <v>0</v>
      </c>
      <c r="Y26" s="4">
        <f>'CASH FLOW'!H24-'YTD CF'!S26</f>
        <v>0</v>
      </c>
      <c r="Z26" s="11">
        <f>'CF DRIVERS'!Z25</f>
        <v>0</v>
      </c>
      <c r="AA26" s="11">
        <f>'CF DRIVERS'!AA25</f>
        <v>0</v>
      </c>
      <c r="AB26" s="11">
        <f>'CF DRIVERS'!AB25</f>
        <v>0</v>
      </c>
      <c r="AC26" s="11">
        <f>'CF DRIVERS'!AC25</f>
        <v>0</v>
      </c>
      <c r="AD26" s="11">
        <f>'CF DRIVERS'!AD25</f>
        <v>0</v>
      </c>
      <c r="AE26" s="11">
        <f>'CF DRIVERS'!AE25</f>
        <v>0</v>
      </c>
      <c r="AF26" s="11">
        <f>'CF DRIVERS'!AF25</f>
        <v>0</v>
      </c>
      <c r="AG26" s="11">
        <f>'CF DRIVERS'!AG25</f>
        <v>0</v>
      </c>
      <c r="AH26" s="11">
        <f>'CF DRIVERS'!AH25</f>
        <v>0</v>
      </c>
      <c r="AI26" s="11">
        <f>'CF DRIVERS'!AI25</f>
        <v>0</v>
      </c>
      <c r="AJ26" s="11">
        <f>'CF DRIVERS'!AJ25</f>
        <v>0</v>
      </c>
      <c r="AK26" s="11">
        <f>'CF DRIVERS'!AK25</f>
        <v>0</v>
      </c>
      <c r="AL26" s="11">
        <f>'CF DRIVERS'!AL25</f>
        <v>0</v>
      </c>
      <c r="AM26" s="11">
        <f>'CF DRIVERS'!AM25</f>
        <v>0</v>
      </c>
      <c r="AN26" s="11">
        <f>'CF DRIVERS'!AN25</f>
        <v>0</v>
      </c>
      <c r="AO26" s="11">
        <f>'CF DRIVERS'!AO25</f>
        <v>0</v>
      </c>
      <c r="AP26" s="11">
        <f>'CF DRIVERS'!AP25</f>
        <v>0</v>
      </c>
      <c r="AQ26" s="11">
        <f>'CF DRIVERS'!AQ25</f>
        <v>0</v>
      </c>
      <c r="AR26" s="11">
        <f>'CF DRIVERS'!AR25</f>
        <v>0</v>
      </c>
      <c r="AS26" s="11">
        <f>'CF DRIVERS'!AS25</f>
        <v>0</v>
      </c>
    </row>
    <row r="27" spans="1:45" x14ac:dyDescent="0.25">
      <c r="A27" s="3" t="s">
        <v>81</v>
      </c>
      <c r="B27" s="4">
        <f>'YTD CF'!B27</f>
        <v>0</v>
      </c>
      <c r="C27" s="4">
        <f>'YTD CF'!C27-'YTD CF'!B27</f>
        <v>0</v>
      </c>
      <c r="D27" s="4">
        <f>'YTD CF'!D27-'YTD CF'!C27</f>
        <v>0</v>
      </c>
      <c r="E27" s="4">
        <f>'CASH FLOW'!C25-'YTD CF'!D27</f>
        <v>0</v>
      </c>
      <c r="F27" s="4">
        <f>'YTD CF'!E27</f>
        <v>0</v>
      </c>
      <c r="G27" s="4">
        <f>'YTD CF'!F27-'YTD CF'!E27</f>
        <v>0</v>
      </c>
      <c r="H27" s="4">
        <f>'YTD CF'!G27-'YTD CF'!F27</f>
        <v>0</v>
      </c>
      <c r="I27" s="4">
        <f>'CASH FLOW'!D25-'YTD CF'!G27</f>
        <v>0</v>
      </c>
      <c r="J27" s="4">
        <f>'YTD CF'!H27</f>
        <v>0</v>
      </c>
      <c r="K27" s="4">
        <f>'YTD CF'!I27-'YTD CF'!H27</f>
        <v>0</v>
      </c>
      <c r="L27" s="4">
        <f>'YTD CF'!J27-'YTD CF'!I27</f>
        <v>0</v>
      </c>
      <c r="M27" s="4">
        <f>'CASH FLOW'!E25-'YTD CF'!J27</f>
        <v>0</v>
      </c>
      <c r="N27" s="4">
        <f>'YTD CF'!K27</f>
        <v>0</v>
      </c>
      <c r="O27" s="4">
        <f>'YTD CF'!L27-'YTD CF'!K27</f>
        <v>0</v>
      </c>
      <c r="P27" s="4">
        <f>'YTD CF'!M27-'YTD CF'!L27</f>
        <v>0</v>
      </c>
      <c r="Q27" s="4">
        <f>'CASH FLOW'!F25-'YTD CF'!M27</f>
        <v>0</v>
      </c>
      <c r="R27" s="4">
        <f>'YTD CF'!N27</f>
        <v>0</v>
      </c>
      <c r="S27" s="4">
        <f>'YTD CF'!O27-'YTD CF'!N27</f>
        <v>0</v>
      </c>
      <c r="T27" s="4">
        <f>'YTD CF'!P27-'YTD CF'!O27</f>
        <v>0</v>
      </c>
      <c r="U27" s="4">
        <f>'CASH FLOW'!G25-'YTD CF'!P27</f>
        <v>0</v>
      </c>
      <c r="V27" s="4">
        <f>'YTD CF'!Q27</f>
        <v>0</v>
      </c>
      <c r="W27" s="4">
        <f>'YTD CF'!R27-'YTD CF'!Q27</f>
        <v>0</v>
      </c>
      <c r="X27" s="4">
        <f>'YTD CF'!S27-'YTD CF'!R27</f>
        <v>0</v>
      </c>
      <c r="Y27" s="4">
        <f>'CASH FLOW'!H25-'YTD CF'!S27</f>
        <v>0</v>
      </c>
      <c r="Z27" s="11">
        <f>'CF DRIVERS'!Z26</f>
        <v>0</v>
      </c>
      <c r="AA27" s="11">
        <f>'CF DRIVERS'!AA26</f>
        <v>0</v>
      </c>
      <c r="AB27" s="11">
        <f>'CF DRIVERS'!AB26</f>
        <v>0</v>
      </c>
      <c r="AC27" s="11">
        <f>'CF DRIVERS'!AC26</f>
        <v>0</v>
      </c>
      <c r="AD27" s="11">
        <f>'CF DRIVERS'!AD26</f>
        <v>0</v>
      </c>
      <c r="AE27" s="11">
        <f>'CF DRIVERS'!AE26</f>
        <v>0</v>
      </c>
      <c r="AF27" s="11">
        <f>'CF DRIVERS'!AF26</f>
        <v>0</v>
      </c>
      <c r="AG27" s="11">
        <f>'CF DRIVERS'!AG26</f>
        <v>0</v>
      </c>
      <c r="AH27" s="11">
        <f>'CF DRIVERS'!AH26</f>
        <v>0</v>
      </c>
      <c r="AI27" s="11">
        <f>'CF DRIVERS'!AI26</f>
        <v>0</v>
      </c>
      <c r="AJ27" s="11">
        <f>'CF DRIVERS'!AJ26</f>
        <v>0</v>
      </c>
      <c r="AK27" s="11">
        <f>'CF DRIVERS'!AK26</f>
        <v>0</v>
      </c>
      <c r="AL27" s="11">
        <f>'CF DRIVERS'!AL26</f>
        <v>0</v>
      </c>
      <c r="AM27" s="11">
        <f>'CF DRIVERS'!AM26</f>
        <v>0</v>
      </c>
      <c r="AN27" s="11">
        <f>'CF DRIVERS'!AN26</f>
        <v>0</v>
      </c>
      <c r="AO27" s="11">
        <f>'CF DRIVERS'!AO26</f>
        <v>0</v>
      </c>
      <c r="AP27" s="11">
        <f>'CF DRIVERS'!AP26</f>
        <v>0</v>
      </c>
      <c r="AQ27" s="11">
        <f>'CF DRIVERS'!AQ26</f>
        <v>0</v>
      </c>
      <c r="AR27" s="11">
        <f>'CF DRIVERS'!AR26</f>
        <v>0</v>
      </c>
      <c r="AS27" s="11">
        <f>'CF DRIVERS'!AS26</f>
        <v>0</v>
      </c>
    </row>
    <row r="28" spans="1:45" x14ac:dyDescent="0.25">
      <c r="A28" s="3" t="s">
        <v>82</v>
      </c>
      <c r="B28" s="4">
        <f>'YTD CF'!B28</f>
        <v>0</v>
      </c>
      <c r="C28" s="4">
        <f>'YTD CF'!C28-'YTD CF'!B28</f>
        <v>0</v>
      </c>
      <c r="D28" s="4">
        <f>'YTD CF'!D28-'YTD CF'!C28</f>
        <v>0</v>
      </c>
      <c r="E28" s="4">
        <f>'CASH FLOW'!C26-'YTD CF'!D28</f>
        <v>0</v>
      </c>
      <c r="F28" s="4">
        <f>'YTD CF'!E28</f>
        <v>0</v>
      </c>
      <c r="G28" s="4">
        <f>'YTD CF'!F28-'YTD CF'!E28</f>
        <v>0</v>
      </c>
      <c r="H28" s="4">
        <f>'YTD CF'!G28-'YTD CF'!F28</f>
        <v>0</v>
      </c>
      <c r="I28" s="4">
        <f>'CASH FLOW'!D26-'YTD CF'!G28</f>
        <v>0</v>
      </c>
      <c r="J28" s="4">
        <f>'YTD CF'!H28</f>
        <v>0</v>
      </c>
      <c r="K28" s="4">
        <f>'YTD CF'!I28-'YTD CF'!H28</f>
        <v>0</v>
      </c>
      <c r="L28" s="4">
        <f>'YTD CF'!J28-'YTD CF'!I28</f>
        <v>0</v>
      </c>
      <c r="M28" s="4">
        <f>'CASH FLOW'!E26-'YTD CF'!J28</f>
        <v>0</v>
      </c>
      <c r="N28" s="4">
        <f>'YTD CF'!K28</f>
        <v>0</v>
      </c>
      <c r="O28" s="4">
        <f>'YTD CF'!L28-'YTD CF'!K28</f>
        <v>0</v>
      </c>
      <c r="P28" s="4">
        <f>'YTD CF'!M28-'YTD CF'!L28</f>
        <v>-363385</v>
      </c>
      <c r="Q28" s="4">
        <f>'CASH FLOW'!F26-'YTD CF'!M28</f>
        <v>0</v>
      </c>
      <c r="R28" s="4">
        <f>'YTD CF'!N28</f>
        <v>0</v>
      </c>
      <c r="S28" s="4">
        <f>'YTD CF'!O28-'YTD CF'!N28</f>
        <v>0</v>
      </c>
      <c r="T28" s="4">
        <f>'YTD CF'!P28-'YTD CF'!O28</f>
        <v>0</v>
      </c>
      <c r="U28" s="4">
        <f>'CASH FLOW'!G26-'YTD CF'!P28</f>
        <v>0</v>
      </c>
      <c r="V28" s="4">
        <f>'YTD CF'!Q28</f>
        <v>0</v>
      </c>
      <c r="W28" s="4">
        <f>'YTD CF'!R28-'YTD CF'!Q28</f>
        <v>0</v>
      </c>
      <c r="X28" s="4">
        <f>'YTD CF'!S28-'YTD CF'!R28</f>
        <v>0</v>
      </c>
      <c r="Y28" s="4">
        <f>'CASH FLOW'!H26-'YTD CF'!S28</f>
        <v>0</v>
      </c>
      <c r="Z28" s="11">
        <f>'CF DRIVERS'!Z27</f>
        <v>0</v>
      </c>
      <c r="AA28" s="11">
        <f>'CF DRIVERS'!AA27</f>
        <v>0</v>
      </c>
      <c r="AB28" s="11">
        <f>'CF DRIVERS'!AB27</f>
        <v>0</v>
      </c>
      <c r="AC28" s="11">
        <f>'CF DRIVERS'!AC27</f>
        <v>0</v>
      </c>
      <c r="AD28" s="11">
        <f>'CF DRIVERS'!AD27</f>
        <v>0</v>
      </c>
      <c r="AE28" s="11">
        <f>'CF DRIVERS'!AE27</f>
        <v>0</v>
      </c>
      <c r="AF28" s="11">
        <f>'CF DRIVERS'!AF27</f>
        <v>0</v>
      </c>
      <c r="AG28" s="11">
        <f>'CF DRIVERS'!AG27</f>
        <v>0</v>
      </c>
      <c r="AH28" s="11">
        <f>'CF DRIVERS'!AH27</f>
        <v>0</v>
      </c>
      <c r="AI28" s="11">
        <f>'CF DRIVERS'!AI27</f>
        <v>0</v>
      </c>
      <c r="AJ28" s="11">
        <f>'CF DRIVERS'!AJ27</f>
        <v>0</v>
      </c>
      <c r="AK28" s="11">
        <f>'CF DRIVERS'!AK27</f>
        <v>0</v>
      </c>
      <c r="AL28" s="11">
        <f>'CF DRIVERS'!AL27</f>
        <v>0</v>
      </c>
      <c r="AM28" s="11">
        <f>'CF DRIVERS'!AM27</f>
        <v>0</v>
      </c>
      <c r="AN28" s="11">
        <f>'CF DRIVERS'!AN27</f>
        <v>0</v>
      </c>
      <c r="AO28" s="11">
        <f>'CF DRIVERS'!AO27</f>
        <v>0</v>
      </c>
      <c r="AP28" s="11">
        <f>'CF DRIVERS'!AP27</f>
        <v>0</v>
      </c>
      <c r="AQ28" s="11">
        <f>'CF DRIVERS'!AQ27</f>
        <v>0</v>
      </c>
      <c r="AR28" s="11">
        <f>'CF DRIVERS'!AR27</f>
        <v>0</v>
      </c>
      <c r="AS28" s="11">
        <f>'CF DRIVERS'!AS27</f>
        <v>0</v>
      </c>
    </row>
    <row r="29" spans="1:45" x14ac:dyDescent="0.25">
      <c r="A29" s="3" t="s">
        <v>83</v>
      </c>
      <c r="B29" s="4">
        <f>'YTD CF'!B29</f>
        <v>-11119</v>
      </c>
      <c r="C29" s="4">
        <f>'YTD CF'!C29-'YTD CF'!B29</f>
        <v>-17997</v>
      </c>
      <c r="D29" s="4">
        <f>'YTD CF'!D29-'YTD CF'!C29</f>
        <v>-12946</v>
      </c>
      <c r="E29" s="4">
        <f>'CASH FLOW'!C27-'YTD CF'!D29</f>
        <v>-6660</v>
      </c>
      <c r="F29" s="4">
        <f>'YTD CF'!E29</f>
        <v>-8400</v>
      </c>
      <c r="G29" s="4">
        <f>'YTD CF'!F29-'YTD CF'!E29</f>
        <v>-7122</v>
      </c>
      <c r="H29" s="4">
        <f>'YTD CF'!G29-'YTD CF'!F29</f>
        <v>-12609</v>
      </c>
      <c r="I29" s="4">
        <f>'CASH FLOW'!D27-'YTD CF'!G29</f>
        <v>-15737</v>
      </c>
      <c r="J29" s="4">
        <f>'YTD CF'!H29</f>
        <v>-21511</v>
      </c>
      <c r="K29" s="4">
        <f>'YTD CF'!I29-'YTD CF'!H29</f>
        <v>-77935</v>
      </c>
      <c r="L29" s="4">
        <f>'YTD CF'!J29-'YTD CF'!I29</f>
        <v>-36712</v>
      </c>
      <c r="M29" s="4">
        <f>'CASH FLOW'!E27-'YTD CF'!J29</f>
        <v>-52568</v>
      </c>
      <c r="N29" s="4">
        <f>'YTD CF'!K29</f>
        <v>-40100</v>
      </c>
      <c r="O29" s="4">
        <f>'YTD CF'!L29-'YTD CF'!K29</f>
        <v>-42325</v>
      </c>
      <c r="P29" s="4">
        <f>'YTD CF'!M29-'YTD CF'!L29</f>
        <v>-27799</v>
      </c>
      <c r="Q29" s="4">
        <f>'CASH FLOW'!F27-'YTD CF'!M29</f>
        <v>-111204</v>
      </c>
      <c r="R29" s="4">
        <f>'YTD CF'!N29</f>
        <v>-66044</v>
      </c>
      <c r="S29" s="4">
        <f>'YTD CF'!O29-'YTD CF'!N29</f>
        <v>-59768</v>
      </c>
      <c r="T29" s="4">
        <f>'YTD CF'!P29-'YTD CF'!O29</f>
        <v>-46983</v>
      </c>
      <c r="U29" s="4">
        <f>'CASH FLOW'!G27-'YTD CF'!P29</f>
        <v>-91279</v>
      </c>
      <c r="V29" s="4">
        <f>'YTD CF'!Q29</f>
        <v>-29056</v>
      </c>
      <c r="W29" s="4">
        <f>'YTD CF'!R29-'YTD CF'!Q29</f>
        <v>-31404</v>
      </c>
      <c r="X29" s="4">
        <f>'YTD CF'!S29-'YTD CF'!R29</f>
        <v>-43641</v>
      </c>
      <c r="Y29" s="4">
        <f>'CASH FLOW'!H27-'YTD CF'!S29</f>
        <v>-28174</v>
      </c>
      <c r="Z29" s="11">
        <f>'QTR P&amp;L'!Z2*'CF DRIVERS'!Z28</f>
        <v>-28835.063385431127</v>
      </c>
      <c r="AA29" s="11">
        <f>'QTR P&amp;L'!AA2*'CF DRIVERS'!AA28</f>
        <v>-32831.482846138693</v>
      </c>
      <c r="AB29" s="11">
        <f>'QTR P&amp;L'!AB2*'CF DRIVERS'!AB28</f>
        <v>-34161.601398643848</v>
      </c>
      <c r="AC29" s="11">
        <f>'QTR P&amp;L'!AC2*'CF DRIVERS'!AC28</f>
        <v>-33134.066625424035</v>
      </c>
      <c r="AD29" s="11">
        <f>'QTR P&amp;L'!AD2*'CF DRIVERS'!AD28</f>
        <v>-33911.511015872798</v>
      </c>
      <c r="AE29" s="11">
        <f>'QTR P&amp;L'!AE2*'CF DRIVERS'!AE28</f>
        <v>-38611.504934884149</v>
      </c>
      <c r="AF29" s="11">
        <f>'QTR P&amp;L'!AF2*'CF DRIVERS'!AF28</f>
        <v>-40175.792460206016</v>
      </c>
      <c r="AG29" s="11">
        <f>'QTR P&amp;L'!AG2*'CF DRIVERS'!AG28</f>
        <v>-38967.358952865732</v>
      </c>
      <c r="AH29" s="11">
        <f>'QTR P&amp;L'!AH2*'CF DRIVERS'!AH28</f>
        <v>-39881.673364404429</v>
      </c>
      <c r="AI29" s="11">
        <f>'QTR P&amp;L'!AI2*'CF DRIVERS'!AI28</f>
        <v>-45409.106872305689</v>
      </c>
      <c r="AJ29" s="11">
        <f>'QTR P&amp;L'!AJ2*'CF DRIVERS'!AJ28</f>
        <v>-47248.789100080736</v>
      </c>
      <c r="AK29" s="11">
        <f>'QTR P&amp;L'!AK2*'CF DRIVERS'!AK28</f>
        <v>-45827.609418650776</v>
      </c>
      <c r="AL29" s="11">
        <f>'QTR P&amp;L'!AL2*'CF DRIVERS'!AL28</f>
        <v>-46902.889983302892</v>
      </c>
      <c r="AM29" s="11">
        <f>'QTR P&amp;L'!AM2*'CF DRIVERS'!AM28</f>
        <v>-53403.434816070745</v>
      </c>
      <c r="AN29" s="11">
        <f>'QTR P&amp;L'!AN2*'CF DRIVERS'!AN28</f>
        <v>-55566.995315279491</v>
      </c>
      <c r="AO29" s="11">
        <f>'QTR P&amp;L'!AO2*'CF DRIVERS'!AO28</f>
        <v>-53895.615239635299</v>
      </c>
      <c r="AP29" s="11">
        <f>'QTR P&amp;L'!AP2*'CF DRIVERS'!AP28</f>
        <v>-55160.20024248214</v>
      </c>
      <c r="AQ29" s="11">
        <f>'QTR P&amp;L'!AQ2*'CF DRIVERS'!AQ28</f>
        <v>-62805.173820621058</v>
      </c>
      <c r="AR29" s="11">
        <f>'QTR P&amp;L'!AR2*'CF DRIVERS'!AR28</f>
        <v>-65349.631750943998</v>
      </c>
      <c r="AS29" s="11">
        <f>'QTR P&amp;L'!AS2*'CF DRIVERS'!AS28</f>
        <v>-63384.003200408013</v>
      </c>
    </row>
    <row r="30" spans="1:45" x14ac:dyDescent="0.25">
      <c r="A30" s="3" t="s">
        <v>84</v>
      </c>
      <c r="B30" s="4">
        <f>'YTD CF'!B30</f>
        <v>217</v>
      </c>
      <c r="C30" s="4">
        <f>'YTD CF'!C30-'YTD CF'!B30</f>
        <v>373</v>
      </c>
      <c r="D30" s="4">
        <f>'YTD CF'!D30-'YTD CF'!C30</f>
        <v>290</v>
      </c>
      <c r="E30" s="4">
        <f>'CASH FLOW'!C28-'YTD CF'!D30</f>
        <v>113</v>
      </c>
      <c r="F30" s="4">
        <f>'YTD CF'!E30</f>
        <v>231</v>
      </c>
      <c r="G30" s="4">
        <f>'YTD CF'!F30-'YTD CF'!E30</f>
        <v>793</v>
      </c>
      <c r="H30" s="4">
        <f>'YTD CF'!G30-'YTD CF'!F30</f>
        <v>222</v>
      </c>
      <c r="I30" s="4">
        <f>'CASH FLOW'!D28-'YTD CF'!G30</f>
        <v>82</v>
      </c>
      <c r="J30" s="4">
        <f>'YTD CF'!H30</f>
        <v>14</v>
      </c>
      <c r="K30" s="4">
        <f>'YTD CF'!I30-'YTD CF'!H30</f>
        <v>358</v>
      </c>
      <c r="L30" s="4">
        <f>'YTD CF'!J30-'YTD CF'!I30</f>
        <v>231</v>
      </c>
      <c r="M30" s="4">
        <f>'CASH FLOW'!E28-'YTD CF'!J30</f>
        <v>710</v>
      </c>
      <c r="N30" s="4">
        <f>'YTD CF'!K30</f>
        <v>564</v>
      </c>
      <c r="O30" s="4">
        <f>'YTD CF'!L30-'YTD CF'!K30</f>
        <v>471</v>
      </c>
      <c r="P30" s="4">
        <f>'YTD CF'!M30-'YTD CF'!L30</f>
        <v>718</v>
      </c>
      <c r="Q30" s="4">
        <f>'CASH FLOW'!F28-'YTD CF'!M30</f>
        <v>767</v>
      </c>
      <c r="R30" s="4">
        <f>'YTD CF'!N30</f>
        <v>422</v>
      </c>
      <c r="S30" s="4">
        <f>'YTD CF'!O30-'YTD CF'!N30</f>
        <v>630</v>
      </c>
      <c r="T30" s="4">
        <f>'YTD CF'!P30-'YTD CF'!O30</f>
        <v>1043</v>
      </c>
      <c r="U30" s="4">
        <f>'CASH FLOW'!G28-'YTD CF'!P30</f>
        <v>637</v>
      </c>
      <c r="V30" s="4">
        <f>'YTD CF'!Q30</f>
        <v>1147</v>
      </c>
      <c r="W30" s="4">
        <f>'YTD CF'!R30-'YTD CF'!Q30</f>
        <v>1187</v>
      </c>
      <c r="X30" s="4">
        <f>'YTD CF'!S30-'YTD CF'!R30</f>
        <v>410</v>
      </c>
      <c r="Y30" s="4">
        <f>'CASH FLOW'!H28-'YTD CF'!S30</f>
        <v>1555</v>
      </c>
      <c r="Z30" s="11">
        <f>'CF DRIVERS'!Z29</f>
        <v>0</v>
      </c>
      <c r="AA30" s="11">
        <f>'CF DRIVERS'!AA29</f>
        <v>0</v>
      </c>
      <c r="AB30" s="11">
        <f>'CF DRIVERS'!AB29</f>
        <v>0</v>
      </c>
      <c r="AC30" s="11">
        <f>'CF DRIVERS'!AC29</f>
        <v>0</v>
      </c>
      <c r="AD30" s="11">
        <f>'CF DRIVERS'!AD29</f>
        <v>0</v>
      </c>
      <c r="AE30" s="11">
        <f>'CF DRIVERS'!AE29</f>
        <v>0</v>
      </c>
      <c r="AF30" s="11">
        <f>'CF DRIVERS'!AF29</f>
        <v>0</v>
      </c>
      <c r="AG30" s="11">
        <f>'CF DRIVERS'!AG29</f>
        <v>0</v>
      </c>
      <c r="AH30" s="11">
        <f>'CF DRIVERS'!AH29</f>
        <v>0</v>
      </c>
      <c r="AI30" s="11">
        <f>'CF DRIVERS'!AI29</f>
        <v>0</v>
      </c>
      <c r="AJ30" s="11">
        <f>'CF DRIVERS'!AJ29</f>
        <v>0</v>
      </c>
      <c r="AK30" s="11">
        <f>'CF DRIVERS'!AK29</f>
        <v>0</v>
      </c>
      <c r="AL30" s="11">
        <f>'CF DRIVERS'!AL29</f>
        <v>0</v>
      </c>
      <c r="AM30" s="11">
        <f>'CF DRIVERS'!AM29</f>
        <v>0</v>
      </c>
      <c r="AN30" s="11">
        <f>'CF DRIVERS'!AN29</f>
        <v>0</v>
      </c>
      <c r="AO30" s="11">
        <f>'CF DRIVERS'!AO29</f>
        <v>0</v>
      </c>
      <c r="AP30" s="11">
        <f>'CF DRIVERS'!AP29</f>
        <v>0</v>
      </c>
      <c r="AQ30" s="11">
        <f>'CF DRIVERS'!AQ29</f>
        <v>0</v>
      </c>
      <c r="AR30" s="11">
        <f>'CF DRIVERS'!AR29</f>
        <v>0</v>
      </c>
      <c r="AS30" s="11">
        <f>'CF DRIVERS'!AS29</f>
        <v>0</v>
      </c>
    </row>
    <row r="31" spans="1:45" x14ac:dyDescent="0.25">
      <c r="A31" s="3" t="s">
        <v>85</v>
      </c>
      <c r="B31" s="4">
        <f>'YTD CF'!B31</f>
        <v>-6811</v>
      </c>
      <c r="C31" s="4">
        <f>'YTD CF'!C31-'YTD CF'!B31</f>
        <v>-6274</v>
      </c>
      <c r="D31" s="4">
        <f>'YTD CF'!D31-'YTD CF'!C31</f>
        <v>-6601</v>
      </c>
      <c r="E31" s="4">
        <f>'CASH FLOW'!C29-'YTD CF'!D31</f>
        <v>1136</v>
      </c>
      <c r="F31" s="4">
        <f>'YTD CF'!E31</f>
        <v>-7239</v>
      </c>
      <c r="G31" s="4">
        <f>'YTD CF'!F31-'YTD CF'!E31</f>
        <v>-2687</v>
      </c>
      <c r="H31" s="4">
        <f>'YTD CF'!G31-'YTD CF'!F31</f>
        <v>4715</v>
      </c>
      <c r="I31" s="4">
        <f>'CASH FLOW'!D29-'YTD CF'!G31</f>
        <v>-8374</v>
      </c>
      <c r="J31" s="4">
        <f>'YTD CF'!H31</f>
        <v>-8419</v>
      </c>
      <c r="K31" s="4">
        <f>'YTD CF'!I31-'YTD CF'!H31</f>
        <v>-1475</v>
      </c>
      <c r="L31" s="4">
        <f>'YTD CF'!J31-'YTD CF'!I31</f>
        <v>6316</v>
      </c>
      <c r="M31" s="4">
        <f>'CASH FLOW'!E29-'YTD CF'!J31</f>
        <v>-19849</v>
      </c>
      <c r="N31" s="4">
        <f>'YTD CF'!K31</f>
        <v>-3952</v>
      </c>
      <c r="O31" s="4">
        <f>'YTD CF'!L31-'YTD CF'!K31</f>
        <v>-1974</v>
      </c>
      <c r="P31" s="4">
        <f>'YTD CF'!M31-'YTD CF'!L31</f>
        <v>-3184</v>
      </c>
      <c r="Q31" s="4">
        <f>'CASH FLOW'!F29-'YTD CF'!M31</f>
        <v>-4186</v>
      </c>
      <c r="R31" s="4">
        <f>'YTD CF'!N31</f>
        <v>-8612</v>
      </c>
      <c r="S31" s="4">
        <f>'YTD CF'!O31-'YTD CF'!N31</f>
        <v>2248</v>
      </c>
      <c r="T31" s="4">
        <f>'YTD CF'!P31-'YTD CF'!O31</f>
        <v>-15109</v>
      </c>
      <c r="U31" s="4">
        <f>'CASH FLOW'!G29-'YTD CF'!P31</f>
        <v>-20887</v>
      </c>
      <c r="V31" s="4">
        <f>'YTD CF'!Q31</f>
        <v>-5343</v>
      </c>
      <c r="W31" s="4">
        <f>'YTD CF'!R31-'YTD CF'!Q31</f>
        <v>-10056</v>
      </c>
      <c r="X31" s="4">
        <f>'YTD CF'!S31-'YTD CF'!R31</f>
        <v>-4282</v>
      </c>
      <c r="Y31" s="4">
        <f>'CASH FLOW'!H29-'YTD CF'!S31</f>
        <v>-5573</v>
      </c>
      <c r="Z31" s="11">
        <f>'CF DRIVERS'!Z30</f>
        <v>0</v>
      </c>
      <c r="AA31" s="11">
        <f>'CF DRIVERS'!AA30</f>
        <v>0</v>
      </c>
      <c r="AB31" s="11">
        <f>'CF DRIVERS'!AB30</f>
        <v>0</v>
      </c>
      <c r="AC31" s="11">
        <f>'CF DRIVERS'!AC30</f>
        <v>0</v>
      </c>
      <c r="AD31" s="11">
        <f>'CF DRIVERS'!AD30</f>
        <v>0</v>
      </c>
      <c r="AE31" s="11">
        <f>'CF DRIVERS'!AE30</f>
        <v>0</v>
      </c>
      <c r="AF31" s="11">
        <f>'CF DRIVERS'!AF30</f>
        <v>0</v>
      </c>
      <c r="AG31" s="11">
        <f>'CF DRIVERS'!AG30</f>
        <v>0</v>
      </c>
      <c r="AH31" s="11">
        <f>'CF DRIVERS'!AH30</f>
        <v>0</v>
      </c>
      <c r="AI31" s="11">
        <f>'CF DRIVERS'!AI30</f>
        <v>0</v>
      </c>
      <c r="AJ31" s="11">
        <f>'CF DRIVERS'!AJ30</f>
        <v>0</v>
      </c>
      <c r="AK31" s="11">
        <f>'CF DRIVERS'!AK30</f>
        <v>0</v>
      </c>
      <c r="AL31" s="11">
        <f>'CF DRIVERS'!AL30</f>
        <v>0</v>
      </c>
      <c r="AM31" s="11">
        <f>'CF DRIVERS'!AM30</f>
        <v>0</v>
      </c>
      <c r="AN31" s="11">
        <f>'CF DRIVERS'!AN30</f>
        <v>0</v>
      </c>
      <c r="AO31" s="11">
        <f>'CF DRIVERS'!AO30</f>
        <v>0</v>
      </c>
      <c r="AP31" s="11">
        <f>'CF DRIVERS'!AP30</f>
        <v>0</v>
      </c>
      <c r="AQ31" s="11">
        <f>'CF DRIVERS'!AQ30</f>
        <v>0</v>
      </c>
      <c r="AR31" s="11">
        <f>'CF DRIVERS'!AR30</f>
        <v>0</v>
      </c>
      <c r="AS31" s="11">
        <f>'CF DRIVERS'!AS30</f>
        <v>0</v>
      </c>
    </row>
    <row r="32" spans="1:45" x14ac:dyDescent="0.25">
      <c r="A32" s="3" t="s">
        <v>86</v>
      </c>
      <c r="B32" s="4">
        <f>'YTD CF'!B32</f>
        <v>-1148</v>
      </c>
      <c r="C32" s="4">
        <f>'YTD CF'!C32-'YTD CF'!B32</f>
        <v>-190</v>
      </c>
      <c r="D32" s="4">
        <f>'YTD CF'!D32-'YTD CF'!C32</f>
        <v>-24890</v>
      </c>
      <c r="E32" s="4">
        <f>'CASH FLOW'!C30-'YTD CF'!D32</f>
        <v>-195</v>
      </c>
      <c r="F32" s="4">
        <f>'YTD CF'!E32</f>
        <v>-18856</v>
      </c>
      <c r="G32" s="4">
        <f>'YTD CF'!F32-'YTD CF'!E32</f>
        <v>-2380</v>
      </c>
      <c r="H32" s="4">
        <f>'YTD CF'!G32-'YTD CF'!F32</f>
        <v>-1573</v>
      </c>
      <c r="I32" s="4">
        <f>'CASH FLOW'!D30-'YTD CF'!G32</f>
        <v>11456</v>
      </c>
      <c r="J32" s="4">
        <f>'YTD CF'!H32</f>
        <v>-6241</v>
      </c>
      <c r="K32" s="4">
        <f>'YTD CF'!I32-'YTD CF'!H32</f>
        <v>-6497</v>
      </c>
      <c r="L32" s="4">
        <f>'YTD CF'!J32-'YTD CF'!I32</f>
        <v>-6433</v>
      </c>
      <c r="M32" s="4">
        <f>'CASH FLOW'!E30-'YTD CF'!J32</f>
        <v>-7172</v>
      </c>
      <c r="N32" s="4">
        <f>'YTD CF'!K32</f>
        <v>-13028</v>
      </c>
      <c r="O32" s="4">
        <f>'YTD CF'!L32-'YTD CF'!K32</f>
        <v>-4542</v>
      </c>
      <c r="P32" s="4">
        <f>'YTD CF'!M32-'YTD CF'!L32</f>
        <v>-2292</v>
      </c>
      <c r="Q32" s="4">
        <f>'CASH FLOW'!F30-'YTD CF'!M32</f>
        <v>13037</v>
      </c>
      <c r="R32" s="4">
        <f>'YTD CF'!N32</f>
        <v>-985</v>
      </c>
      <c r="S32" s="4">
        <f>'YTD CF'!O32-'YTD CF'!N32</f>
        <v>-381</v>
      </c>
      <c r="T32" s="4">
        <f>'YTD CF'!P32-'YTD CF'!O32</f>
        <v>763</v>
      </c>
      <c r="U32" s="4">
        <f>'CASH FLOW'!G30-'YTD CF'!P32</f>
        <v>2238</v>
      </c>
      <c r="V32" s="4">
        <f>'YTD CF'!Q32</f>
        <v>2397</v>
      </c>
      <c r="W32" s="4">
        <f>'YTD CF'!R32-'YTD CF'!Q32</f>
        <v>-3504</v>
      </c>
      <c r="X32" s="4">
        <f>'YTD CF'!S32-'YTD CF'!R32</f>
        <v>600</v>
      </c>
      <c r="Y32" s="4">
        <f>'CASH FLOW'!H30-'YTD CF'!S32</f>
        <v>109</v>
      </c>
      <c r="Z32" s="11">
        <f>'CF DRIVERS'!Z31</f>
        <v>0</v>
      </c>
      <c r="AA32" s="11">
        <f>'CF DRIVERS'!AA31</f>
        <v>0</v>
      </c>
      <c r="AB32" s="11">
        <f>'CF DRIVERS'!AB31</f>
        <v>0</v>
      </c>
      <c r="AC32" s="11">
        <f>'CF DRIVERS'!AC31</f>
        <v>0</v>
      </c>
      <c r="AD32" s="11">
        <f>'CF DRIVERS'!AD31</f>
        <v>0</v>
      </c>
      <c r="AE32" s="11">
        <f>'CF DRIVERS'!AE31</f>
        <v>0</v>
      </c>
      <c r="AF32" s="11">
        <f>'CF DRIVERS'!AF31</f>
        <v>0</v>
      </c>
      <c r="AG32" s="11">
        <f>'CF DRIVERS'!AG31</f>
        <v>0</v>
      </c>
      <c r="AH32" s="11">
        <f>'CF DRIVERS'!AH31</f>
        <v>0</v>
      </c>
      <c r="AI32" s="11">
        <f>'CF DRIVERS'!AI31</f>
        <v>0</v>
      </c>
      <c r="AJ32" s="11">
        <f>'CF DRIVERS'!AJ31</f>
        <v>0</v>
      </c>
      <c r="AK32" s="11">
        <f>'CF DRIVERS'!AK31</f>
        <v>0</v>
      </c>
      <c r="AL32" s="11">
        <f>'CF DRIVERS'!AL31</f>
        <v>0</v>
      </c>
      <c r="AM32" s="11">
        <f>'CF DRIVERS'!AM31</f>
        <v>0</v>
      </c>
      <c r="AN32" s="11">
        <f>'CF DRIVERS'!AN31</f>
        <v>0</v>
      </c>
      <c r="AO32" s="11">
        <f>'CF DRIVERS'!AO31</f>
        <v>0</v>
      </c>
      <c r="AP32" s="11">
        <f>'CF DRIVERS'!AP31</f>
        <v>0</v>
      </c>
      <c r="AQ32" s="11">
        <f>'CF DRIVERS'!AQ31</f>
        <v>0</v>
      </c>
      <c r="AR32" s="11">
        <f>'CF DRIVERS'!AR31</f>
        <v>0</v>
      </c>
      <c r="AS32" s="11">
        <f>'CF DRIVERS'!AS31</f>
        <v>0</v>
      </c>
    </row>
    <row r="33" spans="1:45" x14ac:dyDescent="0.25">
      <c r="A33" s="3" t="s">
        <v>87</v>
      </c>
      <c r="B33" s="6">
        <f>'YTD CF'!B33</f>
        <v>279976</v>
      </c>
      <c r="C33" s="6">
        <f>'YTD CF'!C33-'YTD CF'!B33</f>
        <v>-29282</v>
      </c>
      <c r="D33" s="6">
        <f>'YTD CF'!D33-'YTD CF'!C33</f>
        <v>-391208</v>
      </c>
      <c r="E33" s="6">
        <f>'CASH FLOW'!C31-'YTD CF'!D33</f>
        <v>-331973</v>
      </c>
      <c r="F33" s="6">
        <f>'YTD CF'!E33</f>
        <v>-149083</v>
      </c>
      <c r="G33" s="6">
        <f>'YTD CF'!F33-'YTD CF'!E33</f>
        <v>-31079</v>
      </c>
      <c r="H33" s="6">
        <f>'YTD CF'!G33-'YTD CF'!F33</f>
        <v>-201538</v>
      </c>
      <c r="I33" s="6">
        <f>'CASH FLOW'!D31-'YTD CF'!G33</f>
        <v>-610322</v>
      </c>
      <c r="J33" s="6">
        <f>'YTD CF'!H33</f>
        <v>-303630</v>
      </c>
      <c r="K33" s="6">
        <f>'YTD CF'!I33-'YTD CF'!H33</f>
        <v>297892</v>
      </c>
      <c r="L33" s="6">
        <f>'YTD CF'!J33-'YTD CF'!I33</f>
        <v>-52005</v>
      </c>
      <c r="M33" s="6">
        <f>'CASH FLOW'!E31-'YTD CF'!J33</f>
        <v>-103624</v>
      </c>
      <c r="N33" s="6">
        <f>'YTD CF'!K33</f>
        <v>-52766</v>
      </c>
      <c r="O33" s="6">
        <f>'YTD CF'!L33-'YTD CF'!K33</f>
        <v>-105443</v>
      </c>
      <c r="P33" s="6">
        <f>'YTD CF'!M33-'YTD CF'!L33</f>
        <v>-201814</v>
      </c>
      <c r="Q33" s="6">
        <f>'CASH FLOW'!F31-'YTD CF'!M33</f>
        <v>166628</v>
      </c>
      <c r="R33" s="6">
        <f>'YTD CF'!N33</f>
        <v>-35322</v>
      </c>
      <c r="S33" s="6">
        <f>'YTD CF'!O33-'YTD CF'!N33</f>
        <v>938626</v>
      </c>
      <c r="T33" s="6">
        <f>'YTD CF'!P33-'YTD CF'!O33</f>
        <v>-60286</v>
      </c>
      <c r="U33" s="6">
        <f>'CASH FLOW'!G31-'YTD CF'!P33</f>
        <v>-109291</v>
      </c>
      <c r="V33" s="6">
        <f>'YTD CF'!Q33</f>
        <v>-30855</v>
      </c>
      <c r="W33" s="6">
        <f>'YTD CF'!R33-'YTD CF'!Q33</f>
        <v>-326874</v>
      </c>
      <c r="X33" s="6">
        <f>'YTD CF'!S33-'YTD CF'!R33</f>
        <v>-361519</v>
      </c>
      <c r="Y33" s="6">
        <f>'CASH FLOW'!H31-'YTD CF'!S33</f>
        <v>-597530</v>
      </c>
      <c r="Z33" s="7">
        <f t="shared" ref="Z33:AS33" si="1">SUM(Z25:Z32)</f>
        <v>-40269.55470930296</v>
      </c>
      <c r="AA33" s="7">
        <f t="shared" si="1"/>
        <v>-101958.02147633523</v>
      </c>
      <c r="AB33" s="7">
        <f t="shared" si="1"/>
        <v>-57168.818835776809</v>
      </c>
      <c r="AC33" s="7">
        <f t="shared" si="1"/>
        <v>-15360.676496282409</v>
      </c>
      <c r="AD33" s="7">
        <f t="shared" si="1"/>
        <v>-47359.05830603405</v>
      </c>
      <c r="AE33" s="7">
        <f t="shared" si="1"/>
        <v>-119907.85392891697</v>
      </c>
      <c r="AF33" s="7">
        <f t="shared" si="1"/>
        <v>-67233.458231043711</v>
      </c>
      <c r="AG33" s="7">
        <f t="shared" si="1"/>
        <v>-18064.942089848948</v>
      </c>
      <c r="AH33" s="7">
        <f t="shared" si="1"/>
        <v>-55696.67754772045</v>
      </c>
      <c r="AI33" s="7">
        <f t="shared" si="1"/>
        <v>-141017.7759988766</v>
      </c>
      <c r="AJ33" s="7">
        <f t="shared" si="1"/>
        <v>-79069.989511076361</v>
      </c>
      <c r="AK33" s="7">
        <f t="shared" si="1"/>
        <v>-21245.296897475877</v>
      </c>
      <c r="AL33" s="7">
        <f t="shared" si="1"/>
        <v>-65502.144696561598</v>
      </c>
      <c r="AM33" s="7">
        <f t="shared" si="1"/>
        <v>-165844.12526854189</v>
      </c>
      <c r="AN33" s="7">
        <f t="shared" si="1"/>
        <v>-92990.356375792791</v>
      </c>
      <c r="AO33" s="7">
        <f t="shared" si="1"/>
        <v>-24985.556998575878</v>
      </c>
      <c r="AP33" s="7">
        <f t="shared" si="1"/>
        <v>-77033.876144105816</v>
      </c>
      <c r="AQ33" s="7">
        <f t="shared" si="1"/>
        <v>-195041.18322151765</v>
      </c>
      <c r="AR33" s="7">
        <f t="shared" si="1"/>
        <v>-109361.42058910492</v>
      </c>
      <c r="AS33" s="7">
        <f t="shared" si="1"/>
        <v>-29384.294394269527</v>
      </c>
    </row>
    <row r="34" spans="1:45" x14ac:dyDescent="0.25">
      <c r="A34" s="3" t="s">
        <v>123</v>
      </c>
      <c r="B34" s="4">
        <f>'YTD CF'!B34</f>
        <v>0</v>
      </c>
      <c r="C34" s="4">
        <f>'YTD CF'!C34-'YTD CF'!B34</f>
        <v>0</v>
      </c>
      <c r="D34" s="4">
        <f>'YTD CF'!D34-'YTD CF'!C34</f>
        <v>0</v>
      </c>
      <c r="F34" s="4">
        <f>'YTD CF'!E34</f>
        <v>0</v>
      </c>
      <c r="G34" s="4">
        <f>'YTD CF'!F34-'YTD CF'!E34</f>
        <v>0</v>
      </c>
      <c r="H34" s="4">
        <f>'YTD CF'!G34-'YTD CF'!F34</f>
        <v>0</v>
      </c>
      <c r="J34" s="4">
        <f>'YTD CF'!H34</f>
        <v>0</v>
      </c>
      <c r="K34" s="4">
        <f>'YTD CF'!I34-'YTD CF'!H34</f>
        <v>0</v>
      </c>
      <c r="L34" s="4">
        <f>'YTD CF'!J34-'YTD CF'!I34</f>
        <v>0</v>
      </c>
      <c r="N34" s="4">
        <f>'YTD CF'!K34</f>
        <v>0</v>
      </c>
      <c r="O34" s="4">
        <f>'YTD CF'!L34-'YTD CF'!K34</f>
        <v>0</v>
      </c>
      <c r="P34" s="4">
        <f>'YTD CF'!M34-'YTD CF'!L34</f>
        <v>0</v>
      </c>
      <c r="R34" s="4">
        <f>'YTD CF'!N34</f>
        <v>0</v>
      </c>
      <c r="S34" s="4">
        <f>'YTD CF'!O34-'YTD CF'!N34</f>
        <v>-5269</v>
      </c>
      <c r="T34" s="4">
        <f>'YTD CF'!P34-'YTD CF'!O34</f>
        <v>-1448</v>
      </c>
      <c r="V34" s="4">
        <f>'YTD CF'!Q34</f>
        <v>0</v>
      </c>
      <c r="W34" s="4">
        <f>'YTD CF'!R34-'YTD CF'!Q34</f>
        <v>0</v>
      </c>
      <c r="X34" s="4">
        <f>'YTD CF'!S34-'YTD CF'!R34</f>
        <v>0</v>
      </c>
      <c r="Z34" s="11">
        <f>'CF DRIVERS'!Z32</f>
        <v>0</v>
      </c>
      <c r="AA34" s="11">
        <f>'CF DRIVERS'!AA32</f>
        <v>0</v>
      </c>
      <c r="AB34" s="11">
        <f>'CF DRIVERS'!AB32</f>
        <v>0</v>
      </c>
      <c r="AC34" s="11">
        <f>'CF DRIVERS'!AC32</f>
        <v>0</v>
      </c>
      <c r="AD34" s="11">
        <f>'CF DRIVERS'!AD32</f>
        <v>0</v>
      </c>
      <c r="AE34" s="11">
        <f>'CF DRIVERS'!AE32</f>
        <v>0</v>
      </c>
      <c r="AF34" s="11">
        <f>'CF DRIVERS'!AF32</f>
        <v>0</v>
      </c>
      <c r="AG34" s="11">
        <f>'CF DRIVERS'!AG32</f>
        <v>0</v>
      </c>
      <c r="AH34" s="11">
        <f>'CF DRIVERS'!AH32</f>
        <v>0</v>
      </c>
      <c r="AI34" s="11">
        <f>'CF DRIVERS'!AI32</f>
        <v>0</v>
      </c>
      <c r="AJ34" s="11">
        <f>'CF DRIVERS'!AJ32</f>
        <v>0</v>
      </c>
      <c r="AK34" s="11">
        <f>'CF DRIVERS'!AK32</f>
        <v>0</v>
      </c>
      <c r="AL34" s="11">
        <f>'CF DRIVERS'!AL32</f>
        <v>0</v>
      </c>
      <c r="AM34" s="11">
        <f>'CF DRIVERS'!AM32</f>
        <v>0</v>
      </c>
      <c r="AN34" s="11">
        <f>'CF DRIVERS'!AN32</f>
        <v>0</v>
      </c>
      <c r="AO34" s="11">
        <f>'CF DRIVERS'!AO32</f>
        <v>0</v>
      </c>
      <c r="AP34" s="11">
        <f>'CF DRIVERS'!AP32</f>
        <v>0</v>
      </c>
      <c r="AQ34" s="11">
        <f>'CF DRIVERS'!AQ32</f>
        <v>0</v>
      </c>
      <c r="AR34" s="11">
        <f>'CF DRIVERS'!AR32</f>
        <v>0</v>
      </c>
      <c r="AS34" s="11">
        <f>'CF DRIVERS'!AS32</f>
        <v>0</v>
      </c>
    </row>
    <row r="35" spans="1:45" x14ac:dyDescent="0.25">
      <c r="A35" s="3" t="s">
        <v>88</v>
      </c>
      <c r="B35" s="4">
        <f>'YTD CF'!B35</f>
        <v>-733</v>
      </c>
      <c r="C35" s="4">
        <f>'YTD CF'!C35-'YTD CF'!B35</f>
        <v>-947</v>
      </c>
      <c r="D35" s="4">
        <f>'YTD CF'!D35-'YTD CF'!C35</f>
        <v>-820</v>
      </c>
      <c r="E35" s="4">
        <f>'CASH FLOW'!C32-'YTD CF'!D35</f>
        <v>-586</v>
      </c>
      <c r="F35" s="4">
        <f>'YTD CF'!E35</f>
        <v>957</v>
      </c>
      <c r="G35" s="4">
        <f>'YTD CF'!F35-'YTD CF'!E35</f>
        <v>2667</v>
      </c>
      <c r="H35" s="4">
        <f>'YTD CF'!G35-'YTD CF'!F35</f>
        <v>-5438</v>
      </c>
      <c r="I35" s="4">
        <f>'CASH FLOW'!D32-'YTD CF'!G35</f>
        <v>4742</v>
      </c>
      <c r="J35" s="4">
        <f>'YTD CF'!H35</f>
        <v>3454</v>
      </c>
      <c r="K35" s="4">
        <f>'YTD CF'!I35-'YTD CF'!H35</f>
        <v>1470</v>
      </c>
      <c r="L35" s="4">
        <f>'YTD CF'!J35-'YTD CF'!I35</f>
        <v>-5643</v>
      </c>
      <c r="M35" s="4">
        <f>'CASH FLOW'!E32-'YTD CF'!J35</f>
        <v>794</v>
      </c>
      <c r="N35" s="4">
        <f>'YTD CF'!K35</f>
        <v>-7271</v>
      </c>
      <c r="O35" s="4">
        <f>'YTD CF'!L35-'YTD CF'!K35</f>
        <v>610</v>
      </c>
      <c r="P35" s="4">
        <f>'YTD CF'!M35-'YTD CF'!L35</f>
        <v>-4612</v>
      </c>
      <c r="Q35" s="4">
        <f>'CASH FLOW'!F32-'YTD CF'!M35</f>
        <v>-2641</v>
      </c>
      <c r="R35" s="4">
        <f>'YTD CF'!N35</f>
        <v>-2896</v>
      </c>
      <c r="S35" s="4">
        <f>'YTD CF'!O35-'YTD CF'!N35</f>
        <v>2896</v>
      </c>
      <c r="T35" s="4">
        <f>'YTD CF'!P35-'YTD CF'!O35</f>
        <v>0</v>
      </c>
      <c r="U35" s="4">
        <f>'CASH FLOW'!G32-'YTD CF'!P35</f>
        <v>-8223</v>
      </c>
      <c r="V35" s="4">
        <f>'YTD CF'!Q35</f>
        <v>-2045</v>
      </c>
      <c r="W35" s="4">
        <f>'YTD CF'!R35-'YTD CF'!Q35</f>
        <v>-2978</v>
      </c>
      <c r="X35" s="4">
        <f>'YTD CF'!S35-'YTD CF'!R35</f>
        <v>-3020</v>
      </c>
      <c r="Y35" s="4">
        <f>'CASH FLOW'!H32-'YTD CF'!S35</f>
        <v>-2301</v>
      </c>
      <c r="Z35" s="11">
        <f>'CF DRIVERS'!Z33</f>
        <v>0</v>
      </c>
      <c r="AA35" s="11">
        <f>'CF DRIVERS'!AA33</f>
        <v>0</v>
      </c>
      <c r="AB35" s="11">
        <f>'CF DRIVERS'!AB33</f>
        <v>0</v>
      </c>
      <c r="AC35" s="11">
        <f>'CF DRIVERS'!AC33</f>
        <v>0</v>
      </c>
      <c r="AD35" s="11">
        <f>'CF DRIVERS'!AD33</f>
        <v>0</v>
      </c>
      <c r="AE35" s="11">
        <f>'CF DRIVERS'!AE33</f>
        <v>0</v>
      </c>
      <c r="AF35" s="11">
        <f>'CF DRIVERS'!AF33</f>
        <v>0</v>
      </c>
      <c r="AG35" s="11">
        <f>'CF DRIVERS'!AG33</f>
        <v>0</v>
      </c>
      <c r="AH35" s="11">
        <f>'CF DRIVERS'!AH33</f>
        <v>0</v>
      </c>
      <c r="AI35" s="11">
        <f>'CF DRIVERS'!AI33</f>
        <v>0</v>
      </c>
      <c r="AJ35" s="11">
        <f>'CF DRIVERS'!AJ33</f>
        <v>0</v>
      </c>
      <c r="AK35" s="11">
        <f>'CF DRIVERS'!AK33</f>
        <v>0</v>
      </c>
      <c r="AL35" s="11">
        <f>'CF DRIVERS'!AL33</f>
        <v>0</v>
      </c>
      <c r="AM35" s="11">
        <f>'CF DRIVERS'!AM33</f>
        <v>0</v>
      </c>
      <c r="AN35" s="11">
        <f>'CF DRIVERS'!AN33</f>
        <v>0</v>
      </c>
      <c r="AO35" s="11">
        <f>'CF DRIVERS'!AO33</f>
        <v>0</v>
      </c>
      <c r="AP35" s="11">
        <f>'CF DRIVERS'!AP33</f>
        <v>0</v>
      </c>
      <c r="AQ35" s="11">
        <f>'CF DRIVERS'!AQ33</f>
        <v>0</v>
      </c>
      <c r="AR35" s="11">
        <f>'CF DRIVERS'!AR33</f>
        <v>0</v>
      </c>
      <c r="AS35" s="11">
        <f>'CF DRIVERS'!AS33</f>
        <v>0</v>
      </c>
    </row>
    <row r="36" spans="1:45" x14ac:dyDescent="0.25">
      <c r="A36" s="3" t="s">
        <v>89</v>
      </c>
      <c r="B36" s="4">
        <f>'YTD CF'!B36</f>
        <v>0</v>
      </c>
      <c r="C36" s="4">
        <f>'YTD CF'!C36-'YTD CF'!B36</f>
        <v>0</v>
      </c>
      <c r="D36" s="4">
        <f>'YTD CF'!D36-'YTD CF'!C36</f>
        <v>0</v>
      </c>
      <c r="E36" s="4">
        <f>'CASH FLOW'!C33-'YTD CF'!D36</f>
        <v>0</v>
      </c>
      <c r="F36" s="4">
        <f>'YTD CF'!E36</f>
        <v>0</v>
      </c>
      <c r="G36" s="4">
        <f>'YTD CF'!F36-'YTD CF'!E36</f>
        <v>0</v>
      </c>
      <c r="H36" s="4">
        <f>'YTD CF'!G36-'YTD CF'!F36</f>
        <v>0</v>
      </c>
      <c r="I36" s="4">
        <f>'CASH FLOW'!D33-'YTD CF'!G36</f>
        <v>0</v>
      </c>
      <c r="J36" s="4">
        <f>'YTD CF'!H36</f>
        <v>0</v>
      </c>
      <c r="K36" s="4">
        <f>'YTD CF'!I36-'YTD CF'!H36</f>
        <v>0</v>
      </c>
      <c r="L36" s="4">
        <f>'YTD CF'!J36-'YTD CF'!I36</f>
        <v>0</v>
      </c>
      <c r="M36" s="4">
        <f>'CASH FLOW'!E33-'YTD CF'!J36</f>
        <v>0</v>
      </c>
      <c r="N36" s="4">
        <f>'YTD CF'!K36</f>
        <v>0</v>
      </c>
      <c r="O36" s="4">
        <f>'YTD CF'!L36-'YTD CF'!K36</f>
        <v>0</v>
      </c>
      <c r="P36" s="4">
        <f>'YTD CF'!M36-'YTD CF'!L36</f>
        <v>0</v>
      </c>
      <c r="Q36" s="4">
        <f>'CASH FLOW'!F33-'YTD CF'!M36</f>
        <v>0</v>
      </c>
      <c r="R36" s="4">
        <f>'YTD CF'!N36</f>
        <v>0</v>
      </c>
      <c r="S36" s="4">
        <f>'YTD CF'!O36-'YTD CF'!N36</f>
        <v>750000</v>
      </c>
      <c r="T36" s="4">
        <f>'YTD CF'!P36-'YTD CF'!O36</f>
        <v>0</v>
      </c>
      <c r="U36" s="4">
        <f>'CASH FLOW'!G33-'YTD CF'!P36</f>
        <v>0</v>
      </c>
      <c r="V36" s="4">
        <f>'YTD CF'!Q36</f>
        <v>0</v>
      </c>
      <c r="W36" s="4">
        <f>'YTD CF'!R36-'YTD CF'!Q36</f>
        <v>0</v>
      </c>
      <c r="X36" s="4">
        <f>'YTD CF'!S36-'YTD CF'!R36</f>
        <v>0</v>
      </c>
      <c r="Y36" s="4">
        <f>'CASH FLOW'!H33-'YTD CF'!S36</f>
        <v>0</v>
      </c>
      <c r="Z36" s="11">
        <f>'CF DRIVERS'!Z34</f>
        <v>0</v>
      </c>
      <c r="AA36" s="11">
        <f>'CF DRIVERS'!AA34</f>
        <v>0</v>
      </c>
      <c r="AB36" s="11">
        <f>'CF DRIVERS'!AB34</f>
        <v>0</v>
      </c>
      <c r="AC36" s="11">
        <f>'CF DRIVERS'!AC34</f>
        <v>0</v>
      </c>
      <c r="AD36" s="11">
        <f>'CF DRIVERS'!AD34</f>
        <v>0</v>
      </c>
      <c r="AE36" s="11">
        <f>'CF DRIVERS'!AE34</f>
        <v>0</v>
      </c>
      <c r="AF36" s="11">
        <f>'CF DRIVERS'!AF34</f>
        <v>0</v>
      </c>
      <c r="AG36" s="11">
        <f>'CF DRIVERS'!AG34</f>
        <v>0</v>
      </c>
      <c r="AH36" s="11">
        <f>'CF DRIVERS'!AH34</f>
        <v>0</v>
      </c>
      <c r="AI36" s="11">
        <f>'CF DRIVERS'!AI34</f>
        <v>0</v>
      </c>
      <c r="AJ36" s="11">
        <f>'CF DRIVERS'!AJ34</f>
        <v>0</v>
      </c>
      <c r="AK36" s="11">
        <f>'CF DRIVERS'!AK34</f>
        <v>0</v>
      </c>
      <c r="AL36" s="11">
        <f>'CF DRIVERS'!AL34</f>
        <v>0</v>
      </c>
      <c r="AM36" s="11">
        <f>'CF DRIVERS'!AM34</f>
        <v>0</v>
      </c>
      <c r="AN36" s="11">
        <f>'CF DRIVERS'!AN34</f>
        <v>0</v>
      </c>
      <c r="AO36" s="11">
        <f>'CF DRIVERS'!AO34</f>
        <v>0</v>
      </c>
      <c r="AP36" s="11">
        <f>'CF DRIVERS'!AP34</f>
        <v>0</v>
      </c>
      <c r="AQ36" s="11">
        <f>'CF DRIVERS'!AQ34</f>
        <v>0</v>
      </c>
      <c r="AR36" s="11">
        <f>'CF DRIVERS'!AR34</f>
        <v>0</v>
      </c>
      <c r="AS36" s="11">
        <f>'CF DRIVERS'!AS34</f>
        <v>0</v>
      </c>
    </row>
    <row r="37" spans="1:45" x14ac:dyDescent="0.25">
      <c r="A37" s="3" t="s">
        <v>91</v>
      </c>
      <c r="B37" s="4">
        <f>'YTD CF'!B37</f>
        <v>0</v>
      </c>
      <c r="C37" s="4">
        <f>'YTD CF'!C37-'YTD CF'!B37</f>
        <v>0</v>
      </c>
      <c r="D37" s="4">
        <f>'YTD CF'!D37-'YTD CF'!C37</f>
        <v>0</v>
      </c>
      <c r="E37" s="4">
        <f>'CASH FLOW'!C35-'YTD CF'!D37</f>
        <v>0</v>
      </c>
      <c r="F37" s="4">
        <f>'YTD CF'!E37</f>
        <v>0</v>
      </c>
      <c r="G37" s="4">
        <f>'YTD CF'!F37-'YTD CF'!E37</f>
        <v>0</v>
      </c>
      <c r="H37" s="4">
        <f>'YTD CF'!G37-'YTD CF'!F37</f>
        <v>0</v>
      </c>
      <c r="I37" s="4">
        <f>'CASH FLOW'!D35-'YTD CF'!G37</f>
        <v>0</v>
      </c>
      <c r="J37" s="4">
        <f>'YTD CF'!H37</f>
        <v>0</v>
      </c>
      <c r="K37" s="4">
        <f>'YTD CF'!I37-'YTD CF'!H37</f>
        <v>0</v>
      </c>
      <c r="L37" s="4">
        <f>'YTD CF'!J37-'YTD CF'!I37</f>
        <v>0</v>
      </c>
      <c r="M37" s="4">
        <f>'CASH FLOW'!E35-'YTD CF'!J37</f>
        <v>0</v>
      </c>
      <c r="N37" s="4">
        <f>'YTD CF'!K37</f>
        <v>0</v>
      </c>
      <c r="O37" s="4">
        <f>'YTD CF'!L37-'YTD CF'!K37</f>
        <v>0</v>
      </c>
      <c r="P37" s="4">
        <f>'YTD CF'!M37-'YTD CF'!L37</f>
        <v>0</v>
      </c>
      <c r="Q37" s="4">
        <f>'CASH FLOW'!F35-'YTD CF'!M37</f>
        <v>0</v>
      </c>
      <c r="R37" s="4">
        <f>'YTD CF'!N37</f>
        <v>0</v>
      </c>
      <c r="S37" s="4">
        <f>'YTD CF'!O37-'YTD CF'!N37</f>
        <v>-2776</v>
      </c>
      <c r="T37" s="4">
        <f>'YTD CF'!P37-'YTD CF'!O37</f>
        <v>-128</v>
      </c>
      <c r="U37" s="4">
        <f>'CASH FLOW'!G35-'YTD CF'!P37</f>
        <v>0</v>
      </c>
      <c r="V37" s="4">
        <f>'YTD CF'!Q37</f>
        <v>0</v>
      </c>
      <c r="W37" s="4">
        <f>'YTD CF'!R37-'YTD CF'!Q37</f>
        <v>0</v>
      </c>
      <c r="X37" s="4">
        <f>'YTD CF'!S37-'YTD CF'!R37</f>
        <v>0</v>
      </c>
      <c r="Y37" s="4">
        <f>'CASH FLOW'!H35-'YTD CF'!S37</f>
        <v>0</v>
      </c>
      <c r="Z37" s="11">
        <f>'CF DRIVERS'!Z35</f>
        <v>0</v>
      </c>
      <c r="AA37" s="11">
        <f>'CF DRIVERS'!AA35</f>
        <v>0</v>
      </c>
      <c r="AB37" s="11">
        <f>'CF DRIVERS'!AB35</f>
        <v>0</v>
      </c>
      <c r="AC37" s="11">
        <f>'CF DRIVERS'!AC35</f>
        <v>0</v>
      </c>
      <c r="AD37" s="11">
        <f>'CF DRIVERS'!AD35</f>
        <v>0</v>
      </c>
      <c r="AE37" s="11">
        <f>'CF DRIVERS'!AE35</f>
        <v>0</v>
      </c>
      <c r="AF37" s="11">
        <f>'CF DRIVERS'!AF35</f>
        <v>0</v>
      </c>
      <c r="AG37" s="11">
        <f>'CF DRIVERS'!AG35</f>
        <v>0</v>
      </c>
      <c r="AH37" s="11">
        <f>'CF DRIVERS'!AH35</f>
        <v>0</v>
      </c>
      <c r="AI37" s="11">
        <f>'CF DRIVERS'!AI35</f>
        <v>0</v>
      </c>
      <c r="AJ37" s="11">
        <f>'CF DRIVERS'!AJ35</f>
        <v>0</v>
      </c>
      <c r="AK37" s="11">
        <f>'CF DRIVERS'!AK35</f>
        <v>0</v>
      </c>
      <c r="AL37" s="11">
        <f>'CF DRIVERS'!AL35</f>
        <v>0</v>
      </c>
      <c r="AM37" s="11">
        <f>'CF DRIVERS'!AM35</f>
        <v>0</v>
      </c>
      <c r="AN37" s="11">
        <f>'CF DRIVERS'!AN35</f>
        <v>0</v>
      </c>
      <c r="AO37" s="11">
        <f>'CF DRIVERS'!AO35</f>
        <v>0</v>
      </c>
      <c r="AP37" s="11">
        <f>'CF DRIVERS'!AP35</f>
        <v>0</v>
      </c>
      <c r="AQ37" s="11">
        <f>'CF DRIVERS'!AQ35</f>
        <v>0</v>
      </c>
      <c r="AR37" s="11">
        <f>'CF DRIVERS'!AR35</f>
        <v>0</v>
      </c>
      <c r="AS37" s="11">
        <f>'CF DRIVERS'!AS35</f>
        <v>0</v>
      </c>
    </row>
    <row r="38" spans="1:45" x14ac:dyDescent="0.25">
      <c r="A38" s="3" t="s">
        <v>90</v>
      </c>
      <c r="B38" s="4">
        <f>'YTD CF'!B38</f>
        <v>0</v>
      </c>
      <c r="C38" s="4">
        <f>'YTD CF'!C38-'YTD CF'!B38</f>
        <v>0</v>
      </c>
      <c r="D38" s="4">
        <f>'YTD CF'!D38-'YTD CF'!C38</f>
        <v>0</v>
      </c>
      <c r="E38" s="4">
        <f>'CASH FLOW'!C34-'YTD CF'!D38</f>
        <v>0</v>
      </c>
      <c r="F38" s="4">
        <f>'YTD CF'!E38</f>
        <v>0</v>
      </c>
      <c r="G38" s="4">
        <f>'YTD CF'!F38-'YTD CF'!E38</f>
        <v>0</v>
      </c>
      <c r="H38" s="4">
        <f>'YTD CF'!G38-'YTD CF'!F38</f>
        <v>0</v>
      </c>
      <c r="I38" s="4">
        <f>'CASH FLOW'!D34-'YTD CF'!G38</f>
        <v>0</v>
      </c>
      <c r="J38" s="4">
        <f>'YTD CF'!H38</f>
        <v>0</v>
      </c>
      <c r="K38" s="4">
        <f>'YTD CF'!I38-'YTD CF'!H38</f>
        <v>0</v>
      </c>
      <c r="L38" s="4">
        <f>'YTD CF'!J38-'YTD CF'!I38</f>
        <v>0</v>
      </c>
      <c r="M38" s="4">
        <f>'CASH FLOW'!E34-'YTD CF'!J38</f>
        <v>0</v>
      </c>
      <c r="N38" s="4">
        <f>'YTD CF'!K38</f>
        <v>0</v>
      </c>
      <c r="O38" s="4">
        <f>'YTD CF'!L38-'YTD CF'!K38</f>
        <v>0</v>
      </c>
      <c r="P38" s="4">
        <f>'YTD CF'!M38-'YTD CF'!L38</f>
        <v>0</v>
      </c>
      <c r="Q38" s="4">
        <f>'CASH FLOW'!F34-'YTD CF'!M38</f>
        <v>0</v>
      </c>
      <c r="R38" s="4">
        <f>'YTD CF'!N38</f>
        <v>0</v>
      </c>
      <c r="S38" s="4">
        <f>'YTD CF'!O38-'YTD CF'!N38</f>
        <v>0</v>
      </c>
      <c r="T38" s="4">
        <f>'YTD CF'!P38-'YTD CF'!O38</f>
        <v>0</v>
      </c>
      <c r="U38" s="4">
        <f>'CASH FLOW'!G34-'YTD CF'!P38</f>
        <v>-375000</v>
      </c>
      <c r="V38" s="4">
        <f>'YTD CF'!Q38</f>
        <v>-175000</v>
      </c>
      <c r="W38" s="4">
        <f>'YTD CF'!R38-'YTD CF'!Q38</f>
        <v>-200000</v>
      </c>
      <c r="X38" s="4">
        <f>'YTD CF'!S38-'YTD CF'!R38</f>
        <v>0</v>
      </c>
      <c r="Y38" s="4">
        <f>'CASH FLOW'!H34-'YTD CF'!S38</f>
        <v>0</v>
      </c>
      <c r="Z38" s="11">
        <f>'CF DRIVERS'!Z36</f>
        <v>0</v>
      </c>
      <c r="AA38" s="11">
        <f>'CF DRIVERS'!AA36</f>
        <v>0</v>
      </c>
      <c r="AB38" s="11">
        <f>'CF DRIVERS'!AB36</f>
        <v>0</v>
      </c>
      <c r="AC38" s="11">
        <f>'CF DRIVERS'!AC36</f>
        <v>0</v>
      </c>
      <c r="AD38" s="11">
        <f>'CF DRIVERS'!AD36</f>
        <v>0</v>
      </c>
      <c r="AE38" s="11">
        <f>'CF DRIVERS'!AE36</f>
        <v>0</v>
      </c>
      <c r="AF38" s="11">
        <f>'CF DRIVERS'!AF36</f>
        <v>0</v>
      </c>
      <c r="AG38" s="11">
        <f>'CF DRIVERS'!AG36</f>
        <v>0</v>
      </c>
      <c r="AH38" s="11">
        <f>'CF DRIVERS'!AH36</f>
        <v>0</v>
      </c>
      <c r="AI38" s="11">
        <f>'CF DRIVERS'!AI36</f>
        <v>0</v>
      </c>
      <c r="AJ38" s="11">
        <f>'CF DRIVERS'!AJ36</f>
        <v>0</v>
      </c>
      <c r="AK38" s="11">
        <f>'CF DRIVERS'!AK36</f>
        <v>0</v>
      </c>
      <c r="AL38" s="11">
        <f>'CF DRIVERS'!AL36</f>
        <v>0</v>
      </c>
      <c r="AM38" s="11">
        <f>'CF DRIVERS'!AM36</f>
        <v>0</v>
      </c>
      <c r="AN38" s="11">
        <f>'CF DRIVERS'!AN36</f>
        <v>0</v>
      </c>
      <c r="AO38" s="11">
        <f>'CF DRIVERS'!AO36</f>
        <v>0</v>
      </c>
      <c r="AP38" s="11">
        <f>'CF DRIVERS'!AP36</f>
        <v>0</v>
      </c>
      <c r="AQ38" s="11">
        <f>'CF DRIVERS'!AQ36</f>
        <v>0</v>
      </c>
      <c r="AR38" s="11">
        <f>'CF DRIVERS'!AR36</f>
        <v>0</v>
      </c>
      <c r="AS38" s="11">
        <f>'CF DRIVERS'!AS36</f>
        <v>0</v>
      </c>
    </row>
    <row r="39" spans="1:45" x14ac:dyDescent="0.25">
      <c r="A39" s="3" t="s">
        <v>92</v>
      </c>
      <c r="B39" s="4">
        <f>'YTD CF'!B39</f>
        <v>13975</v>
      </c>
      <c r="C39" s="4">
        <f>'YTD CF'!C39-'YTD CF'!B39</f>
        <v>29867</v>
      </c>
      <c r="D39" s="4">
        <f>'YTD CF'!D39-'YTD CF'!C39</f>
        <v>21698</v>
      </c>
      <c r="E39" s="4">
        <f>'CASH FLOW'!C36-'YTD CF'!D39</f>
        <v>7396</v>
      </c>
      <c r="F39" s="4">
        <f>'YTD CF'!E39</f>
        <v>6761</v>
      </c>
      <c r="G39" s="4">
        <f>'YTD CF'!F39-'YTD CF'!E39</f>
        <v>17725</v>
      </c>
      <c r="H39" s="4">
        <f>'YTD CF'!G39-'YTD CF'!F39</f>
        <v>12674</v>
      </c>
      <c r="I39" s="4">
        <f>'CASH FLOW'!D36-'YTD CF'!G39</f>
        <v>8563</v>
      </c>
      <c r="J39" s="4">
        <f>'YTD CF'!H39</f>
        <v>4510</v>
      </c>
      <c r="K39" s="4">
        <f>'YTD CF'!I39-'YTD CF'!H39</f>
        <v>18112</v>
      </c>
      <c r="L39" s="4">
        <f>'YTD CF'!J39-'YTD CF'!I39</f>
        <v>12137</v>
      </c>
      <c r="M39" s="4">
        <f>'CASH FLOW'!E36-'YTD CF'!J39</f>
        <v>29256</v>
      </c>
      <c r="N39" s="4">
        <f>'YTD CF'!K39</f>
        <v>36348</v>
      </c>
      <c r="O39" s="4">
        <f>'YTD CF'!L39-'YTD CF'!K39</f>
        <v>23318</v>
      </c>
      <c r="P39" s="4">
        <f>'YTD CF'!M39-'YTD CF'!L39</f>
        <v>5894</v>
      </c>
      <c r="Q39" s="4">
        <f>'CASH FLOW'!F36-'YTD CF'!M39</f>
        <v>64707</v>
      </c>
      <c r="R39" s="4">
        <f>'YTD CF'!N39</f>
        <v>38392</v>
      </c>
      <c r="S39" s="4">
        <f>'YTD CF'!O39-'YTD CF'!N39</f>
        <v>13701</v>
      </c>
      <c r="T39" s="4">
        <f>'YTD CF'!P39-'YTD CF'!O39</f>
        <v>10008</v>
      </c>
      <c r="U39" s="4">
        <f>'CASH FLOW'!G36-'YTD CF'!P39</f>
        <v>16872</v>
      </c>
      <c r="V39" s="4">
        <f>'YTD CF'!Q39</f>
        <v>48093</v>
      </c>
      <c r="W39" s="4">
        <f>'YTD CF'!R39-'YTD CF'!Q39</f>
        <v>39591</v>
      </c>
      <c r="X39" s="4">
        <f>'YTD CF'!S39-'YTD CF'!R39</f>
        <v>26679</v>
      </c>
      <c r="Y39" s="4">
        <f>'CASH FLOW'!H36-'YTD CF'!S39</f>
        <v>50205</v>
      </c>
      <c r="Z39" s="11">
        <f>'CF DRIVERS'!Z37</f>
        <v>0</v>
      </c>
      <c r="AA39" s="11">
        <f>'CF DRIVERS'!AA37</f>
        <v>0</v>
      </c>
      <c r="AB39" s="11">
        <f>'CF DRIVERS'!AB37</f>
        <v>0</v>
      </c>
      <c r="AC39" s="11">
        <f>'CF DRIVERS'!AC37</f>
        <v>0</v>
      </c>
      <c r="AD39" s="11">
        <f>'CF DRIVERS'!AD37</f>
        <v>0</v>
      </c>
      <c r="AE39" s="11">
        <f>'CF DRIVERS'!AE37</f>
        <v>0</v>
      </c>
      <c r="AF39" s="11">
        <f>'CF DRIVERS'!AF37</f>
        <v>0</v>
      </c>
      <c r="AG39" s="11">
        <f>'CF DRIVERS'!AG37</f>
        <v>0</v>
      </c>
      <c r="AH39" s="11">
        <f>'CF DRIVERS'!AH37</f>
        <v>0</v>
      </c>
      <c r="AI39" s="11">
        <f>'CF DRIVERS'!AI37</f>
        <v>0</v>
      </c>
      <c r="AJ39" s="11">
        <f>'CF DRIVERS'!AJ37</f>
        <v>0</v>
      </c>
      <c r="AK39" s="11">
        <f>'CF DRIVERS'!AK37</f>
        <v>0</v>
      </c>
      <c r="AL39" s="11">
        <f>'CF DRIVERS'!AL37</f>
        <v>0</v>
      </c>
      <c r="AM39" s="11">
        <f>'CF DRIVERS'!AM37</f>
        <v>0</v>
      </c>
      <c r="AN39" s="11">
        <f>'CF DRIVERS'!AN37</f>
        <v>0</v>
      </c>
      <c r="AO39" s="11">
        <f>'CF DRIVERS'!AO37</f>
        <v>0</v>
      </c>
      <c r="AP39" s="11">
        <f>'CF DRIVERS'!AP37</f>
        <v>0</v>
      </c>
      <c r="AQ39" s="11">
        <f>'CF DRIVERS'!AQ37</f>
        <v>0</v>
      </c>
      <c r="AR39" s="11">
        <f>'CF DRIVERS'!AR37</f>
        <v>0</v>
      </c>
      <c r="AS39" s="11">
        <f>'CF DRIVERS'!AS37</f>
        <v>0</v>
      </c>
    </row>
    <row r="40" spans="1:45" x14ac:dyDescent="0.25">
      <c r="A40" s="3" t="s">
        <v>93</v>
      </c>
      <c r="B40" s="4">
        <f>'YTD CF'!B40</f>
        <v>-559210</v>
      </c>
      <c r="C40" s="4">
        <f>'YTD CF'!C40-'YTD CF'!B40</f>
        <v>-36560</v>
      </c>
      <c r="D40" s="4">
        <f>'YTD CF'!D40-'YTD CF'!C40</f>
        <v>-148</v>
      </c>
      <c r="E40" s="4">
        <f>'CASH FLOW'!C37-'YTD CF'!D40</f>
        <v>0</v>
      </c>
      <c r="F40" s="4">
        <f>'YTD CF'!E40</f>
        <v>-13419</v>
      </c>
      <c r="G40" s="4">
        <f>'YTD CF'!F40-'YTD CF'!E40</f>
        <v>-399</v>
      </c>
      <c r="H40" s="4">
        <f>'YTD CF'!G40-'YTD CF'!F40</f>
        <v>0</v>
      </c>
      <c r="I40" s="4">
        <f>'CASH FLOW'!D37-'YTD CF'!G40</f>
        <v>-12</v>
      </c>
      <c r="J40" s="4">
        <f>'YTD CF'!H40</f>
        <v>-12187</v>
      </c>
      <c r="K40" s="4">
        <f>'YTD CF'!I40-'YTD CF'!H40</f>
        <v>-284312</v>
      </c>
      <c r="L40" s="4">
        <f>'YTD CF'!J40-'YTD CF'!I40</f>
        <v>-196816</v>
      </c>
      <c r="M40" s="4">
        <f>'CASH FLOW'!E37-'YTD CF'!J40</f>
        <v>-277713</v>
      </c>
      <c r="N40" s="4">
        <f>'YTD CF'!K40</f>
        <v>-35126</v>
      </c>
      <c r="O40" s="4">
        <f>'YTD CF'!L40-'YTD CF'!K40</f>
        <v>-55699</v>
      </c>
      <c r="P40" s="4">
        <f>'YTD CF'!M40-'YTD CF'!L40</f>
        <v>-397255</v>
      </c>
      <c r="Q40" s="4">
        <f>'CASH FLOW'!F37-'YTD CF'!M40</f>
        <v>-170872</v>
      </c>
      <c r="R40" s="4">
        <f>'YTD CF'!N40</f>
        <v>-120245</v>
      </c>
      <c r="S40" s="4">
        <f>'YTD CF'!O40-'YTD CF'!N40</f>
        <v>-3114278</v>
      </c>
      <c r="T40" s="4">
        <f>'YTD CF'!P40-'YTD CF'!O40</f>
        <v>-535661</v>
      </c>
      <c r="U40" s="4">
        <f>'CASH FLOW'!G37-'YTD CF'!P40</f>
        <v>-1691</v>
      </c>
      <c r="V40" s="4">
        <f>'YTD CF'!Q40</f>
        <v>-16633</v>
      </c>
      <c r="W40" s="4">
        <f>'YTD CF'!R40-'YTD CF'!Q40</f>
        <v>0</v>
      </c>
      <c r="X40" s="4">
        <f>'YTD CF'!S40-'YTD CF'!R40</f>
        <v>-27288</v>
      </c>
      <c r="Y40" s="4">
        <f>'CASH FLOW'!H37-'YTD CF'!S40</f>
        <v>-59725</v>
      </c>
      <c r="Z40" s="11">
        <f>'CF DRIVERS'!Z38</f>
        <v>0</v>
      </c>
      <c r="AA40" s="11">
        <f>'CF DRIVERS'!AA38</f>
        <v>0</v>
      </c>
      <c r="AB40" s="11">
        <f>'CF DRIVERS'!AB38</f>
        <v>0</v>
      </c>
      <c r="AC40" s="11">
        <f>'CF DRIVERS'!AC38</f>
        <v>0</v>
      </c>
      <c r="AD40" s="11">
        <f>'CF DRIVERS'!AD38</f>
        <v>0</v>
      </c>
      <c r="AE40" s="11">
        <f>'CF DRIVERS'!AE38</f>
        <v>0</v>
      </c>
      <c r="AF40" s="11">
        <f>'CF DRIVERS'!AF38</f>
        <v>0</v>
      </c>
      <c r="AG40" s="11">
        <f>'CF DRIVERS'!AG38</f>
        <v>0</v>
      </c>
      <c r="AH40" s="11">
        <f>'CF DRIVERS'!AH38</f>
        <v>0</v>
      </c>
      <c r="AI40" s="11">
        <f>'CF DRIVERS'!AI38</f>
        <v>0</v>
      </c>
      <c r="AJ40" s="11">
        <f>'CF DRIVERS'!AJ38</f>
        <v>0</v>
      </c>
      <c r="AK40" s="11">
        <f>'CF DRIVERS'!AK38</f>
        <v>0</v>
      </c>
      <c r="AL40" s="11">
        <f>'CF DRIVERS'!AL38</f>
        <v>0</v>
      </c>
      <c r="AM40" s="11">
        <f>'CF DRIVERS'!AM38</f>
        <v>0</v>
      </c>
      <c r="AN40" s="11">
        <f>'CF DRIVERS'!AN38</f>
        <v>0</v>
      </c>
      <c r="AO40" s="11">
        <f>'CF DRIVERS'!AO38</f>
        <v>0</v>
      </c>
      <c r="AP40" s="11">
        <f>'CF DRIVERS'!AP38</f>
        <v>0</v>
      </c>
      <c r="AQ40" s="11">
        <f>'CF DRIVERS'!AQ38</f>
        <v>0</v>
      </c>
      <c r="AR40" s="11">
        <f>'CF DRIVERS'!AR38</f>
        <v>0</v>
      </c>
      <c r="AS40" s="11">
        <f>'CF DRIVERS'!AS38</f>
        <v>0</v>
      </c>
    </row>
    <row r="41" spans="1:45" x14ac:dyDescent="0.25">
      <c r="A41" s="3" t="s">
        <v>94</v>
      </c>
      <c r="B41" s="6">
        <f>'YTD CF'!B41</f>
        <v>-545968</v>
      </c>
      <c r="C41" s="6">
        <f>'YTD CF'!C41-'YTD CF'!B41</f>
        <v>-7640</v>
      </c>
      <c r="D41" s="6">
        <f>'YTD CF'!D41-'YTD CF'!C41</f>
        <v>20730</v>
      </c>
      <c r="E41" s="6">
        <f>'CASH FLOW'!C38-'YTD CF'!D41</f>
        <v>6810</v>
      </c>
      <c r="F41" s="6">
        <f>'YTD CF'!E41</f>
        <v>-5701</v>
      </c>
      <c r="G41" s="6">
        <f>'YTD CF'!F41-'YTD CF'!E41</f>
        <v>19993</v>
      </c>
      <c r="H41" s="6">
        <f>'YTD CF'!G41-'YTD CF'!F41</f>
        <v>7236</v>
      </c>
      <c r="I41" s="6">
        <f>'CASH FLOW'!D38-'YTD CF'!G41</f>
        <v>13293</v>
      </c>
      <c r="J41" s="6">
        <f>'YTD CF'!H41</f>
        <v>-4223</v>
      </c>
      <c r="K41" s="6">
        <f>'YTD CF'!I41-'YTD CF'!H41</f>
        <v>-264730</v>
      </c>
      <c r="L41" s="6">
        <f>'YTD CF'!J41-'YTD CF'!I41</f>
        <v>-190322</v>
      </c>
      <c r="M41" s="6">
        <f>'CASH FLOW'!E38-'YTD CF'!J41</f>
        <v>-247663</v>
      </c>
      <c r="N41" s="6">
        <f>'YTD CF'!K41</f>
        <v>-6049</v>
      </c>
      <c r="O41" s="6">
        <f>'YTD CF'!L41-'YTD CF'!K41</f>
        <v>-31771</v>
      </c>
      <c r="P41" s="6">
        <f>'YTD CF'!M41-'YTD CF'!L41</f>
        <v>-395973</v>
      </c>
      <c r="Q41" s="6">
        <f>'CASH FLOW'!F38-'YTD CF'!M41</f>
        <v>-108806</v>
      </c>
      <c r="R41" s="6">
        <f>'YTD CF'!N41</f>
        <v>-84749</v>
      </c>
      <c r="S41" s="6">
        <f>'YTD CF'!O41-'YTD CF'!N41</f>
        <v>-2355726</v>
      </c>
      <c r="T41" s="6">
        <f>'YTD CF'!P41-'YTD CF'!O41</f>
        <v>-527229</v>
      </c>
      <c r="U41" s="6">
        <f>'CASH FLOW'!G38-'YTD CF'!P41</f>
        <v>-361325</v>
      </c>
      <c r="V41" s="6">
        <f>'YTD CF'!Q41</f>
        <v>-145585</v>
      </c>
      <c r="W41" s="6">
        <f>'YTD CF'!R41-'YTD CF'!Q41</f>
        <v>-163387</v>
      </c>
      <c r="X41" s="6">
        <f>'YTD CF'!S41-'YTD CF'!R41</f>
        <v>-3629</v>
      </c>
      <c r="Y41" s="6">
        <f>'CASH FLOW'!H38-'YTD CF'!S41</f>
        <v>-11821</v>
      </c>
      <c r="Z41" s="7">
        <f t="shared" ref="Z41:AS41" si="2">SUM(Z34:Z40)</f>
        <v>0</v>
      </c>
      <c r="AA41" s="7">
        <f t="shared" si="2"/>
        <v>0</v>
      </c>
      <c r="AB41" s="7">
        <f t="shared" si="2"/>
        <v>0</v>
      </c>
      <c r="AC41" s="7">
        <f t="shared" si="2"/>
        <v>0</v>
      </c>
      <c r="AD41" s="7">
        <f t="shared" si="2"/>
        <v>0</v>
      </c>
      <c r="AE41" s="7">
        <f t="shared" si="2"/>
        <v>0</v>
      </c>
      <c r="AF41" s="7">
        <f t="shared" si="2"/>
        <v>0</v>
      </c>
      <c r="AG41" s="7">
        <f t="shared" si="2"/>
        <v>0</v>
      </c>
      <c r="AH41" s="7">
        <f t="shared" si="2"/>
        <v>0</v>
      </c>
      <c r="AI41" s="7">
        <f t="shared" si="2"/>
        <v>0</v>
      </c>
      <c r="AJ41" s="7">
        <f t="shared" si="2"/>
        <v>0</v>
      </c>
      <c r="AK41" s="7">
        <f t="shared" si="2"/>
        <v>0</v>
      </c>
      <c r="AL41" s="7">
        <f t="shared" si="2"/>
        <v>0</v>
      </c>
      <c r="AM41" s="7">
        <f t="shared" si="2"/>
        <v>0</v>
      </c>
      <c r="AN41" s="7">
        <f t="shared" si="2"/>
        <v>0</v>
      </c>
      <c r="AO41" s="7">
        <f t="shared" si="2"/>
        <v>0</v>
      </c>
      <c r="AP41" s="7">
        <f t="shared" si="2"/>
        <v>0</v>
      </c>
      <c r="AQ41" s="7">
        <f t="shared" si="2"/>
        <v>0</v>
      </c>
      <c r="AR41" s="7">
        <f t="shared" si="2"/>
        <v>0</v>
      </c>
      <c r="AS41" s="7">
        <f t="shared" si="2"/>
        <v>0</v>
      </c>
    </row>
    <row r="42" spans="1:45" x14ac:dyDescent="0.25">
      <c r="A42" s="3" t="s">
        <v>95</v>
      </c>
      <c r="B42" s="4">
        <f>'YTD CF'!B42</f>
        <v>-21261</v>
      </c>
      <c r="C42" s="4">
        <f>'YTD CF'!C42-'YTD CF'!B42</f>
        <v>7086</v>
      </c>
      <c r="D42" s="4">
        <f>'YTD CF'!D42-'YTD CF'!C42</f>
        <v>15104</v>
      </c>
      <c r="E42" s="4">
        <f>'CASH FLOW'!C39-'YTD CF'!D42</f>
        <v>15919</v>
      </c>
      <c r="F42" s="4">
        <f>'YTD CF'!E42</f>
        <v>-22223</v>
      </c>
      <c r="G42" s="4">
        <f>'YTD CF'!F42-'YTD CF'!E42</f>
        <v>5333</v>
      </c>
      <c r="H42" s="4">
        <f>'YTD CF'!G42-'YTD CF'!F42</f>
        <v>-18662</v>
      </c>
      <c r="I42" s="4">
        <f>'CASH FLOW'!D39-'YTD CF'!G42</f>
        <v>-16939</v>
      </c>
      <c r="J42" s="4">
        <f>'YTD CF'!H42</f>
        <v>-3472</v>
      </c>
      <c r="K42" s="4">
        <f>'YTD CF'!I42-'YTD CF'!H42</f>
        <v>-46923</v>
      </c>
      <c r="L42" s="4">
        <f>'YTD CF'!J42-'YTD CF'!I42</f>
        <v>-45187</v>
      </c>
      <c r="M42" s="4">
        <f>'CASH FLOW'!E39-'YTD CF'!J42</f>
        <v>56867</v>
      </c>
      <c r="N42" s="4">
        <f>'YTD CF'!K42</f>
        <v>-141</v>
      </c>
      <c r="O42" s="4">
        <f>'YTD CF'!L42-'YTD CF'!K42</f>
        <v>-4359</v>
      </c>
      <c r="P42" s="4">
        <f>'YTD CF'!M42-'YTD CF'!L42</f>
        <v>-18402</v>
      </c>
      <c r="Q42" s="4">
        <f>'CASH FLOW'!F39-'YTD CF'!M42</f>
        <v>31677</v>
      </c>
      <c r="R42" s="4">
        <f>'YTD CF'!N42</f>
        <v>-13222</v>
      </c>
      <c r="S42" s="4">
        <f>'YTD CF'!O42-'YTD CF'!N42</f>
        <v>-30981</v>
      </c>
      <c r="T42" s="4">
        <f>'YTD CF'!P42-'YTD CF'!O42</f>
        <v>29721</v>
      </c>
      <c r="U42" s="4">
        <f>'CASH FLOW'!G39-'YTD CF'!P42</f>
        <v>-83137</v>
      </c>
      <c r="V42" s="4">
        <f>'YTD CF'!Q42</f>
        <v>38972</v>
      </c>
      <c r="W42" s="4">
        <f>'YTD CF'!R42-'YTD CF'!Q42</f>
        <v>47753</v>
      </c>
      <c r="X42" s="4">
        <f>'YTD CF'!S42-'YTD CF'!R42</f>
        <v>-13986</v>
      </c>
      <c r="Y42" s="4">
        <f>'CASH FLOW'!H39-'YTD CF'!S42</f>
        <v>25114</v>
      </c>
      <c r="Z42" s="11">
        <f>'CF DRIVERS'!Z39</f>
        <v>25114</v>
      </c>
      <c r="AA42" s="11">
        <f>'CF DRIVERS'!AA39</f>
        <v>25114</v>
      </c>
      <c r="AB42" s="11">
        <f>'CF DRIVERS'!AB39</f>
        <v>25114</v>
      </c>
      <c r="AC42" s="11">
        <f>'CF DRIVERS'!AC39</f>
        <v>25114</v>
      </c>
      <c r="AD42" s="11">
        <f>'CF DRIVERS'!AD39</f>
        <v>25114</v>
      </c>
      <c r="AE42" s="11">
        <f>'CF DRIVERS'!AE39</f>
        <v>25114</v>
      </c>
      <c r="AF42" s="11">
        <f>'CF DRIVERS'!AF39</f>
        <v>25114</v>
      </c>
      <c r="AG42" s="11">
        <f>'CF DRIVERS'!AG39</f>
        <v>25114</v>
      </c>
      <c r="AH42" s="11">
        <f>'CF DRIVERS'!AH39</f>
        <v>25114</v>
      </c>
      <c r="AI42" s="11">
        <f>'CF DRIVERS'!AI39</f>
        <v>25114</v>
      </c>
      <c r="AJ42" s="11">
        <f>'CF DRIVERS'!AJ39</f>
        <v>25114</v>
      </c>
      <c r="AK42" s="11">
        <f>'CF DRIVERS'!AK39</f>
        <v>25114</v>
      </c>
      <c r="AL42" s="11">
        <f>'CF DRIVERS'!AL39</f>
        <v>25114</v>
      </c>
      <c r="AM42" s="11">
        <f>'CF DRIVERS'!AM39</f>
        <v>25114</v>
      </c>
      <c r="AN42" s="11">
        <f>'CF DRIVERS'!AN39</f>
        <v>25114</v>
      </c>
      <c r="AO42" s="11">
        <f>'CF DRIVERS'!AO39</f>
        <v>25114</v>
      </c>
      <c r="AP42" s="11">
        <f>'CF DRIVERS'!AP39</f>
        <v>25114</v>
      </c>
      <c r="AQ42" s="11">
        <f>'CF DRIVERS'!AQ39</f>
        <v>25114</v>
      </c>
      <c r="AR42" s="11">
        <f>'CF DRIVERS'!AR39</f>
        <v>25114</v>
      </c>
      <c r="AS42" s="11">
        <f>'CF DRIVERS'!AS39</f>
        <v>25114</v>
      </c>
    </row>
    <row r="43" spans="1:45" x14ac:dyDescent="0.25">
      <c r="A43" s="3" t="s">
        <v>96</v>
      </c>
      <c r="B43" s="6">
        <f>'YTD CF'!B43</f>
        <v>-96121</v>
      </c>
      <c r="C43" s="6">
        <f>'YTD CF'!C43-'YTD CF'!B43</f>
        <v>219490</v>
      </c>
      <c r="D43" s="6">
        <f>'YTD CF'!D43-'YTD CF'!C43</f>
        <v>153404</v>
      </c>
      <c r="E43" s="6">
        <f>'CASH FLOW'!C40-'YTD CF'!D43</f>
        <v>105683</v>
      </c>
      <c r="F43" s="6">
        <f>'YTD CF'!E43</f>
        <v>-1534</v>
      </c>
      <c r="G43" s="6">
        <f>'YTD CF'!F43-'YTD CF'!E43</f>
        <v>405360</v>
      </c>
      <c r="H43" s="6">
        <f>'YTD CF'!G43-'YTD CF'!F43</f>
        <v>128432</v>
      </c>
      <c r="I43" s="6">
        <f>'CASH FLOW'!D40-'YTD CF'!G43</f>
        <v>-386209</v>
      </c>
      <c r="J43" s="6">
        <f>'YTD CF'!H43</f>
        <v>-311676</v>
      </c>
      <c r="K43" s="6">
        <f>'YTD CF'!I43-'YTD CF'!H43</f>
        <v>117253</v>
      </c>
      <c r="L43" s="6">
        <f>'YTD CF'!J43-'YTD CF'!I43</f>
        <v>171009</v>
      </c>
      <c r="M43" s="6">
        <f>'CASH FLOW'!E40-'YTD CF'!J43</f>
        <v>4093</v>
      </c>
      <c r="N43" s="6">
        <f>'YTD CF'!K43</f>
        <v>365519</v>
      </c>
      <c r="O43" s="6">
        <f>'YTD CF'!L43-'YTD CF'!K43</f>
        <v>197114</v>
      </c>
      <c r="P43" s="6">
        <f>'YTD CF'!M43-'YTD CF'!L43</f>
        <v>-95925</v>
      </c>
      <c r="Q43" s="6">
        <f>'CASH FLOW'!F40-'YTD CF'!M43</f>
        <v>523826</v>
      </c>
      <c r="R43" s="6">
        <f>'YTD CF'!N43</f>
        <v>278849</v>
      </c>
      <c r="S43" s="6">
        <f>'YTD CF'!O43-'YTD CF'!N43</f>
        <v>-1011790</v>
      </c>
      <c r="T43" s="6">
        <f>'YTD CF'!P43-'YTD CF'!O43</f>
        <v>60605</v>
      </c>
      <c r="U43" s="6">
        <f>'CASH FLOW'!G40-'YTD CF'!P43</f>
        <v>-92052</v>
      </c>
      <c r="V43" s="6">
        <f>'YTD CF'!Q43</f>
        <v>370132</v>
      </c>
      <c r="W43" s="6">
        <f>'YTD CF'!R43-'YTD CF'!Q43</f>
        <v>23508</v>
      </c>
      <c r="X43" s="6">
        <f>'YTD CF'!S43-'YTD CF'!R43</f>
        <v>366012</v>
      </c>
      <c r="Y43" s="6">
        <f>'CASH FLOW'!H40-'YTD CF'!S43</f>
        <v>-204822</v>
      </c>
      <c r="Z43" s="7">
        <f t="shared" ref="Z43:AS43" si="3">Z24+Z33+Z41+Z42</f>
        <v>492210.49508407683</v>
      </c>
      <c r="AA43" s="7">
        <f t="shared" si="3"/>
        <v>356388.98789241223</v>
      </c>
      <c r="AB43" s="7">
        <f t="shared" si="3"/>
        <v>540799.75702492963</v>
      </c>
      <c r="AC43" s="7">
        <f t="shared" si="3"/>
        <v>666930.94479695905</v>
      </c>
      <c r="AD43" s="7">
        <f t="shared" si="3"/>
        <v>570212.55911054707</v>
      </c>
      <c r="AE43" s="7">
        <f t="shared" si="3"/>
        <v>410479.51202975848</v>
      </c>
      <c r="AF43" s="7">
        <f t="shared" si="3"/>
        <v>627356.01912433258</v>
      </c>
      <c r="AG43" s="7">
        <f t="shared" si="3"/>
        <v>775692.75438316399</v>
      </c>
      <c r="AH43" s="7">
        <f t="shared" si="3"/>
        <v>661946.98043423635</v>
      </c>
      <c r="AI43" s="7">
        <f t="shared" si="3"/>
        <v>474092.73807401728</v>
      </c>
      <c r="AJ43" s="7">
        <f t="shared" si="3"/>
        <v>729150.61539214232</v>
      </c>
      <c r="AK43" s="7">
        <f t="shared" si="3"/>
        <v>903602.21151140111</v>
      </c>
      <c r="AL43" s="7">
        <f t="shared" si="3"/>
        <v>769831.3570929959</v>
      </c>
      <c r="AM43" s="7">
        <f t="shared" si="3"/>
        <v>548905.14916256093</v>
      </c>
      <c r="AN43" s="7">
        <f t="shared" si="3"/>
        <v>848866.27290778619</v>
      </c>
      <c r="AO43" s="7">
        <f t="shared" si="3"/>
        <v>1054030.2825878845</v>
      </c>
      <c r="AP43" s="7">
        <f t="shared" si="3"/>
        <v>896708.90817035967</v>
      </c>
      <c r="AQ43" s="7">
        <f t="shared" si="3"/>
        <v>636888.37530781608</v>
      </c>
      <c r="AR43" s="7">
        <f t="shared" si="3"/>
        <v>989658.01608340244</v>
      </c>
      <c r="AS43" s="7">
        <f t="shared" si="3"/>
        <v>1230941.3967137532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T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2" width="8" customWidth="1"/>
    <col min="3" max="46" width="13" customWidth="1"/>
  </cols>
  <sheetData>
    <row r="1" spans="1:46" x14ac:dyDescent="0.25">
      <c r="A1" s="1" t="s">
        <v>145</v>
      </c>
      <c r="B1" s="2" t="s">
        <v>146</v>
      </c>
      <c r="C1" s="2" t="s">
        <v>97</v>
      </c>
      <c r="D1" s="2" t="s">
        <v>98</v>
      </c>
      <c r="E1" s="2" t="s">
        <v>99</v>
      </c>
      <c r="F1" s="2" t="s">
        <v>115</v>
      </c>
      <c r="G1" s="2" t="s">
        <v>100</v>
      </c>
      <c r="H1" s="2" t="s">
        <v>101</v>
      </c>
      <c r="I1" s="2" t="s">
        <v>102</v>
      </c>
      <c r="J1" s="2" t="s">
        <v>116</v>
      </c>
      <c r="K1" s="2" t="s">
        <v>103</v>
      </c>
      <c r="L1" s="2" t="s">
        <v>104</v>
      </c>
      <c r="M1" s="2" t="s">
        <v>105</v>
      </c>
      <c r="N1" s="2" t="s">
        <v>117</v>
      </c>
      <c r="O1" s="2" t="s">
        <v>106</v>
      </c>
      <c r="P1" s="2" t="s">
        <v>107</v>
      </c>
      <c r="Q1" s="2" t="s">
        <v>108</v>
      </c>
      <c r="R1" s="2" t="s">
        <v>118</v>
      </c>
      <c r="S1" s="2" t="s">
        <v>109</v>
      </c>
      <c r="T1" s="2" t="s">
        <v>110</v>
      </c>
      <c r="U1" s="2" t="s">
        <v>111</v>
      </c>
      <c r="V1" s="2" t="s">
        <v>119</v>
      </c>
      <c r="W1" s="2" t="s">
        <v>112</v>
      </c>
      <c r="X1" s="2" t="s">
        <v>113</v>
      </c>
      <c r="Y1" s="2" t="s">
        <v>114</v>
      </c>
      <c r="Z1" s="2" t="s">
        <v>124</v>
      </c>
      <c r="AA1" s="2" t="s">
        <v>125</v>
      </c>
      <c r="AB1" s="2" t="s">
        <v>126</v>
      </c>
      <c r="AC1" s="2" t="s">
        <v>127</v>
      </c>
      <c r="AD1" s="2" t="s">
        <v>128</v>
      </c>
      <c r="AE1" s="2" t="s">
        <v>129</v>
      </c>
      <c r="AF1" s="2" t="s">
        <v>130</v>
      </c>
      <c r="AG1" s="2" t="s">
        <v>131</v>
      </c>
      <c r="AH1" s="2" t="s">
        <v>132</v>
      </c>
      <c r="AI1" s="2" t="s">
        <v>133</v>
      </c>
      <c r="AJ1" s="2" t="s">
        <v>134</v>
      </c>
      <c r="AK1" s="2" t="s">
        <v>135</v>
      </c>
      <c r="AL1" s="2" t="s">
        <v>136</v>
      </c>
      <c r="AM1" s="2" t="s">
        <v>137</v>
      </c>
      <c r="AN1" s="2" t="s">
        <v>138</v>
      </c>
      <c r="AO1" s="2" t="s">
        <v>139</v>
      </c>
      <c r="AP1" s="2" t="s">
        <v>140</v>
      </c>
      <c r="AQ1" s="2" t="s">
        <v>141</v>
      </c>
      <c r="AR1" s="2" t="s">
        <v>142</v>
      </c>
      <c r="AS1" s="2" t="s">
        <v>143</v>
      </c>
      <c r="AT1" s="2" t="s">
        <v>144</v>
      </c>
    </row>
    <row r="2" spans="1:46" x14ac:dyDescent="0.25">
      <c r="A2" s="3" t="s">
        <v>147</v>
      </c>
      <c r="B2" s="12" t="s">
        <v>148</v>
      </c>
      <c r="D2" s="13">
        <f>IFERROR('QTR P&amp;L'!C2/'QTR P&amp;L'!B2-1,"")</f>
        <v>2.993982658834371E-2</v>
      </c>
      <c r="E2" s="13">
        <f>IFERROR('QTR P&amp;L'!D2/'QTR P&amp;L'!C2-1,"")</f>
        <v>0.13937888062484927</v>
      </c>
      <c r="F2" s="13">
        <f>IFERROR('QTR P&amp;L'!E2/'QTR P&amp;L'!D2-1,"")</f>
        <v>-4.0180140280271726E-2</v>
      </c>
      <c r="G2" s="13">
        <f>IFERROR('QTR P&amp;L'!F2/IF($B2="QoQ",'QTR P&amp;L'!E2,'QTR P&amp;L'!B2)-1,"")</f>
        <v>0.17109454221224607</v>
      </c>
      <c r="H2" s="13">
        <f>IFERROR('QTR P&amp;L'!G2/IF($B2="QoQ",'QTR P&amp;L'!F2,'QTR P&amp;L'!C2)-1,"")</f>
        <v>0.33644788901321521</v>
      </c>
      <c r="I2" s="13">
        <f>IFERROR('QTR P&amp;L'!H2/IF($B2="QoQ",'QTR P&amp;L'!G2,'QTR P&amp;L'!D2)-1,"")</f>
        <v>0.13173941439164549</v>
      </c>
      <c r="J2" s="13">
        <f>IFERROR('QTR P&amp;L'!I2/IF($B2="QoQ",'QTR P&amp;L'!H2,'QTR P&amp;L'!E2)-1,"")</f>
        <v>0.19122649072167697</v>
      </c>
      <c r="K2" s="13">
        <f>IFERROR('QTR P&amp;L'!J2/IF($B2="QoQ",'QTR P&amp;L'!I2,'QTR P&amp;L'!F2)-1,"")</f>
        <v>0.22089923268393385</v>
      </c>
      <c r="L2" s="13">
        <f>IFERROR('QTR P&amp;L'!K2/IF($B2="QoQ",'QTR P&amp;L'!J2,'QTR P&amp;L'!G2)-1,"")</f>
        <v>0.132238437413428</v>
      </c>
      <c r="M2" s="13">
        <f>IFERROR('QTR P&amp;L'!L2/IF($B2="QoQ",'QTR P&amp;L'!K2,'QTR P&amp;L'!H2)-1,"")</f>
        <v>0.15152099489776027</v>
      </c>
      <c r="N2" s="13">
        <f>IFERROR('QTR P&amp;L'!M2/IF($B2="QoQ",'QTR P&amp;L'!L2,'QTR P&amp;L'!I2)-1,"")</f>
        <v>6.167318342451189E-2</v>
      </c>
      <c r="O2" s="13">
        <f>IFERROR('QTR P&amp;L'!N2/IF($B2="QoQ",'QTR P&amp;L'!M2,'QTR P&amp;L'!J2)-1,"")</f>
        <v>0.11876668506111665</v>
      </c>
      <c r="P2" s="13">
        <f>IFERROR('QTR P&amp;L'!O2/IF($B2="QoQ",'QTR P&amp;L'!N2,'QTR P&amp;L'!K2)-1,"")</f>
        <v>0.12064698032150867</v>
      </c>
      <c r="Q2" s="13">
        <f>IFERROR('QTR P&amp;L'!P2/IF($B2="QoQ",'QTR P&amp;L'!O2,'QTR P&amp;L'!L2)-1,"")</f>
        <v>0.14267314992556734</v>
      </c>
      <c r="R2" s="13">
        <f>IFERROR('QTR P&amp;L'!Q2/IF($B2="QoQ",'QTR P&amp;L'!P2,'QTR P&amp;L'!M2)-1,"")</f>
        <v>0.14354719415492179</v>
      </c>
      <c r="S2" s="13">
        <f>IFERROR('QTR P&amp;L'!R2/IF($B2="QoQ",'QTR P&amp;L'!Q2,'QTR P&amp;L'!N2)-1,"")</f>
        <v>0.11782003967202881</v>
      </c>
      <c r="T2" s="13">
        <f>IFERROR('QTR P&amp;L'!S2/IF($B2="QoQ",'QTR P&amp;L'!R2,'QTR P&amp;L'!O2)-1,"")</f>
        <v>2.4602134492315519E-2</v>
      </c>
      <c r="U2" s="13">
        <f>IFERROR('QTR P&amp;L'!T2/IF($B2="QoQ",'QTR P&amp;L'!S2,'QTR P&amp;L'!P2)-1,"")</f>
        <v>1.3439991207029101E-2</v>
      </c>
      <c r="V2" s="13">
        <f>IFERROR('QTR P&amp;L'!U2/IF($B2="QoQ",'QTR P&amp;L'!T2,'QTR P&amp;L'!Q2)-1,"")</f>
        <v>4.7357159206246058E-2</v>
      </c>
      <c r="W2" s="13">
        <f>IFERROR('QTR P&amp;L'!V2/IF($B2="QoQ",'QTR P&amp;L'!U2,'QTR P&amp;L'!R2)-1,"")</f>
        <v>-2.3453239379958246E-2</v>
      </c>
      <c r="X2" s="13">
        <f>IFERROR('QTR P&amp;L'!W2/IF($B2="QoQ",'QTR P&amp;L'!V2,'QTR P&amp;L'!S2)-1,"")</f>
        <v>0.11101511788138141</v>
      </c>
      <c r="Y2" s="13">
        <f>IFERROR('QTR P&amp;L'!X2/IF($B2="QoQ",'QTR P&amp;L'!W2,'QTR P&amp;L'!T2)-1,"")</f>
        <v>0.16808694223681031</v>
      </c>
      <c r="Z2" s="13">
        <f>IFERROR('QTR P&amp;L'!Y2/IF($B2="QoQ",'QTR P&amp;L'!X2,'QTR P&amp;L'!U2)-1,"")</f>
        <v>0.17605120413942066</v>
      </c>
      <c r="AA2" s="14">
        <f t="shared" ref="AA2:AT2" si="0">Z2</f>
        <v>0.17605120413942066</v>
      </c>
      <c r="AB2" s="14">
        <f t="shared" si="0"/>
        <v>0.17605120413942066</v>
      </c>
      <c r="AC2" s="14">
        <f t="shared" si="0"/>
        <v>0.17605120413942066</v>
      </c>
      <c r="AD2" s="14">
        <f t="shared" si="0"/>
        <v>0.17605120413942066</v>
      </c>
      <c r="AE2" s="14">
        <f t="shared" si="0"/>
        <v>0.17605120413942066</v>
      </c>
      <c r="AF2" s="14">
        <f t="shared" si="0"/>
        <v>0.17605120413942066</v>
      </c>
      <c r="AG2" s="14">
        <f t="shared" si="0"/>
        <v>0.17605120413942066</v>
      </c>
      <c r="AH2" s="14">
        <f t="shared" si="0"/>
        <v>0.17605120413942066</v>
      </c>
      <c r="AI2" s="14">
        <f t="shared" si="0"/>
        <v>0.17605120413942066</v>
      </c>
      <c r="AJ2" s="14">
        <f t="shared" si="0"/>
        <v>0.17605120413942066</v>
      </c>
      <c r="AK2" s="14">
        <f t="shared" si="0"/>
        <v>0.17605120413942066</v>
      </c>
      <c r="AL2" s="14">
        <f t="shared" si="0"/>
        <v>0.17605120413942066</v>
      </c>
      <c r="AM2" s="14">
        <f t="shared" si="0"/>
        <v>0.17605120413942066</v>
      </c>
      <c r="AN2" s="14">
        <f t="shared" si="0"/>
        <v>0.17605120413942066</v>
      </c>
      <c r="AO2" s="14">
        <f t="shared" si="0"/>
        <v>0.17605120413942066</v>
      </c>
      <c r="AP2" s="14">
        <f t="shared" si="0"/>
        <v>0.17605120413942066</v>
      </c>
      <c r="AQ2" s="14">
        <f t="shared" si="0"/>
        <v>0.17605120413942066</v>
      </c>
      <c r="AR2" s="14">
        <f t="shared" si="0"/>
        <v>0.17605120413942066</v>
      </c>
      <c r="AS2" s="14">
        <f t="shared" si="0"/>
        <v>0.17605120413942066</v>
      </c>
      <c r="AT2" s="14">
        <f t="shared" si="0"/>
        <v>0.17605120413942066</v>
      </c>
    </row>
    <row r="3" spans="1:46" x14ac:dyDescent="0.25">
      <c r="A3" s="3" t="s">
        <v>149</v>
      </c>
      <c r="C3" s="13">
        <f>IFERROR('QTR P&amp;L'!B3/'QTR P&amp;L'!B2,"")</f>
        <v>-0.40005856338921963</v>
      </c>
      <c r="D3" s="13">
        <f>IFERROR('QTR P&amp;L'!C3/'QTR P&amp;L'!C2,"")</f>
        <v>-0.39713830199580213</v>
      </c>
      <c r="E3" s="13">
        <f>IFERROR('QTR P&amp;L'!D3/'QTR P&amp;L'!D2,"")</f>
        <v>-0.40905531458757566</v>
      </c>
      <c r="F3" s="13">
        <f>IFERROR('QTR P&amp;L'!E3/'QTR P&amp;L'!E2,"")</f>
        <v>-0.4226407965339305</v>
      </c>
      <c r="G3" s="13">
        <f>IFERROR('QTR P&amp;L'!F3/'QTR P&amp;L'!F2,"")</f>
        <v>-0.42520839095171631</v>
      </c>
      <c r="H3" s="13">
        <f>IFERROR('QTR P&amp;L'!G3/'QTR P&amp;L'!G2,"")</f>
        <v>-0.42758056958756718</v>
      </c>
      <c r="I3" s="13">
        <f>IFERROR('QTR P&amp;L'!H3/'QTR P&amp;L'!H2,"")</f>
        <v>-0.44053448389536898</v>
      </c>
      <c r="J3" s="13">
        <f>IFERROR('QTR P&amp;L'!I3/'QTR P&amp;L'!I2,"")</f>
        <v>-0.46136399998877226</v>
      </c>
      <c r="K3" s="13">
        <f>IFERROR('QTR P&amp;L'!J3/'QTR P&amp;L'!J2,"")</f>
        <v>-0.48855505230564988</v>
      </c>
      <c r="L3" s="13">
        <f>IFERROR('QTR P&amp;L'!K3/'QTR P&amp;L'!K2,"")</f>
        <v>-0.52885922988487</v>
      </c>
      <c r="M3" s="13">
        <f>IFERROR('QTR P&amp;L'!L3/'QTR P&amp;L'!L2,"")</f>
        <v>-0.48671293109710972</v>
      </c>
      <c r="N3" s="13">
        <f>IFERROR('QTR P&amp;L'!M3/'QTR P&amp;L'!M2,"")</f>
        <v>-0.48159235285680574</v>
      </c>
      <c r="O3" s="13">
        <f>IFERROR('QTR P&amp;L'!N3/'QTR P&amp;L'!N2,"")</f>
        <v>-0.47152089844784656</v>
      </c>
      <c r="P3" s="13">
        <f>IFERROR('QTR P&amp;L'!O3/'QTR P&amp;L'!O2,"")</f>
        <v>-0.4748018961045542</v>
      </c>
      <c r="Q3" s="13">
        <f>IFERROR('QTR P&amp;L'!P3/'QTR P&amp;L'!P2,"")</f>
        <v>-0.46996381520106378</v>
      </c>
      <c r="R3" s="13">
        <f>IFERROR('QTR P&amp;L'!Q3/'QTR P&amp;L'!Q2,"")</f>
        <v>-0.45762172072494894</v>
      </c>
      <c r="S3" s="13">
        <f>IFERROR('QTR P&amp;L'!R3/'QTR P&amp;L'!R2,"")</f>
        <v>-0.45914902759099319</v>
      </c>
      <c r="T3" s="13">
        <f>IFERROR('QTR P&amp;L'!S3/'QTR P&amp;L'!S2,"")</f>
        <v>-0.46358696767384144</v>
      </c>
      <c r="U3" s="13">
        <f>IFERROR('QTR P&amp;L'!T3/'QTR P&amp;L'!T2,"")</f>
        <v>-0.46846711781615152</v>
      </c>
      <c r="V3" s="13">
        <f>IFERROR('QTR P&amp;L'!U3/'QTR P&amp;L'!U2,"")</f>
        <v>-0.44678680007792321</v>
      </c>
      <c r="W3" s="13">
        <f>IFERROR('QTR P&amp;L'!V3/'QTR P&amp;L'!V2,"")</f>
        <v>-0.43492627353795354</v>
      </c>
      <c r="X3" s="13">
        <f>IFERROR('QTR P&amp;L'!W3/'QTR P&amp;L'!W2,"")</f>
        <v>-0.44287864322274378</v>
      </c>
      <c r="Y3" s="13">
        <f>IFERROR('QTR P&amp;L'!X3/'QTR P&amp;L'!X2,"")</f>
        <v>-0.44269049764694102</v>
      </c>
      <c r="Z3" s="13">
        <f>IFERROR('QTR P&amp;L'!Y3/'QTR P&amp;L'!Y2,"")</f>
        <v>-0.4447191130394223</v>
      </c>
      <c r="AA3" s="14">
        <f t="shared" ref="AA3:AT3" si="1">Z3</f>
        <v>-0.4447191130394223</v>
      </c>
      <c r="AB3" s="14">
        <f t="shared" si="1"/>
        <v>-0.4447191130394223</v>
      </c>
      <c r="AC3" s="14">
        <f t="shared" si="1"/>
        <v>-0.4447191130394223</v>
      </c>
      <c r="AD3" s="14">
        <f t="shared" si="1"/>
        <v>-0.4447191130394223</v>
      </c>
      <c r="AE3" s="14">
        <f t="shared" si="1"/>
        <v>-0.4447191130394223</v>
      </c>
      <c r="AF3" s="14">
        <f t="shared" si="1"/>
        <v>-0.4447191130394223</v>
      </c>
      <c r="AG3" s="14">
        <f t="shared" si="1"/>
        <v>-0.4447191130394223</v>
      </c>
      <c r="AH3" s="14">
        <f t="shared" si="1"/>
        <v>-0.4447191130394223</v>
      </c>
      <c r="AI3" s="14">
        <f t="shared" si="1"/>
        <v>-0.4447191130394223</v>
      </c>
      <c r="AJ3" s="14">
        <f t="shared" si="1"/>
        <v>-0.4447191130394223</v>
      </c>
      <c r="AK3" s="14">
        <f t="shared" si="1"/>
        <v>-0.4447191130394223</v>
      </c>
      <c r="AL3" s="14">
        <f t="shared" si="1"/>
        <v>-0.4447191130394223</v>
      </c>
      <c r="AM3" s="14">
        <f t="shared" si="1"/>
        <v>-0.4447191130394223</v>
      </c>
      <c r="AN3" s="14">
        <f t="shared" si="1"/>
        <v>-0.4447191130394223</v>
      </c>
      <c r="AO3" s="14">
        <f t="shared" si="1"/>
        <v>-0.4447191130394223</v>
      </c>
      <c r="AP3" s="14">
        <f t="shared" si="1"/>
        <v>-0.4447191130394223</v>
      </c>
      <c r="AQ3" s="14">
        <f t="shared" si="1"/>
        <v>-0.4447191130394223</v>
      </c>
      <c r="AR3" s="14">
        <f t="shared" si="1"/>
        <v>-0.4447191130394223</v>
      </c>
      <c r="AS3" s="14">
        <f t="shared" si="1"/>
        <v>-0.4447191130394223</v>
      </c>
      <c r="AT3" s="14">
        <f t="shared" si="1"/>
        <v>-0.4447191130394223</v>
      </c>
    </row>
    <row r="4" spans="1:46" x14ac:dyDescent="0.25">
      <c r="A4" s="3" t="s">
        <v>150</v>
      </c>
      <c r="C4" s="13">
        <f>IFERROR('QTR P&amp;L'!B5/'QTR P&amp;L'!B2,"")</f>
        <v>-0.25629297512374105</v>
      </c>
      <c r="D4" s="13">
        <f>IFERROR('QTR P&amp;L'!C5/'QTR P&amp;L'!C2,"")</f>
        <v>-0.23055573838829285</v>
      </c>
      <c r="E4" s="13">
        <f>IFERROR('QTR P&amp;L'!D5/'QTR P&amp;L'!D2,"")</f>
        <v>-0.22299380115889283</v>
      </c>
      <c r="F4" s="13">
        <f>IFERROR('QTR P&amp;L'!E5/'QTR P&amp;L'!E2,"")</f>
        <v>-0.24106670411599931</v>
      </c>
      <c r="G4" s="13">
        <f>IFERROR('QTR P&amp;L'!F5/'QTR P&amp;L'!F2,"")</f>
        <v>-0.24182756935109373</v>
      </c>
      <c r="H4" s="13">
        <f>IFERROR('QTR P&amp;L'!G5/'QTR P&amp;L'!G2,"")</f>
        <v>-0.2126380447831128</v>
      </c>
      <c r="I4" s="13">
        <f>IFERROR('QTR P&amp;L'!H5/'QTR P&amp;L'!H2,"")</f>
        <v>-0.24436729603979138</v>
      </c>
      <c r="J4" s="13">
        <f>IFERROR('QTR P&amp;L'!I5/'QTR P&amp;L'!I2,"")</f>
        <v>-0.24890459522653335</v>
      </c>
      <c r="K4" s="13">
        <f>IFERROR('QTR P&amp;L'!J5/'QTR P&amp;L'!J2,"")</f>
        <v>-0.24837643736821519</v>
      </c>
      <c r="L4" s="13">
        <f>IFERROR('QTR P&amp;L'!K5/'QTR P&amp;L'!K2,"")</f>
        <v>-0.24582859842477825</v>
      </c>
      <c r="M4" s="13">
        <f>IFERROR('QTR P&amp;L'!L5/'QTR P&amp;L'!L2,"")</f>
        <v>-0.255986322605748</v>
      </c>
      <c r="N4" s="13">
        <f>IFERROR('QTR P&amp;L'!M5/'QTR P&amp;L'!M2,"")</f>
        <v>-0.25775332781204163</v>
      </c>
      <c r="O4" s="13">
        <f>IFERROR('QTR P&amp;L'!N5/'QTR P&amp;L'!N2,"")</f>
        <v>-0.24296763256873444</v>
      </c>
      <c r="P4" s="13">
        <f>IFERROR('QTR P&amp;L'!O5/'QTR P&amp;L'!O2,"")</f>
        <v>-0.24281696488497601</v>
      </c>
      <c r="Q4" s="13">
        <f>IFERROR('QTR P&amp;L'!P5/'QTR P&amp;L'!P2,"")</f>
        <v>-0.25497244653636691</v>
      </c>
      <c r="R4" s="13">
        <f>IFERROR('QTR P&amp;L'!Q5/'QTR P&amp;L'!Q2,"")</f>
        <v>-0.29155058528138128</v>
      </c>
      <c r="S4" s="13">
        <f>IFERROR('QTR P&amp;L'!R5/'QTR P&amp;L'!R2,"")</f>
        <v>-0.25545706435370896</v>
      </c>
      <c r="T4" s="13">
        <f>IFERROR('QTR P&amp;L'!S5/'QTR P&amp;L'!S2,"")</f>
        <v>-0.25904597344939512</v>
      </c>
      <c r="U4" s="13">
        <f>IFERROR('QTR P&amp;L'!T5/'QTR P&amp;L'!T2,"")</f>
        <v>-0.27639046387162391</v>
      </c>
      <c r="V4" s="13">
        <f>IFERROR('QTR P&amp;L'!U5/'QTR P&amp;L'!U2,"")</f>
        <v>-0.34282943928972909</v>
      </c>
      <c r="W4" s="13">
        <f>IFERROR('QTR P&amp;L'!V5/'QTR P&amp;L'!V2,"")</f>
        <v>-0.25786036349361952</v>
      </c>
      <c r="X4" s="13">
        <f>IFERROR('QTR P&amp;L'!W5/'QTR P&amp;L'!W2,"")</f>
        <v>-0.25800012502415237</v>
      </c>
      <c r="Y4" s="13">
        <f>IFERROR('QTR P&amp;L'!X5/'QTR P&amp;L'!X2,"")</f>
        <v>-0.24993127429294446</v>
      </c>
      <c r="Z4" s="13">
        <f>IFERROR('QTR P&amp;L'!Y5/'QTR P&amp;L'!Y2,"")</f>
        <v>-0.30064902186853165</v>
      </c>
      <c r="AA4" s="14">
        <f t="shared" ref="AA4:AT4" si="2">Z4</f>
        <v>-0.30064902186853165</v>
      </c>
      <c r="AB4" s="14">
        <f t="shared" si="2"/>
        <v>-0.30064902186853165</v>
      </c>
      <c r="AC4" s="14">
        <f t="shared" si="2"/>
        <v>-0.30064902186853165</v>
      </c>
      <c r="AD4" s="14">
        <f t="shared" si="2"/>
        <v>-0.30064902186853165</v>
      </c>
      <c r="AE4" s="14">
        <f t="shared" si="2"/>
        <v>-0.30064902186853165</v>
      </c>
      <c r="AF4" s="14">
        <f t="shared" si="2"/>
        <v>-0.30064902186853165</v>
      </c>
      <c r="AG4" s="14">
        <f t="shared" si="2"/>
        <v>-0.30064902186853165</v>
      </c>
      <c r="AH4" s="14">
        <f t="shared" si="2"/>
        <v>-0.30064902186853165</v>
      </c>
      <c r="AI4" s="14">
        <f t="shared" si="2"/>
        <v>-0.30064902186853165</v>
      </c>
      <c r="AJ4" s="14">
        <f t="shared" si="2"/>
        <v>-0.30064902186853165</v>
      </c>
      <c r="AK4" s="14">
        <f t="shared" si="2"/>
        <v>-0.30064902186853165</v>
      </c>
      <c r="AL4" s="14">
        <f t="shared" si="2"/>
        <v>-0.30064902186853165</v>
      </c>
      <c r="AM4" s="14">
        <f t="shared" si="2"/>
        <v>-0.30064902186853165</v>
      </c>
      <c r="AN4" s="14">
        <f t="shared" si="2"/>
        <v>-0.30064902186853165</v>
      </c>
      <c r="AO4" s="14">
        <f t="shared" si="2"/>
        <v>-0.30064902186853165</v>
      </c>
      <c r="AP4" s="14">
        <f t="shared" si="2"/>
        <v>-0.30064902186853165</v>
      </c>
      <c r="AQ4" s="14">
        <f t="shared" si="2"/>
        <v>-0.30064902186853165</v>
      </c>
      <c r="AR4" s="14">
        <f t="shared" si="2"/>
        <v>-0.30064902186853165</v>
      </c>
      <c r="AS4" s="14">
        <f t="shared" si="2"/>
        <v>-0.30064902186853165</v>
      </c>
      <c r="AT4" s="14">
        <f t="shared" si="2"/>
        <v>-0.30064902186853165</v>
      </c>
    </row>
    <row r="5" spans="1:46" x14ac:dyDescent="0.25">
      <c r="A5" s="3" t="s">
        <v>24</v>
      </c>
      <c r="C5" s="4">
        <f>'QTR P&amp;L'!B7</f>
        <v>0</v>
      </c>
      <c r="D5" s="4">
        <f>'QTR P&amp;L'!C7</f>
        <v>0</v>
      </c>
      <c r="E5" s="4">
        <f>'QTR P&amp;L'!D7</f>
        <v>0</v>
      </c>
      <c r="F5" s="4">
        <f>'QTR P&amp;L'!E7</f>
        <v>-6996</v>
      </c>
      <c r="G5" s="4">
        <f>'QTR P&amp;L'!F7</f>
        <v>0</v>
      </c>
      <c r="H5" s="4">
        <f>'QTR P&amp;L'!G7</f>
        <v>0</v>
      </c>
      <c r="I5" s="4">
        <f>'QTR P&amp;L'!H7</f>
        <v>0</v>
      </c>
      <c r="J5" s="4">
        <f>'QTR P&amp;L'!I7</f>
        <v>3952</v>
      </c>
      <c r="K5" s="4">
        <f>'QTR P&amp;L'!J7</f>
        <v>0</v>
      </c>
      <c r="L5" s="4">
        <f>'QTR P&amp;L'!K7</f>
        <v>0</v>
      </c>
      <c r="M5" s="4">
        <f>'QTR P&amp;L'!L7</f>
        <v>0</v>
      </c>
      <c r="N5" s="4">
        <f>'QTR P&amp;L'!M7</f>
        <v>-12757</v>
      </c>
      <c r="O5" s="4">
        <f>'QTR P&amp;L'!N7</f>
        <v>0</v>
      </c>
      <c r="P5" s="4">
        <f>'QTR P&amp;L'!O7</f>
        <v>0</v>
      </c>
      <c r="Q5" s="4">
        <f>'QTR P&amp;L'!P7</f>
        <v>0</v>
      </c>
      <c r="R5" s="4">
        <f>'QTR P&amp;L'!Q7</f>
        <v>0</v>
      </c>
      <c r="S5" s="4">
        <f>'QTR P&amp;L'!R7</f>
        <v>35754</v>
      </c>
      <c r="T5" s="4">
        <f>'QTR P&amp;L'!S7</f>
        <v>24377</v>
      </c>
      <c r="U5" s="4">
        <f>'QTR P&amp;L'!T7</f>
        <v>-60131</v>
      </c>
      <c r="V5" s="4">
        <f>'QTR P&amp;L'!U7</f>
        <v>0</v>
      </c>
      <c r="W5" s="4">
        <f>'QTR P&amp;L'!V7</f>
        <v>8272</v>
      </c>
      <c r="X5" s="4">
        <f>'QTR P&amp;L'!W7</f>
        <v>15065</v>
      </c>
      <c r="Y5" s="4">
        <f>'QTR P&amp;L'!X7</f>
        <v>-23337</v>
      </c>
      <c r="Z5" s="4">
        <f>'QTR P&amp;L'!Y7</f>
        <v>63175</v>
      </c>
      <c r="AA5" s="15">
        <f t="shared" ref="AA5:AT5" si="3">Z5</f>
        <v>63175</v>
      </c>
      <c r="AB5" s="15">
        <f t="shared" si="3"/>
        <v>63175</v>
      </c>
      <c r="AC5" s="15">
        <f t="shared" si="3"/>
        <v>63175</v>
      </c>
      <c r="AD5" s="15">
        <f t="shared" si="3"/>
        <v>63175</v>
      </c>
      <c r="AE5" s="15">
        <f t="shared" si="3"/>
        <v>63175</v>
      </c>
      <c r="AF5" s="15">
        <f t="shared" si="3"/>
        <v>63175</v>
      </c>
      <c r="AG5" s="15">
        <f t="shared" si="3"/>
        <v>63175</v>
      </c>
      <c r="AH5" s="15">
        <f t="shared" si="3"/>
        <v>63175</v>
      </c>
      <c r="AI5" s="15">
        <f t="shared" si="3"/>
        <v>63175</v>
      </c>
      <c r="AJ5" s="15">
        <f t="shared" si="3"/>
        <v>63175</v>
      </c>
      <c r="AK5" s="15">
        <f t="shared" si="3"/>
        <v>63175</v>
      </c>
      <c r="AL5" s="15">
        <f t="shared" si="3"/>
        <v>63175</v>
      </c>
      <c r="AM5" s="15">
        <f t="shared" si="3"/>
        <v>63175</v>
      </c>
      <c r="AN5" s="15">
        <f t="shared" si="3"/>
        <v>63175</v>
      </c>
      <c r="AO5" s="15">
        <f t="shared" si="3"/>
        <v>63175</v>
      </c>
      <c r="AP5" s="15">
        <f t="shared" si="3"/>
        <v>63175</v>
      </c>
      <c r="AQ5" s="15">
        <f t="shared" si="3"/>
        <v>63175</v>
      </c>
      <c r="AR5" s="15">
        <f t="shared" si="3"/>
        <v>63175</v>
      </c>
      <c r="AS5" s="15">
        <f t="shared" si="3"/>
        <v>63175</v>
      </c>
      <c r="AT5" s="15">
        <f t="shared" si="3"/>
        <v>63175</v>
      </c>
    </row>
    <row r="6" spans="1:46" x14ac:dyDescent="0.25">
      <c r="A6" s="3" t="s">
        <v>23</v>
      </c>
      <c r="C6" s="4">
        <f>'QTR P&amp;L'!B8</f>
        <v>872</v>
      </c>
      <c r="D6" s="4">
        <f>'QTR P&amp;L'!C8</f>
        <v>-1795</v>
      </c>
      <c r="E6" s="4">
        <f>'QTR P&amp;L'!D8</f>
        <v>-4568</v>
      </c>
      <c r="F6" s="4">
        <f>'QTR P&amp;L'!E8</f>
        <v>5491</v>
      </c>
      <c r="G6" s="4">
        <f>'QTR P&amp;L'!F8</f>
        <v>-759</v>
      </c>
      <c r="H6" s="4">
        <f>'QTR P&amp;L'!G8</f>
        <v>870</v>
      </c>
      <c r="I6" s="4">
        <f>'QTR P&amp;L'!H8</f>
        <v>-2290</v>
      </c>
      <c r="J6" s="4">
        <f>'QTR P&amp;L'!I8</f>
        <v>2179</v>
      </c>
      <c r="K6" s="4">
        <f>'QTR P&amp;L'!J8</f>
        <v>-7300</v>
      </c>
      <c r="L6" s="4">
        <f>'QTR P&amp;L'!K8</f>
        <v>-6780</v>
      </c>
      <c r="M6" s="4">
        <f>'QTR P&amp;L'!L8</f>
        <v>2148</v>
      </c>
      <c r="N6" s="4">
        <f>'QTR P&amp;L'!M8</f>
        <v>11932</v>
      </c>
      <c r="O6" s="4">
        <f>'QTR P&amp;L'!N8</f>
        <v>12496</v>
      </c>
      <c r="P6" s="4">
        <f>'QTR P&amp;L'!O8</f>
        <v>15157</v>
      </c>
      <c r="Q6" s="4">
        <f>'QTR P&amp;L'!P8</f>
        <v>71357</v>
      </c>
      <c r="R6" s="4">
        <f>'QTR P&amp;L'!Q8</f>
        <v>16117</v>
      </c>
      <c r="S6" s="4">
        <f>'QTR P&amp;L'!R8</f>
        <v>0</v>
      </c>
      <c r="T6" s="4">
        <f>'QTR P&amp;L'!S8</f>
        <v>0</v>
      </c>
      <c r="U6" s="4">
        <f>'QTR P&amp;L'!T8</f>
        <v>54311</v>
      </c>
      <c r="V6" s="4">
        <f>'QTR P&amp;L'!U8</f>
        <v>4854</v>
      </c>
      <c r="W6" s="4">
        <f>'QTR P&amp;L'!V8</f>
        <v>0</v>
      </c>
      <c r="X6" s="4">
        <f>'QTR P&amp;L'!W8</f>
        <v>0</v>
      </c>
      <c r="Y6" s="4">
        <f>'QTR P&amp;L'!X8</f>
        <v>37522</v>
      </c>
      <c r="Z6" s="4">
        <f>'QTR P&amp;L'!Y8</f>
        <v>-37522</v>
      </c>
      <c r="AA6" s="15">
        <f t="shared" ref="AA6:AT6" si="4">Z6</f>
        <v>-37522</v>
      </c>
      <c r="AB6" s="15">
        <f t="shared" si="4"/>
        <v>-37522</v>
      </c>
      <c r="AC6" s="15">
        <f t="shared" si="4"/>
        <v>-37522</v>
      </c>
      <c r="AD6" s="15">
        <f t="shared" si="4"/>
        <v>-37522</v>
      </c>
      <c r="AE6" s="15">
        <f t="shared" si="4"/>
        <v>-37522</v>
      </c>
      <c r="AF6" s="15">
        <f t="shared" si="4"/>
        <v>-37522</v>
      </c>
      <c r="AG6" s="15">
        <f t="shared" si="4"/>
        <v>-37522</v>
      </c>
      <c r="AH6" s="15">
        <f t="shared" si="4"/>
        <v>-37522</v>
      </c>
      <c r="AI6" s="15">
        <f t="shared" si="4"/>
        <v>-37522</v>
      </c>
      <c r="AJ6" s="15">
        <f t="shared" si="4"/>
        <v>-37522</v>
      </c>
      <c r="AK6" s="15">
        <f t="shared" si="4"/>
        <v>-37522</v>
      </c>
      <c r="AL6" s="15">
        <f t="shared" si="4"/>
        <v>-37522</v>
      </c>
      <c r="AM6" s="15">
        <f t="shared" si="4"/>
        <v>-37522</v>
      </c>
      <c r="AN6" s="15">
        <f t="shared" si="4"/>
        <v>-37522</v>
      </c>
      <c r="AO6" s="15">
        <f t="shared" si="4"/>
        <v>-37522</v>
      </c>
      <c r="AP6" s="15">
        <f t="shared" si="4"/>
        <v>-37522</v>
      </c>
      <c r="AQ6" s="15">
        <f t="shared" si="4"/>
        <v>-37522</v>
      </c>
      <c r="AR6" s="15">
        <f t="shared" si="4"/>
        <v>-37522</v>
      </c>
      <c r="AS6" s="15">
        <f t="shared" si="4"/>
        <v>-37522</v>
      </c>
      <c r="AT6" s="15">
        <f t="shared" si="4"/>
        <v>-37522</v>
      </c>
    </row>
    <row r="7" spans="1:46" x14ac:dyDescent="0.25">
      <c r="A7" s="3" t="s">
        <v>151</v>
      </c>
      <c r="C7" s="13">
        <f>IFERROR('QTR P&amp;L'!B10/'QTR P&amp;L'!B9,"")</f>
        <v>-0.23786421035368721</v>
      </c>
      <c r="D7" s="13">
        <f>IFERROR('QTR P&amp;L'!C10/'QTR P&amp;L'!C9,"")</f>
        <v>-0.23207692819919648</v>
      </c>
      <c r="E7" s="13">
        <f>IFERROR('QTR P&amp;L'!D10/'QTR P&amp;L'!D9,"")</f>
        <v>-0.2342962610564894</v>
      </c>
      <c r="F7" s="13">
        <f>IFERROR('QTR P&amp;L'!E10/'QTR P&amp;L'!E9,"")</f>
        <v>0.17699777442888651</v>
      </c>
      <c r="G7" s="13">
        <f>IFERROR('QTR P&amp;L'!F10/'QTR P&amp;L'!F9,"")</f>
        <v>-0.23753286871623927</v>
      </c>
      <c r="H7" s="13">
        <f>IFERROR('QTR P&amp;L'!G10/'QTR P&amp;L'!G9,"")</f>
        <v>-0.23362570157939591</v>
      </c>
      <c r="I7" s="13">
        <f>IFERROR('QTR P&amp;L'!H10/'QTR P&amp;L'!H9,"")</f>
        <v>-0.23739297199744896</v>
      </c>
      <c r="J7" s="13">
        <f>IFERROR('QTR P&amp;L'!I10/'QTR P&amp;L'!I9,"")</f>
        <v>-0.23316094326879247</v>
      </c>
      <c r="K7" s="13">
        <f>IFERROR('QTR P&amp;L'!J10/'QTR P&amp;L'!J9,"")</f>
        <v>-0.24984382529851679</v>
      </c>
      <c r="L7" s="13">
        <f>IFERROR('QTR P&amp;L'!K10/'QTR P&amp;L'!K9,"")</f>
        <v>-0.2534615069503236</v>
      </c>
      <c r="M7" s="13">
        <f>IFERROR('QTR P&amp;L'!L10/'QTR P&amp;L'!L9,"")</f>
        <v>-0.23255443036769363</v>
      </c>
      <c r="N7" s="13">
        <f>IFERROR('QTR P&amp;L'!M10/'QTR P&amp;L'!M9,"")</f>
        <v>-0.23340965168844832</v>
      </c>
      <c r="O7" s="13">
        <f>IFERROR('QTR P&amp;L'!N10/'QTR P&amp;L'!N9,"")</f>
        <v>-0.2012139239488705</v>
      </c>
      <c r="P7" s="13">
        <f>IFERROR('QTR P&amp;L'!O10/'QTR P&amp;L'!O9,"")</f>
        <v>-0.23209756513897986</v>
      </c>
      <c r="Q7" s="13">
        <f>IFERROR('QTR P&amp;L'!P10/'QTR P&amp;L'!P9,"")</f>
        <v>-0.22201885946143812</v>
      </c>
      <c r="R7" s="13">
        <f>IFERROR('QTR P&amp;L'!Q10/'QTR P&amp;L'!Q9,"")</f>
        <v>-0.18462881824402991</v>
      </c>
      <c r="S7" s="13">
        <f>IFERROR('QTR P&amp;L'!R10/'QTR P&amp;L'!R9,"")</f>
        <v>-0.23487178599555167</v>
      </c>
      <c r="T7" s="13">
        <f>IFERROR('QTR P&amp;L'!S10/'QTR P&amp;L'!S9,"")</f>
        <v>-0.22876128657939587</v>
      </c>
      <c r="U7" s="13">
        <f>IFERROR('QTR P&amp;L'!T10/'QTR P&amp;L'!T9,"")</f>
        <v>-0.21762891903749451</v>
      </c>
      <c r="V7" s="13">
        <f>IFERROR('QTR P&amp;L'!U10/'QTR P&amp;L'!U9,"")</f>
        <v>-0.29881785545925954</v>
      </c>
      <c r="W7" s="13">
        <f>IFERROR('QTR P&amp;L'!V10/'QTR P&amp;L'!V9,"")</f>
        <v>-0.2335986657831863</v>
      </c>
      <c r="X7" s="13">
        <f>IFERROR('QTR P&amp;L'!W10/'QTR P&amp;L'!W9,"")</f>
        <v>-0.24415675589581978</v>
      </c>
      <c r="Y7" s="13">
        <f>IFERROR('QTR P&amp;L'!X10/'QTR P&amp;L'!X9,"")</f>
        <v>-0.23941102593330607</v>
      </c>
      <c r="Z7" s="13">
        <f>IFERROR('QTR P&amp;L'!Y10/'QTR P&amp;L'!Y9,"")</f>
        <v>-0.20957192404542072</v>
      </c>
      <c r="AA7" s="14">
        <f t="shared" ref="AA7:AT7" si="5">Z7</f>
        <v>-0.20957192404542072</v>
      </c>
      <c r="AB7" s="14">
        <f t="shared" si="5"/>
        <v>-0.20957192404542072</v>
      </c>
      <c r="AC7" s="14">
        <f t="shared" si="5"/>
        <v>-0.20957192404542072</v>
      </c>
      <c r="AD7" s="14">
        <f t="shared" si="5"/>
        <v>-0.20957192404542072</v>
      </c>
      <c r="AE7" s="14">
        <f t="shared" si="5"/>
        <v>-0.20957192404542072</v>
      </c>
      <c r="AF7" s="14">
        <f t="shared" si="5"/>
        <v>-0.20957192404542072</v>
      </c>
      <c r="AG7" s="14">
        <f t="shared" si="5"/>
        <v>-0.20957192404542072</v>
      </c>
      <c r="AH7" s="14">
        <f t="shared" si="5"/>
        <v>-0.20957192404542072</v>
      </c>
      <c r="AI7" s="14">
        <f t="shared" si="5"/>
        <v>-0.20957192404542072</v>
      </c>
      <c r="AJ7" s="14">
        <f t="shared" si="5"/>
        <v>-0.20957192404542072</v>
      </c>
      <c r="AK7" s="14">
        <f t="shared" si="5"/>
        <v>-0.20957192404542072</v>
      </c>
      <c r="AL7" s="14">
        <f t="shared" si="5"/>
        <v>-0.20957192404542072</v>
      </c>
      <c r="AM7" s="14">
        <f t="shared" si="5"/>
        <v>-0.20957192404542072</v>
      </c>
      <c r="AN7" s="14">
        <f t="shared" si="5"/>
        <v>-0.20957192404542072</v>
      </c>
      <c r="AO7" s="14">
        <f t="shared" si="5"/>
        <v>-0.20957192404542072</v>
      </c>
      <c r="AP7" s="14">
        <f t="shared" si="5"/>
        <v>-0.20957192404542072</v>
      </c>
      <c r="AQ7" s="14">
        <f t="shared" si="5"/>
        <v>-0.20957192404542072</v>
      </c>
      <c r="AR7" s="14">
        <f t="shared" si="5"/>
        <v>-0.20957192404542072</v>
      </c>
      <c r="AS7" s="14">
        <f t="shared" si="5"/>
        <v>-0.20957192404542072</v>
      </c>
      <c r="AT7" s="14">
        <f t="shared" si="5"/>
        <v>-0.20957192404542072</v>
      </c>
    </row>
  </sheetData>
  <dataValidations count="1">
    <dataValidation type="list" errorTitle="Invalid basis" error="Basis must be YoY or QoQ" sqref="B2" xr:uid="{00000000-0002-0000-0A00-000000000000}">
      <formula1>"YoY,QoQ"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2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42" width="13" customWidth="1"/>
  </cols>
  <sheetData>
    <row r="1" spans="1:42" x14ac:dyDescent="0.25">
      <c r="A1" s="1" t="s">
        <v>145</v>
      </c>
      <c r="B1" s="2" t="s">
        <v>115</v>
      </c>
      <c r="C1" s="2" t="s">
        <v>100</v>
      </c>
      <c r="D1" s="2" t="s">
        <v>101</v>
      </c>
      <c r="E1" s="2" t="s">
        <v>102</v>
      </c>
      <c r="F1" s="2" t="s">
        <v>116</v>
      </c>
      <c r="G1" s="2" t="s">
        <v>103</v>
      </c>
      <c r="H1" s="2" t="s">
        <v>104</v>
      </c>
      <c r="I1" s="2" t="s">
        <v>105</v>
      </c>
      <c r="J1" s="2" t="s">
        <v>117</v>
      </c>
      <c r="K1" s="2" t="s">
        <v>106</v>
      </c>
      <c r="L1" s="2" t="s">
        <v>107</v>
      </c>
      <c r="M1" s="2" t="s">
        <v>108</v>
      </c>
      <c r="N1" s="2" t="s">
        <v>118</v>
      </c>
      <c r="O1" s="2" t="s">
        <v>109</v>
      </c>
      <c r="P1" s="2" t="s">
        <v>110</v>
      </c>
      <c r="Q1" s="2" t="s">
        <v>111</v>
      </c>
      <c r="R1" s="2" t="s">
        <v>119</v>
      </c>
      <c r="S1" s="2" t="s">
        <v>112</v>
      </c>
      <c r="T1" s="2" t="s">
        <v>113</v>
      </c>
      <c r="U1" s="2" t="s">
        <v>114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2" t="s">
        <v>133</v>
      </c>
      <c r="AF1" s="2" t="s">
        <v>134</v>
      </c>
      <c r="AG1" s="2" t="s">
        <v>135</v>
      </c>
      <c r="AH1" s="2" t="s">
        <v>136</v>
      </c>
      <c r="AI1" s="2" t="s">
        <v>137</v>
      </c>
      <c r="AJ1" s="2" t="s">
        <v>138</v>
      </c>
      <c r="AK1" s="2" t="s">
        <v>139</v>
      </c>
      <c r="AL1" s="2" t="s">
        <v>140</v>
      </c>
      <c r="AM1" s="2" t="s">
        <v>141</v>
      </c>
      <c r="AN1" s="2" t="s">
        <v>142</v>
      </c>
      <c r="AO1" s="2" t="s">
        <v>143</v>
      </c>
      <c r="AP1" s="2" t="s">
        <v>144</v>
      </c>
    </row>
    <row r="2" spans="1:42" x14ac:dyDescent="0.25">
      <c r="A2" s="3" t="s">
        <v>33</v>
      </c>
      <c r="B2" s="4">
        <f>'QTR BS'!B2</f>
        <v>1180413</v>
      </c>
      <c r="C2" s="4">
        <f>'QTR BS'!C2</f>
        <v>1178879</v>
      </c>
      <c r="D2" s="4">
        <f>'QTR BS'!D2</f>
        <v>1584239</v>
      </c>
      <c r="E2" s="4">
        <f>'QTR BS'!E2</f>
        <v>1712671</v>
      </c>
      <c r="F2" s="4">
        <f>'QTR BS'!F2</f>
        <v>1326462</v>
      </c>
      <c r="G2" s="4">
        <f>'QTR BS'!G2</f>
        <v>1014786</v>
      </c>
      <c r="H2" s="4">
        <f>'QTR BS'!H2</f>
        <v>1132039</v>
      </c>
      <c r="I2" s="4">
        <f>'QTR BS'!I2</f>
        <v>1303048</v>
      </c>
      <c r="J2" s="4">
        <f>'QTR BS'!J2</f>
        <v>1307141</v>
      </c>
      <c r="K2" s="4">
        <f>'QTR BS'!K2</f>
        <v>1672660</v>
      </c>
      <c r="L2" s="4">
        <f>'QTR BS'!L2</f>
        <v>1869774</v>
      </c>
      <c r="M2" s="4">
        <f>'QTR BS'!M2</f>
        <v>1773849</v>
      </c>
      <c r="N2" s="4">
        <f>'QTR BS'!N2</f>
        <v>2297675</v>
      </c>
      <c r="O2" s="4">
        <f>'QTR BS'!O2</f>
        <v>2576524</v>
      </c>
      <c r="P2" s="4">
        <f>'QTR BS'!P2</f>
        <v>1564734</v>
      </c>
      <c r="Q2" s="4">
        <f>'QTR BS'!Q2</f>
        <v>1625339</v>
      </c>
      <c r="R2" s="4">
        <f>'QTR BS'!R2</f>
        <v>1533287</v>
      </c>
      <c r="S2" s="4">
        <f>'QTR BS'!S2</f>
        <v>1903419</v>
      </c>
      <c r="T2" s="4">
        <f>'QTR BS'!T2</f>
        <v>1926927</v>
      </c>
      <c r="U2" s="4">
        <f>'QTR BS'!U2</f>
        <v>2292939</v>
      </c>
      <c r="V2" s="4">
        <f>'QTR BS'!V2</f>
        <v>2088117</v>
      </c>
      <c r="W2" s="4">
        <f>V2+'QTR CF'!Z43</f>
        <v>2580327.4950840767</v>
      </c>
      <c r="X2" s="4">
        <f>W2+'QTR CF'!AA43</f>
        <v>2936716.4829764888</v>
      </c>
      <c r="Y2" s="4">
        <f>X2+'QTR CF'!AB43</f>
        <v>3477516.2400014186</v>
      </c>
      <c r="Z2" s="4">
        <f>Y2+'QTR CF'!AC43</f>
        <v>4144447.1847983776</v>
      </c>
      <c r="AA2" s="4">
        <f>Z2+'QTR CF'!AD43</f>
        <v>4714659.743908925</v>
      </c>
      <c r="AB2" s="4">
        <f>AA2+'QTR CF'!AE43</f>
        <v>5125139.2559386836</v>
      </c>
      <c r="AC2" s="4">
        <f>AB2+'QTR CF'!AF43</f>
        <v>5752495.2750630165</v>
      </c>
      <c r="AD2" s="4">
        <f>AC2+'QTR CF'!AG43</f>
        <v>6528188.0294461809</v>
      </c>
      <c r="AE2" s="4">
        <f>AD2+'QTR CF'!AH43</f>
        <v>7190135.009880417</v>
      </c>
      <c r="AF2" s="4">
        <f>AE2+'QTR CF'!AI43</f>
        <v>7664227.7479544347</v>
      </c>
      <c r="AG2" s="4">
        <f>AF2+'QTR CF'!AJ43</f>
        <v>8393378.3633465767</v>
      </c>
      <c r="AH2" s="4">
        <f>AG2+'QTR CF'!AK43</f>
        <v>9296980.5748579782</v>
      </c>
      <c r="AI2" s="4">
        <f>AH2+'QTR CF'!AL43</f>
        <v>10066811.931950973</v>
      </c>
      <c r="AJ2" s="4">
        <f>AI2+'QTR CF'!AM43</f>
        <v>10615717.081113534</v>
      </c>
      <c r="AK2" s="4">
        <f>AJ2+'QTR CF'!AN43</f>
        <v>11464583.35402132</v>
      </c>
      <c r="AL2" s="4">
        <f>AK2+'QTR CF'!AO43</f>
        <v>12518613.636609204</v>
      </c>
      <c r="AM2" s="4">
        <f>AL2+'QTR CF'!AP43</f>
        <v>13415322.544779563</v>
      </c>
      <c r="AN2" s="4">
        <f>AM2+'QTR CF'!AQ43</f>
        <v>14052210.920087378</v>
      </c>
      <c r="AO2" s="4">
        <f>AN2+'QTR CF'!AR43</f>
        <v>15041868.936170781</v>
      </c>
      <c r="AP2" s="4">
        <f>AO2+'QTR CF'!AS43</f>
        <v>16272810.332884535</v>
      </c>
    </row>
    <row r="3" spans="1:42" x14ac:dyDescent="0.25">
      <c r="A3" s="3" t="s">
        <v>34</v>
      </c>
      <c r="B3" s="4">
        <f>'QTR BS'!B3</f>
        <v>881354</v>
      </c>
      <c r="C3" s="4">
        <f>'QTR BS'!C3</f>
        <v>980108</v>
      </c>
      <c r="D3" s="4">
        <f>'QTR BS'!D3</f>
        <v>968952</v>
      </c>
      <c r="E3" s="4">
        <f>'QTR BS'!E3</f>
        <v>1224066</v>
      </c>
      <c r="F3" s="4">
        <f>'QTR BS'!F3</f>
        <v>1749727</v>
      </c>
      <c r="G3" s="4">
        <f>'QTR BS'!G3</f>
        <v>1717648</v>
      </c>
      <c r="H3" s="4">
        <f>'QTR BS'!H3</f>
        <v>1337792</v>
      </c>
      <c r="I3" s="4">
        <f>'QTR BS'!I3</f>
        <v>1346781</v>
      </c>
      <c r="J3" s="4">
        <f>'QTR BS'!J3</f>
        <v>1362314</v>
      </c>
      <c r="K3" s="4">
        <f>'QTR BS'!K3</f>
        <v>1383028</v>
      </c>
      <c r="L3" s="4">
        <f>'QTR BS'!L3</f>
        <v>1417239</v>
      </c>
      <c r="M3" s="4">
        <f>'QTR BS'!M3</f>
        <v>1236752</v>
      </c>
      <c r="N3" s="4">
        <f>'QTR BS'!N3</f>
        <v>955605</v>
      </c>
      <c r="O3" s="4">
        <f>'QTR BS'!O3</f>
        <v>984201</v>
      </c>
      <c r="P3" s="4">
        <f>'QTR BS'!P3</f>
        <v>0</v>
      </c>
      <c r="Q3" s="4">
        <f>'QTR BS'!Q3</f>
        <v>0</v>
      </c>
      <c r="R3" s="4">
        <f>'QTR BS'!R3</f>
        <v>0</v>
      </c>
      <c r="S3" s="4">
        <f>'QTR BS'!S3</f>
        <v>0</v>
      </c>
      <c r="T3" s="4">
        <f>'QTR BS'!T3</f>
        <v>145253</v>
      </c>
      <c r="U3" s="4">
        <f>'QTR BS'!U3</f>
        <v>286391</v>
      </c>
      <c r="V3" s="4">
        <f>'QTR BS'!V3</f>
        <v>677084</v>
      </c>
      <c r="W3" s="15">
        <f t="shared" ref="W3:AP3" si="0">V3</f>
        <v>677084</v>
      </c>
      <c r="X3" s="15">
        <f t="shared" si="0"/>
        <v>677084</v>
      </c>
      <c r="Y3" s="15">
        <f t="shared" si="0"/>
        <v>677084</v>
      </c>
      <c r="Z3" s="15">
        <f t="shared" si="0"/>
        <v>677084</v>
      </c>
      <c r="AA3" s="15">
        <f t="shared" si="0"/>
        <v>677084</v>
      </c>
      <c r="AB3" s="15">
        <f t="shared" si="0"/>
        <v>677084</v>
      </c>
      <c r="AC3" s="15">
        <f t="shared" si="0"/>
        <v>677084</v>
      </c>
      <c r="AD3" s="15">
        <f t="shared" si="0"/>
        <v>677084</v>
      </c>
      <c r="AE3" s="15">
        <f t="shared" si="0"/>
        <v>677084</v>
      </c>
      <c r="AF3" s="15">
        <f t="shared" si="0"/>
        <v>677084</v>
      </c>
      <c r="AG3" s="15">
        <f t="shared" si="0"/>
        <v>677084</v>
      </c>
      <c r="AH3" s="15">
        <f t="shared" si="0"/>
        <v>677084</v>
      </c>
      <c r="AI3" s="15">
        <f t="shared" si="0"/>
        <v>677084</v>
      </c>
      <c r="AJ3" s="15">
        <f t="shared" si="0"/>
        <v>677084</v>
      </c>
      <c r="AK3" s="15">
        <f t="shared" si="0"/>
        <v>677084</v>
      </c>
      <c r="AL3" s="15">
        <f t="shared" si="0"/>
        <v>677084</v>
      </c>
      <c r="AM3" s="15">
        <f t="shared" si="0"/>
        <v>677084</v>
      </c>
      <c r="AN3" s="15">
        <f t="shared" si="0"/>
        <v>677084</v>
      </c>
      <c r="AO3" s="15">
        <f t="shared" si="0"/>
        <v>677084</v>
      </c>
      <c r="AP3" s="15">
        <f t="shared" si="0"/>
        <v>677084</v>
      </c>
    </row>
    <row r="4" spans="1:42" x14ac:dyDescent="0.25">
      <c r="A4" s="3" t="s">
        <v>152</v>
      </c>
      <c r="B4" s="16">
        <f>IFERROR('QTR BS'!B4/'QTR P&amp;L'!E2*ASSUMPTIONS!$B$2,"")</f>
        <v>50.662838141142188</v>
      </c>
      <c r="C4" s="16">
        <f>IFERROR('QTR BS'!C4/'QTR P&amp;L'!F2*ASSUMPTIONS!$B$2,"")</f>
        <v>58.713120750979243</v>
      </c>
      <c r="D4" s="16">
        <f>IFERROR('QTR BS'!D4/'QTR P&amp;L'!G2*ASSUMPTIONS!$B$2,"")</f>
        <v>56.592378594123545</v>
      </c>
      <c r="E4" s="16">
        <f>IFERROR('QTR BS'!E4/'QTR P&amp;L'!H2*ASSUMPTIONS!$B$2,"")</f>
        <v>54.782108769798029</v>
      </c>
      <c r="F4" s="16">
        <f>IFERROR('QTR BS'!F4/'QTR P&amp;L'!I2*ASSUMPTIONS!$B$2,"")</f>
        <v>57.258497281487443</v>
      </c>
      <c r="G4" s="16">
        <f>IFERROR('QTR BS'!G4/'QTR P&amp;L'!J2*ASSUMPTIONS!$B$2,"")</f>
        <v>62.308441998875253</v>
      </c>
      <c r="H4" s="16">
        <f>IFERROR('QTR BS'!H4/'QTR P&amp;L'!K2*ASSUMPTIONS!$B$2,"")</f>
        <v>64.629412678015939</v>
      </c>
      <c r="I4" s="16">
        <f>IFERROR('QTR BS'!I4/'QTR P&amp;L'!L2*ASSUMPTIONS!$B$2,"")</f>
        <v>58.917839592288551</v>
      </c>
      <c r="J4" s="16">
        <f>IFERROR('QTR BS'!J4/'QTR P&amp;L'!M2*ASSUMPTIONS!$B$2,"")</f>
        <v>61.122729985703245</v>
      </c>
      <c r="K4" s="16">
        <f>IFERROR('QTR BS'!K4/'QTR P&amp;L'!N2*ASSUMPTIONS!$B$2,"")</f>
        <v>63.758919437528327</v>
      </c>
      <c r="L4" s="16">
        <f>IFERROR('QTR BS'!L4/'QTR P&amp;L'!O2*ASSUMPTIONS!$B$2,"")</f>
        <v>65.394023917483977</v>
      </c>
      <c r="M4" s="16">
        <f>IFERROR('QTR BS'!M4/'QTR P&amp;L'!P2*ASSUMPTIONS!$B$2,"")</f>
        <v>60.364449243222623</v>
      </c>
      <c r="N4" s="16">
        <f>IFERROR('QTR BS'!N4/'QTR P&amp;L'!Q2*ASSUMPTIONS!$B$2,"")</f>
        <v>62.79996624488183</v>
      </c>
      <c r="O4" s="16">
        <f>IFERROR('QTR BS'!O4/'QTR P&amp;L'!R2*ASSUMPTIONS!$B$2,"")</f>
        <v>65.658406780482096</v>
      </c>
      <c r="P4" s="16">
        <f>IFERROR('QTR BS'!P4/'QTR P&amp;L'!S2*ASSUMPTIONS!$B$2,"")</f>
        <v>65.231197355357281</v>
      </c>
      <c r="Q4" s="16">
        <f>IFERROR('QTR BS'!Q4/'QTR P&amp;L'!T2*ASSUMPTIONS!$B$2,"")</f>
        <v>62.18649975305334</v>
      </c>
      <c r="R4" s="16">
        <f>IFERROR('QTR BS'!R4/'QTR P&amp;L'!U2*ASSUMPTIONS!$B$2,"")</f>
        <v>61.350590853076724</v>
      </c>
      <c r="S4" s="16">
        <f>IFERROR('QTR BS'!S4/'QTR P&amp;L'!V2*ASSUMPTIONS!$B$2,"")</f>
        <v>66.744314817870347</v>
      </c>
      <c r="T4" s="16">
        <f>IFERROR('QTR BS'!T4/'QTR P&amp;L'!W2*ASSUMPTIONS!$B$2,"")</f>
        <v>65.621522528973401</v>
      </c>
      <c r="U4" s="16">
        <f>IFERROR('QTR BS'!U4/'QTR P&amp;L'!X2*ASSUMPTIONS!$B$2,"")</f>
        <v>66.318330192887117</v>
      </c>
      <c r="V4" s="16">
        <f>IFERROR('QTR BS'!V4/'QTR P&amp;L'!Y2*ASSUMPTIONS!$B$2,"")</f>
        <v>69.094739548945995</v>
      </c>
      <c r="W4" s="17">
        <f t="shared" ref="W4:AP4" si="1">V4</f>
        <v>69.094739548945995</v>
      </c>
      <c r="X4" s="17">
        <f t="shared" si="1"/>
        <v>69.094739548945995</v>
      </c>
      <c r="Y4" s="17">
        <f t="shared" si="1"/>
        <v>69.094739548945995</v>
      </c>
      <c r="Z4" s="17">
        <f t="shared" si="1"/>
        <v>69.094739548945995</v>
      </c>
      <c r="AA4" s="17">
        <f t="shared" si="1"/>
        <v>69.094739548945995</v>
      </c>
      <c r="AB4" s="17">
        <f t="shared" si="1"/>
        <v>69.094739548945995</v>
      </c>
      <c r="AC4" s="17">
        <f t="shared" si="1"/>
        <v>69.094739548945995</v>
      </c>
      <c r="AD4" s="17">
        <f t="shared" si="1"/>
        <v>69.094739548945995</v>
      </c>
      <c r="AE4" s="17">
        <f t="shared" si="1"/>
        <v>69.094739548945995</v>
      </c>
      <c r="AF4" s="17">
        <f t="shared" si="1"/>
        <v>69.094739548945995</v>
      </c>
      <c r="AG4" s="17">
        <f t="shared" si="1"/>
        <v>69.094739548945995</v>
      </c>
      <c r="AH4" s="17">
        <f t="shared" si="1"/>
        <v>69.094739548945995</v>
      </c>
      <c r="AI4" s="17">
        <f t="shared" si="1"/>
        <v>69.094739548945995</v>
      </c>
      <c r="AJ4" s="17">
        <f t="shared" si="1"/>
        <v>69.094739548945995</v>
      </c>
      <c r="AK4" s="17">
        <f t="shared" si="1"/>
        <v>69.094739548945995</v>
      </c>
      <c r="AL4" s="17">
        <f t="shared" si="1"/>
        <v>69.094739548945995</v>
      </c>
      <c r="AM4" s="17">
        <f t="shared" si="1"/>
        <v>69.094739548945995</v>
      </c>
      <c r="AN4" s="17">
        <f t="shared" si="1"/>
        <v>69.094739548945995</v>
      </c>
      <c r="AO4" s="17">
        <f t="shared" si="1"/>
        <v>69.094739548945995</v>
      </c>
      <c r="AP4" s="17">
        <f t="shared" si="1"/>
        <v>69.094739548945995</v>
      </c>
    </row>
    <row r="5" spans="1:42" x14ac:dyDescent="0.25">
      <c r="A5" s="3" t="s">
        <v>153</v>
      </c>
      <c r="B5" s="16">
        <f>IFERROR('QTR BS'!B5/'QTR P&amp;L'!E3*ASSUMPTIONS!$B$2,"")</f>
        <v>-59.950266812764298</v>
      </c>
      <c r="C5" s="16">
        <f>IFERROR('QTR BS'!C5/'QTR P&amp;L'!F3*ASSUMPTIONS!$B$2,"")</f>
        <v>-63.38776019558275</v>
      </c>
      <c r="D5" s="16">
        <f>IFERROR('QTR BS'!D5/'QTR P&amp;L'!G3*ASSUMPTIONS!$B$2,"")</f>
        <v>-55.740311472656153</v>
      </c>
      <c r="E5" s="16">
        <f>IFERROR('QTR BS'!E5/'QTR P&amp;L'!H3*ASSUMPTIONS!$B$2,"")</f>
        <v>-69.05598979077854</v>
      </c>
      <c r="F5" s="16">
        <f>IFERROR('QTR BS'!F5/'QTR P&amp;L'!I3*ASSUMPTIONS!$B$2,"")</f>
        <v>-82.12691037075794</v>
      </c>
      <c r="G5" s="16">
        <f>IFERROR('QTR BS'!G5/'QTR P&amp;L'!J3*ASSUMPTIONS!$B$2,"")</f>
        <v>-100.7174915454363</v>
      </c>
      <c r="H5" s="16">
        <f>IFERROR('QTR BS'!H5/'QTR P&amp;L'!K3*ASSUMPTIONS!$B$2,"")</f>
        <v>-92.096595952245764</v>
      </c>
      <c r="I5" s="16">
        <f>IFERROR('QTR BS'!I5/'QTR P&amp;L'!L3*ASSUMPTIONS!$B$2,"")</f>
        <v>-99.335670492220075</v>
      </c>
      <c r="J5" s="16">
        <f>IFERROR('QTR BS'!J5/'QTR P&amp;L'!M3*ASSUMPTIONS!$B$2,"")</f>
        <v>-116.8549976942587</v>
      </c>
      <c r="K5" s="16">
        <f>IFERROR('QTR BS'!K5/'QTR P&amp;L'!N3*ASSUMPTIONS!$B$2,"")</f>
        <v>-103.00056174094755</v>
      </c>
      <c r="L5" s="16">
        <f>IFERROR('QTR BS'!L5/'QTR P&amp;L'!O3*ASSUMPTIONS!$B$2,"")</f>
        <v>-87.494583525879975</v>
      </c>
      <c r="M5" s="16">
        <f>IFERROR('QTR BS'!M5/'QTR P&amp;L'!P3*ASSUMPTIONS!$B$2,"")</f>
        <v>-92.180552721302917</v>
      </c>
      <c r="N5" s="16">
        <f>IFERROR('QTR BS'!N5/'QTR P&amp;L'!Q3*ASSUMPTIONS!$B$2,"")</f>
        <v>-111.65092613058663</v>
      </c>
      <c r="O5" s="16">
        <f>IFERROR('QTR BS'!O5/'QTR P&amp;L'!R3*ASSUMPTIONS!$B$2,"")</f>
        <v>-98.061204010693032</v>
      </c>
      <c r="P5" s="16">
        <f>IFERROR('QTR BS'!P5/'QTR P&amp;L'!S3*ASSUMPTIONS!$B$2,"")</f>
        <v>-86.178020002451504</v>
      </c>
      <c r="Q5" s="16">
        <f>IFERROR('QTR BS'!Q5/'QTR P&amp;L'!T3*ASSUMPTIONS!$B$2,"")</f>
        <v>-79.553820244355819</v>
      </c>
      <c r="R5" s="16">
        <f>IFERROR('QTR BS'!R5/'QTR P&amp;L'!U3*ASSUMPTIONS!$B$2,"")</f>
        <v>-82.852110188291448</v>
      </c>
      <c r="S5" s="16">
        <f>IFERROR('QTR BS'!S5/'QTR P&amp;L'!V3*ASSUMPTIONS!$B$2,"")</f>
        <v>-81.808909292880202</v>
      </c>
      <c r="T5" s="16">
        <f>IFERROR('QTR BS'!T5/'QTR P&amp;L'!W3*ASSUMPTIONS!$B$2,"")</f>
        <v>-64.044634235798711</v>
      </c>
      <c r="U5" s="16">
        <f>IFERROR('QTR BS'!U5/'QTR P&amp;L'!X3*ASSUMPTIONS!$B$2,"")</f>
        <v>-65.920041371383221</v>
      </c>
      <c r="V5" s="16">
        <f>IFERROR('QTR BS'!V5/'QTR P&amp;L'!Y3*ASSUMPTIONS!$B$2,"")</f>
        <v>-76.779737686236444</v>
      </c>
      <c r="W5" s="17">
        <f t="shared" ref="W5:AP5" si="2">V5</f>
        <v>-76.779737686236444</v>
      </c>
      <c r="X5" s="17">
        <f t="shared" si="2"/>
        <v>-76.779737686236444</v>
      </c>
      <c r="Y5" s="17">
        <f t="shared" si="2"/>
        <v>-76.779737686236444</v>
      </c>
      <c r="Z5" s="17">
        <f t="shared" si="2"/>
        <v>-76.779737686236444</v>
      </c>
      <c r="AA5" s="17">
        <f t="shared" si="2"/>
        <v>-76.779737686236444</v>
      </c>
      <c r="AB5" s="17">
        <f t="shared" si="2"/>
        <v>-76.779737686236444</v>
      </c>
      <c r="AC5" s="17">
        <f t="shared" si="2"/>
        <v>-76.779737686236444</v>
      </c>
      <c r="AD5" s="17">
        <f t="shared" si="2"/>
        <v>-76.779737686236444</v>
      </c>
      <c r="AE5" s="17">
        <f t="shared" si="2"/>
        <v>-76.779737686236444</v>
      </c>
      <c r="AF5" s="17">
        <f t="shared" si="2"/>
        <v>-76.779737686236444</v>
      </c>
      <c r="AG5" s="17">
        <f t="shared" si="2"/>
        <v>-76.779737686236444</v>
      </c>
      <c r="AH5" s="17">
        <f t="shared" si="2"/>
        <v>-76.779737686236444</v>
      </c>
      <c r="AI5" s="17">
        <f t="shared" si="2"/>
        <v>-76.779737686236444</v>
      </c>
      <c r="AJ5" s="17">
        <f t="shared" si="2"/>
        <v>-76.779737686236444</v>
      </c>
      <c r="AK5" s="17">
        <f t="shared" si="2"/>
        <v>-76.779737686236444</v>
      </c>
      <c r="AL5" s="17">
        <f t="shared" si="2"/>
        <v>-76.779737686236444</v>
      </c>
      <c r="AM5" s="17">
        <f t="shared" si="2"/>
        <v>-76.779737686236444</v>
      </c>
      <c r="AN5" s="17">
        <f t="shared" si="2"/>
        <v>-76.779737686236444</v>
      </c>
      <c r="AO5" s="17">
        <f t="shared" si="2"/>
        <v>-76.779737686236444</v>
      </c>
      <c r="AP5" s="17">
        <f t="shared" si="2"/>
        <v>-76.779737686236444</v>
      </c>
    </row>
    <row r="6" spans="1:42" x14ac:dyDescent="0.25">
      <c r="A6" s="3" t="s">
        <v>154</v>
      </c>
      <c r="B6" s="13">
        <f>IFERROR('QTR BS'!B6/'QTR P&amp;L'!E2,"")</f>
        <v>4.6275003489976867E-2</v>
      </c>
      <c r="C6" s="13">
        <f>IFERROR('QTR BS'!C6/'QTR P&amp;L'!F2,"")</f>
        <v>5.8531969358811914E-2</v>
      </c>
      <c r="D6" s="13">
        <f>IFERROR('QTR BS'!D6/'QTR P&amp;L'!G2,"")</f>
        <v>5.6832896127392805E-2</v>
      </c>
      <c r="E6" s="13">
        <f>IFERROR('QTR BS'!E6/'QTR P&amp;L'!H2,"")</f>
        <v>6.7779607630177305E-2</v>
      </c>
      <c r="F6" s="13">
        <f>IFERROR('QTR BS'!F6/'QTR P&amp;L'!I2,"")</f>
        <v>5.8010840367034279E-2</v>
      </c>
      <c r="G6" s="13">
        <f>IFERROR('QTR BS'!G6/'QTR P&amp;L'!J2,"")</f>
        <v>7.2651711408202702E-2</v>
      </c>
      <c r="H6" s="13">
        <f>IFERROR('QTR BS'!H6/'QTR P&amp;L'!K2,"")</f>
        <v>7.9910757168515617E-2</v>
      </c>
      <c r="I6" s="13">
        <f>IFERROR('QTR BS'!I6/'QTR P&amp;L'!L2,"")</f>
        <v>6.9134376581464096E-2</v>
      </c>
      <c r="J6" s="13">
        <f>IFERROR('QTR BS'!J6/'QTR P&amp;L'!M2,"")</f>
        <v>7.2589562908024222E-2</v>
      </c>
      <c r="K6" s="13">
        <f>IFERROR('QTR BS'!K6/'QTR P&amp;L'!N2,"")</f>
        <v>6.5310518973706974E-2</v>
      </c>
      <c r="L6" s="13">
        <f>IFERROR('QTR BS'!L6/'QTR P&amp;L'!O2,"")</f>
        <v>8.0190365188270801E-2</v>
      </c>
      <c r="M6" s="13">
        <f>IFERROR('QTR BS'!M6/'QTR P&amp;L'!P2,"")</f>
        <v>8.7647384629973249E-2</v>
      </c>
      <c r="N6" s="13">
        <f>IFERROR('QTR BS'!N6/'QTR P&amp;L'!Q2,"")</f>
        <v>6.7160547202833584E-2</v>
      </c>
      <c r="O6" s="13">
        <f>IFERROR('QTR BS'!O6/'QTR P&amp;L'!R2,"")</f>
        <v>6.5599563582290119E-2</v>
      </c>
      <c r="P6" s="13">
        <f>IFERROR('QTR BS'!P6/'QTR P&amp;L'!S2,"")</f>
        <v>6.8032833893771266E-2</v>
      </c>
      <c r="Q6" s="13">
        <f>IFERROR('QTR BS'!Q6/'QTR P&amp;L'!T2,"")</f>
        <v>6.6272083650323527E-2</v>
      </c>
      <c r="R6" s="13">
        <f>IFERROR('QTR BS'!R6/'QTR P&amp;L'!U2,"")</f>
        <v>5.919402485926091E-2</v>
      </c>
      <c r="S6" s="13">
        <f>IFERROR('QTR BS'!S6/'QTR P&amp;L'!V2,"")</f>
        <v>6.0674834650628347E-2</v>
      </c>
      <c r="T6" s="13">
        <f>IFERROR('QTR BS'!T6/'QTR P&amp;L'!W2,"")</f>
        <v>6.5001666988698581E-2</v>
      </c>
      <c r="U6" s="13">
        <f>IFERROR('QTR BS'!U6/'QTR P&amp;L'!X2,"")</f>
        <v>6.4953985635872083E-2</v>
      </c>
      <c r="V6" s="13">
        <f>IFERROR('QTR BS'!V6/'QTR P&amp;L'!Y2,"")</f>
        <v>4.8591470977024036E-2</v>
      </c>
      <c r="W6" s="14">
        <f t="shared" ref="W6:AP6" si="3">V6</f>
        <v>4.8591470977024036E-2</v>
      </c>
      <c r="X6" s="14">
        <f t="shared" si="3"/>
        <v>4.8591470977024036E-2</v>
      </c>
      <c r="Y6" s="14">
        <f t="shared" si="3"/>
        <v>4.8591470977024036E-2</v>
      </c>
      <c r="Z6" s="14">
        <f t="shared" si="3"/>
        <v>4.8591470977024036E-2</v>
      </c>
      <c r="AA6" s="14">
        <f t="shared" si="3"/>
        <v>4.8591470977024036E-2</v>
      </c>
      <c r="AB6" s="14">
        <f t="shared" si="3"/>
        <v>4.8591470977024036E-2</v>
      </c>
      <c r="AC6" s="14">
        <f t="shared" si="3"/>
        <v>4.8591470977024036E-2</v>
      </c>
      <c r="AD6" s="14">
        <f t="shared" si="3"/>
        <v>4.8591470977024036E-2</v>
      </c>
      <c r="AE6" s="14">
        <f t="shared" si="3"/>
        <v>4.8591470977024036E-2</v>
      </c>
      <c r="AF6" s="14">
        <f t="shared" si="3"/>
        <v>4.8591470977024036E-2</v>
      </c>
      <c r="AG6" s="14">
        <f t="shared" si="3"/>
        <v>4.8591470977024036E-2</v>
      </c>
      <c r="AH6" s="14">
        <f t="shared" si="3"/>
        <v>4.8591470977024036E-2</v>
      </c>
      <c r="AI6" s="14">
        <f t="shared" si="3"/>
        <v>4.8591470977024036E-2</v>
      </c>
      <c r="AJ6" s="14">
        <f t="shared" si="3"/>
        <v>4.8591470977024036E-2</v>
      </c>
      <c r="AK6" s="14">
        <f t="shared" si="3"/>
        <v>4.8591470977024036E-2</v>
      </c>
      <c r="AL6" s="14">
        <f t="shared" si="3"/>
        <v>4.8591470977024036E-2</v>
      </c>
      <c r="AM6" s="14">
        <f t="shared" si="3"/>
        <v>4.8591470977024036E-2</v>
      </c>
      <c r="AN6" s="14">
        <f t="shared" si="3"/>
        <v>4.8591470977024036E-2</v>
      </c>
      <c r="AO6" s="14">
        <f t="shared" si="3"/>
        <v>4.8591470977024036E-2</v>
      </c>
      <c r="AP6" s="14">
        <f t="shared" si="3"/>
        <v>4.8591470977024036E-2</v>
      </c>
    </row>
    <row r="7" spans="1:42" x14ac:dyDescent="0.25">
      <c r="A7" s="3" t="s">
        <v>155</v>
      </c>
      <c r="B7" s="13">
        <f>IFERROR('QTR BS'!B7/'QTR P&amp;L'!E2,"")</f>
        <v>2.067487375478879E-2</v>
      </c>
      <c r="C7" s="13">
        <f>IFERROR('QTR BS'!C7/'QTR P&amp;L'!F2,"")</f>
        <v>2.5060780694250596E-2</v>
      </c>
      <c r="D7" s="13">
        <f>IFERROR('QTR BS'!D7/'QTR P&amp;L'!G2,"")</f>
        <v>1.5280433124591722E-2</v>
      </c>
      <c r="E7" s="13">
        <f>IFERROR('QTR BS'!E7/'QTR P&amp;L'!H2,"")</f>
        <v>2.1707027791149171E-2</v>
      </c>
      <c r="F7" s="13">
        <f>IFERROR('QTR BS'!F7/'QTR P&amp;L'!I2,"")</f>
        <v>2.3324192095121273E-2</v>
      </c>
      <c r="G7" s="13">
        <f>IFERROR('QTR BS'!G7/'QTR P&amp;L'!J2,"")</f>
        <v>2.6335891434990984E-2</v>
      </c>
      <c r="H7" s="13">
        <f>IFERROR('QTR BS'!H7/'QTR P&amp;L'!K2,"")</f>
        <v>1.9924978507895139E-2</v>
      </c>
      <c r="I7" s="13">
        <f>IFERROR('QTR BS'!I7/'QTR P&amp;L'!L2,"")</f>
        <v>1.2281704084132967E-2</v>
      </c>
      <c r="J7" s="13">
        <f>IFERROR('QTR BS'!J7/'QTR P&amp;L'!M2,"")</f>
        <v>2.2330826719790923E-2</v>
      </c>
      <c r="K7" s="13">
        <f>IFERROR('QTR BS'!K7/'QTR P&amp;L'!N2,"")</f>
        <v>1.8181443614510309E-2</v>
      </c>
      <c r="L7" s="13">
        <f>IFERROR('QTR BS'!L7/'QTR P&amp;L'!O2,"")</f>
        <v>2.077348256917531E-2</v>
      </c>
      <c r="M7" s="13">
        <f>IFERROR('QTR BS'!M7/'QTR P&amp;L'!P2,"")</f>
        <v>1.2644205798619417E-2</v>
      </c>
      <c r="N7" s="13">
        <f>IFERROR('QTR BS'!N7/'QTR P&amp;L'!Q2,"")</f>
        <v>3.1299202130734033E-2</v>
      </c>
      <c r="O7" s="13">
        <f>IFERROR('QTR BS'!O7/'QTR P&amp;L'!R2,"")</f>
        <v>2.1241663147452107E-2</v>
      </c>
      <c r="P7" s="13">
        <f>IFERROR('QTR BS'!P7/'QTR P&amp;L'!S2,"")</f>
        <v>3.3388456363974056E-2</v>
      </c>
      <c r="Q7" s="13">
        <f>IFERROR('QTR BS'!Q7/'QTR P&amp;L'!T2,"")</f>
        <v>4.8925742155788522E-2</v>
      </c>
      <c r="R7" s="13">
        <f>IFERROR('QTR BS'!R7/'QTR P&amp;L'!U2,"")</f>
        <v>2.3289759999911702E-2</v>
      </c>
      <c r="S7" s="13">
        <f>IFERROR('QTR BS'!S7/'QTR P&amp;L'!V2,"")</f>
        <v>1.8394140274933433E-2</v>
      </c>
      <c r="T7" s="13">
        <f>IFERROR('QTR BS'!T7/'QTR P&amp;L'!W2,"")</f>
        <v>1.8485578653451993E-2</v>
      </c>
      <c r="U7" s="13">
        <f>IFERROR('QTR BS'!U7/'QTR P&amp;L'!X2,"")</f>
        <v>1.7464522060496826E-2</v>
      </c>
      <c r="V7" s="13">
        <f>IFERROR('QTR BS'!V7/'QTR P&amp;L'!Y2,"")</f>
        <v>3.5023530620777614E-2</v>
      </c>
      <c r="W7" s="14">
        <f t="shared" ref="W7:AP7" si="4">V7</f>
        <v>3.5023530620777614E-2</v>
      </c>
      <c r="X7" s="14">
        <f t="shared" si="4"/>
        <v>3.5023530620777614E-2</v>
      </c>
      <c r="Y7" s="14">
        <f t="shared" si="4"/>
        <v>3.5023530620777614E-2</v>
      </c>
      <c r="Z7" s="14">
        <f t="shared" si="4"/>
        <v>3.5023530620777614E-2</v>
      </c>
      <c r="AA7" s="14">
        <f t="shared" si="4"/>
        <v>3.5023530620777614E-2</v>
      </c>
      <c r="AB7" s="14">
        <f t="shared" si="4"/>
        <v>3.5023530620777614E-2</v>
      </c>
      <c r="AC7" s="14">
        <f t="shared" si="4"/>
        <v>3.5023530620777614E-2</v>
      </c>
      <c r="AD7" s="14">
        <f t="shared" si="4"/>
        <v>3.5023530620777614E-2</v>
      </c>
      <c r="AE7" s="14">
        <f t="shared" si="4"/>
        <v>3.5023530620777614E-2</v>
      </c>
      <c r="AF7" s="14">
        <f t="shared" si="4"/>
        <v>3.5023530620777614E-2</v>
      </c>
      <c r="AG7" s="14">
        <f t="shared" si="4"/>
        <v>3.5023530620777614E-2</v>
      </c>
      <c r="AH7" s="14">
        <f t="shared" si="4"/>
        <v>3.5023530620777614E-2</v>
      </c>
      <c r="AI7" s="14">
        <f t="shared" si="4"/>
        <v>3.5023530620777614E-2</v>
      </c>
      <c r="AJ7" s="14">
        <f t="shared" si="4"/>
        <v>3.5023530620777614E-2</v>
      </c>
      <c r="AK7" s="14">
        <f t="shared" si="4"/>
        <v>3.5023530620777614E-2</v>
      </c>
      <c r="AL7" s="14">
        <f t="shared" si="4"/>
        <v>3.5023530620777614E-2</v>
      </c>
      <c r="AM7" s="14">
        <f t="shared" si="4"/>
        <v>3.5023530620777614E-2</v>
      </c>
      <c r="AN7" s="14">
        <f t="shared" si="4"/>
        <v>3.5023530620777614E-2</v>
      </c>
      <c r="AO7" s="14">
        <f t="shared" si="4"/>
        <v>3.5023530620777614E-2</v>
      </c>
      <c r="AP7" s="14">
        <f t="shared" si="4"/>
        <v>3.5023530620777614E-2</v>
      </c>
    </row>
    <row r="8" spans="1:42" x14ac:dyDescent="0.25">
      <c r="A8" s="3" t="s">
        <v>156</v>
      </c>
      <c r="B8" s="13">
        <f>IFERROR('QTR BS'!B9/'QTR P&amp;L'!E2,"")</f>
        <v>3.7023848035958047E-2</v>
      </c>
      <c r="C8" s="13">
        <f>IFERROR('QTR BS'!C9/'QTR P&amp;L'!F2,"")</f>
        <v>5.1254365597483871E-2</v>
      </c>
      <c r="D8" s="13">
        <f>IFERROR('QTR BS'!D9/'QTR P&amp;L'!G2,"")</f>
        <v>6.2268842321991057E-2</v>
      </c>
      <c r="E8" s="13">
        <f>IFERROR('QTR BS'!E9/'QTR P&amp;L'!H2,"")</f>
        <v>2.0031094099706711E-2</v>
      </c>
      <c r="F8" s="13">
        <f>IFERROR('QTR BS'!F9/'QTR P&amp;L'!I2,"")</f>
        <v>6.9765565133427465E-2</v>
      </c>
      <c r="G8" s="13">
        <f>IFERROR('QTR BS'!G9/'QTR P&amp;L'!J2,"")</f>
        <v>4.323266432850819E-2</v>
      </c>
      <c r="H8" s="13">
        <f>IFERROR('QTR BS'!H9/'QTR P&amp;L'!K2,"")</f>
        <v>3.8736536094955532E-2</v>
      </c>
      <c r="I8" s="13">
        <f>IFERROR('QTR BS'!I9/'QTR P&amp;L'!L2,"")</f>
        <v>4.4556808345328346E-2</v>
      </c>
      <c r="J8" s="13">
        <f>IFERROR('QTR BS'!J9/'QTR P&amp;L'!M2,"")</f>
        <v>4.0611898361524748E-2</v>
      </c>
      <c r="K8" s="13">
        <f>IFERROR('QTR BS'!K9/'QTR P&amp;L'!N2,"")</f>
        <v>2.4222304627029956E-2</v>
      </c>
      <c r="L8" s="13">
        <f>IFERROR('QTR BS'!L9/'QTR P&amp;L'!O2,"")</f>
        <v>3.3557578838584748E-2</v>
      </c>
      <c r="M8" s="13">
        <f>IFERROR('QTR BS'!M9/'QTR P&amp;L'!P2,"")</f>
        <v>2.8359485956030835E-2</v>
      </c>
      <c r="N8" s="13">
        <f>IFERROR('QTR BS'!N9/'QTR P&amp;L'!Q2,"")</f>
        <v>4.4177010914925541E-2</v>
      </c>
      <c r="O8" s="13">
        <f>IFERROR('QTR BS'!O9/'QTR P&amp;L'!R2,"")</f>
        <v>4.2978298118369878E-3</v>
      </c>
      <c r="P8" s="13">
        <f>IFERROR('QTR BS'!P9/'QTR P&amp;L'!S2,"")</f>
        <v>0</v>
      </c>
      <c r="Q8" s="13">
        <f>IFERROR('QTR BS'!Q9/'QTR P&amp;L'!T2,"")</f>
        <v>0</v>
      </c>
      <c r="R8" s="13">
        <f>IFERROR('QTR BS'!R9/'QTR P&amp;L'!U2,"")</f>
        <v>0</v>
      </c>
      <c r="S8" s="13">
        <f>IFERROR('QTR BS'!S9/'QTR P&amp;L'!V2,"")</f>
        <v>0</v>
      </c>
      <c r="T8" s="13">
        <f>IFERROR('QTR BS'!T9/'QTR P&amp;L'!W2,"")</f>
        <v>6.5381001632891206E-2</v>
      </c>
      <c r="U8" s="13">
        <f>IFERROR('QTR BS'!U9/'QTR P&amp;L'!X2,"")</f>
        <v>0.16347342454281474</v>
      </c>
      <c r="V8" s="13">
        <f>IFERROR('QTR BS'!V9/'QTR P&amp;L'!Y2,"")</f>
        <v>0.22867990613091274</v>
      </c>
      <c r="W8" s="14">
        <f t="shared" ref="W8:AP8" si="5">V8</f>
        <v>0.22867990613091274</v>
      </c>
      <c r="X8" s="14">
        <f t="shared" si="5"/>
        <v>0.22867990613091274</v>
      </c>
      <c r="Y8" s="14">
        <f t="shared" si="5"/>
        <v>0.22867990613091274</v>
      </c>
      <c r="Z8" s="14">
        <f t="shared" si="5"/>
        <v>0.22867990613091274</v>
      </c>
      <c r="AA8" s="14">
        <f t="shared" si="5"/>
        <v>0.22867990613091274</v>
      </c>
      <c r="AB8" s="14">
        <f t="shared" si="5"/>
        <v>0.22867990613091274</v>
      </c>
      <c r="AC8" s="14">
        <f t="shared" si="5"/>
        <v>0.22867990613091274</v>
      </c>
      <c r="AD8" s="14">
        <f t="shared" si="5"/>
        <v>0.22867990613091274</v>
      </c>
      <c r="AE8" s="14">
        <f t="shared" si="5"/>
        <v>0.22867990613091274</v>
      </c>
      <c r="AF8" s="14">
        <f t="shared" si="5"/>
        <v>0.22867990613091274</v>
      </c>
      <c r="AG8" s="14">
        <f t="shared" si="5"/>
        <v>0.22867990613091274</v>
      </c>
      <c r="AH8" s="14">
        <f t="shared" si="5"/>
        <v>0.22867990613091274</v>
      </c>
      <c r="AI8" s="14">
        <f t="shared" si="5"/>
        <v>0.22867990613091274</v>
      </c>
      <c r="AJ8" s="14">
        <f t="shared" si="5"/>
        <v>0.22867990613091274</v>
      </c>
      <c r="AK8" s="14">
        <f t="shared" si="5"/>
        <v>0.22867990613091274</v>
      </c>
      <c r="AL8" s="14">
        <f t="shared" si="5"/>
        <v>0.22867990613091274</v>
      </c>
      <c r="AM8" s="14">
        <f t="shared" si="5"/>
        <v>0.22867990613091274</v>
      </c>
      <c r="AN8" s="14">
        <f t="shared" si="5"/>
        <v>0.22867990613091274</v>
      </c>
      <c r="AO8" s="14">
        <f t="shared" si="5"/>
        <v>0.22867990613091274</v>
      </c>
      <c r="AP8" s="14">
        <f t="shared" si="5"/>
        <v>0.22867990613091274</v>
      </c>
    </row>
    <row r="9" spans="1:42" x14ac:dyDescent="0.25">
      <c r="A9" s="3" t="s">
        <v>41</v>
      </c>
      <c r="B9" s="4">
        <f>'QTR BS'!B10</f>
        <v>314656</v>
      </c>
      <c r="C9" s="4">
        <f>'QTR BS'!C10</f>
        <v>312155</v>
      </c>
      <c r="D9" s="4">
        <f>'QTR BS'!D10</f>
        <v>309178</v>
      </c>
      <c r="E9" s="4">
        <f>'QTR BS'!E10</f>
        <v>309574</v>
      </c>
      <c r="F9" s="4">
        <f>'QTR BS'!F10</f>
        <v>313753</v>
      </c>
      <c r="G9" s="4">
        <f>'QTR BS'!G10</f>
        <v>407391</v>
      </c>
      <c r="H9" s="4">
        <f>'QTR BS'!H10</f>
        <v>464541</v>
      </c>
      <c r="I9" s="4">
        <f>'QTR BS'!I10</f>
        <v>485550</v>
      </c>
      <c r="J9" s="4">
        <f>'QTR BS'!J10</f>
        <v>516897</v>
      </c>
      <c r="K9" s="4">
        <f>'QTR BS'!K10</f>
        <v>545922</v>
      </c>
      <c r="L9" s="4">
        <f>'QTR BS'!L10</f>
        <v>576645</v>
      </c>
      <c r="M9" s="4">
        <f>'QTR BS'!M10</f>
        <v>731208</v>
      </c>
      <c r="N9" s="4">
        <f>'QTR BS'!N10</f>
        <v>890796</v>
      </c>
      <c r="O9" s="4">
        <f>'QTR BS'!O10</f>
        <v>923290</v>
      </c>
      <c r="P9" s="4">
        <f>'QTR BS'!P10</f>
        <v>960962</v>
      </c>
      <c r="Q9" s="4">
        <f>'QTR BS'!Q10</f>
        <v>1006788</v>
      </c>
      <c r="R9" s="4">
        <f>'QTR BS'!R10</f>
        <v>1047024</v>
      </c>
      <c r="S9" s="4">
        <f>'QTR BS'!S10</f>
        <v>1064008</v>
      </c>
      <c r="T9" s="4">
        <f>'QTR BS'!T10</f>
        <v>1090898</v>
      </c>
      <c r="U9" s="4">
        <f>'QTR BS'!U10</f>
        <v>1110705</v>
      </c>
      <c r="V9" s="4">
        <f>'QTR BS'!V10</f>
        <v>1081544</v>
      </c>
      <c r="W9" s="4">
        <f>V9-'QTR CF'!Z29-'QTR CF'!Z3</f>
        <v>1077200.4204937969</v>
      </c>
      <c r="X9" s="4">
        <f>W9-'QTR CF'!AA29-'QTR CF'!AA3</f>
        <v>1072254.8389931577</v>
      </c>
      <c r="Y9" s="4">
        <f>X9-'QTR CF'!AB29-'QTR CF'!AB3</f>
        <v>1067108.8946353865</v>
      </c>
      <c r="Z9" s="4">
        <f>Y9-'QTR CF'!AC29-'QTR CF'!AC3</f>
        <v>1062117.7333250188</v>
      </c>
      <c r="AA9" s="4">
        <f>Z9-'QTR CF'!AD29-'QTR CF'!AD3</f>
        <v>1057009.4614164731</v>
      </c>
      <c r="AB9" s="4">
        <f>AA9-'QTR CF'!AE29-'QTR CF'!AE3</f>
        <v>1051193.2043374765</v>
      </c>
      <c r="AC9" s="4">
        <f>AB9-'QTR CF'!AF29-'QTR CF'!AF3</f>
        <v>1045141.3102790853</v>
      </c>
      <c r="AD9" s="4">
        <f>AC9-'QTR CF'!AG29-'QTR CF'!AG3</f>
        <v>1039271.4490099732</v>
      </c>
      <c r="AE9" s="4">
        <f>AD9-'QTR CF'!AH29-'QTR CF'!AH3</f>
        <v>1033263.8596808566</v>
      </c>
      <c r="AF9" s="4">
        <f>AE9-'QTR CF'!AI29-'QTR CF'!AI3</f>
        <v>1026423.6435395184</v>
      </c>
      <c r="AG9" s="4">
        <f>AF9-'QTR CF'!AJ29-'QTR CF'!AJ3</f>
        <v>1019306.3062448232</v>
      </c>
      <c r="AH9" s="4">
        <f>AG9-'QTR CF'!AK29-'QTR CF'!AK3</f>
        <v>1012403.0488311527</v>
      </c>
      <c r="AI9" s="4">
        <f>AH9-'QTR CF'!AL29-'QTR CF'!AL3</f>
        <v>1005337.8161666699</v>
      </c>
      <c r="AJ9" s="4">
        <f>AI9-'QTR CF'!AM29-'QTR CF'!AM3</f>
        <v>997293.37173707515</v>
      </c>
      <c r="AK9" s="4">
        <f>AJ9-'QTR CF'!AN29-'QTR CF'!AN3</f>
        <v>988923.01864138246</v>
      </c>
      <c r="AL9" s="4">
        <f>AK9-'QTR CF'!AO29-'QTR CF'!AO3</f>
        <v>980804.43444755091</v>
      </c>
      <c r="AM9" s="4">
        <f>AL9-'QTR CF'!AP29-'QTR CF'!AP3</f>
        <v>972495.35906496074</v>
      </c>
      <c r="AN9" s="4">
        <f>AM9-'QTR CF'!AQ29-'QTR CF'!AQ3</f>
        <v>963034.68050690321</v>
      </c>
      <c r="AO9" s="4">
        <f>AN9-'QTR CF'!AR29-'QTR CF'!AR3</f>
        <v>953190.71666964167</v>
      </c>
      <c r="AP9" s="4">
        <f>AO9-'QTR CF'!AS29-'QTR CF'!AS3</f>
        <v>943642.84595257882</v>
      </c>
    </row>
    <row r="10" spans="1:42" x14ac:dyDescent="0.25">
      <c r="A10" s="3" t="s">
        <v>42</v>
      </c>
      <c r="B10" s="4">
        <f>'QTR BS'!B11</f>
        <v>241650</v>
      </c>
      <c r="C10" s="4">
        <f>'QTR BS'!C11</f>
        <v>241650</v>
      </c>
      <c r="D10" s="4">
        <f>'QTR BS'!D11</f>
        <v>241297</v>
      </c>
      <c r="E10" s="4">
        <f>'QTR BS'!E11</f>
        <v>241297</v>
      </c>
      <c r="F10" s="4">
        <f>'QTR BS'!F11</f>
        <v>225221</v>
      </c>
      <c r="G10" s="4">
        <f>'QTR BS'!G11</f>
        <v>225221</v>
      </c>
      <c r="H10" s="4">
        <f>'QTR BS'!H11</f>
        <v>203287</v>
      </c>
      <c r="I10" s="4">
        <f>'QTR BS'!I11</f>
        <v>195511</v>
      </c>
      <c r="J10" s="4">
        <f>'QTR BS'!J11</f>
        <v>177039</v>
      </c>
      <c r="K10" s="4">
        <f>'QTR BS'!K11</f>
        <v>177039</v>
      </c>
      <c r="L10" s="4">
        <f>'QTR BS'!L11</f>
        <v>177039</v>
      </c>
      <c r="M10" s="4">
        <f>'QTR BS'!M11</f>
        <v>176724</v>
      </c>
      <c r="N10" s="4">
        <f>'QTR BS'!N11</f>
        <v>175003</v>
      </c>
      <c r="O10" s="4">
        <f>'QTR BS'!O11</f>
        <v>175271</v>
      </c>
      <c r="P10" s="4">
        <f>'QTR BS'!P11</f>
        <v>187269</v>
      </c>
      <c r="Q10" s="4">
        <f>'QTR BS'!Q11</f>
        <v>183430</v>
      </c>
      <c r="R10" s="4">
        <f>'QTR BS'!R11</f>
        <v>184260</v>
      </c>
      <c r="S10" s="4">
        <f>'QTR BS'!S11</f>
        <v>184358</v>
      </c>
      <c r="T10" s="4">
        <f>'QTR BS'!T11</f>
        <v>184791</v>
      </c>
      <c r="U10" s="4">
        <f>'QTR BS'!U11</f>
        <v>185321</v>
      </c>
      <c r="V10" s="4">
        <f>'QTR BS'!V11</f>
        <v>188646</v>
      </c>
      <c r="W10" s="4">
        <f>V10-'QTR CF'!Z10</f>
        <v>184891</v>
      </c>
      <c r="X10" s="4">
        <f>W10-'QTR CF'!AA10</f>
        <v>181136</v>
      </c>
      <c r="Y10" s="4">
        <f>X10-'QTR CF'!AB10</f>
        <v>177381</v>
      </c>
      <c r="Z10" s="4">
        <f>Y10-'QTR CF'!AC10</f>
        <v>173626</v>
      </c>
      <c r="AA10" s="4">
        <f>Z10-'QTR CF'!AD10</f>
        <v>169871</v>
      </c>
      <c r="AB10" s="4">
        <f>AA10-'QTR CF'!AE10</f>
        <v>166116</v>
      </c>
      <c r="AC10" s="4">
        <f>AB10-'QTR CF'!AF10</f>
        <v>162361</v>
      </c>
      <c r="AD10" s="4">
        <f>AC10-'QTR CF'!AG10</f>
        <v>158606</v>
      </c>
      <c r="AE10" s="4">
        <f>AD10-'QTR CF'!AH10</f>
        <v>154851</v>
      </c>
      <c r="AF10" s="4">
        <f>AE10-'QTR CF'!AI10</f>
        <v>151096</v>
      </c>
      <c r="AG10" s="4">
        <f>AF10-'QTR CF'!AJ10</f>
        <v>147341</v>
      </c>
      <c r="AH10" s="4">
        <f>AG10-'QTR CF'!AK10</f>
        <v>143586</v>
      </c>
      <c r="AI10" s="4">
        <f>AH10-'QTR CF'!AL10</f>
        <v>139831</v>
      </c>
      <c r="AJ10" s="4">
        <f>AI10-'QTR CF'!AM10</f>
        <v>136076</v>
      </c>
      <c r="AK10" s="4">
        <f>AJ10-'QTR CF'!AN10</f>
        <v>132321</v>
      </c>
      <c r="AL10" s="4">
        <f>AK10-'QTR CF'!AO10</f>
        <v>128566</v>
      </c>
      <c r="AM10" s="4">
        <f>AL10-'QTR CF'!AP10</f>
        <v>124811</v>
      </c>
      <c r="AN10" s="4">
        <f>AM10-'QTR CF'!AQ10</f>
        <v>121056</v>
      </c>
      <c r="AO10" s="4">
        <f>AN10-'QTR CF'!AR10</f>
        <v>117301</v>
      </c>
      <c r="AP10" s="4">
        <f>AO10-'QTR CF'!AS10</f>
        <v>113546</v>
      </c>
    </row>
    <row r="11" spans="1:42" x14ac:dyDescent="0.25">
      <c r="A11" s="3" t="s">
        <v>43</v>
      </c>
      <c r="B11" s="4">
        <f>'QTR BS'!B12</f>
        <v>1331643</v>
      </c>
      <c r="C11" s="4">
        <f>'QTR BS'!C12</f>
        <v>1331643</v>
      </c>
      <c r="D11" s="4">
        <f>'QTR BS'!D12</f>
        <v>1331643</v>
      </c>
      <c r="E11" s="4">
        <f>'QTR BS'!E12</f>
        <v>1331643</v>
      </c>
      <c r="F11" s="4">
        <f>'QTR BS'!F12</f>
        <v>1331643</v>
      </c>
      <c r="G11" s="4">
        <f>'QTR BS'!G12</f>
        <v>1411928</v>
      </c>
      <c r="H11" s="4">
        <f>'QTR BS'!H12</f>
        <v>1412941</v>
      </c>
      <c r="I11" s="4">
        <f>'QTR BS'!I12</f>
        <v>1412941</v>
      </c>
      <c r="J11" s="4">
        <f>'QTR BS'!J12</f>
        <v>1417941</v>
      </c>
      <c r="K11" s="4">
        <f>'QTR BS'!K12</f>
        <v>1417941</v>
      </c>
      <c r="L11" s="4">
        <f>'QTR BS'!L12</f>
        <v>1417941</v>
      </c>
      <c r="M11" s="4">
        <f>'QTR BS'!M12</f>
        <v>1417941</v>
      </c>
      <c r="N11" s="4">
        <f>'QTR BS'!N12</f>
        <v>1417941</v>
      </c>
      <c r="O11" s="4">
        <f>'QTR BS'!O12</f>
        <v>1417941</v>
      </c>
      <c r="P11" s="4">
        <f>'QTR BS'!P12</f>
        <v>1417941</v>
      </c>
      <c r="Q11" s="4">
        <f>'QTR BS'!Q12</f>
        <v>1417941</v>
      </c>
      <c r="R11" s="4">
        <f>'QTR BS'!R12</f>
        <v>1331643</v>
      </c>
      <c r="S11" s="4">
        <f>'QTR BS'!S12</f>
        <v>1331643</v>
      </c>
      <c r="T11" s="4">
        <f>'QTR BS'!T12</f>
        <v>1331643</v>
      </c>
      <c r="U11" s="4">
        <f>'QTR BS'!U12</f>
        <v>1331643</v>
      </c>
      <c r="V11" s="4">
        <f>'QTR BS'!V12</f>
        <v>1331643</v>
      </c>
      <c r="W11" s="15">
        <f t="shared" ref="W11:AP11" si="6">V11</f>
        <v>1331643</v>
      </c>
      <c r="X11" s="15">
        <f t="shared" si="6"/>
        <v>1331643</v>
      </c>
      <c r="Y11" s="15">
        <f t="shared" si="6"/>
        <v>1331643</v>
      </c>
      <c r="Z11" s="15">
        <f t="shared" si="6"/>
        <v>1331643</v>
      </c>
      <c r="AA11" s="15">
        <f t="shared" si="6"/>
        <v>1331643</v>
      </c>
      <c r="AB11" s="15">
        <f t="shared" si="6"/>
        <v>1331643</v>
      </c>
      <c r="AC11" s="15">
        <f t="shared" si="6"/>
        <v>1331643</v>
      </c>
      <c r="AD11" s="15">
        <f t="shared" si="6"/>
        <v>1331643</v>
      </c>
      <c r="AE11" s="15">
        <f t="shared" si="6"/>
        <v>1331643</v>
      </c>
      <c r="AF11" s="15">
        <f t="shared" si="6"/>
        <v>1331643</v>
      </c>
      <c r="AG11" s="15">
        <f t="shared" si="6"/>
        <v>1331643</v>
      </c>
      <c r="AH11" s="15">
        <f t="shared" si="6"/>
        <v>1331643</v>
      </c>
      <c r="AI11" s="15">
        <f t="shared" si="6"/>
        <v>1331643</v>
      </c>
      <c r="AJ11" s="15">
        <f t="shared" si="6"/>
        <v>1331643</v>
      </c>
      <c r="AK11" s="15">
        <f t="shared" si="6"/>
        <v>1331643</v>
      </c>
      <c r="AL11" s="15">
        <f t="shared" si="6"/>
        <v>1331643</v>
      </c>
      <c r="AM11" s="15">
        <f t="shared" si="6"/>
        <v>1331643</v>
      </c>
      <c r="AN11" s="15">
        <f t="shared" si="6"/>
        <v>1331643</v>
      </c>
      <c r="AO11" s="15">
        <f t="shared" si="6"/>
        <v>1331643</v>
      </c>
      <c r="AP11" s="15">
        <f t="shared" si="6"/>
        <v>1331643</v>
      </c>
    </row>
    <row r="12" spans="1:42" x14ac:dyDescent="0.25">
      <c r="A12" s="3" t="s">
        <v>44</v>
      </c>
      <c r="B12" s="4">
        <f>'QTR BS'!B13</f>
        <v>1059046</v>
      </c>
      <c r="C12" s="4">
        <f>'QTR BS'!C13</f>
        <v>1063092</v>
      </c>
      <c r="D12" s="4">
        <f>'QTR BS'!D13</f>
        <v>1058323</v>
      </c>
      <c r="E12" s="4">
        <f>'QTR BS'!E13</f>
        <v>1066083</v>
      </c>
      <c r="F12" s="4">
        <f>'QTR BS'!F13</f>
        <v>1072386</v>
      </c>
      <c r="G12" s="4">
        <f>'QTR BS'!G13</f>
        <v>1232113</v>
      </c>
      <c r="H12" s="4">
        <f>'QTR BS'!H13</f>
        <v>1223114</v>
      </c>
      <c r="I12" s="4">
        <f>'QTR BS'!I13</f>
        <v>1225826</v>
      </c>
      <c r="J12" s="4">
        <f>'QTR BS'!J13</f>
        <v>1220410</v>
      </c>
      <c r="K12" s="4">
        <f>'QTR BS'!K13</f>
        <v>1222598</v>
      </c>
      <c r="L12" s="4">
        <f>'QTR BS'!L13</f>
        <v>1224100</v>
      </c>
      <c r="M12" s="4">
        <f>'QTR BS'!M13</f>
        <v>1459447</v>
      </c>
      <c r="N12" s="4">
        <f>'QTR BS'!N13</f>
        <v>1427139</v>
      </c>
      <c r="O12" s="4">
        <f>'QTR BS'!O13</f>
        <v>1430762</v>
      </c>
      <c r="P12" s="4">
        <f>'QTR BS'!P13</f>
        <v>1433326</v>
      </c>
      <c r="Q12" s="4">
        <f>'QTR BS'!Q13</f>
        <v>1442426</v>
      </c>
      <c r="R12" s="4">
        <f>'QTR BS'!R13</f>
        <v>1414252</v>
      </c>
      <c r="S12" s="4">
        <f>'QTR BS'!S13</f>
        <v>1415958</v>
      </c>
      <c r="T12" s="4">
        <f>'QTR BS'!T13</f>
        <v>1418827</v>
      </c>
      <c r="U12" s="4">
        <f>'QTR BS'!U13</f>
        <v>1419306</v>
      </c>
      <c r="V12" s="4">
        <f>'QTR BS'!V13</f>
        <v>1379268</v>
      </c>
      <c r="W12" s="15">
        <f t="shared" ref="W12:AP12" si="7">V12</f>
        <v>1379268</v>
      </c>
      <c r="X12" s="15">
        <f t="shared" si="7"/>
        <v>1379268</v>
      </c>
      <c r="Y12" s="15">
        <f t="shared" si="7"/>
        <v>1379268</v>
      </c>
      <c r="Z12" s="15">
        <f t="shared" si="7"/>
        <v>1379268</v>
      </c>
      <c r="AA12" s="15">
        <f t="shared" si="7"/>
        <v>1379268</v>
      </c>
      <c r="AB12" s="15">
        <f t="shared" si="7"/>
        <v>1379268</v>
      </c>
      <c r="AC12" s="15">
        <f t="shared" si="7"/>
        <v>1379268</v>
      </c>
      <c r="AD12" s="15">
        <f t="shared" si="7"/>
        <v>1379268</v>
      </c>
      <c r="AE12" s="15">
        <f t="shared" si="7"/>
        <v>1379268</v>
      </c>
      <c r="AF12" s="15">
        <f t="shared" si="7"/>
        <v>1379268</v>
      </c>
      <c r="AG12" s="15">
        <f t="shared" si="7"/>
        <v>1379268</v>
      </c>
      <c r="AH12" s="15">
        <f t="shared" si="7"/>
        <v>1379268</v>
      </c>
      <c r="AI12" s="15">
        <f t="shared" si="7"/>
        <v>1379268</v>
      </c>
      <c r="AJ12" s="15">
        <f t="shared" si="7"/>
        <v>1379268</v>
      </c>
      <c r="AK12" s="15">
        <f t="shared" si="7"/>
        <v>1379268</v>
      </c>
      <c r="AL12" s="15">
        <f t="shared" si="7"/>
        <v>1379268</v>
      </c>
      <c r="AM12" s="15">
        <f t="shared" si="7"/>
        <v>1379268</v>
      </c>
      <c r="AN12" s="15">
        <f t="shared" si="7"/>
        <v>1379268</v>
      </c>
      <c r="AO12" s="15">
        <f t="shared" si="7"/>
        <v>1379268</v>
      </c>
      <c r="AP12" s="15">
        <f t="shared" si="7"/>
        <v>1379268</v>
      </c>
    </row>
    <row r="13" spans="1:42" x14ac:dyDescent="0.25">
      <c r="A13" s="3" t="s">
        <v>157</v>
      </c>
      <c r="B13" s="13">
        <f>IFERROR('QTR BS'!B14/'QTR P&amp;L'!E2,"")</f>
        <v>5.8911645488567504E-2</v>
      </c>
      <c r="C13" s="13">
        <f>IFERROR('QTR BS'!C14/'QTR P&amp;L'!F2,"")</f>
        <v>7.0913221891340847E-2</v>
      </c>
      <c r="D13" s="13">
        <f>IFERROR('QTR BS'!D14/'QTR P&amp;L'!G2,"")</f>
        <v>6.1147725446069764E-2</v>
      </c>
      <c r="E13" s="13">
        <f>IFERROR('QTR BS'!E14/'QTR P&amp;L'!H2,"")</f>
        <v>6.3012696402910337E-2</v>
      </c>
      <c r="F13" s="13">
        <f>IFERROR('QTR BS'!F14/'QTR P&amp;L'!I2,"")</f>
        <v>5.6315454119311402E-2</v>
      </c>
      <c r="G13" s="13">
        <f>IFERROR('QTR BS'!G14/'QTR P&amp;L'!J2,"")</f>
        <v>6.6831119194718208E-2</v>
      </c>
      <c r="H13" s="13">
        <f>IFERROR('QTR BS'!H14/'QTR P&amp;L'!K2,"")</f>
        <v>6.6690469588143009E-2</v>
      </c>
      <c r="I13" s="13">
        <f>IFERROR('QTR BS'!I14/'QTR P&amp;L'!L2,"")</f>
        <v>7.1362432478024193E-2</v>
      </c>
      <c r="J13" s="13">
        <f>IFERROR('QTR BS'!J14/'QTR P&amp;L'!M2,"")</f>
        <v>8.8885745615629536E-2</v>
      </c>
      <c r="K13" s="13">
        <f>IFERROR('QTR BS'!K14/'QTR P&amp;L'!N2,"")</f>
        <v>8.5407285762215041E-2</v>
      </c>
      <c r="L13" s="13">
        <f>IFERROR('QTR BS'!L14/'QTR P&amp;L'!O2,"")</f>
        <v>8.1539180608109815E-2</v>
      </c>
      <c r="M13" s="13">
        <f>IFERROR('QTR BS'!M14/'QTR P&amp;L'!P2,"")</f>
        <v>8.8827862510694883E-2</v>
      </c>
      <c r="N13" s="13">
        <f>IFERROR('QTR BS'!N14/'QTR P&amp;L'!Q2,"")</f>
        <v>6.3704693579822766E-2</v>
      </c>
      <c r="O13" s="13">
        <f>IFERROR('QTR BS'!O14/'QTR P&amp;L'!R2,"")</f>
        <v>5.6408884638918057E-2</v>
      </c>
      <c r="P13" s="13">
        <f>IFERROR('QTR BS'!P14/'QTR P&amp;L'!S2,"")</f>
        <v>5.6355450418999926E-2</v>
      </c>
      <c r="Q13" s="13">
        <f>IFERROR('QTR BS'!Q14/'QTR P&amp;L'!T2,"")</f>
        <v>5.5799844016899768E-2</v>
      </c>
      <c r="R13" s="13">
        <f>IFERROR('QTR BS'!R14/'QTR P&amp;L'!U2,"")</f>
        <v>5.5410446010879445E-2</v>
      </c>
      <c r="S13" s="13">
        <f>IFERROR('QTR BS'!S14/'QTR P&amp;L'!V2,"")</f>
        <v>5.157131780186977E-2</v>
      </c>
      <c r="T13" s="13">
        <f>IFERROR('QTR BS'!T14/'QTR P&amp;L'!W2,"")</f>
        <v>6.456313530265316E-2</v>
      </c>
      <c r="U13" s="13">
        <f>IFERROR('QTR BS'!U14/'QTR P&amp;L'!X2,"")</f>
        <v>6.3221733708366326E-2</v>
      </c>
      <c r="V13" s="13">
        <f>IFERROR('QTR BS'!V14/'QTR P&amp;L'!Y2,"")</f>
        <v>7.4813249600080331E-2</v>
      </c>
      <c r="W13" s="14">
        <f t="shared" ref="W13:AP13" si="8">V13</f>
        <v>7.4813249600080331E-2</v>
      </c>
      <c r="X13" s="14">
        <f t="shared" si="8"/>
        <v>7.4813249600080331E-2</v>
      </c>
      <c r="Y13" s="14">
        <f t="shared" si="8"/>
        <v>7.4813249600080331E-2</v>
      </c>
      <c r="Z13" s="14">
        <f t="shared" si="8"/>
        <v>7.4813249600080331E-2</v>
      </c>
      <c r="AA13" s="14">
        <f t="shared" si="8"/>
        <v>7.4813249600080331E-2</v>
      </c>
      <c r="AB13" s="14">
        <f t="shared" si="8"/>
        <v>7.4813249600080331E-2</v>
      </c>
      <c r="AC13" s="14">
        <f t="shared" si="8"/>
        <v>7.4813249600080331E-2</v>
      </c>
      <c r="AD13" s="14">
        <f t="shared" si="8"/>
        <v>7.4813249600080331E-2</v>
      </c>
      <c r="AE13" s="14">
        <f t="shared" si="8"/>
        <v>7.4813249600080331E-2</v>
      </c>
      <c r="AF13" s="14">
        <f t="shared" si="8"/>
        <v>7.4813249600080331E-2</v>
      </c>
      <c r="AG13" s="14">
        <f t="shared" si="8"/>
        <v>7.4813249600080331E-2</v>
      </c>
      <c r="AH13" s="14">
        <f t="shared" si="8"/>
        <v>7.4813249600080331E-2</v>
      </c>
      <c r="AI13" s="14">
        <f t="shared" si="8"/>
        <v>7.4813249600080331E-2</v>
      </c>
      <c r="AJ13" s="14">
        <f t="shared" si="8"/>
        <v>7.4813249600080331E-2</v>
      </c>
      <c r="AK13" s="14">
        <f t="shared" si="8"/>
        <v>7.4813249600080331E-2</v>
      </c>
      <c r="AL13" s="14">
        <f t="shared" si="8"/>
        <v>7.4813249600080331E-2</v>
      </c>
      <c r="AM13" s="14">
        <f t="shared" si="8"/>
        <v>7.4813249600080331E-2</v>
      </c>
      <c r="AN13" s="14">
        <f t="shared" si="8"/>
        <v>7.4813249600080331E-2</v>
      </c>
      <c r="AO13" s="14">
        <f t="shared" si="8"/>
        <v>7.4813249600080331E-2</v>
      </c>
      <c r="AP13" s="14">
        <f t="shared" si="8"/>
        <v>7.4813249600080331E-2</v>
      </c>
    </row>
    <row r="14" spans="1:42" x14ac:dyDescent="0.25">
      <c r="A14" s="3" t="s">
        <v>158</v>
      </c>
      <c r="B14" s="16">
        <f>IFERROR('QTR BS'!B16/'QTR P&amp;L'!E3*ASSUMPTIONS!$B$2,"")</f>
        <v>-53.419515108841416</v>
      </c>
      <c r="C14" s="16">
        <f>IFERROR('QTR BS'!C16/'QTR P&amp;L'!F3*ASSUMPTIONS!$B$2,"")</f>
        <v>-57.481580922740655</v>
      </c>
      <c r="D14" s="16">
        <f>IFERROR('QTR BS'!D16/'QTR P&amp;L'!G3*ASSUMPTIONS!$B$2,"")</f>
        <v>-52.830209808109167</v>
      </c>
      <c r="E14" s="16">
        <f>IFERROR('QTR BS'!E16/'QTR P&amp;L'!H3*ASSUMPTIONS!$B$2,"")</f>
        <v>-58.025260742292794</v>
      </c>
      <c r="F14" s="16">
        <f>IFERROR('QTR BS'!F16/'QTR P&amp;L'!I3*ASSUMPTIONS!$B$2,"")</f>
        <v>-55.95429255442123</v>
      </c>
      <c r="G14" s="16">
        <f>IFERROR('QTR BS'!G16/'QTR P&amp;L'!J3*ASSUMPTIONS!$B$2,"")</f>
        <v>-53.755114859409602</v>
      </c>
      <c r="H14" s="16">
        <f>IFERROR('QTR BS'!H16/'QTR P&amp;L'!K3*ASSUMPTIONS!$B$2,"")</f>
        <v>-51.233869355573852</v>
      </c>
      <c r="I14" s="16">
        <f>IFERROR('QTR BS'!I16/'QTR P&amp;L'!L3*ASSUMPTIONS!$B$2,"")</f>
        <v>-59.879020088266429</v>
      </c>
      <c r="J14" s="16">
        <f>IFERROR('QTR BS'!J16/'QTR P&amp;L'!M3*ASSUMPTIONS!$B$2,"")</f>
        <v>-55.486175159480446</v>
      </c>
      <c r="K14" s="16">
        <f>IFERROR('QTR BS'!K16/'QTR P&amp;L'!N3*ASSUMPTIONS!$B$2,"")</f>
        <v>-55.804168367493425</v>
      </c>
      <c r="L14" s="16">
        <f>IFERROR('QTR BS'!L16/'QTR P&amp;L'!O3*ASSUMPTIONS!$B$2,"")</f>
        <v>-58.750416411672475</v>
      </c>
      <c r="M14" s="16">
        <f>IFERROR('QTR BS'!M16/'QTR P&amp;L'!P3*ASSUMPTIONS!$B$2,"")</f>
        <v>-56.324758731854729</v>
      </c>
      <c r="N14" s="16">
        <f>IFERROR('QTR BS'!N16/'QTR P&amp;L'!Q3*ASSUMPTIONS!$B$2,"")</f>
        <v>-64.868281685159815</v>
      </c>
      <c r="O14" s="16">
        <f>IFERROR('QTR BS'!O16/'QTR P&amp;L'!R3*ASSUMPTIONS!$B$2,"")</f>
        <v>-55.700763444572004</v>
      </c>
      <c r="P14" s="16">
        <f>IFERROR('QTR BS'!P16/'QTR P&amp;L'!S3*ASSUMPTIONS!$B$2,"")</f>
        <v>-52.790704035446929</v>
      </c>
      <c r="Q14" s="16">
        <f>IFERROR('QTR BS'!Q16/'QTR P&amp;L'!T3*ASSUMPTIONS!$B$2,"")</f>
        <v>-56.698844950032573</v>
      </c>
      <c r="R14" s="16">
        <f>IFERROR('QTR BS'!R16/'QTR P&amp;L'!U3*ASSUMPTIONS!$B$2,"")</f>
        <v>-52.466322709104297</v>
      </c>
      <c r="S14" s="16">
        <f>IFERROR('QTR BS'!S16/'QTR P&amp;L'!V3*ASSUMPTIONS!$B$2,"")</f>
        <v>-54.937714791543726</v>
      </c>
      <c r="T14" s="16">
        <f>IFERROR('QTR BS'!T16/'QTR P&amp;L'!W3*ASSUMPTIONS!$B$2,"")</f>
        <v>-47.587004199196087</v>
      </c>
      <c r="U14" s="16">
        <f>IFERROR('QTR BS'!U16/'QTR P&amp;L'!X3*ASSUMPTIONS!$B$2,"")</f>
        <v>-63.903293363614772</v>
      </c>
      <c r="V14" s="16">
        <f>IFERROR('QTR BS'!V16/'QTR P&amp;L'!Y3*ASSUMPTIONS!$B$2,"")</f>
        <v>-54.344779048664165</v>
      </c>
      <c r="W14" s="17">
        <f t="shared" ref="W14:AP14" si="9">V14</f>
        <v>-54.344779048664165</v>
      </c>
      <c r="X14" s="17">
        <f t="shared" si="9"/>
        <v>-54.344779048664165</v>
      </c>
      <c r="Y14" s="17">
        <f t="shared" si="9"/>
        <v>-54.344779048664165</v>
      </c>
      <c r="Z14" s="17">
        <f t="shared" si="9"/>
        <v>-54.344779048664165</v>
      </c>
      <c r="AA14" s="17">
        <f t="shared" si="9"/>
        <v>-54.344779048664165</v>
      </c>
      <c r="AB14" s="17">
        <f t="shared" si="9"/>
        <v>-54.344779048664165</v>
      </c>
      <c r="AC14" s="17">
        <f t="shared" si="9"/>
        <v>-54.344779048664165</v>
      </c>
      <c r="AD14" s="17">
        <f t="shared" si="9"/>
        <v>-54.344779048664165</v>
      </c>
      <c r="AE14" s="17">
        <f t="shared" si="9"/>
        <v>-54.344779048664165</v>
      </c>
      <c r="AF14" s="17">
        <f t="shared" si="9"/>
        <v>-54.344779048664165</v>
      </c>
      <c r="AG14" s="17">
        <f t="shared" si="9"/>
        <v>-54.344779048664165</v>
      </c>
      <c r="AH14" s="17">
        <f t="shared" si="9"/>
        <v>-54.344779048664165</v>
      </c>
      <c r="AI14" s="17">
        <f t="shared" si="9"/>
        <v>-54.344779048664165</v>
      </c>
      <c r="AJ14" s="17">
        <f t="shared" si="9"/>
        <v>-54.344779048664165</v>
      </c>
      <c r="AK14" s="17">
        <f t="shared" si="9"/>
        <v>-54.344779048664165</v>
      </c>
      <c r="AL14" s="17">
        <f t="shared" si="9"/>
        <v>-54.344779048664165</v>
      </c>
      <c r="AM14" s="17">
        <f t="shared" si="9"/>
        <v>-54.344779048664165</v>
      </c>
      <c r="AN14" s="17">
        <f t="shared" si="9"/>
        <v>-54.344779048664165</v>
      </c>
      <c r="AO14" s="17">
        <f t="shared" si="9"/>
        <v>-54.344779048664165</v>
      </c>
      <c r="AP14" s="17">
        <f t="shared" si="9"/>
        <v>-54.344779048664165</v>
      </c>
    </row>
    <row r="15" spans="1:42" x14ac:dyDescent="0.25">
      <c r="A15" s="3" t="s">
        <v>159</v>
      </c>
      <c r="B15" s="13">
        <f>IFERROR('QTR BS'!B17/'QTR P&amp;L'!E2,"")</f>
        <v>0.11924686717106237</v>
      </c>
      <c r="C15" s="13">
        <f>IFERROR('QTR BS'!C17/'QTR P&amp;L'!F2,"")</f>
        <v>0.13744315879519156</v>
      </c>
      <c r="D15" s="13">
        <f>IFERROR('QTR BS'!D17/'QTR P&amp;L'!G2,"")</f>
        <v>0.11799293402237446</v>
      </c>
      <c r="E15" s="13">
        <f>IFERROR('QTR BS'!E17/'QTR P&amp;L'!H2,"")</f>
        <v>0.12811889204052015</v>
      </c>
      <c r="F15" s="13">
        <f>IFERROR('QTR BS'!F17/'QTR P&amp;L'!I2,"")</f>
        <v>0.14804034121051701</v>
      </c>
      <c r="G15" s="13">
        <f>IFERROR('QTR BS'!G17/'QTR P&amp;L'!J2,"")</f>
        <v>0.15416502587295713</v>
      </c>
      <c r="H15" s="13">
        <f>IFERROR('QTR BS'!H17/'QTR P&amp;L'!K2,"")</f>
        <v>0.12635726493557806</v>
      </c>
      <c r="I15" s="13">
        <f>IFERROR('QTR BS'!I17/'QTR P&amp;L'!L2,"")</f>
        <v>0.12232574805175936</v>
      </c>
      <c r="J15" s="13">
        <f>IFERROR('QTR BS'!J17/'QTR P&amp;L'!M2,"")</f>
        <v>0.11434163223570672</v>
      </c>
      <c r="K15" s="13">
        <f>IFERROR('QTR BS'!K17/'QTR P&amp;L'!N2,"")</f>
        <v>0.14475699410805626</v>
      </c>
      <c r="L15" s="13">
        <f>IFERROR('QTR BS'!L17/'QTR P&amp;L'!O2,"")</f>
        <v>0.10709443486952017</v>
      </c>
      <c r="M15" s="13">
        <f>IFERROR('QTR BS'!M17/'QTR P&amp;L'!P2,"")</f>
        <v>0.11192018654890983</v>
      </c>
      <c r="N15" s="13">
        <f>IFERROR('QTR BS'!N17/'QTR P&amp;L'!Q2,"")</f>
        <v>0.10634480622018973</v>
      </c>
      <c r="O15" s="13">
        <f>IFERROR('QTR BS'!O17/'QTR P&amp;L'!R2,"")</f>
        <v>0.10777695516503098</v>
      </c>
      <c r="P15" s="13">
        <f>IFERROR('QTR BS'!P17/'QTR P&amp;L'!S2,"")</f>
        <v>0.11254621574168537</v>
      </c>
      <c r="Q15" s="13">
        <f>IFERROR('QTR BS'!Q17/'QTR P&amp;L'!T2,"")</f>
        <v>0.1377414774162096</v>
      </c>
      <c r="R15" s="13">
        <f>IFERROR('QTR BS'!R17/'QTR P&amp;L'!U2,"")</f>
        <v>0.12183168040899736</v>
      </c>
      <c r="S15" s="13">
        <f>IFERROR('QTR BS'!S17/'QTR P&amp;L'!V2,"")</f>
        <v>0.14156742469095063</v>
      </c>
      <c r="T15" s="13">
        <f>IFERROR('QTR BS'!T17/'QTR P&amp;L'!W2,"")</f>
        <v>0.12262643540987085</v>
      </c>
      <c r="U15" s="13">
        <f>IFERROR('QTR BS'!U17/'QTR P&amp;L'!X2,"")</f>
        <v>0.14812437987565655</v>
      </c>
      <c r="V15" s="13">
        <f>IFERROR('QTR BS'!V17/'QTR P&amp;L'!Y2,"")</f>
        <v>0.14363087168643859</v>
      </c>
      <c r="W15" s="14">
        <f t="shared" ref="W15:AP15" si="10">V15</f>
        <v>0.14363087168643859</v>
      </c>
      <c r="X15" s="14">
        <f t="shared" si="10"/>
        <v>0.14363087168643859</v>
      </c>
      <c r="Y15" s="14">
        <f t="shared" si="10"/>
        <v>0.14363087168643859</v>
      </c>
      <c r="Z15" s="14">
        <f t="shared" si="10"/>
        <v>0.14363087168643859</v>
      </c>
      <c r="AA15" s="14">
        <f t="shared" si="10"/>
        <v>0.14363087168643859</v>
      </c>
      <c r="AB15" s="14">
        <f t="shared" si="10"/>
        <v>0.14363087168643859</v>
      </c>
      <c r="AC15" s="14">
        <f t="shared" si="10"/>
        <v>0.14363087168643859</v>
      </c>
      <c r="AD15" s="14">
        <f t="shared" si="10"/>
        <v>0.14363087168643859</v>
      </c>
      <c r="AE15" s="14">
        <f t="shared" si="10"/>
        <v>0.14363087168643859</v>
      </c>
      <c r="AF15" s="14">
        <f t="shared" si="10"/>
        <v>0.14363087168643859</v>
      </c>
      <c r="AG15" s="14">
        <f t="shared" si="10"/>
        <v>0.14363087168643859</v>
      </c>
      <c r="AH15" s="14">
        <f t="shared" si="10"/>
        <v>0.14363087168643859</v>
      </c>
      <c r="AI15" s="14">
        <f t="shared" si="10"/>
        <v>0.14363087168643859</v>
      </c>
      <c r="AJ15" s="14">
        <f t="shared" si="10"/>
        <v>0.14363087168643859</v>
      </c>
      <c r="AK15" s="14">
        <f t="shared" si="10"/>
        <v>0.14363087168643859</v>
      </c>
      <c r="AL15" s="14">
        <f t="shared" si="10"/>
        <v>0.14363087168643859</v>
      </c>
      <c r="AM15" s="14">
        <f t="shared" si="10"/>
        <v>0.14363087168643859</v>
      </c>
      <c r="AN15" s="14">
        <f t="shared" si="10"/>
        <v>0.14363087168643859</v>
      </c>
      <c r="AO15" s="14">
        <f t="shared" si="10"/>
        <v>0.14363087168643859</v>
      </c>
      <c r="AP15" s="14">
        <f t="shared" si="10"/>
        <v>0.14363087168643859</v>
      </c>
    </row>
    <row r="16" spans="1:42" x14ac:dyDescent="0.25">
      <c r="A16" s="3" t="s">
        <v>160</v>
      </c>
      <c r="B16" s="13">
        <f>IFERROR('QTR BS'!B18/'QTR P&amp;L'!E2,"")</f>
        <v>0.15603164134239139</v>
      </c>
      <c r="C16" s="13">
        <f>IFERROR('QTR BS'!C18/'QTR P&amp;L'!F2,"")</f>
        <v>0.15868906655003634</v>
      </c>
      <c r="D16" s="13">
        <f>IFERROR('QTR BS'!D18/'QTR P&amp;L'!G2,"")</f>
        <v>0.15555684760266358</v>
      </c>
      <c r="E16" s="13">
        <f>IFERROR('QTR BS'!E18/'QTR P&amp;L'!H2,"")</f>
        <v>0.16475335629825666</v>
      </c>
      <c r="F16" s="13">
        <f>IFERROR('QTR BS'!F18/'QTR P&amp;L'!I2,"")</f>
        <v>0.1483891023715759</v>
      </c>
      <c r="G16" s="13">
        <f>IFERROR('QTR BS'!G18/'QTR P&amp;L'!J2,"")</f>
        <v>0.17831531423559208</v>
      </c>
      <c r="H16" s="13">
        <f>IFERROR('QTR BS'!H18/'QTR P&amp;L'!K2,"")</f>
        <v>0.16771876787862203</v>
      </c>
      <c r="I16" s="13">
        <f>IFERROR('QTR BS'!I18/'QTR P&amp;L'!L2,"")</f>
        <v>0.17339926589282922</v>
      </c>
      <c r="J16" s="13">
        <f>IFERROR('QTR BS'!J18/'QTR P&amp;L'!M2,"")</f>
        <v>0.16896408362311302</v>
      </c>
      <c r="K16" s="13">
        <f>IFERROR('QTR BS'!K18/'QTR P&amp;L'!N2,"")</f>
        <v>0.18134590595257014</v>
      </c>
      <c r="L16" s="13">
        <f>IFERROR('QTR BS'!L18/'QTR P&amp;L'!O2,"")</f>
        <v>0.152912648837361</v>
      </c>
      <c r="M16" s="13">
        <f>IFERROR('QTR BS'!M18/'QTR P&amp;L'!P2,"")</f>
        <v>0.15979123159779918</v>
      </c>
      <c r="N16" s="13">
        <f>IFERROR('QTR BS'!N18/'QTR P&amp;L'!Q2,"")</f>
        <v>0.15551688102708039</v>
      </c>
      <c r="O16" s="13">
        <f>IFERROR('QTR BS'!O18/'QTR P&amp;L'!R2,"")</f>
        <v>0.16791919111072731</v>
      </c>
      <c r="P16" s="13">
        <f>IFERROR('QTR BS'!P18/'QTR P&amp;L'!S2,"")</f>
        <v>0.16824029502309013</v>
      </c>
      <c r="Q16" s="13">
        <f>IFERROR('QTR BS'!Q18/'QTR P&amp;L'!T2,"")</f>
        <v>0.16054084774209942</v>
      </c>
      <c r="R16" s="13">
        <f>IFERROR('QTR BS'!R18/'QTR P&amp;L'!U2,"")</f>
        <v>0.14774003457979151</v>
      </c>
      <c r="S16" s="13">
        <f>IFERROR('QTR BS'!S18/'QTR P&amp;L'!V2,"")</f>
        <v>0.1642817318196573</v>
      </c>
      <c r="T16" s="13">
        <f>IFERROR('QTR BS'!T18/'QTR P&amp;L'!W2,"")</f>
        <v>0.17067975252795048</v>
      </c>
      <c r="U16" s="13">
        <f>IFERROR('QTR BS'!U18/'QTR P&amp;L'!X2,"")</f>
        <v>0.17869958218411208</v>
      </c>
      <c r="V16" s="13">
        <f>IFERROR('QTR BS'!V18/'QTR P&amp;L'!Y2,"")</f>
        <v>0.180225456616987</v>
      </c>
      <c r="W16" s="14">
        <f t="shared" ref="W16:AP16" si="11">V16</f>
        <v>0.180225456616987</v>
      </c>
      <c r="X16" s="14">
        <f t="shared" si="11"/>
        <v>0.180225456616987</v>
      </c>
      <c r="Y16" s="14">
        <f t="shared" si="11"/>
        <v>0.180225456616987</v>
      </c>
      <c r="Z16" s="14">
        <f t="shared" si="11"/>
        <v>0.180225456616987</v>
      </c>
      <c r="AA16" s="14">
        <f t="shared" si="11"/>
        <v>0.180225456616987</v>
      </c>
      <c r="AB16" s="14">
        <f t="shared" si="11"/>
        <v>0.180225456616987</v>
      </c>
      <c r="AC16" s="14">
        <f t="shared" si="11"/>
        <v>0.180225456616987</v>
      </c>
      <c r="AD16" s="14">
        <f t="shared" si="11"/>
        <v>0.180225456616987</v>
      </c>
      <c r="AE16" s="14">
        <f t="shared" si="11"/>
        <v>0.180225456616987</v>
      </c>
      <c r="AF16" s="14">
        <f t="shared" si="11"/>
        <v>0.180225456616987</v>
      </c>
      <c r="AG16" s="14">
        <f t="shared" si="11"/>
        <v>0.180225456616987</v>
      </c>
      <c r="AH16" s="14">
        <f t="shared" si="11"/>
        <v>0.180225456616987</v>
      </c>
      <c r="AI16" s="14">
        <f t="shared" si="11"/>
        <v>0.180225456616987</v>
      </c>
      <c r="AJ16" s="14">
        <f t="shared" si="11"/>
        <v>0.180225456616987</v>
      </c>
      <c r="AK16" s="14">
        <f t="shared" si="11"/>
        <v>0.180225456616987</v>
      </c>
      <c r="AL16" s="14">
        <f t="shared" si="11"/>
        <v>0.180225456616987</v>
      </c>
      <c r="AM16" s="14">
        <f t="shared" si="11"/>
        <v>0.180225456616987</v>
      </c>
      <c r="AN16" s="14">
        <f t="shared" si="11"/>
        <v>0.180225456616987</v>
      </c>
      <c r="AO16" s="14">
        <f t="shared" si="11"/>
        <v>0.180225456616987</v>
      </c>
      <c r="AP16" s="14">
        <f t="shared" si="11"/>
        <v>0.180225456616987</v>
      </c>
    </row>
    <row r="17" spans="1:42" x14ac:dyDescent="0.25">
      <c r="A17" s="3" t="s">
        <v>161</v>
      </c>
      <c r="B17" s="13">
        <f>IFERROR('QTR BS'!B19/'QTR P&amp;L'!E2,"")</f>
        <v>3.7975127958852543E-2</v>
      </c>
      <c r="C17" s="13">
        <f>IFERROR('QTR BS'!C19/'QTR P&amp;L'!F2,"")</f>
        <v>3.6951606990101429E-2</v>
      </c>
      <c r="D17" s="13">
        <f>IFERROR('QTR BS'!D19/'QTR P&amp;L'!G2,"")</f>
        <v>3.1913867579611954E-2</v>
      </c>
      <c r="E17" s="13">
        <f>IFERROR('QTR BS'!E19/'QTR P&amp;L'!H2,"")</f>
        <v>3.2099376345656364E-2</v>
      </c>
      <c r="F17" s="13">
        <f>IFERROR('QTR BS'!F19/'QTR P&amp;L'!I2,"")</f>
        <v>2.9844692514757441E-2</v>
      </c>
      <c r="G17" s="13">
        <f>IFERROR('QTR BS'!G19/'QTR P&amp;L'!J2,"")</f>
        <v>2.8013122837609494E-2</v>
      </c>
      <c r="H17" s="13">
        <f>IFERROR('QTR BS'!H19/'QTR P&amp;L'!K2,"")</f>
        <v>2.6789765227073225E-2</v>
      </c>
      <c r="I17" s="13">
        <f>IFERROR('QTR BS'!I19/'QTR P&amp;L'!L2,"")</f>
        <v>2.6231833556405706E-2</v>
      </c>
      <c r="J17" s="13">
        <f>IFERROR('QTR BS'!J19/'QTR P&amp;L'!M2,"")</f>
        <v>2.8627214327685797E-2</v>
      </c>
      <c r="K17" s="13">
        <f>IFERROR('QTR BS'!K19/'QTR P&amp;L'!N2,"")</f>
        <v>2.6157640397191172E-2</v>
      </c>
      <c r="L17" s="13">
        <f>IFERROR('QTR BS'!L19/'QTR P&amp;L'!O2,"")</f>
        <v>2.3054393057320342E-2</v>
      </c>
      <c r="M17" s="13">
        <f>IFERROR('QTR BS'!M19/'QTR P&amp;L'!P2,"")</f>
        <v>2.161982470092046E-2</v>
      </c>
      <c r="N17" s="13">
        <f>IFERROR('QTR BS'!N19/'QTR P&amp;L'!Q2,"")</f>
        <v>2.4226233275610541E-2</v>
      </c>
      <c r="O17" s="13">
        <f>IFERROR('QTR BS'!O19/'QTR P&amp;L'!R2,"")</f>
        <v>2.3050943131950011E-2</v>
      </c>
      <c r="P17" s="13">
        <f>IFERROR('QTR BS'!P19/'QTR P&amp;L'!S2,"")</f>
        <v>2.3348979294400656E-2</v>
      </c>
      <c r="Q17" s="13">
        <f>IFERROR('QTR BS'!Q19/'QTR P&amp;L'!T2,"")</f>
        <v>2.4257126497828518E-2</v>
      </c>
      <c r="R17" s="13">
        <f>IFERROR('QTR BS'!R19/'QTR P&amp;L'!U2,"")</f>
        <v>2.5280333060896526E-2</v>
      </c>
      <c r="S17" s="13">
        <f>IFERROR('QTR BS'!S19/'QTR P&amp;L'!V2,"")</f>
        <v>2.5635218742147723E-2</v>
      </c>
      <c r="T17" s="13">
        <f>IFERROR('QTR BS'!T19/'QTR P&amp;L'!W2,"")</f>
        <v>2.3337368203706018E-2</v>
      </c>
      <c r="U17" s="13">
        <f>IFERROR('QTR BS'!U19/'QTR P&amp;L'!X2,"")</f>
        <v>2.1463356909436813E-2</v>
      </c>
      <c r="V17" s="13">
        <f>IFERROR('QTR BS'!V19/'QTR P&amp;L'!Y2,"")</f>
        <v>2.1267889630149979E-2</v>
      </c>
      <c r="W17" s="14">
        <f t="shared" ref="W17:AP17" si="12">V17</f>
        <v>2.1267889630149979E-2</v>
      </c>
      <c r="X17" s="14">
        <f t="shared" si="12"/>
        <v>2.1267889630149979E-2</v>
      </c>
      <c r="Y17" s="14">
        <f t="shared" si="12"/>
        <v>2.1267889630149979E-2</v>
      </c>
      <c r="Z17" s="14">
        <f t="shared" si="12"/>
        <v>2.1267889630149979E-2</v>
      </c>
      <c r="AA17" s="14">
        <f t="shared" si="12"/>
        <v>2.1267889630149979E-2</v>
      </c>
      <c r="AB17" s="14">
        <f t="shared" si="12"/>
        <v>2.1267889630149979E-2</v>
      </c>
      <c r="AC17" s="14">
        <f t="shared" si="12"/>
        <v>2.1267889630149979E-2</v>
      </c>
      <c r="AD17" s="14">
        <f t="shared" si="12"/>
        <v>2.1267889630149979E-2</v>
      </c>
      <c r="AE17" s="14">
        <f t="shared" si="12"/>
        <v>2.1267889630149979E-2</v>
      </c>
      <c r="AF17" s="14">
        <f t="shared" si="12"/>
        <v>2.1267889630149979E-2</v>
      </c>
      <c r="AG17" s="14">
        <f t="shared" si="12"/>
        <v>2.1267889630149979E-2</v>
      </c>
      <c r="AH17" s="14">
        <f t="shared" si="12"/>
        <v>2.1267889630149979E-2</v>
      </c>
      <c r="AI17" s="14">
        <f t="shared" si="12"/>
        <v>2.1267889630149979E-2</v>
      </c>
      <c r="AJ17" s="14">
        <f t="shared" si="12"/>
        <v>2.1267889630149979E-2</v>
      </c>
      <c r="AK17" s="14">
        <f t="shared" si="12"/>
        <v>2.1267889630149979E-2</v>
      </c>
      <c r="AL17" s="14">
        <f t="shared" si="12"/>
        <v>2.1267889630149979E-2</v>
      </c>
      <c r="AM17" s="14">
        <f t="shared" si="12"/>
        <v>2.1267889630149979E-2</v>
      </c>
      <c r="AN17" s="14">
        <f t="shared" si="12"/>
        <v>2.1267889630149979E-2</v>
      </c>
      <c r="AO17" s="14">
        <f t="shared" si="12"/>
        <v>2.1267889630149979E-2</v>
      </c>
      <c r="AP17" s="14">
        <f t="shared" si="12"/>
        <v>2.1267889630149979E-2</v>
      </c>
    </row>
    <row r="18" spans="1:42" x14ac:dyDescent="0.25">
      <c r="A18" s="3" t="s">
        <v>162</v>
      </c>
      <c r="B18" s="13">
        <f>IFERROR('QTR BS'!B20/'QTR P&amp;L'!E2,"")</f>
        <v>4.5988282036942767E-2</v>
      </c>
      <c r="C18" s="13">
        <f>IFERROR('QTR BS'!C20/'QTR P&amp;L'!F2,"")</f>
        <v>2.4520507856467515E-2</v>
      </c>
      <c r="D18" s="13">
        <f>IFERROR('QTR BS'!D20/'QTR P&amp;L'!G2,"")</f>
        <v>3.1991846422720571E-2</v>
      </c>
      <c r="E18" s="13">
        <f>IFERROR('QTR BS'!E20/'QTR P&amp;L'!H2,"")</f>
        <v>3.8642181776418816E-2</v>
      </c>
      <c r="F18" s="13">
        <f>IFERROR('QTR BS'!F20/'QTR P&amp;L'!I2,"")</f>
        <v>4.5934722015600921E-2</v>
      </c>
      <c r="G18" s="13">
        <f>IFERROR('QTR BS'!G20/'QTR P&amp;L'!J2,"")</f>
        <v>2.4727803847556986E-2</v>
      </c>
      <c r="H18" s="13">
        <f>IFERROR('QTR BS'!H20/'QTR P&amp;L'!K2,"")</f>
        <v>3.2452323171177438E-2</v>
      </c>
      <c r="I18" s="13">
        <f>IFERROR('QTR BS'!I20/'QTR P&amp;L'!L2,"")</f>
        <v>3.7817231694418349E-2</v>
      </c>
      <c r="J18" s="13">
        <f>IFERROR('QTR BS'!J20/'QTR P&amp;L'!M2,"")</f>
        <v>4.7895773171413636E-2</v>
      </c>
      <c r="K18" s="13">
        <f>IFERROR('QTR BS'!K20/'QTR P&amp;L'!N2,"")</f>
        <v>2.5117574002460372E-2</v>
      </c>
      <c r="L18" s="13">
        <f>IFERROR('QTR BS'!L20/'QTR P&amp;L'!O2,"")</f>
        <v>3.0294437457175648E-2</v>
      </c>
      <c r="M18" s="13">
        <f>IFERROR('QTR BS'!M20/'QTR P&amp;L'!P2,"")</f>
        <v>4.1397543571540948E-2</v>
      </c>
      <c r="N18" s="13">
        <f>IFERROR('QTR BS'!N20/'QTR P&amp;L'!Q2,"")</f>
        <v>5.0512453557812573E-2</v>
      </c>
      <c r="O18" s="13">
        <f>IFERROR('QTR BS'!O20/'QTR P&amp;L'!R2,"")</f>
        <v>2.7717368982538026E-2</v>
      </c>
      <c r="P18" s="13">
        <f>IFERROR('QTR BS'!P20/'QTR P&amp;L'!S2,"")</f>
        <v>3.1756863764385614E-2</v>
      </c>
      <c r="Q18" s="13">
        <f>IFERROR('QTR BS'!Q20/'QTR P&amp;L'!T2,"")</f>
        <v>4.3481219560302035E-2</v>
      </c>
      <c r="R18" s="13">
        <f>IFERROR('QTR BS'!R20/'QTR P&amp;L'!U2,"")</f>
        <v>5.1022024336093943E-2</v>
      </c>
      <c r="S18" s="13">
        <f>IFERROR('QTR BS'!S20/'QTR P&amp;L'!V2,"")</f>
        <v>3.0094502301896194E-2</v>
      </c>
      <c r="T18" s="13">
        <f>IFERROR('QTR BS'!T20/'QTR P&amp;L'!W2,"")</f>
        <v>3.4494353075783579E-2</v>
      </c>
      <c r="U18" s="13">
        <f>IFERROR('QTR BS'!U20/'QTR P&amp;L'!X2,"")</f>
        <v>4.6483610511847219E-2</v>
      </c>
      <c r="V18" s="13">
        <f>IFERROR('QTR BS'!V20/'QTR P&amp;L'!Y2,"")</f>
        <v>5.350547358512435E-2</v>
      </c>
      <c r="W18" s="14">
        <f t="shared" ref="W18:AP18" si="13">V18</f>
        <v>5.350547358512435E-2</v>
      </c>
      <c r="X18" s="14">
        <f t="shared" si="13"/>
        <v>5.350547358512435E-2</v>
      </c>
      <c r="Y18" s="14">
        <f t="shared" si="13"/>
        <v>5.350547358512435E-2</v>
      </c>
      <c r="Z18" s="14">
        <f t="shared" si="13"/>
        <v>5.350547358512435E-2</v>
      </c>
      <c r="AA18" s="14">
        <f t="shared" si="13"/>
        <v>5.350547358512435E-2</v>
      </c>
      <c r="AB18" s="14">
        <f t="shared" si="13"/>
        <v>5.350547358512435E-2</v>
      </c>
      <c r="AC18" s="14">
        <f t="shared" si="13"/>
        <v>5.350547358512435E-2</v>
      </c>
      <c r="AD18" s="14">
        <f t="shared" si="13"/>
        <v>5.350547358512435E-2</v>
      </c>
      <c r="AE18" s="14">
        <f t="shared" si="13"/>
        <v>5.350547358512435E-2</v>
      </c>
      <c r="AF18" s="14">
        <f t="shared" si="13"/>
        <v>5.350547358512435E-2</v>
      </c>
      <c r="AG18" s="14">
        <f t="shared" si="13"/>
        <v>5.350547358512435E-2</v>
      </c>
      <c r="AH18" s="14">
        <f t="shared" si="13"/>
        <v>5.350547358512435E-2</v>
      </c>
      <c r="AI18" s="14">
        <f t="shared" si="13"/>
        <v>5.350547358512435E-2</v>
      </c>
      <c r="AJ18" s="14">
        <f t="shared" si="13"/>
        <v>5.350547358512435E-2</v>
      </c>
      <c r="AK18" s="14">
        <f t="shared" si="13"/>
        <v>5.350547358512435E-2</v>
      </c>
      <c r="AL18" s="14">
        <f t="shared" si="13"/>
        <v>5.350547358512435E-2</v>
      </c>
      <c r="AM18" s="14">
        <f t="shared" si="13"/>
        <v>5.350547358512435E-2</v>
      </c>
      <c r="AN18" s="14">
        <f t="shared" si="13"/>
        <v>5.350547358512435E-2</v>
      </c>
      <c r="AO18" s="14">
        <f t="shared" si="13"/>
        <v>5.350547358512435E-2</v>
      </c>
      <c r="AP18" s="14">
        <f t="shared" si="13"/>
        <v>5.350547358512435E-2</v>
      </c>
    </row>
    <row r="19" spans="1:42" x14ac:dyDescent="0.25">
      <c r="A19" s="3" t="s">
        <v>163</v>
      </c>
      <c r="B19" s="13">
        <f>IFERROR('QTR BS'!B21/'QTR P&amp;L'!E2,"")</f>
        <v>1.9588174370111421E-2</v>
      </c>
      <c r="C19" s="13">
        <f>IFERROR('QTR BS'!C21/'QTR P&amp;L'!F2,"")</f>
        <v>8.0325385748374351E-3</v>
      </c>
      <c r="D19" s="13">
        <f>IFERROR('QTR BS'!D21/'QTR P&amp;L'!G2,"")</f>
        <v>2.1402456333557921E-2</v>
      </c>
      <c r="E19" s="13">
        <f>IFERROR('QTR BS'!E21/'QTR P&amp;L'!H2,"")</f>
        <v>1.6385725638878825E-2</v>
      </c>
      <c r="F19" s="13">
        <f>IFERROR('QTR BS'!F21/'QTR P&amp;L'!I2,"")</f>
        <v>2.1331972907503206E-2</v>
      </c>
      <c r="G19" s="13">
        <f>IFERROR('QTR BS'!G21/'QTR P&amp;L'!J2,"")</f>
        <v>1.3906467514918601E-2</v>
      </c>
      <c r="H19" s="13">
        <f>IFERROR('QTR BS'!H21/'QTR P&amp;L'!K2,"")</f>
        <v>9.6160177954024116E-3</v>
      </c>
      <c r="I19" s="13">
        <f>IFERROR('QTR BS'!I21/'QTR P&amp;L'!L2,"")</f>
        <v>1.055417580401481E-2</v>
      </c>
      <c r="J19" s="13">
        <f>IFERROR('QTR BS'!J21/'QTR P&amp;L'!M2,"")</f>
        <v>8.8021198587377742E-3</v>
      </c>
      <c r="K19" s="13">
        <f>IFERROR('QTR BS'!K21/'QTR P&amp;L'!N2,"")</f>
        <v>3.2445715832906591E-2</v>
      </c>
      <c r="L19" s="13">
        <f>IFERROR('QTR BS'!L21/'QTR P&amp;L'!O2,"")</f>
        <v>6.8486615082473433E-3</v>
      </c>
      <c r="M19" s="13">
        <f>IFERROR('QTR BS'!M21/'QTR P&amp;L'!P2,"")</f>
        <v>9.5063221028993099E-3</v>
      </c>
      <c r="N19" s="13">
        <f>IFERROR('QTR BS'!N21/'QTR P&amp;L'!Q2,"")</f>
        <v>8.6439690470190306E-3</v>
      </c>
      <c r="O19" s="13">
        <f>IFERROR('QTR BS'!O21/'QTR P&amp;L'!R2,"")</f>
        <v>3.9550881523754959E-2</v>
      </c>
      <c r="P19" s="13">
        <f>IFERROR('QTR BS'!P21/'QTR P&amp;L'!S2,"")</f>
        <v>5.7823936373676268E-3</v>
      </c>
      <c r="Q19" s="13">
        <f>IFERROR('QTR BS'!Q21/'QTR P&amp;L'!T2,"")</f>
        <v>4.0622592668794286E-3</v>
      </c>
      <c r="R19" s="13">
        <f>IFERROR('QTR BS'!R21/'QTR P&amp;L'!U2,"")</f>
        <v>2.2107667541738847E-3</v>
      </c>
      <c r="S19" s="13">
        <f>IFERROR('QTR BS'!S21/'QTR P&amp;L'!V2,"")</f>
        <v>3.6578527066826703E-2</v>
      </c>
      <c r="T19" s="13">
        <f>IFERROR('QTR BS'!T21/'QTR P&amp;L'!W2,"")</f>
        <v>1.3317440111536698E-2</v>
      </c>
      <c r="U19" s="13">
        <f>IFERROR('QTR BS'!U21/'QTR P&amp;L'!X2,"")</f>
        <v>1.8215953466779542E-2</v>
      </c>
      <c r="V19" s="13">
        <f>IFERROR('QTR BS'!V21/'QTR P&amp;L'!Y2,"")</f>
        <v>1.5159172484213203E-2</v>
      </c>
      <c r="W19" s="14">
        <f t="shared" ref="W19:AP19" si="14">V19</f>
        <v>1.5159172484213203E-2</v>
      </c>
      <c r="X19" s="14">
        <f t="shared" si="14"/>
        <v>1.5159172484213203E-2</v>
      </c>
      <c r="Y19" s="14">
        <f t="shared" si="14"/>
        <v>1.5159172484213203E-2</v>
      </c>
      <c r="Z19" s="14">
        <f t="shared" si="14"/>
        <v>1.5159172484213203E-2</v>
      </c>
      <c r="AA19" s="14">
        <f t="shared" si="14"/>
        <v>1.5159172484213203E-2</v>
      </c>
      <c r="AB19" s="14">
        <f t="shared" si="14"/>
        <v>1.5159172484213203E-2</v>
      </c>
      <c r="AC19" s="14">
        <f t="shared" si="14"/>
        <v>1.5159172484213203E-2</v>
      </c>
      <c r="AD19" s="14">
        <f t="shared" si="14"/>
        <v>1.5159172484213203E-2</v>
      </c>
      <c r="AE19" s="14">
        <f t="shared" si="14"/>
        <v>1.5159172484213203E-2</v>
      </c>
      <c r="AF19" s="14">
        <f t="shared" si="14"/>
        <v>1.5159172484213203E-2</v>
      </c>
      <c r="AG19" s="14">
        <f t="shared" si="14"/>
        <v>1.5159172484213203E-2</v>
      </c>
      <c r="AH19" s="14">
        <f t="shared" si="14"/>
        <v>1.5159172484213203E-2</v>
      </c>
      <c r="AI19" s="14">
        <f t="shared" si="14"/>
        <v>1.5159172484213203E-2</v>
      </c>
      <c r="AJ19" s="14">
        <f t="shared" si="14"/>
        <v>1.5159172484213203E-2</v>
      </c>
      <c r="AK19" s="14">
        <f t="shared" si="14"/>
        <v>1.5159172484213203E-2</v>
      </c>
      <c r="AL19" s="14">
        <f t="shared" si="14"/>
        <v>1.5159172484213203E-2</v>
      </c>
      <c r="AM19" s="14">
        <f t="shared" si="14"/>
        <v>1.5159172484213203E-2</v>
      </c>
      <c r="AN19" s="14">
        <f t="shared" si="14"/>
        <v>1.5159172484213203E-2</v>
      </c>
      <c r="AO19" s="14">
        <f t="shared" si="14"/>
        <v>1.5159172484213203E-2</v>
      </c>
      <c r="AP19" s="14">
        <f t="shared" si="14"/>
        <v>1.5159172484213203E-2</v>
      </c>
    </row>
    <row r="20" spans="1:42" x14ac:dyDescent="0.25">
      <c r="A20" s="3" t="s">
        <v>164</v>
      </c>
      <c r="B20" s="13">
        <f>IFERROR('QTR BS'!B23/'QTR P&amp;L'!E2,"")</f>
        <v>0.22104802960503492</v>
      </c>
      <c r="C20" s="13">
        <f>IFERROR('QTR BS'!C23/'QTR P&amp;L'!F2,"")</f>
        <v>0.20720910488368055</v>
      </c>
      <c r="D20" s="13">
        <f>IFERROR('QTR BS'!D23/'QTR P&amp;L'!G2,"")</f>
        <v>0.17241259016303734</v>
      </c>
      <c r="E20" s="13">
        <f>IFERROR('QTR BS'!E23/'QTR P&amp;L'!H2,"")</f>
        <v>0.17413050305659394</v>
      </c>
      <c r="F20" s="13">
        <f>IFERROR('QTR BS'!F23/'QTR P&amp;L'!I2,"")</f>
        <v>0.17069578202497607</v>
      </c>
      <c r="G20" s="13">
        <f>IFERROR('QTR BS'!G23/'QTR P&amp;L'!J2,"")</f>
        <v>0.15688468260354779</v>
      </c>
      <c r="H20" s="13">
        <f>IFERROR('QTR BS'!H23/'QTR P&amp;L'!K2,"")</f>
        <v>0.14026203754216107</v>
      </c>
      <c r="I20" s="13">
        <f>IFERROR('QTR BS'!I23/'QTR P&amp;L'!L2,"")</f>
        <v>0.13931906080579406</v>
      </c>
      <c r="J20" s="13">
        <f>IFERROR('QTR BS'!J23/'QTR P&amp;L'!M2,"")</f>
        <v>0.1479247896962915</v>
      </c>
      <c r="K20" s="13">
        <f>IFERROR('QTR BS'!K23/'QTR P&amp;L'!N2,"")</f>
        <v>0.12935435833142037</v>
      </c>
      <c r="L20" s="13">
        <f>IFERROR('QTR BS'!L23/'QTR P&amp;L'!O2,"")</f>
        <v>0.1159264264855164</v>
      </c>
      <c r="M20" s="13">
        <f>IFERROR('QTR BS'!M23/'QTR P&amp;L'!P2,"")</f>
        <v>0.1126793345790042</v>
      </c>
      <c r="N20" s="13">
        <f>IFERROR('QTR BS'!N23/'QTR P&amp;L'!Q2,"")</f>
        <v>0.1180567918303366</v>
      </c>
      <c r="O20" s="13">
        <f>IFERROR('QTR BS'!O23/'QTR P&amp;L'!R2,"")</f>
        <v>0.10465968580873657</v>
      </c>
      <c r="P20" s="13">
        <f>IFERROR('QTR BS'!P23/'QTR P&amp;L'!S2,"")</f>
        <v>0.10120714701748977</v>
      </c>
      <c r="Q20" s="13">
        <f>IFERROR('QTR BS'!Q23/'QTR P&amp;L'!T2,"")</f>
        <v>9.8956763334720907E-2</v>
      </c>
      <c r="R20" s="13">
        <f>IFERROR('QTR BS'!R23/'QTR P&amp;L'!U2,"")</f>
        <v>9.8788051705231833E-2</v>
      </c>
      <c r="S20" s="13">
        <f>IFERROR('QTR BS'!S23/'QTR P&amp;L'!V2,"")</f>
        <v>9.3780296976422414E-2</v>
      </c>
      <c r="T20" s="13">
        <f>IFERROR('QTR BS'!T23/'QTR P&amp;L'!W2,"")</f>
        <v>8.0395739328430874E-2</v>
      </c>
      <c r="U20" s="13">
        <f>IFERROR('QTR BS'!U23/'QTR P&amp;L'!X2,"")</f>
        <v>7.4961540912276872E-2</v>
      </c>
      <c r="V20" s="13">
        <f>IFERROR('QTR BS'!V23/'QTR P&amp;L'!Y2,"")</f>
        <v>7.5076030488214041E-2</v>
      </c>
      <c r="W20" s="14">
        <f t="shared" ref="W20:AP20" si="15">V20</f>
        <v>7.5076030488214041E-2</v>
      </c>
      <c r="X20" s="14">
        <f t="shared" si="15"/>
        <v>7.5076030488214041E-2</v>
      </c>
      <c r="Y20" s="14">
        <f t="shared" si="15"/>
        <v>7.5076030488214041E-2</v>
      </c>
      <c r="Z20" s="14">
        <f t="shared" si="15"/>
        <v>7.5076030488214041E-2</v>
      </c>
      <c r="AA20" s="14">
        <f t="shared" si="15"/>
        <v>7.5076030488214041E-2</v>
      </c>
      <c r="AB20" s="14">
        <f t="shared" si="15"/>
        <v>7.5076030488214041E-2</v>
      </c>
      <c r="AC20" s="14">
        <f t="shared" si="15"/>
        <v>7.5076030488214041E-2</v>
      </c>
      <c r="AD20" s="14">
        <f t="shared" si="15"/>
        <v>7.5076030488214041E-2</v>
      </c>
      <c r="AE20" s="14">
        <f t="shared" si="15"/>
        <v>7.5076030488214041E-2</v>
      </c>
      <c r="AF20" s="14">
        <f t="shared" si="15"/>
        <v>7.5076030488214041E-2</v>
      </c>
      <c r="AG20" s="14">
        <f t="shared" si="15"/>
        <v>7.5076030488214041E-2</v>
      </c>
      <c r="AH20" s="14">
        <f t="shared" si="15"/>
        <v>7.5076030488214041E-2</v>
      </c>
      <c r="AI20" s="14">
        <f t="shared" si="15"/>
        <v>7.5076030488214041E-2</v>
      </c>
      <c r="AJ20" s="14">
        <f t="shared" si="15"/>
        <v>7.5076030488214041E-2</v>
      </c>
      <c r="AK20" s="14">
        <f t="shared" si="15"/>
        <v>7.5076030488214041E-2</v>
      </c>
      <c r="AL20" s="14">
        <f t="shared" si="15"/>
        <v>7.5076030488214041E-2</v>
      </c>
      <c r="AM20" s="14">
        <f t="shared" si="15"/>
        <v>7.5076030488214041E-2</v>
      </c>
      <c r="AN20" s="14">
        <f t="shared" si="15"/>
        <v>7.5076030488214041E-2</v>
      </c>
      <c r="AO20" s="14">
        <f t="shared" si="15"/>
        <v>7.5076030488214041E-2</v>
      </c>
      <c r="AP20" s="14">
        <f t="shared" si="15"/>
        <v>7.5076030488214041E-2</v>
      </c>
    </row>
    <row r="21" spans="1:42" x14ac:dyDescent="0.25">
      <c r="A21" s="3" t="s">
        <v>120</v>
      </c>
      <c r="B21" s="4">
        <f>'QTR BS'!B24</f>
        <v>0</v>
      </c>
      <c r="C21" s="4">
        <f>'QTR BS'!C24</f>
        <v>0</v>
      </c>
      <c r="D21" s="4">
        <f>'QTR BS'!D24</f>
        <v>0</v>
      </c>
      <c r="E21" s="4">
        <f>'QTR BS'!E24</f>
        <v>0</v>
      </c>
      <c r="F21" s="4">
        <f>'QTR BS'!F24</f>
        <v>0</v>
      </c>
      <c r="G21" s="4">
        <f>'QTR BS'!G24</f>
        <v>0</v>
      </c>
      <c r="H21" s="4">
        <f>'QTR BS'!H24</f>
        <v>0</v>
      </c>
      <c r="I21" s="4">
        <f>'QTR BS'!I24</f>
        <v>0</v>
      </c>
      <c r="J21" s="4">
        <f>'QTR BS'!J24</f>
        <v>0</v>
      </c>
      <c r="K21" s="4">
        <f>'QTR BS'!K24</f>
        <v>0</v>
      </c>
      <c r="L21" s="4">
        <f>'QTR BS'!L24</f>
        <v>0</v>
      </c>
      <c r="M21" s="4">
        <f>'QTR BS'!M24</f>
        <v>0</v>
      </c>
      <c r="N21" s="4">
        <f>'QTR BS'!N24</f>
        <v>0</v>
      </c>
      <c r="O21" s="4">
        <f>'QTR BS'!O24</f>
        <v>0</v>
      </c>
      <c r="P21" s="4">
        <f>'QTR BS'!P24</f>
        <v>28896</v>
      </c>
      <c r="Q21" s="4">
        <f>'QTR BS'!Q24</f>
        <v>28896</v>
      </c>
      <c r="R21" s="4">
        <f>'QTR BS'!R24</f>
        <v>0</v>
      </c>
      <c r="S21" s="4">
        <f>'QTR BS'!S24</f>
        <v>0</v>
      </c>
      <c r="T21" s="4">
        <f>'QTR BS'!T24</f>
        <v>0</v>
      </c>
      <c r="U21" s="4">
        <f>'QTR BS'!U24</f>
        <v>0</v>
      </c>
      <c r="V21" s="4">
        <f>'QTR BS'!V24</f>
        <v>0</v>
      </c>
      <c r="W21" s="15">
        <f t="shared" ref="W21:AP21" si="16">V21</f>
        <v>0</v>
      </c>
      <c r="X21" s="15">
        <f t="shared" si="16"/>
        <v>0</v>
      </c>
      <c r="Y21" s="15">
        <f t="shared" si="16"/>
        <v>0</v>
      </c>
      <c r="Z21" s="15">
        <f t="shared" si="16"/>
        <v>0</v>
      </c>
      <c r="AA21" s="15">
        <f t="shared" si="16"/>
        <v>0</v>
      </c>
      <c r="AB21" s="15">
        <f t="shared" si="16"/>
        <v>0</v>
      </c>
      <c r="AC21" s="15">
        <f t="shared" si="16"/>
        <v>0</v>
      </c>
      <c r="AD21" s="15">
        <f t="shared" si="16"/>
        <v>0</v>
      </c>
      <c r="AE21" s="15">
        <f t="shared" si="16"/>
        <v>0</v>
      </c>
      <c r="AF21" s="15">
        <f t="shared" si="16"/>
        <v>0</v>
      </c>
      <c r="AG21" s="15">
        <f t="shared" si="16"/>
        <v>0</v>
      </c>
      <c r="AH21" s="15">
        <f t="shared" si="16"/>
        <v>0</v>
      </c>
      <c r="AI21" s="15">
        <f t="shared" si="16"/>
        <v>0</v>
      </c>
      <c r="AJ21" s="15">
        <f t="shared" si="16"/>
        <v>0</v>
      </c>
      <c r="AK21" s="15">
        <f t="shared" si="16"/>
        <v>0</v>
      </c>
      <c r="AL21" s="15">
        <f t="shared" si="16"/>
        <v>0</v>
      </c>
      <c r="AM21" s="15">
        <f t="shared" si="16"/>
        <v>0</v>
      </c>
      <c r="AN21" s="15">
        <f t="shared" si="16"/>
        <v>0</v>
      </c>
      <c r="AO21" s="15">
        <f t="shared" si="16"/>
        <v>0</v>
      </c>
      <c r="AP21" s="15">
        <f t="shared" si="16"/>
        <v>0</v>
      </c>
    </row>
    <row r="22" spans="1:42" x14ac:dyDescent="0.25">
      <c r="A22" s="3" t="s">
        <v>165</v>
      </c>
      <c r="B22" s="13">
        <f>IFERROR('QTR BS'!B25/'QTR P&amp;L'!E2,"")</f>
        <v>2.2931028861899735E-2</v>
      </c>
      <c r="C22" s="13">
        <f>IFERROR('QTR BS'!C25/'QTR P&amp;L'!F2,"")</f>
        <v>2.2783112614727579E-2</v>
      </c>
      <c r="D22" s="13">
        <f>IFERROR('QTR BS'!D25/'QTR P&amp;L'!G2,"")</f>
        <v>1.810066795035347E-2</v>
      </c>
      <c r="E22" s="13">
        <f>IFERROR('QTR BS'!E25/'QTR P&amp;L'!H2,"")</f>
        <v>1.8822351737646899E-2</v>
      </c>
      <c r="F22" s="13">
        <f>IFERROR('QTR BS'!F25/'QTR P&amp;L'!I2,"")</f>
        <v>2.0706729055383552E-2</v>
      </c>
      <c r="G22" s="13">
        <f>IFERROR('QTR BS'!G25/'QTR P&amp;L'!J2,"")</f>
        <v>2.5145300788766305E-2</v>
      </c>
      <c r="H22" s="13">
        <f>IFERROR('QTR BS'!H25/'QTR P&amp;L'!K2,"")</f>
        <v>2.4199234077567317E-2</v>
      </c>
      <c r="I22" s="13">
        <f>IFERROR('QTR BS'!I25/'QTR P&amp;L'!L2,"")</f>
        <v>2.5262792390010134E-2</v>
      </c>
      <c r="J22" s="13">
        <f>IFERROR('QTR BS'!J25/'QTR P&amp;L'!M2,"")</f>
        <v>2.7949721434751485E-2</v>
      </c>
      <c r="K22" s="13">
        <f>IFERROR('QTR BS'!K25/'QTR P&amp;L'!N2,"")</f>
        <v>2.4560752944500362E-2</v>
      </c>
      <c r="L22" s="13">
        <f>IFERROR('QTR BS'!L25/'QTR P&amp;L'!O2,"")</f>
        <v>2.3857644446433107E-2</v>
      </c>
      <c r="M22" s="13">
        <f>IFERROR('QTR BS'!M25/'QTR P&amp;L'!P2,"")</f>
        <v>2.8690838715795235E-2</v>
      </c>
      <c r="N22" s="13">
        <f>IFERROR('QTR BS'!N25/'QTR P&amp;L'!Q2,"")</f>
        <v>5.3082235328661562E-2</v>
      </c>
      <c r="O22" s="13">
        <f>IFERROR('QTR BS'!O25/'QTR P&amp;L'!R2,"")</f>
        <v>4.8807381188332569E-2</v>
      </c>
      <c r="P22" s="13">
        <f>IFERROR('QTR BS'!P25/'QTR P&amp;L'!S2,"")</f>
        <v>3.3709408149123668E-2</v>
      </c>
      <c r="Q22" s="13">
        <f>IFERROR('QTR BS'!Q25/'QTR P&amp;L'!T2,"")</f>
        <v>3.4494913005130856E-2</v>
      </c>
      <c r="R22" s="13">
        <f>IFERROR('QTR BS'!R25/'QTR P&amp;L'!U2,"")</f>
        <v>6.1197842653670641E-2</v>
      </c>
      <c r="S22" s="13">
        <f>IFERROR('QTR BS'!S25/'QTR P&amp;L'!V2,"")</f>
        <v>5.8909993648082186E-2</v>
      </c>
      <c r="T22" s="13">
        <f>IFERROR('QTR BS'!T25/'QTR P&amp;L'!W2,"")</f>
        <v>5.2189532826417223E-2</v>
      </c>
      <c r="U22" s="13">
        <f>IFERROR('QTR BS'!U25/'QTR P&amp;L'!X2,"")</f>
        <v>5.0516580645748564E-2</v>
      </c>
      <c r="V22" s="13">
        <f>IFERROR('QTR BS'!V25/'QTR P&amp;L'!Y2,"")</f>
        <v>5.9625922020709952E-2</v>
      </c>
      <c r="W22" s="14">
        <f t="shared" ref="W22:AP22" si="17">V22</f>
        <v>5.9625922020709952E-2</v>
      </c>
      <c r="X22" s="14">
        <f t="shared" si="17"/>
        <v>5.9625922020709952E-2</v>
      </c>
      <c r="Y22" s="14">
        <f t="shared" si="17"/>
        <v>5.9625922020709952E-2</v>
      </c>
      <c r="Z22" s="14">
        <f t="shared" si="17"/>
        <v>5.9625922020709952E-2</v>
      </c>
      <c r="AA22" s="14">
        <f t="shared" si="17"/>
        <v>5.9625922020709952E-2</v>
      </c>
      <c r="AB22" s="14">
        <f t="shared" si="17"/>
        <v>5.9625922020709952E-2</v>
      </c>
      <c r="AC22" s="14">
        <f t="shared" si="17"/>
        <v>5.9625922020709952E-2</v>
      </c>
      <c r="AD22" s="14">
        <f t="shared" si="17"/>
        <v>5.9625922020709952E-2</v>
      </c>
      <c r="AE22" s="14">
        <f t="shared" si="17"/>
        <v>5.9625922020709952E-2</v>
      </c>
      <c r="AF22" s="14">
        <f t="shared" si="17"/>
        <v>5.9625922020709952E-2</v>
      </c>
      <c r="AG22" s="14">
        <f t="shared" si="17"/>
        <v>5.9625922020709952E-2</v>
      </c>
      <c r="AH22" s="14">
        <f t="shared" si="17"/>
        <v>5.9625922020709952E-2</v>
      </c>
      <c r="AI22" s="14">
        <f t="shared" si="17"/>
        <v>5.9625922020709952E-2</v>
      </c>
      <c r="AJ22" s="14">
        <f t="shared" si="17"/>
        <v>5.9625922020709952E-2</v>
      </c>
      <c r="AK22" s="14">
        <f t="shared" si="17"/>
        <v>5.9625922020709952E-2</v>
      </c>
      <c r="AL22" s="14">
        <f t="shared" si="17"/>
        <v>5.9625922020709952E-2</v>
      </c>
      <c r="AM22" s="14">
        <f t="shared" si="17"/>
        <v>5.9625922020709952E-2</v>
      </c>
      <c r="AN22" s="14">
        <f t="shared" si="17"/>
        <v>5.9625922020709952E-2</v>
      </c>
      <c r="AO22" s="14">
        <f t="shared" si="17"/>
        <v>5.9625922020709952E-2</v>
      </c>
      <c r="AP22" s="14">
        <f t="shared" si="17"/>
        <v>5.9625922020709952E-2</v>
      </c>
    </row>
    <row r="23" spans="1:42" x14ac:dyDescent="0.25">
      <c r="A23" s="3" t="s">
        <v>56</v>
      </c>
      <c r="B23" s="4">
        <f>'QTR BS'!B26</f>
        <v>0</v>
      </c>
      <c r="C23" s="4">
        <f>'QTR BS'!C26</f>
        <v>0</v>
      </c>
      <c r="D23" s="4">
        <f>'QTR BS'!D26</f>
        <v>0</v>
      </c>
      <c r="E23" s="4">
        <f>'QTR BS'!E26</f>
        <v>0</v>
      </c>
      <c r="F23" s="4">
        <f>'QTR BS'!F26</f>
        <v>0</v>
      </c>
      <c r="G23" s="4">
        <f>'QTR BS'!G26</f>
        <v>0</v>
      </c>
      <c r="H23" s="4">
        <f>'QTR BS'!H26</f>
        <v>0</v>
      </c>
      <c r="I23" s="4">
        <f>'QTR BS'!I26</f>
        <v>0</v>
      </c>
      <c r="J23" s="4">
        <f>'QTR BS'!J26</f>
        <v>0</v>
      </c>
      <c r="K23" s="4">
        <f>'QTR BS'!K26</f>
        <v>0</v>
      </c>
      <c r="L23" s="4">
        <f>'QTR BS'!L26</f>
        <v>0</v>
      </c>
      <c r="M23" s="4">
        <f>'QTR BS'!M26</f>
        <v>0</v>
      </c>
      <c r="N23" s="4">
        <f>'QTR BS'!N26</f>
        <v>0</v>
      </c>
      <c r="O23" s="4">
        <f>'QTR BS'!O26</f>
        <v>0</v>
      </c>
      <c r="P23" s="4">
        <f>'QTR BS'!P26</f>
        <v>748740</v>
      </c>
      <c r="Q23" s="4">
        <f>'QTR BS'!Q26</f>
        <v>748842</v>
      </c>
      <c r="R23" s="4">
        <f>'QTR BS'!R26</f>
        <v>373951</v>
      </c>
      <c r="S23" s="4">
        <f>'QTR BS'!S26</f>
        <v>199059</v>
      </c>
      <c r="T23" s="4">
        <f>'QTR BS'!T26</f>
        <v>0</v>
      </c>
      <c r="U23" s="4">
        <f>'QTR BS'!U26</f>
        <v>0</v>
      </c>
      <c r="V23" s="4">
        <f>'QTR BS'!V26</f>
        <v>0</v>
      </c>
      <c r="W23" s="15">
        <f t="shared" ref="W23:AP23" si="18">V23</f>
        <v>0</v>
      </c>
      <c r="X23" s="15">
        <f t="shared" si="18"/>
        <v>0</v>
      </c>
      <c r="Y23" s="15">
        <f t="shared" si="18"/>
        <v>0</v>
      </c>
      <c r="Z23" s="15">
        <f t="shared" si="18"/>
        <v>0</v>
      </c>
      <c r="AA23" s="15">
        <f t="shared" si="18"/>
        <v>0</v>
      </c>
      <c r="AB23" s="15">
        <f t="shared" si="18"/>
        <v>0</v>
      </c>
      <c r="AC23" s="15">
        <f t="shared" si="18"/>
        <v>0</v>
      </c>
      <c r="AD23" s="15">
        <f t="shared" si="18"/>
        <v>0</v>
      </c>
      <c r="AE23" s="15">
        <f t="shared" si="18"/>
        <v>0</v>
      </c>
      <c r="AF23" s="15">
        <f t="shared" si="18"/>
        <v>0</v>
      </c>
      <c r="AG23" s="15">
        <f t="shared" si="18"/>
        <v>0</v>
      </c>
      <c r="AH23" s="15">
        <f t="shared" si="18"/>
        <v>0</v>
      </c>
      <c r="AI23" s="15">
        <f t="shared" si="18"/>
        <v>0</v>
      </c>
      <c r="AJ23" s="15">
        <f t="shared" si="18"/>
        <v>0</v>
      </c>
      <c r="AK23" s="15">
        <f t="shared" si="18"/>
        <v>0</v>
      </c>
      <c r="AL23" s="15">
        <f t="shared" si="18"/>
        <v>0</v>
      </c>
      <c r="AM23" s="15">
        <f t="shared" si="18"/>
        <v>0</v>
      </c>
      <c r="AN23" s="15">
        <f t="shared" si="18"/>
        <v>0</v>
      </c>
      <c r="AO23" s="15">
        <f t="shared" si="18"/>
        <v>0</v>
      </c>
      <c r="AP23" s="15">
        <f t="shared" si="18"/>
        <v>0</v>
      </c>
    </row>
    <row r="24" spans="1:42" x14ac:dyDescent="0.25">
      <c r="A24" s="3" t="s">
        <v>58</v>
      </c>
      <c r="B24" s="4">
        <f>'QTR BS'!B28</f>
        <v>3193</v>
      </c>
      <c r="C24" s="4">
        <f>'QTR BS'!C28</f>
        <v>3196</v>
      </c>
      <c r="D24" s="4">
        <f>'QTR BS'!D28</f>
        <v>3198</v>
      </c>
      <c r="E24" s="4">
        <f>'QTR BS'!E28</f>
        <v>3199</v>
      </c>
      <c r="F24" s="4">
        <f>'QTR BS'!F28</f>
        <v>3200</v>
      </c>
      <c r="G24" s="4">
        <f>'QTR BS'!G28</f>
        <v>3203</v>
      </c>
      <c r="H24" s="4">
        <f>'QTR BS'!H28</f>
        <v>3205</v>
      </c>
      <c r="I24" s="4">
        <f>'QTR BS'!I28</f>
        <v>3206</v>
      </c>
      <c r="J24" s="4">
        <f>'QTR BS'!J28</f>
        <v>3209</v>
      </c>
      <c r="K24" s="4">
        <f>'QTR BS'!K28</f>
        <v>5587</v>
      </c>
      <c r="L24" s="4">
        <f>'QTR BS'!L28</f>
        <v>5591</v>
      </c>
      <c r="M24" s="4">
        <f>'QTR BS'!M28</f>
        <v>5592</v>
      </c>
      <c r="N24" s="4">
        <f>'QTR BS'!N28</f>
        <v>5613</v>
      </c>
      <c r="O24" s="4">
        <f>'QTR BS'!O28</f>
        <v>5624</v>
      </c>
      <c r="P24" s="4">
        <f>'QTR BS'!P28</f>
        <v>5627</v>
      </c>
      <c r="Q24" s="4">
        <f>'QTR BS'!Q28</f>
        <v>5628</v>
      </c>
      <c r="R24" s="4">
        <f>'QTR BS'!R28</f>
        <v>5632</v>
      </c>
      <c r="S24" s="4">
        <f>'QTR BS'!S28</f>
        <v>5643</v>
      </c>
      <c r="T24" s="4">
        <f>'QTR BS'!T28</f>
        <v>5650</v>
      </c>
      <c r="U24" s="4">
        <f>'QTR BS'!U28</f>
        <v>5655</v>
      </c>
      <c r="V24" s="4">
        <f>'QTR BS'!V28</f>
        <v>5665</v>
      </c>
      <c r="W24" s="15">
        <f t="shared" ref="W24:AP24" si="19">V24</f>
        <v>5665</v>
      </c>
      <c r="X24" s="15">
        <f t="shared" si="19"/>
        <v>5665</v>
      </c>
      <c r="Y24" s="15">
        <f t="shared" si="19"/>
        <v>5665</v>
      </c>
      <c r="Z24" s="15">
        <f t="shared" si="19"/>
        <v>5665</v>
      </c>
      <c r="AA24" s="15">
        <f t="shared" si="19"/>
        <v>5665</v>
      </c>
      <c r="AB24" s="15">
        <f t="shared" si="19"/>
        <v>5665</v>
      </c>
      <c r="AC24" s="15">
        <f t="shared" si="19"/>
        <v>5665</v>
      </c>
      <c r="AD24" s="15">
        <f t="shared" si="19"/>
        <v>5665</v>
      </c>
      <c r="AE24" s="15">
        <f t="shared" si="19"/>
        <v>5665</v>
      </c>
      <c r="AF24" s="15">
        <f t="shared" si="19"/>
        <v>5665</v>
      </c>
      <c r="AG24" s="15">
        <f t="shared" si="19"/>
        <v>5665</v>
      </c>
      <c r="AH24" s="15">
        <f t="shared" si="19"/>
        <v>5665</v>
      </c>
      <c r="AI24" s="15">
        <f t="shared" si="19"/>
        <v>5665</v>
      </c>
      <c r="AJ24" s="15">
        <f t="shared" si="19"/>
        <v>5665</v>
      </c>
      <c r="AK24" s="15">
        <f t="shared" si="19"/>
        <v>5665</v>
      </c>
      <c r="AL24" s="15">
        <f t="shared" si="19"/>
        <v>5665</v>
      </c>
      <c r="AM24" s="15">
        <f t="shared" si="19"/>
        <v>5665</v>
      </c>
      <c r="AN24" s="15">
        <f t="shared" si="19"/>
        <v>5665</v>
      </c>
      <c r="AO24" s="15">
        <f t="shared" si="19"/>
        <v>5665</v>
      </c>
      <c r="AP24" s="15">
        <f t="shared" si="19"/>
        <v>5665</v>
      </c>
    </row>
    <row r="25" spans="1:42" x14ac:dyDescent="0.25">
      <c r="A25" s="3" t="s">
        <v>59</v>
      </c>
      <c r="B25" s="4">
        <f>'QTR BS'!B29</f>
        <v>4537982</v>
      </c>
      <c r="C25" s="4">
        <f>'QTR BS'!C29</f>
        <v>4562689</v>
      </c>
      <c r="D25" s="4">
        <f>'QTR BS'!D29</f>
        <v>4597333</v>
      </c>
      <c r="E25" s="4">
        <f>'QTR BS'!E29</f>
        <v>4626299</v>
      </c>
      <c r="F25" s="4">
        <f>'QTR BS'!F29</f>
        <v>4652620</v>
      </c>
      <c r="G25" s="4">
        <f>'QTR BS'!G29</f>
        <v>4673302</v>
      </c>
      <c r="H25" s="4">
        <f>'QTR BS'!H29</f>
        <v>4707569</v>
      </c>
      <c r="I25" s="4">
        <f>'QTR BS'!I29</f>
        <v>4736141</v>
      </c>
      <c r="J25" s="4">
        <f>'QTR BS'!J29</f>
        <v>4780013</v>
      </c>
      <c r="K25" s="4">
        <f>'QTR BS'!K29</f>
        <v>4829301</v>
      </c>
      <c r="L25" s="4">
        <f>'QTR BS'!L29</f>
        <v>4869791</v>
      </c>
      <c r="M25" s="4">
        <f>'QTR BS'!M29</f>
        <v>4893289</v>
      </c>
      <c r="N25" s="4">
        <f>'QTR BS'!N29</f>
        <v>4975115</v>
      </c>
      <c r="O25" s="4">
        <f>'QTR BS'!O29</f>
        <v>5034948</v>
      </c>
      <c r="P25" s="4">
        <f>'QTR BS'!P29</f>
        <v>5068291</v>
      </c>
      <c r="Q25" s="4">
        <f>'QTR BS'!Q29</f>
        <v>5105957</v>
      </c>
      <c r="R25" s="4">
        <f>'QTR BS'!R29</f>
        <v>5144922</v>
      </c>
      <c r="S25" s="4">
        <f>'QTR BS'!S29</f>
        <v>5213731</v>
      </c>
      <c r="T25" s="4">
        <f>'QTR BS'!T29</f>
        <v>5285157</v>
      </c>
      <c r="U25" s="4">
        <f>'QTR BS'!U29</f>
        <v>5343915</v>
      </c>
      <c r="V25" s="4">
        <f>'QTR BS'!V29</f>
        <v>5430847</v>
      </c>
      <c r="W25" s="4">
        <f>V25+'QTR CF'!Z9</f>
        <v>5470785.6199506521</v>
      </c>
      <c r="X25" s="4">
        <f>W25+'QTR CF'!AA9</f>
        <v>5516259.5659684297</v>
      </c>
      <c r="Y25" s="4">
        <f>X25+'QTR CF'!AB9</f>
        <v>5563575.8210752402</v>
      </c>
      <c r="Z25" s="4">
        <f>Y25+'QTR CF'!AC9</f>
        <v>5609468.8672143724</v>
      </c>
      <c r="AA25" s="4">
        <f>Z25+'QTR CF'!AD9</f>
        <v>5656438.7292990042</v>
      </c>
      <c r="AB25" s="4">
        <f>AA25+'QTR CF'!AE9</f>
        <v>5709918.4182701828</v>
      </c>
      <c r="AC25" s="4">
        <f>AB25+'QTR CF'!AF9</f>
        <v>5765564.757063915</v>
      </c>
      <c r="AD25" s="4">
        <f>AC25+'QTR CF'!AG9</f>
        <v>5819537.3292374676</v>
      </c>
      <c r="AE25" s="4">
        <f>AD25+'QTR CF'!AH9</f>
        <v>5874776.2921003606</v>
      </c>
      <c r="AF25" s="4">
        <f>AE25+'QTR CF'!AI9</f>
        <v>5937671.1447119173</v>
      </c>
      <c r="AG25" s="4">
        <f>AF25+'QTR CF'!AJ9</f>
        <v>6003114.0884562368</v>
      </c>
      <c r="AH25" s="4">
        <f>AG25+'QTR CF'!AK9</f>
        <v>6066588.5969514456</v>
      </c>
      <c r="AI25" s="4">
        <f>AH25+'QTR CF'!AL9</f>
        <v>6131552.4457417643</v>
      </c>
      <c r="AJ25" s="4">
        <f>AI25+'QTR CF'!AM9</f>
        <v>6205520.0128897559</v>
      </c>
      <c r="AK25" s="4">
        <f>AJ25+'QTR CF'!AN9</f>
        <v>6282484.2656826908</v>
      </c>
      <c r="AL25" s="4">
        <f>AK25+'QTR CF'!AO9</f>
        <v>6357133.5378306387</v>
      </c>
      <c r="AM25" s="4">
        <f>AL25+'QTR CF'!AP9</f>
        <v>6433534.3504260238</v>
      </c>
      <c r="AN25" s="4">
        <f>AM25+'QTR CF'!AQ9</f>
        <v>6520523.996837683</v>
      </c>
      <c r="AO25" s="4">
        <f>AN25+'QTR CF'!AR9</f>
        <v>6611037.8990105046</v>
      </c>
      <c r="AP25" s="4">
        <f>AO25+'QTR CF'!AS9</f>
        <v>6698829.26540823</v>
      </c>
    </row>
    <row r="26" spans="1:42" x14ac:dyDescent="0.25">
      <c r="A26" s="3" t="s">
        <v>60</v>
      </c>
      <c r="B26" s="4">
        <f>'QTR BS'!B30</f>
        <v>6432074</v>
      </c>
      <c r="C26" s="4">
        <f>'QTR BS'!C30</f>
        <v>6747268</v>
      </c>
      <c r="D26" s="4">
        <f>'QTR BS'!D30</f>
        <v>7151030</v>
      </c>
      <c r="E26" s="4">
        <f>'QTR BS'!E30</f>
        <v>7488235</v>
      </c>
      <c r="F26" s="4">
        <f>'QTR BS'!F30</f>
        <v>7809549</v>
      </c>
      <c r="G26" s="4">
        <f>'QTR BS'!G30</f>
        <v>8103752</v>
      </c>
      <c r="H26" s="4">
        <f>'QTR BS'!H30</f>
        <v>8377112</v>
      </c>
      <c r="I26" s="4">
        <f>'QTR BS'!I30</f>
        <v>8699499</v>
      </c>
      <c r="J26" s="4">
        <f>'QTR BS'!J30</f>
        <v>9001173</v>
      </c>
      <c r="K26" s="4">
        <f>'QTR BS'!K30</f>
        <v>4706192</v>
      </c>
      <c r="L26" s="4">
        <f>'QTR BS'!L30</f>
        <v>5120063</v>
      </c>
      <c r="M26" s="4">
        <f>'QTR BS'!M30</f>
        <v>5572757</v>
      </c>
      <c r="N26" s="4">
        <f>'QTR BS'!N30</f>
        <v>5939736</v>
      </c>
      <c r="O26" s="4">
        <f>'QTR BS'!O30</f>
        <v>6381785</v>
      </c>
      <c r="P26" s="4">
        <f>'QTR BS'!P30</f>
        <v>6807154</v>
      </c>
      <c r="Q26" s="4">
        <f>'QTR BS'!Q30</f>
        <v>7178073</v>
      </c>
      <c r="R26" s="4">
        <f>'QTR BS'!R30</f>
        <v>7448784</v>
      </c>
      <c r="S26" s="4">
        <f>'QTR BS'!S30</f>
        <v>7891777</v>
      </c>
      <c r="T26" s="4">
        <f>'QTR BS'!T30</f>
        <v>8380571</v>
      </c>
      <c r="U26" s="4">
        <f>'QTR BS'!U30</f>
        <v>8905026</v>
      </c>
      <c r="V26" s="4">
        <f>'QTR BS'!V30</f>
        <v>9354216</v>
      </c>
      <c r="W26" s="4">
        <f>V26+'QTR P&amp;L'!Z11</f>
        <v>9813469.8453200813</v>
      </c>
      <c r="X26" s="4">
        <f>W26+'QTR P&amp;L'!AA11</f>
        <v>10333564.070206027</v>
      </c>
      <c r="Y26" s="4">
        <f>X26+'QTR P&amp;L'!AB11</f>
        <v>10873907.650395554</v>
      </c>
      <c r="Z26" s="4">
        <f>Y26+'QTR P&amp;L'!AC11</f>
        <v>11398608.3266721</v>
      </c>
      <c r="AA26" s="4">
        <f>Z26+'QTR P&amp;L'!AD11</f>
        <v>11935144.600355599</v>
      </c>
      <c r="AB26" s="4">
        <f>AA26+'QTR P&amp;L'!AE11</f>
        <v>12543232.275687832</v>
      </c>
      <c r="AC26" s="4">
        <f>AB26+'QTR P&amp;L'!AF11</f>
        <v>13175134.229707889</v>
      </c>
      <c r="AD26" s="4">
        <f>AC26+'QTR P&amp;L'!AG11</f>
        <v>13788639.327744847</v>
      </c>
      <c r="AE26" s="4">
        <f>AD26+'QTR P&amp;L'!AH11</f>
        <v>14416063.694363965</v>
      </c>
      <c r="AF26" s="4">
        <f>AE26+'QTR P&amp;L'!AI11</f>
        <v>15127636.173049938</v>
      </c>
      <c r="AG26" s="4">
        <f>AF26+'QTR P&amp;L'!AJ11</f>
        <v>15867215.462862438</v>
      </c>
      <c r="AH26" s="4">
        <f>AG26+'QTR P&amp;L'!AK11</f>
        <v>16585159.108043633</v>
      </c>
      <c r="AI26" s="4">
        <f>AH26+'QTR P&amp;L'!AL11</f>
        <v>17319472.525801618</v>
      </c>
      <c r="AJ26" s="4">
        <f>AI26+'QTR P&amp;L'!AM11</f>
        <v>18152748.432081889</v>
      </c>
      <c r="AK26" s="4">
        <f>AJ26+'QTR P&amp;L'!AN11</f>
        <v>19018961.782311615</v>
      </c>
      <c r="AL26" s="4">
        <f>AK26+'QTR P&amp;L'!AO11</f>
        <v>19859730.506620366</v>
      </c>
      <c r="AM26" s="4">
        <f>AL26+'QTR P&amp;L'!AP11</f>
        <v>20719750.921679534</v>
      </c>
      <c r="AN26" s="4">
        <f>AM26+'QTR P&amp;L'!AQ11</f>
        <v>21696156.290529974</v>
      </c>
      <c r="AO26" s="4">
        <f>AN26+'QTR P&amp;L'!AR11</f>
        <v>22711297.779998444</v>
      </c>
      <c r="AP26" s="4">
        <f>AO26+'QTR P&amp;L'!AS11</f>
        <v>23696515.086513672</v>
      </c>
    </row>
    <row r="27" spans="1:42" x14ac:dyDescent="0.25">
      <c r="A27" s="3" t="s">
        <v>61</v>
      </c>
      <c r="B27" s="4">
        <f>'QTR BS'!B31</f>
        <v>3034</v>
      </c>
      <c r="C27" s="4">
        <f>'QTR BS'!C31</f>
        <v>-24874</v>
      </c>
      <c r="D27" s="4">
        <f>'QTR BS'!D31</f>
        <v>-16822</v>
      </c>
      <c r="E27" s="4">
        <f>'QTR BS'!E31</f>
        <v>-43495</v>
      </c>
      <c r="F27" s="4">
        <f>'QTR BS'!F31</f>
        <v>-69165</v>
      </c>
      <c r="G27" s="4">
        <f>'QTR BS'!G31</f>
        <v>-72145</v>
      </c>
      <c r="H27" s="4">
        <f>'QTR BS'!H31</f>
        <v>-152957</v>
      </c>
      <c r="I27" s="4">
        <f>'QTR BS'!I31</f>
        <v>-224455</v>
      </c>
      <c r="J27" s="4">
        <f>'QTR BS'!J31</f>
        <v>-159073</v>
      </c>
      <c r="K27" s="4">
        <f>'QTR BS'!K31</f>
        <v>-147911</v>
      </c>
      <c r="L27" s="4">
        <f>'QTR BS'!L31</f>
        <v>-155725</v>
      </c>
      <c r="M27" s="4">
        <f>'QTR BS'!M31</f>
        <v>-198033</v>
      </c>
      <c r="N27" s="4">
        <f>'QTR BS'!N31</f>
        <v>-125337</v>
      </c>
      <c r="O27" s="4">
        <f>'QTR BS'!O31</f>
        <v>-157940</v>
      </c>
      <c r="P27" s="4">
        <f>'QTR BS'!P31</f>
        <v>-182304</v>
      </c>
      <c r="Q27" s="4">
        <f>'QTR BS'!Q31</f>
        <v>-137842</v>
      </c>
      <c r="R27" s="4">
        <f>'QTR BS'!R31</f>
        <v>-269487</v>
      </c>
      <c r="S27" s="4">
        <f>'QTR BS'!S31</f>
        <v>-202946</v>
      </c>
      <c r="T27" s="4">
        <f>'QTR BS'!T31</f>
        <v>-91308</v>
      </c>
      <c r="U27" s="4">
        <f>'QTR BS'!U31</f>
        <v>-93382</v>
      </c>
      <c r="V27" s="4">
        <f>'QTR BS'!V31</f>
        <v>-60841</v>
      </c>
      <c r="W27" s="4">
        <f>V27+'QTR CF'!Z42</f>
        <v>-35727</v>
      </c>
      <c r="X27" s="4">
        <f>W27+'QTR CF'!AA42</f>
        <v>-10613</v>
      </c>
      <c r="Y27" s="4">
        <f>X27+'QTR CF'!AB42</f>
        <v>14501</v>
      </c>
      <c r="Z27" s="4">
        <f>Y27+'QTR CF'!AC42</f>
        <v>39615</v>
      </c>
      <c r="AA27" s="4">
        <f>Z27+'QTR CF'!AD42</f>
        <v>64729</v>
      </c>
      <c r="AB27" s="4">
        <f>AA27+'QTR CF'!AE42</f>
        <v>89843</v>
      </c>
      <c r="AC27" s="4">
        <f>AB27+'QTR CF'!AF42</f>
        <v>114957</v>
      </c>
      <c r="AD27" s="4">
        <f>AC27+'QTR CF'!AG42</f>
        <v>140071</v>
      </c>
      <c r="AE27" s="4">
        <f>AD27+'QTR CF'!AH42</f>
        <v>165185</v>
      </c>
      <c r="AF27" s="4">
        <f>AE27+'QTR CF'!AI42</f>
        <v>190299</v>
      </c>
      <c r="AG27" s="4">
        <f>AF27+'QTR CF'!AJ42</f>
        <v>215413</v>
      </c>
      <c r="AH27" s="4">
        <f>AG27+'QTR CF'!AK42</f>
        <v>240527</v>
      </c>
      <c r="AI27" s="4">
        <f>AH27+'QTR CF'!AL42</f>
        <v>265641</v>
      </c>
      <c r="AJ27" s="4">
        <f>AI27+'QTR CF'!AM42</f>
        <v>290755</v>
      </c>
      <c r="AK27" s="4">
        <f>AJ27+'QTR CF'!AN42</f>
        <v>315869</v>
      </c>
      <c r="AL27" s="4">
        <f>AK27+'QTR CF'!AO42</f>
        <v>340983</v>
      </c>
      <c r="AM27" s="4">
        <f>AL27+'QTR CF'!AP42</f>
        <v>366097</v>
      </c>
      <c r="AN27" s="4">
        <f>AM27+'QTR CF'!AQ42</f>
        <v>391211</v>
      </c>
      <c r="AO27" s="4">
        <f>AN27+'QTR CF'!AR42</f>
        <v>416325</v>
      </c>
      <c r="AP27" s="4">
        <f>AO27+'QTR CF'!AS42</f>
        <v>441439</v>
      </c>
    </row>
    <row r="28" spans="1:42" x14ac:dyDescent="0.25">
      <c r="A28" s="3" t="s">
        <v>62</v>
      </c>
      <c r="B28" s="4">
        <f>'QTR BS'!B32</f>
        <v>-5815423</v>
      </c>
      <c r="C28" s="4">
        <f>'QTR BS'!C32</f>
        <v>-5828842</v>
      </c>
      <c r="D28" s="4">
        <f>'QTR BS'!D32</f>
        <v>-5829241</v>
      </c>
      <c r="E28" s="4">
        <f>'QTR BS'!E32</f>
        <v>-5829241</v>
      </c>
      <c r="F28" s="4">
        <f>'QTR BS'!F32</f>
        <v>-5829253</v>
      </c>
      <c r="G28" s="4">
        <f>'QTR BS'!G32</f>
        <v>-5841440</v>
      </c>
      <c r="H28" s="4">
        <f>'QTR BS'!H32</f>
        <v>-6125751</v>
      </c>
      <c r="I28" s="4">
        <f>'QTR BS'!I32</f>
        <v>-6398631</v>
      </c>
      <c r="J28" s="4">
        <f>'QTR BS'!J32</f>
        <v>-6600281</v>
      </c>
      <c r="K28" s="4">
        <f>'QTR BS'!K32</f>
        <v>-1997809</v>
      </c>
      <c r="L28" s="4">
        <f>'QTR BS'!L32</f>
        <v>-1998256</v>
      </c>
      <c r="M28" s="4">
        <f>'QTR BS'!M32</f>
        <v>-2400456</v>
      </c>
      <c r="N28" s="4">
        <f>'QTR BS'!N32</f>
        <v>-2566383</v>
      </c>
      <c r="O28" s="4">
        <f>'QTR BS'!O32</f>
        <v>-2686628</v>
      </c>
      <c r="P28" s="4">
        <f>'QTR BS'!P32</f>
        <v>-5832445</v>
      </c>
      <c r="Q28" s="4">
        <f>'QTR BS'!Q32</f>
        <v>-6372416</v>
      </c>
      <c r="R28" s="4">
        <f>'QTR BS'!R32</f>
        <v>-6372133</v>
      </c>
      <c r="S28" s="4">
        <f>'QTR BS'!S32</f>
        <v>-6388766</v>
      </c>
      <c r="T28" s="4">
        <f>'QTR BS'!T32</f>
        <v>-6388766</v>
      </c>
      <c r="U28" s="4">
        <f>'QTR BS'!U32</f>
        <v>-6416054</v>
      </c>
      <c r="V28" s="4">
        <f>'QTR BS'!V32</f>
        <v>-6475779</v>
      </c>
      <c r="W28" s="15">
        <f t="shared" ref="W28:AP28" si="20">V28</f>
        <v>-6475779</v>
      </c>
      <c r="X28" s="15">
        <f t="shared" si="20"/>
        <v>-6475779</v>
      </c>
      <c r="Y28" s="15">
        <f t="shared" si="20"/>
        <v>-6475779</v>
      </c>
      <c r="Z28" s="15">
        <f t="shared" si="20"/>
        <v>-6475779</v>
      </c>
      <c r="AA28" s="15">
        <f t="shared" si="20"/>
        <v>-6475779</v>
      </c>
      <c r="AB28" s="15">
        <f t="shared" si="20"/>
        <v>-6475779</v>
      </c>
      <c r="AC28" s="15">
        <f t="shared" si="20"/>
        <v>-6475779</v>
      </c>
      <c r="AD28" s="15">
        <f t="shared" si="20"/>
        <v>-6475779</v>
      </c>
      <c r="AE28" s="15">
        <f t="shared" si="20"/>
        <v>-6475779</v>
      </c>
      <c r="AF28" s="15">
        <f t="shared" si="20"/>
        <v>-6475779</v>
      </c>
      <c r="AG28" s="15">
        <f t="shared" si="20"/>
        <v>-6475779</v>
      </c>
      <c r="AH28" s="15">
        <f t="shared" si="20"/>
        <v>-6475779</v>
      </c>
      <c r="AI28" s="15">
        <f t="shared" si="20"/>
        <v>-6475779</v>
      </c>
      <c r="AJ28" s="15">
        <f t="shared" si="20"/>
        <v>-6475779</v>
      </c>
      <c r="AK28" s="15">
        <f t="shared" si="20"/>
        <v>-6475779</v>
      </c>
      <c r="AL28" s="15">
        <f t="shared" si="20"/>
        <v>-6475779</v>
      </c>
      <c r="AM28" s="15">
        <f t="shared" si="20"/>
        <v>-6475779</v>
      </c>
      <c r="AN28" s="15">
        <f t="shared" si="20"/>
        <v>-6475779</v>
      </c>
      <c r="AO28" s="15">
        <f t="shared" si="20"/>
        <v>-6475779</v>
      </c>
      <c r="AP28" s="15">
        <f t="shared" si="20"/>
        <v>-6475779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S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45" width="13" customWidth="1"/>
  </cols>
  <sheetData>
    <row r="1" spans="1:45" x14ac:dyDescent="0.25">
      <c r="A1" s="1" t="s">
        <v>145</v>
      </c>
      <c r="B1" s="2" t="s">
        <v>97</v>
      </c>
      <c r="C1" s="2" t="s">
        <v>98</v>
      </c>
      <c r="D1" s="2" t="s">
        <v>99</v>
      </c>
      <c r="E1" s="2" t="s">
        <v>115</v>
      </c>
      <c r="F1" s="2" t="s">
        <v>100</v>
      </c>
      <c r="G1" s="2" t="s">
        <v>101</v>
      </c>
      <c r="H1" s="2" t="s">
        <v>102</v>
      </c>
      <c r="I1" s="2" t="s">
        <v>116</v>
      </c>
      <c r="J1" s="2" t="s">
        <v>103</v>
      </c>
      <c r="K1" s="2" t="s">
        <v>104</v>
      </c>
      <c r="L1" s="2" t="s">
        <v>105</v>
      </c>
      <c r="M1" s="2" t="s">
        <v>117</v>
      </c>
      <c r="N1" s="2" t="s">
        <v>106</v>
      </c>
      <c r="O1" s="2" t="s">
        <v>107</v>
      </c>
      <c r="P1" s="2" t="s">
        <v>108</v>
      </c>
      <c r="Q1" s="2" t="s">
        <v>118</v>
      </c>
      <c r="R1" s="2" t="s">
        <v>109</v>
      </c>
      <c r="S1" s="2" t="s">
        <v>110</v>
      </c>
      <c r="T1" s="2" t="s">
        <v>111</v>
      </c>
      <c r="U1" s="2" t="s">
        <v>119</v>
      </c>
      <c r="V1" s="2" t="s">
        <v>112</v>
      </c>
      <c r="W1" s="2" t="s">
        <v>113</v>
      </c>
      <c r="X1" s="2" t="s">
        <v>114</v>
      </c>
      <c r="Y1" s="2" t="s">
        <v>124</v>
      </c>
      <c r="Z1" s="2" t="s">
        <v>125</v>
      </c>
      <c r="AA1" s="2" t="s">
        <v>126</v>
      </c>
      <c r="AB1" s="2" t="s">
        <v>127</v>
      </c>
      <c r="AC1" s="2" t="s">
        <v>128</v>
      </c>
      <c r="AD1" s="2" t="s">
        <v>129</v>
      </c>
      <c r="AE1" s="2" t="s">
        <v>130</v>
      </c>
      <c r="AF1" s="2" t="s">
        <v>131</v>
      </c>
      <c r="AG1" s="2" t="s">
        <v>132</v>
      </c>
      <c r="AH1" s="2" t="s">
        <v>133</v>
      </c>
      <c r="AI1" s="2" t="s">
        <v>134</v>
      </c>
      <c r="AJ1" s="2" t="s">
        <v>135</v>
      </c>
      <c r="AK1" s="2" t="s">
        <v>136</v>
      </c>
      <c r="AL1" s="2" t="s">
        <v>137</v>
      </c>
      <c r="AM1" s="2" t="s">
        <v>138</v>
      </c>
      <c r="AN1" s="2" t="s">
        <v>139</v>
      </c>
      <c r="AO1" s="2" t="s">
        <v>140</v>
      </c>
      <c r="AP1" s="2" t="s">
        <v>141</v>
      </c>
      <c r="AQ1" s="2" t="s">
        <v>142</v>
      </c>
      <c r="AR1" s="2" t="s">
        <v>143</v>
      </c>
      <c r="AS1" s="2" t="s">
        <v>144</v>
      </c>
    </row>
    <row r="2" spans="1:45" x14ac:dyDescent="0.25">
      <c r="A2" s="3" t="s">
        <v>27</v>
      </c>
      <c r="B2" s="4">
        <f>'QTR CF'!B2</f>
        <v>278835</v>
      </c>
      <c r="C2" s="4">
        <f>'QTR CF'!C2</f>
        <v>311369</v>
      </c>
      <c r="D2" s="4">
        <f>'QTR CF'!D2</f>
        <v>347654</v>
      </c>
      <c r="E2" s="4">
        <f>'QTR CF'!E2</f>
        <v>471736</v>
      </c>
      <c r="F2" s="4">
        <f>'QTR CF'!F2</f>
        <v>315194</v>
      </c>
      <c r="G2" s="4">
        <f>'QTR CF'!G2</f>
        <v>403762</v>
      </c>
      <c r="H2" s="4">
        <f>'QTR CF'!H2</f>
        <v>337205</v>
      </c>
      <c r="I2" s="4">
        <f>'QTR CF'!I2</f>
        <v>321314</v>
      </c>
      <c r="J2" s="4">
        <f>'QTR CF'!J2</f>
        <v>294203</v>
      </c>
      <c r="K2" s="4">
        <f>'QTR CF'!K2</f>
        <v>273360</v>
      </c>
      <c r="L2" s="4">
        <f>'QTR CF'!L2</f>
        <v>322387</v>
      </c>
      <c r="M2" s="4">
        <f>'QTR CF'!M2</f>
        <v>301674</v>
      </c>
      <c r="N2" s="4">
        <f>'QTR CF'!N2</f>
        <v>397444</v>
      </c>
      <c r="O2" s="4">
        <f>'QTR CF'!O2</f>
        <v>413871</v>
      </c>
      <c r="P2" s="4">
        <f>'QTR CF'!P2</f>
        <v>452694</v>
      </c>
      <c r="Q2" s="4">
        <f>'QTR CF'!Q2</f>
        <v>366979</v>
      </c>
      <c r="R2" s="4">
        <f>'QTR CF'!R2</f>
        <v>442049</v>
      </c>
      <c r="S2" s="4">
        <f>'QTR CF'!S2</f>
        <v>425369</v>
      </c>
      <c r="T2" s="4">
        <f>'QTR CF'!T2</f>
        <v>370919</v>
      </c>
      <c r="U2" s="4">
        <f>'QTR CF'!U2</f>
        <v>270711</v>
      </c>
      <c r="V2" s="4">
        <f>'QTR CF'!V2</f>
        <v>442993</v>
      </c>
      <c r="W2" s="4">
        <f>'QTR CF'!W2</f>
        <v>488794</v>
      </c>
      <c r="X2" s="4">
        <f>'QTR CF'!X2</f>
        <v>524455</v>
      </c>
      <c r="Y2" s="4">
        <f>'QTR CF'!Y2</f>
        <v>449190</v>
      </c>
      <c r="Z2" s="4">
        <f>'QTR P&amp;L'!Z11</f>
        <v>459253.84532008163</v>
      </c>
      <c r="AA2" s="4">
        <f>'QTR P&amp;L'!AA11</f>
        <v>520094.22488594597</v>
      </c>
      <c r="AB2" s="4">
        <f>'QTR P&amp;L'!AB11</f>
        <v>540343.58018952655</v>
      </c>
      <c r="AC2" s="4">
        <f>'QTR P&amp;L'!AC11</f>
        <v>524700.67627654527</v>
      </c>
      <c r="AD2" s="4">
        <f>'QTR P&amp;L'!AD11</f>
        <v>536536.27368350013</v>
      </c>
      <c r="AE2" s="4">
        <f>'QTR P&amp;L'!AE11</f>
        <v>608087.67533223424</v>
      </c>
      <c r="AF2" s="4">
        <f>'QTR P&amp;L'!AF11</f>
        <v>631901.95402005711</v>
      </c>
      <c r="AG2" s="4">
        <f>'QTR P&amp;L'!AG11</f>
        <v>613505.09803695814</v>
      </c>
      <c r="AH2" s="4">
        <f>'QTR P&amp;L'!AH11</f>
        <v>627424.36661911674</v>
      </c>
      <c r="AI2" s="4">
        <f>'QTR P&amp;L'!AI11</f>
        <v>711572.47868597391</v>
      </c>
      <c r="AJ2" s="4">
        <f>'QTR P&amp;L'!AJ11</f>
        <v>739579.28981249977</v>
      </c>
      <c r="AK2" s="4">
        <f>'QTR P&amp;L'!AK11</f>
        <v>717943.64518119651</v>
      </c>
      <c r="AL2" s="4">
        <f>'QTR P&amp;L'!AL11</f>
        <v>734313.41775798448</v>
      </c>
      <c r="AM2" s="4">
        <f>'QTR P&amp;L'!AM11</f>
        <v>833275.90628027054</v>
      </c>
      <c r="AN2" s="4">
        <f>'QTR P&amp;L'!AN11</f>
        <v>866213.35022972664</v>
      </c>
      <c r="AO2" s="4">
        <f>'QTR P&amp;L'!AO11</f>
        <v>840768.72430875013</v>
      </c>
      <c r="AP2" s="4">
        <f>'QTR P&amp;L'!AP11</f>
        <v>860020.41505916975</v>
      </c>
      <c r="AQ2" s="4">
        <f>'QTR P&amp;L'!AQ11</f>
        <v>976405.36885043816</v>
      </c>
      <c r="AR2" s="4">
        <f>'QTR P&amp;L'!AR11</f>
        <v>1015141.4894684708</v>
      </c>
      <c r="AS2" s="4">
        <f>'QTR P&amp;L'!AS11</f>
        <v>985217.30651522917</v>
      </c>
    </row>
    <row r="3" spans="1:45" x14ac:dyDescent="0.25">
      <c r="A3" s="3" t="s">
        <v>166</v>
      </c>
      <c r="B3" s="13">
        <f>IFERROR('QTR CF'!B3/'QTR P&amp;L'!B2,"")</f>
        <v>1.5578614759292231E-2</v>
      </c>
      <c r="C3" s="13">
        <f>IFERROR('QTR CF'!C3/'QTR P&amp;L'!C2,"")</f>
        <v>1.4179592941193678E-2</v>
      </c>
      <c r="D3" s="13">
        <f>IFERROR('QTR CF'!D3/'QTR P&amp;L'!D2,"")</f>
        <v>1.1089875975037749E-2</v>
      </c>
      <c r="E3" s="13">
        <f>IFERROR('QTR CF'!E3/'QTR P&amp;L'!E2,"")</f>
        <v>9.3213729527210527E-3</v>
      </c>
      <c r="F3" s="13">
        <f>IFERROR('QTR CF'!F3/'QTR P&amp;L'!F2,"")</f>
        <v>1.1076397151990327E-2</v>
      </c>
      <c r="G3" s="13">
        <f>IFERROR('QTR CF'!G3/'QTR P&amp;L'!G2,"")</f>
        <v>9.3793499710999456E-3</v>
      </c>
      <c r="H3" s="13">
        <f>IFERROR('QTR CF'!H3/'QTR P&amp;L'!H2,"")</f>
        <v>9.377146758337309E-3</v>
      </c>
      <c r="I3" s="13">
        <f>IFERROR('QTR CF'!I3/'QTR P&amp;L'!I2,"")</f>
        <v>6.623655129245132E-3</v>
      </c>
      <c r="J3" s="13">
        <f>IFERROR('QTR CF'!J3/'QTR P&amp;L'!J2,"")</f>
        <v>9.6136243607489666E-3</v>
      </c>
      <c r="K3" s="13">
        <f>IFERROR('QTR CF'!K3/'QTR P&amp;L'!K2,"")</f>
        <v>9.5652704501229119E-3</v>
      </c>
      <c r="L3" s="13">
        <f>IFERROR('QTR CF'!L3/'QTR P&amp;L'!L2,"")</f>
        <v>9.6091451874854555E-3</v>
      </c>
      <c r="M3" s="13">
        <f>IFERROR('QTR CF'!M3/'QTR P&amp;L'!M2,"")</f>
        <v>1.0047384844384839E-2</v>
      </c>
      <c r="N3" s="13">
        <f>IFERROR('QTR CF'!N3/'QTR P&amp;L'!N2,"")</f>
        <v>9.8932857739871573E-3</v>
      </c>
      <c r="O3" s="13">
        <f>IFERROR('QTR CF'!O3/'QTR P&amp;L'!O2,"")</f>
        <v>8.3969420381344948E-3</v>
      </c>
      <c r="P3" s="13">
        <f>IFERROR('QTR CF'!P3/'QTR P&amp;L'!P2,"")</f>
        <v>9.6873538545754704E-3</v>
      </c>
      <c r="Q3" s="13">
        <f>IFERROR('QTR CF'!Q3/'QTR P&amp;L'!Q2,"")</f>
        <v>1.0712626032594498E-2</v>
      </c>
      <c r="R3" s="13">
        <f>IFERROR('QTR CF'!R3/'QTR P&amp;L'!R2,"")</f>
        <v>1.0781434133467573E-2</v>
      </c>
      <c r="S3" s="13">
        <f>IFERROR('QTR CF'!S3/'QTR P&amp;L'!S2,"")</f>
        <v>1.0227312786456045E-2</v>
      </c>
      <c r="T3" s="13">
        <f>IFERROR('QTR CF'!T3/'QTR P&amp;L'!T2,"")</f>
        <v>1.0584415618937646E-2</v>
      </c>
      <c r="U3" s="13">
        <f>IFERROR('QTR CF'!U3/'QTR P&amp;L'!U2,"")</f>
        <v>1.1375018556423392E-2</v>
      </c>
      <c r="V3" s="13">
        <f>IFERROR('QTR CF'!V3/'QTR P&amp;L'!V2,"")</f>
        <v>1.3398340736714625E-2</v>
      </c>
      <c r="W3" s="13">
        <f>IFERROR('QTR CF'!W3/'QTR P&amp;L'!W2,"")</f>
        <v>1.3050343058696946E-2</v>
      </c>
      <c r="X3" s="13">
        <f>IFERROR('QTR CF'!X3/'QTR P&amp;L'!X2,"")</f>
        <v>1.3480251599807022E-2</v>
      </c>
      <c r="Y3" s="13">
        <f>IFERROR('QTR CF'!Y3/'QTR P&amp;L'!Y2,"")</f>
        <v>1.5212197913425898E-2</v>
      </c>
      <c r="Z3" s="14">
        <f t="shared" ref="Z3:AS3" si="0">Y3</f>
        <v>1.5212197913425898E-2</v>
      </c>
      <c r="AA3" s="14">
        <f t="shared" si="0"/>
        <v>1.5212197913425898E-2</v>
      </c>
      <c r="AB3" s="14">
        <f t="shared" si="0"/>
        <v>1.5212197913425898E-2</v>
      </c>
      <c r="AC3" s="14">
        <f t="shared" si="0"/>
        <v>1.5212197913425898E-2</v>
      </c>
      <c r="AD3" s="14">
        <f t="shared" si="0"/>
        <v>1.5212197913425898E-2</v>
      </c>
      <c r="AE3" s="14">
        <f t="shared" si="0"/>
        <v>1.5212197913425898E-2</v>
      </c>
      <c r="AF3" s="14">
        <f t="shared" si="0"/>
        <v>1.5212197913425898E-2</v>
      </c>
      <c r="AG3" s="14">
        <f t="shared" si="0"/>
        <v>1.5212197913425898E-2</v>
      </c>
      <c r="AH3" s="14">
        <f t="shared" si="0"/>
        <v>1.5212197913425898E-2</v>
      </c>
      <c r="AI3" s="14">
        <f t="shared" si="0"/>
        <v>1.5212197913425898E-2</v>
      </c>
      <c r="AJ3" s="14">
        <f t="shared" si="0"/>
        <v>1.5212197913425898E-2</v>
      </c>
      <c r="AK3" s="14">
        <f t="shared" si="0"/>
        <v>1.5212197913425898E-2</v>
      </c>
      <c r="AL3" s="14">
        <f t="shared" si="0"/>
        <v>1.5212197913425898E-2</v>
      </c>
      <c r="AM3" s="14">
        <f t="shared" si="0"/>
        <v>1.5212197913425898E-2</v>
      </c>
      <c r="AN3" s="14">
        <f t="shared" si="0"/>
        <v>1.5212197913425898E-2</v>
      </c>
      <c r="AO3" s="14">
        <f t="shared" si="0"/>
        <v>1.5212197913425898E-2</v>
      </c>
      <c r="AP3" s="14">
        <f t="shared" si="0"/>
        <v>1.5212197913425898E-2</v>
      </c>
      <c r="AQ3" s="14">
        <f t="shared" si="0"/>
        <v>1.5212197913425898E-2</v>
      </c>
      <c r="AR3" s="14">
        <f t="shared" si="0"/>
        <v>1.5212197913425898E-2</v>
      </c>
      <c r="AS3" s="14">
        <f t="shared" si="0"/>
        <v>1.5212197913425898E-2</v>
      </c>
    </row>
    <row r="4" spans="1:45" x14ac:dyDescent="0.25">
      <c r="A4" s="3" t="s">
        <v>66</v>
      </c>
      <c r="B4" s="4">
        <f>'QTR CF'!B4</f>
        <v>0</v>
      </c>
      <c r="C4" s="4">
        <f>'QTR CF'!C4</f>
        <v>0</v>
      </c>
      <c r="D4" s="4">
        <f>'QTR CF'!D4</f>
        <v>0</v>
      </c>
      <c r="E4" s="4">
        <f>'QTR CF'!E4</f>
        <v>3943</v>
      </c>
      <c r="F4" s="4">
        <f>'QTR CF'!F4</f>
        <v>0</v>
      </c>
      <c r="G4" s="4">
        <f>'QTR CF'!G4</f>
        <v>0</v>
      </c>
      <c r="H4" s="4">
        <f>'QTR CF'!H4</f>
        <v>0</v>
      </c>
      <c r="I4" s="4">
        <f>'QTR CF'!I4</f>
        <v>4107</v>
      </c>
      <c r="J4" s="4">
        <f>'QTR CF'!J4</f>
        <v>1481</v>
      </c>
      <c r="K4" s="4">
        <f>'QTR CF'!K4</f>
        <v>1741</v>
      </c>
      <c r="L4" s="4">
        <f>'QTR CF'!L4</f>
        <v>1958</v>
      </c>
      <c r="M4" s="4">
        <f>'QTR CF'!M4</f>
        <v>2157</v>
      </c>
      <c r="N4" s="4">
        <f>'QTR CF'!N4</f>
        <v>2160</v>
      </c>
      <c r="O4" s="4">
        <f>'QTR CF'!O4</f>
        <v>668</v>
      </c>
      <c r="P4" s="4">
        <f>'QTR CF'!P4</f>
        <v>3643</v>
      </c>
      <c r="Q4" s="4">
        <f>'QTR CF'!Q4</f>
        <v>2572</v>
      </c>
      <c r="R4" s="4">
        <f>'QTR CF'!R4</f>
        <v>3185</v>
      </c>
      <c r="S4" s="4">
        <f>'QTR CF'!S4</f>
        <v>3414</v>
      </c>
      <c r="T4" s="4">
        <f>'QTR CF'!T4</f>
        <v>3202</v>
      </c>
      <c r="U4" s="4">
        <f>'QTR CF'!U4</f>
        <v>3720</v>
      </c>
      <c r="V4" s="4">
        <f>'QTR CF'!V4</f>
        <v>4014</v>
      </c>
      <c r="W4" s="4">
        <f>'QTR CF'!W4</f>
        <v>2952</v>
      </c>
      <c r="X4" s="4">
        <f>'QTR CF'!X4</f>
        <v>3300</v>
      </c>
      <c r="Y4" s="4">
        <f>'QTR CF'!Y4</f>
        <v>5132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</row>
    <row r="5" spans="1:45" x14ac:dyDescent="0.25">
      <c r="A5" s="3" t="s">
        <v>67</v>
      </c>
      <c r="B5" s="4">
        <f>'QTR CF'!B5</f>
        <v>-58</v>
      </c>
      <c r="C5" s="4">
        <f>'QTR CF'!C5</f>
        <v>-121</v>
      </c>
      <c r="D5" s="4">
        <f>'QTR CF'!D5</f>
        <v>-31</v>
      </c>
      <c r="E5" s="4">
        <f>'QTR CF'!E5</f>
        <v>-140</v>
      </c>
      <c r="F5" s="4">
        <f>'QTR CF'!F5</f>
        <v>-88</v>
      </c>
      <c r="G5" s="4">
        <f>'QTR CF'!G5</f>
        <v>-734</v>
      </c>
      <c r="H5" s="4">
        <f>'QTR CF'!H5</f>
        <v>-162</v>
      </c>
      <c r="I5" s="4">
        <f>'QTR CF'!I5</f>
        <v>-29</v>
      </c>
      <c r="J5" s="4">
        <f>'QTR CF'!J5</f>
        <v>-6</v>
      </c>
      <c r="K5" s="4">
        <f>'QTR CF'!K5</f>
        <v>-63</v>
      </c>
      <c r="L5" s="4">
        <f>'QTR CF'!L5</f>
        <v>-184</v>
      </c>
      <c r="M5" s="4">
        <f>'QTR CF'!M5</f>
        <v>68</v>
      </c>
      <c r="N5" s="4">
        <f>'QTR CF'!N5</f>
        <v>-385</v>
      </c>
      <c r="O5" s="4">
        <f>'QTR CF'!O5</f>
        <v>-382</v>
      </c>
      <c r="P5" s="4">
        <f>'QTR CF'!P5</f>
        <v>81</v>
      </c>
      <c r="Q5" s="4">
        <f>'QTR CF'!Q5</f>
        <v>852</v>
      </c>
      <c r="R5" s="4">
        <f>'QTR CF'!R5</f>
        <v>-177</v>
      </c>
      <c r="S5" s="4">
        <f>'QTR CF'!S5</f>
        <v>2026</v>
      </c>
      <c r="T5" s="4">
        <f>'QTR CF'!T5</f>
        <v>221</v>
      </c>
      <c r="U5" s="4">
        <f>'QTR CF'!U5</f>
        <v>1258</v>
      </c>
      <c r="V5" s="4">
        <f>'QTR CF'!V5</f>
        <v>324</v>
      </c>
      <c r="W5" s="4">
        <f>'QTR CF'!W5</f>
        <v>-965</v>
      </c>
      <c r="X5" s="4">
        <f>'QTR CF'!X5</f>
        <v>-275</v>
      </c>
      <c r="Y5" s="4">
        <f>'QTR CF'!Y5</f>
        <v>3697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</row>
    <row r="6" spans="1:45" x14ac:dyDescent="0.25">
      <c r="A6" s="3" t="s">
        <v>68</v>
      </c>
      <c r="B6" s="4">
        <f>'QTR CF'!B6</f>
        <v>0</v>
      </c>
      <c r="C6" s="4">
        <f>'QTR CF'!C6</f>
        <v>0</v>
      </c>
      <c r="D6" s="4">
        <f>'QTR CF'!D6</f>
        <v>0</v>
      </c>
      <c r="E6" s="4">
        <f>'QTR CF'!E6</f>
        <v>0</v>
      </c>
      <c r="F6" s="4">
        <f>'QTR CF'!F6</f>
        <v>0</v>
      </c>
      <c r="G6" s="4">
        <f>'QTR CF'!G6</f>
        <v>0</v>
      </c>
      <c r="H6" s="4">
        <f>'QTR CF'!H6</f>
        <v>0</v>
      </c>
      <c r="I6" s="4">
        <f>'QTR CF'!I6</f>
        <v>0</v>
      </c>
      <c r="J6" s="4">
        <f>'QTR CF'!J6</f>
        <v>0</v>
      </c>
      <c r="K6" s="4">
        <f>'QTR CF'!K6</f>
        <v>0</v>
      </c>
      <c r="L6" s="4">
        <f>'QTR CF'!L6</f>
        <v>0</v>
      </c>
      <c r="M6" s="4">
        <f>'QTR CF'!M6</f>
        <v>0</v>
      </c>
      <c r="N6" s="4">
        <f>'QTR CF'!N6</f>
        <v>0</v>
      </c>
      <c r="O6" s="4">
        <f>'QTR CF'!O6</f>
        <v>0</v>
      </c>
      <c r="P6" s="4">
        <f>'QTR CF'!P6</f>
        <v>-45382</v>
      </c>
      <c r="Q6" s="4">
        <f>'QTR CF'!Q6</f>
        <v>0</v>
      </c>
      <c r="R6" s="4">
        <f>'QTR CF'!R6</f>
        <v>0</v>
      </c>
      <c r="S6" s="4">
        <f>'QTR CF'!S6</f>
        <v>0</v>
      </c>
      <c r="T6" s="4">
        <f>'QTR CF'!T6</f>
        <v>0</v>
      </c>
      <c r="U6" s="4">
        <f>'QTR CF'!U6</f>
        <v>0</v>
      </c>
      <c r="V6" s="4">
        <f>'QTR CF'!V6</f>
        <v>0</v>
      </c>
      <c r="W6" s="4">
        <f>'QTR CF'!W6</f>
        <v>0</v>
      </c>
      <c r="X6" s="4">
        <f>'QTR CF'!X6</f>
        <v>0</v>
      </c>
      <c r="Y6" s="4">
        <f>'QTR CF'!Y6</f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</row>
    <row r="7" spans="1:45" x14ac:dyDescent="0.25">
      <c r="A7" s="3" t="s">
        <v>69</v>
      </c>
      <c r="B7" s="4">
        <f>'QTR CF'!B7</f>
        <v>3000</v>
      </c>
      <c r="C7" s="4">
        <f>'QTR CF'!C7</f>
        <v>1000</v>
      </c>
      <c r="D7" s="4">
        <f>'QTR CF'!D7</f>
        <v>3000</v>
      </c>
      <c r="E7" s="4">
        <f>'QTR CF'!E7</f>
        <v>1700</v>
      </c>
      <c r="F7" s="4">
        <f>'QTR CF'!F7</f>
        <v>0</v>
      </c>
      <c r="G7" s="4">
        <f>'QTR CF'!G7</f>
        <v>0</v>
      </c>
      <c r="H7" s="4">
        <f>'QTR CF'!H7</f>
        <v>0</v>
      </c>
      <c r="I7" s="4">
        <f>'QTR CF'!I7</f>
        <v>0</v>
      </c>
      <c r="J7" s="4">
        <f>'QTR CF'!J7</f>
        <v>0</v>
      </c>
      <c r="K7" s="4">
        <f>'QTR CF'!K7</f>
        <v>0</v>
      </c>
      <c r="L7" s="4">
        <f>'QTR CF'!L7</f>
        <v>0</v>
      </c>
      <c r="M7" s="4">
        <f>'QTR CF'!M7</f>
        <v>2200</v>
      </c>
      <c r="N7" s="4">
        <f>'QTR CF'!N7</f>
        <v>0</v>
      </c>
      <c r="O7" s="4">
        <f>'QTR CF'!O7</f>
        <v>2800</v>
      </c>
      <c r="P7" s="4">
        <f>'QTR CF'!P7</f>
        <v>0</v>
      </c>
      <c r="Q7" s="4">
        <f>'QTR CF'!Q7</f>
        <v>35900</v>
      </c>
      <c r="R7" s="4">
        <f>'QTR CF'!R7</f>
        <v>0</v>
      </c>
      <c r="S7" s="4">
        <f>'QTR CF'!S7</f>
        <v>0</v>
      </c>
      <c r="T7" s="4">
        <f>'QTR CF'!T7</f>
        <v>0</v>
      </c>
      <c r="U7" s="4">
        <f>'QTR CF'!U7</f>
        <v>127098</v>
      </c>
      <c r="V7" s="4">
        <f>'QTR CF'!V7</f>
        <v>0</v>
      </c>
      <c r="W7" s="4">
        <f>'QTR CF'!W7</f>
        <v>0</v>
      </c>
      <c r="X7" s="4">
        <f>'QTR CF'!X7</f>
        <v>0</v>
      </c>
      <c r="Y7" s="4">
        <f>'QTR CF'!Y7</f>
        <v>38411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</row>
    <row r="8" spans="1:45" x14ac:dyDescent="0.25">
      <c r="A8" s="3" t="s">
        <v>70</v>
      </c>
      <c r="B8" s="4">
        <f>'QTR CF'!B8</f>
        <v>0</v>
      </c>
      <c r="C8" s="4">
        <f>'QTR CF'!C8</f>
        <v>0</v>
      </c>
      <c r="D8" s="4">
        <f>'QTR CF'!D8</f>
        <v>0</v>
      </c>
      <c r="E8" s="4">
        <f>'QTR CF'!E8</f>
        <v>0</v>
      </c>
      <c r="F8" s="4">
        <f>'QTR CF'!F8</f>
        <v>0</v>
      </c>
      <c r="G8" s="4">
        <f>'QTR CF'!G8</f>
        <v>0</v>
      </c>
      <c r="H8" s="4">
        <f>'QTR CF'!H8</f>
        <v>0</v>
      </c>
      <c r="I8" s="4">
        <f>'QTR CF'!I8</f>
        <v>0</v>
      </c>
      <c r="J8" s="4">
        <f>'QTR CF'!J8</f>
        <v>0</v>
      </c>
      <c r="K8" s="4">
        <f>'QTR CF'!K8</f>
        <v>0</v>
      </c>
      <c r="L8" s="4">
        <f>'QTR CF'!L8</f>
        <v>0</v>
      </c>
      <c r="M8" s="4">
        <f>'QTR CF'!M8</f>
        <v>0</v>
      </c>
      <c r="N8" s="4">
        <f>'QTR CF'!N8</f>
        <v>0</v>
      </c>
      <c r="O8" s="4">
        <f>'QTR CF'!O8</f>
        <v>0</v>
      </c>
      <c r="P8" s="4">
        <f>'QTR CF'!P8</f>
        <v>0</v>
      </c>
      <c r="Q8" s="4">
        <f>'QTR CF'!Q8</f>
        <v>4336</v>
      </c>
      <c r="R8" s="4">
        <f>'QTR CF'!R8</f>
        <v>0</v>
      </c>
      <c r="S8" s="4">
        <f>'QTR CF'!S8</f>
        <v>6067</v>
      </c>
      <c r="T8" s="4">
        <f>'QTR CF'!T8</f>
        <v>0</v>
      </c>
      <c r="U8" s="4">
        <f>'QTR CF'!U8</f>
        <v>2117</v>
      </c>
      <c r="V8" s="4">
        <f>'QTR CF'!V8</f>
        <v>2279</v>
      </c>
      <c r="W8" s="4">
        <f>'QTR CF'!W8</f>
        <v>0</v>
      </c>
      <c r="X8" s="4">
        <f>'QTR CF'!X8</f>
        <v>0</v>
      </c>
      <c r="Y8" s="4">
        <f>'QTR CF'!Y8</f>
        <v>9750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</row>
    <row r="9" spans="1:45" x14ac:dyDescent="0.25">
      <c r="A9" s="3" t="s">
        <v>167</v>
      </c>
      <c r="B9" s="13">
        <f>IFERROR('QTR CF'!B9/'QTR P&amp;L'!B2,"")</f>
        <v>1.6098341300276715E-2</v>
      </c>
      <c r="C9" s="13">
        <f>IFERROR('QTR CF'!C9/'QTR P&amp;L'!C2,"")</f>
        <v>1.4568112507953224E-2</v>
      </c>
      <c r="D9" s="13">
        <f>IFERROR('QTR CF'!D9/'QTR P&amp;L'!D2,"")</f>
        <v>1.6053121003368202E-2</v>
      </c>
      <c r="E9" s="13">
        <f>IFERROR('QTR CF'!E9/'QTR P&amp;L'!E2,"")</f>
        <v>1.4417157144254327E-2</v>
      </c>
      <c r="F9" s="13">
        <f>IFERROR('QTR CF'!F9/'QTR P&amp;L'!F2,"")</f>
        <v>1.4762633701447803E-2</v>
      </c>
      <c r="G9" s="13">
        <f>IFERROR('QTR CF'!G9/'QTR P&amp;L'!G2,"")</f>
        <v>1.185346817744975E-2</v>
      </c>
      <c r="H9" s="13">
        <f>IFERROR('QTR CF'!H9/'QTR P&amp;L'!H2,"")</f>
        <v>1.1839294689969991E-2</v>
      </c>
      <c r="I9" s="13">
        <f>IFERROR('QTR CF'!I9/'QTR P&amp;L'!I2,"")</f>
        <v>1.2695748341805587E-2</v>
      </c>
      <c r="J9" s="13">
        <f>IFERROR('QTR CF'!J9/'QTR P&amp;L'!J2,"")</f>
        <v>1.0754826567556141E-2</v>
      </c>
      <c r="K9" s="13">
        <f>IFERROR('QTR CF'!K9/'QTR P&amp;L'!K2,"")</f>
        <v>9.8335064180288395E-3</v>
      </c>
      <c r="L9" s="13">
        <f>IFERROR('QTR CF'!L9/'QTR P&amp;L'!L2,"")</f>
        <v>1.0194017556021538E-2</v>
      </c>
      <c r="M9" s="13">
        <f>IFERROR('QTR CF'!M9/'QTR P&amp;L'!M2,"")</f>
        <v>9.8761939572921693E-3</v>
      </c>
      <c r="N9" s="13">
        <f>IFERROR('QTR CF'!N9/'QTR P&amp;L'!N2,"")</f>
        <v>9.4477112064652452E-3</v>
      </c>
      <c r="O9" s="13">
        <f>IFERROR('QTR CF'!O9/'QTR P&amp;L'!O2,"")</f>
        <v>1.0001288436791933E-2</v>
      </c>
      <c r="P9" s="13">
        <f>IFERROR('QTR CF'!P9/'QTR P&amp;L'!P2,"")</f>
        <v>9.623777227498723E-3</v>
      </c>
      <c r="Q9" s="13">
        <f>IFERROR('QTR CF'!Q9/'QTR P&amp;L'!Q2,"")</f>
        <v>9.4624150631058869E-3</v>
      </c>
      <c r="R9" s="13">
        <f>IFERROR('QTR CF'!R9/'QTR P&amp;L'!R2,"")</f>
        <v>1.1832985975447291E-2</v>
      </c>
      <c r="S9" s="13">
        <f>IFERROR('QTR CF'!S9/'QTR P&amp;L'!S2,"")</f>
        <v>9.8863672835430138E-3</v>
      </c>
      <c r="T9" s="13">
        <f>IFERROR('QTR CF'!T9/'QTR P&amp;L'!T2,"")</f>
        <v>1.4636573730723407E-2</v>
      </c>
      <c r="U9" s="13">
        <f>IFERROR('QTR CF'!U9/'QTR P&amp;L'!U2,"")</f>
        <v>1.2246963506896366E-2</v>
      </c>
      <c r="V9" s="13">
        <f>IFERROR('QTR CF'!V9/'QTR P&amp;L'!V2,"")</f>
        <v>1.1176247925381681E-2</v>
      </c>
      <c r="W9" s="13">
        <f>IFERROR('QTR CF'!W9/'QTR P&amp;L'!W2,"")</f>
        <v>1.5688163243656919E-2</v>
      </c>
      <c r="X9" s="13">
        <f>IFERROR('QTR CF'!X9/'QTR P&amp;L'!X2,"")</f>
        <v>1.4933049327762455E-2</v>
      </c>
      <c r="Y9" s="13">
        <f>IFERROR('QTR CF'!Y9/'QTR P&amp;L'!Y2,"")</f>
        <v>1.8311604638645777E-2</v>
      </c>
      <c r="Z9" s="14">
        <f t="shared" ref="Z9:AS9" si="1">Y9</f>
        <v>1.8311604638645777E-2</v>
      </c>
      <c r="AA9" s="14">
        <f t="shared" si="1"/>
        <v>1.8311604638645777E-2</v>
      </c>
      <c r="AB9" s="14">
        <f t="shared" si="1"/>
        <v>1.8311604638645777E-2</v>
      </c>
      <c r="AC9" s="14">
        <f t="shared" si="1"/>
        <v>1.8311604638645777E-2</v>
      </c>
      <c r="AD9" s="14">
        <f t="shared" si="1"/>
        <v>1.8311604638645777E-2</v>
      </c>
      <c r="AE9" s="14">
        <f t="shared" si="1"/>
        <v>1.8311604638645777E-2</v>
      </c>
      <c r="AF9" s="14">
        <f t="shared" si="1"/>
        <v>1.8311604638645777E-2</v>
      </c>
      <c r="AG9" s="14">
        <f t="shared" si="1"/>
        <v>1.8311604638645777E-2</v>
      </c>
      <c r="AH9" s="14">
        <f t="shared" si="1"/>
        <v>1.8311604638645777E-2</v>
      </c>
      <c r="AI9" s="14">
        <f t="shared" si="1"/>
        <v>1.8311604638645777E-2</v>
      </c>
      <c r="AJ9" s="14">
        <f t="shared" si="1"/>
        <v>1.8311604638645777E-2</v>
      </c>
      <c r="AK9" s="14">
        <f t="shared" si="1"/>
        <v>1.8311604638645777E-2</v>
      </c>
      <c r="AL9" s="14">
        <f t="shared" si="1"/>
        <v>1.8311604638645777E-2</v>
      </c>
      <c r="AM9" s="14">
        <f t="shared" si="1"/>
        <v>1.8311604638645777E-2</v>
      </c>
      <c r="AN9" s="14">
        <f t="shared" si="1"/>
        <v>1.8311604638645777E-2</v>
      </c>
      <c r="AO9" s="14">
        <f t="shared" si="1"/>
        <v>1.8311604638645777E-2</v>
      </c>
      <c r="AP9" s="14">
        <f t="shared" si="1"/>
        <v>1.8311604638645777E-2</v>
      </c>
      <c r="AQ9" s="14">
        <f t="shared" si="1"/>
        <v>1.8311604638645777E-2</v>
      </c>
      <c r="AR9" s="14">
        <f t="shared" si="1"/>
        <v>1.8311604638645777E-2</v>
      </c>
      <c r="AS9" s="14">
        <f t="shared" si="1"/>
        <v>1.8311604638645777E-2</v>
      </c>
    </row>
    <row r="10" spans="1:45" x14ac:dyDescent="0.25">
      <c r="A10" s="3" t="s">
        <v>72</v>
      </c>
      <c r="B10" s="4">
        <f>'QTR CF'!B10</f>
        <v>0</v>
      </c>
      <c r="C10" s="4">
        <f>'QTR CF'!C10</f>
        <v>0</v>
      </c>
      <c r="D10" s="4">
        <f>'QTR CF'!D10</f>
        <v>0</v>
      </c>
      <c r="E10" s="4">
        <f>'QTR CF'!E10</f>
        <v>-156873</v>
      </c>
      <c r="F10" s="4">
        <f>'QTR CF'!F10</f>
        <v>0</v>
      </c>
      <c r="G10" s="4">
        <f>'QTR CF'!G10</f>
        <v>353</v>
      </c>
      <c r="H10" s="4">
        <f>'QTR CF'!H10</f>
        <v>0</v>
      </c>
      <c r="I10" s="4">
        <f>'QTR CF'!I10</f>
        <v>16076</v>
      </c>
      <c r="J10" s="4">
        <f>'QTR CF'!J10</f>
        <v>0</v>
      </c>
      <c r="K10" s="4">
        <f>'QTR CF'!K10</f>
        <v>21934</v>
      </c>
      <c r="L10" s="4">
        <f>'QTR CF'!L10</f>
        <v>7776</v>
      </c>
      <c r="M10" s="4">
        <f>'QTR CF'!M10</f>
        <v>18472</v>
      </c>
      <c r="N10" s="4">
        <f>'QTR CF'!N10</f>
        <v>0</v>
      </c>
      <c r="O10" s="4">
        <f>'QTR CF'!O10</f>
        <v>0</v>
      </c>
      <c r="P10" s="4">
        <f>'QTR CF'!P10</f>
        <v>0</v>
      </c>
      <c r="Q10" s="4">
        <f>'QTR CF'!Q10</f>
        <v>2040</v>
      </c>
      <c r="R10" s="4">
        <f>'QTR CF'!R10</f>
        <v>9</v>
      </c>
      <c r="S10" s="4">
        <f>'QTR CF'!S10</f>
        <v>-13303</v>
      </c>
      <c r="T10" s="4">
        <f>'QTR CF'!T10</f>
        <v>3052</v>
      </c>
      <c r="U10" s="4">
        <f>'QTR CF'!U10</f>
        <v>-1463</v>
      </c>
      <c r="V10" s="4">
        <f>'QTR CF'!V10</f>
        <v>135</v>
      </c>
      <c r="W10" s="4">
        <f>'QTR CF'!W10</f>
        <v>511</v>
      </c>
      <c r="X10" s="4">
        <f>'QTR CF'!X10</f>
        <v>-191</v>
      </c>
      <c r="Y10" s="4">
        <f>'QTR CF'!Y10</f>
        <v>3755</v>
      </c>
      <c r="Z10" s="15">
        <f t="shared" ref="Z10:AS10" si="2">Y10</f>
        <v>3755</v>
      </c>
      <c r="AA10" s="15">
        <f t="shared" si="2"/>
        <v>3755</v>
      </c>
      <c r="AB10" s="15">
        <f t="shared" si="2"/>
        <v>3755</v>
      </c>
      <c r="AC10" s="15">
        <f t="shared" si="2"/>
        <v>3755</v>
      </c>
      <c r="AD10" s="15">
        <f t="shared" si="2"/>
        <v>3755</v>
      </c>
      <c r="AE10" s="15">
        <f t="shared" si="2"/>
        <v>3755</v>
      </c>
      <c r="AF10" s="15">
        <f t="shared" si="2"/>
        <v>3755</v>
      </c>
      <c r="AG10" s="15">
        <f t="shared" si="2"/>
        <v>3755</v>
      </c>
      <c r="AH10" s="15">
        <f t="shared" si="2"/>
        <v>3755</v>
      </c>
      <c r="AI10" s="15">
        <f t="shared" si="2"/>
        <v>3755</v>
      </c>
      <c r="AJ10" s="15">
        <f t="shared" si="2"/>
        <v>3755</v>
      </c>
      <c r="AK10" s="15">
        <f t="shared" si="2"/>
        <v>3755</v>
      </c>
      <c r="AL10" s="15">
        <f t="shared" si="2"/>
        <v>3755</v>
      </c>
      <c r="AM10" s="15">
        <f t="shared" si="2"/>
        <v>3755</v>
      </c>
      <c r="AN10" s="15">
        <f t="shared" si="2"/>
        <v>3755</v>
      </c>
      <c r="AO10" s="15">
        <f t="shared" si="2"/>
        <v>3755</v>
      </c>
      <c r="AP10" s="15">
        <f t="shared" si="2"/>
        <v>3755</v>
      </c>
      <c r="AQ10" s="15">
        <f t="shared" si="2"/>
        <v>3755</v>
      </c>
      <c r="AR10" s="15">
        <f t="shared" si="2"/>
        <v>3755</v>
      </c>
      <c r="AS10" s="15">
        <f t="shared" si="2"/>
        <v>3755</v>
      </c>
    </row>
    <row r="11" spans="1:45" x14ac:dyDescent="0.25">
      <c r="A11" s="3" t="s">
        <v>35</v>
      </c>
      <c r="B11" s="4">
        <f>'QTR CF'!B11</f>
        <v>-147660</v>
      </c>
      <c r="C11" s="4">
        <f>'QTR CF'!C11</f>
        <v>-84122</v>
      </c>
      <c r="D11" s="4">
        <f>'QTR CF'!D11</f>
        <v>30105</v>
      </c>
      <c r="E11" s="4">
        <f>'QTR CF'!E11</f>
        <v>82005</v>
      </c>
      <c r="F11" s="4">
        <f>'QTR CF'!F11</f>
        <v>-147544</v>
      </c>
      <c r="G11" s="4">
        <f>'QTR CF'!G11</f>
        <v>-92156</v>
      </c>
      <c r="H11" s="4">
        <f>'QTR CF'!H11</f>
        <v>39991</v>
      </c>
      <c r="I11" s="4">
        <f>'QTR CF'!I11</f>
        <v>-54519</v>
      </c>
      <c r="J11" s="4">
        <f>'QTR CF'!J11</f>
        <v>-134433</v>
      </c>
      <c r="K11" s="4">
        <f>'QTR CF'!K11</f>
        <v>-154803</v>
      </c>
      <c r="L11" s="4">
        <f>'QTR CF'!L11</f>
        <v>86789</v>
      </c>
      <c r="M11" s="4">
        <f>'QTR CF'!M11</f>
        <v>73466</v>
      </c>
      <c r="N11" s="4">
        <f>'QTR CF'!N11</f>
        <v>-167512</v>
      </c>
      <c r="O11" s="4">
        <f>'QTR CF'!O11</f>
        <v>-150296</v>
      </c>
      <c r="P11" s="4">
        <f>'QTR CF'!P11</f>
        <v>99004</v>
      </c>
      <c r="Q11" s="4">
        <f>'QTR CF'!Q11</f>
        <v>55646</v>
      </c>
      <c r="R11" s="4">
        <f>'QTR CF'!R11</f>
        <v>-195081</v>
      </c>
      <c r="S11" s="4">
        <f>'QTR CF'!S11</f>
        <v>-2146</v>
      </c>
      <c r="T11" s="4">
        <f>'QTR CF'!T11</f>
        <v>90823</v>
      </c>
      <c r="U11" s="4">
        <f>'QTR CF'!U11</f>
        <v>12489</v>
      </c>
      <c r="V11" s="4">
        <f>'QTR CF'!V11</f>
        <v>-109557</v>
      </c>
      <c r="W11" s="4">
        <f>'QTR CF'!W11</f>
        <v>-112682</v>
      </c>
      <c r="X11" s="4">
        <f>'QTR CF'!X11</f>
        <v>-76900</v>
      </c>
      <c r="Y11" s="4">
        <f>'QTR CF'!Y11</f>
        <v>-1461</v>
      </c>
      <c r="Z11" s="4">
        <f>-('QTR BS'!W4-'QTR BS'!V4)</f>
        <v>-37965.789529045112</v>
      </c>
      <c r="AA11" s="4">
        <f>-('QTR BS'!X4-'QTR BS'!W4)</f>
        <v>-229519.92722460465</v>
      </c>
      <c r="AB11" s="4">
        <f>-('QTR BS'!Y4-'QTR BS'!X4)</f>
        <v>-76390.558191563701</v>
      </c>
      <c r="AC11" s="4">
        <f>-('QTR BS'!Z4-'QTR BS'!Y4)</f>
        <v>59012.750960932579</v>
      </c>
      <c r="AD11" s="4">
        <f>-('QTR BS'!AA4-'QTR BS'!Z4)</f>
        <v>-44649.712491737213</v>
      </c>
      <c r="AE11" s="4">
        <f>-('QTR BS'!AB4-'QTR BS'!AA4)</f>
        <v>-269927.18678648863</v>
      </c>
      <c r="AF11" s="4">
        <f>-('QTR BS'!AC4-'QTR BS'!AB4)</f>
        <v>-89839.207946070936</v>
      </c>
      <c r="AG11" s="4">
        <f>-('QTR BS'!AD4-'QTR BS'!AC4)</f>
        <v>69402.016827185173</v>
      </c>
      <c r="AH11" s="4">
        <f>-('QTR BS'!AE4-'QTR BS'!AD4)</f>
        <v>-52510.348140386865</v>
      </c>
      <c r="AI11" s="4">
        <f>-('QTR BS'!AF4-'QTR BS'!AE4)</f>
        <v>-317448.19305021642</v>
      </c>
      <c r="AJ11" s="4">
        <f>-('QTR BS'!AG4-'QTR BS'!AF4)</f>
        <v>-105655.50868390873</v>
      </c>
      <c r="AK11" s="4">
        <f>-('QTR BS'!AH4-'QTR BS'!AG4)</f>
        <v>81620.325459315442</v>
      </c>
      <c r="AL11" s="4">
        <f>-('QTR BS'!AI4-'QTR BS'!AH4)</f>
        <v>-61754.85816028202</v>
      </c>
      <c r="AM11" s="4">
        <f>-('QTR BS'!AJ4-'QTR BS'!AI4)</f>
        <v>-373335.32968859002</v>
      </c>
      <c r="AN11" s="4">
        <f>-('QTR BS'!AK4-'QTR BS'!AJ4)</f>
        <v>-124256.28821167396</v>
      </c>
      <c r="AO11" s="4">
        <f>-('QTR BS'!AL4-'QTR BS'!AK4)</f>
        <v>95989.682038679253</v>
      </c>
      <c r="AP11" s="4">
        <f>-('QTR BS'!AM4-'QTR BS'!AL4)</f>
        <v>-72626.875300858635</v>
      </c>
      <c r="AQ11" s="4">
        <f>-('QTR BS'!AN4-'QTR BS'!AM4)</f>
        <v>-439061.46402805392</v>
      </c>
      <c r="AR11" s="4">
        <f>-('QTR BS'!AO4-'QTR BS'!AN4)</f>
        <v>-146131.75737323426</v>
      </c>
      <c r="AS11" s="4">
        <f>-('QTR BS'!AP4-'QTR BS'!AO4)</f>
        <v>112888.78114654869</v>
      </c>
    </row>
    <row r="12" spans="1:45" x14ac:dyDescent="0.25">
      <c r="A12" s="3" t="s">
        <v>121</v>
      </c>
      <c r="B12" s="4">
        <f>'QTR CF'!B12</f>
        <v>176</v>
      </c>
      <c r="C12" s="4">
        <f>'QTR CF'!C12</f>
        <v>12</v>
      </c>
      <c r="D12" s="4">
        <f>'QTR CF'!D12</f>
        <v>153</v>
      </c>
      <c r="E12" s="4">
        <f>'QTR CF'!E12</f>
        <v>0</v>
      </c>
      <c r="F12" s="4">
        <f>'QTR CF'!F12</f>
        <v>92</v>
      </c>
      <c r="G12" s="4">
        <f>'QTR CF'!G12</f>
        <v>68</v>
      </c>
      <c r="H12" s="4">
        <f>'QTR CF'!H12</f>
        <v>68</v>
      </c>
      <c r="I12" s="4">
        <f>'QTR CF'!I12</f>
        <v>0</v>
      </c>
      <c r="J12" s="4">
        <f>'QTR CF'!J12</f>
        <v>0</v>
      </c>
      <c r="K12" s="4">
        <f>'QTR CF'!K12</f>
        <v>0</v>
      </c>
      <c r="L12" s="4">
        <f>'QTR CF'!L12</f>
        <v>0</v>
      </c>
      <c r="M12" s="4">
        <f>'QTR CF'!M12</f>
        <v>0</v>
      </c>
      <c r="N12" s="4">
        <f>'QTR CF'!N12</f>
        <v>0</v>
      </c>
      <c r="O12" s="4">
        <f>'QTR CF'!O12</f>
        <v>0</v>
      </c>
      <c r="P12" s="4">
        <f>'QTR CF'!P12</f>
        <v>0</v>
      </c>
      <c r="Q12" s="4">
        <f>'QTR CF'!Q12</f>
        <v>0</v>
      </c>
      <c r="R12" s="4">
        <f>'QTR CF'!R12</f>
        <v>0</v>
      </c>
      <c r="S12" s="4">
        <f>'QTR CF'!S12</f>
        <v>0</v>
      </c>
      <c r="T12" s="4">
        <f>'QTR CF'!T12</f>
        <v>0</v>
      </c>
      <c r="U12" s="4">
        <f>'QTR CF'!U12</f>
        <v>0</v>
      </c>
      <c r="V12" s="4">
        <f>'QTR CF'!V12</f>
        <v>0</v>
      </c>
      <c r="W12" s="4">
        <f>'QTR CF'!W12</f>
        <v>0</v>
      </c>
      <c r="X12" s="4">
        <f>'QTR CF'!X12</f>
        <v>0</v>
      </c>
      <c r="Y12" s="4">
        <f>'QTR CF'!Y12</f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</row>
    <row r="13" spans="1:45" x14ac:dyDescent="0.25">
      <c r="A13" s="3" t="s">
        <v>36</v>
      </c>
      <c r="B13" s="4">
        <f>'QTR CF'!B13</f>
        <v>1037</v>
      </c>
      <c r="C13" s="4">
        <f>'QTR CF'!C13</f>
        <v>13144</v>
      </c>
      <c r="D13" s="4">
        <f>'QTR CF'!D13</f>
        <v>25309</v>
      </c>
      <c r="E13" s="4">
        <f>'QTR CF'!E13</f>
        <v>-9186</v>
      </c>
      <c r="F13" s="4">
        <f>'QTR CF'!F13</f>
        <v>-39546</v>
      </c>
      <c r="G13" s="4">
        <f>'QTR CF'!G13</f>
        <v>-12995</v>
      </c>
      <c r="H13" s="4">
        <f>'QTR CF'!H13</f>
        <v>-96873</v>
      </c>
      <c r="I13" s="4">
        <f>'QTR CF'!I13</f>
        <v>-128379</v>
      </c>
      <c r="J13" s="4">
        <f>'QTR CF'!J13</f>
        <v>-208673</v>
      </c>
      <c r="K13" s="4">
        <f>'QTR CF'!K13</f>
        <v>-90403</v>
      </c>
      <c r="L13" s="4">
        <f>'QTR CF'!L13</f>
        <v>1936</v>
      </c>
      <c r="M13" s="4">
        <f>'QTR CF'!M13</f>
        <v>-50572</v>
      </c>
      <c r="N13" s="4">
        <f>'QTR CF'!N13</f>
        <v>35495</v>
      </c>
      <c r="O13" s="4">
        <f>'QTR CF'!O13</f>
        <v>57582</v>
      </c>
      <c r="P13" s="4">
        <f>'QTR CF'!P13</f>
        <v>-23281</v>
      </c>
      <c r="Q13" s="4">
        <f>'QTR CF'!Q13</f>
        <v>-61898</v>
      </c>
      <c r="R13" s="4">
        <f>'QTR CF'!R13</f>
        <v>22708</v>
      </c>
      <c r="S13" s="4">
        <f>'QTR CF'!S13</f>
        <v>100776</v>
      </c>
      <c r="T13" s="4">
        <f>'QTR CF'!T13</f>
        <v>73623</v>
      </c>
      <c r="U13" s="4">
        <f>'QTR CF'!U13</f>
        <v>14396</v>
      </c>
      <c r="V13" s="4">
        <f>'QTR CF'!V13</f>
        <v>19594</v>
      </c>
      <c r="W13" s="4">
        <f>'QTR CF'!W13</f>
        <v>85039</v>
      </c>
      <c r="X13" s="4">
        <f>'QTR CF'!X13</f>
        <v>-46246</v>
      </c>
      <c r="Y13" s="4">
        <f>'QTR CF'!Y13</f>
        <v>-93305</v>
      </c>
      <c r="Z13" s="4">
        <f>-('QTR BS'!W5-'QTR BS'!V5)</f>
        <v>-18762.031924774405</v>
      </c>
      <c r="AA13" s="4">
        <f>-('QTR BS'!X5-'QTR BS'!W5)</f>
        <v>-113424.75042341754</v>
      </c>
      <c r="AB13" s="4">
        <f>-('QTR BS'!Y5-'QTR BS'!X5)</f>
        <v>-37750.88334314723</v>
      </c>
      <c r="AC13" s="4">
        <f>-('QTR BS'!Z5-'QTR BS'!Y5)</f>
        <v>29163.073683763272</v>
      </c>
      <c r="AD13" s="4">
        <f>-('QTR BS'!AA5-'QTR BS'!Z5)</f>
        <v>-22065.110237233341</v>
      </c>
      <c r="AE13" s="4">
        <f>-('QTR BS'!AB5-'QTR BS'!AA5)</f>
        <v>-133393.31431467354</v>
      </c>
      <c r="AF13" s="4">
        <f>-('QTR BS'!AC5-'QTR BS'!AB5)</f>
        <v>-44396.971813034965</v>
      </c>
      <c r="AG13" s="4">
        <f>-('QTR BS'!AD5-'QTR BS'!AC5)</f>
        <v>34297.267922196537</v>
      </c>
      <c r="AH13" s="4">
        <f>-('QTR BS'!AE5-'QTR BS'!AD5)</f>
        <v>-25949.699463967467</v>
      </c>
      <c r="AI13" s="4">
        <f>-('QTR BS'!AF5-'QTR BS'!AE5)</f>
        <v>-156877.36792392004</v>
      </c>
      <c r="AJ13" s="4">
        <f>-('QTR BS'!AG5-'QTR BS'!AF5)</f>
        <v>-52213.112160863588</v>
      </c>
      <c r="AK13" s="4">
        <f>-('QTR BS'!AH5-'QTR BS'!AG5)</f>
        <v>40335.343238591449</v>
      </c>
      <c r="AL13" s="4">
        <f>-('QTR BS'!AI5-'QTR BS'!AH5)</f>
        <v>-30518.17530165473</v>
      </c>
      <c r="AM13" s="4">
        <f>-('QTR BS'!AJ5-'QTR BS'!AI5)</f>
        <v>-184495.81744914898</v>
      </c>
      <c r="AN13" s="4">
        <f>-('QTR BS'!AK5-'QTR BS'!AJ5)</f>
        <v>-61405.293428650592</v>
      </c>
      <c r="AO13" s="4">
        <f>-('QTR BS'!AL5-'QTR BS'!AK5)</f>
        <v>47436.428985122358</v>
      </c>
      <c r="AP13" s="4">
        <f>-('QTR BS'!AM5-'QTR BS'!AL5)</f>
        <v>-35890.936811649241</v>
      </c>
      <c r="AQ13" s="4">
        <f>-('QTR BS'!AN5-'QTR BS'!AM5)</f>
        <v>-216976.52826975845</v>
      </c>
      <c r="AR13" s="4">
        <f>-('QTR BS'!AO5-'QTR BS'!AN5)</f>
        <v>-72215.76927729859</v>
      </c>
      <c r="AS13" s="4">
        <f>-('QTR BS'!AP5-'QTR BS'!AO5)</f>
        <v>55787.669428027002</v>
      </c>
    </row>
    <row r="14" spans="1:45" x14ac:dyDescent="0.25">
      <c r="A14" s="3" t="s">
        <v>37</v>
      </c>
      <c r="B14" s="4">
        <f>'QTR CF'!B14</f>
        <v>-18081</v>
      </c>
      <c r="C14" s="4">
        <f>'QTR CF'!C14</f>
        <v>-5313</v>
      </c>
      <c r="D14" s="4">
        <f>'QTR CF'!D14</f>
        <v>2948</v>
      </c>
      <c r="E14" s="4">
        <f>'QTR CF'!E14</f>
        <v>21470</v>
      </c>
      <c r="F14" s="4">
        <f>'QTR CF'!F14</f>
        <v>-18487</v>
      </c>
      <c r="G14" s="4">
        <f>'QTR CF'!G14</f>
        <v>-9745</v>
      </c>
      <c r="H14" s="4">
        <f>'QTR CF'!H14</f>
        <v>-12930</v>
      </c>
      <c r="I14" s="4">
        <f>'QTR CF'!I14</f>
        <v>11821</v>
      </c>
      <c r="J14" s="4">
        <f>'QTR CF'!J14</f>
        <v>-29621</v>
      </c>
      <c r="K14" s="4">
        <f>'QTR CF'!K14</f>
        <v>-26042</v>
      </c>
      <c r="L14" s="4">
        <f>'QTR CF'!L14</f>
        <v>16459</v>
      </c>
      <c r="M14" s="4">
        <f>'QTR CF'!M14</f>
        <v>936</v>
      </c>
      <c r="N14" s="4">
        <f>'QTR CF'!N14</f>
        <v>1273</v>
      </c>
      <c r="O14" s="4">
        <f>'QTR CF'!O14</f>
        <v>-38052</v>
      </c>
      <c r="P14" s="4">
        <f>'QTR CF'!P14</f>
        <v>-30589</v>
      </c>
      <c r="Q14" s="4">
        <f>'QTR CF'!Q14</f>
        <v>57153</v>
      </c>
      <c r="R14" s="4">
        <f>'QTR CF'!R14</f>
        <v>-9507</v>
      </c>
      <c r="S14" s="4">
        <f>'QTR CF'!S14</f>
        <v>-4486</v>
      </c>
      <c r="T14" s="4">
        <f>'QTR CF'!T14</f>
        <v>8132</v>
      </c>
      <c r="U14" s="4">
        <f>'QTR CF'!U14</f>
        <v>14820</v>
      </c>
      <c r="V14" s="4">
        <f>'QTR CF'!V14</f>
        <v>-3995</v>
      </c>
      <c r="W14" s="4">
        <f>'QTR CF'!W14</f>
        <v>-59680</v>
      </c>
      <c r="X14" s="4">
        <f>'QTR CF'!X14</f>
        <v>-2594</v>
      </c>
      <c r="Y14" s="4">
        <f>'QTR CF'!Y14</f>
        <v>26962</v>
      </c>
      <c r="Z14" s="4">
        <f>-('QTR BS'!W6-'QTR BS'!V6)</f>
        <v>-2429.6789460061991</v>
      </c>
      <c r="AA14" s="4">
        <f>-('QTR BS'!X6-'QTR BS'!W6)</f>
        <v>-14688.479860003165</v>
      </c>
      <c r="AB14" s="4">
        <f>-('QTR BS'!Y6-'QTR BS'!X6)</f>
        <v>-4888.7309658004233</v>
      </c>
      <c r="AC14" s="4">
        <f>-('QTR BS'!Z6-'QTR BS'!Y6)</f>
        <v>3776.611531968636</v>
      </c>
      <c r="AD14" s="4">
        <f>-('QTR BS'!AA6-'QTR BS'!Z6)</f>
        <v>-2857.4268501227925</v>
      </c>
      <c r="AE14" s="4">
        <f>-('QTR BS'!AB6-'QTR BS'!AA6)</f>
        <v>-17274.404426334368</v>
      </c>
      <c r="AF14" s="4">
        <f>-('QTR BS'!AC6-'QTR BS'!AB6)</f>
        <v>-5749.397939043236</v>
      </c>
      <c r="AG14" s="4">
        <f>-('QTR BS'!AD6-'QTR BS'!AC6)</f>
        <v>4441.4885397385515</v>
      </c>
      <c r="AH14" s="4">
        <f>-('QTR BS'!AE6-'QTR BS'!AD6)</f>
        <v>-3360.4802878272312</v>
      </c>
      <c r="AI14" s="4">
        <f>-('QTR BS'!AF6-'QTR BS'!AE6)</f>
        <v>-20315.584126381873</v>
      </c>
      <c r="AJ14" s="4">
        <f>-('QTR BS'!AG6-'QTR BS'!AF6)</f>
        <v>-6761.5863692885032</v>
      </c>
      <c r="AK14" s="4">
        <f>-('QTR BS'!AH6-'QTR BS'!AG6)</f>
        <v>5223.4179453309334</v>
      </c>
      <c r="AL14" s="4">
        <f>-('QTR BS'!AI6-'QTR BS'!AH6)</f>
        <v>-3952.0968889859796</v>
      </c>
      <c r="AM14" s="4">
        <f>-('QTR BS'!AJ6-'QTR BS'!AI6)</f>
        <v>-23892.167174627102</v>
      </c>
      <c r="AN14" s="4">
        <f>-('QTR BS'!AK6-'QTR BS'!AJ6)</f>
        <v>-7951.9717914944631</v>
      </c>
      <c r="AO14" s="4">
        <f>-('QTR BS'!AL6-'QTR BS'!AK6)</f>
        <v>6143.0069643299503</v>
      </c>
      <c r="AP14" s="4">
        <f>-('QTR BS'!AM6-'QTR BS'!AL6)</f>
        <v>-4647.8683051676489</v>
      </c>
      <c r="AQ14" s="4">
        <f>-('QTR BS'!AN6-'QTR BS'!AM6)</f>
        <v>-28098.411975220544</v>
      </c>
      <c r="AR14" s="4">
        <f>-('QTR BS'!AO6-'QTR BS'!AN6)</f>
        <v>-9351.9260006697732</v>
      </c>
      <c r="AS14" s="4">
        <f>-('QTR BS'!AP6-'QTR BS'!AO6)</f>
        <v>7224.4907374370669</v>
      </c>
    </row>
    <row r="15" spans="1:45" x14ac:dyDescent="0.25">
      <c r="A15" s="3" t="s">
        <v>73</v>
      </c>
      <c r="B15" s="4">
        <f>'QTR CF'!B15</f>
        <v>8078</v>
      </c>
      <c r="C15" s="4">
        <f>'QTR CF'!C15</f>
        <v>-833</v>
      </c>
      <c r="D15" s="4">
        <f>'QTR CF'!D15</f>
        <v>4215</v>
      </c>
      <c r="E15" s="4">
        <f>'QTR CF'!E15</f>
        <v>-5944</v>
      </c>
      <c r="F15" s="4">
        <f>'QTR CF'!F15</f>
        <v>-7076</v>
      </c>
      <c r="G15" s="4">
        <f>'QTR CF'!G15</f>
        <v>9528</v>
      </c>
      <c r="H15" s="4">
        <f>'QTR CF'!H15</f>
        <v>-9817</v>
      </c>
      <c r="I15" s="4">
        <f>'QTR CF'!I15</f>
        <v>-3554</v>
      </c>
      <c r="J15" s="4">
        <f>'QTR CF'!J15</f>
        <v>-5885</v>
      </c>
      <c r="K15" s="4">
        <f>'QTR CF'!K15</f>
        <v>4665</v>
      </c>
      <c r="L15" s="4">
        <f>'QTR CF'!L15</f>
        <v>9087</v>
      </c>
      <c r="M15" s="4">
        <f>'QTR CF'!M15</f>
        <v>-12306</v>
      </c>
      <c r="N15" s="4">
        <f>'QTR CF'!N15</f>
        <v>3986</v>
      </c>
      <c r="O15" s="4">
        <f>'QTR CF'!O15</f>
        <v>-7331</v>
      </c>
      <c r="P15" s="4">
        <f>'QTR CF'!P15</f>
        <v>11377</v>
      </c>
      <c r="Q15" s="4">
        <f>'QTR CF'!Q15</f>
        <v>-26865</v>
      </c>
      <c r="R15" s="4">
        <f>'QTR CF'!R15</f>
        <v>11840</v>
      </c>
      <c r="S15" s="4">
        <f>'QTR CF'!S15</f>
        <v>-24137</v>
      </c>
      <c r="T15" s="4">
        <f>'QTR CF'!T15</f>
        <v>-27371</v>
      </c>
      <c r="U15" s="4">
        <f>'QTR CF'!U15</f>
        <v>42730</v>
      </c>
      <c r="V15" s="4">
        <f>'QTR CF'!V15</f>
        <v>11912</v>
      </c>
      <c r="W15" s="4">
        <f>'QTR CF'!W15</f>
        <v>2600</v>
      </c>
      <c r="X15" s="4">
        <f>'QTR CF'!X15</f>
        <v>-469</v>
      </c>
      <c r="Y15" s="4">
        <f>'QTR CF'!Y15</f>
        <v>-35137</v>
      </c>
      <c r="Z15" s="4">
        <f>-('QTR BS'!W7-'QTR BS'!V7)</f>
        <v>-1751.2524987017387</v>
      </c>
      <c r="AA15" s="4">
        <f>-('QTR BS'!X7-'QTR BS'!W7)</f>
        <v>-10587.093039285537</v>
      </c>
      <c r="AB15" s="4">
        <f>-('QTR BS'!Y7-'QTR BS'!X7)</f>
        <v>-3523.6763825983944</v>
      </c>
      <c r="AC15" s="4">
        <f>-('QTR BS'!Z7-'QTR BS'!Y7)</f>
        <v>2722.0881972317293</v>
      </c>
      <c r="AD15" s="4">
        <f>-('QTR BS'!AA7-'QTR BS'!Z7)</f>
        <v>-2059.5626098503562</v>
      </c>
      <c r="AE15" s="4">
        <f>-('QTR BS'!AB7-'QTR BS'!AA7)</f>
        <v>-12450.963517187833</v>
      </c>
      <c r="AF15" s="4">
        <f>-('QTR BS'!AC7-'QTR BS'!AB7)</f>
        <v>-4144.0238527524634</v>
      </c>
      <c r="AG15" s="4">
        <f>-('QTR BS'!AD7-'QTR BS'!AC7)</f>
        <v>3201.3151021280792</v>
      </c>
      <c r="AH15" s="4">
        <f>-('QTR BS'!AE7-'QTR BS'!AD7)</f>
        <v>-2422.1510873150401</v>
      </c>
      <c r="AI15" s="4">
        <f>-('QTR BS'!AF7-'QTR BS'!AE7)</f>
        <v>-14642.970637084756</v>
      </c>
      <c r="AJ15" s="4">
        <f>-('QTR BS'!AG7-'QTR BS'!AF7)</f>
        <v>-4873.5842420120171</v>
      </c>
      <c r="AK15" s="4">
        <f>-('QTR BS'!AH7-'QTR BS'!AG7)</f>
        <v>3764.9104806874384</v>
      </c>
      <c r="AL15" s="4">
        <f>-('QTR BS'!AI7-'QTR BS'!AH7)</f>
        <v>-2848.573702844471</v>
      </c>
      <c r="AM15" s="4">
        <f>-('QTR BS'!AJ7-'QTR BS'!AI7)</f>
        <v>-17220.883249921695</v>
      </c>
      <c r="AN15" s="4">
        <f>-('QTR BS'!AK7-'QTR BS'!AJ7)</f>
        <v>-5731.5846162931703</v>
      </c>
      <c r="AO15" s="4">
        <f>-('QTR BS'!AL7-'QTR BS'!AK7)</f>
        <v>4427.7275042896217</v>
      </c>
      <c r="AP15" s="4">
        <f>-('QTR BS'!AM7-'QTR BS'!AL7)</f>
        <v>-3350.0685333101137</v>
      </c>
      <c r="AQ15" s="4">
        <f>-('QTR BS'!AN7-'QTR BS'!AM7)</f>
        <v>-20252.640482414805</v>
      </c>
      <c r="AR15" s="4">
        <f>-('QTR BS'!AO7-'QTR BS'!AN7)</f>
        <v>-6740.6369896185643</v>
      </c>
      <c r="AS15" s="4">
        <f>-('QTR BS'!AP7-'QTR BS'!AO7)</f>
        <v>5207.2342630210333</v>
      </c>
    </row>
    <row r="16" spans="1:45" x14ac:dyDescent="0.25">
      <c r="A16" s="3" t="s">
        <v>47</v>
      </c>
      <c r="B16" s="4">
        <f>'QTR CF'!B16</f>
        <v>19328</v>
      </c>
      <c r="C16" s="4">
        <f>'QTR CF'!C16</f>
        <v>-26100</v>
      </c>
      <c r="D16" s="4">
        <f>'QTR CF'!D16</f>
        <v>-2952</v>
      </c>
      <c r="E16" s="4">
        <f>'QTR CF'!E16</f>
        <v>28420</v>
      </c>
      <c r="F16" s="4">
        <f>'QTR CF'!F16</f>
        <v>36859</v>
      </c>
      <c r="G16" s="4">
        <f>'QTR CF'!G16</f>
        <v>26760</v>
      </c>
      <c r="H16" s="4">
        <f>'QTR CF'!H16</f>
        <v>42951</v>
      </c>
      <c r="I16" s="4">
        <f>'QTR CF'!I16</f>
        <v>7727</v>
      </c>
      <c r="J16" s="4">
        <f>'QTR CF'!J16</f>
        <v>18329</v>
      </c>
      <c r="K16" s="4">
        <f>'QTR CF'!K16</f>
        <v>67170</v>
      </c>
      <c r="L16" s="4">
        <f>'QTR CF'!L16</f>
        <v>-32836</v>
      </c>
      <c r="M16" s="4">
        <f>'QTR CF'!M16</f>
        <v>-2898</v>
      </c>
      <c r="N16" s="4">
        <f>'QTR CF'!N16</f>
        <v>51124</v>
      </c>
      <c r="O16" s="4">
        <f>'QTR CF'!O16</f>
        <v>81049</v>
      </c>
      <c r="P16" s="4">
        <f>'QTR CF'!P16</f>
        <v>-22350</v>
      </c>
      <c r="Q16" s="4">
        <f>'QTR CF'!Q16</f>
        <v>2963</v>
      </c>
      <c r="R16" s="4">
        <f>'QTR CF'!R16</f>
        <v>-9062</v>
      </c>
      <c r="S16" s="4">
        <f>'QTR CF'!S16</f>
        <v>-24443</v>
      </c>
      <c r="T16" s="4">
        <f>'QTR CF'!T16</f>
        <v>19159</v>
      </c>
      <c r="U16" s="4">
        <f>'QTR CF'!U16</f>
        <v>-47145</v>
      </c>
      <c r="V16" s="4">
        <f>'QTR CF'!V16</f>
        <v>11768</v>
      </c>
      <c r="W16" s="4">
        <f>'QTR CF'!W16</f>
        <v>-7435</v>
      </c>
      <c r="X16" s="4">
        <f>'QTR CF'!X16</f>
        <v>144242</v>
      </c>
      <c r="Y16" s="4">
        <f>'QTR CF'!Y16</f>
        <v>-70115</v>
      </c>
      <c r="Z16" s="4">
        <f>('QTR BS'!W16-'QTR BS'!V16)</f>
        <v>13279.785919855116</v>
      </c>
      <c r="AA16" s="4">
        <f>('QTR BS'!X16-'QTR BS'!W16)</f>
        <v>80282.157586941961</v>
      </c>
      <c r="AB16" s="4">
        <f>('QTR BS'!Y16-'QTR BS'!X16)</f>
        <v>26720.11491572205</v>
      </c>
      <c r="AC16" s="4">
        <f>('QTR BS'!Z16-'QTR BS'!Y16)</f>
        <v>-20641.654210914741</v>
      </c>
      <c r="AD16" s="4">
        <f>('QTR BS'!AA16-'QTR BS'!Z16)</f>
        <v>15617.708221759414</v>
      </c>
      <c r="AE16" s="4">
        <f>('QTR BS'!AB16-'QTR BS'!AA16)</f>
        <v>94415.928101033904</v>
      </c>
      <c r="AF16" s="4">
        <f>('QTR BS'!AC16-'QTR BS'!AB16)</f>
        <v>31424.22332137858</v>
      </c>
      <c r="AG16" s="4">
        <f>('QTR BS'!AD16-'QTR BS'!AC16)</f>
        <v>-24275.642290175776</v>
      </c>
      <c r="AH16" s="4">
        <f>('QTR BS'!AE16-'QTR BS'!AD16)</f>
        <v>18367.224560098141</v>
      </c>
      <c r="AI16" s="4">
        <f>('QTR BS'!AF16-'QTR BS'!AE16)</f>
        <v>111037.96593316202</v>
      </c>
      <c r="AJ16" s="4">
        <f>('QTR BS'!AG16-'QTR BS'!AF16)</f>
        <v>36956.495676253107</v>
      </c>
      <c r="AK16" s="4">
        <f>('QTR BS'!AH16-'QTR BS'!AG16)</f>
        <v>-28549.398346618982</v>
      </c>
      <c r="AL16" s="4">
        <f>('QTR BS'!AI16-'QTR BS'!AH16)</f>
        <v>21600.796560602612</v>
      </c>
      <c r="AM16" s="4">
        <f>('QTR BS'!AJ16-'QTR BS'!AI16)</f>
        <v>130586.33354088711</v>
      </c>
      <c r="AN16" s="4">
        <f>('QTR BS'!AK16-'QTR BS'!AJ16)</f>
        <v>43462.731240831083</v>
      </c>
      <c r="AO16" s="4">
        <f>('QTR BS'!AL16-'QTR BS'!AK16)</f>
        <v>-33575.554302997421</v>
      </c>
      <c r="AP16" s="4">
        <f>('QTR BS'!AM16-'QTR BS'!AL16)</f>
        <v>25403.64280546736</v>
      </c>
      <c r="AQ16" s="4">
        <f>('QTR BS'!AN16-'QTR BS'!AM16)</f>
        <v>153576.21480491222</v>
      </c>
      <c r="AR16" s="4">
        <f>('QTR BS'!AO16-'QTR BS'!AN16)</f>
        <v>51114.397410967387</v>
      </c>
      <c r="AS16" s="4">
        <f>('QTR BS'!AP16-'QTR BS'!AO16)</f>
        <v>-39486.571067688521</v>
      </c>
    </row>
    <row r="17" spans="1:45" x14ac:dyDescent="0.25">
      <c r="A17" s="3" t="s">
        <v>48</v>
      </c>
      <c r="B17" s="4">
        <f>'QTR CF'!B17</f>
        <v>34500</v>
      </c>
      <c r="C17" s="4">
        <f>'QTR CF'!C17</f>
        <v>-2809</v>
      </c>
      <c r="D17" s="4">
        <f>'QTR CF'!D17</f>
        <v>21810</v>
      </c>
      <c r="E17" s="4">
        <f>'QTR CF'!E17</f>
        <v>-27388</v>
      </c>
      <c r="F17" s="4">
        <f>'QTR CF'!F17</f>
        <v>32441</v>
      </c>
      <c r="G17" s="4">
        <f>'QTR CF'!G17</f>
        <v>-2558</v>
      </c>
      <c r="H17" s="4">
        <f>'QTR CF'!H17</f>
        <v>4202</v>
      </c>
      <c r="I17" s="4">
        <f>'QTR CF'!I17</f>
        <v>37501</v>
      </c>
      <c r="J17" s="4">
        <f>'QTR CF'!J17</f>
        <v>20603</v>
      </c>
      <c r="K17" s="4">
        <f>'QTR CF'!K17</f>
        <v>-21392</v>
      </c>
      <c r="L17" s="4">
        <f>'QTR CF'!L17</f>
        <v>-1783</v>
      </c>
      <c r="M17" s="4">
        <f>'QTR CF'!M17</f>
        <v>-27847</v>
      </c>
      <c r="N17" s="4">
        <f>'QTR CF'!N17</f>
        <v>14207</v>
      </c>
      <c r="O17" s="4">
        <f>'QTR CF'!O17</f>
        <v>6284</v>
      </c>
      <c r="P17" s="4">
        <f>'QTR CF'!P17</f>
        <v>4206</v>
      </c>
      <c r="Q17" s="4">
        <f>'QTR CF'!Q17</f>
        <v>-35090</v>
      </c>
      <c r="R17" s="4">
        <f>'QTR CF'!R17</f>
        <v>28259</v>
      </c>
      <c r="S17" s="4">
        <f>'QTR CF'!S17</f>
        <v>-25544</v>
      </c>
      <c r="T17" s="4">
        <f>'QTR CF'!T17</f>
        <v>44034</v>
      </c>
      <c r="U17" s="4">
        <f>'QTR CF'!U17</f>
        <v>-28378</v>
      </c>
      <c r="V17" s="4">
        <f>'QTR CF'!V17</f>
        <v>33661</v>
      </c>
      <c r="W17" s="4">
        <f>'QTR CF'!W17</f>
        <v>-5151</v>
      </c>
      <c r="X17" s="4">
        <f>'QTR CF'!X17</f>
        <v>70025</v>
      </c>
      <c r="Y17" s="4">
        <f>'QTR CF'!Y17</f>
        <v>-17194</v>
      </c>
      <c r="Z17" s="4">
        <f>('QTR BS'!W17-'QTR BS'!V17)</f>
        <v>7181.8551263465197</v>
      </c>
      <c r="AA17" s="4">
        <f>('QTR BS'!X17-'QTR BS'!W17)</f>
        <v>43417.478903623065</v>
      </c>
      <c r="AB17" s="4">
        <f>('QTR BS'!Y17-'QTR BS'!X17)</f>
        <v>14450.533724126464</v>
      </c>
      <c r="AC17" s="4">
        <f>('QTR BS'!Z17-'QTR BS'!Y17)</f>
        <v>-11163.234935081447</v>
      </c>
      <c r="AD17" s="4">
        <f>('QTR BS'!AA17-'QTR BS'!Z17)</f>
        <v>8446.2293692947133</v>
      </c>
      <c r="AE17" s="4">
        <f>('QTR BS'!AB17-'QTR BS'!AA17)</f>
        <v>51061.17834530375</v>
      </c>
      <c r="AF17" s="4">
        <f>('QTR BS'!AC17-'QTR BS'!AB17)</f>
        <v>16994.567586716264</v>
      </c>
      <c r="AG17" s="4">
        <f>('QTR BS'!AD17-'QTR BS'!AC17)</f>
        <v>-13128.53588749381</v>
      </c>
      <c r="AH17" s="4">
        <f>('QTR BS'!AE17-'QTR BS'!AD17)</f>
        <v>9933.1982201967621</v>
      </c>
      <c r="AI17" s="4">
        <f>('QTR BS'!AF17-'QTR BS'!AE17)</f>
        <v>60050.560277772252</v>
      </c>
      <c r="AJ17" s="4">
        <f>('QTR BS'!AG17-'QTR BS'!AF17)</f>
        <v>19986.481674186361</v>
      </c>
      <c r="AK17" s="4">
        <f>('QTR BS'!AH17-'QTR BS'!AG17)</f>
        <v>-15439.830439074663</v>
      </c>
      <c r="AL17" s="4">
        <f>('QTR BS'!AI17-'QTR BS'!AH17)</f>
        <v>11681.949727817962</v>
      </c>
      <c r="AM17" s="4">
        <f>('QTR BS'!AJ17-'QTR BS'!AI17)</f>
        <v>70622.533723920875</v>
      </c>
      <c r="AN17" s="4">
        <f>('QTR BS'!AK17-'QTR BS'!AJ17)</f>
        <v>23505.125839437474</v>
      </c>
      <c r="AO17" s="4">
        <f>('QTR BS'!AL17-'QTR BS'!AK17)</f>
        <v>-18158.031179582351</v>
      </c>
      <c r="AP17" s="4">
        <f>('QTR BS'!AM17-'QTR BS'!AL17)</f>
        <v>13738.57104409649</v>
      </c>
      <c r="AQ17" s="4">
        <f>('QTR BS'!AN17-'QTR BS'!AM17)</f>
        <v>83055.715825394029</v>
      </c>
      <c r="AR17" s="4">
        <f>('QTR BS'!AO17-'QTR BS'!AN17)</f>
        <v>27643.231546918978</v>
      </c>
      <c r="AS17" s="4">
        <f>('QTR BS'!AP17-'QTR BS'!AO17)</f>
        <v>-21354.774433548911</v>
      </c>
    </row>
    <row r="18" spans="1:45" x14ac:dyDescent="0.25">
      <c r="A18" s="3" t="s">
        <v>49</v>
      </c>
      <c r="B18" s="4">
        <f>'QTR CF'!B18</f>
        <v>9439</v>
      </c>
      <c r="C18" s="4">
        <f>'QTR CF'!C18</f>
        <v>-6360</v>
      </c>
      <c r="D18" s="4">
        <f>'QTR CF'!D18</f>
        <v>28836</v>
      </c>
      <c r="E18" s="4">
        <f>'QTR CF'!E18</f>
        <v>-18153</v>
      </c>
      <c r="F18" s="4">
        <f>'QTR CF'!F18</f>
        <v>13965</v>
      </c>
      <c r="G18" s="4">
        <f>'QTR CF'!G18</f>
        <v>28700</v>
      </c>
      <c r="H18" s="4">
        <f>'QTR CF'!H18</f>
        <v>8357</v>
      </c>
      <c r="I18" s="4">
        <f>'QTR CF'!I18</f>
        <v>-19524</v>
      </c>
      <c r="J18" s="4">
        <f>'QTR CF'!J18</f>
        <v>61171</v>
      </c>
      <c r="K18" s="4">
        <f>'QTR CF'!K18</f>
        <v>16575</v>
      </c>
      <c r="L18" s="4">
        <f>'QTR CF'!L18</f>
        <v>11490</v>
      </c>
      <c r="M18" s="4">
        <f>'QTR CF'!M18</f>
        <v>-38415</v>
      </c>
      <c r="N18" s="4">
        <f>'QTR CF'!N18</f>
        <v>48265</v>
      </c>
      <c r="O18" s="4">
        <f>'QTR CF'!O18</f>
        <v>-24622</v>
      </c>
      <c r="P18" s="4">
        <f>'QTR CF'!P18</f>
        <v>18782</v>
      </c>
      <c r="Q18" s="4">
        <f>'QTR CF'!Q18</f>
        <v>-34007</v>
      </c>
      <c r="R18" s="4">
        <f>'QTR CF'!R18</f>
        <v>52814</v>
      </c>
      <c r="S18" s="4">
        <f>'QTR CF'!S18</f>
        <v>1428</v>
      </c>
      <c r="T18" s="4">
        <f>'QTR CF'!T18</f>
        <v>-22750</v>
      </c>
      <c r="U18" s="4">
        <f>'QTR CF'!U18</f>
        <v>-21756</v>
      </c>
      <c r="V18" s="4">
        <f>'QTR CF'!V18</f>
        <v>30785</v>
      </c>
      <c r="W18" s="4">
        <f>'QTR CF'!W18</f>
        <v>40731</v>
      </c>
      <c r="X18" s="4">
        <f>'QTR CF'!X18</f>
        <v>34290</v>
      </c>
      <c r="Y18" s="4">
        <f>'QTR CF'!Y18</f>
        <v>-7540</v>
      </c>
      <c r="Z18" s="4">
        <f>('QTR BS'!W18-'QTR BS'!V18)</f>
        <v>9011.6637482264778</v>
      </c>
      <c r="AA18" s="4">
        <f>('QTR BS'!X18-'QTR BS'!W18)</f>
        <v>54479.478323062183</v>
      </c>
      <c r="AB18" s="4">
        <f>('QTR BS'!Y18-'QTR BS'!X18)</f>
        <v>18132.272040202108</v>
      </c>
      <c r="AC18" s="4">
        <f>('QTR BS'!Z18-'QTR BS'!Y18)</f>
        <v>-14007.428137663519</v>
      </c>
      <c r="AD18" s="4">
        <f>('QTR BS'!AA18-'QTR BS'!Z18)</f>
        <v>10598.178002401371</v>
      </c>
      <c r="AE18" s="4">
        <f>('QTR BS'!AB18-'QTR BS'!AA18)</f>
        <v>64070.656082724745</v>
      </c>
      <c r="AF18" s="4">
        <f>('QTR BS'!AC18-'QTR BS'!AB18)</f>
        <v>21324.480366663192</v>
      </c>
      <c r="AG18" s="4">
        <f>('QTR BS'!AD18-'QTR BS'!AC18)</f>
        <v>-16473.452728195582</v>
      </c>
      <c r="AH18" s="4">
        <f>('QTR BS'!AE18-'QTR BS'!AD18)</f>
        <v>12464.000001408043</v>
      </c>
      <c r="AI18" s="4">
        <f>('QTR BS'!AF18-'QTR BS'!AE18)</f>
        <v>75350.372236091294</v>
      </c>
      <c r="AJ18" s="4">
        <f>('QTR BS'!AG18-'QTR BS'!AF18)</f>
        <v>25078.680812861654</v>
      </c>
      <c r="AK18" s="4">
        <f>('QTR BS'!AH18-'QTR BS'!AG18)</f>
        <v>-19373.62391732831</v>
      </c>
      <c r="AL18" s="4">
        <f>('QTR BS'!AI18-'QTR BS'!AH18)</f>
        <v>14658.302210049704</v>
      </c>
      <c r="AM18" s="4">
        <f>('QTR BS'!AJ18-'QTR BS'!AI18)</f>
        <v>88615.896000608569</v>
      </c>
      <c r="AN18" s="4">
        <f>('QTR BS'!AK18-'QTR BS'!AJ18)</f>
        <v>29493.812768194242</v>
      </c>
      <c r="AO18" s="4">
        <f>('QTR BS'!AL18-'QTR BS'!AK18)</f>
        <v>-22784.373736518202</v>
      </c>
      <c r="AP18" s="4">
        <f>('QTR BS'!AM18-'QTR BS'!AL18)</f>
        <v>17238.913964768406</v>
      </c>
      <c r="AQ18" s="4">
        <f>('QTR BS'!AN18-'QTR BS'!AM18)</f>
        <v>104216.83119740954</v>
      </c>
      <c r="AR18" s="4">
        <f>('QTR BS'!AO18-'QTR BS'!AN18)</f>
        <v>34686.234020697419</v>
      </c>
      <c r="AS18" s="4">
        <f>('QTR BS'!AP18-'QTR BS'!AO18)</f>
        <v>-26795.590168394847</v>
      </c>
    </row>
    <row r="19" spans="1:45" x14ac:dyDescent="0.25">
      <c r="A19" s="3" t="s">
        <v>122</v>
      </c>
      <c r="B19" s="4">
        <f>'QTR CF'!B19</f>
        <v>-282</v>
      </c>
      <c r="C19" s="4">
        <f>'QTR CF'!C19</f>
        <v>142</v>
      </c>
      <c r="D19" s="4">
        <f>'QTR CF'!D19</f>
        <v>-10</v>
      </c>
      <c r="E19" s="4">
        <f>'QTR CF'!E19</f>
        <v>0</v>
      </c>
      <c r="F19" s="4">
        <f>'QTR CF'!F19</f>
        <v>0</v>
      </c>
      <c r="G19" s="4">
        <f>'QTR CF'!G19</f>
        <v>0</v>
      </c>
      <c r="H19" s="4">
        <f>'QTR CF'!H19</f>
        <v>5302</v>
      </c>
      <c r="I19" s="4">
        <f>'QTR CF'!I19</f>
        <v>0</v>
      </c>
      <c r="J19" s="4">
        <f>'QTR CF'!J19</f>
        <v>0</v>
      </c>
      <c r="K19" s="4">
        <f>'QTR CF'!K19</f>
        <v>0</v>
      </c>
      <c r="L19" s="4">
        <f>'QTR CF'!L19</f>
        <v>0</v>
      </c>
      <c r="M19" s="4">
        <f>'QTR CF'!M19</f>
        <v>0</v>
      </c>
      <c r="N19" s="4">
        <f>'QTR CF'!N19</f>
        <v>0</v>
      </c>
      <c r="O19" s="4">
        <f>'QTR CF'!O19</f>
        <v>0</v>
      </c>
      <c r="P19" s="4">
        <f>'QTR CF'!P19</f>
        <v>0</v>
      </c>
      <c r="Q19" s="4">
        <f>'QTR CF'!Q19</f>
        <v>0</v>
      </c>
      <c r="R19" s="4">
        <f>'QTR CF'!R19</f>
        <v>0</v>
      </c>
      <c r="S19" s="4">
        <f>'QTR CF'!S19</f>
        <v>0</v>
      </c>
      <c r="T19" s="4">
        <f>'QTR CF'!T19</f>
        <v>0</v>
      </c>
      <c r="U19" s="4">
        <f>'QTR CF'!U19</f>
        <v>0</v>
      </c>
      <c r="V19" s="4">
        <f>'QTR CF'!V19</f>
        <v>0</v>
      </c>
      <c r="W19" s="4">
        <f>'QTR CF'!W19</f>
        <v>0</v>
      </c>
      <c r="X19" s="4">
        <f>'QTR CF'!X19</f>
        <v>0</v>
      </c>
      <c r="Y19" s="4">
        <f>'QTR CF'!Y19</f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</row>
    <row r="20" spans="1:45" x14ac:dyDescent="0.25">
      <c r="A20" s="3" t="s">
        <v>74</v>
      </c>
      <c r="B20" s="4">
        <f>'QTR CF'!B20</f>
        <v>-24807</v>
      </c>
      <c r="C20" s="4">
        <f>'QTR CF'!C20</f>
        <v>13875</v>
      </c>
      <c r="D20" s="4">
        <f>'QTR CF'!D20</f>
        <v>9718</v>
      </c>
      <c r="E20" s="4">
        <f>'QTR CF'!E20</f>
        <v>8715</v>
      </c>
      <c r="F20" s="4">
        <f>'QTR CF'!F20</f>
        <v>-24443</v>
      </c>
      <c r="G20" s="4">
        <f>'QTR CF'!G20</f>
        <v>13661</v>
      </c>
      <c r="H20" s="4">
        <f>'QTR CF'!H20</f>
        <v>7894</v>
      </c>
      <c r="I20" s="4">
        <f>'QTR CF'!I20</f>
        <v>10838</v>
      </c>
      <c r="J20" s="4">
        <f>'QTR CF'!J20</f>
        <v>-32122</v>
      </c>
      <c r="K20" s="4">
        <f>'QTR CF'!K20</f>
        <v>16811</v>
      </c>
      <c r="L20" s="4">
        <f>'QTR CF'!L20</f>
        <v>8675</v>
      </c>
      <c r="M20" s="4">
        <f>'QTR CF'!M20</f>
        <v>10365</v>
      </c>
      <c r="N20" s="4">
        <f>'QTR CF'!N20</f>
        <v>-30261</v>
      </c>
      <c r="O20" s="4">
        <f>'QTR CF'!O20</f>
        <v>12645</v>
      </c>
      <c r="P20" s="4">
        <f>'QTR CF'!P20</f>
        <v>21139</v>
      </c>
      <c r="Q20" s="4">
        <f>'QTR CF'!Q20</f>
        <v>9875</v>
      </c>
      <c r="R20" s="4">
        <f>'QTR CF'!R20</f>
        <v>-35653</v>
      </c>
      <c r="S20" s="4">
        <f>'QTR CF'!S20</f>
        <v>8699</v>
      </c>
      <c r="T20" s="4">
        <f>'QTR CF'!T20</f>
        <v>20911</v>
      </c>
      <c r="U20" s="4">
        <f>'QTR CF'!U20</f>
        <v>11990</v>
      </c>
      <c r="V20" s="4">
        <f>'QTR CF'!V20</f>
        <v>-37338</v>
      </c>
      <c r="W20" s="4">
        <f>'QTR CF'!W20</f>
        <v>15192</v>
      </c>
      <c r="X20" s="4">
        <f>'QTR CF'!X20</f>
        <v>28580</v>
      </c>
      <c r="Y20" s="4">
        <f>'QTR CF'!Y20</f>
        <v>11367</v>
      </c>
      <c r="Z20" s="4">
        <f>('QTR BS'!W20-'QTR BS'!V20)</f>
        <v>2675.3897351108608</v>
      </c>
      <c r="AA20" s="4">
        <f>('QTR BS'!X20-'QTR BS'!W20)</f>
        <v>16173.909851929406</v>
      </c>
      <c r="AB20" s="4">
        <f>('QTR BS'!Y20-'QTR BS'!X20)</f>
        <v>5383.123011013522</v>
      </c>
      <c r="AC20" s="4">
        <f>('QTR BS'!Z20-'QTR BS'!Y20)</f>
        <v>-4158.5361484646273</v>
      </c>
      <c r="AD20" s="4">
        <f>('QTR BS'!AA20-'QTR BS'!Z20)</f>
        <v>3146.3953195193899</v>
      </c>
      <c r="AE20" s="4">
        <f>('QTR BS'!AB20-'QTR BS'!AA20)</f>
        <v>19021.346157004009</v>
      </c>
      <c r="AF20" s="4">
        <f>('QTR BS'!AC20-'QTR BS'!AB20)</f>
        <v>6330.8282991330489</v>
      </c>
      <c r="AG20" s="4">
        <f>('QTR BS'!AD20-'QTR BS'!AC20)</f>
        <v>-4890.6514448591333</v>
      </c>
      <c r="AH20" s="4">
        <f>('QTR BS'!AE20-'QTR BS'!AD20)</f>
        <v>3700.3220042194298</v>
      </c>
      <c r="AI20" s="4">
        <f>('QTR BS'!AF20-'QTR BS'!AE20)</f>
        <v>22370.077052297303</v>
      </c>
      <c r="AJ20" s="4">
        <f>('QTR BS'!AG20-'QTR BS'!AF20)</f>
        <v>7445.3782443953678</v>
      </c>
      <c r="AK20" s="4">
        <f>('QTR BS'!AH20-'QTR BS'!AG20)</f>
        <v>-5751.6565207527892</v>
      </c>
      <c r="AL20" s="4">
        <f>('QTR BS'!AI20-'QTR BS'!AH20)</f>
        <v>4351.768148765841</v>
      </c>
      <c r="AM20" s="4">
        <f>('QTR BS'!AJ20-'QTR BS'!AI20)</f>
        <v>26308.356054045871</v>
      </c>
      <c r="AN20" s="4">
        <f>('QTR BS'!AK20-'QTR BS'!AJ20)</f>
        <v>8756.146049594623</v>
      </c>
      <c r="AO20" s="4">
        <f>('QTR BS'!AL20-'QTR BS'!AK20)</f>
        <v>-6764.242577027675</v>
      </c>
      <c r="AP20" s="4">
        <f>('QTR BS'!AM20-'QTR BS'!AL20)</f>
        <v>5117.9021714916453</v>
      </c>
      <c r="AQ20" s="4">
        <f>('QTR BS'!AN20-'QTR BS'!AM20)</f>
        <v>30939.973816289275</v>
      </c>
      <c r="AR20" s="4">
        <f>('QTR BS'!AO20-'QTR BS'!AN20)</f>
        <v>10297.676105246384</v>
      </c>
      <c r="AS20" s="4">
        <f>('QTR BS'!AP20-'QTR BS'!AO20)</f>
        <v>-7955.0956278045196</v>
      </c>
    </row>
    <row r="21" spans="1:45" x14ac:dyDescent="0.25">
      <c r="A21" s="3" t="s">
        <v>75</v>
      </c>
      <c r="B21" s="4">
        <f>'QTR CF'!B21</f>
        <v>-1552</v>
      </c>
      <c r="C21" s="4">
        <f>'QTR CF'!C21</f>
        <v>9830</v>
      </c>
      <c r="D21" s="4">
        <f>'QTR CF'!D21</f>
        <v>9691</v>
      </c>
      <c r="E21" s="4">
        <f>'QTR CF'!E21</f>
        <v>-7547</v>
      </c>
      <c r="F21" s="4">
        <f>'QTR CF'!F21</f>
        <v>-13287</v>
      </c>
      <c r="G21" s="4">
        <f>'QTR CF'!G21</f>
        <v>20983</v>
      </c>
      <c r="H21" s="4">
        <f>'QTR CF'!H21</f>
        <v>-7810</v>
      </c>
      <c r="I21" s="4">
        <f>'QTR CF'!I21</f>
        <v>7335</v>
      </c>
      <c r="J21" s="4">
        <f>'QTR CF'!J21</f>
        <v>-9818</v>
      </c>
      <c r="K21" s="4">
        <f>'QTR CF'!K21</f>
        <v>-4848</v>
      </c>
      <c r="L21" s="4">
        <f>'QTR CF'!L21</f>
        <v>1843</v>
      </c>
      <c r="M21" s="4">
        <f>'QTR CF'!M21</f>
        <v>-4037</v>
      </c>
      <c r="N21" s="4">
        <f>'QTR CF'!N21</f>
        <v>41617</v>
      </c>
      <c r="O21" s="4">
        <f>'QTR CF'!O21</f>
        <v>-42836</v>
      </c>
      <c r="P21" s="4">
        <f>'QTR CF'!P21</f>
        <v>5436</v>
      </c>
      <c r="Q21" s="4">
        <f>'QTR CF'!Q21</f>
        <v>-2469</v>
      </c>
      <c r="R21" s="4">
        <f>'QTR CF'!R21</f>
        <v>60512</v>
      </c>
      <c r="S21" s="4">
        <f>'QTR CF'!S21</f>
        <v>-49164</v>
      </c>
      <c r="T21" s="4">
        <f>'QTR CF'!T21</f>
        <v>-7135</v>
      </c>
      <c r="U21" s="4">
        <f>'QTR CF'!U21</f>
        <v>5225</v>
      </c>
      <c r="V21" s="4">
        <f>'QTR CF'!V21</f>
        <v>61674</v>
      </c>
      <c r="W21" s="4">
        <f>'QTR CF'!W21</f>
        <v>-40618</v>
      </c>
      <c r="X21" s="4">
        <f>'QTR CF'!X21</f>
        <v>12305</v>
      </c>
      <c r="Y21" s="4">
        <f>'QTR CF'!Y21</f>
        <v>-5582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</row>
    <row r="22" spans="1:45" x14ac:dyDescent="0.25">
      <c r="A22" s="3" t="s">
        <v>76</v>
      </c>
      <c r="B22" s="4">
        <f>'QTR CF'!B22</f>
        <v>-192</v>
      </c>
      <c r="C22" s="4">
        <f>'QTR CF'!C22</f>
        <v>275</v>
      </c>
      <c r="D22" s="4">
        <f>'QTR CF'!D22</f>
        <v>-645</v>
      </c>
      <c r="E22" s="4">
        <f>'QTR CF'!E22</f>
        <v>206</v>
      </c>
      <c r="F22" s="4">
        <f>'QTR CF'!F22</f>
        <v>504</v>
      </c>
      <c r="G22" s="4">
        <f>'QTR CF'!G22</f>
        <v>117</v>
      </c>
      <c r="H22" s="4">
        <f>'QTR CF'!H22</f>
        <v>-47</v>
      </c>
      <c r="I22" s="4">
        <f>'QTR CF'!I22</f>
        <v>-82</v>
      </c>
      <c r="J22" s="4">
        <f>'QTR CF'!J22</f>
        <v>-596</v>
      </c>
      <c r="K22" s="4">
        <f>'QTR CF'!K22</f>
        <v>-2615</v>
      </c>
      <c r="L22" s="4">
        <f>'QTR CF'!L22</f>
        <v>-281</v>
      </c>
      <c r="M22" s="4">
        <f>'QTR CF'!M22</f>
        <v>-1048</v>
      </c>
      <c r="N22" s="4">
        <f>'QTR CF'!N22</f>
        <v>-751</v>
      </c>
      <c r="O22" s="4">
        <f>'QTR CF'!O22</f>
        <v>494</v>
      </c>
      <c r="P22" s="4">
        <f>'QTR CF'!P22</f>
        <v>-3379</v>
      </c>
      <c r="Q22" s="4">
        <f>'QTR CF'!Q22</f>
        <v>26587</v>
      </c>
      <c r="R22" s="4">
        <f>'QTR CF'!R22</f>
        <v>335</v>
      </c>
      <c r="S22" s="4">
        <f>'QTR CF'!S22</f>
        <v>-1798</v>
      </c>
      <c r="T22" s="4">
        <f>'QTR CF'!T22</f>
        <v>-940</v>
      </c>
      <c r="U22" s="4">
        <f>'QTR CF'!U22</f>
        <v>15793</v>
      </c>
      <c r="V22" s="4">
        <f>'QTR CF'!V22</f>
        <v>-1885</v>
      </c>
      <c r="W22" s="4">
        <f>'QTR CF'!W22</f>
        <v>303</v>
      </c>
      <c r="X22" s="4">
        <f>'QTR CF'!X22</f>
        <v>-495</v>
      </c>
      <c r="Y22" s="4">
        <f>'QTR CF'!Y22</f>
        <v>-2858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</row>
    <row r="23" spans="1:45" x14ac:dyDescent="0.25">
      <c r="A23" s="3" t="s">
        <v>77</v>
      </c>
      <c r="B23" s="4">
        <f>'QTR CF'!B23</f>
        <v>-4273</v>
      </c>
      <c r="C23" s="4">
        <f>'QTR CF'!C23</f>
        <v>-6110</v>
      </c>
      <c r="D23" s="4">
        <f>'QTR CF'!D23</f>
        <v>-4853</v>
      </c>
      <c r="E23" s="4">
        <f>'QTR CF'!E23</f>
        <v>-6244</v>
      </c>
      <c r="F23" s="4">
        <f>'QTR CF'!F23</f>
        <v>-5250</v>
      </c>
      <c r="G23" s="4">
        <f>'QTR CF'!G23</f>
        <v>-5672</v>
      </c>
      <c r="H23" s="4">
        <f>'QTR CF'!H23</f>
        <v>-6862</v>
      </c>
      <c r="I23" s="4">
        <f>'QTR CF'!I23</f>
        <v>-4874</v>
      </c>
      <c r="J23" s="4">
        <f>'QTR CF'!J23</f>
        <v>-5915</v>
      </c>
      <c r="K23" s="4">
        <f>'QTR CF'!K23</f>
        <v>-3186</v>
      </c>
      <c r="L23" s="4">
        <f>'QTR CF'!L23</f>
        <v>-6959</v>
      </c>
      <c r="M23" s="4">
        <f>'QTR CF'!M23</f>
        <v>-3845</v>
      </c>
      <c r="N23" s="4">
        <f>'QTR CF'!N23</f>
        <v>-5046</v>
      </c>
      <c r="O23" s="4">
        <f>'QTR CF'!O23</f>
        <v>-7315</v>
      </c>
      <c r="P23" s="4">
        <f>'QTR CF'!P23</f>
        <v>-6959</v>
      </c>
      <c r="Q23" s="4">
        <f>'QTR CF'!Q23</f>
        <v>-5152</v>
      </c>
      <c r="R23" s="4">
        <f>'QTR CF'!R23</f>
        <v>-3036</v>
      </c>
      <c r="S23" s="4">
        <f>'QTR CF'!S23</f>
        <v>-4695</v>
      </c>
      <c r="T23" s="4">
        <f>'QTR CF'!T23</f>
        <v>-4921</v>
      </c>
      <c r="U23" s="4">
        <f>'QTR CF'!U23</f>
        <v>-4708</v>
      </c>
      <c r="V23" s="4">
        <f>'QTR CF'!V23</f>
        <v>-4339</v>
      </c>
      <c r="W23" s="4">
        <f>'QTR CF'!W23</f>
        <v>-4259</v>
      </c>
      <c r="X23" s="4">
        <f>'QTR CF'!X23</f>
        <v>-7309</v>
      </c>
      <c r="Y23" s="4">
        <f>'QTR CF'!Y23</f>
        <v>-7098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</row>
    <row r="24" spans="1:45" x14ac:dyDescent="0.25">
      <c r="A24" s="3" t="s">
        <v>79</v>
      </c>
      <c r="B24" s="4">
        <f>'QTR CF'!B25</f>
        <v>298837</v>
      </c>
      <c r="C24" s="4">
        <f>'QTR CF'!C25</f>
        <v>-5194</v>
      </c>
      <c r="D24" s="4">
        <f>'QTR CF'!D25</f>
        <v>-347061</v>
      </c>
      <c r="E24" s="4">
        <f>'QTR CF'!E25</f>
        <v>-326367</v>
      </c>
      <c r="F24" s="4">
        <f>'QTR CF'!F25</f>
        <v>-114819</v>
      </c>
      <c r="G24" s="4">
        <f>'QTR CF'!G25</f>
        <v>-19683</v>
      </c>
      <c r="H24" s="4">
        <f>'QTR CF'!H25</f>
        <v>-192293</v>
      </c>
      <c r="I24" s="4">
        <f>'QTR CF'!I25</f>
        <v>-597749</v>
      </c>
      <c r="J24" s="4">
        <f>'QTR CF'!J25</f>
        <v>62883</v>
      </c>
      <c r="K24" s="4">
        <f>'QTR CF'!K25</f>
        <v>382557</v>
      </c>
      <c r="L24" s="4">
        <f>'QTR CF'!L25</f>
        <v>-15407</v>
      </c>
      <c r="M24" s="4">
        <f>'QTR CF'!M25</f>
        <v>-24745</v>
      </c>
      <c r="N24" s="4">
        <f>'QTR CF'!N25</f>
        <v>3750</v>
      </c>
      <c r="O24" s="4">
        <f>'QTR CF'!O25</f>
        <v>-57073</v>
      </c>
      <c r="P24" s="4">
        <f>'QTR CF'!P25</f>
        <v>194128</v>
      </c>
      <c r="Q24" s="4">
        <f>'QTR CF'!Q25</f>
        <v>268214</v>
      </c>
      <c r="R24" s="4">
        <f>'QTR CF'!R25</f>
        <v>39897</v>
      </c>
      <c r="S24" s="4">
        <f>'QTR CF'!S25</f>
        <v>995897</v>
      </c>
      <c r="T24" s="4">
        <f>'QTR CF'!T25</f>
        <v>0</v>
      </c>
      <c r="U24" s="4">
        <f>'QTR CF'!U25</f>
        <v>0</v>
      </c>
      <c r="V24" s="4">
        <f>'QTR CF'!V25</f>
        <v>0</v>
      </c>
      <c r="W24" s="4">
        <f>'QTR CF'!W25</f>
        <v>-283097</v>
      </c>
      <c r="X24" s="4">
        <f>'QTR CF'!X25</f>
        <v>-314606</v>
      </c>
      <c r="Y24" s="4">
        <f>'QTR CF'!Y25</f>
        <v>-565447</v>
      </c>
      <c r="Z24" s="4">
        <f>-('QTR BS'!W9-'QTR BS'!V9)</f>
        <v>-11434.491323871829</v>
      </c>
      <c r="AA24" s="4">
        <f>-('QTR BS'!X9-'QTR BS'!W9)</f>
        <v>-69126.538630196534</v>
      </c>
      <c r="AB24" s="4">
        <f>-('QTR BS'!Y9-'QTR BS'!X9)</f>
        <v>-23007.21743713296</v>
      </c>
      <c r="AC24" s="4">
        <f>-('QTR BS'!Z9-'QTR BS'!Y9)</f>
        <v>17773.390129141626</v>
      </c>
      <c r="AD24" s="4">
        <f>-('QTR BS'!AA9-'QTR BS'!Z9)</f>
        <v>-13447.547290161252</v>
      </c>
      <c r="AE24" s="4">
        <f>-('QTR BS'!AB9-'QTR BS'!AA9)</f>
        <v>-81296.348994032829</v>
      </c>
      <c r="AF24" s="4">
        <f>-('QTR BS'!AC9-'QTR BS'!AB9)</f>
        <v>-27057.665770837688</v>
      </c>
      <c r="AG24" s="4">
        <f>-('QTR BS'!AD9-'QTR BS'!AC9)</f>
        <v>20902.416863016784</v>
      </c>
      <c r="AH24" s="4">
        <f>-('QTR BS'!AE9-'QTR BS'!AD9)</f>
        <v>-15815.004183316021</v>
      </c>
      <c r="AI24" s="4">
        <f>-('QTR BS'!AF9-'QTR BS'!AE9)</f>
        <v>-95608.669126570923</v>
      </c>
      <c r="AJ24" s="4">
        <f>-('QTR BS'!AG9-'QTR BS'!AF9)</f>
        <v>-31821.200410995632</v>
      </c>
      <c r="AK24" s="4">
        <f>-('QTR BS'!AH9-'QTR BS'!AG9)</f>
        <v>24582.312521174899</v>
      </c>
      <c r="AL24" s="4">
        <f>-('QTR BS'!AI9-'QTR BS'!AH9)</f>
        <v>-18599.254713258706</v>
      </c>
      <c r="AM24" s="4">
        <f>-('QTR BS'!AJ9-'QTR BS'!AI9)</f>
        <v>-112440.69045247114</v>
      </c>
      <c r="AN24" s="4">
        <f>-('QTR BS'!AK9-'QTR BS'!AJ9)</f>
        <v>-37423.3610605133</v>
      </c>
      <c r="AO24" s="4">
        <f>-('QTR BS'!AL9-'QTR BS'!AK9)</f>
        <v>28910.058241059422</v>
      </c>
      <c r="AP24" s="4">
        <f>-('QTR BS'!AM9-'QTR BS'!AL9)</f>
        <v>-21873.675901623676</v>
      </c>
      <c r="AQ24" s="4">
        <f>-('QTR BS'!AN9-'QTR BS'!AM9)</f>
        <v>-132236.00940089661</v>
      </c>
      <c r="AR24" s="4">
        <f>-('QTR BS'!AO9-'QTR BS'!AN9)</f>
        <v>-44011.788838160923</v>
      </c>
      <c r="AS24" s="4">
        <f>-('QTR BS'!AP9-'QTR BS'!AO9)</f>
        <v>33999.708806138486</v>
      </c>
    </row>
    <row r="25" spans="1:45" x14ac:dyDescent="0.25">
      <c r="A25" s="3" t="s">
        <v>80</v>
      </c>
      <c r="B25" s="4">
        <f>'QTR CF'!B26</f>
        <v>0</v>
      </c>
      <c r="C25" s="4">
        <f>'QTR CF'!C26</f>
        <v>0</v>
      </c>
      <c r="D25" s="4">
        <f>'QTR CF'!D26</f>
        <v>0</v>
      </c>
      <c r="E25" s="4">
        <f>'QTR CF'!E26</f>
        <v>0</v>
      </c>
      <c r="F25" s="4">
        <f>'QTR CF'!F26</f>
        <v>0</v>
      </c>
      <c r="G25" s="4">
        <f>'QTR CF'!G26</f>
        <v>0</v>
      </c>
      <c r="H25" s="4">
        <f>'QTR CF'!H26</f>
        <v>0</v>
      </c>
      <c r="I25" s="4">
        <f>'QTR CF'!I26</f>
        <v>0</v>
      </c>
      <c r="J25" s="4">
        <f>'QTR CF'!J26</f>
        <v>-330356</v>
      </c>
      <c r="K25" s="4">
        <f>'QTR CF'!K26</f>
        <v>884</v>
      </c>
      <c r="L25" s="4">
        <f>'QTR CF'!L26</f>
        <v>0</v>
      </c>
      <c r="M25" s="4">
        <f>'QTR CF'!M26</f>
        <v>0</v>
      </c>
      <c r="N25" s="4">
        <f>'QTR CF'!N26</f>
        <v>0</v>
      </c>
      <c r="O25" s="4">
        <f>'QTR CF'!O26</f>
        <v>0</v>
      </c>
      <c r="P25" s="4">
        <f>'QTR CF'!P26</f>
        <v>0</v>
      </c>
      <c r="Q25" s="4">
        <f>'QTR CF'!Q26</f>
        <v>0</v>
      </c>
      <c r="R25" s="4">
        <f>'QTR CF'!R26</f>
        <v>0</v>
      </c>
      <c r="S25" s="4">
        <f>'QTR CF'!S26</f>
        <v>0</v>
      </c>
      <c r="T25" s="4">
        <f>'QTR CF'!T26</f>
        <v>0</v>
      </c>
      <c r="U25" s="4">
        <f>'QTR CF'!U26</f>
        <v>0</v>
      </c>
      <c r="V25" s="4">
        <f>'QTR CF'!V26</f>
        <v>0</v>
      </c>
      <c r="W25" s="4">
        <f>'QTR CF'!W26</f>
        <v>0</v>
      </c>
      <c r="X25" s="4">
        <f>'QTR CF'!X26</f>
        <v>0</v>
      </c>
      <c r="Y25" s="4">
        <f>'QTR CF'!Y26</f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</row>
    <row r="26" spans="1:45" x14ac:dyDescent="0.25">
      <c r="A26" s="3" t="s">
        <v>81</v>
      </c>
      <c r="B26" s="4">
        <f>'QTR CF'!B27</f>
        <v>0</v>
      </c>
      <c r="C26" s="4">
        <f>'QTR CF'!C27</f>
        <v>0</v>
      </c>
      <c r="D26" s="4">
        <f>'QTR CF'!D27</f>
        <v>0</v>
      </c>
      <c r="E26" s="4">
        <f>'QTR CF'!E27</f>
        <v>0</v>
      </c>
      <c r="F26" s="4">
        <f>'QTR CF'!F27</f>
        <v>0</v>
      </c>
      <c r="G26" s="4">
        <f>'QTR CF'!G27</f>
        <v>0</v>
      </c>
      <c r="H26" s="4">
        <f>'QTR CF'!H27</f>
        <v>0</v>
      </c>
      <c r="I26" s="4">
        <f>'QTR CF'!I27</f>
        <v>0</v>
      </c>
      <c r="J26" s="4">
        <f>'QTR CF'!J27</f>
        <v>0</v>
      </c>
      <c r="K26" s="4">
        <f>'QTR CF'!K27</f>
        <v>0</v>
      </c>
      <c r="L26" s="4">
        <f>'QTR CF'!L27</f>
        <v>0</v>
      </c>
      <c r="M26" s="4">
        <f>'QTR CF'!M27</f>
        <v>0</v>
      </c>
      <c r="N26" s="4">
        <f>'QTR CF'!N27</f>
        <v>0</v>
      </c>
      <c r="O26" s="4">
        <f>'QTR CF'!O27</f>
        <v>0</v>
      </c>
      <c r="P26" s="4">
        <f>'QTR CF'!P27</f>
        <v>0</v>
      </c>
      <c r="Q26" s="4">
        <f>'QTR CF'!Q27</f>
        <v>0</v>
      </c>
      <c r="R26" s="4">
        <f>'QTR CF'!R27</f>
        <v>0</v>
      </c>
      <c r="S26" s="4">
        <f>'QTR CF'!S27</f>
        <v>0</v>
      </c>
      <c r="T26" s="4">
        <f>'QTR CF'!T27</f>
        <v>0</v>
      </c>
      <c r="U26" s="4">
        <f>'QTR CF'!U27</f>
        <v>0</v>
      </c>
      <c r="V26" s="4">
        <f>'QTR CF'!V27</f>
        <v>0</v>
      </c>
      <c r="W26" s="4">
        <f>'QTR CF'!W27</f>
        <v>0</v>
      </c>
      <c r="X26" s="4">
        <f>'QTR CF'!X27</f>
        <v>0</v>
      </c>
      <c r="Y26" s="4">
        <f>'QTR CF'!Y27</f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</row>
    <row r="27" spans="1:45" x14ac:dyDescent="0.25">
      <c r="A27" s="3" t="s">
        <v>82</v>
      </c>
      <c r="B27" s="4">
        <f>'QTR CF'!B28</f>
        <v>0</v>
      </c>
      <c r="C27" s="4">
        <f>'QTR CF'!C28</f>
        <v>0</v>
      </c>
      <c r="D27" s="4">
        <f>'QTR CF'!D28</f>
        <v>0</v>
      </c>
      <c r="E27" s="4">
        <f>'QTR CF'!E28</f>
        <v>0</v>
      </c>
      <c r="F27" s="4">
        <f>'QTR CF'!F28</f>
        <v>0</v>
      </c>
      <c r="G27" s="4">
        <f>'QTR CF'!G28</f>
        <v>0</v>
      </c>
      <c r="H27" s="4">
        <f>'QTR CF'!H28</f>
        <v>0</v>
      </c>
      <c r="I27" s="4">
        <f>'QTR CF'!I28</f>
        <v>0</v>
      </c>
      <c r="J27" s="4">
        <f>'QTR CF'!J28</f>
        <v>0</v>
      </c>
      <c r="K27" s="4">
        <f>'QTR CF'!K28</f>
        <v>0</v>
      </c>
      <c r="L27" s="4">
        <f>'QTR CF'!L28</f>
        <v>0</v>
      </c>
      <c r="M27" s="4">
        <f>'QTR CF'!M28</f>
        <v>0</v>
      </c>
      <c r="N27" s="4">
        <f>'QTR CF'!N28</f>
        <v>0</v>
      </c>
      <c r="O27" s="4">
        <f>'QTR CF'!O28</f>
        <v>0</v>
      </c>
      <c r="P27" s="4">
        <f>'QTR CF'!P28</f>
        <v>-363385</v>
      </c>
      <c r="Q27" s="4">
        <f>'QTR CF'!Q28</f>
        <v>0</v>
      </c>
      <c r="R27" s="4">
        <f>'QTR CF'!R28</f>
        <v>0</v>
      </c>
      <c r="S27" s="4">
        <f>'QTR CF'!S28</f>
        <v>0</v>
      </c>
      <c r="T27" s="4">
        <f>'QTR CF'!T28</f>
        <v>0</v>
      </c>
      <c r="U27" s="4">
        <f>'QTR CF'!U28</f>
        <v>0</v>
      </c>
      <c r="V27" s="4">
        <f>'QTR CF'!V28</f>
        <v>0</v>
      </c>
      <c r="W27" s="4">
        <f>'QTR CF'!W28</f>
        <v>0</v>
      </c>
      <c r="X27" s="4">
        <f>'QTR CF'!X28</f>
        <v>0</v>
      </c>
      <c r="Y27" s="4">
        <f>'QTR CF'!Y28</f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</row>
    <row r="28" spans="1:45" x14ac:dyDescent="0.25">
      <c r="A28" s="3" t="s">
        <v>168</v>
      </c>
      <c r="B28" s="13">
        <f>IFERROR('QTR CF'!B29/'QTR P&amp;L'!B2,"")</f>
        <v>-1.0468911973200188E-2</v>
      </c>
      <c r="C28" s="13">
        <f>IFERROR('QTR CF'!C29/'QTR P&amp;L'!C2,"")</f>
        <v>-1.6452203865815397E-2</v>
      </c>
      <c r="D28" s="13">
        <f>IFERROR('QTR CF'!D29/'QTR P&amp;L'!D2,"")</f>
        <v>-1.0387030413314912E-2</v>
      </c>
      <c r="E28" s="13">
        <f>IFERROR('QTR CF'!E29/'QTR P&amp;L'!E2,"")</f>
        <v>-5.5672445399625337E-3</v>
      </c>
      <c r="F28" s="13">
        <f>IFERROR('QTR CF'!F29/'QTR P&amp;L'!F2,"")</f>
        <v>-6.7534104722885057E-3</v>
      </c>
      <c r="G28" s="13">
        <f>IFERROR('QTR CF'!G29/'QTR P&amp;L'!G2,"")</f>
        <v>-4.8716256194700856E-3</v>
      </c>
      <c r="H28" s="13">
        <f>IFERROR('QTR CF'!H29/'QTR P&amp;L'!H2,"")</f>
        <v>-8.93902196082824E-3</v>
      </c>
      <c r="I28" s="13">
        <f>IFERROR('QTR CF'!I29/'QTR P&amp;L'!I2,"")</f>
        <v>-1.1043167789906837E-2</v>
      </c>
      <c r="J28" s="13">
        <f>IFERROR('QTR CF'!J29/'QTR P&amp;L'!J2,"")</f>
        <v>-1.4165262937466333E-2</v>
      </c>
      <c r="K28" s="13">
        <f>IFERROR('QTR CF'!K29/'QTR P&amp;L'!K2,"")</f>
        <v>-4.7083266123307592E-2</v>
      </c>
      <c r="L28" s="13">
        <f>IFERROR('QTR CF'!L29/'QTR P&amp;L'!L2,"")</f>
        <v>-2.2601930940733345E-2</v>
      </c>
      <c r="M28" s="13">
        <f>IFERROR('QTR CF'!M29/'QTR P&amp;L'!M2,"")</f>
        <v>-3.4745801361727668E-2</v>
      </c>
      <c r="N28" s="13">
        <f>IFERROR('QTR CF'!N29/'QTR P&amp;L'!N2,"")</f>
        <v>-2.3603091357501486E-2</v>
      </c>
      <c r="O28" s="13">
        <f>IFERROR('QTR CF'!O29/'QTR P&amp;L'!O2,"")</f>
        <v>-2.2817191304830668E-2</v>
      </c>
      <c r="P28" s="13">
        <f>IFERROR('QTR CF'!P29/'QTR P&amp;L'!P2,"")</f>
        <v>-1.4977683526326111E-2</v>
      </c>
      <c r="Q28" s="13">
        <f>IFERROR('QTR CF'!Q29/'QTR P&amp;L'!Q2,"")</f>
        <v>-6.4275756195566983E-2</v>
      </c>
      <c r="R28" s="13">
        <f>IFERROR('QTR CF'!R29/'QTR P&amp;L'!R2,"")</f>
        <v>-3.477650969038986E-2</v>
      </c>
      <c r="S28" s="13">
        <f>IFERROR('QTR CF'!S29/'QTR P&amp;L'!S2,"")</f>
        <v>-3.1446961139052626E-2</v>
      </c>
      <c r="T28" s="13">
        <f>IFERROR('QTR CF'!T29/'QTR P&amp;L'!T2,"")</f>
        <v>-2.4978029987671273E-2</v>
      </c>
      <c r="U28" s="13">
        <f>IFERROR('QTR CF'!U29/'QTR P&amp;L'!U2,"")</f>
        <v>-5.0373584262166253E-2</v>
      </c>
      <c r="V28" s="13">
        <f>IFERROR('QTR CF'!V29/'QTR P&amp;L'!V2,"")</f>
        <v>-1.5667344995411305E-2</v>
      </c>
      <c r="W28" s="13">
        <f>IFERROR('QTR CF'!W29/'QTR P&amp;L'!W2,"")</f>
        <v>-1.4872191218758169E-2</v>
      </c>
      <c r="X28" s="13">
        <f>IFERROR('QTR CF'!X29/'QTR P&amp;L'!X2,"")</f>
        <v>-1.9862639613315494E-2</v>
      </c>
      <c r="Y28" s="13">
        <f>IFERROR('QTR CF'!Y29/'QTR P&amp;L'!Y2,"")</f>
        <v>-1.3220694182641164E-2</v>
      </c>
      <c r="Z28" s="14">
        <f t="shared" ref="Z28:AS28" si="3">Y28</f>
        <v>-1.3220694182641164E-2</v>
      </c>
      <c r="AA28" s="14">
        <f t="shared" si="3"/>
        <v>-1.3220694182641164E-2</v>
      </c>
      <c r="AB28" s="14">
        <f t="shared" si="3"/>
        <v>-1.3220694182641164E-2</v>
      </c>
      <c r="AC28" s="14">
        <f t="shared" si="3"/>
        <v>-1.3220694182641164E-2</v>
      </c>
      <c r="AD28" s="14">
        <f t="shared" si="3"/>
        <v>-1.3220694182641164E-2</v>
      </c>
      <c r="AE28" s="14">
        <f t="shared" si="3"/>
        <v>-1.3220694182641164E-2</v>
      </c>
      <c r="AF28" s="14">
        <f t="shared" si="3"/>
        <v>-1.3220694182641164E-2</v>
      </c>
      <c r="AG28" s="14">
        <f t="shared" si="3"/>
        <v>-1.3220694182641164E-2</v>
      </c>
      <c r="AH28" s="14">
        <f t="shared" si="3"/>
        <v>-1.3220694182641164E-2</v>
      </c>
      <c r="AI28" s="14">
        <f t="shared" si="3"/>
        <v>-1.3220694182641164E-2</v>
      </c>
      <c r="AJ28" s="14">
        <f t="shared" si="3"/>
        <v>-1.3220694182641164E-2</v>
      </c>
      <c r="AK28" s="14">
        <f t="shared" si="3"/>
        <v>-1.3220694182641164E-2</v>
      </c>
      <c r="AL28" s="14">
        <f t="shared" si="3"/>
        <v>-1.3220694182641164E-2</v>
      </c>
      <c r="AM28" s="14">
        <f t="shared" si="3"/>
        <v>-1.3220694182641164E-2</v>
      </c>
      <c r="AN28" s="14">
        <f t="shared" si="3"/>
        <v>-1.3220694182641164E-2</v>
      </c>
      <c r="AO28" s="14">
        <f t="shared" si="3"/>
        <v>-1.3220694182641164E-2</v>
      </c>
      <c r="AP28" s="14">
        <f t="shared" si="3"/>
        <v>-1.3220694182641164E-2</v>
      </c>
      <c r="AQ28" s="14">
        <f t="shared" si="3"/>
        <v>-1.3220694182641164E-2</v>
      </c>
      <c r="AR28" s="14">
        <f t="shared" si="3"/>
        <v>-1.3220694182641164E-2</v>
      </c>
      <c r="AS28" s="14">
        <f t="shared" si="3"/>
        <v>-1.3220694182641164E-2</v>
      </c>
    </row>
    <row r="29" spans="1:45" x14ac:dyDescent="0.25">
      <c r="A29" s="3" t="s">
        <v>84</v>
      </c>
      <c r="B29" s="4">
        <f>'QTR CF'!B30</f>
        <v>217</v>
      </c>
      <c r="C29" s="4">
        <f>'QTR CF'!C30</f>
        <v>373</v>
      </c>
      <c r="D29" s="4">
        <f>'QTR CF'!D30</f>
        <v>290</v>
      </c>
      <c r="E29" s="4">
        <f>'QTR CF'!E30</f>
        <v>113</v>
      </c>
      <c r="F29" s="4">
        <f>'QTR CF'!F30</f>
        <v>231</v>
      </c>
      <c r="G29" s="4">
        <f>'QTR CF'!G30</f>
        <v>793</v>
      </c>
      <c r="H29" s="4">
        <f>'QTR CF'!H30</f>
        <v>222</v>
      </c>
      <c r="I29" s="4">
        <f>'QTR CF'!I30</f>
        <v>82</v>
      </c>
      <c r="J29" s="4">
        <f>'QTR CF'!J30</f>
        <v>14</v>
      </c>
      <c r="K29" s="4">
        <f>'QTR CF'!K30</f>
        <v>358</v>
      </c>
      <c r="L29" s="4">
        <f>'QTR CF'!L30</f>
        <v>231</v>
      </c>
      <c r="M29" s="4">
        <f>'QTR CF'!M30</f>
        <v>710</v>
      </c>
      <c r="N29" s="4">
        <f>'QTR CF'!N30</f>
        <v>564</v>
      </c>
      <c r="O29" s="4">
        <f>'QTR CF'!O30</f>
        <v>471</v>
      </c>
      <c r="P29" s="4">
        <f>'QTR CF'!P30</f>
        <v>718</v>
      </c>
      <c r="Q29" s="4">
        <f>'QTR CF'!Q30</f>
        <v>767</v>
      </c>
      <c r="R29" s="4">
        <f>'QTR CF'!R30</f>
        <v>422</v>
      </c>
      <c r="S29" s="4">
        <f>'QTR CF'!S30</f>
        <v>630</v>
      </c>
      <c r="T29" s="4">
        <f>'QTR CF'!T30</f>
        <v>1043</v>
      </c>
      <c r="U29" s="4">
        <f>'QTR CF'!U30</f>
        <v>637</v>
      </c>
      <c r="V29" s="4">
        <f>'QTR CF'!V30</f>
        <v>1147</v>
      </c>
      <c r="W29" s="4">
        <f>'QTR CF'!W30</f>
        <v>1187</v>
      </c>
      <c r="X29" s="4">
        <f>'QTR CF'!X30</f>
        <v>410</v>
      </c>
      <c r="Y29" s="4">
        <f>'QTR CF'!Y30</f>
        <v>1555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</row>
    <row r="30" spans="1:45" x14ac:dyDescent="0.25">
      <c r="A30" s="3" t="s">
        <v>85</v>
      </c>
      <c r="B30" s="4">
        <f>'QTR CF'!B31</f>
        <v>-6811</v>
      </c>
      <c r="C30" s="4">
        <f>'QTR CF'!C31</f>
        <v>-6274</v>
      </c>
      <c r="D30" s="4">
        <f>'QTR CF'!D31</f>
        <v>-6601</v>
      </c>
      <c r="E30" s="4">
        <f>'QTR CF'!E31</f>
        <v>1136</v>
      </c>
      <c r="F30" s="4">
        <f>'QTR CF'!F31</f>
        <v>-7239</v>
      </c>
      <c r="G30" s="4">
        <f>'QTR CF'!G31</f>
        <v>-2687</v>
      </c>
      <c r="H30" s="4">
        <f>'QTR CF'!H31</f>
        <v>4715</v>
      </c>
      <c r="I30" s="4">
        <f>'QTR CF'!I31</f>
        <v>-8374</v>
      </c>
      <c r="J30" s="4">
        <f>'QTR CF'!J31</f>
        <v>-8419</v>
      </c>
      <c r="K30" s="4">
        <f>'QTR CF'!K31</f>
        <v>-1475</v>
      </c>
      <c r="L30" s="4">
        <f>'QTR CF'!L31</f>
        <v>6316</v>
      </c>
      <c r="M30" s="4">
        <f>'QTR CF'!M31</f>
        <v>-19849</v>
      </c>
      <c r="N30" s="4">
        <f>'QTR CF'!N31</f>
        <v>-3952</v>
      </c>
      <c r="O30" s="4">
        <f>'QTR CF'!O31</f>
        <v>-1974</v>
      </c>
      <c r="P30" s="4">
        <f>'QTR CF'!P31</f>
        <v>-3184</v>
      </c>
      <c r="Q30" s="4">
        <f>'QTR CF'!Q31</f>
        <v>-4186</v>
      </c>
      <c r="R30" s="4">
        <f>'QTR CF'!R31</f>
        <v>-8612</v>
      </c>
      <c r="S30" s="4">
        <f>'QTR CF'!S31</f>
        <v>2248</v>
      </c>
      <c r="T30" s="4">
        <f>'QTR CF'!T31</f>
        <v>-15109</v>
      </c>
      <c r="U30" s="4">
        <f>'QTR CF'!U31</f>
        <v>-20887</v>
      </c>
      <c r="V30" s="4">
        <f>'QTR CF'!V31</f>
        <v>-5343</v>
      </c>
      <c r="W30" s="4">
        <f>'QTR CF'!W31</f>
        <v>-10056</v>
      </c>
      <c r="X30" s="4">
        <f>'QTR CF'!X31</f>
        <v>-4282</v>
      </c>
      <c r="Y30" s="4">
        <f>'QTR CF'!Y31</f>
        <v>-5573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</row>
    <row r="31" spans="1:45" x14ac:dyDescent="0.25">
      <c r="A31" s="3" t="s">
        <v>86</v>
      </c>
      <c r="B31" s="4">
        <f>'QTR CF'!B32</f>
        <v>-1148</v>
      </c>
      <c r="C31" s="4">
        <f>'QTR CF'!C32</f>
        <v>-190</v>
      </c>
      <c r="D31" s="4">
        <f>'QTR CF'!D32</f>
        <v>-24890</v>
      </c>
      <c r="E31" s="4">
        <f>'QTR CF'!E32</f>
        <v>-195</v>
      </c>
      <c r="F31" s="4">
        <f>'QTR CF'!F32</f>
        <v>-18856</v>
      </c>
      <c r="G31" s="4">
        <f>'QTR CF'!G32</f>
        <v>-2380</v>
      </c>
      <c r="H31" s="4">
        <f>'QTR CF'!H32</f>
        <v>-1573</v>
      </c>
      <c r="I31" s="4">
        <f>'QTR CF'!I32</f>
        <v>11456</v>
      </c>
      <c r="J31" s="4">
        <f>'QTR CF'!J32</f>
        <v>-6241</v>
      </c>
      <c r="K31" s="4">
        <f>'QTR CF'!K32</f>
        <v>-6497</v>
      </c>
      <c r="L31" s="4">
        <f>'QTR CF'!L32</f>
        <v>-6433</v>
      </c>
      <c r="M31" s="4">
        <f>'QTR CF'!M32</f>
        <v>-7172</v>
      </c>
      <c r="N31" s="4">
        <f>'QTR CF'!N32</f>
        <v>-13028</v>
      </c>
      <c r="O31" s="4">
        <f>'QTR CF'!O32</f>
        <v>-4542</v>
      </c>
      <c r="P31" s="4">
        <f>'QTR CF'!P32</f>
        <v>-2292</v>
      </c>
      <c r="Q31" s="4">
        <f>'QTR CF'!Q32</f>
        <v>13037</v>
      </c>
      <c r="R31" s="4">
        <f>'QTR CF'!R32</f>
        <v>-985</v>
      </c>
      <c r="S31" s="4">
        <f>'QTR CF'!S32</f>
        <v>-381</v>
      </c>
      <c r="T31" s="4">
        <f>'QTR CF'!T32</f>
        <v>763</v>
      </c>
      <c r="U31" s="4">
        <f>'QTR CF'!U32</f>
        <v>2238</v>
      </c>
      <c r="V31" s="4">
        <f>'QTR CF'!V32</f>
        <v>2397</v>
      </c>
      <c r="W31" s="4">
        <f>'QTR CF'!W32</f>
        <v>-3504</v>
      </c>
      <c r="X31" s="4">
        <f>'QTR CF'!X32</f>
        <v>600</v>
      </c>
      <c r="Y31" s="4">
        <f>'QTR CF'!Y32</f>
        <v>109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</row>
    <row r="32" spans="1:45" x14ac:dyDescent="0.25">
      <c r="A32" s="3" t="s">
        <v>123</v>
      </c>
      <c r="B32" s="4">
        <f>'QTR CF'!B34</f>
        <v>0</v>
      </c>
      <c r="C32" s="4">
        <f>'QTR CF'!C34</f>
        <v>0</v>
      </c>
      <c r="D32" s="4">
        <f>'QTR CF'!D34</f>
        <v>0</v>
      </c>
      <c r="E32" s="4">
        <f>'QTR CF'!E34</f>
        <v>0</v>
      </c>
      <c r="F32" s="4">
        <f>'QTR CF'!F34</f>
        <v>0</v>
      </c>
      <c r="G32" s="4">
        <f>'QTR CF'!G34</f>
        <v>0</v>
      </c>
      <c r="H32" s="4">
        <f>'QTR CF'!H34</f>
        <v>0</v>
      </c>
      <c r="I32" s="4">
        <f>'QTR CF'!I34</f>
        <v>0</v>
      </c>
      <c r="J32" s="4">
        <f>'QTR CF'!J34</f>
        <v>0</v>
      </c>
      <c r="K32" s="4">
        <f>'QTR CF'!K34</f>
        <v>0</v>
      </c>
      <c r="L32" s="4">
        <f>'QTR CF'!L34</f>
        <v>0</v>
      </c>
      <c r="M32" s="4">
        <f>'QTR CF'!M34</f>
        <v>0</v>
      </c>
      <c r="N32" s="4">
        <f>'QTR CF'!N34</f>
        <v>0</v>
      </c>
      <c r="O32" s="4">
        <f>'QTR CF'!O34</f>
        <v>0</v>
      </c>
      <c r="P32" s="4">
        <f>'QTR CF'!P34</f>
        <v>0</v>
      </c>
      <c r="Q32" s="4">
        <f>'QTR CF'!Q34</f>
        <v>0</v>
      </c>
      <c r="R32" s="4">
        <f>'QTR CF'!R34</f>
        <v>0</v>
      </c>
      <c r="S32" s="4">
        <f>'QTR CF'!S34</f>
        <v>-5269</v>
      </c>
      <c r="T32" s="4">
        <f>'QTR CF'!T34</f>
        <v>-1448</v>
      </c>
      <c r="U32" s="4">
        <f>'QTR CF'!U34</f>
        <v>0</v>
      </c>
      <c r="V32" s="4">
        <f>'QTR CF'!V34</f>
        <v>0</v>
      </c>
      <c r="W32" s="4">
        <f>'QTR CF'!W34</f>
        <v>0</v>
      </c>
      <c r="X32" s="4">
        <f>'QTR CF'!X34</f>
        <v>0</v>
      </c>
      <c r="Y32" s="4">
        <f>'QTR CF'!Y34</f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</row>
    <row r="33" spans="1:45" x14ac:dyDescent="0.25">
      <c r="A33" s="3" t="s">
        <v>88</v>
      </c>
      <c r="B33" s="4">
        <f>'QTR CF'!B35</f>
        <v>-733</v>
      </c>
      <c r="C33" s="4">
        <f>'QTR CF'!C35</f>
        <v>-947</v>
      </c>
      <c r="D33" s="4">
        <f>'QTR CF'!D35</f>
        <v>-820</v>
      </c>
      <c r="E33" s="4">
        <f>'QTR CF'!E35</f>
        <v>-586</v>
      </c>
      <c r="F33" s="4">
        <f>'QTR CF'!F35</f>
        <v>957</v>
      </c>
      <c r="G33" s="4">
        <f>'QTR CF'!G35</f>
        <v>2667</v>
      </c>
      <c r="H33" s="4">
        <f>'QTR CF'!H35</f>
        <v>-5438</v>
      </c>
      <c r="I33" s="4">
        <f>'QTR CF'!I35</f>
        <v>4742</v>
      </c>
      <c r="J33" s="4">
        <f>'QTR CF'!J35</f>
        <v>3454</v>
      </c>
      <c r="K33" s="4">
        <f>'QTR CF'!K35</f>
        <v>1470</v>
      </c>
      <c r="L33" s="4">
        <f>'QTR CF'!L35</f>
        <v>-5643</v>
      </c>
      <c r="M33" s="4">
        <f>'QTR CF'!M35</f>
        <v>794</v>
      </c>
      <c r="N33" s="4">
        <f>'QTR CF'!N35</f>
        <v>-7271</v>
      </c>
      <c r="O33" s="4">
        <f>'QTR CF'!O35</f>
        <v>610</v>
      </c>
      <c r="P33" s="4">
        <f>'QTR CF'!P35</f>
        <v>-4612</v>
      </c>
      <c r="Q33" s="4">
        <f>'QTR CF'!Q35</f>
        <v>-2641</v>
      </c>
      <c r="R33" s="4">
        <f>'QTR CF'!R35</f>
        <v>-2896</v>
      </c>
      <c r="S33" s="4">
        <f>'QTR CF'!S35</f>
        <v>2896</v>
      </c>
      <c r="T33" s="4">
        <f>'QTR CF'!T35</f>
        <v>0</v>
      </c>
      <c r="U33" s="4">
        <f>'QTR CF'!U35</f>
        <v>-8223</v>
      </c>
      <c r="V33" s="4">
        <f>'QTR CF'!V35</f>
        <v>-2045</v>
      </c>
      <c r="W33" s="4">
        <f>'QTR CF'!W35</f>
        <v>-2978</v>
      </c>
      <c r="X33" s="4">
        <f>'QTR CF'!X35</f>
        <v>-3020</v>
      </c>
      <c r="Y33" s="4">
        <f>'QTR CF'!Y35</f>
        <v>-2301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</row>
    <row r="34" spans="1:45" x14ac:dyDescent="0.25">
      <c r="A34" s="3" t="s">
        <v>89</v>
      </c>
      <c r="B34" s="4">
        <f>'QTR CF'!B36</f>
        <v>0</v>
      </c>
      <c r="C34" s="4">
        <f>'QTR CF'!C36</f>
        <v>0</v>
      </c>
      <c r="D34" s="4">
        <f>'QTR CF'!D36</f>
        <v>0</v>
      </c>
      <c r="E34" s="4">
        <f>'QTR CF'!E36</f>
        <v>0</v>
      </c>
      <c r="F34" s="4">
        <f>'QTR CF'!F36</f>
        <v>0</v>
      </c>
      <c r="G34" s="4">
        <f>'QTR CF'!G36</f>
        <v>0</v>
      </c>
      <c r="H34" s="4">
        <f>'QTR CF'!H36</f>
        <v>0</v>
      </c>
      <c r="I34" s="4">
        <f>'QTR CF'!I36</f>
        <v>0</v>
      </c>
      <c r="J34" s="4">
        <f>'QTR CF'!J36</f>
        <v>0</v>
      </c>
      <c r="K34" s="4">
        <f>'QTR CF'!K36</f>
        <v>0</v>
      </c>
      <c r="L34" s="4">
        <f>'QTR CF'!L36</f>
        <v>0</v>
      </c>
      <c r="M34" s="4">
        <f>'QTR CF'!M36</f>
        <v>0</v>
      </c>
      <c r="N34" s="4">
        <f>'QTR CF'!N36</f>
        <v>0</v>
      </c>
      <c r="O34" s="4">
        <f>'QTR CF'!O36</f>
        <v>0</v>
      </c>
      <c r="P34" s="4">
        <f>'QTR CF'!P36</f>
        <v>0</v>
      </c>
      <c r="Q34" s="4">
        <f>'QTR CF'!Q36</f>
        <v>0</v>
      </c>
      <c r="R34" s="4">
        <f>'QTR CF'!R36</f>
        <v>0</v>
      </c>
      <c r="S34" s="4">
        <f>'QTR CF'!S36</f>
        <v>750000</v>
      </c>
      <c r="T34" s="4">
        <f>'QTR CF'!T36</f>
        <v>0</v>
      </c>
      <c r="U34" s="4">
        <f>'QTR CF'!U36</f>
        <v>0</v>
      </c>
      <c r="V34" s="4">
        <f>'QTR CF'!V36</f>
        <v>0</v>
      </c>
      <c r="W34" s="4">
        <f>'QTR CF'!W36</f>
        <v>0</v>
      </c>
      <c r="X34" s="4">
        <f>'QTR CF'!X36</f>
        <v>0</v>
      </c>
      <c r="Y34" s="4">
        <f>'QTR CF'!Y36</f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</row>
    <row r="35" spans="1:45" x14ac:dyDescent="0.25">
      <c r="A35" s="3" t="s">
        <v>91</v>
      </c>
      <c r="B35" s="4">
        <f>'QTR CF'!B37</f>
        <v>0</v>
      </c>
      <c r="C35" s="4">
        <f>'QTR CF'!C37</f>
        <v>0</v>
      </c>
      <c r="D35" s="4">
        <f>'QTR CF'!D37</f>
        <v>0</v>
      </c>
      <c r="E35" s="4">
        <f>'QTR CF'!E37</f>
        <v>0</v>
      </c>
      <c r="F35" s="4">
        <f>'QTR CF'!F37</f>
        <v>0</v>
      </c>
      <c r="G35" s="4">
        <f>'QTR CF'!G37</f>
        <v>0</v>
      </c>
      <c r="H35" s="4">
        <f>'QTR CF'!H37</f>
        <v>0</v>
      </c>
      <c r="I35" s="4">
        <f>'QTR CF'!I37</f>
        <v>0</v>
      </c>
      <c r="J35" s="4">
        <f>'QTR CF'!J37</f>
        <v>0</v>
      </c>
      <c r="K35" s="4">
        <f>'QTR CF'!K37</f>
        <v>0</v>
      </c>
      <c r="L35" s="4">
        <f>'QTR CF'!L37</f>
        <v>0</v>
      </c>
      <c r="M35" s="4">
        <f>'QTR CF'!M37</f>
        <v>0</v>
      </c>
      <c r="N35" s="4">
        <f>'QTR CF'!N37</f>
        <v>0</v>
      </c>
      <c r="O35" s="4">
        <f>'QTR CF'!O37</f>
        <v>0</v>
      </c>
      <c r="P35" s="4">
        <f>'QTR CF'!P37</f>
        <v>0</v>
      </c>
      <c r="Q35" s="4">
        <f>'QTR CF'!Q37</f>
        <v>0</v>
      </c>
      <c r="R35" s="4">
        <f>'QTR CF'!R37</f>
        <v>0</v>
      </c>
      <c r="S35" s="4">
        <f>'QTR CF'!S37</f>
        <v>-2776</v>
      </c>
      <c r="T35" s="4">
        <f>'QTR CF'!T37</f>
        <v>-128</v>
      </c>
      <c r="U35" s="4">
        <f>'QTR CF'!U37</f>
        <v>0</v>
      </c>
      <c r="V35" s="4">
        <f>'QTR CF'!V37</f>
        <v>0</v>
      </c>
      <c r="W35" s="4">
        <f>'QTR CF'!W37</f>
        <v>0</v>
      </c>
      <c r="X35" s="4">
        <f>'QTR CF'!X37</f>
        <v>0</v>
      </c>
      <c r="Y35" s="4">
        <f>'QTR CF'!Y37</f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</row>
    <row r="36" spans="1:45" x14ac:dyDescent="0.25">
      <c r="A36" s="3" t="s">
        <v>90</v>
      </c>
      <c r="B36" s="4">
        <f>'QTR CF'!B38</f>
        <v>0</v>
      </c>
      <c r="C36" s="4">
        <f>'QTR CF'!C38</f>
        <v>0</v>
      </c>
      <c r="D36" s="4">
        <f>'QTR CF'!D38</f>
        <v>0</v>
      </c>
      <c r="E36" s="4">
        <f>'QTR CF'!E38</f>
        <v>0</v>
      </c>
      <c r="F36" s="4">
        <f>'QTR CF'!F38</f>
        <v>0</v>
      </c>
      <c r="G36" s="4">
        <f>'QTR CF'!G38</f>
        <v>0</v>
      </c>
      <c r="H36" s="4">
        <f>'QTR CF'!H38</f>
        <v>0</v>
      </c>
      <c r="I36" s="4">
        <f>'QTR CF'!I38</f>
        <v>0</v>
      </c>
      <c r="J36" s="4">
        <f>'QTR CF'!J38</f>
        <v>0</v>
      </c>
      <c r="K36" s="4">
        <f>'QTR CF'!K38</f>
        <v>0</v>
      </c>
      <c r="L36" s="4">
        <f>'QTR CF'!L38</f>
        <v>0</v>
      </c>
      <c r="M36" s="4">
        <f>'QTR CF'!M38</f>
        <v>0</v>
      </c>
      <c r="N36" s="4">
        <f>'QTR CF'!N38</f>
        <v>0</v>
      </c>
      <c r="O36" s="4">
        <f>'QTR CF'!O38</f>
        <v>0</v>
      </c>
      <c r="P36" s="4">
        <f>'QTR CF'!P38</f>
        <v>0</v>
      </c>
      <c r="Q36" s="4">
        <f>'QTR CF'!Q38</f>
        <v>0</v>
      </c>
      <c r="R36" s="4">
        <f>'QTR CF'!R38</f>
        <v>0</v>
      </c>
      <c r="S36" s="4">
        <f>'QTR CF'!S38</f>
        <v>0</v>
      </c>
      <c r="T36" s="4">
        <f>'QTR CF'!T38</f>
        <v>0</v>
      </c>
      <c r="U36" s="4">
        <f>'QTR CF'!U38</f>
        <v>-375000</v>
      </c>
      <c r="V36" s="4">
        <f>'QTR CF'!V38</f>
        <v>-175000</v>
      </c>
      <c r="W36" s="4">
        <f>'QTR CF'!W38</f>
        <v>-200000</v>
      </c>
      <c r="X36" s="4">
        <f>'QTR CF'!X38</f>
        <v>0</v>
      </c>
      <c r="Y36" s="4">
        <f>'QTR CF'!Y38</f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</row>
    <row r="37" spans="1:45" x14ac:dyDescent="0.25">
      <c r="A37" s="3" t="s">
        <v>92</v>
      </c>
      <c r="B37" s="4">
        <f>'QTR CF'!B39</f>
        <v>13975</v>
      </c>
      <c r="C37" s="4">
        <f>'QTR CF'!C39</f>
        <v>29867</v>
      </c>
      <c r="D37" s="4">
        <f>'QTR CF'!D39</f>
        <v>21698</v>
      </c>
      <c r="E37" s="4">
        <f>'QTR CF'!E39</f>
        <v>7396</v>
      </c>
      <c r="F37" s="4">
        <f>'QTR CF'!F39</f>
        <v>6761</v>
      </c>
      <c r="G37" s="4">
        <f>'QTR CF'!G39</f>
        <v>17725</v>
      </c>
      <c r="H37" s="4">
        <f>'QTR CF'!H39</f>
        <v>12674</v>
      </c>
      <c r="I37" s="4">
        <f>'QTR CF'!I39</f>
        <v>8563</v>
      </c>
      <c r="J37" s="4">
        <f>'QTR CF'!J39</f>
        <v>4510</v>
      </c>
      <c r="K37" s="4">
        <f>'QTR CF'!K39</f>
        <v>18112</v>
      </c>
      <c r="L37" s="4">
        <f>'QTR CF'!L39</f>
        <v>12137</v>
      </c>
      <c r="M37" s="4">
        <f>'QTR CF'!M39</f>
        <v>29256</v>
      </c>
      <c r="N37" s="4">
        <f>'QTR CF'!N39</f>
        <v>36348</v>
      </c>
      <c r="O37" s="4">
        <f>'QTR CF'!O39</f>
        <v>23318</v>
      </c>
      <c r="P37" s="4">
        <f>'QTR CF'!P39</f>
        <v>5894</v>
      </c>
      <c r="Q37" s="4">
        <f>'QTR CF'!Q39</f>
        <v>64707</v>
      </c>
      <c r="R37" s="4">
        <f>'QTR CF'!R39</f>
        <v>38392</v>
      </c>
      <c r="S37" s="4">
        <f>'QTR CF'!S39</f>
        <v>13701</v>
      </c>
      <c r="T37" s="4">
        <f>'QTR CF'!T39</f>
        <v>10008</v>
      </c>
      <c r="U37" s="4">
        <f>'QTR CF'!U39</f>
        <v>16872</v>
      </c>
      <c r="V37" s="4">
        <f>'QTR CF'!V39</f>
        <v>48093</v>
      </c>
      <c r="W37" s="4">
        <f>'QTR CF'!W39</f>
        <v>39591</v>
      </c>
      <c r="X37" s="4">
        <f>'QTR CF'!X39</f>
        <v>26679</v>
      </c>
      <c r="Y37" s="4">
        <f>'QTR CF'!Y39</f>
        <v>50205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</row>
    <row r="38" spans="1:45" x14ac:dyDescent="0.25">
      <c r="A38" s="3" t="s">
        <v>93</v>
      </c>
      <c r="B38" s="4">
        <f>'QTR CF'!B40</f>
        <v>-559210</v>
      </c>
      <c r="C38" s="4">
        <f>'QTR CF'!C40</f>
        <v>-36560</v>
      </c>
      <c r="D38" s="4">
        <f>'QTR CF'!D40</f>
        <v>-148</v>
      </c>
      <c r="E38" s="4">
        <f>'QTR CF'!E40</f>
        <v>0</v>
      </c>
      <c r="F38" s="4">
        <f>'QTR CF'!F40</f>
        <v>-13419</v>
      </c>
      <c r="G38" s="4">
        <f>'QTR CF'!G40</f>
        <v>-399</v>
      </c>
      <c r="H38" s="4">
        <f>'QTR CF'!H40</f>
        <v>0</v>
      </c>
      <c r="I38" s="4">
        <f>'QTR CF'!I40</f>
        <v>-12</v>
      </c>
      <c r="J38" s="4">
        <f>'QTR CF'!J40</f>
        <v>-12187</v>
      </c>
      <c r="K38" s="4">
        <f>'QTR CF'!K40</f>
        <v>-284312</v>
      </c>
      <c r="L38" s="4">
        <f>'QTR CF'!L40</f>
        <v>-196816</v>
      </c>
      <c r="M38" s="4">
        <f>'QTR CF'!M40</f>
        <v>-277713</v>
      </c>
      <c r="N38" s="4">
        <f>'QTR CF'!N40</f>
        <v>-35126</v>
      </c>
      <c r="O38" s="4">
        <f>'QTR CF'!O40</f>
        <v>-55699</v>
      </c>
      <c r="P38" s="4">
        <f>'QTR CF'!P40</f>
        <v>-397255</v>
      </c>
      <c r="Q38" s="4">
        <f>'QTR CF'!Q40</f>
        <v>-170872</v>
      </c>
      <c r="R38" s="4">
        <f>'QTR CF'!R40</f>
        <v>-120245</v>
      </c>
      <c r="S38" s="4">
        <f>'QTR CF'!S40</f>
        <v>-3114278</v>
      </c>
      <c r="T38" s="4">
        <f>'QTR CF'!T40</f>
        <v>-535661</v>
      </c>
      <c r="U38" s="4">
        <f>'QTR CF'!U40</f>
        <v>-1691</v>
      </c>
      <c r="V38" s="4">
        <f>'QTR CF'!V40</f>
        <v>-16633</v>
      </c>
      <c r="W38" s="4">
        <f>'QTR CF'!W40</f>
        <v>0</v>
      </c>
      <c r="X38" s="4">
        <f>'QTR CF'!X40</f>
        <v>-27288</v>
      </c>
      <c r="Y38" s="4">
        <f>'QTR CF'!Y40</f>
        <v>-59725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</row>
    <row r="39" spans="1:45" x14ac:dyDescent="0.25">
      <c r="A39" s="3" t="s">
        <v>95</v>
      </c>
      <c r="B39" s="4">
        <f>'QTR CF'!B42</f>
        <v>-21261</v>
      </c>
      <c r="C39" s="4">
        <f>'QTR CF'!C42</f>
        <v>7086</v>
      </c>
      <c r="D39" s="4">
        <f>'QTR CF'!D42</f>
        <v>15104</v>
      </c>
      <c r="E39" s="4">
        <f>'QTR CF'!E42</f>
        <v>15919</v>
      </c>
      <c r="F39" s="4">
        <f>'QTR CF'!F42</f>
        <v>-22223</v>
      </c>
      <c r="G39" s="4">
        <f>'QTR CF'!G42</f>
        <v>5333</v>
      </c>
      <c r="H39" s="4">
        <f>'QTR CF'!H42</f>
        <v>-18662</v>
      </c>
      <c r="I39" s="4">
        <f>'QTR CF'!I42</f>
        <v>-16939</v>
      </c>
      <c r="J39" s="4">
        <f>'QTR CF'!J42</f>
        <v>-3472</v>
      </c>
      <c r="K39" s="4">
        <f>'QTR CF'!K42</f>
        <v>-46923</v>
      </c>
      <c r="L39" s="4">
        <f>'QTR CF'!L42</f>
        <v>-45187</v>
      </c>
      <c r="M39" s="4">
        <f>'QTR CF'!M42</f>
        <v>56867</v>
      </c>
      <c r="N39" s="4">
        <f>'QTR CF'!N42</f>
        <v>-141</v>
      </c>
      <c r="O39" s="4">
        <f>'QTR CF'!O42</f>
        <v>-4359</v>
      </c>
      <c r="P39" s="4">
        <f>'QTR CF'!P42</f>
        <v>-18402</v>
      </c>
      <c r="Q39" s="4">
        <f>'QTR CF'!Q42</f>
        <v>31677</v>
      </c>
      <c r="R39" s="4">
        <f>'QTR CF'!R42</f>
        <v>-13222</v>
      </c>
      <c r="S39" s="4">
        <f>'QTR CF'!S42</f>
        <v>-30981</v>
      </c>
      <c r="T39" s="4">
        <f>'QTR CF'!T42</f>
        <v>29721</v>
      </c>
      <c r="U39" s="4">
        <f>'QTR CF'!U42</f>
        <v>-83137</v>
      </c>
      <c r="V39" s="4">
        <f>'QTR CF'!V42</f>
        <v>38972</v>
      </c>
      <c r="W39" s="4">
        <f>'QTR CF'!W42</f>
        <v>47753</v>
      </c>
      <c r="X39" s="4">
        <f>'QTR CF'!X42</f>
        <v>-13986</v>
      </c>
      <c r="Y39" s="4">
        <f>'QTR CF'!Y42</f>
        <v>25114</v>
      </c>
      <c r="Z39" s="15">
        <f t="shared" ref="Z39:AS39" si="4">Y39</f>
        <v>25114</v>
      </c>
      <c r="AA39" s="15">
        <f t="shared" si="4"/>
        <v>25114</v>
      </c>
      <c r="AB39" s="15">
        <f t="shared" si="4"/>
        <v>25114</v>
      </c>
      <c r="AC39" s="15">
        <f t="shared" si="4"/>
        <v>25114</v>
      </c>
      <c r="AD39" s="15">
        <f t="shared" si="4"/>
        <v>25114</v>
      </c>
      <c r="AE39" s="15">
        <f t="shared" si="4"/>
        <v>25114</v>
      </c>
      <c r="AF39" s="15">
        <f t="shared" si="4"/>
        <v>25114</v>
      </c>
      <c r="AG39" s="15">
        <f t="shared" si="4"/>
        <v>25114</v>
      </c>
      <c r="AH39" s="15">
        <f t="shared" si="4"/>
        <v>25114</v>
      </c>
      <c r="AI39" s="15">
        <f t="shared" si="4"/>
        <v>25114</v>
      </c>
      <c r="AJ39" s="15">
        <f t="shared" si="4"/>
        <v>25114</v>
      </c>
      <c r="AK39" s="15">
        <f t="shared" si="4"/>
        <v>25114</v>
      </c>
      <c r="AL39" s="15">
        <f t="shared" si="4"/>
        <v>25114</v>
      </c>
      <c r="AM39" s="15">
        <f t="shared" si="4"/>
        <v>25114</v>
      </c>
      <c r="AN39" s="15">
        <f t="shared" si="4"/>
        <v>25114</v>
      </c>
      <c r="AO39" s="15">
        <f t="shared" si="4"/>
        <v>25114</v>
      </c>
      <c r="AP39" s="15">
        <f t="shared" si="4"/>
        <v>25114</v>
      </c>
      <c r="AQ39" s="15">
        <f t="shared" si="4"/>
        <v>25114</v>
      </c>
      <c r="AR39" s="15">
        <f t="shared" si="4"/>
        <v>25114</v>
      </c>
      <c r="AS39" s="15">
        <f t="shared" si="4"/>
        <v>25114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ASSUMPTIONS</vt:lpstr>
      <vt:lpstr>ANNL P&amp;L</vt:lpstr>
      <vt:lpstr>BALANCE SHEET</vt:lpstr>
      <vt:lpstr>CASH FLOW</vt:lpstr>
      <vt:lpstr>YTD P&amp;L</vt:lpstr>
      <vt:lpstr>YTD BS</vt:lpstr>
      <vt:lpstr>YTD CF</vt:lpstr>
      <vt:lpstr>QTR P&amp;L</vt:lpstr>
      <vt:lpstr>QTR BS</vt:lpstr>
      <vt:lpstr>QTR CF</vt:lpstr>
      <vt:lpstr>IS DRIVERS</vt:lpstr>
      <vt:lpstr>BS DRIVERS</vt:lpstr>
      <vt:lpstr>CF 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Rodino</cp:lastModifiedBy>
  <dcterms:created xsi:type="dcterms:W3CDTF">2026-04-29T01:14:56Z</dcterms:created>
  <dcterms:modified xsi:type="dcterms:W3CDTF">2026-04-29T01:15:12Z</dcterms:modified>
</cp:coreProperties>
</file>