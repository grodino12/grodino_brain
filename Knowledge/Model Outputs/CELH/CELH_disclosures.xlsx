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9016" windowHeight="15696" tabRatio="600" firstSheet="65" activeTab="67" autoFilterDateGrouping="1"/>
  </bookViews>
  <sheets>
    <sheet xmlns:r="http://schemas.openxmlformats.org/officeDocument/2006/relationships" name="KPI Consolidated" sheetId="1" state="visible" r:id="rId1"/>
    <sheet xmlns:r="http://schemas.openxmlformats.org/officeDocument/2006/relationships" name="01 2018Q3 Earnings" sheetId="2" state="visible" r:id="rId2"/>
    <sheet xmlns:r="http://schemas.openxmlformats.org/officeDocument/2006/relationships" name="02 2018Q4 Earnings" sheetId="3" state="visible" r:id="rId3"/>
    <sheet xmlns:r="http://schemas.openxmlformats.org/officeDocument/2006/relationships" name="03 2019Q1 Earnings" sheetId="4" state="visible" r:id="rId4"/>
    <sheet xmlns:r="http://schemas.openxmlformats.org/officeDocument/2006/relationships" name="04 2019Q2 Earnings" sheetId="5" state="visible" r:id="rId5"/>
    <sheet xmlns:r="http://schemas.openxmlformats.org/officeDocument/2006/relationships" name="05 2019Q3 Earnings" sheetId="6" state="visible" r:id="rId6"/>
    <sheet xmlns:r="http://schemas.openxmlformats.org/officeDocument/2006/relationships" name="06 2019Q4 Earnings" sheetId="7" state="visible" r:id="rId7"/>
    <sheet xmlns:r="http://schemas.openxmlformats.org/officeDocument/2006/relationships" name="07 Q1 2020 Earnings" sheetId="8" state="visible" r:id="rId8"/>
    <sheet xmlns:r="http://schemas.openxmlformats.org/officeDocument/2006/relationships" name="08 Q2 2020 Earnings" sheetId="9" state="visible" r:id="rId9"/>
    <sheet xmlns:r="http://schemas.openxmlformats.org/officeDocument/2006/relationships" name="09 LD Micro Conf" sheetId="10" state="visible" r:id="rId10"/>
    <sheet xmlns:r="http://schemas.openxmlformats.org/officeDocument/2006/relationships" name="10 Q3 2020 Earnings" sheetId="11" state="visible" r:id="rId11"/>
    <sheet xmlns:r="http://schemas.openxmlformats.org/officeDocument/2006/relationships" name="11 UBS Conference" sheetId="12" state="visible" r:id="rId12"/>
    <sheet xmlns:r="http://schemas.openxmlformats.org/officeDocument/2006/relationships" name="12 2020Q4 Earnings" sheetId="13" state="visible" r:id="rId13"/>
    <sheet xmlns:r="http://schemas.openxmlformats.org/officeDocument/2006/relationships" name="13 Q1 2021 Earnings" sheetId="14" state="visible" r:id="rId14"/>
    <sheet xmlns:r="http://schemas.openxmlformats.org/officeDocument/2006/relationships" name="14 2021Q2 Earnings" sheetId="15" state="visible" r:id="rId15"/>
    <sheet xmlns:r="http://schemas.openxmlformats.org/officeDocument/2006/relationships" name="15 Annual Shareholder Mtg" sheetId="16" state="visible" r:id="rId16"/>
    <sheet xmlns:r="http://schemas.openxmlformats.org/officeDocument/2006/relationships" name="16 2021Q3 Earnings" sheetId="17" state="visible" r:id="rId17"/>
    <sheet xmlns:r="http://schemas.openxmlformats.org/officeDocument/2006/relationships" name="17 Jefferies Conference" sheetId="18" state="visible" r:id="rId18"/>
    <sheet xmlns:r="http://schemas.openxmlformats.org/officeDocument/2006/relationships" name="18 Morgan Stanley Conf" sheetId="19" state="visible" r:id="rId19"/>
    <sheet xmlns:r="http://schemas.openxmlformats.org/officeDocument/2006/relationships" name="19 Q4 2021 Earnings" sheetId="20" state="visible" r:id="rId20"/>
    <sheet xmlns:r="http://schemas.openxmlformats.org/officeDocument/2006/relationships" name="20 2022Q1 Earnings" sheetId="21" state="visible" r:id="rId21"/>
    <sheet xmlns:r="http://schemas.openxmlformats.org/officeDocument/2006/relationships" name="21 Credit Suisse Conf" sheetId="22" state="visible" r:id="rId22"/>
    <sheet xmlns:r="http://schemas.openxmlformats.org/officeDocument/2006/relationships" name="22 Annual Shareholder Mtg" sheetId="23" state="visible" r:id="rId23"/>
    <sheet xmlns:r="http://schemas.openxmlformats.org/officeDocument/2006/relationships" name="23 Evercore Conference" sheetId="24" state="visible" r:id="rId24"/>
    <sheet xmlns:r="http://schemas.openxmlformats.org/officeDocument/2006/relationships" name="24 Stifel Conference" sheetId="25" state="visible" r:id="rId25"/>
    <sheet xmlns:r="http://schemas.openxmlformats.org/officeDocument/2006/relationships" name="25 PepsiCo Distribution" sheetId="26" state="visible" r:id="rId26"/>
    <sheet xmlns:r="http://schemas.openxmlformats.org/officeDocument/2006/relationships" name="26 2022Q2 Earnings" sheetId="27" state="visible" r:id="rId27"/>
    <sheet xmlns:r="http://schemas.openxmlformats.org/officeDocument/2006/relationships" name="27 2022Q3 Earnings" sheetId="28" state="visible" r:id="rId28"/>
    <sheet xmlns:r="http://schemas.openxmlformats.org/officeDocument/2006/relationships" name="28 2022Q4 Earnings" sheetId="29" state="visible" r:id="rId29"/>
    <sheet xmlns:r="http://schemas.openxmlformats.org/officeDocument/2006/relationships" name="29 2023Q1 Earnings" sheetId="30" state="visible" r:id="rId30"/>
    <sheet xmlns:r="http://schemas.openxmlformats.org/officeDocument/2006/relationships" name="30 Goldman Sachs Conference" sheetId="31" state="visible" r:id="rId31"/>
    <sheet xmlns:r="http://schemas.openxmlformats.org/officeDocument/2006/relationships" name="31 Annual General Meeting" sheetId="32" state="visible" r:id="rId32"/>
    <sheet xmlns:r="http://schemas.openxmlformats.org/officeDocument/2006/relationships" name="32 Stifel Conference" sheetId="33" state="visible" r:id="rId33"/>
    <sheet xmlns:r="http://schemas.openxmlformats.org/officeDocument/2006/relationships" name="33 Evercore Conference" sheetId="34" state="visible" r:id="rId34"/>
    <sheet xmlns:r="http://schemas.openxmlformats.org/officeDocument/2006/relationships" name="34 2023Q2 Earnings" sheetId="35" state="visible" r:id="rId35"/>
    <sheet xmlns:r="http://schemas.openxmlformats.org/officeDocument/2006/relationships" name="35 Barclays Conf 2023-09" sheetId="36" state="visible" r:id="rId36"/>
    <sheet xmlns:r="http://schemas.openxmlformats.org/officeDocument/2006/relationships" name="36 Piper Sandler Conf 09-13" sheetId="37" state="visible" r:id="rId37"/>
    <sheet xmlns:r="http://schemas.openxmlformats.org/officeDocument/2006/relationships" name="37 2023Q3 Earnings" sheetId="38" state="visible" r:id="rId38"/>
    <sheet xmlns:r="http://schemas.openxmlformats.org/officeDocument/2006/relationships" name="38 Stephens Conf 2023-11" sheetId="39" state="visible" r:id="rId39"/>
    <sheet xmlns:r="http://schemas.openxmlformats.org/officeDocument/2006/relationships" name="39 Morgan Stanley Conf 12-06" sheetId="40" state="visible" r:id="rId40"/>
    <sheet xmlns:r="http://schemas.openxmlformats.org/officeDocument/2006/relationships" name="40 2023Q4 Earnings" sheetId="41" state="visible" r:id="rId41"/>
    <sheet xmlns:r="http://schemas.openxmlformats.org/officeDocument/2006/relationships" name="41 UBS Conference" sheetId="42" state="visible" r:id="rId42"/>
    <sheet xmlns:r="http://schemas.openxmlformats.org/officeDocument/2006/relationships" name="42 Q1 2024 Earnings" sheetId="43" state="visible" r:id="rId43"/>
    <sheet xmlns:r="http://schemas.openxmlformats.org/officeDocument/2006/relationships" name="43 Goldman Sachs 2024-05-14" sheetId="44" state="visible" r:id="rId44"/>
    <sheet xmlns:r="http://schemas.openxmlformats.org/officeDocument/2006/relationships" name="44 William Blair 2024-06-04" sheetId="45" state="visible" r:id="rId45"/>
    <sheet xmlns:r="http://schemas.openxmlformats.org/officeDocument/2006/relationships" name="45 Evercore ISI 2024-06-11" sheetId="46" state="visible" r:id="rId46"/>
    <sheet xmlns:r="http://schemas.openxmlformats.org/officeDocument/2006/relationships" name="46 2024Q2 Earnings" sheetId="47" state="visible" r:id="rId47"/>
    <sheet xmlns:r="http://schemas.openxmlformats.org/officeDocument/2006/relationships" name="47 Barclays Conf 2024-09" sheetId="48" state="visible" r:id="rId48"/>
    <sheet xmlns:r="http://schemas.openxmlformats.org/officeDocument/2006/relationships" name="48 Piper Sandler Conf" sheetId="49" state="visible" r:id="rId49"/>
    <sheet xmlns:r="http://schemas.openxmlformats.org/officeDocument/2006/relationships" name="49 2024Q3 Earnings" sheetId="50" state="visible" r:id="rId50"/>
    <sheet xmlns:r="http://schemas.openxmlformats.org/officeDocument/2006/relationships" name="50 Morgan Stanley Conf" sheetId="51" state="visible" r:id="rId51"/>
    <sheet xmlns:r="http://schemas.openxmlformats.org/officeDocument/2006/relationships" name="51 2024Q4 Earnings" sheetId="52" state="visible" r:id="rId52"/>
    <sheet xmlns:r="http://schemas.openxmlformats.org/officeDocument/2006/relationships" name="52 CAGNY Conf 2025-02-21" sheetId="53" state="visible" r:id="rId53"/>
    <sheet xmlns:r="http://schemas.openxmlformats.org/officeDocument/2006/relationships" name="53 UBS Conf 2025-03-12" sheetId="54" state="visible" r:id="rId54"/>
    <sheet xmlns:r="http://schemas.openxmlformats.org/officeDocument/2006/relationships" name="54 ROTH Conf 2025-03-18" sheetId="55" state="visible" r:id="rId55"/>
    <sheet xmlns:r="http://schemas.openxmlformats.org/officeDocument/2006/relationships" name="55 2025Q1 Earnings" sheetId="56" state="visible" r:id="rId56"/>
    <sheet xmlns:r="http://schemas.openxmlformats.org/officeDocument/2006/relationships" name="56 Goldman Sachs Conf" sheetId="57" state="visible" r:id="rId57"/>
    <sheet xmlns:r="http://schemas.openxmlformats.org/officeDocument/2006/relationships" name="57 Acquiring Alani Nu" sheetId="58" state="visible" r:id="rId58"/>
    <sheet xmlns:r="http://schemas.openxmlformats.org/officeDocument/2006/relationships" name="58 Deutsche Bank Conf" sheetId="59" state="visible" r:id="rId59"/>
    <sheet xmlns:r="http://schemas.openxmlformats.org/officeDocument/2006/relationships" name="59 William Blair Conf" sheetId="60" state="visible" r:id="rId60"/>
    <sheet xmlns:r="http://schemas.openxmlformats.org/officeDocument/2006/relationships" name="60 2025Q2 Earnings" sheetId="61" state="visible" r:id="rId61"/>
    <sheet xmlns:r="http://schemas.openxmlformats.org/officeDocument/2006/relationships" name="61 Barclays Conf 2025-09" sheetId="62" state="visible" r:id="rId62"/>
    <sheet xmlns:r="http://schemas.openxmlformats.org/officeDocument/2006/relationships" name="62 Piper Sandler 2025-09" sheetId="63" state="visible" r:id="rId63"/>
    <sheet xmlns:r="http://schemas.openxmlformats.org/officeDocument/2006/relationships" name="63 2025Q3 Earnings" sheetId="64" state="visible" r:id="rId64"/>
    <sheet xmlns:r="http://schemas.openxmlformats.org/officeDocument/2006/relationships" name="64 Morgan Stanley 2025-12" sheetId="65" state="visible" r:id="rId65"/>
    <sheet xmlns:r="http://schemas.openxmlformats.org/officeDocument/2006/relationships" name="65 CAGNY Conf 2026-02" sheetId="66" state="visible" r:id="rId66"/>
    <sheet xmlns:r="http://schemas.openxmlformats.org/officeDocument/2006/relationships" name="66 2025Q4 Earnings PR" sheetId="67" state="visible" r:id="rId67"/>
    <sheet xmlns:r="http://schemas.openxmlformats.org/officeDocument/2006/relationships" name="67 2025Q4 Earnings" sheetId="68" state="visible" r:id="rId68"/>
    <sheet xmlns:r="http://schemas.openxmlformats.org/officeDocument/2006/relationships" name="68 UBS Conference" sheetId="69" state="visible" r:id="rId69"/>
    <sheet xmlns:r="http://schemas.openxmlformats.org/officeDocument/2006/relationships" name="69 2026Q1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7">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s>
  <fonts count="18">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b val="1"/>
      <sz val="12"/>
    </font>
    <font>
      <i val="1"/>
      <color rgb="00808080"/>
      <sz val="9"/>
    </font>
    <font>
      <b val="1"/>
      <color rgb="00FFFFFF"/>
    </font>
    <font>
      <b val="1"/>
    </font>
    <font>
      <b val="1"/>
      <i val="1"/>
      <sz val="9"/>
    </font>
  </fonts>
  <fills count="5">
    <fill>
      <patternFill/>
    </fill>
    <fill>
      <patternFill patternType="gray125"/>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17" fillId="4"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U38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s>
  <sheetData>
    <row r="1">
      <c r="A1" s="26" t="inlineStr">
        <is>
          <t>CELH KPI Consolidation — 'Current' reported value per period</t>
        </is>
      </c>
    </row>
    <row r="2">
      <c r="A2" s="27" t="inlineStr">
        <is>
          <t>Source: 69 transcript digests. Earnings-call figures take precedence over conference restatements.</t>
        </is>
      </c>
    </row>
    <row r="4">
      <c r="A4" s="28" t="inlineStr">
        <is>
          <t>Metric</t>
        </is>
      </c>
      <c r="B4" s="28" t="inlineStr">
        <is>
          <t>FY2017</t>
        </is>
      </c>
      <c r="C4" s="28" t="inlineStr">
        <is>
          <t>Q3 2018</t>
        </is>
      </c>
      <c r="D4" s="28" t="inlineStr">
        <is>
          <t>9M 2018</t>
        </is>
      </c>
      <c r="E4" s="28" t="inlineStr">
        <is>
          <t>Q4 2018</t>
        </is>
      </c>
      <c r="F4" s="28" t="inlineStr">
        <is>
          <t>FY2018</t>
        </is>
      </c>
      <c r="G4" s="28" t="inlineStr">
        <is>
          <t>Q1 2019</t>
        </is>
      </c>
      <c r="H4" s="28" t="inlineStr">
        <is>
          <t>Q2 2019</t>
        </is>
      </c>
      <c r="I4" s="28" t="inlineStr">
        <is>
          <t>H1 2019</t>
        </is>
      </c>
      <c r="J4" s="28" t="inlineStr">
        <is>
          <t>Q3 2019</t>
        </is>
      </c>
      <c r="K4" s="28" t="inlineStr">
        <is>
          <t>9M 2019</t>
        </is>
      </c>
      <c r="L4" s="28" t="inlineStr">
        <is>
          <t>Q4 2019</t>
        </is>
      </c>
      <c r="M4" s="28" t="inlineStr">
        <is>
          <t>FY2019</t>
        </is>
      </c>
      <c r="N4" s="28" t="inlineStr">
        <is>
          <t>Q1 2020</t>
        </is>
      </c>
      <c r="O4" s="28" t="inlineStr">
        <is>
          <t>Q4 2020</t>
        </is>
      </c>
      <c r="P4" s="28" t="inlineStr">
        <is>
          <t>FY2020</t>
        </is>
      </c>
      <c r="Q4" s="28" t="inlineStr">
        <is>
          <t>Q1 2021</t>
        </is>
      </c>
      <c r="R4" s="28" t="inlineStr">
        <is>
          <t>Q2 2021</t>
        </is>
      </c>
      <c r="S4" s="28" t="inlineStr">
        <is>
          <t>H1 2021</t>
        </is>
      </c>
      <c r="T4" s="28" t="inlineStr">
        <is>
          <t>Q3 2021</t>
        </is>
      </c>
      <c r="U4" s="28" t="inlineStr">
        <is>
          <t>Q4 2021</t>
        </is>
      </c>
      <c r="V4" s="28" t="inlineStr">
        <is>
          <t>FY2021</t>
        </is>
      </c>
      <c r="W4" s="28" t="inlineStr">
        <is>
          <t>Q1 2022</t>
        </is>
      </c>
      <c r="X4" s="28" t="inlineStr">
        <is>
          <t>Q2 2022</t>
        </is>
      </c>
      <c r="Y4" s="28" t="inlineStr">
        <is>
          <t>Q3 2022</t>
        </is>
      </c>
      <c r="Z4" s="28" t="inlineStr">
        <is>
          <t>Q4 2022</t>
        </is>
      </c>
      <c r="AA4" s="28" t="inlineStr">
        <is>
          <t>FY2022</t>
        </is>
      </c>
      <c r="AB4" s="28" t="inlineStr">
        <is>
          <t>Q1 2023</t>
        </is>
      </c>
      <c r="AC4" s="28" t="inlineStr">
        <is>
          <t>Q2 2023</t>
        </is>
      </c>
      <c r="AD4" s="28" t="inlineStr">
        <is>
          <t>H1 2023</t>
        </is>
      </c>
      <c r="AE4" s="28" t="inlineStr">
        <is>
          <t>Q3 2023</t>
        </is>
      </c>
      <c r="AF4" s="28" t="inlineStr">
        <is>
          <t>9M 2023</t>
        </is>
      </c>
      <c r="AG4" s="28" t="inlineStr">
        <is>
          <t>Q4 2023</t>
        </is>
      </c>
      <c r="AH4" s="28" t="inlineStr">
        <is>
          <t>FY2023</t>
        </is>
      </c>
      <c r="AI4" s="28" t="inlineStr">
        <is>
          <t>Q1 2024</t>
        </is>
      </c>
      <c r="AJ4" s="28" t="inlineStr">
        <is>
          <t>Q4 2024</t>
        </is>
      </c>
      <c r="AK4" s="28" t="inlineStr">
        <is>
          <t>FY2024</t>
        </is>
      </c>
      <c r="AL4" s="28" t="inlineStr">
        <is>
          <t>Q1 2025</t>
        </is>
      </c>
      <c r="AM4" s="28" t="inlineStr">
        <is>
          <t>Q2 2025</t>
        </is>
      </c>
      <c r="AN4" s="28" t="inlineStr">
        <is>
          <t>H1 2025</t>
        </is>
      </c>
      <c r="AO4" s="28" t="inlineStr">
        <is>
          <t>Q3 2025</t>
        </is>
      </c>
      <c r="AP4" s="28" t="inlineStr">
        <is>
          <t>Q4 2025</t>
        </is>
      </c>
      <c r="AQ4" s="28" t="inlineStr">
        <is>
          <t>FY2025</t>
        </is>
      </c>
      <c r="AR4" s="28" t="inlineStr">
        <is>
          <t>Q1 2026</t>
        </is>
      </c>
      <c r="AS4" s="28" t="inlineStr">
        <is>
          <t>H1 2026</t>
        </is>
      </c>
      <c r="AT4" s="28" t="inlineStr">
        <is>
          <t>Q3 2026</t>
        </is>
      </c>
      <c r="AU4" s="28" t="inlineStr">
        <is>
          <t>FY2026</t>
        </is>
      </c>
    </row>
    <row r="5">
      <c r="A5" s="29" t="inlineStr">
        <is>
          <t>Total Revenue</t>
        </is>
      </c>
      <c r="C5" t="n">
        <v>16.6</v>
      </c>
      <c r="D5" t="n">
        <v>37.9</v>
      </c>
      <c r="E5" t="n">
        <v>14.7</v>
      </c>
      <c r="F5" t="n">
        <v>52.6</v>
      </c>
      <c r="G5" t="n">
        <v>14.5</v>
      </c>
      <c r="H5" t="n">
        <v>16.1</v>
      </c>
      <c r="I5" t="n">
        <v>30.6</v>
      </c>
      <c r="J5" t="n">
        <v>20.4</v>
      </c>
      <c r="L5" t="n">
        <v>24.1</v>
      </c>
      <c r="M5" t="n">
        <v>75.09999999999999</v>
      </c>
      <c r="O5" t="n">
        <v>35.7</v>
      </c>
      <c r="R5" t="n">
        <v>65.09999999999999</v>
      </c>
      <c r="S5" t="n">
        <v>115</v>
      </c>
      <c r="T5" t="n">
        <v>94.90000000000001</v>
      </c>
      <c r="V5" t="inlineStr">
        <is>
          <t>Over 300</t>
        </is>
      </c>
      <c r="W5" t="n">
        <v>133.4</v>
      </c>
      <c r="X5" t="n">
        <v>154</v>
      </c>
      <c r="Y5" t="n">
        <v>188.2</v>
      </c>
      <c r="Z5" t="n">
        <v>178</v>
      </c>
      <c r="AA5" t="n">
        <v>654</v>
      </c>
      <c r="AB5" t="n">
        <v>260</v>
      </c>
      <c r="AC5" t="n">
        <v>326</v>
      </c>
      <c r="AE5" t="n">
        <v>385</v>
      </c>
      <c r="AG5" t="n">
        <v>347</v>
      </c>
      <c r="AH5" t="n">
        <v>1300</v>
      </c>
      <c r="AI5" t="n">
        <v>355.7</v>
      </c>
      <c r="AJ5" t="inlineStr">
        <is>
          <t>declined 4%</t>
        </is>
      </c>
      <c r="AK5" t="inlineStr">
        <is>
          <t>~$1.36B</t>
        </is>
      </c>
      <c r="AL5" t="n">
        <v>329.3</v>
      </c>
      <c r="AM5" t="n">
        <v>739.3</v>
      </c>
      <c r="AQ5" t="n">
        <v>2515.3</v>
      </c>
      <c r="AR5" t="n">
        <v>783</v>
      </c>
    </row>
    <row r="6">
      <c r="A6" s="29" t="inlineStr">
        <is>
          <t>North America Revenue</t>
        </is>
      </c>
      <c r="C6" t="n">
        <v>11.4</v>
      </c>
      <c r="E6" t="n">
        <v>10.9</v>
      </c>
      <c r="F6" t="n">
        <v>38.9</v>
      </c>
      <c r="G6" t="n">
        <v>11.4</v>
      </c>
      <c r="J6" t="n">
        <v>16.8</v>
      </c>
      <c r="L6" t="n">
        <v>17.1</v>
      </c>
      <c r="M6" t="n">
        <v>60</v>
      </c>
      <c r="S6" t="n">
        <v>92.59999999999999</v>
      </c>
      <c r="V6" t="n">
        <v>273</v>
      </c>
      <c r="W6" t="n">
        <v>123.5</v>
      </c>
      <c r="X6" t="n">
        <v>145.4</v>
      </c>
      <c r="Y6" t="n">
        <v>179.5</v>
      </c>
      <c r="Z6" t="n">
        <v>160</v>
      </c>
      <c r="AB6" t="n">
        <v>249</v>
      </c>
      <c r="AC6" t="n">
        <v>311</v>
      </c>
      <c r="AE6" t="n">
        <v>371</v>
      </c>
      <c r="AI6" t="n">
        <v>339.5</v>
      </c>
      <c r="AQ6" t="n">
        <v>2422.5</v>
      </c>
    </row>
    <row r="7">
      <c r="A7" s="29" t="inlineStr">
        <is>
          <t>International Revenue</t>
        </is>
      </c>
      <c r="F7" t="n">
        <v>13.7</v>
      </c>
      <c r="G7" t="n">
        <v>3.1</v>
      </c>
      <c r="O7" t="n">
        <v>7.3</v>
      </c>
      <c r="S7" t="n">
        <v>22.5</v>
      </c>
      <c r="W7" t="n">
        <v>9.9</v>
      </c>
      <c r="AC7" t="n">
        <v>15.1</v>
      </c>
      <c r="AE7" t="n">
        <v>13.6</v>
      </c>
      <c r="AL7" t="n">
        <v>22.8</v>
      </c>
    </row>
    <row r="8">
      <c r="A8" s="29" t="inlineStr">
        <is>
          <t>Europe Revenue</t>
        </is>
      </c>
      <c r="E8" t="n">
        <v>2.1</v>
      </c>
      <c r="J8" t="n">
        <v>3.4</v>
      </c>
      <c r="M8" t="n">
        <v>14.5</v>
      </c>
      <c r="O8" t="n">
        <v>6.9</v>
      </c>
      <c r="W8" t="n">
        <v>8.5</v>
      </c>
    </row>
    <row r="9">
      <c r="A9" s="29" t="inlineStr">
        <is>
          <t>Asia Revenue</t>
        </is>
      </c>
      <c r="C9" t="n">
        <v>1.4</v>
      </c>
      <c r="E9" t="n">
        <v>1.6</v>
      </c>
      <c r="F9" t="n">
        <v>4.3</v>
      </c>
      <c r="M9" t="n">
        <v>0.841</v>
      </c>
      <c r="W9" t="n">
        <v>1</v>
      </c>
    </row>
    <row r="10">
      <c r="A10" s="29" t="inlineStr">
        <is>
          <t>Amazon Revenue</t>
        </is>
      </c>
      <c r="W10" t="n">
        <v>13.8</v>
      </c>
      <c r="AI10" t="n">
        <v>28</v>
      </c>
    </row>
    <row r="11">
      <c r="A11" s="29" t="inlineStr">
        <is>
          <t>Gross Profit</t>
        </is>
      </c>
      <c r="C11" t="n">
        <v>6.9</v>
      </c>
      <c r="D11" t="n">
        <v>15.6</v>
      </c>
      <c r="E11" t="n">
        <v>5.5</v>
      </c>
      <c r="F11" t="n">
        <v>21.1</v>
      </c>
      <c r="G11" t="n">
        <v>5.7</v>
      </c>
      <c r="H11" t="n">
        <v>6.9</v>
      </c>
      <c r="I11" t="n">
        <v>12.6</v>
      </c>
      <c r="J11" t="n">
        <v>8.6</v>
      </c>
      <c r="L11" t="n">
        <v>10.1</v>
      </c>
      <c r="M11" t="n">
        <v>31.3</v>
      </c>
      <c r="O11" t="n">
        <v>17.4</v>
      </c>
      <c r="R11" t="n">
        <v>28.2</v>
      </c>
      <c r="S11" t="n">
        <v>48.8</v>
      </c>
      <c r="T11" t="n">
        <v>37.7</v>
      </c>
      <c r="V11" t="n">
        <v>128</v>
      </c>
      <c r="W11" t="n">
        <v>53.9</v>
      </c>
      <c r="X11" t="n">
        <v>59.3</v>
      </c>
      <c r="Y11" t="n">
        <v>78.7</v>
      </c>
      <c r="Z11" t="n">
        <v>79</v>
      </c>
      <c r="AA11" t="n">
        <v>271</v>
      </c>
      <c r="AB11" t="n">
        <v>114</v>
      </c>
      <c r="AC11" t="n">
        <v>159</v>
      </c>
      <c r="AE11" t="n">
        <v>194</v>
      </c>
      <c r="AG11" t="n">
        <v>166</v>
      </c>
      <c r="AH11" t="n">
        <v>633</v>
      </c>
      <c r="AI11" t="n">
        <v>182.2</v>
      </c>
      <c r="AK11" t="n">
        <v>680</v>
      </c>
      <c r="AL11" t="n">
        <v>172.4</v>
      </c>
      <c r="AM11" t="n">
        <v>381</v>
      </c>
      <c r="AP11" t="n">
        <v>341.8</v>
      </c>
      <c r="AQ11" t="inlineStr">
        <is>
          <t>~$1.27B</t>
        </is>
      </c>
    </row>
    <row r="12">
      <c r="A12" s="29" t="inlineStr">
        <is>
          <t>Gross Margin</t>
        </is>
      </c>
      <c r="C12" t="inlineStr">
        <is>
          <t>41.5%</t>
        </is>
      </c>
      <c r="D12" t="inlineStr">
        <is>
          <t>41.2%</t>
        </is>
      </c>
      <c r="E12" t="inlineStr">
        <is>
          <t>37.1%</t>
        </is>
      </c>
      <c r="F12" t="inlineStr">
        <is>
          <t>40.0%</t>
        </is>
      </c>
      <c r="G12" t="inlineStr">
        <is>
          <t>39.5%</t>
        </is>
      </c>
      <c r="H12" t="inlineStr">
        <is>
          <t>42.6%</t>
        </is>
      </c>
      <c r="I12" t="inlineStr">
        <is>
          <t>41.1%</t>
        </is>
      </c>
      <c r="J12" t="inlineStr">
        <is>
          <t>42.2%</t>
        </is>
      </c>
      <c r="L12" t="inlineStr">
        <is>
          <t>41.9%</t>
        </is>
      </c>
      <c r="M12" t="inlineStr">
        <is>
          <t>42%</t>
        </is>
      </c>
      <c r="O12" t="inlineStr">
        <is>
          <t>48.9%</t>
        </is>
      </c>
      <c r="R12" t="inlineStr">
        <is>
          <t>43.4%</t>
        </is>
      </c>
      <c r="T12" t="inlineStr">
        <is>
          <t>40.0%</t>
        </is>
      </c>
      <c r="W12" t="inlineStr">
        <is>
          <t>40.4%</t>
        </is>
      </c>
      <c r="X12" t="inlineStr">
        <is>
          <t>38.5%</t>
        </is>
      </c>
      <c r="Y12" t="inlineStr">
        <is>
          <t>41.8%</t>
        </is>
      </c>
      <c r="Z12" t="inlineStr">
        <is>
          <t>44.4%</t>
        </is>
      </c>
      <c r="AB12" t="inlineStr">
        <is>
          <t>~44%</t>
        </is>
      </c>
      <c r="AC12" t="inlineStr">
        <is>
          <t>48.8%</t>
        </is>
      </c>
      <c r="AE12" t="inlineStr">
        <is>
          <t>~50.4%</t>
        </is>
      </c>
      <c r="AG12" t="inlineStr">
        <is>
          <t>~48%</t>
        </is>
      </c>
      <c r="AH12" t="inlineStr">
        <is>
          <t>~48%</t>
        </is>
      </c>
      <c r="AJ12" t="inlineStr">
        <is>
          <t>50.2%</t>
        </is>
      </c>
      <c r="AL12" t="inlineStr">
        <is>
          <t>52.3%</t>
        </is>
      </c>
      <c r="AN12" t="inlineStr">
        <is>
          <t>51.8%</t>
        </is>
      </c>
      <c r="AO12" t="inlineStr">
        <is>
          <t>51.3%</t>
        </is>
      </c>
      <c r="AP12" t="inlineStr">
        <is>
          <t>47.4%</t>
        </is>
      </c>
      <c r="AQ12" t="inlineStr">
        <is>
          <t>50.4%</t>
        </is>
      </c>
      <c r="AR12" t="inlineStr">
        <is>
          <t>~48.3%</t>
        </is>
      </c>
    </row>
    <row r="13">
      <c r="A13" s="29" t="inlineStr">
        <is>
          <t>Selling &amp; Marketing</t>
        </is>
      </c>
      <c r="C13" t="n">
        <v>8.699999999999999</v>
      </c>
      <c r="D13" t="n">
        <v>18.4</v>
      </c>
      <c r="E13" t="n">
        <v>2.8</v>
      </c>
      <c r="F13" t="n">
        <v>21.2</v>
      </c>
      <c r="G13" t="n">
        <v>3.6</v>
      </c>
      <c r="H13" t="n">
        <v>5.6</v>
      </c>
      <c r="I13" t="n">
        <v>9.199999999999999</v>
      </c>
      <c r="J13" t="n">
        <v>4.9</v>
      </c>
      <c r="L13" t="n">
        <v>7</v>
      </c>
      <c r="M13" t="n">
        <v>21.1</v>
      </c>
      <c r="O13" t="n">
        <v>11.2</v>
      </c>
      <c r="R13" t="n">
        <v>15.5</v>
      </c>
      <c r="T13" t="n">
        <v>22.6</v>
      </c>
      <c r="W13" t="n">
        <v>31.6</v>
      </c>
      <c r="AC13" t="n">
        <v>63</v>
      </c>
      <c r="AE13" t="n">
        <v>73</v>
      </c>
    </row>
    <row r="14">
      <c r="A14" s="29" t="inlineStr">
        <is>
          <t>General &amp; Administrative</t>
        </is>
      </c>
      <c r="C14" t="n">
        <v>2.3</v>
      </c>
      <c r="D14" t="n">
        <v>7.4</v>
      </c>
      <c r="E14" t="n">
        <v>3</v>
      </c>
      <c r="F14" t="n">
        <v>10.5</v>
      </c>
      <c r="G14" t="n">
        <v>2.6</v>
      </c>
      <c r="H14" t="n">
        <v>2.4</v>
      </c>
      <c r="I14" t="n">
        <v>5.1</v>
      </c>
      <c r="J14" t="n">
        <v>2.2</v>
      </c>
      <c r="L14" t="n">
        <v>4.4</v>
      </c>
      <c r="M14" t="n">
        <v>11.6</v>
      </c>
      <c r="O14" t="n">
        <v>5.7</v>
      </c>
      <c r="R14" t="n">
        <v>9.1</v>
      </c>
      <c r="T14" t="n">
        <v>11.1</v>
      </c>
      <c r="W14" t="n">
        <v>12.2</v>
      </c>
    </row>
    <row r="15">
      <c r="A15" s="29" t="inlineStr">
        <is>
          <t>Net Income</t>
        </is>
      </c>
      <c r="O15" t="n">
        <v>1.7</v>
      </c>
      <c r="R15" t="n">
        <v>3.9</v>
      </c>
      <c r="S15" t="n">
        <v>4.5</v>
      </c>
      <c r="T15" t="n">
        <v>2.7</v>
      </c>
      <c r="V15" t="n">
        <v>3.9</v>
      </c>
      <c r="W15" t="n">
        <v>6.7</v>
      </c>
      <c r="X15" t="n">
        <v>9.199999999999999</v>
      </c>
      <c r="AK15" t="n">
        <v>145</v>
      </c>
      <c r="AM15" t="n">
        <v>99.59999999999999</v>
      </c>
    </row>
    <row r="16">
      <c r="A16" s="29" t="inlineStr">
        <is>
          <t>Adjusted EBITDA</t>
        </is>
      </c>
      <c r="C16" t="n">
        <v>-2.9</v>
      </c>
      <c r="D16" t="n">
        <v>-6</v>
      </c>
      <c r="E16" t="n">
        <v>0.785</v>
      </c>
      <c r="F16" t="n">
        <v>-6.3</v>
      </c>
      <c r="J16" t="n">
        <v>2.4</v>
      </c>
      <c r="O16" t="n">
        <v>3</v>
      </c>
      <c r="R16" t="n">
        <v>7.9</v>
      </c>
      <c r="S16" t="n">
        <v>12.9</v>
      </c>
      <c r="W16" t="n">
        <v>14.8</v>
      </c>
      <c r="AJ16" t="inlineStr">
        <is>
          <t>declined 4%</t>
        </is>
      </c>
      <c r="AK16" t="n">
        <v>88</v>
      </c>
      <c r="AL16" t="n">
        <v>69.7</v>
      </c>
      <c r="AM16" t="n">
        <v>210</v>
      </c>
      <c r="AN16" t="n">
        <v>280</v>
      </c>
      <c r="AQ16" t="n">
        <v>619.6</v>
      </c>
      <c r="AR16" t="n">
        <v>195</v>
      </c>
    </row>
    <row r="17">
      <c r="A17" s="29" t="inlineStr">
        <is>
          <t>Cash</t>
        </is>
      </c>
      <c r="B17" t="n">
        <v>14.2</v>
      </c>
      <c r="F17" t="n">
        <v>7.7</v>
      </c>
      <c r="M17" t="n">
        <v>23.1</v>
      </c>
      <c r="P17" t="n">
        <v>43.2</v>
      </c>
      <c r="R17" t="n">
        <v>83.8</v>
      </c>
      <c r="T17" t="n">
        <v>61.4</v>
      </c>
      <c r="V17" t="n">
        <v>16.3</v>
      </c>
      <c r="AL17" t="n">
        <v>400</v>
      </c>
    </row>
    <row r="18">
      <c r="A18" s="29" t="inlineStr">
        <is>
          <t>Working Capital</t>
        </is>
      </c>
      <c r="B18" t="n">
        <v>20.6</v>
      </c>
      <c r="F18" t="n">
        <v>20.2</v>
      </c>
      <c r="M18" t="n">
        <v>24.8</v>
      </c>
      <c r="P18" t="n">
        <v>64.90000000000001</v>
      </c>
      <c r="Q18" t="inlineStr">
        <is>
          <t>+17.3 (vs Dec-2021)</t>
        </is>
      </c>
      <c r="R18" t="n">
        <v>151</v>
      </c>
      <c r="T18" t="n">
        <v>157</v>
      </c>
      <c r="V18" t="n">
        <v>169</v>
      </c>
    </row>
    <row r="19">
      <c r="A19" s="34" t="inlineStr">
        <is>
          <t>— Other / one-off metrics —</t>
        </is>
      </c>
      <c r="B19" s="35" t="n"/>
      <c r="C19" s="35" t="n"/>
      <c r="D19" s="35" t="n"/>
      <c r="E19" s="35" t="n"/>
      <c r="F19" s="35" t="n"/>
      <c r="G19" s="35" t="n"/>
      <c r="H19" s="35" t="n"/>
      <c r="I19" s="35" t="n"/>
      <c r="J19" s="35" t="n"/>
      <c r="K19" s="35" t="n"/>
      <c r="L19" s="35" t="n"/>
      <c r="M19" s="35" t="n"/>
      <c r="N19" s="35" t="n"/>
      <c r="O19" s="35" t="n"/>
      <c r="P19" s="35" t="n"/>
      <c r="Q19" s="35" t="n"/>
      <c r="R19" s="35" t="n"/>
      <c r="S19" s="35" t="n"/>
      <c r="T19" s="35" t="n"/>
      <c r="U19" s="35" t="n"/>
      <c r="V19" s="35" t="n"/>
      <c r="W19" s="35" t="n"/>
      <c r="X19" s="35" t="n"/>
      <c r="Y19" s="35" t="n"/>
      <c r="Z19" s="35" t="n"/>
      <c r="AA19" s="35" t="n"/>
      <c r="AB19" s="35" t="n"/>
      <c r="AC19" s="35" t="n"/>
      <c r="AD19" s="35" t="n"/>
      <c r="AE19" s="35" t="n"/>
      <c r="AF19" s="35" t="n"/>
      <c r="AG19" s="35" t="n"/>
      <c r="AH19" s="35" t="n"/>
      <c r="AI19" s="35" t="n"/>
      <c r="AJ19" s="35" t="n"/>
      <c r="AK19" s="35" t="n"/>
      <c r="AL19" s="35" t="n"/>
      <c r="AM19" s="35" t="n"/>
      <c r="AN19" s="35" t="n"/>
      <c r="AO19" s="35" t="n"/>
      <c r="AP19" s="35" t="n"/>
      <c r="AQ19" s="35" t="n"/>
      <c r="AR19" s="35" t="n"/>
      <c r="AS19" s="35" t="n"/>
      <c r="AT19" s="35" t="n"/>
      <c r="AU19" s="35" t="n"/>
    </row>
    <row r="20">
      <c r="A20" t="inlineStr">
        <is>
          <t>% of MULO+C stores DSD-serviced</t>
        </is>
      </c>
      <c r="V20" t="inlineStr">
        <is>
          <t>~65%</t>
        </is>
      </c>
    </row>
    <row r="21">
      <c r="A21" t="inlineStr">
        <is>
          <t>12-week growth</t>
        </is>
      </c>
      <c r="X21" t="inlineStr">
        <is>
          <t>194%</t>
        </is>
      </c>
      <c r="Z21" t="inlineStr">
        <is>
          <t>10%</t>
        </is>
      </c>
    </row>
    <row r="22">
      <c r="A22" t="inlineStr">
        <is>
          <t>2-week growth</t>
        </is>
      </c>
      <c r="Z22" t="inlineStr">
        <is>
          <t>10%</t>
        </is>
      </c>
    </row>
    <row r="23">
      <c r="A23" t="inlineStr">
        <is>
          <t>4-week growth</t>
        </is>
      </c>
      <c r="X23" t="inlineStr">
        <is>
          <t>143%</t>
        </is>
      </c>
    </row>
    <row r="24">
      <c r="A24" t="inlineStr">
        <is>
          <t>7-Eleven Green Apple Cherry National Rollout</t>
        </is>
      </c>
      <c r="AI24" t="inlineStr">
        <is>
          <t>January 2024</t>
        </is>
      </c>
    </row>
    <row r="25">
      <c r="A25" t="inlineStr">
        <is>
          <t>9M Cash from Operations</t>
        </is>
      </c>
      <c r="AF25" t="n">
        <v>136</v>
      </c>
    </row>
    <row r="26">
      <c r="A26" t="inlineStr">
        <is>
          <t>9M Gross Profit</t>
        </is>
      </c>
      <c r="AF26" t="n">
        <v>467</v>
      </c>
    </row>
    <row r="27">
      <c r="A27" t="inlineStr">
        <is>
          <t>9M Revenue</t>
        </is>
      </c>
      <c r="AF27" t="n">
        <v>971</v>
      </c>
    </row>
    <row r="28">
      <c r="A28" t="inlineStr">
        <is>
          <t>ACV (all channels)</t>
        </is>
      </c>
      <c r="Z28" t="inlineStr">
        <is>
          <t>~89.7%</t>
        </is>
      </c>
    </row>
    <row r="29">
      <c r="A29" t="inlineStr">
        <is>
          <t>ACV increase in convenience</t>
        </is>
      </c>
      <c r="Y29" t="inlineStr">
        <is>
          <t>Oct 1-23, 2022</t>
        </is>
      </c>
    </row>
    <row r="30">
      <c r="A30" t="inlineStr">
        <is>
          <t>ACV increase since PepsiCo launch (all channels)</t>
        </is>
      </c>
      <c r="Y30" t="inlineStr">
        <is>
          <t>Oct 1-23, 2022</t>
        </is>
      </c>
    </row>
    <row r="31">
      <c r="A31" t="inlineStr">
        <is>
          <t>ACV sweet spot</t>
        </is>
      </c>
      <c r="Z31" t="inlineStr">
        <is>
          <t>Forward</t>
        </is>
      </c>
    </row>
    <row r="32">
      <c r="A32" t="inlineStr">
        <is>
          <t>Accrued distributor termination fees</t>
        </is>
      </c>
      <c r="AQ32" t="n">
        <v>264.1</v>
      </c>
    </row>
    <row r="33">
      <c r="A33" t="inlineStr">
        <is>
          <t>Acquisition &amp; integration adj</t>
        </is>
      </c>
      <c r="AQ33" t="n">
        <v>-60.2</v>
      </c>
    </row>
    <row r="34">
      <c r="A34" t="inlineStr">
        <is>
          <t>Acquisition funding (per prior calls)</t>
        </is>
      </c>
      <c r="AL34" t="inlineStr">
        <is>
          <t>$900M debt, ~$400M cash, remainder stock</t>
        </is>
      </c>
    </row>
    <row r="35">
      <c r="A35" t="inlineStr">
        <is>
          <t>Acquisition-related costs</t>
        </is>
      </c>
      <c r="AM35" t="n">
        <v>16</v>
      </c>
    </row>
    <row r="36">
      <c r="A36" t="inlineStr">
        <is>
          <t>Acquisition-related costs (FY)</t>
        </is>
      </c>
      <c r="AP36" t="n">
        <v>60</v>
      </c>
    </row>
    <row r="37">
      <c r="A37" t="inlineStr">
        <is>
          <t>Adj EBITDA</t>
        </is>
      </c>
      <c r="B37" t="inlineStr">
        <is>
          <t>~2.6-2.7</t>
        </is>
      </c>
      <c r="C37" t="n">
        <v>2.2</v>
      </c>
      <c r="M37" t="n">
        <v>4</v>
      </c>
    </row>
    <row r="38">
      <c r="A38" t="inlineStr">
        <is>
          <t>Adj EBITDA &amp; one-time</t>
        </is>
      </c>
      <c r="D38" t="n">
        <v>2.1</v>
      </c>
    </row>
    <row r="39">
      <c r="A39" t="inlineStr">
        <is>
          <t>Adj EBITDA ($000)</t>
        </is>
      </c>
      <c r="L39" t="n">
        <v>607</v>
      </c>
    </row>
    <row r="40">
      <c r="A40" t="inlineStr">
        <is>
          <t>Adj EBITDA /one-time</t>
        </is>
      </c>
      <c r="F40" t="n">
        <v>2.2</v>
      </c>
    </row>
    <row r="41">
      <c r="A41" t="inlineStr">
        <is>
          <t>Adj. Gross Margin (ex-freight)</t>
        </is>
      </c>
      <c r="R41" t="inlineStr">
        <is>
          <t>51.8%</t>
        </is>
      </c>
      <c r="T41" t="inlineStr">
        <is>
          <t>49.8%</t>
        </is>
      </c>
    </row>
    <row r="42">
      <c r="A42" t="inlineStr">
        <is>
          <t>Adjusted Diluted EPS</t>
        </is>
      </c>
      <c r="AJ42" t="n">
        <v>0.14</v>
      </c>
      <c r="AK42" t="n">
        <v>0.7</v>
      </c>
      <c r="AM42" t="n">
        <v>0.47</v>
      </c>
      <c r="AN42" t="n">
        <v>0.65</v>
      </c>
    </row>
    <row r="43">
      <c r="A43" t="inlineStr">
        <is>
          <t>Adjusted EBITDA ($000)</t>
        </is>
      </c>
      <c r="G43" t="n">
        <v>878</v>
      </c>
      <c r="H43" t="n">
        <v>-15</v>
      </c>
      <c r="I43" t="n">
        <v>863</v>
      </c>
    </row>
    <row r="44">
      <c r="A44" t="inlineStr">
        <is>
          <t>Adjusted EBITDA ($M, non-GAAP)</t>
        </is>
      </c>
      <c r="AB44" t="n">
        <v>48.7</v>
      </c>
    </row>
    <row r="45">
      <c r="A45" t="inlineStr">
        <is>
          <t>Adjusted EBITDA (non-GAAP)</t>
        </is>
      </c>
      <c r="AQ45" t="n">
        <v>619.6</v>
      </c>
    </row>
    <row r="46">
      <c r="A46" t="inlineStr">
        <is>
          <t>Adjusted EBITDA Margin</t>
        </is>
      </c>
      <c r="AJ46" t="inlineStr">
        <is>
          <t>18.9%</t>
        </is>
      </c>
      <c r="AK46" t="inlineStr">
        <is>
          <t>~15%</t>
        </is>
      </c>
      <c r="AL46" t="inlineStr">
        <is>
          <t>21.2%</t>
        </is>
      </c>
      <c r="AQ46" t="inlineStr">
        <is>
          <t>~24.6%</t>
        </is>
      </c>
      <c r="AR46" t="inlineStr">
        <is>
          <t>24.9%</t>
        </is>
      </c>
    </row>
    <row r="47">
      <c r="A47" t="inlineStr">
        <is>
          <t>Adjusted EBITDA growth</t>
        </is>
      </c>
      <c r="V47" t="inlineStr">
        <is>
          <t>+~112%</t>
        </is>
      </c>
    </row>
    <row r="48">
      <c r="A48" t="inlineStr">
        <is>
          <t>Adjusted EBITDA margin (non-GAAP)</t>
        </is>
      </c>
      <c r="AQ48" t="inlineStr">
        <is>
          <t>24.6%</t>
        </is>
      </c>
    </row>
    <row r="49">
      <c r="A49" t="inlineStr">
        <is>
          <t>Adjusted SG&amp;A</t>
        </is>
      </c>
      <c r="AQ49" t="inlineStr">
        <is>
          <t>29.4% of sales</t>
        </is>
      </c>
    </row>
    <row r="50">
      <c r="A50" t="inlineStr">
        <is>
          <t>Adjusted SG&amp;A % of revenue</t>
        </is>
      </c>
      <c r="AR50" t="inlineStr">
        <is>
          <t>~26.4%</t>
        </is>
      </c>
    </row>
    <row r="51">
      <c r="A51" t="inlineStr">
        <is>
          <t>Adjusted SG&amp;A as % of revenue (FY)</t>
        </is>
      </c>
      <c r="AP51" t="inlineStr">
        <is>
          <t>29.4%</t>
        </is>
      </c>
    </row>
    <row r="52">
      <c r="A52" t="inlineStr">
        <is>
          <t>Adjusted SG&amp;A as % of revenue (Q4)</t>
        </is>
      </c>
      <c r="AP52" t="inlineStr">
        <is>
          <t>31.8%</t>
        </is>
      </c>
    </row>
    <row r="53">
      <c r="A53" t="inlineStr">
        <is>
          <t>Adjusted diluted EPS (non-GAAP)</t>
        </is>
      </c>
      <c r="AQ53" t="n">
        <v>1.34</v>
      </c>
    </row>
    <row r="54">
      <c r="A54" t="inlineStr">
        <is>
          <t>Alani Nu Accretion</t>
        </is>
      </c>
      <c r="AQ54" t="inlineStr">
        <is>
          <t>Year 1 post-close</t>
        </is>
      </c>
    </row>
    <row r="55">
      <c r="A55" t="inlineStr">
        <is>
          <t>Alani Nu Cost Synergies</t>
        </is>
      </c>
      <c r="AQ55" t="inlineStr">
        <is>
          <t>Over next 2 years</t>
        </is>
      </c>
    </row>
    <row r="56">
      <c r="A56" t="inlineStr">
        <is>
          <t>Alani Nu Distribution Gains</t>
        </is>
      </c>
      <c r="AM56" t="inlineStr">
        <is>
          <t>Pretty sizable, esp. convenience</t>
        </is>
      </c>
    </row>
    <row r="57">
      <c r="A57" t="inlineStr">
        <is>
          <t>Alani Nu Founder Lock-Up</t>
        </is>
      </c>
      <c r="AQ57" t="inlineStr">
        <is>
          <t>Post-close</t>
        </is>
      </c>
    </row>
    <row r="58">
      <c r="A58" t="inlineStr">
        <is>
          <t>Alani Nu P&amp;L profile lag vs. Celsius</t>
        </is>
      </c>
      <c r="AQ58" t="inlineStr">
        <is>
          <t>multi-year</t>
        </is>
      </c>
    </row>
    <row r="59">
      <c r="A59" t="inlineStr">
        <is>
          <t>Alani Nu brand</t>
        </is>
      </c>
      <c r="AM59" t="n">
        <v>301.2</v>
      </c>
    </row>
    <row r="60">
      <c r="A60" t="inlineStr">
        <is>
          <t>Alani Nu dollar share</t>
        </is>
      </c>
      <c r="AL60" t="inlineStr">
        <is>
          <t>5.3%</t>
        </is>
      </c>
    </row>
    <row r="61">
      <c r="A61" t="inlineStr">
        <is>
          <t>Alani Nu market-share-expansion lag vs. Celsius</t>
        </is>
      </c>
      <c r="AQ61" t="inlineStr">
        <is>
          <t>forward</t>
        </is>
      </c>
    </row>
    <row r="62">
      <c r="A62" t="inlineStr">
        <is>
          <t>Alani Nu net sales</t>
        </is>
      </c>
      <c r="AR62" t="n">
        <v>368</v>
      </c>
    </row>
    <row r="63">
      <c r="A63" t="inlineStr">
        <is>
          <t>Alani Nu retail sales growth</t>
        </is>
      </c>
      <c r="AL63" t="inlineStr">
        <is>
          <t>+88% YoY</t>
        </is>
      </c>
      <c r="AQ63" t="inlineStr">
        <is>
          <t>+101%</t>
        </is>
      </c>
    </row>
    <row r="64">
      <c r="A64" t="inlineStr">
        <is>
          <t>Alani Nu revenue</t>
        </is>
      </c>
      <c r="AQ64" t="inlineStr">
        <is>
          <t>$1,001.9M (Q2-Q4)</t>
        </is>
      </c>
    </row>
    <row r="65">
      <c r="A65" t="inlineStr">
        <is>
          <t>Alani Nu synergies (identified)</t>
        </is>
      </c>
      <c r="AQ65" t="inlineStr">
        <is>
          <t>over next ~18 months</t>
        </is>
      </c>
    </row>
    <row r="66">
      <c r="A66" t="inlineStr">
        <is>
          <t>Alani Nu trailing 52-wk retail sales</t>
        </is>
      </c>
      <c r="AL66" t="inlineStr">
        <is>
          <t>&gt;$1B</t>
        </is>
      </c>
    </row>
    <row r="67">
      <c r="A67" t="inlineStr">
        <is>
          <t>Alani target ACV</t>
        </is>
      </c>
      <c r="AS67" t="inlineStr">
        <is>
          <t>mid-90 level</t>
        </is>
      </c>
    </row>
    <row r="68">
      <c r="A68" t="inlineStr">
        <is>
          <t>Amazon / E-Commerce Share</t>
        </is>
      </c>
      <c r="AB68" t="inlineStr">
        <is>
          <t>#2 energy drink on Amazon</t>
        </is>
      </c>
    </row>
    <row r="69">
      <c r="A69" t="inlineStr">
        <is>
          <t>Amazon Sales</t>
        </is>
      </c>
      <c r="AA69" t="n">
        <v>58</v>
      </c>
      <c r="AC69" t="inlineStr">
        <is>
          <t>&gt;$28M</t>
        </is>
      </c>
      <c r="AE69" t="n">
        <v>22.2</v>
      </c>
    </row>
    <row r="70">
      <c r="A70" t="inlineStr">
        <is>
          <t>Amazon energy category share</t>
        </is>
      </c>
      <c r="X70" t="inlineStr">
        <is>
          <t>22.6% (#2 brand)</t>
        </is>
      </c>
    </row>
    <row r="71">
      <c r="A71" t="inlineStr">
        <is>
          <t>Amazon sales</t>
        </is>
      </c>
      <c r="Y71" t="n">
        <v>16</v>
      </c>
    </row>
    <row r="72">
      <c r="A72" t="inlineStr">
        <is>
          <t>Amazon sales YTD 2022</t>
        </is>
      </c>
      <c r="Y72" t="n">
        <v>43</v>
      </c>
    </row>
    <row r="73">
      <c r="A73" t="inlineStr">
        <is>
          <t>Asia (China royalty)</t>
        </is>
      </c>
      <c r="R73" t="n">
        <v>0.619</v>
      </c>
      <c r="T73" t="n">
        <v>0.706</v>
      </c>
    </row>
    <row r="74">
      <c r="A74" t="inlineStr">
        <is>
          <t>Asia Revenue ($000)</t>
        </is>
      </c>
      <c r="O74" t="n">
        <v>224</v>
      </c>
    </row>
    <row r="75">
      <c r="A75" t="inlineStr">
        <is>
          <t>Average Items Carried Per Store (MULOC)</t>
        </is>
      </c>
      <c r="Z75" t="n">
        <v>12.5</v>
      </c>
    </row>
    <row r="76">
      <c r="A76" t="inlineStr">
        <is>
          <t>Average price increase (52-wk Nielsen)</t>
        </is>
      </c>
      <c r="Q76" t="inlineStr">
        <is>
          <t>17.4 (units unspecified)</t>
        </is>
      </c>
    </row>
    <row r="77">
      <c r="A77" t="inlineStr">
        <is>
          <t>Avg items selling per store (Celsius family)</t>
        </is>
      </c>
      <c r="AL77" t="inlineStr">
        <is>
          <t>+4.1 items</t>
        </is>
      </c>
    </row>
    <row r="78">
      <c r="A78" t="inlineStr">
        <is>
          <t>Balance Sheet</t>
        </is>
      </c>
      <c r="AL78" t="inlineStr">
        <is>
          <t>As of Mar 31, 2025</t>
        </is>
      </c>
    </row>
    <row r="79">
      <c r="A79" t="inlineStr">
        <is>
          <t>Big Beverage capacity - potential Alani volume share (2 lines)</t>
        </is>
      </c>
      <c r="AL79" t="inlineStr">
        <is>
          <t>next ~18 months</t>
        </is>
      </c>
    </row>
    <row r="80">
      <c r="A80" t="inlineStr">
        <is>
          <t>Big Beverage potential Alani volume capacity</t>
        </is>
      </c>
      <c r="AQ80" t="inlineStr">
        <is>
          <t>next ~18 months</t>
        </is>
      </c>
    </row>
    <row r="81">
      <c r="A81" t="inlineStr">
        <is>
          <t>Big Beverage production opportunity</t>
        </is>
      </c>
      <c r="AQ81" t="inlineStr">
        <is>
          <t>forward</t>
        </is>
      </c>
    </row>
    <row r="82">
      <c r="A82" t="inlineStr">
        <is>
          <t>Blue-sky market share runway (Celsius brand)</t>
        </is>
      </c>
      <c r="AT82" t="inlineStr">
        <is>
          <t>mid-teens to upper-teens</t>
        </is>
      </c>
    </row>
    <row r="83">
      <c r="A83" t="inlineStr">
        <is>
          <t>Brand Celsius net sales</t>
        </is>
      </c>
      <c r="AR83" t="n">
        <v>348</v>
      </c>
    </row>
    <row r="84">
      <c r="A84" t="inlineStr">
        <is>
          <t>CELSIUS brand retail sales growth</t>
        </is>
      </c>
      <c r="AQ84" t="inlineStr">
        <is>
          <t>+6%</t>
        </is>
      </c>
    </row>
    <row r="85">
      <c r="A85" t="inlineStr">
        <is>
          <t>CELSIUS brand revenue</t>
        </is>
      </c>
      <c r="AQ85" t="n">
        <v>1457.7</v>
      </c>
    </row>
    <row r="86">
      <c r="A86" t="inlineStr">
        <is>
          <t>Can shortage resolution</t>
        </is>
      </c>
      <c r="R86" t="inlineStr">
        <is>
          <t>2021H2+</t>
        </is>
      </c>
    </row>
    <row r="87">
      <c r="A87" t="inlineStr">
        <is>
          <t>Cash &amp; Cash Equivalents</t>
        </is>
      </c>
      <c r="AL87" t="inlineStr">
        <is>
          <t>$977M (pre-Alani close; no debt)</t>
        </is>
      </c>
    </row>
    <row r="88">
      <c r="A88" t="inlineStr">
        <is>
          <t>Cash &amp; Equivalents</t>
        </is>
      </c>
      <c r="AH88" t="inlineStr">
        <is>
          <t>&gt;$755M</t>
        </is>
      </c>
    </row>
    <row r="89">
      <c r="A89" t="inlineStr">
        <is>
          <t>Cash (Mar 31, 2023)</t>
        </is>
      </c>
      <c r="AB89" t="n">
        <v>634</v>
      </c>
    </row>
    <row r="90">
      <c r="A90" t="inlineStr">
        <is>
          <t>Cash (year-end)</t>
        </is>
      </c>
      <c r="AA90" t="n">
        <v>653</v>
      </c>
    </row>
    <row r="91">
      <c r="A91" t="inlineStr">
        <is>
          <t>Cash Balance</t>
        </is>
      </c>
      <c r="AB91" t="n">
        <v>634</v>
      </c>
    </row>
    <row r="92">
      <c r="A92" t="inlineStr">
        <is>
          <t>Cash EPS Accretion</t>
        </is>
      </c>
      <c r="AM92" t="inlineStr">
        <is>
          <t>Accretive in year one</t>
        </is>
      </c>
    </row>
    <row r="93">
      <c r="A93" t="inlineStr">
        <is>
          <t>Cash EPS accretion</t>
        </is>
      </c>
      <c r="AQ93" t="inlineStr">
        <is>
          <t>year one post-close</t>
        </is>
      </c>
    </row>
    <row r="94">
      <c r="A94" t="inlineStr">
        <is>
          <t>Cash Flow from Operating Activities</t>
        </is>
      </c>
      <c r="AI94" t="n">
        <v>135</v>
      </c>
    </row>
    <row r="95">
      <c r="A95" t="inlineStr">
        <is>
          <t>Cash Position</t>
        </is>
      </c>
      <c r="Q95" t="inlineStr">
        <is>
          <t>+9.2 (vs Dec-2021)</t>
        </is>
      </c>
    </row>
    <row r="96">
      <c r="A96" t="inlineStr">
        <is>
          <t>Cash Provided by Operations</t>
        </is>
      </c>
      <c r="M96" t="n">
        <v>1</v>
      </c>
    </row>
    <row r="97">
      <c r="A97" t="inlineStr">
        <is>
          <t>Cash Used in Operations</t>
        </is>
      </c>
      <c r="F97" t="n">
        <v>-11.6</v>
      </c>
    </row>
    <row r="98">
      <c r="A98" t="inlineStr">
        <is>
          <t>Cash and cash equivalents</t>
        </is>
      </c>
      <c r="AQ98" t="n">
        <v>398.9</v>
      </c>
    </row>
    <row r="99">
      <c r="A99" t="inlineStr">
        <is>
          <t>Cash on Hand (Mar 31, 2024)</t>
        </is>
      </c>
      <c r="AI99" t="n">
        <v>879.5</v>
      </c>
    </row>
    <row r="100">
      <c r="A100" t="inlineStr">
        <is>
          <t>Category pricing level</t>
        </is>
      </c>
      <c r="Z100" t="inlineStr">
        <is>
          <t>Forward / category</t>
        </is>
      </c>
    </row>
    <row r="101">
      <c r="A101" t="inlineStr">
        <is>
          <t>Celsius Distribution Expansion (retail sets)</t>
        </is>
      </c>
      <c r="AM101" t="inlineStr">
        <is>
          <t>~15%-20%</t>
        </is>
      </c>
    </row>
    <row r="102">
      <c r="A102" t="inlineStr">
        <is>
          <t>Celsius Holdings net leverage</t>
        </is>
      </c>
      <c r="AL102" t="inlineStr">
        <is>
          <t>post-Alani Nu</t>
        </is>
      </c>
    </row>
    <row r="103">
      <c r="A103" t="inlineStr">
        <is>
          <t>Celsius US tracked-channel dollar share</t>
        </is>
      </c>
      <c r="AL103" t="inlineStr">
        <is>
          <t>10.9%</t>
        </is>
      </c>
    </row>
    <row r="104">
      <c r="A104" t="inlineStr">
        <is>
          <t>Celsius brand</t>
        </is>
      </c>
      <c r="AM104" t="n">
        <v>438.1</v>
      </c>
    </row>
    <row r="105">
      <c r="A105" t="inlineStr">
        <is>
          <t>Celsius contribution to category growth</t>
        </is>
      </c>
      <c r="W105" t="inlineStr">
        <is>
          <t>IRI data ~Feb 9</t>
        </is>
      </c>
    </row>
    <row r="106">
      <c r="A106" t="inlineStr">
        <is>
          <t>China Note Interest Income ($000)</t>
        </is>
      </c>
      <c r="G106" t="n">
        <v>90</v>
      </c>
    </row>
    <row r="107">
      <c r="A107" t="inlineStr">
        <is>
          <t>China Royalty Revenue (minimum floor)</t>
        </is>
      </c>
      <c r="AA107" t="inlineStr">
        <is>
          <t>Post-2024</t>
        </is>
      </c>
    </row>
    <row r="108">
      <c r="A108" t="inlineStr">
        <is>
          <t>China royalty minimum</t>
        </is>
      </c>
      <c r="Y108" t="inlineStr">
        <is>
          <t>Annually</t>
        </is>
      </c>
    </row>
    <row r="109">
      <c r="A109" t="inlineStr">
        <is>
          <t>Circle K national contract</t>
        </is>
      </c>
      <c r="V109" t="inlineStr">
        <is>
          <t>~6,000 doors, ~4 flavors avg</t>
        </is>
      </c>
    </row>
    <row r="110">
      <c r="A110" t="inlineStr">
        <is>
          <t>Circle K stores recently added</t>
        </is>
      </c>
      <c r="W110" t="inlineStr">
        <is>
          <t>As of conference</t>
        </is>
      </c>
    </row>
    <row r="111">
      <c r="A111" t="inlineStr">
        <is>
          <t>Club Channel Revenue Contribution</t>
        </is>
      </c>
      <c r="Q111" t="inlineStr">
        <is>
          <t>$26M+</t>
        </is>
      </c>
    </row>
    <row r="112">
      <c r="A112" t="inlineStr">
        <is>
          <t>Club Channel Sales</t>
        </is>
      </c>
      <c r="AA112" t="n">
        <v>138</v>
      </c>
      <c r="AC112" t="n">
        <v>68</v>
      </c>
      <c r="AE112" t="n">
        <v>63.2</v>
      </c>
      <c r="AI112" t="n">
        <v>63</v>
      </c>
    </row>
    <row r="113">
      <c r="A113" t="inlineStr">
        <is>
          <t>Club channel locations</t>
        </is>
      </c>
      <c r="X113" t="inlineStr">
        <is>
          <t>1,337 (incl. ~175 new BJ's)</t>
        </is>
      </c>
    </row>
    <row r="114">
      <c r="A114" t="inlineStr">
        <is>
          <t>Club channel revenue</t>
        </is>
      </c>
      <c r="X114" t="n">
        <v>30.9</v>
      </c>
    </row>
    <row r="115">
      <c r="A115" t="inlineStr">
        <is>
          <t>Club channel sales</t>
        </is>
      </c>
      <c r="Y115" t="n">
        <v>34</v>
      </c>
    </row>
    <row r="116">
      <c r="A116" t="inlineStr">
        <is>
          <t>Combined US energy category dollar share</t>
        </is>
      </c>
      <c r="AK116" t="inlineStr">
        <is>
          <t>2024/2025</t>
        </is>
      </c>
    </row>
    <row r="117">
      <c r="A117" t="inlineStr">
        <is>
          <t>Combined business RTD energy mix</t>
        </is>
      </c>
      <c r="AK117" t="n">
        <v>2025</v>
      </c>
    </row>
    <row r="118">
      <c r="A118" t="inlineStr">
        <is>
          <t>Combined portfolio dollar share</t>
        </is>
      </c>
      <c r="AL118" t="inlineStr">
        <is>
          <t>16.2%</t>
        </is>
      </c>
    </row>
    <row r="119">
      <c r="A119" t="inlineStr">
        <is>
          <t>Consolidated Gross Margin</t>
        </is>
      </c>
      <c r="AM119" t="inlineStr">
        <is>
          <t>51.5%</t>
        </is>
      </c>
    </row>
    <row r="120">
      <c r="A120" t="inlineStr">
        <is>
          <t>Consolidated Revenue</t>
        </is>
      </c>
      <c r="AO120" t="n">
        <v>725</v>
      </c>
    </row>
    <row r="121">
      <c r="A121" t="inlineStr">
        <is>
          <t>Contingent consideration</t>
        </is>
      </c>
      <c r="AQ121" t="n">
        <v>25</v>
      </c>
    </row>
    <row r="122">
      <c r="A122" t="inlineStr">
        <is>
          <t>Convenience / Sea Source Revenue Share</t>
        </is>
      </c>
      <c r="AB122" t="inlineStr">
        <is>
          <t>+4-5 pts</t>
        </is>
      </c>
    </row>
    <row r="123">
      <c r="A123" t="inlineStr">
        <is>
          <t>Convenience ACV</t>
        </is>
      </c>
      <c r="Z123" t="inlineStr">
        <is>
          <t>89%</t>
        </is>
      </c>
      <c r="AC123" t="inlineStr">
        <is>
          <t>~73%</t>
        </is>
      </c>
    </row>
    <row r="124">
      <c r="A124" t="inlineStr">
        <is>
          <t>Convenience Store Locations</t>
        </is>
      </c>
      <c r="Q124" t="inlineStr">
        <is>
          <t>~64,000 (+88% YoY)</t>
        </is>
      </c>
    </row>
    <row r="125">
      <c r="A125" t="inlineStr">
        <is>
          <t>Convenience channel ACV</t>
        </is>
      </c>
      <c r="J125" t="inlineStr">
        <is>
          <t>~13.8% (Q2)</t>
        </is>
      </c>
      <c r="V125" t="inlineStr">
        <is>
          <t>~44%</t>
        </is>
      </c>
    </row>
    <row r="126">
      <c r="A126" t="inlineStr">
        <is>
          <t>Convenience channel as % of revenue (historical)</t>
        </is>
      </c>
      <c r="W126" t="inlineStr">
        <is>
          <t>Historical</t>
        </is>
      </c>
    </row>
    <row r="127">
      <c r="A127" t="inlineStr">
        <is>
          <t>Convenience channel revenue target</t>
        </is>
      </c>
      <c r="Y127" t="inlineStr">
        <is>
          <t>~70% of revenue</t>
        </is>
      </c>
    </row>
    <row r="128">
      <c r="A128" t="inlineStr">
        <is>
          <t>Convenience channel sales growth</t>
        </is>
      </c>
      <c r="X128" t="inlineStr">
        <is>
          <t>+227%</t>
        </is>
      </c>
      <c r="Y128" t="inlineStr">
        <is>
          <t>+158%</t>
        </is>
      </c>
    </row>
    <row r="129">
      <c r="A129" t="inlineStr">
        <is>
          <t>Convenience channel store locations</t>
        </is>
      </c>
      <c r="X129" t="n">
        <v>82000</v>
      </c>
    </row>
    <row r="130">
      <c r="A130" t="inlineStr">
        <is>
          <t>Convenience doors</t>
        </is>
      </c>
      <c r="V130" t="inlineStr">
        <is>
          <t>~60,000 (up 95%)</t>
        </is>
      </c>
    </row>
    <row r="131">
      <c r="A131" t="inlineStr">
        <is>
          <t>Convenience growth</t>
        </is>
      </c>
      <c r="AP131" t="inlineStr">
        <is>
          <t>recent months</t>
        </is>
      </c>
    </row>
    <row r="132">
      <c r="A132" t="inlineStr">
        <is>
          <t>Convenience store locations</t>
        </is>
      </c>
      <c r="Y132" t="n">
        <v>86000</v>
      </c>
    </row>
    <row r="133">
      <c r="A133" t="inlineStr">
        <is>
          <t>Cooler Rollout Phase 1</t>
        </is>
      </c>
      <c r="V133" t="n">
        <v>2021</v>
      </c>
    </row>
    <row r="134">
      <c r="A134" t="inlineStr">
        <is>
          <t>Cooler Rollout Potential</t>
        </is>
      </c>
      <c r="V134" t="inlineStr">
        <is>
          <t>By end of 2021</t>
        </is>
      </c>
    </row>
    <row r="135">
      <c r="A135" t="inlineStr">
        <is>
          <t>Coolers on order</t>
        </is>
      </c>
      <c r="W135" t="inlineStr">
        <is>
          <t>As of meeting</t>
        </is>
      </c>
    </row>
    <row r="136">
      <c r="A136" t="inlineStr">
        <is>
          <t>Coolers placed Q2 (YTD)</t>
        </is>
      </c>
      <c r="X136" t="inlineStr">
        <is>
          <t>800 (2,700+ YTD)</t>
        </is>
      </c>
    </row>
    <row r="137">
      <c r="A137" t="inlineStr">
        <is>
          <t>Costco Q1 Revenue Growth</t>
        </is>
      </c>
      <c r="Q137" t="inlineStr">
        <is>
          <t>Over 1,100%</t>
        </is>
      </c>
    </row>
    <row r="138">
      <c r="A138" t="inlineStr">
        <is>
          <t>Costco stores</t>
        </is>
      </c>
      <c r="V138" t="inlineStr">
        <is>
          <t>561 (Q4 revenue +1,100%)</t>
        </is>
      </c>
    </row>
    <row r="139">
      <c r="A139" t="inlineStr">
        <is>
          <t>DPO (days)</t>
        </is>
      </c>
      <c r="R139" t="n">
        <v>31</v>
      </c>
    </row>
    <row r="140">
      <c r="A140" t="inlineStr">
        <is>
          <t>DSD Coverage</t>
        </is>
      </c>
      <c r="N140" t="inlineStr">
        <is>
          <t>By summer 2020</t>
        </is>
      </c>
    </row>
    <row r="141">
      <c r="A141" t="inlineStr">
        <is>
          <t>DSD Network Reach</t>
        </is>
      </c>
      <c r="Q141" t="inlineStr">
        <is>
          <t>~99% of US population</t>
        </is>
      </c>
    </row>
    <row r="142">
      <c r="A142" t="inlineStr">
        <is>
          <t>DSD distributor revenue growth</t>
        </is>
      </c>
      <c r="W142" t="inlineStr">
        <is>
          <t>+395%</t>
        </is>
      </c>
    </row>
    <row r="143">
      <c r="A143" t="inlineStr">
        <is>
          <t>DSD incremental revenue</t>
        </is>
      </c>
      <c r="X143" t="n">
        <v>41.8</v>
      </c>
    </row>
    <row r="144">
      <c r="A144" t="inlineStr">
        <is>
          <t>DSD network sales</t>
        </is>
      </c>
      <c r="X144" t="n">
        <v>61.9</v>
      </c>
    </row>
    <row r="145">
      <c r="A145" t="inlineStr">
        <is>
          <t>DSD partners</t>
        </is>
      </c>
      <c r="M145" t="inlineStr">
        <is>
          <t>~135 (Q2)</t>
        </is>
      </c>
    </row>
    <row r="146">
      <c r="A146" t="inlineStr">
        <is>
          <t>DSD penetration of stores</t>
        </is>
      </c>
      <c r="M146" t="inlineStr">
        <is>
          <t>~10-12% (Q1)</t>
        </is>
      </c>
    </row>
    <row r="147">
      <c r="A147" t="inlineStr">
        <is>
          <t>DSD population coverage</t>
        </is>
      </c>
      <c r="V147" t="inlineStr">
        <is>
          <t>~98%</t>
        </is>
      </c>
      <c r="W147" t="inlineStr">
        <is>
          <t>As of meeting</t>
        </is>
      </c>
    </row>
    <row r="148">
      <c r="A148" t="inlineStr">
        <is>
          <t>DSD regional partners</t>
        </is>
      </c>
      <c r="M148" t="inlineStr">
        <is>
          <t>~100 (May 2020)</t>
        </is>
      </c>
    </row>
    <row r="149">
      <c r="A149" t="inlineStr">
        <is>
          <t>DSD service centers</t>
        </is>
      </c>
      <c r="V149" t="inlineStr">
        <is>
          <t>276+</t>
        </is>
      </c>
    </row>
    <row r="150">
      <c r="A150" t="inlineStr">
        <is>
          <t>DSO (days)</t>
        </is>
      </c>
      <c r="R150" t="n">
        <v>45</v>
      </c>
    </row>
    <row r="151">
      <c r="A151" t="inlineStr">
        <is>
          <t>Debt</t>
        </is>
      </c>
      <c r="P151" t="inlineStr">
        <is>
          <t>Debt-free (~$10M Euro bonds repaid Oct 30, 2020)</t>
        </is>
      </c>
      <c r="AL151" t="n">
        <v>900</v>
      </c>
    </row>
    <row r="152">
      <c r="A152" t="inlineStr">
        <is>
          <t>Diluted EPS</t>
        </is>
      </c>
      <c r="R152" t="n">
        <v>0.05</v>
      </c>
      <c r="T152" t="n">
        <v>0.04</v>
      </c>
      <c r="W152" t="n">
        <v>0.09</v>
      </c>
      <c r="X152" t="n">
        <v>0.12</v>
      </c>
      <c r="AE152" t="n">
        <v>0.89</v>
      </c>
      <c r="AI152" t="n">
        <v>0.27</v>
      </c>
    </row>
    <row r="153">
      <c r="A153" t="inlineStr">
        <is>
          <t>Diluted EPS (GAAP)</t>
        </is>
      </c>
      <c r="AQ153" t="n">
        <v>0.25</v>
      </c>
    </row>
    <row r="154">
      <c r="A154" t="inlineStr">
        <is>
          <t>Distribution / Channel Stats</t>
        </is>
      </c>
      <c r="M154" t="inlineStr">
        <is>
          <t>Prior</t>
        </is>
      </c>
    </row>
    <row r="155">
      <c r="A155" t="inlineStr">
        <is>
          <t>Distribution Termination Expenses</t>
        </is>
      </c>
      <c r="AA155" t="n">
        <v>194</v>
      </c>
    </row>
    <row r="156">
      <c r="A156" t="inlineStr">
        <is>
          <t>Distributor termination &amp; integration adj</t>
        </is>
      </c>
      <c r="AQ156" t="n">
        <v>-327.5</v>
      </c>
    </row>
    <row r="157">
      <c r="A157" t="inlineStr">
        <is>
          <t>Distributor termination costs (Q4)</t>
        </is>
      </c>
      <c r="AP157" t="n">
        <v>80.8</v>
      </c>
    </row>
    <row r="158">
      <c r="A158" t="inlineStr">
        <is>
          <t>EBITDA Margin</t>
        </is>
      </c>
      <c r="W158" t="inlineStr">
        <is>
          <t>~11%-13%</t>
        </is>
      </c>
    </row>
    <row r="159">
      <c r="A159" t="inlineStr">
        <is>
          <t>EBITDA Margin Aspiration</t>
        </is>
      </c>
      <c r="AK159" t="inlineStr">
        <is>
          <t>Long-term</t>
        </is>
      </c>
    </row>
    <row r="160">
      <c r="A160" t="inlineStr">
        <is>
          <t>EBITDA Margin Target</t>
        </is>
      </c>
      <c r="AC160" t="inlineStr">
        <is>
          <t>30%-35%</t>
        </is>
      </c>
    </row>
    <row r="161">
      <c r="A161" t="inlineStr">
        <is>
          <t>EBITDA margin (long-term framework)</t>
        </is>
      </c>
      <c r="X161" t="inlineStr">
        <is>
          <t>10%-15%</t>
        </is>
      </c>
    </row>
    <row r="162">
      <c r="A162" t="inlineStr">
        <is>
          <t>EPS</t>
        </is>
      </c>
      <c r="G162" t="n">
        <v>0.2</v>
      </c>
      <c r="I162" t="n">
        <v>0.18</v>
      </c>
      <c r="M162" t="n">
        <v>0.16</v>
      </c>
      <c r="O162" t="n">
        <v>0.02</v>
      </c>
    </row>
    <row r="163">
      <c r="A163" t="inlineStr">
        <is>
          <t>EPS Basic</t>
        </is>
      </c>
      <c r="J163" t="n">
        <v>0.02</v>
      </c>
    </row>
    <row r="164">
      <c r="A164" t="inlineStr">
        <is>
          <t>ESSENTIALS Line</t>
        </is>
      </c>
      <c r="AK164" t="inlineStr">
        <is>
          <t>Jan 2024</t>
        </is>
      </c>
    </row>
    <row r="165">
      <c r="A165" t="inlineStr">
        <is>
          <t>Earn-out contingent consideration charge</t>
        </is>
      </c>
      <c r="AM165" t="n">
        <v>13.8</v>
      </c>
    </row>
    <row r="166">
      <c r="A166" t="inlineStr">
        <is>
          <t>Earn-out maximum payout</t>
        </is>
      </c>
      <c r="AP166" t="inlineStr">
        <is>
          <t>2025 net-sales targets</t>
        </is>
      </c>
    </row>
    <row r="167">
      <c r="A167" t="inlineStr">
        <is>
          <t>Effective tax rate (9 months)</t>
        </is>
      </c>
      <c r="Y167" t="inlineStr">
        <is>
          <t>-33.5%</t>
        </is>
      </c>
    </row>
    <row r="168">
      <c r="A168" t="inlineStr">
        <is>
          <t>Effective tax rate (go-forward)</t>
        </is>
      </c>
      <c r="Z168" t="inlineStr">
        <is>
          <t>Future</t>
        </is>
      </c>
    </row>
    <row r="169">
      <c r="A169" t="inlineStr">
        <is>
          <t>Energy category dollar growth (period)</t>
        </is>
      </c>
      <c r="W169" t="inlineStr">
        <is>
          <t>IRI data ~Feb 9</t>
        </is>
      </c>
    </row>
    <row r="170">
      <c r="A170" t="inlineStr">
        <is>
          <t>Energy category growth rate</t>
        </is>
      </c>
      <c r="W170" t="inlineStr">
        <is>
          <t>Long-term industry</t>
        </is>
      </c>
    </row>
    <row r="171">
      <c r="A171" t="inlineStr">
        <is>
          <t>Energy category long-term growth</t>
        </is>
      </c>
      <c r="Z171" t="inlineStr">
        <is>
          <t>doubles in ~12 years</t>
        </is>
      </c>
    </row>
    <row r="172">
      <c r="A172" t="inlineStr">
        <is>
          <t>Eric Hansen tenure</t>
        </is>
      </c>
      <c r="AL172" t="inlineStr">
        <is>
          <t>as of May 13, 2025</t>
        </is>
      </c>
    </row>
    <row r="173">
      <c r="A173" t="inlineStr">
        <is>
          <t>Essentials 16oz National Rollout</t>
        </is>
      </c>
      <c r="AI173" t="inlineStr">
        <is>
          <t>January 2024</t>
        </is>
      </c>
    </row>
    <row r="174">
      <c r="A174" t="inlineStr">
        <is>
          <t>Europe (Nordic)</t>
        </is>
      </c>
      <c r="R174" t="n">
        <v>10.8</v>
      </c>
    </row>
    <row r="175">
      <c r="A175" t="inlineStr">
        <is>
          <t>Europe / Nordic</t>
        </is>
      </c>
      <c r="T175" t="n">
        <v>9.5</v>
      </c>
    </row>
    <row r="176">
      <c r="A176" t="inlineStr">
        <is>
          <t>European revenue</t>
        </is>
      </c>
      <c r="Y176" t="n">
        <v>7.5</v>
      </c>
    </row>
    <row r="177">
      <c r="A177" t="inlineStr">
        <is>
          <t>Expected distribution expansion</t>
        </is>
      </c>
      <c r="X177" t="inlineStr">
        <is>
          <t>Next 12 months</t>
        </is>
      </c>
    </row>
    <row r="178">
      <c r="A178" t="inlineStr">
        <is>
          <t>Fill-rate recovery to full</t>
        </is>
      </c>
      <c r="R178" t="inlineStr">
        <is>
          <t>2021Q2</t>
        </is>
      </c>
    </row>
    <row r="179">
      <c r="A179" t="inlineStr">
        <is>
          <t>Foodservice as % of NA sales (via PepsiCo)</t>
        </is>
      </c>
      <c r="AL179" t="inlineStr">
        <is>
          <t>~13.4%</t>
        </is>
      </c>
    </row>
    <row r="180">
      <c r="A180" t="inlineStr">
        <is>
          <t>Freight (% of Revenue) trend</t>
        </is>
      </c>
      <c r="AH180" t="inlineStr">
        <is>
          <t>Trailing 2 years</t>
        </is>
      </c>
    </row>
    <row r="181">
      <c r="A181" t="inlineStr">
        <is>
          <t>Freight Reduction Opportunity</t>
        </is>
      </c>
      <c r="T181" t="inlineStr">
        <is>
          <t>Going forward</t>
        </is>
      </c>
    </row>
    <row r="182">
      <c r="A182" t="inlineStr">
        <is>
          <t>Freight cost (Celsius brand) % of sales</t>
        </is>
      </c>
      <c r="AO182" t="inlineStr">
        <is>
          <t>~3%</t>
        </is>
      </c>
    </row>
    <row r="183">
      <c r="A183" t="inlineStr">
        <is>
          <t>G&amp;A % of Revenue</t>
        </is>
      </c>
      <c r="W183" t="inlineStr">
        <is>
          <t>9%</t>
        </is>
      </c>
    </row>
    <row r="184">
      <c r="A184" t="inlineStr">
        <is>
          <t>G&amp;A % of Sales</t>
        </is>
      </c>
      <c r="AB184" t="inlineStr">
        <is>
          <t>8%</t>
        </is>
      </c>
      <c r="AG184" t="inlineStr">
        <is>
          <t>8%</t>
        </is>
      </c>
      <c r="AH184" t="inlineStr">
        <is>
          <t>8%</t>
        </is>
      </c>
    </row>
    <row r="185">
      <c r="A185" t="inlineStr">
        <is>
          <t>G&amp;A % of revenue</t>
        </is>
      </c>
      <c r="AM185" t="inlineStr">
        <is>
          <t>11.7%</t>
        </is>
      </c>
    </row>
    <row r="186">
      <c r="A186" t="inlineStr">
        <is>
          <t>G&amp;A % of sales (ex-acquisition costs)</t>
        </is>
      </c>
      <c r="AO186" t="inlineStr">
        <is>
          <t>~6%</t>
        </is>
      </c>
    </row>
    <row r="187">
      <c r="A187" t="inlineStr">
        <is>
          <t>G&amp;A (% of Sales)</t>
        </is>
      </c>
      <c r="AI187" t="inlineStr">
        <is>
          <t>7%</t>
        </is>
      </c>
    </row>
    <row r="188">
      <c r="A188" t="inlineStr">
        <is>
          <t>G&amp;A (% of revenue)</t>
        </is>
      </c>
      <c r="X188" t="inlineStr">
        <is>
          <t>9%</t>
        </is>
      </c>
      <c r="Y188" t="inlineStr">
        <is>
          <t>15%</t>
        </is>
      </c>
    </row>
    <row r="189">
      <c r="A189" t="inlineStr">
        <is>
          <t>G&amp;A (% of sales)</t>
        </is>
      </c>
      <c r="AC189" t="inlineStr">
        <is>
          <t>10%</t>
        </is>
      </c>
      <c r="AE189" t="inlineStr">
        <is>
          <t>~6%</t>
        </is>
      </c>
      <c r="AK189" t="inlineStr">
        <is>
          <t>12.8%</t>
        </is>
      </c>
    </row>
    <row r="190">
      <c r="A190" t="inlineStr">
        <is>
          <t>G&amp;A (Adjusted)</t>
        </is>
      </c>
      <c r="AQ190" t="inlineStr">
        <is>
          <t>7.5% of sales</t>
        </is>
      </c>
    </row>
    <row r="191">
      <c r="A191" t="inlineStr">
        <is>
          <t>G&amp;A (GAAP)</t>
        </is>
      </c>
      <c r="AQ191" t="inlineStr">
        <is>
          <t>$250M / 9.9% of sales</t>
        </is>
      </c>
    </row>
    <row r="192">
      <c r="A192" t="inlineStr">
        <is>
          <t>G&amp;A Expense</t>
        </is>
      </c>
      <c r="AA192" t="n">
        <v>76</v>
      </c>
      <c r="AB192" t="n">
        <v>21</v>
      </c>
      <c r="AC192" t="n">
        <v>32</v>
      </c>
      <c r="AE192" t="n">
        <v>23</v>
      </c>
      <c r="AG192" t="n">
        <v>27</v>
      </c>
      <c r="AI192" t="n">
        <v>23.2</v>
      </c>
      <c r="AM192" t="n">
        <v>86</v>
      </c>
    </row>
    <row r="193">
      <c r="A193" t="inlineStr">
        <is>
          <t>G&amp;A expenses</t>
        </is>
      </c>
      <c r="X193" t="n">
        <v>14.4</v>
      </c>
      <c r="Y193" t="n">
        <v>27.5</v>
      </c>
    </row>
    <row r="194">
      <c r="A194" t="inlineStr">
        <is>
          <t>GAAP Diluted EPS</t>
        </is>
      </c>
      <c r="AL194" t="n">
        <v>0.15</v>
      </c>
      <c r="AM194" t="n">
        <v>0.33</v>
      </c>
    </row>
    <row r="195">
      <c r="A195" t="inlineStr">
        <is>
          <t>GAAP Gross Margin</t>
        </is>
      </c>
      <c r="R195" t="inlineStr">
        <is>
          <t>43.4%</t>
        </is>
      </c>
    </row>
    <row r="196">
      <c r="A196" t="inlineStr">
        <is>
          <t>GAAP Net Income</t>
        </is>
      </c>
      <c r="AR196" t="n">
        <v>110</v>
      </c>
    </row>
    <row r="197">
      <c r="A197" t="inlineStr">
        <is>
          <t>Gap (promos/incentives + non-DSD timing)</t>
        </is>
      </c>
      <c r="AL197" t="inlineStr">
        <is>
          <t>~3 pts</t>
        </is>
      </c>
    </row>
    <row r="198">
      <c r="A198" t="inlineStr">
        <is>
          <t>Global energy category growth</t>
        </is>
      </c>
      <c r="AQ198" t="inlineStr">
        <is>
          <t>2024-2029</t>
        </is>
      </c>
    </row>
    <row r="199">
      <c r="A199" t="inlineStr">
        <is>
          <t>Gross Margin Aspiration</t>
        </is>
      </c>
      <c r="AC199" t="inlineStr">
        <is>
          <t>~55%</t>
        </is>
      </c>
    </row>
    <row r="200">
      <c r="A200" t="inlineStr">
        <is>
          <t>Gross Margin ex inventory step-up</t>
        </is>
      </c>
      <c r="AM200" t="inlineStr">
        <is>
          <t>54%+</t>
        </is>
      </c>
    </row>
    <row r="201">
      <c r="A201" t="inlineStr">
        <is>
          <t>Gross Profit Margin</t>
        </is>
      </c>
      <c r="AB201" t="inlineStr">
        <is>
          <t>~44%</t>
        </is>
      </c>
      <c r="AI201" t="inlineStr">
        <is>
          <t>51.2%</t>
        </is>
      </c>
      <c r="AK201" t="inlineStr">
        <is>
          <t>50.2%</t>
        </is>
      </c>
    </row>
    <row r="202">
      <c r="A202" t="inlineStr">
        <is>
          <t>Gross Profit Margin (long term)</t>
        </is>
      </c>
      <c r="AI202" t="inlineStr">
        <is>
          <t>Long term</t>
        </is>
      </c>
    </row>
    <row r="203">
      <c r="A203" t="inlineStr">
        <is>
          <t>Gross Profit Margin Floor</t>
        </is>
      </c>
      <c r="AA203" t="inlineStr">
        <is>
          <t>2021 H2 fwd</t>
        </is>
      </c>
    </row>
    <row r="204">
      <c r="A204" t="inlineStr">
        <is>
          <t>Gross margin sequential change (vs Q2)</t>
        </is>
      </c>
      <c r="Y204" t="inlineStr">
        <is>
          <t>+330 bps</t>
        </is>
      </c>
    </row>
    <row r="205">
      <c r="A205" t="inlineStr">
        <is>
          <t>Growth current</t>
        </is>
      </c>
      <c r="AL205" t="inlineStr">
        <is>
          <t>late 2025 / early 2026</t>
        </is>
      </c>
    </row>
    <row r="206">
      <c r="A206" t="inlineStr">
        <is>
          <t>H1 Cash from Operations</t>
        </is>
      </c>
      <c r="AD206" t="n">
        <v>45</v>
      </c>
    </row>
    <row r="207">
      <c r="A207" t="inlineStr">
        <is>
          <t>H1 Gross Margin</t>
        </is>
      </c>
      <c r="AD207" t="inlineStr">
        <is>
          <t>~47%</t>
        </is>
      </c>
    </row>
    <row r="208">
      <c r="A208" t="inlineStr">
        <is>
          <t>H1 Gross Profit</t>
        </is>
      </c>
      <c r="AD208" t="n">
        <v>273</v>
      </c>
    </row>
    <row r="209">
      <c r="A209" t="inlineStr">
        <is>
          <t>H1 International Revenue</t>
        </is>
      </c>
      <c r="AD209" t="n">
        <v>27</v>
      </c>
    </row>
    <row r="210">
      <c r="A210" t="inlineStr">
        <is>
          <t>H1 North America Revenue</t>
        </is>
      </c>
      <c r="AD210" t="n">
        <v>559</v>
      </c>
    </row>
    <row r="211">
      <c r="A211" t="inlineStr">
        <is>
          <t>H1 Revenue</t>
        </is>
      </c>
      <c r="AD211" t="n">
        <v>586</v>
      </c>
    </row>
    <row r="212">
      <c r="A212" t="inlineStr">
        <is>
          <t>Health club/specialty channel revenue</t>
        </is>
      </c>
      <c r="J212" t="inlineStr">
        <is>
          <t>~20-25% of US revenue</t>
        </is>
      </c>
    </row>
    <row r="213">
      <c r="A213" t="inlineStr">
        <is>
          <t>Healthy-functional-energy exclusivity</t>
        </is>
      </c>
      <c r="Z213" t="inlineStr">
        <is>
          <t>2022-2024</t>
        </is>
      </c>
    </row>
    <row r="214">
      <c r="A214" t="inlineStr">
        <is>
          <t>Household Penetration</t>
        </is>
      </c>
      <c r="AC214" t="inlineStr">
        <is>
          <t>11.1%</t>
        </is>
      </c>
    </row>
    <row r="215">
      <c r="A215" t="inlineStr">
        <is>
          <t>Imported Can Cycle-Through</t>
        </is>
      </c>
      <c r="T215" t="inlineStr">
        <is>
          <t>Mid-2022</t>
        </is>
      </c>
    </row>
    <row r="216">
      <c r="A216" t="inlineStr">
        <is>
          <t>Incremental Cooler Placement</t>
        </is>
      </c>
      <c r="AQ216" t="n">
        <v>2025</v>
      </c>
    </row>
    <row r="217">
      <c r="A217" t="inlineStr">
        <is>
          <t>International</t>
        </is>
      </c>
      <c r="R217" t="n">
        <v>11.5</v>
      </c>
      <c r="T217" t="n">
        <v>10.4</v>
      </c>
      <c r="AB217" t="n">
        <v>11.4</v>
      </c>
      <c r="AG217" t="n">
        <v>15</v>
      </c>
      <c r="AH217" t="n">
        <v>54.7</v>
      </c>
    </row>
    <row r="218">
      <c r="A218" t="inlineStr">
        <is>
          <t>International (H1)</t>
        </is>
      </c>
      <c r="AM218" t="n">
        <v>48</v>
      </c>
    </row>
    <row r="219">
      <c r="A219" t="inlineStr">
        <is>
          <t>International Cadence</t>
        </is>
      </c>
      <c r="AK219" t="n">
        <v>2025</v>
      </c>
    </row>
    <row r="220">
      <c r="A220" t="inlineStr">
        <is>
          <t>International Expansion</t>
        </is>
      </c>
      <c r="AH220" t="inlineStr">
        <is>
          <t>Early 2024</t>
        </is>
      </c>
      <c r="AK220" t="inlineStr">
        <is>
          <t>2024-2026</t>
        </is>
      </c>
    </row>
    <row r="221">
      <c r="A221" t="inlineStr">
        <is>
          <t>International Revenue (ex-Canada)</t>
        </is>
      </c>
      <c r="AI221" t="n">
        <v>16.2</v>
      </c>
    </row>
    <row r="222">
      <c r="A222" t="inlineStr">
        <is>
          <t>International Rollout</t>
        </is>
      </c>
      <c r="AK222" t="inlineStr">
        <is>
          <t>2024-2028</t>
        </is>
      </c>
    </row>
    <row r="223">
      <c r="A223" t="inlineStr">
        <is>
          <t>International Sales</t>
        </is>
      </c>
      <c r="Z223" t="n">
        <v>11.5</v>
      </c>
    </row>
    <row r="224">
      <c r="A224" t="inlineStr">
        <is>
          <t>International cans on the books</t>
        </is>
      </c>
      <c r="Q224" t="inlineStr">
        <is>
          <t>moving deposit to inventory</t>
        </is>
      </c>
    </row>
    <row r="225">
      <c r="A225" t="inlineStr">
        <is>
          <t>International market entry (UK, Germany, Canada, W. Europe)</t>
        </is>
      </c>
      <c r="Z225" t="inlineStr">
        <is>
          <t>2024-2026</t>
        </is>
      </c>
    </row>
    <row r="226">
      <c r="A226" t="inlineStr">
        <is>
          <t>International revenue</t>
        </is>
      </c>
      <c r="V226" t="n">
        <v>41</v>
      </c>
      <c r="W226" t="n">
        <v>10</v>
      </c>
      <c r="AQ226" t="n">
        <v>92.8</v>
      </c>
    </row>
    <row r="227">
      <c r="A227" t="inlineStr">
        <is>
          <t>International sales</t>
        </is>
      </c>
      <c r="X227" t="n">
        <v>8.6</v>
      </c>
      <c r="Y227" t="n">
        <v>8.699999999999999</v>
      </c>
    </row>
    <row r="228">
      <c r="A228" t="inlineStr">
        <is>
          <t>International share aspiration</t>
        </is>
      </c>
      <c r="AQ228" t="inlineStr">
        <is>
          <t>next 3-5 years</t>
        </is>
      </c>
    </row>
    <row r="229">
      <c r="A229" t="inlineStr">
        <is>
          <t>International share of sales (incl. Alani)</t>
        </is>
      </c>
      <c r="AL229" t="inlineStr">
        <is>
          <t>current (vs. Monster ~40%)</t>
        </is>
      </c>
    </row>
    <row r="230">
      <c r="A230" t="inlineStr">
        <is>
          <t>Inventory Days on Hand</t>
        </is>
      </c>
      <c r="R230" t="n">
        <v>155</v>
      </c>
    </row>
    <row r="231">
      <c r="A231" t="inlineStr">
        <is>
          <t>Inventory Increase (9M)</t>
        </is>
      </c>
      <c r="T231" t="n">
        <v>104</v>
      </c>
    </row>
    <row r="232">
      <c r="A232" t="inlineStr">
        <is>
          <t>Inventory normalization cash release</t>
        </is>
      </c>
      <c r="U232" t="inlineStr">
        <is>
          <t>Significant funds released</t>
        </is>
      </c>
    </row>
    <row r="233">
      <c r="A233" t="inlineStr">
        <is>
          <t>Inventory step-up</t>
        </is>
      </c>
      <c r="AQ233" t="inlineStr">
        <is>
          <t>allocate ~80% Q2, ~20% Q3</t>
        </is>
      </c>
    </row>
    <row r="234">
      <c r="A234" t="inlineStr">
        <is>
          <t>Inventory valuation step-up (non-cash, FY)</t>
        </is>
      </c>
      <c r="AP234" t="n">
        <v>22.4</v>
      </c>
    </row>
    <row r="235">
      <c r="A235" t="inlineStr">
        <is>
          <t>Items carried per store</t>
        </is>
      </c>
      <c r="Y235" t="inlineStr">
        <is>
          <t>3-wk window post Oct 1</t>
        </is>
      </c>
    </row>
    <row r="236">
      <c r="A236" t="inlineStr">
        <is>
          <t>Items per Store</t>
        </is>
      </c>
      <c r="AB236" t="inlineStr">
        <is>
          <t>placements/items per store</t>
        </is>
      </c>
    </row>
    <row r="237">
      <c r="A237" t="inlineStr">
        <is>
          <t>June 9 Offering Net Proceeds (to Company)</t>
        </is>
      </c>
      <c r="R237" t="n">
        <v>67.8</v>
      </c>
    </row>
    <row r="238">
      <c r="A238" t="inlineStr">
        <is>
          <t>Key Markets</t>
        </is>
      </c>
      <c r="AB238" t="inlineStr">
        <is>
          <t>national key markets</t>
        </is>
      </c>
    </row>
    <row r="239">
      <c r="A239" t="inlineStr">
        <is>
          <t>Long-Term Gross Margin Goal</t>
        </is>
      </c>
      <c r="AK239" t="inlineStr">
        <is>
          <t>Long-term</t>
        </is>
      </c>
    </row>
    <row r="240">
      <c r="A240" t="inlineStr">
        <is>
          <t>Long-Term Operating Margin</t>
        </is>
      </c>
      <c r="AK240" t="inlineStr">
        <is>
          <t>Long-term</t>
        </is>
      </c>
    </row>
    <row r="241">
      <c r="A241" t="inlineStr">
        <is>
          <t>Long-term EBITDA margin aspiration</t>
        </is>
      </c>
      <c r="AM241" t="inlineStr">
        <is>
          <t>long-term, no timeline</t>
        </is>
      </c>
    </row>
    <row r="242">
      <c r="A242" t="inlineStr">
        <is>
          <t>Long-term debt</t>
        </is>
      </c>
      <c r="V242" t="inlineStr">
        <is>
          <t>None</t>
        </is>
      </c>
      <c r="AQ242" t="n">
        <v>669.9</v>
      </c>
    </row>
    <row r="243">
      <c r="A243" t="inlineStr">
        <is>
          <t>Long-term gross margin aspiration (apples-to-apples vs Monster)</t>
        </is>
      </c>
      <c r="AM243" t="inlineStr">
        <is>
          <t>long-term, no timeline</t>
        </is>
      </c>
    </row>
    <row r="244">
      <c r="A244" t="inlineStr">
        <is>
          <t>MULOC ACV</t>
        </is>
      </c>
      <c r="AC244" t="inlineStr">
        <is>
          <t>72.1%</t>
        </is>
      </c>
    </row>
    <row r="245">
      <c r="A245" t="inlineStr">
        <is>
          <t>MULOC locations serviced by DSD</t>
        </is>
      </c>
      <c r="Y245" t="inlineStr">
        <is>
          <t>92%</t>
        </is>
      </c>
    </row>
    <row r="246">
      <c r="A246" t="inlineStr">
        <is>
          <t>Marketing uplift share of synergies (per analyst, Slide 19)</t>
        </is>
      </c>
      <c r="AQ246" t="inlineStr">
        <is>
          <t>forward</t>
        </is>
      </c>
    </row>
    <row r="247">
      <c r="A247" t="inlineStr">
        <is>
          <t>Markets Expanded Into</t>
        </is>
      </c>
      <c r="AB247" t="inlineStr">
        <is>
          <t>over last ~18 months</t>
        </is>
      </c>
    </row>
    <row r="248">
      <c r="A248" t="inlineStr">
        <is>
          <t>Micro-market placements</t>
        </is>
      </c>
      <c r="W248" t="inlineStr">
        <is>
          <t>As of conference</t>
        </is>
      </c>
    </row>
    <row r="249">
      <c r="A249" t="inlineStr">
        <is>
          <t>Multipack share of retail sales mix</t>
        </is>
      </c>
      <c r="AL249" t="inlineStr">
        <is>
          <t>~28% MULO+ Conv / ~55% MULO+</t>
        </is>
      </c>
    </row>
    <row r="250">
      <c r="A250" t="inlineStr">
        <is>
          <t>Net Income (GAAP)</t>
        </is>
      </c>
      <c r="AQ250" t="n">
        <v>108</v>
      </c>
    </row>
    <row r="251">
      <c r="A251" t="inlineStr">
        <is>
          <t>Net Income (common shareholders)</t>
        </is>
      </c>
      <c r="AE251" t="n">
        <v>70.5</v>
      </c>
    </row>
    <row r="252">
      <c r="A252" t="inlineStr">
        <is>
          <t>Net Income (to common)</t>
        </is>
      </c>
      <c r="AL252" t="n">
        <v>34.4</v>
      </c>
    </row>
    <row r="253">
      <c r="A253" t="inlineStr">
        <is>
          <t>Net Income / (Loss)</t>
        </is>
      </c>
      <c r="AJ253" t="n">
        <v>-18.9</v>
      </c>
    </row>
    <row r="254">
      <c r="A254" t="inlineStr">
        <is>
          <t>Net Income to Common</t>
        </is>
      </c>
      <c r="G254" t="n">
        <v>11.7</v>
      </c>
      <c r="I254" t="n">
        <v>10.2</v>
      </c>
      <c r="M254" t="n">
        <v>10</v>
      </c>
      <c r="AM254" t="n">
        <v>85.7</v>
      </c>
    </row>
    <row r="255">
      <c r="A255" t="inlineStr">
        <is>
          <t>Net Income to Common ($000)</t>
        </is>
      </c>
      <c r="J255" t="n">
        <v>961</v>
      </c>
    </row>
    <row r="256">
      <c r="A256" t="inlineStr">
        <is>
          <t>Net Income to Common Shareholders</t>
        </is>
      </c>
      <c r="AI256" t="n">
        <v>65</v>
      </c>
    </row>
    <row r="257">
      <c r="A257" t="inlineStr">
        <is>
          <t>Net Inventory</t>
        </is>
      </c>
      <c r="R257" t="n">
        <v>63.8</v>
      </c>
      <c r="V257" t="n">
        <v>191.2</v>
      </c>
    </row>
    <row r="258">
      <c r="A258" t="inlineStr">
        <is>
          <t>Net Loss Per Share</t>
        </is>
      </c>
      <c r="C258" t="n">
        <v>-0.08</v>
      </c>
      <c r="D258" t="n">
        <v>-0.21</v>
      </c>
      <c r="E258" t="n">
        <v>-0.02</v>
      </c>
      <c r="F258" t="n">
        <v>-0.23</v>
      </c>
      <c r="H258" t="n">
        <v>-0.03</v>
      </c>
      <c r="L258" t="n">
        <v>-0.02</v>
      </c>
    </row>
    <row r="259">
      <c r="A259" t="inlineStr">
        <is>
          <t>Net Loss to Common</t>
        </is>
      </c>
      <c r="C259" t="n">
        <v>-4.2</v>
      </c>
      <c r="D259" t="n">
        <v>-10.5</v>
      </c>
      <c r="E259" t="n">
        <v>-0.893</v>
      </c>
      <c r="F259" t="n">
        <v>-11.4</v>
      </c>
      <c r="H259" t="n">
        <v>-1.5</v>
      </c>
      <c r="L259" t="n">
        <v>-1.1</v>
      </c>
    </row>
    <row r="260">
      <c r="A260" t="inlineStr">
        <is>
          <t>Net Non-GAAP Adjusted EBITDA</t>
        </is>
      </c>
      <c r="J260" t="n">
        <v>2.6</v>
      </c>
    </row>
    <row r="261">
      <c r="A261" t="inlineStr">
        <is>
          <t>Net Revenue</t>
        </is>
      </c>
      <c r="AQ261" t="inlineStr">
        <is>
          <t>$2.5B (record; two $2B brands)</t>
        </is>
      </c>
    </row>
    <row r="262">
      <c r="A262" t="inlineStr">
        <is>
          <t>Net Revenues</t>
        </is>
      </c>
      <c r="AK262" t="n">
        <v>605</v>
      </c>
    </row>
    <row r="263">
      <c r="A263" t="inlineStr">
        <is>
          <t>Net Sales</t>
        </is>
      </c>
      <c r="AP263" t="inlineStr">
        <is>
          <t>$370M (record)</t>
        </is>
      </c>
      <c r="AQ263" t="inlineStr">
        <is>
          <t>$1.46B</t>
        </is>
      </c>
    </row>
    <row r="264">
      <c r="A264" t="inlineStr">
        <is>
          <t>Net Working Capital</t>
        </is>
      </c>
      <c r="AB264" t="n">
        <v>801</v>
      </c>
      <c r="AH264" t="inlineStr">
        <is>
          <t>&gt;$928M</t>
        </is>
      </c>
    </row>
    <row r="265">
      <c r="A265" t="inlineStr">
        <is>
          <t>Net Working Capital (Mar 31, 2023)</t>
        </is>
      </c>
      <c r="AB265" t="n">
        <v>801</v>
      </c>
    </row>
    <row r="266">
      <c r="A266" t="inlineStr">
        <is>
          <t>Net benefit (Celsius + Alani load-in)</t>
        </is>
      </c>
      <c r="AP266" t="n">
        <v>25</v>
      </c>
    </row>
    <row r="267">
      <c r="A267" t="inlineStr">
        <is>
          <t>Net income (GAAP)</t>
        </is>
      </c>
      <c r="AQ267" t="n">
        <v>108</v>
      </c>
    </row>
    <row r="268">
      <c r="A268" t="inlineStr">
        <is>
          <t>Net income to common shareholders</t>
        </is>
      </c>
      <c r="AQ268" t="n">
        <v>63.8</v>
      </c>
    </row>
    <row r="269">
      <c r="A269" t="inlineStr">
        <is>
          <t>Nielsen scan growth</t>
        </is>
      </c>
      <c r="Z269" t="inlineStr">
        <is>
          <t>over 200%</t>
        </is>
      </c>
    </row>
    <row r="270">
      <c r="A270" t="inlineStr">
        <is>
          <t>Non-GAAP Adjusted Diluted EPS</t>
        </is>
      </c>
      <c r="AL270" t="n">
        <v>0.18</v>
      </c>
    </row>
    <row r="271">
      <c r="A271" t="inlineStr">
        <is>
          <t>Non-GAAP Adjusted EBITDA</t>
        </is>
      </c>
      <c r="AC271" t="inlineStr">
        <is>
          <t>$78.1M (~24% of sales)</t>
        </is>
      </c>
      <c r="AE271" t="inlineStr">
        <is>
          <t>~$104M (~27% of sales)</t>
        </is>
      </c>
      <c r="AI271" t="n">
        <v>88</v>
      </c>
    </row>
    <row r="272">
      <c r="A272" t="inlineStr">
        <is>
          <t>Nordic revenue</t>
        </is>
      </c>
      <c r="X272" t="n">
        <v>7.3</v>
      </c>
    </row>
    <row r="273">
      <c r="A273" t="inlineStr">
        <is>
          <t>Normalized Gross Margin ()</t>
        </is>
      </c>
      <c r="T273" t="inlineStr">
        <is>
          <t>~47.2%</t>
        </is>
      </c>
    </row>
    <row r="274">
      <c r="A274" t="inlineStr">
        <is>
          <t>North America</t>
        </is>
      </c>
      <c r="AB274" t="n">
        <v>249</v>
      </c>
      <c r="AG274" t="n">
        <v>333</v>
      </c>
      <c r="AH274" t="n">
        <v>1270</v>
      </c>
    </row>
    <row r="275">
      <c r="A275" t="inlineStr">
        <is>
          <t>North America (H1)</t>
        </is>
      </c>
      <c r="AM275" t="n">
        <v>1020</v>
      </c>
    </row>
    <row r="276">
      <c r="A276" t="inlineStr">
        <is>
          <t>North America / Domestic</t>
        </is>
      </c>
      <c r="R276" t="n">
        <v>53.7</v>
      </c>
      <c r="T276" t="n">
        <v>84.5</v>
      </c>
    </row>
    <row r="277">
      <c r="A277" t="inlineStr">
        <is>
          <t>North America / Domestic Revenue</t>
        </is>
      </c>
      <c r="O277" t="n">
        <v>28.4</v>
      </c>
    </row>
    <row r="278">
      <c r="A278" t="inlineStr">
        <is>
          <t>North American / domestic revenue</t>
        </is>
      </c>
      <c r="W278" t="inlineStr">
        <is>
          <t>~123-124</t>
        </is>
      </c>
    </row>
    <row r="279">
      <c r="A279" t="inlineStr">
        <is>
          <t>Op. Cash Flow ex-inventory build (6M)</t>
        </is>
      </c>
      <c r="R279" t="n">
        <v>15.1</v>
      </c>
    </row>
    <row r="280">
      <c r="A280" t="inlineStr">
        <is>
          <t>Operating Cash Flow</t>
        </is>
      </c>
      <c r="W280" t="n">
        <v>10</v>
      </c>
      <c r="AH280" t="inlineStr">
        <is>
          <t>&gt;$140M</t>
        </is>
      </c>
    </row>
    <row r="281">
      <c r="A281" t="inlineStr">
        <is>
          <t>Operating Cash Flow (6M)</t>
        </is>
      </c>
      <c r="R281" t="n">
        <v>-30.3</v>
      </c>
    </row>
    <row r="282">
      <c r="A282" t="inlineStr">
        <is>
          <t>Operating Cash Flow (9M)</t>
        </is>
      </c>
      <c r="T282" t="n">
        <v>-52</v>
      </c>
    </row>
    <row r="283">
      <c r="A283" t="inlineStr">
        <is>
          <t>Operating Cash Flow FY</t>
        </is>
      </c>
      <c r="P283" t="n">
        <v>3.4</v>
      </c>
    </row>
    <row r="284">
      <c r="A284" t="inlineStr">
        <is>
          <t>Operating Income Growth</t>
        </is>
      </c>
      <c r="AC284" t="inlineStr">
        <is>
          <t>~400% growth</t>
        </is>
      </c>
    </row>
    <row r="285">
      <c r="A285" t="inlineStr">
        <is>
          <t>Operating Margin (long term)</t>
        </is>
      </c>
      <c r="AI285" t="inlineStr">
        <is>
          <t>Long term</t>
        </is>
      </c>
    </row>
    <row r="286">
      <c r="A286" t="inlineStr">
        <is>
          <t>Orbit model expansion</t>
        </is>
      </c>
      <c r="Z286" t="inlineStr">
        <is>
          <t>6 orbits to 13 orbits</t>
        </is>
      </c>
    </row>
    <row r="287">
      <c r="A287" t="inlineStr">
        <is>
          <t>Other Income</t>
        </is>
      </c>
      <c r="I287" t="n">
        <v>11.9</v>
      </c>
      <c r="AQ287" t="n">
        <v>13</v>
      </c>
    </row>
    <row r="288">
      <c r="A288" t="inlineStr">
        <is>
          <t>Other International</t>
        </is>
      </c>
      <c r="R288" t="n">
        <v>0.062</v>
      </c>
      <c r="T288" t="n">
        <v>0.177</v>
      </c>
    </row>
    <row r="289">
      <c r="A289" t="inlineStr">
        <is>
          <t>Other International Markets</t>
        </is>
      </c>
      <c r="W289" t="n">
        <v>0.5</v>
      </c>
    </row>
    <row r="290">
      <c r="A290" t="inlineStr">
        <is>
          <t>Other international markets</t>
        </is>
      </c>
      <c r="V290" t="n">
        <v>3.2</v>
      </c>
    </row>
    <row r="291">
      <c r="A291" t="inlineStr">
        <is>
          <t>Outbound freight gross-profit gap (historical)</t>
        </is>
      </c>
      <c r="Y291" t="inlineStr">
        <is>
          <t>Ongoing</t>
        </is>
      </c>
    </row>
    <row r="292">
      <c r="A292" t="inlineStr">
        <is>
          <t>Pepsi year-end inventory timing impact</t>
        </is>
      </c>
      <c r="AT292" t="inlineStr">
        <is>
          <t>~$5M/day; up to ~1 week if shutdown</t>
        </is>
      </c>
    </row>
    <row r="293">
      <c r="A293" t="inlineStr">
        <is>
          <t>Portfolio retail sales growth</t>
        </is>
      </c>
      <c r="AQ293" t="inlineStr">
        <is>
          <t>+22%</t>
        </is>
      </c>
    </row>
    <row r="294">
      <c r="A294" t="inlineStr">
        <is>
          <t>Prepaid cans/raw materials in inventory build</t>
        </is>
      </c>
      <c r="V294" t="inlineStr">
        <is>
          <t>~$60-70M</t>
        </is>
      </c>
    </row>
    <row r="295">
      <c r="A295" t="inlineStr">
        <is>
          <t>Prepaids tied to raw materials</t>
        </is>
      </c>
      <c r="T295" t="n">
        <v>40</v>
      </c>
    </row>
    <row r="296">
      <c r="A296" t="inlineStr">
        <is>
          <t>Prior Independent Distributor Count</t>
        </is>
      </c>
      <c r="AB296" t="inlineStr">
        <is>
          <t>legacy ABI network, pre-Pepsi</t>
        </is>
      </c>
    </row>
    <row r="297">
      <c r="A297" t="inlineStr">
        <is>
          <t>Pro-Forma Net Leverage</t>
        </is>
      </c>
      <c r="AM297" t="inlineStr">
        <is>
          <t>~1x</t>
        </is>
      </c>
    </row>
    <row r="298">
      <c r="A298" t="inlineStr">
        <is>
          <t>Protein shakes share of 2024 sales</t>
        </is>
      </c>
      <c r="AK298" t="inlineStr">
        <is>
          <t>~6%</t>
        </is>
      </c>
    </row>
    <row r="299">
      <c r="A299" t="inlineStr">
        <is>
          <t>Purchase accounting inventory step-up</t>
        </is>
      </c>
      <c r="AM299" t="n">
        <v>21.7</v>
      </c>
    </row>
    <row r="300">
      <c r="A300" t="inlineStr">
        <is>
          <t>Q1 Excess Order Timing</t>
        </is>
      </c>
      <c r="AB300" t="inlineStr">
        <is>
          <t>order timing into Pepsi mixing centers</t>
        </is>
      </c>
    </row>
    <row r="301">
      <c r="A301" t="inlineStr">
        <is>
          <t>Q1 Fill Rate</t>
        </is>
      </c>
      <c r="Q301" t="inlineStr">
        <is>
          <t>~97%</t>
        </is>
      </c>
    </row>
    <row r="302">
      <c r="A302" t="inlineStr">
        <is>
          <t>Q2 Adjusted EBITDA</t>
        </is>
      </c>
      <c r="R302" t="n">
        <v>8</v>
      </c>
    </row>
    <row r="303">
      <c r="A303" t="inlineStr">
        <is>
          <t>Q2 Revenue</t>
        </is>
      </c>
      <c r="R303" t="n">
        <v>65.09999999999999</v>
      </c>
    </row>
    <row r="304">
      <c r="A304" t="inlineStr">
        <is>
          <t>Q3 Margin</t>
        </is>
      </c>
      <c r="AK304" t="inlineStr">
        <is>
          <t>2023 Q3</t>
        </is>
      </c>
    </row>
    <row r="305">
      <c r="A305" t="inlineStr">
        <is>
          <t>Q4 Outlook</t>
        </is>
      </c>
      <c r="AI305" t="inlineStr">
        <is>
          <t>Seasonal pullback + possible distributor destock</t>
        </is>
      </c>
    </row>
    <row r="306">
      <c r="A306" t="inlineStr">
        <is>
          <t>Quarter growth</t>
        </is>
      </c>
      <c r="X306" t="inlineStr">
        <is>
          <t>185%</t>
        </is>
      </c>
      <c r="Z306" t="inlineStr">
        <is>
          <t>10%</t>
        </is>
      </c>
    </row>
    <row r="307">
      <c r="A307" t="inlineStr">
        <is>
          <t>RTD energy share of 2024 sales</t>
        </is>
      </c>
      <c r="AK307" t="inlineStr">
        <is>
          <t>~83%</t>
        </is>
      </c>
    </row>
    <row r="308">
      <c r="A308" t="inlineStr">
        <is>
          <t>Remainder</t>
        </is>
      </c>
      <c r="AL308" t="inlineStr">
        <is>
          <t>stock</t>
        </is>
      </c>
    </row>
    <row r="309">
      <c r="A309" t="inlineStr">
        <is>
          <t>Reported revenue (books &amp; records)</t>
        </is>
      </c>
      <c r="AL309" t="inlineStr">
        <is>
          <t>-7%</t>
        </is>
      </c>
    </row>
    <row r="310">
      <c r="A310" t="inlineStr">
        <is>
          <t>Restricted cash</t>
        </is>
      </c>
      <c r="AQ310" t="n">
        <v>141.1</v>
      </c>
    </row>
    <row r="311">
      <c r="A311" t="inlineStr">
        <is>
          <t>Retail Sales Growth</t>
        </is>
      </c>
      <c r="AK311" t="inlineStr">
        <is>
          <t>22%</t>
        </is>
      </c>
    </row>
    <row r="312">
      <c r="A312" t="inlineStr">
        <is>
          <t>Revenue CAGR (2022-2024)</t>
        </is>
      </c>
      <c r="AK312" t="inlineStr">
        <is>
          <t>~49%</t>
        </is>
      </c>
    </row>
    <row r="313">
      <c r="A313" t="inlineStr">
        <is>
          <t>Rockstar Energy retail sales growth</t>
        </is>
      </c>
      <c r="AQ313" t="inlineStr">
        <is>
          <t>-11%</t>
        </is>
      </c>
    </row>
    <row r="314">
      <c r="A314" t="inlineStr">
        <is>
          <t>Rockstar Energy revenue</t>
        </is>
      </c>
      <c r="AQ314" t="n">
        <v>55.6</v>
      </c>
    </row>
    <row r="315">
      <c r="A315" t="inlineStr">
        <is>
          <t>Rockstar combined Q3 impact</t>
        </is>
      </c>
      <c r="AO315" t="n">
        <v>18</v>
      </c>
    </row>
    <row r="316">
      <c r="A316" t="inlineStr">
        <is>
          <t>Rockstar net sales</t>
        </is>
      </c>
      <c r="AR316" t="n">
        <v>67</v>
      </c>
    </row>
    <row r="317">
      <c r="A317" t="inlineStr">
        <is>
          <t>Rockstar other-income GAAP portion</t>
        </is>
      </c>
      <c r="AO317" t="n">
        <v>7</v>
      </c>
    </row>
    <row r="318">
      <c r="A318" t="inlineStr">
        <is>
          <t>Rockstar revenue (first month under ownership, $M)</t>
        </is>
      </c>
      <c r="AO318" t="n">
        <v>11</v>
      </c>
    </row>
    <row r="319">
      <c r="A319" t="inlineStr">
        <is>
          <t>Rockstar run rate</t>
        </is>
      </c>
      <c r="AU319" t="n">
        <v>250</v>
      </c>
    </row>
    <row r="320">
      <c r="A320" t="inlineStr">
        <is>
          <t>Run-rate cost synergies</t>
        </is>
      </c>
      <c r="AQ320" t="inlineStr">
        <is>
          <t>full run rate from April 2026</t>
        </is>
      </c>
    </row>
    <row r="321">
      <c r="A321" t="inlineStr">
        <is>
          <t>S&amp;M % of Revenue</t>
        </is>
      </c>
      <c r="R321" t="inlineStr">
        <is>
          <t>23.9%</t>
        </is>
      </c>
      <c r="T321" t="inlineStr">
        <is>
          <t>23.8%</t>
        </is>
      </c>
      <c r="W321" t="inlineStr">
        <is>
          <t>23%</t>
        </is>
      </c>
    </row>
    <row r="322">
      <c r="A322" t="inlineStr">
        <is>
          <t>S&amp;M % of Sales</t>
        </is>
      </c>
      <c r="AB322" t="inlineStr">
        <is>
          <t>18.3%</t>
        </is>
      </c>
      <c r="AG322" t="inlineStr">
        <is>
          <t>23%</t>
        </is>
      </c>
      <c r="AH322" t="inlineStr">
        <is>
          <t>20%</t>
        </is>
      </c>
    </row>
    <row r="323">
      <c r="A323" t="inlineStr">
        <is>
          <t>S&amp;M % of Sales (long term)</t>
        </is>
      </c>
      <c r="AI323" t="inlineStr">
        <is>
          <t>Long term</t>
        </is>
      </c>
    </row>
    <row r="324">
      <c r="A324" t="inlineStr">
        <is>
          <t>S&amp;M % of revenue</t>
        </is>
      </c>
      <c r="AM324" t="inlineStr">
        <is>
          <t>20.5%</t>
        </is>
      </c>
    </row>
    <row r="325">
      <c r="A325" t="inlineStr">
        <is>
          <t>S&amp;M (Adjusted)</t>
        </is>
      </c>
      <c r="AQ325" t="inlineStr">
        <is>
          <t>21.8% of sales</t>
        </is>
      </c>
    </row>
    <row r="326">
      <c r="A326" t="inlineStr">
        <is>
          <t>S&amp;M (GAAP)</t>
        </is>
      </c>
      <c r="AQ326" t="inlineStr">
        <is>
          <t>$876.3M / 34.8% of sales</t>
        </is>
      </c>
    </row>
    <row r="327">
      <c r="A327" t="inlineStr">
        <is>
          <t>S&amp;M Expense</t>
        </is>
      </c>
      <c r="AB327" t="n">
        <v>48</v>
      </c>
      <c r="AG327" t="n">
        <v>80</v>
      </c>
      <c r="AM327" t="n">
        <v>152</v>
      </c>
    </row>
    <row r="328">
      <c r="A328" t="inlineStr">
        <is>
          <t>S&amp;M Expense % of sales</t>
        </is>
      </c>
      <c r="AO328" t="inlineStr">
        <is>
          <t>~20%</t>
        </is>
      </c>
    </row>
    <row r="329">
      <c r="A329" t="inlineStr">
        <is>
          <t>SG&amp;A</t>
        </is>
      </c>
      <c r="AJ329" t="n">
        <v>185</v>
      </c>
    </row>
    <row r="330">
      <c r="A330" t="inlineStr">
        <is>
          <t>SG&amp;A Expense</t>
        </is>
      </c>
      <c r="AL330" t="n">
        <v>120.3</v>
      </c>
    </row>
    <row r="331">
      <c r="A331" t="inlineStr">
        <is>
          <t>SG&amp;A expense (GAAP, FY)</t>
        </is>
      </c>
      <c r="AP331" t="inlineStr">
        <is>
          <t>$1,126M (44.8% of revenue)</t>
        </is>
      </c>
    </row>
    <row r="332">
      <c r="A332" t="inlineStr">
        <is>
          <t>SG&amp;A expense (GAAP, Q4)</t>
        </is>
      </c>
      <c r="AP332" t="inlineStr">
        <is>
          <t>$316M (43.8% of revenue)</t>
        </is>
      </c>
    </row>
    <row r="333">
      <c r="A333" t="inlineStr">
        <is>
          <t>Sales &amp; Marketing (% of Revenue)</t>
        </is>
      </c>
      <c r="AH333" t="inlineStr">
        <is>
          <t>2023Q1</t>
        </is>
      </c>
      <c r="AI333" t="inlineStr">
        <is>
          <t>21%</t>
        </is>
      </c>
    </row>
    <row r="334">
      <c r="A334" t="inlineStr">
        <is>
          <t>Sales &amp; Marketing (% of sales)</t>
        </is>
      </c>
      <c r="AC334" t="inlineStr">
        <is>
          <t>~19.2%</t>
        </is>
      </c>
      <c r="AE334" t="inlineStr">
        <is>
          <t>~19.1%</t>
        </is>
      </c>
      <c r="AK334" t="inlineStr">
        <is>
          <t>25.9%</t>
        </is>
      </c>
    </row>
    <row r="335">
      <c r="A335" t="inlineStr">
        <is>
          <t>Sales &amp; Marketing Expense</t>
        </is>
      </c>
      <c r="AA335" t="n">
        <v>353</v>
      </c>
      <c r="AB335" t="n">
        <v>48</v>
      </c>
    </row>
    <row r="336">
      <c r="A336" t="inlineStr">
        <is>
          <t>Sales &amp; marketing (% of revenue)</t>
        </is>
      </c>
      <c r="X336" t="inlineStr">
        <is>
          <t>21%</t>
        </is>
      </c>
    </row>
    <row r="337">
      <c r="A337" t="inlineStr">
        <is>
          <t>Sales &amp; marketing as % of revenue</t>
        </is>
      </c>
      <c r="AK337" t="n">
        <v>2024</v>
      </c>
    </row>
    <row r="338">
      <c r="A338" t="inlineStr">
        <is>
          <t>Sales &amp; marketing expenses</t>
        </is>
      </c>
      <c r="Y338" t="n">
        <v>198.8</v>
      </c>
    </row>
    <row r="339">
      <c r="A339" t="inlineStr">
        <is>
          <t>Sam's Club nationwide rollout added</t>
        </is>
      </c>
      <c r="Q339" t="inlineStr">
        <is>
          <t>589 locations</t>
        </is>
      </c>
    </row>
    <row r="340">
      <c r="A340" t="inlineStr">
        <is>
          <t>Same-store sales growth</t>
        </is>
      </c>
      <c r="O340" t="inlineStr">
        <is>
          <t>Ongoing</t>
        </is>
      </c>
    </row>
    <row r="341">
      <c r="A341" t="inlineStr">
        <is>
          <t>Say-on-pay advisory vote</t>
        </is>
      </c>
      <c r="AA341" t="inlineStr">
        <is>
          <t>Approved</t>
        </is>
      </c>
    </row>
    <row r="342">
      <c r="A342" t="inlineStr">
        <is>
          <t>Scanner data trend</t>
        </is>
      </c>
      <c r="AL342" t="inlineStr">
        <is>
          <t>-4%</t>
        </is>
      </c>
    </row>
    <row r="343">
      <c r="A343" t="inlineStr">
        <is>
          <t>Sequential Gross Margin Improvement (vs Q2)</t>
        </is>
      </c>
      <c r="AE343" t="inlineStr">
        <is>
          <t>+165 bps</t>
        </is>
      </c>
    </row>
    <row r="344">
      <c r="A344" t="inlineStr">
        <is>
          <t>Sequential Revenue Growth (vs Q2)</t>
        </is>
      </c>
      <c r="AE344" t="inlineStr">
        <is>
          <t>+18%</t>
        </is>
      </c>
    </row>
    <row r="345">
      <c r="A345" t="inlineStr">
        <is>
          <t>Sequential revenue growth (vs )</t>
        </is>
      </c>
      <c r="W345" t="inlineStr">
        <is>
          <t>+18%</t>
        </is>
      </c>
    </row>
    <row r="346">
      <c r="A346" t="inlineStr">
        <is>
          <t>Series B convertible preferred stock (newly issued)</t>
        </is>
      </c>
      <c r="AQ346" t="n">
        <v>907.6</v>
      </c>
    </row>
    <row r="347">
      <c r="A347" t="inlineStr">
        <is>
          <t>South Florida Share</t>
        </is>
      </c>
      <c r="AC347" t="inlineStr">
        <is>
          <t>17.7% (Jan 2023)</t>
        </is>
      </c>
    </row>
    <row r="348">
      <c r="A348" t="inlineStr">
        <is>
          <t>Spring-Reset Shelf-Space Gain</t>
        </is>
      </c>
      <c r="AQ348" t="inlineStr">
        <is>
          <t>Spring 2025</t>
        </is>
      </c>
    </row>
    <row r="349">
      <c r="A349" t="inlineStr">
        <is>
          <t>Standalone gross margin</t>
        </is>
      </c>
      <c r="AK349" t="inlineStr">
        <is>
          <t>40% -&gt; low 40s</t>
        </is>
      </c>
    </row>
    <row r="350">
      <c r="A350" t="inlineStr">
        <is>
          <t>Stock Option Expense</t>
        </is>
      </c>
      <c r="R350" t="n">
        <v>4</v>
      </c>
      <c r="T350" t="n">
        <v>5.8</v>
      </c>
    </row>
    <row r="351">
      <c r="A351" t="inlineStr">
        <is>
          <t>Subway Distribution Opportunity</t>
        </is>
      </c>
      <c r="AM351" t="inlineStr">
        <is>
          <t>18,000 locations</t>
        </is>
      </c>
      <c r="AQ351" t="n">
        <v>2025</v>
      </c>
    </row>
    <row r="352">
      <c r="A352" t="inlineStr">
        <is>
          <t>Sweden Market Share</t>
        </is>
      </c>
      <c r="AB352" t="inlineStr">
        <is>
          <t>international</t>
        </is>
      </c>
    </row>
    <row r="353">
      <c r="A353" t="inlineStr">
        <is>
          <t>Target convenience price point</t>
        </is>
      </c>
      <c r="Z353" t="inlineStr">
        <is>
          <t>Forward</t>
        </is>
      </c>
    </row>
    <row r="354">
      <c r="A354" t="inlineStr">
        <is>
          <t>Target inventory days on hand</t>
        </is>
      </c>
      <c r="Y354" t="inlineStr">
        <is>
          <t>Going forward</t>
        </is>
      </c>
    </row>
    <row r="355">
      <c r="A355" t="inlineStr">
        <is>
          <t>Tax rate going forward</t>
        </is>
      </c>
      <c r="U355" t="inlineStr">
        <is>
          <t>Significantly higher (jurisdiction/profitability dependent)</t>
        </is>
      </c>
    </row>
    <row r="356">
      <c r="A356" t="inlineStr">
        <is>
          <t>Third-Party Scan Data (Nielsen, as of Oct 22)</t>
        </is>
      </c>
      <c r="Z356" t="inlineStr">
        <is>
          <t>Energy Category</t>
        </is>
      </c>
    </row>
    <row r="357">
      <c r="A357" t="inlineStr">
        <is>
          <t>Third-Party Scan Data (Nielsen, ending Jul 16)</t>
        </is>
      </c>
      <c r="X357" t="inlineStr">
        <is>
          <t>Celsius</t>
        </is>
      </c>
    </row>
    <row r="358">
      <c r="A358" t="inlineStr">
        <is>
          <t>Total Inventory</t>
        </is>
      </c>
      <c r="W358" t="inlineStr">
        <is>
          <t>down vs prior quarter</t>
        </is>
      </c>
    </row>
    <row r="359">
      <c r="A359" t="inlineStr">
        <is>
          <t>Total Net Other Expense</t>
        </is>
      </c>
      <c r="T359" t="n">
        <v>-0.353</v>
      </c>
    </row>
    <row r="360">
      <c r="A360" t="inlineStr">
        <is>
          <t>Total Net Other Income</t>
        </is>
      </c>
      <c r="R360" t="n">
        <v>0.3615</v>
      </c>
    </row>
    <row r="361">
      <c r="A361" t="inlineStr">
        <is>
          <t>Total Other Income</t>
        </is>
      </c>
      <c r="O361" t="n">
        <v>1.3</v>
      </c>
    </row>
    <row r="362">
      <c r="A362" t="inlineStr">
        <is>
          <t>Total Revenue ($B)</t>
        </is>
      </c>
      <c r="AN362" t="n">
        <v>1.07</v>
      </c>
    </row>
    <row r="363">
      <c r="A363" t="inlineStr">
        <is>
          <t>Total assets</t>
        </is>
      </c>
      <c r="AQ363" t="n">
        <v>5119.6</v>
      </c>
    </row>
    <row r="364">
      <c r="A364" t="inlineStr">
        <is>
          <t>Total distributor buyout obligation (year-end)</t>
        </is>
      </c>
      <c r="AP364" t="inlineStr">
        <is>
          <t>~$327.5M ($246.7M Q3 + $80.8M Q4)</t>
        </is>
      </c>
    </row>
    <row r="365">
      <c r="A365" t="inlineStr">
        <is>
          <t>US Energy Drink Market Share</t>
        </is>
      </c>
      <c r="Z365" t="inlineStr">
        <is>
          <t>6.4 share (#3)</t>
        </is>
      </c>
    </row>
    <row r="366">
      <c r="A366" t="inlineStr">
        <is>
          <t>US Store Count</t>
        </is>
      </c>
      <c r="Z366" t="inlineStr">
        <is>
          <t>210,000+</t>
        </is>
      </c>
    </row>
    <row r="367">
      <c r="A367" t="inlineStr">
        <is>
          <t>US co-packer footprint</t>
        </is>
      </c>
      <c r="X367" t="inlineStr">
        <is>
          <t>13 active locations</t>
        </is>
      </c>
    </row>
    <row r="368">
      <c r="A368" t="inlineStr">
        <is>
          <t>US door count</t>
        </is>
      </c>
      <c r="M368" t="inlineStr">
        <is>
          <t>~65,000 (end-2019)</t>
        </is>
      </c>
      <c r="V368" t="inlineStr">
        <is>
          <t>End of 2021</t>
        </is>
      </c>
    </row>
    <row r="369">
      <c r="A369" t="inlineStr">
        <is>
          <t>US energy category growth</t>
        </is>
      </c>
      <c r="AQ369" t="inlineStr">
        <is>
          <t>next several years</t>
        </is>
      </c>
    </row>
    <row r="370">
      <c r="A370" t="inlineStr">
        <is>
          <t>US store count</t>
        </is>
      </c>
      <c r="V370" t="inlineStr">
        <is>
          <t>135,000+</t>
        </is>
      </c>
      <c r="Y370" t="n">
        <v>174000</v>
      </c>
    </row>
    <row r="371">
      <c r="A371" t="inlineStr">
        <is>
          <t>US total door count</t>
        </is>
      </c>
      <c r="X371" t="n">
        <v>196000</v>
      </c>
    </row>
    <row r="372">
      <c r="A372" t="inlineStr">
        <is>
          <t>Vending &amp; Micro-Market Placements</t>
        </is>
      </c>
      <c r="Q372" t="inlineStr">
        <is>
          <t>12,000+ (+96% location growth)</t>
        </is>
      </c>
    </row>
    <row r="373">
      <c r="A373" t="inlineStr">
        <is>
          <t>Vending / foodservice revenue</t>
        </is>
      </c>
      <c r="X373" t="n">
        <v>4.4</v>
      </c>
    </row>
    <row r="374">
      <c r="A374" t="inlineStr">
        <is>
          <t>Volume Growth</t>
        </is>
      </c>
      <c r="AK374" t="inlineStr">
        <is>
          <t>22%</t>
        </is>
      </c>
    </row>
    <row r="375">
      <c r="A375" t="inlineStr">
        <is>
          <t>Walmart sales growth</t>
        </is>
      </c>
      <c r="X375" t="inlineStr">
        <is>
          <t>+700%+</t>
        </is>
      </c>
    </row>
    <row r="376">
      <c r="A376" t="inlineStr">
        <is>
          <t>Working Capital (year-end)</t>
        </is>
      </c>
      <c r="AA376" t="n">
        <v>757</v>
      </c>
    </row>
    <row r="377">
      <c r="A377" t="inlineStr">
        <is>
          <t>YTD EPS Basic</t>
        </is>
      </c>
      <c r="K377" t="n">
        <v>0.19</v>
      </c>
    </row>
    <row r="378">
      <c r="A378" t="inlineStr">
        <is>
          <t>YTD Freight (% of net revenues)</t>
        </is>
      </c>
      <c r="AE378" t="inlineStr">
        <is>
          <t>~4.9%</t>
        </is>
      </c>
    </row>
    <row r="379">
      <c r="A379" t="inlineStr">
        <is>
          <t>YTD Gross Margin</t>
        </is>
      </c>
      <c r="AO379" t="inlineStr">
        <is>
          <t>51.6%</t>
        </is>
      </c>
    </row>
    <row r="380">
      <c r="A380" t="inlineStr">
        <is>
          <t>YTD Net Income to Common</t>
        </is>
      </c>
      <c r="K380" t="n">
        <v>11.1</v>
      </c>
    </row>
    <row r="381">
      <c r="A381" t="inlineStr">
        <is>
          <t>YTD Revenue</t>
        </is>
      </c>
      <c r="K381" t="n">
        <v>51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147"/>
  <sheetViews>
    <sheetView tabSelected="1" workbookViewId="0">
      <selection activeCell="H9" sqref="H9"/>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B2:S109"/>
  <sheetViews>
    <sheetView topLeftCell="A70" zoomScale="85" zoomScaleNormal="85" workbookViewId="0">
      <selection activeCell="A15" sqref="A15"/>
    </sheetView>
  </sheetViews>
  <sheetFormatPr baseColWidth="8" defaultRowHeight="14.4"/>
  <cols>
    <col width="35.44140625" bestFit="1" customWidth="1" min="3" max="3"/>
  </cols>
  <sheetData>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30" t="n">
        <v>-81</v>
      </c>
      <c r="E60" s="30" t="n">
        <v>-327.5</v>
      </c>
    </row>
    <row r="61">
      <c r="C61" t="inlineStr">
        <is>
          <t>Sales &amp; Marketing</t>
        </is>
      </c>
      <c r="D61" s="31">
        <f>SUM(D59:D60)</f>
        <v/>
      </c>
      <c r="E61" s="31">
        <f>SUM(E59:E60)</f>
        <v/>
      </c>
      <c r="F61" s="32" t="n"/>
    </row>
    <row r="62">
      <c r="D62" s="33" t="n"/>
    </row>
    <row r="63">
      <c r="C63" t="inlineStr">
        <is>
          <t>Administrative</t>
        </is>
      </c>
      <c r="D63" s="15" t="n">
        <v>81</v>
      </c>
      <c r="E63" t="n">
        <v>250</v>
      </c>
    </row>
    <row r="64">
      <c r="C64" t="inlineStr">
        <is>
          <t>Acquisition Cost Adjustment</t>
        </is>
      </c>
      <c r="D64" s="30" t="n">
        <v>-5</v>
      </c>
      <c r="E64" s="30"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2026-05-17T14:53:12Z</dcterms:modified>
  <cp:lastModifiedBy>Gabriel Rodino</cp:lastModifiedBy>
</cp:coreProperties>
</file>