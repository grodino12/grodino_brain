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9016" windowHeight="15696" tabRatio="600" firstSheet="0" activeTab="0" autoFilterDateGrouping="1"/>
  </bookViews>
  <sheets>
    <sheet xmlns:r="http://schemas.openxmlformats.org/officeDocument/2006/relationships" name="01 2018Q3 Earnings" sheetId="1" state="visible" r:id="rId1"/>
    <sheet xmlns:r="http://schemas.openxmlformats.org/officeDocument/2006/relationships" name="02 2018Q4 Earnings" sheetId="2" state="visible" r:id="rId2"/>
    <sheet xmlns:r="http://schemas.openxmlformats.org/officeDocument/2006/relationships" name="03 2019Q1 Earnings" sheetId="3" state="visible" r:id="rId3"/>
    <sheet xmlns:r="http://schemas.openxmlformats.org/officeDocument/2006/relationships" name="04 2019Q2 Earnings" sheetId="4" state="visible" r:id="rId4"/>
    <sheet xmlns:r="http://schemas.openxmlformats.org/officeDocument/2006/relationships" name="05 2019Q3 Earnings" sheetId="5" state="visible" r:id="rId5"/>
    <sheet xmlns:r="http://schemas.openxmlformats.org/officeDocument/2006/relationships" name="06 2019Q4 Earnings" sheetId="6" state="visible" r:id="rId6"/>
    <sheet xmlns:r="http://schemas.openxmlformats.org/officeDocument/2006/relationships" name="07 Q1 2020 Earnings" sheetId="7" state="visible" r:id="rId7"/>
    <sheet xmlns:r="http://schemas.openxmlformats.org/officeDocument/2006/relationships" name="08 Q2 2020 Earnings" sheetId="8" state="visible" r:id="rId8"/>
    <sheet xmlns:r="http://schemas.openxmlformats.org/officeDocument/2006/relationships" name="09 LD Micro Conf" sheetId="9" state="visible" r:id="rId9"/>
    <sheet xmlns:r="http://schemas.openxmlformats.org/officeDocument/2006/relationships" name="10 Q3 2020 Earnings" sheetId="10" state="visible" r:id="rId10"/>
    <sheet xmlns:r="http://schemas.openxmlformats.org/officeDocument/2006/relationships" name="11 UBS Conference" sheetId="11" state="visible" r:id="rId11"/>
    <sheet xmlns:r="http://schemas.openxmlformats.org/officeDocument/2006/relationships" name="12 2020Q4 Earnings" sheetId="12" state="visible" r:id="rId12"/>
    <sheet xmlns:r="http://schemas.openxmlformats.org/officeDocument/2006/relationships" name="13 Q1 2021 Earnings" sheetId="13" state="visible" r:id="rId13"/>
    <sheet xmlns:r="http://schemas.openxmlformats.org/officeDocument/2006/relationships" name="14 2021Q2 Earnings" sheetId="14" state="visible" r:id="rId14"/>
    <sheet xmlns:r="http://schemas.openxmlformats.org/officeDocument/2006/relationships" name="15 Annual Shareholder Mtg" sheetId="15" state="visible" r:id="rId15"/>
    <sheet xmlns:r="http://schemas.openxmlformats.org/officeDocument/2006/relationships" name="16 2021Q3 Earnings" sheetId="16" state="visible" r:id="rId16"/>
    <sheet xmlns:r="http://schemas.openxmlformats.org/officeDocument/2006/relationships" name="17 Jefferies Conference" sheetId="17" state="visible" r:id="rId17"/>
    <sheet xmlns:r="http://schemas.openxmlformats.org/officeDocument/2006/relationships" name="18 Morgan Stanley Conf" sheetId="18" state="visible" r:id="rId18"/>
    <sheet xmlns:r="http://schemas.openxmlformats.org/officeDocument/2006/relationships" name="19 Q4 2021 Earnings" sheetId="19" state="visible" r:id="rId19"/>
    <sheet xmlns:r="http://schemas.openxmlformats.org/officeDocument/2006/relationships" name="20 2022Q1 Earnings" sheetId="20" state="visible" r:id="rId20"/>
    <sheet xmlns:r="http://schemas.openxmlformats.org/officeDocument/2006/relationships" name="21 Credit Suisse Conf" sheetId="21" state="visible" r:id="rId21"/>
    <sheet xmlns:r="http://schemas.openxmlformats.org/officeDocument/2006/relationships" name="22 Annual Shareholder Mtg" sheetId="22" state="visible" r:id="rId22"/>
    <sheet xmlns:r="http://schemas.openxmlformats.org/officeDocument/2006/relationships" name="23 Evercore Conference" sheetId="23" state="visible" r:id="rId23"/>
    <sheet xmlns:r="http://schemas.openxmlformats.org/officeDocument/2006/relationships" name="24 Stifel Conference" sheetId="24" state="visible" r:id="rId24"/>
    <sheet xmlns:r="http://schemas.openxmlformats.org/officeDocument/2006/relationships" name="25 PepsiCo Distribution" sheetId="25" state="visible" r:id="rId25"/>
    <sheet xmlns:r="http://schemas.openxmlformats.org/officeDocument/2006/relationships" name="26 2022Q2 Earnings" sheetId="26" state="visible" r:id="rId26"/>
    <sheet xmlns:r="http://schemas.openxmlformats.org/officeDocument/2006/relationships" name="27 2022Q3 Earnings" sheetId="27" state="visible" r:id="rId27"/>
    <sheet xmlns:r="http://schemas.openxmlformats.org/officeDocument/2006/relationships" name="28 2022Q4 Earnings" sheetId="28" state="visible" r:id="rId28"/>
    <sheet xmlns:r="http://schemas.openxmlformats.org/officeDocument/2006/relationships" name="29 2023Q1 Earnings" sheetId="29" state="visible" r:id="rId29"/>
    <sheet xmlns:r="http://schemas.openxmlformats.org/officeDocument/2006/relationships" name="30 Goldman Sachs Conference" sheetId="30" state="visible" r:id="rId30"/>
    <sheet xmlns:r="http://schemas.openxmlformats.org/officeDocument/2006/relationships" name="31 Annual General Meeting" sheetId="31" state="visible" r:id="rId31"/>
    <sheet xmlns:r="http://schemas.openxmlformats.org/officeDocument/2006/relationships" name="32 Stifel Conference" sheetId="32" state="visible" r:id="rId32"/>
    <sheet xmlns:r="http://schemas.openxmlformats.org/officeDocument/2006/relationships" name="33 Evercore Conference" sheetId="33" state="visible" r:id="rId33"/>
    <sheet xmlns:r="http://schemas.openxmlformats.org/officeDocument/2006/relationships" name="34 2023Q2 Earnings" sheetId="34" state="visible" r:id="rId34"/>
    <sheet xmlns:r="http://schemas.openxmlformats.org/officeDocument/2006/relationships" name="35 Barclays Conf 2023-09" sheetId="35" state="visible" r:id="rId35"/>
    <sheet xmlns:r="http://schemas.openxmlformats.org/officeDocument/2006/relationships" name="36 Piper Sandler Conf 09-13" sheetId="36" state="visible" r:id="rId36"/>
    <sheet xmlns:r="http://schemas.openxmlformats.org/officeDocument/2006/relationships" name="37 2023Q3 Earnings" sheetId="37" state="visible" r:id="rId37"/>
    <sheet xmlns:r="http://schemas.openxmlformats.org/officeDocument/2006/relationships" name="38 Stephens Conf 2023-11" sheetId="38" state="visible" r:id="rId38"/>
    <sheet xmlns:r="http://schemas.openxmlformats.org/officeDocument/2006/relationships" name="39 Morgan Stanley Conf 12-06" sheetId="39" state="visible" r:id="rId39"/>
    <sheet xmlns:r="http://schemas.openxmlformats.org/officeDocument/2006/relationships" name="40 2023Q4 Earnings" sheetId="40" state="visible" r:id="rId40"/>
    <sheet xmlns:r="http://schemas.openxmlformats.org/officeDocument/2006/relationships" name="41 UBS Conference" sheetId="41" state="visible" r:id="rId41"/>
    <sheet xmlns:r="http://schemas.openxmlformats.org/officeDocument/2006/relationships" name="42 Q1 2024 Earnings" sheetId="42" state="visible" r:id="rId42"/>
    <sheet xmlns:r="http://schemas.openxmlformats.org/officeDocument/2006/relationships" name="43 Goldman Sachs 2024-05-14" sheetId="43" state="visible" r:id="rId43"/>
    <sheet xmlns:r="http://schemas.openxmlformats.org/officeDocument/2006/relationships" name="44 William Blair 2024-06-04" sheetId="44" state="visible" r:id="rId44"/>
    <sheet xmlns:r="http://schemas.openxmlformats.org/officeDocument/2006/relationships" name="45 Evercore ISI 2024-06-11" sheetId="45" state="visible" r:id="rId45"/>
    <sheet xmlns:r="http://schemas.openxmlformats.org/officeDocument/2006/relationships" name="46 2024Q2 Earnings" sheetId="46" state="visible" r:id="rId46"/>
    <sheet xmlns:r="http://schemas.openxmlformats.org/officeDocument/2006/relationships" name="47 Barclays Conf 2024-09" sheetId="47" state="visible" r:id="rId47"/>
    <sheet xmlns:r="http://schemas.openxmlformats.org/officeDocument/2006/relationships" name="48 Piper Sandler Conf" sheetId="48" state="visible" r:id="rId48"/>
    <sheet xmlns:r="http://schemas.openxmlformats.org/officeDocument/2006/relationships" name="49 2024Q3 Earnings" sheetId="49" state="visible" r:id="rId49"/>
    <sheet xmlns:r="http://schemas.openxmlformats.org/officeDocument/2006/relationships" name="50 Morgan Stanley Conf" sheetId="50" state="visible" r:id="rId50"/>
    <sheet xmlns:r="http://schemas.openxmlformats.org/officeDocument/2006/relationships" name="51 2024Q4 Earnings" sheetId="51" state="visible" r:id="rId51"/>
    <sheet xmlns:r="http://schemas.openxmlformats.org/officeDocument/2006/relationships" name="52 CAGNY Conf 2025-02-21" sheetId="52" state="visible" r:id="rId52"/>
    <sheet xmlns:r="http://schemas.openxmlformats.org/officeDocument/2006/relationships" name="53 UBS Conf 2025-03-12" sheetId="53" state="visible" r:id="rId53"/>
    <sheet xmlns:r="http://schemas.openxmlformats.org/officeDocument/2006/relationships" name="54 ROTH Conf 2025-03-18" sheetId="54" state="visible" r:id="rId54"/>
    <sheet xmlns:r="http://schemas.openxmlformats.org/officeDocument/2006/relationships" name="55 2025Q1 Earnings" sheetId="55" state="visible" r:id="rId55"/>
    <sheet xmlns:r="http://schemas.openxmlformats.org/officeDocument/2006/relationships" name="56 Goldman Sachs Conf" sheetId="56" state="visible" r:id="rId56"/>
    <sheet xmlns:r="http://schemas.openxmlformats.org/officeDocument/2006/relationships" name="57 Acquiring Alani Nu" sheetId="57" state="visible" r:id="rId57"/>
    <sheet xmlns:r="http://schemas.openxmlformats.org/officeDocument/2006/relationships" name="58 Deutsche Bank Conf" sheetId="58" state="visible" r:id="rId58"/>
    <sheet xmlns:r="http://schemas.openxmlformats.org/officeDocument/2006/relationships" name="59 William Blair Conf" sheetId="59" state="visible" r:id="rId59"/>
    <sheet xmlns:r="http://schemas.openxmlformats.org/officeDocument/2006/relationships" name="60 2025Q2 Earnings" sheetId="60" state="visible" r:id="rId60"/>
    <sheet xmlns:r="http://schemas.openxmlformats.org/officeDocument/2006/relationships" name="61 Barclays Conf 2025-09" sheetId="61" state="visible" r:id="rId61"/>
    <sheet xmlns:r="http://schemas.openxmlformats.org/officeDocument/2006/relationships" name="62 Piper Sandler 2025-09" sheetId="62" state="visible" r:id="rId62"/>
    <sheet xmlns:r="http://schemas.openxmlformats.org/officeDocument/2006/relationships" name="63 2025Q3 Earnings" sheetId="63" state="visible" r:id="rId63"/>
    <sheet xmlns:r="http://schemas.openxmlformats.org/officeDocument/2006/relationships" name="64 Morgan Stanley 2025-12" sheetId="64" state="visible" r:id="rId64"/>
    <sheet xmlns:r="http://schemas.openxmlformats.org/officeDocument/2006/relationships" name="65 CAGNY Conf 2026-02" sheetId="65" state="visible" r:id="rId65"/>
    <sheet xmlns:r="http://schemas.openxmlformats.org/officeDocument/2006/relationships" name="66 2025Q4 Earnings PR" sheetId="66" state="visible" r:id="rId66"/>
    <sheet xmlns:r="http://schemas.openxmlformats.org/officeDocument/2006/relationships" name="67 2025Q4 Earnings" sheetId="67" state="visible" r:id="rId67"/>
    <sheet xmlns:r="http://schemas.openxmlformats.org/officeDocument/2006/relationships" name="68 UBS Conference" sheetId="68" state="visible" r:id="rId68"/>
    <sheet xmlns:r="http://schemas.openxmlformats.org/officeDocument/2006/relationships" name="69 2026Q1 Earnings" sheetId="69" state="visible" r:id="rId69"/>
    <sheet xmlns:r="http://schemas.openxmlformats.org/officeDocument/2006/relationships" name=" Transcript Reports" sheetId="70" state="visible" r:id="rId70"/>
    <sheet xmlns:r="http://schemas.openxmlformats.org/officeDocument/2006/relationships" name="Disclosures" sheetId="71" state="visible" r:id="rId71"/>
  </sheets>
  <definedNames/>
  <calcPr calcId="191029" fullCalcOnLoad="1" iterate="1" iterateCount="20" iterateDelta="0.0001"/>
</workbook>
</file>

<file path=xl/styles.xml><?xml version="1.0" encoding="utf-8"?>
<styleSheet xmlns="http://schemas.openxmlformats.org/spreadsheetml/2006/main">
  <numFmts count="7">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s>
  <fonts count="13">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b val="1"/>
    </font>
    <font>
      <b val="1"/>
      <sz val="11"/>
    </font>
  </fonts>
  <fills count="3">
    <fill>
      <patternFill/>
    </fill>
    <fill>
      <patternFill patternType="gray125"/>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styles" Target="styles.xml" Id="rId72"/><Relationship Type="http://schemas.openxmlformats.org/officeDocument/2006/relationships/theme" Target="theme/theme1.xml" Id="rId73"/></Relationships>
</file>

<file path=xl/comments/comment1.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Q3 2018 Earnings Call</t>
        </is>
      </c>
    </row>
    <row r="2">
      <c r="A2" s="24" t="inlineStr">
        <is>
          <t>Date</t>
        </is>
      </c>
      <c r="B2" t="inlineStr">
        <is>
          <t>2018-11-09</t>
        </is>
      </c>
    </row>
    <row r="3"/>
    <row r="4">
      <c r="A4" s="25" t="inlineStr">
        <is>
          <t>QUANTITATIVE</t>
        </is>
      </c>
      <c r="B4" s="25" t="n"/>
      <c r="C4" s="25" t="n"/>
      <c r="D4" s="25" t="n"/>
    </row>
    <row r="5"/>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3"/>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19"/>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5"/>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5"/>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1"/>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6"/>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7"/>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1"/>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6"/>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Q4 &amp; Full-Year 2018 Earnings Call</t>
        </is>
      </c>
    </row>
    <row r="2">
      <c r="A2" s="24" t="inlineStr">
        <is>
          <t>Date</t>
        </is>
      </c>
      <c r="B2" t="inlineStr">
        <is>
          <t>2019-03-14</t>
        </is>
      </c>
    </row>
    <row r="3"/>
    <row r="4">
      <c r="A4" s="25" t="inlineStr">
        <is>
          <t>QUANTITATIVE</t>
        </is>
      </c>
      <c r="B4" s="25" t="n"/>
      <c r="C4" s="25" t="n"/>
      <c r="D4" s="25" t="n"/>
    </row>
    <row r="5"/>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6"/>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2"/>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8"/>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39"/>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4"/>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0"/>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1"/>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7"/>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3"/>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8"/>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Q1 2019 Earnings Call</t>
        </is>
      </c>
    </row>
    <row r="2">
      <c r="A2" s="24" t="inlineStr">
        <is>
          <t>Date</t>
        </is>
      </c>
      <c r="B2" t="inlineStr">
        <is>
          <t>2019-05-09</t>
        </is>
      </c>
    </row>
    <row r="3"/>
    <row r="4">
      <c r="A4" s="25" t="inlineStr">
        <is>
          <t>QUANTITATIVE</t>
        </is>
      </c>
      <c r="B4" s="25" t="n"/>
      <c r="C4" s="25" t="n"/>
      <c r="D4" s="25" t="n"/>
    </row>
    <row r="5"/>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3"/>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7"/>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1"/>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29"/>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4"/>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39"/>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1"/>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8"/>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4"/>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Q2 2019 Earnings Call</t>
        </is>
      </c>
    </row>
    <row r="2">
      <c r="A2" s="24" t="inlineStr">
        <is>
          <t>Date</t>
        </is>
      </c>
      <c r="B2" t="inlineStr">
        <is>
          <t>2019-08-08</t>
        </is>
      </c>
    </row>
    <row r="3"/>
    <row r="4">
      <c r="A4" s="25" t="inlineStr">
        <is>
          <t>QUANTITATIVE</t>
        </is>
      </c>
      <c r="B4" s="25" t="n"/>
      <c r="C4" s="25" t="n"/>
      <c r="D4" s="25" t="n"/>
    </row>
    <row r="5"/>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3"/>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19"/>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5"/>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5"/>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3"/>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8"/>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59"/>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5"/>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0"/>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Q3 2019 Earnings Call</t>
        </is>
      </c>
    </row>
    <row r="2">
      <c r="A2" s="24" t="inlineStr">
        <is>
          <t>Date</t>
        </is>
      </c>
      <c r="B2" t="inlineStr">
        <is>
          <t>2019-11-07</t>
        </is>
      </c>
    </row>
    <row r="3"/>
    <row r="4">
      <c r="A4" s="25" t="inlineStr">
        <is>
          <t>QUANTITATIVE</t>
        </is>
      </c>
      <c r="B4" s="25" t="n"/>
      <c r="C4" s="25" t="n"/>
      <c r="D4" s="25" t="n"/>
    </row>
    <row r="5"/>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1"/>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5"/>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19"/>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8"/>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5"/>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3"/>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5"/>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0"/>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5"/>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Q4 &amp; Full-Year 2019 Earnings Call</t>
        </is>
      </c>
    </row>
    <row r="2">
      <c r="A2" s="24" t="inlineStr">
        <is>
          <t>Date</t>
        </is>
      </c>
      <c r="B2" t="inlineStr">
        <is>
          <t>2020-03-12</t>
        </is>
      </c>
    </row>
    <row r="3"/>
    <row r="4">
      <c r="A4" s="25" t="inlineStr">
        <is>
          <t>QUANTITATIVE</t>
        </is>
      </c>
      <c r="B4" s="25" t="n"/>
      <c r="C4" s="25" t="n"/>
      <c r="D4" s="25" t="n"/>
    </row>
    <row r="5"/>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3"/>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19"/>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5"/>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3"/>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8"/>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6"/>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5"/>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2"/>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8"/>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Q1 2020 Earnings Call</t>
        </is>
      </c>
    </row>
    <row r="2">
      <c r="A2" s="24" t="inlineStr">
        <is>
          <t>Date</t>
        </is>
      </c>
      <c r="B2" t="inlineStr">
        <is>
          <t>2020-05-12</t>
        </is>
      </c>
    </row>
    <row r="3"/>
    <row r="4">
      <c r="A4" s="25" t="inlineStr">
        <is>
          <t>QUANTITATIVE</t>
        </is>
      </c>
      <c r="B4" s="25" t="n"/>
      <c r="C4" s="25" t="n"/>
      <c r="D4" s="25" t="n"/>
    </row>
    <row r="5"/>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1"/>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0"/>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5"/>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c r="C30" t="inlineStr"/>
      <c r="D30" t="inlineStr"/>
    </row>
    <row r="31">
      <c r="A31" t="inlineStr">
        <is>
          <t>US days of inventory</t>
        </is>
      </c>
      <c r="B31" t="inlineStr">
        <is>
          <t>~130 days</t>
        </is>
      </c>
      <c r="C31" t="inlineStr"/>
      <c r="D31" t="inlineStr"/>
    </row>
    <row r="32"/>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0"/>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c r="C44" t="inlineStr"/>
      <c r="D44" t="inlineStr"/>
    </row>
    <row r="45"/>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1"/>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5"/>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Q2 2020 Earnings Call</t>
        </is>
      </c>
    </row>
    <row r="2">
      <c r="A2" s="24" t="inlineStr">
        <is>
          <t>Date</t>
        </is>
      </c>
      <c r="B2" t="inlineStr">
        <is>
          <t>2020-08-06</t>
        </is>
      </c>
    </row>
    <row r="3"/>
    <row r="4">
      <c r="A4" s="25" t="inlineStr">
        <is>
          <t>QUANTITATIVE</t>
        </is>
      </c>
      <c r="B4" s="25" t="n"/>
      <c r="C4" s="25" t="n"/>
      <c r="D4" s="25" t="n"/>
    </row>
    <row r="5"/>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1"/>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0"/>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7"/>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2"/>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7"/>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c r="C42" t="inlineStr"/>
    </row>
    <row r="43">
      <c r="A43" t="inlineStr">
        <is>
          <t>Health club/specialty channel % of US revenue</t>
        </is>
      </c>
      <c r="B43" t="inlineStr">
        <is>
          <t>~20-28%</t>
        </is>
      </c>
      <c r="C43" t="inlineStr"/>
    </row>
    <row r="44">
      <c r="A44" t="inlineStr">
        <is>
          <t>DSD metro market coverage</t>
        </is>
      </c>
      <c r="B44" t="inlineStr">
        <is>
          <t>~70%</t>
        </is>
      </c>
      <c r="C44" t="inlineStr"/>
    </row>
    <row r="45"/>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3"/>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59"/>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3"/>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LD Micro 500 Investor Conference</t>
        </is>
      </c>
    </row>
    <row r="2">
      <c r="A2" s="24" t="inlineStr">
        <is>
          <t>Date</t>
        </is>
      </c>
      <c r="B2" t="inlineStr">
        <is>
          <t>2020-09-02</t>
        </is>
      </c>
    </row>
    <row r="3"/>
    <row r="4">
      <c r="A4" s="25" t="inlineStr">
        <is>
          <t>QUANTITATIVE</t>
        </is>
      </c>
      <c r="B4" s="25" t="n"/>
      <c r="C4" s="25" t="n"/>
      <c r="D4" s="25" t="n"/>
    </row>
    <row r="5"/>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1"/>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6"/>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2"/>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6"/>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6"/>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1"/>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5"/>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Q3 2020 Earnings Call</t>
        </is>
      </c>
    </row>
    <row r="2">
      <c r="A2" s="24" t="inlineStr">
        <is>
          <t>Date</t>
        </is>
      </c>
      <c r="B2" t="inlineStr">
        <is>
          <t>2020-11-12</t>
        </is>
      </c>
    </row>
    <row r="3"/>
    <row r="4">
      <c r="A4" s="25" t="inlineStr">
        <is>
          <t>QUANTITATIVE</t>
        </is>
      </c>
      <c r="B4" s="25" t="n"/>
      <c r="C4" s="25" t="n"/>
      <c r="D4" s="25" t="n"/>
    </row>
    <row r="5"/>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2"/>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1"/>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7"/>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2"/>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c r="C36" t="inlineStr"/>
      <c r="D36" t="inlineStr"/>
    </row>
    <row r="37">
      <c r="A37" t="inlineStr">
        <is>
          <t>Func acquisition bonds paid off (Oct 30, now debt-free)</t>
        </is>
      </c>
      <c r="B37" t="inlineStr">
        <is>
          <t>~$10M</t>
        </is>
      </c>
      <c r="C37" t="inlineStr"/>
      <c r="D37" t="inlineStr"/>
    </row>
    <row r="38"/>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c r="C41" t="inlineStr"/>
    </row>
    <row r="42">
      <c r="A42" t="inlineStr">
        <is>
          <t>% of doors DSD-serviced</t>
        </is>
      </c>
      <c r="B42" t="inlineStr">
        <is>
          <t>~30%</t>
        </is>
      </c>
      <c r="C42" t="inlineStr"/>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6"/>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1"/>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0"/>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4"/>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UBS Global Consumer and Retail Virtual Conference</t>
        </is>
      </c>
    </row>
    <row r="2">
      <c r="A2" s="24" t="inlineStr">
        <is>
          <t>Date</t>
        </is>
      </c>
      <c r="B2" t="inlineStr">
        <is>
          <t>2021-03-09</t>
        </is>
      </c>
    </row>
    <row r="3"/>
    <row r="4">
      <c r="A4" s="25" t="inlineStr">
        <is>
          <t>QUANTITATIVE</t>
        </is>
      </c>
      <c r="B4" s="25" t="n"/>
      <c r="C4" s="25" t="n"/>
    </row>
    <row r="5"/>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6"/>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3"/>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8"/>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2"/>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Q4 &amp; Full-Year 2020 Earnings Call</t>
        </is>
      </c>
    </row>
    <row r="2">
      <c r="A2" s="24" t="inlineStr">
        <is>
          <t>Date</t>
        </is>
      </c>
      <c r="B2" t="inlineStr">
        <is>
          <t>2021-03-11</t>
        </is>
      </c>
    </row>
    <row r="3"/>
    <row r="4">
      <c r="A4" s="25" t="inlineStr">
        <is>
          <t>QUANTITATIVE</t>
        </is>
      </c>
      <c r="B4" s="25" t="n"/>
      <c r="C4" s="25" t="n"/>
      <c r="D4" s="25" t="n"/>
    </row>
    <row r="5"/>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3"/>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8"/>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3"/>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3"/>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7"/>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3"/>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4"/>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2"/>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7"/>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Q1 2021 Earnings Call</t>
        </is>
      </c>
    </row>
    <row r="2">
      <c r="A2" s="24" t="inlineStr">
        <is>
          <t>Date</t>
        </is>
      </c>
      <c r="B2" t="inlineStr">
        <is>
          <t>2021-05-13</t>
        </is>
      </c>
    </row>
    <row r="3"/>
    <row r="4">
      <c r="A4" s="25" t="inlineStr">
        <is>
          <t>QUANTITATIVE</t>
        </is>
      </c>
      <c r="B4" s="25" t="n"/>
      <c r="C4" s="25" t="n"/>
      <c r="D4" s="25" t="n"/>
    </row>
    <row r="5"/>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3"/>
    <row r="14">
      <c r="A14" t="inlineStr">
        <is>
          <t>Europe sequential growth (Q1 2021 vs Q4 2020 $6.9M)</t>
        </is>
      </c>
      <c r="B14" t="inlineStr">
        <is>
          <t>+50-51%</t>
        </is>
      </c>
    </row>
    <row r="15"/>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6"/>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0"/>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c r="C35" t="inlineStr"/>
      <c r="D35" t="inlineStr"/>
    </row>
    <row r="36">
      <c r="A36" t="inlineStr">
        <is>
          <t>Prepaid expenses increase</t>
        </is>
      </c>
      <c r="B36" t="inlineStr">
        <is>
          <t>$2.6M</t>
        </is>
      </c>
      <c r="C36" t="inlineStr"/>
      <c r="D36" t="inlineStr"/>
    </row>
    <row r="37">
      <c r="A37" t="inlineStr">
        <is>
          <t>Operating cash flow ex-inventory/prepaid</t>
        </is>
      </c>
      <c r="B37" t="inlineStr">
        <is>
          <t>+$8M+</t>
        </is>
      </c>
      <c r="C37" t="inlineStr"/>
      <c r="D37" t="inlineStr"/>
    </row>
    <row r="38">
      <c r="A38" t="inlineStr">
        <is>
          <t>Long-term debt</t>
        </is>
      </c>
      <c r="B38" t="inlineStr">
        <is>
          <t>None</t>
        </is>
      </c>
      <c r="C38" t="inlineStr"/>
      <c r="D38" t="inlineStr"/>
    </row>
    <row r="39"/>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0"/>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8"/>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6"/>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0"/>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Q2 2021 Earnings Call</t>
        </is>
      </c>
    </row>
    <row r="2">
      <c r="A2" s="24" t="inlineStr">
        <is>
          <t>Date</t>
        </is>
      </c>
      <c r="B2" t="inlineStr">
        <is>
          <t>2021-08-12</t>
        </is>
      </c>
    </row>
    <row r="3"/>
    <row r="4">
      <c r="A4" s="25" t="inlineStr">
        <is>
          <t>QUANTITATIVE</t>
        </is>
      </c>
      <c r="B4" s="25" t="n"/>
      <c r="C4" s="25" t="n"/>
      <c r="D4" s="25" t="n"/>
    </row>
    <row r="5"/>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3"/>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1"/>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8"/>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6"/>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1"/>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2"/>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7"/>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5"/>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2021 Annual Meeting of Shareholders</t>
        </is>
      </c>
    </row>
    <row r="2">
      <c r="A2" s="24" t="inlineStr">
        <is>
          <t>Date</t>
        </is>
      </c>
      <c r="B2" t="inlineStr">
        <is>
          <t>2021-08-19</t>
        </is>
      </c>
    </row>
    <row r="3"/>
    <row r="4">
      <c r="A4" s="25" t="inlineStr">
        <is>
          <t>QUANTITATIVE</t>
        </is>
      </c>
      <c r="B4" s="25" t="n"/>
      <c r="C4" s="25" t="n"/>
      <c r="D4" s="25" t="n"/>
    </row>
    <row r="5"/>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3"/>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8"/>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7"/>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7"/>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1"/>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6"/>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2"/>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Q3 2021 Earnings Call</t>
        </is>
      </c>
    </row>
    <row r="2">
      <c r="A2" s="24" t="inlineStr">
        <is>
          <t>Date</t>
        </is>
      </c>
      <c r="B2" t="inlineStr">
        <is>
          <t>2021-11-11</t>
        </is>
      </c>
    </row>
    <row r="3"/>
    <row r="4">
      <c r="A4" s="25" t="inlineStr">
        <is>
          <t>QUANTITATIVE</t>
        </is>
      </c>
      <c r="B4" s="25" t="n"/>
      <c r="C4" s="25" t="n"/>
      <c r="D4" s="25" t="n"/>
    </row>
    <row r="5"/>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3"/>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1"/>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8"/>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5"/>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1"/>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1"/>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5"/>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3"/>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Jefferies West Coast Consumer Conference</t>
        </is>
      </c>
    </row>
    <row r="2">
      <c r="A2" s="24" t="inlineStr">
        <is>
          <t>Date</t>
        </is>
      </c>
      <c r="B2" t="inlineStr">
        <is>
          <t>2021-11-17</t>
        </is>
      </c>
    </row>
    <row r="3"/>
    <row r="4">
      <c r="A4" s="25" t="inlineStr">
        <is>
          <t>QUANTITATIVE</t>
        </is>
      </c>
      <c r="B4" s="25" t="n"/>
      <c r="C4" s="25" t="n"/>
    </row>
    <row r="5"/>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5"/>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2"/>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8"/>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5"/>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Morgan Stanley Global Consumer &amp; Retail Conference 2021</t>
        </is>
      </c>
    </row>
    <row r="2">
      <c r="A2" s="24" t="inlineStr">
        <is>
          <t>Date</t>
        </is>
      </c>
      <c r="B2" t="inlineStr">
        <is>
          <t>2021-11-30</t>
        </is>
      </c>
    </row>
    <row r="3"/>
    <row r="4">
      <c r="A4" s="25" t="inlineStr">
        <is>
          <t>QUANTITATIVE</t>
        </is>
      </c>
      <c r="B4" s="25" t="n"/>
      <c r="C4" s="25" t="n"/>
    </row>
    <row r="5"/>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4"/>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1"/>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29"/>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5"/>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Q4 2021 Earnings Call</t>
        </is>
      </c>
    </row>
    <row r="2">
      <c r="A2" s="24" t="inlineStr">
        <is>
          <t>Date</t>
        </is>
      </c>
      <c r="B2" t="inlineStr">
        <is>
          <t>2022-03-01</t>
        </is>
      </c>
    </row>
    <row r="3"/>
    <row r="4">
      <c r="A4" s="25" t="inlineStr">
        <is>
          <t>QUANTITATIVE</t>
        </is>
      </c>
      <c r="B4" s="25" t="n"/>
      <c r="C4" s="25" t="n"/>
      <c r="D4" s="25" t="n"/>
    </row>
    <row r="5"/>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2"/>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6"/>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7"/>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4"/>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c r="C39" t="inlineStr"/>
      <c r="D39" t="inlineStr"/>
    </row>
    <row r="40">
      <c r="A40" t="inlineStr">
        <is>
          <t>Prepaid cans/raw materials in inventory build</t>
        </is>
      </c>
      <c r="B40" t="inlineStr">
        <is>
          <t>~$60-70M</t>
        </is>
      </c>
      <c r="C40" t="inlineStr"/>
      <c r="D40" t="inlineStr"/>
    </row>
    <row r="41"/>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c r="C45" t="inlineStr"/>
    </row>
    <row r="46">
      <c r="A46" t="inlineStr">
        <is>
          <t>US store count</t>
        </is>
      </c>
      <c r="B46" t="inlineStr">
        <is>
          <t>135,000+</t>
        </is>
      </c>
      <c r="C46" t="inlineStr">
        <is>
          <t>82,000</t>
        </is>
      </c>
    </row>
    <row r="47">
      <c r="A47" t="inlineStr">
        <is>
          <t>Convenience doors</t>
        </is>
      </c>
      <c r="B47" t="inlineStr">
        <is>
          <t>~60,000 (up 95%)</t>
        </is>
      </c>
      <c r="C47" t="inlineStr"/>
    </row>
    <row r="48">
      <c r="A48" t="inlineStr">
        <is>
          <t>Convenience channel ACV</t>
        </is>
      </c>
      <c r="B48" t="inlineStr">
        <is>
          <t>~44%</t>
        </is>
      </c>
      <c r="C48" t="inlineStr"/>
    </row>
    <row r="49">
      <c r="A49" t="inlineStr">
        <is>
          <t>Costco stores</t>
        </is>
      </c>
      <c r="B49" t="inlineStr">
        <is>
          <t>561 (Q4 revenue +1,100%)</t>
        </is>
      </c>
      <c r="C49" t="inlineStr"/>
    </row>
    <row r="50">
      <c r="A50" t="inlineStr">
        <is>
          <t>Circle K national contract</t>
        </is>
      </c>
      <c r="B50" t="inlineStr">
        <is>
          <t>~6,000 doors, ~4 flavors avg</t>
        </is>
      </c>
      <c r="C50" t="inlineStr"/>
    </row>
    <row r="51">
      <c r="A51" t="inlineStr">
        <is>
          <t>Order fill rate</t>
        </is>
      </c>
      <c r="B51" t="inlineStr">
        <is>
          <t>97% (Q4)</t>
        </is>
      </c>
      <c r="C51" t="inlineStr">
        <is>
          <t>80% (end Q1 2021)</t>
        </is>
      </c>
    </row>
    <row r="52">
      <c r="A52" t="inlineStr">
        <is>
          <t>Active co-packers</t>
        </is>
      </c>
      <c r="B52" t="inlineStr">
        <is>
          <t>13+</t>
        </is>
      </c>
      <c r="C52" t="inlineStr"/>
    </row>
    <row r="53"/>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2"/>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4"/>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0"/>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Q1 2022 Earnings Call</t>
        </is>
      </c>
    </row>
    <row r="2">
      <c r="A2" s="24" t="inlineStr">
        <is>
          <t>Date</t>
        </is>
      </c>
      <c r="B2" t="inlineStr">
        <is>
          <t>2022-05-10</t>
        </is>
      </c>
    </row>
    <row r="3"/>
    <row r="4">
      <c r="A4" s="25" t="inlineStr">
        <is>
          <t>QUANTITATIVE</t>
        </is>
      </c>
      <c r="B4" s="25" t="n"/>
      <c r="C4" s="25" t="n"/>
      <c r="D4" s="25" t="n"/>
    </row>
    <row r="5"/>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4"/>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1"/>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7"/>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4"/>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7"/>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4"/>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1"/>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Credit Suisse HALO Investment Summit</t>
        </is>
      </c>
    </row>
    <row r="2">
      <c r="A2" s="24" t="inlineStr">
        <is>
          <t>Date</t>
        </is>
      </c>
      <c r="B2" t="inlineStr">
        <is>
          <t>2022-05-25</t>
        </is>
      </c>
    </row>
    <row r="3"/>
    <row r="4">
      <c r="A4" s="25" t="inlineStr">
        <is>
          <t>QUANTITATIVE</t>
        </is>
      </c>
      <c r="B4" s="25" t="n"/>
      <c r="C4" s="25" t="n"/>
      <c r="D4" s="25" t="n"/>
    </row>
    <row r="5"/>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0"/>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5"/>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2"/>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8"/>
    <row r="29">
      <c r="A29" t="inlineStr">
        <is>
          <t>Balance Sheet</t>
        </is>
      </c>
      <c r="B29" t="inlineStr">
        <is>
          <t>Value</t>
        </is>
      </c>
      <c r="C29" t="inlineStr">
        <is>
          <t>Period</t>
        </is>
      </c>
    </row>
    <row r="30">
      <c r="A30" t="inlineStr">
        <is>
          <t>Capital on balance sheet</t>
        </is>
      </c>
      <c r="B30" t="inlineStr">
        <is>
          <t>$80M</t>
        </is>
      </c>
      <c r="C30" t="inlineStr">
        <is>
          <t>Oct 2021</t>
        </is>
      </c>
    </row>
    <row r="31"/>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0"/>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6"/>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2022 Annual General Meeting (Annual Meeting of Shareholders)</t>
        </is>
      </c>
    </row>
    <row r="2">
      <c r="A2" s="24" t="inlineStr">
        <is>
          <t>Date</t>
        </is>
      </c>
      <c r="B2" t="inlineStr">
        <is>
          <t>2022-06-02</t>
        </is>
      </c>
    </row>
    <row r="3"/>
    <row r="4">
      <c r="A4" s="25" t="inlineStr">
        <is>
          <t>QUANTITATIVE</t>
        </is>
      </c>
      <c r="B4" s="25" t="n"/>
      <c r="C4" s="25" t="n"/>
      <c r="D4" s="25" t="n"/>
    </row>
    <row r="5"/>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3"/>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4"/>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7"/>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4"/>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8"/>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4"/>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Evercore ISI Consumer &amp; Retail Conference</t>
        </is>
      </c>
    </row>
    <row r="2">
      <c r="A2" s="24" t="inlineStr">
        <is>
          <t>Date</t>
        </is>
      </c>
      <c r="B2" t="inlineStr">
        <is>
          <t>2022-06-07</t>
        </is>
      </c>
    </row>
    <row r="3"/>
    <row r="4">
      <c r="A4" s="25" t="inlineStr">
        <is>
          <t>QUANTITATIVE</t>
        </is>
      </c>
      <c r="B4" s="25" t="n"/>
      <c r="C4" s="25" t="n"/>
    </row>
    <row r="5"/>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1"/>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6"/>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2"/>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7"/>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1"/>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7"/>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3"/>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Stifel 2022 Cross Sector Insight Conference</t>
        </is>
      </c>
    </row>
    <row r="2">
      <c r="A2" s="24" t="inlineStr">
        <is>
          <t>Date</t>
        </is>
      </c>
      <c r="B2" t="inlineStr">
        <is>
          <t>2022-06-09</t>
        </is>
      </c>
    </row>
    <row r="3"/>
    <row r="4">
      <c r="A4" s="25" t="inlineStr">
        <is>
          <t>QUANTITATIVE</t>
        </is>
      </c>
      <c r="B4" s="25" t="n"/>
      <c r="C4" s="25" t="n"/>
      <c r="D4" s="25" t="n"/>
    </row>
    <row r="5"/>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4"/>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2"/>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6"/>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3"/>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39"/>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6"/>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Celsius Holdings / PepsiCo Distribution Partnership Conference Call ($550M PepsiCo Investment)</t>
        </is>
      </c>
    </row>
    <row r="2">
      <c r="A2" s="24" t="inlineStr">
        <is>
          <t>Date</t>
        </is>
      </c>
      <c r="B2" t="inlineStr">
        <is>
          <t>2022-08-01</t>
        </is>
      </c>
    </row>
    <row r="3"/>
    <row r="4">
      <c r="A4" s="25" t="inlineStr">
        <is>
          <t>QUANTITATIVE</t>
        </is>
      </c>
      <c r="B4" s="25" t="n"/>
      <c r="C4" s="25" t="n"/>
    </row>
    <row r="5"/>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3"/>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1"/>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0"/>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8"/>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Q2 2022 Earnings Call</t>
        </is>
      </c>
    </row>
    <row r="2">
      <c r="A2" s="24" t="inlineStr">
        <is>
          <t>Date</t>
        </is>
      </c>
      <c r="B2" t="inlineStr">
        <is>
          <t>2022-08-09</t>
        </is>
      </c>
    </row>
    <row r="3"/>
    <row r="4">
      <c r="A4" s="25" t="inlineStr">
        <is>
          <t>QUANTITATIVE</t>
        </is>
      </c>
      <c r="B4" s="25" t="n"/>
      <c r="C4" s="25" t="n"/>
      <c r="D4" s="25" t="n"/>
    </row>
    <row r="5"/>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4"/>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1"/>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6"/>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2"/>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7"/>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2"/>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8"/>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6"/>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Q3 2022 Earnings Call</t>
        </is>
      </c>
    </row>
    <row r="2">
      <c r="A2" s="24" t="inlineStr">
        <is>
          <t>Date</t>
        </is>
      </c>
      <c r="B2" t="inlineStr">
        <is>
          <t>2022-11-09</t>
        </is>
      </c>
    </row>
    <row r="3"/>
    <row r="4">
      <c r="A4" s="25" t="inlineStr">
        <is>
          <t>QUANTITATIVE</t>
        </is>
      </c>
      <c r="B4" s="25" t="n"/>
      <c r="C4" s="25" t="n"/>
      <c r="D4" s="25" t="n"/>
    </row>
    <row r="5"/>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4"/>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1"/>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3"/>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8"/>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7"/>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5"/>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0"/>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6"/>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4"/>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Q4 2022 / FY2022 Earnings Call</t>
        </is>
      </c>
    </row>
    <row r="2">
      <c r="A2" s="24" t="inlineStr">
        <is>
          <t>Date</t>
        </is>
      </c>
      <c r="B2" t="inlineStr">
        <is>
          <t>2023-03-01</t>
        </is>
      </c>
    </row>
    <row r="3"/>
    <row r="4">
      <c r="A4" s="25" t="inlineStr">
        <is>
          <t>QUANTITATIVE</t>
        </is>
      </c>
      <c r="B4" s="25" t="n"/>
      <c r="C4" s="25" t="n"/>
      <c r="D4" s="25" t="n"/>
    </row>
    <row r="5"/>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0"/>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6"/>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0"/>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4"/>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3"/>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0"/>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7"/>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1"/>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59"/>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79"/>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Celsius Holdings Q1 2023 Earnings Call</t>
        </is>
      </c>
    </row>
    <row r="2">
      <c r="A2" s="24" t="inlineStr">
        <is>
          <t>Date</t>
        </is>
      </c>
      <c r="B2" t="inlineStr">
        <is>
          <t>2023-05-09</t>
        </is>
      </c>
    </row>
    <row r="3"/>
    <row r="4">
      <c r="A4" s="25" t="inlineStr">
        <is>
          <t>QUANTITATIVE</t>
        </is>
      </c>
      <c r="B4" s="25" t="n"/>
      <c r="C4" s="25" t="n"/>
      <c r="D4" s="25" t="n"/>
    </row>
    <row r="5"/>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0"/>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5"/>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1"/>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8"/>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7"/>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3"/>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59"/>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Goldman Sachs Global Staples Forum</t>
        </is>
      </c>
    </row>
    <row r="2">
      <c r="A2" s="24" t="inlineStr">
        <is>
          <t>Date</t>
        </is>
      </c>
      <c r="B2" t="inlineStr">
        <is>
          <t>2023-05-16</t>
        </is>
      </c>
    </row>
    <row r="3"/>
    <row r="4">
      <c r="A4" s="25" t="inlineStr">
        <is>
          <t>QUANTITATIVE</t>
        </is>
      </c>
      <c r="B4" s="25" t="n"/>
      <c r="C4" s="25" t="n"/>
      <c r="D4" s="25" t="n"/>
    </row>
    <row r="5"/>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2"/>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8"/>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6"/>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4"/>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1"/>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Celsius Holdings 2023 Annual General Meeting</t>
        </is>
      </c>
    </row>
    <row r="2">
      <c r="A2" s="24" t="inlineStr">
        <is>
          <t>Date</t>
        </is>
      </c>
      <c r="B2" t="inlineStr">
        <is>
          <t>2023-06-01</t>
        </is>
      </c>
    </row>
    <row r="3"/>
    <row r="4">
      <c r="A4" s="25" t="inlineStr">
        <is>
          <t>QUANTITATIVE</t>
        </is>
      </c>
      <c r="B4" s="25" t="n"/>
      <c r="C4" s="25" t="n"/>
      <c r="D4" s="25" t="n"/>
    </row>
    <row r="5"/>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9"/>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8"/>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8"/>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8"/>
    <row r="39">
      <c r="A39" t="inlineStr">
        <is>
          <t>Guidance</t>
        </is>
      </c>
      <c r="B39" t="inlineStr">
        <is>
          <t>Value</t>
        </is>
      </c>
      <c r="C39" t="inlineStr">
        <is>
          <t>Period</t>
        </is>
      </c>
    </row>
    <row r="40">
      <c r="A40" t="inlineStr">
        <is>
          <t>(No quantitative forward-looking guidance provided)</t>
        </is>
      </c>
      <c r="B40" t="inlineStr">
        <is>
          <t>N/A</t>
        </is>
      </c>
      <c r="C40" t="inlineStr">
        <is>
          <t>N/A</t>
        </is>
      </c>
    </row>
    <row r="41"/>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7"/>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Stifel Cross Sector Insight Conference 2023</t>
        </is>
      </c>
    </row>
    <row r="2">
      <c r="A2" s="24" t="inlineStr">
        <is>
          <t>Date</t>
        </is>
      </c>
      <c r="B2" t="inlineStr">
        <is>
          <t>2023-06-06</t>
        </is>
      </c>
    </row>
    <row r="3"/>
    <row r="4">
      <c r="A4" s="25" t="inlineStr">
        <is>
          <t>QUANTITATIVE</t>
        </is>
      </c>
      <c r="B4" s="25" t="n"/>
      <c r="C4" s="25" t="n"/>
      <c r="D4" s="25" t="n"/>
    </row>
    <row r="5"/>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5"/>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1"/>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29"/>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4"/>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1"/>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Evercore ISI 3rd Annual Consumer and Retail Conference</t>
        </is>
      </c>
    </row>
    <row r="2">
      <c r="A2" s="24" t="inlineStr">
        <is>
          <t>Date</t>
        </is>
      </c>
      <c r="B2" t="inlineStr">
        <is>
          <t>2023-06-14</t>
        </is>
      </c>
    </row>
    <row r="3"/>
    <row r="4">
      <c r="A4" s="25" t="inlineStr">
        <is>
          <t>QUANTITATIVE</t>
        </is>
      </c>
      <c r="B4" s="25" t="n"/>
      <c r="C4" s="25" t="n"/>
    </row>
    <row r="5"/>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7"/>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4"/>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8"/>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5"/>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Q2 2023 Earnings Call</t>
        </is>
      </c>
    </row>
    <row r="2">
      <c r="A2" s="24" t="inlineStr">
        <is>
          <t>Date</t>
        </is>
      </c>
      <c r="B2" t="inlineStr">
        <is>
          <t>2023-08-08</t>
        </is>
      </c>
    </row>
    <row r="3"/>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9"/>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3"/>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1"/>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7"/>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3"/>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0"/>
    <row r="41">
      <c r="A41" t="inlineStr">
        <is>
          <t>Balance Sheet / Other</t>
        </is>
      </c>
      <c r="B41" t="inlineStr">
        <is>
          <t>Value</t>
        </is>
      </c>
      <c r="C41" t="inlineStr">
        <is>
          <t>Period</t>
        </is>
      </c>
      <c r="D41" t="inlineStr"/>
    </row>
    <row r="42">
      <c r="A42" t="inlineStr">
        <is>
          <t>Cash &amp; Cash Equivalents</t>
        </is>
      </c>
      <c r="B42" t="inlineStr">
        <is>
          <t>&gt;$680M</t>
        </is>
      </c>
      <c r="C42" t="inlineStr">
        <is>
          <t>Jun 30, 2023</t>
        </is>
      </c>
      <c r="D42" t="inlineStr"/>
    </row>
    <row r="43">
      <c r="A43" t="inlineStr">
        <is>
          <t>Net Working Capital</t>
        </is>
      </c>
      <c r="B43" t="inlineStr">
        <is>
          <t>&gt;$800M</t>
        </is>
      </c>
      <c r="C43" t="inlineStr">
        <is>
          <t>Jun 30, 2023</t>
        </is>
      </c>
      <c r="D43" t="inlineStr"/>
    </row>
    <row r="44">
      <c r="A44" t="inlineStr">
        <is>
          <t>Total Inventory</t>
        </is>
      </c>
      <c r="B44" t="inlineStr">
        <is>
          <t>~$150M (flat vs Q1)</t>
        </is>
      </c>
      <c r="C44" t="inlineStr">
        <is>
          <t>Jun 30, 2023</t>
        </is>
      </c>
      <c r="D44" t="inlineStr"/>
    </row>
    <row r="45">
      <c r="A45" t="inlineStr">
        <is>
          <t>Securities Class Action Settlement</t>
        </is>
      </c>
      <c r="B45" t="inlineStr">
        <is>
          <t>$7.9M cash payment</t>
        </is>
      </c>
      <c r="C45" t="inlineStr">
        <is>
          <t>Q2 2023 accrual</t>
        </is>
      </c>
      <c r="D45" t="inlineStr"/>
    </row>
    <row r="46">
      <c r="A46" t="inlineStr">
        <is>
          <t>Pepsi Revenue (% of total)</t>
        </is>
      </c>
      <c r="B46" t="inlineStr">
        <is>
          <t>~56.7%</t>
        </is>
      </c>
      <c r="C46" t="inlineStr">
        <is>
          <t>Q2 2023</t>
        </is>
      </c>
      <c r="D46" t="inlineStr"/>
    </row>
    <row r="47">
      <c r="A47" t="inlineStr">
        <is>
          <t>Foodservice (% of Pepsi revenue)</t>
        </is>
      </c>
      <c r="B47" t="inlineStr">
        <is>
          <t>~11%</t>
        </is>
      </c>
      <c r="C47" t="inlineStr">
        <is>
          <t>Q2 2023</t>
        </is>
      </c>
      <c r="D47" t="inlineStr"/>
    </row>
    <row r="48">
      <c r="A48" t="inlineStr">
        <is>
          <t>Shipping Rate</t>
        </is>
      </c>
      <c r="B48" t="inlineStr">
        <is>
          <t>95%+</t>
        </is>
      </c>
      <c r="C48" t="inlineStr">
        <is>
          <t>Q2 2023</t>
        </is>
      </c>
      <c r="D48" t="inlineStr"/>
    </row>
    <row r="49">
      <c r="A49" t="inlineStr">
        <is>
          <t>Co-Packer Count</t>
        </is>
      </c>
      <c r="B49" t="inlineStr">
        <is>
          <t>~17</t>
        </is>
      </c>
      <c r="C49" t="inlineStr">
        <is>
          <t>Q2 2023</t>
        </is>
      </c>
      <c r="D49" t="inlineStr"/>
    </row>
    <row r="50">
      <c r="A50" t="inlineStr">
        <is>
          <t>Celsius University Students Added</t>
        </is>
      </c>
      <c r="B50" t="inlineStr">
        <is>
          <t>170</t>
        </is>
      </c>
      <c r="C50" t="inlineStr">
        <is>
          <t>Q3 2023 deploy</t>
        </is>
      </c>
      <c r="D50" t="inlineStr"/>
    </row>
    <row r="51"/>
    <row r="52">
      <c r="A52" t="inlineStr">
        <is>
          <t>Category Contribution (trailing 52 wks)</t>
        </is>
      </c>
      <c r="B52" t="inlineStr">
        <is>
          <t>Value</t>
        </is>
      </c>
      <c r="C52" t="inlineStr"/>
      <c r="D52" t="inlineStr"/>
    </row>
    <row r="53">
      <c r="A53" t="inlineStr">
        <is>
          <t>Incremental Retail Sales (MULOC energy)</t>
        </is>
      </c>
      <c r="B53" t="inlineStr">
        <is>
          <t>&gt;$665M (23% of cat. growth)</t>
        </is>
      </c>
      <c r="C53" t="inlineStr"/>
      <c r="D53" t="inlineStr"/>
    </row>
    <row r="54">
      <c r="A54" t="inlineStr">
        <is>
          <t>Incremental Units</t>
        </is>
      </c>
      <c r="B54" t="inlineStr">
        <is>
          <t>$204M (35% of cat. growth)</t>
        </is>
      </c>
      <c r="C54" t="inlineStr"/>
      <c r="D54" t="inlineStr"/>
    </row>
    <row r="55"/>
    <row r="56">
      <c r="A56" t="inlineStr">
        <is>
          <t>Guidance</t>
        </is>
      </c>
      <c r="B56" t="inlineStr">
        <is>
          <t>Value</t>
        </is>
      </c>
      <c r="C56" t="inlineStr">
        <is>
          <t>Period</t>
        </is>
      </c>
      <c r="D56" t="inlineStr"/>
    </row>
    <row r="57">
      <c r="A57" t="inlineStr">
        <is>
          <t>Gross Margin (H2)</t>
        </is>
      </c>
      <c r="B57" t="inlineStr">
        <is>
          <t>Mid-to-high 40s / high-end of mid-40s</t>
        </is>
      </c>
      <c r="C57" t="inlineStr">
        <is>
          <t>2023 H2</t>
        </is>
      </c>
      <c r="D57" t="inlineStr"/>
    </row>
    <row r="58">
      <c r="A58" t="inlineStr">
        <is>
          <t>Sales &amp; Marketing (% of sales)</t>
        </is>
      </c>
      <c r="B58" t="inlineStr">
        <is>
          <t>Close to 22%</t>
        </is>
      </c>
      <c r="C58" t="inlineStr">
        <is>
          <t>2023 H2</t>
        </is>
      </c>
      <c r="D58" t="inlineStr"/>
    </row>
    <row r="59">
      <c r="A59" t="inlineStr">
        <is>
          <t>Promotional Allowance (% of gross sales)</t>
        </is>
      </c>
      <c r="B59" t="inlineStr">
        <is>
          <t>~20%, up a bit in Q3</t>
        </is>
      </c>
      <c r="C59" t="inlineStr">
        <is>
          <t>2023 Q3</t>
        </is>
      </c>
      <c r="D59" t="inlineStr"/>
    </row>
    <row r="60">
      <c r="A60" t="inlineStr">
        <is>
          <t>International Revenue Mix (size of prize)</t>
        </is>
      </c>
      <c r="B60" t="inlineStr">
        <is>
          <t>~35%-40% (competitor proxy)</t>
        </is>
      </c>
      <c r="C60" t="inlineStr">
        <is>
          <t>Long-term 3-5 yrs</t>
        </is>
      </c>
      <c r="D60" t="inlineStr"/>
    </row>
    <row r="61">
      <c r="A61" t="inlineStr">
        <is>
          <t>International Launch Timing</t>
        </is>
      </c>
      <c r="B61" t="inlineStr">
        <is>
          <t>Early 2024</t>
        </is>
      </c>
      <c r="C61" t="inlineStr">
        <is>
          <t>2024-2026</t>
        </is>
      </c>
      <c r="D61" t="inlineStr"/>
    </row>
    <row r="62"/>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1"/>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Barclays Global Consumer Staples Conference</t>
        </is>
      </c>
    </row>
    <row r="2">
      <c r="A2" s="24" t="inlineStr">
        <is>
          <t>Date</t>
        </is>
      </c>
      <c r="B2" t="inlineStr">
        <is>
          <t>2023-09-07</t>
        </is>
      </c>
    </row>
    <row r="3"/>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9"/>
    <row r="10">
      <c r="A10" t="inlineStr">
        <is>
          <t>Market Share by Geography</t>
        </is>
      </c>
      <c r="B10" t="inlineStr">
        <is>
          <t>Current</t>
        </is>
      </c>
      <c r="C10" t="inlineStr">
        <is>
          <t>Prior</t>
        </is>
      </c>
      <c r="D10" t="inlineStr"/>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c r="D12" t="inlineStr"/>
    </row>
    <row r="13"/>
    <row r="14">
      <c r="A14" t="inlineStr">
        <is>
          <t>Consumer / Incrementality</t>
        </is>
      </c>
      <c r="B14" t="inlineStr">
        <is>
          <t>Value</t>
        </is>
      </c>
      <c r="C14" t="inlineStr"/>
      <c r="D14" t="inlineStr"/>
    </row>
    <row r="15">
      <c r="A15" t="inlineStr">
        <is>
          <t>New-to-Category Consumption</t>
        </is>
      </c>
      <c r="B15" t="inlineStr">
        <is>
          <t>44% (per numerator; also cited 34%)</t>
        </is>
      </c>
      <c r="C15" t="inlineStr"/>
      <c r="D15" t="inlineStr"/>
    </row>
    <row r="16">
      <c r="A16" t="inlineStr">
        <is>
          <t>User Intensification Consumption</t>
        </is>
      </c>
      <c r="B16" t="inlineStr">
        <is>
          <t>~40%</t>
        </is>
      </c>
      <c r="C16" t="inlineStr"/>
      <c r="D16" t="inlineStr"/>
    </row>
    <row r="17">
      <c r="A17" t="inlineStr">
        <is>
          <t>Consumer Gender Mix (convenience)</t>
        </is>
      </c>
      <c r="B17" t="inlineStr">
        <is>
          <t>~60% male / 40% female (vs ~70/30 norm)</t>
        </is>
      </c>
      <c r="C17" t="inlineStr"/>
      <c r="D17" t="inlineStr"/>
    </row>
    <row r="18"/>
    <row r="19">
      <c r="A19" t="inlineStr">
        <is>
          <t>Channel Run Rate</t>
        </is>
      </c>
      <c r="B19" t="inlineStr">
        <is>
          <t>Value</t>
        </is>
      </c>
      <c r="C19" t="inlineStr"/>
      <c r="D19" t="inlineStr"/>
    </row>
    <row r="20">
      <c r="A20" t="inlineStr">
        <is>
          <t>Club / Costco / Amazon Run Rate</t>
        </is>
      </c>
      <c r="B20" t="inlineStr">
        <is>
          <t>~$250M</t>
        </is>
      </c>
      <c r="C20" t="inlineStr"/>
      <c r="D20" t="inlineStr"/>
    </row>
    <row r="21">
      <c r="A21" t="inlineStr">
        <is>
          <t>Amazon Sales Growth (Q2)</t>
        </is>
      </c>
      <c r="B21" t="inlineStr">
        <is>
          <t>Up over 100% (#2 brand)</t>
        </is>
      </c>
      <c r="C21" t="inlineStr"/>
      <c r="D21" t="inlineStr"/>
    </row>
    <row r="22">
      <c r="A22" t="inlineStr">
        <is>
          <t>Foodservice Share of Pepsi Sales</t>
        </is>
      </c>
      <c r="B22" t="inlineStr">
        <is>
          <t>~11%</t>
        </is>
      </c>
      <c r="C22" t="inlineStr"/>
      <c r="D22" t="inlineStr"/>
    </row>
    <row r="23"/>
    <row r="24">
      <c r="A24" t="inlineStr">
        <is>
          <t>Profitability (Q2 2023 referenced)</t>
        </is>
      </c>
      <c r="B24" t="inlineStr">
        <is>
          <t>Value</t>
        </is>
      </c>
      <c r="C24" t="inlineStr">
        <is>
          <t>Prior/Preferred</t>
        </is>
      </c>
      <c r="D24" t="inlineStr"/>
    </row>
    <row r="25">
      <c r="A25" t="inlineStr">
        <is>
          <t>Q2 Adjusted EBITDA Margin</t>
        </is>
      </c>
      <c r="B25" t="inlineStr">
        <is>
          <t>Just under 24%</t>
        </is>
      </c>
      <c r="C25" t="inlineStr">
        <is>
          <t>n/d</t>
        </is>
      </c>
      <c r="D25" t="inlineStr"/>
    </row>
    <row r="26">
      <c r="A26" t="inlineStr">
        <is>
          <t>Q2 Gross Margin Increase</t>
        </is>
      </c>
      <c r="B26" t="inlineStr">
        <is>
          <t>+1,000 bps</t>
        </is>
      </c>
      <c r="C26" t="inlineStr">
        <is>
          <t>n/d</t>
        </is>
      </c>
      <c r="D26" t="inlineStr"/>
    </row>
    <row r="27">
      <c r="A27" t="inlineStr">
        <is>
          <t>Q2 Sales &amp; Marketing (% of revenue)</t>
        </is>
      </c>
      <c r="B27" t="inlineStr">
        <is>
          <t>A little over 19%</t>
        </is>
      </c>
      <c r="C27" t="inlineStr">
        <is>
          <t>21%-22% preferred</t>
        </is>
      </c>
      <c r="D27" t="inlineStr"/>
    </row>
    <row r="28"/>
    <row r="29">
      <c r="A29" t="inlineStr">
        <is>
          <t>Operations</t>
        </is>
      </c>
      <c r="B29" t="inlineStr">
        <is>
          <t>Value</t>
        </is>
      </c>
      <c r="C29" t="inlineStr"/>
      <c r="D29" t="inlineStr"/>
    </row>
    <row r="30">
      <c r="A30" t="inlineStr">
        <is>
          <t>Co-Packers</t>
        </is>
      </c>
      <c r="B30" t="inlineStr">
        <is>
          <t>17 (~22 with flex capacity)</t>
        </is>
      </c>
      <c r="C30" t="inlineStr"/>
      <c r="D30" t="inlineStr"/>
    </row>
    <row r="31">
      <c r="A31" t="inlineStr">
        <is>
          <t>Celsius University Graduates</t>
        </is>
      </c>
      <c r="B31" t="inlineStr">
        <is>
          <t>~170 students</t>
        </is>
      </c>
      <c r="C31" t="inlineStr"/>
      <c r="D31" t="inlineStr"/>
    </row>
    <row r="32">
      <c r="A32" t="inlineStr">
        <is>
          <t>Energy Category Growth Rate</t>
        </is>
      </c>
      <c r="B32" t="inlineStr">
        <is>
          <t>10%-15%</t>
        </is>
      </c>
      <c r="C32" t="inlineStr"/>
      <c r="D32" t="inlineStr"/>
    </row>
    <row r="33"/>
    <row r="34">
      <c r="A34" t="inlineStr">
        <is>
          <t>Guidance</t>
        </is>
      </c>
      <c r="B34" t="inlineStr">
        <is>
          <t>Value</t>
        </is>
      </c>
      <c r="C34" t="inlineStr">
        <is>
          <t>Period</t>
        </is>
      </c>
      <c r="D34" t="inlineStr"/>
    </row>
    <row r="35">
      <c r="A35" t="inlineStr">
        <is>
          <t>Sales &amp; Marketing (% of revenue)</t>
        </is>
      </c>
      <c r="B35" t="inlineStr">
        <is>
          <t>~20%-22% (possibly 20-21%)</t>
        </is>
      </c>
      <c r="C35" t="inlineStr">
        <is>
          <t>FY2024</t>
        </is>
      </c>
      <c r="D35" t="inlineStr"/>
    </row>
    <row r="36">
      <c r="A36" t="inlineStr">
        <is>
          <t>Long-Term Operating Margin</t>
        </is>
      </c>
      <c r="B36" t="inlineStr">
        <is>
          <t>Close to / similar to peer comp</t>
        </is>
      </c>
      <c r="C36" t="inlineStr">
        <is>
          <t>Long-term</t>
        </is>
      </c>
      <c r="D36" t="inlineStr"/>
    </row>
    <row r="37">
      <c r="A37" t="inlineStr">
        <is>
          <t>International Expansion</t>
        </is>
      </c>
      <c r="B37" t="inlineStr">
        <is>
          <t>Two countries (Canada priority)</t>
        </is>
      </c>
      <c r="C37" t="inlineStr">
        <is>
          <t>FY2024</t>
        </is>
      </c>
      <c r="D37" t="inlineStr"/>
    </row>
    <row r="38">
      <c r="A38" t="inlineStr">
        <is>
          <t>International Cadence</t>
        </is>
      </c>
      <c r="B38" t="inlineStr">
        <is>
          <t>Larger rollout in 2025</t>
        </is>
      </c>
      <c r="C38" t="inlineStr">
        <is>
          <t>2025</t>
        </is>
      </c>
      <c r="D38" t="inlineStr"/>
    </row>
    <row r="39"/>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59"/>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Piper Sandler Growth Frontiers Conference</t>
        </is>
      </c>
    </row>
    <row r="2">
      <c r="A2" s="24" t="inlineStr">
        <is>
          <t>Date</t>
        </is>
      </c>
      <c r="B2" t="inlineStr">
        <is>
          <t>2023-09-13</t>
        </is>
      </c>
    </row>
    <row r="3"/>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9"/>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4"/>
    <row r="15">
      <c r="A15" t="inlineStr">
        <is>
          <t>Market Share</t>
        </is>
      </c>
      <c r="B15" t="inlineStr">
        <is>
          <t>Current</t>
        </is>
      </c>
      <c r="C15" t="inlineStr">
        <is>
          <t>Prior</t>
        </is>
      </c>
      <c r="D15" t="inlineStr"/>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c r="D19" t="inlineStr"/>
    </row>
    <row r="20">
      <c r="A20" t="inlineStr">
        <is>
          <t>Finland Share</t>
        </is>
      </c>
      <c r="B20" t="inlineStr">
        <is>
          <t>High single-digit</t>
        </is>
      </c>
      <c r="C20" t="inlineStr">
        <is>
          <t>n/d</t>
        </is>
      </c>
      <c r="D20" t="inlineStr"/>
    </row>
    <row r="21"/>
    <row r="22">
      <c r="A22" t="inlineStr">
        <is>
          <t>Consumer / Portfolio</t>
        </is>
      </c>
      <c r="B22" t="inlineStr">
        <is>
          <t>Value</t>
        </is>
      </c>
      <c r="C22" t="inlineStr"/>
      <c r="D22" t="inlineStr"/>
    </row>
    <row r="23">
      <c r="A23" t="inlineStr">
        <is>
          <t>New-to-Category Consumption</t>
        </is>
      </c>
      <c r="B23" t="inlineStr">
        <is>
          <t>~44% (per Mintel)</t>
        </is>
      </c>
      <c r="C23" t="inlineStr"/>
      <c r="D23" t="inlineStr"/>
    </row>
    <row r="24">
      <c r="A24" t="inlineStr">
        <is>
          <t>On-The-Go Stick / Powder Business</t>
        </is>
      </c>
      <c r="B24" t="inlineStr">
        <is>
          <t>Over $100M, growing rapidly</t>
        </is>
      </c>
      <c r="C24" t="inlineStr"/>
      <c r="D24" t="inlineStr"/>
    </row>
    <row r="25">
      <c r="A25" t="inlineStr">
        <is>
          <t>PepsiCo College Population Reach</t>
        </is>
      </c>
      <c r="B25" t="inlineStr">
        <is>
          <t>~60% of college population</t>
        </is>
      </c>
      <c r="C25" t="inlineStr"/>
      <c r="D25" t="inlineStr"/>
    </row>
    <row r="26"/>
    <row r="27">
      <c r="A27" t="inlineStr">
        <is>
          <t>Guidance / Forward</t>
        </is>
      </c>
      <c r="B27" t="inlineStr">
        <is>
          <t>Value</t>
        </is>
      </c>
      <c r="C27" t="inlineStr">
        <is>
          <t>Period</t>
        </is>
      </c>
      <c r="D27" t="inlineStr"/>
    </row>
    <row r="28">
      <c r="A28" t="inlineStr">
        <is>
          <t>MULOC Energy Market Share</t>
        </is>
      </c>
      <c r="B28" t="inlineStr">
        <is>
          <t>Trajectory to a 10 share</t>
        </is>
      </c>
      <c r="C28" t="inlineStr">
        <is>
          <t>Near-term</t>
        </is>
      </c>
      <c r="D28" t="inlineStr"/>
    </row>
    <row r="29">
      <c r="A29" t="inlineStr">
        <is>
          <t>Within-Store Distribution</t>
        </is>
      </c>
      <c r="B29" t="inlineStr">
        <is>
          <t>1-3 shelves per line via 2024 resets</t>
        </is>
      </c>
      <c r="C29" t="inlineStr">
        <is>
          <t>FY2024</t>
        </is>
      </c>
      <c r="D29" t="inlineStr"/>
    </row>
    <row r="30">
      <c r="A30" t="inlineStr">
        <is>
          <t>International Expansion</t>
        </is>
      </c>
      <c r="B30" t="inlineStr">
        <is>
          <t>2024 blueprint, 2025-2026 scale</t>
        </is>
      </c>
      <c r="C30" t="inlineStr">
        <is>
          <t>2024-2026</t>
        </is>
      </c>
      <c r="D30" t="inlineStr"/>
    </row>
    <row r="31">
      <c r="A31" t="inlineStr">
        <is>
          <t>Q3 Margin</t>
        </is>
      </c>
      <c r="B31" t="inlineStr">
        <is>
          <t>Sequential pullback from elevated promo/marketing spend</t>
        </is>
      </c>
      <c r="C31" t="inlineStr">
        <is>
          <t>2023 Q3</t>
        </is>
      </c>
      <c r="D31" t="inlineStr"/>
    </row>
    <row r="32">
      <c r="A32" t="inlineStr">
        <is>
          <t>EBITDA Margin Aspiration</t>
        </is>
      </c>
      <c r="B32" t="inlineStr">
        <is>
          <t>Monster historical margins as 'gold standard'</t>
        </is>
      </c>
      <c r="C32" t="inlineStr">
        <is>
          <t>Long-term</t>
        </is>
      </c>
      <c r="D32" t="inlineStr"/>
    </row>
    <row r="33"/>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4"/>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Q3 2023 Earnings Call</t>
        </is>
      </c>
    </row>
    <row r="2">
      <c r="A2" s="24" t="inlineStr">
        <is>
          <t>Date</t>
        </is>
      </c>
      <c r="B2" t="inlineStr">
        <is>
          <t>2023-11-07</t>
        </is>
      </c>
    </row>
    <row r="3"/>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0"/>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4"/>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2"/>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29"/>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4"/>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2"/>
    <row r="43">
      <c r="A43" t="inlineStr">
        <is>
          <t>Category Contribution (trailing 52 wks)</t>
        </is>
      </c>
      <c r="B43" t="inlineStr">
        <is>
          <t>Value</t>
        </is>
      </c>
      <c r="C43" t="inlineStr"/>
      <c r="D43" t="inlineStr"/>
    </row>
    <row r="44">
      <c r="A44" t="inlineStr">
        <is>
          <t>Incremental Category Dollar Growth</t>
        </is>
      </c>
      <c r="B44" t="inlineStr">
        <is>
          <t>~$950M (28% of cat. growth, +144%)</t>
        </is>
      </c>
      <c r="C44" t="inlineStr"/>
      <c r="D44" t="inlineStr"/>
    </row>
    <row r="45">
      <c r="A45" t="inlineStr">
        <is>
          <t>Incremental Category Unit Growth</t>
        </is>
      </c>
      <c r="B45" t="inlineStr">
        <is>
          <t>289.2M units (39% of cat. growth, +114%)</t>
        </is>
      </c>
      <c r="C45" t="inlineStr"/>
      <c r="D45" t="inlineStr"/>
    </row>
    <row r="46"/>
    <row r="47">
      <c r="A47" t="inlineStr">
        <is>
          <t>Balance Sheet / Other</t>
        </is>
      </c>
      <c r="B47" t="inlineStr">
        <is>
          <t>Value</t>
        </is>
      </c>
      <c r="C47" t="inlineStr">
        <is>
          <t>Period</t>
        </is>
      </c>
      <c r="D47" t="inlineStr"/>
    </row>
    <row r="48">
      <c r="A48" t="inlineStr">
        <is>
          <t>Cash &amp; Cash Equivalents</t>
        </is>
      </c>
      <c r="B48" t="inlineStr">
        <is>
          <t>&gt;$760M</t>
        </is>
      </c>
      <c r="C48" t="inlineStr">
        <is>
          <t>Sep 30, 2023</t>
        </is>
      </c>
      <c r="D48" t="inlineStr"/>
    </row>
    <row r="49">
      <c r="A49" t="inlineStr">
        <is>
          <t>Net Working Capital</t>
        </is>
      </c>
      <c r="B49" t="inlineStr">
        <is>
          <t>&gt;$879M</t>
        </is>
      </c>
      <c r="C49" t="inlineStr">
        <is>
          <t>Sep 30, 2023</t>
        </is>
      </c>
      <c r="D49" t="inlineStr"/>
    </row>
    <row r="50">
      <c r="A50" t="inlineStr">
        <is>
          <t>Total Inventory</t>
        </is>
      </c>
      <c r="B50" t="inlineStr">
        <is>
          <t>$199M (up ~$46M vs Q2)</t>
        </is>
      </c>
      <c r="C50" t="inlineStr">
        <is>
          <t>Sep 30, 2023</t>
        </is>
      </c>
      <c r="D50" t="inlineStr"/>
    </row>
    <row r="51">
      <c r="A51" t="inlineStr">
        <is>
          <t>New Employees Added</t>
        </is>
      </c>
      <c r="B51" t="inlineStr">
        <is>
          <t>200+ full/part-time</t>
        </is>
      </c>
      <c r="C51" t="inlineStr">
        <is>
          <t>Q3 2023</t>
        </is>
      </c>
      <c r="D51" t="inlineStr"/>
    </row>
    <row r="52">
      <c r="A52" t="inlineStr">
        <is>
          <t>Inventory/Promo/SKU-Mix Impact (Q2 to Q3)</t>
        </is>
      </c>
      <c r="B52" t="inlineStr">
        <is>
          <t>~$20M</t>
        </is>
      </c>
      <c r="C52" t="inlineStr">
        <is>
          <t>Q3 2023 sequential</t>
        </is>
      </c>
      <c r="D52" t="inlineStr"/>
    </row>
    <row r="53">
      <c r="A53" t="inlineStr">
        <is>
          <t>Q3 2023 Distributor Pipe Fill</t>
        </is>
      </c>
      <c r="B53" t="inlineStr">
        <is>
          <t>~$10M-$15M</t>
        </is>
      </c>
      <c r="C53" t="inlineStr">
        <is>
          <t>Q3 2023</t>
        </is>
      </c>
      <c r="D53" t="inlineStr"/>
    </row>
    <row r="54">
      <c r="A54" t="inlineStr">
        <is>
          <t>Three-for-One Forward Stock Split</t>
        </is>
      </c>
      <c r="B54" t="inlineStr">
        <is>
          <t>Effective Nov 15, 2023</t>
        </is>
      </c>
      <c r="C54" t="inlineStr"/>
      <c r="D54" t="inlineStr"/>
    </row>
    <row r="55"/>
    <row r="56">
      <c r="A56" t="inlineStr">
        <is>
          <t>Guidance</t>
        </is>
      </c>
      <c r="B56" t="inlineStr">
        <is>
          <t>Value</t>
        </is>
      </c>
      <c r="C56" t="inlineStr">
        <is>
          <t>Period</t>
        </is>
      </c>
      <c r="D56" t="inlineStr"/>
    </row>
    <row r="57">
      <c r="A57" t="inlineStr">
        <is>
          <t>Q4 Gross Margin</t>
        </is>
      </c>
      <c r="B57" t="inlineStr">
        <is>
          <t>Consistent with Q2 and full-year profile</t>
        </is>
      </c>
      <c r="C57" t="inlineStr">
        <is>
          <t>2023 Q4</t>
        </is>
      </c>
      <c r="D57" t="inlineStr"/>
    </row>
    <row r="58">
      <c r="A58" t="inlineStr">
        <is>
          <t>G&amp;A Expense (% of sales)</t>
        </is>
      </c>
      <c r="B58" t="inlineStr">
        <is>
          <t>7%-8%</t>
        </is>
      </c>
      <c r="C58" t="inlineStr">
        <is>
          <t>FY2024</t>
        </is>
      </c>
      <c r="D58" t="inlineStr"/>
    </row>
    <row r="59">
      <c r="A59" t="inlineStr">
        <is>
          <t>Drill-Deep Markets</t>
        </is>
      </c>
      <c r="B59" t="inlineStr">
        <is>
          <t>23 expanding to over 30</t>
        </is>
      </c>
      <c r="C59" t="inlineStr">
        <is>
          <t>FY2024</t>
        </is>
      </c>
      <c r="D59" t="inlineStr"/>
    </row>
    <row r="60">
      <c r="A60" t="inlineStr">
        <is>
          <t>Celsius Branded Cooler Placement</t>
        </is>
      </c>
      <c r="B60" t="inlineStr">
        <is>
          <t>~15,000 coolers (working toward)</t>
        </is>
      </c>
      <c r="C60" t="inlineStr">
        <is>
          <t>FY2023</t>
        </is>
      </c>
      <c r="D60" t="inlineStr"/>
    </row>
    <row r="61">
      <c r="A61" t="inlineStr">
        <is>
          <t>Canada Launch</t>
        </is>
      </c>
      <c r="B61" t="inlineStr">
        <is>
          <t>Q1 2024 (inconsequential 2024 impact)</t>
        </is>
      </c>
      <c r="C61" t="inlineStr">
        <is>
          <t>Q1 2024</t>
        </is>
      </c>
      <c r="D61" t="inlineStr"/>
    </row>
    <row r="62">
      <c r="A62" t="inlineStr">
        <is>
          <t>Q4 Outlook</t>
        </is>
      </c>
      <c r="B62" t="inlineStr">
        <is>
          <t>Seasonal pullback + possible distributor destock</t>
        </is>
      </c>
      <c r="C62" t="inlineStr">
        <is>
          <t>2023 Q4</t>
        </is>
      </c>
      <c r="D62" t="inlineStr"/>
    </row>
    <row r="63"/>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6"/>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Stephens Annual Investment Conference</t>
        </is>
      </c>
    </row>
    <row r="2">
      <c r="A2" s="24" t="inlineStr">
        <is>
          <t>Date</t>
        </is>
      </c>
      <c r="B2" t="inlineStr">
        <is>
          <t>2023-11-15</t>
        </is>
      </c>
    </row>
    <row r="3"/>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0"/>
    <row r="11">
      <c r="A11" t="inlineStr">
        <is>
          <t>Market Share / Consumption</t>
        </is>
      </c>
      <c r="B11" t="inlineStr">
        <is>
          <t>Value</t>
        </is>
      </c>
      <c r="C11" t="inlineStr">
        <is>
          <t>Prior</t>
        </is>
      </c>
      <c r="D11" t="inlineStr"/>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c r="D14" t="inlineStr"/>
    </row>
    <row r="15">
      <c r="A15" t="inlineStr">
        <is>
          <t>User Intensification Consumption</t>
        </is>
      </c>
      <c r="B15" t="inlineStr">
        <is>
          <t>~40%</t>
        </is>
      </c>
      <c r="C15" t="inlineStr">
        <is>
          <t>n/a</t>
        </is>
      </c>
      <c r="D15" t="inlineStr"/>
    </row>
    <row r="16">
      <c r="A16" t="inlineStr">
        <is>
          <t>Incremental Consumption Mix</t>
        </is>
      </c>
      <c r="B16" t="inlineStr">
        <is>
          <t>Over 80%</t>
        </is>
      </c>
      <c r="C16" t="inlineStr">
        <is>
          <t>n/a</t>
        </is>
      </c>
      <c r="D16" t="inlineStr"/>
    </row>
    <row r="17"/>
    <row r="18">
      <c r="A18" t="inlineStr">
        <is>
          <t>Profitability (Q3 2023)</t>
        </is>
      </c>
      <c r="B18" t="inlineStr">
        <is>
          <t>Value</t>
        </is>
      </c>
      <c r="C18" t="inlineStr">
        <is>
          <t>Target</t>
        </is>
      </c>
      <c r="D18" t="inlineStr"/>
    </row>
    <row r="19">
      <c r="A19" t="inlineStr">
        <is>
          <t>Gross Margin (Q3 2023)</t>
        </is>
      </c>
      <c r="B19" t="inlineStr">
        <is>
          <t>Just over 50% (~49% normalized)</t>
        </is>
      </c>
      <c r="C19" t="inlineStr">
        <is>
          <t>~55% aspirational</t>
        </is>
      </c>
      <c r="D19" t="inlineStr"/>
    </row>
    <row r="20">
      <c r="A20" t="inlineStr">
        <is>
          <t>EBITDA Margin (Q3 2023)</t>
        </is>
      </c>
      <c r="B20" t="inlineStr">
        <is>
          <t>~27%</t>
        </is>
      </c>
      <c r="C20" t="inlineStr">
        <is>
          <t>30%-35% target</t>
        </is>
      </c>
      <c r="D20" t="inlineStr"/>
    </row>
    <row r="21">
      <c r="A21" t="inlineStr">
        <is>
          <t>Sales &amp; Marketing (% of revenue)</t>
        </is>
      </c>
      <c r="B21" t="inlineStr">
        <is>
          <t>~19-22%</t>
        </is>
      </c>
      <c r="C21" t="inlineStr">
        <is>
          <t>n/a</t>
        </is>
      </c>
      <c r="D21" t="inlineStr"/>
    </row>
    <row r="22"/>
    <row r="23">
      <c r="A23" t="inlineStr">
        <is>
          <t>Operations / Balance Sheet</t>
        </is>
      </c>
      <c r="B23" t="inlineStr">
        <is>
          <t>Value</t>
        </is>
      </c>
      <c r="C23" t="inlineStr"/>
      <c r="D23" t="inlineStr"/>
    </row>
    <row r="24">
      <c r="A24" t="inlineStr">
        <is>
          <t>Co-Packers</t>
        </is>
      </c>
      <c r="B24" t="inlineStr">
        <is>
          <t>~13 (6-7 predominant)</t>
        </is>
      </c>
      <c r="C24" t="inlineStr"/>
      <c r="D24" t="inlineStr"/>
    </row>
    <row r="25">
      <c r="A25" t="inlineStr">
        <is>
          <t>Cans Sold (FY2023 est.)</t>
        </is>
      </c>
      <c r="B25" t="inlineStr">
        <is>
          <t>~2 billion</t>
        </is>
      </c>
      <c r="C25" t="inlineStr"/>
      <c r="D25" t="inlineStr"/>
    </row>
    <row r="26">
      <c r="A26" t="inlineStr">
        <is>
          <t>Branded Coolers Placed (2023 goal)</t>
        </is>
      </c>
      <c r="B26" t="inlineStr">
        <is>
          <t>~20,000</t>
        </is>
      </c>
      <c r="C26" t="inlineStr"/>
      <c r="D26" t="inlineStr"/>
    </row>
    <row r="27">
      <c r="A27" t="inlineStr">
        <is>
          <t>Cash Balance</t>
        </is>
      </c>
      <c r="B27" t="inlineStr">
        <is>
          <t>~$750M</t>
        </is>
      </c>
      <c r="C27" t="inlineStr"/>
      <c r="D27" t="inlineStr"/>
    </row>
    <row r="28">
      <c r="A28" t="inlineStr">
        <is>
          <t>Untracked Run Rate (Costco + Amazon)</t>
        </is>
      </c>
      <c r="B28" t="inlineStr">
        <is>
          <t>~$250M (~$500M retail)</t>
        </is>
      </c>
      <c r="C28" t="inlineStr"/>
      <c r="D28" t="inlineStr"/>
    </row>
    <row r="29">
      <c r="A29" t="inlineStr">
        <is>
          <t>PepsiCo Ownership Stake</t>
        </is>
      </c>
      <c r="B29" t="inlineStr">
        <is>
          <t>8.5%</t>
        </is>
      </c>
      <c r="C29" t="inlineStr"/>
      <c r="D29" t="inlineStr"/>
    </row>
    <row r="30">
      <c r="A30" t="inlineStr">
        <is>
          <t>Promotional Weeks/Year (category)</t>
        </is>
      </c>
      <c r="B30" t="inlineStr">
        <is>
          <t>~25 weeks</t>
        </is>
      </c>
      <c r="C30" t="inlineStr"/>
      <c r="D30" t="inlineStr"/>
    </row>
    <row r="31">
      <c r="A31" t="inlineStr">
        <is>
          <t>Monster International Revenue Mix (benchmark)</t>
        </is>
      </c>
      <c r="B31" t="inlineStr">
        <is>
          <t>~37%</t>
        </is>
      </c>
      <c r="C31" t="inlineStr"/>
      <c r="D31" t="inlineStr"/>
    </row>
    <row r="32"/>
    <row r="33">
      <c r="A33" t="inlineStr">
        <is>
          <t>Guidance</t>
        </is>
      </c>
      <c r="B33" t="inlineStr">
        <is>
          <t>Value</t>
        </is>
      </c>
      <c r="C33" t="inlineStr">
        <is>
          <t>Period</t>
        </is>
      </c>
      <c r="D33" t="inlineStr"/>
    </row>
    <row r="34">
      <c r="A34" t="inlineStr">
        <is>
          <t>Drill-Deep Market Expansion</t>
        </is>
      </c>
      <c r="B34" t="inlineStr">
        <is>
          <t>30 markets</t>
        </is>
      </c>
      <c r="C34" t="inlineStr">
        <is>
          <t>FY2024</t>
        </is>
      </c>
      <c r="D34" t="inlineStr"/>
    </row>
    <row r="35">
      <c r="A35" t="inlineStr">
        <is>
          <t>Gross Margin Baseline</t>
        </is>
      </c>
      <c r="B35" t="inlineStr">
        <is>
          <t>Q2 2023 profile (~49% normalized)</t>
        </is>
      </c>
      <c r="C35" t="inlineStr">
        <is>
          <t>Near-term</t>
        </is>
      </c>
      <c r="D35" t="inlineStr"/>
    </row>
    <row r="36">
      <c r="A36" t="inlineStr">
        <is>
          <t>Gross Margin Aspiration</t>
        </is>
      </c>
      <c r="B36" t="inlineStr">
        <is>
          <t>~55%</t>
        </is>
      </c>
      <c r="C36" t="inlineStr">
        <is>
          <t>Long-term</t>
        </is>
      </c>
      <c r="D36" t="inlineStr"/>
    </row>
    <row r="37">
      <c r="A37" t="inlineStr">
        <is>
          <t>EBITDA Margin Target</t>
        </is>
      </c>
      <c r="B37" t="inlineStr">
        <is>
          <t>30%-35%</t>
        </is>
      </c>
      <c r="C37" t="inlineStr">
        <is>
          <t>Forward</t>
        </is>
      </c>
      <c r="D37" t="inlineStr"/>
    </row>
    <row r="38">
      <c r="A38" t="inlineStr">
        <is>
          <t>Canada Market Entry</t>
        </is>
      </c>
      <c r="B38" t="inlineStr">
        <is>
          <t>Q1 2024 with Pepsi Canada</t>
        </is>
      </c>
      <c r="C38" t="inlineStr">
        <is>
          <t>Q1 2024</t>
        </is>
      </c>
      <c r="D38" t="inlineStr"/>
    </row>
    <row r="39">
      <c r="A39" t="inlineStr">
        <is>
          <t>Essentials 16oz National Rollout</t>
        </is>
      </c>
      <c r="B39" t="inlineStr">
        <is>
          <t>January 2024</t>
        </is>
      </c>
      <c r="C39" t="inlineStr">
        <is>
          <t>Jan 2024</t>
        </is>
      </c>
      <c r="D39" t="inlineStr"/>
    </row>
    <row r="40">
      <c r="A40" t="inlineStr">
        <is>
          <t>7-Eleven Green Apple Cherry National Rollout</t>
        </is>
      </c>
      <c r="B40" t="inlineStr">
        <is>
          <t>January 2024</t>
        </is>
      </c>
      <c r="C40" t="inlineStr">
        <is>
          <t>Jan 2024</t>
        </is>
      </c>
      <c r="D40" t="inlineStr"/>
    </row>
    <row r="41"/>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7"/>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Morgan Stanley Global Consumer &amp; Retail Conference</t>
        </is>
      </c>
    </row>
    <row r="2">
      <c r="A2" s="24" t="inlineStr">
        <is>
          <t>Date</t>
        </is>
      </c>
      <c r="B2" t="inlineStr">
        <is>
          <t>2023-12-06</t>
        </is>
      </c>
    </row>
    <row r="3"/>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c r="D8" t="inlineStr"/>
    </row>
    <row r="9"/>
    <row r="10">
      <c r="A10" t="inlineStr">
        <is>
          <t>Channel / Foodservice</t>
        </is>
      </c>
      <c r="B10" t="inlineStr">
        <is>
          <t>Value</t>
        </is>
      </c>
      <c r="C10" t="inlineStr">
        <is>
          <t>Prior</t>
        </is>
      </c>
      <c r="D10" t="inlineStr"/>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3"/>
    <row r="14">
      <c r="A14" t="inlineStr">
        <is>
          <t>Drill-Deep Markets</t>
        </is>
      </c>
      <c r="B14" t="inlineStr">
        <is>
          <t>Count</t>
        </is>
      </c>
      <c r="C14" t="inlineStr"/>
      <c r="D14" t="inlineStr"/>
    </row>
    <row r="15">
      <c r="A15" t="inlineStr">
        <is>
          <t>Drill-Deep Markets (2020)</t>
        </is>
      </c>
      <c r="B15" t="n">
        <v>6</v>
      </c>
      <c r="C15" t="inlineStr"/>
      <c r="D15" t="inlineStr"/>
    </row>
    <row r="16">
      <c r="A16" t="inlineStr">
        <is>
          <t>Drill-Deep Markets (2022)</t>
        </is>
      </c>
      <c r="B16" t="n">
        <v>18</v>
      </c>
      <c r="C16" t="inlineStr"/>
      <c r="D16" t="inlineStr"/>
    </row>
    <row r="17">
      <c r="A17" t="inlineStr">
        <is>
          <t>Drill-Deep Markets (2023)</t>
        </is>
      </c>
      <c r="B17" t="n">
        <v>23</v>
      </c>
      <c r="C17" t="inlineStr"/>
      <c r="D17" t="inlineStr"/>
    </row>
    <row r="18">
      <c r="A18" t="inlineStr">
        <is>
          <t>Drill-Deep Markets (2024 plan)</t>
        </is>
      </c>
      <c r="B18" t="n">
        <v>30</v>
      </c>
      <c r="C18" t="inlineStr"/>
      <c r="D18" t="inlineStr"/>
    </row>
    <row r="19"/>
    <row r="20">
      <c r="A20" t="inlineStr">
        <is>
          <t>Consumer / Benchmark</t>
        </is>
      </c>
      <c r="B20" t="inlineStr">
        <is>
          <t>Value</t>
        </is>
      </c>
      <c r="C20" t="inlineStr"/>
      <c r="D20" t="inlineStr"/>
    </row>
    <row r="21">
      <c r="A21" t="inlineStr">
        <is>
          <t>Incremental Growth (% incremental to brand)</t>
        </is>
      </c>
      <c r="B21" t="inlineStr">
        <is>
          <t>75%-80%</t>
        </is>
      </c>
      <c r="C21" t="inlineStr"/>
      <c r="D21" t="inlineStr"/>
    </row>
    <row r="22">
      <c r="A22" t="inlineStr">
        <is>
          <t>Male/Female Split</t>
        </is>
      </c>
      <c r="B22" t="inlineStr">
        <is>
          <t>50/50</t>
        </is>
      </c>
      <c r="C22" t="inlineStr"/>
      <c r="D22" t="inlineStr"/>
    </row>
    <row r="23">
      <c r="A23" t="inlineStr">
        <is>
          <t>Monster International Revenue Mix (benchmark)</t>
        </is>
      </c>
      <c r="B23" t="inlineStr">
        <is>
          <t>~35%-37%</t>
        </is>
      </c>
      <c r="C23" t="inlineStr"/>
      <c r="D23" t="inlineStr"/>
    </row>
    <row r="24"/>
    <row r="25">
      <c r="A25" t="inlineStr">
        <is>
          <t>Guidance / Forward</t>
        </is>
      </c>
      <c r="B25" t="inlineStr">
        <is>
          <t>Value</t>
        </is>
      </c>
      <c r="C25" t="inlineStr">
        <is>
          <t>Period</t>
        </is>
      </c>
      <c r="D25" t="inlineStr"/>
    </row>
    <row r="26">
      <c r="A26" t="inlineStr">
        <is>
          <t>Spring Resets Timing</t>
        </is>
      </c>
      <c r="B26" t="inlineStr">
        <is>
          <t>January through May</t>
        </is>
      </c>
      <c r="C26" t="inlineStr">
        <is>
          <t>2024</t>
        </is>
      </c>
      <c r="D26" t="inlineStr"/>
    </row>
    <row r="27">
      <c r="A27" t="inlineStr">
        <is>
          <t>Drill-Deep Markets</t>
        </is>
      </c>
      <c r="B27" t="inlineStr">
        <is>
          <t>30 markets</t>
        </is>
      </c>
      <c r="C27" t="inlineStr">
        <is>
          <t>FY2024</t>
        </is>
      </c>
      <c r="D27" t="inlineStr"/>
    </row>
    <row r="28">
      <c r="A28" t="inlineStr">
        <is>
          <t>ESSENTIALS Line</t>
        </is>
      </c>
      <c r="B28" t="inlineStr">
        <is>
          <t>4 SKUs (adding a fifth), nationwide</t>
        </is>
      </c>
      <c r="C28" t="inlineStr">
        <is>
          <t>Jan 2024</t>
        </is>
      </c>
      <c r="D28" t="inlineStr"/>
    </row>
    <row r="29">
      <c r="A29" t="inlineStr">
        <is>
          <t>International Rollout</t>
        </is>
      </c>
      <c r="B29" t="inlineStr">
        <is>
          <t>Handful of markets in 2024; sizable rollout over 3-5 yrs</t>
        </is>
      </c>
      <c r="C29" t="inlineStr">
        <is>
          <t>2024-2028</t>
        </is>
      </c>
      <c r="D29" t="inlineStr"/>
    </row>
    <row r="30">
      <c r="A30" t="inlineStr">
        <is>
          <t>2024 Gross Margin</t>
        </is>
      </c>
      <c r="B30" t="inlineStr">
        <is>
          <t>Modest opportunity, no quantified target</t>
        </is>
      </c>
      <c r="C30" t="inlineStr">
        <is>
          <t>FY2024</t>
        </is>
      </c>
      <c r="D30" t="inlineStr"/>
    </row>
    <row r="31">
      <c r="A31" t="inlineStr">
        <is>
          <t>Long-Term Gross Margin Goal</t>
        </is>
      </c>
      <c r="B31" t="inlineStr">
        <is>
          <t>Monster-like (takes time)</t>
        </is>
      </c>
      <c r="C31" t="inlineStr">
        <is>
          <t>Long-term</t>
        </is>
      </c>
      <c r="D31" t="inlineStr"/>
    </row>
    <row r="32"/>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6"/>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Celsius Holdings Q4 2023 Earnings Call</t>
        </is>
      </c>
    </row>
    <row r="2">
      <c r="A2" s="24" t="inlineStr">
        <is>
          <t>Date</t>
        </is>
      </c>
      <c r="B2" t="inlineStr">
        <is>
          <t>2024-02-29</t>
        </is>
      </c>
    </row>
    <row r="3"/>
    <row r="4">
      <c r="A4" s="25" t="inlineStr">
        <is>
          <t>QUANTITATIVE</t>
        </is>
      </c>
      <c r="B4" s="25" t="n"/>
      <c r="C4" s="25" t="n"/>
      <c r="D4" s="25" t="n"/>
    </row>
    <row r="5"/>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0"/>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5"/>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19"/>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3"/>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29"/>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3"/>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8"/>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2"/>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7"/>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3"/>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UBS Global Consumer and Retail Conference 2024</t>
        </is>
      </c>
    </row>
    <row r="2">
      <c r="A2" s="24" t="inlineStr">
        <is>
          <t>Date</t>
        </is>
      </c>
      <c r="B2" t="inlineStr">
        <is>
          <t>2024-03-14</t>
        </is>
      </c>
    </row>
    <row r="3"/>
    <row r="4">
      <c r="A4" s="25" t="inlineStr">
        <is>
          <t>QUANTITATIVE</t>
        </is>
      </c>
      <c r="B4" s="25" t="n"/>
      <c r="C4" s="25" t="n"/>
    </row>
    <row r="5"/>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3"/>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8"/>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4"/>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8"/>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4"/>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1"/>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Q1 2024 Earnings Call</t>
        </is>
      </c>
    </row>
    <row r="2">
      <c r="A2" s="24" t="inlineStr">
        <is>
          <t>Date</t>
        </is>
      </c>
      <c r="B2" t="inlineStr">
        <is>
          <t>2024-05-07</t>
        </is>
      </c>
    </row>
    <row r="3"/>
    <row r="4">
      <c r="A4" s="25" t="inlineStr">
        <is>
          <t>QUANTITATIVE</t>
        </is>
      </c>
      <c r="B4" s="25" t="n"/>
      <c r="C4" s="25" t="n"/>
      <c r="D4" s="25" t="n"/>
    </row>
    <row r="5"/>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8"/>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2"/>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5"/>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39"/>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5"/>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1"/>
    <row r="52"/>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6"/>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Goldman Sachs Global Staples Forum</t>
        </is>
      </c>
    </row>
    <row r="2">
      <c r="A2" s="24" t="inlineStr">
        <is>
          <t>Date</t>
        </is>
      </c>
      <c r="B2" t="inlineStr">
        <is>
          <t>2024-05-14</t>
        </is>
      </c>
    </row>
    <row r="3"/>
    <row r="4">
      <c r="A4" s="25" t="inlineStr">
        <is>
          <t>QUANTITATIVE</t>
        </is>
      </c>
      <c r="B4" s="25" t="n"/>
      <c r="C4" s="25" t="n"/>
    </row>
    <row r="5"/>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19"/>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7"/>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3"/>
    <row r="34"/>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8"/>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William Blair 44th Annual Growth Stock Conference</t>
        </is>
      </c>
    </row>
    <row r="2">
      <c r="A2" s="24" t="inlineStr">
        <is>
          <t>Date</t>
        </is>
      </c>
      <c r="B2" t="inlineStr">
        <is>
          <t>2024-06-04</t>
        </is>
      </c>
    </row>
    <row r="3"/>
    <row r="4">
      <c r="A4" s="25" t="inlineStr">
        <is>
          <t>QUANTITATIVE</t>
        </is>
      </c>
      <c r="B4" s="25" t="n"/>
      <c r="C4" s="25" t="n"/>
    </row>
    <row r="5"/>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1"/>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5"/>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1"/>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5"/>
    <row r="36"/>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0"/>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4th Annual Evercore ISI Consumer and Retail Conference</t>
        </is>
      </c>
    </row>
    <row r="2">
      <c r="A2" s="24" t="inlineStr">
        <is>
          <t>Date</t>
        </is>
      </c>
      <c r="B2" t="inlineStr">
        <is>
          <t>2024-06-11</t>
        </is>
      </c>
    </row>
    <row r="3"/>
    <row r="4">
      <c r="A4" s="25" t="inlineStr">
        <is>
          <t>QUANTITATIVE</t>
        </is>
      </c>
      <c r="B4" s="25" t="n"/>
      <c r="C4" s="25" t="n"/>
    </row>
    <row r="5"/>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5"/>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2"/>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6"/>
    <row r="27"/>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1"/>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Q2 2024 Earnings Call</t>
        </is>
      </c>
    </row>
    <row r="2">
      <c r="A2" s="24" t="inlineStr">
        <is>
          <t>Date</t>
        </is>
      </c>
      <c r="B2" t="inlineStr">
        <is>
          <t>2024-08-06</t>
        </is>
      </c>
    </row>
    <row r="3"/>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9"/>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4"/>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2"/>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29"/>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39"/>
    <row r="40">
      <c r="A40" t="inlineStr">
        <is>
          <t>Balance Sheet</t>
        </is>
      </c>
      <c r="B40" t="inlineStr">
        <is>
          <t>2024Q2</t>
        </is>
      </c>
      <c r="C40" t="inlineStr"/>
      <c r="D40" t="inlineStr"/>
    </row>
    <row r="41">
      <c r="A41" t="inlineStr">
        <is>
          <t>Cash on hand</t>
        </is>
      </c>
      <c r="B41" t="inlineStr">
        <is>
          <t>~$903M</t>
        </is>
      </c>
      <c r="C41" t="inlineStr"/>
      <c r="D41" t="inlineStr"/>
    </row>
    <row r="42"/>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7"/>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2"/>
    <row r="63">
      <c r="A63" t="inlineStr">
        <is>
          <t>Distributor Inventory Drag</t>
        </is>
      </c>
      <c r="B63" t="inlineStr">
        <is>
          <t>Value</t>
        </is>
      </c>
      <c r="C63" t="inlineStr">
        <is>
          <t>Period</t>
        </is>
      </c>
      <c r="D63" t="inlineStr"/>
    </row>
    <row r="64">
      <c r="A64" t="inlineStr">
        <is>
          <t>Q2 distributor days-on-hand headwind</t>
        </is>
      </c>
      <c r="B64" t="inlineStr">
        <is>
          <t>~$20M-$25M (low end of $20-30M)</t>
        </is>
      </c>
      <c r="C64" t="inlineStr">
        <is>
          <t>2024Q2</t>
        </is>
      </c>
      <c r="D64" t="inlineStr"/>
    </row>
    <row r="65">
      <c r="A65" t="inlineStr">
        <is>
          <t>Carryover continuing YoY drag</t>
        </is>
      </c>
      <c r="B65" t="inlineStr">
        <is>
          <t>~$20M (uncommitted)</t>
        </is>
      </c>
      <c r="C65" t="inlineStr">
        <is>
          <t>2024 Q3 &amp; Q4</t>
        </is>
      </c>
      <c r="D65" t="inlineStr"/>
    </row>
    <row r="66"/>
    <row r="67">
      <c r="A67" t="inlineStr">
        <is>
          <t>Guidance</t>
        </is>
      </c>
      <c r="B67" t="inlineStr">
        <is>
          <t>Value/Range</t>
        </is>
      </c>
      <c r="C67" t="inlineStr">
        <is>
          <t>Period</t>
        </is>
      </c>
      <c r="D67" t="inlineStr"/>
    </row>
    <row r="68">
      <c r="A68" t="inlineStr">
        <is>
          <t>Back-half gross margin</t>
        </is>
      </c>
      <c r="B68" t="inlineStr">
        <is>
          <t>High 40s to 50%</t>
        </is>
      </c>
      <c r="C68" t="inlineStr">
        <is>
          <t>2024 H2</t>
        </is>
      </c>
      <c r="D68" t="inlineStr"/>
    </row>
    <row r="69">
      <c r="A69" t="inlineStr">
        <is>
          <t>Q3 sales &amp; marketing spend</t>
        </is>
      </c>
      <c r="B69" t="inlineStr">
        <is>
          <t>Above high end of 20-23% range</t>
        </is>
      </c>
      <c r="C69" t="inlineStr">
        <is>
          <t>2024Q3</t>
        </is>
      </c>
      <c r="D69" t="inlineStr"/>
    </row>
    <row r="70">
      <c r="A70" t="inlineStr">
        <is>
          <t>2025 pricing</t>
        </is>
      </c>
      <c r="B70" t="inlineStr">
        <is>
          <t>Room for further pricing; benefits 2025</t>
        </is>
      </c>
      <c r="C70" t="inlineStr">
        <is>
          <t>2025</t>
        </is>
      </c>
      <c r="D70" t="inlineStr"/>
    </row>
    <row r="71"/>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5"/>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Barclays Annual Global Consumer Staples Conference</t>
        </is>
      </c>
    </row>
    <row r="2">
      <c r="A2" s="24" t="inlineStr">
        <is>
          <t>Date</t>
        </is>
      </c>
      <c r="B2" t="inlineStr">
        <is>
          <t>2024-09-04</t>
        </is>
      </c>
    </row>
    <row r="3"/>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2"/>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7"/>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2"/>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6"/>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2"/>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6"/>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2"/>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7"/>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Piper Sandler Conference</t>
        </is>
      </c>
    </row>
    <row r="2">
      <c r="A2" s="24" t="inlineStr">
        <is>
          <t>Date</t>
        </is>
      </c>
      <c r="B2" t="inlineStr">
        <is>
          <t>2024-09-10</t>
        </is>
      </c>
    </row>
    <row r="3"/>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0"/>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7"/>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5"/>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29"/>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3"/>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39"/>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6"/>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Q3 2024 Earnings Call</t>
        </is>
      </c>
    </row>
    <row r="2">
      <c r="A2" s="24" t="inlineStr">
        <is>
          <t>Date</t>
        </is>
      </c>
      <c r="B2" t="inlineStr">
        <is>
          <t>2024-11-06</t>
        </is>
      </c>
    </row>
    <row r="3"/>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1"/>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7"/>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3"/>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8"/>
    <row r="29">
      <c r="A29" t="inlineStr">
        <is>
          <t>Balance Sheet</t>
        </is>
      </c>
      <c r="B29" t="inlineStr">
        <is>
          <t>2024Q3</t>
        </is>
      </c>
      <c r="C29" t="inlineStr"/>
      <c r="D29" t="inlineStr"/>
    </row>
    <row r="30">
      <c r="A30" t="inlineStr">
        <is>
          <t>Cash balance</t>
        </is>
      </c>
      <c r="B30" t="inlineStr">
        <is>
          <t>above $900M</t>
        </is>
      </c>
      <c r="C30" t="inlineStr"/>
      <c r="D30" t="inlineStr"/>
    </row>
    <row r="31"/>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6"/>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c r="D39" t="inlineStr"/>
    </row>
    <row r="40">
      <c r="A40" t="inlineStr">
        <is>
          <t>Celsius contribution to category growth</t>
        </is>
      </c>
      <c r="B40" t="inlineStr">
        <is>
          <t>&gt;16% of all growth</t>
        </is>
      </c>
      <c r="C40" t="inlineStr">
        <is>
          <t>2024Q3</t>
        </is>
      </c>
      <c r="D40" t="inlineStr"/>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c r="D42" t="inlineStr"/>
    </row>
    <row r="43">
      <c r="A43" t="inlineStr">
        <is>
          <t>Foodservice share of NA PepsiCo sales</t>
        </is>
      </c>
      <c r="B43" t="inlineStr">
        <is>
          <t>~12.3%</t>
        </is>
      </c>
      <c r="C43" t="inlineStr">
        <is>
          <t>2024Q3</t>
        </is>
      </c>
      <c r="D43" t="inlineStr"/>
    </row>
    <row r="44">
      <c r="A44" t="inlineStr">
        <is>
          <t>Lodging points of distribution growth</t>
        </is>
      </c>
      <c r="B44" t="inlineStr">
        <is>
          <t>+46%</t>
        </is>
      </c>
      <c r="C44" t="inlineStr">
        <is>
          <t>2024Q3</t>
        </is>
      </c>
      <c r="D44" t="inlineStr"/>
    </row>
    <row r="45">
      <c r="A45" t="inlineStr">
        <is>
          <t>Restaurant points of distribution growth</t>
        </is>
      </c>
      <c r="B45" t="inlineStr">
        <is>
          <t>+27%</t>
        </is>
      </c>
      <c r="C45" t="inlineStr">
        <is>
          <t>2024Q3</t>
        </is>
      </c>
      <c r="D45" t="inlineStr"/>
    </row>
    <row r="46">
      <c r="A46" t="inlineStr">
        <is>
          <t>Sugar-free as % of category</t>
        </is>
      </c>
      <c r="B46" t="inlineStr">
        <is>
          <t>&gt;50%</t>
        </is>
      </c>
      <c r="C46" t="inlineStr">
        <is>
          <t>2024Q3</t>
        </is>
      </c>
      <c r="D46" t="inlineStr">
        <is>
          <t>first time</t>
        </is>
      </c>
    </row>
    <row r="47"/>
    <row r="48">
      <c r="A48" t="inlineStr">
        <is>
          <t>Guidance</t>
        </is>
      </c>
      <c r="B48" t="inlineStr">
        <is>
          <t>Value/Range</t>
        </is>
      </c>
      <c r="C48" t="inlineStr">
        <is>
          <t>Period</t>
        </is>
      </c>
      <c r="D48" t="inlineStr"/>
    </row>
    <row r="49">
      <c r="A49" t="inlineStr">
        <is>
          <t>Q4 inventory impact</t>
        </is>
      </c>
      <c r="B49" t="inlineStr">
        <is>
          <t>Slight positive benefit up to ~$15M of pressure</t>
        </is>
      </c>
      <c r="C49" t="inlineStr">
        <is>
          <t>2024Q4</t>
        </is>
      </c>
      <c r="D49" t="inlineStr"/>
    </row>
    <row r="50">
      <c r="A50" t="inlineStr">
        <is>
          <t>Sell-in / sell-through alignment</t>
        </is>
      </c>
      <c r="B50" t="inlineStr">
        <is>
          <t>Expected before Q4 ends</t>
        </is>
      </c>
      <c r="C50" t="inlineStr">
        <is>
          <t>2024Q4</t>
        </is>
      </c>
      <c r="D50" t="inlineStr"/>
    </row>
    <row r="51">
      <c r="A51" t="inlineStr">
        <is>
          <t>Q4 North America modeling</t>
        </is>
      </c>
      <c r="B51" t="inlineStr">
        <is>
          <t>Low-to-mid single-digit scanner data minus ~$15M conservative inventory assumption</t>
        </is>
      </c>
      <c r="C51" t="inlineStr">
        <is>
          <t>2024Q4</t>
        </is>
      </c>
      <c r="D51" t="inlineStr"/>
    </row>
    <row r="52">
      <c r="A52" t="inlineStr">
        <is>
          <t>Formal forward guidance</t>
        </is>
      </c>
      <c r="B52" t="inlineStr">
        <is>
          <t>Not providing forward guidance</t>
        </is>
      </c>
      <c r="C52" t="inlineStr">
        <is>
          <t>n/a</t>
        </is>
      </c>
      <c r="D52" t="inlineStr"/>
    </row>
    <row r="53"/>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0"/>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Morgan Stanley Conference</t>
        </is>
      </c>
    </row>
    <row r="2">
      <c r="A2" s="24" t="inlineStr">
        <is>
          <t>Date</t>
        </is>
      </c>
      <c r="B2" t="inlineStr">
        <is>
          <t>2024-12-03</t>
        </is>
      </c>
    </row>
    <row r="3"/>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2"/>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2"/>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7"/>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3"/>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0"/>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Q4 2024 Earnings Call</t>
        </is>
      </c>
    </row>
    <row r="2">
      <c r="A2" s="24" t="inlineStr">
        <is>
          <t>Date</t>
        </is>
      </c>
      <c r="B2" t="inlineStr">
        <is>
          <t>2025-02-20</t>
        </is>
      </c>
    </row>
    <row r="3"/>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3"/>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7"/>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6"/>
    <row r="27">
      <c r="A27" t="inlineStr">
        <is>
          <t>Distribution / Category</t>
        </is>
      </c>
      <c r="B27" t="inlineStr">
        <is>
          <t>Value</t>
        </is>
      </c>
      <c r="C27" t="inlineStr"/>
      <c r="D27" t="inlineStr"/>
    </row>
    <row r="28">
      <c r="A28" t="inlineStr">
        <is>
          <t>Points of Distribution Growth (FY2024)</t>
        </is>
      </c>
      <c r="B28" t="inlineStr">
        <is>
          <t>37%</t>
        </is>
      </c>
      <c r="C28" t="inlineStr"/>
      <c r="D28" t="inlineStr"/>
    </row>
    <row r="29">
      <c r="A29" t="inlineStr">
        <is>
          <t>ACV</t>
        </is>
      </c>
      <c r="B29" t="inlineStr">
        <is>
          <t>98.7%</t>
        </is>
      </c>
      <c r="C29" t="inlineStr"/>
      <c r="D29" t="inlineStr"/>
    </row>
    <row r="30">
      <c r="A30" t="inlineStr">
        <is>
          <t>U.S. Retail Outlets</t>
        </is>
      </c>
      <c r="B30" t="inlineStr">
        <is>
          <t>241,000+</t>
        </is>
      </c>
      <c r="C30" t="inlineStr"/>
      <c r="D30" t="inlineStr"/>
    </row>
    <row r="31">
      <c r="A31" t="inlineStr">
        <is>
          <t>Contribution to Category Growth (2024)</t>
        </is>
      </c>
      <c r="B31" t="inlineStr">
        <is>
          <t>30%</t>
        </is>
      </c>
      <c r="C31" t="inlineStr"/>
      <c r="D31" t="inlineStr"/>
    </row>
    <row r="32">
      <c r="A32" t="inlineStr">
        <is>
          <t>Sugar-Free Share of Category (2024)</t>
        </is>
      </c>
      <c r="B32" t="inlineStr">
        <is>
          <t>&gt;50%</t>
        </is>
      </c>
      <c r="C32" t="inlineStr"/>
      <c r="D32" t="inlineStr"/>
    </row>
    <row r="33">
      <c r="A33" t="inlineStr">
        <is>
          <t>Energy Category Size (2024)</t>
        </is>
      </c>
      <c r="B33" t="inlineStr">
        <is>
          <t>~$90B</t>
        </is>
      </c>
      <c r="C33" t="inlineStr"/>
      <c r="D33" t="inlineStr"/>
    </row>
    <row r="34"/>
    <row r="35">
      <c r="A35" t="inlineStr">
        <is>
          <t>Balance Sheet / Other</t>
        </is>
      </c>
      <c r="B35" t="inlineStr">
        <is>
          <t>Value</t>
        </is>
      </c>
      <c r="C35" t="inlineStr"/>
      <c r="D35" t="inlineStr"/>
    </row>
    <row r="36">
      <c r="A36" t="inlineStr">
        <is>
          <t>Cash Balance</t>
        </is>
      </c>
      <c r="B36" t="inlineStr">
        <is>
          <t>~$890M</t>
        </is>
      </c>
      <c r="C36" t="inlineStr"/>
      <c r="D36" t="inlineStr"/>
    </row>
    <row r="37">
      <c r="A37" t="inlineStr">
        <is>
          <t>Pepsi Inventory Change Impact (Q4)</t>
        </is>
      </c>
      <c r="B37" t="inlineStr">
        <is>
          <t>$8M-$10M</t>
        </is>
      </c>
      <c r="C37" t="inlineStr"/>
      <c r="D37" t="inlineStr"/>
    </row>
    <row r="38"/>
    <row r="39">
      <c r="A39" t="inlineStr">
        <is>
          <t>Alani Nu Acquisition</t>
        </is>
      </c>
      <c r="B39" t="inlineStr">
        <is>
          <t>Value</t>
        </is>
      </c>
      <c r="C39" t="inlineStr"/>
      <c r="D39" t="inlineStr"/>
    </row>
    <row r="40">
      <c r="A40" t="inlineStr">
        <is>
          <t>Acquisition Price</t>
        </is>
      </c>
      <c r="B40" t="inlineStr">
        <is>
          <t>$1.8B (cash + stock)</t>
        </is>
      </c>
      <c r="C40" t="inlineStr"/>
      <c r="D40" t="inlineStr"/>
    </row>
    <row r="41">
      <c r="A41" t="inlineStr">
        <is>
          <t>Funding - Cash + Earn-out + Restricted Stock</t>
        </is>
      </c>
      <c r="B41" t="inlineStr">
        <is>
          <t>$1.275B cash + $25M earn-out + $500M stock</t>
        </is>
      </c>
      <c r="C41" t="inlineStr"/>
      <c r="D41" t="inlineStr"/>
    </row>
    <row r="42">
      <c r="A42" t="inlineStr">
        <is>
          <t>Financing</t>
        </is>
      </c>
      <c r="B42" t="inlineStr">
        <is>
          <t>$900M committed debt + ~$375M cash on hand</t>
        </is>
      </c>
      <c r="C42" t="inlineStr"/>
      <c r="D42" t="inlineStr"/>
    </row>
    <row r="43">
      <c r="A43" t="inlineStr">
        <is>
          <t>Pro-Forma Ownership (Alani Nu sellers)</t>
        </is>
      </c>
      <c r="B43" t="inlineStr">
        <is>
          <t>~8.6%</t>
        </is>
      </c>
      <c r="C43" t="inlineStr"/>
      <c r="D43" t="inlineStr"/>
    </row>
    <row r="44">
      <c r="A44" t="inlineStr">
        <is>
          <t>Alani Nu 2024 Revenue</t>
        </is>
      </c>
      <c r="B44" t="inlineStr">
        <is>
          <t>$595M</t>
        </is>
      </c>
      <c r="C44" t="inlineStr"/>
      <c r="D44" t="inlineStr"/>
    </row>
    <row r="45">
      <c r="A45" t="inlineStr">
        <is>
          <t>Alani Nu 2024 Fully Synergized Adj. EBITDA</t>
        </is>
      </c>
      <c r="B45" t="inlineStr">
        <is>
          <t>$137M</t>
        </is>
      </c>
      <c r="C45" t="inlineStr"/>
      <c r="D45" t="inlineStr"/>
    </row>
    <row r="46">
      <c r="A46" t="inlineStr">
        <is>
          <t>Valuation Multiple</t>
        </is>
      </c>
      <c r="B46" t="inlineStr">
        <is>
          <t>&lt;3x 2024 revenue; ~12x synergized EBITDA</t>
        </is>
      </c>
      <c r="C46" t="inlineStr"/>
      <c r="D46" t="inlineStr"/>
    </row>
    <row r="47">
      <c r="A47" t="inlineStr">
        <is>
          <t>Run-Rate Cost Synergies</t>
        </is>
      </c>
      <c r="B47" t="inlineStr">
        <is>
          <t>$50M over 2 years post-close</t>
        </is>
      </c>
      <c r="C47" t="inlineStr"/>
      <c r="D47" t="inlineStr"/>
    </row>
    <row r="48">
      <c r="A48" t="inlineStr">
        <is>
          <t>Pro-Forma Combined Sales (2024)</t>
        </is>
      </c>
      <c r="B48" t="inlineStr">
        <is>
          <t>~$2B</t>
        </is>
      </c>
      <c r="C48" t="inlineStr"/>
      <c r="D48" t="inlineStr"/>
    </row>
    <row r="49">
      <c r="A49" t="inlineStr">
        <is>
          <t>Combined Energy Category Share</t>
        </is>
      </c>
      <c r="B49" t="inlineStr">
        <is>
          <t>~16%</t>
        </is>
      </c>
      <c r="C49" t="inlineStr"/>
      <c r="D49" t="inlineStr"/>
    </row>
    <row r="50">
      <c r="A50" t="inlineStr">
        <is>
          <t>Alani Nu Female Social Media Following</t>
        </is>
      </c>
      <c r="B50" t="inlineStr">
        <is>
          <t>~92%</t>
        </is>
      </c>
      <c r="C50" t="inlineStr"/>
      <c r="D50" t="inlineStr"/>
    </row>
    <row r="51">
      <c r="A51" t="inlineStr">
        <is>
          <t>Alani Nu Life-Cycle Position</t>
        </is>
      </c>
      <c r="B51" t="inlineStr">
        <is>
          <t>18-24 months behind Celsius</t>
        </is>
      </c>
      <c r="C51" t="inlineStr"/>
      <c r="D51" t="inlineStr"/>
    </row>
    <row r="52"/>
    <row r="53">
      <c r="A53" t="inlineStr">
        <is>
          <t>Guidance / Forward</t>
        </is>
      </c>
      <c r="B53" t="inlineStr">
        <is>
          <t>Value</t>
        </is>
      </c>
      <c r="C53" t="inlineStr">
        <is>
          <t>Period</t>
        </is>
      </c>
      <c r="D53" t="inlineStr"/>
    </row>
    <row r="54">
      <c r="A54" t="inlineStr">
        <is>
          <t>Energy Category Growth</t>
        </is>
      </c>
      <c r="B54" t="inlineStr">
        <is>
          <t>10% CAGR</t>
        </is>
      </c>
      <c r="C54" t="inlineStr">
        <is>
          <t>2024-2029</t>
        </is>
      </c>
      <c r="D54" t="inlineStr"/>
    </row>
    <row r="55">
      <c r="A55" t="inlineStr">
        <is>
          <t>Alani Nu Acquisition Close</t>
        </is>
      </c>
      <c r="B55" t="inlineStr">
        <is>
          <t>Q2 2025</t>
        </is>
      </c>
      <c r="C55" t="inlineStr">
        <is>
          <t>Q2 2025</t>
        </is>
      </c>
      <c r="D55" t="inlineStr"/>
    </row>
    <row r="56">
      <c r="A56" t="inlineStr">
        <is>
          <t>Cash EPS Accretion</t>
        </is>
      </c>
      <c r="B56" t="inlineStr">
        <is>
          <t>Accretive in year one</t>
        </is>
      </c>
      <c r="C56" t="inlineStr">
        <is>
          <t>Year 1 post-close</t>
        </is>
      </c>
      <c r="D56" t="inlineStr"/>
    </row>
    <row r="57">
      <c r="A57" t="inlineStr">
        <is>
          <t>Pro-Forma Net Leverage</t>
        </is>
      </c>
      <c r="B57" t="inlineStr">
        <is>
          <t>~1x</t>
        </is>
      </c>
      <c r="C57" t="inlineStr">
        <is>
          <t>Post-close</t>
        </is>
      </c>
      <c r="D57" t="inlineStr"/>
    </row>
    <row r="58">
      <c r="A58" t="inlineStr">
        <is>
          <t>Celsius Distribution Expansion (retail sets)</t>
        </is>
      </c>
      <c r="B58" t="inlineStr">
        <is>
          <t>~15%-20%</t>
        </is>
      </c>
      <c r="C58" t="inlineStr">
        <is>
          <t>Spring 2025 resets</t>
        </is>
      </c>
      <c r="D58" t="inlineStr"/>
    </row>
    <row r="59">
      <c r="A59" t="inlineStr">
        <is>
          <t>Alani Nu Distribution Gains</t>
        </is>
      </c>
      <c r="B59" t="inlineStr">
        <is>
          <t>Pretty sizable, esp. convenience</t>
        </is>
      </c>
      <c r="C59" t="inlineStr">
        <is>
          <t>Spring 2025 resets</t>
        </is>
      </c>
      <c r="D59" t="inlineStr"/>
    </row>
    <row r="60">
      <c r="A60" t="inlineStr">
        <is>
          <t>Subway Distribution Opportunity</t>
        </is>
      </c>
      <c r="B60" t="inlineStr">
        <is>
          <t>18,000 locations</t>
        </is>
      </c>
      <c r="C60" t="inlineStr">
        <is>
          <t>Starting Mar 2025</t>
        </is>
      </c>
      <c r="D60" t="inlineStr"/>
    </row>
    <row r="61">
      <c r="A61" t="inlineStr">
        <is>
          <t>Full-Year Gross Margin</t>
        </is>
      </c>
      <c r="B61" t="inlineStr">
        <is>
          <t>~50% (potentially high 40s with tariffs)</t>
        </is>
      </c>
      <c r="C61" t="inlineStr">
        <is>
          <t>FY2025</t>
        </is>
      </c>
      <c r="D61" t="inlineStr"/>
    </row>
    <row r="62"/>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7"/>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2025 Consumer Analyst Group of New York (CAGNY) Conference</t>
        </is>
      </c>
    </row>
    <row r="2">
      <c r="A2" s="24" t="inlineStr">
        <is>
          <t>Date</t>
        </is>
      </c>
      <c r="B2" t="inlineStr">
        <is>
          <t>2025-02-21</t>
        </is>
      </c>
    </row>
    <row r="3"/>
    <row r="4">
      <c r="A4" s="25" t="inlineStr">
        <is>
          <t>QUANTITATIVE</t>
        </is>
      </c>
      <c r="B4" s="25" t="n"/>
      <c r="C4" s="25" t="n"/>
    </row>
    <row r="5"/>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5"/>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6"/>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6"/>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2"/>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7"/>
    <row r="48"/>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1"/>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UBS Global Consumer and Retail Conference</t>
        </is>
      </c>
    </row>
    <row r="2">
      <c r="A2" s="24" t="inlineStr">
        <is>
          <t>Date</t>
        </is>
      </c>
      <c r="B2" t="inlineStr">
        <is>
          <t>2025-03-12</t>
        </is>
      </c>
    </row>
    <row r="3"/>
    <row r="4">
      <c r="A4" s="25" t="inlineStr">
        <is>
          <t>QUANTITATIVE</t>
        </is>
      </c>
      <c r="B4" s="25" t="n"/>
      <c r="C4" s="25" t="n"/>
    </row>
    <row r="5"/>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4"/>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0"/>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4"/>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3"/>
    <row r="34"/>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7"/>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37th Annual ROTH Conference</t>
        </is>
      </c>
    </row>
    <row r="2">
      <c r="A2" s="24" t="inlineStr">
        <is>
          <t>Date</t>
        </is>
      </c>
      <c r="B2" t="inlineStr">
        <is>
          <t>2025-03-18</t>
        </is>
      </c>
    </row>
    <row r="3"/>
    <row r="4">
      <c r="A4" s="25" t="inlineStr">
        <is>
          <t>QUANTITATIVE</t>
        </is>
      </c>
      <c r="B4" s="25" t="n"/>
      <c r="C4" s="25" t="n"/>
    </row>
    <row r="5"/>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4"/>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2"/>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7"/>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4"/>
    <row r="35"/>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0"/>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Q1 2025 Earnings Call</t>
        </is>
      </c>
    </row>
    <row r="2">
      <c r="A2" s="24" t="inlineStr">
        <is>
          <t>Date</t>
        </is>
      </c>
      <c r="B2" t="inlineStr">
        <is>
          <t>2025-05-06</t>
        </is>
      </c>
    </row>
    <row r="3"/>
    <row r="4">
      <c r="A4" s="25" t="inlineStr">
        <is>
          <t>QUANTITATIVE</t>
        </is>
      </c>
      <c r="B4" s="25" t="n"/>
      <c r="C4" s="25" t="n"/>
      <c r="D4" s="25" t="n"/>
    </row>
    <row r="5"/>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6"/>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19"/>
    <row r="20">
      <c r="A20" t="inlineStr">
        <is>
          <t>Balance Sheet</t>
        </is>
      </c>
      <c r="B20" t="inlineStr">
        <is>
          <t>As of Mar 31, 2025</t>
        </is>
      </c>
    </row>
    <row r="21">
      <c r="A21" t="inlineStr">
        <is>
          <t>Cash &amp; Cash Equivalents</t>
        </is>
      </c>
      <c r="B21" t="inlineStr">
        <is>
          <t>$977M (pre-Alani close; no debt)</t>
        </is>
      </c>
    </row>
    <row r="22"/>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4"/>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39"/>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4"/>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0"/>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0"/>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Goldman Sachs Global Staples Forum</t>
        </is>
      </c>
    </row>
    <row r="2">
      <c r="A2" s="24" t="inlineStr">
        <is>
          <t>Date</t>
        </is>
      </c>
      <c r="B2" t="inlineStr">
        <is>
          <t>2025-05-13</t>
        </is>
      </c>
    </row>
    <row r="3"/>
    <row r="4">
      <c r="A4" s="25" t="inlineStr">
        <is>
          <t>QUANTITATIVE</t>
        </is>
      </c>
      <c r="B4" s="25" t="n"/>
      <c r="C4" s="25" t="n"/>
    </row>
    <row r="5"/>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3"/>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0"/>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8"/>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0"/>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Alani Nu Modeling Call (post-closing)</t>
        </is>
      </c>
    </row>
    <row r="2">
      <c r="A2" s="24" t="inlineStr">
        <is>
          <t>Date</t>
        </is>
      </c>
      <c r="B2" t="inlineStr">
        <is>
          <t>2025-05-28</t>
        </is>
      </c>
    </row>
    <row r="3"/>
    <row r="4">
      <c r="A4" s="25" t="inlineStr">
        <is>
          <t>QUANTITATIVE</t>
        </is>
      </c>
      <c r="B4" s="25" t="n"/>
      <c r="C4" s="25" t="n"/>
    </row>
    <row r="5"/>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4"/>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2"/>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7"/>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2"/>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1"/>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69"/>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dbAccess Global Consumer Conference (Deutsche Bank, Paris)</t>
        </is>
      </c>
    </row>
    <row r="2">
      <c r="A2" s="24" t="inlineStr">
        <is>
          <t>Date</t>
        </is>
      </c>
      <c r="B2" t="inlineStr">
        <is>
          <t>2025-06-03</t>
        </is>
      </c>
    </row>
    <row r="3"/>
    <row r="4">
      <c r="A4" s="25" t="inlineStr">
        <is>
          <t>QUANTITATIVE</t>
        </is>
      </c>
      <c r="B4" s="25" t="n"/>
      <c r="C4" s="25" t="n"/>
    </row>
    <row r="5"/>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4"/>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6"/>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6"/>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5"/>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William Blair 45th Annual Growth Stock Conference</t>
        </is>
      </c>
    </row>
    <row r="2">
      <c r="A2" s="24" t="inlineStr">
        <is>
          <t>Date</t>
        </is>
      </c>
      <c r="B2" t="inlineStr">
        <is>
          <t>2025-06-04</t>
        </is>
      </c>
    </row>
    <row r="3"/>
    <row r="4">
      <c r="A4" s="25" t="inlineStr">
        <is>
          <t>QUANTITATIVE</t>
        </is>
      </c>
      <c r="B4" s="25" t="n"/>
      <c r="C4" s="25" t="n"/>
    </row>
    <row r="5"/>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4"/>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19"/>
    <row r="20">
      <c r="A20" t="inlineStr">
        <is>
          <t>Competitor Share (US energy MULO+)</t>
        </is>
      </c>
      <c r="B20" t="inlineStr">
        <is>
          <t>Value</t>
        </is>
      </c>
    </row>
    <row r="21">
      <c r="A21" t="inlineStr">
        <is>
          <t>Red Bull</t>
        </is>
      </c>
      <c r="B21" t="inlineStr">
        <is>
          <t>37%</t>
        </is>
      </c>
    </row>
    <row r="22">
      <c r="A22" t="inlineStr">
        <is>
          <t>Monster</t>
        </is>
      </c>
      <c r="B22" t="inlineStr">
        <is>
          <t>27.5%</t>
        </is>
      </c>
    </row>
    <row r="23"/>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7"/>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4"/>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8"/>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CELH Q2 2025 Earnings Call</t>
        </is>
      </c>
    </row>
    <row r="2">
      <c r="A2" s="24" t="inlineStr">
        <is>
          <t>Date</t>
        </is>
      </c>
      <c r="B2" t="inlineStr">
        <is>
          <t>2025-08-07</t>
        </is>
      </c>
    </row>
    <row r="3"/>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2"/>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6"/>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1"/>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7"/>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1"/>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5"/>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1"/>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89"/>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CELH Barclays Global Consumer Staples Conference</t>
        </is>
      </c>
    </row>
    <row r="2">
      <c r="A2" s="24" t="inlineStr">
        <is>
          <t>Date</t>
        </is>
      </c>
      <c r="B2" t="inlineStr">
        <is>
          <t>2025-09-02</t>
        </is>
      </c>
    </row>
    <row r="3"/>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3"/>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0"/>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7"/>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4"/>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CELH Piper Sandler 4th Annual Growth Frontiers Conference</t>
        </is>
      </c>
    </row>
    <row r="2">
      <c r="A2" s="24" t="inlineStr">
        <is>
          <t>Date</t>
        </is>
      </c>
      <c r="B2" t="inlineStr">
        <is>
          <t>2025-09-10</t>
        </is>
      </c>
    </row>
    <row r="3"/>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0"/>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2"/>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8"/>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8"/>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CELH Q3 2025 Earnings Call</t>
        </is>
      </c>
    </row>
    <row r="2">
      <c r="A2" s="24" t="inlineStr">
        <is>
          <t>Date</t>
        </is>
      </c>
      <c r="B2" t="inlineStr">
        <is>
          <t>2025-11-06</t>
        </is>
      </c>
    </row>
    <row r="3"/>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2"/>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6"/>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3"/>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1"/>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0"/>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8"/>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8"/>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CELH Morgan Stanley Global Consumer &amp; Retail Conference</t>
        </is>
      </c>
    </row>
    <row r="2">
      <c r="A2" s="24" t="inlineStr">
        <is>
          <t>Date</t>
        </is>
      </c>
      <c r="B2" t="inlineStr">
        <is>
          <t>2025-12-03</t>
        </is>
      </c>
    </row>
    <row r="3"/>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3"/>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2"/>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29"/>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7"/>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6"/>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CELH Consumer Analyst Group of New York (CAGNY) Conference</t>
        </is>
      </c>
    </row>
    <row r="2">
      <c r="A2" s="24" t="inlineStr">
        <is>
          <t>Date</t>
        </is>
      </c>
      <c r="B2" t="inlineStr">
        <is>
          <t>2026-02-19</t>
        </is>
      </c>
    </row>
    <row r="3"/>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4"/>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19"/>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0"/>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7"/>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1"/>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1"/>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Full-Year 2025 and Fourth Quarter Financial Results Press Release</t>
        </is>
      </c>
    </row>
    <row r="2">
      <c r="A2" s="24" t="inlineStr">
        <is>
          <t>Date</t>
        </is>
      </c>
      <c r="B2" t="inlineStr">
        <is>
          <t>2026-02-26</t>
        </is>
      </c>
    </row>
    <row r="3"/>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9"/>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4"/>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19"/>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29"/>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39"/>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49"/>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4"/>
    <row r="55">
      <c r="A55" t="inlineStr">
        <is>
          <t>Capital Allocation (Q4)</t>
        </is>
      </c>
      <c r="B55" t="inlineStr">
        <is>
          <t>Value</t>
        </is>
      </c>
      <c r="C55" t="inlineStr"/>
      <c r="D55" t="inlineStr"/>
    </row>
    <row r="56">
      <c r="A56" t="inlineStr">
        <is>
          <t>Debt repayment</t>
        </is>
      </c>
      <c r="B56" t="inlineStr">
        <is>
          <t>$197.8M</t>
        </is>
      </c>
      <c r="C56" t="inlineStr"/>
      <c r="D56" t="inlineStr"/>
    </row>
    <row r="57">
      <c r="A57" t="inlineStr">
        <is>
          <t>Share repurchases</t>
        </is>
      </c>
      <c r="B57" t="inlineStr">
        <is>
          <t>$39.8M</t>
        </is>
      </c>
      <c r="C57" t="inlineStr"/>
      <c r="D57" t="inlineStr"/>
    </row>
    <row r="58"/>
    <row r="59">
      <c r="A59" t="inlineStr">
        <is>
          <t>Balance Sheet</t>
        </is>
      </c>
      <c r="B59" t="inlineStr">
        <is>
          <t>Dec 31 2025</t>
        </is>
      </c>
      <c r="C59" t="inlineStr">
        <is>
          <t>Dec 31 2024</t>
        </is>
      </c>
      <c r="D59" t="inlineStr"/>
    </row>
    <row r="60">
      <c r="A60" t="inlineStr">
        <is>
          <t>Cash and cash equivalents</t>
        </is>
      </c>
      <c r="B60" t="inlineStr">
        <is>
          <t>$398.9M</t>
        </is>
      </c>
      <c r="C60" t="inlineStr">
        <is>
          <t>$890.2M</t>
        </is>
      </c>
      <c r="D60" t="inlineStr"/>
    </row>
    <row r="61">
      <c r="A61" t="inlineStr">
        <is>
          <t>Restricted cash</t>
        </is>
      </c>
      <c r="B61" t="inlineStr">
        <is>
          <t>$141.1M</t>
        </is>
      </c>
      <c r="C61" t="inlineStr">
        <is>
          <t>$0</t>
        </is>
      </c>
      <c r="D61" t="inlineStr"/>
    </row>
    <row r="62">
      <c r="A62" t="inlineStr">
        <is>
          <t>Long-term debt</t>
        </is>
      </c>
      <c r="B62" t="inlineStr">
        <is>
          <t>$669.9M</t>
        </is>
      </c>
      <c r="C62" t="inlineStr">
        <is>
          <t>$0</t>
        </is>
      </c>
      <c r="D62" t="inlineStr"/>
    </row>
    <row r="63">
      <c r="A63" t="inlineStr">
        <is>
          <t>Total assets</t>
        </is>
      </c>
      <c r="B63" t="inlineStr">
        <is>
          <t>$5,119.6M</t>
        </is>
      </c>
      <c r="C63" t="inlineStr">
        <is>
          <t>$1,766.9M</t>
        </is>
      </c>
      <c r="D63" t="inlineStr"/>
    </row>
    <row r="64">
      <c r="A64" t="inlineStr">
        <is>
          <t>Accrued distributor termination fees</t>
        </is>
      </c>
      <c r="B64" t="inlineStr">
        <is>
          <t>$264.1M</t>
        </is>
      </c>
      <c r="C64" t="inlineStr">
        <is>
          <t>n/a</t>
        </is>
      </c>
      <c r="D64" t="inlineStr"/>
    </row>
    <row r="65">
      <c r="A65" t="inlineStr">
        <is>
          <t>Contingent consideration</t>
        </is>
      </c>
      <c r="B65" t="inlineStr">
        <is>
          <t>$25.0M</t>
        </is>
      </c>
      <c r="C65" t="inlineStr">
        <is>
          <t>n/a</t>
        </is>
      </c>
      <c r="D65" t="inlineStr"/>
    </row>
    <row r="66">
      <c r="A66" t="inlineStr">
        <is>
          <t>Series B convertible preferred stock (newly issued)</t>
        </is>
      </c>
      <c r="B66" t="inlineStr">
        <is>
          <t>$907.6M</t>
        </is>
      </c>
      <c r="C66" t="inlineStr">
        <is>
          <t>$0</t>
        </is>
      </c>
      <c r="D66" t="inlineStr"/>
    </row>
    <row r="67"/>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c r="D69" t="inlineStr"/>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3"/>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79"/>
    <row r="80">
      <c r="A80" t="inlineStr">
        <is>
          <t>Other Category / Timing Metrics</t>
        </is>
      </c>
      <c r="B80" t="inlineStr">
        <is>
          <t>Value</t>
        </is>
      </c>
      <c r="C80" t="inlineStr">
        <is>
          <t>Period</t>
        </is>
      </c>
      <c r="D80" t="inlineStr"/>
    </row>
    <row r="81">
      <c r="A81" t="inlineStr">
        <is>
          <t>US energy drink category dollar share (portfolio)</t>
        </is>
      </c>
      <c r="B81" t="inlineStr">
        <is>
          <t>~20%</t>
        </is>
      </c>
      <c r="C81" t="inlineStr">
        <is>
          <t>Q4 2025</t>
        </is>
      </c>
      <c r="D81" t="inlineStr"/>
    </row>
    <row r="82">
      <c r="A82" t="inlineStr">
        <is>
          <t>Zero-sugar US energy category growth contribution</t>
        </is>
      </c>
      <c r="B82" t="inlineStr">
        <is>
          <t>33% of the category's $3.3B growth</t>
        </is>
      </c>
      <c r="C82" t="inlineStr">
        <is>
          <t>FY2025</t>
        </is>
      </c>
      <c r="D82" t="inlineStr"/>
    </row>
    <row r="83">
      <c r="A83" t="inlineStr">
        <is>
          <t>Alani Nu ACV ramp (post Dec 1 2025 PepsiCo transition)</t>
        </is>
      </c>
      <c r="B83" t="inlineStr">
        <is>
          <t>~87% (start Q4 2025) to 94.2% (wk ended Feb 1 2026)</t>
        </is>
      </c>
      <c r="C83" t="inlineStr">
        <is>
          <t>Q4 2025 to Feb 2026</t>
        </is>
      </c>
      <c r="D83" t="inlineStr"/>
    </row>
    <row r="84">
      <c r="A84" t="inlineStr">
        <is>
          <t>Net portfolio inventory benefit (Q4)</t>
        </is>
      </c>
      <c r="B84" t="inlineStr">
        <is>
          <t>~$25M net positive (Alani load-in vs CELSIUS timing)</t>
        </is>
      </c>
      <c r="C84" t="inlineStr">
        <is>
          <t>Q4 2025</t>
        </is>
      </c>
      <c r="D84" t="inlineStr"/>
    </row>
    <row r="85"/>
    <row r="86">
      <c r="A86" t="inlineStr">
        <is>
          <t>Guidance</t>
        </is>
      </c>
      <c r="B86" t="inlineStr">
        <is>
          <t>Value/Range</t>
        </is>
      </c>
      <c r="C86" t="inlineStr">
        <is>
          <t>Period</t>
        </is>
      </c>
      <c r="D86" t="inlineStr"/>
    </row>
    <row r="87">
      <c r="A87" t="inlineStr">
        <is>
          <t>Alani Nu integration completion</t>
        </is>
      </c>
      <c r="B87" t="inlineStr">
        <is>
          <t>By end of Q1 2026</t>
        </is>
      </c>
      <c r="C87" t="inlineStr">
        <is>
          <t>Q1 2026</t>
        </is>
      </c>
      <c r="D87" t="inlineStr"/>
    </row>
    <row r="88">
      <c r="A88" t="inlineStr">
        <is>
          <t>Rockstar Energy integration completion</t>
        </is>
      </c>
      <c r="B88" t="inlineStr">
        <is>
          <t>By end of Q2 2026</t>
        </is>
      </c>
      <c r="C88" t="inlineStr">
        <is>
          <t>Q2 2026</t>
        </is>
      </c>
      <c r="D88" t="inlineStr"/>
    </row>
    <row r="89">
      <c r="A89" t="inlineStr">
        <is>
          <t>Gross margin (normalized profile)</t>
        </is>
      </c>
      <c r="B89" t="inlineStr">
        <is>
          <t>Low 50s; margins expand across 2026</t>
        </is>
      </c>
      <c r="C89" t="inlineStr">
        <is>
          <t>FY2026</t>
        </is>
      </c>
      <c r="D89" t="inlineStr"/>
    </row>
    <row r="90"/>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6"/>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c r="C108" t="inlineStr"/>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Q4 2025 / FY2025 Earnings Call</t>
        </is>
      </c>
    </row>
    <row r="2">
      <c r="A2" s="24" t="inlineStr">
        <is>
          <t>Date</t>
        </is>
      </c>
      <c r="B2" t="inlineStr">
        <is>
          <t>2026-02-26</t>
        </is>
      </c>
    </row>
    <row r="3"/>
    <row r="4">
      <c r="A4" s="25" t="inlineStr">
        <is>
          <t>QUANTITATIVE</t>
        </is>
      </c>
      <c r="B4" s="25" t="n"/>
      <c r="C4" s="25" t="n"/>
      <c r="D4" s="25" t="n"/>
    </row>
    <row r="5"/>
    <row r="6">
      <c r="A6" t="inlineStr">
        <is>
          <t>Consolidated Revenue</t>
        </is>
      </c>
      <c r="B6" t="inlineStr">
        <is>
          <t>Q4 2025</t>
        </is>
      </c>
      <c r="C6" t="inlineStr">
        <is>
          <t>FY2025</t>
        </is>
      </c>
    </row>
    <row r="7">
      <c r="A7" t="inlineStr">
        <is>
          <t>Net Revenue</t>
        </is>
      </c>
      <c r="B7" t="inlineStr">
        <is>
          <t>~$722M</t>
        </is>
      </c>
      <c r="C7" t="inlineStr">
        <is>
          <t>$2.5B (record; two $2B brands)</t>
        </is>
      </c>
    </row>
    <row r="8"/>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4"/>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7"/>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1"/>
    <row r="22">
      <c r="A22" t="inlineStr">
        <is>
          <t>Net Portfolio Inventory Benefit</t>
        </is>
      </c>
      <c r="B22" t="inlineStr">
        <is>
          <t>Q4 2025</t>
        </is>
      </c>
    </row>
    <row r="23">
      <c r="A23" t="inlineStr">
        <is>
          <t>Net benefit (Celsius + Alani load-in)</t>
        </is>
      </c>
      <c r="B23" t="inlineStr">
        <is>
          <t>~$25M</t>
        </is>
      </c>
    </row>
    <row r="24"/>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8"/>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2"/>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7"/>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3"/>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8"/>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6"/>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2"/>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7"/>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8"/>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7"/>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UBS Global Consumer and Retail Conference</t>
        </is>
      </c>
    </row>
    <row r="2">
      <c r="A2" s="24" t="inlineStr">
        <is>
          <t>Date</t>
        </is>
      </c>
      <c r="B2" t="inlineStr">
        <is>
          <t>2026-03-11</t>
        </is>
      </c>
    </row>
    <row r="3"/>
    <row r="4">
      <c r="A4" s="25" t="inlineStr">
        <is>
          <t>QUANTITATIVE</t>
        </is>
      </c>
      <c r="B4" s="25" t="n"/>
      <c r="C4" s="25" t="n"/>
    </row>
    <row r="5"/>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9"/>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0"/>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5"/>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29"/>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4"/>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8"/>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4"/>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4"/>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0"/>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24" t="inlineStr">
        <is>
          <t>Event</t>
        </is>
      </c>
      <c r="B1" t="inlineStr">
        <is>
          <t>CELH Q1 2026 Earnings Call</t>
        </is>
      </c>
    </row>
    <row r="2">
      <c r="A2" s="24" t="inlineStr">
        <is>
          <t>Date</t>
        </is>
      </c>
      <c r="B2" t="inlineStr">
        <is>
          <t>2026-05-07</t>
        </is>
      </c>
    </row>
    <row r="3"/>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0"/>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19"/>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6"/>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4"/>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4"/>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5"/>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B2:S109"/>
  <sheetViews>
    <sheetView tabSelected="1" topLeftCell="A70" zoomScale="85" zoomScaleNormal="85" workbookViewId="0">
      <selection activeCell="C108" sqref="C108"/>
    </sheetView>
  </sheetViews>
  <sheetFormatPr baseColWidth="8" defaultRowHeight="14.4"/>
  <cols>
    <col width="35.44140625" bestFit="1" customWidth="1" min="3" max="3"/>
  </cols>
  <sheetData>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26" t="n">
        <v>-81</v>
      </c>
      <c r="E60" s="26" t="n">
        <v>-327.5</v>
      </c>
    </row>
    <row r="61">
      <c r="C61" t="inlineStr">
        <is>
          <t>Sales &amp; Marketing</t>
        </is>
      </c>
      <c r="D61" s="27">
        <f>SUM(D59:D60)</f>
        <v/>
      </c>
      <c r="E61" s="27">
        <f>SUM(E59:E60)</f>
        <v/>
      </c>
      <c r="F61" s="28" t="n"/>
    </row>
    <row r="62">
      <c r="D62" s="29" t="n"/>
    </row>
    <row r="63">
      <c r="C63" t="inlineStr">
        <is>
          <t>Administrative</t>
        </is>
      </c>
      <c r="D63" s="15" t="n">
        <v>81</v>
      </c>
      <c r="E63" t="n">
        <v>250</v>
      </c>
    </row>
    <row r="64">
      <c r="C64" t="inlineStr">
        <is>
          <t>Acquisition Cost Adjustment</t>
        </is>
      </c>
      <c r="D64" s="26" t="n">
        <v>-5</v>
      </c>
      <c r="E64" s="26"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1.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2026-05-17T14:41:02Z</dcterms:modified>
  <cp:lastModifiedBy>Gabriel Rodino</cp:lastModifiedBy>
</cp:coreProperties>
</file>