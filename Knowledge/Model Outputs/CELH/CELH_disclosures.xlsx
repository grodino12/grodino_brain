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rodin\Desktop\Brain\Knowledge\Model Outputs\CELH\"/>
    </mc:Choice>
  </mc:AlternateContent>
  <xr:revisionPtr revIDLastSave="0" documentId="13_ncr:1_{A8005931-1905-40DE-AD8B-8ABF14C086F1}" xr6:coauthVersionLast="47" xr6:coauthVersionMax="47" xr10:uidLastSave="{00000000-0000-0000-0000-000000000000}"/>
  <bookViews>
    <workbookView xWindow="-108" yWindow="-108" windowWidth="23256" windowHeight="12456" xr2:uid="{00000000-000D-0000-FFFF-FFFF00000000}"/>
  </bookViews>
  <sheets>
    <sheet name="KPI Consolidated" sheetId="1" r:id="rId1"/>
    <sheet name="01 2018Q3 Earnings" sheetId="2" r:id="rId2"/>
    <sheet name="02 2018Q4 Earnings" sheetId="3" r:id="rId3"/>
    <sheet name="03 2019Q1 Earnings" sheetId="4" r:id="rId4"/>
    <sheet name="04 2019Q2 Earnings" sheetId="5" r:id="rId5"/>
    <sheet name="05 2019Q3 Earnings" sheetId="6" r:id="rId6"/>
    <sheet name="06 2019Q4 Earnings" sheetId="7" r:id="rId7"/>
    <sheet name="07 Q1 2020 Earnings" sheetId="8" r:id="rId8"/>
    <sheet name="08 Q2 2020 Earnings" sheetId="9" r:id="rId9"/>
    <sheet name="09 LD Micro Conf" sheetId="10" r:id="rId10"/>
    <sheet name="10 Q3 2020 Earnings" sheetId="11" r:id="rId11"/>
    <sheet name="11 UBS Conference" sheetId="12" r:id="rId12"/>
    <sheet name="12 2020Q4 Earnings" sheetId="13" r:id="rId13"/>
    <sheet name="13 Q1 2021 Earnings" sheetId="14" r:id="rId14"/>
    <sheet name="14 2021Q2 Earnings" sheetId="15" r:id="rId15"/>
    <sheet name="15 Annual Shareholder Mtg" sheetId="16" r:id="rId16"/>
    <sheet name="16 2021Q3 Earnings" sheetId="17" r:id="rId17"/>
    <sheet name="17 Jefferies Conference" sheetId="18" r:id="rId18"/>
    <sheet name="18 Morgan Stanley Conf" sheetId="19" r:id="rId19"/>
    <sheet name="19 Q4 2021 Earnings" sheetId="20" r:id="rId20"/>
    <sheet name="20 2022Q1 Earnings" sheetId="21" r:id="rId21"/>
    <sheet name="21 Credit Suisse Conf" sheetId="22" r:id="rId22"/>
    <sheet name="22 Annual Shareholder Mtg" sheetId="23" r:id="rId23"/>
    <sheet name="23 Evercore Conference" sheetId="24" r:id="rId24"/>
    <sheet name="24 Stifel Conference" sheetId="25" r:id="rId25"/>
    <sheet name="25 PepsiCo Distribution" sheetId="26" r:id="rId26"/>
    <sheet name="26 2022Q2 Earnings" sheetId="27" r:id="rId27"/>
    <sheet name="27 2022Q3 Earnings" sheetId="28" r:id="rId28"/>
    <sheet name="28 2022Q4 Earnings" sheetId="29" r:id="rId29"/>
    <sheet name="29 2023Q1 Earnings" sheetId="30" r:id="rId30"/>
    <sheet name="30 Goldman Sachs Conference" sheetId="31" r:id="rId31"/>
    <sheet name="31 Annual General Meeting" sheetId="32" r:id="rId32"/>
    <sheet name="32 Stifel Conference" sheetId="33" r:id="rId33"/>
    <sheet name="33 Evercore Conference" sheetId="34" r:id="rId34"/>
    <sheet name="34 2023Q2 Earnings" sheetId="35" r:id="rId35"/>
    <sheet name="35 Barclays Conf 2023-09" sheetId="36" r:id="rId36"/>
    <sheet name="36 Piper Sandler Conf 09-13" sheetId="37" r:id="rId37"/>
    <sheet name="37 2023Q3 Earnings" sheetId="38" r:id="rId38"/>
    <sheet name="38 Stephens Conf 2023-11" sheetId="39" r:id="rId39"/>
    <sheet name="39 Morgan Stanley Conf 12-06" sheetId="40" r:id="rId40"/>
    <sheet name="40 2023Q4 Earnings" sheetId="41" r:id="rId41"/>
    <sheet name="41 UBS Conference" sheetId="42" r:id="rId42"/>
    <sheet name="42 Q1 2024 Earnings" sheetId="43" r:id="rId43"/>
    <sheet name="43 Goldman Sachs 2024-05-14" sheetId="44" r:id="rId44"/>
    <sheet name="44 William Blair 2024-06-04" sheetId="45" r:id="rId45"/>
    <sheet name="45 Evercore ISI 2024-06-11" sheetId="46" r:id="rId46"/>
    <sheet name="46 2024Q2 Earnings" sheetId="47" r:id="rId47"/>
    <sheet name="47 Barclays Conf 2024-09" sheetId="48" r:id="rId48"/>
    <sheet name="48 Piper Sandler Conf" sheetId="49" r:id="rId49"/>
    <sheet name="49 2024Q3 Earnings" sheetId="50" r:id="rId50"/>
    <sheet name="50 Morgan Stanley Conf" sheetId="51" r:id="rId51"/>
    <sheet name="51 2024Q4 Earnings" sheetId="52" r:id="rId52"/>
    <sheet name="52 CAGNY Conf 2025-02-21" sheetId="53" r:id="rId53"/>
    <sheet name="53 UBS Conf 2025-03-12" sheetId="54" r:id="rId54"/>
    <sheet name="54 ROTH Conf 2025-03-18" sheetId="55" r:id="rId55"/>
    <sheet name="55 2025Q1 Earnings" sheetId="56" r:id="rId56"/>
    <sheet name="56 Goldman Sachs Conf" sheetId="57" r:id="rId57"/>
    <sheet name="57 Acquiring Alani Nu" sheetId="58" r:id="rId58"/>
    <sheet name="58 Deutsche Bank Conf" sheetId="59" r:id="rId59"/>
    <sheet name="59 William Blair Conf" sheetId="60" r:id="rId60"/>
    <sheet name="60 2025Q2 Earnings" sheetId="61" r:id="rId61"/>
    <sheet name="61 Barclays Conf 2025-09" sheetId="62" r:id="rId62"/>
    <sheet name="62 Piper Sandler 2025-09" sheetId="63" r:id="rId63"/>
    <sheet name="63 2025Q3 Earnings" sheetId="64" r:id="rId64"/>
    <sheet name="64 Morgan Stanley 2025-12" sheetId="65" r:id="rId65"/>
    <sheet name="65 CAGNY Conf 2026-02" sheetId="66" r:id="rId66"/>
    <sheet name="66 2025Q4 Earnings PR" sheetId="67" r:id="rId67"/>
    <sheet name="67 2025Q4 Earnings" sheetId="68" r:id="rId68"/>
    <sheet name="68 UBS Conference" sheetId="69" r:id="rId69"/>
    <sheet name="69 2026Q1 Earnings" sheetId="70" r:id="rId70"/>
    <sheet name=" Transcript Reports" sheetId="71" r:id="rId71"/>
    <sheet name="Disclosures" sheetId="72" r:id="rId72"/>
  </sheets>
  <calcPr calcId="191029" iterate="1" iterateCount="20"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5" i="71" l="1"/>
  <c r="D65" i="71"/>
  <c r="E61" i="71"/>
  <c r="D61" i="71"/>
  <c r="G59" i="71"/>
  <c r="D55" i="71"/>
  <c r="D46" i="7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transcript consolidation</author>
  </authors>
  <commentList>
    <comment ref="C5" authorId="0" shapeId="0" xr:uid="{00000000-0006-0000-0000-000001000000}">
      <text>
        <r>
          <rPr>
            <sz val="11"/>
            <color theme="1"/>
            <rFont val="Calibri"/>
            <family val="2"/>
            <scheme val="minor"/>
          </rPr>
          <t>Source: Q3 2018 Earnings Call
Date: 2018-11-09
Workbook tab: 01 2018Q3 Earnings
Digest label: “Total Revenue Q3 2018”</t>
        </r>
      </text>
    </comment>
    <comment ref="D5" authorId="0" shapeId="0" xr:uid="{00000000-0006-0000-0000-000002000000}">
      <text>
        <r>
          <rPr>
            <sz val="11"/>
            <color theme="1"/>
            <rFont val="Calibri"/>
            <family val="2"/>
            <scheme val="minor"/>
          </rPr>
          <t>Source: Q3 2018 Earnings Call
Date: 2018-11-09
Workbook tab: 01 2018Q3 Earnings
Digest label: “Total Revenue 9M 2018”</t>
        </r>
      </text>
    </comment>
    <comment ref="E5" authorId="0" shapeId="0" xr:uid="{00000000-0006-0000-0000-000003000000}">
      <text>
        <r>
          <rPr>
            <sz val="11"/>
            <color theme="1"/>
            <rFont val="Calibri"/>
            <family val="2"/>
            <scheme val="minor"/>
          </rPr>
          <t>Source: Q4 &amp; Full-Year 2018 Earnings Call
Date: 2019-03-14
Workbook tab: 02 2018Q4 Earnings
Digest label: “Total Revenue Q4 2018”</t>
        </r>
      </text>
    </comment>
    <comment ref="F5" authorId="0" shapeId="0" xr:uid="{00000000-0006-0000-0000-000004000000}">
      <text>
        <r>
          <rPr>
            <sz val="11"/>
            <color theme="1"/>
            <rFont val="Calibri"/>
            <family val="2"/>
            <scheme val="minor"/>
          </rPr>
          <t>Source: Q4 &amp; Full-Year 2018 Earnings Call
Date: 2019-03-14
Workbook tab: 02 2018Q4 Earnings
Digest label: “Total Revenue FY2018”</t>
        </r>
      </text>
    </comment>
    <comment ref="G5" authorId="0" shapeId="0" xr:uid="{00000000-0006-0000-0000-000005000000}">
      <text>
        <r>
          <rPr>
            <sz val="11"/>
            <color theme="1"/>
            <rFont val="Calibri"/>
            <family val="2"/>
            <scheme val="minor"/>
          </rPr>
          <t>Source: Q1 2019 Earnings Call
Date: 2019-05-09
Workbook tab: 03 2019Q1 Earnings
Digest label: “Total Revenue Q1 2019”</t>
        </r>
      </text>
    </comment>
    <comment ref="H5" authorId="0" shapeId="0" xr:uid="{00000000-0006-0000-0000-000006000000}">
      <text>
        <r>
          <rPr>
            <sz val="11"/>
            <color theme="1"/>
            <rFont val="Calibri"/>
            <family val="2"/>
            <scheme val="minor"/>
          </rPr>
          <t>Source: Q2 2019 Earnings Call
Date: 2019-08-08
Workbook tab: 04 2019Q2 Earnings
Digest label: “Total Revenue Q2 2019”</t>
        </r>
      </text>
    </comment>
    <comment ref="I5" authorId="0" shapeId="0" xr:uid="{00000000-0006-0000-0000-000007000000}">
      <text>
        <r>
          <rPr>
            <sz val="11"/>
            <color theme="1"/>
            <rFont val="Calibri"/>
            <family val="2"/>
            <scheme val="minor"/>
          </rPr>
          <t>Source: Q2 2019 Earnings Call
Date: 2019-08-08
Workbook tab: 04 2019Q2 Earnings
Digest label: “Total Revenue H1 2019”</t>
        </r>
      </text>
    </comment>
    <comment ref="J5" authorId="0" shapeId="0" xr:uid="{00000000-0006-0000-0000-000008000000}">
      <text>
        <r>
          <rPr>
            <sz val="11"/>
            <color theme="1"/>
            <rFont val="Calibri"/>
            <family val="2"/>
            <scheme val="minor"/>
          </rPr>
          <t>Source: Q3 2019 Earnings Call
Date: 2019-11-07
Workbook tab: 05 2019Q3 Earnings
Digest label: “Total Revenue Q3 2019”</t>
        </r>
      </text>
    </comment>
    <comment ref="K5" authorId="0" shapeId="0" xr:uid="{00000000-0006-0000-0000-000009000000}">
      <text>
        <r>
          <rPr>
            <sz val="11"/>
            <color theme="1"/>
            <rFont val="Calibri"/>
            <family val="2"/>
            <scheme val="minor"/>
          </rPr>
          <t>Source: Q3 2019 Earnings Call
Date: 2019-11-07
Workbook tab: 05 2019Q3 Earnings
Digest label: “YTD Revenue 9M 2019”</t>
        </r>
      </text>
    </comment>
    <comment ref="L5" authorId="0" shapeId="0" xr:uid="{00000000-0006-0000-0000-00000A000000}">
      <text>
        <r>
          <rPr>
            <sz val="11"/>
            <color theme="1"/>
            <rFont val="Calibri"/>
            <family val="2"/>
            <scheme val="minor"/>
          </rPr>
          <t>Source: Q4 &amp; Full-Year 2019 Earnings Call
Date: 2020-03-12
Workbook tab: 06 2019Q4 Earnings
Digest label: “Total Revenue Q4 2019”</t>
        </r>
      </text>
    </comment>
    <comment ref="M5" authorId="0" shapeId="0" xr:uid="{00000000-0006-0000-0000-00000B000000}">
      <text>
        <r>
          <rPr>
            <sz val="11"/>
            <color theme="1"/>
            <rFont val="Calibri"/>
            <family val="2"/>
            <scheme val="minor"/>
          </rPr>
          <t>Source: Q4 &amp; Full-Year 2019 Earnings Call
Date: 2020-03-12
Workbook tab: 06 2019Q4 Earnings
Digest label: “Total Revenue FY2019”</t>
        </r>
      </text>
    </comment>
    <comment ref="N5" authorId="0" shapeId="0" xr:uid="{00000000-0006-0000-0000-00000C000000}">
      <text>
        <r>
          <rPr>
            <sz val="11"/>
            <color theme="1"/>
            <rFont val="Calibri"/>
            <family val="2"/>
            <scheme val="minor"/>
          </rPr>
          <t>Source: Q4 &amp; Full-Year 2020 Earnings Call
Date: 2021-03-11
Workbook tab: 12 2020Q4 Earnings
Digest label: “Total Revenue Q4 2020”</t>
        </r>
      </text>
    </comment>
    <comment ref="Q5" authorId="0" shapeId="0" xr:uid="{00000000-0006-0000-0000-00000D000000}">
      <text>
        <r>
          <rPr>
            <sz val="11"/>
            <color theme="1"/>
            <rFont val="Calibri"/>
            <family val="2"/>
            <scheme val="minor"/>
          </rPr>
          <t>Reported in 2 transcripts (► = figure shown in cell):
► 65.1  —  Q2 2021 Earnings Call (2021-08-12)
   tab: 14 2021Q2 Earnings  |  “Total Revenue”
• 65.1  —  2021 Annual Meeting of Shareholders (2021-08-19)
   tab: 15 Annual Shareholder Mtg  |  “Q2 Revenue”</t>
        </r>
      </text>
    </comment>
    <comment ref="R5" authorId="0" shapeId="0" xr:uid="{00000000-0006-0000-0000-00000E000000}">
      <text>
        <r>
          <rPr>
            <sz val="11"/>
            <color theme="1"/>
            <rFont val="Calibri"/>
            <family val="2"/>
            <scheme val="minor"/>
          </rPr>
          <t>Source: 2021 Annual Meeting of Shareholders
Date: 2021-08-19
Workbook tab: 15 Annual Shareholder Mtg
Digest label: “Total Revenue”</t>
        </r>
      </text>
    </comment>
    <comment ref="S5" authorId="0" shapeId="0" xr:uid="{00000000-0006-0000-0000-00000F000000}">
      <text>
        <r>
          <rPr>
            <sz val="11"/>
            <color theme="1"/>
            <rFont val="Calibri"/>
            <family val="2"/>
            <scheme val="minor"/>
          </rPr>
          <t>Source: Q3 2021 Earnings Call
Date: 2021-11-11
Workbook tab: 16 2021Q3 Earnings
Digest label: “Total Revenue”</t>
        </r>
      </text>
    </comment>
    <comment ref="T5" authorId="0" shapeId="0" xr:uid="{00000000-0006-0000-0000-000010000000}">
      <text>
        <r>
          <rPr>
            <sz val="11"/>
            <color theme="1"/>
            <rFont val="Calibri"/>
            <family val="2"/>
            <scheme val="minor"/>
          </rPr>
          <t>Source: 2022 Annual General Meeting (Annual Meeting of Shareholders)
Date: 2022-06-02
Workbook tab: 22 Annual Shareholder Mtg
Digest label: “Total revenue ($M)”</t>
        </r>
      </text>
    </comment>
    <comment ref="U5" authorId="0" shapeId="0" xr:uid="{00000000-0006-0000-0000-000011000000}">
      <text>
        <r>
          <rPr>
            <sz val="11"/>
            <color theme="1"/>
            <rFont val="Calibri"/>
            <family val="2"/>
            <scheme val="minor"/>
          </rPr>
          <t>Reported in 3 transcripts (► = figure shown in cell):
► 133.4  —  Q1 2022 Earnings Call (2022-05-10)
   tab: 20 2022Q1 Earnings  |  “Total Revenue”
• 133  —  Credit Suisse HALO Investment Summit (2022-05-25)
   tab: 21 Credit Suisse Conf  |  “Revenue ($M)”
• 133  —  2022 Annual General Meeting (Annual Meeting of Shareholders) (2022-06-02)
   tab: 22 Annual Shareholder Mtg  |  “Total revenue ($M)”</t>
        </r>
      </text>
    </comment>
    <comment ref="V5" authorId="0" shapeId="0" xr:uid="{00000000-0006-0000-0000-000012000000}">
      <text>
        <r>
          <rPr>
            <sz val="11"/>
            <color theme="1"/>
            <rFont val="Calibri"/>
            <family val="2"/>
            <scheme val="minor"/>
          </rPr>
          <t>Source: Q2 2022 Earnings Call
Date: 2022-08-09
Workbook tab: 26 2022Q2 Earnings
Digest label: “Total revenue”</t>
        </r>
      </text>
    </comment>
    <comment ref="W5" authorId="0" shapeId="0" xr:uid="{00000000-0006-0000-0000-000013000000}">
      <text>
        <r>
          <rPr>
            <sz val="11"/>
            <color theme="1"/>
            <rFont val="Calibri"/>
            <family val="2"/>
            <scheme val="minor"/>
          </rPr>
          <t>Source: Q3 2022 Earnings Call
Date: 2022-11-09
Workbook tab: 27 2022Q3 Earnings
Digest label: “Total revenue”</t>
        </r>
      </text>
    </comment>
    <comment ref="X5" authorId="0" shapeId="0" xr:uid="{00000000-0006-0000-0000-000014000000}">
      <text>
        <r>
          <rPr>
            <sz val="11"/>
            <color theme="1"/>
            <rFont val="Calibri"/>
            <family val="2"/>
            <scheme val="minor"/>
          </rPr>
          <t>Source: Q4 2022 / FY2022 Earnings Call
Date: 2023-03-01
Workbook tab: 28 2022Q4 Earnings
Digest label: “Total Revenue”</t>
        </r>
      </text>
    </comment>
    <comment ref="Y5" authorId="0" shapeId="0" xr:uid="{00000000-0006-0000-0000-000015000000}">
      <text>
        <r>
          <rPr>
            <sz val="11"/>
            <color theme="1"/>
            <rFont val="Calibri"/>
            <family val="2"/>
            <scheme val="minor"/>
          </rPr>
          <t>Reported in 2 transcripts (► = figure shown in cell):
► 654  —  Q4 2022 / FY2022 Earnings Call (2023-03-01)
   tab: 28 2022Q4 Earnings  |  “Total Revenue”
• 654  —  Celsius Holdings 2023 Annual General Meeting (2023-06-01)
   tab: 31 Annual General Meeting  |  “Revenue”</t>
        </r>
      </text>
    </comment>
    <comment ref="Z5" authorId="0" shapeId="0" xr:uid="{00000000-0006-0000-0000-000016000000}">
      <text>
        <r>
          <rPr>
            <sz val="11"/>
            <color theme="1"/>
            <rFont val="Calibri"/>
            <family val="2"/>
            <scheme val="minor"/>
          </rPr>
          <t>Reported in 2 transcripts (► = figure shown in cell):
► 260  —  Celsius Holdings Q1 2023 Earnings Call (2023-05-09)
   tab: 29 2023Q1 Earnings  |  “Total Revenue”
• 260  —  Celsius Holdings 2023 Annual General Meeting (2023-06-01)
   tab: 31 Annual General Meeting  |  “Revenue”</t>
        </r>
      </text>
    </comment>
    <comment ref="AA5" authorId="0" shapeId="0" xr:uid="{00000000-0006-0000-0000-000017000000}">
      <text>
        <r>
          <rPr>
            <sz val="11"/>
            <color theme="1"/>
            <rFont val="Calibri"/>
            <family val="2"/>
            <scheme val="minor"/>
          </rPr>
          <t>Source: Q2 2023 Earnings Call
Date: 2023-08-08
Workbook tab: 34 2023Q2 Earnings
Digest label: “Total Revenue”</t>
        </r>
      </text>
    </comment>
    <comment ref="AB5" authorId="0" shapeId="0" xr:uid="{00000000-0006-0000-0000-000018000000}">
      <text>
        <r>
          <rPr>
            <sz val="11"/>
            <color theme="1"/>
            <rFont val="Calibri"/>
            <family val="2"/>
            <scheme val="minor"/>
          </rPr>
          <t>Source: Q2 2023 Earnings Call
Date: 2023-08-08
Workbook tab: 34 2023Q2 Earnings
Digest label: “H1 Revenue”</t>
        </r>
      </text>
    </comment>
    <comment ref="AC5" authorId="0" shapeId="0" xr:uid="{00000000-0006-0000-0000-000019000000}">
      <text>
        <r>
          <rPr>
            <sz val="11"/>
            <color theme="1"/>
            <rFont val="Calibri"/>
            <family val="2"/>
            <scheme val="minor"/>
          </rPr>
          <t>Source: Q3 2023 Earnings Call
Date: 2023-11-07
Workbook tab: 37 2023Q3 Earnings
Digest label: “Total Revenue”</t>
        </r>
      </text>
    </comment>
    <comment ref="AD5" authorId="0" shapeId="0" xr:uid="{00000000-0006-0000-0000-00001A000000}">
      <text>
        <r>
          <rPr>
            <sz val="11"/>
            <color theme="1"/>
            <rFont val="Calibri"/>
            <family val="2"/>
            <scheme val="minor"/>
          </rPr>
          <t>Source: Q3 2023 Earnings Call
Date: 2023-11-07
Workbook tab: 37 2023Q3 Earnings
Digest label: “9M Revenue”</t>
        </r>
      </text>
    </comment>
    <comment ref="AE5" authorId="0" shapeId="0" xr:uid="{00000000-0006-0000-0000-00001B000000}">
      <text>
        <r>
          <rPr>
            <sz val="11"/>
            <color theme="1"/>
            <rFont val="Calibri"/>
            <family val="2"/>
            <scheme val="minor"/>
          </rPr>
          <t>Source: Celsius Holdings Q4 2023 Earnings Call
Date: 2024-02-29
Workbook tab: 40 2023Q4 Earnings
Digest label: “Total Revenue”</t>
        </r>
      </text>
    </comment>
    <comment ref="AF5" authorId="0" shapeId="0" xr:uid="{00000000-0006-0000-0000-00001C000000}">
      <text>
        <r>
          <rPr>
            <sz val="11"/>
            <color theme="1"/>
            <rFont val="Calibri"/>
            <family val="2"/>
            <scheme val="minor"/>
          </rPr>
          <t>Source: Celsius Holdings Q4 2023 Earnings Call
Date: 2024-02-29
Workbook tab: 40 2023Q4 Earnings
Digest label: “Total Revenue”</t>
        </r>
      </text>
    </comment>
    <comment ref="AG5" authorId="0" shapeId="0" xr:uid="{00000000-0006-0000-0000-00001D000000}">
      <text>
        <r>
          <rPr>
            <sz val="11"/>
            <color theme="1"/>
            <rFont val="Calibri"/>
            <family val="2"/>
            <scheme val="minor"/>
          </rPr>
          <t>Source: Q1 2024 Earnings Call
Date: 2024-05-07
Workbook tab: 42 Q1 2024 Earnings
Digest label: “Total Revenue”</t>
        </r>
      </text>
    </comment>
    <comment ref="AI5" authorId="0" shapeId="0" xr:uid="{00000000-0006-0000-0000-00001E000000}">
      <text>
        <r>
          <rPr>
            <sz val="11"/>
            <color theme="1"/>
            <rFont val="Calibri"/>
            <family val="2"/>
            <scheme val="minor"/>
          </rPr>
          <t>Reported in 2 transcripts (► = figure shown in cell):
► 1360  —  Q4 2024 Earnings Call (2025-02-20)
   tab: 51 2024Q4 Earnings  |  “Revenue”
• 605  —  Alani Nu Modeling Call (post-closing) (2025-05-28)
   tab: 57 Acquiring Alani Nu  |  “Net Revenues”</t>
        </r>
      </text>
    </comment>
    <comment ref="AJ5" authorId="0" shapeId="0" xr:uid="{00000000-0006-0000-0000-00001F000000}">
      <text>
        <r>
          <rPr>
            <sz val="11"/>
            <color theme="1"/>
            <rFont val="Calibri"/>
            <family val="2"/>
            <scheme val="minor"/>
          </rPr>
          <t>Reported in 2 transcripts (► = figure shown in cell):
► 329.3  —  Q1 2025 Earnings Call (2025-05-06)
   tab: 55 2025Q1 Earnings  |  “Total Revenue”
• -7.0%  —  Q1 2025 Earnings Call (2025-05-06)
   tab: 55 2025Q1 Earnings  |  “Reported revenue (books &amp; records)”</t>
        </r>
      </text>
    </comment>
    <comment ref="AK5" authorId="0" shapeId="0" xr:uid="{00000000-0006-0000-0000-000020000000}">
      <text>
        <r>
          <rPr>
            <sz val="11"/>
            <color theme="1"/>
            <rFont val="Calibri"/>
            <family val="2"/>
            <scheme val="minor"/>
          </rPr>
          <t>Source: CELH Q2 2025 Earnings Call
Date: 2025-08-07
Workbook tab: 60 2025Q2 Earnings
Digest label: “Total Revenue”</t>
        </r>
      </text>
    </comment>
    <comment ref="AL5" authorId="0" shapeId="0" xr:uid="{00000000-0006-0000-0000-000021000000}">
      <text>
        <r>
          <rPr>
            <sz val="11"/>
            <color theme="1"/>
            <rFont val="Calibri"/>
            <family val="2"/>
            <scheme val="minor"/>
          </rPr>
          <t>Source: CELH Q2 2025 Earnings Call
Date: 2025-08-07
Workbook tab: 60 2025Q2 Earnings
Digest label: “Total Revenue ($B)”</t>
        </r>
      </text>
    </comment>
    <comment ref="AM5" authorId="0" shapeId="0" xr:uid="{00000000-0006-0000-0000-000022000000}">
      <text>
        <r>
          <rPr>
            <sz val="11"/>
            <color theme="1"/>
            <rFont val="Calibri"/>
            <family val="2"/>
            <scheme val="minor"/>
          </rPr>
          <t>Source: CELH Q3 2025 Earnings Call
Date: 2025-11-06
Workbook tab: 63 2025Q3 Earnings
Digest label: “Consolidated Revenue ($M)”</t>
        </r>
      </text>
    </comment>
    <comment ref="AO5" authorId="0" shapeId="0" xr:uid="{00000000-0006-0000-0000-000023000000}">
      <text>
        <r>
          <rPr>
            <sz val="11"/>
            <color theme="1"/>
            <rFont val="Calibri"/>
            <family val="2"/>
            <scheme val="minor"/>
          </rPr>
          <t>Reported in 3 transcripts (► = figure shown in cell):
• 2515.3  —  Full-Year 2025 and Fourth Quarter Financial Results Press Release (2026-02-26)
   tab: 66 2025Q4 Earnings PR  |  “Total revenue”
► 1460  —  Q4 2025 / FY2025 Earnings Call (2026-02-26)
   tab: 67 2025Q4 Earnings  |  “Net Sales”
• 56  —  Q4 2025 / FY2025 Earnings Call (2026-02-26)
   tab: 67 2025Q4 Earnings  |  “Net Sales”</t>
        </r>
      </text>
    </comment>
    <comment ref="AP5" authorId="0" shapeId="0" xr:uid="{00000000-0006-0000-0000-000024000000}">
      <text>
        <r>
          <rPr>
            <sz val="11"/>
            <color theme="1"/>
            <rFont val="Calibri"/>
            <family val="2"/>
            <scheme val="minor"/>
          </rPr>
          <t>Source: CELH Q1 2026 Earnings Call
Date: 2026-05-07
Workbook tab: 69 2026Q1 Earnings
Digest label: “Total Revenue”</t>
        </r>
      </text>
    </comment>
    <comment ref="C6" authorId="0" shapeId="0" xr:uid="{00000000-0006-0000-0000-000025000000}">
      <text>
        <r>
          <rPr>
            <sz val="11"/>
            <color theme="1"/>
            <rFont val="Calibri"/>
            <family val="2"/>
            <scheme val="minor"/>
          </rPr>
          <t>Source: Q3 2018 Earnings Call
Date: 2018-11-09
Workbook tab: 01 2018Q3 Earnings
Digest label: “North America Revenue Q3 2018”</t>
        </r>
      </text>
    </comment>
    <comment ref="E6" authorId="0" shapeId="0" xr:uid="{00000000-0006-0000-0000-000026000000}">
      <text>
        <r>
          <rPr>
            <sz val="11"/>
            <color theme="1"/>
            <rFont val="Calibri"/>
            <family val="2"/>
            <scheme val="minor"/>
          </rPr>
          <t>Source: Q4 &amp; Full-Year 2018 Earnings Call
Date: 2019-03-14
Workbook tab: 02 2018Q4 Earnings
Digest label: “North America Revenue Q4 2018”</t>
        </r>
      </text>
    </comment>
    <comment ref="F6" authorId="0" shapeId="0" xr:uid="{00000000-0006-0000-0000-000027000000}">
      <text>
        <r>
          <rPr>
            <sz val="11"/>
            <color theme="1"/>
            <rFont val="Calibri"/>
            <family val="2"/>
            <scheme val="minor"/>
          </rPr>
          <t>Source: Q4 &amp; Full-Year 2018 Earnings Call
Date: 2019-03-14
Workbook tab: 02 2018Q4 Earnings
Digest label: “North America Revenue FY2018”</t>
        </r>
      </text>
    </comment>
    <comment ref="G6" authorId="0" shapeId="0" xr:uid="{00000000-0006-0000-0000-000028000000}">
      <text>
        <r>
          <rPr>
            <sz val="11"/>
            <color theme="1"/>
            <rFont val="Calibri"/>
            <family val="2"/>
            <scheme val="minor"/>
          </rPr>
          <t>Source: Q1 2019 Earnings Call
Date: 2019-05-09
Workbook tab: 03 2019Q1 Earnings
Digest label: “North America Revenue Q1 2019”</t>
        </r>
      </text>
    </comment>
    <comment ref="J6" authorId="0" shapeId="0" xr:uid="{00000000-0006-0000-0000-000029000000}">
      <text>
        <r>
          <rPr>
            <sz val="11"/>
            <color theme="1"/>
            <rFont val="Calibri"/>
            <family val="2"/>
            <scheme val="minor"/>
          </rPr>
          <t>Source: Q3 2019 Earnings Call
Date: 2019-11-07
Workbook tab: 05 2019Q3 Earnings
Digest label: “North America Revenue Q3 2019”</t>
        </r>
      </text>
    </comment>
    <comment ref="L6" authorId="0" shapeId="0" xr:uid="{00000000-0006-0000-0000-00002A000000}">
      <text>
        <r>
          <rPr>
            <sz val="11"/>
            <color theme="1"/>
            <rFont val="Calibri"/>
            <family val="2"/>
            <scheme val="minor"/>
          </rPr>
          <t>Source: Q4 &amp; Full-Year 2019 Earnings Call
Date: 2020-03-12
Workbook tab: 06 2019Q4 Earnings
Digest label: “North America Revenue Q4 2019”</t>
        </r>
      </text>
    </comment>
    <comment ref="M6" authorId="0" shapeId="0" xr:uid="{00000000-0006-0000-0000-00002B000000}">
      <text>
        <r>
          <rPr>
            <sz val="11"/>
            <color theme="1"/>
            <rFont val="Calibri"/>
            <family val="2"/>
            <scheme val="minor"/>
          </rPr>
          <t>Source: Q4 &amp; Full-Year 2019 Earnings Call
Date: 2020-03-12
Workbook tab: 06 2019Q4 Earnings
Digest label: “North America Revenue FY2019”</t>
        </r>
      </text>
    </comment>
    <comment ref="N6" authorId="0" shapeId="0" xr:uid="{00000000-0006-0000-0000-00002C000000}">
      <text>
        <r>
          <rPr>
            <sz val="11"/>
            <color theme="1"/>
            <rFont val="Calibri"/>
            <family val="2"/>
            <scheme val="minor"/>
          </rPr>
          <t>Source: Q4 &amp; Full-Year 2020 Earnings Call
Date: 2021-03-11
Workbook tab: 12 2020Q4 Earnings
Digest label: “North America / Domestic Revenue Q4 2020”</t>
        </r>
      </text>
    </comment>
    <comment ref="Q6" authorId="0" shapeId="0" xr:uid="{00000000-0006-0000-0000-00002D000000}">
      <text>
        <r>
          <rPr>
            <sz val="11"/>
            <color theme="1"/>
            <rFont val="Calibri"/>
            <family val="2"/>
            <scheme val="minor"/>
          </rPr>
          <t>Source: Q2 2021 Earnings Call
Date: 2021-08-12
Workbook tab: 14 2021Q2 Earnings
Digest label: “North America / Domestic”</t>
        </r>
      </text>
    </comment>
    <comment ref="R6" authorId="0" shapeId="0" xr:uid="{00000000-0006-0000-0000-00002E000000}">
      <text>
        <r>
          <rPr>
            <sz val="11"/>
            <color theme="1"/>
            <rFont val="Calibri"/>
            <family val="2"/>
            <scheme val="minor"/>
          </rPr>
          <t>Source: 2021 Annual Meeting of Shareholders
Date: 2021-08-19
Workbook tab: 15 Annual Shareholder Mtg
Digest label: “North America Revenue”</t>
        </r>
      </text>
    </comment>
    <comment ref="S6" authorId="0" shapeId="0" xr:uid="{00000000-0006-0000-0000-00002F000000}">
      <text>
        <r>
          <rPr>
            <sz val="11"/>
            <color theme="1"/>
            <rFont val="Calibri"/>
            <family val="2"/>
            <scheme val="minor"/>
          </rPr>
          <t>Source: Q3 2021 Earnings Call
Date: 2021-11-11
Workbook tab: 16 2021Q3 Earnings
Digest label: “North America / Domestic”</t>
        </r>
      </text>
    </comment>
    <comment ref="T6" authorId="0" shapeId="0" xr:uid="{00000000-0006-0000-0000-000030000000}">
      <text>
        <r>
          <rPr>
            <sz val="11"/>
            <color theme="1"/>
            <rFont val="Calibri"/>
            <family val="2"/>
            <scheme val="minor"/>
          </rPr>
          <t>Source: 2022 Annual General Meeting (Annual Meeting of Shareholders)
Date: 2022-06-02
Workbook tab: 22 Annual Shareholder Mtg
Digest label: “North American revenue ($M)”</t>
        </r>
      </text>
    </comment>
    <comment ref="U6" authorId="0" shapeId="0" xr:uid="{00000000-0006-0000-0000-000031000000}">
      <text>
        <r>
          <rPr>
            <sz val="11"/>
            <color theme="1"/>
            <rFont val="Calibri"/>
            <family val="2"/>
            <scheme val="minor"/>
          </rPr>
          <t>Source: Q1 2022 Earnings Call
Date: 2022-05-10
Workbook tab: 20 2022Q1 Earnings
Digest label: “Domestic / North American Revenue”</t>
        </r>
      </text>
    </comment>
    <comment ref="V6" authorId="0" shapeId="0" xr:uid="{00000000-0006-0000-0000-000032000000}">
      <text>
        <r>
          <rPr>
            <sz val="11"/>
            <color theme="1"/>
            <rFont val="Calibri"/>
            <family val="2"/>
            <scheme val="minor"/>
          </rPr>
          <t>Source: Q2 2022 Earnings Call
Date: 2022-08-09
Workbook tab: 26 2022Q2 Earnings
Digest label: “US / North America revenue”</t>
        </r>
      </text>
    </comment>
    <comment ref="W6" authorId="0" shapeId="0" xr:uid="{00000000-0006-0000-0000-000033000000}">
      <text>
        <r>
          <rPr>
            <sz val="11"/>
            <color theme="1"/>
            <rFont val="Calibri"/>
            <family val="2"/>
            <scheme val="minor"/>
          </rPr>
          <t>Source: Q3 2022 Earnings Call
Date: 2022-11-09
Workbook tab: 27 2022Q3 Earnings
Digest label: “US / North America revenue”</t>
        </r>
      </text>
    </comment>
    <comment ref="X6" authorId="0" shapeId="0" xr:uid="{00000000-0006-0000-0000-000034000000}">
      <text>
        <r>
          <rPr>
            <sz val="11"/>
            <color theme="1"/>
            <rFont val="Calibri"/>
            <family val="2"/>
            <scheme val="minor"/>
          </rPr>
          <t>Source: Q4 2022 / FY2022 Earnings Call
Date: 2023-03-01
Workbook tab: 28 2022Q4 Earnings
Digest label: “North America Revenue”</t>
        </r>
      </text>
    </comment>
    <comment ref="Z6" authorId="0" shapeId="0" xr:uid="{00000000-0006-0000-0000-000035000000}">
      <text>
        <r>
          <rPr>
            <sz val="11"/>
            <color theme="1"/>
            <rFont val="Calibri"/>
            <family val="2"/>
            <scheme val="minor"/>
          </rPr>
          <t>Reported in 2 transcripts (► = figure shown in cell):
► 249  —  Celsius Holdings Q1 2023 Earnings Call (2023-05-09)
   tab: 29 2023Q1 Earnings  |  “North America”
• 249  —  Celsius Holdings 2023 Annual General Meeting (2023-06-01)
   tab: 31 Annual General Meeting  |  “North America Revenue”</t>
        </r>
      </text>
    </comment>
    <comment ref="AA6" authorId="0" shapeId="0" xr:uid="{00000000-0006-0000-0000-000036000000}">
      <text>
        <r>
          <rPr>
            <sz val="11"/>
            <color theme="1"/>
            <rFont val="Calibri"/>
            <family val="2"/>
            <scheme val="minor"/>
          </rPr>
          <t>Source: Q2 2023 Earnings Call
Date: 2023-08-08
Workbook tab: 34 2023Q2 Earnings
Digest label: “North America Revenue”</t>
        </r>
      </text>
    </comment>
    <comment ref="AB6" authorId="0" shapeId="0" xr:uid="{00000000-0006-0000-0000-000037000000}">
      <text>
        <r>
          <rPr>
            <sz val="11"/>
            <color theme="1"/>
            <rFont val="Calibri"/>
            <family val="2"/>
            <scheme val="minor"/>
          </rPr>
          <t>Source: Q2 2023 Earnings Call
Date: 2023-08-08
Workbook tab: 34 2023Q2 Earnings
Digest label: “H1 North America Revenue”</t>
        </r>
      </text>
    </comment>
    <comment ref="AC6" authorId="0" shapeId="0" xr:uid="{00000000-0006-0000-0000-000038000000}">
      <text>
        <r>
          <rPr>
            <sz val="11"/>
            <color theme="1"/>
            <rFont val="Calibri"/>
            <family val="2"/>
            <scheme val="minor"/>
          </rPr>
          <t>Source: Q3 2023 Earnings Call
Date: 2023-11-07
Workbook tab: 37 2023Q3 Earnings
Digest label: “North America Revenue”</t>
        </r>
      </text>
    </comment>
    <comment ref="AE6" authorId="0" shapeId="0" xr:uid="{00000000-0006-0000-0000-000039000000}">
      <text>
        <r>
          <rPr>
            <sz val="11"/>
            <color theme="1"/>
            <rFont val="Calibri"/>
            <family val="2"/>
            <scheme val="minor"/>
          </rPr>
          <t>Source: Celsius Holdings Q4 2023 Earnings Call
Date: 2024-02-29
Workbook tab: 40 2023Q4 Earnings
Digest label: “North America”</t>
        </r>
      </text>
    </comment>
    <comment ref="AF6" authorId="0" shapeId="0" xr:uid="{00000000-0006-0000-0000-00003A000000}">
      <text>
        <r>
          <rPr>
            <sz val="11"/>
            <color theme="1"/>
            <rFont val="Calibri"/>
            <family val="2"/>
            <scheme val="minor"/>
          </rPr>
          <t>Source: Celsius Holdings Q4 2023 Earnings Call
Date: 2024-02-29
Workbook tab: 40 2023Q4 Earnings
Digest label: “North America”</t>
        </r>
      </text>
    </comment>
    <comment ref="AG6" authorId="0" shapeId="0" xr:uid="{00000000-0006-0000-0000-00003B000000}">
      <text>
        <r>
          <rPr>
            <sz val="11"/>
            <color theme="1"/>
            <rFont val="Calibri"/>
            <family val="2"/>
            <scheme val="minor"/>
          </rPr>
          <t>Source: Q1 2024 Earnings Call
Date: 2024-05-07
Workbook tab: 42 Q1 2024 Earnings
Digest label: “North America Revenue”</t>
        </r>
      </text>
    </comment>
    <comment ref="AK6" authorId="0" shapeId="0" xr:uid="{00000000-0006-0000-0000-00003C000000}">
      <text>
        <r>
          <rPr>
            <sz val="11"/>
            <color theme="1"/>
            <rFont val="Calibri"/>
            <family val="2"/>
            <scheme val="minor"/>
          </rPr>
          <t>Source: CELH Q2 2025 Earnings Call
Date: 2025-08-07
Workbook tab: 60 2025Q2 Earnings
Digest label: “North America (H1)”</t>
        </r>
      </text>
    </comment>
    <comment ref="AO6" authorId="0" shapeId="0" xr:uid="{00000000-0006-0000-0000-00003D000000}">
      <text>
        <r>
          <rPr>
            <sz val="11"/>
            <color theme="1"/>
            <rFont val="Calibri"/>
            <family val="2"/>
            <scheme val="minor"/>
          </rPr>
          <t>Source: Full-Year 2025 and Fourth Quarter Financial Results Press Release
Date: 2026-02-26
Workbook tab: 66 2025Q4 Earnings PR
Digest label: “North America revenue”</t>
        </r>
      </text>
    </comment>
    <comment ref="F7" authorId="0" shapeId="0" xr:uid="{00000000-0006-0000-0000-00003E000000}">
      <text>
        <r>
          <rPr>
            <sz val="11"/>
            <color theme="1"/>
            <rFont val="Calibri"/>
            <family val="2"/>
            <scheme val="minor"/>
          </rPr>
          <t>Source: Q4 &amp; Full-Year 2018 Earnings Call
Date: 2019-03-14
Workbook tab: 02 2018Q4 Earnings
Digest label: “International Revenue FY2018”</t>
        </r>
      </text>
    </comment>
    <comment ref="G7" authorId="0" shapeId="0" xr:uid="{00000000-0006-0000-0000-00003F000000}">
      <text>
        <r>
          <rPr>
            <sz val="11"/>
            <color theme="1"/>
            <rFont val="Calibri"/>
            <family val="2"/>
            <scheme val="minor"/>
          </rPr>
          <t>Source: Q1 2019 Earnings Call
Date: 2019-05-09
Workbook tab: 03 2019Q1 Earnings
Digest label: “International Revenue Q1 2019”</t>
        </r>
      </text>
    </comment>
    <comment ref="N7" authorId="0" shapeId="0" xr:uid="{00000000-0006-0000-0000-000040000000}">
      <text>
        <r>
          <rPr>
            <sz val="11"/>
            <color theme="1"/>
            <rFont val="Calibri"/>
            <family val="2"/>
            <scheme val="minor"/>
          </rPr>
          <t>Source: Q4 &amp; Full-Year 2020 Earnings Call
Date: 2021-03-11
Workbook tab: 12 2020Q4 Earnings
Digest label: “International Revenue Q4 2020”</t>
        </r>
      </text>
    </comment>
    <comment ref="Q7" authorId="0" shapeId="0" xr:uid="{00000000-0006-0000-0000-000041000000}">
      <text>
        <r>
          <rPr>
            <sz val="11"/>
            <color theme="1"/>
            <rFont val="Calibri"/>
            <family val="2"/>
            <scheme val="minor"/>
          </rPr>
          <t>Source: Q2 2021 Earnings Call
Date: 2021-08-12
Workbook tab: 14 2021Q2 Earnings
Digest label: “International”</t>
        </r>
      </text>
    </comment>
    <comment ref="R7" authorId="0" shapeId="0" xr:uid="{00000000-0006-0000-0000-000042000000}">
      <text>
        <r>
          <rPr>
            <sz val="11"/>
            <color theme="1"/>
            <rFont val="Calibri"/>
            <family val="2"/>
            <scheme val="minor"/>
          </rPr>
          <t>Source: 2021 Annual Meeting of Shareholders
Date: 2021-08-19
Workbook tab: 15 Annual Shareholder Mtg
Digest label: “International Revenue”</t>
        </r>
      </text>
    </comment>
    <comment ref="S7" authorId="0" shapeId="0" xr:uid="{00000000-0006-0000-0000-000043000000}">
      <text>
        <r>
          <rPr>
            <sz val="11"/>
            <color theme="1"/>
            <rFont val="Calibri"/>
            <family val="2"/>
            <scheme val="minor"/>
          </rPr>
          <t>Source: Q3 2021 Earnings Call
Date: 2021-11-11
Workbook tab: 16 2021Q3 Earnings
Digest label: “International”</t>
        </r>
      </text>
    </comment>
    <comment ref="T7" authorId="0" shapeId="0" xr:uid="{00000000-0006-0000-0000-000044000000}">
      <text>
        <r>
          <rPr>
            <sz val="11"/>
            <color theme="1"/>
            <rFont val="Calibri"/>
            <family val="2"/>
            <scheme val="minor"/>
          </rPr>
          <t>Source: 2022 Annual General Meeting (Annual Meeting of Shareholders)
Date: 2022-06-02
Workbook tab: 22 Annual Shareholder Mtg
Digest label: “International revenue ($M)”</t>
        </r>
      </text>
    </comment>
    <comment ref="U7" authorId="0" shapeId="0" xr:uid="{00000000-0006-0000-0000-000045000000}">
      <text>
        <r>
          <rPr>
            <sz val="11"/>
            <color theme="1"/>
            <rFont val="Calibri"/>
            <family val="2"/>
            <scheme val="minor"/>
          </rPr>
          <t>Reported in 2 transcripts (► = figure shown in cell):
► 9.9  —  Q1 2022 Earnings Call (2022-05-10)
   tab: 20 2022Q1 Earnings  |  “International Revenue (total)”
• 10  —  2022 Annual General Meeting (Annual Meeting of Shareholders) (2022-06-02)
   tab: 22 Annual Shareholder Mtg  |  “International revenue ($M)”</t>
        </r>
      </text>
    </comment>
    <comment ref="V7" authorId="0" shapeId="0" xr:uid="{00000000-0006-0000-0000-000046000000}">
      <text>
        <r>
          <rPr>
            <sz val="11"/>
            <color theme="1"/>
            <rFont val="Calibri"/>
            <family val="2"/>
            <scheme val="minor"/>
          </rPr>
          <t>Source: Q2 2022 Earnings Call
Date: 2022-08-09
Workbook tab: 26 2022Q2 Earnings
Digest label: “International sales”</t>
        </r>
      </text>
    </comment>
    <comment ref="W7" authorId="0" shapeId="0" xr:uid="{00000000-0006-0000-0000-000047000000}">
      <text>
        <r>
          <rPr>
            <sz val="11"/>
            <color theme="1"/>
            <rFont val="Calibri"/>
            <family val="2"/>
            <scheme val="minor"/>
          </rPr>
          <t>Source: Q3 2022 Earnings Call
Date: 2022-11-09
Workbook tab: 27 2022Q3 Earnings
Digest label: “International sales”</t>
        </r>
      </text>
    </comment>
    <comment ref="X7" authorId="0" shapeId="0" xr:uid="{00000000-0006-0000-0000-000048000000}">
      <text>
        <r>
          <rPr>
            <sz val="11"/>
            <color theme="1"/>
            <rFont val="Calibri"/>
            <family val="2"/>
            <scheme val="minor"/>
          </rPr>
          <t>Source: Q4 2022 / FY2022 Earnings Call
Date: 2023-03-01
Workbook tab: 28 2022Q4 Earnings
Digest label: “International Sales”</t>
        </r>
      </text>
    </comment>
    <comment ref="Z7" authorId="0" shapeId="0" xr:uid="{00000000-0006-0000-0000-000049000000}">
      <text>
        <r>
          <rPr>
            <sz val="11"/>
            <color theme="1"/>
            <rFont val="Calibri"/>
            <family val="2"/>
            <scheme val="minor"/>
          </rPr>
          <t>Source: Celsius Holdings Q1 2023 Earnings Call
Date: 2023-05-09
Workbook tab: 29 2023Q1 Earnings
Digest label: “International”</t>
        </r>
      </text>
    </comment>
    <comment ref="AA7" authorId="0" shapeId="0" xr:uid="{00000000-0006-0000-0000-00004A000000}">
      <text>
        <r>
          <rPr>
            <sz val="11"/>
            <color theme="1"/>
            <rFont val="Calibri"/>
            <family val="2"/>
            <scheme val="minor"/>
          </rPr>
          <t>Source: Q2 2023 Earnings Call
Date: 2023-08-08
Workbook tab: 34 2023Q2 Earnings
Digest label: “International Revenue”</t>
        </r>
      </text>
    </comment>
    <comment ref="AB7" authorId="0" shapeId="0" xr:uid="{00000000-0006-0000-0000-00004B000000}">
      <text>
        <r>
          <rPr>
            <sz val="11"/>
            <color theme="1"/>
            <rFont val="Calibri"/>
            <family val="2"/>
            <scheme val="minor"/>
          </rPr>
          <t>Source: Q2 2023 Earnings Call
Date: 2023-08-08
Workbook tab: 34 2023Q2 Earnings
Digest label: “H1 International Revenue”</t>
        </r>
      </text>
    </comment>
    <comment ref="AC7" authorId="0" shapeId="0" xr:uid="{00000000-0006-0000-0000-00004C000000}">
      <text>
        <r>
          <rPr>
            <sz val="11"/>
            <color theme="1"/>
            <rFont val="Calibri"/>
            <family val="2"/>
            <scheme val="minor"/>
          </rPr>
          <t>Source: Q3 2023 Earnings Call
Date: 2023-11-07
Workbook tab: 37 2023Q3 Earnings
Digest label: “International Revenue”</t>
        </r>
      </text>
    </comment>
    <comment ref="AE7" authorId="0" shapeId="0" xr:uid="{00000000-0006-0000-0000-00004D000000}">
      <text>
        <r>
          <rPr>
            <sz val="11"/>
            <color theme="1"/>
            <rFont val="Calibri"/>
            <family val="2"/>
            <scheme val="minor"/>
          </rPr>
          <t>Source: Celsius Holdings Q4 2023 Earnings Call
Date: 2024-02-29
Workbook tab: 40 2023Q4 Earnings
Digest label: “International”</t>
        </r>
      </text>
    </comment>
    <comment ref="AF7" authorId="0" shapeId="0" xr:uid="{00000000-0006-0000-0000-00004E000000}">
      <text>
        <r>
          <rPr>
            <sz val="11"/>
            <color theme="1"/>
            <rFont val="Calibri"/>
            <family val="2"/>
            <scheme val="minor"/>
          </rPr>
          <t>Source: Celsius Holdings Q4 2023 Earnings Call
Date: 2024-02-29
Workbook tab: 40 2023Q4 Earnings
Digest label: “International”</t>
        </r>
      </text>
    </comment>
    <comment ref="AJ7" authorId="0" shapeId="0" xr:uid="{00000000-0006-0000-0000-00004F000000}">
      <text>
        <r>
          <rPr>
            <sz val="11"/>
            <color theme="1"/>
            <rFont val="Calibri"/>
            <family val="2"/>
            <scheme val="minor"/>
          </rPr>
          <t>Source: Q1 2025 Earnings Call
Date: 2025-05-06
Workbook tab: 55 2025Q1 Earnings
Digest label: “International Revenue”</t>
        </r>
      </text>
    </comment>
    <comment ref="AK7" authorId="0" shapeId="0" xr:uid="{00000000-0006-0000-0000-000050000000}">
      <text>
        <r>
          <rPr>
            <sz val="11"/>
            <color theme="1"/>
            <rFont val="Calibri"/>
            <family val="2"/>
            <scheme val="minor"/>
          </rPr>
          <t>Source: CELH Q2 2025 Earnings Call
Date: 2025-08-07
Workbook tab: 60 2025Q2 Earnings
Digest label: “International (H1)”</t>
        </r>
      </text>
    </comment>
    <comment ref="AO7" authorId="0" shapeId="0" xr:uid="{00000000-0006-0000-0000-000051000000}">
      <text>
        <r>
          <rPr>
            <sz val="11"/>
            <color theme="1"/>
            <rFont val="Calibri"/>
            <family val="2"/>
            <scheme val="minor"/>
          </rPr>
          <t>Source: Full-Year 2025 and Fourth Quarter Financial Results Press Release
Date: 2026-02-26
Workbook tab: 66 2025Q4 Earnings PR
Digest label: “International revenue”</t>
        </r>
      </text>
    </comment>
    <comment ref="E8" authorId="0" shapeId="0" xr:uid="{00000000-0006-0000-0000-000052000000}">
      <text>
        <r>
          <rPr>
            <sz val="11"/>
            <color theme="1"/>
            <rFont val="Calibri"/>
            <family val="2"/>
            <scheme val="minor"/>
          </rPr>
          <t>Source: Q4 &amp; Full-Year 2018 Earnings Call
Date: 2019-03-14
Workbook tab: 02 2018Q4 Earnings
Digest label: “Europe Revenue Q4 2018”</t>
        </r>
      </text>
    </comment>
    <comment ref="J8" authorId="0" shapeId="0" xr:uid="{00000000-0006-0000-0000-000053000000}">
      <text>
        <r>
          <rPr>
            <sz val="11"/>
            <color theme="1"/>
            <rFont val="Calibri"/>
            <family val="2"/>
            <scheme val="minor"/>
          </rPr>
          <t>Source: Q3 2019 Earnings Call
Date: 2019-11-07
Workbook tab: 05 2019Q3 Earnings
Digest label: “Europe Revenue Q3 2019”</t>
        </r>
      </text>
    </comment>
    <comment ref="M8" authorId="0" shapeId="0" xr:uid="{00000000-0006-0000-0000-000054000000}">
      <text>
        <r>
          <rPr>
            <sz val="11"/>
            <color theme="1"/>
            <rFont val="Calibri"/>
            <family val="2"/>
            <scheme val="minor"/>
          </rPr>
          <t>Source: Q4 &amp; Full-Year 2019 Earnings Call
Date: 2020-03-12
Workbook tab: 06 2019Q4 Earnings
Digest label: “Europe Revenue FY2019”</t>
        </r>
      </text>
    </comment>
    <comment ref="N8" authorId="0" shapeId="0" xr:uid="{00000000-0006-0000-0000-000055000000}">
      <text>
        <r>
          <rPr>
            <sz val="11"/>
            <color theme="1"/>
            <rFont val="Calibri"/>
            <family val="2"/>
            <scheme val="minor"/>
          </rPr>
          <t>Source: Q4 &amp; Full-Year 2020 Earnings Call
Date: 2021-03-11
Workbook tab: 12 2020Q4 Earnings
Digest label: “Europe Revenue Q4 2020”</t>
        </r>
      </text>
    </comment>
    <comment ref="Q8" authorId="0" shapeId="0" xr:uid="{00000000-0006-0000-0000-000056000000}">
      <text>
        <r>
          <rPr>
            <sz val="11"/>
            <color theme="1"/>
            <rFont val="Calibri"/>
            <family val="2"/>
            <scheme val="minor"/>
          </rPr>
          <t>Source: Q2 2021 Earnings Call
Date: 2021-08-12
Workbook tab: 14 2021Q2 Earnings
Digest label: “Europe (Nordic)”</t>
        </r>
      </text>
    </comment>
    <comment ref="S8" authorId="0" shapeId="0" xr:uid="{00000000-0006-0000-0000-000057000000}">
      <text>
        <r>
          <rPr>
            <sz val="11"/>
            <color theme="1"/>
            <rFont val="Calibri"/>
            <family val="2"/>
            <scheme val="minor"/>
          </rPr>
          <t>Source: Q3 2021 Earnings Call
Date: 2021-11-11
Workbook tab: 16 2021Q3 Earnings
Digest label: “Europe / Nordic”</t>
        </r>
      </text>
    </comment>
    <comment ref="U8" authorId="0" shapeId="0" xr:uid="{00000000-0006-0000-0000-000058000000}">
      <text>
        <r>
          <rPr>
            <sz val="11"/>
            <color theme="1"/>
            <rFont val="Calibri"/>
            <family val="2"/>
            <scheme val="minor"/>
          </rPr>
          <t>Source: Q1 2022 Earnings Call
Date: 2022-05-10
Workbook tab: 20 2022Q1 Earnings
Digest label: “Europe / Nordics”</t>
        </r>
      </text>
    </comment>
    <comment ref="V8" authorId="0" shapeId="0" xr:uid="{00000000-0006-0000-0000-000059000000}">
      <text>
        <r>
          <rPr>
            <sz val="11"/>
            <color theme="1"/>
            <rFont val="Calibri"/>
            <family val="2"/>
            <scheme val="minor"/>
          </rPr>
          <t>Source: Q2 2022 Earnings Call
Date: 2022-08-09
Workbook tab: 26 2022Q2 Earnings
Digest label: “Nordic revenue”</t>
        </r>
      </text>
    </comment>
    <comment ref="W8" authorId="0" shapeId="0" xr:uid="{00000000-0006-0000-0000-00005A000000}">
      <text>
        <r>
          <rPr>
            <sz val="11"/>
            <color theme="1"/>
            <rFont val="Calibri"/>
            <family val="2"/>
            <scheme val="minor"/>
          </rPr>
          <t>Source: Q3 2022 Earnings Call
Date: 2022-11-09
Workbook tab: 27 2022Q3 Earnings
Digest label: “European revenue”</t>
        </r>
      </text>
    </comment>
    <comment ref="C9" authorId="0" shapeId="0" xr:uid="{00000000-0006-0000-0000-00005B000000}">
      <text>
        <r>
          <rPr>
            <sz val="11"/>
            <color theme="1"/>
            <rFont val="Calibri"/>
            <family val="2"/>
            <scheme val="minor"/>
          </rPr>
          <t>Source: Q3 2018 Earnings Call
Date: 2018-11-09
Workbook tab: 01 2018Q3 Earnings
Digest label: “Asia Revenue Q3 2018”</t>
        </r>
      </text>
    </comment>
    <comment ref="E9" authorId="0" shapeId="0" xr:uid="{00000000-0006-0000-0000-00005C000000}">
      <text>
        <r>
          <rPr>
            <sz val="11"/>
            <color theme="1"/>
            <rFont val="Calibri"/>
            <family val="2"/>
            <scheme val="minor"/>
          </rPr>
          <t>Source: Q4 &amp; Full-Year 2018 Earnings Call
Date: 2019-03-14
Workbook tab: 02 2018Q4 Earnings
Digest label: “Asia Revenue Q4 2018”</t>
        </r>
      </text>
    </comment>
    <comment ref="F9" authorId="0" shapeId="0" xr:uid="{00000000-0006-0000-0000-00005D000000}">
      <text>
        <r>
          <rPr>
            <sz val="11"/>
            <color theme="1"/>
            <rFont val="Calibri"/>
            <family val="2"/>
            <scheme val="minor"/>
          </rPr>
          <t>Source: Q4 &amp; Full-Year 2018 Earnings Call
Date: 2019-03-14
Workbook tab: 02 2018Q4 Earnings
Digest label: “Asia Revenue FY2018”</t>
        </r>
      </text>
    </comment>
    <comment ref="M9" authorId="0" shapeId="0" xr:uid="{00000000-0006-0000-0000-00005E000000}">
      <text>
        <r>
          <rPr>
            <sz val="11"/>
            <color theme="1"/>
            <rFont val="Calibri"/>
            <family val="2"/>
            <scheme val="minor"/>
          </rPr>
          <t>Source: Q4 &amp; Full-Year 2019 Earnings Call
Date: 2020-03-12
Workbook tab: 06 2019Q4 Earnings
Digest label: “Asia Revenue FY2019”</t>
        </r>
      </text>
    </comment>
    <comment ref="N9" authorId="0" shapeId="0" xr:uid="{00000000-0006-0000-0000-00005F000000}">
      <text>
        <r>
          <rPr>
            <sz val="11"/>
            <color theme="1"/>
            <rFont val="Calibri"/>
            <family val="2"/>
            <scheme val="minor"/>
          </rPr>
          <t>Source: Q4 &amp; Full-Year 2020 Earnings Call
Date: 2021-03-11
Workbook tab: 12 2020Q4 Earnings
Digest label: “Asia Revenue Q4 2020 ($000)”</t>
        </r>
      </text>
    </comment>
    <comment ref="U9" authorId="0" shapeId="0" xr:uid="{00000000-0006-0000-0000-000060000000}">
      <text>
        <r>
          <rPr>
            <sz val="11"/>
            <color theme="1"/>
            <rFont val="Calibri"/>
            <family val="2"/>
            <scheme val="minor"/>
          </rPr>
          <t>Source: Q1 2022 Earnings Call
Date: 2022-05-10
Workbook tab: 20 2022Q1 Earnings
Digest label: “Asia (incl. China royalties)”</t>
        </r>
      </text>
    </comment>
    <comment ref="U10" authorId="0" shapeId="0" xr:uid="{00000000-0006-0000-0000-000061000000}">
      <text>
        <r>
          <rPr>
            <sz val="11"/>
            <color theme="1"/>
            <rFont val="Calibri"/>
            <family val="2"/>
            <scheme val="minor"/>
          </rPr>
          <t>Source: Q1 2022 Earnings Call
Date: 2022-05-10
Workbook tab: 20 2022Q1 Earnings
Digest label: “Amazon Revenue”</t>
        </r>
      </text>
    </comment>
    <comment ref="W10" authorId="0" shapeId="0" xr:uid="{00000000-0006-0000-0000-000062000000}">
      <text>
        <r>
          <rPr>
            <sz val="11"/>
            <color theme="1"/>
            <rFont val="Calibri"/>
            <family val="2"/>
            <scheme val="minor"/>
          </rPr>
          <t>Reported in 2 transcripts (► = figure shown in cell):
► 16  —  Q3 2022 Earnings Call (2022-11-09)
   tab: 27 2022Q3 Earnings  |  “Amazon sales ($M)”
• 43  —  Q3 2022 Earnings Call (2022-11-09)
   tab: 27 2022Q3 Earnings  |  “Amazon sales YTD 2022 ($M)”</t>
        </r>
      </text>
    </comment>
    <comment ref="Y10" authorId="0" shapeId="0" xr:uid="{00000000-0006-0000-0000-000063000000}">
      <text>
        <r>
          <rPr>
            <sz val="11"/>
            <color theme="1"/>
            <rFont val="Calibri"/>
            <family val="2"/>
            <scheme val="minor"/>
          </rPr>
          <t>Source: Q4 2022 / FY2022 Earnings Call
Date: 2023-03-01
Workbook tab: 28 2022Q4 Earnings
Digest label: “Amazon Sales”</t>
        </r>
      </text>
    </comment>
    <comment ref="AC10" authorId="0" shapeId="0" xr:uid="{00000000-0006-0000-0000-000064000000}">
      <text>
        <r>
          <rPr>
            <sz val="11"/>
            <color theme="1"/>
            <rFont val="Calibri"/>
            <family val="2"/>
            <scheme val="minor"/>
          </rPr>
          <t>Source: Q3 2023 Earnings Call
Date: 2023-11-07
Workbook tab: 37 2023Q3 Earnings
Digest label: “Amazon Sales”</t>
        </r>
      </text>
    </comment>
    <comment ref="AG10" authorId="0" shapeId="0" xr:uid="{00000000-0006-0000-0000-000065000000}">
      <text>
        <r>
          <rPr>
            <sz val="11"/>
            <color theme="1"/>
            <rFont val="Calibri"/>
            <family val="2"/>
            <scheme val="minor"/>
          </rPr>
          <t>Source: Q1 2024 Earnings Call
Date: 2024-05-07
Workbook tab: 42 Q1 2024 Earnings
Digest label: “Amazon Revenue”</t>
        </r>
      </text>
    </comment>
    <comment ref="C11" authorId="0" shapeId="0" xr:uid="{00000000-0006-0000-0000-000066000000}">
      <text>
        <r>
          <rPr>
            <sz val="11"/>
            <color theme="1"/>
            <rFont val="Calibri"/>
            <family val="2"/>
            <scheme val="minor"/>
          </rPr>
          <t>Source: Q3 2018 Earnings Call
Date: 2018-11-09
Workbook tab: 01 2018Q3 Earnings
Digest label: “Gross Profit Q3 2018 ($M)”</t>
        </r>
      </text>
    </comment>
    <comment ref="D11" authorId="0" shapeId="0" xr:uid="{00000000-0006-0000-0000-000067000000}">
      <text>
        <r>
          <rPr>
            <sz val="11"/>
            <color theme="1"/>
            <rFont val="Calibri"/>
            <family val="2"/>
            <scheme val="minor"/>
          </rPr>
          <t>Source: Q3 2018 Earnings Call
Date: 2018-11-09
Workbook tab: 01 2018Q3 Earnings
Digest label: “Gross Profit 9M 2018 ($M)”</t>
        </r>
      </text>
    </comment>
    <comment ref="E11" authorId="0" shapeId="0" xr:uid="{00000000-0006-0000-0000-000068000000}">
      <text>
        <r>
          <rPr>
            <sz val="11"/>
            <color theme="1"/>
            <rFont val="Calibri"/>
            <family val="2"/>
            <scheme val="minor"/>
          </rPr>
          <t>Source: Q4 &amp; Full-Year 2018 Earnings Call
Date: 2019-03-14
Workbook tab: 02 2018Q4 Earnings
Digest label: “Gross Profit Q4 2018 ($M)”</t>
        </r>
      </text>
    </comment>
    <comment ref="F11" authorId="0" shapeId="0" xr:uid="{00000000-0006-0000-0000-000069000000}">
      <text>
        <r>
          <rPr>
            <sz val="11"/>
            <color theme="1"/>
            <rFont val="Calibri"/>
            <family val="2"/>
            <scheme val="minor"/>
          </rPr>
          <t>Source: Q4 &amp; Full-Year 2018 Earnings Call
Date: 2019-03-14
Workbook tab: 02 2018Q4 Earnings
Digest label: “Gross Profit FY2018 ($M)”</t>
        </r>
      </text>
    </comment>
    <comment ref="G11" authorId="0" shapeId="0" xr:uid="{00000000-0006-0000-0000-00006A000000}">
      <text>
        <r>
          <rPr>
            <sz val="11"/>
            <color theme="1"/>
            <rFont val="Calibri"/>
            <family val="2"/>
            <scheme val="minor"/>
          </rPr>
          <t>Source: Q1 2019 Earnings Call
Date: 2019-05-09
Workbook tab: 03 2019Q1 Earnings
Digest label: “Gross Profit Q1 2019 ($M)”</t>
        </r>
      </text>
    </comment>
    <comment ref="H11" authorId="0" shapeId="0" xr:uid="{00000000-0006-0000-0000-00006B000000}">
      <text>
        <r>
          <rPr>
            <sz val="11"/>
            <color theme="1"/>
            <rFont val="Calibri"/>
            <family val="2"/>
            <scheme val="minor"/>
          </rPr>
          <t>Source: Q2 2019 Earnings Call
Date: 2019-08-08
Workbook tab: 04 2019Q2 Earnings
Digest label: “Gross Profit Q2 2019 ($M)”</t>
        </r>
      </text>
    </comment>
    <comment ref="I11" authorId="0" shapeId="0" xr:uid="{00000000-0006-0000-0000-00006C000000}">
      <text>
        <r>
          <rPr>
            <sz val="11"/>
            <color theme="1"/>
            <rFont val="Calibri"/>
            <family val="2"/>
            <scheme val="minor"/>
          </rPr>
          <t>Source: Q2 2019 Earnings Call
Date: 2019-08-08
Workbook tab: 04 2019Q2 Earnings
Digest label: “Gross Profit H1 2019 ($M)”</t>
        </r>
      </text>
    </comment>
    <comment ref="J11" authorId="0" shapeId="0" xr:uid="{00000000-0006-0000-0000-00006D000000}">
      <text>
        <r>
          <rPr>
            <sz val="11"/>
            <color theme="1"/>
            <rFont val="Calibri"/>
            <family val="2"/>
            <scheme val="minor"/>
          </rPr>
          <t>Source: Q3 2019 Earnings Call
Date: 2019-11-07
Workbook tab: 05 2019Q3 Earnings
Digest label: “Gross Profit Q3 2019 ($M)”</t>
        </r>
      </text>
    </comment>
    <comment ref="L11" authorId="0" shapeId="0" xr:uid="{00000000-0006-0000-0000-00006E000000}">
      <text>
        <r>
          <rPr>
            <sz val="11"/>
            <color theme="1"/>
            <rFont val="Calibri"/>
            <family val="2"/>
            <scheme val="minor"/>
          </rPr>
          <t>Source: Q4 &amp; Full-Year 2019 Earnings Call
Date: 2020-03-12
Workbook tab: 06 2019Q4 Earnings
Digest label: “Gross Profit Q4 2019 ($M)”</t>
        </r>
      </text>
    </comment>
    <comment ref="M11" authorId="0" shapeId="0" xr:uid="{00000000-0006-0000-0000-00006F000000}">
      <text>
        <r>
          <rPr>
            <sz val="11"/>
            <color theme="1"/>
            <rFont val="Calibri"/>
            <family val="2"/>
            <scheme val="minor"/>
          </rPr>
          <t>Source: Q4 &amp; Full-Year 2019 Earnings Call
Date: 2020-03-12
Workbook tab: 06 2019Q4 Earnings
Digest label: “Gross Profit FY2019 ($M)”</t>
        </r>
      </text>
    </comment>
    <comment ref="N11" authorId="0" shapeId="0" xr:uid="{00000000-0006-0000-0000-000070000000}">
      <text>
        <r>
          <rPr>
            <sz val="11"/>
            <color theme="1"/>
            <rFont val="Calibri"/>
            <family val="2"/>
            <scheme val="minor"/>
          </rPr>
          <t>Source: Q4 &amp; Full-Year 2020 Earnings Call
Date: 2021-03-11
Workbook tab: 12 2020Q4 Earnings
Digest label: “Gross Profit Q4 2020 ($M)”</t>
        </r>
      </text>
    </comment>
    <comment ref="Q11" authorId="0" shapeId="0" xr:uid="{00000000-0006-0000-0000-000071000000}">
      <text>
        <r>
          <rPr>
            <sz val="11"/>
            <color theme="1"/>
            <rFont val="Calibri"/>
            <family val="2"/>
            <scheme val="minor"/>
          </rPr>
          <t>Source: Q2 2021 Earnings Call
Date: 2021-08-12
Workbook tab: 14 2021Q2 Earnings
Digest label: “Gross Profit”</t>
        </r>
      </text>
    </comment>
    <comment ref="R11" authorId="0" shapeId="0" xr:uid="{00000000-0006-0000-0000-000072000000}">
      <text>
        <r>
          <rPr>
            <sz val="11"/>
            <color theme="1"/>
            <rFont val="Calibri"/>
            <family val="2"/>
            <scheme val="minor"/>
          </rPr>
          <t>Source: 2021 Annual Meeting of Shareholders
Date: 2021-08-19
Workbook tab: 15 Annual Shareholder Mtg
Digest label: “Gross Profit”</t>
        </r>
      </text>
    </comment>
    <comment ref="S11" authorId="0" shapeId="0" xr:uid="{00000000-0006-0000-0000-000073000000}">
      <text>
        <r>
          <rPr>
            <sz val="11"/>
            <color theme="1"/>
            <rFont val="Calibri"/>
            <family val="2"/>
            <scheme val="minor"/>
          </rPr>
          <t>Source: Q3 2021 Earnings Call
Date: 2021-11-11
Workbook tab: 16 2021Q3 Earnings
Digest label: “Gross Profit”</t>
        </r>
      </text>
    </comment>
    <comment ref="T11" authorId="0" shapeId="0" xr:uid="{00000000-0006-0000-0000-000074000000}">
      <text>
        <r>
          <rPr>
            <sz val="11"/>
            <color theme="1"/>
            <rFont val="Calibri"/>
            <family val="2"/>
            <scheme val="minor"/>
          </rPr>
          <t>Source: 2022 Annual General Meeting (Annual Meeting of Shareholders)
Date: 2022-06-02
Workbook tab: 22 Annual Shareholder Mtg
Digest label: “Gross profit ($M)”</t>
        </r>
      </text>
    </comment>
    <comment ref="U11" authorId="0" shapeId="0" xr:uid="{00000000-0006-0000-0000-000075000000}">
      <text>
        <r>
          <rPr>
            <sz val="11"/>
            <color theme="1"/>
            <rFont val="Calibri"/>
            <family val="2"/>
            <scheme val="minor"/>
          </rPr>
          <t>Reported in 2 transcripts (► = figure shown in cell):
► 53.9  —  Q1 2022 Earnings Call (2022-05-10)
   tab: 20 2022Q1 Earnings  |  “Gross Profit”
• 53.9  —  2022 Annual General Meeting (Annual Meeting of Shareholders) (2022-06-02)
   tab: 22 Annual Shareholder Mtg  |  “Gross profit ($M)”</t>
        </r>
      </text>
    </comment>
    <comment ref="V11" authorId="0" shapeId="0" xr:uid="{00000000-0006-0000-0000-000076000000}">
      <text>
        <r>
          <rPr>
            <sz val="11"/>
            <color theme="1"/>
            <rFont val="Calibri"/>
            <family val="2"/>
            <scheme val="minor"/>
          </rPr>
          <t>Source: Q2 2022 Earnings Call
Date: 2022-08-09
Workbook tab: 26 2022Q2 Earnings
Digest label: “Gross profit”</t>
        </r>
      </text>
    </comment>
    <comment ref="W11" authorId="0" shapeId="0" xr:uid="{00000000-0006-0000-0000-000077000000}">
      <text>
        <r>
          <rPr>
            <sz val="11"/>
            <color theme="1"/>
            <rFont val="Calibri"/>
            <family val="2"/>
            <scheme val="minor"/>
          </rPr>
          <t>Source: Q3 2022 Earnings Call
Date: 2022-11-09
Workbook tab: 27 2022Q3 Earnings
Digest label: “Gross profit”</t>
        </r>
      </text>
    </comment>
    <comment ref="X11" authorId="0" shapeId="0" xr:uid="{00000000-0006-0000-0000-000078000000}">
      <text>
        <r>
          <rPr>
            <sz val="11"/>
            <color theme="1"/>
            <rFont val="Calibri"/>
            <family val="2"/>
            <scheme val="minor"/>
          </rPr>
          <t>Source: Q4 2022 / FY2022 Earnings Call
Date: 2023-03-01
Workbook tab: 28 2022Q4 Earnings
Digest label: “Gross Profit”</t>
        </r>
      </text>
    </comment>
    <comment ref="Y11" authorId="0" shapeId="0" xr:uid="{00000000-0006-0000-0000-000079000000}">
      <text>
        <r>
          <rPr>
            <sz val="11"/>
            <color theme="1"/>
            <rFont val="Calibri"/>
            <family val="2"/>
            <scheme val="minor"/>
          </rPr>
          <t>Reported in 2 transcripts (► = figure shown in cell):
► 271  —  Q4 2022 / FY2022 Earnings Call (2023-03-01)
   tab: 28 2022Q4 Earnings  |  “Gross Profit”
• 271  —  Celsius Holdings 2023 Annual General Meeting (2023-06-01)
   tab: 31 Annual General Meeting  |  “Gross Profit”</t>
        </r>
      </text>
    </comment>
    <comment ref="Z11" authorId="0" shapeId="0" xr:uid="{00000000-0006-0000-0000-00007A000000}">
      <text>
        <r>
          <rPr>
            <sz val="11"/>
            <color theme="1"/>
            <rFont val="Calibri"/>
            <family val="2"/>
            <scheme val="minor"/>
          </rPr>
          <t>Reported in 2 transcripts (► = figure shown in cell):
► 114  —  Celsius Holdings Q1 2023 Earnings Call (2023-05-09)
   tab: 29 2023Q1 Earnings  |  “Gross Profit ($M)”
• 114  —  Celsius Holdings 2023 Annual General Meeting (2023-06-01)
   tab: 31 Annual General Meeting  |  “Gross Profit”</t>
        </r>
      </text>
    </comment>
    <comment ref="AA11" authorId="0" shapeId="0" xr:uid="{00000000-0006-0000-0000-00007B000000}">
      <text>
        <r>
          <rPr>
            <sz val="11"/>
            <color theme="1"/>
            <rFont val="Calibri"/>
            <family val="2"/>
            <scheme val="minor"/>
          </rPr>
          <t>Source: Q2 2023 Earnings Call
Date: 2023-08-08
Workbook tab: 34 2023Q2 Earnings
Digest label: “Gross Profit”</t>
        </r>
      </text>
    </comment>
    <comment ref="AB11" authorId="0" shapeId="0" xr:uid="{00000000-0006-0000-0000-00007C000000}">
      <text>
        <r>
          <rPr>
            <sz val="11"/>
            <color theme="1"/>
            <rFont val="Calibri"/>
            <family val="2"/>
            <scheme val="minor"/>
          </rPr>
          <t>Source: Q2 2023 Earnings Call
Date: 2023-08-08
Workbook tab: 34 2023Q2 Earnings
Digest label: “H1 Gross Profit”</t>
        </r>
      </text>
    </comment>
    <comment ref="AC11" authorId="0" shapeId="0" xr:uid="{00000000-0006-0000-0000-00007D000000}">
      <text>
        <r>
          <rPr>
            <sz val="11"/>
            <color theme="1"/>
            <rFont val="Calibri"/>
            <family val="2"/>
            <scheme val="minor"/>
          </rPr>
          <t>Source: Q3 2023 Earnings Call
Date: 2023-11-07
Workbook tab: 37 2023Q3 Earnings
Digest label: “Gross Profit”</t>
        </r>
      </text>
    </comment>
    <comment ref="AD11" authorId="0" shapeId="0" xr:uid="{00000000-0006-0000-0000-00007E000000}">
      <text>
        <r>
          <rPr>
            <sz val="11"/>
            <color theme="1"/>
            <rFont val="Calibri"/>
            <family val="2"/>
            <scheme val="minor"/>
          </rPr>
          <t>Source: Q3 2023 Earnings Call
Date: 2023-11-07
Workbook tab: 37 2023Q3 Earnings
Digest label: “9M Gross Profit”</t>
        </r>
      </text>
    </comment>
    <comment ref="AE11" authorId="0" shapeId="0" xr:uid="{00000000-0006-0000-0000-00007F000000}">
      <text>
        <r>
          <rPr>
            <sz val="11"/>
            <color theme="1"/>
            <rFont val="Calibri"/>
            <family val="2"/>
            <scheme val="minor"/>
          </rPr>
          <t>Source: Celsius Holdings Q4 2023 Earnings Call
Date: 2024-02-29
Workbook tab: 40 2023Q4 Earnings
Digest label: “Gross Profit ($M)”</t>
        </r>
      </text>
    </comment>
    <comment ref="AF11" authorId="0" shapeId="0" xr:uid="{00000000-0006-0000-0000-000080000000}">
      <text>
        <r>
          <rPr>
            <sz val="11"/>
            <color theme="1"/>
            <rFont val="Calibri"/>
            <family val="2"/>
            <scheme val="minor"/>
          </rPr>
          <t>Source: Celsius Holdings Q4 2023 Earnings Call
Date: 2024-02-29
Workbook tab: 40 2023Q4 Earnings
Digest label: “Gross Profit ($M)”</t>
        </r>
      </text>
    </comment>
    <comment ref="AG11" authorId="0" shapeId="0" xr:uid="{00000000-0006-0000-0000-000081000000}">
      <text>
        <r>
          <rPr>
            <sz val="11"/>
            <color theme="1"/>
            <rFont val="Calibri"/>
            <family val="2"/>
            <scheme val="minor"/>
          </rPr>
          <t>Source: Q1 2024 Earnings Call
Date: 2024-05-07
Workbook tab: 42 Q1 2024 Earnings
Digest label: “Gross Profit”</t>
        </r>
      </text>
    </comment>
    <comment ref="AI11" authorId="0" shapeId="0" xr:uid="{00000000-0006-0000-0000-000082000000}">
      <text>
        <r>
          <rPr>
            <sz val="11"/>
            <color theme="1"/>
            <rFont val="Calibri"/>
            <family val="2"/>
            <scheme val="minor"/>
          </rPr>
          <t>Source: Q4 2024 Earnings Call
Date: 2025-02-20
Workbook tab: 51 2024Q4 Earnings
Digest label: “Gross Profit”</t>
        </r>
      </text>
    </comment>
    <comment ref="AJ11" authorId="0" shapeId="0" xr:uid="{00000000-0006-0000-0000-000083000000}">
      <text>
        <r>
          <rPr>
            <sz val="11"/>
            <color theme="1"/>
            <rFont val="Calibri"/>
            <family val="2"/>
            <scheme val="minor"/>
          </rPr>
          <t>Source: Q1 2025 Earnings Call
Date: 2025-05-06
Workbook tab: 55 2025Q1 Earnings
Digest label: “Gross Profit”</t>
        </r>
      </text>
    </comment>
    <comment ref="AK11" authorId="0" shapeId="0" xr:uid="{00000000-0006-0000-0000-000084000000}">
      <text>
        <r>
          <rPr>
            <sz val="11"/>
            <color theme="1"/>
            <rFont val="Calibri"/>
            <family val="2"/>
            <scheme val="minor"/>
          </rPr>
          <t>Source: CELH Q2 2025 Earnings Call
Date: 2025-08-07
Workbook tab: 60 2025Q2 Earnings
Digest label: “Gross Profit ($M)”</t>
        </r>
      </text>
    </comment>
    <comment ref="AN11" authorId="0" shapeId="0" xr:uid="{00000000-0006-0000-0000-000085000000}">
      <text>
        <r>
          <rPr>
            <sz val="11"/>
            <color theme="1"/>
            <rFont val="Calibri"/>
            <family val="2"/>
            <scheme val="minor"/>
          </rPr>
          <t>Source: Q4 2025 / FY2025 Earnings Call
Date: 2026-02-26
Workbook tab: 67 2025Q4 Earnings
Digest label: “Gross Profit”</t>
        </r>
      </text>
    </comment>
    <comment ref="AO11" authorId="0" shapeId="0" xr:uid="{00000000-0006-0000-0000-000086000000}">
      <text>
        <r>
          <rPr>
            <sz val="11"/>
            <color theme="1"/>
            <rFont val="Calibri"/>
            <family val="2"/>
            <scheme val="minor"/>
          </rPr>
          <t>Reported in 2 transcripts (► = figure shown in cell):
• 1267.3  —  Full-Year 2025 and Fourth Quarter Financial Results Press Release (2026-02-26)
   tab: 66 2025Q4 Earnings PR  |  “Gross profit”
► 1270  —  Q4 2025 / FY2025 Earnings Call (2026-02-26)
   tab: 67 2025Q4 Earnings  |  “Gross Profit”</t>
        </r>
      </text>
    </comment>
    <comment ref="C12" authorId="0" shapeId="0" xr:uid="{00000000-0006-0000-0000-000087000000}">
      <text>
        <r>
          <rPr>
            <sz val="11"/>
            <color theme="1"/>
            <rFont val="Calibri"/>
            <family val="2"/>
            <scheme val="minor"/>
          </rPr>
          <t>Source: Q3 2018 Earnings Call
Date: 2018-11-09
Workbook tab: 01 2018Q3 Earnings
Digest label: “Gross Margin Q3 2018”</t>
        </r>
      </text>
    </comment>
    <comment ref="D12" authorId="0" shapeId="0" xr:uid="{00000000-0006-0000-0000-000088000000}">
      <text>
        <r>
          <rPr>
            <sz val="11"/>
            <color theme="1"/>
            <rFont val="Calibri"/>
            <family val="2"/>
            <scheme val="minor"/>
          </rPr>
          <t>Source: Q3 2018 Earnings Call
Date: 2018-11-09
Workbook tab: 01 2018Q3 Earnings
Digest label: “Gross Margin 9M 2018”</t>
        </r>
      </text>
    </comment>
    <comment ref="E12" authorId="0" shapeId="0" xr:uid="{00000000-0006-0000-0000-000089000000}">
      <text>
        <r>
          <rPr>
            <sz val="11"/>
            <color theme="1"/>
            <rFont val="Calibri"/>
            <family val="2"/>
            <scheme val="minor"/>
          </rPr>
          <t>Source: Q4 &amp; Full-Year 2018 Earnings Call
Date: 2019-03-14
Workbook tab: 02 2018Q4 Earnings
Digest label: “Gross Margin Q4 2018”</t>
        </r>
      </text>
    </comment>
    <comment ref="F12" authorId="0" shapeId="0" xr:uid="{00000000-0006-0000-0000-00008A000000}">
      <text>
        <r>
          <rPr>
            <sz val="11"/>
            <color theme="1"/>
            <rFont val="Calibri"/>
            <family val="2"/>
            <scheme val="minor"/>
          </rPr>
          <t>Source: Q4 &amp; Full-Year 2018 Earnings Call
Date: 2019-03-14
Workbook tab: 02 2018Q4 Earnings
Digest label: “Gross Margin FY2018”</t>
        </r>
      </text>
    </comment>
    <comment ref="G12" authorId="0" shapeId="0" xr:uid="{00000000-0006-0000-0000-00008B000000}">
      <text>
        <r>
          <rPr>
            <sz val="11"/>
            <color theme="1"/>
            <rFont val="Calibri"/>
            <family val="2"/>
            <scheme val="minor"/>
          </rPr>
          <t>Source: Q1 2019 Earnings Call
Date: 2019-05-09
Workbook tab: 03 2019Q1 Earnings
Digest label: “Gross Margin Q1 2019”</t>
        </r>
      </text>
    </comment>
    <comment ref="H12" authorId="0" shapeId="0" xr:uid="{00000000-0006-0000-0000-00008C000000}">
      <text>
        <r>
          <rPr>
            <sz val="11"/>
            <color theme="1"/>
            <rFont val="Calibri"/>
            <family val="2"/>
            <scheme val="minor"/>
          </rPr>
          <t>Source: Q2 2019 Earnings Call
Date: 2019-08-08
Workbook tab: 04 2019Q2 Earnings
Digest label: “Gross Margin Q2 2019”</t>
        </r>
      </text>
    </comment>
    <comment ref="I12" authorId="0" shapeId="0" xr:uid="{00000000-0006-0000-0000-00008D000000}">
      <text>
        <r>
          <rPr>
            <sz val="11"/>
            <color theme="1"/>
            <rFont val="Calibri"/>
            <family val="2"/>
            <scheme val="minor"/>
          </rPr>
          <t>Source: Q2 2019 Earnings Call
Date: 2019-08-08
Workbook tab: 04 2019Q2 Earnings
Digest label: “Gross Margin H1 2019”</t>
        </r>
      </text>
    </comment>
    <comment ref="J12" authorId="0" shapeId="0" xr:uid="{00000000-0006-0000-0000-00008E000000}">
      <text>
        <r>
          <rPr>
            <sz val="11"/>
            <color theme="1"/>
            <rFont val="Calibri"/>
            <family val="2"/>
            <scheme val="minor"/>
          </rPr>
          <t>Source: Q3 2019 Earnings Call
Date: 2019-11-07
Workbook tab: 05 2019Q3 Earnings
Digest label: “Gross Margin Q3 2019”</t>
        </r>
      </text>
    </comment>
    <comment ref="L12" authorId="0" shapeId="0" xr:uid="{00000000-0006-0000-0000-00008F000000}">
      <text>
        <r>
          <rPr>
            <sz val="11"/>
            <color theme="1"/>
            <rFont val="Calibri"/>
            <family val="2"/>
            <scheme val="minor"/>
          </rPr>
          <t>Source: Q4 &amp; Full-Year 2019 Earnings Call
Date: 2020-03-12
Workbook tab: 06 2019Q4 Earnings
Digest label: “Gross Margin Q4 2019”</t>
        </r>
      </text>
    </comment>
    <comment ref="M12" authorId="0" shapeId="0" xr:uid="{00000000-0006-0000-0000-000090000000}">
      <text>
        <r>
          <rPr>
            <sz val="11"/>
            <color theme="1"/>
            <rFont val="Calibri"/>
            <family val="2"/>
            <scheme val="minor"/>
          </rPr>
          <t>Source: Q4 &amp; Full-Year 2019 Earnings Call
Date: 2020-03-12
Workbook tab: 06 2019Q4 Earnings
Digest label: “Gross Margin FY2019”</t>
        </r>
      </text>
    </comment>
    <comment ref="N12" authorId="0" shapeId="0" xr:uid="{00000000-0006-0000-0000-000091000000}">
      <text>
        <r>
          <rPr>
            <sz val="11"/>
            <color theme="1"/>
            <rFont val="Calibri"/>
            <family val="2"/>
            <scheme val="minor"/>
          </rPr>
          <t>Source: Q4 &amp; Full-Year 2020 Earnings Call
Date: 2021-03-11
Workbook tab: 12 2020Q4 Earnings
Digest label: “Gross Margin Q4 2020”</t>
        </r>
      </text>
    </comment>
    <comment ref="Q12" authorId="0" shapeId="0" xr:uid="{00000000-0006-0000-0000-000092000000}">
      <text>
        <r>
          <rPr>
            <sz val="11"/>
            <color theme="1"/>
            <rFont val="Calibri"/>
            <family val="2"/>
            <scheme val="minor"/>
          </rPr>
          <t>Reported in 2 transcripts (► = figure shown in cell):
► 43.4%  —  Q2 2021 Earnings Call (2021-08-12)
   tab: 14 2021Q2 Earnings  |  “Gross Margin”
• 43.4%  —  2021 Annual Meeting of Shareholders (2021-08-19)
   tab: 15 Annual Shareholder Mtg  |  “GAAP Gross Margin”</t>
        </r>
      </text>
    </comment>
    <comment ref="S12" authorId="0" shapeId="0" xr:uid="{00000000-0006-0000-0000-000093000000}">
      <text>
        <r>
          <rPr>
            <sz val="11"/>
            <color theme="1"/>
            <rFont val="Calibri"/>
            <family val="2"/>
            <scheme val="minor"/>
          </rPr>
          <t>Source: Q3 2021 Earnings Call
Date: 2021-11-11
Workbook tab: 16 2021Q3 Earnings
Digest label: “Gross Margin”</t>
        </r>
      </text>
    </comment>
    <comment ref="U12" authorId="0" shapeId="0" xr:uid="{00000000-0006-0000-0000-000094000000}">
      <text>
        <r>
          <rPr>
            <sz val="11"/>
            <color theme="1"/>
            <rFont val="Calibri"/>
            <family val="2"/>
            <scheme val="minor"/>
          </rPr>
          <t>Reported in 3 transcripts (► = figure shown in cell):
► 40.4%  —  Q1 2022 Earnings Call (2022-05-10)
   tab: 20 2022Q1 Earnings  |  “Gross Margin”
• 42.8%  —  Q1 2022 Earnings Call (2022-05-10)
   tab: 20 2022Q1 Earnings  |  “Gross Margin ex-Outbound Freight”
• 40.4%  —  2022 Annual General Meeting (Annual Meeting of Shareholders) (2022-06-02)
   tab: 22 Annual Shareholder Mtg  |  “Gross margin”</t>
        </r>
      </text>
    </comment>
    <comment ref="V12" authorId="0" shapeId="0" xr:uid="{00000000-0006-0000-0000-000095000000}">
      <text>
        <r>
          <rPr>
            <sz val="11"/>
            <color theme="1"/>
            <rFont val="Calibri"/>
            <family val="2"/>
            <scheme val="minor"/>
          </rPr>
          <t>Reported in 2 transcripts (► = figure shown in cell):
► 38.5%  —  Q2 2022 Earnings Call (2022-08-09)
   tab: 26 2022Q2 Earnings  |  “Gross margin”
• 44.0%  —  Q2 2022 Earnings Call (2022-08-09)
   tab: 26 2022Q2 Earnings  |  “Gross margin ex-outbound freight”</t>
        </r>
      </text>
    </comment>
    <comment ref="W12" authorId="0" shapeId="0" xr:uid="{00000000-0006-0000-0000-000096000000}">
      <text>
        <r>
          <rPr>
            <sz val="11"/>
            <color theme="1"/>
            <rFont val="Calibri"/>
            <family val="2"/>
            <scheme val="minor"/>
          </rPr>
          <t>Reported in 2 transcripts (► = figure shown in cell):
► 41.8%  —  Q3 2022 Earnings Call (2022-11-09)
   tab: 27 2022Q3 Earnings  |  “Gross margin”
• 49.6%  —  Q3 2022 Earnings Call (2022-11-09)
   tab: 27 2022Q3 Earnings  |  “Gross margin ex-outbound freight”</t>
        </r>
      </text>
    </comment>
    <comment ref="X12" authorId="0" shapeId="0" xr:uid="{00000000-0006-0000-0000-000097000000}">
      <text>
        <r>
          <rPr>
            <sz val="11"/>
            <color theme="1"/>
            <rFont val="Calibri"/>
            <family val="2"/>
            <scheme val="minor"/>
          </rPr>
          <t>Source: Q4 2022 / FY2022 Earnings Call
Date: 2023-03-01
Workbook tab: 28 2022Q4 Earnings
Digest label: “Gross Margin”</t>
        </r>
      </text>
    </comment>
    <comment ref="Z12" authorId="0" shapeId="0" xr:uid="{00000000-0006-0000-0000-000098000000}">
      <text>
        <r>
          <rPr>
            <sz val="11"/>
            <color theme="1"/>
            <rFont val="Calibri"/>
            <family val="2"/>
            <scheme val="minor"/>
          </rPr>
          <t>Reported in 2 transcripts (► = figure shown in cell):
► 44.0%  —  Celsius Holdings Q1 2023 Earnings Call (2023-05-09)
   tab: 29 2023Q1 Earnings  |  “Gross Margin”
• 44.0%  —  Celsius Holdings 2023 Annual General Meeting (2023-06-01)
   tab: 31 Annual General Meeting  |  “Gross Profit Margin”</t>
        </r>
      </text>
    </comment>
    <comment ref="AA12" authorId="0" shapeId="0" xr:uid="{00000000-0006-0000-0000-000099000000}">
      <text>
        <r>
          <rPr>
            <sz val="11"/>
            <color theme="1"/>
            <rFont val="Calibri"/>
            <family val="2"/>
            <scheme val="minor"/>
          </rPr>
          <t>Source: Q2 2023 Earnings Call
Date: 2023-08-08
Workbook tab: 34 2023Q2 Earnings
Digest label: “Gross Margin”</t>
        </r>
      </text>
    </comment>
    <comment ref="AB12" authorId="0" shapeId="0" xr:uid="{00000000-0006-0000-0000-00009A000000}">
      <text>
        <r>
          <rPr>
            <sz val="11"/>
            <color theme="1"/>
            <rFont val="Calibri"/>
            <family val="2"/>
            <scheme val="minor"/>
          </rPr>
          <t>Source: Q2 2023 Earnings Call
Date: 2023-08-08
Workbook tab: 34 2023Q2 Earnings
Digest label: “H1 Gross Margin”</t>
        </r>
      </text>
    </comment>
    <comment ref="AC12" authorId="0" shapeId="0" xr:uid="{00000000-0006-0000-0000-00009B000000}">
      <text>
        <r>
          <rPr>
            <sz val="11"/>
            <color theme="1"/>
            <rFont val="Calibri"/>
            <family val="2"/>
            <scheme val="minor"/>
          </rPr>
          <t>Source: Q3 2023 Earnings Call
Date: 2023-11-07
Workbook tab: 37 2023Q3 Earnings
Digest label: “Gross Margin”</t>
        </r>
      </text>
    </comment>
    <comment ref="AE12" authorId="0" shapeId="0" xr:uid="{00000000-0006-0000-0000-00009C000000}">
      <text>
        <r>
          <rPr>
            <sz val="11"/>
            <color theme="1"/>
            <rFont val="Calibri"/>
            <family val="2"/>
            <scheme val="minor"/>
          </rPr>
          <t>Source: Celsius Holdings Q4 2023 Earnings Call
Date: 2024-02-29
Workbook tab: 40 2023Q4 Earnings
Digest label: “Gross Margin”</t>
        </r>
      </text>
    </comment>
    <comment ref="AF12" authorId="0" shapeId="0" xr:uid="{00000000-0006-0000-0000-00009D000000}">
      <text>
        <r>
          <rPr>
            <sz val="11"/>
            <color theme="1"/>
            <rFont val="Calibri"/>
            <family val="2"/>
            <scheme val="minor"/>
          </rPr>
          <t>Source: Celsius Holdings Q4 2023 Earnings Call
Date: 2024-02-29
Workbook tab: 40 2023Q4 Earnings
Digest label: “Gross Margin”</t>
        </r>
      </text>
    </comment>
    <comment ref="AG12" authorId="0" shapeId="0" xr:uid="{00000000-0006-0000-0000-00009E000000}">
      <text>
        <r>
          <rPr>
            <sz val="11"/>
            <color theme="1"/>
            <rFont val="Calibri"/>
            <family val="2"/>
            <scheme val="minor"/>
          </rPr>
          <t>Source: Q1 2024 Earnings Call
Date: 2024-05-07
Workbook tab: 42 Q1 2024 Earnings
Digest label: “Gross Profit Margin”</t>
        </r>
      </text>
    </comment>
    <comment ref="AH12" authorId="0" shapeId="0" xr:uid="{00000000-0006-0000-0000-00009F000000}">
      <text>
        <r>
          <rPr>
            <sz val="11"/>
            <color theme="1"/>
            <rFont val="Calibri"/>
            <family val="2"/>
            <scheme val="minor"/>
          </rPr>
          <t>Source: Q4 2024 Earnings Call
Date: 2025-02-20
Workbook tab: 51 2024Q4 Earnings
Digest label: “Gross Margin”</t>
        </r>
      </text>
    </comment>
    <comment ref="AI12" authorId="0" shapeId="0" xr:uid="{00000000-0006-0000-0000-0000A0000000}">
      <text>
        <r>
          <rPr>
            <sz val="11"/>
            <color theme="1"/>
            <rFont val="Calibri"/>
            <family val="2"/>
            <scheme val="minor"/>
          </rPr>
          <t>Source: Q4 2024 Earnings Call
Date: 2025-02-20
Workbook tab: 51 2024Q4 Earnings
Digest label: “Gross Profit Margin”</t>
        </r>
      </text>
    </comment>
    <comment ref="AJ12" authorId="0" shapeId="0" xr:uid="{00000000-0006-0000-0000-0000A1000000}">
      <text>
        <r>
          <rPr>
            <sz val="11"/>
            <color theme="1"/>
            <rFont val="Calibri"/>
            <family val="2"/>
            <scheme val="minor"/>
          </rPr>
          <t>Source: Q1 2025 Earnings Call
Date: 2025-05-06
Workbook tab: 55 2025Q1 Earnings
Digest label: “Gross Margin”</t>
        </r>
      </text>
    </comment>
    <comment ref="AK12" authorId="0" shapeId="0" xr:uid="{00000000-0006-0000-0000-0000A2000000}">
      <text>
        <r>
          <rPr>
            <sz val="11"/>
            <color theme="1"/>
            <rFont val="Calibri"/>
            <family val="2"/>
            <scheme val="minor"/>
          </rPr>
          <t>Source: CELH Q2 2025 Earnings Call
Date: 2025-08-07
Workbook tab: 60 2025Q2 Earnings
Digest label: “Consolidated Gross Margin”</t>
        </r>
      </text>
    </comment>
    <comment ref="AL12" authorId="0" shapeId="0" xr:uid="{00000000-0006-0000-0000-0000A3000000}">
      <text>
        <r>
          <rPr>
            <sz val="11"/>
            <color theme="1"/>
            <rFont val="Calibri"/>
            <family val="2"/>
            <scheme val="minor"/>
          </rPr>
          <t>Source: CELH Q2 2025 Earnings Call
Date: 2025-08-07
Workbook tab: 60 2025Q2 Earnings
Digest label: “Gross Margin”</t>
        </r>
      </text>
    </comment>
    <comment ref="AM12" authorId="0" shapeId="0" xr:uid="{00000000-0006-0000-0000-0000A4000000}">
      <text>
        <r>
          <rPr>
            <sz val="11"/>
            <color theme="1"/>
            <rFont val="Calibri"/>
            <family val="2"/>
            <scheme val="minor"/>
          </rPr>
          <t>Reported in 2 transcripts (► = figure shown in cell):
► 51.3%  —  CELH Q3 2025 Earnings Call (2025-11-06)
   tab: 63 2025Q3 Earnings  |  “Gross Margin”
• 51.6%  —  CELH Q3 2025 Earnings Call (2025-11-06)
   tab: 63 2025Q3 Earnings  |  “YTD Gross Margin”</t>
        </r>
      </text>
    </comment>
    <comment ref="AN12" authorId="0" shapeId="0" xr:uid="{00000000-0006-0000-0000-0000A5000000}">
      <text>
        <r>
          <rPr>
            <sz val="11"/>
            <color theme="1"/>
            <rFont val="Calibri"/>
            <family val="2"/>
            <scheme val="minor"/>
          </rPr>
          <t>Source: Q4 2025 / FY2025 Earnings Call
Date: 2026-02-26
Workbook tab: 67 2025Q4 Earnings
Digest label: “Gross Margin”</t>
        </r>
      </text>
    </comment>
    <comment ref="AO12" authorId="0" shapeId="0" xr:uid="{00000000-0006-0000-0000-0000A6000000}">
      <text>
        <r>
          <rPr>
            <sz val="11"/>
            <color theme="1"/>
            <rFont val="Calibri"/>
            <family val="2"/>
            <scheme val="minor"/>
          </rPr>
          <t>Reported in 2 transcripts (► = figure shown in cell):
• 50.4%  —  Full-Year 2025 and Fourth Quarter Financial Results Press Release (2026-02-26)
   tab: 66 2025Q4 Earnings PR  |  “Gross margin”
► 50.4%  —  Q4 2025 / FY2025 Earnings Call (2026-02-26)
   tab: 67 2025Q4 Earnings  |  “Gross Margin”</t>
        </r>
      </text>
    </comment>
    <comment ref="AP12" authorId="0" shapeId="0" xr:uid="{00000000-0006-0000-0000-0000A7000000}">
      <text>
        <r>
          <rPr>
            <sz val="11"/>
            <color theme="1"/>
            <rFont val="Calibri"/>
            <family val="2"/>
            <scheme val="minor"/>
          </rPr>
          <t>Source: CELH Q1 2026 Earnings Call
Date: 2026-05-07
Workbook tab: 69 2026Q1 Earnings
Digest label: “Gross Margin”</t>
        </r>
      </text>
    </comment>
    <comment ref="C13" authorId="0" shapeId="0" xr:uid="{00000000-0006-0000-0000-0000A8000000}">
      <text>
        <r>
          <rPr>
            <sz val="11"/>
            <color theme="1"/>
            <rFont val="Calibri"/>
            <family val="2"/>
            <scheme val="minor"/>
          </rPr>
          <t>Source: Q3 2018 Earnings Call
Date: 2018-11-09
Workbook tab: 01 2018Q3 Earnings
Digest label: “Selling &amp; Marketing Q3 2018”</t>
        </r>
      </text>
    </comment>
    <comment ref="D13" authorId="0" shapeId="0" xr:uid="{00000000-0006-0000-0000-0000A9000000}">
      <text>
        <r>
          <rPr>
            <sz val="11"/>
            <color theme="1"/>
            <rFont val="Calibri"/>
            <family val="2"/>
            <scheme val="minor"/>
          </rPr>
          <t>Source: Q3 2018 Earnings Call
Date: 2018-11-09
Workbook tab: 01 2018Q3 Earnings
Digest label: “Selling &amp; Marketing 9M 2018”</t>
        </r>
      </text>
    </comment>
    <comment ref="E13" authorId="0" shapeId="0" xr:uid="{00000000-0006-0000-0000-0000AA000000}">
      <text>
        <r>
          <rPr>
            <sz val="11"/>
            <color theme="1"/>
            <rFont val="Calibri"/>
            <family val="2"/>
            <scheme val="minor"/>
          </rPr>
          <t>Source: Q4 &amp; Full-Year 2018 Earnings Call
Date: 2019-03-14
Workbook tab: 02 2018Q4 Earnings
Digest label: “Selling &amp; Marketing Q4 2018”</t>
        </r>
      </text>
    </comment>
    <comment ref="F13" authorId="0" shapeId="0" xr:uid="{00000000-0006-0000-0000-0000AB000000}">
      <text>
        <r>
          <rPr>
            <sz val="11"/>
            <color theme="1"/>
            <rFont val="Calibri"/>
            <family val="2"/>
            <scheme val="minor"/>
          </rPr>
          <t>Source: Q4 &amp; Full-Year 2018 Earnings Call
Date: 2019-03-14
Workbook tab: 02 2018Q4 Earnings
Digest label: “Selling &amp; Marketing FY2018”</t>
        </r>
      </text>
    </comment>
    <comment ref="G13" authorId="0" shapeId="0" xr:uid="{00000000-0006-0000-0000-0000AC000000}">
      <text>
        <r>
          <rPr>
            <sz val="11"/>
            <color theme="1"/>
            <rFont val="Calibri"/>
            <family val="2"/>
            <scheme val="minor"/>
          </rPr>
          <t>Source: Q1 2019 Earnings Call
Date: 2019-05-09
Workbook tab: 03 2019Q1 Earnings
Digest label: “Selling &amp; Marketing Q1 2019”</t>
        </r>
      </text>
    </comment>
    <comment ref="H13" authorId="0" shapeId="0" xr:uid="{00000000-0006-0000-0000-0000AD000000}">
      <text>
        <r>
          <rPr>
            <sz val="11"/>
            <color theme="1"/>
            <rFont val="Calibri"/>
            <family val="2"/>
            <scheme val="minor"/>
          </rPr>
          <t>Source: Q2 2019 Earnings Call
Date: 2019-08-08
Workbook tab: 04 2019Q2 Earnings
Digest label: “Selling &amp; Marketing Q2 2019”</t>
        </r>
      </text>
    </comment>
    <comment ref="I13" authorId="0" shapeId="0" xr:uid="{00000000-0006-0000-0000-0000AE000000}">
      <text>
        <r>
          <rPr>
            <sz val="11"/>
            <color theme="1"/>
            <rFont val="Calibri"/>
            <family val="2"/>
            <scheme val="minor"/>
          </rPr>
          <t>Source: Q2 2019 Earnings Call
Date: 2019-08-08
Workbook tab: 04 2019Q2 Earnings
Digest label: “Selling &amp; Marketing H1 2019”</t>
        </r>
      </text>
    </comment>
    <comment ref="J13" authorId="0" shapeId="0" xr:uid="{00000000-0006-0000-0000-0000AF000000}">
      <text>
        <r>
          <rPr>
            <sz val="11"/>
            <color theme="1"/>
            <rFont val="Calibri"/>
            <family val="2"/>
            <scheme val="minor"/>
          </rPr>
          <t>Source: Q3 2019 Earnings Call
Date: 2019-11-07
Workbook tab: 05 2019Q3 Earnings
Digest label: “Sales &amp; Marketing Q3 2019”</t>
        </r>
      </text>
    </comment>
    <comment ref="L13" authorId="0" shapeId="0" xr:uid="{00000000-0006-0000-0000-0000B0000000}">
      <text>
        <r>
          <rPr>
            <sz val="11"/>
            <color theme="1"/>
            <rFont val="Calibri"/>
            <family val="2"/>
            <scheme val="minor"/>
          </rPr>
          <t>Source: Q4 &amp; Full-Year 2019 Earnings Call
Date: 2020-03-12
Workbook tab: 06 2019Q4 Earnings
Digest label: “Selling &amp; Marketing Q4 2019”</t>
        </r>
      </text>
    </comment>
    <comment ref="M13" authorId="0" shapeId="0" xr:uid="{00000000-0006-0000-0000-0000B1000000}">
      <text>
        <r>
          <rPr>
            <sz val="11"/>
            <color theme="1"/>
            <rFont val="Calibri"/>
            <family val="2"/>
            <scheme val="minor"/>
          </rPr>
          <t>Source: Q4 &amp; Full-Year 2019 Earnings Call
Date: 2020-03-12
Workbook tab: 06 2019Q4 Earnings
Digest label: “Selling &amp; Marketing FY2019”</t>
        </r>
      </text>
    </comment>
    <comment ref="N13" authorId="0" shapeId="0" xr:uid="{00000000-0006-0000-0000-0000B2000000}">
      <text>
        <r>
          <rPr>
            <sz val="11"/>
            <color theme="1"/>
            <rFont val="Calibri"/>
            <family val="2"/>
            <scheme val="minor"/>
          </rPr>
          <t>Source: Q4 &amp; Full-Year 2020 Earnings Call
Date: 2021-03-11
Workbook tab: 12 2020Q4 Earnings
Digest label: “Selling &amp; Marketing Q4 2020”</t>
        </r>
      </text>
    </comment>
    <comment ref="Q13" authorId="0" shapeId="0" xr:uid="{00000000-0006-0000-0000-0000B3000000}">
      <text>
        <r>
          <rPr>
            <sz val="11"/>
            <color theme="1"/>
            <rFont val="Calibri"/>
            <family val="2"/>
            <scheme val="minor"/>
          </rPr>
          <t>Source: Q2 2021 Earnings Call
Date: 2021-08-12
Workbook tab: 14 2021Q2 Earnings
Digest label: “Sales &amp; Marketing”</t>
        </r>
      </text>
    </comment>
    <comment ref="S13" authorId="0" shapeId="0" xr:uid="{00000000-0006-0000-0000-0000B4000000}">
      <text>
        <r>
          <rPr>
            <sz val="11"/>
            <color theme="1"/>
            <rFont val="Calibri"/>
            <family val="2"/>
            <scheme val="minor"/>
          </rPr>
          <t>Source: Q3 2021 Earnings Call
Date: 2021-11-11
Workbook tab: 16 2021Q3 Earnings
Digest label: “Sales &amp; Marketing”</t>
        </r>
      </text>
    </comment>
    <comment ref="U13" authorId="0" shapeId="0" xr:uid="{00000000-0006-0000-0000-0000B5000000}">
      <text>
        <r>
          <rPr>
            <sz val="11"/>
            <color theme="1"/>
            <rFont val="Calibri"/>
            <family val="2"/>
            <scheme val="minor"/>
          </rPr>
          <t>Source: Q1 2022 Earnings Call
Date: 2022-05-10
Workbook tab: 20 2022Q1 Earnings
Digest label: “Sales &amp; Marketing”</t>
        </r>
      </text>
    </comment>
    <comment ref="W13" authorId="0" shapeId="0" xr:uid="{00000000-0006-0000-0000-0000B6000000}">
      <text>
        <r>
          <rPr>
            <sz val="11"/>
            <color theme="1"/>
            <rFont val="Calibri"/>
            <family val="2"/>
            <scheme val="minor"/>
          </rPr>
          <t>Source: Q3 2022 Earnings Call
Date: 2022-11-09
Workbook tab: 27 2022Q3 Earnings
Digest label: “Sales &amp; marketing expenses”</t>
        </r>
      </text>
    </comment>
    <comment ref="Y13" authorId="0" shapeId="0" xr:uid="{00000000-0006-0000-0000-0000B7000000}">
      <text>
        <r>
          <rPr>
            <sz val="11"/>
            <color theme="1"/>
            <rFont val="Calibri"/>
            <family val="2"/>
            <scheme val="minor"/>
          </rPr>
          <t>Source: Celsius Holdings 2023 Annual General Meeting
Date: 2023-06-01
Workbook tab: 31 Annual General Meeting
Digest label: “Sales &amp; Marketing Expense”</t>
        </r>
      </text>
    </comment>
    <comment ref="Z13" authorId="0" shapeId="0" xr:uid="{00000000-0006-0000-0000-0000B8000000}">
      <text>
        <r>
          <rPr>
            <sz val="11"/>
            <color theme="1"/>
            <rFont val="Calibri"/>
            <family val="2"/>
            <scheme val="minor"/>
          </rPr>
          <t>Reported in 2 transcripts (► = figure shown in cell):
► 48  —  Celsius Holdings Q1 2023 Earnings Call (2023-05-09)
   tab: 29 2023Q1 Earnings  |  “S&amp;M Expense ($M)”
• 48  —  Celsius Holdings 2023 Annual General Meeting (2023-06-01)
   tab: 31 Annual General Meeting  |  “Sales &amp; Marketing Expense”</t>
        </r>
      </text>
    </comment>
    <comment ref="AA13" authorId="0" shapeId="0" xr:uid="{00000000-0006-0000-0000-0000B9000000}">
      <text>
        <r>
          <rPr>
            <sz val="11"/>
            <color theme="1"/>
            <rFont val="Calibri"/>
            <family val="2"/>
            <scheme val="minor"/>
          </rPr>
          <t>Source: Q2 2023 Earnings Call
Date: 2023-08-08
Workbook tab: 34 2023Q2 Earnings
Digest label: “Sales &amp; Marketing ($)”</t>
        </r>
      </text>
    </comment>
    <comment ref="AC13" authorId="0" shapeId="0" xr:uid="{00000000-0006-0000-0000-0000BA000000}">
      <text>
        <r>
          <rPr>
            <sz val="11"/>
            <color theme="1"/>
            <rFont val="Calibri"/>
            <family val="2"/>
            <scheme val="minor"/>
          </rPr>
          <t>Source: Q3 2023 Earnings Call
Date: 2023-11-07
Workbook tab: 37 2023Q3 Earnings
Digest label: “Sales &amp; Marketing ($)”</t>
        </r>
      </text>
    </comment>
    <comment ref="AE13" authorId="0" shapeId="0" xr:uid="{00000000-0006-0000-0000-0000BB000000}">
      <text>
        <r>
          <rPr>
            <sz val="11"/>
            <color theme="1"/>
            <rFont val="Calibri"/>
            <family val="2"/>
            <scheme val="minor"/>
          </rPr>
          <t>Source: Celsius Holdings Q4 2023 Earnings Call
Date: 2024-02-29
Workbook tab: 40 2023Q4 Earnings
Digest label: “S&amp;M Expense ($M)”</t>
        </r>
      </text>
    </comment>
    <comment ref="AK13" authorId="0" shapeId="0" xr:uid="{00000000-0006-0000-0000-0000BC000000}">
      <text>
        <r>
          <rPr>
            <sz val="11"/>
            <color theme="1"/>
            <rFont val="Calibri"/>
            <family val="2"/>
            <scheme val="minor"/>
          </rPr>
          <t>Source: CELH Q2 2025 Earnings Call
Date: 2025-08-07
Workbook tab: 60 2025Q2 Earnings
Digest label: “S&amp;M Expense ($M)”</t>
        </r>
      </text>
    </comment>
    <comment ref="C14" authorId="0" shapeId="0" xr:uid="{00000000-0006-0000-0000-0000BD000000}">
      <text>
        <r>
          <rPr>
            <sz val="11"/>
            <color theme="1"/>
            <rFont val="Calibri"/>
            <family val="2"/>
            <scheme val="minor"/>
          </rPr>
          <t>Source: Q3 2018 Earnings Call
Date: 2018-11-09
Workbook tab: 01 2018Q3 Earnings
Digest label: “G&amp;A Q3 2018”</t>
        </r>
      </text>
    </comment>
    <comment ref="D14" authorId="0" shapeId="0" xr:uid="{00000000-0006-0000-0000-0000BE000000}">
      <text>
        <r>
          <rPr>
            <sz val="11"/>
            <color theme="1"/>
            <rFont val="Calibri"/>
            <family val="2"/>
            <scheme val="minor"/>
          </rPr>
          <t>Source: Q3 2018 Earnings Call
Date: 2018-11-09
Workbook tab: 01 2018Q3 Earnings
Digest label: “G&amp;A 9M 2018”</t>
        </r>
      </text>
    </comment>
    <comment ref="E14" authorId="0" shapeId="0" xr:uid="{00000000-0006-0000-0000-0000BF000000}">
      <text>
        <r>
          <rPr>
            <sz val="11"/>
            <color theme="1"/>
            <rFont val="Calibri"/>
            <family val="2"/>
            <scheme val="minor"/>
          </rPr>
          <t>Source: Q4 &amp; Full-Year 2018 Earnings Call
Date: 2019-03-14
Workbook tab: 02 2018Q4 Earnings
Digest label: “G&amp;A Q4 2018”</t>
        </r>
      </text>
    </comment>
    <comment ref="F14" authorId="0" shapeId="0" xr:uid="{00000000-0006-0000-0000-0000C0000000}">
      <text>
        <r>
          <rPr>
            <sz val="11"/>
            <color theme="1"/>
            <rFont val="Calibri"/>
            <family val="2"/>
            <scheme val="minor"/>
          </rPr>
          <t>Source: Q4 &amp; Full-Year 2018 Earnings Call
Date: 2019-03-14
Workbook tab: 02 2018Q4 Earnings
Digest label: “G&amp;A FY2018”</t>
        </r>
      </text>
    </comment>
    <comment ref="G14" authorId="0" shapeId="0" xr:uid="{00000000-0006-0000-0000-0000C1000000}">
      <text>
        <r>
          <rPr>
            <sz val="11"/>
            <color theme="1"/>
            <rFont val="Calibri"/>
            <family val="2"/>
            <scheme val="minor"/>
          </rPr>
          <t>Source: Q1 2019 Earnings Call
Date: 2019-05-09
Workbook tab: 03 2019Q1 Earnings
Digest label: “G&amp;A Q1 2019”</t>
        </r>
      </text>
    </comment>
    <comment ref="H14" authorId="0" shapeId="0" xr:uid="{00000000-0006-0000-0000-0000C2000000}">
      <text>
        <r>
          <rPr>
            <sz val="11"/>
            <color theme="1"/>
            <rFont val="Calibri"/>
            <family val="2"/>
            <scheme val="minor"/>
          </rPr>
          <t>Source: Q2 2019 Earnings Call
Date: 2019-08-08
Workbook tab: 04 2019Q2 Earnings
Digest label: “G&amp;A Q2 2019”</t>
        </r>
      </text>
    </comment>
    <comment ref="I14" authorId="0" shapeId="0" xr:uid="{00000000-0006-0000-0000-0000C3000000}">
      <text>
        <r>
          <rPr>
            <sz val="11"/>
            <color theme="1"/>
            <rFont val="Calibri"/>
            <family val="2"/>
            <scheme val="minor"/>
          </rPr>
          <t>Source: Q2 2019 Earnings Call
Date: 2019-08-08
Workbook tab: 04 2019Q2 Earnings
Digest label: “G&amp;A H1 2019”</t>
        </r>
      </text>
    </comment>
    <comment ref="J14" authorId="0" shapeId="0" xr:uid="{00000000-0006-0000-0000-0000C4000000}">
      <text>
        <r>
          <rPr>
            <sz val="11"/>
            <color theme="1"/>
            <rFont val="Calibri"/>
            <family val="2"/>
            <scheme val="minor"/>
          </rPr>
          <t>Source: Q3 2019 Earnings Call
Date: 2019-11-07
Workbook tab: 05 2019Q3 Earnings
Digest label: “G&amp;A Q3 2019”</t>
        </r>
      </text>
    </comment>
    <comment ref="L14" authorId="0" shapeId="0" xr:uid="{00000000-0006-0000-0000-0000C5000000}">
      <text>
        <r>
          <rPr>
            <sz val="11"/>
            <color theme="1"/>
            <rFont val="Calibri"/>
            <family val="2"/>
            <scheme val="minor"/>
          </rPr>
          <t>Source: Q4 &amp; Full-Year 2019 Earnings Call
Date: 2020-03-12
Workbook tab: 06 2019Q4 Earnings
Digest label: “G&amp;A Q4 2019”</t>
        </r>
      </text>
    </comment>
    <comment ref="M14" authorId="0" shapeId="0" xr:uid="{00000000-0006-0000-0000-0000C6000000}">
      <text>
        <r>
          <rPr>
            <sz val="11"/>
            <color theme="1"/>
            <rFont val="Calibri"/>
            <family val="2"/>
            <scheme val="minor"/>
          </rPr>
          <t>Source: Q4 &amp; Full-Year 2019 Earnings Call
Date: 2020-03-12
Workbook tab: 06 2019Q4 Earnings
Digest label: “G&amp;A FY2019”</t>
        </r>
      </text>
    </comment>
    <comment ref="N14" authorId="0" shapeId="0" xr:uid="{00000000-0006-0000-0000-0000C7000000}">
      <text>
        <r>
          <rPr>
            <sz val="11"/>
            <color theme="1"/>
            <rFont val="Calibri"/>
            <family val="2"/>
            <scheme val="minor"/>
          </rPr>
          <t>Source: Q4 &amp; Full-Year 2020 Earnings Call
Date: 2021-03-11
Workbook tab: 12 2020Q4 Earnings
Digest label: “G&amp;A Q4 2020”</t>
        </r>
      </text>
    </comment>
    <comment ref="Q14" authorId="0" shapeId="0" xr:uid="{00000000-0006-0000-0000-0000C8000000}">
      <text>
        <r>
          <rPr>
            <sz val="11"/>
            <color theme="1"/>
            <rFont val="Calibri"/>
            <family val="2"/>
            <scheme val="minor"/>
          </rPr>
          <t>Source: Q2 2021 Earnings Call
Date: 2021-08-12
Workbook tab: 14 2021Q2 Earnings
Digest label: “General &amp; Administrative”</t>
        </r>
      </text>
    </comment>
    <comment ref="S14" authorId="0" shapeId="0" xr:uid="{00000000-0006-0000-0000-0000C9000000}">
      <text>
        <r>
          <rPr>
            <sz val="11"/>
            <color theme="1"/>
            <rFont val="Calibri"/>
            <family val="2"/>
            <scheme val="minor"/>
          </rPr>
          <t>Source: Q3 2021 Earnings Call
Date: 2021-11-11
Workbook tab: 16 2021Q3 Earnings
Digest label: “General &amp; Administrative”</t>
        </r>
      </text>
    </comment>
    <comment ref="U14" authorId="0" shapeId="0" xr:uid="{00000000-0006-0000-0000-0000CA000000}">
      <text>
        <r>
          <rPr>
            <sz val="11"/>
            <color theme="1"/>
            <rFont val="Calibri"/>
            <family val="2"/>
            <scheme val="minor"/>
          </rPr>
          <t>Source: Q1 2022 Earnings Call
Date: 2022-05-10
Workbook tab: 20 2022Q1 Earnings
Digest label: “General &amp; Administrative”</t>
        </r>
      </text>
    </comment>
    <comment ref="V14" authorId="0" shapeId="0" xr:uid="{00000000-0006-0000-0000-0000CB000000}">
      <text>
        <r>
          <rPr>
            <sz val="11"/>
            <color theme="1"/>
            <rFont val="Calibri"/>
            <family val="2"/>
            <scheme val="minor"/>
          </rPr>
          <t>Source: Q2 2022 Earnings Call
Date: 2022-08-09
Workbook tab: 26 2022Q2 Earnings
Digest label: “G&amp;A expenses”</t>
        </r>
      </text>
    </comment>
    <comment ref="W14" authorId="0" shapeId="0" xr:uid="{00000000-0006-0000-0000-0000CC000000}">
      <text>
        <r>
          <rPr>
            <sz val="11"/>
            <color theme="1"/>
            <rFont val="Calibri"/>
            <family val="2"/>
            <scheme val="minor"/>
          </rPr>
          <t>Source: Q3 2022 Earnings Call
Date: 2022-11-09
Workbook tab: 27 2022Q3 Earnings
Digest label: “G&amp;A expenses”</t>
        </r>
      </text>
    </comment>
    <comment ref="Y14" authorId="0" shapeId="0" xr:uid="{00000000-0006-0000-0000-0000CD000000}">
      <text>
        <r>
          <rPr>
            <sz val="11"/>
            <color theme="1"/>
            <rFont val="Calibri"/>
            <family val="2"/>
            <scheme val="minor"/>
          </rPr>
          <t>Source: Celsius Holdings 2023 Annual General Meeting
Date: 2023-06-01
Workbook tab: 31 Annual General Meeting
Digest label: “G&amp;A Expense”</t>
        </r>
      </text>
    </comment>
    <comment ref="Z14" authorId="0" shapeId="0" xr:uid="{00000000-0006-0000-0000-0000CE000000}">
      <text>
        <r>
          <rPr>
            <sz val="11"/>
            <color theme="1"/>
            <rFont val="Calibri"/>
            <family val="2"/>
            <scheme val="minor"/>
          </rPr>
          <t>Reported in 2 transcripts (► = figure shown in cell):
► 21  —  Celsius Holdings Q1 2023 Earnings Call (2023-05-09)
   tab: 29 2023Q1 Earnings  |  “G&amp;A Expense ($M)”
• 21  —  Celsius Holdings 2023 Annual General Meeting (2023-06-01)
   tab: 31 Annual General Meeting  |  “G&amp;A Expense”</t>
        </r>
      </text>
    </comment>
    <comment ref="AA14" authorId="0" shapeId="0" xr:uid="{00000000-0006-0000-0000-0000CF000000}">
      <text>
        <r>
          <rPr>
            <sz val="11"/>
            <color theme="1"/>
            <rFont val="Calibri"/>
            <family val="2"/>
            <scheme val="minor"/>
          </rPr>
          <t>Source: Q2 2023 Earnings Call
Date: 2023-08-08
Workbook tab: 34 2023Q2 Earnings
Digest label: “G&amp;A Expense ($)”</t>
        </r>
      </text>
    </comment>
    <comment ref="AC14" authorId="0" shapeId="0" xr:uid="{00000000-0006-0000-0000-0000D0000000}">
      <text>
        <r>
          <rPr>
            <sz val="11"/>
            <color theme="1"/>
            <rFont val="Calibri"/>
            <family val="2"/>
            <scheme val="minor"/>
          </rPr>
          <t>Source: Q3 2023 Earnings Call
Date: 2023-11-07
Workbook tab: 37 2023Q3 Earnings
Digest label: “G&amp;A Expense ($)”</t>
        </r>
      </text>
    </comment>
    <comment ref="AE14" authorId="0" shapeId="0" xr:uid="{00000000-0006-0000-0000-0000D1000000}">
      <text>
        <r>
          <rPr>
            <sz val="11"/>
            <color theme="1"/>
            <rFont val="Calibri"/>
            <family val="2"/>
            <scheme val="minor"/>
          </rPr>
          <t>Source: Celsius Holdings Q4 2023 Earnings Call
Date: 2024-02-29
Workbook tab: 40 2023Q4 Earnings
Digest label: “G&amp;A Expense ($M)”</t>
        </r>
      </text>
    </comment>
    <comment ref="AG14" authorId="0" shapeId="0" xr:uid="{00000000-0006-0000-0000-0000D2000000}">
      <text>
        <r>
          <rPr>
            <sz val="11"/>
            <color theme="1"/>
            <rFont val="Calibri"/>
            <family val="2"/>
            <scheme val="minor"/>
          </rPr>
          <t>Source: Q1 2024 Earnings Call
Date: 2024-05-07
Workbook tab: 42 Q1 2024 Earnings
Digest label: “G&amp;A Expense”</t>
        </r>
      </text>
    </comment>
    <comment ref="AK14" authorId="0" shapeId="0" xr:uid="{00000000-0006-0000-0000-0000D3000000}">
      <text>
        <r>
          <rPr>
            <sz val="11"/>
            <color theme="1"/>
            <rFont val="Calibri"/>
            <family val="2"/>
            <scheme val="minor"/>
          </rPr>
          <t>Source: CELH Q2 2025 Earnings Call
Date: 2025-08-07
Workbook tab: 60 2025Q2 Earnings
Digest label: “G&amp;A Expense ($M)”</t>
        </r>
      </text>
    </comment>
    <comment ref="C15" authorId="0" shapeId="0" xr:uid="{00000000-0006-0000-0000-0000D4000000}">
      <text>
        <r>
          <rPr>
            <sz val="11"/>
            <color theme="1"/>
            <rFont val="Calibri"/>
            <family val="2"/>
            <scheme val="minor"/>
          </rPr>
          <t>Source: Q3 2018 Earnings Call
Date: 2018-11-09
Workbook tab: 01 2018Q3 Earnings
Digest label: “Net Loss to Common Q3 2018 ($M)”</t>
        </r>
      </text>
    </comment>
    <comment ref="D15" authorId="0" shapeId="0" xr:uid="{00000000-0006-0000-0000-0000D5000000}">
      <text>
        <r>
          <rPr>
            <sz val="11"/>
            <color theme="1"/>
            <rFont val="Calibri"/>
            <family val="2"/>
            <scheme val="minor"/>
          </rPr>
          <t>Source: Q3 2018 Earnings Call
Date: 2018-11-09
Workbook tab: 01 2018Q3 Earnings
Digest label: “Net Loss to Common 9M 2018 ($M)”</t>
        </r>
      </text>
    </comment>
    <comment ref="E15" authorId="0" shapeId="0" xr:uid="{00000000-0006-0000-0000-0000D6000000}">
      <text>
        <r>
          <rPr>
            <sz val="11"/>
            <color theme="1"/>
            <rFont val="Calibri"/>
            <family val="2"/>
            <scheme val="minor"/>
          </rPr>
          <t>Source: Q4 &amp; Full-Year 2018 Earnings Call
Date: 2019-03-14
Workbook tab: 02 2018Q4 Earnings
Digest label: “Net Loss to Common Q4 2018 ($M)”</t>
        </r>
      </text>
    </comment>
    <comment ref="F15" authorId="0" shapeId="0" xr:uid="{00000000-0006-0000-0000-0000D7000000}">
      <text>
        <r>
          <rPr>
            <sz val="11"/>
            <color theme="1"/>
            <rFont val="Calibri"/>
            <family val="2"/>
            <scheme val="minor"/>
          </rPr>
          <t>Source: Q4 &amp; Full-Year 2018 Earnings Call
Date: 2019-03-14
Workbook tab: 02 2018Q4 Earnings
Digest label: “Net Loss to Common FY2018 ($M)”</t>
        </r>
      </text>
    </comment>
    <comment ref="G15" authorId="0" shapeId="0" xr:uid="{00000000-0006-0000-0000-0000D8000000}">
      <text>
        <r>
          <rPr>
            <sz val="11"/>
            <color theme="1"/>
            <rFont val="Calibri"/>
            <family val="2"/>
            <scheme val="minor"/>
          </rPr>
          <t>Source: Q1 2019 Earnings Call
Date: 2019-05-09
Workbook tab: 03 2019Q1 Earnings
Digest label: “Net Income to Common Q1 2019 ($M)”</t>
        </r>
      </text>
    </comment>
    <comment ref="H15" authorId="0" shapeId="0" xr:uid="{00000000-0006-0000-0000-0000D9000000}">
      <text>
        <r>
          <rPr>
            <sz val="11"/>
            <color theme="1"/>
            <rFont val="Calibri"/>
            <family val="2"/>
            <scheme val="minor"/>
          </rPr>
          <t>Source: Q2 2019 Earnings Call
Date: 2019-08-08
Workbook tab: 04 2019Q2 Earnings
Digest label: “Net Loss to Common Q2 2019 ($M)”</t>
        </r>
      </text>
    </comment>
    <comment ref="I15" authorId="0" shapeId="0" xr:uid="{00000000-0006-0000-0000-0000DA000000}">
      <text>
        <r>
          <rPr>
            <sz val="11"/>
            <color theme="1"/>
            <rFont val="Calibri"/>
            <family val="2"/>
            <scheme val="minor"/>
          </rPr>
          <t>Source: Q2 2019 Earnings Call
Date: 2019-08-08
Workbook tab: 04 2019Q2 Earnings
Digest label: “Net Income to Common H1 2019 ($M)”</t>
        </r>
      </text>
    </comment>
    <comment ref="J15" authorId="0" shapeId="0" xr:uid="{00000000-0006-0000-0000-0000DB000000}">
      <text>
        <r>
          <rPr>
            <sz val="11"/>
            <color theme="1"/>
            <rFont val="Calibri"/>
            <family val="2"/>
            <scheme val="minor"/>
          </rPr>
          <t>Source: Q3 2019 Earnings Call
Date: 2019-11-07
Workbook tab: 05 2019Q3 Earnings
Digest label: “Net Income to Common Q3 2019 ($000)”</t>
        </r>
      </text>
    </comment>
    <comment ref="K15" authorId="0" shapeId="0" xr:uid="{00000000-0006-0000-0000-0000DC000000}">
      <text>
        <r>
          <rPr>
            <sz val="11"/>
            <color theme="1"/>
            <rFont val="Calibri"/>
            <family val="2"/>
            <scheme val="minor"/>
          </rPr>
          <t>Source: Q3 2019 Earnings Call
Date: 2019-11-07
Workbook tab: 05 2019Q3 Earnings
Digest label: “YTD Net Income to Common 9M 2019 ($M)”</t>
        </r>
      </text>
    </comment>
    <comment ref="L15" authorId="0" shapeId="0" xr:uid="{00000000-0006-0000-0000-0000DD000000}">
      <text>
        <r>
          <rPr>
            <sz val="11"/>
            <color theme="1"/>
            <rFont val="Calibri"/>
            <family val="2"/>
            <scheme val="minor"/>
          </rPr>
          <t>Source: Q4 &amp; Full-Year 2019 Earnings Call
Date: 2020-03-12
Workbook tab: 06 2019Q4 Earnings
Digest label: “Net Loss to Common Q4 2019 ($M)”</t>
        </r>
      </text>
    </comment>
    <comment ref="M15" authorId="0" shapeId="0" xr:uid="{00000000-0006-0000-0000-0000DE000000}">
      <text>
        <r>
          <rPr>
            <sz val="11"/>
            <color theme="1"/>
            <rFont val="Calibri"/>
            <family val="2"/>
            <scheme val="minor"/>
          </rPr>
          <t>Source: Q4 &amp; Full-Year 2019 Earnings Call
Date: 2020-03-12
Workbook tab: 06 2019Q4 Earnings
Digest label: “Net Income to Common FY2019 ($M)”</t>
        </r>
      </text>
    </comment>
    <comment ref="N15" authorId="0" shapeId="0" xr:uid="{00000000-0006-0000-0000-0000DF000000}">
      <text>
        <r>
          <rPr>
            <sz val="11"/>
            <color theme="1"/>
            <rFont val="Calibri"/>
            <family val="2"/>
            <scheme val="minor"/>
          </rPr>
          <t>Source: Q4 &amp; Full-Year 2020 Earnings Call
Date: 2021-03-11
Workbook tab: 12 2020Q4 Earnings
Digest label: “Net Income Q4 2020 ($M)”</t>
        </r>
      </text>
    </comment>
    <comment ref="Q15" authorId="0" shapeId="0" xr:uid="{00000000-0006-0000-0000-0000E0000000}">
      <text>
        <r>
          <rPr>
            <sz val="11"/>
            <color theme="1"/>
            <rFont val="Calibri"/>
            <family val="2"/>
            <scheme val="minor"/>
          </rPr>
          <t>Source: Q2 2021 Earnings Call
Date: 2021-08-12
Workbook tab: 14 2021Q2 Earnings
Digest label: “Net Income”</t>
        </r>
      </text>
    </comment>
    <comment ref="R15" authorId="0" shapeId="0" xr:uid="{00000000-0006-0000-0000-0000E1000000}">
      <text>
        <r>
          <rPr>
            <sz val="11"/>
            <color theme="1"/>
            <rFont val="Calibri"/>
            <family val="2"/>
            <scheme val="minor"/>
          </rPr>
          <t>Source: 2021 Annual Meeting of Shareholders
Date: 2021-08-19
Workbook tab: 15 Annual Shareholder Mtg
Digest label: “Net Income”</t>
        </r>
      </text>
    </comment>
    <comment ref="S15" authorId="0" shapeId="0" xr:uid="{00000000-0006-0000-0000-0000E2000000}">
      <text>
        <r>
          <rPr>
            <sz val="11"/>
            <color theme="1"/>
            <rFont val="Calibri"/>
            <family val="2"/>
            <scheme val="minor"/>
          </rPr>
          <t>Source: Q3 2021 Earnings Call
Date: 2021-11-11
Workbook tab: 16 2021Q3 Earnings
Digest label: “Net Income”</t>
        </r>
      </text>
    </comment>
    <comment ref="T15" authorId="0" shapeId="0" xr:uid="{00000000-0006-0000-0000-0000E3000000}">
      <text>
        <r>
          <rPr>
            <sz val="11"/>
            <color theme="1"/>
            <rFont val="Calibri"/>
            <family val="2"/>
            <scheme val="minor"/>
          </rPr>
          <t>Source: 2022 Annual General Meeting (Annual Meeting of Shareholders)
Date: 2022-06-02
Workbook tab: 22 Annual Shareholder Mtg
Digest label: “Net income ($M)”</t>
        </r>
      </text>
    </comment>
    <comment ref="U15" authorId="0" shapeId="0" xr:uid="{00000000-0006-0000-0000-0000E4000000}">
      <text>
        <r>
          <rPr>
            <sz val="11"/>
            <color theme="1"/>
            <rFont val="Calibri"/>
            <family val="2"/>
            <scheme val="minor"/>
          </rPr>
          <t>Reported in 2 transcripts (► = figure shown in cell):
► 6.7  —  Q1 2022 Earnings Call (2022-05-10)
   tab: 20 2022Q1 Earnings  |  “Net Income”
• 6.7  —  2022 Annual General Meeting (Annual Meeting of Shareholders) (2022-06-02)
   tab: 22 Annual Shareholder Mtg  |  “Net income ($M)”</t>
        </r>
      </text>
    </comment>
    <comment ref="V15" authorId="0" shapeId="0" xr:uid="{00000000-0006-0000-0000-0000E5000000}">
      <text>
        <r>
          <rPr>
            <sz val="11"/>
            <color theme="1"/>
            <rFont val="Calibri"/>
            <family val="2"/>
            <scheme val="minor"/>
          </rPr>
          <t>Source: Q2 2022 Earnings Call
Date: 2022-08-09
Workbook tab: 26 2022Q2 Earnings
Digest label: “Net income”</t>
        </r>
      </text>
    </comment>
    <comment ref="AC15" authorId="0" shapeId="0" xr:uid="{00000000-0006-0000-0000-0000E6000000}">
      <text>
        <r>
          <rPr>
            <sz val="11"/>
            <color theme="1"/>
            <rFont val="Calibri"/>
            <family val="2"/>
            <scheme val="minor"/>
          </rPr>
          <t>Source: Q3 2023 Earnings Call
Date: 2023-11-07
Workbook tab: 37 2023Q3 Earnings
Digest label: “Net Income (common shareholders)”</t>
        </r>
      </text>
    </comment>
    <comment ref="AG15" authorId="0" shapeId="0" xr:uid="{00000000-0006-0000-0000-0000E7000000}">
      <text>
        <r>
          <rPr>
            <sz val="11"/>
            <color theme="1"/>
            <rFont val="Calibri"/>
            <family val="2"/>
            <scheme val="minor"/>
          </rPr>
          <t>Source: Q1 2024 Earnings Call
Date: 2024-05-07
Workbook tab: 42 Q1 2024 Earnings
Digest label: “Net Income to Common Shareholders”</t>
        </r>
      </text>
    </comment>
    <comment ref="AH15" authorId="0" shapeId="0" xr:uid="{00000000-0006-0000-0000-0000E8000000}">
      <text>
        <r>
          <rPr>
            <sz val="11"/>
            <color theme="1"/>
            <rFont val="Calibri"/>
            <family val="2"/>
            <scheme val="minor"/>
          </rPr>
          <t>Source: Q4 2024 Earnings Call
Date: 2025-02-20
Workbook tab: 51 2024Q4 Earnings
Digest label: “Net Income / (Loss)”</t>
        </r>
      </text>
    </comment>
    <comment ref="AI15" authorId="0" shapeId="0" xr:uid="{00000000-0006-0000-0000-0000E9000000}">
      <text>
        <r>
          <rPr>
            <sz val="11"/>
            <color theme="1"/>
            <rFont val="Calibri"/>
            <family val="2"/>
            <scheme val="minor"/>
          </rPr>
          <t>Source: Q4 2024 Earnings Call
Date: 2025-02-20
Workbook tab: 51 2024Q4 Earnings
Digest label: “Net Income”</t>
        </r>
      </text>
    </comment>
    <comment ref="AJ15" authorId="0" shapeId="0" xr:uid="{00000000-0006-0000-0000-0000EA000000}">
      <text>
        <r>
          <rPr>
            <sz val="11"/>
            <color theme="1"/>
            <rFont val="Calibri"/>
            <family val="2"/>
            <scheme val="minor"/>
          </rPr>
          <t>Source: Q1 2025 Earnings Call
Date: 2025-05-06
Workbook tab: 55 2025Q1 Earnings
Digest label: “Net Income (to common)”</t>
        </r>
      </text>
    </comment>
    <comment ref="AK15" authorId="0" shapeId="0" xr:uid="{00000000-0006-0000-0000-0000EB000000}">
      <text>
        <r>
          <rPr>
            <sz val="11"/>
            <color theme="1"/>
            <rFont val="Calibri"/>
            <family val="2"/>
            <scheme val="minor"/>
          </rPr>
          <t>Reported in 2 transcripts (► = figure shown in cell):
► 85.7  —  CELH Q2 2025 Earnings Call (2025-08-07)
   tab: 60 2025Q2 Earnings  |  “Net Income to Common ($M)”
• 99.6  —  CELH Q2 2025 Earnings Call (2025-08-07)
   tab: 60 2025Q2 Earnings  |  “Net Income ($M)”</t>
        </r>
      </text>
    </comment>
    <comment ref="AO15" authorId="0" shapeId="0" xr:uid="{00000000-0006-0000-0000-0000EC000000}">
      <text>
        <r>
          <rPr>
            <sz val="11"/>
            <color theme="1"/>
            <rFont val="Calibri"/>
            <family val="2"/>
            <scheme val="minor"/>
          </rPr>
          <t>Reported in 3 transcripts (► = figure shown in cell):
• 108  —  Full-Year 2025 and Fourth Quarter Financial Results Press Release (2026-02-26)
   tab: 66 2025Q4 Earnings PR  |  “Net income (GAAP)”
• 63.8  —  Full-Year 2025 and Fourth Quarter Financial Results Press Release (2026-02-26)
   tab: 66 2025Q4 Earnings PR  |  “Net income to common shareholders”
► 108  —  Q4 2025 / FY2025 Earnings Call (2026-02-26)
   tab: 67 2025Q4 Earnings  |  “Net Income (GAAP)”</t>
        </r>
      </text>
    </comment>
    <comment ref="AP15" authorId="0" shapeId="0" xr:uid="{00000000-0006-0000-0000-0000ED000000}">
      <text>
        <r>
          <rPr>
            <sz val="11"/>
            <color theme="1"/>
            <rFont val="Calibri"/>
            <family val="2"/>
            <scheme val="minor"/>
          </rPr>
          <t>Source: CELH Q1 2026 Earnings Call
Date: 2026-05-07
Workbook tab: 69 2026Q1 Earnings
Digest label: “GAAP Net Income ($M)”</t>
        </r>
      </text>
    </comment>
    <comment ref="C16" authorId="0" shapeId="0" xr:uid="{00000000-0006-0000-0000-0000EE000000}">
      <text>
        <r>
          <rPr>
            <sz val="11"/>
            <color theme="1"/>
            <rFont val="Calibri"/>
            <family val="2"/>
            <scheme val="minor"/>
          </rPr>
          <t>Reported in 2 transcripts (► = figure shown in cell):
► -2.9  —  Q3 2018 Earnings Call (2018-11-09)
   tab: 01 2018Q3 Earnings  |  “Adjusted EBITDA Q3 2018 ($M)”
• 2.2  —  Q3 2018 Earnings Call (2018-11-09)
   tab: 01 2018Q3 Earnings  |  “Adj EBITDA ex Asia Q3 2018 ($M)”</t>
        </r>
      </text>
    </comment>
    <comment ref="D16" authorId="0" shapeId="0" xr:uid="{00000000-0006-0000-0000-0000EF000000}">
      <text>
        <r>
          <rPr>
            <sz val="11"/>
            <color theme="1"/>
            <rFont val="Calibri"/>
            <family val="2"/>
            <scheme val="minor"/>
          </rPr>
          <t>Source: Q3 2018 Earnings Call
Date: 2018-11-09
Workbook tab: 01 2018Q3 Earnings
Digest label: “Adjusted EBITDA 9M 2018 ($M)”</t>
        </r>
      </text>
    </comment>
    <comment ref="E16" authorId="0" shapeId="0" xr:uid="{00000000-0006-0000-0000-0000F0000000}">
      <text>
        <r>
          <rPr>
            <sz val="11"/>
            <color theme="1"/>
            <rFont val="Calibri"/>
            <family val="2"/>
            <scheme val="minor"/>
          </rPr>
          <t>Source: Q4 &amp; Full-Year 2018 Earnings Call
Date: 2019-03-14
Workbook tab: 02 2018Q4 Earnings
Digest label: “Adjusted EBITDA Q4 2018 ($M)”</t>
        </r>
      </text>
    </comment>
    <comment ref="F16" authorId="0" shapeId="0" xr:uid="{00000000-0006-0000-0000-0000F1000000}">
      <text>
        <r>
          <rPr>
            <sz val="11"/>
            <color theme="1"/>
            <rFont val="Calibri"/>
            <family val="2"/>
            <scheme val="minor"/>
          </rPr>
          <t>Source: Q4 &amp; Full-Year 2018 Earnings Call
Date: 2019-03-14
Workbook tab: 02 2018Q4 Earnings
Digest label: “Adjusted EBITDA FY2018 ($M)”</t>
        </r>
      </text>
    </comment>
    <comment ref="G16" authorId="0" shapeId="0" xr:uid="{00000000-0006-0000-0000-0000F2000000}">
      <text>
        <r>
          <rPr>
            <sz val="11"/>
            <color theme="1"/>
            <rFont val="Calibri"/>
            <family val="2"/>
            <scheme val="minor"/>
          </rPr>
          <t>Source: Q1 2019 Earnings Call
Date: 2019-05-09
Workbook tab: 03 2019Q1 Earnings
Digest label: “Adjusted EBITDA Q1 2019 ($000)”</t>
        </r>
      </text>
    </comment>
    <comment ref="H16" authorId="0" shapeId="0" xr:uid="{00000000-0006-0000-0000-0000F3000000}">
      <text>
        <r>
          <rPr>
            <sz val="11"/>
            <color theme="1"/>
            <rFont val="Calibri"/>
            <family val="2"/>
            <scheme val="minor"/>
          </rPr>
          <t>Source: Q2 2019 Earnings Call
Date: 2019-08-08
Workbook tab: 04 2019Q2 Earnings
Digest label: “Adjusted EBITDA Q2 2019 ($000)”</t>
        </r>
      </text>
    </comment>
    <comment ref="I16" authorId="0" shapeId="0" xr:uid="{00000000-0006-0000-0000-0000F4000000}">
      <text>
        <r>
          <rPr>
            <sz val="11"/>
            <color theme="1"/>
            <rFont val="Calibri"/>
            <family val="2"/>
            <scheme val="minor"/>
          </rPr>
          <t>Source: Q2 2019 Earnings Call
Date: 2019-08-08
Workbook tab: 04 2019Q2 Earnings
Digest label: “Adjusted EBITDA H1 2019 ($000)”</t>
        </r>
      </text>
    </comment>
    <comment ref="J16" authorId="0" shapeId="0" xr:uid="{00000000-0006-0000-0000-0000F5000000}">
      <text>
        <r>
          <rPr>
            <sz val="11"/>
            <color theme="1"/>
            <rFont val="Calibri"/>
            <family val="2"/>
            <scheme val="minor"/>
          </rPr>
          <t>Reported in 2 transcripts (► = figure shown in cell):
► 2.4  —  Q3 2019 Earnings Call (2019-11-07)
   tab: 05 2019Q3 Earnings  |  “Adjusted EBITDA Q3 2019 ($M)”
• 2.6  —  Q3 2019 Earnings Call (2019-11-07)
   tab: 05 2019Q3 Earnings  |  “Net Non-GAAP Adjusted EBITDA Q3 2019 ($M)”</t>
        </r>
      </text>
    </comment>
    <comment ref="L16" authorId="0" shapeId="0" xr:uid="{00000000-0006-0000-0000-0000F6000000}">
      <text>
        <r>
          <rPr>
            <sz val="11"/>
            <color theme="1"/>
            <rFont val="Calibri"/>
            <family val="2"/>
            <scheme val="minor"/>
          </rPr>
          <t>Source: Q4 &amp; Full-Year 2019 Earnings Call
Date: 2020-03-12
Workbook tab: 06 2019Q4 Earnings
Digest label: “Adj EBITDA ex-Asia Q4 2019 ($000)”</t>
        </r>
      </text>
    </comment>
    <comment ref="M16" authorId="0" shapeId="0" xr:uid="{00000000-0006-0000-0000-0000F7000000}">
      <text>
        <r>
          <rPr>
            <sz val="11"/>
            <color theme="1"/>
            <rFont val="Calibri"/>
            <family val="2"/>
            <scheme val="minor"/>
          </rPr>
          <t>Source: Q4 &amp; Full-Year 2019 Earnings Call
Date: 2020-03-12
Workbook tab: 06 2019Q4 Earnings
Digest label: “Adj EBITDA ex-Asia FY2019 ($M)”</t>
        </r>
      </text>
    </comment>
    <comment ref="N16" authorId="0" shapeId="0" xr:uid="{00000000-0006-0000-0000-0000F8000000}">
      <text>
        <r>
          <rPr>
            <sz val="11"/>
            <color theme="1"/>
            <rFont val="Calibri"/>
            <family val="2"/>
            <scheme val="minor"/>
          </rPr>
          <t>Source: Q4 &amp; Full-Year 2020 Earnings Call
Date: 2021-03-11
Workbook tab: 12 2020Q4 Earnings
Digest label: “Adjusted EBITDA Q4 2020 ($M)”</t>
        </r>
      </text>
    </comment>
    <comment ref="Q16" authorId="0" shapeId="0" xr:uid="{00000000-0006-0000-0000-0000F9000000}">
      <text>
        <r>
          <rPr>
            <sz val="11"/>
            <color theme="1"/>
            <rFont val="Calibri"/>
            <family val="2"/>
            <scheme val="minor"/>
          </rPr>
          <t>Reported in 2 transcripts (► = figure shown in cell):
► 7.9  —  Q2 2021 Earnings Call (2021-08-12)
   tab: 14 2021Q2 Earnings  |  “Adjusted EBITDA”
• 8  —  2021 Annual Meeting of Shareholders (2021-08-19)
   tab: 15 Annual Shareholder Mtg  |  “Q2 Adjusted EBITDA”</t>
        </r>
      </text>
    </comment>
    <comment ref="R16" authorId="0" shapeId="0" xr:uid="{00000000-0006-0000-0000-0000FA000000}">
      <text>
        <r>
          <rPr>
            <sz val="11"/>
            <color theme="1"/>
            <rFont val="Calibri"/>
            <family val="2"/>
            <scheme val="minor"/>
          </rPr>
          <t>Source: 2021 Annual Meeting of Shareholders
Date: 2021-08-19
Workbook tab: 15 Annual Shareholder Mtg
Digest label: “Adjusted EBITDA”</t>
        </r>
      </text>
    </comment>
    <comment ref="U16" authorId="0" shapeId="0" xr:uid="{00000000-0006-0000-0000-0000FB000000}">
      <text>
        <r>
          <rPr>
            <sz val="11"/>
            <color theme="1"/>
            <rFont val="Calibri"/>
            <family val="2"/>
            <scheme val="minor"/>
          </rPr>
          <t>Source: 2022 Annual General Meeting (Annual Meeting of Shareholders)
Date: 2022-06-02
Workbook tab: 22 Annual Shareholder Mtg
Digest label: “Adjusted EBITDA ($M)”</t>
        </r>
      </text>
    </comment>
    <comment ref="Z16" authorId="0" shapeId="0" xr:uid="{00000000-0006-0000-0000-0000FC000000}">
      <text>
        <r>
          <rPr>
            <sz val="11"/>
            <color theme="1"/>
            <rFont val="Calibri"/>
            <family val="2"/>
            <scheme val="minor"/>
          </rPr>
          <t>Source: Celsius Holdings Q1 2023 Earnings Call
Date: 2023-05-09
Workbook tab: 29 2023Q1 Earnings
Digest label: “Adjusted EBITDA ($M, non-GAAP)”</t>
        </r>
      </text>
    </comment>
    <comment ref="AG16" authorId="0" shapeId="0" xr:uid="{00000000-0006-0000-0000-0000FD000000}">
      <text>
        <r>
          <rPr>
            <sz val="11"/>
            <color theme="1"/>
            <rFont val="Calibri"/>
            <family val="2"/>
            <scheme val="minor"/>
          </rPr>
          <t>Source: Q1 2024 Earnings Call
Date: 2024-05-07
Workbook tab: 42 Q1 2024 Earnings
Digest label: “Non-GAAP Adjusted EBITDA”</t>
        </r>
      </text>
    </comment>
    <comment ref="AI16" authorId="0" shapeId="0" xr:uid="{00000000-0006-0000-0000-0000FE000000}">
      <text>
        <r>
          <rPr>
            <sz val="11"/>
            <color theme="1"/>
            <rFont val="Calibri"/>
            <family val="2"/>
            <scheme val="minor"/>
          </rPr>
          <t>Source: Alani Nu Modeling Call (post-closing)
Date: 2025-05-28
Workbook tab: 57 Acquiring Alani Nu
Digest label: “Adjusted EBITDA”</t>
        </r>
      </text>
    </comment>
    <comment ref="AJ16" authorId="0" shapeId="0" xr:uid="{00000000-0006-0000-0000-0000FF000000}">
      <text>
        <r>
          <rPr>
            <sz val="11"/>
            <color theme="1"/>
            <rFont val="Calibri"/>
            <family val="2"/>
            <scheme val="minor"/>
          </rPr>
          <t>Source: Q1 2025 Earnings Call
Date: 2025-05-06
Workbook tab: 55 2025Q1 Earnings
Digest label: “Adjusted EBITDA”</t>
        </r>
      </text>
    </comment>
    <comment ref="AK16" authorId="0" shapeId="0" xr:uid="{00000000-0006-0000-0000-000000010000}">
      <text>
        <r>
          <rPr>
            <sz val="11"/>
            <color theme="1"/>
            <rFont val="Calibri"/>
            <family val="2"/>
            <scheme val="minor"/>
          </rPr>
          <t>Source: CELH Q2 2025 Earnings Call
Date: 2025-08-07
Workbook tab: 60 2025Q2 Earnings
Digest label: “Adjusted EBITDA ($M)”</t>
        </r>
      </text>
    </comment>
    <comment ref="AL16" authorId="0" shapeId="0" xr:uid="{00000000-0006-0000-0000-000001010000}">
      <text>
        <r>
          <rPr>
            <sz val="11"/>
            <color theme="1"/>
            <rFont val="Calibri"/>
            <family val="2"/>
            <scheme val="minor"/>
          </rPr>
          <t>Source: CELH Q2 2025 Earnings Call
Date: 2025-08-07
Workbook tab: 60 2025Q2 Earnings
Digest label: “Adjusted EBITDA ($M)”</t>
        </r>
      </text>
    </comment>
    <comment ref="AO16" authorId="0" shapeId="0" xr:uid="{00000000-0006-0000-0000-000002010000}">
      <text>
        <r>
          <rPr>
            <sz val="11"/>
            <color theme="1"/>
            <rFont val="Calibri"/>
            <family val="2"/>
            <scheme val="minor"/>
          </rPr>
          <t>Reported in 2 transcripts (► = figure shown in cell):
► 619.6  —  Q4 2025 / FY2025 Earnings Call (2026-02-26)
   tab: 67 2025Q4 Earnings  |  “Adjusted EBITDA”
• 619.6  —  Full-Year 2025 and Fourth Quarter Financial Results Press Release (2026-02-26)
   tab: 66 2025Q4 Earnings PR  |  “Adjusted EBITDA (non-GAAP)”</t>
        </r>
      </text>
    </comment>
    <comment ref="AP16" authorId="0" shapeId="0" xr:uid="{00000000-0006-0000-0000-000003010000}">
      <text>
        <r>
          <rPr>
            <sz val="11"/>
            <color theme="1"/>
            <rFont val="Calibri"/>
            <family val="2"/>
            <scheme val="minor"/>
          </rPr>
          <t>Source: CELH Q1 2026 Earnings Call
Date: 2026-05-07
Workbook tab: 69 2026Q1 Earnings
Digest label: “Adjusted EBITDA ($M)”</t>
        </r>
      </text>
    </comment>
    <comment ref="F17" authorId="0" shapeId="0" xr:uid="{00000000-0006-0000-0000-000004010000}">
      <text>
        <r>
          <rPr>
            <sz val="11"/>
            <color theme="1"/>
            <rFont val="Calibri"/>
            <family val="2"/>
            <scheme val="minor"/>
          </rPr>
          <t>Source: Q4 &amp; Full-Year 2018 Earnings Call
Date: 2019-03-14
Workbook tab: 02 2018Q4 Earnings
Digest label: “Cash Used in Operations FY2018 ($M)”</t>
        </r>
      </text>
    </comment>
    <comment ref="M17" authorId="0" shapeId="0" xr:uid="{00000000-0006-0000-0000-000005010000}">
      <text>
        <r>
          <rPr>
            <sz val="11"/>
            <color theme="1"/>
            <rFont val="Calibri"/>
            <family val="2"/>
            <scheme val="minor"/>
          </rPr>
          <t>Source: Q4 &amp; Full-Year 2019 Earnings Call
Date: 2020-03-12
Workbook tab: 06 2019Q4 Earnings
Digest label: “Cash Provided by Operations FY2019 ($M)”</t>
        </r>
      </text>
    </comment>
    <comment ref="O17" authorId="0" shapeId="0" xr:uid="{00000000-0006-0000-0000-000006010000}">
      <text>
        <r>
          <rPr>
            <sz val="11"/>
            <color theme="1"/>
            <rFont val="Calibri"/>
            <family val="2"/>
            <scheme val="minor"/>
          </rPr>
          <t>Source: Q4 &amp; Full-Year 2020 Earnings Call
Date: 2021-03-11
Workbook tab: 12 2020Q4 Earnings
Digest label: “Operating Cash Flow FY ($M)”</t>
        </r>
      </text>
    </comment>
    <comment ref="Q17" authorId="0" shapeId="0" xr:uid="{00000000-0006-0000-0000-000007010000}">
      <text>
        <r>
          <rPr>
            <sz val="11"/>
            <color theme="1"/>
            <rFont val="Calibri"/>
            <family val="2"/>
            <scheme val="minor"/>
          </rPr>
          <t>Source: Q2 2021 Earnings Call
Date: 2021-08-12
Workbook tab: 14 2021Q2 Earnings
Digest label: “Operating Cash Flow (6M)”</t>
        </r>
      </text>
    </comment>
    <comment ref="S17" authorId="0" shapeId="0" xr:uid="{00000000-0006-0000-0000-000008010000}">
      <text>
        <r>
          <rPr>
            <sz val="11"/>
            <color theme="1"/>
            <rFont val="Calibri"/>
            <family val="2"/>
            <scheme val="minor"/>
          </rPr>
          <t>Source: Q3 2021 Earnings Call
Date: 2021-11-11
Workbook tab: 16 2021Q3 Earnings
Digest label: “Operating Cash Flow (9M)”</t>
        </r>
      </text>
    </comment>
    <comment ref="U17" authorId="0" shapeId="0" xr:uid="{00000000-0006-0000-0000-000009010000}">
      <text>
        <r>
          <rPr>
            <sz val="11"/>
            <color theme="1"/>
            <rFont val="Calibri"/>
            <family val="2"/>
            <scheme val="minor"/>
          </rPr>
          <t>Source: Credit Suisse HALO Investment Summit
Date: 2022-05-25
Workbook tab: 21 Credit Suisse Conf
Digest label: “Operating Cash Flow ($M)”</t>
        </r>
      </text>
    </comment>
    <comment ref="AB17" authorId="0" shapeId="0" xr:uid="{00000000-0006-0000-0000-00000A010000}">
      <text>
        <r>
          <rPr>
            <sz val="11"/>
            <color theme="1"/>
            <rFont val="Calibri"/>
            <family val="2"/>
            <scheme val="minor"/>
          </rPr>
          <t>Source: Q2 2023 Earnings Call
Date: 2023-08-08
Workbook tab: 34 2023Q2 Earnings
Digest label: “H1 Cash from Operations”</t>
        </r>
      </text>
    </comment>
    <comment ref="AD17" authorId="0" shapeId="0" xr:uid="{00000000-0006-0000-0000-00000B010000}">
      <text>
        <r>
          <rPr>
            <sz val="11"/>
            <color theme="1"/>
            <rFont val="Calibri"/>
            <family val="2"/>
            <scheme val="minor"/>
          </rPr>
          <t>Source: Q3 2023 Earnings Call
Date: 2023-11-07
Workbook tab: 37 2023Q3 Earnings
Digest label: “9M Cash from Operations”</t>
        </r>
      </text>
    </comment>
    <comment ref="AG17" authorId="0" shapeId="0" xr:uid="{00000000-0006-0000-0000-00000C010000}">
      <text>
        <r>
          <rPr>
            <sz val="11"/>
            <color theme="1"/>
            <rFont val="Calibri"/>
            <family val="2"/>
            <scheme val="minor"/>
          </rPr>
          <t>Source: Q1 2024 Earnings Call
Date: 2024-05-07
Workbook tab: 42 Q1 2024 Earnings
Digest label: “Cash Flow from Operating Activities”</t>
        </r>
      </text>
    </comment>
    <comment ref="B18" authorId="0" shapeId="0" xr:uid="{00000000-0006-0000-0000-00000D010000}">
      <text>
        <r>
          <rPr>
            <sz val="11"/>
            <color theme="1"/>
            <rFont val="Calibri"/>
            <family val="2"/>
            <scheme val="minor"/>
          </rPr>
          <t>Source: Q3 2018 Earnings Call
Date: 2018-11-09
Workbook tab: 01 2018Q3 Earnings
Digest label: “Cash ($M)”</t>
        </r>
      </text>
    </comment>
    <comment ref="F18" authorId="0" shapeId="0" xr:uid="{00000000-0006-0000-0000-00000E010000}">
      <text>
        <r>
          <rPr>
            <sz val="11"/>
            <color theme="1"/>
            <rFont val="Calibri"/>
            <family val="2"/>
            <scheme val="minor"/>
          </rPr>
          <t>Reported in 4 transcripts (► = figure shown in cell):
► 7.7  —  Q4 &amp; Full-Year 2018 Earnings Call (2019-03-14)
   tab: 02 2018Q4 Earnings  |  “Cash ($M)”
• 7.7  —  Q1 2019 Earnings Call (2019-05-09)
   tab: 03 2019Q1 Earnings  |  “Cash ($M)”
• 7.7  —  Q2 2019 Earnings Call (2019-08-08)
   tab: 04 2019Q2 Earnings  |  “Cash ($M)”
• 7.7  —  Q3 2019 Earnings Call (2019-11-07)
   tab: 05 2019Q3 Earnings  |  “Cash ($M)”</t>
        </r>
      </text>
    </comment>
    <comment ref="M18" authorId="0" shapeId="0" xr:uid="{00000000-0006-0000-0000-00000F010000}">
      <text>
        <r>
          <rPr>
            <sz val="11"/>
            <color theme="1"/>
            <rFont val="Calibri"/>
            <family val="2"/>
            <scheme val="minor"/>
          </rPr>
          <t>Reported in 4 transcripts (► = figure shown in cell):
► 23.1  —  Q4 &amp; Full-Year 2019 Earnings Call (2020-03-12)
   tab: 06 2019Q4 Earnings  |  “Cash ($M)”
• 23.1  —  Q1 2020 Earnings Call (2020-05-12)
   tab: 07 Q1 2020 Earnings  |  “Cash”
• 23.1  —  Q2 2020 Earnings Call (2020-08-06)
   tab: 08 Q2 2020 Earnings  |  “Cash”
• 23.1  —  Q3 2020 Earnings Call (2020-11-12)
   tab: 10 Q3 2020 Earnings  |  “Cash”</t>
        </r>
      </text>
    </comment>
    <comment ref="O18" authorId="0" shapeId="0" xr:uid="{00000000-0006-0000-0000-000010010000}">
      <text>
        <r>
          <rPr>
            <sz val="11"/>
            <color theme="1"/>
            <rFont val="Calibri"/>
            <family val="2"/>
            <scheme val="minor"/>
          </rPr>
          <t>Reported in 2 transcripts (► = figure shown in cell):
► 43.2  —  Q4 &amp; Full-Year 2020 Earnings Call (2021-03-11)
   tab: 12 2020Q4 Earnings  |  “Cash ($M)”
• 43.2  —  Q1 2021 Earnings Call (2021-05-13)
   tab: 13 Q1 2021 Earnings  |  “Cash”</t>
        </r>
      </text>
    </comment>
    <comment ref="Q18" authorId="0" shapeId="0" xr:uid="{00000000-0006-0000-0000-000011010000}">
      <text>
        <r>
          <rPr>
            <sz val="11"/>
            <color theme="1"/>
            <rFont val="Calibri"/>
            <family val="2"/>
            <scheme val="minor"/>
          </rPr>
          <t>Source: Q2 2021 Earnings Call
Date: 2021-08-12
Workbook tab: 14 2021Q2 Earnings
Digest label: “Cash”</t>
        </r>
      </text>
    </comment>
    <comment ref="S18" authorId="0" shapeId="0" xr:uid="{00000000-0006-0000-0000-000012010000}">
      <text>
        <r>
          <rPr>
            <sz val="11"/>
            <color theme="1"/>
            <rFont val="Calibri"/>
            <family val="2"/>
            <scheme val="minor"/>
          </rPr>
          <t>Source: Q3 2021 Earnings Call
Date: 2021-11-11
Workbook tab: 16 2021Q3 Earnings
Digest label: “Cash”</t>
        </r>
      </text>
    </comment>
    <comment ref="T18" authorId="0" shapeId="0" xr:uid="{00000000-0006-0000-0000-000013010000}">
      <text>
        <r>
          <rPr>
            <sz val="11"/>
            <color theme="1"/>
            <rFont val="Calibri"/>
            <family val="2"/>
            <scheme val="minor"/>
          </rPr>
          <t>Source: Q4 2021 Earnings Call
Date: 2022-03-01
Workbook tab: 19 Q4 2021 Earnings
Digest label: “Cash”</t>
        </r>
      </text>
    </comment>
    <comment ref="Y18" authorId="0" shapeId="0" xr:uid="{00000000-0006-0000-0000-000014010000}">
      <text>
        <r>
          <rPr>
            <sz val="11"/>
            <color theme="1"/>
            <rFont val="Calibri"/>
            <family val="2"/>
            <scheme val="minor"/>
          </rPr>
          <t>Source: Celsius Holdings 2023 Annual General Meeting
Date: 2023-06-01
Workbook tab: 31 Annual General Meeting
Digest label: “Cash (year-end)”</t>
        </r>
      </text>
    </comment>
    <comment ref="Z18" authorId="0" shapeId="0" xr:uid="{00000000-0006-0000-0000-000015010000}">
      <text>
        <r>
          <rPr>
            <sz val="11"/>
            <color theme="1"/>
            <rFont val="Calibri"/>
            <family val="2"/>
            <scheme val="minor"/>
          </rPr>
          <t>Reported in 2 transcripts (► = figure shown in cell):
► 634  —  Celsius Holdings Q1 2023 Earnings Call (2023-05-09)
   tab: 29 2023Q1 Earnings  |  “Cash Balance”
• 634  —  Celsius Holdings 2023 Annual General Meeting (2023-06-01)
   tab: 31 Annual General Meeting  |  “Cash (Mar 31, 2023)”</t>
        </r>
      </text>
    </comment>
    <comment ref="AG18" authorId="0" shapeId="0" xr:uid="{00000000-0006-0000-0000-000016010000}">
      <text>
        <r>
          <rPr>
            <sz val="11"/>
            <color theme="1"/>
            <rFont val="Calibri"/>
            <family val="2"/>
            <scheme val="minor"/>
          </rPr>
          <t>Source: Q1 2024 Earnings Call
Date: 2024-05-07
Workbook tab: 42 Q1 2024 Earnings
Digest label: “Cash on Hand (Mar 31, 2024)”</t>
        </r>
      </text>
    </comment>
    <comment ref="AJ18" authorId="0" shapeId="0" xr:uid="{00000000-0006-0000-0000-000017010000}">
      <text>
        <r>
          <rPr>
            <sz val="11"/>
            <color theme="1"/>
            <rFont val="Calibri"/>
            <family val="2"/>
            <scheme val="minor"/>
          </rPr>
          <t>Source: Q1 2025 Earnings Call
Date: 2025-05-06
Workbook tab: 55 2025Q1 Earnings
Digest label: “Cash”</t>
        </r>
      </text>
    </comment>
    <comment ref="AO18" authorId="0" shapeId="0" xr:uid="{00000000-0006-0000-0000-000018010000}">
      <text>
        <r>
          <rPr>
            <sz val="11"/>
            <color theme="1"/>
            <rFont val="Calibri"/>
            <family val="2"/>
            <scheme val="minor"/>
          </rPr>
          <t>Source: Full-Year 2025 and Fourth Quarter Financial Results Press Release
Date: 2026-02-26
Workbook tab: 66 2025Q4 Earnings PR
Digest label: “Cash and cash equivalents”</t>
        </r>
      </text>
    </comment>
    <comment ref="B19" authorId="0" shapeId="0" xr:uid="{00000000-0006-0000-0000-000019010000}">
      <text>
        <r>
          <rPr>
            <sz val="11"/>
            <color theme="1"/>
            <rFont val="Calibri"/>
            <family val="2"/>
            <scheme val="minor"/>
          </rPr>
          <t>Source: Q3 2018 Earnings Call
Date: 2018-11-09
Workbook tab: 01 2018Q3 Earnings
Digest label: “Working Capital ($M)”</t>
        </r>
      </text>
    </comment>
    <comment ref="F19" authorId="0" shapeId="0" xr:uid="{00000000-0006-0000-0000-00001A010000}">
      <text>
        <r>
          <rPr>
            <sz val="11"/>
            <color theme="1"/>
            <rFont val="Calibri"/>
            <family val="2"/>
            <scheme val="minor"/>
          </rPr>
          <t>Reported in 4 transcripts (► = figure shown in cell):
► 20.2  —  Q4 &amp; Full-Year 2018 Earnings Call (2019-03-14)
   tab: 02 2018Q4 Earnings  |  “Working Capital ($M)”
• 19.6  —  Q1 2019 Earnings Call (2019-05-09)
   tab: 03 2019Q1 Earnings  |  “Working Capital ($M)”
• 19.6  —  Q2 2019 Earnings Call (2019-08-08)
   tab: 04 2019Q2 Earnings  |  “Working Capital ($M)”
• 19.6  —  Q3 2019 Earnings Call (2019-11-07)
   tab: 05 2019Q3 Earnings  |  “Working Capital ($M)”</t>
        </r>
      </text>
    </comment>
    <comment ref="M19" authorId="0" shapeId="0" xr:uid="{00000000-0006-0000-0000-00001B010000}">
      <text>
        <r>
          <rPr>
            <sz val="11"/>
            <color theme="1"/>
            <rFont val="Calibri"/>
            <family val="2"/>
            <scheme val="minor"/>
          </rPr>
          <t>Reported in 4 transcripts (► = figure shown in cell):
► 24.8  —  Q4 &amp; Full-Year 2019 Earnings Call (2020-03-12)
   tab: 06 2019Q4 Earnings  |  “Working Capital ($M)”
• 24.8  —  Q1 2020 Earnings Call (2020-05-12)
   tab: 07 Q1 2020 Earnings  |  “Working Capital”
• 24.8  —  Q2 2020 Earnings Call (2020-08-06)
   tab: 08 Q2 2020 Earnings  |  “Working Capital”
• 24.8  —  Q3 2020 Earnings Call (2020-11-12)
   tab: 10 Q3 2020 Earnings  |  “Working Capital”</t>
        </r>
      </text>
    </comment>
    <comment ref="O19" authorId="0" shapeId="0" xr:uid="{00000000-0006-0000-0000-00001C010000}">
      <text>
        <r>
          <rPr>
            <sz val="11"/>
            <color theme="1"/>
            <rFont val="Calibri"/>
            <family val="2"/>
            <scheme val="minor"/>
          </rPr>
          <t>Reported in 2 transcripts (► = figure shown in cell):
► 64.9  —  Q4 &amp; Full-Year 2020 Earnings Call (2021-03-11)
   tab: 12 2020Q4 Earnings  |  “Working Capital ($M)”
• 64.9  —  Q1 2021 Earnings Call (2021-05-13)
   tab: 13 Q1 2021 Earnings  |  “Working Capital”</t>
        </r>
      </text>
    </comment>
    <comment ref="Q19" authorId="0" shapeId="0" xr:uid="{00000000-0006-0000-0000-00001D010000}">
      <text>
        <r>
          <rPr>
            <sz val="11"/>
            <color theme="1"/>
            <rFont val="Calibri"/>
            <family val="2"/>
            <scheme val="minor"/>
          </rPr>
          <t>Source: Q2 2021 Earnings Call
Date: 2021-08-12
Workbook tab: 14 2021Q2 Earnings
Digest label: “Working Capital”</t>
        </r>
      </text>
    </comment>
    <comment ref="S19" authorId="0" shapeId="0" xr:uid="{00000000-0006-0000-0000-00001E010000}">
      <text>
        <r>
          <rPr>
            <sz val="11"/>
            <color theme="1"/>
            <rFont val="Calibri"/>
            <family val="2"/>
            <scheme val="minor"/>
          </rPr>
          <t>Source: Q3 2021 Earnings Call
Date: 2021-11-11
Workbook tab: 16 2021Q3 Earnings
Digest label: “Working Capital”</t>
        </r>
      </text>
    </comment>
    <comment ref="T19" authorId="0" shapeId="0" xr:uid="{00000000-0006-0000-0000-00001F010000}">
      <text>
        <r>
          <rPr>
            <sz val="11"/>
            <color theme="1"/>
            <rFont val="Calibri"/>
            <family val="2"/>
            <scheme val="minor"/>
          </rPr>
          <t>Source: Q4 2021 Earnings Call
Date: 2022-03-01
Workbook tab: 19 Q4 2021 Earnings
Digest label: “Working Capital”</t>
        </r>
      </text>
    </comment>
    <comment ref="Y19" authorId="0" shapeId="0" xr:uid="{00000000-0006-0000-0000-000020010000}">
      <text>
        <r>
          <rPr>
            <sz val="11"/>
            <color theme="1"/>
            <rFont val="Calibri"/>
            <family val="2"/>
            <scheme val="minor"/>
          </rPr>
          <t>Source: Celsius Holdings 2023 Annual General Meeting
Date: 2023-06-01
Workbook tab: 31 Annual General Meeting
Digest label: “Working Capital (year-end)”</t>
        </r>
      </text>
    </comment>
    <comment ref="Z19" authorId="0" shapeId="0" xr:uid="{00000000-0006-0000-0000-000021010000}">
      <text>
        <r>
          <rPr>
            <sz val="11"/>
            <color theme="1"/>
            <rFont val="Calibri"/>
            <family val="2"/>
            <scheme val="minor"/>
          </rPr>
          <t>Reported in 2 transcripts (► = figure shown in cell):
► 801  —  Celsius Holdings Q1 2023 Earnings Call (2023-05-09)
   tab: 29 2023Q1 Earnings  |  “Net Working Capital”
• 801  —  Celsius Holdings 2023 Annual General Meeting (2023-06-01)
   tab: 31 Annual General Meeting  |  “Net Working Capital (Mar 31, 2023)”</t>
        </r>
      </text>
    </comment>
    <comment ref="T21" authorId="0" shapeId="0" xr:uid="{00000000-0006-0000-0000-000022010000}">
      <text>
        <r>
          <rPr>
            <sz val="11"/>
            <color theme="1"/>
            <rFont val="Calibri"/>
            <family val="2"/>
            <scheme val="minor"/>
          </rPr>
          <t>Source: Q4 2021 Earnings Call
Date: 2022-03-01
Workbook tab: 19 Q4 2021 Earnings
Digest label: “% of MULO+C stores DSD-serviced”</t>
        </r>
      </text>
    </comment>
    <comment ref="V22" authorId="0" shapeId="0" xr:uid="{00000000-0006-0000-0000-000023010000}">
      <text>
        <r>
          <rPr>
            <sz val="11"/>
            <color theme="1"/>
            <rFont val="Calibri"/>
            <family val="2"/>
            <scheme val="minor"/>
          </rPr>
          <t>Source: Q2 2022 Earnings Call
Date: 2022-08-09
Workbook tab: 26 2022Q2 Earnings
Digest label: “12-week growth”</t>
        </r>
      </text>
    </comment>
    <comment ref="X22" authorId="0" shapeId="0" xr:uid="{00000000-0006-0000-0000-000024010000}">
      <text>
        <r>
          <rPr>
            <sz val="11"/>
            <color theme="1"/>
            <rFont val="Calibri"/>
            <family val="2"/>
            <scheme val="minor"/>
          </rPr>
          <t>Source: Q3 2022 Earnings Call
Date: 2022-11-09
Workbook tab: 27 2022Q3 Earnings
Digest label: “12-week growth”</t>
        </r>
      </text>
    </comment>
    <comment ref="X23" authorId="0" shapeId="0" xr:uid="{00000000-0006-0000-0000-000025010000}">
      <text>
        <r>
          <rPr>
            <sz val="11"/>
            <color theme="1"/>
            <rFont val="Calibri"/>
            <family val="2"/>
            <scheme val="minor"/>
          </rPr>
          <t>Source: Q3 2022 Earnings Call
Date: 2022-11-09
Workbook tab: 27 2022Q3 Earnings
Digest label: “2-week growth”</t>
        </r>
      </text>
    </comment>
    <comment ref="V24" authorId="0" shapeId="0" xr:uid="{00000000-0006-0000-0000-000026010000}">
      <text>
        <r>
          <rPr>
            <sz val="11"/>
            <color theme="1"/>
            <rFont val="Calibri"/>
            <family val="2"/>
            <scheme val="minor"/>
          </rPr>
          <t>Source: Q2 2022 Earnings Call
Date: 2022-08-09
Workbook tab: 26 2022Q2 Earnings
Digest label: “4-week growth”</t>
        </r>
      </text>
    </comment>
    <comment ref="AO25" authorId="0" shapeId="0" xr:uid="{00000000-0006-0000-0000-000027010000}">
      <text>
        <r>
          <rPr>
            <sz val="11"/>
            <color theme="1"/>
            <rFont val="Calibri"/>
            <family val="2"/>
            <scheme val="minor"/>
          </rPr>
          <t>Source: Full-Year 2025 and Fourth Quarter Financial Results Press Release
Date: 2026-02-26
Workbook tab: 66 2025Q4 Earnings PR
Digest label: “Accrued distributor termination fees”</t>
        </r>
      </text>
    </comment>
    <comment ref="AO26" authorId="0" shapeId="0" xr:uid="{00000000-0006-0000-0000-000028010000}">
      <text>
        <r>
          <rPr>
            <sz val="11"/>
            <color theme="1"/>
            <rFont val="Calibri"/>
            <family val="2"/>
            <scheme val="minor"/>
          </rPr>
          <t>Source: Q4 2025 / FY2025 Earnings Call
Date: 2026-02-26
Workbook tab: 67 2025Q4 Earnings
Digest label: “Acquisition &amp; integration adj”</t>
        </r>
      </text>
    </comment>
    <comment ref="AK27" authorId="0" shapeId="0" xr:uid="{00000000-0006-0000-0000-000029010000}">
      <text>
        <r>
          <rPr>
            <sz val="11"/>
            <color theme="1"/>
            <rFont val="Calibri"/>
            <family val="2"/>
            <scheme val="minor"/>
          </rPr>
          <t>Source: CELH Q2 2025 Earnings Call
Date: 2025-08-07
Workbook tab: 60 2025Q2 Earnings
Digest label: “Acquisition-related costs”</t>
        </r>
      </text>
    </comment>
    <comment ref="AN28" authorId="0" shapeId="0" xr:uid="{00000000-0006-0000-0000-00002A010000}">
      <text>
        <r>
          <rPr>
            <sz val="11"/>
            <color theme="1"/>
            <rFont val="Calibri"/>
            <family val="2"/>
            <scheme val="minor"/>
          </rPr>
          <t>Source: Full-Year 2025 and Fourth Quarter Financial Results Press Release
Date: 2026-02-26
Workbook tab: 66 2025Q4 Earnings PR
Digest label: “Acquisition-related costs (FY)”</t>
        </r>
      </text>
    </comment>
    <comment ref="X29" authorId="0" shapeId="0" xr:uid="{00000000-0006-0000-0000-00002B010000}">
      <text>
        <r>
          <rPr>
            <sz val="11"/>
            <color theme="1"/>
            <rFont val="Calibri"/>
            <family val="2"/>
            <scheme val="minor"/>
          </rPr>
          <t>Source: Q4 2022 / FY2022 Earnings Call
Date: 2023-03-01
Workbook tab: 28 2022Q4 Earnings
Digest label: “ACV (all channels)”</t>
        </r>
      </text>
    </comment>
    <comment ref="D30" authorId="0" shapeId="0" xr:uid="{00000000-0006-0000-0000-00002C010000}">
      <text>
        <r>
          <rPr>
            <sz val="11"/>
            <color theme="1"/>
            <rFont val="Calibri"/>
            <family val="2"/>
            <scheme val="minor"/>
          </rPr>
          <t>Source: Q3 2018 Earnings Call
Date: 2018-11-09
Workbook tab: 01 2018Q3 Earnings
Digest label: “Adj EBITDA ex Asia &amp; one-time 9M 2018 ($M)”</t>
        </r>
      </text>
    </comment>
    <comment ref="F31" authorId="0" shapeId="0" xr:uid="{00000000-0006-0000-0000-00002D010000}">
      <text>
        <r>
          <rPr>
            <sz val="11"/>
            <color theme="1"/>
            <rFont val="Calibri"/>
            <family val="2"/>
            <scheme val="minor"/>
          </rPr>
          <t>Source: Q4 &amp; Full-Year 2018 Earnings Call
Date: 2019-03-14
Workbook tab: 02 2018Q4 Earnings
Digest label: “Adj EBITDA ex China/one-time FY2018 ($M)”</t>
        </r>
      </text>
    </comment>
    <comment ref="Q32" authorId="0" shapeId="0" xr:uid="{00000000-0006-0000-0000-00002E010000}">
      <text>
        <r>
          <rPr>
            <sz val="11"/>
            <color theme="1"/>
            <rFont val="Calibri"/>
            <family val="2"/>
            <scheme val="minor"/>
          </rPr>
          <t>Source: Q2 2021 Earnings Call
Date: 2021-08-12
Workbook tab: 14 2021Q2 Earnings
Digest label: “Adj. Gross Margin (ex-freight)”</t>
        </r>
      </text>
    </comment>
    <comment ref="S32" authorId="0" shapeId="0" xr:uid="{00000000-0006-0000-0000-00002F010000}">
      <text>
        <r>
          <rPr>
            <sz val="11"/>
            <color theme="1"/>
            <rFont val="Calibri"/>
            <family val="2"/>
            <scheme val="minor"/>
          </rPr>
          <t>Source: Q3 2021 Earnings Call
Date: 2021-11-11
Workbook tab: 16 2021Q3 Earnings
Digest label: “Adj. Gross Margin (ex-freight)”</t>
        </r>
      </text>
    </comment>
    <comment ref="AH33" authorId="0" shapeId="0" xr:uid="{00000000-0006-0000-0000-000030010000}">
      <text>
        <r>
          <rPr>
            <sz val="11"/>
            <color theme="1"/>
            <rFont val="Calibri"/>
            <family val="2"/>
            <scheme val="minor"/>
          </rPr>
          <t>Source: Q4 2024 Earnings Call
Date: 2025-02-20
Workbook tab: 51 2024Q4 Earnings
Digest label: “Adjusted Diluted EPS”</t>
        </r>
      </text>
    </comment>
    <comment ref="AI33" authorId="0" shapeId="0" xr:uid="{00000000-0006-0000-0000-000031010000}">
      <text>
        <r>
          <rPr>
            <sz val="11"/>
            <color theme="1"/>
            <rFont val="Calibri"/>
            <family val="2"/>
            <scheme val="minor"/>
          </rPr>
          <t>Source: Q4 2024 Earnings Call
Date: 2025-02-20
Workbook tab: 51 2024Q4 Earnings
Digest label: “Adjusted Diluted EPS”</t>
        </r>
      </text>
    </comment>
    <comment ref="AJ33" authorId="0" shapeId="0" xr:uid="{00000000-0006-0000-0000-000032010000}">
      <text>
        <r>
          <rPr>
            <sz val="11"/>
            <color theme="1"/>
            <rFont val="Calibri"/>
            <family val="2"/>
            <scheme val="minor"/>
          </rPr>
          <t>Source: Q1 2025 Earnings Call
Date: 2025-05-06
Workbook tab: 55 2025Q1 Earnings
Digest label: “Non-GAAP Adjusted Diluted EPS”</t>
        </r>
      </text>
    </comment>
    <comment ref="AK33" authorId="0" shapeId="0" xr:uid="{00000000-0006-0000-0000-000033010000}">
      <text>
        <r>
          <rPr>
            <sz val="11"/>
            <color theme="1"/>
            <rFont val="Calibri"/>
            <family val="2"/>
            <scheme val="minor"/>
          </rPr>
          <t>Source: CELH Q2 2025 Earnings Call
Date: 2025-08-07
Workbook tab: 60 2025Q2 Earnings
Digest label: “Adjusted Diluted EPS”</t>
        </r>
      </text>
    </comment>
    <comment ref="AL33" authorId="0" shapeId="0" xr:uid="{00000000-0006-0000-0000-000034010000}">
      <text>
        <r>
          <rPr>
            <sz val="11"/>
            <color theme="1"/>
            <rFont val="Calibri"/>
            <family val="2"/>
            <scheme val="minor"/>
          </rPr>
          <t>Source: CELH Q2 2025 Earnings Call
Date: 2025-08-07
Workbook tab: 60 2025Q2 Earnings
Digest label: “Adjusted Diluted EPS”</t>
        </r>
      </text>
    </comment>
    <comment ref="AO33" authorId="0" shapeId="0" xr:uid="{00000000-0006-0000-0000-000035010000}">
      <text>
        <r>
          <rPr>
            <sz val="11"/>
            <color theme="1"/>
            <rFont val="Calibri"/>
            <family val="2"/>
            <scheme val="minor"/>
          </rPr>
          <t>Source: Full-Year 2025 and Fourth Quarter Financial Results Press Release
Date: 2026-02-26
Workbook tab: 66 2025Q4 Earnings PR
Digest label: “Adjusted diluted EPS (non-GAAP)”</t>
        </r>
      </text>
    </comment>
    <comment ref="AH34" authorId="0" shapeId="0" xr:uid="{00000000-0006-0000-0000-000036010000}">
      <text>
        <r>
          <rPr>
            <sz val="11"/>
            <color theme="1"/>
            <rFont val="Calibri"/>
            <family val="2"/>
            <scheme val="minor"/>
          </rPr>
          <t>Source: Q4 2024 Earnings Call
Date: 2025-02-20
Workbook tab: 51 2024Q4 Earnings
Digest label: “Adjusted EBITDA Margin”</t>
        </r>
      </text>
    </comment>
    <comment ref="AI34" authorId="0" shapeId="0" xr:uid="{00000000-0006-0000-0000-000037010000}">
      <text>
        <r>
          <rPr>
            <sz val="11"/>
            <color theme="1"/>
            <rFont val="Calibri"/>
            <family val="2"/>
            <scheme val="minor"/>
          </rPr>
          <t>Source: Alani Nu Modeling Call (post-closing)
Date: 2025-05-28
Workbook tab: 57 Acquiring Alani Nu
Digest label: “Adjusted EBITDA Margin”</t>
        </r>
      </text>
    </comment>
    <comment ref="AJ34" authorId="0" shapeId="0" xr:uid="{00000000-0006-0000-0000-000038010000}">
      <text>
        <r>
          <rPr>
            <sz val="11"/>
            <color theme="1"/>
            <rFont val="Calibri"/>
            <family val="2"/>
            <scheme val="minor"/>
          </rPr>
          <t>Source: Q1 2025 Earnings Call
Date: 2025-05-06
Workbook tab: 55 2025Q1 Earnings
Digest label: “Adjusted EBITDA Margin”</t>
        </r>
      </text>
    </comment>
    <comment ref="AO34" authorId="0" shapeId="0" xr:uid="{00000000-0006-0000-0000-000039010000}">
      <text>
        <r>
          <rPr>
            <sz val="11"/>
            <color theme="1"/>
            <rFont val="Calibri"/>
            <family val="2"/>
            <scheme val="minor"/>
          </rPr>
          <t>Reported in 2 transcripts (► = figure shown in cell):
► 24.6%  —  Q4 2025 / FY2025 Earnings Call (2026-02-26)
   tab: 67 2025Q4 Earnings  |  “Adjusted EBITDA Margin”
• 24.6%  —  Full-Year 2025 and Fourth Quarter Financial Results Press Release (2026-02-26)
   tab: 66 2025Q4 Earnings PR  |  “Adjusted EBITDA margin (non-GAAP)”</t>
        </r>
      </text>
    </comment>
    <comment ref="AP34" authorId="0" shapeId="0" xr:uid="{00000000-0006-0000-0000-00003A010000}">
      <text>
        <r>
          <rPr>
            <sz val="11"/>
            <color theme="1"/>
            <rFont val="Calibri"/>
            <family val="2"/>
            <scheme val="minor"/>
          </rPr>
          <t>Source: CELH Q1 2026 Earnings Call
Date: 2026-05-07
Workbook tab: 69 2026Q1 Earnings
Digest label: “Adjusted EBITDA Margin”</t>
        </r>
      </text>
    </comment>
    <comment ref="AP35" authorId="0" shapeId="0" xr:uid="{00000000-0006-0000-0000-00003B010000}">
      <text>
        <r>
          <rPr>
            <sz val="11"/>
            <color theme="1"/>
            <rFont val="Calibri"/>
            <family val="2"/>
            <scheme val="minor"/>
          </rPr>
          <t>Source: CELH Q1 2026 Earnings Call
Date: 2026-05-07
Workbook tab: 69 2026Q1 Earnings
Digest label: “Adjusted SG&amp;A % of revenue”</t>
        </r>
      </text>
    </comment>
    <comment ref="AN36" authorId="0" shapeId="0" xr:uid="{00000000-0006-0000-0000-00003C010000}">
      <text>
        <r>
          <rPr>
            <sz val="11"/>
            <color theme="1"/>
            <rFont val="Calibri"/>
            <family val="2"/>
            <scheme val="minor"/>
          </rPr>
          <t>Source: Full-Year 2025 and Fourth Quarter Financial Results Press Release
Date: 2026-02-26
Workbook tab: 66 2025Q4 Earnings PR
Digest label: “Adjusted SG&amp;A as % of revenue (FY)”</t>
        </r>
      </text>
    </comment>
    <comment ref="AN37" authorId="0" shapeId="0" xr:uid="{00000000-0006-0000-0000-00003D010000}">
      <text>
        <r>
          <rPr>
            <sz val="11"/>
            <color theme="1"/>
            <rFont val="Calibri"/>
            <family val="2"/>
            <scheme val="minor"/>
          </rPr>
          <t>Source: Full-Year 2025 and Fourth Quarter Financial Results Press Release
Date: 2026-02-26
Workbook tab: 66 2025Q4 Earnings PR
Digest label: “Adjusted SG&amp;A as % of revenue (Q4)”</t>
        </r>
      </text>
    </comment>
    <comment ref="AK38" authorId="0" shapeId="0" xr:uid="{00000000-0006-0000-0000-00003E010000}">
      <text>
        <r>
          <rPr>
            <sz val="11"/>
            <color theme="1"/>
            <rFont val="Calibri"/>
            <family val="2"/>
            <scheme val="minor"/>
          </rPr>
          <t>Source: CELH Q2 2025 Earnings Call
Date: 2025-08-07
Workbook tab: 60 2025Q2 Earnings
Digest label: “Alani Nu brand”</t>
        </r>
      </text>
    </comment>
    <comment ref="AJ39" authorId="0" shapeId="0" xr:uid="{00000000-0006-0000-0000-00003F010000}">
      <text>
        <r>
          <rPr>
            <sz val="11"/>
            <color theme="1"/>
            <rFont val="Calibri"/>
            <family val="2"/>
            <scheme val="minor"/>
          </rPr>
          <t>Source: Q1 2025 Earnings Call
Date: 2025-05-06
Workbook tab: 55 2025Q1 Earnings
Digest label: “Alani Nu dollar share”</t>
        </r>
      </text>
    </comment>
    <comment ref="AP40" authorId="0" shapeId="0" xr:uid="{00000000-0006-0000-0000-000040010000}">
      <text>
        <r>
          <rPr>
            <sz val="11"/>
            <color theme="1"/>
            <rFont val="Calibri"/>
            <family val="2"/>
            <scheme val="minor"/>
          </rPr>
          <t>Source: CELH Q1 2026 Earnings Call
Date: 2026-05-07
Workbook tab: 69 2026Q1 Earnings
Digest label: “Alani Nu net sales”</t>
        </r>
      </text>
    </comment>
    <comment ref="AO41" authorId="0" shapeId="0" xr:uid="{00000000-0006-0000-0000-000041010000}">
      <text>
        <r>
          <rPr>
            <sz val="11"/>
            <color theme="1"/>
            <rFont val="Calibri"/>
            <family val="2"/>
            <scheme val="minor"/>
          </rPr>
          <t>Source: Full-Year 2025 and Fourth Quarter Financial Results Press Release
Date: 2026-02-26
Workbook tab: 66 2025Q4 Earnings PR
Digest label: “Alani Nu retail sales growth”</t>
        </r>
      </text>
    </comment>
    <comment ref="Q42" authorId="0" shapeId="0" xr:uid="{00000000-0006-0000-0000-000042010000}">
      <text>
        <r>
          <rPr>
            <sz val="11"/>
            <color theme="1"/>
            <rFont val="Calibri"/>
            <family val="2"/>
            <scheme val="minor"/>
          </rPr>
          <t>Source: Q2 2021 Earnings Call
Date: 2021-08-12
Workbook tab: 14 2021Q2 Earnings
Digest label: “Asia (China royalty)”</t>
        </r>
      </text>
    </comment>
    <comment ref="S42" authorId="0" shapeId="0" xr:uid="{00000000-0006-0000-0000-000043010000}">
      <text>
        <r>
          <rPr>
            <sz val="11"/>
            <color theme="1"/>
            <rFont val="Calibri"/>
            <family val="2"/>
            <scheme val="minor"/>
          </rPr>
          <t>Source: Q3 2021 Earnings Call
Date: 2021-11-11
Workbook tab: 16 2021Q3 Earnings
Digest label: “Asia (China royalty)”</t>
        </r>
      </text>
    </comment>
    <comment ref="X43" authorId="0" shapeId="0" xr:uid="{00000000-0006-0000-0000-000044010000}">
      <text>
        <r>
          <rPr>
            <sz val="11"/>
            <color theme="1"/>
            <rFont val="Calibri"/>
            <family val="2"/>
            <scheme val="minor"/>
          </rPr>
          <t>Source: Q4 2022 / FY2022 Earnings Call
Date: 2023-03-01
Workbook tab: 28 2022Q4 Earnings
Digest label: “Average Items Carried Per Store (MULOC)”</t>
        </r>
      </text>
    </comment>
    <comment ref="AP44" authorId="0" shapeId="0" xr:uid="{00000000-0006-0000-0000-000045010000}">
      <text>
        <r>
          <rPr>
            <sz val="11"/>
            <color theme="1"/>
            <rFont val="Calibri"/>
            <family val="2"/>
            <scheme val="minor"/>
          </rPr>
          <t>Source: CELH Q1 2026 Earnings Call
Date: 2026-05-07
Workbook tab: 69 2026Q1 Earnings
Digest label: “Brand Celsius net sales”</t>
        </r>
      </text>
    </comment>
    <comment ref="AK45" authorId="0" shapeId="0" xr:uid="{00000000-0006-0000-0000-000046010000}">
      <text>
        <r>
          <rPr>
            <sz val="11"/>
            <color theme="1"/>
            <rFont val="Calibri"/>
            <family val="2"/>
            <scheme val="minor"/>
          </rPr>
          <t>Source: CELH Q2 2025 Earnings Call
Date: 2025-08-07
Workbook tab: 60 2025Q2 Earnings
Digest label: “Celsius brand”</t>
        </r>
      </text>
    </comment>
    <comment ref="AO46" authorId="0" shapeId="0" xr:uid="{00000000-0006-0000-0000-000047010000}">
      <text>
        <r>
          <rPr>
            <sz val="11"/>
            <color theme="1"/>
            <rFont val="Calibri"/>
            <family val="2"/>
            <scheme val="minor"/>
          </rPr>
          <t>Source: Full-Year 2025 and Fourth Quarter Financial Results Press Release
Date: 2026-02-26
Workbook tab: 66 2025Q4 Earnings PR
Digest label: “CELSIUS brand retail sales growth”</t>
        </r>
      </text>
    </comment>
    <comment ref="AO47" authorId="0" shapeId="0" xr:uid="{00000000-0006-0000-0000-000048010000}">
      <text>
        <r>
          <rPr>
            <sz val="11"/>
            <color theme="1"/>
            <rFont val="Calibri"/>
            <family val="2"/>
            <scheme val="minor"/>
          </rPr>
          <t>Source: Full-Year 2025 and Fourth Quarter Financial Results Press Release
Date: 2026-02-26
Workbook tab: 66 2025Q4 Earnings PR
Digest label: “CELSIUS brand revenue”</t>
        </r>
      </text>
    </comment>
    <comment ref="AJ48" authorId="0" shapeId="0" xr:uid="{00000000-0006-0000-0000-000049010000}">
      <text>
        <r>
          <rPr>
            <sz val="11"/>
            <color theme="1"/>
            <rFont val="Calibri"/>
            <family val="2"/>
            <scheme val="minor"/>
          </rPr>
          <t>Source: Q1 2025 Earnings Call
Date: 2025-05-06
Workbook tab: 55 2025Q1 Earnings
Digest label: “Celsius US tracked-channel dollar share”</t>
        </r>
      </text>
    </comment>
    <comment ref="G49" authorId="0" shapeId="0" xr:uid="{00000000-0006-0000-0000-00004A010000}">
      <text>
        <r>
          <rPr>
            <sz val="11"/>
            <color theme="1"/>
            <rFont val="Calibri"/>
            <family val="2"/>
            <scheme val="minor"/>
          </rPr>
          <t>Source: Q1 2019 Earnings Call
Date: 2019-05-09
Workbook tab: 03 2019Q1 Earnings
Digest label: “China Note Interest Income Q1 2019 ($000)”</t>
        </r>
      </text>
    </comment>
    <comment ref="V50" authorId="0" shapeId="0" xr:uid="{00000000-0006-0000-0000-00004B010000}">
      <text>
        <r>
          <rPr>
            <sz val="11"/>
            <color theme="1"/>
            <rFont val="Calibri"/>
            <family val="2"/>
            <scheme val="minor"/>
          </rPr>
          <t>Source: Q2 2022 Earnings Call
Date: 2022-08-09
Workbook tab: 26 2022Q2 Earnings
Digest label: “Club channel revenue ($M)”</t>
        </r>
      </text>
    </comment>
    <comment ref="W51" authorId="0" shapeId="0" xr:uid="{00000000-0006-0000-0000-00004C010000}">
      <text>
        <r>
          <rPr>
            <sz val="11"/>
            <color theme="1"/>
            <rFont val="Calibri"/>
            <family val="2"/>
            <scheme val="minor"/>
          </rPr>
          <t>Source: Q3 2022 Earnings Call
Date: 2022-11-09
Workbook tab: 27 2022Q3 Earnings
Digest label: “Club channel sales ($M)”</t>
        </r>
      </text>
    </comment>
    <comment ref="Y51" authorId="0" shapeId="0" xr:uid="{00000000-0006-0000-0000-00004D010000}">
      <text>
        <r>
          <rPr>
            <sz val="11"/>
            <color theme="1"/>
            <rFont val="Calibri"/>
            <family val="2"/>
            <scheme val="minor"/>
          </rPr>
          <t>Source: Q4 2022 / FY2022 Earnings Call
Date: 2023-03-01
Workbook tab: 28 2022Q4 Earnings
Digest label: “Club Channel Sales”</t>
        </r>
      </text>
    </comment>
    <comment ref="AA51" authorId="0" shapeId="0" xr:uid="{00000000-0006-0000-0000-00004E010000}">
      <text>
        <r>
          <rPr>
            <sz val="11"/>
            <color theme="1"/>
            <rFont val="Calibri"/>
            <family val="2"/>
            <scheme val="minor"/>
          </rPr>
          <t>Source: Q2 2023 Earnings Call
Date: 2023-08-08
Workbook tab: 34 2023Q2 Earnings
Digest label: “Club Channel Sales”</t>
        </r>
      </text>
    </comment>
    <comment ref="AC51" authorId="0" shapeId="0" xr:uid="{00000000-0006-0000-0000-00004F010000}">
      <text>
        <r>
          <rPr>
            <sz val="11"/>
            <color theme="1"/>
            <rFont val="Calibri"/>
            <family val="2"/>
            <scheme val="minor"/>
          </rPr>
          <t>Source: Q3 2023 Earnings Call
Date: 2023-11-07
Workbook tab: 37 2023Q3 Earnings
Digest label: “Club Channel Sales”</t>
        </r>
      </text>
    </comment>
    <comment ref="AG51" authorId="0" shapeId="0" xr:uid="{00000000-0006-0000-0000-000050010000}">
      <text>
        <r>
          <rPr>
            <sz val="11"/>
            <color theme="1"/>
            <rFont val="Calibri"/>
            <family val="2"/>
            <scheme val="minor"/>
          </rPr>
          <t>Source: Q1 2024 Earnings Call
Date: 2024-05-07
Workbook tab: 42 Q1 2024 Earnings
Digest label: “Club Channel Sales”</t>
        </r>
      </text>
    </comment>
    <comment ref="AI52" authorId="0" shapeId="0" xr:uid="{00000000-0006-0000-0000-000051010000}">
      <text>
        <r>
          <rPr>
            <sz val="11"/>
            <color theme="1"/>
            <rFont val="Calibri"/>
            <family val="2"/>
            <scheme val="minor"/>
          </rPr>
          <t>Source: Alani Nu Modeling Call (post-closing)
Date: 2025-05-28
Workbook tab: 57 Acquiring Alani Nu
Digest label: “Combined business RTD energy mix”</t>
        </r>
      </text>
    </comment>
    <comment ref="AJ53" authorId="0" shapeId="0" xr:uid="{00000000-0006-0000-0000-000052010000}">
      <text>
        <r>
          <rPr>
            <sz val="11"/>
            <color theme="1"/>
            <rFont val="Calibri"/>
            <family val="2"/>
            <scheme val="minor"/>
          </rPr>
          <t>Source: Q1 2025 Earnings Call
Date: 2025-05-06
Workbook tab: 55 2025Q1 Earnings
Digest label: “Combined portfolio dollar share”</t>
        </r>
      </text>
    </comment>
    <comment ref="AO54" authorId="0" shapeId="0" xr:uid="{00000000-0006-0000-0000-000053010000}">
      <text>
        <r>
          <rPr>
            <sz val="11"/>
            <color theme="1"/>
            <rFont val="Calibri"/>
            <family val="2"/>
            <scheme val="minor"/>
          </rPr>
          <t>Source: Full-Year 2025 and Fourth Quarter Financial Results Press Release
Date: 2026-02-26
Workbook tab: 66 2025Q4 Earnings PR
Digest label: “Contingent consideration”</t>
        </r>
      </text>
    </comment>
    <comment ref="X55" authorId="0" shapeId="0" xr:uid="{00000000-0006-0000-0000-000054010000}">
      <text>
        <r>
          <rPr>
            <sz val="11"/>
            <color theme="1"/>
            <rFont val="Calibri"/>
            <family val="2"/>
            <scheme val="minor"/>
          </rPr>
          <t>Source: Q4 2022 / FY2022 Earnings Call
Date: 2023-03-01
Workbook tab: 28 2022Q4 Earnings
Digest label: “Convenience ACV”</t>
        </r>
      </text>
    </comment>
    <comment ref="AA55" authorId="0" shapeId="0" xr:uid="{00000000-0006-0000-0000-000055010000}">
      <text>
        <r>
          <rPr>
            <sz val="11"/>
            <color theme="1"/>
            <rFont val="Calibri"/>
            <family val="2"/>
            <scheme val="minor"/>
          </rPr>
          <t>Source: Q3 2023 Earnings Call
Date: 2023-11-07
Workbook tab: 37 2023Q3 Earnings
Digest label: “Convenience ACV”</t>
        </r>
      </text>
    </comment>
    <comment ref="T56" authorId="0" shapeId="0" xr:uid="{00000000-0006-0000-0000-000056010000}">
      <text>
        <r>
          <rPr>
            <sz val="11"/>
            <color theme="1"/>
            <rFont val="Calibri"/>
            <family val="2"/>
            <scheme val="minor"/>
          </rPr>
          <t>Source: Q4 2021 Earnings Call
Date: 2022-03-01
Workbook tab: 19 Q4 2021 Earnings
Digest label: “Convenience channel ACV”</t>
        </r>
      </text>
    </comment>
    <comment ref="V57" authorId="0" shapeId="0" xr:uid="{00000000-0006-0000-0000-000057010000}">
      <text>
        <r>
          <rPr>
            <sz val="11"/>
            <color theme="1"/>
            <rFont val="Calibri"/>
            <family val="2"/>
            <scheme val="minor"/>
          </rPr>
          <t>Source: Q2 2022 Earnings Call
Date: 2022-08-09
Workbook tab: 26 2022Q2 Earnings
Digest label: “Convenience channel sales growth”</t>
        </r>
      </text>
    </comment>
    <comment ref="W57" authorId="0" shapeId="0" xr:uid="{00000000-0006-0000-0000-000058010000}">
      <text>
        <r>
          <rPr>
            <sz val="11"/>
            <color theme="1"/>
            <rFont val="Calibri"/>
            <family val="2"/>
            <scheme val="minor"/>
          </rPr>
          <t>Source: Q3 2022 Earnings Call
Date: 2022-11-09
Workbook tab: 27 2022Q3 Earnings
Digest label: “Convenience channel sales growth”</t>
        </r>
      </text>
    </comment>
    <comment ref="V58" authorId="0" shapeId="0" xr:uid="{00000000-0006-0000-0000-000059010000}">
      <text>
        <r>
          <rPr>
            <sz val="11"/>
            <color theme="1"/>
            <rFont val="Calibri"/>
            <family val="2"/>
            <scheme val="minor"/>
          </rPr>
          <t>Source: Q2 2022 Earnings Call
Date: 2022-08-09
Workbook tab: 26 2022Q2 Earnings
Digest label: “Convenience channel store locations”</t>
        </r>
      </text>
    </comment>
    <comment ref="W59" authorId="0" shapeId="0" xr:uid="{00000000-0006-0000-0000-00005A010000}">
      <text>
        <r>
          <rPr>
            <sz val="11"/>
            <color theme="1"/>
            <rFont val="Calibri"/>
            <family val="2"/>
            <scheme val="minor"/>
          </rPr>
          <t>Source: Q3 2022 Earnings Call
Date: 2022-11-09
Workbook tab: 27 2022Q3 Earnings
Digest label: “Convenience store locations”</t>
        </r>
      </text>
    </comment>
    <comment ref="T60" authorId="0" shapeId="0" xr:uid="{00000000-0006-0000-0000-00005B010000}">
      <text>
        <r>
          <rPr>
            <sz val="11"/>
            <color theme="1"/>
            <rFont val="Calibri"/>
            <family val="2"/>
            <scheme val="minor"/>
          </rPr>
          <t>Source: Q4 &amp; Full-Year 2020 Earnings Call
Date: 2021-03-11
Workbook tab: 12 2020Q4 Earnings
Digest label: “Cooler Rollout Phase 1”</t>
        </r>
      </text>
    </comment>
    <comment ref="AJ61" authorId="0" shapeId="0" xr:uid="{00000000-0006-0000-0000-00005C010000}">
      <text>
        <r>
          <rPr>
            <sz val="11"/>
            <color theme="1"/>
            <rFont val="Calibri"/>
            <family val="2"/>
            <scheme val="minor"/>
          </rPr>
          <t>Source: Q1 2025 Earnings Call
Date: 2025-05-06
Workbook tab: 55 2025Q1 Earnings
Digest label: “Debt”</t>
        </r>
      </text>
    </comment>
    <comment ref="Q62" authorId="0" shapeId="0" xr:uid="{00000000-0006-0000-0000-00005D010000}">
      <text>
        <r>
          <rPr>
            <sz val="11"/>
            <color theme="1"/>
            <rFont val="Calibri"/>
            <family val="2"/>
            <scheme val="minor"/>
          </rPr>
          <t>Source: Q2 2021 Earnings Call
Date: 2021-08-12
Workbook tab: 14 2021Q2 Earnings
Digest label: “Diluted EPS ($)”</t>
        </r>
      </text>
    </comment>
    <comment ref="S62" authorId="0" shapeId="0" xr:uid="{00000000-0006-0000-0000-00005E010000}">
      <text>
        <r>
          <rPr>
            <sz val="11"/>
            <color theme="1"/>
            <rFont val="Calibri"/>
            <family val="2"/>
            <scheme val="minor"/>
          </rPr>
          <t>Source: Q3 2021 Earnings Call
Date: 2021-11-11
Workbook tab: 16 2021Q3 Earnings
Digest label: “Diluted EPS ($)”</t>
        </r>
      </text>
    </comment>
    <comment ref="U62" authorId="0" shapeId="0" xr:uid="{00000000-0006-0000-0000-00005F010000}">
      <text>
        <r>
          <rPr>
            <sz val="11"/>
            <color theme="1"/>
            <rFont val="Calibri"/>
            <family val="2"/>
            <scheme val="minor"/>
          </rPr>
          <t>Reported in 2 transcripts (► = figure shown in cell):
► 0.09  —  Q1 2022 Earnings Call (2022-05-10)
   tab: 20 2022Q1 Earnings  |  “Diluted EPS ($)”
• 0.09  —  2022 Annual General Meeting (Annual Meeting of Shareholders) (2022-06-02)
   tab: 22 Annual Shareholder Mtg  |  “Diluted EPS ($)”</t>
        </r>
      </text>
    </comment>
    <comment ref="V62" authorId="0" shapeId="0" xr:uid="{00000000-0006-0000-0000-000060010000}">
      <text>
        <r>
          <rPr>
            <sz val="11"/>
            <color theme="1"/>
            <rFont val="Calibri"/>
            <family val="2"/>
            <scheme val="minor"/>
          </rPr>
          <t>Source: Q2 2022 Earnings Call
Date: 2022-08-09
Workbook tab: 26 2022Q2 Earnings
Digest label: “Diluted EPS ($)”</t>
        </r>
      </text>
    </comment>
    <comment ref="AC62" authorId="0" shapeId="0" xr:uid="{00000000-0006-0000-0000-000061010000}">
      <text>
        <r>
          <rPr>
            <sz val="11"/>
            <color theme="1"/>
            <rFont val="Calibri"/>
            <family val="2"/>
            <scheme val="minor"/>
          </rPr>
          <t>Source: Q3 2023 Earnings Call
Date: 2023-11-07
Workbook tab: 37 2023Q3 Earnings
Digest label: “Diluted EPS”</t>
        </r>
      </text>
    </comment>
    <comment ref="AG62" authorId="0" shapeId="0" xr:uid="{00000000-0006-0000-0000-000062010000}">
      <text>
        <r>
          <rPr>
            <sz val="11"/>
            <color theme="1"/>
            <rFont val="Calibri"/>
            <family val="2"/>
            <scheme val="minor"/>
          </rPr>
          <t>Source: Q1 2024 Earnings Call
Date: 2024-05-07
Workbook tab: 42 Q1 2024 Earnings
Digest label: “Diluted EPS”</t>
        </r>
      </text>
    </comment>
    <comment ref="AJ62" authorId="0" shapeId="0" xr:uid="{00000000-0006-0000-0000-000063010000}">
      <text>
        <r>
          <rPr>
            <sz val="11"/>
            <color theme="1"/>
            <rFont val="Calibri"/>
            <family val="2"/>
            <scheme val="minor"/>
          </rPr>
          <t>Source: Q1 2025 Earnings Call
Date: 2025-05-06
Workbook tab: 55 2025Q1 Earnings
Digest label: “GAAP Diluted EPS”</t>
        </r>
      </text>
    </comment>
    <comment ref="AK62" authorId="0" shapeId="0" xr:uid="{00000000-0006-0000-0000-000064010000}">
      <text>
        <r>
          <rPr>
            <sz val="11"/>
            <color theme="1"/>
            <rFont val="Calibri"/>
            <family val="2"/>
            <scheme val="minor"/>
          </rPr>
          <t>Source: CELH Q2 2025 Earnings Call
Date: 2025-08-07
Workbook tab: 60 2025Q2 Earnings
Digest label: “GAAP Diluted EPS”</t>
        </r>
      </text>
    </comment>
    <comment ref="AO62" authorId="0" shapeId="0" xr:uid="{00000000-0006-0000-0000-000065010000}">
      <text>
        <r>
          <rPr>
            <sz val="11"/>
            <color theme="1"/>
            <rFont val="Calibri"/>
            <family val="2"/>
            <scheme val="minor"/>
          </rPr>
          <t>Source: Full-Year 2025 and Fourth Quarter Financial Results Press Release
Date: 2026-02-26
Workbook tab: 66 2025Q4 Earnings PR
Digest label: “Diluted EPS (GAAP)”</t>
        </r>
      </text>
    </comment>
    <comment ref="Y63" authorId="0" shapeId="0" xr:uid="{00000000-0006-0000-0000-000066010000}">
      <text>
        <r>
          <rPr>
            <sz val="11"/>
            <color theme="1"/>
            <rFont val="Calibri"/>
            <family val="2"/>
            <scheme val="minor"/>
          </rPr>
          <t>Source: Celsius Holdings 2023 Annual General Meeting
Date: 2023-06-01
Workbook tab: 31 Annual General Meeting
Digest label: “Distribution Termination Expenses”</t>
        </r>
      </text>
    </comment>
    <comment ref="AO64" authorId="0" shapeId="0" xr:uid="{00000000-0006-0000-0000-000067010000}">
      <text>
        <r>
          <rPr>
            <sz val="11"/>
            <color theme="1"/>
            <rFont val="Calibri"/>
            <family val="2"/>
            <scheme val="minor"/>
          </rPr>
          <t>Source: Q4 2025 / FY2025 Earnings Call
Date: 2026-02-26
Workbook tab: 67 2025Q4 Earnings
Digest label: “Distributor termination &amp; integration adj”</t>
        </r>
      </text>
    </comment>
    <comment ref="AN65" authorId="0" shapeId="0" xr:uid="{00000000-0006-0000-0000-000068010000}">
      <text>
        <r>
          <rPr>
            <sz val="11"/>
            <color theme="1"/>
            <rFont val="Calibri"/>
            <family val="2"/>
            <scheme val="minor"/>
          </rPr>
          <t>Source: Full-Year 2025 and Fourth Quarter Financial Results Press Release
Date: 2026-02-26
Workbook tab: 66 2025Q4 Earnings PR
Digest label: “Distributor termination costs (Q4)”</t>
        </r>
      </text>
    </comment>
    <comment ref="Q66" authorId="0" shapeId="0" xr:uid="{00000000-0006-0000-0000-000069010000}">
      <text>
        <r>
          <rPr>
            <sz val="11"/>
            <color theme="1"/>
            <rFont val="Calibri"/>
            <family val="2"/>
            <scheme val="minor"/>
          </rPr>
          <t>Source: Q2 2021 Earnings Call
Date: 2021-08-12
Workbook tab: 14 2021Q2 Earnings
Digest label: “DPO (days)”</t>
        </r>
      </text>
    </comment>
    <comment ref="U67" authorId="0" shapeId="0" xr:uid="{00000000-0006-0000-0000-00006A010000}">
      <text>
        <r>
          <rPr>
            <sz val="11"/>
            <color theme="1"/>
            <rFont val="Calibri"/>
            <family val="2"/>
            <scheme val="minor"/>
          </rPr>
          <t>Source: 2022 Annual General Meeting (Annual Meeting of Shareholders)
Date: 2022-06-02
Workbook tab: 22 Annual Shareholder Mtg
Digest label: “DSD distributor revenue growth”</t>
        </r>
      </text>
    </comment>
    <comment ref="V68" authorId="0" shapeId="0" xr:uid="{00000000-0006-0000-0000-00006B010000}">
      <text>
        <r>
          <rPr>
            <sz val="11"/>
            <color theme="1"/>
            <rFont val="Calibri"/>
            <family val="2"/>
            <scheme val="minor"/>
          </rPr>
          <t>Source: Q2 2022 Earnings Call
Date: 2022-08-09
Workbook tab: 26 2022Q2 Earnings
Digest label: “DSD incremental revenue ($M)”</t>
        </r>
      </text>
    </comment>
    <comment ref="V69" authorId="0" shapeId="0" xr:uid="{00000000-0006-0000-0000-00006C010000}">
      <text>
        <r>
          <rPr>
            <sz val="11"/>
            <color theme="1"/>
            <rFont val="Calibri"/>
            <family val="2"/>
            <scheme val="minor"/>
          </rPr>
          <t>Source: Q2 2022 Earnings Call
Date: 2022-08-09
Workbook tab: 26 2022Q2 Earnings
Digest label: “DSD network sales ($M)”</t>
        </r>
      </text>
    </comment>
    <comment ref="T70" authorId="0" shapeId="0" xr:uid="{00000000-0006-0000-0000-00006D010000}">
      <text>
        <r>
          <rPr>
            <sz val="11"/>
            <color theme="1"/>
            <rFont val="Calibri"/>
            <family val="2"/>
            <scheme val="minor"/>
          </rPr>
          <t>Source: Q4 2021 Earnings Call
Date: 2022-03-01
Workbook tab: 19 Q4 2021 Earnings
Digest label: “DSD population coverage”</t>
        </r>
      </text>
    </comment>
    <comment ref="T71" authorId="0" shapeId="0" xr:uid="{00000000-0006-0000-0000-00006E010000}">
      <text>
        <r>
          <rPr>
            <sz val="11"/>
            <color theme="1"/>
            <rFont val="Calibri"/>
            <family val="2"/>
            <scheme val="minor"/>
          </rPr>
          <t>Source: Q4 2021 Earnings Call
Date: 2022-03-01
Workbook tab: 19 Q4 2021 Earnings
Digest label: “DSD service centers”</t>
        </r>
      </text>
    </comment>
    <comment ref="Q72" authorId="0" shapeId="0" xr:uid="{00000000-0006-0000-0000-00006F010000}">
      <text>
        <r>
          <rPr>
            <sz val="11"/>
            <color theme="1"/>
            <rFont val="Calibri"/>
            <family val="2"/>
            <scheme val="minor"/>
          </rPr>
          <t>Source: Q2 2021 Earnings Call
Date: 2021-08-12
Workbook tab: 14 2021Q2 Earnings
Digest label: “DSO (days)”</t>
        </r>
      </text>
    </comment>
    <comment ref="AK73" authorId="0" shapeId="0" xr:uid="{00000000-0006-0000-0000-000070010000}">
      <text>
        <r>
          <rPr>
            <sz val="11"/>
            <color theme="1"/>
            <rFont val="Calibri"/>
            <family val="2"/>
            <scheme val="minor"/>
          </rPr>
          <t>Source: CELH Q2 2025 Earnings Call
Date: 2025-08-07
Workbook tab: 60 2025Q2 Earnings
Digest label: “Earn-out contingent consideration charge”</t>
        </r>
      </text>
    </comment>
    <comment ref="W74" authorId="0" shapeId="0" xr:uid="{00000000-0006-0000-0000-000071010000}">
      <text>
        <r>
          <rPr>
            <sz val="11"/>
            <color theme="1"/>
            <rFont val="Calibri"/>
            <family val="2"/>
            <scheme val="minor"/>
          </rPr>
          <t>Source: Q3 2022 Earnings Call
Date: 2022-11-09
Workbook tab: 27 2022Q3 Earnings
Digest label: “Effective tax rate (9 months)”</t>
        </r>
      </text>
    </comment>
    <comment ref="G75" authorId="0" shapeId="0" xr:uid="{00000000-0006-0000-0000-000072010000}">
      <text>
        <r>
          <rPr>
            <sz val="11"/>
            <color theme="1"/>
            <rFont val="Calibri"/>
            <family val="2"/>
            <scheme val="minor"/>
          </rPr>
          <t>Source: Q1 2019 Earnings Call
Date: 2019-05-09
Workbook tab: 03 2019Q1 Earnings
Digest label: “EPS Q1 2019 ($)”</t>
        </r>
      </text>
    </comment>
    <comment ref="I75" authorId="0" shapeId="0" xr:uid="{00000000-0006-0000-0000-000073010000}">
      <text>
        <r>
          <rPr>
            <sz val="11"/>
            <color theme="1"/>
            <rFont val="Calibri"/>
            <family val="2"/>
            <scheme val="minor"/>
          </rPr>
          <t>Source: Q2 2019 Earnings Call
Date: 2019-08-08
Workbook tab: 04 2019Q2 Earnings
Digest label: “EPS H1 2019 ($)”</t>
        </r>
      </text>
    </comment>
    <comment ref="M75" authorId="0" shapeId="0" xr:uid="{00000000-0006-0000-0000-000074010000}">
      <text>
        <r>
          <rPr>
            <sz val="11"/>
            <color theme="1"/>
            <rFont val="Calibri"/>
            <family val="2"/>
            <scheme val="minor"/>
          </rPr>
          <t>Source: Q4 &amp; Full-Year 2019 Earnings Call
Date: 2020-03-12
Workbook tab: 06 2019Q4 Earnings
Digest label: “EPS FY2019 ($)”</t>
        </r>
      </text>
    </comment>
    <comment ref="N75" authorId="0" shapeId="0" xr:uid="{00000000-0006-0000-0000-000075010000}">
      <text>
        <r>
          <rPr>
            <sz val="11"/>
            <color theme="1"/>
            <rFont val="Calibri"/>
            <family val="2"/>
            <scheme val="minor"/>
          </rPr>
          <t>Source: Q4 &amp; Full-Year 2020 Earnings Call
Date: 2021-03-11
Workbook tab: 12 2020Q4 Earnings
Digest label: “EPS Q4 2020 ($)”</t>
        </r>
      </text>
    </comment>
    <comment ref="J76" authorId="0" shapeId="0" xr:uid="{00000000-0006-0000-0000-000076010000}">
      <text>
        <r>
          <rPr>
            <sz val="11"/>
            <color theme="1"/>
            <rFont val="Calibri"/>
            <family val="2"/>
            <scheme val="minor"/>
          </rPr>
          <t>Source: Q3 2019 Earnings Call
Date: 2019-11-07
Workbook tab: 05 2019Q3 Earnings
Digest label: “EPS Basic Q3 2019 ($)”</t>
        </r>
      </text>
    </comment>
    <comment ref="K76" authorId="0" shapeId="0" xr:uid="{00000000-0006-0000-0000-000077010000}">
      <text>
        <r>
          <rPr>
            <sz val="11"/>
            <color theme="1"/>
            <rFont val="Calibri"/>
            <family val="2"/>
            <scheme val="minor"/>
          </rPr>
          <t>Source: Q3 2019 Earnings Call
Date: 2019-11-07
Workbook tab: 05 2019Q3 Earnings
Digest label: “YTD EPS Basic 9M 2019 ($)”</t>
        </r>
      </text>
    </comment>
    <comment ref="P77" authorId="0" shapeId="0" xr:uid="{00000000-0006-0000-0000-000078010000}">
      <text>
        <r>
          <rPr>
            <sz val="11"/>
            <color theme="1"/>
            <rFont val="Calibri"/>
            <family val="2"/>
            <scheme val="minor"/>
          </rPr>
          <t>Source: Q1 2022 Earnings Call
Date: 2022-05-10
Workbook tab: 20 2022Q1 Earnings
Digest label: “Q1 Fill Rate”</t>
        </r>
      </text>
    </comment>
    <comment ref="AJ78" authorId="0" shapeId="0" xr:uid="{00000000-0006-0000-0000-000079010000}">
      <text>
        <r>
          <rPr>
            <sz val="11"/>
            <color theme="1"/>
            <rFont val="Calibri"/>
            <family val="2"/>
            <scheme val="minor"/>
          </rPr>
          <t>Source: Q1 2025 Earnings Call
Date: 2025-05-06
Workbook tab: 55 2025Q1 Earnings
Digest label: “Foodservice as % of NA sales (via PepsiCo)”</t>
        </r>
      </text>
    </comment>
    <comment ref="AC79" authorId="0" shapeId="0" xr:uid="{00000000-0006-0000-0000-00007A010000}">
      <text>
        <r>
          <rPr>
            <sz val="11"/>
            <color theme="1"/>
            <rFont val="Calibri"/>
            <family val="2"/>
            <scheme val="minor"/>
          </rPr>
          <t>Source: Q3 2023 Earnings Call
Date: 2023-11-07
Workbook tab: 37 2023Q3 Earnings
Digest label: “YTD Freight (% of net revenues)”</t>
        </r>
      </text>
    </comment>
    <comment ref="AM80" authorId="0" shapeId="0" xr:uid="{00000000-0006-0000-0000-00007B010000}">
      <text>
        <r>
          <rPr>
            <sz val="11"/>
            <color theme="1"/>
            <rFont val="Calibri"/>
            <family val="2"/>
            <scheme val="minor"/>
          </rPr>
          <t>Source: CELH Q3 2025 Earnings Call
Date: 2025-11-06
Workbook tab: 63 2025Q3 Earnings
Digest label: “Freight cost (Celsius brand) % of sales”</t>
        </r>
      </text>
    </comment>
    <comment ref="U81" authorId="0" shapeId="0" xr:uid="{00000000-0006-0000-0000-00007C010000}">
      <text>
        <r>
          <rPr>
            <sz val="11"/>
            <color theme="1"/>
            <rFont val="Calibri"/>
            <family val="2"/>
            <scheme val="minor"/>
          </rPr>
          <t>Source: Q1 2022 Earnings Call
Date: 2022-05-10
Workbook tab: 20 2022Q1 Earnings
Digest label: “G&amp;A % of Revenue”</t>
        </r>
      </text>
    </comment>
    <comment ref="V81" authorId="0" shapeId="0" xr:uid="{00000000-0006-0000-0000-00007D010000}">
      <text>
        <r>
          <rPr>
            <sz val="11"/>
            <color theme="1"/>
            <rFont val="Calibri"/>
            <family val="2"/>
            <scheme val="minor"/>
          </rPr>
          <t>Source: Q2 2022 Earnings Call
Date: 2022-08-09
Workbook tab: 26 2022Q2 Earnings
Digest label: “G&amp;A (% of revenue)”</t>
        </r>
      </text>
    </comment>
    <comment ref="W81" authorId="0" shapeId="0" xr:uid="{00000000-0006-0000-0000-00007E010000}">
      <text>
        <r>
          <rPr>
            <sz val="11"/>
            <color theme="1"/>
            <rFont val="Calibri"/>
            <family val="2"/>
            <scheme val="minor"/>
          </rPr>
          <t>Source: Q3 2022 Earnings Call
Date: 2022-11-09
Workbook tab: 27 2022Q3 Earnings
Digest label: “G&amp;A (% of revenue)”</t>
        </r>
      </text>
    </comment>
    <comment ref="Z81" authorId="0" shapeId="0" xr:uid="{00000000-0006-0000-0000-00007F010000}">
      <text>
        <r>
          <rPr>
            <sz val="11"/>
            <color theme="1"/>
            <rFont val="Calibri"/>
            <family val="2"/>
            <scheme val="minor"/>
          </rPr>
          <t>Source: Celsius Holdings Q1 2023 Earnings Call
Date: 2023-05-09
Workbook tab: 29 2023Q1 Earnings
Digest label: “G&amp;A % of Sales”</t>
        </r>
      </text>
    </comment>
    <comment ref="AA81" authorId="0" shapeId="0" xr:uid="{00000000-0006-0000-0000-000080010000}">
      <text>
        <r>
          <rPr>
            <sz val="11"/>
            <color theme="1"/>
            <rFont val="Calibri"/>
            <family val="2"/>
            <scheme val="minor"/>
          </rPr>
          <t>Source: Q2 2023 Earnings Call
Date: 2023-08-08
Workbook tab: 34 2023Q2 Earnings
Digest label: “G&amp;A (% of sales)”</t>
        </r>
      </text>
    </comment>
    <comment ref="AC81" authorId="0" shapeId="0" xr:uid="{00000000-0006-0000-0000-000081010000}">
      <text>
        <r>
          <rPr>
            <sz val="11"/>
            <color theme="1"/>
            <rFont val="Calibri"/>
            <family val="2"/>
            <scheme val="minor"/>
          </rPr>
          <t>Source: Q3 2023 Earnings Call
Date: 2023-11-07
Workbook tab: 37 2023Q3 Earnings
Digest label: “G&amp;A (% of sales)”</t>
        </r>
      </text>
    </comment>
    <comment ref="AE81" authorId="0" shapeId="0" xr:uid="{00000000-0006-0000-0000-000082010000}">
      <text>
        <r>
          <rPr>
            <sz val="11"/>
            <color theme="1"/>
            <rFont val="Calibri"/>
            <family val="2"/>
            <scheme val="minor"/>
          </rPr>
          <t>Source: Celsius Holdings Q4 2023 Earnings Call
Date: 2024-02-29
Workbook tab: 40 2023Q4 Earnings
Digest label: “G&amp;A % of Sales”</t>
        </r>
      </text>
    </comment>
    <comment ref="AF81" authorId="0" shapeId="0" xr:uid="{00000000-0006-0000-0000-000083010000}">
      <text>
        <r>
          <rPr>
            <sz val="11"/>
            <color theme="1"/>
            <rFont val="Calibri"/>
            <family val="2"/>
            <scheme val="minor"/>
          </rPr>
          <t>Source: Celsius Holdings Q4 2023 Earnings Call
Date: 2024-02-29
Workbook tab: 40 2023Q4 Earnings
Digest label: “G&amp;A % of Sales”</t>
        </r>
      </text>
    </comment>
    <comment ref="AG81" authorId="0" shapeId="0" xr:uid="{00000000-0006-0000-0000-000084010000}">
      <text>
        <r>
          <rPr>
            <sz val="11"/>
            <color theme="1"/>
            <rFont val="Calibri"/>
            <family val="2"/>
            <scheme val="minor"/>
          </rPr>
          <t>Source: Q1 2024 Earnings Call
Date: 2024-05-07
Workbook tab: 42 Q1 2024 Earnings
Digest label: “G&amp;A (% of Sales)”</t>
        </r>
      </text>
    </comment>
    <comment ref="AI81" authorId="0" shapeId="0" xr:uid="{00000000-0006-0000-0000-000085010000}">
      <text>
        <r>
          <rPr>
            <sz val="11"/>
            <color theme="1"/>
            <rFont val="Calibri"/>
            <family val="2"/>
            <scheme val="minor"/>
          </rPr>
          <t>Source: Q4 2024 Earnings Call
Date: 2025-02-20
Workbook tab: 51 2024Q4 Earnings
Digest label: “G&amp;A (% of sales)”</t>
        </r>
      </text>
    </comment>
    <comment ref="AK81" authorId="0" shapeId="0" xr:uid="{00000000-0006-0000-0000-000086010000}">
      <text>
        <r>
          <rPr>
            <sz val="11"/>
            <color theme="1"/>
            <rFont val="Calibri"/>
            <family val="2"/>
            <scheme val="minor"/>
          </rPr>
          <t>Source: CELH Q2 2025 Earnings Call
Date: 2025-08-07
Workbook tab: 60 2025Q2 Earnings
Digest label: “G&amp;A % of revenue”</t>
        </r>
      </text>
    </comment>
    <comment ref="AM82" authorId="0" shapeId="0" xr:uid="{00000000-0006-0000-0000-000087010000}">
      <text>
        <r>
          <rPr>
            <sz val="11"/>
            <color theme="1"/>
            <rFont val="Calibri"/>
            <family val="2"/>
            <scheme val="minor"/>
          </rPr>
          <t>Source: CELH Q3 2025 Earnings Call
Date: 2025-11-06
Workbook tab: 63 2025Q3 Earnings
Digest label: “G&amp;A % of sales (ex-acquisition costs)”</t>
        </r>
      </text>
    </comment>
    <comment ref="AJ83" authorId="0" shapeId="0" xr:uid="{00000000-0006-0000-0000-000088010000}">
      <text>
        <r>
          <rPr>
            <sz val="11"/>
            <color theme="1"/>
            <rFont val="Calibri"/>
            <family val="2"/>
            <scheme val="minor"/>
          </rPr>
          <t>Source: Q1 2025 Earnings Call
Date: 2025-05-06
Workbook tab: 55 2025Q1 Earnings
Digest label: “Gap (promos/incentives + non-DSD timing)”</t>
        </r>
      </text>
    </comment>
    <comment ref="AA84" authorId="0" shapeId="0" xr:uid="{00000000-0006-0000-0000-000089010000}">
      <text>
        <r>
          <rPr>
            <sz val="11"/>
            <color theme="1"/>
            <rFont val="Calibri"/>
            <family val="2"/>
            <scheme val="minor"/>
          </rPr>
          <t>Source: Stephens Annual Investment Conference
Date: 2023-11-15
Workbook tab: 38 Stephens Conf 2023-11
Digest label: “Gross Margin Aspiration”</t>
        </r>
      </text>
    </comment>
    <comment ref="AK85" authorId="0" shapeId="0" xr:uid="{00000000-0006-0000-0000-00008A010000}">
      <text>
        <r>
          <rPr>
            <sz val="11"/>
            <color theme="1"/>
            <rFont val="Calibri"/>
            <family val="2"/>
            <scheme val="minor"/>
          </rPr>
          <t>Source: CELH Q2 2025 Earnings Call
Date: 2025-08-07
Workbook tab: 60 2025Q2 Earnings
Digest label: “Gross Margin ex inventory step-up”</t>
        </r>
      </text>
    </comment>
    <comment ref="W86" authorId="0" shapeId="0" xr:uid="{00000000-0006-0000-0000-00008B010000}">
      <text>
        <r>
          <rPr>
            <sz val="11"/>
            <color theme="1"/>
            <rFont val="Calibri"/>
            <family val="2"/>
            <scheme val="minor"/>
          </rPr>
          <t>Source: Q3 2022 Earnings Call
Date: 2022-11-09
Workbook tab: 27 2022Q3 Earnings
Digest label: “Gross margin sequential change (vs Q2)”</t>
        </r>
      </text>
    </comment>
    <comment ref="AA87" authorId="0" shapeId="0" xr:uid="{00000000-0006-0000-0000-00008C010000}">
      <text>
        <r>
          <rPr>
            <sz val="11"/>
            <color theme="1"/>
            <rFont val="Calibri"/>
            <family val="2"/>
            <scheme val="minor"/>
          </rPr>
          <t>Source: Q3 2023 Earnings Call
Date: 2023-11-07
Workbook tab: 37 2023Q3 Earnings
Digest label: “Household Penetration”</t>
        </r>
      </text>
    </comment>
    <comment ref="AO88" authorId="0" shapeId="0" xr:uid="{00000000-0006-0000-0000-00008D010000}">
      <text>
        <r>
          <rPr>
            <sz val="11"/>
            <color theme="1"/>
            <rFont val="Calibri"/>
            <family val="2"/>
            <scheme val="minor"/>
          </rPr>
          <t>Source: UBS Global Consumer and Retail Conference
Date: 2025-03-12
Workbook tab: 53 UBS Conf 2025-03-12
Digest label: “Incremental Cooler Placement”</t>
        </r>
      </text>
    </comment>
    <comment ref="AI89" authorId="0" shapeId="0" xr:uid="{00000000-0006-0000-0000-00008E010000}">
      <text>
        <r>
          <rPr>
            <sz val="11"/>
            <color theme="1"/>
            <rFont val="Calibri"/>
            <family val="2"/>
            <scheme val="minor"/>
          </rPr>
          <t>Source: Barclays Global Consumer Staples Conference
Date: 2023-09-07
Workbook tab: 35 Barclays Conf 2023-09
Digest label: “International Cadence”</t>
        </r>
      </text>
    </comment>
    <comment ref="AG90" authorId="0" shapeId="0" xr:uid="{00000000-0006-0000-0000-00008F010000}">
      <text>
        <r>
          <rPr>
            <sz val="11"/>
            <color theme="1"/>
            <rFont val="Calibri"/>
            <family val="2"/>
            <scheme val="minor"/>
          </rPr>
          <t>Source: Q1 2024 Earnings Call
Date: 2024-05-07
Workbook tab: 42 Q1 2024 Earnings
Digest label: “International Revenue (ex-Canada)”</t>
        </r>
      </text>
    </comment>
    <comment ref="Q91" authorId="0" shapeId="0" xr:uid="{00000000-0006-0000-0000-000090010000}">
      <text>
        <r>
          <rPr>
            <sz val="11"/>
            <color theme="1"/>
            <rFont val="Calibri"/>
            <family val="2"/>
            <scheme val="minor"/>
          </rPr>
          <t>Source: Q2 2021 Earnings Call
Date: 2021-08-12
Workbook tab: 14 2021Q2 Earnings
Digest label: “Inventory Days on Hand”</t>
        </r>
      </text>
    </comment>
    <comment ref="S92" authorId="0" shapeId="0" xr:uid="{00000000-0006-0000-0000-000091010000}">
      <text>
        <r>
          <rPr>
            <sz val="11"/>
            <color theme="1"/>
            <rFont val="Calibri"/>
            <family val="2"/>
            <scheme val="minor"/>
          </rPr>
          <t>Source: Q3 2021 Earnings Call
Date: 2021-11-11
Workbook tab: 16 2021Q3 Earnings
Digest label: “Inventory Increase (9M)”</t>
        </r>
      </text>
    </comment>
    <comment ref="AN93" authorId="0" shapeId="0" xr:uid="{00000000-0006-0000-0000-000092010000}">
      <text>
        <r>
          <rPr>
            <sz val="11"/>
            <color theme="1"/>
            <rFont val="Calibri"/>
            <family val="2"/>
            <scheme val="minor"/>
          </rPr>
          <t>Source: Full-Year 2025 and Fourth Quarter Financial Results Press Release
Date: 2026-02-26
Workbook tab: 66 2025Q4 Earnings PR
Digest label: “Inventory valuation step-up (non-cash, FY)”</t>
        </r>
      </text>
    </comment>
    <comment ref="Q94" authorId="0" shapeId="0" xr:uid="{00000000-0006-0000-0000-000093010000}">
      <text>
        <r>
          <rPr>
            <sz val="11"/>
            <color theme="1"/>
            <rFont val="Calibri"/>
            <family val="2"/>
            <scheme val="minor"/>
          </rPr>
          <t>Source: Q2 2021 Earnings Call
Date: 2021-08-12
Workbook tab: 14 2021Q2 Earnings
Digest label: “June 9 Offering Net Proceeds (to Company)”</t>
        </r>
      </text>
    </comment>
    <comment ref="AO95" authorId="0" shapeId="0" xr:uid="{00000000-0006-0000-0000-000094010000}">
      <text>
        <r>
          <rPr>
            <sz val="11"/>
            <color theme="1"/>
            <rFont val="Calibri"/>
            <family val="2"/>
            <scheme val="minor"/>
          </rPr>
          <t>Source: Full-Year 2025 and Fourth Quarter Financial Results Press Release
Date: 2026-02-26
Workbook tab: 66 2025Q4 Earnings PR
Digest label: “Long-term debt”</t>
        </r>
      </text>
    </comment>
    <comment ref="AA96" authorId="0" shapeId="0" xr:uid="{00000000-0006-0000-0000-000095010000}">
      <text>
        <r>
          <rPr>
            <sz val="11"/>
            <color theme="1"/>
            <rFont val="Calibri"/>
            <family val="2"/>
            <scheme val="minor"/>
          </rPr>
          <t>Source: Q3 2023 Earnings Call
Date: 2023-11-07
Workbook tab: 37 2023Q3 Earnings
Digest label: “MULOC ACV”</t>
        </r>
      </text>
    </comment>
    <comment ref="W97" authorId="0" shapeId="0" xr:uid="{00000000-0006-0000-0000-000096010000}">
      <text>
        <r>
          <rPr>
            <sz val="11"/>
            <color theme="1"/>
            <rFont val="Calibri"/>
            <family val="2"/>
            <scheme val="minor"/>
          </rPr>
          <t>Source: Q3 2022 Earnings Call
Date: 2022-11-09
Workbook tab: 27 2022Q3 Earnings
Digest label: “MULOC locations serviced by DSD”</t>
        </r>
      </text>
    </comment>
    <comment ref="AN98" authorId="0" shapeId="0" xr:uid="{00000000-0006-0000-0000-000097010000}">
      <text>
        <r>
          <rPr>
            <sz val="11"/>
            <color theme="1"/>
            <rFont val="Calibri"/>
            <family val="2"/>
            <scheme val="minor"/>
          </rPr>
          <t>Source: Q4 2025 / FY2025 Earnings Call
Date: 2026-02-26
Workbook tab: 67 2025Q4 Earnings
Digest label: “Net benefit (Celsius + Alani load-in)”</t>
        </r>
      </text>
    </comment>
    <comment ref="Q99" authorId="0" shapeId="0" xr:uid="{00000000-0006-0000-0000-000098010000}">
      <text>
        <r>
          <rPr>
            <sz val="11"/>
            <color theme="1"/>
            <rFont val="Calibri"/>
            <family val="2"/>
            <scheme val="minor"/>
          </rPr>
          <t>Source: Q2 2021 Earnings Call
Date: 2021-08-12
Workbook tab: 14 2021Q2 Earnings
Digest label: “Net Inventory”</t>
        </r>
      </text>
    </comment>
    <comment ref="T99" authorId="0" shapeId="0" xr:uid="{00000000-0006-0000-0000-000099010000}">
      <text>
        <r>
          <rPr>
            <sz val="11"/>
            <color theme="1"/>
            <rFont val="Calibri"/>
            <family val="2"/>
            <scheme val="minor"/>
          </rPr>
          <t>Source: Q4 2021 Earnings Call
Date: 2022-03-01
Workbook tab: 19 Q4 2021 Earnings
Digest label: “Net Inventory”</t>
        </r>
      </text>
    </comment>
    <comment ref="C100" authorId="0" shapeId="0" xr:uid="{00000000-0006-0000-0000-00009A010000}">
      <text>
        <r>
          <rPr>
            <sz val="11"/>
            <color theme="1"/>
            <rFont val="Calibri"/>
            <family val="2"/>
            <scheme val="minor"/>
          </rPr>
          <t>Source: Q3 2018 Earnings Call
Date: 2018-11-09
Workbook tab: 01 2018Q3 Earnings
Digest label: “Net Loss Per Share Q3 2018 ($)”</t>
        </r>
      </text>
    </comment>
    <comment ref="D100" authorId="0" shapeId="0" xr:uid="{00000000-0006-0000-0000-00009B010000}">
      <text>
        <r>
          <rPr>
            <sz val="11"/>
            <color theme="1"/>
            <rFont val="Calibri"/>
            <family val="2"/>
            <scheme val="minor"/>
          </rPr>
          <t>Source: Q3 2018 Earnings Call
Date: 2018-11-09
Workbook tab: 01 2018Q3 Earnings
Digest label: “Net Loss Per Share 9M 2018 ($)”</t>
        </r>
      </text>
    </comment>
    <comment ref="E100" authorId="0" shapeId="0" xr:uid="{00000000-0006-0000-0000-00009C010000}">
      <text>
        <r>
          <rPr>
            <sz val="11"/>
            <color theme="1"/>
            <rFont val="Calibri"/>
            <family val="2"/>
            <scheme val="minor"/>
          </rPr>
          <t>Source: Q4 &amp; Full-Year 2018 Earnings Call
Date: 2019-03-14
Workbook tab: 02 2018Q4 Earnings
Digest label: “Net Loss Per Share Q4 2018 ($)”</t>
        </r>
      </text>
    </comment>
    <comment ref="F100" authorId="0" shapeId="0" xr:uid="{00000000-0006-0000-0000-00009D010000}">
      <text>
        <r>
          <rPr>
            <sz val="11"/>
            <color theme="1"/>
            <rFont val="Calibri"/>
            <family val="2"/>
            <scheme val="minor"/>
          </rPr>
          <t>Source: Q4 &amp; Full-Year 2018 Earnings Call
Date: 2019-03-14
Workbook tab: 02 2018Q4 Earnings
Digest label: “Net Loss Per Share FY2018 ($)”</t>
        </r>
      </text>
    </comment>
    <comment ref="H100" authorId="0" shapeId="0" xr:uid="{00000000-0006-0000-0000-00009E010000}">
      <text>
        <r>
          <rPr>
            <sz val="11"/>
            <color theme="1"/>
            <rFont val="Calibri"/>
            <family val="2"/>
            <scheme val="minor"/>
          </rPr>
          <t>Source: Q2 2019 Earnings Call
Date: 2019-08-08
Workbook tab: 04 2019Q2 Earnings
Digest label: “Net Loss Per Share Q2 2019 ($)”</t>
        </r>
      </text>
    </comment>
    <comment ref="L100" authorId="0" shapeId="0" xr:uid="{00000000-0006-0000-0000-00009F010000}">
      <text>
        <r>
          <rPr>
            <sz val="11"/>
            <color theme="1"/>
            <rFont val="Calibri"/>
            <family val="2"/>
            <scheme val="minor"/>
          </rPr>
          <t>Source: Q4 &amp; Full-Year 2019 Earnings Call
Date: 2020-03-12
Workbook tab: 06 2019Q4 Earnings
Digest label: “Net Loss Per Share Q4 2019 ($)”</t>
        </r>
      </text>
    </comment>
    <comment ref="S101" authorId="0" shapeId="0" xr:uid="{00000000-0006-0000-0000-0000A0010000}">
      <text>
        <r>
          <rPr>
            <sz val="11"/>
            <color theme="1"/>
            <rFont val="Calibri"/>
            <family val="2"/>
            <scheme val="minor"/>
          </rPr>
          <t>Source: Q3 2021 Earnings Call
Date: 2021-11-11
Workbook tab: 16 2021Q3 Earnings
Digest label: “Normalized Gross Margin (ex one-time)”</t>
        </r>
      </text>
    </comment>
    <comment ref="Q102" authorId="0" shapeId="0" xr:uid="{00000000-0006-0000-0000-0000A1010000}">
      <text>
        <r>
          <rPr>
            <sz val="11"/>
            <color theme="1"/>
            <rFont val="Calibri"/>
            <family val="2"/>
            <scheme val="minor"/>
          </rPr>
          <t>Source: Q2 2021 Earnings Call
Date: 2021-08-12
Workbook tab: 14 2021Q2 Earnings
Digest label: “Op. Cash Flow ex-inventory build (6M)”</t>
        </r>
      </text>
    </comment>
    <comment ref="I103" authorId="0" shapeId="0" xr:uid="{00000000-0006-0000-0000-0000A2010000}">
      <text>
        <r>
          <rPr>
            <sz val="11"/>
            <color theme="1"/>
            <rFont val="Calibri"/>
            <family val="2"/>
            <scheme val="minor"/>
          </rPr>
          <t>Source: Q2 2019 Earnings Call
Date: 2019-08-08
Workbook tab: 04 2019Q2 Earnings
Digest label: “Other Income H1 2019 ($M)”</t>
        </r>
      </text>
    </comment>
    <comment ref="AO103" authorId="0" shapeId="0" xr:uid="{00000000-0006-0000-0000-0000A3010000}">
      <text>
        <r>
          <rPr>
            <sz val="11"/>
            <color theme="1"/>
            <rFont val="Calibri"/>
            <family val="2"/>
            <scheme val="minor"/>
          </rPr>
          <t>Source: Q4 2025 / FY2025 Earnings Call
Date: 2026-02-26
Workbook tab: 67 2025Q4 Earnings
Digest label: “Other Income”</t>
        </r>
      </text>
    </comment>
    <comment ref="Q104" authorId="0" shapeId="0" xr:uid="{00000000-0006-0000-0000-0000A4010000}">
      <text>
        <r>
          <rPr>
            <sz val="11"/>
            <color theme="1"/>
            <rFont val="Calibri"/>
            <family val="2"/>
            <scheme val="minor"/>
          </rPr>
          <t>Source: Q2 2021 Earnings Call
Date: 2021-08-12
Workbook tab: 14 2021Q2 Earnings
Digest label: “Other International”</t>
        </r>
      </text>
    </comment>
    <comment ref="S104" authorId="0" shapeId="0" xr:uid="{00000000-0006-0000-0000-0000A5010000}">
      <text>
        <r>
          <rPr>
            <sz val="11"/>
            <color theme="1"/>
            <rFont val="Calibri"/>
            <family val="2"/>
            <scheme val="minor"/>
          </rPr>
          <t>Source: Q3 2021 Earnings Call
Date: 2021-11-11
Workbook tab: 16 2021Q3 Earnings
Digest label: “Other International”</t>
        </r>
      </text>
    </comment>
    <comment ref="T105" authorId="0" shapeId="0" xr:uid="{00000000-0006-0000-0000-0000A6010000}">
      <text>
        <r>
          <rPr>
            <sz val="11"/>
            <color theme="1"/>
            <rFont val="Calibri"/>
            <family val="2"/>
            <scheme val="minor"/>
          </rPr>
          <t>Source: Q4 2021 Earnings Call
Date: 2022-03-01
Workbook tab: 19 Q4 2021 Earnings
Digest label: “Other international markets”</t>
        </r>
      </text>
    </comment>
    <comment ref="U105" authorId="0" shapeId="0" xr:uid="{00000000-0006-0000-0000-0000A7010000}">
      <text>
        <r>
          <rPr>
            <sz val="11"/>
            <color theme="1"/>
            <rFont val="Calibri"/>
            <family val="2"/>
            <scheme val="minor"/>
          </rPr>
          <t>Source: Q1 2022 Earnings Call
Date: 2022-05-10
Workbook tab: 20 2022Q1 Earnings
Digest label: “Other International Markets”</t>
        </r>
      </text>
    </comment>
    <comment ref="AO106" authorId="0" shapeId="0" xr:uid="{00000000-0006-0000-0000-0000A8010000}">
      <text>
        <r>
          <rPr>
            <sz val="11"/>
            <color theme="1"/>
            <rFont val="Calibri"/>
            <family val="2"/>
            <scheme val="minor"/>
          </rPr>
          <t>Source: Full-Year 2025 and Fourth Quarter Financial Results Press Release
Date: 2026-02-26
Workbook tab: 66 2025Q4 Earnings PR
Digest label: “Portfolio retail sales growth”</t>
        </r>
      </text>
    </comment>
    <comment ref="S107" authorId="0" shapeId="0" xr:uid="{00000000-0006-0000-0000-0000A9010000}">
      <text>
        <r>
          <rPr>
            <sz val="11"/>
            <color theme="1"/>
            <rFont val="Calibri"/>
            <family val="2"/>
            <scheme val="minor"/>
          </rPr>
          <t>Source: Q3 2021 Earnings Call
Date: 2021-11-11
Workbook tab: 16 2021Q3 Earnings
Digest label: “Prepaids tied to raw materials”</t>
        </r>
      </text>
    </comment>
    <comment ref="AK108" authorId="0" shapeId="0" xr:uid="{00000000-0006-0000-0000-0000AA010000}">
      <text>
        <r>
          <rPr>
            <sz val="11"/>
            <color theme="1"/>
            <rFont val="Calibri"/>
            <family val="2"/>
            <scheme val="minor"/>
          </rPr>
          <t>Source: Q4 2024 Earnings Call
Date: 2025-02-20
Workbook tab: 51 2024Q4 Earnings
Digest label: “Pro-Forma Net Leverage”</t>
        </r>
      </text>
    </comment>
    <comment ref="AI109" authorId="0" shapeId="0" xr:uid="{00000000-0006-0000-0000-0000AB010000}">
      <text>
        <r>
          <rPr>
            <sz val="11"/>
            <color theme="1"/>
            <rFont val="Calibri"/>
            <family val="2"/>
            <scheme val="minor"/>
          </rPr>
          <t>Source: Alani Nu Modeling Call (post-closing)
Date: 2025-05-28
Workbook tab: 57 Acquiring Alani Nu
Digest label: “Protein shakes share of 2024 sales”</t>
        </r>
      </text>
    </comment>
    <comment ref="AK110" authorId="0" shapeId="0" xr:uid="{00000000-0006-0000-0000-0000AC010000}">
      <text>
        <r>
          <rPr>
            <sz val="11"/>
            <color theme="1"/>
            <rFont val="Calibri"/>
            <family val="2"/>
            <scheme val="minor"/>
          </rPr>
          <t>Source: CELH Q2 2025 Earnings Call
Date: 2025-08-07
Workbook tab: 60 2025Q2 Earnings
Digest label: “Purchase accounting inventory step-up”</t>
        </r>
      </text>
    </comment>
    <comment ref="V111" authorId="0" shapeId="0" xr:uid="{00000000-0006-0000-0000-0000AD010000}">
      <text>
        <r>
          <rPr>
            <sz val="11"/>
            <color theme="1"/>
            <rFont val="Calibri"/>
            <family val="2"/>
            <scheme val="minor"/>
          </rPr>
          <t>Source: Q2 2022 Earnings Call
Date: 2022-08-09
Workbook tab: 26 2022Q2 Earnings
Digest label: “Quarter growth”</t>
        </r>
      </text>
    </comment>
    <comment ref="X111" authorId="0" shapeId="0" xr:uid="{00000000-0006-0000-0000-0000AE010000}">
      <text>
        <r>
          <rPr>
            <sz val="11"/>
            <color theme="1"/>
            <rFont val="Calibri"/>
            <family val="2"/>
            <scheme val="minor"/>
          </rPr>
          <t>Source: Q3 2022 Earnings Call
Date: 2022-11-09
Workbook tab: 27 2022Q3 Earnings
Digest label: “Quarter growth”</t>
        </r>
      </text>
    </comment>
    <comment ref="AO112" authorId="0" shapeId="0" xr:uid="{00000000-0006-0000-0000-0000AF010000}">
      <text>
        <r>
          <rPr>
            <sz val="11"/>
            <color theme="1"/>
            <rFont val="Calibri"/>
            <family val="2"/>
            <scheme val="minor"/>
          </rPr>
          <t>Source: Full-Year 2025 and Fourth Quarter Financial Results Press Release
Date: 2026-02-26
Workbook tab: 66 2025Q4 Earnings PR
Digest label: “Restricted cash”</t>
        </r>
      </text>
    </comment>
    <comment ref="AI113" authorId="0" shapeId="0" xr:uid="{00000000-0006-0000-0000-0000B0010000}">
      <text>
        <r>
          <rPr>
            <sz val="11"/>
            <color theme="1"/>
            <rFont val="Calibri"/>
            <family val="2"/>
            <scheme val="minor"/>
          </rPr>
          <t>Source: Q4 2024 Earnings Call
Date: 2025-02-20
Workbook tab: 51 2024Q4 Earnings
Digest label: “Retail Sales Growth”</t>
        </r>
      </text>
    </comment>
    <comment ref="AI114" authorId="0" shapeId="0" xr:uid="{00000000-0006-0000-0000-0000B1010000}">
      <text>
        <r>
          <rPr>
            <sz val="11"/>
            <color theme="1"/>
            <rFont val="Calibri"/>
            <family val="2"/>
            <scheme val="minor"/>
          </rPr>
          <t>Source: Alani Nu Modeling Call (post-closing)
Date: 2025-05-28
Workbook tab: 57 Acquiring Alani Nu
Digest label: “Revenue CAGR (2022-2024)”</t>
        </r>
      </text>
    </comment>
    <comment ref="AM115" authorId="0" shapeId="0" xr:uid="{00000000-0006-0000-0000-0000B2010000}">
      <text>
        <r>
          <rPr>
            <sz val="11"/>
            <color theme="1"/>
            <rFont val="Calibri"/>
            <family val="2"/>
            <scheme val="minor"/>
          </rPr>
          <t>Source: CELH Q3 2025 Earnings Call
Date: 2025-11-06
Workbook tab: 63 2025Q3 Earnings
Digest label: “Rockstar combined Q3 impact ($M)”</t>
        </r>
      </text>
    </comment>
    <comment ref="AO116" authorId="0" shapeId="0" xr:uid="{00000000-0006-0000-0000-0000B3010000}">
      <text>
        <r>
          <rPr>
            <sz val="11"/>
            <color theme="1"/>
            <rFont val="Calibri"/>
            <family val="2"/>
            <scheme val="minor"/>
          </rPr>
          <t>Source: Full-Year 2025 and Fourth Quarter Financial Results Press Release
Date: 2026-02-26
Workbook tab: 66 2025Q4 Earnings PR
Digest label: “Rockstar Energy retail sales growth”</t>
        </r>
      </text>
    </comment>
    <comment ref="AO117" authorId="0" shapeId="0" xr:uid="{00000000-0006-0000-0000-0000B4010000}">
      <text>
        <r>
          <rPr>
            <sz val="11"/>
            <color theme="1"/>
            <rFont val="Calibri"/>
            <family val="2"/>
            <scheme val="minor"/>
          </rPr>
          <t>Source: Full-Year 2025 and Fourth Quarter Financial Results Press Release
Date: 2026-02-26
Workbook tab: 66 2025Q4 Earnings PR
Digest label: “Rockstar Energy revenue”</t>
        </r>
      </text>
    </comment>
    <comment ref="AP118" authorId="0" shapeId="0" xr:uid="{00000000-0006-0000-0000-0000B5010000}">
      <text>
        <r>
          <rPr>
            <sz val="11"/>
            <color theme="1"/>
            <rFont val="Calibri"/>
            <family val="2"/>
            <scheme val="minor"/>
          </rPr>
          <t>Source: CELH Q1 2026 Earnings Call
Date: 2026-05-07
Workbook tab: 69 2026Q1 Earnings
Digest label: “Rockstar net sales”</t>
        </r>
      </text>
    </comment>
    <comment ref="AM119" authorId="0" shapeId="0" xr:uid="{00000000-0006-0000-0000-0000B6010000}">
      <text>
        <r>
          <rPr>
            <sz val="11"/>
            <color theme="1"/>
            <rFont val="Calibri"/>
            <family val="2"/>
            <scheme val="minor"/>
          </rPr>
          <t>Source: CELH Q3 2025 Earnings Call
Date: 2025-11-06
Workbook tab: 63 2025Q3 Earnings
Digest label: “Rockstar other-income GAAP portion ($M)”</t>
        </r>
      </text>
    </comment>
    <comment ref="AM120" authorId="0" shapeId="0" xr:uid="{00000000-0006-0000-0000-0000B7010000}">
      <text>
        <r>
          <rPr>
            <sz val="11"/>
            <color theme="1"/>
            <rFont val="Calibri"/>
            <family val="2"/>
            <scheme val="minor"/>
          </rPr>
          <t>Source: CELH Q3 2025 Earnings Call
Date: 2025-11-06
Workbook tab: 63 2025Q3 Earnings
Digest label: “Rockstar revenue (first month under ownership, $M)”</t>
        </r>
      </text>
    </comment>
    <comment ref="AQ121" authorId="0" shapeId="0" xr:uid="{00000000-0006-0000-0000-0000B8010000}">
      <text>
        <r>
          <rPr>
            <sz val="11"/>
            <color theme="1"/>
            <rFont val="Calibri"/>
            <family val="2"/>
            <scheme val="minor"/>
          </rPr>
          <t>Source: CELH Morgan Stanley Global Consumer &amp; Retail Conference
Date: 2025-12-03
Workbook tab: 64 Morgan Stanley 2025-12
Digest label: “Rockstar FY2026 run rate”</t>
        </r>
      </text>
    </comment>
    <comment ref="AI122" authorId="0" shapeId="0" xr:uid="{00000000-0006-0000-0000-0000B9010000}">
      <text>
        <r>
          <rPr>
            <sz val="11"/>
            <color theme="1"/>
            <rFont val="Calibri"/>
            <family val="2"/>
            <scheme val="minor"/>
          </rPr>
          <t>Source: Alani Nu Modeling Call (post-closing)
Date: 2025-05-28
Workbook tab: 57 Acquiring Alani Nu
Digest label: “RTD energy share of 2024 sales”</t>
        </r>
      </text>
    </comment>
    <comment ref="Q123" authorId="0" shapeId="0" xr:uid="{00000000-0006-0000-0000-0000BA010000}">
      <text>
        <r>
          <rPr>
            <sz val="11"/>
            <color theme="1"/>
            <rFont val="Calibri"/>
            <family val="2"/>
            <scheme val="minor"/>
          </rPr>
          <t>Source: Q2 2021 Earnings Call
Date: 2021-08-12
Workbook tab: 14 2021Q2 Earnings
Digest label: “S&amp;M % of Revenue”</t>
        </r>
      </text>
    </comment>
    <comment ref="S123" authorId="0" shapeId="0" xr:uid="{00000000-0006-0000-0000-0000BB010000}">
      <text>
        <r>
          <rPr>
            <sz val="11"/>
            <color theme="1"/>
            <rFont val="Calibri"/>
            <family val="2"/>
            <scheme val="minor"/>
          </rPr>
          <t>Source: Q3 2021 Earnings Call
Date: 2021-11-11
Workbook tab: 16 2021Q3 Earnings
Digest label: “S&amp;M % of Revenue”</t>
        </r>
      </text>
    </comment>
    <comment ref="U123" authorId="0" shapeId="0" xr:uid="{00000000-0006-0000-0000-0000BC010000}">
      <text>
        <r>
          <rPr>
            <sz val="11"/>
            <color theme="1"/>
            <rFont val="Calibri"/>
            <family val="2"/>
            <scheme val="minor"/>
          </rPr>
          <t>Source: Q1 2022 Earnings Call
Date: 2022-05-10
Workbook tab: 20 2022Q1 Earnings
Digest label: “S&amp;M % of Revenue”</t>
        </r>
      </text>
    </comment>
    <comment ref="V123" authorId="0" shapeId="0" xr:uid="{00000000-0006-0000-0000-0000BD010000}">
      <text>
        <r>
          <rPr>
            <sz val="11"/>
            <color theme="1"/>
            <rFont val="Calibri"/>
            <family val="2"/>
            <scheme val="minor"/>
          </rPr>
          <t>Source: Q2 2022 Earnings Call
Date: 2022-08-09
Workbook tab: 26 2022Q2 Earnings
Digest label: “Sales &amp; marketing (% of revenue)”</t>
        </r>
      </text>
    </comment>
    <comment ref="Z123" authorId="0" shapeId="0" xr:uid="{00000000-0006-0000-0000-0000BE010000}">
      <text>
        <r>
          <rPr>
            <sz val="11"/>
            <color theme="1"/>
            <rFont val="Calibri"/>
            <family val="2"/>
            <scheme val="minor"/>
          </rPr>
          <t>Source: Celsius Holdings Q1 2023 Earnings Call
Date: 2023-05-09
Workbook tab: 29 2023Q1 Earnings
Digest label: “S&amp;M % of Sales”</t>
        </r>
      </text>
    </comment>
    <comment ref="AA123" authorId="0" shapeId="0" xr:uid="{00000000-0006-0000-0000-0000BF010000}">
      <text>
        <r>
          <rPr>
            <sz val="11"/>
            <color theme="1"/>
            <rFont val="Calibri"/>
            <family val="2"/>
            <scheme val="minor"/>
          </rPr>
          <t>Source: Q2 2023 Earnings Call
Date: 2023-08-08
Workbook tab: 34 2023Q2 Earnings
Digest label: “Sales &amp; Marketing (% of sales)”</t>
        </r>
      </text>
    </comment>
    <comment ref="AC123" authorId="0" shapeId="0" xr:uid="{00000000-0006-0000-0000-0000C0010000}">
      <text>
        <r>
          <rPr>
            <sz val="11"/>
            <color theme="1"/>
            <rFont val="Calibri"/>
            <family val="2"/>
            <scheme val="minor"/>
          </rPr>
          <t>Source: Q3 2023 Earnings Call
Date: 2023-11-07
Workbook tab: 37 2023Q3 Earnings
Digest label: “Sales &amp; Marketing (% of sales)”</t>
        </r>
      </text>
    </comment>
    <comment ref="AE123" authorId="0" shapeId="0" xr:uid="{00000000-0006-0000-0000-0000C1010000}">
      <text>
        <r>
          <rPr>
            <sz val="11"/>
            <color theme="1"/>
            <rFont val="Calibri"/>
            <family val="2"/>
            <scheme val="minor"/>
          </rPr>
          <t>Source: Celsius Holdings Q4 2023 Earnings Call
Date: 2024-02-29
Workbook tab: 40 2023Q4 Earnings
Digest label: “S&amp;M % of Sales”</t>
        </r>
      </text>
    </comment>
    <comment ref="AF123" authorId="0" shapeId="0" xr:uid="{00000000-0006-0000-0000-0000C2010000}">
      <text>
        <r>
          <rPr>
            <sz val="11"/>
            <color theme="1"/>
            <rFont val="Calibri"/>
            <family val="2"/>
            <scheme val="minor"/>
          </rPr>
          <t>Source: Celsius Holdings Q4 2023 Earnings Call
Date: 2024-02-29
Workbook tab: 40 2023Q4 Earnings
Digest label: “S&amp;M % of Sales”</t>
        </r>
      </text>
    </comment>
    <comment ref="AG123" authorId="0" shapeId="0" xr:uid="{00000000-0006-0000-0000-0000C3010000}">
      <text>
        <r>
          <rPr>
            <sz val="11"/>
            <color theme="1"/>
            <rFont val="Calibri"/>
            <family val="2"/>
            <scheme val="minor"/>
          </rPr>
          <t>Source: Q1 2024 Earnings Call
Date: 2024-05-07
Workbook tab: 42 Q1 2024 Earnings
Digest label: “Sales &amp; Marketing (% of Revenue)”</t>
        </r>
      </text>
    </comment>
    <comment ref="AI123" authorId="0" shapeId="0" xr:uid="{00000000-0006-0000-0000-0000C4010000}">
      <text>
        <r>
          <rPr>
            <sz val="11"/>
            <color theme="1"/>
            <rFont val="Calibri"/>
            <family val="2"/>
            <scheme val="minor"/>
          </rPr>
          <t>Reported in 2 transcripts (► = figure shown in cell):
• 2024  —  Morgan Stanley Conference (2024-12-03)
   tab: 50 Morgan Stanley Conf  |  “Sales &amp; marketing as % of revenue”
► 25.9%  —  Q4 2024 Earnings Call (2025-02-20)
   tab: 51 2024Q4 Earnings  |  “Sales &amp; Marketing (% of sales)”</t>
        </r>
      </text>
    </comment>
    <comment ref="AK123" authorId="0" shapeId="0" xr:uid="{00000000-0006-0000-0000-0000C5010000}">
      <text>
        <r>
          <rPr>
            <sz val="11"/>
            <color theme="1"/>
            <rFont val="Calibri"/>
            <family val="2"/>
            <scheme val="minor"/>
          </rPr>
          <t>Source: CELH Q2 2025 Earnings Call
Date: 2025-08-07
Workbook tab: 60 2025Q2 Earnings
Digest label: “S&amp;M % of revenue”</t>
        </r>
      </text>
    </comment>
    <comment ref="AM123" authorId="0" shapeId="0" xr:uid="{00000000-0006-0000-0000-0000C6010000}">
      <text>
        <r>
          <rPr>
            <sz val="11"/>
            <color theme="1"/>
            <rFont val="Calibri"/>
            <family val="2"/>
            <scheme val="minor"/>
          </rPr>
          <t>Source: CELH Q3 2025 Earnings Call
Date: 2025-11-06
Workbook tab: 63 2025Q3 Earnings
Digest label: “S&amp;M Expense % of sales”</t>
        </r>
      </text>
    </comment>
    <comment ref="AJ124" authorId="0" shapeId="0" xr:uid="{00000000-0006-0000-0000-0000C7010000}">
      <text>
        <r>
          <rPr>
            <sz val="11"/>
            <color theme="1"/>
            <rFont val="Calibri"/>
            <family val="2"/>
            <scheme val="minor"/>
          </rPr>
          <t>Source: Q1 2025 Earnings Call
Date: 2025-05-06
Workbook tab: 55 2025Q1 Earnings
Digest label: “Scanner data trend”</t>
        </r>
      </text>
    </comment>
    <comment ref="AC125" authorId="0" shapeId="0" xr:uid="{00000000-0006-0000-0000-0000C8010000}">
      <text>
        <r>
          <rPr>
            <sz val="11"/>
            <color theme="1"/>
            <rFont val="Calibri"/>
            <family val="2"/>
            <scheme val="minor"/>
          </rPr>
          <t>Source: Q3 2023 Earnings Call
Date: 2023-11-07
Workbook tab: 37 2023Q3 Earnings
Digest label: “Sequential Gross Margin Improvement (vs Q2)”</t>
        </r>
      </text>
    </comment>
    <comment ref="U126" authorId="0" shapeId="0" xr:uid="{00000000-0006-0000-0000-0000C9010000}">
      <text>
        <r>
          <rPr>
            <sz val="11"/>
            <color theme="1"/>
            <rFont val="Calibri"/>
            <family val="2"/>
            <scheme val="minor"/>
          </rPr>
          <t>Source: Q2 2022 Earnings Call
Date: 2022-08-09
Workbook tab: 26 2022Q2 Earnings
Digest label: “Sequential revenue growth (vs Q1 2022)”</t>
        </r>
      </text>
    </comment>
    <comment ref="AC127" authorId="0" shapeId="0" xr:uid="{00000000-0006-0000-0000-0000CA010000}">
      <text>
        <r>
          <rPr>
            <sz val="11"/>
            <color theme="1"/>
            <rFont val="Calibri"/>
            <family val="2"/>
            <scheme val="minor"/>
          </rPr>
          <t>Source: Q3 2023 Earnings Call
Date: 2023-11-07
Workbook tab: 37 2023Q3 Earnings
Digest label: “Sequential Revenue Growth (vs Q2)”</t>
        </r>
      </text>
    </comment>
    <comment ref="AO128" authorId="0" shapeId="0" xr:uid="{00000000-0006-0000-0000-0000CB010000}">
      <text>
        <r>
          <rPr>
            <sz val="11"/>
            <color theme="1"/>
            <rFont val="Calibri"/>
            <family val="2"/>
            <scheme val="minor"/>
          </rPr>
          <t>Source: Full-Year 2025 and Fourth Quarter Financial Results Press Release
Date: 2026-02-26
Workbook tab: 66 2025Q4 Earnings PR
Digest label: “Series B convertible preferred stock (newly issued)”</t>
        </r>
      </text>
    </comment>
    <comment ref="AH129" authorId="0" shapeId="0" xr:uid="{00000000-0006-0000-0000-0000CC010000}">
      <text>
        <r>
          <rPr>
            <sz val="11"/>
            <color theme="1"/>
            <rFont val="Calibri"/>
            <family val="2"/>
            <scheme val="minor"/>
          </rPr>
          <t>Source: Q4 2024 Earnings Call
Date: 2025-02-20
Workbook tab: 51 2024Q4 Earnings
Digest label: “SG&amp;A”</t>
        </r>
      </text>
    </comment>
    <comment ref="AJ129" authorId="0" shapeId="0" xr:uid="{00000000-0006-0000-0000-0000CD010000}">
      <text>
        <r>
          <rPr>
            <sz val="11"/>
            <color theme="1"/>
            <rFont val="Calibri"/>
            <family val="2"/>
            <scheme val="minor"/>
          </rPr>
          <t>Source: Q1 2025 Earnings Call
Date: 2025-05-06
Workbook tab: 55 2025Q1 Earnings
Digest label: “SG&amp;A Expense”</t>
        </r>
      </text>
    </comment>
    <comment ref="Q130" authorId="0" shapeId="0" xr:uid="{00000000-0006-0000-0000-0000CE010000}">
      <text>
        <r>
          <rPr>
            <sz val="11"/>
            <color theme="1"/>
            <rFont val="Calibri"/>
            <family val="2"/>
            <scheme val="minor"/>
          </rPr>
          <t>Source: Q2 2021 Earnings Call
Date: 2021-08-12
Workbook tab: 14 2021Q2 Earnings
Digest label: “Stock Option Expense”</t>
        </r>
      </text>
    </comment>
    <comment ref="S130" authorId="0" shapeId="0" xr:uid="{00000000-0006-0000-0000-0000CF010000}">
      <text>
        <r>
          <rPr>
            <sz val="11"/>
            <color theme="1"/>
            <rFont val="Calibri"/>
            <family val="2"/>
            <scheme val="minor"/>
          </rPr>
          <t>Source: Q3 2021 Earnings Call
Date: 2021-11-11
Workbook tab: 16 2021Q3 Earnings
Digest label: “Stock Option Expense”</t>
        </r>
      </text>
    </comment>
    <comment ref="AO131" authorId="0" shapeId="0" xr:uid="{00000000-0006-0000-0000-0000D0010000}">
      <text>
        <r>
          <rPr>
            <sz val="11"/>
            <color theme="1"/>
            <rFont val="Calibri"/>
            <family val="2"/>
            <scheme val="minor"/>
          </rPr>
          <t>Source: UBS Global Consumer and Retail Conference
Date: 2025-03-12
Workbook tab: 53 UBS Conf 2025-03-12
Digest label: “Subway Distribution Opportunity”</t>
        </r>
      </text>
    </comment>
    <comment ref="AO132" authorId="0" shapeId="0" xr:uid="{00000000-0006-0000-0000-0000D1010000}">
      <text>
        <r>
          <rPr>
            <sz val="11"/>
            <color theme="1"/>
            <rFont val="Calibri"/>
            <family val="2"/>
            <scheme val="minor"/>
          </rPr>
          <t>Source: Full-Year 2025 and Fourth Quarter Financial Results Press Release
Date: 2026-02-26
Workbook tab: 66 2025Q4 Earnings PR
Digest label: “Total assets”</t>
        </r>
      </text>
    </comment>
    <comment ref="S133" authorId="0" shapeId="0" xr:uid="{00000000-0006-0000-0000-0000D2010000}">
      <text>
        <r>
          <rPr>
            <sz val="11"/>
            <color theme="1"/>
            <rFont val="Calibri"/>
            <family val="2"/>
            <scheme val="minor"/>
          </rPr>
          <t>Source: Q3 2021 Earnings Call
Date: 2021-11-11
Workbook tab: 16 2021Q3 Earnings
Digest label: “Total Net Other Expense”</t>
        </r>
      </text>
    </comment>
    <comment ref="Q134" authorId="0" shapeId="0" xr:uid="{00000000-0006-0000-0000-0000D3010000}">
      <text>
        <r>
          <rPr>
            <sz val="11"/>
            <color theme="1"/>
            <rFont val="Calibri"/>
            <family val="2"/>
            <scheme val="minor"/>
          </rPr>
          <t>Source: Q2 2021 Earnings Call
Date: 2021-08-12
Workbook tab: 14 2021Q2 Earnings
Digest label: “Total Net Other Income”</t>
        </r>
      </text>
    </comment>
    <comment ref="N135" authorId="0" shapeId="0" xr:uid="{00000000-0006-0000-0000-0000D4010000}">
      <text>
        <r>
          <rPr>
            <sz val="11"/>
            <color theme="1"/>
            <rFont val="Calibri"/>
            <family val="2"/>
            <scheme val="minor"/>
          </rPr>
          <t>Source: Q4 &amp; Full-Year 2020 Earnings Call
Date: 2021-03-11
Workbook tab: 12 2020Q4 Earnings
Digest label: “Total Other Income Q4 2020 ($M)”</t>
        </r>
      </text>
    </comment>
    <comment ref="T136" authorId="0" shapeId="0" xr:uid="{00000000-0006-0000-0000-0000D5010000}">
      <text>
        <r>
          <rPr>
            <sz val="11"/>
            <color theme="1"/>
            <rFont val="Calibri"/>
            <family val="2"/>
            <scheme val="minor"/>
          </rPr>
          <t>Source: Q4 2021 Earnings Call
Date: 2022-03-01
Workbook tab: 19 Q4 2021 Earnings
Digest label: “US store count”</t>
        </r>
      </text>
    </comment>
    <comment ref="W136" authorId="0" shapeId="0" xr:uid="{00000000-0006-0000-0000-0000D6010000}">
      <text>
        <r>
          <rPr>
            <sz val="11"/>
            <color theme="1"/>
            <rFont val="Calibri"/>
            <family val="2"/>
            <scheme val="minor"/>
          </rPr>
          <t>Source: Q3 2022 Earnings Call
Date: 2022-11-09
Workbook tab: 27 2022Q3 Earnings
Digest label: “US store count”</t>
        </r>
      </text>
    </comment>
    <comment ref="X136" authorId="0" shapeId="0" xr:uid="{00000000-0006-0000-0000-0000D7010000}">
      <text>
        <r>
          <rPr>
            <sz val="11"/>
            <color theme="1"/>
            <rFont val="Calibri"/>
            <family val="2"/>
            <scheme val="minor"/>
          </rPr>
          <t>Source: Q4 2022 / FY2022 Earnings Call
Date: 2023-03-01
Workbook tab: 28 2022Q4 Earnings
Digest label: “US Store Count”</t>
        </r>
      </text>
    </comment>
    <comment ref="V137" authorId="0" shapeId="0" xr:uid="{00000000-0006-0000-0000-0000D8010000}">
      <text>
        <r>
          <rPr>
            <sz val="11"/>
            <color theme="1"/>
            <rFont val="Calibri"/>
            <family val="2"/>
            <scheme val="minor"/>
          </rPr>
          <t>Source: Q2 2022 Earnings Call
Date: 2022-08-09
Workbook tab: 26 2022Q2 Earnings
Digest label: “US total door count”</t>
        </r>
      </text>
    </comment>
    <comment ref="V138" authorId="0" shapeId="0" xr:uid="{00000000-0006-0000-0000-0000D9010000}">
      <text>
        <r>
          <rPr>
            <sz val="11"/>
            <color theme="1"/>
            <rFont val="Calibri"/>
            <family val="2"/>
            <scheme val="minor"/>
          </rPr>
          <t>Source: Q2 2022 Earnings Call
Date: 2022-08-09
Workbook tab: 26 2022Q2 Earnings
Digest label: “Vending / foodservice revenue ($M)”</t>
        </r>
      </text>
    </comment>
    <comment ref="AI139" authorId="0" shapeId="0" xr:uid="{00000000-0006-0000-0000-0000DA010000}">
      <text>
        <r>
          <rPr>
            <sz val="11"/>
            <color theme="1"/>
            <rFont val="Calibri"/>
            <family val="2"/>
            <scheme val="minor"/>
          </rPr>
          <t>Source: Q4 2024 Earnings Call
Date: 2025-02-20
Workbook tab: 51 2024Q4 Earnings
Digest label: “Volume Growth”</t>
        </r>
      </text>
    </comment>
    <comment ref="V140" authorId="0" shapeId="0" xr:uid="{00000000-0006-0000-0000-0000DB010000}">
      <text>
        <r>
          <rPr>
            <sz val="11"/>
            <color theme="1"/>
            <rFont val="Calibri"/>
            <family val="2"/>
            <scheme val="minor"/>
          </rPr>
          <t>Source: Q2 2022 Earnings Call
Date: 2022-08-09
Workbook tab: 26 2022Q2 Earnings
Digest label: “Walmart sales growth”</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MDA-extract</author>
  </authors>
  <commentList>
    <comment ref="B7" authorId="0" shapeId="0" xr:uid="{00000000-0006-0000-4700-000001000000}">
      <text>
        <r>
          <rPr>
            <sz val="11"/>
            <color theme="1"/>
            <rFont val="Calibri"/>
            <family val="2"/>
            <scheme val="minor"/>
          </rPr>
          <t>RevenueFromContractWithCustomerExcludingAssessedTax @ FY2022; raw=653,604,000</t>
        </r>
      </text>
    </comment>
    <comment ref="C7" authorId="0" shapeId="0" xr:uid="{00000000-0006-0000-4700-000002000000}">
      <text>
        <r>
          <rPr>
            <sz val="11"/>
            <color theme="1"/>
            <rFont val="Calibri"/>
            <family val="2"/>
            <scheme val="minor"/>
          </rPr>
          <t>RevenueFromContractWithCustomerExcludingAssessedTax @ FY2023; raw=1,318,014,000</t>
        </r>
      </text>
    </comment>
    <comment ref="D7" authorId="0" shapeId="0" xr:uid="{00000000-0006-0000-4700-000003000000}">
      <text>
        <r>
          <rPr>
            <sz val="11"/>
            <color theme="1"/>
            <rFont val="Calibri"/>
            <family val="2"/>
            <scheme val="minor"/>
          </rPr>
          <t>RevenueFromContractWithCustomerExcludingAssessedTax @ Q1 2024; raw=355,708,000</t>
        </r>
      </text>
    </comment>
    <comment ref="E7" authorId="0" shapeId="0" xr:uid="{00000000-0006-0000-4700-000004000000}">
      <text>
        <r>
          <rPr>
            <sz val="11"/>
            <color theme="1"/>
            <rFont val="Calibri"/>
            <family val="2"/>
            <scheme val="minor"/>
          </rPr>
          <t>RevenueFromContractWithCustomerExcludingAssessedTax @ Q2 2024; raw=401,977,000</t>
        </r>
      </text>
    </comment>
    <comment ref="F7" authorId="0" shapeId="0" xr:uid="{00000000-0006-0000-4700-000005000000}">
      <text>
        <r>
          <rPr>
            <sz val="11"/>
            <color theme="1"/>
            <rFont val="Calibri"/>
            <family val="2"/>
            <scheme val="minor"/>
          </rPr>
          <t>RevenueFromContractWithCustomerExcludingAssessedTax @ Q3 2024; raw=265,748,000</t>
        </r>
      </text>
    </comment>
    <comment ref="G7" authorId="0" shapeId="0" xr:uid="{00000000-0006-0000-4700-000006000000}">
      <text>
        <r>
          <rPr>
            <sz val="11"/>
            <color theme="1"/>
            <rFont val="Calibri"/>
            <family val="2"/>
            <scheme val="minor"/>
          </rPr>
          <t>RevenueFromContractWithCustomerExcludingAssessedTax @ FY2024; raw=1,355,630,000</t>
        </r>
      </text>
    </comment>
    <comment ref="H7" authorId="0" shapeId="0" xr:uid="{00000000-0006-0000-4700-000007000000}">
      <text>
        <r>
          <rPr>
            <sz val="11"/>
            <color theme="1"/>
            <rFont val="Calibri"/>
            <family val="2"/>
            <scheme val="minor"/>
          </rPr>
          <t>RevenueFromContractWithCustomerExcludingAssessedTax @ Q1 2025; raw=329,276,000</t>
        </r>
      </text>
    </comment>
    <comment ref="I7" authorId="0" shapeId="0" xr:uid="{00000000-0006-0000-4700-000008000000}">
      <text>
        <r>
          <rPr>
            <sz val="11"/>
            <color theme="1"/>
            <rFont val="Calibri"/>
            <family val="2"/>
            <scheme val="minor"/>
          </rPr>
          <t>RevenueFromContractWithCustomerExcludingAssessedTax @ Q2 2025; raw=739,259,000</t>
        </r>
      </text>
    </comment>
    <comment ref="J7" authorId="0" shapeId="0" xr:uid="{00000000-0006-0000-4700-000009000000}">
      <text>
        <r>
          <rPr>
            <sz val="11"/>
            <color theme="1"/>
            <rFont val="Calibri"/>
            <family val="2"/>
            <scheme val="minor"/>
          </rPr>
          <t>RevenueFromContractWithCustomerExcludingAssessedTax @ Q3 2025; raw=725,106,000</t>
        </r>
      </text>
    </comment>
    <comment ref="K7" authorId="0" shapeId="0" xr:uid="{00000000-0006-0000-4700-00000A000000}">
      <text>
        <r>
          <rPr>
            <sz val="11"/>
            <color theme="1"/>
            <rFont val="Calibri"/>
            <family val="2"/>
            <scheme val="minor"/>
          </rPr>
          <t>RevenueFromContractWithCustomerExcludingAssessedTax @ FY2025; raw=2,515,269,000</t>
        </r>
      </text>
    </comment>
    <comment ref="L7" authorId="0" shapeId="0" xr:uid="{00000000-0006-0000-4700-00000B000000}">
      <text>
        <r>
          <rPr>
            <sz val="11"/>
            <color theme="1"/>
            <rFont val="Calibri"/>
            <family val="2"/>
            <scheme val="minor"/>
          </rPr>
          <t>RevenueFromContractWithCustomerExcludingAssessedTax @ Q1 2026; raw=782,615,000</t>
        </r>
      </text>
    </comment>
    <comment ref="B10" authorId="0" shapeId="0" xr:uid="{00000000-0006-0000-4700-00000C000000}">
      <text>
        <r>
          <rPr>
            <sz val="11"/>
            <color theme="1"/>
            <rFont val="Calibri"/>
            <family val="2"/>
            <scheme val="minor"/>
          </rPr>
          <t>IncomeLossFromContinuingOperationsBeforeIncomeTaxesExtraordinaryItemsNoncontrollingInterest @ FY2022; raw=-152,664,000</t>
        </r>
      </text>
    </comment>
    <comment ref="C10" authorId="0" shapeId="0" xr:uid="{00000000-0006-0000-4700-00000D000000}">
      <text>
        <r>
          <rPr>
            <sz val="11"/>
            <color theme="1"/>
            <rFont val="Calibri"/>
            <family val="2"/>
            <scheme val="minor"/>
          </rPr>
          <t>IncomeLossFromContinuingOperationsBeforeIncomeTaxesExtraordinaryItemsNoncontrollingInterest @ FY2023; raw=291,749,000</t>
        </r>
      </text>
    </comment>
    <comment ref="D10" authorId="0" shapeId="0" xr:uid="{00000000-0006-0000-4700-00000E000000}">
      <text>
        <r>
          <rPr>
            <sz val="11"/>
            <color theme="1"/>
            <rFont val="Calibri"/>
            <family val="2"/>
            <scheme val="minor"/>
          </rPr>
          <t>IncomeLossFromContinuingOperationsBeforeIncomeTaxesExtraordinaryItemsNoncontrollingInterest @ Q1 2024; raw=92,461,000</t>
        </r>
      </text>
    </comment>
    <comment ref="E10" authorId="0" shapeId="0" xr:uid="{00000000-0006-0000-4700-00000F000000}">
      <text>
        <r>
          <rPr>
            <sz val="11"/>
            <color theme="1"/>
            <rFont val="Calibri"/>
            <family val="2"/>
            <scheme val="minor"/>
          </rPr>
          <t>IncomeLossFromContinuingOperationsBeforeIncomeTaxesExtraordinaryItemsNoncontrollingInterest @ Q2 2024; raw=104,631,000</t>
        </r>
      </text>
    </comment>
    <comment ref="F10" authorId="0" shapeId="0" xr:uid="{00000000-0006-0000-4700-000010000000}">
      <text>
        <r>
          <rPr>
            <sz val="11"/>
            <color theme="1"/>
            <rFont val="Calibri"/>
            <family val="2"/>
            <scheme val="minor"/>
          </rPr>
          <t>IncomeLossFromContinuingOperationsBeforeIncomeTaxesExtraordinaryItemsNoncontrollingInterest @ Q3 2024; raw=8,175,000</t>
        </r>
      </text>
    </comment>
    <comment ref="G10" authorId="0" shapeId="0" xr:uid="{00000000-0006-0000-4700-000011000000}">
      <text>
        <r>
          <rPr>
            <sz val="11"/>
            <color theme="1"/>
            <rFont val="Calibri"/>
            <family val="2"/>
            <scheme val="minor"/>
          </rPr>
          <t>IncomeLossFromContinuingOperationsBeforeIncomeTaxesExtraordinaryItemsNoncontrollingInterest @ FY2024; raw=195,050,000</t>
        </r>
      </text>
    </comment>
    <comment ref="H10" authorId="0" shapeId="0" xr:uid="{00000000-0006-0000-4700-000012000000}">
      <text>
        <r>
          <rPr>
            <sz val="11"/>
            <color theme="1"/>
            <rFont val="Calibri"/>
            <family val="2"/>
            <scheme val="minor"/>
          </rPr>
          <t>IncomeLossFromContinuingOperationsBeforeIncomeTaxesExtraordinaryItemsNoncontrollingInterest @ Q1 2025; raw=60,993,000</t>
        </r>
      </text>
    </comment>
    <comment ref="I10" authorId="0" shapeId="0" xr:uid="{00000000-0006-0000-4700-000013000000}">
      <text>
        <r>
          <rPr>
            <sz val="11"/>
            <color theme="1"/>
            <rFont val="Calibri"/>
            <family val="2"/>
            <scheme val="minor"/>
          </rPr>
          <t>IncomeLossFromContinuingOperationsBeforeIncomeTaxesExtraordinaryItemsNoncontrollingInterest @ Q2 2025; raw=129,465,000</t>
        </r>
      </text>
    </comment>
    <comment ref="J10" authorId="0" shapeId="0" xr:uid="{00000000-0006-0000-4700-000014000000}">
      <text>
        <r>
          <rPr>
            <sz val="11"/>
            <color theme="1"/>
            <rFont val="Calibri"/>
            <family val="2"/>
            <scheme val="minor"/>
          </rPr>
          <t>IncomeLossFromContinuingOperationsBeforeIncomeTaxesExtraordinaryItemsNoncontrollingInterest @ Q3 2025; raw=-88,031,000</t>
        </r>
      </text>
    </comment>
    <comment ref="K10" authorId="0" shapeId="0" xr:uid="{00000000-0006-0000-4700-000015000000}">
      <text>
        <r>
          <rPr>
            <sz val="11"/>
            <color theme="1"/>
            <rFont val="Calibri"/>
            <family val="2"/>
            <scheme val="minor"/>
          </rPr>
          <t>IncomeLossFromContinuingOperationsBeforeIncomeTaxesExtraordinaryItemsNoncontrollingInterest @ FY2025; raw=125,033,000</t>
        </r>
      </text>
    </comment>
    <comment ref="L10" authorId="0" shapeId="0" xr:uid="{00000000-0006-0000-4700-000016000000}">
      <text>
        <r>
          <rPr>
            <sz val="11"/>
            <color theme="1"/>
            <rFont val="Calibri"/>
            <family val="2"/>
            <scheme val="minor"/>
          </rPr>
          <t>IncomeLossFromContinuingOperationsBeforeIncomeTaxesExtraordinaryItemsNoncontrollingInterest @ Q1 2026; raw=137,536,000</t>
        </r>
      </text>
    </comment>
    <comment ref="B17" authorId="0" shapeId="0" xr:uid="{00000000-0006-0000-4700-000017000000}">
      <text>
        <r>
          <rPr>
            <sz val="11"/>
            <color theme="1"/>
            <rFont val="Calibri"/>
            <family val="2"/>
            <scheme val="minor"/>
          </rPr>
          <t>Revenues @ FY2020; raw=95,480,310</t>
        </r>
      </text>
    </comment>
    <comment ref="C17" authorId="0" shapeId="0" xr:uid="{00000000-0006-0000-4700-000018000000}">
      <text>
        <r>
          <rPr>
            <sz val="11"/>
            <color theme="1"/>
            <rFont val="Calibri"/>
            <family val="2"/>
            <scheme val="minor"/>
          </rPr>
          <t>Revenues @ Q1 2021; raw=39,003,000</t>
        </r>
      </text>
    </comment>
    <comment ref="D17" authorId="0" shapeId="0" xr:uid="{00000000-0006-0000-4700-000019000000}">
      <text>
        <r>
          <rPr>
            <sz val="11"/>
            <color theme="1"/>
            <rFont val="Calibri"/>
            <family val="2"/>
            <scheme val="minor"/>
          </rPr>
          <t>Revenues @ Q2 2021; raw=53,601,000</t>
        </r>
      </text>
    </comment>
    <comment ref="E17" authorId="0" shapeId="0" xr:uid="{00000000-0006-0000-4700-00001A000000}">
      <text>
        <r>
          <rPr>
            <sz val="11"/>
            <color theme="1"/>
            <rFont val="Calibri"/>
            <family val="2"/>
            <scheme val="minor"/>
          </rPr>
          <t>Revenues @ Q3 2021; raw=84,490,000</t>
        </r>
      </text>
    </comment>
    <comment ref="F17" authorId="0" shapeId="0" xr:uid="{00000000-0006-0000-4700-00001B000000}">
      <text>
        <r>
          <rPr>
            <sz val="11"/>
            <color theme="1"/>
            <rFont val="Calibri"/>
            <family val="2"/>
            <scheme val="minor"/>
          </rPr>
          <t>Revenues @ FY2021; raw=273,004,795</t>
        </r>
      </text>
    </comment>
    <comment ref="G17" authorId="0" shapeId="0" xr:uid="{00000000-0006-0000-4700-00001C000000}">
      <text>
        <r>
          <rPr>
            <sz val="11"/>
            <color theme="1"/>
            <rFont val="Calibri"/>
            <family val="2"/>
            <scheme val="minor"/>
          </rPr>
          <t>Revenues @ Q1 2022; raw=123,473,000</t>
        </r>
      </text>
    </comment>
    <comment ref="H17" authorId="0" shapeId="0" xr:uid="{00000000-0006-0000-4700-00001D000000}">
      <text>
        <r>
          <rPr>
            <sz val="11"/>
            <color theme="1"/>
            <rFont val="Calibri"/>
            <family val="2"/>
            <scheme val="minor"/>
          </rPr>
          <t>Revenues @ Q2 2022; raw=145,409,000</t>
        </r>
      </text>
    </comment>
    <comment ref="I17" authorId="0" shapeId="0" xr:uid="{00000000-0006-0000-4700-00001E000000}">
      <text>
        <r>
          <rPr>
            <sz val="11"/>
            <color theme="1"/>
            <rFont val="Calibri"/>
            <family val="2"/>
            <scheme val="minor"/>
          </rPr>
          <t>Revenues @ Q3 2022; raw=179,541,000</t>
        </r>
      </text>
    </comment>
    <comment ref="J17" authorId="0" shapeId="0" xr:uid="{00000000-0006-0000-4700-00001F000000}">
      <text>
        <r>
          <rPr>
            <sz val="11"/>
            <color theme="1"/>
            <rFont val="Calibri"/>
            <family val="2"/>
            <scheme val="minor"/>
          </rPr>
          <t>Revenues @ FY2022; raw=617,457,000</t>
        </r>
      </text>
    </comment>
    <comment ref="K17" authorId="0" shapeId="0" xr:uid="{00000000-0006-0000-4700-000020000000}">
      <text>
        <r>
          <rPr>
            <sz val="11"/>
            <color theme="1"/>
            <rFont val="Calibri"/>
            <family val="2"/>
            <scheme val="minor"/>
          </rPr>
          <t>Revenues @ Q1 2023; raw=248,552,000</t>
        </r>
      </text>
    </comment>
    <comment ref="L17" authorId="0" shapeId="0" xr:uid="{00000000-0006-0000-4700-000021000000}">
      <text>
        <r>
          <rPr>
            <sz val="11"/>
            <color theme="1"/>
            <rFont val="Calibri"/>
            <family val="2"/>
            <scheme val="minor"/>
          </rPr>
          <t>Revenues @ Q2 2023; raw=310,815,000</t>
        </r>
      </text>
    </comment>
    <comment ref="M17" authorId="0" shapeId="0" xr:uid="{00000000-0006-0000-4700-000022000000}">
      <text>
        <r>
          <rPr>
            <sz val="11"/>
            <color theme="1"/>
            <rFont val="Calibri"/>
            <family val="2"/>
            <scheme val="minor"/>
          </rPr>
          <t>Revenues @ Q3 2023; raw=371,178,000</t>
        </r>
      </text>
    </comment>
    <comment ref="N17" authorId="0" shapeId="0" xr:uid="{00000000-0006-0000-4700-000023000000}">
      <text>
        <r>
          <rPr>
            <sz val="11"/>
            <color theme="1"/>
            <rFont val="Calibri"/>
            <family val="2"/>
            <scheme val="minor"/>
          </rPr>
          <t>Revenues @ FY2023; raw=1,263,341,000</t>
        </r>
      </text>
    </comment>
    <comment ref="O17" authorId="0" shapeId="0" xr:uid="{00000000-0006-0000-4700-000024000000}">
      <text>
        <r>
          <rPr>
            <sz val="11"/>
            <color theme="1"/>
            <rFont val="Calibri"/>
            <family val="2"/>
            <scheme val="minor"/>
          </rPr>
          <t>RevenueFromContractWithCustomerExcludingAssessedTax @ Q1 2024; raw=339,512,000</t>
        </r>
      </text>
    </comment>
    <comment ref="P17" authorId="0" shapeId="0" xr:uid="{00000000-0006-0000-4700-000025000000}">
      <text>
        <r>
          <rPr>
            <sz val="11"/>
            <color theme="1"/>
            <rFont val="Calibri"/>
            <family val="2"/>
            <scheme val="minor"/>
          </rPr>
          <t>RevenueFromContractWithCustomerExcludingAssessedTax @ Q2 2024; raw=382,351,000</t>
        </r>
      </text>
    </comment>
    <comment ref="Q17" authorId="0" shapeId="0" xr:uid="{00000000-0006-0000-4700-000026000000}">
      <text>
        <r>
          <rPr>
            <sz val="11"/>
            <color theme="1"/>
            <rFont val="Calibri"/>
            <family val="2"/>
            <scheme val="minor"/>
          </rPr>
          <t>RevenueFromContractWithCustomerExcludingAssessedTax @ Q3 2024; raw=247,125,000</t>
        </r>
      </text>
    </comment>
    <comment ref="R17" authorId="0" shapeId="0" xr:uid="{00000000-0006-0000-4700-000027000000}">
      <text>
        <r>
          <rPr>
            <sz val="11"/>
            <color theme="1"/>
            <rFont val="Calibri"/>
            <family val="2"/>
            <scheme val="minor"/>
          </rPr>
          <t>RevenueFromContractWithCustomerExcludingAssessedTax @ FY2024; raw=1,280,894,000</t>
        </r>
      </text>
    </comment>
    <comment ref="S17" authorId="0" shapeId="0" xr:uid="{00000000-0006-0000-4700-000028000000}">
      <text>
        <r>
          <rPr>
            <sz val="11"/>
            <color theme="1"/>
            <rFont val="Calibri"/>
            <family val="2"/>
            <scheme val="minor"/>
          </rPr>
          <t>RevenueFromContractWithCustomerExcludingAssessedTax @ Q1 2025; raw=306,534,000</t>
        </r>
      </text>
    </comment>
    <comment ref="T17" authorId="0" shapeId="0" xr:uid="{00000000-0006-0000-4700-000029000000}">
      <text>
        <r>
          <rPr>
            <sz val="11"/>
            <color theme="1"/>
            <rFont val="Calibri"/>
            <family val="2"/>
            <scheme val="minor"/>
          </rPr>
          <t>RevenueFromContractWithCustomerExcludingAssessedTax @ Q2 2025; raw=714,459,000</t>
        </r>
      </text>
    </comment>
    <comment ref="U17" authorId="0" shapeId="0" xr:uid="{00000000-0006-0000-4700-00002A000000}">
      <text>
        <r>
          <rPr>
            <sz val="11"/>
            <color theme="1"/>
            <rFont val="Calibri"/>
            <family val="2"/>
            <scheme val="minor"/>
          </rPr>
          <t>RevenueFromContractWithCustomerExcludingAssessedTax @ Q3 2025; raw=701,990,000</t>
        </r>
      </text>
    </comment>
    <comment ref="V17" authorId="0" shapeId="0" xr:uid="{00000000-0006-0000-4700-00002B000000}">
      <text>
        <r>
          <rPr>
            <sz val="11"/>
            <color theme="1"/>
            <rFont val="Calibri"/>
            <family val="2"/>
            <scheme val="minor"/>
          </rPr>
          <t>RevenueFromContractWithCustomerExcludingAssessedTax @ FY2025; raw=2,422,490,000</t>
        </r>
      </text>
    </comment>
    <comment ref="W17" authorId="0" shapeId="0" xr:uid="{00000000-0006-0000-4700-00002C000000}">
      <text>
        <r>
          <rPr>
            <sz val="11"/>
            <color theme="1"/>
            <rFont val="Calibri"/>
            <family val="2"/>
            <scheme val="minor"/>
          </rPr>
          <t>RevenueFromContractWithCustomerExcludingAssessedTax @ Q1 2026; raw=747,316,000</t>
        </r>
      </text>
    </comment>
    <comment ref="B18" authorId="0" shapeId="0" xr:uid="{00000000-0006-0000-4700-00002D000000}">
      <text>
        <r>
          <rPr>
            <sz val="11"/>
            <color theme="1"/>
            <rFont val="Calibri"/>
            <family val="2"/>
            <scheme val="minor"/>
          </rPr>
          <t>Revenues @ FY2020; raw=33,727,441</t>
        </r>
      </text>
    </comment>
    <comment ref="C18" authorId="0" shapeId="0" xr:uid="{00000000-0006-0000-4700-00002E000000}">
      <text>
        <r>
          <rPr>
            <sz val="11"/>
            <color theme="1"/>
            <rFont val="Calibri"/>
            <family val="2"/>
            <scheme val="minor"/>
          </rPr>
          <t>Revenues @ Q1 2021; raw=10,368,000</t>
        </r>
      </text>
    </comment>
    <comment ref="D18" authorId="0" shapeId="0" xr:uid="{00000000-0006-0000-4700-00002F000000}">
      <text>
        <r>
          <rPr>
            <sz val="11"/>
            <color theme="1"/>
            <rFont val="Calibri"/>
            <family val="2"/>
            <scheme val="minor"/>
          </rPr>
          <t>Revenues @ Q2 2021; raw=10,792,000</t>
        </r>
      </text>
    </comment>
    <comment ref="E18" authorId="0" shapeId="0" xr:uid="{00000000-0006-0000-4700-000030000000}">
      <text>
        <r>
          <rPr>
            <sz val="11"/>
            <color theme="1"/>
            <rFont val="Calibri"/>
            <family val="2"/>
            <scheme val="minor"/>
          </rPr>
          <t>Revenues @ Q3 2021; raw=9,536,000</t>
        </r>
      </text>
    </comment>
    <comment ref="F18" authorId="0" shapeId="0" xr:uid="{00000000-0006-0000-4700-000031000000}">
      <text>
        <r>
          <rPr>
            <sz val="11"/>
            <color theme="1"/>
            <rFont val="Calibri"/>
            <family val="2"/>
            <scheme val="minor"/>
          </rPr>
          <t>Revenues @ FY2021; raw=38,097,016</t>
        </r>
      </text>
    </comment>
    <comment ref="G18" authorId="0" shapeId="0" xr:uid="{00000000-0006-0000-4700-000032000000}">
      <text>
        <r>
          <rPr>
            <sz val="11"/>
            <color theme="1"/>
            <rFont val="Calibri"/>
            <family val="2"/>
            <scheme val="minor"/>
          </rPr>
          <t>Revenues @ Q1 2022; raw=8,495,000</t>
        </r>
      </text>
    </comment>
    <comment ref="H18" authorId="0" shapeId="0" xr:uid="{00000000-0006-0000-4700-000033000000}">
      <text>
        <r>
          <rPr>
            <sz val="11"/>
            <color theme="1"/>
            <rFont val="Calibri"/>
            <family val="2"/>
            <scheme val="minor"/>
          </rPr>
          <t>Revenues @ Q2 2022; raw=7,280,000</t>
        </r>
      </text>
    </comment>
    <comment ref="I18" authorId="0" shapeId="0" xr:uid="{00000000-0006-0000-4700-000034000000}">
      <text>
        <r>
          <rPr>
            <sz val="11"/>
            <color theme="1"/>
            <rFont val="Calibri"/>
            <family val="2"/>
            <scheme val="minor"/>
          </rPr>
          <t>Revenues @ Q3 2022; raw=7,546,000</t>
        </r>
      </text>
    </comment>
    <comment ref="J18" authorId="0" shapeId="0" xr:uid="{00000000-0006-0000-4700-000035000000}">
      <text>
        <r>
          <rPr>
            <sz val="11"/>
            <color theme="1"/>
            <rFont val="Calibri"/>
            <family val="2"/>
            <scheme val="minor"/>
          </rPr>
          <t>Revenues @ FY2022; raw=31,054,000</t>
        </r>
      </text>
    </comment>
    <comment ref="K18" authorId="0" shapeId="0" xr:uid="{00000000-0006-0000-4700-000036000000}">
      <text>
        <r>
          <rPr>
            <sz val="11"/>
            <color theme="1"/>
            <rFont val="Calibri"/>
            <family val="2"/>
            <scheme val="minor"/>
          </rPr>
          <t>Revenues @ Q1 2023; raw=8,652,000</t>
        </r>
      </text>
    </comment>
    <comment ref="L18" authorId="0" shapeId="0" xr:uid="{00000000-0006-0000-4700-000037000000}">
      <text>
        <r>
          <rPr>
            <sz val="11"/>
            <color theme="1"/>
            <rFont val="Calibri"/>
            <family val="2"/>
            <scheme val="minor"/>
          </rPr>
          <t>Revenues @ Q2 2023; raw=11,909,000</t>
        </r>
      </text>
    </comment>
    <comment ref="M18" authorId="0" shapeId="0" xr:uid="{00000000-0006-0000-4700-000038000000}">
      <text>
        <r>
          <rPr>
            <sz val="11"/>
            <color theme="1"/>
            <rFont val="Calibri"/>
            <family val="2"/>
            <scheme val="minor"/>
          </rPr>
          <t>Revenues @ Q3 2023; raw=11,038,000</t>
        </r>
      </text>
    </comment>
    <comment ref="N18" authorId="0" shapeId="0" xr:uid="{00000000-0006-0000-4700-000039000000}">
      <text>
        <r>
          <rPr>
            <sz val="11"/>
            <color theme="1"/>
            <rFont val="Calibri"/>
            <family val="2"/>
            <scheme val="minor"/>
          </rPr>
          <t>Revenues @ FY2023; raw=43,722,000</t>
        </r>
      </text>
    </comment>
    <comment ref="O18" authorId="0" shapeId="0" xr:uid="{00000000-0006-0000-4700-00003A000000}">
      <text>
        <r>
          <rPr>
            <sz val="11"/>
            <color theme="1"/>
            <rFont val="Calibri"/>
            <family val="2"/>
            <scheme val="minor"/>
          </rPr>
          <t>RevenueFromContractWithCustomerExcludingAssessedTax @ Q1 2024; raw=14,142,000</t>
        </r>
      </text>
    </comment>
    <comment ref="P18" authorId="0" shapeId="0" xr:uid="{00000000-0006-0000-4700-00003B000000}">
      <text>
        <r>
          <rPr>
            <sz val="11"/>
            <color theme="1"/>
            <rFont val="Calibri"/>
            <family val="2"/>
            <scheme val="minor"/>
          </rPr>
          <t>RevenueFromContractWithCustomerExcludingAssessedTax @ Q2 2024; raw=16,684,000</t>
        </r>
      </text>
    </comment>
    <comment ref="Q18" authorId="0" shapeId="0" xr:uid="{00000000-0006-0000-4700-00003C000000}">
      <text>
        <r>
          <rPr>
            <sz val="11"/>
            <color theme="1"/>
            <rFont val="Calibri"/>
            <family val="2"/>
            <scheme val="minor"/>
          </rPr>
          <t>RevenueFromContractWithCustomerExcludingAssessedTax @ Q3 2024; raw=16,243,000</t>
        </r>
      </text>
    </comment>
    <comment ref="R18" authorId="0" shapeId="0" xr:uid="{00000000-0006-0000-4700-00003D000000}">
      <text>
        <r>
          <rPr>
            <sz val="11"/>
            <color theme="1"/>
            <rFont val="Calibri"/>
            <family val="2"/>
            <scheme val="minor"/>
          </rPr>
          <t>RevenueFromContractWithCustomerExcludingAssessedTax @ FY2024; raw=61,696,000</t>
        </r>
      </text>
    </comment>
    <comment ref="S18" authorId="0" shapeId="0" xr:uid="{00000000-0006-0000-4700-00003E000000}">
      <text>
        <r>
          <rPr>
            <sz val="11"/>
            <color theme="1"/>
            <rFont val="Calibri"/>
            <family val="2"/>
            <scheme val="minor"/>
          </rPr>
          <t>RevenueFromContractWithCustomerExcludingAssessedTax @ Q1 2025; raw=18,659,000</t>
        </r>
      </text>
    </comment>
    <comment ref="T18" authorId="0" shapeId="0" xr:uid="{00000000-0006-0000-4700-00003F000000}">
      <text>
        <r>
          <rPr>
            <sz val="11"/>
            <color theme="1"/>
            <rFont val="Calibri"/>
            <family val="2"/>
            <scheme val="minor"/>
          </rPr>
          <t>RevenueFromContractWithCustomerExcludingAssessedTax @ Q2 2025; raw=18,301,000</t>
        </r>
      </text>
    </comment>
    <comment ref="U18" authorId="0" shapeId="0" xr:uid="{00000000-0006-0000-4700-000040000000}">
      <text>
        <r>
          <rPr>
            <sz val="11"/>
            <color theme="1"/>
            <rFont val="Calibri"/>
            <family val="2"/>
            <scheme val="minor"/>
          </rPr>
          <t>RevenueFromContractWithCustomerExcludingAssessedTax @ Q3 2025; raw=17,691,000</t>
        </r>
      </text>
    </comment>
    <comment ref="V18" authorId="0" shapeId="0" xr:uid="{00000000-0006-0000-4700-000041000000}">
      <text>
        <r>
          <rPr>
            <sz val="11"/>
            <color theme="1"/>
            <rFont val="Calibri"/>
            <family val="2"/>
            <scheme val="minor"/>
          </rPr>
          <t>RevenueFromContractWithCustomerExcludingAssessedTax @ FY2025; raw=72,544,000</t>
        </r>
      </text>
    </comment>
    <comment ref="W18" authorId="0" shapeId="0" xr:uid="{00000000-0006-0000-4700-000042000000}">
      <text>
        <r>
          <rPr>
            <sz val="11"/>
            <color theme="1"/>
            <rFont val="Calibri"/>
            <family val="2"/>
            <scheme val="minor"/>
          </rPr>
          <t>RevenueFromContractWithCustomerExcludingAssessedTax @ Q1 2026; raw=25,354,000</t>
        </r>
      </text>
    </comment>
    <comment ref="B19" authorId="0" shapeId="0" xr:uid="{00000000-0006-0000-4700-000043000000}">
      <text>
        <r>
          <rPr>
            <sz val="11"/>
            <color theme="1"/>
            <rFont val="Calibri"/>
            <family val="2"/>
            <scheme val="minor"/>
          </rPr>
          <t>Revenues @ FY2020; raw=23,400,000</t>
        </r>
      </text>
    </comment>
    <comment ref="C19" authorId="0" shapeId="0" xr:uid="{00000000-0006-0000-4700-000044000000}">
      <text>
        <r>
          <rPr>
            <sz val="11"/>
            <color theme="1"/>
            <rFont val="Calibri"/>
            <family val="2"/>
            <scheme val="minor"/>
          </rPr>
          <t>Revenues @ Q1 2021; raw=6,500,000</t>
        </r>
      </text>
    </comment>
    <comment ref="D19" authorId="0" shapeId="0" xr:uid="{00000000-0006-0000-4700-000045000000}">
      <text>
        <r>
          <rPr>
            <sz val="11"/>
            <color theme="1"/>
            <rFont val="Calibri"/>
            <family val="2"/>
            <scheme val="minor"/>
          </rPr>
          <t>Revenues @ Q2 2021; raw=7,900,000</t>
        </r>
      </text>
    </comment>
    <comment ref="E19" authorId="0" shapeId="0" xr:uid="{00000000-0006-0000-4700-000046000000}">
      <text>
        <r>
          <rPr>
            <sz val="11"/>
            <color theme="1"/>
            <rFont val="Calibri"/>
            <family val="2"/>
            <scheme val="minor"/>
          </rPr>
          <t>Revenues @ Q3 2021; raw=6,500,000</t>
        </r>
      </text>
    </comment>
    <comment ref="F19" authorId="0" shapeId="0" xr:uid="{00000000-0006-0000-4700-000047000000}">
      <text>
        <r>
          <rPr>
            <sz val="11"/>
            <color theme="1"/>
            <rFont val="Calibri"/>
            <family val="2"/>
            <scheme val="minor"/>
          </rPr>
          <t>Revenues @ FY2021; raw=26,900,000</t>
        </r>
      </text>
    </comment>
    <comment ref="G19" authorId="0" shapeId="0" xr:uid="{00000000-0006-0000-4700-000048000000}">
      <text>
        <r>
          <rPr>
            <sz val="11"/>
            <color theme="1"/>
            <rFont val="Calibri"/>
            <family val="2"/>
            <scheme val="minor"/>
          </rPr>
          <t>Revenues @ Q1 2022; raw=5,800,000</t>
        </r>
      </text>
    </comment>
    <comment ref="H19" authorId="0" shapeId="0" xr:uid="{00000000-0006-0000-4700-000049000000}">
      <text>
        <r>
          <rPr>
            <sz val="11"/>
            <color theme="1"/>
            <rFont val="Calibri"/>
            <family val="2"/>
            <scheme val="minor"/>
          </rPr>
          <t>Revenues @ Q2 2022; raw=5,100,000</t>
        </r>
      </text>
    </comment>
    <comment ref="I19" authorId="0" shapeId="0" xr:uid="{00000000-0006-0000-4700-00004A000000}">
      <text>
        <r>
          <rPr>
            <sz val="11"/>
            <color theme="1"/>
            <rFont val="Calibri"/>
            <family val="2"/>
            <scheme val="minor"/>
          </rPr>
          <t>Revenues @ Q3 2022; raw=5,300,000</t>
        </r>
      </text>
    </comment>
    <comment ref="J19" authorId="0" shapeId="0" xr:uid="{00000000-0006-0000-4700-00004B000000}">
      <text>
        <r>
          <rPr>
            <sz val="11"/>
            <color theme="1"/>
            <rFont val="Calibri"/>
            <family val="2"/>
            <scheme val="minor"/>
          </rPr>
          <t>Revenues @ FY2022; raw=21,700,000</t>
        </r>
      </text>
    </comment>
    <comment ref="K19" authorId="0" shapeId="0" xr:uid="{00000000-0006-0000-4700-00004C000000}">
      <text>
        <r>
          <rPr>
            <sz val="11"/>
            <color theme="1"/>
            <rFont val="Calibri"/>
            <family val="2"/>
            <scheme val="minor"/>
          </rPr>
          <t>Revenues @ Q1 2023; raw=5,500,000</t>
        </r>
      </text>
    </comment>
    <comment ref="L19" authorId="0" shapeId="0" xr:uid="{00000000-0006-0000-4700-00004D000000}">
      <text>
        <r>
          <rPr>
            <sz val="11"/>
            <color theme="1"/>
            <rFont val="Calibri"/>
            <family val="2"/>
            <scheme val="minor"/>
          </rPr>
          <t>Revenues @ Q2 2023; raw=7,900,000</t>
        </r>
      </text>
    </comment>
    <comment ref="M19" authorId="0" shapeId="0" xr:uid="{00000000-0006-0000-4700-00004E000000}">
      <text>
        <r>
          <rPr>
            <sz val="11"/>
            <color theme="1"/>
            <rFont val="Calibri"/>
            <family val="2"/>
            <scheme val="minor"/>
          </rPr>
          <t>Revenues @ Q3 2023; raw=7,400,000</t>
        </r>
      </text>
    </comment>
    <comment ref="N19" authorId="0" shapeId="0" xr:uid="{00000000-0006-0000-4700-00004F000000}">
      <text>
        <r>
          <rPr>
            <sz val="11"/>
            <color theme="1"/>
            <rFont val="Calibri"/>
            <family val="2"/>
            <scheme val="minor"/>
          </rPr>
          <t>Revenues @ FY2023; raw=29,300,000</t>
        </r>
      </text>
    </comment>
    <comment ref="O19" authorId="0" shapeId="0" xr:uid="{00000000-0006-0000-4700-000050000000}">
      <text>
        <r>
          <rPr>
            <sz val="11"/>
            <color theme="1"/>
            <rFont val="Calibri"/>
            <family val="2"/>
            <scheme val="minor"/>
          </rPr>
          <t>RevenueFromContractWithCustomerExcludingAssessedTax @ Q1 2024; raw=10,000,000</t>
        </r>
      </text>
    </comment>
    <comment ref="P19" authorId="0" shapeId="0" xr:uid="{00000000-0006-0000-4700-000051000000}">
      <text>
        <r>
          <rPr>
            <sz val="11"/>
            <color theme="1"/>
            <rFont val="Calibri"/>
            <family val="2"/>
            <scheme val="minor"/>
          </rPr>
          <t>RevenueFromContractWithCustomerExcludingAssessedTax @ Q2 2024; raw=11,300,000</t>
        </r>
      </text>
    </comment>
    <comment ref="Q19" authorId="0" shapeId="0" xr:uid="{00000000-0006-0000-4700-000052000000}">
      <text>
        <r>
          <rPr>
            <sz val="11"/>
            <color theme="1"/>
            <rFont val="Calibri"/>
            <family val="2"/>
            <scheme val="minor"/>
          </rPr>
          <t>RevenueFromContractWithCustomerExcludingAssessedTax @ Q3 2024; raw=9,500,000</t>
        </r>
      </text>
    </comment>
    <comment ref="F20" authorId="0" shapeId="0" xr:uid="{00000000-0006-0000-4700-000053000000}">
      <text>
        <r>
          <rPr>
            <sz val="11"/>
            <color theme="1"/>
            <rFont val="Calibri"/>
            <family val="2"/>
            <scheme val="minor"/>
          </rPr>
          <t>Revenues @ FY2021; raw=2,538,000</t>
        </r>
      </text>
    </comment>
    <comment ref="J20" authorId="0" shapeId="0" xr:uid="{00000000-0006-0000-4700-000054000000}">
      <text>
        <r>
          <rPr>
            <sz val="11"/>
            <color theme="1"/>
            <rFont val="Calibri"/>
            <family val="2"/>
            <scheme val="minor"/>
          </rPr>
          <t>Revenues @ FY2022; raw=3,647,000</t>
        </r>
      </text>
    </comment>
    <comment ref="L20" authorId="0" shapeId="0" xr:uid="{00000000-0006-0000-4700-000055000000}">
      <text>
        <r>
          <rPr>
            <sz val="11"/>
            <color theme="1"/>
            <rFont val="Calibri"/>
            <family val="2"/>
            <scheme val="minor"/>
          </rPr>
          <t>RevenueFromContractWithCustomerExcludingAssessedTax @ Q2 2023; raw=1,606,000</t>
        </r>
      </text>
    </comment>
    <comment ref="M20" authorId="0" shapeId="0" xr:uid="{00000000-0006-0000-4700-000056000000}">
      <text>
        <r>
          <rPr>
            <sz val="11"/>
            <color theme="1"/>
            <rFont val="Calibri"/>
            <family val="2"/>
            <scheme val="minor"/>
          </rPr>
          <t>RevenueFromContractWithCustomerExcludingAssessedTax @ Q3 2023; raw=1,247,000</t>
        </r>
      </text>
    </comment>
    <comment ref="N20" authorId="0" shapeId="0" xr:uid="{00000000-0006-0000-4700-000057000000}">
      <text>
        <r>
          <rPr>
            <sz val="11"/>
            <color theme="1"/>
            <rFont val="Calibri"/>
            <family val="2"/>
            <scheme val="minor"/>
          </rPr>
          <t>Revenues @ FY2023; raw=4,755,000</t>
        </r>
      </text>
    </comment>
    <comment ref="O20" authorId="0" shapeId="0" xr:uid="{00000000-0006-0000-4700-000058000000}">
      <text>
        <r>
          <rPr>
            <sz val="11"/>
            <color theme="1"/>
            <rFont val="Calibri"/>
            <family val="2"/>
            <scheme val="minor"/>
          </rPr>
          <t>RevenueFromContractWithCustomerExcludingAssessedTax @ Q1 2024; raw=675,000</t>
        </r>
      </text>
    </comment>
    <comment ref="P20" authorId="0" shapeId="0" xr:uid="{00000000-0006-0000-4700-000059000000}">
      <text>
        <r>
          <rPr>
            <sz val="11"/>
            <color theme="1"/>
            <rFont val="Calibri"/>
            <family val="2"/>
            <scheme val="minor"/>
          </rPr>
          <t>RevenueFromContractWithCustomerExcludingAssessedTax @ Q2 2024; raw=860,000</t>
        </r>
      </text>
    </comment>
    <comment ref="Q20" authorId="0" shapeId="0" xr:uid="{00000000-0006-0000-4700-00005A000000}">
      <text>
        <r>
          <rPr>
            <sz val="11"/>
            <color theme="1"/>
            <rFont val="Calibri"/>
            <family val="2"/>
            <scheme val="minor"/>
          </rPr>
          <t>RevenueFromContractWithCustomerExcludingAssessedTax @ Q3 2024; raw=594,000</t>
        </r>
      </text>
    </comment>
    <comment ref="R20" authorId="0" shapeId="0" xr:uid="{00000000-0006-0000-4700-00005B000000}">
      <text>
        <r>
          <rPr>
            <sz val="11"/>
            <color theme="1"/>
            <rFont val="Calibri"/>
            <family val="2"/>
            <scheme val="minor"/>
          </rPr>
          <t>RevenueFromContractWithCustomerExcludingAssessedTax @ FY2024; raw=5,658,000</t>
        </r>
      </text>
    </comment>
    <comment ref="S20" authorId="0" shapeId="0" xr:uid="{00000000-0006-0000-4700-00005C000000}">
      <text>
        <r>
          <rPr>
            <sz val="11"/>
            <color theme="1"/>
            <rFont val="Calibri"/>
            <family val="2"/>
            <scheme val="minor"/>
          </rPr>
          <t>RevenueFromContractWithCustomerExcludingAssessedTax @ Q1 2025; raw=2,244,000</t>
        </r>
      </text>
    </comment>
    <comment ref="T20" authorId="0" shapeId="0" xr:uid="{00000000-0006-0000-4700-00005D000000}">
      <text>
        <r>
          <rPr>
            <sz val="11"/>
            <color theme="1"/>
            <rFont val="Calibri"/>
            <family val="2"/>
            <scheme val="minor"/>
          </rPr>
          <t>RevenueFromContractWithCustomerExcludingAssessedTax @ Q2 2025; raw=4,381,000</t>
        </r>
      </text>
    </comment>
    <comment ref="U20" authorId="0" shapeId="0" xr:uid="{00000000-0006-0000-4700-00005E000000}">
      <text>
        <r>
          <rPr>
            <sz val="11"/>
            <color theme="1"/>
            <rFont val="Calibri"/>
            <family val="2"/>
            <scheme val="minor"/>
          </rPr>
          <t>RevenueFromContractWithCustomerExcludingAssessedTax @ Q3 2025; raw=3,518,000</t>
        </r>
      </text>
    </comment>
    <comment ref="V20" authorId="0" shapeId="0" xr:uid="{00000000-0006-0000-4700-00005F000000}">
      <text>
        <r>
          <rPr>
            <sz val="11"/>
            <color theme="1"/>
            <rFont val="Calibri"/>
            <family val="2"/>
            <scheme val="minor"/>
          </rPr>
          <t>RevenueFromContractWithCustomerExcludingAssessedTax @ FY2025; raw=12,971,000</t>
        </r>
      </text>
    </comment>
    <comment ref="W20" authorId="0" shapeId="0" xr:uid="{00000000-0006-0000-4700-000060000000}">
      <text>
        <r>
          <rPr>
            <sz val="11"/>
            <color theme="1"/>
            <rFont val="Calibri"/>
            <family val="2"/>
            <scheme val="minor"/>
          </rPr>
          <t>RevenueFromContractWithCustomerExcludingAssessedTax @ Q1 2026; raw=6,995,000</t>
        </r>
      </text>
    </comment>
    <comment ref="B21" authorId="0" shapeId="0" xr:uid="{00000000-0006-0000-4700-000061000000}">
      <text>
        <r>
          <rPr>
            <sz val="11"/>
            <color theme="1"/>
            <rFont val="Calibri"/>
            <family val="2"/>
            <scheme val="minor"/>
          </rPr>
          <t>Revenues @ FY2020; raw=425,323</t>
        </r>
      </text>
    </comment>
    <comment ref="C21" authorId="0" shapeId="0" xr:uid="{00000000-0006-0000-4700-000062000000}">
      <text>
        <r>
          <rPr>
            <sz val="11"/>
            <color theme="1"/>
            <rFont val="Calibri"/>
            <family val="2"/>
            <scheme val="minor"/>
          </rPr>
          <t>Revenues @ Q1 2021; raw=128,000</t>
        </r>
      </text>
    </comment>
    <comment ref="D21" authorId="0" shapeId="0" xr:uid="{00000000-0006-0000-4700-000063000000}">
      <text>
        <r>
          <rPr>
            <sz val="11"/>
            <color theme="1"/>
            <rFont val="Calibri"/>
            <family val="2"/>
            <scheme val="minor"/>
          </rPr>
          <t>Revenues @ Q2 2021; raw=61,000</t>
        </r>
      </text>
    </comment>
    <comment ref="E21" authorId="0" shapeId="0" xr:uid="{00000000-0006-0000-4700-000064000000}">
      <text>
        <r>
          <rPr>
            <sz val="11"/>
            <color theme="1"/>
            <rFont val="Calibri"/>
            <family val="2"/>
            <scheme val="minor"/>
          </rPr>
          <t>Revenues @ Q3 2021; raw=177,000</t>
        </r>
      </text>
    </comment>
    <comment ref="F21" authorId="0" shapeId="0" xr:uid="{00000000-0006-0000-4700-000065000000}">
      <text>
        <r>
          <rPr>
            <sz val="11"/>
            <color theme="1"/>
            <rFont val="Calibri"/>
            <family val="2"/>
            <scheme val="minor"/>
          </rPr>
          <t>Revenues @ FY2021; raw=631,649</t>
        </r>
      </text>
    </comment>
    <comment ref="G21" authorId="0" shapeId="0" xr:uid="{00000000-0006-0000-4700-000066000000}">
      <text>
        <r>
          <rPr>
            <sz val="11"/>
            <color theme="1"/>
            <rFont val="Calibri"/>
            <family val="2"/>
            <scheme val="minor"/>
          </rPr>
          <t>Revenues @ Q1 2022; raw=454,000</t>
        </r>
      </text>
    </comment>
    <comment ref="H21" authorId="0" shapeId="0" xr:uid="{00000000-0006-0000-4700-000067000000}">
      <text>
        <r>
          <rPr>
            <sz val="11"/>
            <color theme="1"/>
            <rFont val="Calibri"/>
            <family val="2"/>
            <scheme val="minor"/>
          </rPr>
          <t>Revenues @ Q2 2022; raw=448,000</t>
        </r>
      </text>
    </comment>
    <comment ref="I21" authorId="0" shapeId="0" xr:uid="{00000000-0006-0000-4700-000068000000}">
      <text>
        <r>
          <rPr>
            <sz val="11"/>
            <color theme="1"/>
            <rFont val="Calibri"/>
            <family val="2"/>
            <scheme val="minor"/>
          </rPr>
          <t>Revenues @ Q3 2022; raw=182,000</t>
        </r>
      </text>
    </comment>
    <comment ref="J21" authorId="0" shapeId="0" xr:uid="{00000000-0006-0000-4700-000069000000}">
      <text>
        <r>
          <rPr>
            <sz val="11"/>
            <color theme="1"/>
            <rFont val="Calibri"/>
            <family val="2"/>
            <scheme val="minor"/>
          </rPr>
          <t>Revenues @ FY2022; raw=1,446,000</t>
        </r>
      </text>
    </comment>
    <comment ref="K21" authorId="0" shapeId="0" xr:uid="{00000000-0006-0000-4700-00006A000000}">
      <text>
        <r>
          <rPr>
            <sz val="11"/>
            <color theme="1"/>
            <rFont val="Calibri"/>
            <family val="2"/>
            <scheme val="minor"/>
          </rPr>
          <t>Revenues @ Q1 2023; raw=1,477,000</t>
        </r>
      </text>
    </comment>
    <comment ref="L21" authorId="0" shapeId="0" xr:uid="{00000000-0006-0000-4700-00006B000000}">
      <text>
        <r>
          <rPr>
            <sz val="11"/>
            <color theme="1"/>
            <rFont val="Calibri"/>
            <family val="2"/>
            <scheme val="minor"/>
          </rPr>
          <t>Revenues @ Q2 2023; raw=1,553,000</t>
        </r>
      </text>
    </comment>
    <comment ref="M21" authorId="0" shapeId="0" xr:uid="{00000000-0006-0000-4700-00006C000000}">
      <text>
        <r>
          <rPr>
            <sz val="11"/>
            <color theme="1"/>
            <rFont val="Calibri"/>
            <family val="2"/>
            <scheme val="minor"/>
          </rPr>
          <t>Revenues @ Q3 2023; raw=1,294,000</t>
        </r>
      </text>
    </comment>
    <comment ref="N21" authorId="0" shapeId="0" xr:uid="{00000000-0006-0000-4700-00006D000000}">
      <text>
        <r>
          <rPr>
            <sz val="11"/>
            <color theme="1"/>
            <rFont val="Calibri"/>
            <family val="2"/>
            <scheme val="minor"/>
          </rPr>
          <t>Revenues @ FY2023; raw=6,196,000</t>
        </r>
      </text>
    </comment>
    <comment ref="O21" authorId="0" shapeId="0" xr:uid="{00000000-0006-0000-4700-00006E000000}">
      <text>
        <r>
          <rPr>
            <sz val="11"/>
            <color theme="1"/>
            <rFont val="Calibri"/>
            <family val="2"/>
            <scheme val="minor"/>
          </rPr>
          <t>RevenueFromContractWithCustomerExcludingAssessedTax @ Q1 2024; raw=1,379,000</t>
        </r>
      </text>
    </comment>
    <comment ref="P21" authorId="0" shapeId="0" xr:uid="{00000000-0006-0000-4700-00006F000000}">
      <text>
        <r>
          <rPr>
            <sz val="11"/>
            <color theme="1"/>
            <rFont val="Calibri"/>
            <family val="2"/>
            <scheme val="minor"/>
          </rPr>
          <t>RevenueFromContractWithCustomerExcludingAssessedTax @ Q2 2024; raw=2,082,000</t>
        </r>
      </text>
    </comment>
    <comment ref="Q21" authorId="0" shapeId="0" xr:uid="{00000000-0006-0000-4700-000070000000}">
      <text>
        <r>
          <rPr>
            <sz val="11"/>
            <color theme="1"/>
            <rFont val="Calibri"/>
            <family val="2"/>
            <scheme val="minor"/>
          </rPr>
          <t>RevenueFromContractWithCustomerExcludingAssessedTax @ Q3 2024; raw=1,786,000</t>
        </r>
      </text>
    </comment>
    <comment ref="R21" authorId="0" shapeId="0" xr:uid="{00000000-0006-0000-4700-000071000000}">
      <text>
        <r>
          <rPr>
            <sz val="11"/>
            <color theme="1"/>
            <rFont val="Calibri"/>
            <family val="2"/>
            <scheme val="minor"/>
          </rPr>
          <t>RevenueFromContractWithCustomerExcludingAssessedTax @ FY2024; raw=7,382,000</t>
        </r>
      </text>
    </comment>
    <comment ref="S21" authorId="0" shapeId="0" xr:uid="{00000000-0006-0000-4700-000072000000}">
      <text>
        <r>
          <rPr>
            <sz val="11"/>
            <color theme="1"/>
            <rFont val="Calibri"/>
            <family val="2"/>
            <scheme val="minor"/>
          </rPr>
          <t>RevenueFromContractWithCustomerExcludingAssessedTax @ Q1 2025; raw=1,839,000</t>
        </r>
      </text>
    </comment>
    <comment ref="T21" authorId="0" shapeId="0" xr:uid="{00000000-0006-0000-4700-000073000000}">
      <text>
        <r>
          <rPr>
            <sz val="11"/>
            <color theme="1"/>
            <rFont val="Calibri"/>
            <family val="2"/>
            <scheme val="minor"/>
          </rPr>
          <t>RevenueFromContractWithCustomerExcludingAssessedTax @ Q2 2025; raw=2,118,000</t>
        </r>
      </text>
    </comment>
    <comment ref="U21" authorId="0" shapeId="0" xr:uid="{00000000-0006-0000-4700-000074000000}">
      <text>
        <r>
          <rPr>
            <sz val="11"/>
            <color theme="1"/>
            <rFont val="Calibri"/>
            <family val="2"/>
            <scheme val="minor"/>
          </rPr>
          <t>RevenueFromContractWithCustomerExcludingAssessedTax @ Q3 2025; raw=1,907,000</t>
        </r>
      </text>
    </comment>
    <comment ref="V21" authorId="0" shapeId="0" xr:uid="{00000000-0006-0000-4700-000075000000}">
      <text>
        <r>
          <rPr>
            <sz val="11"/>
            <color theme="1"/>
            <rFont val="Calibri"/>
            <family val="2"/>
            <scheme val="minor"/>
          </rPr>
          <t>RevenueFromContractWithCustomerExcludingAssessedTax @ FY2025; raw=7,264,000</t>
        </r>
      </text>
    </comment>
    <comment ref="W21" authorId="0" shapeId="0" xr:uid="{00000000-0006-0000-4700-000076000000}">
      <text>
        <r>
          <rPr>
            <sz val="11"/>
            <color theme="1"/>
            <rFont val="Calibri"/>
            <family val="2"/>
            <scheme val="minor"/>
          </rPr>
          <t>RevenueFromContractWithCustomerExcludingAssessedTax @ Q1 2026; raw=2,950,000</t>
        </r>
      </text>
    </comment>
    <comment ref="B22" authorId="0" shapeId="0" xr:uid="{00000000-0006-0000-4700-000077000000}">
      <text>
        <r>
          <rPr>
            <sz val="11"/>
            <color theme="1"/>
            <rFont val="Calibri"/>
            <family val="2"/>
            <scheme val="minor"/>
          </rPr>
          <t>Revenues @ FY2020; raw=1,092,703</t>
        </r>
      </text>
    </comment>
    <comment ref="C22" authorId="0" shapeId="0" xr:uid="{00000000-0006-0000-4700-000078000000}">
      <text>
        <r>
          <rPr>
            <sz val="11"/>
            <color theme="1"/>
            <rFont val="Calibri"/>
            <family val="2"/>
            <scheme val="minor"/>
          </rPr>
          <t>Revenues @ Q1 2021; raw=536,000</t>
        </r>
      </text>
    </comment>
    <comment ref="D22" authorId="0" shapeId="0" xr:uid="{00000000-0006-0000-4700-000079000000}">
      <text>
        <r>
          <rPr>
            <sz val="11"/>
            <color theme="1"/>
            <rFont val="Calibri"/>
            <family val="2"/>
            <scheme val="minor"/>
          </rPr>
          <t>Revenues @ Q2 2021; raw=619,000</t>
        </r>
      </text>
    </comment>
    <comment ref="E22" authorId="0" shapeId="0" xr:uid="{00000000-0006-0000-4700-00007A000000}">
      <text>
        <r>
          <rPr>
            <sz val="11"/>
            <color theme="1"/>
            <rFont val="Calibri"/>
            <family val="2"/>
            <scheme val="minor"/>
          </rPr>
          <t>Revenues @ Q3 2021; raw=706,000</t>
        </r>
      </text>
    </comment>
    <comment ref="F22" authorId="0" shapeId="0" xr:uid="{00000000-0006-0000-4700-00007B000000}">
      <text>
        <r>
          <rPr>
            <sz val="11"/>
            <color theme="1"/>
            <rFont val="Calibri"/>
            <family val="2"/>
            <scheme val="minor"/>
          </rPr>
          <t>Revenues @ FY2021; raw=2,538,099</t>
        </r>
      </text>
    </comment>
    <comment ref="G22" authorId="0" shapeId="0" xr:uid="{00000000-0006-0000-4700-00007C000000}">
      <text>
        <r>
          <rPr>
            <sz val="11"/>
            <color theme="1"/>
            <rFont val="Calibri"/>
            <family val="2"/>
            <scheme val="minor"/>
          </rPr>
          <t>Revenues @ Q1 2022; raw=966,000</t>
        </r>
      </text>
    </comment>
    <comment ref="H22" authorId="0" shapeId="0" xr:uid="{00000000-0006-0000-4700-00007D000000}">
      <text>
        <r>
          <rPr>
            <sz val="11"/>
            <color theme="1"/>
            <rFont val="Calibri"/>
            <family val="2"/>
            <scheme val="minor"/>
          </rPr>
          <t>Revenues @ Q2 2022; raw=883,000</t>
        </r>
      </text>
    </comment>
    <comment ref="I22" authorId="0" shapeId="0" xr:uid="{00000000-0006-0000-4700-00007E000000}">
      <text>
        <r>
          <rPr>
            <sz val="11"/>
            <color theme="1"/>
            <rFont val="Calibri"/>
            <family val="2"/>
            <scheme val="minor"/>
          </rPr>
          <t>Revenues @ Q3 2022; raw=964,000</t>
        </r>
      </text>
    </comment>
    <comment ref="J22" authorId="0" shapeId="0" xr:uid="{00000000-0006-0000-4700-00007F000000}">
      <text>
        <r>
          <rPr>
            <sz val="11"/>
            <color theme="1"/>
            <rFont val="Calibri"/>
            <family val="2"/>
            <scheme val="minor"/>
          </rPr>
          <t>Revenues @ FY2022; raw=3,647,000</t>
        </r>
      </text>
    </comment>
    <comment ref="K22" authorId="0" shapeId="0" xr:uid="{00000000-0006-0000-4700-000080000000}">
      <text>
        <r>
          <rPr>
            <sz val="11"/>
            <color theme="1"/>
            <rFont val="Calibri"/>
            <family val="2"/>
            <scheme val="minor"/>
          </rPr>
          <t>Revenues @ Q1 2023; raw=1,258,000</t>
        </r>
      </text>
    </comment>
    <comment ref="L22" authorId="0" shapeId="0" xr:uid="{00000000-0006-0000-4700-000081000000}">
      <text>
        <r>
          <rPr>
            <sz val="11"/>
            <color theme="1"/>
            <rFont val="Calibri"/>
            <family val="2"/>
            <scheme val="minor"/>
          </rPr>
          <t>Revenues @ Q2 2023; raw=1,606,000</t>
        </r>
      </text>
    </comment>
    <comment ref="M22" authorId="0" shapeId="0" xr:uid="{00000000-0006-0000-4700-000082000000}">
      <text>
        <r>
          <rPr>
            <sz val="11"/>
            <color theme="1"/>
            <rFont val="Calibri"/>
            <family val="2"/>
            <scheme val="minor"/>
          </rPr>
          <t>Revenues @ Q3 2023; raw=1,247,000</t>
        </r>
      </text>
    </comment>
    <comment ref="O22" authorId="0" shapeId="0" xr:uid="{00000000-0006-0000-4700-000083000000}">
      <text>
        <r>
          <rPr>
            <sz val="11"/>
            <color theme="1"/>
            <rFont val="Calibri"/>
            <family val="2"/>
            <scheme val="minor"/>
          </rPr>
          <t>RevenueFromContractWithCustomerExcludingAssessedTax @ Q1 2024; raw=675,000</t>
        </r>
      </text>
    </comment>
    <comment ref="N25" authorId="0" shapeId="0" xr:uid="{00000000-0006-0000-4700-000084000000}">
      <text>
        <r>
          <rPr>
            <sz val="11"/>
            <color theme="1"/>
            <rFont val="Calibri"/>
            <family val="2"/>
            <scheme val="minor"/>
          </rPr>
          <t>NoncurrentAssets @ FY2023; raw=24,316,000</t>
        </r>
      </text>
    </comment>
    <comment ref="P25" authorId="0" shapeId="0" xr:uid="{00000000-0006-0000-4700-000085000000}">
      <text>
        <r>
          <rPr>
            <sz val="11"/>
            <color theme="1"/>
            <rFont val="Calibri"/>
            <family val="2"/>
            <scheme val="minor"/>
          </rPr>
          <t>NoncurrentAssets @ Q2 2024; raw=34,894,000</t>
        </r>
      </text>
    </comment>
    <comment ref="Q25" authorId="0" shapeId="0" xr:uid="{00000000-0006-0000-4700-000086000000}">
      <text>
        <r>
          <rPr>
            <sz val="11"/>
            <color theme="1"/>
            <rFont val="Calibri"/>
            <family val="2"/>
            <scheme val="minor"/>
          </rPr>
          <t>NoncurrentAssets @ Q3 2024; raw=37,023,000</t>
        </r>
      </text>
    </comment>
    <comment ref="R25" authorId="0" shapeId="0" xr:uid="{00000000-0006-0000-4700-000087000000}">
      <text>
        <r>
          <rPr>
            <sz val="11"/>
            <color theme="1"/>
            <rFont val="Calibri"/>
            <family val="2"/>
            <scheme val="minor"/>
          </rPr>
          <t>NoncurrentAssets @ FY2024; raw=72,115,000</t>
        </r>
      </text>
    </comment>
    <comment ref="S25" authorId="0" shapeId="0" xr:uid="{00000000-0006-0000-4700-000088000000}">
      <text>
        <r>
          <rPr>
            <sz val="11"/>
            <color theme="1"/>
            <rFont val="Calibri"/>
            <family val="2"/>
            <scheme val="minor"/>
          </rPr>
          <t>NoncurrentAssets @ Q1 2025; raw=73,023,000</t>
        </r>
      </text>
    </comment>
    <comment ref="T25" authorId="0" shapeId="0" xr:uid="{00000000-0006-0000-4700-000089000000}">
      <text>
        <r>
          <rPr>
            <sz val="11"/>
            <color theme="1"/>
            <rFont val="Calibri"/>
            <family val="2"/>
            <scheme val="minor"/>
          </rPr>
          <t>NoncurrentAssets @ Q2 2025; raw=190,854,000</t>
        </r>
      </text>
    </comment>
    <comment ref="U25" authorId="0" shapeId="0" xr:uid="{00000000-0006-0000-4700-00008A000000}">
      <text>
        <r>
          <rPr>
            <sz val="11"/>
            <color theme="1"/>
            <rFont val="Calibri"/>
            <family val="2"/>
            <scheme val="minor"/>
          </rPr>
          <t>NoncurrentAssets @ Q3 2025; raw=197,635,000</t>
        </r>
      </text>
    </comment>
    <comment ref="V25" authorId="0" shapeId="0" xr:uid="{00000000-0006-0000-4700-00008B000000}">
      <text>
        <r>
          <rPr>
            <sz val="11"/>
            <color theme="1"/>
            <rFont val="Calibri"/>
            <family val="2"/>
            <scheme val="minor"/>
          </rPr>
          <t>NoncurrentAssets @ FY2025; raw=197,866,000</t>
        </r>
      </text>
    </comment>
    <comment ref="W25" authorId="0" shapeId="0" xr:uid="{00000000-0006-0000-4700-00008C000000}">
      <text>
        <r>
          <rPr>
            <sz val="11"/>
            <color theme="1"/>
            <rFont val="Calibri"/>
            <family val="2"/>
            <scheme val="minor"/>
          </rPr>
          <t>NoncurrentAssets @ Q1 2026; raw=202,300,000</t>
        </r>
      </text>
    </comment>
    <comment ref="N26" authorId="0" shapeId="0" xr:uid="{00000000-0006-0000-4700-00008D000000}">
      <text>
        <r>
          <rPr>
            <sz val="11"/>
            <color theme="1"/>
            <rFont val="Calibri"/>
            <family val="2"/>
            <scheme val="minor"/>
          </rPr>
          <t>NoncurrentAssets @ FY2023; raw=2,212,000</t>
        </r>
      </text>
    </comment>
    <comment ref="P26" authorId="0" shapeId="0" xr:uid="{00000000-0006-0000-4700-00008E000000}">
      <text>
        <r>
          <rPr>
            <sz val="11"/>
            <color theme="1"/>
            <rFont val="Calibri"/>
            <family val="2"/>
            <scheme val="minor"/>
          </rPr>
          <t>NoncurrentAssets @ Q2 2024; raw=2,550,000</t>
        </r>
      </text>
    </comment>
    <comment ref="Q26" authorId="0" shapeId="0" xr:uid="{00000000-0006-0000-4700-00008F000000}">
      <text>
        <r>
          <rPr>
            <sz val="11"/>
            <color theme="1"/>
            <rFont val="Calibri"/>
            <family val="2"/>
            <scheme val="minor"/>
          </rPr>
          <t>NoncurrentAssets @ Q3 2024; raw=2,663,000</t>
        </r>
      </text>
    </comment>
    <comment ref="R26" authorId="0" shapeId="0" xr:uid="{00000000-0006-0000-4700-000090000000}">
      <text>
        <r>
          <rPr>
            <sz val="11"/>
            <color theme="1"/>
            <rFont val="Calibri"/>
            <family val="2"/>
            <scheme val="minor"/>
          </rPr>
          <t>NoncurrentAssets @ FY2024; raw=2,523,000</t>
        </r>
      </text>
    </comment>
    <comment ref="S26" authorId="0" shapeId="0" xr:uid="{00000000-0006-0000-4700-000091000000}">
      <text>
        <r>
          <rPr>
            <sz val="11"/>
            <color theme="1"/>
            <rFont val="Calibri"/>
            <family val="2"/>
            <scheme val="minor"/>
          </rPr>
          <t>NoncurrentAssets @ Q1 2025; raw=3,744,000</t>
        </r>
      </text>
    </comment>
    <comment ref="T26" authorId="0" shapeId="0" xr:uid="{00000000-0006-0000-4700-000092000000}">
      <text>
        <r>
          <rPr>
            <sz val="11"/>
            <color theme="1"/>
            <rFont val="Calibri"/>
            <family val="2"/>
            <scheme val="minor"/>
          </rPr>
          <t>NoncurrentAssets @ Q2 2025; raw=4,057,000</t>
        </r>
      </text>
    </comment>
    <comment ref="U26" authorId="0" shapeId="0" xr:uid="{00000000-0006-0000-4700-000093000000}">
      <text>
        <r>
          <rPr>
            <sz val="11"/>
            <color theme="1"/>
            <rFont val="Calibri"/>
            <family val="2"/>
            <scheme val="minor"/>
          </rPr>
          <t>NoncurrentAssets @ Q3 2025; raw=4,441,000</t>
        </r>
      </text>
    </comment>
    <comment ref="V26" authorId="0" shapeId="0" xr:uid="{00000000-0006-0000-4700-000094000000}">
      <text>
        <r>
          <rPr>
            <sz val="11"/>
            <color theme="1"/>
            <rFont val="Calibri"/>
            <family val="2"/>
            <scheme val="minor"/>
          </rPr>
          <t>NoncurrentAssets @ FY2025; raw=4,635,000</t>
        </r>
      </text>
    </comment>
    <comment ref="R27" authorId="0" shapeId="0" xr:uid="{00000000-0006-0000-4700-000095000000}">
      <text>
        <r>
          <rPr>
            <sz val="11"/>
            <color theme="1"/>
            <rFont val="Calibri"/>
            <family val="2"/>
            <scheme val="minor"/>
          </rPr>
          <t>NoncurrentAssets @ FY2024; raw=17,101,000</t>
        </r>
      </text>
    </comment>
    <comment ref="S27" authorId="0" shapeId="0" xr:uid="{00000000-0006-0000-4700-000096000000}">
      <text>
        <r>
          <rPr>
            <sz val="11"/>
            <color theme="1"/>
            <rFont val="Calibri"/>
            <family val="2"/>
            <scheme val="minor"/>
          </rPr>
          <t>NoncurrentAssets @ Q1 2025; raw=18,708,000</t>
        </r>
      </text>
    </comment>
    <comment ref="T27" authorId="0" shapeId="0" xr:uid="{00000000-0006-0000-4700-000097000000}">
      <text>
        <r>
          <rPr>
            <sz val="11"/>
            <color theme="1"/>
            <rFont val="Calibri"/>
            <family val="2"/>
            <scheme val="minor"/>
          </rPr>
          <t>NoncurrentAssets @ Q2 2025; raw=19,759,000</t>
        </r>
      </text>
    </comment>
    <comment ref="U27" authorId="0" shapeId="0" xr:uid="{00000000-0006-0000-4700-000098000000}">
      <text>
        <r>
          <rPr>
            <sz val="11"/>
            <color theme="1"/>
            <rFont val="Calibri"/>
            <family val="2"/>
            <scheme val="minor"/>
          </rPr>
          <t>NoncurrentAssets @ Q3 2025; raw=20,201,000</t>
        </r>
      </text>
    </comment>
    <comment ref="V27" authorId="0" shapeId="0" xr:uid="{00000000-0006-0000-4700-000099000000}">
      <text>
        <r>
          <rPr>
            <sz val="11"/>
            <color theme="1"/>
            <rFont val="Calibri"/>
            <family val="2"/>
            <scheme val="minor"/>
          </rPr>
          <t>NoncurrentAssets @ FY2025; raw=20,263,000</t>
        </r>
      </text>
    </comment>
    <comment ref="N28" authorId="0" shapeId="0" xr:uid="{00000000-0006-0000-4700-00009A000000}">
      <text>
        <r>
          <rPr>
            <sz val="11"/>
            <color theme="1"/>
            <rFont val="Calibri"/>
            <family val="2"/>
            <scheme val="minor"/>
          </rPr>
          <t>NoncurrentAssets @ FY2023; raw=12,153,000</t>
        </r>
      </text>
    </comment>
    <comment ref="P28" authorId="0" shapeId="0" xr:uid="{00000000-0006-0000-4700-00009B000000}">
      <text>
        <r>
          <rPr>
            <sz val="11"/>
            <color theme="1"/>
            <rFont val="Calibri"/>
            <family val="2"/>
            <scheme val="minor"/>
          </rPr>
          <t>NoncurrentAssets @ Q2 2024; raw=11,591,000</t>
        </r>
      </text>
    </comment>
    <comment ref="Q28" authorId="0" shapeId="0" xr:uid="{00000000-0006-0000-4700-00009C000000}">
      <text>
        <r>
          <rPr>
            <sz val="11"/>
            <color theme="1"/>
            <rFont val="Calibri"/>
            <family val="2"/>
            <scheme val="minor"/>
          </rPr>
          <t>NoncurrentAssets @ Q3 2024; raw=11,930,000</t>
        </r>
      </text>
    </comment>
    <comment ref="R28" authorId="0" shapeId="0" xr:uid="{00000000-0006-0000-4700-00009D000000}">
      <text>
        <r>
          <rPr>
            <sz val="11"/>
            <color theme="1"/>
            <rFont val="Calibri"/>
            <family val="2"/>
            <scheme val="minor"/>
          </rPr>
          <t>NoncurrentAssets @ FY2024; raw=10,950,000</t>
        </r>
      </text>
    </comment>
    <comment ref="S28" authorId="0" shapeId="0" xr:uid="{00000000-0006-0000-4700-00009E000000}">
      <text>
        <r>
          <rPr>
            <sz val="11"/>
            <color theme="1"/>
            <rFont val="Calibri"/>
            <family val="2"/>
            <scheme val="minor"/>
          </rPr>
          <t>NoncurrentAssets @ Q1 2025; raw=11,261,000</t>
        </r>
      </text>
    </comment>
    <comment ref="T28" authorId="0" shapeId="0" xr:uid="{00000000-0006-0000-4700-00009F000000}">
      <text>
        <r>
          <rPr>
            <sz val="11"/>
            <color theme="1"/>
            <rFont val="Calibri"/>
            <family val="2"/>
            <scheme val="minor"/>
          </rPr>
          <t>NoncurrentAssets @ Q2 2025; raw=12,030,000</t>
        </r>
      </text>
    </comment>
    <comment ref="U28" authorId="0" shapeId="0" xr:uid="{00000000-0006-0000-4700-0000A0000000}">
      <text>
        <r>
          <rPr>
            <sz val="11"/>
            <color theme="1"/>
            <rFont val="Calibri"/>
            <family val="2"/>
            <scheme val="minor"/>
          </rPr>
          <t>NoncurrentAssets @ Q3 2025; raw=12,133,000</t>
        </r>
      </text>
    </comment>
    <comment ref="V28" authorId="0" shapeId="0" xr:uid="{00000000-0006-0000-4700-0000A1000000}">
      <text>
        <r>
          <rPr>
            <sz val="11"/>
            <color theme="1"/>
            <rFont val="Calibri"/>
            <family val="2"/>
            <scheme val="minor"/>
          </rPr>
          <t>NoncurrentAssets @ FY2025; raw=12,004,000</t>
        </r>
      </text>
    </comment>
    <comment ref="N29" authorId="0" shapeId="0" xr:uid="{00000000-0006-0000-4700-0000A2000000}">
      <text>
        <r>
          <rPr>
            <sz val="11"/>
            <color theme="1"/>
            <rFont val="Calibri"/>
            <family val="2"/>
            <scheme val="minor"/>
          </rPr>
          <t>NoncurrentAssets @ FY2023; raw=14,394,000</t>
        </r>
      </text>
    </comment>
    <comment ref="P29" authorId="0" shapeId="0" xr:uid="{00000000-0006-0000-4700-0000A3000000}">
      <text>
        <r>
          <rPr>
            <sz val="11"/>
            <color theme="1"/>
            <rFont val="Calibri"/>
            <family val="2"/>
            <scheme val="minor"/>
          </rPr>
          <t>NoncurrentAssets @ Q2 2024; raw=14,171,000</t>
        </r>
      </text>
    </comment>
    <comment ref="Q29" authorId="0" shapeId="0" xr:uid="{00000000-0006-0000-4700-0000A4000000}">
      <text>
        <r>
          <rPr>
            <sz val="11"/>
            <color theme="1"/>
            <rFont val="Calibri"/>
            <family val="2"/>
            <scheme val="minor"/>
          </rPr>
          <t>NoncurrentAssets @ Q3 2024; raw=18,477,000</t>
        </r>
      </text>
    </comment>
    <comment ref="R29" authorId="0" shapeId="0" xr:uid="{00000000-0006-0000-4700-0000A5000000}">
      <text>
        <r>
          <rPr>
            <sz val="11"/>
            <color theme="1"/>
            <rFont val="Calibri"/>
            <family val="2"/>
            <scheme val="minor"/>
          </rPr>
          <t>NoncurrentAssets @ FY2024; raw=17,101,000</t>
        </r>
      </text>
    </comment>
    <comment ref="N30" authorId="0" shapeId="0" xr:uid="{00000000-0006-0000-4700-0000A6000000}">
      <text>
        <r>
          <rPr>
            <sz val="11"/>
            <color theme="1"/>
            <rFont val="Calibri"/>
            <family val="2"/>
            <scheme val="minor"/>
          </rPr>
          <t>NoncurrentAssets @ FY2023; raw=29,000</t>
        </r>
      </text>
    </comment>
    <comment ref="P30" authorId="0" shapeId="0" xr:uid="{00000000-0006-0000-4700-0000A7000000}">
      <text>
        <r>
          <rPr>
            <sz val="11"/>
            <color theme="1"/>
            <rFont val="Calibri"/>
            <family val="2"/>
            <scheme val="minor"/>
          </rPr>
          <t>NoncurrentAssets @ Q2 2024; raw=30,000</t>
        </r>
      </text>
    </comment>
    <comment ref="Q30" authorId="0" shapeId="0" xr:uid="{00000000-0006-0000-4700-0000A8000000}">
      <text>
        <r>
          <rPr>
            <sz val="11"/>
            <color theme="1"/>
            <rFont val="Calibri"/>
            <family val="2"/>
            <scheme val="minor"/>
          </rPr>
          <t>NoncurrentAssets @ Q3 2024; raw=30,000</t>
        </r>
      </text>
    </comment>
    <comment ref="R30" authorId="0" shapeId="0" xr:uid="{00000000-0006-0000-4700-0000A9000000}">
      <text>
        <r>
          <rPr>
            <sz val="11"/>
            <color theme="1"/>
            <rFont val="Calibri"/>
            <family val="2"/>
            <scheme val="minor"/>
          </rPr>
          <t>NoncurrentAssets @ FY2024; raw=29,000</t>
        </r>
      </text>
    </comment>
    <comment ref="S30" authorId="0" shapeId="0" xr:uid="{00000000-0006-0000-4700-0000AA000000}">
      <text>
        <r>
          <rPr>
            <sz val="11"/>
            <color theme="1"/>
            <rFont val="Calibri"/>
            <family val="2"/>
            <scheme val="minor"/>
          </rPr>
          <t>NoncurrentAssets @ Q1 2025; raw=30,000</t>
        </r>
      </text>
    </comment>
    <comment ref="T30" authorId="0" shapeId="0" xr:uid="{00000000-0006-0000-4700-0000AB000000}">
      <text>
        <r>
          <rPr>
            <sz val="11"/>
            <color theme="1"/>
            <rFont val="Calibri"/>
            <family val="2"/>
            <scheme val="minor"/>
          </rPr>
          <t>NoncurrentAssets @ Q2 2025; raw=29,000</t>
        </r>
      </text>
    </comment>
    <comment ref="U30" authorId="0" shapeId="0" xr:uid="{00000000-0006-0000-4700-0000AC000000}">
      <text>
        <r>
          <rPr>
            <sz val="11"/>
            <color theme="1"/>
            <rFont val="Calibri"/>
            <family val="2"/>
            <scheme val="minor"/>
          </rPr>
          <t>NoncurrentAssets @ Q3 2025; raw=29,000</t>
        </r>
      </text>
    </comment>
    <comment ref="V30" authorId="0" shapeId="0" xr:uid="{00000000-0006-0000-4700-0000AD000000}">
      <text>
        <r>
          <rPr>
            <sz val="11"/>
            <color theme="1"/>
            <rFont val="Calibri"/>
            <family val="2"/>
            <scheme val="minor"/>
          </rPr>
          <t>NoncurrentAssets @ FY2025; raw=29,000</t>
        </r>
      </text>
    </comment>
    <comment ref="V31" authorId="0" shapeId="0" xr:uid="{00000000-0006-0000-4700-0000AE000000}">
      <text>
        <r>
          <rPr>
            <sz val="11"/>
            <color theme="1"/>
            <rFont val="Calibri"/>
            <family val="2"/>
            <scheme val="minor"/>
          </rPr>
          <t>NoncurrentAssets @ FY2025; raw=20,300,000</t>
        </r>
      </text>
    </comment>
    <comment ref="W31" authorId="0" shapeId="0" xr:uid="{00000000-0006-0000-4700-0000AF000000}">
      <text>
        <r>
          <rPr>
            <sz val="11"/>
            <color theme="1"/>
            <rFont val="Calibri"/>
            <family val="2"/>
            <scheme val="minor"/>
          </rPr>
          <t>NoncurrentAssets @ Q1 2026; raw=21,100,000</t>
        </r>
      </text>
    </comment>
    <comment ref="Q32" authorId="0" shapeId="0" xr:uid="{00000000-0006-0000-4700-0000B0000000}">
      <text>
        <r>
          <rPr>
            <sz val="11"/>
            <color theme="1"/>
            <rFont val="Calibri"/>
            <family val="2"/>
            <scheme val="minor"/>
          </rPr>
          <t>NoncurrentAssets @ Q3 2024; raw=3,854,000</t>
        </r>
      </text>
    </comment>
    <comment ref="R32" authorId="0" shapeId="0" xr:uid="{00000000-0006-0000-4700-0000B1000000}">
      <text>
        <r>
          <rPr>
            <sz val="11"/>
            <color theme="1"/>
            <rFont val="Calibri"/>
            <family val="2"/>
            <scheme val="minor"/>
          </rPr>
          <t>NoncurrentAssets @ FY2024; raw=3,599,000</t>
        </r>
      </text>
    </comment>
    <comment ref="S32" authorId="0" shapeId="0" xr:uid="{00000000-0006-0000-4700-0000B2000000}">
      <text>
        <r>
          <rPr>
            <sz val="11"/>
            <color theme="1"/>
            <rFont val="Calibri"/>
            <family val="2"/>
            <scheme val="minor"/>
          </rPr>
          <t>NoncurrentAssets @ Q1 2025; raw=3,673,000</t>
        </r>
      </text>
    </comment>
    <comment ref="T32" authorId="0" shapeId="0" xr:uid="{00000000-0006-0000-4700-0000B3000000}">
      <text>
        <r>
          <rPr>
            <sz val="11"/>
            <color theme="1"/>
            <rFont val="Calibri"/>
            <family val="2"/>
            <scheme val="minor"/>
          </rPr>
          <t>NoncurrentAssets @ Q2 2025; raw=3,643,000</t>
        </r>
      </text>
    </comment>
    <comment ref="U32" authorId="0" shapeId="0" xr:uid="{00000000-0006-0000-4700-0000B4000000}">
      <text>
        <r>
          <rPr>
            <sz val="11"/>
            <color theme="1"/>
            <rFont val="Calibri"/>
            <family val="2"/>
            <scheme val="minor"/>
          </rPr>
          <t>NoncurrentAssets @ Q3 2025; raw=3,598,000</t>
        </r>
      </text>
    </comment>
    <comment ref="V32" authorId="0" shapeId="0" xr:uid="{00000000-0006-0000-4700-0000B5000000}">
      <text>
        <r>
          <rPr>
            <sz val="11"/>
            <color theme="1"/>
            <rFont val="Calibri"/>
            <family val="2"/>
            <scheme val="minor"/>
          </rPr>
          <t>NoncurrentAssets @ FY2025; raw=3,595,000</t>
        </r>
      </text>
    </comment>
    <comment ref="B39" authorId="0" shapeId="0" xr:uid="{00000000-0006-0000-4700-0000B6000000}">
      <text>
        <r>
          <rPr>
            <sz val="11"/>
            <color theme="1"/>
            <rFont val="Calibri"/>
            <family val="2"/>
            <scheme val="minor"/>
          </rPr>
          <t>ConcentrationRiskPercentage1 @ Q1 2022; raw=0</t>
        </r>
      </text>
    </comment>
    <comment ref="D39" authorId="0" shapeId="0" xr:uid="{00000000-0006-0000-4700-0000B7000000}">
      <text>
        <r>
          <rPr>
            <sz val="11"/>
            <color theme="1"/>
            <rFont val="Calibri"/>
            <family val="2"/>
            <scheme val="minor"/>
          </rPr>
          <t>ConcentrationRiskPercentage1 @ Q3 2022; raw=0</t>
        </r>
      </text>
    </comment>
    <comment ref="E39" authorId="0" shapeId="0" xr:uid="{00000000-0006-0000-4700-0000B8000000}">
      <text>
        <r>
          <rPr>
            <sz val="11"/>
            <color theme="1"/>
            <rFont val="Calibri"/>
            <family val="2"/>
            <scheme val="minor"/>
          </rPr>
          <t>ConcentrationRiskPercentage1 @ FY2022; raw=0</t>
        </r>
      </text>
    </comment>
    <comment ref="F39" authorId="0" shapeId="0" xr:uid="{00000000-0006-0000-4700-0000B9000000}">
      <text>
        <r>
          <rPr>
            <sz val="11"/>
            <color theme="1"/>
            <rFont val="Calibri"/>
            <family val="2"/>
            <scheme val="minor"/>
          </rPr>
          <t>ConcentrationRiskPercentage1 @ Q1 2023; raw=1</t>
        </r>
      </text>
    </comment>
    <comment ref="G39" authorId="0" shapeId="0" xr:uid="{00000000-0006-0000-4700-0000BA000000}">
      <text>
        <r>
          <rPr>
            <sz val="11"/>
            <color theme="1"/>
            <rFont val="Calibri"/>
            <family val="2"/>
            <scheme val="minor"/>
          </rPr>
          <t>ConcentrationRiskPercentage1 @ Q2 2023; raw=1</t>
        </r>
      </text>
    </comment>
    <comment ref="H39" authorId="0" shapeId="0" xr:uid="{00000000-0006-0000-4700-0000BB000000}">
      <text>
        <r>
          <rPr>
            <sz val="11"/>
            <color theme="1"/>
            <rFont val="Calibri"/>
            <family val="2"/>
            <scheme val="minor"/>
          </rPr>
          <t>ConcentrationRiskPercentage1 @ Q3 2023; raw=1</t>
        </r>
      </text>
    </comment>
    <comment ref="I39" authorId="0" shapeId="0" xr:uid="{00000000-0006-0000-4700-0000BC000000}">
      <text>
        <r>
          <rPr>
            <sz val="11"/>
            <color theme="1"/>
            <rFont val="Calibri"/>
            <family val="2"/>
            <scheme val="minor"/>
          </rPr>
          <t>ConcentrationRiskPercentage1 @ FY2023; raw=1</t>
        </r>
      </text>
    </comment>
    <comment ref="J39" authorId="0" shapeId="0" xr:uid="{00000000-0006-0000-4700-0000BD000000}">
      <text>
        <r>
          <rPr>
            <sz val="11"/>
            <color theme="1"/>
            <rFont val="Calibri"/>
            <family val="2"/>
            <scheme val="minor"/>
          </rPr>
          <t>ConcentrationRiskPercentage1 @ Q1 2024; raw=1</t>
        </r>
      </text>
    </comment>
    <comment ref="K39" authorId="0" shapeId="0" xr:uid="{00000000-0006-0000-4700-0000BE000000}">
      <text>
        <r>
          <rPr>
            <sz val="11"/>
            <color theme="1"/>
            <rFont val="Calibri"/>
            <family val="2"/>
            <scheme val="minor"/>
          </rPr>
          <t>ConcentrationRiskPercentage1 @ Q2 2024; raw=1</t>
        </r>
      </text>
    </comment>
    <comment ref="L39" authorId="0" shapeId="0" xr:uid="{00000000-0006-0000-4700-0000BF000000}">
      <text>
        <r>
          <rPr>
            <sz val="11"/>
            <color theme="1"/>
            <rFont val="Calibri"/>
            <family val="2"/>
            <scheme val="minor"/>
          </rPr>
          <t>ConcentrationRiskPercentage1 @ Q3 2024; raw=0</t>
        </r>
      </text>
    </comment>
    <comment ref="M39" authorId="0" shapeId="0" xr:uid="{00000000-0006-0000-4700-0000C0000000}">
      <text>
        <r>
          <rPr>
            <sz val="11"/>
            <color theme="1"/>
            <rFont val="Calibri"/>
            <family val="2"/>
            <scheme val="minor"/>
          </rPr>
          <t>ConcentrationRiskPercentage1 @ FY2024; raw=1</t>
        </r>
      </text>
    </comment>
    <comment ref="N39" authorId="0" shapeId="0" xr:uid="{00000000-0006-0000-4700-0000C1000000}">
      <text>
        <r>
          <rPr>
            <sz val="11"/>
            <color theme="1"/>
            <rFont val="Calibri"/>
            <family val="2"/>
            <scheme val="minor"/>
          </rPr>
          <t>ConcentrationRiskPercentage1 @ Q1 2025; raw=1</t>
        </r>
      </text>
    </comment>
    <comment ref="O39" authorId="0" shapeId="0" xr:uid="{00000000-0006-0000-4700-0000C2000000}">
      <text>
        <r>
          <rPr>
            <sz val="11"/>
            <color theme="1"/>
            <rFont val="Calibri"/>
            <family val="2"/>
            <scheme val="minor"/>
          </rPr>
          <t>ConcentrationRiskPercentage1 @ Q2 2025; raw=0</t>
        </r>
      </text>
    </comment>
    <comment ref="P39" authorId="0" shapeId="0" xr:uid="{00000000-0006-0000-4700-0000C3000000}">
      <text>
        <r>
          <rPr>
            <sz val="11"/>
            <color theme="1"/>
            <rFont val="Calibri"/>
            <family val="2"/>
            <scheme val="minor"/>
          </rPr>
          <t>ConcentrationRiskPercentage1 @ Q3 2025; raw=0</t>
        </r>
      </text>
    </comment>
    <comment ref="Q39" authorId="0" shapeId="0" xr:uid="{00000000-0006-0000-4700-0000C4000000}">
      <text>
        <r>
          <rPr>
            <sz val="11"/>
            <color theme="1"/>
            <rFont val="Calibri"/>
            <family val="2"/>
            <scheme val="minor"/>
          </rPr>
          <t>ConcentrationRiskPercentage1 @ FY2025; raw=0</t>
        </r>
      </text>
    </comment>
    <comment ref="R39" authorId="0" shapeId="0" xr:uid="{00000000-0006-0000-4700-0000C5000000}">
      <text>
        <r>
          <rPr>
            <sz val="11"/>
            <color theme="1"/>
            <rFont val="Calibri"/>
            <family val="2"/>
            <scheme val="minor"/>
          </rPr>
          <t>ConcentrationRiskPercentage1 @ Q1 2026; raw=1</t>
        </r>
      </text>
    </comment>
    <comment ref="B40" authorId="0" shapeId="0" xr:uid="{00000000-0006-0000-4700-0000C6000000}">
      <text>
        <r>
          <rPr>
            <sz val="11"/>
            <color theme="1"/>
            <rFont val="Calibri"/>
            <family val="2"/>
            <scheme val="minor"/>
          </rPr>
          <t>ConcentrationRiskPercentage1 @ Q1 2022; raw=1</t>
        </r>
      </text>
    </comment>
    <comment ref="C40" authorId="0" shapeId="0" xr:uid="{00000000-0006-0000-4700-0000C7000000}">
      <text>
        <r>
          <rPr>
            <sz val="11"/>
            <color theme="1"/>
            <rFont val="Calibri"/>
            <family val="2"/>
            <scheme val="minor"/>
          </rPr>
          <t>ConcentrationRiskPercentage1 @ Q2 2022; raw=1</t>
        </r>
      </text>
    </comment>
    <comment ref="D40" authorId="0" shapeId="0" xr:uid="{00000000-0006-0000-4700-0000C8000000}">
      <text>
        <r>
          <rPr>
            <sz val="11"/>
            <color theme="1"/>
            <rFont val="Calibri"/>
            <family val="2"/>
            <scheme val="minor"/>
          </rPr>
          <t>ConcentrationRiskPercentage1 @ Q3 2022; raw=1</t>
        </r>
      </text>
    </comment>
    <comment ref="E40" authorId="0" shapeId="0" xr:uid="{00000000-0006-0000-4700-0000C9000000}">
      <text>
        <r>
          <rPr>
            <sz val="11"/>
            <color theme="1"/>
            <rFont val="Calibri"/>
            <family val="2"/>
            <scheme val="minor"/>
          </rPr>
          <t>ConcentrationRiskPercentage1 @ FY2022; raw=0</t>
        </r>
      </text>
    </comment>
    <comment ref="F40" authorId="0" shapeId="0" xr:uid="{00000000-0006-0000-4700-0000CA000000}">
      <text>
        <r>
          <rPr>
            <sz val="11"/>
            <color theme="1"/>
            <rFont val="Calibri"/>
            <family val="2"/>
            <scheme val="minor"/>
          </rPr>
          <t>ConcentrationRiskPercentage1 @ Q1 2023; raw=0</t>
        </r>
      </text>
    </comment>
    <comment ref="G40" authorId="0" shapeId="0" xr:uid="{00000000-0006-0000-4700-0000CB000000}">
      <text>
        <r>
          <rPr>
            <sz val="11"/>
            <color theme="1"/>
            <rFont val="Calibri"/>
            <family val="2"/>
            <scheme val="minor"/>
          </rPr>
          <t>ConcentrationRiskPercentage1 @ Q2 2023; raw=0</t>
        </r>
      </text>
    </comment>
    <comment ref="H40" authorId="0" shapeId="0" xr:uid="{00000000-0006-0000-4700-0000CC000000}">
      <text>
        <r>
          <rPr>
            <sz val="11"/>
            <color theme="1"/>
            <rFont val="Calibri"/>
            <family val="2"/>
            <scheme val="minor"/>
          </rPr>
          <t>ConcentrationRiskPercentage1 @ Q3 2023; raw=0</t>
        </r>
      </text>
    </comment>
    <comment ref="I40" authorId="0" shapeId="0" xr:uid="{00000000-0006-0000-4700-0000CD000000}">
      <text>
        <r>
          <rPr>
            <sz val="11"/>
            <color theme="1"/>
            <rFont val="Calibri"/>
            <family val="2"/>
            <scheme val="minor"/>
          </rPr>
          <t>ConcentrationRiskPercentage1 @ FY2023; raw=0</t>
        </r>
      </text>
    </comment>
    <comment ref="J40" authorId="0" shapeId="0" xr:uid="{00000000-0006-0000-4700-0000CE000000}">
      <text>
        <r>
          <rPr>
            <sz val="11"/>
            <color theme="1"/>
            <rFont val="Calibri"/>
            <family val="2"/>
            <scheme val="minor"/>
          </rPr>
          <t>ConcentrationRiskPercentage1 @ Q1 2024; raw=0</t>
        </r>
      </text>
    </comment>
    <comment ref="K40" authorId="0" shapeId="0" xr:uid="{00000000-0006-0000-4700-0000CF000000}">
      <text>
        <r>
          <rPr>
            <sz val="11"/>
            <color theme="1"/>
            <rFont val="Calibri"/>
            <family val="2"/>
            <scheme val="minor"/>
          </rPr>
          <t>ConcentrationRiskPercentage1 @ Q2 2024; raw=0</t>
        </r>
      </text>
    </comment>
    <comment ref="L40" authorId="0" shapeId="0" xr:uid="{00000000-0006-0000-4700-0000D0000000}">
      <text>
        <r>
          <rPr>
            <sz val="11"/>
            <color theme="1"/>
            <rFont val="Calibri"/>
            <family val="2"/>
            <scheme val="minor"/>
          </rPr>
          <t>ConcentrationRiskPercentage1 @ Q3 2024; raw=0</t>
        </r>
      </text>
    </comment>
    <comment ref="M40" authorId="0" shapeId="0" xr:uid="{00000000-0006-0000-4700-0000D1000000}">
      <text>
        <r>
          <rPr>
            <sz val="11"/>
            <color theme="1"/>
            <rFont val="Calibri"/>
            <family val="2"/>
            <scheme val="minor"/>
          </rPr>
          <t>ConcentrationRiskPercentage1 @ FY2024; raw=0</t>
        </r>
      </text>
    </comment>
    <comment ref="N40" authorId="0" shapeId="0" xr:uid="{00000000-0006-0000-4700-0000D2000000}">
      <text>
        <r>
          <rPr>
            <sz val="11"/>
            <color theme="1"/>
            <rFont val="Calibri"/>
            <family val="2"/>
            <scheme val="minor"/>
          </rPr>
          <t>ConcentrationRiskPercentage1 @ Q1 2025; raw=0</t>
        </r>
      </text>
    </comment>
    <comment ref="O40" authorId="0" shapeId="0" xr:uid="{00000000-0006-0000-4700-0000D3000000}">
      <text>
        <r>
          <rPr>
            <sz val="11"/>
            <color theme="1"/>
            <rFont val="Calibri"/>
            <family val="2"/>
            <scheme val="minor"/>
          </rPr>
          <t>ConcentrationRiskPercentage1 @ Q2 2025; raw=1</t>
        </r>
      </text>
    </comment>
    <comment ref="P40" authorId="0" shapeId="0" xr:uid="{00000000-0006-0000-4700-0000D4000000}">
      <text>
        <r>
          <rPr>
            <sz val="11"/>
            <color theme="1"/>
            <rFont val="Calibri"/>
            <family val="2"/>
            <scheme val="minor"/>
          </rPr>
          <t>ConcentrationRiskPercentage1 @ Q3 2025; raw=0</t>
        </r>
      </text>
    </comment>
    <comment ref="Q40" authorId="0" shapeId="0" xr:uid="{00000000-0006-0000-4700-0000D5000000}">
      <text>
        <r>
          <rPr>
            <sz val="11"/>
            <color theme="1"/>
            <rFont val="Calibri"/>
            <family val="2"/>
            <scheme val="minor"/>
          </rPr>
          <t>ConcentrationRiskPercentage1 @ FY2025; raw=0</t>
        </r>
      </text>
    </comment>
    <comment ref="R40" authorId="0" shapeId="0" xr:uid="{00000000-0006-0000-4700-0000D6000000}">
      <text>
        <r>
          <rPr>
            <sz val="11"/>
            <color theme="1"/>
            <rFont val="Calibri"/>
            <family val="2"/>
            <scheme val="minor"/>
          </rPr>
          <t>ConcentrationRiskPercentage1 @ Q1 2026; raw=0</t>
        </r>
      </text>
    </comment>
    <comment ref="B41" authorId="0" shapeId="0" xr:uid="{00000000-0006-0000-4700-0000D7000000}">
      <text>
        <r>
          <rPr>
            <sz val="11"/>
            <color theme="1"/>
            <rFont val="Calibri"/>
            <family val="2"/>
            <scheme val="minor"/>
          </rPr>
          <t>ConcentrationRiskPercentage1 @ Q1 2022; raw=0</t>
        </r>
      </text>
    </comment>
    <comment ref="C41" authorId="0" shapeId="0" xr:uid="{00000000-0006-0000-4700-0000D8000000}">
      <text>
        <r>
          <rPr>
            <sz val="11"/>
            <color theme="1"/>
            <rFont val="Calibri"/>
            <family val="2"/>
            <scheme val="minor"/>
          </rPr>
          <t>ConcentrationRiskPercentage1 @ Q2 2022; raw=0</t>
        </r>
      </text>
    </comment>
    <comment ref="D41" authorId="0" shapeId="0" xr:uid="{00000000-0006-0000-4700-0000D9000000}">
      <text>
        <r>
          <rPr>
            <sz val="11"/>
            <color theme="1"/>
            <rFont val="Calibri"/>
            <family val="2"/>
            <scheme val="minor"/>
          </rPr>
          <t>ConcentrationRiskPercentage1 @ Q3 2022; raw=0</t>
        </r>
      </text>
    </comment>
    <comment ref="E41" authorId="0" shapeId="0" xr:uid="{00000000-0006-0000-4700-0000DA000000}">
      <text>
        <r>
          <rPr>
            <sz val="11"/>
            <color theme="1"/>
            <rFont val="Calibri"/>
            <family val="2"/>
            <scheme val="minor"/>
          </rPr>
          <t>ConcentrationRiskPercentage1 @ FY2022; raw=0</t>
        </r>
      </text>
    </comment>
    <comment ref="F41" authorId="0" shapeId="0" xr:uid="{00000000-0006-0000-4700-0000DB000000}">
      <text>
        <r>
          <rPr>
            <sz val="11"/>
            <color theme="1"/>
            <rFont val="Calibri"/>
            <family val="2"/>
            <scheme val="minor"/>
          </rPr>
          <t>ConcentrationRiskPercentage1 @ Q1 2023; raw=0</t>
        </r>
      </text>
    </comment>
    <comment ref="G41" authorId="0" shapeId="0" xr:uid="{00000000-0006-0000-4700-0000DC000000}">
      <text>
        <r>
          <rPr>
            <sz val="11"/>
            <color theme="1"/>
            <rFont val="Calibri"/>
            <family val="2"/>
            <scheme val="minor"/>
          </rPr>
          <t>ConcentrationRiskPercentage1 @ Q2 2023; raw=0</t>
        </r>
      </text>
    </comment>
    <comment ref="H41" authorId="0" shapeId="0" xr:uid="{00000000-0006-0000-4700-0000DD000000}">
      <text>
        <r>
          <rPr>
            <sz val="11"/>
            <color theme="1"/>
            <rFont val="Calibri"/>
            <family val="2"/>
            <scheme val="minor"/>
          </rPr>
          <t>ConcentrationRiskPercentage1 @ Q3 2023; raw=0</t>
        </r>
      </text>
    </comment>
    <comment ref="I41" authorId="0" shapeId="0" xr:uid="{00000000-0006-0000-4700-0000DE000000}">
      <text>
        <r>
          <rPr>
            <sz val="11"/>
            <color theme="1"/>
            <rFont val="Calibri"/>
            <family val="2"/>
            <scheme val="minor"/>
          </rPr>
          <t>ConcentrationRiskPercentage1 @ FY2023; raw=0</t>
        </r>
      </text>
    </comment>
    <comment ref="J41" authorId="0" shapeId="0" xr:uid="{00000000-0006-0000-4700-0000DF000000}">
      <text>
        <r>
          <rPr>
            <sz val="11"/>
            <color theme="1"/>
            <rFont val="Calibri"/>
            <family val="2"/>
            <scheme val="minor"/>
          </rPr>
          <t>ConcentrationRiskPercentage1 @ Q1 2024; raw=0</t>
        </r>
      </text>
    </comment>
    <comment ref="K41" authorId="0" shapeId="0" xr:uid="{00000000-0006-0000-4700-0000E0000000}">
      <text>
        <r>
          <rPr>
            <sz val="11"/>
            <color theme="1"/>
            <rFont val="Calibri"/>
            <family val="2"/>
            <scheme val="minor"/>
          </rPr>
          <t>ConcentrationRiskPercentage1 @ Q2 2024; raw=0</t>
        </r>
      </text>
    </comment>
    <comment ref="L41" authorId="0" shapeId="0" xr:uid="{00000000-0006-0000-4700-0000E1000000}">
      <text>
        <r>
          <rPr>
            <sz val="11"/>
            <color theme="1"/>
            <rFont val="Calibri"/>
            <family val="2"/>
            <scheme val="minor"/>
          </rPr>
          <t>ConcentrationRiskPercentage1 @ Q3 2024; raw=0</t>
        </r>
      </text>
    </comment>
    <comment ref="M41" authorId="0" shapeId="0" xr:uid="{00000000-0006-0000-4700-0000E2000000}">
      <text>
        <r>
          <rPr>
            <sz val="11"/>
            <color theme="1"/>
            <rFont val="Calibri"/>
            <family val="2"/>
            <scheme val="minor"/>
          </rPr>
          <t>ConcentrationRiskPercentage1 @ FY2024; raw=0</t>
        </r>
      </text>
    </comment>
    <comment ref="N41" authorId="0" shapeId="0" xr:uid="{00000000-0006-0000-4700-0000E3000000}">
      <text>
        <r>
          <rPr>
            <sz val="11"/>
            <color theme="1"/>
            <rFont val="Calibri"/>
            <family val="2"/>
            <scheme val="minor"/>
          </rPr>
          <t>ConcentrationRiskPercentage1 @ Q1 2025; raw=0</t>
        </r>
      </text>
    </comment>
    <comment ref="O41" authorId="0" shapeId="0" xr:uid="{00000000-0006-0000-4700-0000E4000000}">
      <text>
        <r>
          <rPr>
            <sz val="11"/>
            <color theme="1"/>
            <rFont val="Calibri"/>
            <family val="2"/>
            <scheme val="minor"/>
          </rPr>
          <t>ConcentrationRiskPercentage1 @ Q2 2025; raw=0</t>
        </r>
      </text>
    </comment>
    <comment ref="P41" authorId="0" shapeId="0" xr:uid="{00000000-0006-0000-4700-0000E5000000}">
      <text>
        <r>
          <rPr>
            <sz val="11"/>
            <color theme="1"/>
            <rFont val="Calibri"/>
            <family val="2"/>
            <scheme val="minor"/>
          </rPr>
          <t>ConcentrationRiskPercentage1 @ Q3 2025; raw=0</t>
        </r>
      </text>
    </comment>
    <comment ref="Q41" authorId="0" shapeId="0" xr:uid="{00000000-0006-0000-4700-0000E6000000}">
      <text>
        <r>
          <rPr>
            <sz val="11"/>
            <color theme="1"/>
            <rFont val="Calibri"/>
            <family val="2"/>
            <scheme val="minor"/>
          </rPr>
          <t>ConcentrationRiskPercentage1 @ FY2025; raw=0</t>
        </r>
      </text>
    </comment>
    <comment ref="R41" authorId="0" shapeId="0" xr:uid="{00000000-0006-0000-4700-0000E7000000}">
      <text>
        <r>
          <rPr>
            <sz val="11"/>
            <color theme="1"/>
            <rFont val="Calibri"/>
            <family val="2"/>
            <scheme val="minor"/>
          </rPr>
          <t>ConcentrationRiskPercentage1 @ Q1 2026; raw=0</t>
        </r>
      </text>
    </comment>
    <comment ref="B42" authorId="0" shapeId="0" xr:uid="{00000000-0006-0000-4700-0000E8000000}">
      <text>
        <r>
          <rPr>
            <sz val="11"/>
            <color theme="1"/>
            <rFont val="Calibri"/>
            <family val="2"/>
            <scheme val="minor"/>
          </rPr>
          <t>ConcentrationRiskPercentage1 @ Q1 2022; raw=0</t>
        </r>
      </text>
    </comment>
    <comment ref="E42" authorId="0" shapeId="0" xr:uid="{00000000-0006-0000-4700-0000E9000000}">
      <text>
        <r>
          <rPr>
            <sz val="11"/>
            <color theme="1"/>
            <rFont val="Calibri"/>
            <family val="2"/>
            <scheme val="minor"/>
          </rPr>
          <t>ConcentrationRiskPercentage1 @ FY2022; raw=0</t>
        </r>
      </text>
    </comment>
    <comment ref="F42" authorId="0" shapeId="0" xr:uid="{00000000-0006-0000-4700-0000EA000000}">
      <text>
        <r>
          <rPr>
            <sz val="11"/>
            <color theme="1"/>
            <rFont val="Calibri"/>
            <family val="2"/>
            <scheme val="minor"/>
          </rPr>
          <t>ConcentrationRiskPercentage1 @ Q1 2023; raw=0</t>
        </r>
      </text>
    </comment>
    <comment ref="H42" authorId="0" shapeId="0" xr:uid="{00000000-0006-0000-4700-0000EB000000}">
      <text>
        <r>
          <rPr>
            <sz val="11"/>
            <color theme="1"/>
            <rFont val="Calibri"/>
            <family val="2"/>
            <scheme val="minor"/>
          </rPr>
          <t>ConcentrationRiskPercentage1 @ Q3 2023; raw=0</t>
        </r>
      </text>
    </comment>
    <comment ref="I42" authorId="0" shapeId="0" xr:uid="{00000000-0006-0000-4700-0000EC000000}">
      <text>
        <r>
          <rPr>
            <sz val="11"/>
            <color theme="1"/>
            <rFont val="Calibri"/>
            <family val="2"/>
            <scheme val="minor"/>
          </rPr>
          <t>ConcentrationRiskPercentage1 @ FY2023; raw=0</t>
        </r>
      </text>
    </comment>
    <comment ref="J42" authorId="0" shapeId="0" xr:uid="{00000000-0006-0000-4700-0000ED000000}">
      <text>
        <r>
          <rPr>
            <sz val="11"/>
            <color theme="1"/>
            <rFont val="Calibri"/>
            <family val="2"/>
            <scheme val="minor"/>
          </rPr>
          <t>ConcentrationRiskPercentage1 @ Q1 2024; raw=0</t>
        </r>
      </text>
    </comment>
    <comment ref="L42" authorId="0" shapeId="0" xr:uid="{00000000-0006-0000-4700-0000EE000000}">
      <text>
        <r>
          <rPr>
            <sz val="11"/>
            <color theme="1"/>
            <rFont val="Calibri"/>
            <family val="2"/>
            <scheme val="minor"/>
          </rPr>
          <t>ConcentrationRiskPercentage1 @ Q3 2024; raw=0</t>
        </r>
      </text>
    </comment>
    <comment ref="M42" authorId="0" shapeId="0" xr:uid="{00000000-0006-0000-4700-0000EF000000}">
      <text>
        <r>
          <rPr>
            <sz val="11"/>
            <color theme="1"/>
            <rFont val="Calibri"/>
            <family val="2"/>
            <scheme val="minor"/>
          </rPr>
          <t>ConcentrationRiskPercentage1 @ FY2024; raw=0</t>
        </r>
      </text>
    </comment>
    <comment ref="N42" authorId="0" shapeId="0" xr:uid="{00000000-0006-0000-4700-0000F0000000}">
      <text>
        <r>
          <rPr>
            <sz val="11"/>
            <color theme="1"/>
            <rFont val="Calibri"/>
            <family val="2"/>
            <scheme val="minor"/>
          </rPr>
          <t>ConcentrationRiskPercentage1 @ Q1 2025; raw=0</t>
        </r>
      </text>
    </comment>
    <comment ref="P42" authorId="0" shapeId="0" xr:uid="{00000000-0006-0000-4700-0000F1000000}">
      <text>
        <r>
          <rPr>
            <sz val="11"/>
            <color theme="1"/>
            <rFont val="Calibri"/>
            <family val="2"/>
            <scheme val="minor"/>
          </rPr>
          <t>ConcentrationRiskPercentage1 @ Q3 2025; raw=0</t>
        </r>
      </text>
    </comment>
    <comment ref="R42" authorId="0" shapeId="0" xr:uid="{00000000-0006-0000-4700-0000F2000000}">
      <text>
        <r>
          <rPr>
            <sz val="11"/>
            <color theme="1"/>
            <rFont val="Calibri"/>
            <family val="2"/>
            <scheme val="minor"/>
          </rPr>
          <t>ConcentrationRiskPercentage1 @ Q1 2026; raw=0</t>
        </r>
      </text>
    </comment>
    <comment ref="C49" authorId="0" shapeId="0" xr:uid="{00000000-0006-0000-4700-0000F3000000}">
      <text>
        <r>
          <rPr>
            <sz val="11"/>
            <color theme="1"/>
            <rFont val="Calibri"/>
            <family val="2"/>
            <scheme val="minor"/>
          </rPr>
          <t>BusinessAcquisitionsProFormaRevenue @ Q3 2024; raw=513,912,000</t>
        </r>
      </text>
    </comment>
    <comment ref="D49" authorId="0" shapeId="0" xr:uid="{00000000-0006-0000-4700-0000F4000000}">
      <text>
        <r>
          <rPr>
            <sz val="11"/>
            <color theme="1"/>
            <rFont val="Calibri"/>
            <family val="2"/>
            <scheme val="minor"/>
          </rPr>
          <t>BusinessAcquisitionsProFormaRevenue @ FY2024; raw=2,317,965,000</t>
        </r>
      </text>
    </comment>
    <comment ref="E49" authorId="0" shapeId="0" xr:uid="{00000000-0006-0000-4700-0000F5000000}">
      <text>
        <r>
          <rPr>
            <sz val="11"/>
            <color theme="1"/>
            <rFont val="Calibri"/>
            <family val="2"/>
            <scheme val="minor"/>
          </rPr>
          <t>BusinessAcquisitionsProFormaRevenue @ Q1 2025; raw=647,397,000</t>
        </r>
      </text>
    </comment>
    <comment ref="G49" authorId="0" shapeId="0" xr:uid="{00000000-0006-0000-4700-0000F6000000}">
      <text>
        <r>
          <rPr>
            <sz val="11"/>
            <color theme="1"/>
            <rFont val="Calibri"/>
            <family val="2"/>
            <scheme val="minor"/>
          </rPr>
          <t>BusinessAcquisitionsProFormaRevenue @ Q3 2025; raw=798,496,000</t>
        </r>
      </text>
    </comment>
    <comment ref="H49" authorId="0" shapeId="0" xr:uid="{00000000-0006-0000-4700-0000F7000000}">
      <text>
        <r>
          <rPr>
            <sz val="11"/>
            <color theme="1"/>
            <rFont val="Calibri"/>
            <family val="2"/>
            <scheme val="minor"/>
          </rPr>
          <t>BusinessAcquisitionsProFormaRevenue @ FY2025; raw=3,003,677,000</t>
        </r>
      </text>
    </comment>
    <comment ref="I49" authorId="0" shapeId="0" xr:uid="{00000000-0006-0000-4700-0000F8000000}">
      <text>
        <r>
          <rPr>
            <sz val="11"/>
            <color theme="1"/>
            <rFont val="Calibri"/>
            <family val="2"/>
            <scheme val="minor"/>
          </rPr>
          <t>BusinessAcquisitionsProFormaRevenue @ Q1 2026; raw=782,615,000</t>
        </r>
      </text>
    </comment>
    <comment ref="B50" authorId="0" shapeId="0" xr:uid="{00000000-0006-0000-4700-0000F9000000}">
      <text>
        <r>
          <rPr>
            <sz val="11"/>
            <color theme="1"/>
            <rFont val="Calibri"/>
            <family val="2"/>
            <scheme val="minor"/>
          </rPr>
          <t>BusinessAcquisitionsProFormaRevenue @ Q2 2024; raw=547,650,000</t>
        </r>
      </text>
    </comment>
    <comment ref="F50" authorId="0" shapeId="0" xr:uid="{00000000-0006-0000-4700-0000FA000000}">
      <text>
        <r>
          <rPr>
            <sz val="11"/>
            <color theme="1"/>
            <rFont val="Calibri"/>
            <family val="2"/>
            <scheme val="minor"/>
          </rPr>
          <t>BusinessAcquisitionsProFormaRevenue @ Q2 2025; raw=739,259,000</t>
        </r>
      </text>
    </comment>
    <comment ref="C53" authorId="0" shapeId="0" xr:uid="{00000000-0006-0000-4700-0000FB000000}">
      <text>
        <r>
          <rPr>
            <sz val="11"/>
            <color theme="1"/>
            <rFont val="Calibri"/>
            <family val="2"/>
            <scheme val="minor"/>
          </rPr>
          <t>BusinessAcquisitionsProFormaNetIncomeLoss @ Q3 2024; raw=17,015,000</t>
        </r>
      </text>
    </comment>
    <comment ref="D53" authorId="0" shapeId="0" xr:uid="{00000000-0006-0000-4700-0000FC000000}">
      <text>
        <r>
          <rPr>
            <sz val="11"/>
            <color theme="1"/>
            <rFont val="Calibri"/>
            <family val="2"/>
            <scheme val="minor"/>
          </rPr>
          <t>BusinessAcquisitionsProFormaNetIncomeLoss @ FY2024; raw=147,638,000</t>
        </r>
      </text>
    </comment>
    <comment ref="E53" authorId="0" shapeId="0" xr:uid="{00000000-0006-0000-4700-0000FD000000}">
      <text>
        <r>
          <rPr>
            <sz val="11"/>
            <color theme="1"/>
            <rFont val="Calibri"/>
            <family val="2"/>
            <scheme val="minor"/>
          </rPr>
          <t>BusinessAcquisitionsProFormaNetIncomeLoss @ Q1 2025; raw=98,690,000</t>
        </r>
      </text>
    </comment>
    <comment ref="G53" authorId="0" shapeId="0" xr:uid="{00000000-0006-0000-4700-0000FE000000}">
      <text>
        <r>
          <rPr>
            <sz val="11"/>
            <color theme="1"/>
            <rFont val="Calibri"/>
            <family val="2"/>
            <scheme val="minor"/>
          </rPr>
          <t>BusinessAcquisitionsProFormaNetIncomeLoss @ Q3 2025; raw=-51,019,000</t>
        </r>
      </text>
    </comment>
    <comment ref="H53" authorId="0" shapeId="0" xr:uid="{00000000-0006-0000-4700-0000FF000000}">
      <text>
        <r>
          <rPr>
            <sz val="11"/>
            <color theme="1"/>
            <rFont val="Calibri"/>
            <family val="2"/>
            <scheme val="minor"/>
          </rPr>
          <t>BusinessAcquisitionsProFormaNetIncomeLoss @ FY2025; raw=218,748,000</t>
        </r>
      </text>
    </comment>
    <comment ref="I53" authorId="0" shapeId="0" xr:uid="{00000000-0006-0000-4700-000000010000}">
      <text>
        <r>
          <rPr>
            <sz val="11"/>
            <color theme="1"/>
            <rFont val="Calibri"/>
            <family val="2"/>
            <scheme val="minor"/>
          </rPr>
          <t>BusinessAcquisitionsProFormaNetIncomeLoss @ Q1 2026; raw=110,099,000</t>
        </r>
      </text>
    </comment>
    <comment ref="B54" authorId="0" shapeId="0" xr:uid="{00000000-0006-0000-4700-000001010000}">
      <text>
        <r>
          <rPr>
            <sz val="11"/>
            <color theme="1"/>
            <rFont val="Calibri"/>
            <family val="2"/>
            <scheme val="minor"/>
          </rPr>
          <t>BusinessAcquisitionsProFormaNetIncomeLoss @ Q2 2024; raw=70,659,000</t>
        </r>
      </text>
    </comment>
    <comment ref="F54" authorId="0" shapeId="0" xr:uid="{00000000-0006-0000-4700-000002010000}">
      <text>
        <r>
          <rPr>
            <sz val="11"/>
            <color theme="1"/>
            <rFont val="Calibri"/>
            <family val="2"/>
            <scheme val="minor"/>
          </rPr>
          <t>BusinessAcquisitionsProFormaNetIncomeLoss @ Q2 2025; raw=116,424,000</t>
        </r>
      </text>
    </comment>
    <comment ref="E57" authorId="0" shapeId="0" xr:uid="{00000000-0006-0000-4700-000003010000}">
      <text>
        <r>
          <rPr>
            <sz val="11"/>
            <color theme="1"/>
            <rFont val="Calibri"/>
            <family val="2"/>
            <scheme val="minor"/>
          </rPr>
          <t>BusinessCombinationConsiderationTransferred1 @ Q1 2025; raw=1,775,000,000</t>
        </r>
      </text>
    </comment>
    <comment ref="F57" authorId="0" shapeId="0" xr:uid="{00000000-0006-0000-4700-000004010000}">
      <text>
        <r>
          <rPr>
            <sz val="11"/>
            <color theme="1"/>
            <rFont val="Calibri"/>
            <family val="2"/>
            <scheme val="minor"/>
          </rPr>
          <t>BusinessCombinationConsiderationTransferred1 @ Q2 2025; raw=2,055,589,000</t>
        </r>
      </text>
    </comment>
    <comment ref="G58" authorId="0" shapeId="0" xr:uid="{00000000-0006-0000-4700-000005010000}">
      <text>
        <r>
          <rPr>
            <sz val="11"/>
            <color theme="1"/>
            <rFont val="Calibri"/>
            <family val="2"/>
            <scheme val="minor"/>
          </rPr>
          <t>BusinessCombinationConsiderationTransferred1 @ Q3 2025; raw=307,603,000</t>
        </r>
      </text>
    </comment>
    <comment ref="D65" authorId="0" shapeId="0" xr:uid="{00000000-0006-0000-4700-000006010000}">
      <text>
        <r>
          <rPr>
            <sz val="11"/>
            <color theme="1"/>
            <rFont val="Calibri"/>
            <family val="2"/>
            <scheme val="minor"/>
          </rPr>
          <t>DebtInstrumentCarryingAmount @ Q4 2025; raw=700,000,000</t>
        </r>
      </text>
    </comment>
    <comment ref="B68" authorId="0" shapeId="0" xr:uid="{00000000-0006-0000-4700-000007010000}">
      <text>
        <r>
          <rPr>
            <sz val="11"/>
            <color theme="1"/>
            <rFont val="Calibri"/>
            <family val="2"/>
            <scheme val="minor"/>
          </rPr>
          <t>DebtInstrumentInterestRateEffectivePercentage @ Q2 2025; raw=0</t>
        </r>
      </text>
    </comment>
    <comment ref="C68" authorId="0" shapeId="0" xr:uid="{00000000-0006-0000-4700-000008010000}">
      <text>
        <r>
          <rPr>
            <sz val="11"/>
            <color theme="1"/>
            <rFont val="Calibri"/>
            <family val="2"/>
            <scheme val="minor"/>
          </rPr>
          <t>DebtInstrumentInterestRateEffectivePercentage @ Q3 2025; raw=0</t>
        </r>
      </text>
    </comment>
    <comment ref="E68" authorId="0" shapeId="0" xr:uid="{00000000-0006-0000-4700-000009010000}">
      <text>
        <r>
          <rPr>
            <sz val="11"/>
            <color theme="1"/>
            <rFont val="Calibri"/>
            <family val="2"/>
            <scheme val="minor"/>
          </rPr>
          <t>DebtInstrumentInterestRateEffectivePercentage @ FY2025; raw=0</t>
        </r>
      </text>
    </comment>
    <comment ref="F68" authorId="0" shapeId="0" xr:uid="{00000000-0006-0000-4700-00000A010000}">
      <text>
        <r>
          <rPr>
            <sz val="11"/>
            <color theme="1"/>
            <rFont val="Calibri"/>
            <family val="2"/>
            <scheme val="minor"/>
          </rPr>
          <t>DebtInstrumentInterestRateEffectivePercentage @ Q1 2026; raw=0</t>
        </r>
      </text>
    </comment>
    <comment ref="F75" authorId="0" shapeId="0" xr:uid="{00000000-0006-0000-4700-00000B010000}">
      <text>
        <r>
          <rPr>
            <sz val="11"/>
            <color theme="1"/>
            <rFont val="Calibri"/>
            <family val="2"/>
            <scheme val="minor"/>
          </rPr>
          <t>ShareBasedCompensationArrangementByShareBasedPaymentAwardEquityInstrumentsOtherThanOptionsGrantsInPeriodWeightedAverageGrantDateFairValue @ FY2022; raw=25</t>
        </r>
      </text>
    </comment>
    <comment ref="F76" authorId="0" shapeId="0" xr:uid="{00000000-0006-0000-4700-00000C010000}">
      <text>
        <r>
          <rPr>
            <sz val="11"/>
            <color theme="1"/>
            <rFont val="Calibri"/>
            <family val="2"/>
            <scheme val="minor"/>
          </rPr>
          <t>ShareBasedCompensationArrangementByShareBasedPaymentAwardEquityInstrumentsOtherThanOptionsGrantsInPeriodWeightedAverageGrantDateFairValue @ FY2022; raw=22</t>
        </r>
      </text>
    </comment>
    <comment ref="H76" authorId="0" shapeId="0" xr:uid="{00000000-0006-0000-4700-00000D010000}">
      <text>
        <r>
          <rPr>
            <sz val="11"/>
            <color theme="1"/>
            <rFont val="Calibri"/>
            <family val="2"/>
            <scheme val="minor"/>
          </rPr>
          <t>ShareBasedCompensationArrangementByShareBasedPaymentAwardEquityInstrumentsOtherThanOptionsGrantsInPeriodWeightedAverageGrantDateFairValue @ FY2023; raw=33</t>
        </r>
      </text>
    </comment>
    <comment ref="I79" authorId="0" shapeId="0" xr:uid="{00000000-0006-0000-4700-00000E010000}">
      <text>
        <r>
          <rPr>
            <sz val="11"/>
            <color theme="1"/>
            <rFont val="Calibri"/>
            <family val="2"/>
            <scheme val="minor"/>
          </rPr>
          <t>ShareBasedCompensationArrangementByShareBasedPaymentAwardEquityInstrumentsOtherThanOptionsGrantsInPeriod @ Q1 2024; raw=275,000</t>
        </r>
      </text>
    </comment>
    <comment ref="J79" authorId="0" shapeId="0" xr:uid="{00000000-0006-0000-4700-00000F010000}">
      <text>
        <r>
          <rPr>
            <sz val="11"/>
            <color theme="1"/>
            <rFont val="Calibri"/>
            <family val="2"/>
            <scheme val="minor"/>
          </rPr>
          <t>ShareBasedCompensationArrangementByShareBasedPaymentAwardEquityInstrumentsOtherThanOptionsGrantsInPeriod @ FY2024; raw=552,000</t>
        </r>
      </text>
    </comment>
    <comment ref="K79" authorId="0" shapeId="0" xr:uid="{00000000-0006-0000-4700-000010010000}">
      <text>
        <r>
          <rPr>
            <sz val="11"/>
            <color theme="1"/>
            <rFont val="Calibri"/>
            <family val="2"/>
            <scheme val="minor"/>
          </rPr>
          <t>ShareBasedCompensationArrangementByShareBasedPaymentAwardEquityInstrumentsOtherThanOptionsGrantsInPeriod @ Q1 2025; raw=1,074,000</t>
        </r>
      </text>
    </comment>
    <comment ref="L79" authorId="0" shapeId="0" xr:uid="{00000000-0006-0000-4700-000011010000}">
      <text>
        <r>
          <rPr>
            <sz val="11"/>
            <color theme="1"/>
            <rFont val="Calibri"/>
            <family val="2"/>
            <scheme val="minor"/>
          </rPr>
          <t>ShareBasedCompensationArrangementByShareBasedPaymentAwardEquityInstrumentsOtherThanOptionsGrantsInPeriod @ FY2025; raw=1,628,000</t>
        </r>
      </text>
    </comment>
    <comment ref="M79" authorId="0" shapeId="0" xr:uid="{00000000-0006-0000-4700-000012010000}">
      <text>
        <r>
          <rPr>
            <sz val="11"/>
            <color theme="1"/>
            <rFont val="Calibri"/>
            <family val="2"/>
            <scheme val="minor"/>
          </rPr>
          <t>ShareBasedCompensationArrangementByShareBasedPaymentAwardEquityInstrumentsOtherThanOptionsGrantsInPeriod @ Q1 2026; raw=805,000</t>
        </r>
      </text>
    </comment>
    <comment ref="C80" authorId="0" shapeId="0" xr:uid="{00000000-0006-0000-4700-000013010000}">
      <text>
        <r>
          <rPr>
            <sz val="11"/>
            <color theme="1"/>
            <rFont val="Calibri"/>
            <family val="2"/>
            <scheme val="minor"/>
          </rPr>
          <t>ShareBasedCompensationArrangementByShareBasedPaymentAwardEquityInstrumentsOtherThanOptionsGrantsInPeriod @ Q1 2021; raw=468,000</t>
        </r>
      </text>
    </comment>
    <comment ref="D80" authorId="0" shapeId="0" xr:uid="{00000000-0006-0000-4700-000014010000}">
      <text>
        <r>
          <rPr>
            <sz val="11"/>
            <color theme="1"/>
            <rFont val="Calibri"/>
            <family val="2"/>
            <scheme val="minor"/>
          </rPr>
          <t>ShareBasedCompensationArrangementByShareBasedPaymentAwardEquityInstrumentsOtherThanOptionsGrantsInPeriod @ FY2021; raw=573,428</t>
        </r>
      </text>
    </comment>
    <comment ref="E80" authorId="0" shapeId="0" xr:uid="{00000000-0006-0000-4700-000015010000}">
      <text>
        <r>
          <rPr>
            <sz val="11"/>
            <color theme="1"/>
            <rFont val="Calibri"/>
            <family val="2"/>
            <scheme val="minor"/>
          </rPr>
          <t>ShareBasedCompensationArrangementByShareBasedPaymentAwardEquityInstrumentsOtherThanOptionsGrantsInPeriod @ Q1 2022; raw=189,000</t>
        </r>
      </text>
    </comment>
    <comment ref="F80" authorId="0" shapeId="0" xr:uid="{00000000-0006-0000-4700-000016010000}">
      <text>
        <r>
          <rPr>
            <sz val="11"/>
            <color theme="1"/>
            <rFont val="Calibri"/>
            <family val="2"/>
            <scheme val="minor"/>
          </rPr>
          <t>ShareBasedCompensationArrangementByShareBasedPaymentAwardEquityInstrumentsOtherThanOptionsGrantsInPeriod @ FY2022; raw=248</t>
        </r>
      </text>
    </comment>
    <comment ref="G80" authorId="0" shapeId="0" xr:uid="{00000000-0006-0000-4700-000017010000}">
      <text>
        <r>
          <rPr>
            <sz val="11"/>
            <color theme="1"/>
            <rFont val="Calibri"/>
            <family val="2"/>
            <scheme val="minor"/>
          </rPr>
          <t>ShareBasedCompensationArrangementByShareBasedPaymentAwardEquityInstrumentsOtherThanOptionsGrantsInPeriod @ Q1 2023; raw=124,000</t>
        </r>
      </text>
    </comment>
    <comment ref="H80" authorId="0" shapeId="0" xr:uid="{00000000-0006-0000-4700-000018010000}">
      <text>
        <r>
          <rPr>
            <sz val="11"/>
            <color theme="1"/>
            <rFont val="Calibri"/>
            <family val="2"/>
            <scheme val="minor"/>
          </rPr>
          <t>ShareBasedCompensationArrangementByShareBasedPaymentAwardEquityInstrumentsOtherThanOptionsGrantsInPeriod @ FY2023; raw=468,000</t>
        </r>
      </text>
    </comment>
    <comment ref="I80" authorId="0" shapeId="0" xr:uid="{00000000-0006-0000-4700-000019010000}">
      <text>
        <r>
          <rPr>
            <sz val="11"/>
            <color theme="1"/>
            <rFont val="Calibri"/>
            <family val="2"/>
            <scheme val="minor"/>
          </rPr>
          <t>ShareBasedCompensationArrangementByShareBasedPaymentAwardEquityInstrumentsOtherThanOptionsGrantsInPeriod @ Q1 2024; raw=210,000</t>
        </r>
      </text>
    </comment>
    <comment ref="J80" authorId="0" shapeId="0" xr:uid="{00000000-0006-0000-4700-00001A010000}">
      <text>
        <r>
          <rPr>
            <sz val="11"/>
            <color theme="1"/>
            <rFont val="Calibri"/>
            <family val="2"/>
            <scheme val="minor"/>
          </rPr>
          <t>ShareBasedCompensationArrangementByShareBasedPaymentAwardEquityInstrumentsOtherThanOptionsGrantsInPeriod @ FY2024; raw=377,000</t>
        </r>
      </text>
    </comment>
    <comment ref="D81" authorId="0" shapeId="0" xr:uid="{00000000-0006-0000-4700-00001B010000}">
      <text>
        <r>
          <rPr>
            <sz val="11"/>
            <color theme="1"/>
            <rFont val="Calibri"/>
            <family val="2"/>
            <scheme val="minor"/>
          </rPr>
          <t>ShareBasedCompensationArrangementByShareBasedPaymentAwardEquityInstrumentsOtherThanOptionsGrantsInPeriod @ FY2021; raw=15</t>
        </r>
      </text>
    </comment>
    <comment ref="F81" authorId="0" shapeId="0" xr:uid="{00000000-0006-0000-4700-00001C010000}">
      <text>
        <r>
          <rPr>
            <sz val="11"/>
            <color theme="1"/>
            <rFont val="Calibri"/>
            <family val="2"/>
            <scheme val="minor"/>
          </rPr>
          <t>ShareBasedCompensationArrangementByShareBasedPaymentAwardEquityInstrumentsOtherThanOptionsGrantsInPeriod @ FY2022; raw=76</t>
        </r>
      </text>
    </comment>
    <comment ref="I81" authorId="0" shapeId="0" xr:uid="{00000000-0006-0000-4700-00001D010000}">
      <text>
        <r>
          <rPr>
            <sz val="11"/>
            <color theme="1"/>
            <rFont val="Calibri"/>
            <family val="2"/>
            <scheme val="minor"/>
          </rPr>
          <t>ShareBasedCompensationArrangementByShareBasedPaymentAwardEquityInstrumentsOtherThanOptionsGrantsInPeriod @ Q1 2024; raw=65,000</t>
        </r>
      </text>
    </comment>
    <comment ref="J81" authorId="0" shapeId="0" xr:uid="{00000000-0006-0000-4700-00001E010000}">
      <text>
        <r>
          <rPr>
            <sz val="11"/>
            <color theme="1"/>
            <rFont val="Calibri"/>
            <family val="2"/>
            <scheme val="minor"/>
          </rPr>
          <t>ShareBasedCompensationArrangementByShareBasedPaymentAwardEquityInstrumentsOtherThanOptionsGrantsInPeriod @ FY2024; raw=175,000</t>
        </r>
      </text>
    </comment>
    <comment ref="K81" authorId="0" shapeId="0" xr:uid="{00000000-0006-0000-4700-00001F010000}">
      <text>
        <r>
          <rPr>
            <sz val="11"/>
            <color theme="1"/>
            <rFont val="Calibri"/>
            <family val="2"/>
            <scheme val="minor"/>
          </rPr>
          <t>ShareBasedCompensationArrangementByShareBasedPaymentAwardEquityInstrumentsOtherThanOptionsGrantsInPeriod @ Q1 2025; raw=142,000</t>
        </r>
      </text>
    </comment>
    <comment ref="L81" authorId="0" shapeId="0" xr:uid="{00000000-0006-0000-4700-000020010000}">
      <text>
        <r>
          <rPr>
            <sz val="11"/>
            <color theme="1"/>
            <rFont val="Calibri"/>
            <family val="2"/>
            <scheme val="minor"/>
          </rPr>
          <t>ShareBasedCompensationArrangementByShareBasedPaymentAwardEquityInstrumentsOtherThanOptionsGrantsInPeriod @ FY2025; raw=142,000</t>
        </r>
      </text>
    </comment>
    <comment ref="M81" authorId="0" shapeId="0" xr:uid="{00000000-0006-0000-4700-000021010000}">
      <text>
        <r>
          <rPr>
            <sz val="11"/>
            <color theme="1"/>
            <rFont val="Calibri"/>
            <family val="2"/>
            <scheme val="minor"/>
          </rPr>
          <t>ShareBasedCompensationArrangementByShareBasedPaymentAwardEquityInstrumentsOtherThanOptionsGrantsInPeriod @ Q1 2026; raw=67,000</t>
        </r>
      </text>
    </comment>
    <comment ref="B82" authorId="0" shapeId="0" xr:uid="{00000000-0006-0000-4700-000022010000}">
      <text>
        <r>
          <rPr>
            <sz val="11"/>
            <color theme="1"/>
            <rFont val="Calibri"/>
            <family val="2"/>
            <scheme val="minor"/>
          </rPr>
          <t>ShareBasedCompensationArrangementByShareBasedPaymentAwardEquityInstrumentsOtherThanOptionsGrantsInPeriod @ FY2020; raw=175,737</t>
        </r>
      </text>
    </comment>
    <comment ref="D83" authorId="0" shapeId="0" xr:uid="{00000000-0006-0000-4700-000023010000}">
      <text>
        <r>
          <rPr>
            <sz val="11"/>
            <color theme="1"/>
            <rFont val="Calibri"/>
            <family val="2"/>
            <scheme val="minor"/>
          </rPr>
          <t>ShareBasedCompensationArrangementByShareBasedPaymentAwardEquityInstrumentsOtherThanOptionsGrantsInPeriod @ FY2021; raw=15,468</t>
        </r>
      </text>
    </comment>
    <comment ref="I86" authorId="0" shapeId="0" xr:uid="{00000000-0006-0000-4700-000024010000}">
      <text>
        <r>
          <rPr>
            <sz val="11"/>
            <color theme="1"/>
            <rFont val="Calibri"/>
            <family val="2"/>
            <scheme val="minor"/>
          </rPr>
          <t>ShareBasedCompensationArrangementByShareBasedPaymentAwardEquityInstrumentsOtherThanOptionsVestedInPeriod @ Q1 2024; raw=510,000</t>
        </r>
      </text>
    </comment>
    <comment ref="J86" authorId="0" shapeId="0" xr:uid="{00000000-0006-0000-4700-000025010000}">
      <text>
        <r>
          <rPr>
            <sz val="11"/>
            <color theme="1"/>
            <rFont val="Calibri"/>
            <family val="2"/>
            <scheme val="minor"/>
          </rPr>
          <t>ShareBasedCompensationArrangementByShareBasedPaymentAwardEquityInstrumentsOtherThanOptionsVestedInPeriod @ FY2024; raw=803,000</t>
        </r>
      </text>
    </comment>
    <comment ref="K86" authorId="0" shapeId="0" xr:uid="{00000000-0006-0000-4700-000026010000}">
      <text>
        <r>
          <rPr>
            <sz val="11"/>
            <color theme="1"/>
            <rFont val="Calibri"/>
            <family val="2"/>
            <scheme val="minor"/>
          </rPr>
          <t>ShareBasedCompensationArrangementByShareBasedPaymentAwardEquityInstrumentsOtherThanOptionsVestedInPeriod @ Q1 2025; raw=249,000</t>
        </r>
      </text>
    </comment>
    <comment ref="L86" authorId="0" shapeId="0" xr:uid="{00000000-0006-0000-4700-000027010000}">
      <text>
        <r>
          <rPr>
            <sz val="11"/>
            <color theme="1"/>
            <rFont val="Calibri"/>
            <family val="2"/>
            <scheme val="minor"/>
          </rPr>
          <t>ShareBasedCompensationArrangementByShareBasedPaymentAwardEquityInstrumentsOtherThanOptionsVestedInPeriod @ FY2025; raw=470,000</t>
        </r>
      </text>
    </comment>
    <comment ref="M86" authorId="0" shapeId="0" xr:uid="{00000000-0006-0000-4700-000028010000}">
      <text>
        <r>
          <rPr>
            <sz val="11"/>
            <color theme="1"/>
            <rFont val="Calibri"/>
            <family val="2"/>
            <scheme val="minor"/>
          </rPr>
          <t>ShareBasedCompensationArrangementByShareBasedPaymentAwardEquityInstrumentsOtherThanOptionsVestedInPeriod @ Q1 2026; raw=478,000</t>
        </r>
      </text>
    </comment>
    <comment ref="D87" authorId="0" shapeId="0" xr:uid="{00000000-0006-0000-4700-000029010000}">
      <text>
        <r>
          <rPr>
            <sz val="11"/>
            <color theme="1"/>
            <rFont val="Calibri"/>
            <family val="2"/>
            <scheme val="minor"/>
          </rPr>
          <t>ShareBasedCompensationArrangementByShareBasedPaymentAwardEquityInstrumentsOtherThanOptionsVestedInPeriod @ FY2021; raw=18,758</t>
        </r>
      </text>
    </comment>
    <comment ref="E87" authorId="0" shapeId="0" xr:uid="{00000000-0006-0000-4700-00002A010000}">
      <text>
        <r>
          <rPr>
            <sz val="11"/>
            <color theme="1"/>
            <rFont val="Calibri"/>
            <family val="2"/>
            <scheme val="minor"/>
          </rPr>
          <t>ShareBasedCompensationArrangementByShareBasedPaymentAwardEquityInstrumentsOtherThanOptionsVestedInPeriod @ Q1 2022; raw=111,000</t>
        </r>
      </text>
    </comment>
    <comment ref="F87" authorId="0" shapeId="0" xr:uid="{00000000-0006-0000-4700-00002B010000}">
      <text>
        <r>
          <rPr>
            <sz val="11"/>
            <color theme="1"/>
            <rFont val="Calibri"/>
            <family val="2"/>
            <scheme val="minor"/>
          </rPr>
          <t>ShareBasedCompensationArrangementByShareBasedPaymentAwardEquityInstrumentsOtherThanOptionsVestedInPeriod @ FY2022; raw=205</t>
        </r>
      </text>
    </comment>
    <comment ref="G87" authorId="0" shapeId="0" xr:uid="{00000000-0006-0000-4700-00002C010000}">
      <text>
        <r>
          <rPr>
            <sz val="11"/>
            <color theme="1"/>
            <rFont val="Calibri"/>
            <family val="2"/>
            <scheme val="minor"/>
          </rPr>
          <t>ShareBasedCompensationArrangementByShareBasedPaymentAwardEquityInstrumentsOtherThanOptionsVestedInPeriod @ Q1 2023; raw=157,000</t>
        </r>
      </text>
    </comment>
    <comment ref="H87" authorId="0" shapeId="0" xr:uid="{00000000-0006-0000-4700-00002D010000}">
      <text>
        <r>
          <rPr>
            <sz val="11"/>
            <color theme="1"/>
            <rFont val="Calibri"/>
            <family val="2"/>
            <scheme val="minor"/>
          </rPr>
          <t>ShareBasedCompensationArrangementByShareBasedPaymentAwardEquityInstrumentsOtherThanOptionsVestedInPeriod @ FY2023; raw=670,000</t>
        </r>
      </text>
    </comment>
    <comment ref="I87" authorId="0" shapeId="0" xr:uid="{00000000-0006-0000-4700-00002E010000}">
      <text>
        <r>
          <rPr>
            <sz val="11"/>
            <color theme="1"/>
            <rFont val="Calibri"/>
            <family val="2"/>
            <scheme val="minor"/>
          </rPr>
          <t>ShareBasedCompensationArrangementByShareBasedPaymentAwardEquityInstrumentsOtherThanOptionsVestedInPeriod @ Q1 2024; raw=510,000</t>
        </r>
      </text>
    </comment>
    <comment ref="J87" authorId="0" shapeId="0" xr:uid="{00000000-0006-0000-4700-00002F010000}">
      <text>
        <r>
          <rPr>
            <sz val="11"/>
            <color theme="1"/>
            <rFont val="Calibri"/>
            <family val="2"/>
            <scheme val="minor"/>
          </rPr>
          <t>ShareBasedCompensationArrangementByShareBasedPaymentAwardEquityInstrumentsOtherThanOptionsVestedInPeriod @ FY2024; raw=715,000</t>
        </r>
      </text>
    </comment>
    <comment ref="F88" authorId="0" shapeId="0" xr:uid="{00000000-0006-0000-4700-000030010000}">
      <text>
        <r>
          <rPr>
            <sz val="11"/>
            <color theme="1"/>
            <rFont val="Calibri"/>
            <family val="2"/>
            <scheme val="minor"/>
          </rPr>
          <t>ShareBasedCompensationArrangementByShareBasedPaymentAwardEquityInstrumentsOtherThanOptionsVestedInPeriod @ FY2022; raw=15</t>
        </r>
      </text>
    </comment>
    <comment ref="H88" authorId="0" shapeId="0" xr:uid="{00000000-0006-0000-4700-000031010000}">
      <text>
        <r>
          <rPr>
            <sz val="11"/>
            <color theme="1"/>
            <rFont val="Calibri"/>
            <family val="2"/>
            <scheme val="minor"/>
          </rPr>
          <t>ShareBasedCompensationArrangementByShareBasedPaymentAwardEquityInstrumentsOtherThanOptionsVestedInPeriod @ FY2023; raw=92,000</t>
        </r>
      </text>
    </comment>
    <comment ref="J88" authorId="0" shapeId="0" xr:uid="{00000000-0006-0000-4700-000032010000}">
      <text>
        <r>
          <rPr>
            <sz val="11"/>
            <color theme="1"/>
            <rFont val="Calibri"/>
            <family val="2"/>
            <scheme val="minor"/>
          </rPr>
          <t>ShareBasedCompensationArrangementByShareBasedPaymentAwardEquityInstrumentsOtherThanOptionsVestedInPeriod @ FY2024; raw=78,000</t>
        </r>
      </text>
    </comment>
    <comment ref="B89" authorId="0" shapeId="0" xr:uid="{00000000-0006-0000-4700-000033010000}">
      <text>
        <r>
          <rPr>
            <sz val="11"/>
            <color theme="1"/>
            <rFont val="Calibri"/>
            <family val="2"/>
            <scheme val="minor"/>
          </rPr>
          <t>ShareBasedCompensationArrangementByShareBasedPaymentAwardEquityInstrumentsOtherThanOptionsVestedInPeriod @ FY2020; raw=170,145</t>
        </r>
      </text>
    </comment>
    <comment ref="D89" authorId="0" shapeId="0" xr:uid="{00000000-0006-0000-4700-000034010000}">
      <text>
        <r>
          <rPr>
            <sz val="11"/>
            <color theme="1"/>
            <rFont val="Calibri"/>
            <family val="2"/>
            <scheme val="minor"/>
          </rPr>
          <t>ShareBasedCompensationArrangementByShareBasedPaymentAwardEquityInstrumentsOtherThanOptionsVestedInPeriod @ FY2021; raw=18,913</t>
        </r>
      </text>
    </comment>
    <comment ref="B96" authorId="0" shapeId="0" xr:uid="{00000000-0006-0000-4700-000035010000}">
      <text>
        <r>
          <rPr>
            <sz val="11"/>
            <color theme="1"/>
            <rFont val="Calibri"/>
            <family val="2"/>
            <scheme val="minor"/>
          </rPr>
          <t>PropertyPlantAndEquipmentGross @ FY2020; raw=394,418</t>
        </r>
      </text>
    </comment>
    <comment ref="C96" authorId="0" shapeId="0" xr:uid="{00000000-0006-0000-4700-000036010000}">
      <text>
        <r>
          <rPr>
            <sz val="11"/>
            <color theme="1"/>
            <rFont val="Calibri"/>
            <family val="2"/>
            <scheme val="minor"/>
          </rPr>
          <t>PropertyPlantAndEquipmentGross @ FY2021; raw=3,051,938</t>
        </r>
      </text>
    </comment>
    <comment ref="D96" authorId="0" shapeId="0" xr:uid="{00000000-0006-0000-4700-000037010000}">
      <text>
        <r>
          <rPr>
            <sz val="11"/>
            <color theme="1"/>
            <rFont val="Calibri"/>
            <family val="2"/>
            <scheme val="minor"/>
          </rPr>
          <t>PropertyPlantAndEquipmentGross @ Q1 2022; raw=3,561,000</t>
        </r>
      </text>
    </comment>
    <comment ref="E96" authorId="0" shapeId="0" xr:uid="{00000000-0006-0000-4700-000038010000}">
      <text>
        <r>
          <rPr>
            <sz val="11"/>
            <color theme="1"/>
            <rFont val="Calibri"/>
            <family val="2"/>
            <scheme val="minor"/>
          </rPr>
          <t>PropertyPlantAndEquipmentGross @ Q2 2022; raw=4,944,000</t>
        </r>
      </text>
    </comment>
    <comment ref="F96" authorId="0" shapeId="0" xr:uid="{00000000-0006-0000-4700-000039010000}">
      <text>
        <r>
          <rPr>
            <sz val="11"/>
            <color theme="1"/>
            <rFont val="Calibri"/>
            <family val="2"/>
            <scheme val="minor"/>
          </rPr>
          <t>PropertyPlantAndEquipmentGross @ Q3 2022; raw=5,505,000</t>
        </r>
      </text>
    </comment>
    <comment ref="G96" authorId="0" shapeId="0" xr:uid="{00000000-0006-0000-4700-00003A010000}">
      <text>
        <r>
          <rPr>
            <sz val="11"/>
            <color theme="1"/>
            <rFont val="Calibri"/>
            <family val="2"/>
            <scheme val="minor"/>
          </rPr>
          <t>PropertyPlantAndEquipmentGross @ FY2022; raw=9,885,000</t>
        </r>
      </text>
    </comment>
    <comment ref="H96" authorId="0" shapeId="0" xr:uid="{00000000-0006-0000-4700-00003B010000}">
      <text>
        <r>
          <rPr>
            <sz val="11"/>
            <color theme="1"/>
            <rFont val="Calibri"/>
            <family val="2"/>
            <scheme val="minor"/>
          </rPr>
          <t>PropertyPlantAndEquipmentGross @ Q1 2023; raw=11,848,000</t>
        </r>
      </text>
    </comment>
    <comment ref="I96" authorId="0" shapeId="0" xr:uid="{00000000-0006-0000-4700-00003C010000}">
      <text>
        <r>
          <rPr>
            <sz val="11"/>
            <color theme="1"/>
            <rFont val="Calibri"/>
            <family val="2"/>
            <scheme val="minor"/>
          </rPr>
          <t>PropertyPlantAndEquipmentGross @ Q2 2023; raw=14,962,000</t>
        </r>
      </text>
    </comment>
    <comment ref="J96" authorId="0" shapeId="0" xr:uid="{00000000-0006-0000-4700-00003D010000}">
      <text>
        <r>
          <rPr>
            <sz val="11"/>
            <color theme="1"/>
            <rFont val="Calibri"/>
            <family val="2"/>
            <scheme val="minor"/>
          </rPr>
          <t>PropertyPlantAndEquipmentGross @ Q3 2023; raw=18,703,000</t>
        </r>
      </text>
    </comment>
    <comment ref="K96" authorId="0" shapeId="0" xr:uid="{00000000-0006-0000-4700-00003E010000}">
      <text>
        <r>
          <rPr>
            <sz val="11"/>
            <color theme="1"/>
            <rFont val="Calibri"/>
            <family val="2"/>
            <scheme val="minor"/>
          </rPr>
          <t>PropertyPlantAndEquipmentGross @ FY2023; raw=21,908,000</t>
        </r>
      </text>
    </comment>
    <comment ref="L96" authorId="0" shapeId="0" xr:uid="{00000000-0006-0000-4700-00003F010000}">
      <text>
        <r>
          <rPr>
            <sz val="11"/>
            <color theme="1"/>
            <rFont val="Calibri"/>
            <family val="2"/>
            <scheme val="minor"/>
          </rPr>
          <t>PropertyPlantAndEquipmentGross @ Q1 2024; raw=26,110,000</t>
        </r>
      </text>
    </comment>
    <comment ref="M96" authorId="0" shapeId="0" xr:uid="{00000000-0006-0000-4700-000040010000}">
      <text>
        <r>
          <rPr>
            <sz val="11"/>
            <color theme="1"/>
            <rFont val="Calibri"/>
            <family val="2"/>
            <scheme val="minor"/>
          </rPr>
          <t>PropertyPlantAndEquipmentGross @ Q2 2024; raw=34,844,000</t>
        </r>
      </text>
    </comment>
    <comment ref="N96" authorId="0" shapeId="0" xr:uid="{00000000-0006-0000-4700-000041010000}">
      <text>
        <r>
          <rPr>
            <sz val="11"/>
            <color theme="1"/>
            <rFont val="Calibri"/>
            <family val="2"/>
            <scheme val="minor"/>
          </rPr>
          <t>PropertyPlantAndEquipmentGross @ Q3 2024; raw=36,573,000</t>
        </r>
      </text>
    </comment>
    <comment ref="O96" authorId="0" shapeId="0" xr:uid="{00000000-0006-0000-4700-000042010000}">
      <text>
        <r>
          <rPr>
            <sz val="11"/>
            <color theme="1"/>
            <rFont val="Calibri"/>
            <family val="2"/>
            <scheme val="minor"/>
          </rPr>
          <t>PropertyPlantAndEquipmentGross @ FY2024; raw=39,231,000</t>
        </r>
      </text>
    </comment>
    <comment ref="P96" authorId="0" shapeId="0" xr:uid="{00000000-0006-0000-4700-000043010000}">
      <text>
        <r>
          <rPr>
            <sz val="11"/>
            <color theme="1"/>
            <rFont val="Calibri"/>
            <family val="2"/>
            <scheme val="minor"/>
          </rPr>
          <t>PropertyPlantAndEquipmentGross @ Q1 2025; raw=43,441,000</t>
        </r>
      </text>
    </comment>
    <comment ref="Q96" authorId="0" shapeId="0" xr:uid="{00000000-0006-0000-4700-000044010000}">
      <text>
        <r>
          <rPr>
            <sz val="11"/>
            <color theme="1"/>
            <rFont val="Calibri"/>
            <family val="2"/>
            <scheme val="minor"/>
          </rPr>
          <t>PropertyPlantAndEquipmentGross @ Q2 2025; raw=52,892,000</t>
        </r>
      </text>
    </comment>
    <comment ref="R96" authorId="0" shapeId="0" xr:uid="{00000000-0006-0000-4700-000045010000}">
      <text>
        <r>
          <rPr>
            <sz val="11"/>
            <color theme="1"/>
            <rFont val="Calibri"/>
            <family val="2"/>
            <scheme val="minor"/>
          </rPr>
          <t>PropertyPlantAndEquipmentGross @ Q3 2025; raw=57,158,000</t>
        </r>
      </text>
    </comment>
    <comment ref="S96" authorId="0" shapeId="0" xr:uid="{00000000-0006-0000-4700-000046010000}">
      <text>
        <r>
          <rPr>
            <sz val="11"/>
            <color theme="1"/>
            <rFont val="Calibri"/>
            <family val="2"/>
            <scheme val="minor"/>
          </rPr>
          <t>PropertyPlantAndEquipmentGross @ FY2025; raw=60,615,000</t>
        </r>
      </text>
    </comment>
    <comment ref="B97" authorId="0" shapeId="0" xr:uid="{00000000-0006-0000-4700-000047010000}">
      <text>
        <r>
          <rPr>
            <sz val="11"/>
            <color theme="1"/>
            <rFont val="Calibri"/>
            <family val="2"/>
            <scheme val="minor"/>
          </rPr>
          <t>PropertyPlantAndEquipmentGross @ FY2020; raw=78,124</t>
        </r>
      </text>
    </comment>
    <comment ref="C97" authorId="0" shapeId="0" xr:uid="{00000000-0006-0000-4700-000048010000}">
      <text>
        <r>
          <rPr>
            <sz val="11"/>
            <color theme="1"/>
            <rFont val="Calibri"/>
            <family val="2"/>
            <scheme val="minor"/>
          </rPr>
          <t>PropertyPlantAndEquipmentGross @ FY2021; raw=304,210</t>
        </r>
      </text>
    </comment>
    <comment ref="D97" authorId="0" shapeId="0" xr:uid="{00000000-0006-0000-4700-000049010000}">
      <text>
        <r>
          <rPr>
            <sz val="11"/>
            <color theme="1"/>
            <rFont val="Calibri"/>
            <family val="2"/>
            <scheme val="minor"/>
          </rPr>
          <t>PropertyPlantAndEquipmentGross @ Q1 2022; raw=456,000</t>
        </r>
      </text>
    </comment>
    <comment ref="E97" authorId="0" shapeId="0" xr:uid="{00000000-0006-0000-4700-00004A010000}">
      <text>
        <r>
          <rPr>
            <sz val="11"/>
            <color theme="1"/>
            <rFont val="Calibri"/>
            <family val="2"/>
            <scheme val="minor"/>
          </rPr>
          <t>PropertyPlantAndEquipmentGross @ Q2 2022; raw=739,000</t>
        </r>
      </text>
    </comment>
    <comment ref="F97" authorId="0" shapeId="0" xr:uid="{00000000-0006-0000-4700-00004B010000}">
      <text>
        <r>
          <rPr>
            <sz val="11"/>
            <color theme="1"/>
            <rFont val="Calibri"/>
            <family val="2"/>
            <scheme val="minor"/>
          </rPr>
          <t>PropertyPlantAndEquipmentGross @ Q3 2022; raw=1,013,000</t>
        </r>
      </text>
    </comment>
    <comment ref="G97" authorId="0" shapeId="0" xr:uid="{00000000-0006-0000-4700-00004C010000}">
      <text>
        <r>
          <rPr>
            <sz val="11"/>
            <color theme="1"/>
            <rFont val="Calibri"/>
            <family val="2"/>
            <scheme val="minor"/>
          </rPr>
          <t>PropertyPlantAndEquipmentGross @ FY2022; raw=1,257,000</t>
        </r>
      </text>
    </comment>
    <comment ref="H97" authorId="0" shapeId="0" xr:uid="{00000000-0006-0000-4700-00004D010000}">
      <text>
        <r>
          <rPr>
            <sz val="11"/>
            <color theme="1"/>
            <rFont val="Calibri"/>
            <family val="2"/>
            <scheme val="minor"/>
          </rPr>
          <t>PropertyPlantAndEquipmentGross @ Q1 2023; raw=1,524,000</t>
        </r>
      </text>
    </comment>
    <comment ref="I97" authorId="0" shapeId="0" xr:uid="{00000000-0006-0000-4700-00004E010000}">
      <text>
        <r>
          <rPr>
            <sz val="11"/>
            <color theme="1"/>
            <rFont val="Calibri"/>
            <family val="2"/>
            <scheme val="minor"/>
          </rPr>
          <t>PropertyPlantAndEquipmentGross @ Q2 2023; raw=2,596,000</t>
        </r>
      </text>
    </comment>
    <comment ref="J97" authorId="0" shapeId="0" xr:uid="{00000000-0006-0000-4700-00004F010000}">
      <text>
        <r>
          <rPr>
            <sz val="11"/>
            <color theme="1"/>
            <rFont val="Calibri"/>
            <family val="2"/>
            <scheme val="minor"/>
          </rPr>
          <t>PropertyPlantAndEquipmentGross @ Q3 2023; raw=4,617,000</t>
        </r>
      </text>
    </comment>
    <comment ref="K97" authorId="0" shapeId="0" xr:uid="{00000000-0006-0000-4700-000050010000}">
      <text>
        <r>
          <rPr>
            <sz val="11"/>
            <color theme="1"/>
            <rFont val="Calibri"/>
            <family val="2"/>
            <scheme val="minor"/>
          </rPr>
          <t>PropertyPlantAndEquipmentGross @ FY2023; raw=6,143,000</t>
        </r>
      </text>
    </comment>
    <comment ref="L97" authorId="0" shapeId="0" xr:uid="{00000000-0006-0000-4700-000051010000}">
      <text>
        <r>
          <rPr>
            <sz val="11"/>
            <color theme="1"/>
            <rFont val="Calibri"/>
            <family val="2"/>
            <scheme val="minor"/>
          </rPr>
          <t>PropertyPlantAndEquipmentGross @ Q1 2024; raw=6,294,000</t>
        </r>
      </text>
    </comment>
    <comment ref="M97" authorId="0" shapeId="0" xr:uid="{00000000-0006-0000-4700-000052010000}">
      <text>
        <r>
          <rPr>
            <sz val="11"/>
            <color theme="1"/>
            <rFont val="Calibri"/>
            <family val="2"/>
            <scheme val="minor"/>
          </rPr>
          <t>PropertyPlantAndEquipmentGross @ Q2 2024; raw=6,687,000</t>
        </r>
      </text>
    </comment>
    <comment ref="N97" authorId="0" shapeId="0" xr:uid="{00000000-0006-0000-4700-000053010000}">
      <text>
        <r>
          <rPr>
            <sz val="11"/>
            <color theme="1"/>
            <rFont val="Calibri"/>
            <family val="2"/>
            <scheme val="minor"/>
          </rPr>
          <t>PropertyPlantAndEquipmentGross @ Q3 2024; raw=9,070,000</t>
        </r>
      </text>
    </comment>
    <comment ref="O97" authorId="0" shapeId="0" xr:uid="{00000000-0006-0000-4700-000054010000}">
      <text>
        <r>
          <rPr>
            <sz val="11"/>
            <color theme="1"/>
            <rFont val="Calibri"/>
            <family val="2"/>
            <scheme val="minor"/>
          </rPr>
          <t>PropertyPlantAndEquipmentGross @ FY2024; raw=12,237,000</t>
        </r>
      </text>
    </comment>
    <comment ref="P97" authorId="0" shapeId="0" xr:uid="{00000000-0006-0000-4700-000055010000}">
      <text>
        <r>
          <rPr>
            <sz val="11"/>
            <color theme="1"/>
            <rFont val="Calibri"/>
            <family val="2"/>
            <scheme val="minor"/>
          </rPr>
          <t>PropertyPlantAndEquipmentGross @ Q1 2025; raw=12,237,000</t>
        </r>
      </text>
    </comment>
    <comment ref="Q97" authorId="0" shapeId="0" xr:uid="{00000000-0006-0000-4700-000056010000}">
      <text>
        <r>
          <rPr>
            <sz val="11"/>
            <color theme="1"/>
            <rFont val="Calibri"/>
            <family val="2"/>
            <scheme val="minor"/>
          </rPr>
          <t>PropertyPlantAndEquipmentGross @ Q2 2025; raw=14,828,000</t>
        </r>
      </text>
    </comment>
    <comment ref="R97" authorId="0" shapeId="0" xr:uid="{00000000-0006-0000-4700-000057010000}">
      <text>
        <r>
          <rPr>
            <sz val="11"/>
            <color theme="1"/>
            <rFont val="Calibri"/>
            <family val="2"/>
            <scheme val="minor"/>
          </rPr>
          <t>PropertyPlantAndEquipmentGross @ Q3 2025; raw=14,919,000</t>
        </r>
      </text>
    </comment>
    <comment ref="S97" authorId="0" shapeId="0" xr:uid="{00000000-0006-0000-4700-000058010000}">
      <text>
        <r>
          <rPr>
            <sz val="11"/>
            <color theme="1"/>
            <rFont val="Calibri"/>
            <family val="2"/>
            <scheme val="minor"/>
          </rPr>
          <t>PropertyPlantAndEquipmentGross @ FY2025; raw=17,501,000</t>
        </r>
      </text>
    </comment>
    <comment ref="O98" authorId="0" shapeId="0" xr:uid="{00000000-0006-0000-4700-000059010000}">
      <text>
        <r>
          <rPr>
            <sz val="11"/>
            <color theme="1"/>
            <rFont val="Calibri"/>
            <family val="2"/>
            <scheme val="minor"/>
          </rPr>
          <t>PropertyPlantAndEquipmentGross @ FY2024; raw=10,136,000</t>
        </r>
      </text>
    </comment>
    <comment ref="P98" authorId="0" shapeId="0" xr:uid="{00000000-0006-0000-4700-00005A010000}">
      <text>
        <r>
          <rPr>
            <sz val="11"/>
            <color theme="1"/>
            <rFont val="Calibri"/>
            <family val="2"/>
            <scheme val="minor"/>
          </rPr>
          <t>PropertyPlantAndEquipmentGross @ Q1 2025; raw=11,683,000</t>
        </r>
      </text>
    </comment>
    <comment ref="Q98" authorId="0" shapeId="0" xr:uid="{00000000-0006-0000-4700-00005B010000}">
      <text>
        <r>
          <rPr>
            <sz val="11"/>
            <color theme="1"/>
            <rFont val="Calibri"/>
            <family val="2"/>
            <scheme val="minor"/>
          </rPr>
          <t>PropertyPlantAndEquipmentGross @ Q2 2025; raw=16,585,000</t>
        </r>
      </text>
    </comment>
    <comment ref="R98" authorId="0" shapeId="0" xr:uid="{00000000-0006-0000-4700-00005C010000}">
      <text>
        <r>
          <rPr>
            <sz val="11"/>
            <color theme="1"/>
            <rFont val="Calibri"/>
            <family val="2"/>
            <scheme val="minor"/>
          </rPr>
          <t>PropertyPlantAndEquipmentGross @ Q3 2025; raw=22,430,000</t>
        </r>
      </text>
    </comment>
    <comment ref="S98" authorId="0" shapeId="0" xr:uid="{00000000-0006-0000-4700-00005D010000}">
      <text>
        <r>
          <rPr>
            <sz val="11"/>
            <color theme="1"/>
            <rFont val="Calibri"/>
            <family val="2"/>
            <scheme val="minor"/>
          </rPr>
          <t>PropertyPlantAndEquipmentGross @ FY2025; raw=14,631,000</t>
        </r>
      </text>
    </comment>
    <comment ref="B99" authorId="0" shapeId="0" xr:uid="{00000000-0006-0000-4700-00005E010000}">
      <text>
        <r>
          <rPr>
            <sz val="11"/>
            <color theme="1"/>
            <rFont val="Calibri"/>
            <family val="2"/>
            <scheme val="minor"/>
          </rPr>
          <t>PropertyPlantAndEquipmentGross @ FY2020; raw=630,759</t>
        </r>
      </text>
    </comment>
    <comment ref="C99" authorId="0" shapeId="0" xr:uid="{00000000-0006-0000-4700-00005F010000}">
      <text>
        <r>
          <rPr>
            <sz val="11"/>
            <color theme="1"/>
            <rFont val="Calibri"/>
            <family val="2"/>
            <scheme val="minor"/>
          </rPr>
          <t>PropertyPlantAndEquipmentGross @ FY2021; raw=890,695</t>
        </r>
      </text>
    </comment>
    <comment ref="D99" authorId="0" shapeId="0" xr:uid="{00000000-0006-0000-4700-000060010000}">
      <text>
        <r>
          <rPr>
            <sz val="11"/>
            <color theme="1"/>
            <rFont val="Calibri"/>
            <family val="2"/>
            <scheme val="minor"/>
          </rPr>
          <t>PropertyPlantAndEquipmentGross @ Q1 2022; raw=968,000</t>
        </r>
      </text>
    </comment>
    <comment ref="E99" authorId="0" shapeId="0" xr:uid="{00000000-0006-0000-4700-000061010000}">
      <text>
        <r>
          <rPr>
            <sz val="11"/>
            <color theme="1"/>
            <rFont val="Calibri"/>
            <family val="2"/>
            <scheme val="minor"/>
          </rPr>
          <t>PropertyPlantAndEquipmentGross @ Q2 2022; raw=996,000</t>
        </r>
      </text>
    </comment>
    <comment ref="F99" authorId="0" shapeId="0" xr:uid="{00000000-0006-0000-4700-000062010000}">
      <text>
        <r>
          <rPr>
            <sz val="11"/>
            <color theme="1"/>
            <rFont val="Calibri"/>
            <family val="2"/>
            <scheme val="minor"/>
          </rPr>
          <t>PropertyPlantAndEquipmentGross @ Q3 2022; raw=1,177,000</t>
        </r>
      </text>
    </comment>
    <comment ref="G99" authorId="0" shapeId="0" xr:uid="{00000000-0006-0000-4700-000063010000}">
      <text>
        <r>
          <rPr>
            <sz val="11"/>
            <color theme="1"/>
            <rFont val="Calibri"/>
            <family val="2"/>
            <scheme val="minor"/>
          </rPr>
          <t>PropertyPlantAndEquipmentGross @ FY2022; raw=1,124,000</t>
        </r>
      </text>
    </comment>
    <comment ref="H99" authorId="0" shapeId="0" xr:uid="{00000000-0006-0000-4700-000064010000}">
      <text>
        <r>
          <rPr>
            <sz val="11"/>
            <color theme="1"/>
            <rFont val="Calibri"/>
            <family val="2"/>
            <scheme val="minor"/>
          </rPr>
          <t>PropertyPlantAndEquipmentGross @ Q1 2023; raw=1,158,000</t>
        </r>
      </text>
    </comment>
    <comment ref="I99" authorId="0" shapeId="0" xr:uid="{00000000-0006-0000-4700-000065010000}">
      <text>
        <r>
          <rPr>
            <sz val="11"/>
            <color theme="1"/>
            <rFont val="Calibri"/>
            <family val="2"/>
            <scheme val="minor"/>
          </rPr>
          <t>PropertyPlantAndEquipmentGross @ Q2 2023; raw=1,286,000</t>
        </r>
      </text>
    </comment>
    <comment ref="J99" authorId="0" shapeId="0" xr:uid="{00000000-0006-0000-4700-000066010000}">
      <text>
        <r>
          <rPr>
            <sz val="11"/>
            <color theme="1"/>
            <rFont val="Calibri"/>
            <family val="2"/>
            <scheme val="minor"/>
          </rPr>
          <t>PropertyPlantAndEquipmentGross @ Q3 2023; raw=1,399,000</t>
        </r>
      </text>
    </comment>
    <comment ref="K99" authorId="0" shapeId="0" xr:uid="{00000000-0006-0000-4700-000067010000}">
      <text>
        <r>
          <rPr>
            <sz val="11"/>
            <color theme="1"/>
            <rFont val="Calibri"/>
            <family val="2"/>
            <scheme val="minor"/>
          </rPr>
          <t>PropertyPlantAndEquipmentGross @ FY2023; raw=1,467,000</t>
        </r>
      </text>
    </comment>
    <comment ref="L99" authorId="0" shapeId="0" xr:uid="{00000000-0006-0000-4700-000068010000}">
      <text>
        <r>
          <rPr>
            <sz val="11"/>
            <color theme="1"/>
            <rFont val="Calibri"/>
            <family val="2"/>
            <scheme val="minor"/>
          </rPr>
          <t>PropertyPlantAndEquipmentGross @ Q1 2024; raw=1,571,000</t>
        </r>
      </text>
    </comment>
    <comment ref="M99" authorId="0" shapeId="0" xr:uid="{00000000-0006-0000-4700-000069010000}">
      <text>
        <r>
          <rPr>
            <sz val="11"/>
            <color theme="1"/>
            <rFont val="Calibri"/>
            <family val="2"/>
            <scheme val="minor"/>
          </rPr>
          <t>PropertyPlantAndEquipmentGross @ Q2 2024; raw=1,623,000</t>
        </r>
      </text>
    </comment>
    <comment ref="N99" authorId="0" shapeId="0" xr:uid="{00000000-0006-0000-4700-00006A010000}">
      <text>
        <r>
          <rPr>
            <sz val="11"/>
            <color theme="1"/>
            <rFont val="Calibri"/>
            <family val="2"/>
            <scheme val="minor"/>
          </rPr>
          <t>PropertyPlantAndEquipmentGross @ Q3 2024; raw=1,632,000</t>
        </r>
      </text>
    </comment>
    <comment ref="O99" authorId="0" shapeId="0" xr:uid="{00000000-0006-0000-4700-00006B010000}">
      <text>
        <r>
          <rPr>
            <sz val="11"/>
            <color theme="1"/>
            <rFont val="Calibri"/>
            <family val="2"/>
            <scheme val="minor"/>
          </rPr>
          <t>PropertyPlantAndEquipmentGross @ FY2024; raw=2,228,000</t>
        </r>
      </text>
    </comment>
    <comment ref="P99" authorId="0" shapeId="0" xr:uid="{00000000-0006-0000-4700-00006C010000}">
      <text>
        <r>
          <rPr>
            <sz val="11"/>
            <color theme="1"/>
            <rFont val="Calibri"/>
            <family val="2"/>
            <scheme val="minor"/>
          </rPr>
          <t>PropertyPlantAndEquipmentGross @ Q1 2025; raw=1,681,000</t>
        </r>
      </text>
    </comment>
    <comment ref="Q99" authorId="0" shapeId="0" xr:uid="{00000000-0006-0000-4700-00006D010000}">
      <text>
        <r>
          <rPr>
            <sz val="11"/>
            <color theme="1"/>
            <rFont val="Calibri"/>
            <family val="2"/>
            <scheme val="minor"/>
          </rPr>
          <t>PropertyPlantAndEquipmentGross @ Q2 2025; raw=1,846,000</t>
        </r>
      </text>
    </comment>
    <comment ref="R99" authorId="0" shapeId="0" xr:uid="{00000000-0006-0000-4700-00006E010000}">
      <text>
        <r>
          <rPr>
            <sz val="11"/>
            <color theme="1"/>
            <rFont val="Calibri"/>
            <family val="2"/>
            <scheme val="minor"/>
          </rPr>
          <t>PropertyPlantAndEquipmentGross @ Q3 2025; raw=2,880,000</t>
        </r>
      </text>
    </comment>
    <comment ref="S99" authorId="0" shapeId="0" xr:uid="{00000000-0006-0000-4700-00006F010000}">
      <text>
        <r>
          <rPr>
            <sz val="11"/>
            <color theme="1"/>
            <rFont val="Calibri"/>
            <family val="2"/>
            <scheme val="minor"/>
          </rPr>
          <t>PropertyPlantAndEquipmentGross @ FY2025; raw=3,570,000</t>
        </r>
      </text>
    </comment>
    <comment ref="O100" authorId="0" shapeId="0" xr:uid="{00000000-0006-0000-4700-000070010000}">
      <text>
        <r>
          <rPr>
            <sz val="11"/>
            <color theme="1"/>
            <rFont val="Calibri"/>
            <family val="2"/>
            <scheme val="minor"/>
          </rPr>
          <t>PropertyPlantAndEquipmentGross @ FY2024; raw=2,561,000</t>
        </r>
      </text>
    </comment>
    <comment ref="P100" authorId="0" shapeId="0" xr:uid="{00000000-0006-0000-4700-000071010000}">
      <text>
        <r>
          <rPr>
            <sz val="11"/>
            <color theme="1"/>
            <rFont val="Calibri"/>
            <family val="2"/>
            <scheme val="minor"/>
          </rPr>
          <t>PropertyPlantAndEquipmentGross @ Q1 2025; raw=2,375,000</t>
        </r>
      </text>
    </comment>
    <comment ref="Q100" authorId="0" shapeId="0" xr:uid="{00000000-0006-0000-4700-000072010000}">
      <text>
        <r>
          <rPr>
            <sz val="11"/>
            <color theme="1"/>
            <rFont val="Calibri"/>
            <family val="2"/>
            <scheme val="minor"/>
          </rPr>
          <t>PropertyPlantAndEquipmentGross @ Q2 2025; raw=2,439,000</t>
        </r>
      </text>
    </comment>
    <comment ref="R100" authorId="0" shapeId="0" xr:uid="{00000000-0006-0000-4700-000073010000}">
      <text>
        <r>
          <rPr>
            <sz val="11"/>
            <color theme="1"/>
            <rFont val="Calibri"/>
            <family val="2"/>
            <scheme val="minor"/>
          </rPr>
          <t>PropertyPlantAndEquipmentGross @ Q3 2025; raw=2,443,000</t>
        </r>
      </text>
    </comment>
    <comment ref="S100" authorId="0" shapeId="0" xr:uid="{00000000-0006-0000-4700-000074010000}">
      <text>
        <r>
          <rPr>
            <sz val="11"/>
            <color theme="1"/>
            <rFont val="Calibri"/>
            <family val="2"/>
            <scheme val="minor"/>
          </rPr>
          <t>PropertyPlantAndEquipmentGross @ FY2025; raw=2,523,000</t>
        </r>
      </text>
    </comment>
    <comment ref="S101" authorId="0" shapeId="0" xr:uid="{00000000-0006-0000-4700-000075010000}">
      <text>
        <r>
          <rPr>
            <sz val="11"/>
            <color theme="1"/>
            <rFont val="Calibri"/>
            <family val="2"/>
            <scheme val="minor"/>
          </rPr>
          <t>PropertyPlantAndEquipmentGross @ FY2025; raw=11,187,000</t>
        </r>
      </text>
    </comment>
    <comment ref="B108" authorId="0" shapeId="0" xr:uid="{00000000-0006-0000-4700-000076010000}">
      <text>
        <r>
          <rPr>
            <sz val="11"/>
            <color theme="1"/>
            <rFont val="Calibri"/>
            <family val="2"/>
            <scheme val="minor"/>
          </rPr>
          <t>FiniteLivedIntangibleAssetsGross @ FY2024; raw=13,970,000</t>
        </r>
      </text>
    </comment>
    <comment ref="C108" authorId="0" shapeId="0" xr:uid="{00000000-0006-0000-4700-000077010000}">
      <text>
        <r>
          <rPr>
            <sz val="11"/>
            <color theme="1"/>
            <rFont val="Calibri"/>
            <family val="2"/>
            <scheme val="minor"/>
          </rPr>
          <t>FiniteLivedIntangibleAssetsGross @ Q2 2025; raw=126,644,000</t>
        </r>
      </text>
    </comment>
    <comment ref="D108" authorId="0" shapeId="0" xr:uid="{00000000-0006-0000-4700-000078010000}">
      <text>
        <r>
          <rPr>
            <sz val="11"/>
            <color theme="1"/>
            <rFont val="Calibri"/>
            <family val="2"/>
            <scheme val="minor"/>
          </rPr>
          <t>FiniteLivedIntangibleAssetsGross @ Q3 2025; raw=132,171,000</t>
        </r>
      </text>
    </comment>
    <comment ref="E108" authorId="0" shapeId="0" xr:uid="{00000000-0006-0000-4700-000079010000}">
      <text>
        <r>
          <rPr>
            <sz val="11"/>
            <color theme="1"/>
            <rFont val="Calibri"/>
            <family val="2"/>
            <scheme val="minor"/>
          </rPr>
          <t>FiniteLivedIntangibleAssetsGross @ FY2025; raw=132,183,000</t>
        </r>
      </text>
    </comment>
    <comment ref="F108" authorId="0" shapeId="0" xr:uid="{00000000-0006-0000-4700-00007A010000}">
      <text>
        <r>
          <rPr>
            <sz val="11"/>
            <color theme="1"/>
            <rFont val="Calibri"/>
            <family val="2"/>
            <scheme val="minor"/>
          </rPr>
          <t>FiniteLivedIntangibleAssetsGross @ Q1 2026; raw=131,865,000</t>
        </r>
      </text>
    </comment>
    <comment ref="B109" authorId="0" shapeId="0" xr:uid="{00000000-0006-0000-4700-00007B010000}">
      <text>
        <r>
          <rPr>
            <sz val="11"/>
            <color theme="1"/>
            <rFont val="Calibri"/>
            <family val="2"/>
            <scheme val="minor"/>
          </rPr>
          <t>FiniteLivedIntangibleAssetsGross @ FY2024; raw=500,000</t>
        </r>
      </text>
    </comment>
    <comment ref="C109" authorId="0" shapeId="0" xr:uid="{00000000-0006-0000-4700-00007C010000}">
      <text>
        <r>
          <rPr>
            <sz val="11"/>
            <color theme="1"/>
            <rFont val="Calibri"/>
            <family val="2"/>
            <scheme val="minor"/>
          </rPr>
          <t>FiniteLivedIntangibleAssetsGross @ Q2 2025; raw=500,000</t>
        </r>
      </text>
    </comment>
    <comment ref="D109" authorId="0" shapeId="0" xr:uid="{00000000-0006-0000-4700-00007D010000}">
      <text>
        <r>
          <rPr>
            <sz val="11"/>
            <color theme="1"/>
            <rFont val="Calibri"/>
            <family val="2"/>
            <scheme val="minor"/>
          </rPr>
          <t>FiniteLivedIntangibleAssetsGross @ Q3 2025; raw=500,000</t>
        </r>
      </text>
    </comment>
    <comment ref="E109" authorId="0" shapeId="0" xr:uid="{00000000-0006-0000-4700-00007E010000}">
      <text>
        <r>
          <rPr>
            <sz val="11"/>
            <color theme="1"/>
            <rFont val="Calibri"/>
            <family val="2"/>
            <scheme val="minor"/>
          </rPr>
          <t>FiniteLivedIntangibleAssetsGross @ FY2025; raw=500,000</t>
        </r>
      </text>
    </comment>
    <comment ref="F109" authorId="0" shapeId="0" xr:uid="{00000000-0006-0000-4700-00007F010000}">
      <text>
        <r>
          <rPr>
            <sz val="11"/>
            <color theme="1"/>
            <rFont val="Calibri"/>
            <family val="2"/>
            <scheme val="minor"/>
          </rPr>
          <t>FiniteLivedIntangibleAssetsGross @ Q1 2026; raw=500,000</t>
        </r>
      </text>
    </comment>
  </commentList>
</comments>
</file>

<file path=xl/sharedStrings.xml><?xml version="1.0" encoding="utf-8"?>
<sst xmlns="http://schemas.openxmlformats.org/spreadsheetml/2006/main" count="14184" uniqueCount="8021">
  <si>
    <t>CELH Transcript KPI Consolidation — reported value per period</t>
  </si>
  <si>
    <t>Every quantitative datapoint disclosed across the 69 transcripts — including items also in SEC filings, and metrics reported by more than one transcript. Cell shows the earnings-call figure (else earliest source); Shift+F2 note lists every source with its value. Values normalized to $M; period read from row label or column header.</t>
  </si>
  <si>
    <t>Metric</t>
  </si>
  <si>
    <t>FY2017</t>
  </si>
  <si>
    <t>Q3 2018</t>
  </si>
  <si>
    <t>9M 2018</t>
  </si>
  <si>
    <t>Q4 2018</t>
  </si>
  <si>
    <t>FY2018</t>
  </si>
  <si>
    <t>Q1 2019</t>
  </si>
  <si>
    <t>Q2 2019</t>
  </si>
  <si>
    <t>H1 2019</t>
  </si>
  <si>
    <t>Q3 2019</t>
  </si>
  <si>
    <t>9M 2019</t>
  </si>
  <si>
    <t>Q4 2019</t>
  </si>
  <si>
    <t>FY2019</t>
  </si>
  <si>
    <t>Q4 2020</t>
  </si>
  <si>
    <t>FY2020</t>
  </si>
  <si>
    <t>Q1 2021</t>
  </si>
  <si>
    <t>Q2 2021</t>
  </si>
  <si>
    <t>H1 2021</t>
  </si>
  <si>
    <t>Q3 2021</t>
  </si>
  <si>
    <t>FY2021</t>
  </si>
  <si>
    <t>Q1 2022</t>
  </si>
  <si>
    <t>Q2 2022</t>
  </si>
  <si>
    <t>Q3 2022</t>
  </si>
  <si>
    <t>Q4 2022</t>
  </si>
  <si>
    <t>FY2022</t>
  </si>
  <si>
    <t>Q1 2023</t>
  </si>
  <si>
    <t>Q2 2023</t>
  </si>
  <si>
    <t>H1 2023</t>
  </si>
  <si>
    <t>Q3 2023</t>
  </si>
  <si>
    <t>9M 2023</t>
  </si>
  <si>
    <t>Q4 2023</t>
  </si>
  <si>
    <t>FY2023</t>
  </si>
  <si>
    <t>Q1 2024</t>
  </si>
  <si>
    <t>Q4 2024</t>
  </si>
  <si>
    <t>FY2024</t>
  </si>
  <si>
    <t>Q1 2025</t>
  </si>
  <si>
    <t>Q2 2025</t>
  </si>
  <si>
    <t>H1 2025</t>
  </si>
  <si>
    <t>Q3 2025</t>
  </si>
  <si>
    <t>Q4 2025</t>
  </si>
  <si>
    <t>FY2025</t>
  </si>
  <si>
    <t>Q1 2026</t>
  </si>
  <si>
    <t>FY2026</t>
  </si>
  <si>
    <t>Total Revenue</t>
  </si>
  <si>
    <t>North America Revenue</t>
  </si>
  <si>
    <t>International Revenue</t>
  </si>
  <si>
    <t>Europe Revenue</t>
  </si>
  <si>
    <t>Asia Revenue</t>
  </si>
  <si>
    <t>Amazon Revenue</t>
  </si>
  <si>
    <t>Gross Profit</t>
  </si>
  <si>
    <t>Gross Margin</t>
  </si>
  <si>
    <t>Selling &amp; Marketing</t>
  </si>
  <si>
    <t>General &amp; Administrative</t>
  </si>
  <si>
    <t>Net Income</t>
  </si>
  <si>
    <t>Adjusted EBITDA</t>
  </si>
  <si>
    <t>Operating Cash Flow</t>
  </si>
  <si>
    <t>Cash</t>
  </si>
  <si>
    <t>Working Capital</t>
  </si>
  <si>
    <t>— Other metrics —</t>
  </si>
  <si>
    <t>% of MULO+C stores DSD-serviced</t>
  </si>
  <si>
    <t>12-week growth</t>
  </si>
  <si>
    <t>2-week growth</t>
  </si>
  <si>
    <t>4-week growth</t>
  </si>
  <si>
    <t>Accrued distributor termination fees</t>
  </si>
  <si>
    <t>Acquisition &amp; integration adj</t>
  </si>
  <si>
    <t>Acquisition-related costs</t>
  </si>
  <si>
    <t>Acquisition-related costs (FY)</t>
  </si>
  <si>
    <t>ACV (all channels)</t>
  </si>
  <si>
    <t>Adj EBITDA &amp; one-time</t>
  </si>
  <si>
    <t>Adj EBITDA /one-time</t>
  </si>
  <si>
    <t>Adj. Gross Margin (ex-freight)</t>
  </si>
  <si>
    <t>Adjusted Diluted EPS</t>
  </si>
  <si>
    <t>Adjusted EBITDA Margin</t>
  </si>
  <si>
    <t>Adjusted SG&amp;A % of revenue</t>
  </si>
  <si>
    <t>Adjusted SG&amp;A as % of revenue (FY)</t>
  </si>
  <si>
    <t>Adjusted SG&amp;A as % of revenue (Q4)</t>
  </si>
  <si>
    <t>Alani Nu brand</t>
  </si>
  <si>
    <t>Alani Nu dollar share</t>
  </si>
  <si>
    <t>Alani Nu net sales</t>
  </si>
  <si>
    <t>Alani Nu retail sales growth</t>
  </si>
  <si>
    <t>Asia (China royalty)</t>
  </si>
  <si>
    <t>Average Items Carried Per Store (MULOC)</t>
  </si>
  <si>
    <t>Brand Celsius net sales</t>
  </si>
  <si>
    <t>Celsius brand</t>
  </si>
  <si>
    <t>CELSIUS brand retail sales growth</t>
  </si>
  <si>
    <t>CELSIUS brand revenue</t>
  </si>
  <si>
    <t>Celsius US tracked-channel dollar share</t>
  </si>
  <si>
    <t>China Note Interest Income</t>
  </si>
  <si>
    <t>Club channel revenue</t>
  </si>
  <si>
    <t>Club Channel Sales</t>
  </si>
  <si>
    <t>Combined business RTD energy mix</t>
  </si>
  <si>
    <t>Combined portfolio dollar share</t>
  </si>
  <si>
    <t>Contingent consideration</t>
  </si>
  <si>
    <t>Convenience ACV</t>
  </si>
  <si>
    <t>Convenience channel ACV</t>
  </si>
  <si>
    <t>Convenience channel sales growth</t>
  </si>
  <si>
    <t>Convenience channel store locations</t>
  </si>
  <si>
    <t>Convenience store locations</t>
  </si>
  <si>
    <t>Cooler Rollout Phase 1</t>
  </si>
  <si>
    <t>Debt</t>
  </si>
  <si>
    <t>Diluted EPS</t>
  </si>
  <si>
    <t>Distribution Termination Expenses</t>
  </si>
  <si>
    <t>Distributor termination &amp; integration adj</t>
  </si>
  <si>
    <t>Distributor termination costs (Q4)</t>
  </si>
  <si>
    <t>DPO (days)</t>
  </si>
  <si>
    <t>DSD distributor revenue growth</t>
  </si>
  <si>
    <t>DSD incremental revenue</t>
  </si>
  <si>
    <t>DSD network sales</t>
  </si>
  <si>
    <t>DSD population coverage</t>
  </si>
  <si>
    <t>DSD service centers</t>
  </si>
  <si>
    <t>DSO (days)</t>
  </si>
  <si>
    <t>Earn-out contingent consideration charge</t>
  </si>
  <si>
    <t>Effective tax rate (9 months)</t>
  </si>
  <si>
    <t>EPS</t>
  </si>
  <si>
    <t>EPS Basic</t>
  </si>
  <si>
    <t>Fill Rate</t>
  </si>
  <si>
    <t>Foodservice as % of NA sales (via PepsiCo)</t>
  </si>
  <si>
    <t>Freight (% of net revenues)</t>
  </si>
  <si>
    <t>Freight cost (Celsius brand) % of sales</t>
  </si>
  <si>
    <t>G&amp;A % of Revenue</t>
  </si>
  <si>
    <t>G&amp;A % of sales (ex-acquisition costs)</t>
  </si>
  <si>
    <t>Gap (promos/incentives + non-DSD timing)</t>
  </si>
  <si>
    <t>Gross Margin Aspiration</t>
  </si>
  <si>
    <t>Gross Margin ex inventory step-up</t>
  </si>
  <si>
    <t>Gross margin sequential change (vs Q2)</t>
  </si>
  <si>
    <t>Household Penetration</t>
  </si>
  <si>
    <t>Incremental Cooler Placement</t>
  </si>
  <si>
    <t>International Cadence</t>
  </si>
  <si>
    <t>International Revenue (ex-Canada)</t>
  </si>
  <si>
    <t>Inventory Days on Hand</t>
  </si>
  <si>
    <t>Inventory Increase (9M)</t>
  </si>
  <si>
    <t>Inventory valuation step-up (non-cash, FY)</t>
  </si>
  <si>
    <t>June 9 Offering Net Proceeds (to Company)</t>
  </si>
  <si>
    <t>Long-term debt</t>
  </si>
  <si>
    <t>MULOC ACV</t>
  </si>
  <si>
    <t>MULOC locations serviced by DSD</t>
  </si>
  <si>
    <t>Net benefit (Celsius + Alani load-in)</t>
  </si>
  <si>
    <t>Net Inventory</t>
  </si>
  <si>
    <t>Net Loss Per Share</t>
  </si>
  <si>
    <t>Normalized Gross Margin ()</t>
  </si>
  <si>
    <t>Op. Cash Flow ex-inventory build (6M)</t>
  </si>
  <si>
    <t>Other Income</t>
  </si>
  <si>
    <t>Other International</t>
  </si>
  <si>
    <t>Other international markets</t>
  </si>
  <si>
    <t>Portfolio retail sales growth</t>
  </si>
  <si>
    <t>Prepaids tied to raw materials</t>
  </si>
  <si>
    <t>Pro-Forma Net Leverage</t>
  </si>
  <si>
    <t>Protein shakes share of 2024 sales</t>
  </si>
  <si>
    <t>Purchase accounting inventory step-up</t>
  </si>
  <si>
    <t>Quarter growth</t>
  </si>
  <si>
    <t>Restricted cash</t>
  </si>
  <si>
    <t>Retail Sales Growth</t>
  </si>
  <si>
    <t>Revenue CAGR (2022-2024)</t>
  </si>
  <si>
    <t>Rockstar combined Q3 impact</t>
  </si>
  <si>
    <t>Rockstar Energy retail sales growth</t>
  </si>
  <si>
    <t>Rockstar Energy revenue</t>
  </si>
  <si>
    <t>Rockstar net sales</t>
  </si>
  <si>
    <t>Rockstar other-income GAAP portion</t>
  </si>
  <si>
    <t>Rockstar revenue (first month under ownership, $M)</t>
  </si>
  <si>
    <t>Rockstar run rate</t>
  </si>
  <si>
    <t>RTD energy share of 2024 sales</t>
  </si>
  <si>
    <t>S&amp;M % of Revenue</t>
  </si>
  <si>
    <t>Scanner data trend</t>
  </si>
  <si>
    <t>Sequential Gross Margin Improvement (vs Q2)</t>
  </si>
  <si>
    <t>Sequential revenue growth (vs )</t>
  </si>
  <si>
    <t>Sequential Revenue Growth (vs Q2)</t>
  </si>
  <si>
    <t>Series B convertible preferred stock (newly issued)</t>
  </si>
  <si>
    <t>SG&amp;A</t>
  </si>
  <si>
    <t>Stock Option Expense</t>
  </si>
  <si>
    <t>Subway Distribution Opportunity</t>
  </si>
  <si>
    <t>Total assets</t>
  </si>
  <si>
    <t>Total Net Other Expense</t>
  </si>
  <si>
    <t>Total Net Other Income</t>
  </si>
  <si>
    <t>Total Other Income</t>
  </si>
  <si>
    <t>US store count</t>
  </si>
  <si>
    <t>US total door count</t>
  </si>
  <si>
    <t>Vending / foodservice revenue</t>
  </si>
  <si>
    <t>Volume Growth</t>
  </si>
  <si>
    <t>Walmart sales growth</t>
  </si>
  <si>
    <t>Event</t>
  </si>
  <si>
    <t>Q3 2018 Earnings Call</t>
  </si>
  <si>
    <t>Date</t>
  </si>
  <si>
    <t>2018-11-09</t>
  </si>
  <si>
    <t>QUANTITATIVE</t>
  </si>
  <si>
    <t>Revenue ($M)</t>
  </si>
  <si>
    <t>Prior Yr</t>
  </si>
  <si>
    <t>Current</t>
  </si>
  <si>
    <t>YoY %</t>
  </si>
  <si>
    <t>Total Revenue Q3 2018</t>
  </si>
  <si>
    <t>54%</t>
  </si>
  <si>
    <t>North America Revenue Q3 2018</t>
  </si>
  <si>
    <t>92%</t>
  </si>
  <si>
    <t>Asia Revenue Q3 2018</t>
  </si>
  <si>
    <t>273%</t>
  </si>
  <si>
    <t>International Revenue Q3 2018</t>
  </si>
  <si>
    <t>n/a</t>
  </si>
  <si>
    <t>7%</t>
  </si>
  <si>
    <t>Europe Revenue Q3 2018</t>
  </si>
  <si>
    <t>-50% (CFO) / -15% (CEO)</t>
  </si>
  <si>
    <t>Total Revenue 9M 2018</t>
  </si>
  <si>
    <t>40%</t>
  </si>
  <si>
    <t>Margins &amp; Profitability</t>
  </si>
  <si>
    <t>YoY</t>
  </si>
  <si>
    <t>Gross Profit Q3 2018 ($M)</t>
  </si>
  <si>
    <t>47%</t>
  </si>
  <si>
    <t>Gross Margin Q3 2018</t>
  </si>
  <si>
    <t>43.3%</t>
  </si>
  <si>
    <t>41.5%</t>
  </si>
  <si>
    <t>-1.8pp</t>
  </si>
  <si>
    <t>Gross Profit 9M 2018 ($M)</t>
  </si>
  <si>
    <t>34%</t>
  </si>
  <si>
    <t>Gross Margin 9M 2018</t>
  </si>
  <si>
    <t>43.0%</t>
  </si>
  <si>
    <t>41.2%</t>
  </si>
  <si>
    <t>Operating Expenses ($M)</t>
  </si>
  <si>
    <t>Selling &amp; Marketing Q3 2018</t>
  </si>
  <si>
    <t>84%</t>
  </si>
  <si>
    <t>Selling &amp; Marketing 9M 2018</t>
  </si>
  <si>
    <t>98%</t>
  </si>
  <si>
    <t>G&amp;A Q3 2018</t>
  </si>
  <si>
    <t>G&amp;A 9M 2018</t>
  </si>
  <si>
    <t>Earnings &amp; EBITDA</t>
  </si>
  <si>
    <t>Net Loss to Common Q3 2018 ($M)</t>
  </si>
  <si>
    <t>-$2.5M</t>
  </si>
  <si>
    <t>Net Loss Per Share Q3 2018 ($)</t>
  </si>
  <si>
    <t>-$0.04</t>
  </si>
  <si>
    <t>Net Loss to Common 9M 2018 ($M)</t>
  </si>
  <si>
    <t>-$7.2M</t>
  </si>
  <si>
    <t>Net Loss Per Share 9M 2018 ($)</t>
  </si>
  <si>
    <t>-$0.13</t>
  </si>
  <si>
    <t>Adjusted EBITDA Q3 2018 ($M)</t>
  </si>
  <si>
    <t>Adj EBITDA ex Asia Q3 2018 ($M)</t>
  </si>
  <si>
    <t>100%</t>
  </si>
  <si>
    <t>Adjusted EBITDA 9M 2018 ($M)</t>
  </si>
  <si>
    <t>Adj EBITDA ex Asia &amp; one-time 9M 2018 ($M)</t>
  </si>
  <si>
    <t>China / Asia Investment ($M)</t>
  </si>
  <si>
    <t>Value</t>
  </si>
  <si>
    <t>China/Asia Investment Q3 2018</t>
  </si>
  <si>
    <t>China/Asia Investment 9M 2018</t>
  </si>
  <si>
    <t>One-Time Distributor Settlement 9M 2018</t>
  </si>
  <si>
    <t>~$1.0M</t>
  </si>
  <si>
    <t>Q3 G&amp;A Stock-Comp Increase vs Q3 2017</t>
  </si>
  <si>
    <t>$0.552M</t>
  </si>
  <si>
    <t>Balance Sheet &amp; Cash Flow</t>
  </si>
  <si>
    <t>Dec 31 2017</t>
  </si>
  <si>
    <t>Sept 30 2018</t>
  </si>
  <si>
    <t>Change</t>
  </si>
  <si>
    <t>Cash ($M)</t>
  </si>
  <si>
    <t>-$8.9M</t>
  </si>
  <si>
    <t>Working Capital ($M)</t>
  </si>
  <si>
    <t>-$4.3M</t>
  </si>
  <si>
    <t>Cash Used in Operations 9M 2018 ($M)</t>
  </si>
  <si>
    <t>Channel / Distribution Stats</t>
  </si>
  <si>
    <t>Convenience Channel Category Growth (LTM)</t>
  </si>
  <si>
    <t>5.8%</t>
  </si>
  <si>
    <t>Celsius Convenience Channel Growth (LTM)</t>
  </si>
  <si>
    <t>41.8% (7x category)</t>
  </si>
  <si>
    <t>Military Channel Units per Week</t>
  </si>
  <si>
    <t>60,000+</t>
  </si>
  <si>
    <t>Vending Machines Added</t>
  </si>
  <si>
    <t>5,000+</t>
  </si>
  <si>
    <t>China Distribution Footprint</t>
  </si>
  <si>
    <t>45+ cities / 33,000 locations / 15,000 key accounts</t>
  </si>
  <si>
    <t>China Sub-Distributors</t>
  </si>
  <si>
    <t>~127</t>
  </si>
  <si>
    <t>Target Store Count</t>
  </si>
  <si>
    <t>1,000+ stores (3 SKUs, ~1,800 total)</t>
  </si>
  <si>
    <t>CVS Store Count</t>
  </si>
  <si>
    <t>~550 locations</t>
  </si>
  <si>
    <t>Co-Packer Count</t>
  </si>
  <si>
    <t>4 active / 4 additional in talks for 2019</t>
  </si>
  <si>
    <t>Guidance</t>
  </si>
  <si>
    <t>Period</t>
  </si>
  <si>
    <t>Quantitative Financial Guidance</t>
  </si>
  <si>
    <t>None issued</t>
  </si>
  <si>
    <t>-</t>
  </si>
  <si>
    <t>China Investment Run-Rate</t>
  </si>
  <si>
    <t>Normalizes in Q4 / 2019</t>
  </si>
  <si>
    <t>2018Q4-FY2019</t>
  </si>
  <si>
    <t>QUALITATIVE TAKEAWAYS</t>
  </si>
  <si>
    <t>Record Q3: revenue +54% to $16.6M driven by North America +92% on new national accounts (Target, CVS, Wawa).</t>
  </si>
  <si>
    <t>Heavy China investment ($5.1M quarter, $8.1M YTD) drove adjusted EBITDA loss of $2.9M; management framed spend as front-loaded launch-year anomaly.</t>
  </si>
  <si>
    <t>China modern-trade rollout via Qifeng expanded into 45+ cities, 33,000 locations, 15,000 key accounts; Asia revenue +273% (partial-quarter contribution).</t>
  </si>
  <si>
    <t>Europe revenue fell ~50% as Swedish distributor normalized inventory and cycled flavor launches (9M Europe -23%).</t>
  </si>
  <si>
    <t>Gross margin compressed to 41.5% on promotional allowances, slotting charges, higher production/repackaging costs.</t>
  </si>
  <si>
    <t>Growth is organic and volume-led; premium pricing maintained, no discounting.</t>
  </si>
  <si>
    <t>Emerging vending channel (5,000+ machines added) and military channel (60,000+ units/week) seen as key growth channels; vending strategy being replicated in Nordics and China.</t>
  </si>
  <si>
    <t>Co-packer availability challenging amid sleek-can industry growth; 4 active plus 4 more in talks for 2019; can supply insulated by strong manufacturer relationship.</t>
  </si>
  <si>
    <t>Production normalized after Q2 bottlenecks; inventory being rebuilt to normalized levels.</t>
  </si>
  <si>
    <t>Matt Kahn added as EVP of Marketing - no drastic strategy changes, building on existing foundation.</t>
  </si>
  <si>
    <t>Exploring China strategic partnerships with local retail/advertising investors to accelerate penetration.</t>
  </si>
  <si>
    <t>Management declined to disclose China same-store sales data when challenged on ~$60/location implied productivity.</t>
  </si>
  <si>
    <t>Management tone confident and growth-oriented; positioning Celsius as global beverage leader for active health-minded consumers.</t>
  </si>
  <si>
    <t>Q&amp;A SUMMARY</t>
  </si>
  <si>
    <t>Q1</t>
  </si>
  <si>
    <t>Domestic sell-through and Target/CVS door count</t>
  </si>
  <si>
    <t>Jeff Van Sinderen (B. Riley FBR)</t>
  </si>
  <si>
    <t>Q</t>
  </si>
  <si>
    <t>More detail on domestic sell-through trends, CVS and Target rollout, and how door count might evolve.</t>
  </si>
  <si>
    <t>A</t>
  </si>
  <si>
    <t>Strong sell-through across channels. Target expanded from ~500-store test to 1,000+ stores with room to scale in 2019; CVS in ~550 locations and growing, positive year-end reviews, active discussions with other drug-channel banners.</t>
  </si>
  <si>
    <t>Q2</t>
  </si>
  <si>
    <t>Marketing talent and plan evolution</t>
  </si>
  <si>
    <t>Early thoughts on how marketing plans might evolve following new marketing talent.</t>
  </si>
  <si>
    <t>New EVP Matt Kahn (20+ years' experience) a strong addition but no drastic changes; building on existing foundation with more consumer/trade activation in 2019, staying true to 'live, work and play' core.</t>
  </si>
  <si>
    <t>Q3</t>
  </si>
  <si>
    <t>Co-packer setup and production normalization</t>
  </si>
  <si>
    <t>How co-packer setup is evolving given increased volumes and how it benefits the company.</t>
  </si>
  <si>
    <t>Co-packer availability challenging amid sleek-can industry growth; 4 active, 4 more in talks for 2019. Inventory being rebuilt. Industry can-supply concerns but Celsius insulated by strong manufacturer relationship.</t>
  </si>
  <si>
    <t>Q4</t>
  </si>
  <si>
    <t>China strategic partners</t>
  </si>
  <si>
    <t>Destiny Buch (Ladenburg Thalmann)</t>
  </si>
  <si>
    <t>More detail on strategic partners being evaluated in China and what areas.</t>
  </si>
  <si>
    <t>Looking to leverage strategic networks from last two financing rounds (China-based investors); in discussions with additional retail/advertising strategic investors but no further detail to share.</t>
  </si>
  <si>
    <t>Q5</t>
  </si>
  <si>
    <t>Vending channel replicability in China</t>
  </si>
  <si>
    <t>Whether early vending channel success could be replicated in China.</t>
  </si>
  <si>
    <t>Same vending strategy being replicated in North America, Nordics, and China; healthy vending and office micro-markets a success. China rollout began Q2, successful in Q3, similar opportunities in Hong Kong; partnered with Vistar, Canteen.</t>
  </si>
  <si>
    <t>Q6</t>
  </si>
  <si>
    <t>Vending machine flavor selection</t>
  </si>
  <si>
    <t>How distributors determine which products to place in vending machines - geography or demand.</t>
  </si>
  <si>
    <t>Standard planograms set up but variances appear based on operator; all flavors available but slot count limited, so marketplace shows variance, core flavors (Kiwi Guava, raspberry/acai, orange) emphasized.</t>
  </si>
  <si>
    <t>Q7</t>
  </si>
  <si>
    <t>Pricing trends and premium pricing</t>
  </si>
  <si>
    <t>What pricing trends versus prior year/quarter, given mention of premium pricing.</t>
  </si>
  <si>
    <t>Maintaining pricing, driving strong revenue growth and gross margins without discounting; growth is organic from consumers and reorders, not discount-driven - sustained growth.</t>
  </si>
  <si>
    <t>Q8</t>
  </si>
  <si>
    <t>China launch and S&amp;M expense</t>
  </si>
  <si>
    <t>Anthony Vendetti (Maxim Group)</t>
  </si>
  <si>
    <t>How much more money going into China launch, given S&amp;M expense exceeded expectations - was it mostly China?</t>
  </si>
  <si>
    <t>Confirmed China investment was higher than analysts anticipated, driven by heavy activation tied to entering planograms and retailer resets for 2019.</t>
  </si>
  <si>
    <t>Q9</t>
  </si>
  <si>
    <t>China investment quantification and anomaly status</t>
  </si>
  <si>
    <t>Specific China investment figure for the quarter vs YTD, and whether the elevated spend was an anomaly.</t>
  </si>
  <si>
    <t>YTD China investment ~$8.1M, quarterly ~$5.1M spanning S&amp;M plus other investments. CEO confirmed the elevated quarter was an anomaly, not a go-forward expectation.</t>
  </si>
  <si>
    <t>Q10</t>
  </si>
  <si>
    <t>7-Eleven update, Nordic inventory, SKU reset timing</t>
  </si>
  <si>
    <t>Update on 7-Eleven; whether Norway timing/inventory issues resolved; when retailer resets allow more SKUs into Target/CVS.</t>
  </si>
  <si>
    <t>7-Eleven doing extremely well with good churns via McLane, enabling expansion into Wawa, RaceTrac, QT, Circle K. Nordic inventory normalized, product still growing in-market. Planogram resets typically back half of Q1 into Q2.</t>
  </si>
  <si>
    <t>Q11</t>
  </si>
  <si>
    <t>Private investor congratulations (no question)</t>
  </si>
  <si>
    <t>Jerry David (Private Investor)</t>
  </si>
  <si>
    <t>Offered congratulatory comments praising the $16.6M revenue milestone, China investment, and Matt Kahn hire.</t>
  </si>
  <si>
    <t>Management thanked the caller and credited the dedicated team.</t>
  </si>
  <si>
    <t>Q12</t>
  </si>
  <si>
    <t>China per-location productivity and future revenue</t>
  </si>
  <si>
    <t>Unidentified Caller</t>
  </si>
  <si>
    <t>Calculated implied ~$60 product per location ($1.4M Asia revenue / ~25,000 locations); asked if above/below target and why continued China investment drives future revenue growth.</t>
  </si>
  <si>
    <t>Declined to release same-store sales data; many stores onboarded late in quarter. Footprint ~25,000 through quarter plus additional accounts closed in back half; ~127 sub-distributors and ~15,000 key accounts. Investment to normalize through Q4 and 2019.</t>
  </si>
  <si>
    <t>Q4 &amp; Full-Year 2018 Earnings Call</t>
  </si>
  <si>
    <t>2019-03-14</t>
  </si>
  <si>
    <t>Total Revenue Q4 2018</t>
  </si>
  <si>
    <t>62%</t>
  </si>
  <si>
    <t>North America Revenue Q4 2018</t>
  </si>
  <si>
    <t>63%</t>
  </si>
  <si>
    <t>Asia Revenue Q4 2018</t>
  </si>
  <si>
    <t>367%</t>
  </si>
  <si>
    <t>Europe Revenue Q4 2018</t>
  </si>
  <si>
    <t>~1.9</t>
  </si>
  <si>
    <t>9%</t>
  </si>
  <si>
    <t>Total Revenue FY2018</t>
  </si>
  <si>
    <t>45%</t>
  </si>
  <si>
    <t>North America Revenue FY2018</t>
  </si>
  <si>
    <t>~24.0</t>
  </si>
  <si>
    <t>International Revenue FY2018</t>
  </si>
  <si>
    <t>~12.1</t>
  </si>
  <si>
    <t>13%</t>
  </si>
  <si>
    <t>Europe Revenue FY2018</t>
  </si>
  <si>
    <t>-17%</t>
  </si>
  <si>
    <t>Asia Revenue FY2018</t>
  </si>
  <si>
    <t>~0.8</t>
  </si>
  <si>
    <t>438%</t>
  </si>
  <si>
    <t>Gross Profit Q4 2018 ($M)</t>
  </si>
  <si>
    <t>43%</t>
  </si>
  <si>
    <t>Gross Margin Q4 2018</t>
  </si>
  <si>
    <t>41.6%</t>
  </si>
  <si>
    <t>37.1%</t>
  </si>
  <si>
    <t>-4.5pp</t>
  </si>
  <si>
    <t>Gross Profit FY2018 ($M)</t>
  </si>
  <si>
    <t>37%</t>
  </si>
  <si>
    <t>Gross Margin FY2018</t>
  </si>
  <si>
    <t>42.7%</t>
  </si>
  <si>
    <t>40.0%</t>
  </si>
  <si>
    <t>-2.7pp</t>
  </si>
  <si>
    <t>Selling &amp; Marketing Q4 2018</t>
  </si>
  <si>
    <t>-62%</t>
  </si>
  <si>
    <t>Selling &amp; Marketing FY2018</t>
  </si>
  <si>
    <t>28%</t>
  </si>
  <si>
    <t>G&amp;A Q4 2018</t>
  </si>
  <si>
    <t>87%</t>
  </si>
  <si>
    <t>G&amp;A FY2018</t>
  </si>
  <si>
    <t>52%</t>
  </si>
  <si>
    <t>Net Loss to Common Q4 2018 ($M)</t>
  </si>
  <si>
    <t>+$4.4M</t>
  </si>
  <si>
    <t>Net Loss Per Share Q4 2018 ($)</t>
  </si>
  <si>
    <t>+$0.10</t>
  </si>
  <si>
    <t>Net Loss to Common FY2018 ($M)</t>
  </si>
  <si>
    <t>-$2.8M</t>
  </si>
  <si>
    <t>Net Loss Per Share FY2018 ($)</t>
  </si>
  <si>
    <t>Adjusted EBITDA Q4 2018 ($M)</t>
  </si>
  <si>
    <t>Net Adj EBITDA ex one-time/China Q4 ($M)</t>
  </si>
  <si>
    <t>-81%</t>
  </si>
  <si>
    <t>Adjusted EBITDA FY2018 ($M)</t>
  </si>
  <si>
    <t>Adj EBITDA ex China/one-time FY2018 ($M)</t>
  </si>
  <si>
    <t>~2.6-2.7</t>
  </si>
  <si>
    <t>Adj EBITDA ex Asia FY2017 ($M)</t>
  </si>
  <si>
    <t>Dec 31 2018</t>
  </si>
  <si>
    <t>-$6.5M</t>
  </si>
  <si>
    <t>-$0.3M</t>
  </si>
  <si>
    <t>Cash Used in Operations FY2018 ($M)</t>
  </si>
  <si>
    <t>China / Asia Items</t>
  </si>
  <si>
    <t>China Asia Investment FY2018</t>
  </si>
  <si>
    <t>~$7.2M</t>
  </si>
  <si>
    <t>China Royalty Licensing Fee (Qifeng)</t>
  </si>
  <si>
    <t>$6.9M fixed over 5 years</t>
  </si>
  <si>
    <t>China Investment Recapture (Capital Loan)</t>
  </si>
  <si>
    <t>$10M+ repaid over 5 years</t>
  </si>
  <si>
    <t>47,000+ locations / 63 cities</t>
  </si>
  <si>
    <t>Convenience Channel Growth (52 wks SPINS/IRI)</t>
  </si>
  <si>
    <t>36% vs 6% category</t>
  </si>
  <si>
    <t>Convenience Channel ACV</t>
  </si>
  <si>
    <t>10.2%</t>
  </si>
  <si>
    <t>Military Channel 52-wk Retail Sales Run Rate</t>
  </si>
  <si>
    <t>$5M</t>
  </si>
  <si>
    <t>Vending Channel Locations</t>
  </si>
  <si>
    <t>10,000+</t>
  </si>
  <si>
    <t>Target Store Count (2019)</t>
  </si>
  <si>
    <t>~1,200 stores, 3 SKUs</t>
  </si>
  <si>
    <t>CVS Store Count (2019)</t>
  </si>
  <si>
    <t>1,000+ stores, 3 SKUs, authorized nationwide</t>
  </si>
  <si>
    <t>DICK'S Sporting Goods Store Count</t>
  </si>
  <si>
    <t>250+ stores</t>
  </si>
  <si>
    <t>4 active / 3 onboarding</t>
  </si>
  <si>
    <t>Hannaford organic growth rate</t>
  </si>
  <si>
    <t>~30-36%</t>
  </si>
  <si>
    <t>Financing</t>
  </si>
  <si>
    <t>Convertible Notes Issued (Q4 2018)</t>
  </si>
  <si>
    <t>$10M aggregate, due Dec 2020 (net $6.5M)</t>
  </si>
  <si>
    <t>FY2018 One-Time Charges</t>
  </si>
  <si>
    <t>$1.3M (incl ~$1M distributor settlement)</t>
  </si>
  <si>
    <t>FY2018 Net China Investment Expense</t>
  </si>
  <si>
    <t>$7.2M</t>
  </si>
  <si>
    <t>Loss on Debt Extinguishment FY2018</t>
  </si>
  <si>
    <t>$0.377M</t>
  </si>
  <si>
    <t>China Licensing Fee</t>
  </si>
  <si>
    <t>$6.9M fixed</t>
  </si>
  <si>
    <t>5-yr term from Jan 2019</t>
  </si>
  <si>
    <t>China Investment Recapture</t>
  </si>
  <si>
    <t>$10M+ repaid</t>
  </si>
  <si>
    <t>5-yr initial term</t>
  </si>
  <si>
    <t>Gross Margin 2019</t>
  </si>
  <si>
    <t>~40% (FY2018 level)</t>
  </si>
  <si>
    <t>2019 Forward Guidance</t>
  </si>
  <si>
    <t>None provided</t>
  </si>
  <si>
    <t>Record FY2018: revenue +45% to $52.6M, North America +62%; growth volume-led, no pricing tailwind.</t>
  </si>
  <si>
    <t>Central strategic move: China model restructured to royalty-licensing with Qifeng - eliminates further direct China investment, refocuses working capital on North America.</t>
  </si>
  <si>
    <t>Q4 net loss to common improved dramatically to $0.893M from $5.3M as ~$5M of China marketing spend rolled off.</t>
  </si>
  <si>
    <t>Gross margin compressed FY (40% vs 42.7%) on new-account promotional allowances/slotting, lower Asia margins, elevated freight/production costs.</t>
  </si>
  <si>
    <t>Marquee retail wins: Target (~1,200 stores), CVS (nationwide authorized), DICK'S (250+); added Food Lion, Hannaford, Circle K.</t>
  </si>
  <si>
    <t>DSD network build-out with Anheuser-Busch, Keurig Dr. Pepper, PepsiCo, MillerCoors network partners - key fix for Target out-of-stocks and convenience execution.</t>
  </si>
  <si>
    <t>Europe down 17% FY on promotional/flavor-launch timing and distributor inventory reduction; Peach Vibe launch driving share gains, Nordic to normalize in 2019.</t>
  </si>
  <si>
    <t>Energy category 'renaissance' - migration to healthier functional energy alternatives, like sparkling water disrupted CSDs.</t>
  </si>
  <si>
    <t>Inventory roughly doubled at year-end as deliberate working-capital pull-forward ahead of summer beverage season.</t>
  </si>
  <si>
    <t>Rockstar Energy lawsuit disclosed; management characterized it as meritless.</t>
  </si>
  <si>
    <t>No 2019 guidance provided; management cited 'plan A/B/C' liquidity levers and asserted no expected dilution despite prior-year capital raise.</t>
  </si>
  <si>
    <t>Competitive moat: trade-secret formula (not patented), six clinical studies, prior NAD/litigation wins; views Bang/VPX as complementary (different demographics).</t>
  </si>
  <si>
    <t>Management tone confident and forward-leaning, emphasizing pivot to profitable North America growth.</t>
  </si>
  <si>
    <t>Target/CVS sell-through &amp; door count</t>
  </si>
  <si>
    <t>Sell-through trends, door-count plans and SKU additions at Target, CVS and convenience channel.</t>
  </si>
  <si>
    <t>Target expanded from ~500-store test to ~1,200 stores (3 SKUs, 4th hopeful), sell-through above expectations though warehouse fulfillment caused out-of-stocks. CVS reached 1,000+ stores (3 SKUs), authorized nationwide for 2019, fulfilling via CVS DCs.</t>
  </si>
  <si>
    <t>Co-packers &amp; DSD distribution partners</t>
  </si>
  <si>
    <t>Update on adding domestic co-packers and advantages of new distribution partners for 2019.</t>
  </si>
  <si>
    <t>Convenience opportunity (only ~10% ACV) leveraged via new DSD partners (AB, Keurig Dr. Pepper, independent Pepsi bottlers) for incremental distribution and in-stock execution. 4 co-packers active, 3 onboarding - ready for summer season.</t>
  </si>
  <si>
    <t>Nordic normalization</t>
  </si>
  <si>
    <t>Is the Nordic region normalized or normalizing, given Q4 looked stronger?</t>
  </si>
  <si>
    <t>Nordic turning to normalized levels; FY -17% decline concentrated in Q1-Q2 2018. Peach Vibe flavor launch driving market-share gains; more flavor innovation planned for 2019.</t>
  </si>
  <si>
    <t>Lavit powder-cup deal</t>
  </si>
  <si>
    <t>Jeffrey Cohen (Ladenburg Thalmann)</t>
  </si>
  <si>
    <t>Lavit deal - locations, distribution, geographic reach and impact on COGS/packaging expenses.</t>
  </si>
  <si>
    <t>Lavit brings Celsius into new at-work channel via powder cups; launched with Orange powder, working on 2019 innovation. Lavit aggressively placing machines with corporations - incremental revenue.</t>
  </si>
  <si>
    <t>2019 marketing partnerships</t>
  </si>
  <si>
    <t>Anticipated or new marketing partnerships for the coming year.</t>
  </si>
  <si>
    <t>New partnerships coming; Matt Kahn built aggressive 2019 plan including renewed Tough Mudder partnership, trade activation with key retailers, expanded influencer and digital/social programs.</t>
  </si>
  <si>
    <t>Margins, co-packer impact, one-time hits</t>
  </si>
  <si>
    <t>Current margins, impact of additional co-packers, and whether Q4 one-time margin hits reverse in 2019.</t>
  </si>
  <si>
    <t>Evaluating co-packer expansion cost trade-off vs guaranteeing summer inventory. Q4 had minor excess-and-obsolescence inventory charges; watching freight to maximize 2019 margins.</t>
  </si>
  <si>
    <t>Forward guidance for 2019</t>
  </si>
  <si>
    <t>Confirming no forward-looking guidance on any metrics for 2019?</t>
  </si>
  <si>
    <t>Confirmed - no 2019 guidance provided at this time.</t>
  </si>
  <si>
    <t>China reconciliation, deal close, margin, inventory, competition</t>
  </si>
  <si>
    <t>Whether China 'negative $1M' reflected Qifeng repaying $950K; whether deal closed; gross margin trajectory; why inventory doubled; positioning vs Bang/VPX (~$500M revenue).</t>
  </si>
  <si>
    <t>China item was accrued-expense reconciliation, no cash flow. Definitive agreement executed Jan 1, 2019; capital loan ($10M+, 5-yr) finalized by month-end. ~40% FY2018 margin a reasonable 2019 range, freight/co-packer efficiencies as tailwinds. Higher inventory = summer readiness. Bang/VPX complementary (Bang 18-24, Celsius 24-36, more female-skewed).</t>
  </si>
  <si>
    <t>DSD network synergies</t>
  </si>
  <si>
    <t>Synergies/benefits of being part of the AB and Keurig Dr. Pepper distributor networks.</t>
  </si>
  <si>
    <t>DSD critical - reliance on wholesale/direct-to-retail caused out-of-stocks. DSD partners visit stores weekly ensuring in-stock position, merchandising/POS, and incremental distribution into local independents - gaining people power plus distribution.</t>
  </si>
  <si>
    <t>Delhaize accounts, Walgreens, competitive moat</t>
  </si>
  <si>
    <t>Paul Johnson (Private Investor)</t>
  </si>
  <si>
    <t>How Food Lion/Hannaford performed; whether strong CVS relationship precludes Walgreens; what prevents larger competitors copying Celsius given no patent.</t>
  </si>
  <si>
    <t>Food Lion meeting expectations with room to scale; Hannaford performing well (~30-36% organic growth). CVS does not preclude Walgreens. Moat = trade secret (not patent), six clinical studies, NAD review, 2010 class-action win, brand momentum; cited Coca-Cola/Nestle's failed Enviga.</t>
  </si>
  <si>
    <t>Cash burn, dilution risk, short interest</t>
  </si>
  <si>
    <t>Challenged no-additional-cash assurance (said same in 2018 then raised capital); will 2019 avoid dilution; any theory on high short interest.</t>
  </si>
  <si>
    <t>Current plan reflects sufficient operating cash flow with plan A/B/C levers. Ex-Asia, 2017 generated ~$2.6-2.7M and 2018 ~$2.2M positive adjusted EBITDA. On short interest, no control/insight, speculated index-fund activity around Russell 2000/3000 inclusion.</t>
  </si>
  <si>
    <t>Q1 2019 Earnings Call</t>
  </si>
  <si>
    <t>2019-05-09</t>
  </si>
  <si>
    <t>Total Revenue Q1 2019</t>
  </si>
  <si>
    <t>20%</t>
  </si>
  <si>
    <t>North America Revenue Q1 2019</t>
  </si>
  <si>
    <t>41%</t>
  </si>
  <si>
    <t>International Revenue Q1 2019</t>
  </si>
  <si>
    <t>~4.0</t>
  </si>
  <si>
    <t>-23%</t>
  </si>
  <si>
    <t>Europe Revenue Q1 2019</t>
  </si>
  <si>
    <t>Revenue from Continuing Ops ex-China</t>
  </si>
  <si>
    <t>35%</t>
  </si>
  <si>
    <t>China/Asia Revenue Reduction (model shift)</t>
  </si>
  <si>
    <t>-$1.3M</t>
  </si>
  <si>
    <t>Gross Profit Q1 2019 ($M)</t>
  </si>
  <si>
    <t>Gross Margin Q1 2019</t>
  </si>
  <si>
    <t>~39.5%</t>
  </si>
  <si>
    <t>39.5%</t>
  </si>
  <si>
    <t>~flat</t>
  </si>
  <si>
    <t>Selling &amp; Marketing Q1 2019</t>
  </si>
  <si>
    <t>-36%</t>
  </si>
  <si>
    <t>G&amp;A Q1 2019</t>
  </si>
  <si>
    <t>31%</t>
  </si>
  <si>
    <t>Net Income to Common Q1 2019 ($M)</t>
  </si>
  <si>
    <t>+$14.6M</t>
  </si>
  <si>
    <t>EPS Q1 2019 ($)</t>
  </si>
  <si>
    <t>+$0.26</t>
  </si>
  <si>
    <t>Adjusted EBITDA Q1 2019 ($000)</t>
  </si>
  <si>
    <t>+~$3.0M</t>
  </si>
  <si>
    <t>Total Other Income Increase ($M)</t>
  </si>
  <si>
    <t>China Note Interest Income Q1 2019 ($000)</t>
  </si>
  <si>
    <t>Weighted Avg Shares Outstanding (M)</t>
  </si>
  <si>
    <t>Mar 31 2019</t>
  </si>
  <si>
    <t>-$4.9M</t>
  </si>
  <si>
    <t>+$4.2M</t>
  </si>
  <si>
    <t>Cash Used in Operations Q1 2019 ($M)</t>
  </si>
  <si>
    <t>China / Qifeng Items</t>
  </si>
  <si>
    <t>China Note Receivable / Capital Repayment</t>
  </si>
  <si>
    <t>$12.2M over 5-year term</t>
  </si>
  <si>
    <t>~$6.9M over 5 years</t>
  </si>
  <si>
    <t>65,000+ locations / 63 cities</t>
  </si>
  <si>
    <t>Convenience Channel SPINS Growth (52 wks)</t>
  </si>
  <si>
    <t>38.4%</t>
  </si>
  <si>
    <t>10.8% (up from 10.3% YE2018)</t>
  </si>
  <si>
    <t>Drug Channel Location Count (CVS + Rite Aid)</t>
  </si>
  <si>
    <t>~11,000</t>
  </si>
  <si>
    <t>7,500+ stores, 3 flavors (from 550 test)</t>
  </si>
  <si>
    <t>Rite Aid Store Count</t>
  </si>
  <si>
    <t>2,300+ of 3,000 stores (new account)</t>
  </si>
  <si>
    <t>1,200+ stores, 4 SKUs, expanding to 1,500</t>
  </si>
  <si>
    <t>Big Geyser (NYC distributor) reach</t>
  </si>
  <si>
    <t>20,000+ locations</t>
  </si>
  <si>
    <t>4 active</t>
  </si>
  <si>
    <t>RTD Share of Revenue</t>
  </si>
  <si>
    <t>~85%</t>
  </si>
  <si>
    <t>SKU Billboard Effect</t>
  </si>
  <si>
    <t>2-&gt;3 SKUs ~doubles sales; 2-&gt;4 SKUs quadruples</t>
  </si>
  <si>
    <t>~$6.9M</t>
  </si>
  <si>
    <t>5-year term</t>
  </si>
  <si>
    <t>China Invested Capital Repayment</t>
  </si>
  <si>
    <t>$12.2M</t>
  </si>
  <si>
    <t>5-year initial term</t>
  </si>
  <si>
    <t>China Interest Income</t>
  </si>
  <si>
    <t>$90,000-$95,000</t>
  </si>
  <si>
    <t>Per quarter ongoing</t>
  </si>
  <si>
    <t>39% to low-40s (low end near-term)</t>
  </si>
  <si>
    <t>Going forward</t>
  </si>
  <si>
    <t>Tough Mudder Sampling</t>
  </si>
  <si>
    <t>200,000+ samples across 23 cities</t>
  </si>
  <si>
    <t>2019</t>
  </si>
  <si>
    <t>Strong start to 2019: total revenue +20% to $14.5M, North America +41% to record $11.4M; ex-China continuing ops +35%.</t>
  </si>
  <si>
    <t>China royalty restructuring with Qifeng finalized; $12.2M note receivable recognized as other income, driving GAAP net income of $11.7M ($0.20/share).</t>
  </si>
  <si>
    <t>Adjusted EBITDA turned positive at $878K vs $2.1M loss in Q1 2018.</t>
  </si>
  <si>
    <t>Aggressive drug-channel expansion: CVS national rollout to 7,500+ stores, new Rite Aid at 2,300+ of 3,000 - ~11,000 total drug locations.</t>
  </si>
  <si>
    <t>Target expanded to 1,200+ stores (4 SKUs), going to 1,500; persistent out-of-stocks from warehouse replenishment limits, prompting DSD transition talks.</t>
  </si>
  <si>
    <t>Big Geyser agreement (post-quarter) called 'one of the strongest and most transformative agreements to date' - NYC's largest independent non-alcoholic distributor, 20,000+ locations.</t>
  </si>
  <si>
    <t>New DSD agreements secured with Anheuser-Busch, Keurig Dr. Pepper, MillerCoors network partners.</t>
  </si>
  <si>
    <t>International revenue declined ~$900K - $1.3M China reduction (model shift) partly offset by 20% European growth on new flavor launches.</t>
  </si>
  <si>
    <t>Europe characterized as 'stabilization' not expansion; capital deliberately directed to North America given lean team.</t>
  </si>
  <si>
    <t>Cash fell to $2.8M from $7.7M on inventory build (peak levels for summer season) and China-related marketing settlements.</t>
  </si>
  <si>
    <t>Gross margin held flat at 39.5%; near-term pressure expected at low end of 39%-low-40s range due to heavier new-DSD-launch promotions.</t>
  </si>
  <si>
    <t>Share count jumped to ~57.2M from conversion of ~6M Carl DeSantis preferred shares - all preferred stock removed from balance sheet.</t>
  </si>
  <si>
    <t>RTDs drive ~85% of revenue; powders secondary; SKU 'billboard effect' quantified (2-&gt;4 SKUs can quadruple account sales).</t>
  </si>
  <si>
    <t>Energy-category transformation toward better-for-you alternatives opening retailer doors; management confident and growth-focused.</t>
  </si>
  <si>
    <t>Big Geyser, Target/CVS trends, new customers</t>
  </si>
  <si>
    <t>What Big Geyser distributor means for NYC, update on Target/CVS trends, any other major customer worth highlighting.</t>
  </si>
  <si>
    <t>Big Geyser addresses NYC distribution gap (reliance on wholesalers/warehouses); official kickoff next week. Target at 1,500 stores but still out-of-stocks - DSD transition discussions, another flavor, cold availability in back half. CVS national with 3 flavors; Rite Aid opened drug channel; Walgreens talks underway. More marquee accounts in convenience/grocery to be announced.</t>
  </si>
  <si>
    <t>Co-packer setup and peak-season readiness</t>
  </si>
  <si>
    <t>Update on co-packer picture and how revised setup benefits the company during peak selling season.</t>
  </si>
  <si>
    <t>Inventories at highest levels, strategically built for pipe orders and summer season. Solidified Refresco relationship; 4 active co-packers, ample supply for 2019, building network for 2020+.</t>
  </si>
  <si>
    <t>Nordic region and European strategy</t>
  </si>
  <si>
    <t>More on the Nordic region turnaround and strategy for other parts of Europe.</t>
  </si>
  <si>
    <t>Nordics had strong Q1 on Peach Vibe launch; 2017-18 downturn appears stabilized. Beyond Nordics, focused on North American expansion given lean-team resources; China royalty model frees capital; delivered $800K+ positive adjusted EBITDA.</t>
  </si>
  <si>
    <t>Powder packs</t>
  </si>
  <si>
    <t>How many powder pack flavors are out and current distribution channels.</t>
  </si>
  <si>
    <t>Launched cranberry lemon and coconut late 2018 (alongside orange, wild berry). Distributed mainly in health/vitamin specialty and health clubs; integrated into smoothies (doing well at Smoothie King). RTDs remain focus (~85% of revenue).</t>
  </si>
  <si>
    <t>International modeling ex-China</t>
  </si>
  <si>
    <t>How to model international ex-China for the full year, noting easy Q2 comp off last year's $0.77M.</t>
  </si>
  <si>
    <t>Break international into China (in line with royalty model, ramping with launch-cycle volumes) and Europe (stabilization to normalized levels, strong ACV but limited expansion as capital goes to North America).</t>
  </si>
  <si>
    <t>Share-count jump, China note modeling, margins</t>
  </si>
  <si>
    <t>Source of share-count jump to ~57.1M, how to model China note gain/interest, and margin outlook.</t>
  </si>
  <si>
    <t>Share jump primarily conversion of ~6M Carl DeSantis preferred shares (cap table cleaned up). China note gain one-time; going forward royalty revenue plus ~$90-95K quarterly interest income (currency-translation effects). Margins targeted 39%-low-40s with co-packer leverage, but low end near-term on new-DSD-launch promotions.</t>
  </si>
  <si>
    <t>China volume and Big Geyser rollout cadence</t>
  </si>
  <si>
    <t>Whether China unit volume was up or down vs Q1 2018, and how the Big Geyser rollout (20,000 locations) plays out in 2019.</t>
  </si>
  <si>
    <t>Declined to give unit volumes (not historically disclosed); revenue growth volume-driven at consistent pricing/allowances, China drop purely model-shift recognition. Big Geyser first phase targets key accounts (grocery, drug, 7-Eleven), then backfills - 'a journey,' not immediate 20,000-location authorization.</t>
  </si>
  <si>
    <t>Big Geyser margin impact</t>
  </si>
  <si>
    <t>Given Big Geyser's tough-negotiator reputation, would gross margin on Big Geyser volume be below corporate but worth it?</t>
  </si>
  <si>
    <t>Pushed back - Big Geyser margins expected consistent with other distributors (Big Geyser approached Celsius); mutually beneficial partnership with no expected margin deterioration.</t>
  </si>
  <si>
    <t>Market share, ACV, and SKU billboard effect</t>
  </si>
  <si>
    <t>Aaron Grey (Alliance Global Partners)</t>
  </si>
  <si>
    <t>In-store market share for stores in 12+ months, and how much adding SKUs boosts market share.</t>
  </si>
  <si>
    <t>Overall ACV/market share low (single digits) as Celsius journeys into new channels (drug/mass new for 2019, no 12-month data). Convenience ACV rose to 10.8% with high-30s growth. Quantified billboard effect: 2-&gt;3 SKUs nearly doubles account sales, 2-&gt;4 SKUs can quadruple.</t>
  </si>
  <si>
    <t>Competitive dynamics</t>
  </si>
  <si>
    <t>How competitive dynamics are evolving (Dr. Pepper zero-cal energy entry, Amazon's own energy brand) and effect on retailer conversations.</t>
  </si>
  <si>
    <t>Innovation leading category; shift to better-for-you alternatives opening doors. Competition increasing (Amazon, Reign, Bang, C4) but Celsius differentiated by authenticity born in diet/sports nutrition and science. Retailers more open than ever, helping secure DSD partners.</t>
  </si>
  <si>
    <t>Q2 2019 Earnings Call</t>
  </si>
  <si>
    <t>2019-08-08</t>
  </si>
  <si>
    <t>Total Revenue Q2 2019</t>
  </si>
  <si>
    <t>73%</t>
  </si>
  <si>
    <t>North America Revenue Q2 2019</t>
  </si>
  <si>
    <t>69%</t>
  </si>
  <si>
    <t>Europe Revenue Q2 2019</t>
  </si>
  <si>
    <t>64% (Nordics ~70%)</t>
  </si>
  <si>
    <t>Total Revenue H1 2019</t>
  </si>
  <si>
    <t>U.S. Domestic Revenue H1 2019</t>
  </si>
  <si>
    <t>55%</t>
  </si>
  <si>
    <t>Europe Revenue H1 2019</t>
  </si>
  <si>
    <t>30%</t>
  </si>
  <si>
    <t>Gross Profit Q2 2019 ($M)</t>
  </si>
  <si>
    <t>70%</t>
  </si>
  <si>
    <t>Gross Margin Q2 2019</t>
  </si>
  <si>
    <t>42.8%</t>
  </si>
  <si>
    <t>42.6%</t>
  </si>
  <si>
    <t>-0.2pp</t>
  </si>
  <si>
    <t>Gross Profit H1 2019 ($M)</t>
  </si>
  <si>
    <t>44%</t>
  </si>
  <si>
    <t>Gross Margin H1 2019</t>
  </si>
  <si>
    <t>40.9%</t>
  </si>
  <si>
    <t>41.1%</t>
  </si>
  <si>
    <t>+0.2pp</t>
  </si>
  <si>
    <t>Selling &amp; Marketing Q2 2019</t>
  </si>
  <si>
    <t>Selling &amp; Marketing H1 2019</t>
  </si>
  <si>
    <t>-6%</t>
  </si>
  <si>
    <t>G&amp;A Q2 2019</t>
  </si>
  <si>
    <t>G&amp;A H1 2019</t>
  </si>
  <si>
    <t>-2%</t>
  </si>
  <si>
    <t>Net Loss to Common Q2 2019 ($M)</t>
  </si>
  <si>
    <t>+$1.9M</t>
  </si>
  <si>
    <t>Net Loss Per Share Q2 2019 ($)</t>
  </si>
  <si>
    <t>~-0.03</t>
  </si>
  <si>
    <t>Adjusted EBITDA Q2 2019 ($000)</t>
  </si>
  <si>
    <t>-261 (apples-to-apples)</t>
  </si>
  <si>
    <t>+$246K</t>
  </si>
  <si>
    <t>Net Income to Common H1 2019 ($M)</t>
  </si>
  <si>
    <t>EPS H1 2019 ($)</t>
  </si>
  <si>
    <t>Adjusted EBITDA H1 2019 ($000)</t>
  </si>
  <si>
    <t>+$983K</t>
  </si>
  <si>
    <t>Other Income H1 2019 ($M)</t>
  </si>
  <si>
    <t>-0.08 (other expense)</t>
  </si>
  <si>
    <t>~+$12.0M</t>
  </si>
  <si>
    <t>Weighted Avg Shares Outstanding Q2 (M)</t>
  </si>
  <si>
    <t>China / One-Time Items</t>
  </si>
  <si>
    <t>China Note-Receivable Gain (one-time, H1)</t>
  </si>
  <si>
    <t>~$12M</t>
  </si>
  <si>
    <t>Q2 China Note-Payable Discount Amortization</t>
  </si>
  <si>
    <t>$0.093M</t>
  </si>
  <si>
    <t>Q2 Loss on China Assets (not realized)</t>
  </si>
  <si>
    <t>$0.220M</t>
  </si>
  <si>
    <t>China Invested Capital Recoupment</t>
  </si>
  <si>
    <t>$12.2M over 5 years</t>
  </si>
  <si>
    <t>$6.9M over 5 years</t>
  </si>
  <si>
    <t>Q2 2018 G&amp;A Distributor Settlement Accrual (prior yr)</t>
  </si>
  <si>
    <t>$0.944M</t>
  </si>
  <si>
    <t>Jun 30 2019</t>
  </si>
  <si>
    <t>-$2.9M</t>
  </si>
  <si>
    <t>+$3.6M</t>
  </si>
  <si>
    <t>Cash Used in Operations H1 2019 ($M)</t>
  </si>
  <si>
    <t>-5.8 (H1 2018)</t>
  </si>
  <si>
    <t>+$1.3M</t>
  </si>
  <si>
    <t>38.6%</t>
  </si>
  <si>
    <t>Energy Drink Category Growth</t>
  </si>
  <si>
    <t>9.4%</t>
  </si>
  <si>
    <t>10.9%</t>
  </si>
  <si>
    <t>DSD Partner Count</t>
  </si>
  <si>
    <t>50+ regional partners</t>
  </si>
  <si>
    <t>Anheuser-Busch Wholesaler Partners</t>
  </si>
  <si>
    <t>23 (up from 6 in Feb 2019)</t>
  </si>
  <si>
    <t>Wholesale Sales Reps Selling Celsius</t>
  </si>
  <si>
    <t>1,500+</t>
  </si>
  <si>
    <t>65,000+ locations / 63 cities (4 flavors)</t>
  </si>
  <si>
    <t>GNC Fuji Apple Pear Authorizations</t>
  </si>
  <si>
    <t>1,800 locations (mandatory, 9th SKU)</t>
  </si>
  <si>
    <t>Q2-to-Q3 2018 NA Revenue Timing Shift</t>
  </si>
  <si>
    <t>$1.2M (prior-yr)</t>
  </si>
  <si>
    <t>National DSD Coverage Timeline</t>
  </si>
  <si>
    <t>Full coverage, if not sooner</t>
  </si>
  <si>
    <t>Next 12-15 months</t>
  </si>
  <si>
    <t>$6.9M</t>
  </si>
  <si>
    <t>5-year period</t>
  </si>
  <si>
    <t>200,000+ samples / 23 cities</t>
  </si>
  <si>
    <t>Strong Q2: revenue +73% to $16.1M with growth across all geographies - North America +69%, Europe +64%, Asia up sequentially despite China model shift.</t>
  </si>
  <si>
    <t>H1 revenue reached record $30.6M (+40%+); gross margin held above 40% at 42.6%.</t>
  </si>
  <si>
    <t>Accelerating national DSD build-out: Big Geyser becomes preferred 7-Eleven distributor in NY territory starting Q3; QuikTrip top-shelf/full-shelf placement.</t>
  </si>
  <si>
    <t>Anheuser-Busch independent wholesaler partners expanded from 6 to 23 since February; ~1,500 wholesale sales reps now selling Celsius nationwide.</t>
  </si>
  <si>
    <t>50+ regional DSD partners; national coverage expected within 12-15 months, eliminating out-of-stocks at Target, CVS and other retailers.</t>
  </si>
  <si>
    <t>Europe/Nordics revenue grew ~70% on new flavors; new lower-caffeine 'tropics' line launched.</t>
  </si>
  <si>
    <t>China restructured into royalty model recouping the $12.2M prior investment; H1 net income $10.2M heavily aided by ~$12M one-time China note gain.</t>
  </si>
  <si>
    <t>Q2 adjusted EBITDA essentially breakeven (-$15K), apples-to-apples comparable to -$261K in Q2 2018.</t>
  </si>
  <si>
    <t>Planned back-half nootropics line launch (lower-caffeine, initially in 7-Eleven) expanding into new verticals/adjacencies.</t>
  </si>
  <si>
    <t>No active clinical studies underway - a notable gap acknowledged for a science-positioned brand.</t>
  </si>
  <si>
    <t>Cash declined to $4.8M from $7.7M; management reinvesting EBITDA dollars into marketing/sales while growing near breakeven.</t>
  </si>
  <si>
    <t>Energy-category 'transformation' toward better-for-you products (traditional brands declining) opening retailer shelf space; numerous 2020 category-review meetings underway.</t>
  </si>
  <si>
    <t>CBD recovery product formulated and 'ready' but no launch timeline pending regulatory clarity.</t>
  </si>
  <si>
    <t>North America flavors, powder packs, nootropics</t>
  </si>
  <si>
    <t>Other sizes/flavors for North America, color on powder packs and expected uptick, plans to bring more flavors like nootropics to North America.</t>
  </si>
  <si>
    <t>Flavor innovation brings retailer excitement; innovation team plans additional SKUs and rationalization (Kiwi Guava #1 in many accounts). Powders saw strong online/fitness-channel gains, smoothie usage via influencers. Nootropics line - lower-caffeine, initially in 7-Eleven - has planned back-half launch into new verticals.</t>
  </si>
  <si>
    <t>Clinical studies</t>
  </si>
  <si>
    <t>Any studies or clinical work being conducted in any geography.</t>
  </si>
  <si>
    <t>No active studies currently underway, but always explores studies when developing new lines/innovation, consistent with science-based positioning.</t>
  </si>
  <si>
    <t>Seasonality and back-half trends</t>
  </si>
  <si>
    <t>Seasonality for upcoming quarter/back half and reminder of 2018 Q2/Q3 dynamics and bigger-picture trends.</t>
  </si>
  <si>
    <t>Trends strong (SPINS +38.6%), category shifting to better-for-you. Summer beverage-season seasonality affects baseline business but offset by new retailer listings. Flagged $1.2M of NA revenue shifted from Q2 2018 to Q3 2018 on production timing.</t>
  </si>
  <si>
    <t>Shelf-space evolution</t>
  </si>
  <si>
    <t>Jeff Van Sinderen (B. Riley)</t>
  </si>
  <si>
    <t>What is driving Celsius's improved shelf space and recent highlights.</t>
  </si>
  <si>
    <t>Transformation in energy category - traditional brands (Full Throttle, NOS, Rockstar) declining per SPINS, consumers want healthier options. Cited Monster CEO Rodney Sacks's commentary that brands like Celsius gain shelf space. Numerous 2020 category-review meetings; category shift also why premier DSD partners take on Celsius.</t>
  </si>
  <si>
    <t>DSD network build-out and second-half impact</t>
  </si>
  <si>
    <t>Which DSD regions remain to be covered and where the biggest second-half impact from added DSDs should come.</t>
  </si>
  <si>
    <t>Biggest coverage in Southeast; filling voids for full coverage to flip retailers (7-Eleven, CVS, Target) from warehouse to DSD, gaining ACV and in-stock execution. Coverage includes Southeast, Texas, Michigan, NY, New England, California, Vegas; ~50 premier partners, continuing to expand.</t>
  </si>
  <si>
    <t>European expansion beyond the Nordics</t>
  </si>
  <si>
    <t>Potential to expand into other European regions and how the company approaches growth in newer EU regions.</t>
  </si>
  <si>
    <t>Lot of European opportunity but focus on profitable growth. Next phase activates Finland and Norway (marquee retailer listings expected) and further Nordic penetration; Spain and Germany under discussion - but want the expansion model correct.</t>
  </si>
  <si>
    <t>Marketing spend</t>
  </si>
  <si>
    <t>Whether elevated marketing spend (Tough Mudder events) continues or grows in the back half, and which events/areas drove the increase.</t>
  </si>
  <si>
    <t>Goal is profitable growth; reinvesting incremental gross profit/EBITDA into marketing and sales. Hired sales reps to manage DSD; investing in verticals like food service. Spend went to Tough Mudder activation, guerilla/demo sampling, online advertising. Q3 active but staying near breakeven.</t>
  </si>
  <si>
    <t>Distribution pipeline and new customers</t>
  </si>
  <si>
    <t>What end customers and new accounts could move the needle this year and next.</t>
  </si>
  <si>
    <t>Significant opportunity within existing roster via optimization (dry shelf -&gt; cold cooler -&gt; front-checkout, citing Sprouts). Target room for more SKUs/cold; CVS national rollout complete with SKU/front-checkout room; Rite Aid green-lit for energy door. New targets: Walgreens, Duane Reade, Speedway; convenience ACV only 10.9% - lots of runway.</t>
  </si>
  <si>
    <t>CBD recovery drink opportunity</t>
  </si>
  <si>
    <t>Whether there is an opportunity for a CBD-based recovery drink and, if so, the timeline.</t>
  </si>
  <si>
    <t>Innovation team looking at adjacent categories; CBD in development for some time, a CBD product is ready in the portfolio. Watching regulatory process, want any launch to leverage existing routes to market - no definitive timeline but will be ready.</t>
  </si>
  <si>
    <t>Q3 2019 Earnings Call</t>
  </si>
  <si>
    <t>2019-11-07</t>
  </si>
  <si>
    <t>Total Revenue Q3 2019</t>
  </si>
  <si>
    <t>23% (45% ex one-time)</t>
  </si>
  <si>
    <t>North America Revenue Q3 2019</t>
  </si>
  <si>
    <t>48% (66% normalized)</t>
  </si>
  <si>
    <t>Europe Revenue Q3 2019</t>
  </si>
  <si>
    <t>-11%</t>
  </si>
  <si>
    <t>YTD Revenue 9M 2019</t>
  </si>
  <si>
    <t>Gross Profit Q3 2019 ($M)</t>
  </si>
  <si>
    <t>26%</t>
  </si>
  <si>
    <t>Gross Margin Q3 2019</t>
  </si>
  <si>
    <t>42.2%</t>
  </si>
  <si>
    <t>+0.7pp</t>
  </si>
  <si>
    <t>Sales &amp; Marketing Q3 2019</t>
  </si>
  <si>
    <t>-43%</t>
  </si>
  <si>
    <t>G&amp;A Q3 2019</t>
  </si>
  <si>
    <t>-4%</t>
  </si>
  <si>
    <t>Net Income to Common Q3 2019 ($000)</t>
  </si>
  <si>
    <t>+~$5.2M</t>
  </si>
  <si>
    <t>EPS Basic Q3 2019 ($)</t>
  </si>
  <si>
    <t>Adjusted EBITDA Q3 2019 ($M)</t>
  </si>
  <si>
    <t>+~$5.3M</t>
  </si>
  <si>
    <t>Net Non-GAAP Adjusted EBITDA Q3 2019 ($M)</t>
  </si>
  <si>
    <t>~18%</t>
  </si>
  <si>
    <t>YTD Net Income to Common 9M 2019 ($M)</t>
  </si>
  <si>
    <t>+~$21.6M</t>
  </si>
  <si>
    <t>YTD EPS Basic 9M 2019 ($)</t>
  </si>
  <si>
    <t>Weighted Avg Shares Q3 (M)</t>
  </si>
  <si>
    <t>+16%</t>
  </si>
  <si>
    <t>Sept 30 2019</t>
  </si>
  <si>
    <t>+$12.8M</t>
  </si>
  <si>
    <t>+$18.3M</t>
  </si>
  <si>
    <t>Cash Generated in Q3 2019 ($M)</t>
  </si>
  <si>
    <t>Cash Used in Operations 9M 2019 ($000)</t>
  </si>
  <si>
    <t>Other Income 9M 2019 ($M)</t>
  </si>
  <si>
    <t>(China note receivable)</t>
  </si>
  <si>
    <t>Func Food Acquisition</t>
  </si>
  <si>
    <t>Acquisition Price</t>
  </si>
  <si>
    <t>~$24.2M (~$14.8M cash + ~$9.4M assumed debt)</t>
  </si>
  <si>
    <t>Valuation Multiple</t>
  </si>
  <si>
    <t>~1x incremental revenue</t>
  </si>
  <si>
    <t>Annualized Revenue Add</t>
  </si>
  <si>
    <t>Over $25M</t>
  </si>
  <si>
    <t>Pro Forma Consolidated Revenue Run Rate</t>
  </si>
  <si>
    <t>~$100M</t>
  </si>
  <si>
    <t>Func Debt Quarterly Interest Carry</t>
  </si>
  <si>
    <t>~$200K-$300K</t>
  </si>
  <si>
    <t>Closing Date</t>
  </si>
  <si>
    <t>October 24/25, 2019</t>
  </si>
  <si>
    <t>Retail Locations (North America)</t>
  </si>
  <si>
    <t>60,000+ (up 57% in 2019)</t>
  </si>
  <si>
    <t>41.1% (4.3x category)</t>
  </si>
  <si>
    <t>11.9%</t>
  </si>
  <si>
    <t>DSD Distribution Partners</t>
  </si>
  <si>
    <t>70+ (up from ~6 in Feb 2019)</t>
  </si>
  <si>
    <t>AB Independent Wholesaler Network</t>
  </si>
  <si>
    <t>31 (up from 6 since Feb)</t>
  </si>
  <si>
    <t>Kroger Locations</t>
  </si>
  <si>
    <t>1,100+</t>
  </si>
  <si>
    <t>Incremental Convenience Stores Added</t>
  </si>
  <si>
    <t>3,300 (Circle K SE, Flying J, Pilot)</t>
  </si>
  <si>
    <t>DSD-Converted Outlet Sales Lift</t>
  </si>
  <si>
    <t>~40%</t>
  </si>
  <si>
    <t>Distributors Needed for National Coverage</t>
  </si>
  <si>
    <t>250-300 (currently ~1/3 of the way)</t>
  </si>
  <si>
    <t>Asia Revenue 2019 / 2018</t>
  </si>
  <si>
    <t>~$0.63M (2019) vs ~$2.7M (2018)</t>
  </si>
  <si>
    <t>US Distribution Coverage</t>
  </si>
  <si>
    <t>Majority of US</t>
  </si>
  <si>
    <t>Next 12 months</t>
  </si>
  <si>
    <t>Func Annualized Revenue Add</t>
  </si>
  <si>
    <t>Over $25M / ~$25M conservative consolidated</t>
  </si>
  <si>
    <t>Annualized</t>
  </si>
  <si>
    <t>Pro Forma Revenue Run Rate</t>
  </si>
  <si>
    <t>Pro forma</t>
  </si>
  <si>
    <t>Record Q3: revenue $20.4M (+23% reported, +45% ex one-time items); return to positive net income of ~$1M ($0.02/share) vs $4.2M loss in Q3 2018.</t>
  </si>
  <si>
    <t>North America grew 48% (66% normalized) on distribution expansion - DSD network 70+ partners, 60,000+ retail locations (+57% in 2019).</t>
  </si>
  <si>
    <t>Convenience-channel SPINS growth of 41.1% (4.3x category) at only 11.9% ACV - long runway, basis for 2020 planogram resets.</t>
  </si>
  <si>
    <t>Post-quarter acquisition of Nordic partner Func Food Group for ~$24.2M lifts pro forma revenue run rate to ~$100M and adds the FAST protein-bar business.</t>
  </si>
  <si>
    <t>China royalty/license shift reduced Asia revenue but was margin-accretive - removed ~$5.1M of quarterly marketing spend.</t>
  </si>
  <si>
    <t>Europe down 11% on timing of flavor launches/promotions/orders - since remediated; Nordic partner saw strong Peach Vibe and Frozen Berry demand.</t>
  </si>
  <si>
    <t>Gross margin improved to 42.2%; adjusted EBITDA $2.4M vs -$2.9M prior year.</t>
  </si>
  <si>
    <t>DSD conversion expected to drive ~40% sales lift in converted outlets; NYC flipped first (7-Eleven to Big Geyser, Target conversion in November).</t>
  </si>
  <si>
    <t>DSD buildout roughly one-third complete - 250-300 distributors needed for national coverage, methodical mapped process through 2020.</t>
  </si>
  <si>
    <t>Func Food was working-capital constrained from over-leverage; new capital relieves the pressure; division led by Robin Lybeck.</t>
  </si>
  <si>
    <t>BCAA recovery line (debuted at Mr. Olympia) and FAST bar launches expected to add meaningful growth in 2020.</t>
  </si>
  <si>
    <t>FAST protein-snack US launch will be methodical (online + fitness channel in 2020, some vitamin specialty), protecting EBITDA with Celsius as main focus.</t>
  </si>
  <si>
    <t>Management highly optimistic about momentum into 2020 buyer-season planogram resets; Celsius a 'top pick' for buyers.</t>
  </si>
  <si>
    <t>Cash generation &amp; post-acquisition cash balance</t>
  </si>
  <si>
    <t>Discuss cash generation, whether the company expects to generate cash going forward, and confirm cash balance is post-acquisition.</t>
  </si>
  <si>
    <t>Confirmed $20.5M cash is after the acquisition; ~$3.5M cash generated in Q3; expects to keep generating cash depending on working-capital needs. Escrow funds earmarked; large Oct-Dec production runs consume working capital ahead of strong Q1/Q2 demand.</t>
  </si>
  <si>
    <t>New retailer pipeline</t>
  </si>
  <si>
    <t>Elaborate on new retailers being added (some may be tests) and what other retailers Celsius could enter.</t>
  </si>
  <si>
    <t>Started retailer tests late 2018, announced Target/CVS in Q1, currently testing in undisclosed retailers/markets. Buyers in 2020 category-rationalization season; Celsius a 'top pick' given strong third-party data and on-trend better-for-you positioning.</t>
  </si>
  <si>
    <t>DSD buildout, stock-outs &amp; Target conversion</t>
  </si>
  <si>
    <t>Improvement in stock-outs, next key DSD network milestones, and timing of Target conversion to DSD.</t>
  </si>
  <si>
    <t>High velocity creates stock-out problems under warehouse model; DSD conversion fixes it - ~40% lift expected in some outlets. Network grew from ~6 to 70+ partners; NYC flipped first (7-Eleven to Big Geyser, Target conversion in November), Arizona/Michigan/Southeast next.</t>
  </si>
  <si>
    <t>DSD network completion percentage</t>
  </si>
  <si>
    <t>How far along the DSD network is - a third, halfway, or otherwise.</t>
  </si>
  <si>
    <t>About a third of the way; anticipates 250-300 distributors needed for national coverage, methodical mapped-out process for filling geographic gaps through 2020.</t>
  </si>
  <si>
    <t>Func debt carry &amp; closing date</t>
  </si>
  <si>
    <t>Expected quarterly cost to carry the $9.4M of Func debt and confirmation of closing date.</t>
  </si>
  <si>
    <t>Deal closed October 25; quarterly interest carry ~$200K-$300K; good cash to service it; exploring long-term financing given otherwise clean, essentially debt-free balance sheet.</t>
  </si>
  <si>
    <t>FAST protein-snack portfolio timeline</t>
  </si>
  <si>
    <t>Timelines for the FAST protein-snack portfolio and when North America introductions happen and in what channels.</t>
  </si>
  <si>
    <t>Opportunity in protein snack bar category but methodical, profit-focused approach - testing 2020 via online and fitness channel, some vitamin specialty retailers likely in 2020, while protecting EBITDA and keeping Celsius the main focus.</t>
  </si>
  <si>
    <t>Online channel trends</t>
  </si>
  <si>
    <t>Trends or recent activity from online channels in Q3 and outlook for Q4.</t>
  </si>
  <si>
    <t>Online activity strong - Google Analytics, walmart.com, amazon.com momentum; Amazon sales extremely strong over 3-4 years with high continuity. Plans to expand digital presence with retail partners and pursue shopping apps in 2020 as an untapped channel.</t>
  </si>
  <si>
    <t>Func Foods revenue run rate &amp; Q4 growth</t>
  </si>
  <si>
    <t>Given Func's standalone ~$24-25M annual revenue, what is the current quarterly run rate and should it grow in Q4.</t>
  </si>
  <si>
    <t>Confirmed Q4 growth - flawless Peach Vibe/Frozen Berry launches (sold out of initial runs), ~20% lift in Celsius portfolio last quarter. Q4 holiday season traditionally slower in Nordic retail; ~$25M conservative consolidated revenue increase with embedded upside, no formal forward guidance.</t>
  </si>
  <si>
    <t>International sales ex-China</t>
  </si>
  <si>
    <t>How to gauge international sales excluding the China model change, and whether the international opportunity is significant.</t>
  </si>
  <si>
    <t>Asia was ~$2.7M last year; in 2019 ~$630K generated in Asia plus ~$160K other sales - growing on a backed-out basis. Significant opportunity with Func Food; ongoing Asia opportunities despite troubled Hong Kong retail; Malaysia launch seeding into 2,000+ 7-Elevens. Disciplined international growth, North America the main focus.</t>
  </si>
  <si>
    <t>Flavor SKU rationalization &amp; 2020 marketing</t>
  </si>
  <si>
    <t>Whether any flavors might be discontinued in favor of better performers, and whether new marketing campaigns are planned.</t>
  </si>
  <si>
    <t>Always reviews SKU rationalization - kiwi guava #1 per point; lower-velocity flavors like Cola retained as online channels and small co-packer runs meet hurdle rates. No discontinuations planned. 2020 marketing: experiential sampling (Live Fit Tour, Tough Mudder), social/digital influencer, trade marketing with 100-case stack displays via DSD.</t>
  </si>
  <si>
    <t>HEAT portfolio role vs Bang</t>
  </si>
  <si>
    <t>Gerry Khermouch (Beverage Insights)</t>
  </si>
  <si>
    <t>What role management envisions for the HEAT sub-line, given it lines up with fitness-energy leader Bang.</t>
  </si>
  <si>
    <t>HEAT faced tough Q2 competition (REIGN BOGO, Bang/VPX discounting) but seen as a major player in performance energy, drawing retailer interest, expected to be a major portfolio contributor. Expects 16-oz competitive set to stay very competitive into 2020.</t>
  </si>
  <si>
    <t>Q4 &amp; Full-Year 2019 Earnings Call</t>
  </si>
  <si>
    <t>2020-03-12</t>
  </si>
  <si>
    <t>Total Revenue Q4 2019</t>
  </si>
  <si>
    <t>64%</t>
  </si>
  <si>
    <t>North America Revenue Q4 2019</t>
  </si>
  <si>
    <t>~11.0</t>
  </si>
  <si>
    <t>~55%</t>
  </si>
  <si>
    <t>Total Revenue FY2019</t>
  </si>
  <si>
    <t>North America Revenue FY2019</t>
  </si>
  <si>
    <t>~39.2</t>
  </si>
  <si>
    <t>53%</t>
  </si>
  <si>
    <t>Europe Revenue FY2019</t>
  </si>
  <si>
    <t>56%</t>
  </si>
  <si>
    <t>Asia Revenue FY2019</t>
  </si>
  <si>
    <t>~-80%</t>
  </si>
  <si>
    <t>Gross Profit Q4 2019 ($M)</t>
  </si>
  <si>
    <t>85%</t>
  </si>
  <si>
    <t>Gross Margin Q4 2019</t>
  </si>
  <si>
    <t>41.9%</t>
  </si>
  <si>
    <t>+4.8pp</t>
  </si>
  <si>
    <t>Gross Profit FY2019 ($M)</t>
  </si>
  <si>
    <t>49%</t>
  </si>
  <si>
    <t>Gross Margin FY2019</t>
  </si>
  <si>
    <t>42%</t>
  </si>
  <si>
    <t>+2pp</t>
  </si>
  <si>
    <t>Selling &amp; Marketing Q4 2019</t>
  </si>
  <si>
    <t>152%</t>
  </si>
  <si>
    <t>Selling &amp; Marketing FY2019</t>
  </si>
  <si>
    <t>-0.5%</t>
  </si>
  <si>
    <t>G&amp;A Q4 2019</t>
  </si>
  <si>
    <t>G&amp;A FY2019</t>
  </si>
  <si>
    <t>11%</t>
  </si>
  <si>
    <t>Net Loss to Common Q4 2019 ($M)</t>
  </si>
  <si>
    <t>-$0.2M</t>
  </si>
  <si>
    <t>Net Loss Per Share Q4 2019 ($)</t>
  </si>
  <si>
    <t>flat</t>
  </si>
  <si>
    <t>Net Income to Common FY2019 ($M)</t>
  </si>
  <si>
    <t>+$21.4M</t>
  </si>
  <si>
    <t>EPS FY2019 ($)</t>
  </si>
  <si>
    <t>+$0.39</t>
  </si>
  <si>
    <t>Adj EBITDA ex-Asia Q4 2019 ($000)</t>
  </si>
  <si>
    <t>~346%</t>
  </si>
  <si>
    <t>Adj EBITDA ex-Asia FY2019 ($M)</t>
  </si>
  <si>
    <t>~82%</t>
  </si>
  <si>
    <t>Dec 31 2019</t>
  </si>
  <si>
    <t>+$15.4M</t>
  </si>
  <si>
    <t>+$5.2M</t>
  </si>
  <si>
    <t>Cash Provided by Operations FY2019 ($M)</t>
  </si>
  <si>
    <t>Other Income / One-Time Items</t>
  </si>
  <si>
    <t>FY2019 Total Other Income ($M)</t>
  </si>
  <si>
    <t>11.4 (vs -$0.565M in 2018)</t>
  </si>
  <si>
    <t>China Note-Receivable Gain (one-time, FY2019)</t>
  </si>
  <si>
    <t>$11.4M non-operating</t>
  </si>
  <si>
    <t>Q4 China Note FX Gain</t>
  </si>
  <si>
    <t>$0.410M</t>
  </si>
  <si>
    <t>Func Food Q4 Acquisition Costs</t>
  </si>
  <si>
    <t>$0.434M</t>
  </si>
  <si>
    <t>Q4 Stock Option Expense Increase</t>
  </si>
  <si>
    <t>$0.287M</t>
  </si>
  <si>
    <t>China S&amp;M Reduction FY2019 (model shift)</t>
  </si>
  <si>
    <t>100+ (up from ~50 in July 2019, +100%)</t>
  </si>
  <si>
    <t>DSD Key-Market Coverage</t>
  </si>
  <si>
    <t>~35% (majority by summer 2020)</t>
  </si>
  <si>
    <t>Convenience SPINS Growth (52 wks)</t>
  </si>
  <si>
    <t>44.5% at 12.2% ACV</t>
  </si>
  <si>
    <t>Grocery MULO SPINS Growth</t>
  </si>
  <si>
    <t>&gt;100%</t>
  </si>
  <si>
    <t>Walmart Planogram</t>
  </si>
  <si>
    <t>1,500+ stores</t>
  </si>
  <si>
    <t>Kroger</t>
  </si>
  <si>
    <t>Expanded to all stores (7,000+ grocery doors)</t>
  </si>
  <si>
    <t>DSD Velocity Lift in Existing Accounts</t>
  </si>
  <si>
    <t>China Initial Minimum Royalty Fees</t>
  </si>
  <si>
    <t>Nearly $7M</t>
  </si>
  <si>
    <t>2020 / initial 5 yrs</t>
  </si>
  <si>
    <t>China Capital Recoupment</t>
  </si>
  <si>
    <t>&gt;$12M</t>
  </si>
  <si>
    <t>Initial 5 years</t>
  </si>
  <si>
    <t>Operating Expense Increase 2020</t>
  </si>
  <si>
    <t>20%-25%</t>
  </si>
  <si>
    <t>Q1 2020 Revenue</t>
  </si>
  <si>
    <t>Largest quarter in company history</t>
  </si>
  <si>
    <t>Q1 2020</t>
  </si>
  <si>
    <t>DSD Coverage</t>
  </si>
  <si>
    <t>Majority of metro markets</t>
  </si>
  <si>
    <t>By summer 2020</t>
  </si>
  <si>
    <t>Record 2019: FY revenue ~$75.1M (+43%), Q4 $24.1M (+64%) - largest quarter in company history, fourth consecutive quarter of sequential growth.</t>
  </si>
  <si>
    <t>North America revenue +53% to ~$60M driven by distribution expansion; DSD partners doubled to 100+; marquee wins Walmart (1,500 stores), QuikTrip, Stop &amp; Shop.</t>
  </si>
  <si>
    <t>Func Food Group acquisition (closed Oct 25, 2019) consolidated Nov/Dec 2019, lifting European revenue +56%; FAST Sports Nutrition line added; ~10% Swedish energy share.</t>
  </si>
  <si>
    <t>Gross margin improved to 42% FY (from 40%) on lower repackaging/freight costs and favorable European mix.</t>
  </si>
  <si>
    <t>FY2019 net income to common ~$10M but heavily inflated by one-time $11.4M non-operating gain on the China note receivable.</t>
  </si>
  <si>
    <t>China royalty-model shift cut Asia revenue to $841K from $4.3M and removed ~$7.2M of direct marketing spend; positions $7M initial royalty + $12M+ recoupment.</t>
  </si>
  <si>
    <t>OpEx rose on European integration (Q4 S&amp;M +152%, G&amp;A +43% with $434K acquisition costs); 2020 OpEx growth guided ~20-25%.</t>
  </si>
  <si>
    <t>Walmart framed as 'massive opportunity' with positive early feedback and talks of adding flavors at next reset; revenue magnitude not disclosed.</t>
  </si>
  <si>
    <t>DSD conversion drives ~40% velocity lift; majority metro coverage targeted by summer 2020 (NYC flips to Big Geyser etc.).</t>
  </si>
  <si>
    <t>COVID-19 monitored since December; no supply disruptions expected, inventories built; Q1 2020 momentum undisturbed and guided as record quarter, Q2+ flagged as unknown.</t>
  </si>
  <si>
    <t>PepsiCo's ~$3.9B Rockstar acquisition seen as opportunity - could open Pepsi-system distributors to Celsius as Rockstar exclusivity ends.</t>
  </si>
  <si>
    <t>Premium pricing held while Bang/Reign discounted heavily; price elasticity demonstrated, room to take pricing up further.</t>
  </si>
  <si>
    <t>FAST portfolio methodical 2020 launch (online + retail seeding); BCAA recovery line kept in vitamin specialty before mass.</t>
  </si>
  <si>
    <t>Management emphatically optimistic: 'we have never been more optimistic.'</t>
  </si>
  <si>
    <t>DSD network completion &amp; velocity</t>
  </si>
  <si>
    <t>Given 100 DSD partners, how far along the network is (70/80%) and what's left for channel efficiency.</t>
  </si>
  <si>
    <t>At 100 partners with dozens more coming, covering ~35% of key North American markets, most key markets covered by summer. Cited NYC flips (7-Eleven, Target to Big Geyser; CVS imminent; Rite Aid in talks); DSD conversion drives ~40% velocity lift.</t>
  </si>
  <si>
    <t>Func/FAST portfolio North America timing</t>
  </si>
  <si>
    <t>Whether FAST protein-bar line out of Helsinki still expected in North America in 2020 and when placements would appear.</t>
  </si>
  <si>
    <t>FAST is a complementary protein snack portfolio; very methodical 2020 launch - initially online, seeding a few retail partners. Limited resources, Celsius remains main focus.</t>
  </si>
  <si>
    <t>OpEx normalization rate</t>
  </si>
  <si>
    <t>Flavor on expense normalization given one-time G&amp;A/S&amp;M items and European integration - 2020 OpEx toward 20% or 40%.</t>
  </si>
  <si>
    <t>Still getting arms around European business; estimated roughly 20% OpEx increase, with 20-25% a reasonable range depending on European marketing investment.</t>
  </si>
  <si>
    <t>Walmart rollout drivers &amp; revenue potential</t>
  </si>
  <si>
    <t>What drove the Walmart addition, how the initial rollout would go, and revenue potential even just magnitude.</t>
  </si>
  <si>
    <t>Cited MULO growth &gt;100% and Target analog (now chainwide with five flavors). Walmart's 1,500 stores - half via DSD, half warehouse-direct; early feedback extremely positive, talks of more flavors at next reset. Called it a 'massive opportunity' but declined a revenue number.</t>
  </si>
  <si>
    <t>International growth drivers &amp; Func synergies</t>
  </si>
  <si>
    <t>Drivers of strong international growth and color on Func integration progress and synergies.</t>
  </si>
  <si>
    <t>International growth from Nordic Func revenue, on track to exceed 10% Swedish energy share. Cited Finland (SOK expansion), Norway (7-Eleven, #2 petrol retailer). Synergies implemented: cross-functional teams, sales/marketing best practices, G&amp;A savings in logistics, COGS, insurance, audit, IT.</t>
  </si>
  <si>
    <t>2020 marketing initiatives</t>
  </si>
  <si>
    <t>New plans or key marketing initiatives for 2020.</t>
  </si>
  <si>
    <t>Continuation of Live Fit Tour, tropical Flamingo flavor launch in Nordics, and continued social/digital influencer activation to drive community and reach.</t>
  </si>
  <si>
    <t>COVID-19 production &amp; sales impact</t>
  </si>
  <si>
    <t>COVID-19 concerns for production going forward and best categorization of potential sales impact.</t>
  </si>
  <si>
    <t>Monitored virus since December; increased inventories/raw materials, backup suppliers in place; no momentary disruptions, can weather a storm for several months. Q1 momentum undisturbed, expects record Q1 2020, but Q2+ unknown given canceled trade conferences/events.</t>
  </si>
  <si>
    <t>PepsiCo/Rockstar competitive implications</t>
  </si>
  <si>
    <t>How PepsiCo's ~$3.9B purchase of Rockstar Energy changes the competitive landscape for Celsius.</t>
  </si>
  <si>
    <t>Great opportunity - Rockstar's prior exclusivity within the Pepsi system limited other energy brands; its acquisition could open Pepsi-system distributors to Celsius; if Bang also moves to Pepsi, frees AB and other distributors.</t>
  </si>
  <si>
    <t>Pricing, premiumization &amp; brand extensions</t>
  </si>
  <si>
    <t>Whether premium pricing in the category has changed and the plan for brand extensions.</t>
  </si>
  <si>
    <t>Affirmed premium pricing - Celsius held price while Bang/Reign discounted heavily, existing store sales still grew. Expects value/mid-tier and premium tiers to coexist, room to take pricing up; innovative flavors and BCAA extensions for 2020+.</t>
  </si>
  <si>
    <t>BCAA line placement &amp; growth (follow-up)</t>
  </si>
  <si>
    <t>Commentary on placement growth and overall growth for the BCAA line.</t>
  </si>
  <si>
    <t>BCAA recovery line (launched Sept 2019) kept in vitamin specialty to build brand awareness before mass retail; core line is priority, BCAA moves to mass at the right time.</t>
  </si>
  <si>
    <t>Q4 strength, seasonality &amp; Q1 2020 outlook (follow-up)</t>
  </si>
  <si>
    <t>Whether strong Q4 top line reflected demand outstripping seasonality; clarification on whether 'record Q1' meant vs Q1 2019 or vs Q4 2019.</t>
  </si>
  <si>
    <t>Four consecutive quarters of sequential growth reflect brand momentum overriding the historically seasonal business, aided by velocities, distribution and partial European consolidation. Confirmed Q4 2019 was the largest quarter ever and Q1 2020 anticipated as next largest.</t>
  </si>
  <si>
    <t>Q1 2020 Earnings Call</t>
  </si>
  <si>
    <t>2020-05-12</t>
  </si>
  <si>
    <t>Revenue by Geography ($M)</t>
  </si>
  <si>
    <t>2020Q1</t>
  </si>
  <si>
    <t>2019Q1</t>
  </si>
  <si>
    <t>95%</t>
  </si>
  <si>
    <t>183%</t>
  </si>
  <si>
    <t>406%</t>
  </si>
  <si>
    <t>Profitability ($M)</t>
  </si>
  <si>
    <t>127%</t>
  </si>
  <si>
    <t>Gross Profit Margin</t>
  </si>
  <si>
    <t>46.1%</t>
  </si>
  <si>
    <t>+6.6 pts</t>
  </si>
  <si>
    <t>Selling &amp; Marketing Expense</t>
  </si>
  <si>
    <t>108%</t>
  </si>
  <si>
    <t>G&amp;A Expense</t>
  </si>
  <si>
    <t>-95%</t>
  </si>
  <si>
    <t>Diluted EPS ($)</t>
  </si>
  <si>
    <t>-94.7%</t>
  </si>
  <si>
    <t>219%</t>
  </si>
  <si>
    <t>Note</t>
  </si>
  <si>
    <t>2019Q1 net income included a $12.2M one-time gain on China note receivable</t>
  </si>
  <si>
    <t>Other expenses 2020Q1</t>
  </si>
  <si>
    <t>$702K</t>
  </si>
  <si>
    <t>G&amp;A includes COVID bad debt reserve add</t>
  </si>
  <si>
    <t>$221K</t>
  </si>
  <si>
    <t>FX losses in quarter</t>
  </si>
  <si>
    <t>$78K</t>
  </si>
  <si>
    <t>Balance Sheet / Cash ($M)</t>
  </si>
  <si>
    <t>Mar 31 2020</t>
  </si>
  <si>
    <t>-17.3%</t>
  </si>
  <si>
    <t>+10.5%</t>
  </si>
  <si>
    <t>Cash Used by Operations</t>
  </si>
  <si>
    <t>n/d</t>
  </si>
  <si>
    <t>Strategic inventory build (mainly US)</t>
  </si>
  <si>
    <t>$5.5M</t>
  </si>
  <si>
    <t>US days of inventory</t>
  </si>
  <si>
    <t>~130 days</t>
  </si>
  <si>
    <t>Distribution / Channel Stats</t>
  </si>
  <si>
    <t>DSD regional partners</t>
  </si>
  <si>
    <t>100+</t>
  </si>
  <si>
    <t>North America doors (year-end 2019)</t>
  </si>
  <si>
    <t>~65,000</t>
  </si>
  <si>
    <t>% of NA doors DSD-serviced</t>
  </si>
  <si>
    <t>&lt;10%</t>
  </si>
  <si>
    <t>DSD store sales-volume lift</t>
  </si>
  <si>
    <t>~40% on top of ~30% same-store growth</t>
  </si>
  <si>
    <t>Walmart launch</t>
  </si>
  <si>
    <t>1,500+ stores nationwide</t>
  </si>
  <si>
    <t>Target assortment</t>
  </si>
  <si>
    <t>5 flavors</t>
  </si>
  <si>
    <t>Amazon Channel (13 wks ending Apr 11 2020)</t>
  </si>
  <si>
    <t>Prior</t>
  </si>
  <si>
    <t>Celsius Amazon sales growth</t>
  </si>
  <si>
    <t>118.2%</t>
  </si>
  <si>
    <t>Celsius Amazon energy category share</t>
  </si>
  <si>
    <t>11.4%</t>
  </si>
  <si>
    <t>+2 pts</t>
  </si>
  <si>
    <t>Amazon rank</t>
  </si>
  <si>
    <t>#3 (behind Monster, Red Bull)</t>
  </si>
  <si>
    <t>Guidance Figures</t>
  </si>
  <si>
    <t>North America order growth</t>
  </si>
  <si>
    <t>~38%</t>
  </si>
  <si>
    <t>April 2020</t>
  </si>
  <si>
    <t>Bang Energy distributor transition timeline</t>
  </si>
  <si>
    <t>~60 days</t>
  </si>
  <si>
    <t>from May 2020</t>
  </si>
  <si>
    <t>Walmart DSD conversion</t>
  </si>
  <si>
    <t>More Walmarts to DSD</t>
  </si>
  <si>
    <t>Back half 2020</t>
  </si>
  <si>
    <t>Target DSD market conversions</t>
  </si>
  <si>
    <t>5 markets identified</t>
  </si>
  <si>
    <t>Next few months</t>
  </si>
  <si>
    <t>Record Q1 2020 revenue of $28.2M (+95%) despite COVID-19 onset; company does not provide formal guidance.</t>
  </si>
  <si>
    <t>Growth driven by North America (+70%), full-quarter Func Food consolidation in Europe, DSD network expansion (100+ partners), Walmart nationwide launch, and expanded Target assortment.</t>
  </si>
  <si>
    <t>Gross margin expanded 660 bps to 46.1% on European consolidation mix and volume leverage; growth entirely volume-driven, not pricing.</t>
  </si>
  <si>
    <t>COVID-19 shifted demand to online, curbside and pantry purchasing while halting experiential marketing (Live Fit Tour); company pivoted to online programs (SWEAT WITH CELSIUS virtual workouts, Barry's partnership).</t>
  </si>
  <si>
    <t>Strategic inventory build of $5.5M (started late December) ahead of March/April retailer resets drove $3.8M cash outflow from operations.</t>
  </si>
  <si>
    <t>Bang Energy's move to 100% Pepsi distribution frees up Anheuser-Busch independent distributors; management sees opportunity to capture distributor partners.</t>
  </si>
  <si>
    <t>Stores transitioned to DSD (Target, 7-Eleven NY metro via Big Geyser) saw volumes more than double; ~40% sales-volume lift on top of ~30% same-store growth.</t>
  </si>
  <si>
    <t>Walmart DSD conversion expected H2 2020; less than 10% of ~65,000 NA doors currently DSD-serviced — large runway.</t>
  </si>
  <si>
    <t>Management maintains premium pricing position; will not discount as category continues to grow.</t>
  </si>
  <si>
    <t>Big summer promotional programs planned with Target and 7-Eleven for July-August beverage season.</t>
  </si>
  <si>
    <t>Func Food integration delivering synergies; protein bar line for North America delayed by COVID.</t>
  </si>
  <si>
    <t>April North America orders up ~38%, providing confidence on momentum, though management declined to call it a floor given channel-reopening uncertainty.</t>
  </si>
  <si>
    <t>Energy segment distribution disruption</t>
  </si>
  <si>
    <t>David Bain - ROTH Capital</t>
  </si>
  <si>
    <t>Asked whether industry activity (Pepsi acquiring Rockstar, becoming distributor for Bang away from Anheuser) is shifting distribution conversations toward larger deals for Celsius; follow-up on whether Pepsi may become more promotional with Bang.</t>
  </si>
  <si>
    <t>Bang's transition to 100% Pepsi creates opportunity for Celsius to gain distributor partners; transitions expected over ~60 days. Bang's exclusivity contracts had previously limited Celsius. Expects heavy promotional activity in summer beverage season (July-August); emphasized premium positioning and strong category pricing.</t>
  </si>
  <si>
    <t>European volume, new flavors &amp; Func integration</t>
  </si>
  <si>
    <t>Jeffrey Cohen - Ladenburg Thalmann</t>
  </si>
  <si>
    <t>Asked about the spike in European volume outside the Nordics, the Peach Vibe limited edition rollout, the closing/integration of Func and North America snacks/bars, and the inventory build.</t>
  </si>
  <si>
    <t>European growth driven mainly by Sweden (fastest-growing energy brand per Nielsen); Norway/Finland challenged by lockdowns. Peach Vibe rolling out on Amazon and into retailers as planograms reset. Func integration going well with further synergy opportunities; North America protein bar line delayed by COVID. Inventory increase ~$5.5M, mainly US, ~130 days of inventory — a deliberate strategic move.</t>
  </si>
  <si>
    <t>Walmart/Target DSD conversion &amp; reopening outlook</t>
  </si>
  <si>
    <t>Jeff Van Sinderen - B. Riley FBR</t>
  </si>
  <si>
    <t>Asked for color on Walmart (~50% DSD), the DSD conversion path there and at Target, what is being seen in reopening U.S. regions, and how marketing plans are evolving.</t>
  </si>
  <si>
    <t>DSD-serviced Walmart stores show better in-stocks/placements; confident more Walmarts flip to DSD in H2 2020. Target NY-metro Big Geyser stores show great velocities; 5 markets identified for conversion, big July promotional program planned. Declined to forecast reopening given week-by-week uncertainty; cited April orders up 38%. Marketing re-engineered toward online/social/e-commerce with cautious return to offline activation planned.</t>
  </si>
  <si>
    <t>Online/Amazon momentum &amp; COVID positives/negatives</t>
  </si>
  <si>
    <t>Anthony Vendetti - Maxim Group</t>
  </si>
  <si>
    <t>Asked whether total online business was positively impacted by COVID-19, what online/Amazon growth was, and to discuss COVID positives/negatives plus supply-chain contingency plans.</t>
  </si>
  <si>
    <t>Online a strong long-term growth area with COVID-driven spikes; Celsius outpaced Monster and Red Bull. Celsius positioned as daily-routine product, not an impulse buy. Few real positives given the human toll; company donated thousands of cases to 450+ hospitals, set department contingency plans since January, built inventory, placed longer-dated blanket POs, and expanded the co-packer network.</t>
  </si>
  <si>
    <t>Distributor partnership structures (follow-up)</t>
  </si>
  <si>
    <t>Asked, given more limited distributor options, whether Celsius would consider distributors taking equity positions, and whether it would align with one major player versus a fragmented structure.</t>
  </si>
  <si>
    <t>Deliberately non-specific — evaluating a variety of relationships, will do what is best for shareholders to drive Celsius to number one. Declined to discuss specific contract negotiations.</t>
  </si>
  <si>
    <t>Online vs. retail mix, DSD penetration &amp; April trend</t>
  </si>
  <si>
    <t>Shawn Boyd - Next Mark Capital</t>
  </si>
  <si>
    <t>Asked the bricks-and-mortar vs. online sales split, the % of doors DSD-serviced and shift pace over 12-24 months, whether the 40% DSD lift held across markets, and whether April +38% is a low mark.</t>
  </si>
  <si>
    <t>No longer discloses online/retail split as retail partners' online businesses blur the line and Celsius does not sell direct. Of ~65,000 NA doors, less than 10% currently DSD-serviced, many flipping H2 2020. Confirmed ~40% DSD lift consistent (sometimes higher) across markets. Declined to forecast whether April +38% is a floor.</t>
  </si>
  <si>
    <t>Q2 2020 Earnings Call</t>
  </si>
  <si>
    <t>2020-08-06</t>
  </si>
  <si>
    <t>2020Q2</t>
  </si>
  <si>
    <t>2019Q2</t>
  </si>
  <si>
    <t>86%</t>
  </si>
  <si>
    <t>577%</t>
  </si>
  <si>
    <t>-14.4%</t>
  </si>
  <si>
    <t>88%</t>
  </si>
  <si>
    <t>+0.7 pts</t>
  </si>
  <si>
    <t>39%</t>
  </si>
  <si>
    <t>50%</t>
  </si>
  <si>
    <t>swing to profit</t>
  </si>
  <si>
    <t>n/m</t>
  </si>
  <si>
    <t>swing to positive</t>
  </si>
  <si>
    <t>First Half 2020 ($M)</t>
  </si>
  <si>
    <t>2020 H1</t>
  </si>
  <si>
    <t>2019 H1</t>
  </si>
  <si>
    <t>90%</t>
  </si>
  <si>
    <t>106%</t>
  </si>
  <si>
    <t>44.7%</t>
  </si>
  <si>
    <t>+3.6 pts</t>
  </si>
  <si>
    <t>-79.4%</t>
  </si>
  <si>
    <t>526%</t>
  </si>
  <si>
    <t>2019 H1 net income included a non-recurring $12.1M China note-receivable gain</t>
  </si>
  <si>
    <t>Q2 other income (FX gains)</t>
  </si>
  <si>
    <t>$67K vs prior-year $345K expense</t>
  </si>
  <si>
    <t>Favorable realized FX impact</t>
  </si>
  <si>
    <t>$197K</t>
  </si>
  <si>
    <t>FX impact on China investment repayment</t>
  </si>
  <si>
    <t>$342K</t>
  </si>
  <si>
    <t>Jun 30 2020</t>
  </si>
  <si>
    <t>-13%</t>
  </si>
  <si>
    <t>+28.2%</t>
  </si>
  <si>
    <t>Cash Used by Operations (H1)</t>
  </si>
  <si>
    <t>135+</t>
  </si>
  <si>
    <t>~100 (May 2020)</t>
  </si>
  <si>
    <t>US door count</t>
  </si>
  <si>
    <t>75,000+ (cited 74,000)</t>
  </si>
  <si>
    <t>~65,000 (end-2019)</t>
  </si>
  <si>
    <t>DSD penetration of stores</t>
  </si>
  <si>
    <t>In the teens</t>
  </si>
  <si>
    <t>~10-12% (Q1)</t>
  </si>
  <si>
    <t>Convenience/gas ACV</t>
  </si>
  <si>
    <t>~11-12.5%</t>
  </si>
  <si>
    <t>Health club/specialty channel % of US revenue</t>
  </si>
  <si>
    <t>~20-28%</t>
  </si>
  <si>
    <t>DSD metro market coverage</t>
  </si>
  <si>
    <t>~70%</t>
  </si>
  <si>
    <t>Channel Performance (SPINS, 52 wks ending Jul 12 2020)</t>
  </si>
  <si>
    <t>Convenience channel SPINS growth</t>
  </si>
  <si>
    <t>46.5%</t>
  </si>
  <si>
    <t>Convenience outpacing category</t>
  </si>
  <si>
    <t>11.6x</t>
  </si>
  <si>
    <t>MULO growth</t>
  </si>
  <si>
    <t>99%+</t>
  </si>
  <si>
    <t>Amazon energy category share (13 wks ending Apr 11)</t>
  </si>
  <si>
    <t>11.4% (#3 brand)</t>
  </si>
  <si>
    <t>+118%</t>
  </si>
  <si>
    <t>Amazon category growth rate (Celsius vs category)</t>
  </si>
  <si>
    <t>~180% vs ~88%</t>
  </si>
  <si>
    <t>North America sales order growth</t>
  </si>
  <si>
    <t>Over 50%</t>
  </si>
  <si>
    <t>July 2020</t>
  </si>
  <si>
    <t>Target DSD conversion</t>
  </si>
  <si>
    <t>Route-to-market flip</t>
  </si>
  <si>
    <t>Late Aug-Sep 2020</t>
  </si>
  <si>
    <t>CDS DSD conversion</t>
  </si>
  <si>
    <t>Majority of CDS locations</t>
  </si>
  <si>
    <t>Walmart transition to DSD</t>
  </si>
  <si>
    <t>~January 2021</t>
  </si>
  <si>
    <t>Record Q2 2020 — first full COVID quarter — with $30M+ revenue (+86%) and ~$1.6M GAAP net income (swing from a $1.5M prior-year loss).</t>
  </si>
  <si>
    <t>Health club/vitamin specialty channels (~20-28% of US revenue) were predominantly shut; volume shifted to online and grocery, which not only replaced lost sales but drove record growth.</t>
  </si>
  <si>
    <t>DSD network grew to 135+ partners covering ~70% of major US metro markets; US door count exceeded 75,000, up 10,000+ since end-2019.</t>
  </si>
  <si>
    <t>Peach Vibe flavor launch ranked #1 new release on Amazon energy category; demand strong enough to require a quick production restart.</t>
  </si>
  <si>
    <t>Gross margin stepped down sequentially to 43.3% from 46.1% in Q1; not explained on the call.</t>
  </si>
  <si>
    <t>Func Food fully consolidated; Europe FAST protein snack portfolio pressured by COVID comfort-food shifts before late-quarter recovery.</t>
  </si>
  <si>
    <t>July North America purchase orders running over 50% above prior year; management does not provide formal guidance.</t>
  </si>
  <si>
    <t>Company will not discount extensively — maintaining margins and driving premiumization in the new category.</t>
  </si>
  <si>
    <t>Target conversion to DSD green-lighted for late Aug-Sep; CDS majority H2 2020; Walmart ~January 2021.</t>
  </si>
  <si>
    <t>Retailer planogram resets delayed from H1 into H2 2020 and 2021, creating an opportunity cost — the larger COVID cost vs. immaterial sanitation expenses.</t>
  </si>
  <si>
    <t>Broad demographic — ~50/50 male/female, aged-up consumer (45-50 range) — broader than the traditional 18-24 male energy consumer.</t>
  </si>
  <si>
    <t>DSD distributors function as brand ambassadors; 'faces sell cases; and when it's cold, it's sold.'</t>
  </si>
  <si>
    <t>DSD partner process &amp; inventory readiness</t>
  </si>
  <si>
    <t>Jeff Van Sinderen - B. Riley</t>
  </si>
  <si>
    <t>Asked for color on the process of adding DSD partners (now 135+), which retailers flip to DSD in H2 and the impact, and inventory/production capacity; plus H2 retailer resets/SKU additions and marketing plans.</t>
  </si>
  <si>
    <t>At ~135 DSD partners covering ~70% of major NA metro markets, gaps targeted in Q3. Target green-lighted to convert route-to-market late Aug into Sep; CDS majority converts H2; Walmart ~January 2021. Increased inventories from Q1 to ensure supply, with a new Southeast co-packer test run next week. Peach Vibe demand required a quick production restart; delayed resets push the flavor into more accounts in H2 and 2021.</t>
  </si>
  <si>
    <t>Competitive promotional environment &amp; DSD penetration</t>
  </si>
  <si>
    <t>Asked whether Celsius needs to react as competitors (Red Bull, Monster) ramp promotions during COVID; and for a current/forward DSD penetration percentage and how the DSD partner strategy evolves.</t>
  </si>
  <si>
    <t>Category always promotional; Celsius participated in targeted programs (July 7-Eleven BOGO, Target, CDS) but will not discount extensively — maintaining margins, driving premiumization. DSD penetration ~10-12% last quarter, now 'in the teens,' expected to grow each quarter as big retailers (CDS, Target, Walmart, Rite Aid, 7-Eleven) transition; partner count (135) will grow further.</t>
  </si>
  <si>
    <t>Channel mix &amp; demographics</t>
  </si>
  <si>
    <t>Asked about channel performance — gas/convenience, online, gyms — and trajectory through Q2; Celsius's demographic vs. competitors; and July vs. June heading into the seasonally strongest quarter.</t>
  </si>
  <si>
    <t>Fitness channel significantly impaired (gyms at 25-50% capacity) but offset by Amazon/mass/grocery growth. Gas/convenience ~11-12.5% ACV growing ~50%, with Circle K, QT, RaceTrac and 7-Eleven additions. ~50/50 male/female split, aged-up consumer (45-50). Reiterated North America purchase orders over 50% above prior year, setting up a strong 2021.</t>
  </si>
  <si>
    <t>Amazon growth &amp; COVID operational impact</t>
  </si>
  <si>
    <t>Asked Celsius's Amazon channel YoY growth rate; how COVID-19 has changed day-to-day team practices; and whether COVID-related sanitation expenses are material.</t>
  </si>
  <si>
    <t>Celsius growing well above the Amazon category's ~88% rate — citing ~180% growth — gained 1 share point as Red Bull lost 1, putting Celsius close to #2. Teams working remotely with contingency plans, missing in-person customer touch points during the 2021 buyer season. CFO said COVID sanitation expenses not material; CEO added the larger cost is an opportunity cost from limited new-distributor activation and delayed retailer resets.</t>
  </si>
  <si>
    <t>Distribution agreements &amp; competitive landscape</t>
  </si>
  <si>
    <t>Aaron Gray - Alliance Global Partners</t>
  </si>
  <si>
    <t>Asked how new distribution agreements help with shelf placement and cooler/checkout positioning; and how Celsius views the evolving competitive landscape — whether it is a 'rising tide lifts all boats' dynamic.</t>
  </si>
  <si>
    <t>DSD distributors function as brand ambassadors — 'faces sell cases; and when it's cold, it's sold' — providing manpower to educate, merchandise and build share. Beverages have low barriers to entry but high barriers to succeed; Celsius's focus is brand equity and distribution to take share in an inherently competitive category.</t>
  </si>
  <si>
    <t>LD Micro 500 Investor Conference</t>
  </si>
  <si>
    <t>2020-09-02</t>
  </si>
  <si>
    <t>Total Revenue (First Half 2020)</t>
  </si>
  <si>
    <t>Total Revenue (Full Year 2019)</t>
  </si>
  <si>
    <t>Revenue CAGR (since 2015)</t>
  </si>
  <si>
    <t>~45%</t>
  </si>
  <si>
    <t>North America Revenue (H1 2020)</t>
  </si>
  <si>
    <t>growth over 40%</t>
  </si>
  <si>
    <t>over 40%</t>
  </si>
  <si>
    <t>Q2 2020 Reference Figures ($M)</t>
  </si>
  <si>
    <t>North America revenue (first time over $20M)</t>
  </si>
  <si>
    <t>Over 20</t>
  </si>
  <si>
    <t>International sales</t>
  </si>
  <si>
    <t>Total quarterly sales (first time over $30M)</t>
  </si>
  <si>
    <t>~30+</t>
  </si>
  <si>
    <t>Profitability (First Half 2020)</t>
  </si>
  <si>
    <t>Gross Profit Margin (as reported)</t>
  </si>
  <si>
    <t>Gross Profit Margin (excl outbound freight)</t>
  </si>
  <si>
    <t>~52%</t>
  </si>
  <si>
    <t>Over $2M</t>
  </si>
  <si>
    <t>$5.4M</t>
  </si>
  <si>
    <t>Balance Sheet ($M, as of Jun 30 2020)</t>
  </si>
  <si>
    <t>Cash on Hand</t>
  </si>
  <si>
    <t>~20</t>
  </si>
  <si>
    <t>Inventory</t>
  </si>
  <si>
    <t>~23</t>
  </si>
  <si>
    <t>DSD distributors</t>
  </si>
  <si>
    <t>135</t>
  </si>
  <si>
    <t>Major US metro markets covered</t>
  </si>
  <si>
    <t>~70-75%</t>
  </si>
  <si>
    <t>13.8</t>
  </si>
  <si>
    <t>Convenience channel SPINS / CAGR</t>
  </si>
  <si>
    <t>46% CAGR, outpacing category 11.6x</t>
  </si>
  <si>
    <t>MULO growth (as of Jul 12 2020)</t>
  </si>
  <si>
    <t>99%</t>
  </si>
  <si>
    <t>Core CELSIUS line % of revenue</t>
  </si>
  <si>
    <t>Sweden energy category share (via Func)</t>
  </si>
  <si>
    <t>~10%</t>
  </si>
  <si>
    <t>Speedway expansion</t>
  </si>
  <si>
    <t>2,700 locations being reset</t>
  </si>
  <si>
    <t>Category / Market Sizing Guidance</t>
  </si>
  <si>
    <t>Global energy category size</t>
  </si>
  <si>
    <t>~$84.8B at ~7% CAGR</t>
  </si>
  <si>
    <t>By 2025</t>
  </si>
  <si>
    <t>Global functional beverage category size</t>
  </si>
  <si>
    <t>Over $156B at ~11% CAGR</t>
  </si>
  <si>
    <t>By 2023</t>
  </si>
  <si>
    <t>FY2020 revenue outlook</t>
  </si>
  <si>
    <t>Another record year (above 2019's $75M)</t>
  </si>
  <si>
    <t>Standard investor-conference overview; Celsius framed as a global functional-energy beverage company capitalizing on the shift from traditional to functional/performance energy.</t>
  </si>
  <si>
    <t>Large addressable market — global energy category to $84.8B by 2025 (~7% CAGR), global functional beverage category over $156B by 2023 (~11% CAGR).</t>
  </si>
  <si>
    <t>Record $58.2M first-half 2020 revenue (+90%), ~45% revenue CAGR since 2015, $75M FY2019 revenue.</t>
  </si>
  <si>
    <t>Dual gross-margin presentation — 44.7% as reported / ~52% excluding outbound freight (for comparability to Monster Energy which classifies outbound freight as selling expense).</t>
  </si>
  <si>
    <t>Distribution is the key growth lever — DSD network at 135 distributors covering ~70-75% of major US metro markets, with key accounts migrating off wholesale/direct in 2021.</t>
  </si>
  <si>
    <t>Convenience is the biggest opportunity — drives ~70% of energy category volume but Celsius only at 13.8 ACV; long runway ahead.</t>
  </si>
  <si>
    <t>Broad and aging-up demographic — ~50/50 male/female; consumers aging out of Red Bull/Monster migrate to better-for-you products like CELSIUS.</t>
  </si>
  <si>
    <t>COVID-19 impaired the gym/health club and vending channels in Q1 and Q2 2020; management expects recovery.</t>
  </si>
  <si>
    <t>Elevated inventory posture deliberately maintained given COVID supply-chain risk and 100-200% flavor growth rates.</t>
  </si>
  <si>
    <t>FAST protein snack portfolio (from Func) planned to be seeded in North America in 2021.</t>
  </si>
  <si>
    <t>Core CELSIUS line drives ~85% of revenue; portfolio includes On-the-Go Sticks, Stevia line, CELSIUS HEAT, CELSIUS BCAA Energy, backed by MetaPlus blend and six clinical studies.</t>
  </si>
  <si>
    <t>Major shareholders cited — Carl DeSantis and Li Ka Shing.</t>
  </si>
  <si>
    <t>No Q&amp;A</t>
  </si>
  <si>
    <t>Presentation-only</t>
  </si>
  <si>
    <t>Conference host</t>
  </si>
  <si>
    <t>No question-and-answer exchange took place. The conference host closed the session stating they were out of time for questions. There are therefore no Q&amp;A items to summarize.</t>
  </si>
  <si>
    <t>Q3 2020 Earnings Call</t>
  </si>
  <si>
    <t>2020-11-12</t>
  </si>
  <si>
    <t>2020Q3</t>
  </si>
  <si>
    <t>2019Q3</t>
  </si>
  <si>
    <t>80.4%</t>
  </si>
  <si>
    <t>60.4%</t>
  </si>
  <si>
    <t>Europe (Nordic) Revenue</t>
  </si>
  <si>
    <t>182.3%</t>
  </si>
  <si>
    <t>40.8%</t>
  </si>
  <si>
    <t>E-Commerce / Amazon Revenue</t>
  </si>
  <si>
    <t>~2.65</t>
  </si>
  <si>
    <t>111%</t>
  </si>
  <si>
    <t>103%</t>
  </si>
  <si>
    <t>46.7%</t>
  </si>
  <si>
    <t>+4.5 pts</t>
  </si>
  <si>
    <t>Sales &amp; Marketing Expense</t>
  </si>
  <si>
    <t>68%</t>
  </si>
  <si>
    <t>400%</t>
  </si>
  <si>
    <t>Nine Months 2020 ($M)</t>
  </si>
  <si>
    <t>2020 9M</t>
  </si>
  <si>
    <t>2019 9M</t>
  </si>
  <si>
    <t>45.8%</t>
  </si>
  <si>
    <t>+4.2 pts</t>
  </si>
  <si>
    <t>-37.8%</t>
  </si>
  <si>
    <t>2019 9M net income included non-recurring China note-receivable gain ($20.1M cited in 9M comp)</t>
  </si>
  <si>
    <t>Q3 other income (FX gain $143K + China note gain $408K)</t>
  </si>
  <si>
    <t>$45K net</t>
  </si>
  <si>
    <t>Q3 higher stock option expense</t>
  </si>
  <si>
    <t>$1.2M ($1.3M for 9M)</t>
  </si>
  <si>
    <t>E-Commerce % of North America revenue</t>
  </si>
  <si>
    <t>~22%</t>
  </si>
  <si>
    <t>Sep 30 2020</t>
  </si>
  <si>
    <t>+126%</t>
  </si>
  <si>
    <t>+151%</t>
  </si>
  <si>
    <t>Nine-month operating cash flow</t>
  </si>
  <si>
    <t>+3.8</t>
  </si>
  <si>
    <t>Func acquisition bonds paid off (Oct 30, now debt-free)</t>
  </si>
  <si>
    <t>~$10M</t>
  </si>
  <si>
    <t>DSD partners</t>
  </si>
  <si>
    <t>147</t>
  </si>
  <si>
    <t>~135 (Q2)</t>
  </si>
  <si>
    <t>~75%</t>
  </si>
  <si>
    <t>% of doors DSD-serviced</t>
  </si>
  <si>
    <t>~30%</t>
  </si>
  <si>
    <t>79,000+</t>
  </si>
  <si>
    <t>~60,000 (Q3 2019)</t>
  </si>
  <si>
    <t>~16%</t>
  </si>
  <si>
    <t>~13.8% (Q2)</t>
  </si>
  <si>
    <t>Health club/specialty channel revenue</t>
  </si>
  <si>
    <t>down ~23%</t>
  </si>
  <si>
    <t>~20-25% of US revenue</t>
  </si>
  <si>
    <t>Channel Performance (SPINS, 52 wks ending Oct 4 2020)</t>
  </si>
  <si>
    <t>43.9%, outpacing category ~14.8x</t>
  </si>
  <si>
    <t>Amazon energy category share (4 wks ending Oct 17)</t>
  </si>
  <si>
    <t>13.9% (#3 brand)</t>
  </si>
  <si>
    <t>+190.3%</t>
  </si>
  <si>
    <t>Gross Profit Margin run rate</t>
  </si>
  <si>
    <t>Low 40s</t>
  </si>
  <si>
    <t>2021 (full year)</t>
  </si>
  <si>
    <t>DSD door coverage</t>
  </si>
  <si>
    <t>~30% currently; ~70% over 2-3 years</t>
  </si>
  <si>
    <t>Current / 2-3 yrs</t>
  </si>
  <si>
    <t>Remaining ~50% of stores to DSD</t>
  </si>
  <si>
    <t>Q1 / early 2021</t>
  </si>
  <si>
    <t>October 2020</t>
  </si>
  <si>
    <t>Industry can shortage</t>
  </si>
  <si>
    <t>NA short ~30 billion cans</t>
  </si>
  <si>
    <t>2021</t>
  </si>
  <si>
    <t>Can sourcing start (Europe/Asia)</t>
  </si>
  <si>
    <t>Begins</t>
  </si>
  <si>
    <t>Same-store sales growth</t>
  </si>
  <si>
    <t>~30% (remainder from new distribution)</t>
  </si>
  <si>
    <t>Ongoing</t>
  </si>
  <si>
    <t>All-time record Q3 2020 — record revenue, gross profit, gross margin, operating income, net income, EPS and operating cash flow.</t>
  </si>
  <si>
    <t>Revenue +80.4% to $36.8M; North America +60.4%, e-commerce +100%+ (Amazon +111% to $5.6M, ~22% of domestic revenue), Europe/Nordic +182%.</t>
  </si>
  <si>
    <t>Net income $4.8M ($0.06/diluted share); adjusted EBITDA $6.9M (swing from a prior-year loss).</t>
  </si>
  <si>
    <t>DSD network expanded to 147 partners covering ~75% of major metro markets; ~30% of doors DSD-serviced with a ~70% multi-year target; stores DSD-serviced more than doubled vs. Q2.</t>
  </si>
  <si>
    <t>Industry-wide US aluminum can shortage (~30 billion cans short for 2021) — the prominent headwind; Celsius sourcing supplemental cans from Europe and Asia, expecting cost of goods to rise.</t>
  </si>
  <si>
    <t>Management guided gross margin to a low-40s run rate for 2021 (down from 46.7% in Q3), normalizing toward 2020 levels as new US can plants ramp into 2022.</t>
  </si>
  <si>
    <t>Company became debt-free post-quarter, paying off ~$10M of Func acquisition bonds; ended Q3 with $52.2M cash.</t>
  </si>
  <si>
    <t>Door count exceeded 79,000 (+32% YoY); convenience ACV up to ~16% on Speedway 2,700-store expansion plus Xtra Mart, Kum &amp; Go, Union Pacific additions.</t>
  </si>
  <si>
    <t>On-The-Go Sticks expanded into 2,700 Walmart and 1,200+ Publix locations; exclusive Kiwi-Guava-Lime launch at Walmart.</t>
  </si>
  <si>
    <t>Health club/specialty channel down ~23%; expected to remain materially down in Q4 with recovery through 2021.</t>
  </si>
  <si>
    <t>October North America orders running over 50% above prior year; management does not provide formal guidance ('we are just getting started').</t>
  </si>
  <si>
    <t>FAST protein snack portfolio to be tested and seeded in North America in Q1 2021; robust 2021 innovation pipeline planned.</t>
  </si>
  <si>
    <t>DSD network coverage &amp; optimization</t>
  </si>
  <si>
    <t>Asked which regions are best covered, where gaps remain, and next-phase DSD optimization timeline; plus the Target DSD conversion, DSD lift magnitude, Walmart flip timing, and Speedway/C-store growth.</t>
  </si>
  <si>
    <t>At ~147 DSD partners covering ~75% of major metro markets, gaps in Mid-Atlantic, Northern California, parts of Texas and the middle of the country. Target conversion (1,200 stores) involved extensive back-office work through Sep/Oct, with more in 2021. Walmart (~50% DSD-serviced) flips the remainder in Q1/early 2021. Convenience ACV ~16%, with more accounts expected in the March-April 2021 window; Speedway feedback positive.</t>
  </si>
  <si>
    <t>On-The-Go Sticks, new flavors, vitamin channel &amp; can shortage</t>
  </si>
  <si>
    <t>Asked whether On-The-Go Sticks (now 6 SKUs) is a material part of North America business; timing of new flavors; the vitamin channel and GNC disruption; and whether the can-shortage limiting factor is facility capacity or can-manufacturer raw materials.</t>
  </si>
  <si>
    <t>On-The-Go Sticks expands usage occasions, expected meaningful but not primary — RTDs remain the main focus. New flavors (strawberry marshmallow, blueberry frost) are in the Nordics, not yet slotted for the US. Vitamin/supplement channel challenged (down ~23%) but expected to recover. The limiting factor is the physical can body — NA short ~30 billion cans in 2021, not filling capacity; Celsius sourcing from Asia and Europe.</t>
  </si>
  <si>
    <t>M&amp;A outlook &amp; North America growth composition</t>
  </si>
  <si>
    <t>Asked whether the strong cash position changes the M&amp;A/brand-extension outlook; and for a bucketed breakdown of Q3 North America growth into same-store vs. SKU vs. door.</t>
  </si>
  <si>
    <t>Ample opportunity but strategy is focused execution and profitable growth; ended Q3 with $52M cash (~$42M after $10M debt payoff), debt-free and cash-flow positive, funds earmarked for inventory and positive-ROI cooler placements in 2021. M&amp;A only if accretive. Initially declined the growth breakdown ('no guidance'), then offered ~30% same-store growth with the remainder from new distribution.</t>
  </si>
  <si>
    <t>Can shortage timing/margin, Amazon margin, DSD completeness &amp; 2021 products</t>
  </si>
  <si>
    <t>Asked whether the can shortage impacts margins immediately or in 2021 and if supply is adequate; the Amazon/e-commerce margin profile and revenue share; whether more DSD partners are needed beyond ~75% coverage; and whether new product lines are planned for 2021.</t>
  </si>
  <si>
    <t>Can sourcing begins Q4 2020 with POs already in place ensuring adequate supply for 2021 demand. E-commerce ~22% of North America revenue in Q3; account-level margins not disclosed; reiterated low-40s 2021 margin run rate. DSD partners are independent wholesalers within the Anheuser-Busch, Pepsi and KDP networks; at ~75% metro coverage Celsius is strong but seeking gap-region partners. Robust 2021 innovation pipeline plus FAST protein snack portfolio tested/seeded in North America in Q1 2021.</t>
  </si>
  <si>
    <t>UBS Global Consumer and Retail Virtual Conference</t>
  </si>
  <si>
    <t>2021-03-09</t>
  </si>
  <si>
    <t>Channel / Position Stats</t>
  </si>
  <si>
    <t>Amazon position / share gap vs Red Bull</t>
  </si>
  <si>
    <t>#3, 0.02 points below Red Bull</t>
  </si>
  <si>
    <t>Fitness/specialty channel % of revenue</t>
  </si>
  <si>
    <t>~20%</t>
  </si>
  <si>
    <t>DSD distributors (end Q3 2020)</t>
  </si>
  <si>
    <t>~147</t>
  </si>
  <si>
    <t>DSD retail coverage (end Sep 2020)</t>
  </si>
  <si>
    <t>Nielsen category share (trailing 4 wks, ~late Feb 2021)</t>
  </si>
  <si>
    <t>over 1%</t>
  </si>
  <si>
    <t>E-commerce % of total revenue (Q3 2020)</t>
  </si>
  <si>
    <t>Sweden energy category share</t>
  </si>
  <si>
    <t>~8.5%</t>
  </si>
  <si>
    <t>China distribution footprint</t>
  </si>
  <si>
    <t>~60,000 locations across 70+ cities</t>
  </si>
  <si>
    <t>Energy category growth rate (NA, trailing 52 wks)</t>
  </si>
  <si>
    <t>mid-to-high single digits</t>
  </si>
  <si>
    <t>Industry Context</t>
  </si>
  <si>
    <t>New beverage brands to market annually</t>
  </si>
  <si>
    <t>~5,000</t>
  </si>
  <si>
    <t>% reaching $10M sales</t>
  </si>
  <si>
    <t>~1%</t>
  </si>
  <si>
    <t>% of $10M brands reaching $100M sales</t>
  </si>
  <si>
    <t>Independent convenience stores reporting to Nielsen</t>
  </si>
  <si>
    <t>~100,000-150,000</t>
  </si>
  <si>
    <t>Convenience channel share of energy volume</t>
  </si>
  <si>
    <t>Functional beverage category CAGR</t>
  </si>
  <si>
    <t>~11% CAGR</t>
  </si>
  <si>
    <t>Through 2023</t>
  </si>
  <si>
    <t>2021 (improving H2 21 / into 22)</t>
  </si>
  <si>
    <t>China minimum royalty</t>
  </si>
  <si>
    <t>5-yr escalating minimum, then permanent floor</t>
  </si>
  <si>
    <t>5-yr guarantee</t>
  </si>
  <si>
    <t>Fireside chat held two days before the FY2020 earnings release (March 11, 2021); no prepared remarks, all content in Q&amp;A; company has no public financial targets.</t>
  </si>
  <si>
    <t>Celsius framed as beneficiary of a structural 'seismic shift' toward healthy, functional energy within a still-growing global energy category.</t>
  </si>
  <si>
    <t>Despite COVID shutting the fitness/specialty channel (~20% of revenue), Celsius recaptured volume in grocery, mass, drug and e-commerce — record revenues each quarter without losing sales, validating its 'more than an energy drink / daily lifestyle' thesis.</t>
  </si>
  <si>
    <t>Celsius reached #3 on Amazon (just 0.02 points below Red Bull) and grabbed over 1% category share on trailing-4-week Nielsen data.</t>
  </si>
  <si>
    <t>Input-cost inflation the principal headwind — aluminum can shortage plus rising freight/import costs/tariffs push gross margin to low-40s, expected to improve through H2 2021 and into 2022.</t>
  </si>
  <si>
    <t>Can issue characterized as short-term and a competitive advantage given Celsius's global sourcing ability; new US can capacity coming online H2 2021/2022.</t>
  </si>
  <si>
    <t>Convenience channel (~70% of energy volume) is the biggest opportunity, activated via the ~147-distributor DSD network in the 2021 beverage season.</t>
  </si>
  <si>
    <t>DSD model has margin puts-and-takes — a margin share to the distributor offset by freight savings (full truckloads), removal of warehouse bill-backs, and higher velocity from cold placement.</t>
  </si>
  <si>
    <t>Adding flavors/SKUs does not cannibalize — sales increase at an increasing rate (the 'billboard effect'); no single flavor dominates.</t>
  </si>
  <si>
    <t>Operating leverage to come from gross profit improvement plus SG&amp;A leverage on investments already made; following Monster's early-day algorithm; no public EBITDA targets.</t>
  </si>
  <si>
    <t>China licensing/royalty model has an escalating five-year minimum royalty becoming a permanent floor, with upside participation thereafter.</t>
  </si>
  <si>
    <t>FAST protein bars planned for US launch in 2021 via digital/e-commerce; HEAT and BCAA lines a matter of timing/sequencing; hard seltzer not a near-term priority.</t>
  </si>
  <si>
    <t>Energy category growth drivers</t>
  </si>
  <si>
    <t>Sean King - UBS</t>
  </si>
  <si>
    <t>Asked what is driving energy drink category momentum (up high single digits over 52 weeks despite COVID) and key future growth drivers.</t>
  </si>
  <si>
    <t>Category grown mid-to-high single digits in NA for years; early pandemic dips reversed as consumers found energy drinks via delivery, Amazon, e-commerce and big-box. New consumers (Millennials, Gen Z), larger population entering, consumers not aging out, and busier lifestyles driving demand for functional better-for-you energy.</t>
  </si>
  <si>
    <t>Functional beverage category growth (~11% CAGR)</t>
  </si>
  <si>
    <t>Asked what is driving the functional energy category to grow faster (~11% CAGR through 2023) than the broader energy category.</t>
  </si>
  <si>
    <t>Described a 'seismic shift' toward healthy functional products — growth from new consumers, more global households buying consumables, more females entering a historically 18-24-male category. Positioned Celsius (50/50 male/female, 8+ vitamins, green tea, ginger, no sugar/crash/jitter) as the must-add offering.</t>
  </si>
  <si>
    <t>Competitive differentiation</t>
  </si>
  <si>
    <t>Asked how Celsius differentiates to maintain/drive share gains given low entry barriers and increasing competitor focus.</t>
  </si>
  <si>
    <t>Barriers to entry low (slightly higher now from the can shortage) but barriers to staying power very high — only ~1% of ~5,000 new brands annually reach $10M sales, ~1% of those reach $100M. Differentiation is authenticity (born in gyms/health clubs), clinically proven thermogenic functionality, healthy ingredients, and great taste.</t>
  </si>
  <si>
    <t>Pandemic sales trajectory &amp; reopening</t>
  </si>
  <si>
    <t>Asked how Celsius's strong (sometimes triple-digit) track-channel trajectory will evolve as the economy reopens.</t>
  </si>
  <si>
    <t>Watching closely; Celsius #3 on Amazon (0.02 points below Red Bull), turns faster than leading brands with equal placement. Despite ~20% of revenue from the closed fitness/specialty channel, validated its daily-lifestyle thesis by recapturing volume in online/grocery/mass/drug — record revenues without losing sales. Next focus is convenience (~70% of energy volume) via DSD.</t>
  </si>
  <si>
    <t>Fitness channel recovery: incremental or shift</t>
  </si>
  <si>
    <t>Asked whether the health/fitness channel recovery is just a volume shift or incremental growth in a post-vaccinated economy.</t>
  </si>
  <si>
    <t>Recovery would be incremental — growth across Amazon, walmart.com, target.com, Instacart and traditional retail with better placements and expanded shelf space. Cited recent Nielsen data showing Celsius over 1% category share on a trailing-4-week basis.</t>
  </si>
  <si>
    <t>2020 growth drivers breakdown</t>
  </si>
  <si>
    <t>Asked to unpack 2020 growth drivers — same-store sales vs. incremental distribution vs. innovation vs. e-commerce.</t>
  </si>
  <si>
    <t>First-nine-months 2020 growth mainly grocery, mass, online and drug, with strong same-store sales as placements improved (~2-3 years to optimize a retailer). Some accounts being transitioned to DSD to speed that. Noted out-of-stocks at key accounts through warehouses/wholesalers, and bullish fitness distributors anticipating pent-up demand.</t>
  </si>
  <si>
    <t>DSD percentage of business</t>
  </si>
  <si>
    <t>Asked where Celsius stands on DSD penetration and where the percentage of business on DSD will be by year-end 2021 / into 2022.</t>
  </si>
  <si>
    <t>~147 distributors at end-Q3 2020 with ~30% of retail DSD-serviced as of end-September 2020, expected to increase through Q4 and 2021. Ongoing transitions with Target, CVS, Rite Aid and Meijer; all retail anticipated to transition over — a high priority — but no specific timeline stated.</t>
  </si>
  <si>
    <t>DSD model margin puts-and-takes</t>
  </si>
  <si>
    <t>Asked whether there are gross-to-operating-margin puts and takes when shifting an account to a DSD model.</t>
  </si>
  <si>
    <t>There is a margin share to the distributor, offset by cost savings — improved freight (full truckloads vs. LTL), removal of warehouse bill-backs, and higher velocity from cold placement plus access to 100,000-150,000 independent convenience stores unreachable without DSD.</t>
  </si>
  <si>
    <t>Innovation pipeline &amp; SKU velocity</t>
  </si>
  <si>
    <t>Asked how innovation contributes to 2021 and what the innovation pipeline looks like.</t>
  </si>
  <si>
    <t>Retail scan data shows adding flavors/SKUs does not cannibalize — sales increase at an increasing rate (the 'billboard effect'), no single flavor dominates. New flavors planned for summer 2021, taken coast-to-coast via the DSD network with key-account partnerships and activation.</t>
  </si>
  <si>
    <t>Input-cost inflation &amp; pricing</t>
  </si>
  <si>
    <t>Asked how to think about input-cost inflation, can shortages and freight, and whether Celsius can take pricing to offset.</t>
  </si>
  <si>
    <t>Taking front-line price is under evaluation but other levers preferred. Imported-can freight, import costs and tariffs (plus expensive Q1 can-wrapping) push gross margin to the low 40s, improving through H2 2021 and into 2022. Framed the can shortage as short-term and a competitive advantage; warehousing cans with adequate supply.</t>
  </si>
  <si>
    <t>Asked the key areas of marketing spend and whether spend will rise with sales growth.</t>
  </si>
  <si>
    <t>Methodical, ROI-positive marketing algorithm (experiential and social activation). As a percentage of revenue, marketing spend not expected to change, though absolute spend rises with revenue; reiterated driving profitable growth.</t>
  </si>
  <si>
    <t>Operating leverage sources</t>
  </si>
  <si>
    <t>Asked where, from top-line to bottom-line, Celsius can extract operating leverage to grow earnings.</t>
  </si>
  <si>
    <t>Operating leverage from gross profit enhancements plus SG&amp;A leverage on investments already made (sales staff, marketing, logistics, accounting). Following Monster's early-day algorithm, expecting more EBITDA as a larger percentage at inflection points; no public targets.</t>
  </si>
  <si>
    <t>Q13</t>
  </si>
  <si>
    <t>E-commerce margins &amp; mix</t>
  </si>
  <si>
    <t>Asked how e-commerce margins compare to brick-and-mortar and what mix of the business is e-commerce.</t>
  </si>
  <si>
    <t>E-commerce margins very comparable to the rest of the business. E-commerce was ~20% of total revenue in Q3 2020, primarily from one customer (Amazon).</t>
  </si>
  <si>
    <t>Q14</t>
  </si>
  <si>
    <t>International business exposure</t>
  </si>
  <si>
    <t>Asked about Celsius's international exposure, unique market agreements, and the longer-term opportunity.</t>
  </si>
  <si>
    <t>Same seismic trends apply globally. Europe includes the Nordic operations (~8.5% Sweden share, Finland distribution, Norway growth) with methodical UK/Germany opportunities. Asia includes the China licensing/royalty agreement, Hong Kong, and a Malaysia partner (~2,000 locations), with Singapore and the Philippines under evaluation. North America remains the biggest near-term opportunity.</t>
  </si>
  <si>
    <t>Q15</t>
  </si>
  <si>
    <t>China licensing/royalty structure</t>
  </si>
  <si>
    <t>Asked to clarify the China licensing agreement — whether it is a capped royalty for five years and the upside if the brand keeps growing.</t>
  </si>
  <si>
    <t>Confirmed a minimum royalty (detailed in the investor presentation) escalating each year for five years, becoming a permanent floor thereafter; as revenues grow the royalty becomes more accretive, allowing Celsius to participate in future category growth in China.</t>
  </si>
  <si>
    <t>Q16</t>
  </si>
  <si>
    <t>Non-energy portfolio &amp; FAST protein bars</t>
  </si>
  <si>
    <t>Asked about innovation/portfolio outside the energy drink space and its importance.</t>
  </si>
  <si>
    <t>Non-core portfolio includes CELSIUS HEAT, the BCAA recovery line, and On-the-Go powder sticks (growing, at Walmart). Highlighted the Finland-based FAST protein snack portfolio and the plan to bring FAST bars (low-sugar, high-protein) to the US in 2021 via digital/e-commerce.</t>
  </si>
  <si>
    <t>Q17</t>
  </si>
  <si>
    <t>Celsius HEAT &amp; performance energy positioning</t>
  </si>
  <si>
    <t>Asked about the HEAT product (vs. Rain/Bang), whether Celsius pulled back, and whether it could become a greater portfolio emphasis.</t>
  </si>
  <si>
    <t>HEAT (same MetaPlus formula, enhanced caffeine) competes in the 300mg performance-energy category, focused on gyms/health clubs. Timing and sequencing key — core Celsius is at great velocity, the team must stay focused on distribution and fair share before re-emphasizing HEAT and the BCAA recovery line.</t>
  </si>
  <si>
    <t>Q18</t>
  </si>
  <si>
    <t>Hard seltzer opportunity</t>
  </si>
  <si>
    <t>Relayed audience questions on whether Celsius would enter the hard seltzer space and whether it has the right brand equity.</t>
  </si>
  <si>
    <t>Hard seltzer has come up in innovation meetings and the category is expanding, but it is not a current area of interest — Celsius could potentially bring a 'healthy seltzer' down the road, but the team must stay focused now.</t>
  </si>
  <si>
    <t>Q19</t>
  </si>
  <si>
    <t>Key account performance</t>
  </si>
  <si>
    <t>Asked Fieldly to speak to key-account wins and Celsius's performance in those accounts.</t>
  </si>
  <si>
    <t>Key accounts have gone well — with COVID delaying convenience expansion, Celsius focused on optimizing key accounts (Kroger Texas displays/cooler placement, Publix South Florida cold placement) where velocity improved markedly. Celsius turns better than the leading brand with the right placement. Speedway 2,700-store win had two flavors authorized with more planned; convenience (~70% of energy sales) is the target ahead.</t>
  </si>
  <si>
    <t>Q4 &amp; Full-Year 2020 Earnings Call</t>
  </si>
  <si>
    <t>2021-03-11</t>
  </si>
  <si>
    <t>Total Revenue Q4 2020</t>
  </si>
  <si>
    <t>48%</t>
  </si>
  <si>
    <t>North America / Domestic Revenue Q4 2020</t>
  </si>
  <si>
    <t>67%</t>
  </si>
  <si>
    <t>International Revenue Q4 2020</t>
  </si>
  <si>
    <t>3%</t>
  </si>
  <si>
    <t>Europe Revenue Q4 2020</t>
  </si>
  <si>
    <t>2%</t>
  </si>
  <si>
    <t>Asia Revenue Q4 2020 ($000)</t>
  </si>
  <si>
    <t>6%</t>
  </si>
  <si>
    <t>Full-Year Revenue 2020</t>
  </si>
  <si>
    <t>~75.1</t>
  </si>
  <si>
    <t>Over 130</t>
  </si>
  <si>
    <t>~73%</t>
  </si>
  <si>
    <t>Gross Profit Q4 2020 ($M)</t>
  </si>
  <si>
    <t>74%</t>
  </si>
  <si>
    <t>Gross Margin Q4 2020</t>
  </si>
  <si>
    <t>48.9%</t>
  </si>
  <si>
    <t>+700 bps</t>
  </si>
  <si>
    <t>Gross Margin ex-Outbound Freight Q4 2020</t>
  </si>
  <si>
    <t>49.7%</t>
  </si>
  <si>
    <t>57.2% (CFO); 54.7% (CEO)</t>
  </si>
  <si>
    <t>+750 bps</t>
  </si>
  <si>
    <t>Selling &amp; Marketing Q4 2020</t>
  </si>
  <si>
    <t>59.5%</t>
  </si>
  <si>
    <t>G&amp;A Q4 2020</t>
  </si>
  <si>
    <t>Operational G&amp;A ex-stock-comp/D&amp;A (% of rev)</t>
  </si>
  <si>
    <t>10.8%</t>
  </si>
  <si>
    <t>8.8%</t>
  </si>
  <si>
    <t>-2.0pp</t>
  </si>
  <si>
    <t>Net Income Q4 2020 ($M)</t>
  </si>
  <si>
    <t>+~$2.8M</t>
  </si>
  <si>
    <t>EPS Q4 2020 ($)</t>
  </si>
  <si>
    <t>Adjusted EBITDA Q4 2020 ($M)</t>
  </si>
  <si>
    <t>~396%</t>
  </si>
  <si>
    <t>Total Other Income Q4 2020 ($M)</t>
  </si>
  <si>
    <t>~1.3</t>
  </si>
  <si>
    <t>+~$1.1M</t>
  </si>
  <si>
    <t>Full-Year Income 2020 ($M)</t>
  </si>
  <si>
    <t>~10</t>
  </si>
  <si>
    <t>~8.5</t>
  </si>
  <si>
    <t>~-$1.5M</t>
  </si>
  <si>
    <t>Full-Year EBITDA 2020 ($M)</t>
  </si>
  <si>
    <t>~15</t>
  </si>
  <si>
    <t>Q4 Basic Shares (M)</t>
  </si>
  <si>
    <t>Q4 Fully Diluted Shares (M)</t>
  </si>
  <si>
    <t>Q4 Gross Profit Increase Composition</t>
  </si>
  <si>
    <t>Volume-driven</t>
  </si>
  <si>
    <t>~$4.8M (~65%)</t>
  </si>
  <si>
    <t>Price/cost optimization (lower promo, euro, synergies)</t>
  </si>
  <si>
    <t>~$2.5M (~35%)</t>
  </si>
  <si>
    <t>Dec 31 2020</t>
  </si>
  <si>
    <t>+$20.1M</t>
  </si>
  <si>
    <t>+$40.1M</t>
  </si>
  <si>
    <t>Operating Cash Flow FY ($M)</t>
  </si>
  <si>
    <t>+$2.4M</t>
  </si>
  <si>
    <t>Debt-free (~$10M Euro bonds repaid Oct 30, 2020)</t>
  </si>
  <si>
    <t>Amazon Energy Drink Market Share (4 wks)</t>
  </si>
  <si>
    <t>14.5% (3rd largest, up 2.1pp; Amazon sales +224.8%)</t>
  </si>
  <si>
    <t>SPINS Total Reported Channels Growth (52 wks)</t>
  </si>
  <si>
    <t>57.9% (8x category) at ~25% ACV</t>
  </si>
  <si>
    <t>US Total Door Count</t>
  </si>
  <si>
    <t>82,000+ (up ~18,000 from 2018)</t>
  </si>
  <si>
    <t>150+ (~85% major metro coverage)</t>
  </si>
  <si>
    <t>Speedway Locations</t>
  </si>
  <si>
    <t>~2,700 (~2 flavors)</t>
  </si>
  <si>
    <t>Coolers Placed / On Order</t>
  </si>
  <si>
    <t>~200 placed / 1,000+ on order</t>
  </si>
  <si>
    <t>Cooler ROI</t>
  </si>
  <si>
    <t>~3-month payback, 200%+ velocity uplift</t>
  </si>
  <si>
    <t>US Co-Packer Footprint</t>
  </si>
  <si>
    <t>8 active locations</t>
  </si>
  <si>
    <t>China Footprint (licensing model)</t>
  </si>
  <si>
    <t>76 cities / 60,000+ locations</t>
  </si>
  <si>
    <t>2021 Gross Profit Margin</t>
  </si>
  <si>
    <t>Approximately low 40% range</t>
  </si>
  <si>
    <t>1,000 coolers on order</t>
  </si>
  <si>
    <t>Cooler Rollout Potential</t>
  </si>
  <si>
    <t>Double the 1,000-unit order</t>
  </si>
  <si>
    <t>By end of 2021</t>
  </si>
  <si>
    <t>DSD Metro Coverage</t>
  </si>
  <si>
    <t>~85% of major metro markets</t>
  </si>
  <si>
    <t>7-Eleven DSD Transition</t>
  </si>
  <si>
    <t>~May 2021 (West then East)</t>
  </si>
  <si>
    <t>Margin Pressure</t>
  </si>
  <si>
    <t>Short-term downward pressure</t>
  </si>
  <si>
    <t>Q1/Q2 2021</t>
  </si>
  <si>
    <t>Record 2020 despite COVID disruption: FY revenue over $130M, ~$8.5M income, ~$15M EBITDA; Q4 revenue +48% to $35.7M (domestic +67%).</t>
  </si>
  <si>
    <t>North American distribution expansion the primary driver - DSD network now 150+ partners covering ~85% of major metro markets, total US doors above 82,000.</t>
  </si>
  <si>
    <t>Explosive e-commerce momentum - Celsius reached the third-largest energy brand on Amazon at 14.5% share (Amazon sales +224.8%).</t>
  </si>
  <si>
    <t>Record Q4 gross margin of 48.9% (+700 bps) aided by lower promotions, stronger euro and supply-chain synergies - management explicitly cautioned these may not transfer to future periods.</t>
  </si>
  <si>
    <t>Industry-wide aluminum can shortage expected to pressure 2021 gross margin to a 'low 40%' range; Celsius navigated by leveraging Europe/Asia operations to secure cans.</t>
  </si>
  <si>
    <t>New Speedway account adds ~2,700 locations; 82% of Target now on DSD; CVS/Walmart transitions underway; 7-Eleven DSD conversion planned ~May 2021.</t>
  </si>
  <si>
    <t>National DSD network now complete - positioned to capture share rapidly into delayed spring planogram resets and the peak summer season.</t>
  </si>
  <si>
    <t>COVID materially disrupted health/fitness, vending, food-service and international channels - international revenue up only 3%.</t>
  </si>
  <si>
    <t>FAST protein-snack supply constrained in Finland (confectionery-manufacturer capacity limits/out-of-stocks); Func Food fully integrated and accretive.</t>
  </si>
  <si>
    <t>Cooler program showing strong economics: ~3-month payback, 200%+ velocity uplift, 1,000+ on order with potential to double by year-end 2021.</t>
  </si>
  <si>
    <t>Company now debt-free after repaying ~$10M of European acquisition bonds in October 2020; ended 2020 with $43.2M cash.</t>
  </si>
  <si>
    <t>Adding flavors is incremental and does not cannibalize - lifts the whole portfolio at an increasing rate.</t>
  </si>
  <si>
    <t>Management emphatically bullish - called 2020 'only the beginning'; teased major summer 2021 marketing/launch plans.</t>
  </si>
  <si>
    <t>Nielsen acceleration &amp; sell-in vs sell-through</t>
  </si>
  <si>
    <t>Whether Nielsen data shows acceleration into early 2021 and any sell-in vs sell-through mismatch relative to Q4.</t>
  </si>
  <si>
    <t>Nielsen extremely strong (~80-90% growth on 2- and 4-week reads for Q1); acknowledged lags between scan data and sell-in timing; North America growth consistent at ~66% in Q4.</t>
  </si>
  <si>
    <t>Delayed COVID planogram resets</t>
  </si>
  <si>
    <t>Resets delayed due to COVID happening in spring and their impact heading into the peak summer period.</t>
  </si>
  <si>
    <t>~18,000 doors added in 2020 despite reset delays; spring resets (concentrated in convenience) expected over the next several months, driving a sizable store-count increase, with new distribution also coming on board.</t>
  </si>
  <si>
    <t>DSD conversion in near term</t>
  </si>
  <si>
    <t>More color on flipping to DSD in the near term/first half where not yet fully converted.</t>
  </si>
  <si>
    <t>Fully committed to DSD - increased velocity, in-stock improvement, secondary displays. CVS expansion started; more markets transitioning after NYC Big Geyser success. 7-Eleven a major 2021 initiative, transitioning ~May zone by zone (West then East).</t>
  </si>
  <si>
    <t>Cooler velocity uplift confirmation</t>
  </si>
  <si>
    <t>Confirm the 200% increase seen with cooler placements.</t>
  </si>
  <si>
    <t>Confirmed ~200 coolers placed, 1,000+ on order, ~3-month payback, 200%+ velocity increases - some stores becoming the number-one selling energy drink with the right placement.</t>
  </si>
  <si>
    <t>Func acquisition year-one comparability</t>
  </si>
  <si>
    <t>A year after the Func acquisition, whether management could break out organic growth metrics.</t>
  </si>
  <si>
    <t>Q4 2019 reflected only two months of consolidated Func revenue vs three months in Q4 2020 - 'apples-and-oranges.' FAST protein-snack portfolio hit by Finland confectionery-manufacturer capacity limits/out-of-stocks; optimistic on European improvement through 2021.</t>
  </si>
  <si>
    <t>Strawberry Guava launch &amp; on-the-go Sticks</t>
  </si>
  <si>
    <t>Color on the Strawberry Guava launch and on-the-go Sticks portfolio growth.</t>
  </si>
  <si>
    <t>Strawberry Guava one of the most successful fitness-channel launches and a fast Amazon turner. On-the-go Sticks growing - now at Walmart, Amazon, Vitamin Shoppe, Publix (chainwide Southeast) - though cans/RTD remain the bulk of revenue.</t>
  </si>
  <si>
    <t>2021 gross margin trajectory</t>
  </si>
  <si>
    <t>Q4 margins exceptionally strong but management cautious - what to read into it for 2021 modeling given eight active co-packers.</t>
  </si>
  <si>
    <t>Confirmed caution - euro pulling back, rising can/sourcing costs, short-term downward pressure on margins, while holding can inventory and managing currency. Flagged Q1 and Q2 specifically.</t>
  </si>
  <si>
    <t>International growth recovery timing</t>
  </si>
  <si>
    <t>Which countries saw the most COVID impact and whether international growth bounces back in Q1 or takes a few quarters.</t>
  </si>
  <si>
    <t>Nordic impact (Sweden potentially closing again, Finland closures) - Q1 could see another impact, but underlying business healthy. Expansion opportunities in UK, Germany, Russia; rapid vaccine rollout aiding government confidence; Nordic Q4 seasonally low.</t>
  </si>
  <si>
    <t>Func Food closing date</t>
  </si>
  <si>
    <t>When Func Food closed, since Q1 2021 becomes apples-to-apples.</t>
  </si>
  <si>
    <t>Closed October 25, 2019; Q4 2019 reflected ~two months versus three months in Q4 2020; Func was still not fully operational and lacked inventory in late 2019.</t>
  </si>
  <si>
    <t>Cooler rollout cost</t>
  </si>
  <si>
    <t>Total cost expected for rolling out 1,000 coolers.</t>
  </si>
  <si>
    <t>Declined to disclose cost but called it a positive-ROI opportunity given high velocity; 1,000 initially on order with potential to double by year-end 2021 as discussions with key accounts progress.</t>
  </si>
  <si>
    <t>Speedway account expansion</t>
  </si>
  <si>
    <t>Whether Celsius is in all ~2,700 Speedway locations and whether there is further expansion.</t>
  </si>
  <si>
    <t>Confirmed ~2,700 Speedway locations with ~2 flavors, with opportunity to add flavors at the next cut-in; drew analogy to 7-Eleven's YoY growth - Speedway locations in good markets.</t>
  </si>
  <si>
    <t>Target/Walmart resets &amp; SKU expansion</t>
  </si>
  <si>
    <t>Reset timing at Target/Walmart and whether near-term SKU expansion is expected.</t>
  </si>
  <si>
    <t>Spring resets historically run ~March 15-April 15 (convenience can push into May due to COVID); resets expected over coming months with additional flavors on shelf. Adding flavors is incremental, does not cannibalize - lifts the whole portfolio.</t>
  </si>
  <si>
    <t>2021 marketing programs</t>
  </si>
  <si>
    <t>Beyond cooler spend, what other marketing programs (sampling, events, Olympics) Celsius is investing in.</t>
  </si>
  <si>
    <t>'Big things planned' for summer 2021 and great summer launch plans, with a variety of marketing vehicles management declined to detail, focused on increasing household penetration and brand-building.</t>
  </si>
  <si>
    <t>Q1 2021 Earnings Call</t>
  </si>
  <si>
    <t>2021-05-13</t>
  </si>
  <si>
    <t>2021Q1</t>
  </si>
  <si>
    <t>78%</t>
  </si>
  <si>
    <t>101%</t>
  </si>
  <si>
    <t>22%</t>
  </si>
  <si>
    <t>Asia Revenue (China royalty)</t>
  </si>
  <si>
    <t>Other International Revenue</t>
  </si>
  <si>
    <t>124.6%</t>
  </si>
  <si>
    <t>E-commerce Revenue (absolute increase $3.7M)</t>
  </si>
  <si>
    <t>+79%</t>
  </si>
  <si>
    <t>79%</t>
  </si>
  <si>
    <t>Europe sequential growth (Q1 2021 vs Q4 2020 $6.9M)</t>
  </si>
  <si>
    <t>+50-51%</t>
  </si>
  <si>
    <t>58.3%</t>
  </si>
  <si>
    <t>-5.0 pts</t>
  </si>
  <si>
    <t>60%</t>
  </si>
  <si>
    <t>73.3%</t>
  </si>
  <si>
    <t>157.1%</t>
  </si>
  <si>
    <t>Total Net Other Expenses</t>
  </si>
  <si>
    <t>-46%</t>
  </si>
  <si>
    <t>7.1%</t>
  </si>
  <si>
    <t>0%</t>
  </si>
  <si>
    <t>78.6%</t>
  </si>
  <si>
    <t>Notes</t>
  </si>
  <si>
    <t>Volume favorably impacted GP $7.9M, FX +$0.7M, offset by ~$1M cost increases</t>
  </si>
  <si>
    <t>Marketing investment increase YoY</t>
  </si>
  <si>
    <t>$2.5M</t>
  </si>
  <si>
    <t>Weighted avg shares (basic / diluted)</t>
  </si>
  <si>
    <t>72.5M / 76.9M</t>
  </si>
  <si>
    <t>Mar 31 2021</t>
  </si>
  <si>
    <t>-26.9%</t>
  </si>
  <si>
    <t>+13.4%</t>
  </si>
  <si>
    <t>Cash Used by Operating Activities</t>
  </si>
  <si>
    <t>Inventory increase in quarter</t>
  </si>
  <si>
    <t>$19.2M</t>
  </si>
  <si>
    <t>Prepaid expenses increase</t>
  </si>
  <si>
    <t>$2.6M</t>
  </si>
  <si>
    <t>Operating cash flow ex-inventory/prepaid</t>
  </si>
  <si>
    <t>+$8M+</t>
  </si>
  <si>
    <t>None</t>
  </si>
  <si>
    <t>180+</t>
  </si>
  <si>
    <t>DSD major metro market coverage</t>
  </si>
  <si>
    <t>92,000+ (also cited 192,000)</t>
  </si>
  <si>
    <t>Door count growth since start of 2021</t>
  </si>
  <si>
    <t>~10,000</t>
  </si>
  <si>
    <t>Distributor revenue growth YoY</t>
  </si>
  <si>
    <t>172%</t>
  </si>
  <si>
    <t>Traditional channel growth</t>
  </si>
  <si>
    <t>137%</t>
  </si>
  <si>
    <t>Fitness channel % of NA revenue</t>
  </si>
  <si>
    <t>~10% (pre-COVID ~25%)</t>
  </si>
  <si>
    <t>Fitness channel revenue growth</t>
  </si>
  <si>
    <t>33%</t>
  </si>
  <si>
    <t>7-Eleven locations migrating to DSD</t>
  </si>
  <si>
    <t>~2,000</t>
  </si>
  <si>
    <t>Channel Performance / Third-Party Data</t>
  </si>
  <si>
    <t>Convenience SPINS growth (Celsius vs category 7.5%)</t>
  </si>
  <si>
    <t>77%</t>
  </si>
  <si>
    <t>16.8%</t>
  </si>
  <si>
    <t>Nielsen scan growth (2/4/12/52 wk, as of Apr 24 2021)</t>
  </si>
  <si>
    <t>218% / 220.3% / 151.4% / 88.6%</t>
  </si>
  <si>
    <t>Nielsen category share (last 4 weeks)</t>
  </si>
  <si>
    <t>1.2%</t>
  </si>
  <si>
    <t>Amazon energy drink share (4 wks ending Apr 17)</t>
  </si>
  <si>
    <t>15.5% (+4.5 pts; #2 brand)</t>
  </si>
  <si>
    <t>Amazon Celsius sales growth</t>
  </si>
  <si>
    <t>+265%</t>
  </si>
  <si>
    <t>Imported/wrapped can supply mix</t>
  </si>
  <si>
    <t>~50% of 2021 can supply</t>
  </si>
  <si>
    <t>Low-40% range</t>
  </si>
  <si>
    <t>Far north of 100,000 locations</t>
  </si>
  <si>
    <t>End of 2021</t>
  </si>
  <si>
    <t>FAST US launch SKU count</t>
  </si>
  <si>
    <t>2 SKUs initially</t>
  </si>
  <si>
    <t>Fill-rate recovery to full</t>
  </si>
  <si>
    <t>Back half of Q2</t>
  </si>
  <si>
    <t>2021Q2</t>
  </si>
  <si>
    <t>Can shortage resolution</t>
  </si>
  <si>
    <t>Back half 2021 into 2022-2023</t>
  </si>
  <si>
    <t>2021H2+</t>
  </si>
  <si>
    <t>Record Q1 2021 — first quarter exceeding $50M in sales (+78%), driven by over 100% North America growth and 25% international growth.</t>
  </si>
  <si>
    <t>Gross margin compressed to 41.1% (from 46.1%) on wrapped/imported cans, rework, higher freight, repackaging, raw material and processing costs.</t>
  </si>
  <si>
    <t>Company was not shipping at full capacity — ~80% fill rate — due to the industry-wide aluminum can shortage and the Texas freeze (shut two co-packers and a warehouse 2.5+ weeks).</t>
  </si>
  <si>
    <t>Celsius secured cans from Asia, Europe and Canada starting production in March; enough cans for the remainder of 2021 and into 2022; ~50% of 2021 supply will be imported/wrapped.</t>
  </si>
  <si>
    <t>DSD network expanded to 180+ partners covering ~85% of major metro markets; distributor revenues grew 172%; transitions ongoing with Target, CVS, Walmart, Racetrac, 7-Eleven.</t>
  </si>
  <si>
    <t>Operating cash use of $13.3M driven by a $19.2M inventory build; ex-inventory/prepaids operations would have generated $8M+ of cash.</t>
  </si>
  <si>
    <t>Fitness channel recovering — ~10% of North America revenue (vs ~25% pre-COVID), grew ~33% in Q1; pent-up demand expected into summer.</t>
  </si>
  <si>
    <t>Europe grew ~22% (Nordic-led, +50-51% sequentially) despite COVID lockdowns and FAST protein-snack supply constraints; FAST supply expected to resolve mid/back-half Q2.</t>
  </si>
  <si>
    <t>FAST brand launching in the US on Amazon in Q2 2021 with 2 SKUs as an exclusive launch.</t>
  </si>
  <si>
    <t>Amended FY2019 10-K filed same morning re: internal-control disclosure for the October 2019 European acquisition — characterized as technical with no impact to reported figures.</t>
  </si>
  <si>
    <t>Management does not provide formal guidance; declined to give a target DSD penetration percentage.</t>
  </si>
  <si>
    <t>Macro headwinds — container/Suez disruption, gas/trucking shortages, inflationary raw-material and transportation costs; promotional architecture being optimized to partially mitigate.</t>
  </si>
  <si>
    <t>North America sell-in vs. sell-through &amp; can supply</t>
  </si>
  <si>
    <t>Jeff Van Sinderen</t>
  </si>
  <si>
    <t>Asked how much of the sequential NA acceleration was sell-in catching up to sell-through, whether accounts went under-served due to can-driven production constraints (pent-up demand), and where the company stands on securing enough cans.</t>
  </si>
  <si>
    <t>NA grew over 100% (101%) but the company shipped at roughly an 80% fill rate due to wrapped-can slow velocity and the Texas freeze; sell-in limited, sell-out very strong per Nielsen/SPINS/Stackline. Secured cans from Asia, Europe and Canada (production started March), enough for the rest of 2021 and into 2022; mix of imported and US cans persists until US capacity improves. Plans the most production ever in Q2/Q3.</t>
  </si>
  <si>
    <t>Shelf resets, supply constraints &amp; fitness channel recovery</t>
  </si>
  <si>
    <t>Kamal Shethwala</t>
  </si>
  <si>
    <t>Asked whether supply limitations would force Celsius to delay shelf-space gains until the April 2022 resets, and for a read on the fitness channel as full reopening approaches plus channel strategy.</t>
  </si>
  <si>
    <t>Bulk of new resets occur in the April/May window; the company is not limited on new-expansion supply and has enough product to fulfill new distribution. Fitness was ~25% of revenue pre-COVID, currently ~10% of NA revenue, grew ~33% in Q1; continued reopening momentum and pent-up demand expected into summer, though still below pre-pandemic levels.</t>
  </si>
  <si>
    <t>Europe outlook &amp; FAST brand</t>
  </si>
  <si>
    <t>Asked for more color on Europe over the next couple of quarters, including the FAST brand and its production constraints.</t>
  </si>
  <si>
    <t>Europe grew ~22% (Nordic-led), ~51% sequentially Q4-to-Q1, despite COVID shutdowns in Finland, Norway and Sweden and FAST protein-snack supply constraints. FAST supply issues should resolve by mid/back-half Q2. The FAST brand launches in the US on Amazon in Q2.</t>
  </si>
  <si>
    <t>Tropical Vibe, FAST SKUs, powder sticks &amp; customer stickiness</t>
  </si>
  <si>
    <t>Jeffrey Cohen</t>
  </si>
  <si>
    <t>Asked when Tropical Vibe would launch, the number of FAST SKUs coming to Amazon, the trajectory of powder sticks given the can shortage, and color on new customer acquisition, reordering and stickiness.</t>
  </si>
  <si>
    <t>Tropical Vibe ('What's Your Vibe' summer line) is already available with nationwide 7-Eleven authorization. FAST launches with 2 SKUs on Amazon as an exclusive launch, then scales. Powder sticks/counter products are immaterial to top-line revenue but growing, with rising interest from CVS, Publix and Walmart. Customer stickiness 'extremely positive'; up to 192,000 locations.</t>
  </si>
  <si>
    <t>DSD penetration ceiling, can shortage resolution &amp; international expansion</t>
  </si>
  <si>
    <t>Anthony Vendetti</t>
  </si>
  <si>
    <t>Asked the maximum DSD penetration achievable and current penetration; whether the can shortage would be alleviated by year-end and why; and the outlook for Middle East expansion through year-end into 2022.</t>
  </si>
  <si>
    <t>DSD is core (~85% of major metro markets) but declined to give a target penetration percentage. US can capacity additions should begin coming online in back-half 2021 into 2022, with the consumer return to on-premise a swing factor; Celsius is secured on supply. Exploring UK/Germany; has a Middle East distributor and works with others on an import basis, with no firm timeline. CFO added the distributor model limits footprint and currency risk.</t>
  </si>
  <si>
    <t>International marketing strategy &amp; investment</t>
  </si>
  <si>
    <t>Follow-up asking about marketing intentions for the international rollout — whether the company is pursuing new regions more aggressively and what level of investment that implies.</t>
  </si>
  <si>
    <t>International rollout uses a distributor/import model with collaborative margin support; fairly limited initially and methodical. The company does not plan to invest heavily ahead of revenue, sticking to its positive-ROI-driven model; any investment will be 'generally immaterial.'</t>
  </si>
  <si>
    <t>Q2 2021 Earnings Call</t>
  </si>
  <si>
    <t>2021-08-12</t>
  </si>
  <si>
    <t>Q2 2020</t>
  </si>
  <si>
    <t>117%</t>
  </si>
  <si>
    <t>North America / Domestic</t>
  </si>
  <si>
    <t>157%</t>
  </si>
  <si>
    <t>International</t>
  </si>
  <si>
    <t>25%</t>
  </si>
  <si>
    <t>Europe (Nordic)</t>
  </si>
  <si>
    <t>23%</t>
  </si>
  <si>
    <t>89.9%</t>
  </si>
  <si>
    <t>-42.1%</t>
  </si>
  <si>
    <t>43.4%</t>
  </si>
  <si>
    <t>+0.1 pts</t>
  </si>
  <si>
    <t>51.8%</t>
  </si>
  <si>
    <t>50.5%</t>
  </si>
  <si>
    <t>+1.3 pts</t>
  </si>
  <si>
    <t>143.8%</t>
  </si>
  <si>
    <t>150%</t>
  </si>
  <si>
    <t>12.2% of rev</t>
  </si>
  <si>
    <t>Operating Expense ($M)</t>
  </si>
  <si>
    <t>Sales &amp; Marketing</t>
  </si>
  <si>
    <t>96.2%</t>
  </si>
  <si>
    <t>23.9%</t>
  </si>
  <si>
    <t>26.2%</t>
  </si>
  <si>
    <t>-2.3 pts</t>
  </si>
  <si>
    <t>133%</t>
  </si>
  <si>
    <t>233%</t>
  </si>
  <si>
    <t>16.6%</t>
  </si>
  <si>
    <t>Balance Sheet / Cash Flow ($M)</t>
  </si>
  <si>
    <t>Prior (Dec-2020)</t>
  </si>
  <si>
    <t>+40.6</t>
  </si>
  <si>
    <t>+84.8</t>
  </si>
  <si>
    <t>Operating Cash Flow (6M)</t>
  </si>
  <si>
    <t>-26.1</t>
  </si>
  <si>
    <t>+45.4 vs Q4'20</t>
  </si>
  <si>
    <t>Working Capital Metrics</t>
  </si>
  <si>
    <t>Distribution / Channel KPIs</t>
  </si>
  <si>
    <t>DSD / Distributor Revenue Growth (YoY)</t>
  </si>
  <si>
    <t>333%</t>
  </si>
  <si>
    <t>US Door Count</t>
  </si>
  <si>
    <t>100,000+ (added ~20,000 in 2021)</t>
  </si>
  <si>
    <t>Fill Rate (Q2 avg; June exit)</t>
  </si>
  <si>
    <t>~93-94% avg; ~90% June exit (vs ~80% Q1)</t>
  </si>
  <si>
    <t>Convenience Channel SPINS Growth (52-wk)</t>
  </si>
  <si>
    <t>86% YoY (vs 9.1% category); 17.1% ACV</t>
  </si>
  <si>
    <t>Nielsen Scan Sales Growth (2-wk, Jul 3)</t>
  </si>
  <si>
    <t>193% YoY; 195% 12-wk; 1.6 share</t>
  </si>
  <si>
    <t>Amazon Energy Drink Share (52-wk Jul 10)</t>
  </si>
  <si>
    <t>13.12% (#3; Red Bull 14.44%, Monster 31.25%)</t>
  </si>
  <si>
    <t>DSD Network Reach</t>
  </si>
  <si>
    <t>190+ partners; ~90% major metros; 85% US counties</t>
  </si>
  <si>
    <t>Vending / Micro-Market Placements (Jul 1)</t>
  </si>
  <si>
    <t>18,500+</t>
  </si>
  <si>
    <t>Branded Coolers Placed (cumulative thru H1)</t>
  </si>
  <si>
    <t>~500</t>
  </si>
  <si>
    <t>Imported/Wrapped Can Supply Mix</t>
  </si>
  <si>
    <t>~50% of can supply</t>
  </si>
  <si>
    <t>Domestic Can Sourcing</t>
  </si>
  <si>
    <t>Significant majority domestic</t>
  </si>
  <si>
    <t>Gross Profit Margin Floor</t>
  </si>
  <si>
    <t>~43%</t>
  </si>
  <si>
    <t>2021 H2 fwd</t>
  </si>
  <si>
    <t>Record Q2 - total sales $65.1M (+117%), highest growth rate in company history; domestic +157%.</t>
  </si>
  <si>
    <t>Fitness and vending channels rebounded post-COVID with triple-digit growth, together contributing ~$4.9M incremental revenue.</t>
  </si>
  <si>
    <t>Management framed quarter as 'another inflection point'; reaffirmed Q1 2021 as the margin low point with sequential improvement expected toward FY2020 levels.</t>
  </si>
  <si>
    <t>Aluminum can shortage persists industry-wide; ~50% of 2021 cans imported/wrapped, shifting to domestic in back-half 2021 / 2022 to improve margins.</t>
  </si>
  <si>
    <t>Six-regional warehouse 'orbit' model build-out underway to reduce miles on cans and better service distributors.</t>
  </si>
  <si>
    <t>Significant inventory build drove a $30.3M six-month operating cash outflow (would have been +$15.1M ex-inventory).</t>
  </si>
  <si>
    <t>June 9 equity offering generated $67.8M net proceeds for the company; earmarked for working capital, cooler program, warehouse/distribution expansion.</t>
  </si>
  <si>
    <t>DSD transition characterized as 'fairly neutral' on margin with offsetting synergies; scale efficiencies a future margin opportunity.</t>
  </si>
  <si>
    <t>Coke Energy delisting is freeing shelf space the team is aggressively pursuing; larger resets expected in 2022.</t>
  </si>
  <si>
    <t>Amazon EU launch (UK and Germany) in back-half 2021 viewed primarily as brand 'air cover' for broader European retail/distributor expansion.</t>
  </si>
  <si>
    <t>Pack-size strategy shifting from single-can trial toward take-home four-packs / multipacks (four-packs into Target) to lift velocity.</t>
  </si>
  <si>
    <t>Strengthening US dollar versus the euro flagged by CFO as a forward margin variable.</t>
  </si>
  <si>
    <t>Consumer loyalty cited as a key competitive advantage; pricing opportunity seen at scale but watching Monster and using promotional allowances.</t>
  </si>
  <si>
    <t>Production over the prior two months exceeded all of 2020; nine active co-packers deemed sufficient for the next 12 months.</t>
  </si>
  <si>
    <t>Renewed COVID variant risk to fitness/vending channels acknowledged as 'definitely a concern.'</t>
  </si>
  <si>
    <t>Ernst &amp; Young appointed as corporate auditors beginning Q3 2021.</t>
  </si>
  <si>
    <t>Fall Shelf Resets &amp; Distribution Acceleration</t>
  </si>
  <si>
    <t>Kaumil Gajrawala, Credit Suisse</t>
  </si>
  <si>
    <t>Will significant fall catch-up shelf resets accelerate distribution gains, or has Celsius already captured most reset upside leaving growth on its current path?</t>
  </si>
  <si>
    <t>Added ~20,000 stores in H1 reaching the 100,000-door milestone; Coke Energy delisting is freeing shelf space the aggressive team is pursuing. Reset timing was COVID-distorted; expects additional distribution gains in Q3 and larger resets in 2022, with DSD activation in small-format/independents a major opportunity. Doors continue growing, though not necessarily at the same rate.</t>
  </si>
  <si>
    <t>Amazon Europe Market Sizing &amp; Contribution</t>
  </si>
  <si>
    <t>More detail on the planned Amazon Europe launches - market size and expected revenue contribution.</t>
  </si>
  <si>
    <t>Launching UK and Germany in Q3. Amazon energy drink market in Europe is smaller than the US; anticipates incremental revenue but views the launch primarily as 'air cover' / brand exposure as Celsius seeks retail and distributor partners. Top-line contribution to 'see how it prevails.'</t>
  </si>
  <si>
    <t>Gross Margin Recovery &amp; DSD Margin Impact</t>
  </si>
  <si>
    <t>Does confidence in margin recovery mean a return to the prior-year ~47% level, and is the improvement a full-year or exit-rate figure? Does the DSD shift drag on margins?</t>
  </si>
  <si>
    <t>Expects sequential H2 improvement but cited freight volatility and cycling of imported cans/raw materials as pressures into Q4; set ~43% Q2 gross profit as the expected floor. CFO added EUR/USD parity as a forward variable. DSD transition gives up some top-line dollars/margin but is offset by synergies - 'fairly neutral' - with scale efficiencies a future opportunity.</t>
  </si>
  <si>
    <t>Pricing in the Energy Category</t>
  </si>
  <si>
    <t>Sean King, UBS</t>
  </si>
  <si>
    <t>How is management thinking about pricing in the energy category and Celsius's ability to take price given strong consumer loyalty?</t>
  </si>
  <si>
    <t>Consumer loyalty is extremely high - a competitive advantage. Sees pricing opportunities as Celsius grows at scale but is currently watching other players (including Monster) and managing promotional allowances to mitigate frontline price increases.</t>
  </si>
  <si>
    <t>European Channel Expansion, Coolers, Fill Rates &amp; Four-Pack Launch</t>
  </si>
  <si>
    <t>Jeffrey Cohen, Ladenburg Thalmann</t>
  </si>
  <si>
    <t>Plans for Western Europe channels beyond Amazon? Color on the cooler program for the back half? Steady-state fill rates (80% then 90%)? Detail on the four-pack launch?</t>
  </si>
  <si>
    <t>Channel expansion beyond Amazon is a 'massive opportunity' under discussion; Amazon is the first step. ~500 coolers placed as of June 30 with strong velocity/ROI; more in H2 and 2022 including larger-retailer programs. Fill rates: Q1 ~80%, June ~90%, Q2 avg ~93-94%. More four-packs/multipacks coming in H2 2021 and 2022 to lift velocity.</t>
  </si>
  <si>
    <t>CVS/7-Eleven DSD Progress &amp; COVID Risk to Fitness/Vending</t>
  </si>
  <si>
    <t>Jeff Van Sinderen, B. Riley</t>
  </si>
  <si>
    <t>Update on CVS and 7-Eleven DSD conversion progress; any anticipated impact on fitness/vending channels from the COVID resurgence?</t>
  </si>
  <si>
    <t>7-Eleven West Coast division converted; Southeast and other regions in progress. CVS conversion ongoing zone-by-zone, working through Anheuser-Busch alcohol-distributor nuances. Fitness/vending have not slowed yet, but renewed COVID is 'definitely a concern' - taking additional safety protocols; 'I don't have a great answer on that.'</t>
  </si>
  <si>
    <t>Branded Cooler Metrics &amp; Co-packer Capacity</t>
  </si>
  <si>
    <t>Anthony Vendetti, Maxim Group</t>
  </si>
  <si>
    <t>More color on branded-cooler metrics - velocity/sell-through with a cooler versus before; are the current nine co-packers sufficient for the 6-12 month plan?</t>
  </si>
  <si>
    <t>Cooler success is about retail execution - expanding DSD support and field marketing teams, targeting three placements per store and cold/end-cap placement, driving incremental velocity. Nine active co-packers solidify growth for the next 12 months; always seeking more partners. Production over the prior two months exceeded all of 2020.</t>
  </si>
  <si>
    <t>2021 Annual Meeting of Shareholders</t>
  </si>
  <si>
    <t>2021-08-19</t>
  </si>
  <si>
    <t>H1 2021 Results ($M)</t>
  </si>
  <si>
    <t>H1 2020 (implied)</t>
  </si>
  <si>
    <t>~98%</t>
  </si>
  <si>
    <t>&gt;130%</t>
  </si>
  <si>
    <t>139%</t>
  </si>
  <si>
    <t>Q2 2021 Snapshot ($M)</t>
  </si>
  <si>
    <t>Q2 Revenue</t>
  </si>
  <si>
    <t>Q2 Adjusted EBITDA</t>
  </si>
  <si>
    <t>~12% of rev</t>
  </si>
  <si>
    <t>GAAP Gross Margin</t>
  </si>
  <si>
    <t>ex-freight ~51-52%</t>
  </si>
  <si>
    <t>Balance Sheet / Working Capital</t>
  </si>
  <si>
    <t>Cash from June 2021 Capital Raise</t>
  </si>
  <si>
    <t>~$67-68M</t>
  </si>
  <si>
    <t>$151M</t>
  </si>
  <si>
    <t>Accounts Receivable Days (DSO)</t>
  </si>
  <si>
    <t>45 (normalized ~40)</t>
  </si>
  <si>
    <t>~156-160 (normalized ~90-100)</t>
  </si>
  <si>
    <t>Days Payable Outstanding (DPO)</t>
  </si>
  <si>
    <t>31</t>
  </si>
  <si>
    <t>EPS - Q2 / YTD ($)</t>
  </si>
  <si>
    <t>0.05 (Q2); 0.06 (YTD)</t>
  </si>
  <si>
    <t>Shares Outstanding (record date)</t>
  </si>
  <si>
    <t>74,470,539</t>
  </si>
  <si>
    <t>Growth / Market Metrics</t>
  </si>
  <si>
    <t>Revenue CAGR (multi-year)</t>
  </si>
  <si>
    <t>Over 50% (last 4-6 qtrs ~80%)</t>
  </si>
  <si>
    <t>International % of Total Revenue</t>
  </si>
  <si>
    <t>~15%</t>
  </si>
  <si>
    <t>US Store Count (Jun 30)</t>
  </si>
  <si>
    <t>100,000+ (added 20,000+ in 2021)</t>
  </si>
  <si>
    <t>US Category Share (Nielsen, Jul 3)</t>
  </si>
  <si>
    <t>1.6% (vs 0.2% in 2018)</t>
  </si>
  <si>
    <t>DSD Distributor Count</t>
  </si>
  <si>
    <t>189+</t>
  </si>
  <si>
    <t>DSD Population / County Coverage</t>
  </si>
  <si>
    <t>~95% of population; ~87% of US counties</t>
  </si>
  <si>
    <t>Trailing 12-Month Share Price Increase</t>
  </si>
  <si>
    <t>Over 210% (as of Aug 13, 2021)</t>
  </si>
  <si>
    <t>Sales New to Category (Evercore)</t>
  </si>
  <si>
    <t>19%</t>
  </si>
  <si>
    <t>US Energy Category Size</t>
  </si>
  <si>
    <t>Over $156 billion</t>
  </si>
  <si>
    <t>US DSD Coverage</t>
  </si>
  <si>
    <t>Approximately full US coverage</t>
  </si>
  <si>
    <t>Voting Results</t>
  </si>
  <si>
    <t>Outcome</t>
  </si>
  <si>
    <t>Quorum</t>
  </si>
  <si>
    <t>57,751,830 of 74,470,539 shares present</t>
  </si>
  <si>
    <t>Election of 8 Directors</t>
  </si>
  <si>
    <t>All elected</t>
  </si>
  <si>
    <t>Ratification of Ernst &amp; Young (FY2021 auditor)</t>
  </si>
  <si>
    <t>Ratified</t>
  </si>
  <si>
    <t>Record first half 2021: total revenue +98% to $115M, North America +130% to $92.6M, international +25% to $22.5M.</t>
  </si>
  <si>
    <t>Management positioned Celsius as 'ENERGY 2.0' - a cross between conventional, healthy and functional energy - disrupting the category.</t>
  </si>
  <si>
    <t>Three category tailwinds cited: better-for-you ingredients, functional benefits, and growth of the fitness channel.</t>
  </si>
  <si>
    <t>Nielsen data shows Celsius outpacing the category by over 10%, with a 1.6% share of the ~$20B US energy drink market (up from 0.2 in 2018).</t>
  </si>
  <si>
    <t>National DSD network reached 189 distributors, ~95% population coverage, ~87% of US counties; approximately full US coverage expected by year-end.</t>
  </si>
  <si>
    <t>Target and Walmart over 95% converted to DSD; Murphy Oil win added 15,000 stores with six facings.</t>
  </si>
  <si>
    <t>Principal headwind: COVID-driven supply chain constraints on cans and raw materials pressuring margins; strategic inventory build elevated inventory days to ~156-160 vs normalized ~90-100.</t>
  </si>
  <si>
    <t>GAAP gross margin 43.4% (~51-52% ex-freight); CFO booked 'a couple of charges' in Q2 to ensure adequate reserves.</t>
  </si>
  <si>
    <t>Debt-free balance sheet bolstered by the June capital raise (~$67-68M), to be reinvested into high-ROI growth activities.</t>
  </si>
  <si>
    <t>International expansion: Europe (Sweden, Finland, Norway) growing 22-25%; UK and Germany to be serviced via Amazon by end of Q3, Amazon leveraged as the European online provider.</t>
  </si>
  <si>
    <t>Asia: China licensing royalty agreement; expanded into Hong Kong, Malaysia, South Korea, Australia with more on the target list.</t>
  </si>
  <si>
    <t>Building adjacent categories - Celsius BCAA recovery line, Celsius HEAT performance line, and the FAST protein-snack portfolio.</t>
  </si>
  <si>
    <t>50/50 male-female consumer base; 19% of sales from consumers new to the category.</t>
  </si>
  <si>
    <t>Tone confident and forward-looking; meeting proceeded directly to voting results with no shareholder questions.</t>
  </si>
  <si>
    <t>No analyst or shareholder Q&amp;A occurred. CEO John Fieldly opened the floor for questions from the in-person audience and online chat, polled twice with no response, and closed the Q&amp;A. This was an Annual Shareholder Meeting; no analysts participated.</t>
  </si>
  <si>
    <t>Q3 2021 Earnings Call</t>
  </si>
  <si>
    <t>2021-11-11</t>
  </si>
  <si>
    <t>Q3 2020</t>
  </si>
  <si>
    <t>158%</t>
  </si>
  <si>
    <t>214%</t>
  </si>
  <si>
    <t>5%</t>
  </si>
  <si>
    <t>Europe / Nordic</t>
  </si>
  <si>
    <t>~0%</t>
  </si>
  <si>
    <t>115%</t>
  </si>
  <si>
    <t>47.6%</t>
  </si>
  <si>
    <t>-7.6 pts</t>
  </si>
  <si>
    <t>49.8%</t>
  </si>
  <si>
    <t>53.7%</t>
  </si>
  <si>
    <t>-3.9 pts</t>
  </si>
  <si>
    <t>Normalized Gross Margin (ex one-time)</t>
  </si>
  <si>
    <t>~47.2%</t>
  </si>
  <si>
    <t>incl. freight</t>
  </si>
  <si>
    <t>-43.8%</t>
  </si>
  <si>
    <t>-33.3%</t>
  </si>
  <si>
    <t>174%</t>
  </si>
  <si>
    <t>23.8%</t>
  </si>
  <si>
    <t>22.6%</t>
  </si>
  <si>
    <t>+1.2 pts</t>
  </si>
  <si>
    <t>134%</t>
  </si>
  <si>
    <t>176%</t>
  </si>
  <si>
    <t>-0.593</t>
  </si>
  <si>
    <t>+18.2</t>
  </si>
  <si>
    <t>+92.0</t>
  </si>
  <si>
    <t>Operating Cash Flow (9M)</t>
  </si>
  <si>
    <t>-55.8</t>
  </si>
  <si>
    <t>+58 in Q2</t>
  </si>
  <si>
    <t>~40</t>
  </si>
  <si>
    <t>Margin Bridge - Q3 One-Time Drag</t>
  </si>
  <si>
    <t>Six-orbit warehouse build + excess freight</t>
  </si>
  <si>
    <t>~3%</t>
  </si>
  <si>
    <t>Higher-cost spot / imported cans</t>
  </si>
  <si>
    <t>~5.3%</t>
  </si>
  <si>
    <t>Total one-time / short-term drag</t>
  </si>
  <si>
    <t>~7.5%</t>
  </si>
  <si>
    <t>Forward Inventory Days (forward-looking)</t>
  </si>
  <si>
    <t>~120 days</t>
  </si>
  <si>
    <t>429%</t>
  </si>
  <si>
    <t>224 regional partners (~92% of US counties)</t>
  </si>
  <si>
    <t>DSD MULO Store Conversion</t>
  </si>
  <si>
    <t>~50% (goal ~80%)</t>
  </si>
  <si>
    <t>118,000+ (+38,000 / +48% from start of 2021)</t>
  </si>
  <si>
    <t>Convenience Channel SPINS Growth (12-wk Oct 3)</t>
  </si>
  <si>
    <t>205.5% YoY (vs 13.6% category); 34.7% ACV</t>
  </si>
  <si>
    <t>Amazon Energy Drink Share (4-wk Oct 30)</t>
  </si>
  <si>
    <t>18.4 share (#2; Red Bull 15.5, Monster 25.9)</t>
  </si>
  <si>
    <t>Branded Coolers Placed (9M 2021)</t>
  </si>
  <si>
    <t>900+ (400 in Q3)</t>
  </si>
  <si>
    <t>Costco</t>
  </si>
  <si>
    <t>10%+ revenue customer</t>
  </si>
  <si>
    <t>Normalized Gross Margin</t>
  </si>
  <si>
    <t>Mid-to-upper 40s (~46-47%)</t>
  </si>
  <si>
    <t>Back end FY2022</t>
  </si>
  <si>
    <t>Finnish RTD Protein Line Initial Orders</t>
  </si>
  <si>
    <t>300,000+</t>
  </si>
  <si>
    <t>Q4 2021</t>
  </si>
  <si>
    <t>Record Q3 - total sales $94.9M (+158%), domestic +214% to $84.5M, beating the prior Q2 record by 46% sequentially.</t>
  </si>
  <si>
    <t>GAAP gross margin fell to 40% from 47.6%; management argued ~7.5% of the decline was one-time / short-term, implying a normalized ~47.2% margin.</t>
  </si>
  <si>
    <t>Net income declined to $2.7M ($0.04 EPS) from $4.8M ($0.06) despite the revenue surge, pressured by margin compression and a 174% S&amp;M jump.</t>
  </si>
  <si>
    <t>Management framed the margin pressure as a deliberate 'cautious decision' to build operational infrastructure ahead of revenue.</t>
  </si>
  <si>
    <t>Two new 2022 US can contracts will move Celsius away from spot-rate and international cans, materially reducing can costs vs 2021.</t>
  </si>
  <si>
    <t>Six-orbit warehouse build (two to six warehouses) raises near-term costs; expected to turn into a freight/stock-out tailwind in 2022.</t>
  </si>
  <si>
    <t>Industry-wide aluminum can shortage and port congestion stranded international cans, forcing expensive spot purchases as aluminum prices rose.</t>
  </si>
  <si>
    <t>Industry freight cost up ~20% YoY per DAT Trendlines.</t>
  </si>
  <si>
    <t>$104M nine-month inventory build drove a $52M operating cash outflow; management said cash flow would be +$50M+ ex-inventory build, ~$13M fully normalized; ~$40M prepaids should normalize.</t>
  </si>
  <si>
    <t>Fitness/vending rebounded to triple-digit growth, contributing ~$5.2M incremental revenue.</t>
  </si>
  <si>
    <t>Coke Energy discontinuation allowed incremental distribution capture outside normal reset windows; larger resets expected March-April 2022.</t>
  </si>
  <si>
    <t>Celsius is one of the 'lone outliers' not yet taking price; evaluating pricing and promotional architecture; competitors are pulling back promotions.</t>
  </si>
  <si>
    <t>New global uniform can design launched in September; Sweden share dipped early in Q3 on the redesign, recovering to 9.3% by September.</t>
  </si>
  <si>
    <t>FAST bar launched in the US (Amazon, +50% sequentially) and on Amazon EU; new Finnish RTD protein line launched Q4 (300,000 initial orders, higher margin).</t>
  </si>
  <si>
    <t>Costco became a 10%+ revenue customer with Costco.com rollout; Sam's Club launching in Q4 test markets.</t>
  </si>
  <si>
    <t>Management declined to give forward leverage guidance and was non-committal on the exact timing of margin normalization (pointed to back end of 2022).</t>
  </si>
  <si>
    <t>Pricing Intentions &amp; Competitive Promotional Environment</t>
  </si>
  <si>
    <t>Clarify whether Celsius intends to take price or is holding due to competition; does it look like competitors are reducing promotion or taking price in a way that would let Celsius follow?</t>
  </si>
  <si>
    <t>Celsius is evaluating pricing, watching the top two players, and deploying promotional and pricing-architecture strategies. One-time charges (importing cans, freight) plus the six-orbit move would allow a return to normalized gross profit once international cans cycle through and spot purchases end; still evaluating which cost increases are permanent vs transitory. Confirmed competitors are pulling back promotions - 'we're not the anomaly.'</t>
  </si>
  <si>
    <t>Growth Decomposition, DSD Conversion &amp; Margin Vision</t>
  </si>
  <si>
    <t>Kaumil Gajrawala, Credit Suisse / Kevin Grundy, Jefferies</t>
  </si>
  <si>
    <t>Rough split of growth between new distribution and same-store sales; confirm DSD conversion (~50%, ~80% goal) and pace; longer-term margin vision; ability to fund the business organically given negative cash flow.</t>
  </si>
  <si>
    <t>Coke Energy discontinuation drove incremental distribution captured outside reset windows; same-store sales rising via DSD migration. ~50% of MULO stores converted, ~80% the ideal goal, velocities meeting internal expectations, positive NACS show pointing to 2022 shelf-space gains. Margin path back to pre-COVID mid-to-upper-40s with scale upside. Business generates sufficient cash - $50M+ ex-inventory build, ~$13M fully normalized; ~$40M prepaids should normalize.</t>
  </si>
  <si>
    <t>Six-Orbit Warehouse Cost Ramp &amp; European Expansion; FAST/Protein Rollout</t>
  </si>
  <si>
    <t>Extraordinary costs from the six-orbit warehouse strategy in Q4 / early 2022 and the P&amp;L leverage contribution in 2022; plans for Germany/UK; rollout of FAST bars and the protein line.</t>
  </si>
  <si>
    <t>Declined forward leverage guidance; warehouse costs rise into Q4 and beyond as Celsius invests ahead of revenue (two to six warehouses). UK/Germany serviced via Amazon, in talks with larger distributors; international uses an asset-light model invoicing in USD to avoid FX exposure. FAST: additional bar orders placed, US manufacturing planned for 2022; new Finnish RTD protein line carries a higher margin profile.</t>
  </si>
  <si>
    <t>FAST/Protein SKU Counts, US Manufacturing, Coolers &amp; Vibe Flavors</t>
  </si>
  <si>
    <t>Number of FAST and protein-line SKUs in the US; whether US manufacturing is anticipated in 2022; cooler aspirations for Q4 and 2022; updates on US Vibe-line flavors/SKUs.</t>
  </si>
  <si>
    <t>FAST has two flavors on Amazon (more under evaluation given import challenges); the Finnish RTD protein line comes in three flavors. US manufacturing of FAST bars anticipated in 2022. 900+ coolers placed in 9M (400 in Q3) with a methodical approach. Vibe line (Peach, Tropical) a top seller; a new undisclosed Vibe coming 'this summer.'</t>
  </si>
  <si>
    <t>Door Count, DSD Partner Count &amp; Freight Strategy</t>
  </si>
  <si>
    <t>Confirm the 118,000 door count and how many added in the quarter; confirm 224 regional DSD partners covering 92% of US counties; how Celsius plans to deal with the industry-wide freight issue through year-end and 2022.</t>
  </si>
  <si>
    <t>Confirmed 118,000 storefronts (~40% YTD increase) with significant further new-door opportunity, especially convenience via DSD. Confirmed 224 regional DSD partners covering ~92% of US counties - the largest quarterly partner increase. On freight, moving from two to six warehouses currently means costly LTL shipping; the six-orbit model will let distributors take full truckloads over shorter distances, generating synergistic freight benefits at scale.</t>
  </si>
  <si>
    <t>Normalized Margins &amp; Inventory Build Composition</t>
  </si>
  <si>
    <t>Sean McGowan, ROTH Capital Partners</t>
  </si>
  <si>
    <t>What is 'normalized' gross margin going forward (pre-COVID or beyond, ex-freight)? Should the margin 'puts and takes' be read as percentage points? To what extent is the inventory build a logistical buffer versus feeding demand?</t>
  </si>
  <si>
    <t>Margins include freight; expects a return to ~46-47% (2020 levels) with upside at scale - characterized as mid-to-upper 40s, framed as a timing issue (full benefits perhaps by the back end of 2022). Confirmed the cost callouts are percentage points off gross margin (~3% can/input plus freight, summing to ~7%). The Q3 inventory build was to fulfill demand and stock the six new warehouses; forward-looking inventory is ~120 days, within the optimal range.</t>
  </si>
  <si>
    <t>Jefferies West Coast Consumer Conference</t>
  </si>
  <si>
    <t>2021-11-17</t>
  </si>
  <si>
    <t>Distribution / Share Metrics</t>
  </si>
  <si>
    <t>DSD Growth Rate (Q3 2021)</t>
  </si>
  <si>
    <t>Amazon Energy Drink Market Share (US)</t>
  </si>
  <si>
    <t>~18% (just shy of 20%; #3 behind Monster, Red Bull)</t>
  </si>
  <si>
    <t>Tracked-Channel Market Share</t>
  </si>
  <si>
    <t>~2% (up from ~1%)</t>
  </si>
  <si>
    <t>Total ACV</t>
  </si>
  <si>
    <t>Just under 50%</t>
  </si>
  <si>
    <t>~37% (lowest-indexed channel)</t>
  </si>
  <si>
    <t>DSD Store Coverage</t>
  </si>
  <si>
    <t>~68% of stores</t>
  </si>
  <si>
    <t>Nielsen Scan Growth Rate</t>
  </si>
  <si>
    <t>Over 200%</t>
  </si>
  <si>
    <t>Sweden Energy Category Market Share</t>
  </si>
  <si>
    <t>Over 9% (nine share)</t>
  </si>
  <si>
    <t>Financial / Operating Metrics</t>
  </si>
  <si>
    <t>~$122M (of which ~$80M finished goods)</t>
  </si>
  <si>
    <t>Identified Gross Margin Impact (can import + freight)</t>
  </si>
  <si>
    <t>Average Retail Scan Price Increase</t>
  </si>
  <si>
    <t>~4%-9%</t>
  </si>
  <si>
    <t>Sales/Distribution Management Team Size</t>
  </si>
  <si>
    <t>72 (targeted over 100 by year-end)</t>
  </si>
  <si>
    <t>Recent Hires</t>
  </si>
  <si>
    <t>60 in last 60 days; 60 open roles</t>
  </si>
  <si>
    <t>Over 100 team members</t>
  </si>
  <si>
    <t>US Can Supply</t>
  </si>
  <si>
    <t>More US cans secured with long contracts</t>
  </si>
  <si>
    <t>2022</t>
  </si>
  <si>
    <t>Gross Margin Impact (can import + freight)</t>
  </si>
  <si>
    <t>Current / next several quarters</t>
  </si>
  <si>
    <t>Long-Term EBITDA Margin</t>
  </si>
  <si>
    <t>35% upon ultimate scale (plausible, no formal guidance)</t>
  </si>
  <si>
    <t>Long term</t>
  </si>
  <si>
    <t>The opening question addressed the August 20 SEC subpoena for document production related to potential federal securities-law violations; the CEO said the company is fully cooperating, the matter is confidential, and it does not affect current or future operations.</t>
  </si>
  <si>
    <t>Management framed Celsius as 'back-dooring' the energy category - building from gym/specialty roots into grocery, drug, club (Costco a 10%+ customer) and now convenience, where it remains under-indexed.</t>
  </si>
  <si>
    <t>Central bull thesis: ~18% Amazon share versus only a ~2% tracked-channel share signals the runway in traditional retail.</t>
  </si>
  <si>
    <t>Identified ~7.5% gross-margin impact from importing cans internationally plus freight inefficiencies in the two-to-six warehouse 'orbit' transition; pressure expected to persist for 'the next several quarters.'</t>
  </si>
  <si>
    <t>Management said it is 'over investing' in people, systems and infrastructure - 'we're not building this company for just a few share points.'</t>
  </si>
  <si>
    <t>DSD network only ~68% built out and 'by no means optimized'; expected to be more optimized in 1H 2022.</t>
  </si>
  <si>
    <t>Co-packing network expanded from 1 to 4 to 3 and now to 13; warehouses moved from two to six in Q3 2021.</t>
  </si>
  <si>
    <t>Governance upgrades: auditor moved to Ernst &amp; Young in Q3 2021; Board expanded with additional independent directors (accounting/audit, HR, IR expertise).</t>
  </si>
  <si>
    <t>Celsius is differentiated as science-backed (six-plus published clinical studies) with a loyal, high-recurring consumer base - the key defense against fragmentation risk like hard seltzer.</t>
  </si>
  <si>
    <t>The hard-seltzer slowdown freed AB-distributor mindshare and focus for Celsius; 'the brand that rotates wins.'</t>
  </si>
  <si>
    <t>Convenience (~37% ACV) is the biggest distribution opportunity; new doors expected from spring 2022 resets.</t>
  </si>
  <si>
    <t>Long US can contracts secured for 2022; transient import-cost margin pressure expected to ease over several quarters.</t>
  </si>
  <si>
    <t>International: launched on Amazon in the UK and Germany, building on a 9%+ Swedish energy share; asset-light master-distributor model invoicing in USD limits FX/AR exposure; North America remains the priority.</t>
  </si>
  <si>
    <t>Category pricing: everyone effectively taking price via promotional optimization (~4-9% scan increase); Celsius will not lead on frontline pricing.</t>
  </si>
  <si>
    <t>A 35% long-term EBITDA margin (like Monster) viewed as plausible upon ultimate scale, with in-house raw materials/manufacturing as a future lever; no formal guidance given.</t>
  </si>
  <si>
    <t>SEC Subpoena</t>
  </si>
  <si>
    <t>Kevin Grundy, Jefferies</t>
  </si>
  <si>
    <t>What can management tell investors about the August 20 SEC subpoena for document production related to potential federal securities-law violations?</t>
  </si>
  <si>
    <t>Confirmed receipt of a general-inquiry subpoena; the company is fully cooperating, the matter is confidential so specifics cannot be discussed, and resolution is expected fairly quickly. Emphasized it does not affect current or future operations.</t>
  </si>
  <si>
    <t>Subpoena Scope / Materiality</t>
  </si>
  <si>
    <t>Can management box in or level-set the geography, timing or materiality of the subpoena?</t>
  </si>
  <si>
    <t>General inquiries cover a variety of questions; the SEC requested confidentiality, and the company is only required to disclose receipt. Could not say more, but reiterated confidence in current operations and future opportunities.</t>
  </si>
  <si>
    <t>Energy Category Evolution &amp; Celsius Positioning</t>
  </si>
  <si>
    <t>How has the energy category evolved, and what is the uniqueness of Celsius and its 'right to win'?</t>
  </si>
  <si>
    <t>A decade dominated by two incumbents is now being disrupted by the better-for-you, functional trend; Celsius offers seven essential vitamins, a fitness/healthy-lifestyle core, and universal appeal across genders, helping it go mainstream from gym/specialty roots. CFO added the current environment magnifies health trends.</t>
  </si>
  <si>
    <t>Fragmentation Risk in Performance Energy</t>
  </si>
  <si>
    <t>Does performance energy risk fragmenting like hard seltzer with large competitors rushing in, and how does Celsius stay differentiated?</t>
  </si>
  <si>
    <t>The energy category has always absorbed new entrants and has been hard to dominate, unlike the more promotion-driven hard-seltzer category. Celsius's loyal, high-recurring consumer base is the key differentiator; COVID-era Amazon ordering (waiting, chilling, consuming) demonstrated genuine brand loyalty.</t>
  </si>
  <si>
    <t>Organizational Capacity to Manage Growth</t>
  </si>
  <si>
    <t>How are the Board and organization managing the risk of rapid growth across capacity, human capital, financial capital, distribution and systems?</t>
  </si>
  <si>
    <t>A balanced, invest-along-the-journey approach: 60 hires in 60 days, 60 open roles, operational transformation (new logistics/production/inventory departments, two-to-six warehouse expansion, co-packers from 1 to 4 to 3 to 13), an Ernst &amp; Young auditor upgrade, an ESG platform, and an expanded Board with more independents.</t>
  </si>
  <si>
    <t>Systems, Visibility &amp; Performance vs. Plan</t>
  </si>
  <si>
    <t>Does management have the systems and visibility (sales, distributor inventory) to run the business with precision, and how does it perform versus internal plan?</t>
  </si>
  <si>
    <t>Demand planning and constant forecasting; ~$122M inventory ($80M finished goods) built for the orbit model; raw-material redundancy in cans/flavors; US can contracts for 2022. KPI monitoring (credit limits by DSO, forward-looking inventory, safety stock). Sales/distribution management team (72) targeted above 100 by year-end with new CRM systems.</t>
  </si>
  <si>
    <t>DSD Conversion Update &amp; Target</t>
  </si>
  <si>
    <t>Update on the DSD transition - how many accounts moved to DSD and the ultimate target?</t>
  </si>
  <si>
    <t>~68% of stores now serviced by DSD with substantial remaining conversion opportunity, expected optimization in 1H 2022. DSD drives exponentially higher velocity via better in-stock rates, placement and cold positioning - 'if you are cold, you are sold.'</t>
  </si>
  <si>
    <t>ACV Trajectory &amp; Velocity vs. Incumbents</t>
  </si>
  <si>
    <t>Where is ACV now, when does the convenience ACV gap close, and can velocity surpass incumbents?</t>
  </si>
  <si>
    <t>Total ACV just under 50%, with convenience the lowest-indexed at ~37% and the biggest opportunity. Celsius is 'back-dooring' the category from gyms/specialty into grocery, drug and Costco, now attacking convenience where the DSD's 'white glove' muscle is essential. The ~18% Amazon share versus ~2% tracked-channel share signals the runway.</t>
  </si>
  <si>
    <t>Replicating Bang's Exponential Share Trajectory</t>
  </si>
  <si>
    <t>Is it reasonable to expect Celsius to replicate Bang's growth - from a 2% share to 7-8% in tracked channels over the next 12-24 months?</t>
  </si>
  <si>
    <t>Declined to provide forward guidance or 'put a line in the sand' on 24 months, but noted Celsius moved from a 1% to 2% share fairly quickly, sees a massive opportunity, and is 'over investing.' CFO said DSD network leverage should produce a 'snowball effect.'</t>
  </si>
  <si>
    <t>Amazon Online Strategy</t>
  </si>
  <si>
    <t>How did Celsius build such strong Amazon momentum (~20% share, #2), and what is the broader online strategy?</t>
  </si>
  <si>
    <t>Most fascinating aspect: Amazon share kept growing even as store count more than doubled. With everything 'one click away,' Celsius aims to be wherever the consumer purchases - Amazon, Walmart, shopping apps, Instacart. 'Nothing special' about the strategy beyond brand resonance.</t>
  </si>
  <si>
    <t>DSD Velocity Surprise</t>
  </si>
  <si>
    <t>Was management surprised by the velocity improvement from switching to DSD?</t>
  </si>
  <si>
    <t>DSD does not work for every brand - many revert to wholesale due to insufficient velocity - but Celsius performs extremely well (429% Q3 DSD growth). DSD networks move high volumes (pallets, truckloads), making Celsius a 'perfect alignment'; as an independent brand, it must out-rotate competition to earn distributor attention.</t>
  </si>
  <si>
    <t>Hard-Seltzer Slowdown Benefiting Distributor Focus</t>
  </si>
  <si>
    <t>Is the hard-seltzer slowdown fortuitous, freeing AB-distributor mindshare and focus for Celsius?</t>
  </si>
  <si>
    <t>Agreed - distributors are adding more non-alcoholic products to make up for seltzer's slowdown, creating competition but also more NA focus, and 'the brand that rotates wins.' Celsius is complementary to premium water/hydration offerings, making it incremental.</t>
  </si>
  <si>
    <t>Supply Chain Outlook (Next 12 Months)</t>
  </si>
  <si>
    <t>Comment on the current supply-chain situation and expectations over the next 12 months, given the Q3 inventory build.</t>
  </si>
  <si>
    <t>Importing cans internationally raises cost versus domestic; going forward depends on the mix of how cans cycle in. CFO said as imported cans flow through the system, the margin impact would persist for 'the next several quarters.'</t>
  </si>
  <si>
    <t>Long-Term EBITDA Margin Potential</t>
  </si>
  <si>
    <t>If Celsius scales to a $1B run-rate, where do EBITDA margins go - and is anything structural preventing a 35% EBITDA margin like Monster?</t>
  </si>
  <si>
    <t>While noting no formal forward guidance, a 35% margin upon ultimate scale is plausible and Celsius could follow a similar path to Monster, with timing/sequencing key - including bringing some raw materials and manufacturing in-house. Quantified the current ~7.5% margin impact from can imports and six-orbit freight inefficiency.</t>
  </si>
  <si>
    <t>Category Pricing Dynamics</t>
  </si>
  <si>
    <t>Given multi-year-high commodity inflation and Monster/Red Bull not moving on price, what will the incumbents do and how does pricing play out?</t>
  </si>
  <si>
    <t>Everyone is effectively taking price - average retail scans up ~4-9% via promotional optimization - even if no one raises frontline list prices. Celsius has aggressively optimized its promotional strategy and sees further leverage as a premium offering, but will not lead on frontline pricing; has 'no control' over the incumbents.</t>
  </si>
  <si>
    <t>International Opportunity</t>
  </si>
  <si>
    <t>Comment on the under-appreciated international potential and what is needed distribution-wise to get the international business going.</t>
  </si>
  <si>
    <t>Cited a 9%+ Swedish energy share, further Norway/Finland distribution, and new Amazon launches in the UK and Germany - the global opportunity is 'huge' with universal health-and-wellness trends, including Asia, South Korea and Australia. CFO stressed an asset-light go-to-market via USD-invoiced master distributors to limit legal-entity, inventory and AR risk; North America remains the priority focus.</t>
  </si>
  <si>
    <t>Morgan Stanley Global Consumer &amp; Retail Conference 2021</t>
  </si>
  <si>
    <t>2021-11-30</t>
  </si>
  <si>
    <t>Category / Share Metrics</t>
  </si>
  <si>
    <t>Energy Category CAGR (through 2025)</t>
  </si>
  <si>
    <t>Over 6%</t>
  </si>
  <si>
    <t>Total ACV (Q3 2021)</t>
  </si>
  <si>
    <t>~34%</t>
  </si>
  <si>
    <t>18% (#2; recently surpassed Red Bull)</t>
  </si>
  <si>
    <t>Tracked-Channel (Nielsen) Market Share</t>
  </si>
  <si>
    <t>Distributor Growth Rate (Q2-Q3 2021)</t>
  </si>
  <si>
    <t>Over 300%</t>
  </si>
  <si>
    <t>Coolers Placed</t>
  </si>
  <si>
    <t>Over 900</t>
  </si>
  <si>
    <t>Target DSD Conversion</t>
  </si>
  <si>
    <t>~95% converted (Walmart converted)</t>
  </si>
  <si>
    <t>Margin / Cost Metrics</t>
  </si>
  <si>
    <t>Transitory Gross Profit / COGS Impact (Q3 2021)</t>
  </si>
  <si>
    <t>~7% (~3% freight + ~4% can import)</t>
  </si>
  <si>
    <t>Pro Forma Gross Margin (ex-freight)</t>
  </si>
  <si>
    <t>~50%</t>
  </si>
  <si>
    <t>Freight Cost Increase</t>
  </si>
  <si>
    <t>International Cans In Transit</t>
  </si>
  <si>
    <t>~600 containers (ordered February 2021)</t>
  </si>
  <si>
    <t>~60 in last 60 days; ~60 open roles</t>
  </si>
  <si>
    <t>Energy Category CAGR</t>
  </si>
  <si>
    <t>Through 2025</t>
  </si>
  <si>
    <t>DSD Long-Term Distribution Target</t>
  </si>
  <si>
    <t>80%</t>
  </si>
  <si>
    <t>Cooler Placements</t>
  </si>
  <si>
    <t>900+ placed; more into 2022</t>
  </si>
  <si>
    <t>2021-2022</t>
  </si>
  <si>
    <t>Transitory COGS Impact</t>
  </si>
  <si>
    <t>~7% (~3% freight + ~4% cans)</t>
  </si>
  <si>
    <t>Q3 2021 / next several quarters</t>
  </si>
  <si>
    <t>Freight Reduction Opportunity</t>
  </si>
  <si>
    <t>~3% via six-orbit model</t>
  </si>
  <si>
    <t>Imported Can Cycle-Through</t>
  </si>
  <si>
    <t>By mid-year 2022</t>
  </si>
  <si>
    <t>Mid-2022</t>
  </si>
  <si>
    <t>Management reiterated the bull case: a 'new age' functional energy drink, science-backed (six-plus published clinical studies), differentiated by seven essential vitamins, green tea/guarana/ginger, no sugar, 'no crash, no jitters.'</t>
  </si>
  <si>
    <t>Celsius is 'back-dooring' the energy category - built from gym/specialty roots into grocery, mass, drug and Amazon (18% share, #2 on Amazon, recently past Red Bull) - now attacking convenience as the DSD network activates.</t>
  </si>
  <si>
    <t>Growth algorithm framed as three pillars: new distribution (total ACV only ~34%), optimization of existing distribution (cold/warm/secondary placement, 900+ coolers), and an innovation pipeline (Strawberry Guava, Fuji Apple Pear, the Vibe sub-line, an upcoming summer Vibe).</t>
  </si>
  <si>
    <t>Clearest headwind: a supply-chain 'perfect storm' - ~7% Q3 gross-profit/COGS impact labeled transitory (~3% freight inefficiency, ~4% imported can costs).</t>
  </si>
  <si>
    <t>Expects to cycle through ~600 containers of pre-paid international cans by mid-year 2022; US can supply secured for 2022; ~3% freight reducible via the six-orbit model.</t>
  </si>
  <si>
    <t>COGS includes inbound freight, so a normalized pro forma gross margin is closer to ~50%; margin impact expected to persist several quarters.</t>
  </si>
  <si>
    <t>DSD 80% long-term target reflects that most traditional retail will be DSD-serviced while a portion (health/fitness, retailers with own supply chains) will not.</t>
  </si>
  <si>
    <t>Hard-seltzer slowdown freed AB-distributor focus for Celsius and made US cans available on the spot market; Celsius explicitly ruled out hard seltzer.</t>
  </si>
  <si>
    <t>Category-wide ~$0.25/can price increases via promotional optimization rather than frontline list pricing; Celsius following the same approach.</t>
  </si>
  <si>
    <t>Organically created sub-lines (CELSIUS HEAT, BCAA recovery) available to bring to mainstream retail 'at the right time'; also exploring hydration and protein adjacencies; FAST protein-snack portfolio on a small base sold on Amazon.</t>
  </si>
  <si>
    <t>M&amp;A: 'not actively looking' but would evaluate accretive bolt-ons; the national DSD network, once optimized, enables future addition of other brands on the same route to market.</t>
  </si>
  <si>
    <t>International uses an asset-light master-distributor model invoicing in USD; recently launched on Amazon in the UK, Germany and South Korea; broad opportunity in Europe and Asia, but the clear emphasis is the US.</t>
  </si>
  <si>
    <t>Demographic expansion (Gen Z entering at higher per-cap rates) and COVID-magnified health-and-wellness trends seen as durable category tailwinds.</t>
  </si>
  <si>
    <t>Tone emphatically bullish; management stressed staying focused on the core portfolio and not getting distracted.</t>
  </si>
  <si>
    <t>Energy Category Growth Drivers</t>
  </si>
  <si>
    <t>Bruce Williams, Morgan Stanley</t>
  </si>
  <si>
    <t>What are the largest drivers of momentum in the energy drink space and the key drivers of future growth?</t>
  </si>
  <si>
    <t>The category has been a top beverage growth driver for over a decade as people work more/harder and want more energy. COVID-driven health-and-wellness and functional-fitness trends drive emphasis toward the category; Celsius delivers seven essential vitamins, green tea, ginger and guarana without sacrificing flavor, plus functionality. Cited a category CAGR over 6% to 2025, demographic expansion, and higher per-cap consumption among new (Gen Z) consumers.</t>
  </si>
  <si>
    <t>Brand Differentiation vs. Competition</t>
  </si>
  <si>
    <t>With increasing competition, how is Celsius positioned to stand out and differentiate from peers?</t>
  </si>
  <si>
    <t>Celsius is one of the only science-backed products - six-plus published clinical studies, the basis of structure/function claims - making it a proven functional energy drink ('Energy 2.0') difficult to replicate. Low barriers to entry but high barriers to stay. CFO cited the green-tea/guarana/ginger ingredient set and the 'no crash, no jitters' sustained-energy experience driving high continuity.</t>
  </si>
  <si>
    <t>Sales Growth Algorithm</t>
  </si>
  <si>
    <t>How does management think about the Celsius sales growth algorithm - same-store sales, new distribution, e-commerce, innovation?</t>
  </si>
  <si>
    <t>Three pillars: (1) new distribution - total ACV only ~34%, 'back-dooring' into convenience as DSD activates; (2) optimizing existing distribution - cold/warm/secondary placement, 900+ coolers placed with more in 2022; (3) the innovation pipeline - Strawberry Guava, Fuji Apple Pear, the Vibe sub-line and a new summer Vibe. CFO stressed DSD 'white glove' execution exponentially drives incremental sales.</t>
  </si>
  <si>
    <t>80% DSD Distribution Target</t>
  </si>
  <si>
    <t>Talk about the publicly announced 80% long-term DSD distribution target - strategy, implementation, and why 80%.</t>
  </si>
  <si>
    <t>80% reflects that most traditional retail will be DSD-serviced, while a portion (health/fitness channel, retailers with their own supply chains) will not. Conversion is region-by-region, retailer-by-retailer: Target ~95% converted, Walmart converted, CVS and 7-Eleven in progress. CFO added the back-office work makes it 'a journey, not flipping a switch.' Distributors up over 300% in Q2/Q3.</t>
  </si>
  <si>
    <t>Category Adjacencies &amp; Hard Seltzer</t>
  </si>
  <si>
    <t>Any interesting adjacencies, given the stated lack of interest in hard seltzer - what other beverage sub-sectors are interesting?</t>
  </si>
  <si>
    <t>Stay focused on the core portfolio, but organically created sub-lines are available to bring to mainstream retail at the right time - CELSIUS HEAT and the BCAA recovery line - plus exploration of hydration and protein opportunities and the FAST protein-snack portfolio. Methodical resource allocation; opportunities evaluated if accretive.</t>
  </si>
  <si>
    <t>Supply-Chain Headwinds &amp; Margin Impact</t>
  </si>
  <si>
    <t>How have supply-chain headwinds and cost inflation affected the company, given the margin impact in the latest earnings release?</t>
  </si>
  <si>
    <t>CFO described a 'perfect storm' - freight, container costs, storage, re-works - plus the six-orbit warehouse transition. CEO quantified ~7% of Q3 gross profit/COGS as transitory: ~3% freight inefficiency (reducible ~3% via orbit optimization) and ~4% imported can costs. Pre-paid for ~600 containers of international cans (ordered February), cycling through by mid-2022; US cans secured for 2022. COGS includes inbound freight, so normalized pro forma gross margin is ~50%.</t>
  </si>
  <si>
    <t>Pricing Strategy</t>
  </si>
  <si>
    <t>How does management think about price in the current environment - any comments on pricing strategy?</t>
  </si>
  <si>
    <t>Everyone is effectively taking price through promotional optimization without raising frontline list prices - observed two-can deals moving up roughly $0.25/can. Celsius, like Red Bull and Monster, has not taken frontline pricing but has worked its promotional strategies; has pricing strategies in place and is monitoring closely.</t>
  </si>
  <si>
    <t>M&amp;A Appetite</t>
  </si>
  <si>
    <t>How does the company think about M&amp;A - new geographies, categories or otherwise?</t>
  </si>
  <si>
    <t>'Not actively looking' but would evaluate an accretive bolt-on that fits its synergies, while stressing focus on the massive US opportunity. The national DSD network, once optimized, enables future addition of other brands on the same route to market. CFO reiterated the international master-distributor model (USD revenue, limited footprint), with clear US emphasis.</t>
  </si>
  <si>
    <t>Amazon Relationship &amp; Geographic Focus</t>
  </si>
  <si>
    <t>Update on the Amazon relationship including the recent Amazon Europe launch, plus general commentary on geographic focus.</t>
  </si>
  <si>
    <t>Called Amazon 'phenomenal' - an 18% US share, #2 energy drink, recently past Red Bull. The loyal consumer buying a warm 12-pack for $25-30 to chill at home excites management; against a ~2% Nielsen tracked-channel share, that signals the runway. Amazon is growing internationally; Celsius recently launched on Amazon in the UK, Germany and South Korea (plus the FAST portfolio online), with COVID-impacted opportunity in Malaysia. CFO said the international Amazon launches fit the asset-light model.</t>
  </si>
  <si>
    <t>Q4 2021 Earnings Call</t>
  </si>
  <si>
    <t>2022-03-01</t>
  </si>
  <si>
    <t>Q4 Revenue by Geography ($M)</t>
  </si>
  <si>
    <t>2021Q4</t>
  </si>
  <si>
    <t>2020Q4</t>
  </si>
  <si>
    <t>192%</t>
  </si>
  <si>
    <t>Domestic / North America Revenue</t>
  </si>
  <si>
    <t>238%</t>
  </si>
  <si>
    <t>15%</t>
  </si>
  <si>
    <t>203%</t>
  </si>
  <si>
    <t>Full-Year Revenue ($M)</t>
  </si>
  <si>
    <t>Over 300</t>
  </si>
  <si>
    <t>109%</t>
  </si>
  <si>
    <t>Q4 Profitability ($M)</t>
  </si>
  <si>
    <t>39.9%</t>
  </si>
  <si>
    <t>-9.0 pts</t>
  </si>
  <si>
    <t>Adjusted Gross Margin (ex-freight out)</t>
  </si>
  <si>
    <t>48.4%</t>
  </si>
  <si>
    <t>57.2%</t>
  </si>
  <si>
    <t>-8.8 pts</t>
  </si>
  <si>
    <t>119.2%</t>
  </si>
  <si>
    <t>147%</t>
  </si>
  <si>
    <t>Stock Option Expense (in G&amp;A)</t>
  </si>
  <si>
    <t>+$6.2M</t>
  </si>
  <si>
    <t>Basic EPS ($)</t>
  </si>
  <si>
    <t>+$0.15</t>
  </si>
  <si>
    <t>Q4 net income included an $8.8M tax benefit (~$8-8.5M deferred-tax valuation-allowance release)</t>
  </si>
  <si>
    <t>Ex-stock-comp G&amp;A as % of revenue</t>
  </si>
  <si>
    <t>6.1% (down from 11.5%)</t>
  </si>
  <si>
    <t>Q4 net other income (vs $600K prior; 2020 had a $730K FX gain)</t>
  </si>
  <si>
    <t>$250K</t>
  </si>
  <si>
    <t>FY2021 operating cash flow</t>
  </si>
  <si>
    <t>Used $95.8M (ex-inventory ~+$84.3M)</t>
  </si>
  <si>
    <t>Q2/Q3 2021 stock-comp restatement (CFO figures)</t>
  </si>
  <si>
    <t>~$3.1M Q2 / ~$12.1M Q3</t>
  </si>
  <si>
    <t>Q2/Q3 2021 stock-comp restatement (CEO figures)</t>
  </si>
  <si>
    <t>~$2.7M Q2 / ~$12.6M Q3</t>
  </si>
  <si>
    <t>Balance Sheet ($M)</t>
  </si>
  <si>
    <t>Dec 31 2021</t>
  </si>
  <si>
    <t>+153%</t>
  </si>
  <si>
    <t>+$172.8M</t>
  </si>
  <si>
    <t>Prepaid cans/raw materials in inventory build</t>
  </si>
  <si>
    <t>~$60-70M</t>
  </si>
  <si>
    <t>FY2021 / current</t>
  </si>
  <si>
    <t>Start of 2021</t>
  </si>
  <si>
    <t>276+</t>
  </si>
  <si>
    <t>150</t>
  </si>
  <si>
    <t>~65%</t>
  </si>
  <si>
    <t>135,000+</t>
  </si>
  <si>
    <t>82,000</t>
  </si>
  <si>
    <t>Convenience doors</t>
  </si>
  <si>
    <t>~60,000 (up 95%)</t>
  </si>
  <si>
    <t>~44%</t>
  </si>
  <si>
    <t>Costco stores</t>
  </si>
  <si>
    <t>561 (Q4 revenue +1,100%)</t>
  </si>
  <si>
    <t>Circle K national contract</t>
  </si>
  <si>
    <t>~6,000 doors, ~4 flavors avg</t>
  </si>
  <si>
    <t>Order fill rate</t>
  </si>
  <si>
    <t>97% (Q4)</t>
  </si>
  <si>
    <t>80% (end Q1 2021)</t>
  </si>
  <si>
    <t>Active co-packers</t>
  </si>
  <si>
    <t>13+</t>
  </si>
  <si>
    <t>Channel / Share Stats</t>
  </si>
  <si>
    <t>Tracked-channel (IRI MULO+C) share (52 wks ending Jan 23 2022)</t>
  </si>
  <si>
    <t>2.1 share (+163% growth); 3.2 last 4 wks</t>
  </si>
  <si>
    <t>Amazon energy drink share (4 wks ending Feb 12 2022)</t>
  </si>
  <si>
    <t>20% (No. 2 brand; Red Bull 13%)</t>
  </si>
  <si>
    <t>Fitness channel FY2021 growth</t>
  </si>
  <si>
    <t>+91%</t>
  </si>
  <si>
    <t>Vending channel FY2021 growth</t>
  </si>
  <si>
    <t>+186% (Q4 +210%)</t>
  </si>
  <si>
    <t>Fitness + vending incremental FY revenue</t>
  </si>
  <si>
    <t>~$14.7M</t>
  </si>
  <si>
    <t>DSD distribution revenue growth vs prior year</t>
  </si>
  <si>
    <t>Over 400%</t>
  </si>
  <si>
    <t>18-24 age bracket</t>
  </si>
  <si>
    <t>Fastest-growing segment; 50/50 male-female; 20% of sales new to category</t>
  </si>
  <si>
    <t>Form 10-K filing</t>
  </si>
  <si>
    <t>Within 15-calendar-day extension period</t>
  </si>
  <si>
    <t>March 2022</t>
  </si>
  <si>
    <t>Gross margin impact duration</t>
  </si>
  <si>
    <t>Impacted through Q3 2022, then normalizes to FY2020 levels</t>
  </si>
  <si>
    <t>Through Q3 2022</t>
  </si>
  <si>
    <t>Imported can margin impact</t>
  </si>
  <si>
    <t>~3%-4%</t>
  </si>
  <si>
    <t>China royalty minimum</t>
  </si>
  <si>
    <t>$2.2M minimum annual (volume-based from 2024/2025)</t>
  </si>
  <si>
    <t>Annually</t>
  </si>
  <si>
    <t>Target inventory days on hand</t>
  </si>
  <si>
    <t>~90-120 days</t>
  </si>
  <si>
    <t>Outbound freight gross-profit gap (historical)</t>
  </si>
  <si>
    <t>~8%-10%</t>
  </si>
  <si>
    <t>Six-orbit warehouse optimization</t>
  </si>
  <si>
    <t>Well optimized</t>
  </si>
  <si>
    <t>End of Q1 2022</t>
  </si>
  <si>
    <t>Stock option expense run rate</t>
  </si>
  <si>
    <t>~Q4 2021 level</t>
  </si>
  <si>
    <t>Tax rate going forward</t>
  </si>
  <si>
    <t>Significantly higher (jurisdiction/profitability dependent)</t>
  </si>
  <si>
    <t>Inventory normalization cash release</t>
  </si>
  <si>
    <t>Significant funds released</t>
  </si>
  <si>
    <t>Record preliminary Q4 and full-year 2021 — first $100M-plus quarter ($104.3M, +192%) and first $300M-plus year; domestic +238%.</t>
  </si>
  <si>
    <t>Call dominated by two governance/control disclosures: a non-cash stock-comp error and a 15-day Form 10-K filing extension.</t>
  </si>
  <si>
    <t>Stock-comp error from misinterpreting a Class 3 modification rule on grants to former foundational employees/retired directors whose awards continued vesting — understating expense ~$3.1M in Q2 and ~$12.1M in Q3 (CFO figures), requiring restatement of those 10-Qs.</t>
  </si>
  <si>
    <t>Management concluded a material weakness existed in internal controls over financial reporting as of December 31, 2021; remediation in progress.</t>
  </si>
  <si>
    <t>The SEC investigation remains ongoing with no material developments and is 'completely separate' from the stock-comp error.</t>
  </si>
  <si>
    <t>Q4 GAAP gross margin fell to 39.9% (from 48.9%) on imported can costs, raw materials, ocean freight (containers near $20,000) and repackaging; expected to persist through Q3 2022 then normalize toward FY2020 levels.</t>
  </si>
  <si>
    <t>Imported cans carry a ~3-4% margin impact, stemming from a strategic late-2020/early-2021 decision to import cans to fulfill demand.</t>
  </si>
  <si>
    <t>DSD network grew from 150 partners / 80% coverage at start of 2021 to 276+ service centers / ~98% population coverage; ~65% of MULO+C stores DSD-serviced.</t>
  </si>
  <si>
    <t>Convenience doors up 95% to ~60,000 (~44% ACV, ~56% runway); Circle K national contract (~6,000 doors); Costco scaled to 561 stores (Q4 +1,100%).</t>
  </si>
  <si>
    <t>COVID-suppressed 2020 fitness and vending channels rebounded in 2021 (+91% / +186%), contributing ~$14.7M of incremental full-year revenue.</t>
  </si>
  <si>
    <t>Net inventory rose ~$172.8M to $191.2M to support the six-orbit warehouse model and spring resets, including ~$60-70M of prepaid cans/raw materials.</t>
  </si>
  <si>
    <t>2022 framed as 'the year of activation' — activating the DSD network, driving distribution and velocity; promotional pricing implemented to offset inflation.</t>
  </si>
  <si>
    <t>Q4 included an $8-8.5M tax benefit from releasing valuation allowances on prior-year tax losses; tax rate to be significantly higher going forward.</t>
  </si>
  <si>
    <t>Macro headwinds — aluminum can shortage still tight, labor/trucking shortages, rising gas prices; COVID disrupted the finance team in Jan/early Feb 2022.</t>
  </si>
  <si>
    <t>Control issue scope</t>
  </si>
  <si>
    <t>Kevin Grundy - Jefferies</t>
  </si>
  <si>
    <t>Asked to confirm the control issues are exclusively isolated to the stock-based comp accounting as the audit wraps up.</t>
  </si>
  <si>
    <t>That is the current indication, but cautioned the company is still going through a first-year audit and internal controls are a major remaining aspect — kept 'the door open.'</t>
  </si>
  <si>
    <t>Shelf-space resets, club expansion &amp; share trajectory</t>
  </si>
  <si>
    <t>Asked about expected material new placements and club-channel expansion, and where tracked-channel share (~2%) goes over the next 12-36 months.</t>
  </si>
  <si>
    <t>Scan data extremely strong, velocity still rising even in club (Costco) and Amazon despite broadening distribution. Costco a big 2021 surprise; Sam's Club and BJ's in discussion for 2022. Highlighted the Circle K national agreement (~6,000 stores). Did not commit to a quantified share target.</t>
  </si>
  <si>
    <t>2022 gross margin &amp; long-term margin opportunity</t>
  </si>
  <si>
    <t>Asked for directional gross-margin guidance for 2022 and to marry near-term pressure with the longer-term Monster-like EBITDA margin opportunity.</t>
  </si>
  <si>
    <t>Many variables — local vs. imported can mix (flowing through COGS through Q2 and a bit beyond), freight, oil-price macro pressure (containers near $20,000) — make precise guidance difficult. Once normalized, gross profitability returns toward 2020 levels with EBITDA leverage from volume. Imported cans expected to cycle through ~Q3 2022; pricing/promotional strategies to offset inflation.</t>
  </si>
  <si>
    <t>Stock-comp error completeness &amp; SEC linkage</t>
  </si>
  <si>
    <t>Mark Astrachan - Stifel</t>
  </si>
  <si>
    <t>Asked whether there is anything beyond the stock-comp issue management is aware of, and whether the error relates to the SEC investigation.</t>
  </si>
  <si>
    <t>First-year audit with greater scrutiny so something could surface, but at this point nothing of that nature seen — kept 'the door open.' Stock-comp matter is 'not necessarily' related to the SEC investigation — an internal valuation issue on modified awards; management confident in the preliminary numbers.</t>
  </si>
  <si>
    <t>State-level share &amp; distribution penetration</t>
  </si>
  <si>
    <t>Asked how the ~10%+ Florida home-state share reconciles with the mid-3s national share, whether anything prevents state share improving, and the state of distribution moving away from Florida; also whether the SEC investigation is separate.</t>
  </si>
  <si>
    <t>Florida's share reflects nearly two years of full DSD coverage plus Circle K, 7-Eleven and Publix — evidence Celsius performs at or above competitors with the same opportunity. Texas, California and others gaining share as the DSD network builds. CFO firmly confirmed the SEC investigation is 'completely separate' from the stock-comp error.</t>
  </si>
  <si>
    <t>Circle K rollout &amp; DSD expansion target</t>
  </si>
  <si>
    <t>Asked about the Circle K contract rollout, the current overall DSD percentage, and a reasonable end-of-FY2022 DSD target.</t>
  </si>
  <si>
    <t>Circle K is a national rollout into ~6,000 doors with ~4 flavors average — a strong DSD jump-start. 270+ service centers cover ~98% of population; some state gaps remain, with majority coverage and the ability to service all key accounts targeted by end of 2022. 2022 framed as 'all about activation.'</t>
  </si>
  <si>
    <t>Six-orbit warehouse model</t>
  </si>
  <si>
    <t>Asked for detail on the six-orbit warehouse model ramp — status, milestones, timeline, and expected benefit once optimized.</t>
  </si>
  <si>
    <t>Began in Q3 2021 with warehouse buildout and inventory increases; Q4 focused on optimizing inventory and establishing logistics lanes to reduce lead times, drive full-truckload/full-pallet efficiency, and improve freight costs and margins. Expected well optimized by end of Q1 2022.</t>
  </si>
  <si>
    <t>DSD conversion %, can cost spread &amp; marketing spend</t>
  </si>
  <si>
    <t>Kaumil Gajrawala - Credit Suisse</t>
  </si>
  <si>
    <t>Asked how many accounts are actually converted to DSD, the imported-vs-domestic can cost spread and where margins land, and how to think about marketing/sales spend.</t>
  </si>
  <si>
    <t>98% is population coverage; ~65% of MULO+C stores currently DSD-serviced. Imported cans carry a ~3-4% margin impact (container costs near $20,000, easing), cycling through ~Q3 2022. Investing ahead of revenue, expects to maintain current spending levels through 2022, with ex-stock-comp G&amp;A at ~6.1%.</t>
  </si>
  <si>
    <t>Stock comp run rate, tax rate &amp; inventory build</t>
  </si>
  <si>
    <t>Sean McGowan - ROTH Capital</t>
  </si>
  <si>
    <t>Asked whether all stock-comp is in G&amp;A, whether Q4 stock-comp is a normal run rate, the deferred-tax release amount, the go-forward tax rate, color on the inventory build, and where inventory days land in 12 months.</t>
  </si>
  <si>
    <t>100% of stock-comp is in G&amp;A; Q4 level roughly the go-forward run rate; deferred-tax release ~$8-8.5M; with remaining NOLs the tax rate will be significantly higher (jurisdiction/profitability dependent). Inventory build includes ~$60-70M of prepaid cans/raw materials for 2022 resets and summer; targeting ~90-120 days on hand (currently above that after large December production runs).</t>
  </si>
  <si>
    <t>International growth constraints</t>
  </si>
  <si>
    <t>Asked whether anything other than North America focus is constraining international sales and whether the growth rate can accelerate.</t>
  </si>
  <si>
    <t>Deliberately conservative on international, sees opportunities in the Nordics, UK/Germany Amazon, and Southeast Asia, but methodical as it scales. CFO reiterated the master-distributor model avoids a large footprint and currency exposure.</t>
  </si>
  <si>
    <t>Production constraints vs. tough 2H 2022 comps</t>
  </si>
  <si>
    <t>Asked, given strong Q4 growth and difficult 2H 2022 comparisons, how to think about bumping up against production constraints and confidence in sustaining growth.</t>
  </si>
  <si>
    <t>Confident — 13 active co-packers with more in discussion, beverage-industry hire Paul Storey, and an internal directive for sales to 'outsell production.' Good position with capacity to drive scale, while acknowledging external factors can happen.</t>
  </si>
  <si>
    <t>Co-packer pace, can supply &amp; inventory composition</t>
  </si>
  <si>
    <t>Asked about co-packer pace (now 13) and 2022 domestic expectations, whether domestic can supply has caught up, the inventory mix of cans vs. finished product, the labor/logistics effect on the freight gap, and whether the CycleBar exclusive covers all national CycleBars.</t>
  </si>
  <si>
    <t>At six orbits, will create more as it scales; in discussions with additional co-packers/warehouses. Can supply remains tight industry-wide but Celsius well positioned via long-term agreements. ~15-20% of inventory is packaging components, the balance finished product plus raw/packaging materials. Outbound-freight gross-profit gap historically ~8-10%, with macro/gas-price uncertainty potentially widening it. The CycleBar exclusive covers the couple-hundred national CycleBars.</t>
  </si>
  <si>
    <t>Store expansion runway &amp; Costco durability</t>
  </si>
  <si>
    <t>Jeremy Pearlman - Maxim Group</t>
  </si>
  <si>
    <t>Asked how much store-expansion runway is left, the Costco store count and growth plans (vs. ~880 warehouses), and the risk Costco could pull the contract.</t>
  </si>
  <si>
    <t>Opportunity is twofold — optimizing existing accounts (better placement, more flavors, cold placement for velocity) and convenience-channel runway (~44% ACV, ~56% opportunity left), plus untracked-channel growth. In 561 Costco warehouses. Acknowledged the standard retail dynamic — roughly six months to perform or risk losing the shelf — but Celsius is currently gaining distribution on strong velocity.</t>
  </si>
  <si>
    <t>Q1 2022 Earnings Call</t>
  </si>
  <si>
    <t>2022-05-10</t>
  </si>
  <si>
    <t>167%</t>
  </si>
  <si>
    <t>Domestic / North American Revenue</t>
  </si>
  <si>
    <t>International Revenue (total)</t>
  </si>
  <si>
    <t>~-10%</t>
  </si>
  <si>
    <t>Europe / Nordics</t>
  </si>
  <si>
    <t>~-18%</t>
  </si>
  <si>
    <t>Asia (incl. China royalties)</t>
  </si>
  <si>
    <t>Other International Markets</t>
  </si>
  <si>
    <t>256%</t>
  </si>
  <si>
    <t>162%</t>
  </si>
  <si>
    <t>40.4%</t>
  </si>
  <si>
    <t>-0.7 pts</t>
  </si>
  <si>
    <t>Gross Margin ex-Outbound Freight</t>
  </si>
  <si>
    <t>49.5%</t>
  </si>
  <si>
    <t>-6.7 pts</t>
  </si>
  <si>
    <t>~1017%</t>
  </si>
  <si>
    <t>800%</t>
  </si>
  <si>
    <t>164%</t>
  </si>
  <si>
    <t>24%</t>
  </si>
  <si>
    <t>-1 pt</t>
  </si>
  <si>
    <t>16%</t>
  </si>
  <si>
    <t>-7 pts</t>
  </si>
  <si>
    <t>+22 (vs Q1 2021)</t>
  </si>
  <si>
    <t>Cash Position</t>
  </si>
  <si>
    <t>+9.2 (vs Dec-2021)</t>
  </si>
  <si>
    <t>+17.3 (vs Dec-2021)</t>
  </si>
  <si>
    <t>International cans on the books</t>
  </si>
  <si>
    <t>moving deposit to inventory</t>
  </si>
  <si>
    <t>Inventory reduction in quarter</t>
  </si>
  <si>
    <t>DSD Distributor Revenue Growth (YoY)</t>
  </si>
  <si>
    <t>+395%</t>
  </si>
  <si>
    <t>US Store Count</t>
  </si>
  <si>
    <t>140,000+ (vs 93,000 Q1 2021; +49,000 / +53%)</t>
  </si>
  <si>
    <t>Convenience Store Locations</t>
  </si>
  <si>
    <t>~64,000 (+88% YoY)</t>
  </si>
  <si>
    <t>Vending &amp; Micro-Market Placements</t>
  </si>
  <si>
    <t>12,000+ (+96% location growth)</t>
  </si>
  <si>
    <t>Q1 Fill Rate</t>
  </si>
  <si>
    <t>~97%</t>
  </si>
  <si>
    <t>Club Channel Revenue Contribution</t>
  </si>
  <si>
    <t>$26M+</t>
  </si>
  <si>
    <t>Club + Vending/Foodservice incremental revenue (2 channels)</t>
  </si>
  <si>
    <t>$25.2M vs Q1 2021</t>
  </si>
  <si>
    <t>~99% of US population</t>
  </si>
  <si>
    <t>Costco Q1 Revenue Growth</t>
  </si>
  <si>
    <t>Over 1,100%</t>
  </si>
  <si>
    <t>Sam's Club nationwide rollout added</t>
  </si>
  <si>
    <t>589 locations</t>
  </si>
  <si>
    <t>Average price increase (52-wk Nielsen)</t>
  </si>
  <si>
    <t>17.4 (units unspecified)</t>
  </si>
  <si>
    <t>Gross Margin (normalized)</t>
  </si>
  <si>
    <t>Mid-40s</t>
  </si>
  <si>
    <t>Q4 2022 / 2023</t>
  </si>
  <si>
    <t>~97% (maintained)</t>
  </si>
  <si>
    <t>China Royalty Revenue (minimum floor)</t>
  </si>
  <si>
    <t>No lower than $2.2M</t>
  </si>
  <si>
    <t>Post-2024</t>
  </si>
  <si>
    <t>International Revenue Growth</t>
  </si>
  <si>
    <t>10% to 15%</t>
  </si>
  <si>
    <t>Circle K Launch</t>
  </si>
  <si>
    <t>6,000+ new locations</t>
  </si>
  <si>
    <t>Completed by Q2 2022</t>
  </si>
  <si>
    <t>Record Q1 - total revenue $133.4M (+167%), the 14th consecutive quarter of sequential growth and 28% above Q4 2021.</t>
  </si>
  <si>
    <t>Domestic revenue +214% on triple-digit growth across traditional channels, world-class retailer expansion, and rapid scaling of club and vending.</t>
  </si>
  <si>
    <t>DSD distributor revenues surged 395%; the national distribution network reached ~99% of the US population.</t>
  </si>
  <si>
    <t>Principal headwind: gross margin compression to 40.4% (from 41.1%) - higher-cost imported international cans, raw material inflation, and dilutive club-channel mix (secondary repack facilities).</t>
  </si>
  <si>
    <t>Management implemented a frontline price increase effective April 1, but declined to disclose its magnitude ('sufficient amount').</t>
  </si>
  <si>
    <t>High-cost international cans expected to peak in Q2 (further pressuring margins) and be cycled through by end of Q3, with gross margins recovering toward the mid-40s by Q4 and into 2023.</t>
  </si>
  <si>
    <t>April 1 price increase will not be visible in scanner data until ~Q3, continuing into Q4.</t>
  </si>
  <si>
    <t>New CFO transition: Jarrod Langhans replaced retiring Edwin Negron (announced April 18).</t>
  </si>
  <si>
    <t>A previously disclosed SEC inquiry remains ongoing with no material update; FY2021 10-K internal control weaknesses expected to be remediated by year-end.</t>
  </si>
  <si>
    <t>Club channel contributed $26M+ in Q1 (Sam's Club nationwide rollout added 589 locations, more than doubling the club store count); Costco Q1 revenue up over 1,100%.</t>
  </si>
  <si>
    <t>Convenience the next frontier (70% of energy drinks sold there); convenience locations up 88% to ~64,000; long runway in door count and offerings.</t>
  </si>
  <si>
    <t>G&amp;A leveraged to 9% of sales (from 16%) on strong revenue growth; net income $6.7M ($0.09 EPS) up from $0.6M ($0.01).</t>
  </si>
  <si>
    <t>Europe/Nordics down ~18% on FX translation, timing of trade campaigns/flavor launches, and supply chain delays; full-year international growth target reiterated at 10-15%.</t>
  </si>
  <si>
    <t>Celsius is incremental to the category - contributed ~38% of category growth, mostly new-to-category consumers with only slight cannibalization; 50/50 male-female demographic.</t>
  </si>
  <si>
    <t>Summer flavor launches: Strawberry Lemonade and Arctic Vibe; HEAT on-the-go sticks launched at Walmart and nationwide.</t>
  </si>
  <si>
    <t>State of the Consumer &amp; Pricing</t>
  </si>
  <si>
    <t>Any signs of consumer weakness from distributors or sales teams in any geography; how is the company thinking about pricing given Monster's price action and the likely category follow?</t>
  </si>
  <si>
    <t>Acknowledged broad concern over recession and non-transitory inflation; consumer sentiment is mixed. Confirmed a frontline price increase with notices issued April 1, taking effect over the coming couple of quarters; Celsius can hold a premium position given favorable pricing-elasticity testing. The increase offsets inflationary costs and gives leeway on future promotional adjustments.</t>
  </si>
  <si>
    <t>Price Increase Scope &amp; CFO Early Observations</t>
  </si>
  <si>
    <t>Was the April 1 price increase across the entire portfolio and what was the amount; CFO's early observations on opportunities (return optimization, SKU management, profitability, working capital)?</t>
  </si>
  <si>
    <t>Declined to disclose the percentage of the price increase, saying only it has been implemented within the frontline pricing portfolio and is a 'sufficient amount' to protect against inflation. CFO described 'blocking and tackling' - focusing on people, processes and technology in finance, building data-analytics capability and a G&amp;A team to support growth.</t>
  </si>
  <si>
    <t>Club Channel DSD &amp; Velocity</t>
  </si>
  <si>
    <t>Does Celsius deliver DSD to club stores, and how does club-channel velocity compare to other channels?</t>
  </si>
  <si>
    <t>Club channel growth has been surprising; Costco an extreme success (told it is one of the top-selling beverages in Costco's energy set). The club business is mainly direct with some DSD; the big opportunity ahead is further leveraging Sam's Club and BJ's. Club growth did not cannibalize other channels.</t>
  </si>
  <si>
    <t>Freight Expense &amp; Club Timing</t>
  </si>
  <si>
    <t>Why did freight expense rise only modestly ($3.2M to $4.2M) despite strong growth; is there any timing distortion in club stores (inventory fill) affecting future comps?</t>
  </si>
  <si>
    <t>CFO attributed favorable freight to good management, mix (Costco), packaging differences, and the orbit model enabling lower-cost local freight - though it will vary by volume, packaging and growth location. CEO: Costco revenue is now standard recurring revenue; the Sam's Club quarter included both a fill-in and a reorder, with a better run-rate read after Q2.</t>
  </si>
  <si>
    <t>BJ's Opportunity &amp; Spring Resets</t>
  </si>
  <si>
    <t>More detail on the BJ's club opportunity and next steps; management's overall take on spring resets.</t>
  </si>
  <si>
    <t>Celsius is in some BJ's stores, testing regionally, and is confident of a larger rollout/reset within the year (specific revenue premature); exploring additional pack sizes to improve club margins. On spring resets, cited the key accounts team, the Circle K rollout (6,000 locations, 13 divisions, some delayed by labor shortages), Walmart/Target expansion, and successful new flavors.</t>
  </si>
  <si>
    <t>Flavor Launch Cadence &amp; On-the-Go Sticks</t>
  </si>
  <si>
    <t>Launch cadence for the balance of the year (Strawberry Lemonade, Arctic Vibe, ~38 SKUs); anything on on-the-go sticks; international territories outside Nordics/China that could be million-plus this year?</t>
  </si>
  <si>
    <t>Highlighted Strawberry Lemonade (summer launch) and Arctic Vibe (frozen berry flavor expanding the vibe portfolio in convenience), about three flavors arriving over coming months. On-the-go sticks (including new HEAT sticks at Walmart and nationwide) have growing demand but remain a smaller revenue portion. Declined to name specific international territories as premature, but cited strong Tier-1 distributor interest.</t>
  </si>
  <si>
    <t>Pricing Lag in Scanner Data &amp; Category Incrementality</t>
  </si>
  <si>
    <t>Mark Astrachan, Stifel</t>
  </si>
  <si>
    <t>Why does scanner data since April 1 show no price increase - is there a lag, does reduced promotion offset it, was there March selling-in ahead of the increase; how incremental is Celsius (new consumers vs share from Monster/Red Bull)?</t>
  </si>
  <si>
    <t>The frontline price increase will not be visible in scanner data until ~Q3 (retailers require notice, issued April 1), continuing into Q4; promotions had been reduced. On incrementality, Celsius is not cannibalizing leading players, contributed ~38% of category growth, has a 50:50 male-female demographic, and brings mostly new-to-category consumers with only slight cannibalization.</t>
  </si>
  <si>
    <t>Convenience Channel Growth Source &amp; Gross Margin Initiatives</t>
  </si>
  <si>
    <t>Jeremy Pearlman, Maxim Group (for Anthony Vendetti)</t>
  </si>
  <si>
    <t>Where will convenience-channel growth come from (within current stores or new store expansion); is there more room in the gross-margin-improvement initiatives or is it already baked in?</t>
  </si>
  <si>
    <t>Celsius is 'backdooring' the energy category - strong on Amazon, club, grocery and mass - and convenience (70% of energy drinks sold there) is the next frontier with a long runway. On margins, Q1 had a meaningful international can mix, Q2 will see the percentage increase (further pressuring margins), and cans should be used up by end of Q3, returning gross margins to the mid-40s by Q4 and into 2023.</t>
  </si>
  <si>
    <t>International Revenue Outlook &amp; Inventory &amp; Competitor Pricing</t>
  </si>
  <si>
    <t>Should European revenues turn positive year-over-year or continue facing pressure; outlook for inventory-to-sales; could the Monster price increase prompt customers to load up on competitor product?</t>
  </si>
  <si>
    <t>Reiterated a 10-15% full-year international revenue growth target despite Q1 timing-related delays, supply chain shortages and European logistical disruption. CFO: inventory reduced by ~$6M, with ~$20M of international cans on the books moving from deposit into inventory to be cycled through; current levels support a 97% fill rate. On competitor pricing, any price increase produces some load-ins, but management is confident Celsius's trajectory and distributor relationships will not slow.</t>
  </si>
  <si>
    <t>Credit Suisse HALO Investment Summit</t>
  </si>
  <si>
    <t>2022-05-25</t>
  </si>
  <si>
    <t>Financials (Q1 2022, referenced)</t>
  </si>
  <si>
    <t>~134%</t>
  </si>
  <si>
    <t>EBITDA Margin</t>
  </si>
  <si>
    <t>~11%-13%</t>
  </si>
  <si>
    <t>Operating Cash Flow ($M)</t>
  </si>
  <si>
    <t>Share / Channel Metrics</t>
  </si>
  <si>
    <t>Amazon energy drink rank</t>
  </si>
  <si>
    <t>#2 (behind Monster; ~6 pts ahead of Red Bull)</t>
  </si>
  <si>
    <t>Apr 2022</t>
  </si>
  <si>
    <t>Total energy category share (Nielsen)</t>
  </si>
  <si>
    <t>4+ share (surpassed Rockstar)</t>
  </si>
  <si>
    <t>Costco as % of company sales</t>
  </si>
  <si>
    <t>20%+</t>
  </si>
  <si>
    <t>Distribution Metrics</t>
  </si>
  <si>
    <t>DSD conversion rate</t>
  </si>
  <si>
    <t>~70%-75%</t>
  </si>
  <si>
    <t>Independent distributors</t>
  </si>
  <si>
    <t>U.S. retailers</t>
  </si>
  <si>
    <t>Distribution mgmt team members</t>
  </si>
  <si>
    <t>78+</t>
  </si>
  <si>
    <t>Q2-to-date new hires</t>
  </si>
  <si>
    <t>25+</t>
  </si>
  <si>
    <t>Pricing / Consumer Mix</t>
  </si>
  <si>
    <t>Trailing 52-week price increase</t>
  </si>
  <si>
    <t>New-to-category sales mix</t>
  </si>
  <si>
    <t>~19%</t>
  </si>
  <si>
    <t>Brand-switch sales mix</t>
  </si>
  <si>
    <t>~24%</t>
  </si>
  <si>
    <t>Sales from increased consumption (Evercore)</t>
  </si>
  <si>
    <t>Balance Sheet</t>
  </si>
  <si>
    <t>Capital on balance sheet</t>
  </si>
  <si>
    <t>$80M</t>
  </si>
  <si>
    <t>Oct 2021</t>
  </si>
  <si>
    <t>Gross margin (normalized)</t>
  </si>
  <si>
    <t>~Mid-45 range</t>
  </si>
  <si>
    <t>Post-Q2 2022</t>
  </si>
  <si>
    <t>International can cycle-through</t>
  </si>
  <si>
    <t>By end of Q2 2022</t>
  </si>
  <si>
    <t>EBITDA margin (long-term framework)</t>
  </si>
  <si>
    <t>10%-15%</t>
  </si>
  <si>
    <t>Long-term</t>
  </si>
  <si>
    <t>Frontline price increase full effect</t>
  </si>
  <si>
    <t>Q4 2022 (3-phase rollout)</t>
  </si>
  <si>
    <t>Orbit model expansion</t>
  </si>
  <si>
    <t>6 orbits to 13 orbits</t>
  </si>
  <si>
    <t>Nielsen scan growth</t>
  </si>
  <si>
    <t>over 200%</t>
  </si>
  <si>
    <t>Trailing</t>
  </si>
  <si>
    <t>Energy category long-term growth</t>
  </si>
  <si>
    <t>doubles in ~12 years</t>
  </si>
  <si>
    <t>Celsius positioned as a turnaround story now a category leader; brand born in fitness/health/wellness, created by dietary-supplement formulators, backed by six clinical studies.</t>
  </si>
  <si>
    <t>Pivotal 2015 strategic shift to position against the larger energy-category TAM; CEO frames Celsius as competing for the broader beverage category (two of top five beverages are energy drinks).</t>
  </si>
  <si>
    <t>DSD transition is a structural velocity driver: better placements, higher rotation, plus new doors skewing to higher-velocity convenience let Celsius buck the usual velocity decline during distribution expansion.</t>
  </si>
  <si>
    <t>Margins suppressed by strategic decision to import higher-cost overseas cans during the can shortage; expected to cycle through by end of Q2, recovering toward mid-40s based on channel mix.</t>
  </si>
  <si>
    <t>Asset-light orbit model (keeping warehouses, co-packers, suppliers, distribution centers close) is the efficiency engine; real gains captured as orbits expand from 6 to 13.</t>
  </si>
  <si>
    <t>Three-phase frontline price increase began April 1; cost-driven, unchanged by Monster's or Red Bull's actions; full effect not until Q4. Management withheld the magnitude.</t>
  </si>
  <si>
    <t>Strategic inventory build (excess of three months, near six months on prior store run-rate) positions Celsius to maneuver supply-chain constraints over summer.</t>
  </si>
  <si>
    <t>Convenience expansion is key (70% of energy sold there); Costco grew to 20%+ of sales; company doubled distribution over the trailing 12 months.</t>
  </si>
  <si>
    <t>Loyal, incremental consumer base: ~19% new-to-category and ~24% brand-switch; daily-ritual purchase compared to a Starbucks habit, low on consumer 'cut list' in a recession.</t>
  </si>
  <si>
    <t>Demographic broadening: historically 24-44 skew, now strong 18-24 Gen-Z growth on campuses plus consumers in their 60s-70s.</t>
  </si>
  <si>
    <t>Management explicitly frames a 12-24 month 'window of opportunity' to grab share while continuing to over-invest in marketing, sales and infrastructure.</t>
  </si>
  <si>
    <t>Innovation pipeline: three new flavors (Strawberry Lemonade, Arctic Vibe) targeting traditional energy consumers; marketing plans for H2 2022 into 2023.</t>
  </si>
  <si>
    <t>Macro: scary supply chain (container shortages, Asian gridlock, potential California port labor shutdowns); raw materials up 100%+ on some inputs; Walmart/Target profit warnings cited as CPG-wide shock.</t>
  </si>
  <si>
    <t>Key talent additions cited: Tony Guilfoyle (Head of U.S. Sales), CFO Jarrod Langhans (from Primo Water), operations leader from Monster/Rockstar, analyst hired from Red Bull.</t>
  </si>
  <si>
    <t>Energy category evolution &amp; Celsius positioning</t>
  </si>
  <si>
    <t>How are energy drinks evolving as a category?</t>
  </si>
  <si>
    <t>Fieldly framed Celsius as a health-and-wellness brand ('essential energy for life') aligned with a post-pandemic mega-trend; brand DNA born in fitness, health and wellness.</t>
  </si>
  <si>
    <t>Brand history &amp; trajectory inflection</t>
  </si>
  <si>
    <t>What changed the trajectory of the product?</t>
  </si>
  <si>
    <t>Recounted origins from dietary-supplement formulators, six clinical studies, the turnaround (CEO joined 2012, once delisted), and the pivotal 2015 shift to target the larger energy-category TAM with 7-Eleven as early believer.</t>
  </si>
  <si>
    <t>TAM &amp; category definition</t>
  </si>
  <si>
    <t>How do you think about TAM and category size as energy blurs into sports/hydration?</t>
  </si>
  <si>
    <t>Brands create subcategories to protect shelf space; two of the top five beverages are energy drinks, so Celsius is effectively competing for the broader beverage category.</t>
  </si>
  <si>
    <t>Expanding usage occasions &amp; food service</t>
  </si>
  <si>
    <t>How is Celsius expanding usage occasions, and how large is food service?</t>
  </si>
  <si>
    <t>Traced from pre-workout into energy day-parts (post-lunch); big opportunity in food service / lunch crowd, but food service is currently very small and would be incremental.</t>
  </si>
  <si>
    <t>DSD switchover progress</t>
  </si>
  <si>
    <t>How far along is the DSD switchover and what remains?</t>
  </si>
  <si>
    <t>~288 independent distributors, roughly 70-75% converted to DSD; remainder being worked; emphasis on educating/optimizing distributors.</t>
  </si>
  <si>
    <t>Velocity during distribution expansion</t>
  </si>
  <si>
    <t>What is happening to velocity as distribution expands (usually it declines)?</t>
  </si>
  <si>
    <t>Velocity is increasing: DSD transition delivers better placements/higher rotation, and new doors skew to higher-velocity convenience.</t>
  </si>
  <si>
    <t>Share by channel</t>
  </si>
  <si>
    <t>Discuss share by channel.</t>
  </si>
  <si>
    <t>#2 on Amazon (behind Monster, ~6 pts ahead of Red Bull); 4+ total energy category share per Nielsen (passed Rockstar); Costco 20%+ of company sales in Q1 2022.</t>
  </si>
  <si>
    <t>Top-line sustainability</t>
  </si>
  <si>
    <t>Is the top line sustainable given major Costco/ABI rollouts; how to think about revenue growth over time?</t>
  </si>
  <si>
    <t>Acknowledged the 'theory of numbers' works against sustaining 200%+ scan growth as the base scales, but pointed to consistent quarterly outperformance; no forward guidance, directs investors to scan data.</t>
  </si>
  <si>
    <t>Balancing growth &amp; profitability</t>
  </si>
  <si>
    <t>How do you balance growth versus profitability given profitability does not yet resemble Monster's?</t>
  </si>
  <si>
    <t>Targets 10-15% EBITDA but is deliberately over-investing during the growth phase; cited ~11-13% EBITDA on $133M Q1 revenue and ~$10M operating cash flow added.</t>
  </si>
  <si>
    <t>Structural margin &amp; orbit model</t>
  </si>
  <si>
    <t>Is anything structural preventing Celsius from reaching peer margins over time?</t>
  </si>
  <si>
    <t>Asset-light orbit model (6 orbits today, eventually 13) is the efficiency driver; current suppression is temporary (imported cans), with margins recovering to mid-45 range after end-of-Q2 cycle-through.</t>
  </si>
  <si>
    <t>Supply chain &amp; inventory position</t>
  </si>
  <si>
    <t>Do you have the supply you need given strong demand?</t>
  </si>
  <si>
    <t>Scary environment but the strategic October/November 2021 inventory build leaves Celsius well-positioned, with excess of three months of inventory (near six months on prior store run-rate).</t>
  </si>
  <si>
    <t>Pricing strategy &amp; phasing</t>
  </si>
  <si>
    <t>How are you thinking about pricing?</t>
  </si>
  <si>
    <t>Specific on timing not magnitude; after two years of elasticity/promo testing, took frontline price April 1 in a three-phase rollout, with full effect not until Q4.</t>
  </si>
  <si>
    <t>Competitor pricing &amp; retailer warnings</t>
  </si>
  <si>
    <t>Did Monster's and Red Bull's price actions change your strategy, and did the Walmart/Target warnings change your thinking?</t>
  </si>
  <si>
    <t>'Not at all' to both; pricing is cost-driven and independent of peers; Walmart/Target pressure is an industry-wide cost/labor phenomenon; raw materials up 100%+ on some inputs.</t>
  </si>
  <si>
    <t>Consumer environment &amp; recession risk</t>
  </si>
  <si>
    <t>How is the consumer evolving?</t>
  </si>
  <si>
    <t>Well-positioned for a recession because energy has highly loyal consumers; the daily ritual is hard to give up; Celsius sits low on the consumer cut list.</t>
  </si>
  <si>
    <t>New-customer acquisition in a weaker consumer</t>
  </si>
  <si>
    <t>Is it harder to acquire new customers if the consumer is in a more difficult position?</t>
  </si>
  <si>
    <t>Celsius is premium (below Red Bull, slightly above Monster) and brings new consumers in (~19% new-to-category, ~24% brand shifts), making it incremental and potentially a tailwind beneficiary.</t>
  </si>
  <si>
    <t>Demographics</t>
  </si>
  <si>
    <t>What are the demographics of Celsius versus the broader energy category?</t>
  </si>
  <si>
    <t>Historically skewed older (24-44 vs energy's 18-24 core) due to fitness DNA, but broadened younger with strong 18-24 Gen-Z campus growth, while also reaching consumers in their 60s-70s.</t>
  </si>
  <si>
    <t>Pricing position &amp; repeat rates</t>
  </si>
  <si>
    <t>Where do you prefer your pricing position, and what about repeat rates?</t>
  </si>
  <si>
    <t>Prefers pricing below Red Bull, slightly above Monster; high continuity rate (Evercore report cited 52% of sales from increased consumption); one of the higher continuity rates on Amazon.</t>
  </si>
  <si>
    <t>DSD conversion target &amp; hybrid model</t>
  </si>
  <si>
    <t>What is the appropriate DSD conversion rate and how do you manage going direct (Costco, Amazon)?</t>
  </si>
  <si>
    <t>Target is 100% DSD conversion for full optimization; Celsius is hybrid (direct to Costco, Amazon, Quick Trip, Casey's); frames Amazon as incremental and awareness-building.</t>
  </si>
  <si>
    <t>ABI house competition</t>
  </si>
  <si>
    <t>How do you compete inside ABI distributor houses carrying multiple energy/soft-drink brands?</t>
  </si>
  <si>
    <t>Some houses carry nine or ten energy drinks; Celsius wins focus by turning faster, generating better economics, and building DSD-support infrastructure plus distributor education.</t>
  </si>
  <si>
    <t>Q20</t>
  </si>
  <si>
    <t>Path to higher share &amp; investment</t>
  </si>
  <si>
    <t>How should we think about investing for incremental share from a 4-5 share toward an 8 share?</t>
  </si>
  <si>
    <t>Optimize EBITDA and operating leverage while over-investing to capture a 12-24 month share window, supported by DSD partners, marketing plans for H2 2022/2023, and an innovation pipeline.</t>
  </si>
  <si>
    <t>Q21</t>
  </si>
  <si>
    <t>Staffing &amp; talent</t>
  </si>
  <si>
    <t>Are you fully staffed, and what did the new supply-chain analyst discover?</t>
  </si>
  <si>
    <t>Continues adding talent (25+ hires in the quarter); credited the supply-chain leader with the strategic Oct 2021 spot-rate can purchases (~$80M of balance-sheet capital) that secured inventory and built the orbit strategy within six months.</t>
  </si>
  <si>
    <t>2022 Annual General Meeting (Annual Meeting of Shareholders)</t>
  </si>
  <si>
    <t>2022-06-02</t>
  </si>
  <si>
    <t>FY2021 Results</t>
  </si>
  <si>
    <t>FY2020 (implied)</t>
  </si>
  <si>
    <t>Total revenue ($M)</t>
  </si>
  <si>
    <t>~131</t>
  </si>
  <si>
    <t>140%</t>
  </si>
  <si>
    <t>North American revenue ($M)</t>
  </si>
  <si>
    <t>~95</t>
  </si>
  <si>
    <t>186%</t>
  </si>
  <si>
    <t>International revenue ($M)</t>
  </si>
  <si>
    <t>~35</t>
  </si>
  <si>
    <t>~17%</t>
  </si>
  <si>
    <t>Gross profit ($M)</t>
  </si>
  <si>
    <t>~61</t>
  </si>
  <si>
    <t>Net income ($M)</t>
  </si>
  <si>
    <t>Adjusted EBITDA growth</t>
  </si>
  <si>
    <t>+~112%</t>
  </si>
  <si>
    <t>Q1 2022 Results</t>
  </si>
  <si>
    <t>North American / domestic revenue ($M)</t>
  </si>
  <si>
    <t>~123-124</t>
  </si>
  <si>
    <t>~39</t>
  </si>
  <si>
    <t>~217%</t>
  </si>
  <si>
    <t>~11</t>
  </si>
  <si>
    <t>~20.6</t>
  </si>
  <si>
    <t>Gross margin</t>
  </si>
  <si>
    <t>Adjusted EBITDA ($M)</t>
  </si>
  <si>
    <t>Category &amp; Channel Metrics</t>
  </si>
  <si>
    <t>Energy category share (Nielsen)</t>
  </si>
  <si>
    <t>4.1 share</t>
  </si>
  <si>
    <t>Apr 9, 2022</t>
  </si>
  <si>
    <t>Celsius contribution to category growth</t>
  </si>
  <si>
    <t>Amazon energy drink share</t>
  </si>
  <si>
    <t>18.2 share (#2 brand)</t>
  </si>
  <si>
    <t>As of meeting</t>
  </si>
  <si>
    <t>U.S. store count</t>
  </si>
  <si>
    <t>140,000+ locations</t>
  </si>
  <si>
    <t>Convenience channel doors</t>
  </si>
  <si>
    <t>63,000+ doors</t>
  </si>
  <si>
    <t>Club channel locations</t>
  </si>
  <si>
    <t>1,100 locations</t>
  </si>
  <si>
    <t>Club channel incremental revenue ($M)</t>
  </si>
  <si>
    <t>Cooler placements total</t>
  </si>
  <si>
    <t>1,900 (700+ placed in Q1)</t>
  </si>
  <si>
    <t>Coolers on order</t>
  </si>
  <si>
    <t>1,000+</t>
  </si>
  <si>
    <t>Independent distributors solidified</t>
  </si>
  <si>
    <t>288+</t>
  </si>
  <si>
    <t>Governance / Vote</t>
  </si>
  <si>
    <t>Shares outstanding (record date Apr 30, 2022)</t>
  </si>
  <si>
    <t>Shares present in person/proxy (quorum)</t>
  </si>
  <si>
    <t>Directors elected</t>
  </si>
  <si>
    <t>Auditor ratified</t>
  </si>
  <si>
    <t>Ernst &amp; Young LLP (FY2022)</t>
  </si>
  <si>
    <t>Say-on-pay advisory vote</t>
  </si>
  <si>
    <t>Approved</t>
  </si>
  <si>
    <t>By end of Q3 2022</t>
  </si>
  <si>
    <t>~Mid-40 range</t>
  </si>
  <si>
    <t>Meeting held remotely because CEO John Fieldly tested positive for COVID; 2021 framed as a 'monumental' and 'foundational' year.</t>
  </si>
  <si>
    <t>2022 framed as 'the year of optimization and execution' with the national DSD network (288 distributors, ~98% population coverage) as a key strategic asset.</t>
  </si>
  <si>
    <t>DSD network improves in-store execution, SKU count, dry-shelf-to-display placement, and cold placements; enables servicing of smaller regional chains, raising ACV.</t>
  </si>
  <si>
    <t>Q1 revenue growth was largely volume-driven, not pricing-driven; North American growth came from triple-digit traditional-channel growth plus SKU/cold-placement/end-cap optimization.</t>
  </si>
  <si>
    <t>Gross margin decline (40.4% vs 41.1%) attributed to higher raw material costs, customer mix and supply chain inflation; higher-cost imported international cans flow through COGS to end of Q3.</t>
  </si>
  <si>
    <t>Channel incrementality: expansion in historically underrepresented convenience and club channels has not impacted growth in other channels.</t>
  </si>
  <si>
    <t>Club channel (Costco nationwide, Sam's Club initial orders, BJ's testing) expected to be a material part of the business in 2022 and beyond.</t>
  </si>
  <si>
    <t>Convenience described as 'the biggest opportunity we see ahead' (70% of energy sold there).</t>
  </si>
  <si>
    <t>Innovation pipeline: Strawberry Lemonade summer flavor, successful 7-Eleven Mango Passionfruit launch, Arctic Vibe extension penetrating traditional convenience.</t>
  </si>
  <si>
    <t>Adjacent portfolio (Celsius Heat, BCAA) to follow once core lines are solidified; core line has 15+ flavors.</t>
  </si>
  <si>
    <t>International approached deliberately and profitably: active distributor discussions across UK/Germany (via Amazon) and Asia (Australia, South Korea, Japan); North America remains primary focus.</t>
  </si>
  <si>
    <t>Health-and-wellness is a global megatrend; post-pandemic recovery of fitness and vending channels (especially micro-markets) noted as a tailwind.</t>
  </si>
  <si>
    <t>European supply chain disruption cited as a factor in the ~10% Q1 international revenue decline.</t>
  </si>
  <si>
    <t>NOTE: CEO's section cited Q1 net income of $66.2M, conflicting with CFO's $6.7M; $6.7M is the reliable figure (transcription error).</t>
  </si>
  <si>
    <t>International initiatives over the next 12 months</t>
  </si>
  <si>
    <t>Shareholder (online portal)</t>
  </si>
  <si>
    <t>What are the real interests for international initiatives over the next 12 months?</t>
  </si>
  <si>
    <t>Sees great opportunity in Asia and Europe but takes a deliberate, incremental, profitable-growth approach; cited Finland/Norway and UK/Germany via Amazon, plus Asian activity (Australia fitness distributor, South Korea partner, Japan); timing/sequencing/cost-structure matter; North America remains the primary focus.</t>
  </si>
  <si>
    <t>Procedural closing</t>
  </si>
  <si>
    <t>Inspector of Elections</t>
  </si>
  <si>
    <t>All Board nominees elected; Ernst &amp; Young LLP ratified as auditor for FY2022; advisory say-on-pay vote approved. Meeting adjourned by the Corporate Secretary.</t>
  </si>
  <si>
    <t>Evercore ISI Consumer &amp; Retail Conference</t>
  </si>
  <si>
    <t>2022-06-07</t>
  </si>
  <si>
    <t>Growth &amp; Category Metrics</t>
  </si>
  <si>
    <t>Q1 2022 scan growth</t>
  </si>
  <si>
    <t>~200%</t>
  </si>
  <si>
    <t>IRI data ~Feb 9</t>
  </si>
  <si>
    <t>Energy category dollar growth (period)</t>
  </si>
  <si>
    <t>~$101M</t>
  </si>
  <si>
    <t>Energy category growth rate</t>
  </si>
  <si>
    <t>6%-8% (doubles in ~12 yrs)</t>
  </si>
  <si>
    <t>Long-term industry</t>
  </si>
  <si>
    <t>Share Metrics</t>
  </si>
  <si>
    <t>~18.2-18.3 share (#2 brand)</t>
  </si>
  <si>
    <t>As of conference</t>
  </si>
  <si>
    <t>Energy category share (tracked channels)</t>
  </si>
  <si>
    <t>4 share (#4 brand)</t>
  </si>
  <si>
    <t>Channel Mix</t>
  </si>
  <si>
    <t>Club channel as % of Q1 revenue</t>
  </si>
  <si>
    <t>~17% (all incremental)</t>
  </si>
  <si>
    <t>Convenience channel as % of revenue (historical)</t>
  </si>
  <si>
    <t>~25%-30%</t>
  </si>
  <si>
    <t>Historical</t>
  </si>
  <si>
    <t>Micro-market placements</t>
  </si>
  <si>
    <t>Circle K stores recently added</t>
  </si>
  <si>
    <t>5,000 (being reset)</t>
  </si>
  <si>
    <t>Supply Chain / Inventory</t>
  </si>
  <si>
    <t>Q1 fill rate</t>
  </si>
  <si>
    <t>Q1 inventory mix (finished / unfinished)</t>
  </si>
  <si>
    <t>~55% finished / ~45% unfinished</t>
  </si>
  <si>
    <t>Inventory on hand</t>
  </si>
  <si>
    <t>Excess of 3 months</t>
  </si>
  <si>
    <t>Demographic Profile</t>
  </si>
  <si>
    <t>Gender mix</t>
  </si>
  <si>
    <t>50/50 male-female</t>
  </si>
  <si>
    <t>Age skew</t>
  </si>
  <si>
    <t>18-24 (historically 24-34)</t>
  </si>
  <si>
    <t>Price increase rollout</t>
  </si>
  <si>
    <t>Tiered 3-band, full effect by October 2022</t>
  </si>
  <si>
    <t>By Oct 2022</t>
  </si>
  <si>
    <t>Q2 2022 growth</t>
  </si>
  <si>
    <t>Continued accelerated growth</t>
  </si>
  <si>
    <t>End of Q3 2022</t>
  </si>
  <si>
    <t>Convenience channel revenue target</t>
  </si>
  <si>
    <t>~70% of revenue</t>
  </si>
  <si>
    <t>Celsius positioned as the clear leader of the 'next generation' of energy brands; differentiated by seven essential vitamins, six clinical studies, a thermogenic claim, and broad unisex appeal.</t>
  </si>
  <si>
    <t>Bang's success opened retailers' eyes to a broader, newer consumer wanting more functional beverages; energy is one of the best categories in beverage (6-8% growth, doubling in ~12 years).</t>
  </si>
  <si>
    <t>CFO confirmed the April rollout is an actual headline (list) price increase, not just a promo reduction; could be rolled back if needed; magnitude withheld.</t>
  </si>
  <si>
    <t>Average price already rose over the prior year via promo roll-back and elasticity testing, which held up well through ~200% Q1 growth; energy was among the last CPG categories to take price.</t>
  </si>
  <si>
    <t>Club channel (almost 17% of Q1 revenue, mainly Costco) is fully incremental with no observed cannibalization.</t>
  </si>
  <si>
    <t>Convenience is the central long-term growth engine; aspiration of ~70% of revenue one day, anchored by the 7-Eleven partnership (Mango Passionfruit launch extended the relationship into 2023).</t>
  </si>
  <si>
    <t>New convenience doors (5,000 Circle K stores being reset) are far more productive than established-channel stores.</t>
  </si>
  <si>
    <t>CEO sidestepped the direct Red-Bull-versus-Monster share-sourcing question, redirecting to incrementality (37% of category growth) and new-consumer growth.</t>
  </si>
  <si>
    <t>Strategic inventory build (excess of 3 months, ~55% finished goods) plus ~97% fill rate; deliberately slowed Asia can transport awaiting price declines and bought US can-manufacturer excess supply.</t>
  </si>
  <si>
    <t>High confidence of no summer supply disruption while competitors face supply issues; US can prices now moderating; through international cans by end of Q3.</t>
  </si>
  <si>
    <t>Energy is a daily-routine purchase; higher gas prices could drive more C-store visits (potential tailwind); energy not severely impacted in the prior recession.</t>
  </si>
  <si>
    <t>E-commerce/Amazon embraced from the beginning by partnering with retailers' platforms rather than building a standalone B2C program; cold/impulse placements drive real velocity.</t>
  </si>
  <si>
    <t>International framed as a genuine global play (health-and-wellness is global), pursued methodically with the right partners and no over-investment in a single market; ~10% Sweden share.</t>
  </si>
  <si>
    <t>Vibe-line innovation pipeline (Peach, Tropical, Arctic Vibe) launching this summer, with more Vibe lines to come.</t>
  </si>
  <si>
    <t>Next-generation brand differentiation</t>
  </si>
  <si>
    <t>Robert Ottenstein, Evercore ISI</t>
  </si>
  <si>
    <t>What distinguishes Celsius from other next-generation brands (Alani Nu, ZOA, C4, Ghost, A SHOC)?</t>
  </si>
  <si>
    <t>Differentiated by fitness/health-and-wellness DNA, seven essential vitamins, great flavor, and a thermogenic claim backed by six clinical studies; 'more than just an energy drink'; #2 on Amazon.</t>
  </si>
  <si>
    <t>Targeted demographic</t>
  </si>
  <si>
    <t>Does Celsius target a different demographic than the other new brands?</t>
  </si>
  <si>
    <t>Unisex, inclusive brand (50/50 male/female); historically 24-34, broadened younger to 18-24 Gen-Z as distribution expands, while also reaching consumers as old as 67.</t>
  </si>
  <si>
    <t>Share sourcing &amp; momentum drivers</t>
  </si>
  <si>
    <t>Is Celsius sourcing more share from Red Bull than Monster, and what drives the momentum 'ground swell'?</t>
  </si>
  <si>
    <t>Praised both peers but sidestepped the direct sourcing question; emphasized incrementality (37% of category growth), expanded usage occasions, and the food service opportunity led by EVP Tony Guilfoyle.</t>
  </si>
  <si>
    <t>Pricing &amp; the April price increase</t>
  </si>
  <si>
    <t>What was the magnitude of the April 1 increase and was it a headline increase or a promo reduction?</t>
  </si>
  <si>
    <t>Tiered three-band rollout fully effective by October; confirmed an actual headline (list) increase, not a promo cut, that could be rolled back; magnitude withheld.</t>
  </si>
  <si>
    <t>Red Bull promotional activity</t>
  </si>
  <si>
    <t>Are you seeing any reduction in promotions from Red Bull?</t>
  </si>
  <si>
    <t>Broad price-elasticity testing and promo adjustment across the category over 24 months; recently saw a Red Bull buy-two-get-one promo; Celsius confident in its premium pricing.</t>
  </si>
  <si>
    <t>C-store channel mix &amp; consumer shift</t>
  </si>
  <si>
    <t>What percentage of business is in C-stores, and are you seeing a consumer shift to larger formats (Molson Coors flagged C-store weakness)?</t>
  </si>
  <si>
    <t>Energy is a daily-routine purchase; anecdotal evidence higher gas prices drive more C-store visits (potential tailwind); cited the club channel at ~17% of Q1 revenue, fully incremental.</t>
  </si>
  <si>
    <t>C-store mix detail &amp; convenience aspiration</t>
  </si>
  <si>
    <t>Red Bull/Monster are ~70% C-stores; where does Celsius's C-store mix stand?</t>
  </si>
  <si>
    <t>Convenience historically ~25-30% of revenue; 7-Eleven the largest chain; Celsius aspires to ~70% of revenue from convenience one day after building the brand in grocery/mass/drug/club/Amazon first.</t>
  </si>
  <si>
    <t>Long-term competitive vision vs Red Bull &amp; Monster</t>
  </si>
  <si>
    <t>How does Celsius think about competing against Red Bull and Monster as the third-largest player?</t>
  </si>
  <si>
    <t>#4 energy brand (passed Rockstar); growing category leaves room for all; Celsius is a broader beverage play with a Vibe-line innovation pipeline, aiming to be a major beverage-category player.</t>
  </si>
  <si>
    <t>Amazon / e-commerce channel development</t>
  </si>
  <si>
    <t>How did the e-commerce channel develop, why has Celsius done so well, and how does its profitability compare?</t>
  </si>
  <si>
    <t>E-commerce always core (reached consumers before a distribution network existed); omnichannel approach partnering with retailers' platforms; did not directly address relative channel profitability.</t>
  </si>
  <si>
    <t>Supply chain &amp; can supply</t>
  </si>
  <si>
    <t>Update on can supply, out-of-stocks and shortages?</t>
  </si>
  <si>
    <t>Abundance of cans; over three months of inventory (~55% finished); ~97% Q1 fill rate; high confidence of no summer disruption; through international cans by end of Q3 with can prices moderating.</t>
  </si>
  <si>
    <t>International strategy &amp; investment prioritization</t>
  </si>
  <si>
    <t>How do you prioritize US vs international investment, and can Celsius be a genuine global brand?</t>
  </si>
  <si>
    <t>Affirmed a global play; ~10% Sweden share with Nordics room to expand; Amazon in UK/Germany; Asian opportunities (China license, Hong Kong, South Korea, Malaysia, Australia); methodical, profitable-growth, no over-investment in any single market.</t>
  </si>
  <si>
    <t>Stifel 2022 Cross Sector Insight Conference</t>
  </si>
  <si>
    <t>2022-06-09</t>
  </si>
  <si>
    <t>Category &amp; Share Metrics</t>
  </si>
  <si>
    <t>Energy category share</t>
  </si>
  <si>
    <t>~4 share</t>
  </si>
  <si>
    <t>~2% (12 mo prior)</t>
  </si>
  <si>
    <t>~2 pts</t>
  </si>
  <si>
    <t>37% (~$37M)</t>
  </si>
  <si>
    <t>Non-cannibalization share of growth contribution</t>
  </si>
  <si>
    <t>~90%</t>
  </si>
  <si>
    <t>Energy category dollar growth (period, ~Apr 27)</t>
  </si>
  <si>
    <t>~8.4 share (#2 brand)</t>
  </si>
  <si>
    <t>Florida market share</t>
  </si>
  <si>
    <t>~12 share</t>
  </si>
  <si>
    <t>6%-8% CAGR (doubles in ~12 yrs)</t>
  </si>
  <si>
    <t>~68,000 (about half of Nielsen/IRI-reporting stores)</t>
  </si>
  <si>
    <t>Circle K doors</t>
  </si>
  <si>
    <t>5,000+ (~8 flavors nationwide)</t>
  </si>
  <si>
    <t>Distribution management team</t>
  </si>
  <si>
    <t>~78 strong</t>
  </si>
  <si>
    <t>DSD conversion velocity lift</t>
  </si>
  <si>
    <t>100%+ lift</t>
  </si>
  <si>
    <t>ACV sweet spot</t>
  </si>
  <si>
    <t>~80% ACV</t>
  </si>
  <si>
    <t>~55/45 male-female</t>
  </si>
  <si>
    <t>Age sweet spot</t>
  </si>
  <si>
    <t>18-24 (historically 25-35)</t>
  </si>
  <si>
    <t>Pricing Metrics</t>
  </si>
  <si>
    <t>Retail can price (current)</t>
  </si>
  <si>
    <t>~$2.50</t>
  </si>
  <si>
    <t>Target convenience price point</t>
  </si>
  <si>
    <t>$2.59-$2.79</t>
  </si>
  <si>
    <t>Category pricing level</t>
  </si>
  <si>
    <t>4%-6%</t>
  </si>
  <si>
    <t>Promotional cadence (industry norm)</t>
  </si>
  <si>
    <t>~27-28 weeks of promotion annually</t>
  </si>
  <si>
    <t>Monster margin inflection benchmark</t>
  </si>
  <si>
    <t>~$700M-$800M revenue range</t>
  </si>
  <si>
    <t>Three-tier rollout, fully in by Q4</t>
  </si>
  <si>
    <t>Forward</t>
  </si>
  <si>
    <t>Forward / category</t>
  </si>
  <si>
    <t>Celsius is deliberately 'backdooring' the energy category - built brand credibility and authenticity in fitness/health-and-wellness channels before pushing into traditional convenience.</t>
  </si>
  <si>
    <t>Strong incrementality: 37% of the energy category's ~$100M recent growth (largest single contributor, ahead of Red Bull and Monster), with ~90% non-cannibalizing.</t>
  </si>
  <si>
    <t>~4 category share (roughly doubled from ~2% over 12 months); #2 on Amazon (~8.4 share); recently passed Rockstar to become #4 energy brand, with Bang (#3) the next target.</t>
  </si>
  <si>
    <t>2022 is 'really our first year in convenience' (~68,000 doors), anchored by the new Circle K rollout (~5,000 doors, ~8 flavors nationwide).</t>
  </si>
  <si>
    <t>Velocity rises even as distribution expands - two simultaneous tailwinds: DSD conversion delivers a 100%+ lift, and new doors are the most productive (convenience).</t>
  </si>
  <si>
    <t>April 1 frontline (list) price increase confirmed under a three-tier rollout fully in by Q4; targets a $2.59-$2.79 convenience price point (premium to Monster, below Red Bull); magnitude withheld.</t>
  </si>
  <si>
    <t>Management deliberately over-investing ahead of revenue in sales and SG&amp;A; benchmarks margin inflection against Monster's ~$700-800M revenue range.</t>
  </si>
  <si>
    <t>Significant untapped distribution remains: Walgreens (not yet in), Dollar Tree, and improved Kroger beverage-set placement (currently mainly in HPC sets).</t>
  </si>
  <si>
    <t>Optimization runway in existing doors - adding flavors (e.g., Walmart from 3 to 6-7) and cold/secondary placement could double or triple sales per outlet.</t>
  </si>
  <si>
    <t>Shelf-space strategy: own the cooler and trade floor, displace lower-turning 'wounded gazelles', warrant double-facings for high-turning SKUs; positioning for the NACS October season and next-year resets (fighting for two shelves).</t>
  </si>
  <si>
    <t>Celsius acquired Numerator to become more analytical and a category thought leader; will share Numerator data on the next earnings call.</t>
  </si>
  <si>
    <t>High-continuity, loyal consumer base; business model could not work on new customers alone (acquisition is expensive on a ~$2.50 can).</t>
  </si>
  <si>
    <t>Energy is highly promotional (~27-28 weeks of promotion annually); half-the-year cadence is an industry norm expected by retailers, not a proven optimum.</t>
  </si>
  <si>
    <t>Brand credibility likened to Lululemon; deliberately inclusive/unisex packaging - 'something for everyone' rather than a high-aggressiveness niche.</t>
  </si>
  <si>
    <t>Industry context: Bang's move to Pepsi helped catapult Celsius's distribution network; NACS-driven retailer shelf reallocation (reducing water/tea/CSD facings) creates opportunity.</t>
  </si>
  <si>
    <t>Incrementality &amp; share sourcing</t>
  </si>
  <si>
    <t>How incremental is Celsius rather than sourcing from Monster/Red Bull, and does the functional-energy space coexist with legacy players?</t>
  </si>
  <si>
    <t>Celsius was 37% of the category's ~$100M recent growth (~90% non-cannibalizing); brand credibility built over years in health-and-wellness channels; club expansion (Costco) fully incremental with no cannibalization.</t>
  </si>
  <si>
    <t>Younger consumer gender split</t>
  </si>
  <si>
    <t>Is the younger consumer cohort also split evenly male-female?</t>
  </si>
  <si>
    <t>Yes - roughly 55-45 male-female per anecdotal data; reflects deliberately inclusive, unisex packaging.</t>
  </si>
  <si>
    <t>Shelf space &amp; retailer discussions</t>
  </si>
  <si>
    <t>How do retailer discussions on incremental space go - taking space from others or adding to total shelf space?</t>
  </si>
  <si>
    <t>Rising velocity over 18-24 months lets Celsius educate retailers on money per slot; bought Numerator to be more analytical; grabbing share requires owning the cooler and displacing lower-turning SKUs.</t>
  </si>
  <si>
    <t>Selling the incrementality argument to buyers</t>
  </si>
  <si>
    <t>Given higher velocity, is winning shelf space an easy sell, and what do buyers say if they decline?</t>
  </si>
  <si>
    <t>More opportunity than last year's skepticism; uses the 37% / ~90%-non-cannibalization data to argue Celsius shoppers spend more per shop; framed goal as the broader beverage and total-energy category.</t>
  </si>
  <si>
    <t>Market share progression</t>
  </si>
  <si>
    <t>How should investors think about share progression given the move from ~2 to ~4 and ~12 share in Florida?</t>
  </si>
  <si>
    <t>Florida shows 'tons of growth left'; 2022 is fighting for one shelf, next year two; activating the 288-distributor network is the critical lever; passed Rockstar to #4, now targets passing Bang (#3) in the 'relatively near future' (no specific timing).</t>
  </si>
  <si>
    <t>Velocity vs distribution points &amp; Bang as proxy</t>
  </si>
  <si>
    <t>Where is Celsius in the evolution of share moving into distribution points, and is Bang's trajectory a good proxy?</t>
  </si>
  <si>
    <t>Already in many high-volume accounts (Circle K, 7-Eleven, CVS) with optimization runway; large untapped distribution (Walgreens, Dollar, Kroger banners); ~80% ACV is the sweet spot.</t>
  </si>
  <si>
    <t>Why velocity rises with distribution</t>
  </si>
  <si>
    <t>What drove velocity higher even as distribution expanded?</t>
  </si>
  <si>
    <t>'Backdooring' the energy category - existing accounts converting to DSD (100%+ lift) plus new distribution added in the most productive convenience doors; Bang's 2018 success opened the channel's eyes to better-for-you brands.</t>
  </si>
  <si>
    <t>Incremental vs repeat customers</t>
  </si>
  <si>
    <t>How much of the velocity-driving consumer is new versus repeat, and how is it measured?</t>
  </si>
  <si>
    <t>Business model could not work on new customers alone; high-continuity product, evidenced by sustained Amazon/Instacart momentum; loyal daily-routine consumer base.</t>
  </si>
  <si>
    <t>April 1 price increase &amp; retailer reaction</t>
  </si>
  <si>
    <t>How will retailers react to the (undisclosed) price increase, and will it go through?</t>
  </si>
  <si>
    <t>Celsius has taken price for 52 weeks via ARP gains and promo roll-back with velocity still rising; confirmed an April 1 frontline increase, fully in by Q4 in a three-tier rollout; not 100% in numbers immediately due to annual contracts.</t>
  </si>
  <si>
    <t>Price point thresholds &amp; elasticity</t>
  </si>
  <si>
    <t>Was there a price-point threshold Celsius did not want to cross, and any elasticity thinking?</t>
  </si>
  <si>
    <t>Deliberately avoided $2.99 and cannot price above Red Bull; targets between Monster and Red Bull (accounting for the 12oz vs 16oz size gap); $2.59-$2.79 is the desired convenience price point.</t>
  </si>
  <si>
    <t>Promotional give-back &amp; category pricing</t>
  </si>
  <si>
    <t>How much of the pre-list-price promotional pricing (~4%) gets given back, and is the list increase incremental?</t>
  </si>
  <si>
    <t>Category pricing probably stays around 4-6%; the list increase is incremental to existing market pricing; will be blended in over time via promotional strategies.</t>
  </si>
  <si>
    <t>Promotional cadence</t>
  </si>
  <si>
    <t>Is the industry norm of roughly half the year on promotion the right 'sweet spot'?</t>
  </si>
  <si>
    <t>Conceded it is an industry norm expected by retailers, not necessarily proven optimal, but necessary to compete and secure secondary placement; Celsius tests promotional mechanics to optimize profit.</t>
  </si>
  <si>
    <t>Margin leverage opportunity</t>
  </si>
  <si>
    <t>At what revenue point does Celsius start to leverage into higher (peer) margins, and why could that number be large?</t>
  </si>
  <si>
    <t>Significant margin opportunity and operating leverage left; deliberately over-investing ahead of revenue; benchmarks against Monster's ~$700-800M revenue inflection range with a similar product profile and business model.</t>
  </si>
  <si>
    <t>Celsius Holdings / PepsiCo Distribution Partnership Conference Call ($550M PepsiCo Investment)</t>
  </si>
  <si>
    <t>2022-08-01</t>
  </si>
  <si>
    <t>PepsiCo Investment Terms</t>
  </si>
  <si>
    <t>PepsiCo convertible preferred investment</t>
  </si>
  <si>
    <t>$550M</t>
  </si>
  <si>
    <t>Convertible preferred share price</t>
  </si>
  <si>
    <t>$75/share</t>
  </si>
  <si>
    <t>Shares underlying investment</t>
  </si>
  <si>
    <t>~7.3M shares</t>
  </si>
  <si>
    <t>PepsiCo as-converted ownership</t>
  </si>
  <si>
    <t>Preferred annual dividend rate</t>
  </si>
  <si>
    <t>5% (quarterly, cash or in kind at Celsius option)</t>
  </si>
  <si>
    <t>Board size</t>
  </si>
  <si>
    <t>9 directors (up from 8)</t>
  </si>
  <si>
    <t>Business / Distribution Metrics</t>
  </si>
  <si>
    <t>4 wks ending Apr 17, 2022</t>
  </si>
  <si>
    <t>Incremental category sales</t>
  </si>
  <si>
    <t>$37.5M</t>
  </si>
  <si>
    <t>Female sales mix</t>
  </si>
  <si>
    <t>&gt;50%</t>
  </si>
  <si>
    <t>Q2 2022 (as of call)</t>
  </si>
  <si>
    <t>Independent regional distributors (legacy)</t>
  </si>
  <si>
    <t>250+</t>
  </si>
  <si>
    <t>Cooler payback period</t>
  </si>
  <si>
    <t>~4 months</t>
  </si>
  <si>
    <t>Expected distribution expansion</t>
  </si>
  <si>
    <t>Guidance / Deal Timeline</t>
  </si>
  <si>
    <t>Preferred dividend rate</t>
  </si>
  <si>
    <t>5% annual</t>
  </si>
  <si>
    <t>2022-08-01 onward</t>
  </si>
  <si>
    <t>Distribution expansion</t>
  </si>
  <si>
    <t>~40% increase</t>
  </si>
  <si>
    <t>Distributor transition window</t>
  </si>
  <si>
    <t>Next 90 to 120 days</t>
  </si>
  <si>
    <t>Q3-Q4 2022</t>
  </si>
  <si>
    <t>Distributor migration timeline</t>
  </si>
  <si>
    <t>Majority by end of 2022</t>
  </si>
  <si>
    <t>International market entry (UK, Germany, Canada, W. Europe)</t>
  </si>
  <si>
    <t>~24 to 48 months</t>
  </si>
  <si>
    <t>2024-2026</t>
  </si>
  <si>
    <t>Healthy-functional-energy exclusivity</t>
  </si>
  <si>
    <t>Initial 24 months</t>
  </si>
  <si>
    <t>2022-2024</t>
  </si>
  <si>
    <t>$550M deployment pace</t>
  </si>
  <si>
    <t>Not depleted within ~6-7 months; multi-year purchases compressed to ~2 years</t>
  </si>
  <si>
    <t>Q3 2022 onward</t>
  </si>
  <si>
    <t>Transformational long-term distribution agreement: PepsiCo becomes Celsius's preferred US distribution partner, paired with a $550M convertible preferred investment.</t>
  </si>
  <si>
    <t>Deal consolidates a fragmented network of 250+ independent regional distributors into a single best-in-class national DSD network with global expansion optionality.</t>
  </si>
  <si>
    <t>Partnership grants access to new consumption occasions: food service, independent convenience, vending, college campuses, concessions, and the military.</t>
  </si>
  <si>
    <t>The equity investment is structured to align incentives and give PepsiCo 'skin in the game'; Celsius was already cash-flow positive and self-funding.</t>
  </si>
  <si>
    <t>Termination of existing distributor agreements is cash neutral to Celsius (separate funding covers buyouts), but charges must be recognized in Q3 2022 financials - numbers still being worked.</t>
  </si>
  <si>
    <t>Termination fees and transaction costs will be called out separately for apples-to-apples comparability; PepsiCo's assistance is recorded to the balance sheet and amortized.</t>
  </si>
  <si>
    <t>$550M preferred sits in mezzanine equity (above common, below liabilities); 5% dividend flows through the cash flow statement; near-term margin impact characterized as 'more or less neutral'.</t>
  </si>
  <si>
    <t>Use of proceeds: accelerated cooler/vending rollouts (coolers pay back in ~4 months), sales/marketing/R&amp;D, fleet expansion, sales force growth, international expansion, and M&amp;A optionality.</t>
  </si>
  <si>
    <t>Distribution transitions 'very rarely go smoothly' - Celsius is being strategic, leveraging team members (incl. Tony Guilfoyle) with prior PepsiCo-system transition experience and a built roadmap.</t>
  </si>
  <si>
    <t>PepsiCo can grow its ownership over time beyond the current ~8.5% stake (not necessarily as preferred); no deep restrictions on a larger stake.</t>
  </si>
  <si>
    <t>Celsius will be the exclusive healthy functional energy drink in PepsiCo's portfolio for an initial 24 months, with specific annual jointly-agreed KPIs (distribution, ACV, deliveries) as protection.</t>
  </si>
  <si>
    <t>No access fee paid to PepsiCo - framed as a 'true partnership'; supply-chain/vertical-integration synergies exist but are not yet earmarked.</t>
  </si>
  <si>
    <t>Co-packing strategy unchanged - PepsiCo cannot pack Celsius's product today, so Celsius continues using and expanding its existing co-pack network.</t>
  </si>
  <si>
    <t>The deal is a North America agreement; international opportunities (PepsiCo distributes across many global markets) will be structured separately.</t>
  </si>
  <si>
    <t>Real distribution gains expected in the back half of Q4 2022 into Q1 2023 when retailer resets take place; the team has already held 2023 review meetings with key retailers.</t>
  </si>
  <si>
    <t>Quiet period ahead of the August 9, 2022 Q2 earnings call limited questions strictly to the PepsiCo distribution/investment agreement.</t>
  </si>
  <si>
    <t>Transition risk &amp; momentum preservation</t>
  </si>
  <si>
    <t>How will Celsius avoid losing brand momentum during a distribution changeover, given transitions rarely go smoothly?</t>
  </si>
  <si>
    <t>Being extremely strategic; built a roadmap with PepsiCo and team members (incl. Tony Guilfoyle) experienced with prior PepsiCo-system transitions; monitoring extremely closely.</t>
  </si>
  <si>
    <t>Termination agreement costs</t>
  </si>
  <si>
    <t>Rough idea of how much the distributor termination agreements will cost / how much of the $550M they consume?</t>
  </si>
  <si>
    <t>The termination process is cash neutral to Celsius but will likely be recognized in Q3 2022 financial statements; numbers still being worked.</t>
  </si>
  <si>
    <t>Deal structure, financing rationale &amp; M&amp;A</t>
  </si>
  <si>
    <t>Kaumil Gajrawala (Credit Suisse) / Kevin Grundy (Jefferies)</t>
  </si>
  <si>
    <t>Why is M&amp;A a use of proceeds, and why is the convertible preferred structure right given Celsius could self-fund from free cash flow?</t>
  </si>
  <si>
    <t>M&amp;A provides nimbleness though core portfolio remains the focus; despite being cash-flow positive, having PepsiCo take a meaningful stake aligns incentives ('skin in the game'); wrapping investment and distribution agreement together ensures alignment.</t>
  </si>
  <si>
    <t>$550M deployment pace &amp; channel priorities</t>
  </si>
  <si>
    <t>How quickly will the $550M be deployed, and what does it imply for US and international growth?</t>
  </si>
  <si>
    <t>Will not rush; capital compresses multi-year cooler/vending purchases into ~2 years, funds supply-chain/vertical-integration evaluation and inventory build ahead of launch; $550M will not be depleted in 6-7 months.</t>
  </si>
  <si>
    <t>Topline acceleration &amp; distribution gains</t>
  </si>
  <si>
    <t>How does the deal accelerate topline growth - distribution gains, velocity, targeted market share?</t>
  </si>
  <si>
    <t>Anticipates ~40% increase in distribution expansion over the next 12 months, with major opportunities in college campuses and food service; must stay focused on the transition over the next 90-120 days.</t>
  </si>
  <si>
    <t>International timeline &amp; margin accretion</t>
  </si>
  <si>
    <t>Peter Grom, UBS</t>
  </si>
  <si>
    <t>Timeline for the international opportunity and initial markets; what does 'substantial margin accretion' look like and how quickly are cost savings realized?</t>
  </si>
  <si>
    <t>International expansion into UK, Germany, Canada, Western Europe over the next 24-48 months (distribution gains ~24 months in); margin commentary kept high-level (quiet period) - cited simplification from 250 distributors to one, streamlining and CapEx assistance.</t>
  </si>
  <si>
    <t>PepsiCo ownership ceiling &amp; competitive tension</t>
  </si>
  <si>
    <t>Can PepsiCo own more of Celsius, is Celsius the exclusive non-PepsiCo-owned energy drink, and how is 'healthy tension' avoided?</t>
  </si>
  <si>
    <t>PepsiCo can grow its ownership over time; Celsius will be the exclusive healthy functional energy drink in PepsiCo's portfolio, filling a major gap, with enough contractual protections and aligned interests.</t>
  </si>
  <si>
    <t>Future discussions, production &amp; access fee</t>
  </si>
  <si>
    <t>Are there criteria/timelines for future ownership, can PepsiCo produce/procure raw materials, and is Celsius paying an access fee?</t>
  </si>
  <si>
    <t>No access fee - a 'true partnership'; no structural requirement for investment over time; supply-chain/vertical-integration synergies exist but are not yet earmarked.</t>
  </si>
  <si>
    <t>Deal timing &amp; PepsiCo brand prioritization risk</t>
  </si>
  <si>
    <t>Bonnie Herzog, Goldman Sachs</t>
  </si>
  <si>
    <t>Why do the deal now, and what gives comfort PepsiCo will not prioritize its own brands over Celsius?</t>
  </si>
  <si>
    <t>Celsius was not actively seeking a partner - the opportunity arose; protections include a 24-month healthy-functional-energy exclusivity, specific annual jointly-agreed KPIs, and the equity investment.</t>
  </si>
  <si>
    <t>PepsiCo stake increase mechanics &amp; vertical integration / co-packing</t>
  </si>
  <si>
    <t>Andrea Teixeira, JPMorgan</t>
  </si>
  <si>
    <t>Can PepsiCo increase its stake (and what is the maximum), and will PepsiCo co-pack Celsius products?</t>
  </si>
  <si>
    <t>Additional investment questions best directed to PepsiCo, but opportunities exist; global procurement evaluated as Celsius expands; PepsiCo cannot pack Celsius's product today, so Celsius continues using/expanding its existing co-pack network; deal is North America only.</t>
  </si>
  <si>
    <t>KPI magnitude, co-packing changes &amp; prior partnership lessons</t>
  </si>
  <si>
    <t>Order of magnitude on the agreement's KPIs, co-packing changes, and lessons from the failed prior ('bank') partnership?</t>
  </si>
  <si>
    <t>Declined KPI specifics (they range from distribution to ACV to deliveries, jointly agreed); no immediate co-packing changes; declined specific comment on the prior partnership, attributing issues more to product availability than operational execution.</t>
  </si>
  <si>
    <t>Distributor transition duration &amp; termination funding</t>
  </si>
  <si>
    <t>How long will the 250-distributor transition take, will any remain, and why is the termination cash neutral?</t>
  </si>
  <si>
    <t>Majority of distributors transitioned to the PepsiCo system by year-end with a few remaining in the legacy system; cash neutral because separate funding (outside the $550M growth capital) covers buyouts/transitional costs.</t>
  </si>
  <si>
    <t>Shelf reset timing &amp; 2023 gains</t>
  </si>
  <si>
    <t>Are shelf resets a 2023 event or are some gains expected before year-end?</t>
  </si>
  <si>
    <t>Initial selling into the PepsiCo system in Q3, with the bulk of distribution migrating end of Q3 into Q4; the real gain comes in the back half of Q4 into Q1 2023 when resets take place.</t>
  </si>
  <si>
    <t>Accounting treatment of charges &amp; near-term margin impact</t>
  </si>
  <si>
    <t>Will there be unusual charges over the balance of the year, and is there a near-term negative margin hit?</t>
  </si>
  <si>
    <t>Termination fees and transaction costs called out separately for apples-to-apples comparison; termination fee booked in full while PepsiCo's assistance is recorded to the balance sheet and amortized; preferred sits in mezzanine equity with dividends through the cash flow statement; near-term margin impact 'more or less neutral'.</t>
  </si>
  <si>
    <t>Q2 2022 Earnings Call</t>
  </si>
  <si>
    <t>2022-08-09</t>
  </si>
  <si>
    <t>Income Statement ($M)</t>
  </si>
  <si>
    <t>Total revenue</t>
  </si>
  <si>
    <t>US / North America revenue</t>
  </si>
  <si>
    <t>171%</t>
  </si>
  <si>
    <t>-25%</t>
  </si>
  <si>
    <t>Nordic revenue</t>
  </si>
  <si>
    <t>-32.4%</t>
  </si>
  <si>
    <t>Gross profit</t>
  </si>
  <si>
    <t>110%</t>
  </si>
  <si>
    <t>G&amp;A expenses</t>
  </si>
  <si>
    <t>17%</t>
  </si>
  <si>
    <t>Net income</t>
  </si>
  <si>
    <t>1050%</t>
  </si>
  <si>
    <t>Margins &amp; Ratios</t>
  </si>
  <si>
    <t>38.5%</t>
  </si>
  <si>
    <t>-4.9 pts</t>
  </si>
  <si>
    <t>Gross margin ex-outbound freight</t>
  </si>
  <si>
    <t>-7.8 pts</t>
  </si>
  <si>
    <t>Sales &amp; marketing (% of revenue)</t>
  </si>
  <si>
    <t>21%</t>
  </si>
  <si>
    <t>-3 pts</t>
  </si>
  <si>
    <t>G&amp;A (% of revenue)</t>
  </si>
  <si>
    <t>-10 pts</t>
  </si>
  <si>
    <t>1100%</t>
  </si>
  <si>
    <t>Gross Profit Bridge ($M)</t>
  </si>
  <si>
    <t>Volume increases</t>
  </si>
  <si>
    <t>Unfavorable cost impact</t>
  </si>
  <si>
    <t>Unfavorable currency impact</t>
  </si>
  <si>
    <t>Cash Flow &amp; Balance Sheet ($M)</t>
  </si>
  <si>
    <t>Operating cash flow (6 months)</t>
  </si>
  <si>
    <t>Cash balance (vs Dec 31, 2021)</t>
  </si>
  <si>
    <t>Total ending inventory (vs Dec 31, 2021)</t>
  </si>
  <si>
    <t>Raw material inventory (Q2 vs Q1 2022)</t>
  </si>
  <si>
    <t>Channel &amp; Distribution Metrics</t>
  </si>
  <si>
    <t>DSD network sales ($M)</t>
  </si>
  <si>
    <t>+208%</t>
  </si>
  <si>
    <t>DSD incremental revenue ($M)</t>
  </si>
  <si>
    <t>Club channel revenue ($M)</t>
  </si>
  <si>
    <t>+~$24.9M</t>
  </si>
  <si>
    <t>Vending / foodservice revenue ($M)</t>
  </si>
  <si>
    <t>+50% sequential</t>
  </si>
  <si>
    <t>~196,000</t>
  </si>
  <si>
    <t>~109,000</t>
  </si>
  <si>
    <t>42,000</t>
  </si>
  <si>
    <t>97%</t>
  </si>
  <si>
    <t>1,337 (incl. ~175 new BJ's)</t>
  </si>
  <si>
    <t>+227%</t>
  </si>
  <si>
    <t>+700%+</t>
  </si>
  <si>
    <t>Sequential revenue growth (vs Q1 2022)</t>
  </si>
  <si>
    <t>+18%</t>
  </si>
  <si>
    <t>Amazon energy category share</t>
  </si>
  <si>
    <t>22.6% (#2 brand)</t>
  </si>
  <si>
    <t>Coolers placed Q2 (YTD)</t>
  </si>
  <si>
    <t>800 (2,700+ YTD)</t>
  </si>
  <si>
    <t>US co-packer footprint</t>
  </si>
  <si>
    <t>13 active locations</t>
  </si>
  <si>
    <t>Third-Party Scan Data (Nielsen, ending Jul 16)</t>
  </si>
  <si>
    <t>Celsius</t>
  </si>
  <si>
    <t>Energy Category</t>
  </si>
  <si>
    <t>143%</t>
  </si>
  <si>
    <t>8%</t>
  </si>
  <si>
    <t>194%</t>
  </si>
  <si>
    <t>185%</t>
  </si>
  <si>
    <t>~8%</t>
  </si>
  <si>
    <t>Incremental distribution increase (PepsiCo)</t>
  </si>
  <si>
    <t>International can COGS impact</t>
  </si>
  <si>
    <t>~6%</t>
  </si>
  <si>
    <t>Q3 gross margin direction</t>
  </si>
  <si>
    <t>Somewhat similar to Q2; sequential growth</t>
  </si>
  <si>
    <t>Record Q2 - 16th consecutive quarter of sequential growth; growth overwhelmingly North American volume rather than pricing.</t>
  </si>
  <si>
    <t>The newly announced (Aug 1) PepsiCo distribution investment agreement dominated the call: $550M convertible preferred at $75/share, expected to add ~40% incremental distribution over the next 12 months.</t>
  </si>
  <si>
    <t>Management clarified the '40%' refers to distribution points, NOT a 40% topline uplift versus plan.</t>
  </si>
  <si>
    <t>Gross margin fell to 38.5% (44% ex-freight) pressured by higher aluminum-can costs, ocean freight, repackaging, the flush-through of higher-cost international cans, and an unfavorable mix shift to lower-margin club.</t>
  </si>
  <si>
    <t>Management reiterated sequential gross margin improvement through 2022, with Q4 margins returning to the mid-40s once international cans cycle through and the price increase rolls out.</t>
  </si>
  <si>
    <t>Club channel ($30.9M Q2 revenue) is mostly reorders from Costco/Sam's, with ~175 new BJ's locations incremental; co-packers developing in-line multi-packing (vs hand-packing) to improve club margins in Q4/early Q1 2023.</t>
  </si>
  <si>
    <t>Pepsi distribution transition has begun; most of the transition expected by the end of Q4; Q3 will be noisy with pipe-fill orders plus estimated product returns from terminating distributors.</t>
  </si>
  <si>
    <t>Distributor termination expense will mostly be booked in Q3 within OpEx and be 'very significant' (Monster's historical comparable was ~$112M; Celsius likely higher with inflation); PepsiCo's assistance is recorded to the balance sheet and amortized as deferred revenue.</t>
  </si>
  <si>
    <t>The $550M PepsiCo preferred is expected to be classified as mezzanine equity (pending finalization).</t>
  </si>
  <si>
    <t>Celsius added to the S&amp;P MidCap 400 Index (effective after the Aug 9 close), graduating from the S&amp;P SmallCap 600.</t>
  </si>
  <si>
    <t>International / Nordic weakness was supply/SKU-related (a new Sweden SKU missed the selling season) and FX; July results were strong and H2 should improve.</t>
  </si>
  <si>
    <t>UK and Germany named as near-term international opportunities via the PepsiCo partnership, with ongoing UK discussions, once the US transition stabilizes.</t>
  </si>
  <si>
    <t>The category decelerated to ~8% in Nielsen scan data while Celsius grew 143%-194%; new-market velocity ramps slower than mature markets.</t>
  </si>
  <si>
    <t>Management to keep its 'foot on the gas' on sales and marketing in Q3; G&amp;A and S&amp;M leverage comes from people costs as the business scales without proportional headcount.</t>
  </si>
  <si>
    <t>Pricing strategy unchanged - a phased price increase continues, monitored closely in a price-sensitive category; powder/heat-to-go sticks managed internally (not part of the Pepsi deal), gross-margin accretive.</t>
  </si>
  <si>
    <t>Current orbit structure has capacity to flex up to meet the extra 40% demand in 2023 and continue expanding through 2024-2025; majority of distributor termination costs borne by Pepsi.</t>
  </si>
  <si>
    <t>PepsiCo long-term revenue opportunity &amp; gross margin progression</t>
  </si>
  <si>
    <t>Updated thoughts on the Pepsi distribution agreement / long-term revenue opportunity, and how to frame the Q3 gross margin path into the mid-40s Q4 target?</t>
  </si>
  <si>
    <t>Working through analysis (using the Bang relationship as reference), expects expansion into food service and independent convenience; reiterated ~40% distribution increase over 12 months; ~6% margin impact from international cans, Q3 'somewhat similar' to Q2 with sequential growth, mid-40s by end of Q4.</t>
  </si>
  <si>
    <t>Club channel sustainability</t>
  </si>
  <si>
    <t>How much of the club strength was first-time fill-in versus reorders, and what keeps the Pepsi transition smooth?</t>
  </si>
  <si>
    <t>Club expansion began with Costco (Q4) and Sam's Club (Q1); Q2 is mostly reorders, with 175 new BJ's stores incremental; transition leverages experienced team members, fills PepsiCo mixing centers first then moves to direct shipment with larger distributors.</t>
  </si>
  <si>
    <t>International near-term dynamics &amp; PepsiCo global opportunity</t>
  </si>
  <si>
    <t>Will Europe weakness reverse, how quickly can Celsius move on the PepsiCo international opportunity, and what about velocity as the category slows?</t>
  </si>
  <si>
    <t>Europe issues were supply/SKU-related (a Sweden SKU missed the selling season) but July was strong and H2 should improve; UK and Germany are near-term opportunities (with ongoing UK discussions) but the US transition is the priority; new-market velocity ramps slower than mature markets.</t>
  </si>
  <si>
    <t>Convenience penetration, velocity &amp; the meaning of '40%'</t>
  </si>
  <si>
    <t>How is velocity factored into convenience expansion via PepsiCo, why isn't the full Bang footprint the opportunity rather than 40%, and is there a co-packing opportunity with Pepsi?</t>
  </si>
  <si>
    <t>Convenience is the biggest opportunity (67% of energy category volume); new-store velocity starts slower but builds; the 40% is the internal distribution reference - explicitly clarified it is distribution, NOT a 40% topline uplift; co-packing is a down-the-road opportunity.</t>
  </si>
  <si>
    <t>Nordics business &amp; FAST protein under PepsiCo</t>
  </si>
  <si>
    <t>Does the Pepsi partnership change how Celsius handles the Nordics and FAST protein business, plus cooler plans and pricing strategy?</t>
  </si>
  <si>
    <t>Early in discussions but opportunities exist for the FAST protein portfolio given PepsiCo's snacks business; Celsius will enter PepsiCo's ~50,000-70,000 co-brand energy coolers and continue placing its own (2,700+ YTD); pricing strategy unchanged - a phased price increase continues.</t>
  </si>
  <si>
    <t>Heat-to-go powder sticks &amp; OpEx outlook</t>
  </si>
  <si>
    <t>Commentary on the heat-to-go powder sticks rollout (part of the Pepsi deal?), and S&amp;M / G&amp;A for the back half?</t>
  </si>
  <si>
    <t>Powder product managed internally (not part of the Pepsi arrangement), gross-margin accretive, expanding into Walmart; Celsius keeps its foot on the gas on S&amp;M in Q3, with leverage from people costs as the business scales.</t>
  </si>
  <si>
    <t>Capacity for 40% expansion &amp; distributor termination costs</t>
  </si>
  <si>
    <t>How quickly can Celsius ramp capacity for the 40% expansion, and what percentage of termination agreements will Pepsi pay?</t>
  </si>
  <si>
    <t>Current orbit structure has capacity to flex up for the extra 40% in 2023 and expand through 2024-2025; not all DSD transitions can complete this year (mirrors how Pepsi managed Rockstar/Bang); majority of termination costs borne by Pepsi.</t>
  </si>
  <si>
    <t>Transition disruption risk &amp; termination fee accounting</t>
  </si>
  <si>
    <t>Sean McGowan, ROTH Capital</t>
  </si>
  <si>
    <t>Could sales/gross margin dip ahead of the full transition benefit, and how are termination fees and the Pepsi investment accounted for?</t>
  </si>
  <si>
    <t>Q3 will have 'a lot going on in the P&amp;L' (pipe-fill orders plus estimated product returns); margins should be 'somewhat accretive' going forward (soft guidance); majority of termination expense booked in Q3 within OpEx, 'very significant' (Monster comparable ~$112M, Celsius likely higher); Pepsi's assistance recorded to the balance sheet and amortized over the agreement life; $550M preferred expected to be mezzanine equity.</t>
  </si>
  <si>
    <t>Q3 2022 Earnings Call</t>
  </si>
  <si>
    <t>2022-11-09</t>
  </si>
  <si>
    <t>112%</t>
  </si>
  <si>
    <t>-16.3%</t>
  </si>
  <si>
    <t>European revenue</t>
  </si>
  <si>
    <t>-21%</t>
  </si>
  <si>
    <t>Sales &amp; marketing expenses</t>
  </si>
  <si>
    <t>779%</t>
  </si>
  <si>
    <t>18%</t>
  </si>
  <si>
    <t>41.8%</t>
  </si>
  <si>
    <t>39.7%</t>
  </si>
  <si>
    <t>+2.1 pts</t>
  </si>
  <si>
    <t>49.6%</t>
  </si>
  <si>
    <t>48.8%</t>
  </si>
  <si>
    <t>+0.8 pts</t>
  </si>
  <si>
    <t>+330 bps</t>
  </si>
  <si>
    <t>-33.5%</t>
  </si>
  <si>
    <t>Transition-Related Accounting Items ($M)</t>
  </si>
  <si>
    <t>Distributor termination expense (Q3, in S&amp;M)</t>
  </si>
  <si>
    <t>Initial termination tranche from Pepsi</t>
  </si>
  <si>
    <t>Additional termination expense (Q4)</t>
  </si>
  <si>
    <t>~50</t>
  </si>
  <si>
    <t>Class-action settlement</t>
  </si>
  <si>
    <t>FAST brand impairment</t>
  </si>
  <si>
    <t>Series A preferred valuation</t>
  </si>
  <si>
    <t>Series A preferred premium (other asset, contra revenue, 20-yr amort.)</t>
  </si>
  <si>
    <t>Cash received from Pepsi (Series A preferred)</t>
  </si>
  <si>
    <t>Deferred tax liability (discrete item)</t>
  </si>
  <si>
    <t>Stock-based compensation (Q3 2022 vs Q3 2021)</t>
  </si>
  <si>
    <t>6.3 (vs 17.9)</t>
  </si>
  <si>
    <t>Operating cash flow (9 months)</t>
  </si>
  <si>
    <t>Club channel sales ($M)</t>
  </si>
  <si>
    <t>~14</t>
  </si>
  <si>
    <t>+~$20M</t>
  </si>
  <si>
    <t>Amazon sales ($M)</t>
  </si>
  <si>
    <t>record quarter</t>
  </si>
  <si>
    <t>Amazon sales YTD 2022 ($M)</t>
  </si>
  <si>
    <t>174,000</t>
  </si>
  <si>
    <t>140,000</t>
  </si>
  <si>
    <t>86,000</t>
  </si>
  <si>
    <t>49,000</t>
  </si>
  <si>
    <t>+158%</t>
  </si>
  <si>
    <t>record</t>
  </si>
  <si>
    <t>72%</t>
  </si>
  <si>
    <t>+20 pts</t>
  </si>
  <si>
    <t>Market Share &amp; PepsiCo Launch Metrics</t>
  </si>
  <si>
    <t>US energy drink market share</t>
  </si>
  <si>
    <t>4.9 share (#3 rank, passed Bang at 4.4)</t>
  </si>
  <si>
    <t>wk ending Oct 23</t>
  </si>
  <si>
    <t>29% (~$123M incremental)</t>
  </si>
  <si>
    <t>ACV increase since PepsiCo launch (all channels)</t>
  </si>
  <si>
    <t>~11%</t>
  </si>
  <si>
    <t>Oct 1-23, 2022</t>
  </si>
  <si>
    <t>ACV increase in convenience</t>
  </si>
  <si>
    <t>~23%</t>
  </si>
  <si>
    <t>Items carried per store</t>
  </si>
  <si>
    <t>7.7 to 8.3</t>
  </si>
  <si>
    <t>3-wk window post Oct 1</t>
  </si>
  <si>
    <t>Incremental Pepsi energy cooler placements rolling out</t>
  </si>
  <si>
    <t>~50,000</t>
  </si>
  <si>
    <t>Third-Party Scan Data (Nielsen, as of Oct 22)</t>
  </si>
  <si>
    <t>118%</t>
  </si>
  <si>
    <t>10%</t>
  </si>
  <si>
    <t>120%</t>
  </si>
  <si>
    <t>126%</t>
  </si>
  <si>
    <t>Mid-40s (43.5%-47.5% range cited)</t>
  </si>
  <si>
    <t>Q4 2022 / year end</t>
  </si>
  <si>
    <t>Q4 additional termination expense</t>
  </si>
  <si>
    <t>~$50M</t>
  </si>
  <si>
    <t>Revenue timing shift (pipe-fill)</t>
  </si>
  <si>
    <t>~$15M-$20M</t>
  </si>
  <si>
    <t>Q3 vs Q4 2022</t>
  </si>
  <si>
    <t>Effective tax rate (go-forward)</t>
  </si>
  <si>
    <t>21% federal + ~5-6% state</t>
  </si>
  <si>
    <t>Future</t>
  </si>
  <si>
    <t>Record Q3 - revenue up 98% on North American volume growth and a ~60,000 increase in door count (37,000 in convenience).</t>
  </si>
  <si>
    <t>The PepsiCo distribution partnership officially commenced October 1, 2022; most retail accounts already transitioned, and the transition exceeded initial expectations.</t>
  </si>
  <si>
    <t>Key milestone: Celsius passed Bang to become the #3 US energy drink (4.9 share vs Bang's 4.4).</t>
  </si>
  <si>
    <t>Early PepsiCo launch metrics: ~11% ACV gain (~23% in convenience) and items carried per store rising from 7.7 to 8.3 in just three weeks.</t>
  </si>
  <si>
    <t>Gross margin improved to 41.8% (49.6% ex-freight), up 330 bps sequentially, on improved average can prices and freight; club channel mix continues to pressure margin.</t>
  </si>
  <si>
    <t>Large transition-related noise items: $155.4M Q3 distributor termination expense (in S&amp;M, funded by Pepsi as deferred revenue amortized over 20 years) plus ~$50M more in Q4.</t>
  </si>
  <si>
    <t>The $550M preferred was valued at $832.5M; the $282.5M premium recorded as an other asset amortized as contra revenue over 20 years; non-deductibility drove a negative 33.5% nine-month effective tax rate and a $71.4M deferred tax liability.</t>
  </si>
  <si>
    <t>The FAST bar brand US launch was abandoned (FAST will now be focused internationally), triggering a $2.4M impairment; also a $7.8M class-action settlement.</t>
  </si>
  <si>
    <t>Management could only offer a 'gut feel' of $15-20M of revenue potentially shifted between Q3 and Q4 due to Pepsi pipe-fill versus distributor inventory wind-down.</t>
  </si>
  <si>
    <t>Management was non-committal on velocity / sales per point of distribution as Celsius enters lower-awareness new markets and Tier 3/Tier 4 accounts.</t>
  </si>
  <si>
    <t>Mid-40s Q4 gross margin target framed as a wide 43.5%-47.5% range, with variables including gas prices, softening aluminum, remaining international cans (smaller amount on the West Coast) and product returns.</t>
  </si>
  <si>
    <t>Spring 2023 retailer resets cited as a major shelf-space opportunity, amplified by Bang's distribution-network disruption.</t>
  </si>
  <si>
    <t>A number of new flavors will launch in Q1 2023; items per store (~8.6) lags category leaders at 20-30, leaving significant SKU runway.</t>
  </si>
  <si>
    <t>No additional price increases were taken in Q3; revenue growth was volume-driven; margin benefit came from the orbit model / onboard freight and lower can prices, not pricing.</t>
  </si>
  <si>
    <t>Celsius expects to be 'in great shape' / 'locked in' on the transition by early Q1 2023; per the Pepsi call it was already 80%+ transitioned on its DSD business.</t>
  </si>
  <si>
    <t>Go-forward effective tax rate guided to 21% federal plus ~5-6% state; ~50,000 incremental Pepsi energy coolers rolling out now; 13 active co-packers with capacity for years.</t>
  </si>
  <si>
    <t>Shelf space, SKU count &amp; velocity</t>
  </si>
  <si>
    <t>How will shelf space evolve as Celsius transitions onto Bang's shelves - one-to-one trade or more space/SKUs - and what about velocity / sales per point of distribution?</t>
  </si>
  <si>
    <t>SKU/shelf-space gains in just three weeks (largest in convenience); Bang disruption and resets create opportunity for spring resets; non-committal on velocity - entering lower-awareness markets and less-productive Tier 3/Tier 4 accounts, 'can't really give you an answer at this point.'</t>
  </si>
  <si>
    <t>PepsiCo transition progress &amp; international timeline</t>
  </si>
  <si>
    <t>Noah Erni (on for Kevin Grundy), Jefferies</t>
  </si>
  <si>
    <t>How much US business has transitioned to PepsiCo, and what is the international expansion timeline?</t>
  </si>
  <si>
    <t>Already 80%+ transitioned on DSD business per the Pepsi call; a handful more geographies roll out through Q4 into Q1; expects to be 'in great shape' by early Q1; international real but approached methodically with more detail through 2023 (Pepsi distributes across 126 markets).</t>
  </si>
  <si>
    <t>Pepsi sales impact, Q4 revenue &amp; gross margin</t>
  </si>
  <si>
    <t>Quantify the one-time versus recurring nature of sales to Pepsi (12.4% of sales per the 10-Q) and Q4 North America growth; are higher-cost cans behind, and is mid-40s an exit rate or Q4 average?</t>
  </si>
  <si>
    <t>Q3/Q4 will be noisy; 'gut feel' of ~$15-20M potentially shifted between quarters (not data-supported); big Q4/Q1 opportunity from new space and SKU expansion; most international cans cycled through with a smaller amount on the West Coast; Q4 gross margin guided to a 43.5%-47.5% range.</t>
  </si>
  <si>
    <t>PepsiCo ramp next steps &amp; milestones</t>
  </si>
  <si>
    <t>What are the next steps and milestones as the Pepsi DSD ramp moves from Q4 into Q1, and what is left in the club channel / how many Pepsi coolers?</t>
  </si>
  <si>
    <t>Milestones: convenience expansion (ACV, SKUs/items per store), maintaining velocity, the PepsiCo medals loyalty program, and foodservice; Sam's Club ramping (BJ's room to expand, no cannibalization); ~50,000 Pepsi-owned energy coolers the immediate cooler opportunity.</t>
  </si>
  <si>
    <t>Termination expense funding &amp; SKU strategy</t>
  </si>
  <si>
    <t>Confirm the termination expense was paid by Pepsi and shows as deferred revenue, any follow-on costs after Q4, the right SKU count, and whether 13 co-packers is right?</t>
  </si>
  <si>
    <t>An initial $174.7M tranche was provided by Pepsi, of which $155.4M was accrued (unspent returned), with additional Q4 settlements; expects to be 'locked in' entering 2023; SKU counts vary by retailer (~8.6 nationwide average vs 20-30 for leaders); 13 active co-packers with backups, capacity for years.</t>
  </si>
  <si>
    <t>Pepsi marketing spend &amp; cooler strategy</t>
  </si>
  <si>
    <t>Is Pepsi spending direct marketing dollars, and why is Celsius still rolling out its own branded coolers rather than focusing solely on Pepsi's 50,000?</t>
  </si>
  <si>
    <t>Early in the relationship - opportunities to partner on programs (college sponsorships, co-op promotions, medals program), but pushing the brand/velocity remains Celsius's focus; Celsius-branded coolers are wholly owned 'silent salespersons' with strong ROI, pursued alongside the co-branded/Pepsi energy coolers.</t>
  </si>
  <si>
    <t>Tax noise &amp; pricing / margin</t>
  </si>
  <si>
    <t>Repeat the tax-noise commentary, what go-forward effective tax rate to use, and were any price increases taken in Q3?</t>
  </si>
  <si>
    <t>Preferred valued at $832.5M (a $282.5M premium recorded as an asset, amortized as contra revenue over ~20 years, non-deductible) created the timing difference; go-forward effective tax rate ~21% federal plus ~5-6% state; no price increases in Q3 - margin benefit came from the orbit model / onboard freight and lower can prices, not pricing.</t>
  </si>
  <si>
    <t>Q4 2022 / FY2022 Earnings Call</t>
  </si>
  <si>
    <t>2023-03-01</t>
  </si>
  <si>
    <t>Q4 2022 Revenue ($M)</t>
  </si>
  <si>
    <t>71%</t>
  </si>
  <si>
    <t>~92</t>
  </si>
  <si>
    <t>International Sales</t>
  </si>
  <si>
    <t>38%</t>
  </si>
  <si>
    <t>Full-Year 2022 Revenue ($M)</t>
  </si>
  <si>
    <t>North America Revenue Growth</t>
  </si>
  <si>
    <t>247%</t>
  </si>
  <si>
    <t>Amazon Sales</t>
  </si>
  <si>
    <t>83%</t>
  </si>
  <si>
    <t>Q4 2022 Profitability ($M)</t>
  </si>
  <si>
    <t>44.4%</t>
  </si>
  <si>
    <t>+~445 bps</t>
  </si>
  <si>
    <t>FY2022 Profitability ($M)</t>
  </si>
  <si>
    <t>+66 bps</t>
  </si>
  <si>
    <t>Q4 Sales &amp; Marketing</t>
  </si>
  <si>
    <t>~265%</t>
  </si>
  <si>
    <t>FY Sales &amp; Marketing</t>
  </si>
  <si>
    <t>372%</t>
  </si>
  <si>
    <t>FY Distributor Termination Expense</t>
  </si>
  <si>
    <t>($156M Q3, $38M Q4)</t>
  </si>
  <si>
    <t>Q4 G&amp;A</t>
  </si>
  <si>
    <t>FY G&amp;A</t>
  </si>
  <si>
    <t>32%</t>
  </si>
  <si>
    <t>FY Stock Option Expense</t>
  </si>
  <si>
    <t>-$16M YoY</t>
  </si>
  <si>
    <t>Q4 intentional marketing over-investment vs budget</t>
  </si>
  <si>
    <t>Dec-2022</t>
  </si>
  <si>
    <t>Dec-2021</t>
  </si>
  <si>
    <t>+637</t>
  </si>
  <si>
    <t>+588</t>
  </si>
  <si>
    <t>FY Operating Cash Flow</t>
  </si>
  <si>
    <t>+205</t>
  </si>
  <si>
    <t>Total Inventory</t>
  </si>
  <si>
    <t>-18</t>
  </si>
  <si>
    <t>Restricted Cash</t>
  </si>
  <si>
    <t>$35M to Pepsi, $4M to former distributors</t>
  </si>
  <si>
    <t>~89.7%</t>
  </si>
  <si>
    <t>59.6%</t>
  </si>
  <si>
    <t>+~30.1 pts</t>
  </si>
  <si>
    <t>89%</t>
  </si>
  <si>
    <t>45.3%</t>
  </si>
  <si>
    <t>+~96%</t>
  </si>
  <si>
    <t>210,000+</t>
  </si>
  <si>
    <t>+~20% vs Q3</t>
  </si>
  <si>
    <t>US Energy Drink Market Share</t>
  </si>
  <si>
    <t>6.4 share (#3)</t>
  </si>
  <si>
    <t>3.4 share</t>
  </si>
  <si>
    <t>+3.0 share pts</t>
  </si>
  <si>
    <t>~12.5</t>
  </si>
  <si>
    <t>Category Context</t>
  </si>
  <si>
    <t>Celsius share of energy-category dollar growth (2022)</t>
  </si>
  <si>
    <t>22% (~$474M incremental retail)</t>
  </si>
  <si>
    <t>Nielsen Celsius sales growth (4-wk, Jan 28 2023)</t>
  </si>
  <si>
    <t>136% YoY (vs category ~17.1%)</t>
  </si>
  <si>
    <t>Dedicated Celsius Coolers</t>
  </si>
  <si>
    <t>15,000 additional / 20,000+ total</t>
  </si>
  <si>
    <t>Sales &amp; Marketing (% of Revenue)</t>
  </si>
  <si>
    <t>~22% (in line with historical)</t>
  </si>
  <si>
    <t>2023Q1</t>
  </si>
  <si>
    <t>Club Channel Margin Upside</t>
  </si>
  <si>
    <t>A couple percentage points (on club piece)</t>
  </si>
  <si>
    <t>Freight (% of Revenue) trend</t>
  </si>
  <si>
    <t>Down from ~6% to ~4% annualized</t>
  </si>
  <si>
    <t>Trailing 2 years</t>
  </si>
  <si>
    <t>Pepsi Energy Coolers</t>
  </si>
  <si>
    <t>Majority / all ~50,000</t>
  </si>
  <si>
    <t>By year-end FY2023</t>
  </si>
  <si>
    <t>Record Q4 sales of $178M (+71%) and FY2022 revenue of $654M (+108%); FY North America +126%.</t>
  </si>
  <si>
    <t>Celsius was the #1 brand driver of energy-category growth (22% of category dollar growth, ~$474M incremental retail sales) and the #3 US energy drink.</t>
  </si>
  <si>
    <t>Dominant theme: the completed PepsiCo distribution transition; ACV jumped from the mid-60s to the high-80s (~89.7%); no further material distributor-transition charges anticipated.</t>
  </si>
  <si>
    <t>$194M of FY2022 distributor termination expense ($156M Q3, $38M Q4), funded by Pepsi, plus a deliberate ~$15M Q4 marketing over-investment (~$48M incremental for the full year).</t>
  </si>
  <si>
    <t>Gross margin improved to 44.4% in Q4 (+~445 bps YoY), achieving management's mid-40s exit-rate goal.</t>
  </si>
  <si>
    <t>Three strategic pillars outlined: top-line growth, operational excellence, and cash generation / EBITDA leverage.</t>
  </si>
  <si>
    <t>Gross margin gains driven by lower average can prices, improved freight lanes from the orbit model and Pepsi transition, and pricing benefits; Q4 pricing carries across 2023, no new 2023 price increase announced.</t>
  </si>
  <si>
    <t>Central friction: reconciling reported 74% Q4 North America growth versus ~130% Nielsen scan growth - attributed to the Q3 pipe-fill, year-end customer destocking and incomplete transition; pipe-fill add-back would lift growth above 90%.</t>
  </si>
  <si>
    <t>FY2022 operating cash flow of $108M (vs -$97M in 2021); cash of $653M bolstered by the PepsiCo partnership injection.</t>
  </si>
  <si>
    <t>The $282.5M non-deductible Series A preferred-stock valuation adjustment (amortized as contra revenue over 20 years) distorted the effective tax rate.</t>
  </si>
  <si>
    <t>Continued unresolved 2021 material weaknesses; an unfavorable January 2023 Flo Rida litigation verdict under appeal; a can-label settlement expected to close by end of Q2.</t>
  </si>
  <si>
    <t>Club channel sales $138M (+247%); inline-packing transition (started Q4, expanding Q1) plus pack-size upsizing (15-pack to 18-pack) are 2023 margin levers.</t>
  </si>
  <si>
    <t>New national rollouts in Q1 2023: Aldi (~600+ stores) and BJ's; second SKUs at Costco and Sam's Club.</t>
  </si>
  <si>
    <t>Large non-tracked distribution upside: the Pepsi OTS/'medals' independent program (~150,000 doors) and foodservice (~1,600 colleges, ~1,600 hospitals).</t>
  </si>
  <si>
    <t>Func Food (FAST) brand name was impaired; FAST snack portfolio focused on Finland with no current Pepsi distribution discussions.</t>
  </si>
  <si>
    <t>Management signaled intent to announce additional international expansion initiatives in additional countries in the future, though North America remains the priority.</t>
  </si>
  <si>
    <t>Erythritol exposure is a very minor part of the portfolio (estimated under ~1% of sales); management 'looking into it' following recent stroke/heart-attack news.</t>
  </si>
  <si>
    <t>Cooler payback period ~5 months; sales increase 'exponentially' with cold placement within 60 feet of the register.</t>
  </si>
  <si>
    <t>Reconciling North America Growth vs. Scan Data</t>
  </si>
  <si>
    <t>Reconcile the gap between reported North America sales growth (+74%) and Nielsen scan growth (~+130%); where does the company ultimately land on ACV / total distribution / non-tracked channels?</t>
  </si>
  <si>
    <t>CFO said the pipe-fill would have brought North America growth above 90%; year-end working-capital management by big customers likely pulled inventories down, and scan data remains accurate (Q1 continues to accelerate). CEO said ACV finished ~89-90% with great transition execution; additional ACV expected from spring resets, Bang space capture, club (BJ's) and foodservice - declined to give forward ACV guidance.</t>
  </si>
  <si>
    <t>Distribution Points, Shelf Placement &amp; Pipe-Fill Math</t>
  </si>
  <si>
    <t>Actual distribution points (not ACV) for 2023, what is secured for spring resets, whether product goes into existing energy coolers or dedicated functional coolers; reconcile the pipe-fill puts and takes.</t>
  </si>
  <si>
    <t>Reported distribution ~210,000 doors, with considerable incremental opportunity in non-reported channels (foodservice, the Pepsi OTS/medals program with ~150,000 doors), Tier 3/4 accounts and new markets; product goes into core energy shelf space. Adding the $15-20M pull-forward back to Q4 approximates a normalized run rate, though year-end inventory control and incomplete transition during the quarter are offsets.</t>
  </si>
  <si>
    <t>Selling Expense Run Rate &amp; International Timing</t>
  </si>
  <si>
    <t>How much of the increased selling expense was incremental and what is the right go-forward run rate; why is now the right time to start talking about international?</t>
  </si>
  <si>
    <t>The company strategically went ~$15M over budget in Q4; historically S&amp;M runs ~23-23.5%, and backing out the $15M over-spend and $38M transition fees returns Q4 to ~22% of revenue. CFO confirmed Q1 2023 back to ~22%. On international, opportunities exist via Pepsi and existing Nordics/APAC partners, but North America remains the priority.</t>
  </si>
  <si>
    <t>Quarter-to-Date Acceleration &amp; Gross Margin Outlook</t>
  </si>
  <si>
    <t>Is the 'quarterly acceleration' comment broad-based or is QTD growth actually stronger than the ~90%+ Q4 growth; how does the 44%+ exit rate inform 2023 gross margin?</t>
  </si>
  <si>
    <t>The acceleration comment referred to Nielsen scan and IRI SPINS data, not forward guidance on Q1. The mid-40s exit-rate goal was achieved for the entire quarter; with expensive cans behind them and freight-lane and raw-material benefits, a mid-40s gross margin throughout 2023 remains valid, with upside opportunity preferred but the range maintained given commodity uncertainty.</t>
  </si>
  <si>
    <t>Amazon Channel Trends</t>
  </si>
  <si>
    <t>Gerald Pascarelli, Wedbush Securities</t>
  </si>
  <si>
    <t>Drivers behind the Amazon channel detail/softness and how the channel has trended in early 2023.</t>
  </si>
  <si>
    <t>Amazon grew strongly for the year ($58M, +83%); in the quarter there were warehouse-movement-related inventory shifts around the holiday season that potentially caused delays, but no major inventory challenges. Amazon expected to remain a strong omnichannel business alongside Instacart and home delivery.</t>
  </si>
  <si>
    <t>Geographic ACV Fill &amp; Marketing-to-Consumption Lag</t>
  </si>
  <si>
    <t>Jonathan Keypour, Bank of America</t>
  </si>
  <si>
    <t>Where were Q4 ACV gains filled geographically and what is left; how to think about the lag between entering a new geography and optimal consumption; productivity of stores with vs without an owned cooler.</t>
  </si>
  <si>
    <t>Pre-PepsiCo Celsius was ~65-67% ACV, concentrated regionally; the Pepsi transition opened ACV broadly (center of the country, Pacific Northwest, Mid-Atlantic), supported by the Q4 marketing over-investment, reaching ~89-90% nationwide. Cooler payback period ~5 months; sales increase 'exponentially' with cold placement 60 feet from the register.</t>
  </si>
  <si>
    <t>SKU Count Growth &amp; Margin / Pricing</t>
  </si>
  <si>
    <t>Where will SKU count grow most by channel and half; latest thoughts on Pepsi and club distribution efficiency; will more price be taken in 2023?</t>
  </si>
  <si>
    <t>Average items per store ~12.5 and expected to keep rising with resets, but declined to commit to a landing point - better visibility after April data. Club inline-packing transition (started Q4, expanding Q1) will help margin; Q4 pricing benefits carry across 2023; no 2023 price increase announced.</t>
  </si>
  <si>
    <t>Club Channel Margin Upside &amp; Reset Placement</t>
  </si>
  <si>
    <t>Order of magnitude of margin-improvement upside from the club efficiency initiatives - hundreds of basis points possible? Will resets also yield better physical shelf placement?</t>
  </si>
  <si>
    <t>Full benefit requires consolidating all club volume into the same co-packers (not yet complete, expected this year); upside 'could be a couple percentage points' on the club piece, a small part of the business - plus freight-lane gains (annualized freight down from ~6% to ~4% over two years). CEO said the goal is to move out of the 'gutter'/'nosebleed' into the 'bullseye' placement, targeting vacated Bang space.</t>
  </si>
  <si>
    <t>Func Food / FAST Brand, PepsiCo Snack SKUs &amp; Aldi</t>
  </si>
  <si>
    <t>What is going on with the Func Food impairment and the FAST brand; do PepsiCo food/protein SKUs create SKU-expansion discussion; country-specific flavors for international; Aldi rollout scope?</t>
  </si>
  <si>
    <t>Celsius Europe (Sweden/Finland) had a great Q4 with new innovation; the FAST snack portfolio is focused on Finland with no current PepsiCo distribution discussions - some European protein-bar raw-material supply-chain challenges. Aims for more strategic, consistent flavor launches across regions. Aldi national rollout underway across roughly 600+ stores and growing.</t>
  </si>
  <si>
    <t>Coolers (Celsius-Branded and Pepsi Energy) &amp; Erythritol</t>
  </si>
  <si>
    <t>Confirm the 20,000 dedicated Celsius cooler target by end of 2023, how many placed in Q4 2022; how many of the ~50,000 Pepsi energy coolers Celsius is in and the year-end goal; how much of the portfolio contains erythritol?</t>
  </si>
  <si>
    <t>Confirmed the 20,000+ dedicated Celsius cooler target with ~15,000 currently on order. Roughly 4,500-5,000 dedicated coolers in place by end of 2022 (placements held back during the transition). On Pepsi energy coolers, no current count given but the goal is the majority (ideally all ~50,000) by year-end. Erythritol is a very minor part of the portfolio (likely under ~1% of sales); 'we're looking into it.'</t>
  </si>
  <si>
    <t>Distribution Conversion Completeness</t>
  </si>
  <si>
    <t>Kaumil Gajrawala, Credit Suisse (follow-up)</t>
  </si>
  <si>
    <t>How much of the PepsiCo transition is actually converted versus available - is the company '100% available but only 60% converted'?</t>
  </si>
  <si>
    <t>'Transition complete' refers to distribution partners - ~90-95% of North America is now serviced by PepsiCo, with a few prior distributors retained, essentially 100% complete on the October 1, 2022 agreement. ACV reached ~89% of reported stores with considerable additional upside (deferring a finish-year estimate to April data), plus large non-reported upside in the ~150,000-door OTS/medals program and foodservice.</t>
  </si>
  <si>
    <t>Celsius Holdings Q1 2023 Earnings Call</t>
  </si>
  <si>
    <t>2023-05-09</t>
  </si>
  <si>
    <t>North America</t>
  </si>
  <si>
    <t>Profitability</t>
  </si>
  <si>
    <t>Gross Profit ($M)</t>
  </si>
  <si>
    <t>+4 ppt</t>
  </si>
  <si>
    <t>Adjusted EBITDA ($M, non-GAAP)</t>
  </si>
  <si>
    <t>N/A</t>
  </si>
  <si>
    <t>record; &gt;18% of sales</t>
  </si>
  <si>
    <t>Operating Expense</t>
  </si>
  <si>
    <t>S&amp;M Expense ($M)</t>
  </si>
  <si>
    <t>~48</t>
  </si>
  <si>
    <t>~32</t>
  </si>
  <si>
    <t>~51%</t>
  </si>
  <si>
    <t>S&amp;M % of Sales</t>
  </si>
  <si>
    <t>18.3%</t>
  </si>
  <si>
    <t>23.7%</t>
  </si>
  <si>
    <t>-5.4 ppt</t>
  </si>
  <si>
    <t>G&amp;A Expense ($M)</t>
  </si>
  <si>
    <t>~21</t>
  </si>
  <si>
    <t>~12</t>
  </si>
  <si>
    <t>75%</t>
  </si>
  <si>
    <t>G&amp;A % of Sales</t>
  </si>
  <si>
    <t>-1 ppt</t>
  </si>
  <si>
    <t>Balance Sheet / Cash Flow</t>
  </si>
  <si>
    <t>Cash Balance</t>
  </si>
  <si>
    <t>~$634M</t>
  </si>
  <si>
    <t>incl ~$38M due back to Pepsi</t>
  </si>
  <si>
    <t>Net Working Capital</t>
  </si>
  <si>
    <t>~$801M</t>
  </si>
  <si>
    <t>-$14M</t>
  </si>
  <si>
    <t>+$9M Q1 2022</t>
  </si>
  <si>
    <t>~$150M</t>
  </si>
  <si>
    <t>down vs prior quarter</t>
  </si>
  <si>
    <t>Mixing-Center Inventory Build (incremental sales)</t>
  </si>
  <si>
    <t>$20M-$25M</t>
  </si>
  <si>
    <t>Channel / Market Stats</t>
  </si>
  <si>
    <t>ACV (MULOC, 4wk to Mar 26)</t>
  </si>
  <si>
    <t>95.4%</t>
  </si>
  <si>
    <t>69.5%</t>
  </si>
  <si>
    <t>+25.9 ppt</t>
  </si>
  <si>
    <t>93.4%</t>
  </si>
  <si>
    <t>55.7%</t>
  </si>
  <si>
    <t>+37.7 ppt</t>
  </si>
  <si>
    <t>US Energy Share (MULOC, #3 rank)</t>
  </si>
  <si>
    <t>7.5%</t>
  </si>
  <si>
    <t>3.7%</t>
  </si>
  <si>
    <t>+3.8 ppt</t>
  </si>
  <si>
    <t>Avg Items per Store (recorded channel)</t>
  </si>
  <si>
    <t>+5.0</t>
  </si>
  <si>
    <t>Club Channel Sales ($M)</t>
  </si>
  <si>
    <t>Food Service % of PepsiCo Revenue</t>
  </si>
  <si>
    <t>Celsius MULOC dollar growth (52 wk)</t>
  </si>
  <si>
    <t>~$552M; 23% of category growth</t>
  </si>
  <si>
    <t>+139.6%</t>
  </si>
  <si>
    <t>Mid-40s (1H pressure, 2H upside)</t>
  </si>
  <si>
    <t>Consistent with historical run rates; ~22% year-end marker (historical 23-24%)</t>
  </si>
  <si>
    <t>Items Per Store</t>
  </si>
  <si>
    <t>15-17 by year end (path to ~10% share)</t>
  </si>
  <si>
    <t>International Expansion</t>
  </si>
  <si>
    <t>Early 2024 rollout; 2023 a planning year</t>
  </si>
  <si>
    <t>Early 2024</t>
  </si>
  <si>
    <t>Record Q1 revenue of ~$260M, up 95%; first time exceeding $200M in quarterly revenue and a 46% sequential gain over Q4 2022.</t>
  </si>
  <si>
    <t>ACV reached a record 95.4% MULOC (from 69.5%) - far faster than the 12-18 months management internally expected; convenience ACV up 37.7 points to 93.4%.</t>
  </si>
  <si>
    <t>Celsius is the #3 US energy drink at a record 7.5% share (doubled from 3.7%) and the #2 brand on Amazon.</t>
  </si>
  <si>
    <t>Record non-GAAP adjusted EBITDA of $48.7M (&gt;18% of sales), aided by sales/marketing timing benefits and SG&amp;A operating leverage.</t>
  </si>
  <si>
    <t>A ~$20-25M inventory build in the Pepsi mixing centers (incremental sales) was 'in large part' preparation for the summer selling season; expected to be sustained through summer.</t>
  </si>
  <si>
    <t>Gross margin improvement was driven by lower average can prices and orbit-model leverage, partly offset by higher freight and a few million dollars of inventory write-offs.</t>
  </si>
  <si>
    <t>Management expects mid-40s full-year gross margin with first-half pressure during distribution integration and back-half upside as the supply chain is optimized.</t>
  </si>
  <si>
    <t>Items per store rose to 13.6 (recorded channel) from 8.6; management frames 15-17 by year-end as the path to a ~10% category share.</t>
  </si>
  <si>
    <t>Summer 2023 is a key seasonal test - the '100 days of summer' marketing program with planned activation step-up in Q2/Q3.</t>
  </si>
  <si>
    <t>The Q1 cash balance of ~$634M included ~$38M primarily due back to Pepsi (excess distributor-transition funds), to be returned in Q2.</t>
  </si>
  <si>
    <t>International expansion targeted for early 2024 - a handful of bigger energy markets across Europe and APAC, not a 'spray and pray' approach; 2023 is a planning year.</t>
  </si>
  <si>
    <t>Management committed to disclosing significant quarter-end mixing-center inventory deltas each quarter and emphasized scan data over sell-in.</t>
  </si>
  <si>
    <t>Aluminum cans now sourced domestically, benefiting margins; capacity can quickly double via the orbit model and additional co-packers.</t>
  </si>
  <si>
    <t>G&amp;A rose 75% on a back-office build-out (finance/IT/legal); operating leverage expected as the company scales.</t>
  </si>
  <si>
    <t>Spring resets, shelf space &amp; velocity</t>
  </si>
  <si>
    <t>Mark Astrachan (Stifel)</t>
  </si>
  <si>
    <t>How do the spring resets look from a shelf-space standpoint - how much into existing energy doors vs new doors? Does Celsius still want legacy energy doors, and how much velocity strength is higher-velocity stores vs brand awareness?</t>
  </si>
  <si>
    <t>The resets drove the biggest ACV gains in convenience (+37.7 points to 95.4% MULOC); items per store rose to 13.6 from 8.6. With ACV near 95%, the bigger opportunity is breadth within retailers - placements, cold availability, coolers. Legacy energy doors remain; new SKUs and summer flavors (lemon lime, green apple cherry at 7-Eleven) add breadth. Velocity is increasing with room to go, but no forward guidance.</t>
  </si>
  <si>
    <t>Channel fill vs reorders &amp; Q2 read-through</t>
  </si>
  <si>
    <t>How much of the Q1 reacceleration was initial channel fill for new stores/doors/SKUs vs genuine reorders from sell-through, and what is the Q2 impact? What is the outlook for the convenience channel?</t>
  </si>
  <si>
    <t>Distribution gains came with the resets; rising velocity is a strong sign Celsius is cycling through any pipe-fill - the Pepsi inventory increase was ~$20-25M (average quarterly impact). Celsius gained substantial Tier 3/Tier 4 convenience distribution since October; management is confident in convenience. Food service (~10% of Pepsi business) shows broad consumer resonance.</t>
  </si>
  <si>
    <t>Path to 10% market share &amp; competitive launches</t>
  </si>
  <si>
    <t>Kevin Grundy (Jefferies)</t>
  </si>
  <si>
    <t>Given the ACV progress, what is now possible in the Pepsi system - the 10% share ambition looks near-term? How worrisome are recent competitive launches (Monster Zero Sugar, Rainstorm, Prime)?</t>
  </si>
  <si>
    <t>Management is amazed at the pace of the ACV ramp (~95%, far faster than the expected 12-18 months); needs a quarter or two to learn portfolio performance in newly expanded convenience. Gaining 15-17 items per store by year-end (from 13.6) is the path to a ~10% category share. The energy category is fiercely competitive with constant entrants; declined to comment on specific brands, citing runway (Miami-Fort Lauderdale ~21.7% share, #2 on Amazon).</t>
  </si>
  <si>
    <t>Gross margin detail &amp; international plans</t>
  </si>
  <si>
    <t>Peter Grom (UBS)</t>
  </si>
  <si>
    <t>How much did the inventory write-off impact Q1 gross margin, and what does 'first-half pressure' mean (vs mid-40s or YoY)? What work informs the international decision, which markets, and is the rollout broad-based or gradual?</t>
  </si>
  <si>
    <t>The Q4-to-Q1 margin movement was driven by a couple million dollars of inventory write-offs (supply-chain build-out) and slightly higher freight; back half sees freight-lane cleanup, confident in mid-40s with back-half upside. The international rollout targets well-defined energy markets in Europe and APAC - a handful first to learn, mostly partnering with Pepsi; 2024 the launch year, 2023 the planning year.</t>
  </si>
  <si>
    <t>Foodservice composition &amp; scan-vs-reported gap</t>
  </si>
  <si>
    <t>Jonathan Keypour (Bank of America)</t>
  </si>
  <si>
    <t>Was foodservice 10% of sales and what was its Q1 pipe-fill? Is the ~$45M scan-vs-reported gap (138% Q1 scan growth) a consistent lag similar to the ~$50M Q4 gap?</t>
  </si>
  <si>
    <t>Foodservice is ~10% of Pepsi sales (not total sales); it is not a pipe-fill but momentum built since October, with good reorders and large opportunity in eateries and fast-casual. The scan gap reflects register sell-through with lumpiness through the Pepsi value chain (mixing centers, sales barns, customers) plus the mix of slower-growing Amazon and club businesses and some timing.</t>
  </si>
  <si>
    <t>Supply chain capacity &amp; club channel status</t>
  </si>
  <si>
    <t>Gerald Pascarelli (Wedbush)</t>
  </si>
  <si>
    <t>Can the supply chain continue servicing demand long-term, particularly the domestically-sourced aluminum can supply? Where are the 18-pack transition, second variety pack, and BJ's rollout?</t>
  </si>
  <si>
    <t>Raw materials are in great shape with multiple US can partners; capacity can quickly double via the orbit model, additional co-packers and existing co-packer capacity. The 18-pack transition is 'pretty much' complete across all club channels, the core variety pack is expanding with incremental Vibe-pack placements; both packs perform well, with room for further flavors and single flavors.</t>
  </si>
  <si>
    <t>Mixing-center build composition &amp; SG&amp;A run rate</t>
  </si>
  <si>
    <t>Michael Lavery (Piper Sandler)</t>
  </si>
  <si>
    <t>Is the $20-25M mixing-center build largely an adjustment to faster sell-through (a reset to higher normalized levels) or volume pulled forward? How does SG&amp;A run rate look over the rest of the year given the marketing step-up vs operating leverage?</t>
  </si>
  <si>
    <t>The build is 'in large part' preparation for the summer selling season and planned activations - partly anticipation of Q2/Q3. The plan is to maintain the historical run rate (S&amp;M ~23-24%); Q1 came in at just over 18% (helped by the inventory build and revenue-growth leverage); summer marketing/sales spend increases, with a year-end goal around a 22% marker.</t>
  </si>
  <si>
    <t>Back office buildout &amp; cooler metrics</t>
  </si>
  <si>
    <t>Thomas McGovern (Maxim Group)</t>
  </si>
  <si>
    <t>Is the back-office buildout sufficient for the near term given summer launches and the international transition, or will the company keep building through 2023? What is the branded cooler count and progress penetrating the ~50,000 Pepsi energy coolers?</t>
  </si>
  <si>
    <t>Celsius has built a strong finance/IT/GL/legal team with a few more hires planned, plus continued investment in operations, sales and marketing; leverage opportunities expected especially in HR and marketing now ACV is at 95%; international entry needs initial investment. Celsius decided not to disclose the specific cooler count going forward, citing competitive sensitivity, though it still has a big cooler push.</t>
  </si>
  <si>
    <t>Freight (incomplete)</t>
  </si>
  <si>
    <t>Sean McGowan (ROTH Capital)</t>
  </si>
  <si>
    <t>Began a question on freight and whether the higher freight cost was an issue, but experienced technical/signal difficulties and was unable to complete the question.</t>
  </si>
  <si>
    <t>Management could not respond substantively due to the connection loss ('Hello, Sean, you there? We seem to have lost the signal.'); the question was not answered and McGowan said he would follow up later.</t>
  </si>
  <si>
    <t>Goldman Sachs Global Staples Forum</t>
  </si>
  <si>
    <t>2023-05-16</t>
  </si>
  <si>
    <t>Retail / Brand Stats</t>
  </si>
  <si>
    <t>CELH Stock Performance (LTM)</t>
  </si>
  <si>
    <t>+~135%</t>
  </si>
  <si>
    <t>through May 2023</t>
  </si>
  <si>
    <t>Retail Sales / Brand Status (52wk to Apr 26)</t>
  </si>
  <si>
    <t>$1 billion</t>
  </si>
  <si>
    <t>$1B brand at retail</t>
  </si>
  <si>
    <t>ACV (quarter ended Mar 26)</t>
  </si>
  <si>
    <t>achieved far ahead of plan</t>
  </si>
  <si>
    <t>Convenience Channel ACV (quarter ended Mar 26)</t>
  </si>
  <si>
    <t>93%</t>
  </si>
  <si>
    <t>+37 ACV points on recent resets</t>
  </si>
  <si>
    <t>SKUs per Location (MULO+C, 4wk to Mar 26)</t>
  </si>
  <si>
    <t>13.6</t>
  </si>
  <si>
    <t>~8</t>
  </si>
  <si>
    <t>+~5.6 / ~70%</t>
  </si>
  <si>
    <t>Market Share</t>
  </si>
  <si>
    <t>Category Share (Mar 26)</t>
  </si>
  <si>
    <t>3.7% (yr ago)</t>
  </si>
  <si>
    <t>+3.8 pts</t>
  </si>
  <si>
    <t>Category Share (Apr 26)</t>
  </si>
  <si>
    <t>+0.5 pt in 30 days</t>
  </si>
  <si>
    <t>South Florida Market Share</t>
  </si>
  <si>
    <t>top-10 energy market</t>
  </si>
  <si>
    <t>Amazon / E-Commerce Share</t>
  </si>
  <si>
    <t>#2 brand on Amazon</t>
  </si>
  <si>
    <t>Consumer / Channel Stats</t>
  </si>
  <si>
    <t>Incremental Sales Mix</t>
  </si>
  <si>
    <t>24% new-to-category + 44% user intensification</t>
  </si>
  <si>
    <t>New-to-Category Consumers</t>
  </si>
  <si>
    <t>per numerator</t>
  </si>
  <si>
    <t>Food Service Share of Pepsi Sales</t>
  </si>
  <si>
    <t>untracked channel</t>
  </si>
  <si>
    <t>2022 Average Price Increase</t>
  </si>
  <si>
    <t>deal-downs average it down in 2023</t>
  </si>
  <si>
    <t>S&amp;M Expense % of Sales</t>
  </si>
  <si>
    <t>~22-23%</t>
  </si>
  <si>
    <t>lower in Q1, higher in Q4</t>
  </si>
  <si>
    <t>Coachella Launch Party Attendance</t>
  </si>
  <si>
    <t>~1,200</t>
  </si>
  <si>
    <t>influencers/VIPs (Oasis Vibe launch)</t>
  </si>
  <si>
    <t>1H 2023</t>
  </si>
  <si>
    <t>Upper end of mid-40s</t>
  </si>
  <si>
    <t>2H 2023</t>
  </si>
  <si>
    <t>Gross Margin (full year)</t>
  </si>
  <si>
    <t>Mid-40s; upper mid-40s possible w/ vertical integration</t>
  </si>
  <si>
    <t>FY2023 and beyond</t>
  </si>
  <si>
    <t>S&amp;M Expense</t>
  </si>
  <si>
    <t>~22-23% of sales (historical run rate)</t>
  </si>
  <si>
    <t>International Market Entry</t>
  </si>
  <si>
    <t>Late Q4 2023 into Q1 2024</t>
  </si>
  <si>
    <t>2023Q4-2024Q1</t>
  </si>
  <si>
    <t>Revenue (consensus referenced)</t>
  </si>
  <si>
    <t>Over $1 billion</t>
  </si>
  <si>
    <t>Celsius reached '$1 billion brand status at retail' on a trailing-52-week basis as of April 26, 2023; category share roughly doubled from 3.7% to 8% over twelve months.</t>
  </si>
  <si>
    <t>The October 2022 transition from independent Anheuser-Busch distributors to PepsiCo drove ACV to 95% far faster than the 12-18 months internally expected.</t>
  </si>
  <si>
    <t>~68% of Celsius sales are incremental to the category (24% new-to-category plus 44% user intensification) - retailers value this as not just brand shifting.</t>
  </si>
  <si>
    <t>Management is 'hyper paranoid' about competition - Celsius is the uncomfortable #3 brand with players above and below; defense is focus, execution and constant reinvention.</t>
  </si>
  <si>
    <t>1H 2023 gross margin pressure stems from destabilizing the low-mileage 'orbit' shipping model during the Pepsi integration; management declined to quantify the pressure.</t>
  </si>
  <si>
    <t>Management reaffirmed mid-40s gross margin for 2023, with upper-mid-40s achievable in 2H and over the next two-to-three years via vertical integration.</t>
  </si>
  <si>
    <t>A structural comparability nuance vs Monster: Celsius includes outbound freight in COGS whereas Monster classifies it as a selling expense - the headline Monster margin overstates the gap.</t>
  </si>
  <si>
    <t>2024 is positioned as a 'superior' year - the first fully integrated into Pepsi's annual operating plan (AOP); Celsius integrated October 1, 2022 outside the 2023 AOP.</t>
  </si>
  <si>
    <t>Pricing posture is cautious amid macro uncertainty - Celsius took ~6% pricing in 2022 but the full benefit will not flow through given promotional deal-downs.</t>
  </si>
  <si>
    <t>Retailers are requesting more promotions because they are 'hearing some traffic slowing down' - a softer demand signal; ~24 promotional weeks/year is the category norm.</t>
  </si>
  <si>
    <t>The club channel (Costco, Sam's, BJ's) carries higher cost from reworking/repacking; the move from a hand-packed 15-pack to an in-line 18-pack improved efficiency.</t>
  </si>
  <si>
    <t>Energy is gaining shelf space as teas, juices and waters get consolidated; lead players try to fragment the energy door, but Celsius's key-accounts team won bull's-eye placements.</t>
  </si>
  <si>
    <t>International expansion (UK, Canada, Germany, Japan, Australia - existing energy markets) could begin late Q4 2023 into Q1 2024, methodical and tactical, leveraging Pepsi bottlers.</t>
  </si>
  <si>
    <t>Amazon is key to the omnichannel strategy - Celsius holds 19% on Amazon as the #2 brand, a few points from #1, even as retail ACV expanded.</t>
  </si>
  <si>
    <t>Spring reset visibility will be clear by late June 2023; SKUs per location rose to 13.6 from ~8, with most growth in convenience (3-4 SKUs a year ago, nearing double digits).</t>
  </si>
  <si>
    <t>Key drivers behind share doubling</t>
  </si>
  <si>
    <t>Bonnie Herzog (Goldman Sachs)</t>
  </si>
  <si>
    <t>What have been the key drivers behind the doubling of share, and how much did the Pepsi relationship boost performance?</t>
  </si>
  <si>
    <t>John Fieldly: Celsius continued bringing new consumers into the category, growing ACV and building retailer relationships; the October Pepsi partnership shifted distribution from independent Anheuser-Busch distributors to a national Pepsi network and helped reach 95% ACV at quarter-end - far faster than the internally expected 12-18 months.</t>
  </si>
  <si>
    <t>Source of share</t>
  </si>
  <si>
    <t>Where is Celsius sourcing share from, given it appears to be bringing incremental consumers into the category?</t>
  </si>
  <si>
    <t>Toby David: ~24% of consumers are new to the category and another 44% are user intensification, totaling ~68% incremental; share sourced is predominantly Red Bull and Monster (70%+ of category) plus capitalizing on Bang's disruption. John Fieldly: Celsius's 'new age energy' positioning makes it truly incremental, with 10% of Pepsi sales now in the untracked food-service channel.</t>
  </si>
  <si>
    <t>10% share attainability</t>
  </si>
  <si>
    <t>Is a 10% share within reach given the momentum, and is another doubling possible by next year?</t>
  </si>
  <si>
    <t>John Fieldly: yes - Celsius reported 7.5 share at March 26, reached 8 share by April 26 (a 0.5-point gain in 30 days) vs 3.7 a year earlier, with velocity increasing despite added distribution. Toby David cited ~22% share in South Florida and 19% on Amazon as runway evidence; Fieldly cited new markets like Buffalo and flagged the no-sugar push as a further opportunity.</t>
  </si>
  <si>
    <t>Competitive defense</t>
  </si>
  <si>
    <t>Celsius achieved its gains despite stepped-up competition - how worried is management and how does it defend its share?</t>
  </si>
  <si>
    <t>John Fieldly: Celsius is 'hyper paranoid'; competition is fierce in a double-digit-growth category and Celsius is the #3 brand - an uncomfortable position with players above and below; the defense is focus, execution against annual operating plans, constant reinvention, and connecting with new consumer segments (e.g., MMA partnerships).</t>
  </si>
  <si>
    <t>Innovation pipeline &amp; 2024 plans</t>
  </si>
  <si>
    <t>How does the innovation pipeline compare to last year, and are 2024 plans flavor or package innovation?</t>
  </si>
  <si>
    <t>John Fieldly: cited the green apple cherry SKU (a 7-Eleven partnership, one of their fastest-growing SKUs) and a lemon lime flavor launched with Walmart. For 2024, focus stays on the core portfolio with fruit-forward innovation plus further innovation on the 16-oz Celsius HEAT line; timing and sequencing are the main consideration given the recent 95% ACV achievement.</t>
  </si>
  <si>
    <t>Spring shelf resets</t>
  </si>
  <si>
    <t>How much incremental shelf or cooler space did Celsius gain during the spring resets, and has it been quantified?</t>
  </si>
  <si>
    <t>Toby David: as of March 26 Celsius was at 13.6 SKUs per location (MULO+C), up from ~8 a year prior, with most growth from convenience (3-4 SKUs a year ago, nearing double digits now); full reset visibility comes by late June. The Bang disruption and an aggressive sales organization helped, and the incrementality story resonates with retailers.</t>
  </si>
  <si>
    <t>Where shelf space is sourced from</t>
  </si>
  <si>
    <t>Where are retailers sourcing the incremental energy shelf space from, and are they allocating dedicated better-for-you energy space?</t>
  </si>
  <si>
    <t>John Fieldly: incremental energy space appears to come from consolidating teas, juices and waters; lead players try to fragment the energy door to protect bull's-eye placement, pushing newer brands into 'the gutter,' but Celsius positions as total energy and its key-accounts team moved it into bull's-eye placements.</t>
  </si>
  <si>
    <t>Pricing</t>
  </si>
  <si>
    <t>How much pricing did Celsius implement over the last 12-18 months, when, and are there plans for incremental pricing this year?</t>
  </si>
  <si>
    <t>John Fieldly: Celsius took an average ~6% price increase last year; while there is room for more, macro conditions make management cautious and it may prefer supply-chain leverage over frontline pricing; a pricing committee meets monthly, and promotions are increasing so the full 6% will not flow through.</t>
  </si>
  <si>
    <t>Summer promotions</t>
  </si>
  <si>
    <t>Does Celsius plan to step up promotions in line with what competitors are doing over the summer?</t>
  </si>
  <si>
    <t>John Fieldly: retailers are asking for more promotion because they see traffic slowing; promotions are key for the summer '100 days of summer' season and off-shelf placements. Roughly 24 weeks a year are promotional in energy, and management does not expect promotions to materially impact gross margin.</t>
  </si>
  <si>
    <t>1H gross margin pressure &amp; transition</t>
  </si>
  <si>
    <t>Can management quantify the first-half gross margin pressure from integrating the new distribution system, and are back-half efficiencies expected?</t>
  </si>
  <si>
    <t>Toby David: the Pepsi transition went smoothly; Celsius took a conservative 1H approach because of its 'orbit' model - destabilized in Q1 and partly Q2 to keep product on shelf (e.g., shipping from the Pacific Northwest to Dallas). Celsius still anticipates mid-40s gross margin in 1H with possible upside and upper-mid-40s in 2H; no specific number provided.</t>
  </si>
  <si>
    <t>Orbit model synchronization timeline</t>
  </si>
  <si>
    <t>Is Celsius operating back within its orbits now, or will that take more months?</t>
  </si>
  <si>
    <t>Toby David: each month is improving with fewer out-of-orbit shipments, but full synchronization with Pepsi takes the full year; Pepsi plans ~three years ahead and Celsius integrated October 1 outside the 2023 AOP, making 2024 the first cohesive year. John Fieldly: vertical-integration roadmaps over the next two-to-three years should drive further margin.</t>
  </si>
  <si>
    <t>Realistic multi-year gross margin target</t>
  </si>
  <si>
    <t>Is there a realistic gross margin target over the next several years beyond the mid-40s for 2023?</t>
  </si>
  <si>
    <t>John Fieldly: reiterated mid-40s for 2023 with upper-mid-40s achievable via vertical integration; flagged that Celsius includes outbound freight in COGS while Monster treats it as a selling expense - relevant when benchmarking.</t>
  </si>
  <si>
    <t>Sales &amp; marketing expense</t>
  </si>
  <si>
    <t>Will sales and marketing expense increase or step up to remain competitive and drive awareness?</t>
  </si>
  <si>
    <t>John Fieldly: household penetration remains low with opportunity; S&amp;M runs ~22-23% of sales (lower in Q1, higher in Q4 on event timing); leverage to be gained as the company grows, but Celsius must invest ahead of brand growth given ACV just hit 95%; cited Q2/Q3 summer programs (Oasis Vibe launch, central vibe store, Target partnership).</t>
  </si>
  <si>
    <t>Reinvention &amp; innovation cadence</t>
  </si>
  <si>
    <t>Innovation requires constant reinvention to stay relevant and continue innovating with flavors.</t>
  </si>
  <si>
    <t>John Fieldly agreed briefly - 'You do. You got to continue to reinvent yourself.'</t>
  </si>
  <si>
    <t>E-commerce / Amazon channel</t>
  </si>
  <si>
    <t>How important is the e-commerce channel to future growth, given Celsius's 19% Amazon share as the second-largest energy brand there?</t>
  </si>
  <si>
    <t>John Fieldly: Amazon has been key to the omnichannel strategy from the start; holding 19% as the #2 brand (a few points from #1) even as retail ACV expanded is notable; Celsius is also doing well in the club channel entered ~12 months prior.</t>
  </si>
  <si>
    <t>Club channel margin impact</t>
  </si>
  <si>
    <t>What is the margin impact or headwind of the club channel?</t>
  </si>
  <si>
    <t>John Fieldly: the club channel requires additional reworking and repacking, adding cost, but management remains confident in mid-40s margin by year-end; margin is a function of mix, and moving from a hand-packed 15-pack to an in-line 18-pack improved efficiency and capacity.</t>
  </si>
  <si>
    <t>International expansion</t>
  </si>
  <si>
    <t>Can you give more color on the international expansion plans (said to begin early next year), how big an investment, and Pepsi's role?</t>
  </si>
  <si>
    <t>Toby David: Celsius works closely with Pepsi (its preferred international distributor, mostly using third-party bottlers) to ensure pricing works for all margins; after the US, priority markets are the UK, Canada, Germany, Japan and Australia - existing energy markets; entry could come late Q4 2023 into Q1 2024, a small percentage of revenue (consensus over $1B for 2023), methodical and tactical. John Fieldly stressed entering markets successfully, not 'spray and pray.'</t>
  </si>
  <si>
    <t>Celsius Holdings 2023 Annual General Meeting</t>
  </si>
  <si>
    <t>2023-06-01</t>
  </si>
  <si>
    <t>Meeting Administration</t>
  </si>
  <si>
    <t>Shares Outstanding (record date Apr 3, 2023)</t>
  </si>
  <si>
    <t>common stock</t>
  </si>
  <si>
    <t>Shares Present / Quorum</t>
  </si>
  <si>
    <t>58,984,365 (77%)</t>
  </si>
  <si>
    <t>in person or by proxy</t>
  </si>
  <si>
    <t>FY2022 Financial Recap ($M)</t>
  </si>
  <si>
    <t>Revenue</t>
  </si>
  <si>
    <t>~654</t>
  </si>
  <si>
    <t>Pepsi-funded, GAAP-expensed immediately</t>
  </si>
  <si>
    <t>~76</t>
  </si>
  <si>
    <t>Cash (year-end)</t>
  </si>
  <si>
    <t>~653</t>
  </si>
  <si>
    <t>~16</t>
  </si>
  <si>
    <t>~3,981%</t>
  </si>
  <si>
    <t>Working Capital (year-end)</t>
  </si>
  <si>
    <t>~757</t>
  </si>
  <si>
    <t>~169</t>
  </si>
  <si>
    <t>~348%</t>
  </si>
  <si>
    <t>Q1 2023 Financial Recap ($M)</t>
  </si>
  <si>
    <t>~260</t>
  </si>
  <si>
    <t>51%</t>
  </si>
  <si>
    <t>Cash (Mar 31, 2023)</t>
  </si>
  <si>
    <t>~634</t>
  </si>
  <si>
    <t>Net Working Capital (Mar 31, 2023)</t>
  </si>
  <si>
    <t>~801</t>
  </si>
  <si>
    <t>Three-Year Revenue CAGR</t>
  </si>
  <si>
    <t>105%</t>
  </si>
  <si>
    <t>MULOC Dollar Growth (52 wk)</t>
  </si>
  <si>
    <t>$552M; 23% of category growth</t>
  </si>
  <si>
    <t>Amazon Share (to Apr 22, 2023)</t>
  </si>
  <si>
    <t>19.1 share</t>
  </si>
  <si>
    <t>#2 brand</t>
  </si>
  <si>
    <t>Energy Category Share (4wk to Mar 26)</t>
  </si>
  <si>
    <t>7.5 share</t>
  </si>
  <si>
    <t>3.7 share</t>
  </si>
  <si>
    <t>+3.8 pts (#3 brand)</t>
  </si>
  <si>
    <t>ACV (US retail)</t>
  </si>
  <si>
    <t>+25.9 pts</t>
  </si>
  <si>
    <t>+37.7 pts</t>
  </si>
  <si>
    <t>Incremental Volume Mix (52wk to Feb 28)</t>
  </si>
  <si>
    <t>24% new-to-category, 44% existing-user increase</t>
  </si>
  <si>
    <t>New-to-Category Sales</t>
  </si>
  <si>
    <t>(No quantitative forward-looking guidance provided)</t>
  </si>
  <si>
    <t>This was a procedural Annual General Meeting (director elections, auditor ratification) with a management financial recap; no shareholder questions were submitted, so there was no Q&amp;A.</t>
  </si>
  <si>
    <t>CEO John Fieldly framed 2022 as a 'transformational year' with a three-year revenue CAGR of 105%.</t>
  </si>
  <si>
    <t>Three shareholder-value drivers articulated: revenue growth, operational excellence, and EBITDA growth.</t>
  </si>
  <si>
    <t>Revenue growth focus: expanding doors and channels - club (entered 2022), food service, college/universities - increasing items per location and driving velocity.</t>
  </si>
  <si>
    <t>The $194M of distribution-network termination expenses was funded by Pepsi but GAAP-expensed immediately, while the offsetting Pepsi funds are capitalized and amortized over the agreement's life - a timing mismatch; excluding the $194M, FY2022 S&amp;M as a % of sales was consistent YoY.</t>
  </si>
  <si>
    <t>FY2022 gross margin benefited from lower average can costs (higher-priced international cans working out of inventory), orbit-model freight efficiency, and some pricing benefits.</t>
  </si>
  <si>
    <t>Q1 2023 gross margin improvement came from lower average can prices and orbit-model leverage, partly offset by higher freight and a few million dollars of inventory write-offs.</t>
  </si>
  <si>
    <t>Operational-excellence margin levers: orbit-model optimization, direct co-packer-to-distributor shipping, vertical integration, and scrap-waste efficiency.</t>
  </si>
  <si>
    <t>A days-inventory-outstanding increase at the primary distributor's mixing centers was flagged for Q1 2023 (vs year-end 2022) but not quantified.</t>
  </si>
  <si>
    <t>Innovation centered on the expanding Vibe line - peach, Arctic, Fantasy, and the newly launched Oasis Vibe (prickly pear lemon), on trend with Gen Z.</t>
  </si>
  <si>
    <t>Management positions Celsius as a pioneer of better-for-you functional energy and a total-beverage opportunity, not just an energy play.</t>
  </si>
  <si>
    <t>Global expansion via the Pepsi partnership, Asia strategic partners, and a dedicated Nordics team with a European expansion playbook.</t>
  </si>
  <si>
    <t>G&amp;A rose on building a scalable back office (employee costs, stock-based compensation, legal/audit/consulting fees).</t>
  </si>
  <si>
    <t>Voting outcome: all director nominees were elected and Ernst &amp; Young LLP was ratified as independent auditor for the year ending December 31, 2023.</t>
  </si>
  <si>
    <t>Annual General Meeting - presentation only</t>
  </si>
  <si>
    <t>After the management financial recap, VP Business Development Toby David opened the floor for questions via the online portal; no shareholder questions were submitted ('seeing that there have been no questions presented for our review'), so there were no question-answer exchanges. The meeting proceeded directly to the voting results and adjournment.</t>
  </si>
  <si>
    <t>Stifel Cross Sector Insight Conference 2023</t>
  </si>
  <si>
    <t>2023-06-06</t>
  </si>
  <si>
    <t>+115%</t>
  </si>
  <si>
    <t>through June 2023</t>
  </si>
  <si>
    <t>achieved 18-24 months ahead of plan</t>
  </si>
  <si>
    <t>SKUs per Location (Celsius)</t>
  </si>
  <si>
    <t>~13.6-14</t>
  </si>
  <si>
    <t>vs ~23-25 for Monster/Red Bull</t>
  </si>
  <si>
    <t>Distributors Transitioned on October 1, 2022</t>
  </si>
  <si>
    <t>~80%</t>
  </si>
  <si>
    <t>'one light switch' transition</t>
  </si>
  <si>
    <t>Food Service Share of Pepsi Revenue</t>
  </si>
  <si>
    <t>per Q1 2023 earnings call</t>
  </si>
  <si>
    <t>Q1 Excess Order Timing</t>
  </si>
  <si>
    <t>~$20M excess</t>
  </si>
  <si>
    <t>order timing into Pepsi mixing centers</t>
  </si>
  <si>
    <t>Markets Expanded Into</t>
  </si>
  <si>
    <t>23 markets</t>
  </si>
  <si>
    <t>over last ~18 months</t>
  </si>
  <si>
    <t>Convenience / Sea Source Revenue Share</t>
  </si>
  <si>
    <t>~56%</t>
  </si>
  <si>
    <t>~51-52% pre-Pepsi</t>
  </si>
  <si>
    <t>+4-5 pts</t>
  </si>
  <si>
    <t>National Energy Category Share</t>
  </si>
  <si>
    <t>8 share</t>
  </si>
  <si>
    <t>as of conference</t>
  </si>
  <si>
    <t>#2 energy drink on Amazon</t>
  </si>
  <si>
    <t>Sweden Market Share</t>
  </si>
  <si>
    <t>~10 share</t>
  </si>
  <si>
    <t>international</t>
  </si>
  <si>
    <t>Consumer / Spend Stats</t>
  </si>
  <si>
    <t>Incremental Consumption Mix</t>
  </si>
  <si>
    <t>~68%</t>
  </si>
  <si>
    <t>User Intensification Mix</t>
  </si>
  <si>
    <t>Consumer Gender Mix</t>
  </si>
  <si>
    <t>~52% male / 48% female</t>
  </si>
  <si>
    <t>Low single digits</t>
  </si>
  <si>
    <t>last data poll</t>
  </si>
  <si>
    <t>Media / Marketing Spend % of Sales</t>
  </si>
  <si>
    <t>~20-22%</t>
  </si>
  <si>
    <t>go-forward run rate</t>
  </si>
  <si>
    <t>Quarterly Inventory Inconsistency Disclosure</t>
  </si>
  <si>
    <t>Disclosed each quarter</t>
  </si>
  <si>
    <t>Each future quarter</t>
  </si>
  <si>
    <t>SKUs per Location Target</t>
  </si>
  <si>
    <t>Toward 23-25 (Monster/Red Bull level) over a couple of years</t>
  </si>
  <si>
    <t>Next ~2 years</t>
  </si>
  <si>
    <t>Media / Marketing Spend</t>
  </si>
  <si>
    <t>~20-22% of sales</t>
  </si>
  <si>
    <t>Go-forward</t>
  </si>
  <si>
    <t>One year after the prior Stifel appearance, management reinforced a strongly bullish narrative; distribution points roughly doubled since the October 1, 2022 Pepsi switch.</t>
  </si>
  <si>
    <t>The Pepsi transition was 'as smooth as anyone can recall' - ~80% of distributors moved on October 1 as a 'one light switch,' helped by 60-90 day termination clauses, partner buyouts, and hiring ex-Pepsi reps.</t>
  </si>
  <si>
    <t>The biggest surprise was the rapid success in food service (~10% of Pepsi revenue) after only three or four months - unusual for an energy brand.</t>
  </si>
  <si>
    <t>ACV at 95% was achieved 18-24 months ahead of internal plans.</t>
  </si>
  <si>
    <t>Sales velocity (repeat purchase) is growing strong double digits on a two-year accelerating basis despite the distribution doubling - suggesting accelerating underlying demand.</t>
  </si>
  <si>
    <t>Management acknowledged quarter-end inventory 'inconsistencies' (a Q4 2022 pullback and ~$20M of excess Q1 2023 order timing) and committed to disclosing them each quarter.</t>
  </si>
  <si>
    <t>~68% of consumption is incremental (24% new-to-category, 44% user intensification); the 24% new-to-category figure is called the 'silver bullet' for long-term growth.</t>
  </si>
  <si>
    <t>Celsius averages ~14 SKUs per location vs 23-25 for Monster/Red Bull; closing that gap and building double/triple facings for a 'billboard effect' will take a couple of years.</t>
  </si>
  <si>
    <t>Convenience is the 'last frontier' Celsius just entered and remains 'in its infancy' (entered only 7-8 of Circle K's 13 divisions last year) - a multi-year growth lever.</t>
  </si>
  <si>
    <t>Management positions Celsius as a total-beverage opportunity as usage occasions expand beyond traditional energy.</t>
  </si>
  <si>
    <t>The US is the priority for capital given known ROI; international expansion will be methodical, 'no spray and pray,' leveraging Pepsi bottlers (Britvic/Centauri in the UK, Asahi in Australia).</t>
  </si>
  <si>
    <t>The powder business has grown exponentially at Walmart and Target; on-the-go sticks are seen as a sizable future adjacency.</t>
  </si>
  <si>
    <t>The summer is the first peak season at full 95% ACV - a large '100 days of summer' display-activation program runs with Pepsi frontline reps.</t>
  </si>
  <si>
    <t>Retailers are reallocating shelf space to energy from declining categories (CSDs, teas, cold coffee) and seeking incremental dollar rings as tobacco consumption declines.</t>
  </si>
  <si>
    <t>Adjacent-category opportunities, including white space in the Pepsi portfolio, are on the three-to-five-year roadmap, but timing, sequencing and core-portfolio focus come first.</t>
  </si>
  <si>
    <t>Pepsi transition &amp; what surprised management</t>
  </si>
  <si>
    <t>Mark (Stifel, moderator)</t>
  </si>
  <si>
    <t>What surprised management about the unusually smooth Pepsi distribution transition, and where does the opportunity go from here?</t>
  </si>
  <si>
    <t>John Fieldly attributed the smooth transition to extensive preparation, treating legacy AB partners well (buyouts, upfront communication), 60-90 day termination clauses letting ~80% transition on October 1, and hiring ex-Pepsi reps; significant optimization remains. Toby David: the biggest surprise was rapid food-service success (~10% of Pepsi revenue), with Pepsi providing a platform into restaurants, fast casual, colleges, hospitals, hotels and vending. Hitting 95% ACV 18-24 months ahead of plan was also unexpected.</t>
  </si>
  <si>
    <t>Channel inventory heading into summer</t>
  </si>
  <si>
    <t>Are channel inventories correctly positioned heading into summer, and is more sell-in needed so retailers do not run out given sales trends?</t>
  </si>
  <si>
    <t>John Fieldly: Celsius has full visibility into Pepsi mixing-center inventory and believes it is well positioned; the company is keeping its own inventory up entering the '100 days of summer.' He noted a Q4 2022 pullback and ~$20M of excess Q1 2023 order timing, committed to disclosing such inconsistencies each quarter, and pointed analysts to scan data as the truer demand indicator.</t>
  </si>
  <si>
    <t>Distribution point headroom &amp; SKU count</t>
  </si>
  <si>
    <t>Distribution roughly doubled since October but Celsius is still ~20-30% below Bang's peak and ~50% of Monster - what is the right level of distribution points?</t>
  </si>
  <si>
    <t>John Fieldly declined a target, saying Celsius is 'just getting started,' focused on velocity and optimizing existing distribution with secondary/third placements and branded coolers. Toby David: Celsius averages ~14 SKUs per location vs 23-25 for Monster/Red Bull and aspires to climb to those levels and build double/triple facings for a 'billboard effect' - but that will take a couple of years.</t>
  </si>
  <si>
    <t>Facings in high-share markets vs national</t>
  </si>
  <si>
    <t>How do total facings in high-share markets like South Florida compare to the national average, and is that a reasonable level to reach over time?</t>
  </si>
  <si>
    <t>Toby David: replicating high-share-market facings is the aspiration; South Florida is the strongest at ~22% share vs ~8 nationally, with Miami still under-indexed; Celsius also over-indexes in Southern California, Dallas and New England; replicating the South Florida playbook in the 23 newly expanded markets would be a 'home run.'</t>
  </si>
  <si>
    <t>Energy category doors &amp; multiple coolers</t>
  </si>
  <si>
    <t>How does management think about the overall level of doors and placements for energy as a category, and the opportunity for second/third energy coolers per store?</t>
  </si>
  <si>
    <t>John Fieldly: management's view has broadened from going after the energy category to going after total beverage as usage occasions expand; retailers are adding doors and expanding energy planograms in recent resets while reducing CSDs, teas and cold coffee, because energy provides incremental dollar rings as tobacco and other categories decline.</t>
  </si>
  <si>
    <t>Incrementality &amp; category expansion</t>
  </si>
  <si>
    <t>How does management quantify Celsius's overall incrementality and how does it aid category expansion?</t>
  </si>
  <si>
    <t>Toby David: per numerator, 24% of Celsius consumers are new to category and ~44% are user intensification, totaling ~68% incremental; the 24% new-to-category figure is the 'silver bullet' - compounding younger, new-to-category consumers and retaining them is how Celsius can become the first #3 brand to genuinely challenge the two big players.</t>
  </si>
  <si>
    <t>Convenience channel mix opportunity</t>
  </si>
  <si>
    <t>70% of Monster/Red Bull sales come from convenience vs ~56% for Celsius (up from 51-52% pre-Pepsi) - how does the mix evolve and what is the opportunity?</t>
  </si>
  <si>
    <t>John Fieldly: convenience was the 'last frontier' and Celsius is now there, with the #2 Amazon position (~19% share) validating demand; the better-for-you, functional and fitness trends drive velocity; management would intuitively expect ~70% convenience mix, but the food-service opportunity could change the mix and make the overall opportunity larger.</t>
  </si>
  <si>
    <t>Velocity acceleration despite distribution doubling</t>
  </si>
  <si>
    <t>Why has sales velocity not decelerated even though distribution points have doubled (with a gentle note that conference samples were free)?</t>
  </si>
  <si>
    <t>Toby David: velocity is growing strong double digits on a two-year accelerating basis despite the distribution doubling. John Fieldly noted the concurrent untracked club-channel launch would intuitively have offset velocity but the brand is still working. David attributed sustained velocity to low household penetration and tactical reinvestment in historically under-exposed markets (Midwest, Pacific Northwest), with more capital deployed than ever.</t>
  </si>
  <si>
    <t>Convenience channel as velocity driver</t>
  </si>
  <si>
    <t>Does the convenience channel - single-serve cold packs at the highest ring - help velocities as the convenience share expands toward Monster/Red Bull levels?</t>
  </si>
  <si>
    <t>John Fieldly: convenience is the highest-turn segment Celsius just entered, so it absolutely should help. Toby David: Celsius is 'brand new' in convenience (entered 7-8 of Circle K's 13 divisions for the first time last year) and remains 'in its infancy,' so the 56% revenue figure leaves a massive opportunity. Fieldly cited the successful 7-Eleven green apple cherry launch as validation.</t>
  </si>
  <si>
    <t>Core consumer &amp; brand awareness</t>
  </si>
  <si>
    <t>Who is the core Celsius consumer, where does brand awareness stand and how is it accelerated, and how does it compare to Monster and Red Bull?</t>
  </si>
  <si>
    <t>John Fieldly: the consumer base is ~52% male / 48% female, inclusive, targeted at 18-24 with a fruit-forward, non-aggressive positioning; the gym/pre-workout DNA helped post-COVID. Toby David: the brand historically skewed 25-45 but has aged down while retaining older consumers, many of whom do not self-identify as energy-drink users. Broad appeal is attributed to the sustained-energy experience (no spike and crash).</t>
  </si>
  <si>
    <t>US brand awareness</t>
  </si>
  <si>
    <t>How does management think about US brand awareness as a stepping stone to an international discussion?</t>
  </si>
  <si>
    <t>John Fieldly: US household penetration is low single digits per the last data poll; Celsius started with five 'drill deep' markets and scaled them annually as distribution expanded, with 2024 plans to expand further; the US is critical to global success and shows the best returns on investment.</t>
  </si>
  <si>
    <t>International expansion strategy</t>
  </si>
  <si>
    <t>How does management think about brand awareness and strategy for international markets?</t>
  </si>
  <si>
    <t>John Fieldly: the US must be won first, with international foundational seeds built on top; Celsius already has presence in Sweden (~10 share), Finland, the Baltics, Puerto Rico and parts of Asia. Toby David: international expansion will be strategic and methodical - 'no shocking approach' - targeting the largest international energy markets and leveraging Pepsi bottlers (Britvic/Centauri in the UK, Asahi in Australia), but the US remains the focus because every international dollar takes longer to return.</t>
  </si>
  <si>
    <t>Media spend &amp; sponsorships</t>
  </si>
  <si>
    <t>Confirming media/advertising spend at ~20-22% of sales as the right go-forward level - how does management think about properties, sponsorships, athletes and events, and US vs international spend?</t>
  </si>
  <si>
    <t>John Fieldly: there are international properties with global acceptance - Formula 1 (dominated by Red Bull) being an example, with Celsius partnered with Ferrari for the US races; social media's global connectivity means influencers carry some global awareness, and authenticity and local insights will be a competitive advantage when launching new markets.</t>
  </si>
  <si>
    <t>Innovation as a growth runway</t>
  </si>
  <si>
    <t>How does management think about using innovation to expand usage occasions and extend the growth runway, as Monster has done?</t>
  </si>
  <si>
    <t>John Fieldly: the current focus is flavor innovation (Fantasy Vibe, Oasis Vibe launched at Coachella), with more flavors in 2024; adjacent-category opportunities exist including white space in the Pepsi portfolio, but timing and sequencing across three-to-five-year plans are key with the core portfolio the priority; the powder business has grown exponentially and on-the-go sticks are a sizable future adjacency.</t>
  </si>
  <si>
    <t>Evercore ISI 3rd Annual Consumer and Retail Conference</t>
  </si>
  <si>
    <t>2023-06-14</t>
  </si>
  <si>
    <t>Market Share / Channel Stats</t>
  </si>
  <si>
    <t>8 share (eight)</t>
  </si>
  <si>
    <t>strong #3 brand nationally</t>
  </si>
  <si>
    <t>~22 share</t>
  </si>
  <si>
    <t>per last earnings call</t>
  </si>
  <si>
    <t>~6-7 points ahead of Red Bull</t>
  </si>
  <si>
    <t>Q1 Club Channel Sales</t>
  </si>
  <si>
    <t>Costco; ~$200M run rate</t>
  </si>
  <si>
    <t>Club Channel Run Rate</t>
  </si>
  <si>
    <t>~$200M</t>
  </si>
  <si>
    <t>2023 annualized</t>
  </si>
  <si>
    <t>Scan Data Growth (latest 2-week poll)</t>
  </si>
  <si>
    <t>Nielsen, June 2023</t>
  </si>
  <si>
    <t>end of Q1 2023</t>
  </si>
  <si>
    <t>Items per Store</t>
  </si>
  <si>
    <t>~13.6</t>
  </si>
  <si>
    <t>placements/items per store</t>
  </si>
  <si>
    <t>Key Markets</t>
  </si>
  <si>
    <t>23+</t>
  </si>
  <si>
    <t>national key markets</t>
  </si>
  <si>
    <t>Prior Independent Distributor Count</t>
  </si>
  <si>
    <t>300+</t>
  </si>
  <si>
    <t>legacy ABI network, pre-Pepsi</t>
  </si>
  <si>
    <t>Consumer / Category Stats</t>
  </si>
  <si>
    <t>per numerator (24% + 44%)</t>
  </si>
  <si>
    <t>Caffeine Content</t>
  </si>
  <si>
    <t>200 mg</t>
  </si>
  <si>
    <t>on par for energy drinks</t>
  </si>
  <si>
    <t>Promotional Weeks per Year (category)</t>
  </si>
  <si>
    <t>24-28 weeks</t>
  </si>
  <si>
    <t>energy category norm</t>
  </si>
  <si>
    <t>Energy Category Growth</t>
  </si>
  <si>
    <t>Forward (anticipated)</t>
  </si>
  <si>
    <t>National Share Trajectory</t>
  </si>
  <si>
    <t>Heading toward 10%</t>
  </si>
  <si>
    <t>Forward (analyst framing, not disputed)</t>
  </si>
  <si>
    <t>Management positioned Celsius as the leader of the 'second wave' of energy drinks, evolved from a niche fitness brand into a strong #3 with an ~8% national share.</t>
  </si>
  <si>
    <t>Differentiation rests on three megatrends: better-for-you without sacrificing flavor, more function (a clinically studied thermogenic), and a premium fitness-lifestyle positioning.</t>
  </si>
  <si>
    <t>The community Celsius built around the brand as a daily fitness lifestyle is the core differentiator vs the crowded new-wave field (C4, Ghost, ZOA, A-Shock, Alani Nu).</t>
  </si>
  <si>
    <t>High incrementality - 68% of consumption incremental (24% new-to-category, 44% user intensification) - resonates with retailers as not just brand shifting.</t>
  </si>
  <si>
    <t>Celsius over-indexes with Hispanic and African-American consumers; the demo is now ~50/50 male/female, shifting incrementally toward males as convenience accelerates.</t>
  </si>
  <si>
    <t>Food service reached ~10% of Pepsi revenue after only ~3 months - a 'huge unlock' showing Celsius is broader than energy; basket-ring/delivery data still being captured.</t>
  </si>
  <si>
    <t>Management shifted its tone from 'going after energy' to a 'total beverage play.'</t>
  </si>
  <si>
    <t>The competitive 'street war' is intensifying - Red Bull responded to share loss with strong January/February promotional activity (mainly grocery, also convenience) that has since normalized.</t>
  </si>
  <si>
    <t>Pepsi enables national execution and consistency that the prior fragmented network of 300+ independent distributors could not - Celsius could not compete at this level without Pepsi.</t>
  </si>
  <si>
    <t>Amazon strength (~19% share, #2) shows no cannibalization despite distribution expansion (DSD, club ~$50M Q1) and 140% scan growth - 'all tides are rising.'</t>
  </si>
  <si>
    <t>The Amazon channel margin question was explicitly asked by the moderator but never answered by management.</t>
  </si>
  <si>
    <t>Core-portfolio focus comes first (timing, sequencing, discipline); adjacent categories and Pepsi-portfolio white space are being evaluated but not yet a priority.</t>
  </si>
  <si>
    <t>A lower-caffeine product is confirmed 'down the road for sure' as a potential meal-occasion expansion, but no timing or specification given; Celsius also has a 16-ounce line.</t>
  </si>
  <si>
    <t>The category is growing 10-15% with retailers allocating more shelf space to energy; ~13.6 items per store leaves runway for SKU and pack-size innovation, with new flavors in the 2024 pipeline.</t>
  </si>
  <si>
    <t>Health/fitness as a lifestyle is a structural global tailwind, intensified post-pandemic; energy is mainstreaming as CSD consumers explore the category.</t>
  </si>
  <si>
    <t>Brand differentiation vs new-wave competitors</t>
  </si>
  <si>
    <t>Robert (Evercore ISI)</t>
  </si>
  <si>
    <t>For less-familiar investors, what distinguishes Celsius from the rest of the 'second wave' of new-wave energy brands (C4, Ghost, ZOA, A-Shock, Alani Nu) in branding, product and liquid?</t>
  </si>
  <si>
    <t>John Fieldly recounted the brand's evolution - historically blocked from traditional convenience, built through fitness, grocery, mass drug and club, with convenience now the 'last frontier.' Toby David noted Celsius is a strong #3 building a delta vs #4/#5 while closing on Red Bull and Monster. Fieldly said the differentiation is the community built as a daily fitness lifestyle, hitting three megatrends: better-for-you without sacrificing flavor, more function (a clinically studied thermogenic), and a premium fitness-lifestyle positioning.</t>
  </si>
  <si>
    <t>Mainstreaming the category &amp; big-player energy launches</t>
  </si>
  <si>
    <t>What are the learnings on why the big players' energy launches (Coke Energy, Mountain Dew Energy) stumbled, and how does Celsius play into mainstreaming the category?</t>
  </si>
  <si>
    <t>John Fieldly: bringing CSD consumers into energy is positive and differentiating - Celsius is 'more inviting,' with great core flavors (a new lemon lime as a Walmart lead launch) and fun Vibe flavors, non-aggressive packaging and a high take rate building loyalty; he cited the food-service unlock (~10% of Q1 Pepsi sales) as evidence Celsius is broader than energy, with opportunity in lunch occasions and Grubhub delivery basket rings.</t>
  </si>
  <si>
    <t>What is Celsius's gender, income and demographic mix, and has it stayed constant or is growth coming from new demographics?</t>
  </si>
  <si>
    <t>John Fieldly: historically the brand skewed older (25-40 target), ~50-50 male/female (slightly female), higher income given fitness/vitamin/Amazon channels. Toby David: today still close to 50-50 but shifting incrementally toward males as convenience accelerates, over-indexing with Hispanic and African-American consumers; reiterated 24% new-to-category, 44% user intensification, 68% incremental - 'not just brand shifting.'</t>
  </si>
  <si>
    <t>Hispanic / African-American over-indexing</t>
  </si>
  <si>
    <t>Does the Hispanic/African-American over-indexing reflect specific targeting, the company's strong states (California, Florida), or different targeting by other energy drinks?</t>
  </si>
  <si>
    <t>Toby David: the welcoming, clean, fruit-forward, lower-sugar packaging appeals broadly; there may be a geographic effect given strength in Southern California, Dallas and South Florida, and an ethno-marketing opportunity Celsius has never pursued. John Fieldly: the three megatrends are universal and global, gaining strength post-pandemic, and the non-aggressive, no-crash/no-jitters product drives broad appeal.</t>
  </si>
  <si>
    <t>Pricing &amp; promotion / competitive response</t>
  </si>
  <si>
    <t>Red Bull and Monster took pricing in fall 2022 but promo is increasing, and Red Bull - losing share - is starting to hit the promo button; how should we think about that dynamic?</t>
  </si>
  <si>
    <t>John Fieldly: there is more promo this summer than last; the category historically runs 24-28 promotional weeks, so Celsius will run deals (retailers ask for them), and there is 'plenty of pricing for all of us' with the category growing 10-15%. Toby David: Red Bull took strong January/February promotional activity (mainly grocery, also convenience) that has since normalized; it is a 'street war' and a fight for space - Celsius is well situated to defend, with Pepsi enabling national field execution vs the prior fragmented ~300-distributor network.</t>
  </si>
  <si>
    <t>Pepsi alignment as competitive advantage</t>
  </si>
  <si>
    <t>Does being aligned with Pepsi give Celsius an advantage, and will the big players think twice about how they compete tactically against a Pepsi-aligned Celsius?</t>
  </si>
  <si>
    <t>John Fieldly: competition is constant, but Pepsi's key advantage is enabling national execution and consistency - the prior fragmented network of 300+ independent distributors could not execute national programs with national retailers (7-Eleven, CVS), limiting Celsius to regional execution; he also praised Big Geyser's strong execution in New York.</t>
  </si>
  <si>
    <t>Long-term strategy &amp; innovation</t>
  </si>
  <si>
    <t>The two big competitors have very different strategies - where is Celsius's strategy developing over the next three-to-five years, and could food occasions lead to a different liquid?</t>
  </si>
  <si>
    <t>John Fieldly: Celsius is refining a three-to-five-year strategy with opportunities in adjacent categories - including white space within the Pepsi portfolio - but the immediate focus is the core portfolio, which has a long runway requiring timing, sequencing and discipline; growth levers include additional placements (~13.6 items per store), pack-size innovation, variety/large packs, new 2024 flavors, and the powder business.</t>
  </si>
  <si>
    <t>Amazon / e-commerce incrementality &amp; margin</t>
  </si>
  <si>
    <t>Is the Amazon channel the same or a different consumer, are the margins incremental or dilutive, and is a strong Amazon presence a positive or a challenge with retailers?</t>
  </si>
  <si>
    <t>Toby David: Celsius holds a ~19% Amazon share (6-7 points ahead of Red Bull, just behind Monster), built since 2020 even as DSD and club (~$50M Q1 Costco, ~$200M run rate) expanded - with 140% scan growth and no cannibalization; the Amazon consumer is 'everybody.' John Fieldly: Celsius always embraced omnichannel; it has been 'contentious' with some retailers as Amazon scaled but those challenges were worked through. The direct question on Amazon margins was not answered.</t>
  </si>
  <si>
    <t>Amazon growth rate vs scan data</t>
  </si>
  <si>
    <t>Is the growth rate on Amazon faster or slower than what is seen in scanner data?</t>
  </si>
  <si>
    <t>Toby David: Amazon growth has been very strong but maybe not quite as strong as the triple-digit numbers seen in scan data.</t>
  </si>
  <si>
    <t>Investment pitch / future ambition</t>
  </si>
  <si>
    <t>Given the stock's run and an ~8-9% share, some would call it a day - what is the pitch to investors for the future?</t>
  </si>
  <si>
    <t>John Fieldly recapped the journey - the convenience/OTS unlock driving the move to DSD then Pepsi, enabling national strategic execution - and the food-service unlock showing consumption beyond traditional energy; management shifted tone from 'going after energy' to a 'total beverage play,' citing Gen Z's lower fountain-drink use and the rise of delivery; the ~22% South Florida share shows market-level potential well above the 8% national level across 23+ key markets.</t>
  </si>
  <si>
    <t>Caffeination &amp; lower-caffeine product</t>
  </si>
  <si>
    <t>Celsius is 200mg caffeine - is a lower-caffeine product to hit meal/other occasions on the radar, given competitors at 150mg, 120mg and hybrid drinks at 80mg?</t>
  </si>
  <si>
    <t>John Fieldly: there are opportunities in different pack sizes (Celsius has a 16-ounce line) and there could be a lighter-caffeinated product down the line, confirming a lower-caffeinated opportunity 'down the road for sure,' though he declined to share specifics from the plans.</t>
  </si>
  <si>
    <t>Q2 2023 Earnings Call</t>
  </si>
  <si>
    <t>2023-08-08</t>
  </si>
  <si>
    <t>~$326M</t>
  </si>
  <si>
    <t>~$154M</t>
  </si>
  <si>
    <t>~112%</t>
  </si>
  <si>
    <t>$311M</t>
  </si>
  <si>
    <t>$145M</t>
  </si>
  <si>
    <t>~114%</t>
  </si>
  <si>
    <t>$15.1M</t>
  </si>
  <si>
    <t>$8.6M</t>
  </si>
  <si>
    <t>~76%</t>
  </si>
  <si>
    <t>Channel Sales</t>
  </si>
  <si>
    <t>~$68M</t>
  </si>
  <si>
    <t>~$31M</t>
  </si>
  <si>
    <t>~120%</t>
  </si>
  <si>
    <t>&gt;$28M</t>
  </si>
  <si>
    <t>~$14M</t>
  </si>
  <si>
    <t>~108%</t>
  </si>
  <si>
    <t>First Half (H1) Results</t>
  </si>
  <si>
    <t>H1 2022</t>
  </si>
  <si>
    <t>H1 Revenue</t>
  </si>
  <si>
    <t>~$586M</t>
  </si>
  <si>
    <t>~$287M</t>
  </si>
  <si>
    <t>~104%</t>
  </si>
  <si>
    <t>H1 North America Revenue</t>
  </si>
  <si>
    <t>$559M</t>
  </si>
  <si>
    <t>H1 International Revenue</t>
  </si>
  <si>
    <t>$27M</t>
  </si>
  <si>
    <t>H1 Gross Profit</t>
  </si>
  <si>
    <t>$273M</t>
  </si>
  <si>
    <t>$113M</t>
  </si>
  <si>
    <t>~141%</t>
  </si>
  <si>
    <t>H1 Gross Margin</t>
  </si>
  <si>
    <t>~47%</t>
  </si>
  <si>
    <t>~39%</t>
  </si>
  <si>
    <t>+~8 pts</t>
  </si>
  <si>
    <t>H1 Cash from Operations</t>
  </si>
  <si>
    <t>$45M</t>
  </si>
  <si>
    <t>$42M</t>
  </si>
  <si>
    <t>~7.1%</t>
  </si>
  <si>
    <t>$159M</t>
  </si>
  <si>
    <t>$59M</t>
  </si>
  <si>
    <t>~168%</t>
  </si>
  <si>
    <t>+~1,000 bps</t>
  </si>
  <si>
    <t>Non-GAAP Adjusted EBITDA</t>
  </si>
  <si>
    <t>$78.1M (~24% of sales)</t>
  </si>
  <si>
    <t>Operating Income Growth</t>
  </si>
  <si>
    <t>~400% growth</t>
  </si>
  <si>
    <t>~400%</t>
  </si>
  <si>
    <t>Operating Expenses</t>
  </si>
  <si>
    <t>Sales &amp; Marketing ($)</t>
  </si>
  <si>
    <t>~$63M</t>
  </si>
  <si>
    <t>~$32.6M</t>
  </si>
  <si>
    <t>~93%</t>
  </si>
  <si>
    <t>Sales &amp; Marketing (% of sales)</t>
  </si>
  <si>
    <t>~19.2%</t>
  </si>
  <si>
    <t>~21.1%</t>
  </si>
  <si>
    <t>-~1.9 pts</t>
  </si>
  <si>
    <t>G&amp;A Expense ($)</t>
  </si>
  <si>
    <t>~$32M</t>
  </si>
  <si>
    <t>~$14.6M</t>
  </si>
  <si>
    <t>~119%</t>
  </si>
  <si>
    <t>G&amp;A (% of sales)</t>
  </si>
  <si>
    <t>+1 pt</t>
  </si>
  <si>
    <t>Market Share &amp; Distribution</t>
  </si>
  <si>
    <t>Prior Year</t>
  </si>
  <si>
    <t>MULOC Total Energy Share (#3 brand)</t>
  </si>
  <si>
    <t>8.6%</t>
  </si>
  <si>
    <t>4.3%</t>
  </si>
  <si>
    <t>+4.3 pts</t>
  </si>
  <si>
    <t>Amazon Energy Category Share (#2)</t>
  </si>
  <si>
    <t>~18.6%</t>
  </si>
  <si>
    <t>96.8%</t>
  </si>
  <si>
    <t>79.8%</t>
  </si>
  <si>
    <t>+17.0 pts</t>
  </si>
  <si>
    <t>94.9%</t>
  </si>
  <si>
    <t>62.9%</t>
  </si>
  <si>
    <t>+31.9 pts</t>
  </si>
  <si>
    <t>US Spacings (MULOC, 4 wks)</t>
  </si>
  <si>
    <t>~14.6</t>
  </si>
  <si>
    <t>Balance Sheet / Other</t>
  </si>
  <si>
    <t>Cash &amp; Cash Equivalents</t>
  </si>
  <si>
    <t>&gt;$680M</t>
  </si>
  <si>
    <t>Jun 30, 2023</t>
  </si>
  <si>
    <t>&gt;$800M</t>
  </si>
  <si>
    <t>~$150M (flat vs Q1)</t>
  </si>
  <si>
    <t>Securities Class Action Settlement</t>
  </si>
  <si>
    <t>$7.9M cash payment</t>
  </si>
  <si>
    <t>Q2 2023 accrual</t>
  </si>
  <si>
    <t>Pepsi Revenue (% of total)</t>
  </si>
  <si>
    <t>~56.7%</t>
  </si>
  <si>
    <t>Foodservice (% of Pepsi revenue)</t>
  </si>
  <si>
    <t>Shipping Rate</t>
  </si>
  <si>
    <t>95%+</t>
  </si>
  <si>
    <t>~17</t>
  </si>
  <si>
    <t>Celsius University Students Added</t>
  </si>
  <si>
    <t>170</t>
  </si>
  <si>
    <t>Q3 2023 deploy</t>
  </si>
  <si>
    <t>Category Contribution (trailing 52 wks)</t>
  </si>
  <si>
    <t>Incremental Retail Sales (MULOC energy)</t>
  </si>
  <si>
    <t>&gt;$665M (23% of cat. growth)</t>
  </si>
  <si>
    <t>Incremental Units</t>
  </si>
  <si>
    <t>$204M (35% of cat. growth)</t>
  </si>
  <si>
    <t>Gross Margin (H2)</t>
  </si>
  <si>
    <t>Mid-to-high 40s / high-end of mid-40s</t>
  </si>
  <si>
    <t>2023 H2</t>
  </si>
  <si>
    <t>Close to 22%</t>
  </si>
  <si>
    <t>Promotional Allowance (% of gross sales)</t>
  </si>
  <si>
    <t>~20%, up a bit in Q3</t>
  </si>
  <si>
    <t>2023 Q3</t>
  </si>
  <si>
    <t>International Revenue Mix (size of prize)</t>
  </si>
  <si>
    <t>~35%-40% (competitor proxy)</t>
  </si>
  <si>
    <t>Long-term 3-5 yrs</t>
  </si>
  <si>
    <t>International Launch Timing</t>
  </si>
  <si>
    <t>Record Q2: first quarter ever above $300M in single-quarter sales (~$326M, +112%).</t>
  </si>
  <si>
    <t>Third full quarter inside PepsiCo distribution; integration exceeded all internal expectations and budgets.</t>
  </si>
  <si>
    <t>Biggest expected gain from Pepsi was convenience &amp; gas distribution, which delivered the largest ACV gains.</t>
  </si>
  <si>
    <t>Foodservice an unexpected surprise at 11% of Pepsi revenue; seen as future scale/growth lever.</t>
  </si>
  <si>
    <t>Gross margin up &gt;1,000 bps to 48.8%, driven by lower packaging/raw-material cost, less waste/scrap, ~100 bps freight efficiency.</t>
  </si>
  <si>
    <t>G&amp;A elevated to 10% of sales primarily on a $7.9M securities class action settlement accrual; underlying G&amp;A near historical rates.</t>
  </si>
  <si>
    <t>Management declines to issue formal forward guidance; framed results as a beat vs internal budgets.</t>
  </si>
  <si>
    <t>Q3 P&amp;L classification shift: '100 days of summer' incentives move spend from S&amp;M into promotional allowances (contra-revenue), reducing reported top-line without affecting EBITDA/net income.</t>
  </si>
  <si>
    <t>Distributor inventory build was not a key Q2 driver (&lt;$5M); DIO consistent quarter-over-quarter at a preferred level.</t>
  </si>
  <si>
    <t>International expansion early-stage: 2023 a planning year; blueprint in a handful of countries in 2024, broader expansion 2025-2026.</t>
  </si>
  <si>
    <t>Innovation launches planned for 2024 and beyond; no specifics disclosed.</t>
  </si>
  <si>
    <t>Club channel expansion incremental with no observed cannibalization; draws somewhat older incremental consumers.</t>
  </si>
  <si>
    <t>Cold placements and secondary displays critical to capturing impulse purchases and building loyalty; Celsius-branded coolers a major push.</t>
  </si>
  <si>
    <t>Capacity expanding from a six-orbit to eight-orbit co-packer model in H2; ~17 co-packers; 95%+ shipping rate.</t>
  </si>
  <si>
    <t>Material weakness remediation progressing well; full clearance only after year-end testing. SEC review ongoing, no new updates.</t>
  </si>
  <si>
    <t>Buyers signaling 2024 resets may cut juice/CST space to give more shelf space to energy.</t>
  </si>
  <si>
    <t>Management tone highly confident and upbeat throughout.</t>
  </si>
  <si>
    <t>Q2 exit rate &amp; foodservice channel sizing</t>
  </si>
  <si>
    <t>Jonathan Keypour - BofA</t>
  </si>
  <si>
    <t>Asked about Q2 exit rate / quarter-to-date trends, and the size of Pepsi revenue plus how to think about the foodservice channel as the school year starts.</t>
  </si>
  <si>
    <t>Declined forward guidance but said the company performed extremely well. Foodservice = 11% of Pepsi revenue (includes colleges, which were down for the summer); Celsius University launched (170 students) and back-to-campus is a Q3 opportunity. Pepsi revenue was ~56.7% of total revenue.</t>
  </si>
  <si>
    <t>Pepsi distribution surprises &amp; shelf-space sourcing</t>
  </si>
  <si>
    <t>Were they surprised by the level of distribution via Pepsi and which channels surprised; how much of shelf-space gain came from other energy brands vs incremental coolers.</t>
  </si>
  <si>
    <t>Pepsi relationship exceeded all expectations; convenience &amp; gas the biggest expected gain and largest ACV driver; foodservice an unexpected surprise. ~14.6 US spacings (up sizably from start of year); mix of Pepsi energy coolers and dedicated Celsius coolers; unclear if space taken from other brands but gained incrementally.</t>
  </si>
  <si>
    <t>International rollout &amp; gross margin drivers</t>
  </si>
  <si>
    <t>Peter Grom - UBS</t>
  </si>
  <si>
    <t>Updated thoughts on international rollout (markets, share opportunity, contribution); and drivers of gross margin upside vs prior mid-40% expectation, plus whether the mid-to-high 40s H2 outlook is conservatism.</t>
  </si>
  <si>
    <t>Competitor proxy of 35-40% international revenue mix as 'size of the prize'; focus on energy-familiar countries; launches targeted early 2024; 3-5 year opportunity. Margin: prior mid-40s target refined to low end of mid-40s in H1, high end in H2; ~100 bps freight help (variable, not locked); slotting and contra-revenue pressure in H2 - hence pointing to high-end of mid-40s.</t>
  </si>
  <si>
    <t>Summer stocking, Q3 growth &amp; production capacity</t>
  </si>
  <si>
    <t>How much Q2 benefited from summer stocking vs sell-through, whether channel inventory was elevated, how to think about Q3 growth/moderation; and whether production capacity is sufficient given club stockouts.</t>
  </si>
  <si>
    <t>DIO consistent QoQ with &lt;$5M benefit, expected to hold into Q3. Q2 was solid all-around with slight velocity expansion and marketing pushes (MLS, Jake Paul fight, 100 days of summer); scan data suggests trends maintained. Capacity: 95%+ shipping, ~17 co-packers, moving to eight-orbit model in H2 to ensure shelf stocking.</t>
  </si>
  <si>
    <t>Secondary placements / branded coolers &amp; Q3 promotional spend</t>
  </si>
  <si>
    <t>Michael Lavery - Piper Sandler</t>
  </si>
  <si>
    <t>How big a push behind secondary placements / branded fridges and how much distribution upside they represent; can the greater 100-days-of-summer promo spend be quantified and would a promo price cut show in scanner data.</t>
  </si>
  <si>
    <t>Secondary displays and especially cold placements critical to capturing impulse purchases; Celsius coolers a big push (Cosmic Vibe at Circle K, 7-Eleven support). Biggest forward opportunity is more SKUs in cold placements. Declined to fully quantify promo spend - some contra-revenue incentives won't appear in scan data; promotional activity ~20% of gross sales, up a bit in Q3.</t>
  </si>
  <si>
    <t>Distributor inventory levels &amp; non-measured channels</t>
  </si>
  <si>
    <t>Gerald Pascarelli - Wedbush</t>
  </si>
  <si>
    <t>Clarification on distributor inventory - whether prior-quarter channel fill (~$20-25M) reverses or settles at a new normal; and drivers of non-measured channel strength (Costco, Sam's, BJ's, Amazon).</t>
  </si>
  <si>
    <t>Q2 DIO impact &lt;$5M, de minimis; DIO very consistent QoQ; inventories low in Q4 now at preferred level, expected to continue into Q3; Q4 a partner decision. Non-measured channel strength from Vibe pack rollout (two packs in Costco), promotional activity, and Sam's Club rollout.</t>
  </si>
  <si>
    <t>Club channel consumer incrementality</t>
  </si>
  <si>
    <t>Jim Salera - Stephens</t>
  </si>
  <si>
    <t>How many club channel consumers are incremental/new to the brand; are they like traditional coffee/tea consumers given Celsius's differentiated positioning.</t>
  </si>
  <si>
    <t>Club expansion incremental with no observed cannibalization; 50-50 male/female, 18-to-45-plus demographic means club draws an incremental, somewhat older consumer; cited sampling and unit-growth leadership in liquid refrigerated beverages.</t>
  </si>
  <si>
    <t>Legal settlement classification &amp; sales &amp; marketing outlook</t>
  </si>
  <si>
    <t>Is 100% of the legal settlement in G&amp;A; and more color on S&amp;M - whether it came in lower than expected and what to expect in H2 given contra-revenue promotion.</t>
  </si>
  <si>
    <t>Confirmed 100% of settlement in G&amp;A. S&amp;M ran 19-20% vs a closer-to-22% expectation, reflecting sales beat plus system leverage and below-budget headcount. H2 S&amp;M to move toward ~22% historical rate, some bucketed into contra-revenue; advertising slightly ahead of historical rates, savings in storage/warehousing.</t>
  </si>
  <si>
    <t>Back-half headcount additions</t>
  </si>
  <si>
    <t>Thomas Custance (for Anthony Vendetti) - Maxim</t>
  </si>
  <si>
    <t>Given headcount expansion seems not very aggressive, where will the additions go and what is the goal.</t>
  </si>
  <si>
    <t>Applying additional resources as it scales; H2 headcount planned across operations, marketing, and sales; reiterated 170 Celsius University students heading to campuses.</t>
  </si>
  <si>
    <t>Barclays Global Consumer Staples Conference</t>
  </si>
  <si>
    <t>2023-09-07</t>
  </si>
  <si>
    <t>Distribution / Shelf</t>
  </si>
  <si>
    <t>ACV</t>
  </si>
  <si>
    <t>+~30 pts</t>
  </si>
  <si>
    <t>SKUs Per Store</t>
  </si>
  <si>
    <t>~88%</t>
  </si>
  <si>
    <t>MULOC Energy Market Share</t>
  </si>
  <si>
    <t>~+6.6 pts</t>
  </si>
  <si>
    <t>Market Share by Geography</t>
  </si>
  <si>
    <t>South Florida Share</t>
  </si>
  <si>
    <t>23.5%</t>
  </si>
  <si>
    <t>21.7% (Apr 2023)</t>
  </si>
  <si>
    <t>+~1.8 pts in 4 mo</t>
  </si>
  <si>
    <t>Sweden Share</t>
  </si>
  <si>
    <t>A little over 10 share</t>
  </si>
  <si>
    <t>Consumer / Incrementality</t>
  </si>
  <si>
    <t>New-to-Category Consumption</t>
  </si>
  <si>
    <t>44% (per numerator; also cited 34%)</t>
  </si>
  <si>
    <t>User Intensification Consumption</t>
  </si>
  <si>
    <t>Consumer Gender Mix (convenience)</t>
  </si>
  <si>
    <t>~60% male / 40% female (vs ~70/30 norm)</t>
  </si>
  <si>
    <t>Channel Run Rate</t>
  </si>
  <si>
    <t>Club / Costco / Amazon Run Rate</t>
  </si>
  <si>
    <t>~$250M</t>
  </si>
  <si>
    <t>Amazon Sales Growth (Q2)</t>
  </si>
  <si>
    <t>Up over 100% (#2 brand)</t>
  </si>
  <si>
    <t>Foodservice Share of Pepsi Sales</t>
  </si>
  <si>
    <t>Profitability (Q2 2023 referenced)</t>
  </si>
  <si>
    <t>Prior/Preferred</t>
  </si>
  <si>
    <t>Q2 Adjusted EBITDA Margin</t>
  </si>
  <si>
    <t>Just under 24%</t>
  </si>
  <si>
    <t>Q2 Gross Margin Increase</t>
  </si>
  <si>
    <t>+1,000 bps</t>
  </si>
  <si>
    <t>Q2 Sales &amp; Marketing (% of revenue)</t>
  </si>
  <si>
    <t>A little over 19%</t>
  </si>
  <si>
    <t>21%-22% preferred</t>
  </si>
  <si>
    <t>Operations</t>
  </si>
  <si>
    <t>Co-Packers</t>
  </si>
  <si>
    <t>17 (~22 with flex capacity)</t>
  </si>
  <si>
    <t>Celsius University Graduates</t>
  </si>
  <si>
    <t>~170 students</t>
  </si>
  <si>
    <t>Energy Category Growth Rate</t>
  </si>
  <si>
    <t>Sales &amp; Marketing (% of revenue)</t>
  </si>
  <si>
    <t>~20%-22% (possibly 20-21%)</t>
  </si>
  <si>
    <t>Long-Term Operating Margin</t>
  </si>
  <si>
    <t>Close to / similar to peer comp</t>
  </si>
  <si>
    <t>Two countries (Canada priority)</t>
  </si>
  <si>
    <t>Larger rollout in 2025</t>
  </si>
  <si>
    <t>2025</t>
  </si>
  <si>
    <t>Celsius positioned as 'Energy 2.0' riding three megatrends: better-for-you, function, and fitness.</t>
  </si>
  <si>
    <t>Usage occasion expanding beyond traditional pick-me-up to morning coffee replacement and consumption with meals (especially lunch).</t>
  </si>
  <si>
    <t>PepsiCo partnership has exceeded everyone's expectations one year after first case sold Oct 1, 2022; ~80% of distribution transferred at one point in time.</t>
  </si>
  <si>
    <t>44% of consumption new-to-category and ~40% from user intensification per numerator - incrementality, not brand-switching, matters to retailers.</t>
  </si>
  <si>
    <t>South Florida share rose to 23.5% from 21.7% in April - a brick-and-mortar proof point given prior Amazon dominance.</t>
  </si>
  <si>
    <t>For the first time, Celsius is included in PepsiCo's 2024 national AOP process - enabling national programming, wiring, and execution across key retailers.</t>
  </si>
  <si>
    <t>Entering 2024 reset season at a ~10 share (vs 3.4 last year) should raise prioritization and unlock better/secondary placements.</t>
  </si>
  <si>
    <t>2024 growth thesis: activating existing 95%-ACV doors (secondary placements, coolers), foodservice, and new focus markets - not new ACV gains.</t>
  </si>
  <si>
    <t>CSD price increases narrowed the price gap to energy ($0.50-$0.60), supporting consumer trade-up.</t>
  </si>
  <si>
    <t>Operational scaling challenges: some SKUs growing 200-300%, out-of-orbit shipping raises COGS/freight; optimization plans in place.</t>
  </si>
  <si>
    <t>Organization doubled in 12 months, requiring heavy coaching/mentoring while attracting top talent (e.g., ex-Monster ops head Paul Storey).</t>
  </si>
  <si>
    <t>Peer-comparison caveat: primary public peer classifies outbound freight in sales expense; Celsius records it in COGS - investors must adjust.</t>
  </si>
  <si>
    <t>Management deliberately under-spent S&amp;M in Q2 (~19% vs preferred 21-22%); ROI-driven, disciplined investment, not spend-to-target.</t>
  </si>
  <si>
    <t>International methodical: Canada priority + one more in 2024, larger rollout 2025; already 10+ share Sweden, growing Finland, launches in South Korea/Taiwan.</t>
  </si>
  <si>
    <t>Portfolio: three-to-five-year strategy could extend into functional seltzers, hydration, and other health/wellness adjacencies; current focus stays on energy.</t>
  </si>
  <si>
    <t>Number one brand on Instacart, outpacing Red Bull and Monster.</t>
  </si>
  <si>
    <t>Foodservice ~11% of Pepsi sales; national Jersey Mike's rollout (~2,000 locations) to prove out the foodservice thesis.</t>
  </si>
  <si>
    <t>Management tone highly upbeat, emphasizing disciplined, ROI-driven, profitable growth.</t>
  </si>
  <si>
    <t>Brand overview &amp; key differentiators vs traditional energy</t>
  </si>
  <si>
    <t>Barclays host (moderator)</t>
  </si>
  <si>
    <t>Asked for an overview of the Celsius brand and the key differentiators of its brand equity versus traditional energy.</t>
  </si>
  <si>
    <t>Framed Celsius around three megatrends - better-for-you (7 vitamins, no aspartame/HFCS), function (six clinical studies, thermogenic), and fitness (brand DNA). Likened to Athleisure evolution; positioned as Energy 2.0. Differentiated by usage occasion (pairs with meals, acts as a functional soda); foodservice ~11% of Pepsi sales, national Jersey Mike's rollout. Biggest known opportunity entering Pepsi was closing the ~60% convenience/gas ACV gap.</t>
  </si>
  <si>
    <t>Brand shoulders / lower-caffeine scope</t>
  </si>
  <si>
    <t>Barclays host</t>
  </si>
  <si>
    <t>Whether there is scope for a lower-caffeine version and whether the brand has 'broader shoulders' than traditional energy.</t>
  </si>
  <si>
    <t>Yes - a cross-functional team manages a three-to-five-year portfolio strategy; timing and sequencing key. Aims to build Celsius into a global iconic brand able to enter adjacencies (functional seltzers, hydration, health/wellness), but current focus stays on energy.</t>
  </si>
  <si>
    <t>Consumer lifetime value</t>
  </si>
  <si>
    <t>Whether there is a different value proposition in the lifetime value of a Celsius consumer versus the legacy category.</t>
  </si>
  <si>
    <t>Celsius grew up in fitness, repositioned in 2017 as a better-for-you essential energy product. The 'live fit' mantra and multiple usage occasions (pre-workout, lunch, afternoon) drive higher consumer value; numerator data shows substantial new-to-category share.</t>
  </si>
  <si>
    <t>Volume sourcing &amp; incrementality</t>
  </si>
  <si>
    <t>What drives incremental category spend and where Celsius sources its volume (the 'other 60%').</t>
  </si>
  <si>
    <t>Volume from CSDs and curious consumers seeking energy/functionality; category growing 10-15%. ~60/40 male/female mix in convenience (vs ~70/30 norm). Numerator: 44% new-to-category (younger from CSDs, older from coffee/tea) and ~40% user intensification. Incrementality, not brand-shifting, is what matters; South Florida share to 23.5% from 21.7% a brick-and-mortar proof point.</t>
  </si>
  <si>
    <t>Channels best positioned for incremental sales</t>
  </si>
  <si>
    <t>Whether certain channels are better situated to drive incremental sales versus others.</t>
  </si>
  <si>
    <t>At 95% ACV, significant runway in activating existing stores - second/third placements, better cooler placement. Strong Q2 club and Amazon growth; independents a big opportunity. Cooler/secondary placement initiatives and foodservice still early-stage; entering buyer meetings at ~10 share vs 3.4 last year improves prioritization.</t>
  </si>
  <si>
    <t>Supply &amp; inventory adequacy</t>
  </si>
  <si>
    <t>How management feels about inventory levels in the system and ability to keep up with latent demand.</t>
  </si>
  <si>
    <t>Works with the largest global suppliers/can manufacturers with secondary routes; 17+ co-packers (~22 with flex capacity); confident on supply. Real challenge is managing growth (SKUs up 200-300%) and out-of-orbit shipping raising COGS/freight, with optimization plans in place. Ops head Paul Storey ex-Monster/Rockstar.</t>
  </si>
  <si>
    <t>PepsiCo transition reflections</t>
  </si>
  <si>
    <t>Reflections on the initial PepsiCo transition.</t>
  </si>
  <si>
    <t>Transition went far better than anticipated; advantage that many Celsius team members previously worked at Pepsi; ~80% of distribution transferred at one point in time (vs others' messier staggered cutoffs). Fieldly was the only allied-brand person allowed to speak on stage at Pepsi's national meeting in Dallas.</t>
  </si>
  <si>
    <t>ACV drivers, club/e-commerce growth &amp; 2024 focus</t>
  </si>
  <si>
    <t>Drivers of ACV growth and of club/e-commerce growth; with ACV at 95%, what are the key focus areas for 2024.</t>
  </si>
  <si>
    <t>Surprising that club and online kept growing as ACV/SKUs expanded - 'all tides are rising' with no cannibalization, aided by user intensification and a shift toward cold availability. ~$250M club/Costco/Amazon run rate; Amazon up over 100% last quarter (#2); #1 on Instacart. 2024: first-time inclusion in PepsiCo national AOP, more marketing dollars than ever, MLS deal (Inter Miami, Messi), PFL partnership, Live Fit Tour.</t>
  </si>
  <si>
    <t>Mature vs emerging market approach</t>
  </si>
  <si>
    <t>Given South Florida share growth in mature markets, how the approach varies between mature and up-and-coming markets.</t>
  </si>
  <si>
    <t>Growth rates similar - difference is the starting basis. Drill-deep legacy markets over-index; non-legacy markets start lower and grow faster initially before settling into similar rates. Brand awareness expansion is the answer to 'what's next' beyond 95% ACV - Celsius is nowhere near Monster/Red Bull awareness.</t>
  </si>
  <si>
    <t>2024 focus market expansion</t>
  </si>
  <si>
    <t>Continuation - how approach varies and what comes next at 95% ACV.</t>
  </si>
  <si>
    <t>In 2024, Celsius will expand its number of focus markets; with PepsiCo it can set up distribution, placements, displays, and marketing overlay to activate markets faster and see share gains and investment returns.</t>
  </si>
  <si>
    <t>Long-term operating margin run rate</t>
  </si>
  <si>
    <t>Given Q2 EBITDA margin just under 24% and a 1,000 bps gross margin increase, how to think about the longer-term operating margin run rate as growth normalizes - does it migrate toward a large incumbent peer.</t>
  </si>
  <si>
    <t>Margins can get very close if not similar to a public peer, but the peer classifies outbound freight in sales expense vs Celsius's COGS - requires adjustment. Q2 S&amp;M ~19% vs preferred 21-22%; disciplined ROI-driven playbook. 2024 S&amp;M could move toward ~20-22% to leverage new distribution; now is not the time to pull back.</t>
  </si>
  <si>
    <t>International expansion ambitions &amp; timeline</t>
  </si>
  <si>
    <t>How investors should think about Celsius's appetite for international expansion, the timeline, and priorities for new market entry.</t>
  </si>
  <si>
    <t>Massive US runway plus international opportunity - 10+ share in Sweden, growing Finland, recent launches in South Korea/Taiwan; larger markets (UK, Canada, Australia, Japan) under evaluation. Finalizing two countries - Canada priority #1 for 2024, another announced soon. Methodical, fitness/health-focused; David framed it as a three-to-five-year-plus effort with a larger rollout in 2025; US remains the priority.</t>
  </si>
  <si>
    <t>Piper Sandler Growth Frontiers Conference</t>
  </si>
  <si>
    <t>2023-09-13</t>
  </si>
  <si>
    <t>Top-Line Momentum</t>
  </si>
  <si>
    <t>IRI Measured-Retail Growth (latest 4 wks)</t>
  </si>
  <si>
    <t>Up 144%</t>
  </si>
  <si>
    <t>144%</t>
  </si>
  <si>
    <t>US Sales (Q2 2023)</t>
  </si>
  <si>
    <t>~$310M</t>
  </si>
  <si>
    <t>~100%</t>
  </si>
  <si>
    <t>All-Channel Growth (Q2 2023)</t>
  </si>
  <si>
    <t>In excess of 100%</t>
  </si>
  <si>
    <t>Over 95%</t>
  </si>
  <si>
    <t>~60%</t>
  </si>
  <si>
    <t>+~35 pts</t>
  </si>
  <si>
    <t>Average SKUs Per Location</t>
  </si>
  <si>
    <t>(top 2 players ~25-30)</t>
  </si>
  <si>
    <t>Total Distribution Points Growth</t>
  </si>
  <si>
    <t>~4%/month avg since Jan</t>
  </si>
  <si>
    <t>Trajectory to a 10 share</t>
  </si>
  <si>
    <t>3.4 share (12 mo ago)</t>
  </si>
  <si>
    <t>Amazon Energy Category Share</t>
  </si>
  <si>
    <t>Just under 19 share</t>
  </si>
  <si>
    <t>(~couple pts below Monster)</t>
  </si>
  <si>
    <t>23.5% (Aug 13)</t>
  </si>
  <si>
    <t>+~1.8 pts</t>
  </si>
  <si>
    <t>Finland Share</t>
  </si>
  <si>
    <t>High single-digit</t>
  </si>
  <si>
    <t>Consumer / Portfolio</t>
  </si>
  <si>
    <t>~44% (per Mintel)</t>
  </si>
  <si>
    <t>On-The-Go Stick / Powder Business</t>
  </si>
  <si>
    <t>Over $100M, growing rapidly</t>
  </si>
  <si>
    <t>PepsiCo College Population Reach</t>
  </si>
  <si>
    <t>~60% of college population</t>
  </si>
  <si>
    <t>Guidance / Forward</t>
  </si>
  <si>
    <t>Near-term</t>
  </si>
  <si>
    <t>Within-Store Distribution</t>
  </si>
  <si>
    <t>1-3 shelves per line via 2024 resets</t>
  </si>
  <si>
    <t>2024 blueprint, 2025-2026 scale</t>
  </si>
  <si>
    <t>Q3 Margin</t>
  </si>
  <si>
    <t>Sequential pullback from elevated promo/marketing spend</t>
  </si>
  <si>
    <t>EBITDA Margin Aspiration</t>
  </si>
  <si>
    <t>Monster historical margins as 'gold standard'</t>
  </si>
  <si>
    <t>Top-line accelerating - host cited IRI scanner data up 144% in the latest four weeks, each period faster.</t>
  </si>
  <si>
    <t>Growth attributed to three megatrends (better-for-you, function, fitness), PepsiCo partnership, strong unit growth, and ~44% new-to-category.</t>
  </si>
  <si>
    <t>Hitting 95% ACV does NOT end the growth story - runway shifts to within-store distribution: SKU density, multi-facings, better placement ('getting out of the gutter').</t>
  </si>
  <si>
    <t>Celsius averages ~14.6 SKUs per location vs ~25-30 for the top two players who also run multiple facings - large within-store gap.</t>
  </si>
  <si>
    <t>Total distribution points still rising ~4% per month since January - rebuts the idea that the PepsiCo lift was a one-time event.</t>
  </si>
  <si>
    <t>Core/Vibe line bifurcation into two distinct sub-brands lets the sales team sell unique portfolios and pursue 1-3 shelves for each line.</t>
  </si>
  <si>
    <t>Entering 2024 buyer/reset season at a ~10 share (vs 3.4 a year ago) raises prioritization; a Walmart pre-meeting went extremely well; Celsius is under-indexed at Walmart, the biggest energy seller.</t>
  </si>
  <si>
    <t>No cannibalization across channels - 'the tides are rising,' all channels grew over 100% in Q2; Amazon, Costco, and convenience serve different consumers.</t>
  </si>
  <si>
    <t>Amazon consumer characterized as a loyal, repeat purchaser comfortable with a warm 18-pack at ~$20/case; Celsius is #1 energy drink on Instacart.</t>
  </si>
  <si>
    <t>South Florida (transient market) a useful but imperfect share proxy; next call to cite new markets like unmarketed Buffalo, NY.</t>
  </si>
  <si>
    <t>Foodservice expansion largely joint with PepsiCo - retired Pepsi foodservice exec hired; Jersey Mike's national rollout (~2,000 locations) a fast-casual indicator; hotels, colleges, Lowe's incremental runway.</t>
  </si>
  <si>
    <t>Delivery/omni-channel thesis: few food-delivery orders include a beverage and many fast-casual consumers skip the fountain - Celsius could be incremental to the basket.</t>
  </si>
  <si>
    <t>International methodical: same global megatrends; 2023 a planning year, 2024 blueprint, 2025-2026 the larger opportunity; US remains the priority given massive runway.</t>
  </si>
  <si>
    <t>Already international in Sweden (10+ share), Finland (high single-digit, two years in), plus South Korea, Taiwan, Hong Kong, China (licensing), Malaysia, Philippines.</t>
  </si>
  <si>
    <t>A market gets ~six months to perform at retail - timing, sequencing, and avoiding distractions are critical for launches.</t>
  </si>
  <si>
    <t>On-The-Go Stick powder business already over $100M and growing rapidly with no marketing support - a potential hydration adjacency.</t>
  </si>
  <si>
    <t>Three-to-ten-year vision of Celsius as a versatile Gatorade-like brand able to play in functional waters and hydration; current focus stays on the core portfolio.</t>
  </si>
  <si>
    <t>Management deliberately giving up near-term margin to invest behind 100% growth - profitable growth, reinvesting earnings into future growth.</t>
  </si>
  <si>
    <t>Operating leverage at scale expected via G&amp;A and S&amp;M efficiency as the brand grows and inbound marketing interest rises.</t>
  </si>
  <si>
    <t>Top-line drivers behind accelerating growth</t>
  </si>
  <si>
    <t>Unpack the top-line drivers behind the accelerating, significant growth (IRI showed up 144% in latest four weeks) and the US measured-retail piece.</t>
  </si>
  <si>
    <t>Momentum from three megatrends, the PepsiCo partnership lifting ACV from ~60% to over 95%, strong unit growth signaling new consumers, expanded distribution, and ~44% new-to-category per Mintel - all evidence the strategy is working.</t>
  </si>
  <si>
    <t>Brand differentiation &amp; new-to-category consumer</t>
  </si>
  <si>
    <t>About the brand's differentiation (packaging, flavor profiles), how new-to-category share has evolved, and where those consumers come from.</t>
  </si>
  <si>
    <t>The portfolio is 'really inviting' vs traditional energy; many consumers don't consider themselves energy drink consumers and pair it with lunch - a large foodservice opportunity. Cited the &gt;2,000 Jersey Mike's launch, the over-18 Amazon share, the club business, and innovative flavors (Cosmic Vibe, Oasis Vibe/Prickly Pear Lime, Green Apple Cherry). Consumers loyal to Celsius but move between flavors.</t>
  </si>
  <si>
    <t>Distribution durability beyond the PepsiCo lift</t>
  </si>
  <si>
    <t>It could be tempting to think the growth ends at the Oct 1 PepsiCo anniversary, but distribution points are up ~4%/month since January - how does distribution grow within existing stores (secondary placements, facings).</t>
  </si>
  <si>
    <t>Hitting 95% ACV does not end the game - Celsius averages ~14.6 SKUs/location vs ~25-30 for the top two who also multi-face, leaving huge runway for placement, more SKUs, multi-facing. Core/Vibe bifurcation targets 1-3 shelves each. 95% ACV just means 'in the door'; goal now is to 'get out of the gutter.' Entering NACS/convenience review season in October at a ~10 share trajectory (vs 3.4 a year ago) changes prioritization.</t>
  </si>
  <si>
    <t>Reset conversations &amp; Core/Vibe bifurcation</t>
  </si>
  <si>
    <t>Have reset conversations started, is it a continuous process, and does momentum mean another wave of gains a year out ('lather, rinse, repeat').</t>
  </si>
  <si>
    <t>Confirmed a continuous cycle. A Walmart pre-meeting went extremely well, plus an exploratory California meeting with Walmart leadership - as a former three-share brand Celsius was never invited to such meetings. Walmart is the biggest energy seller and Celsius is under-indexed there. Elaborated Core/Vibe: Vibe experiential with unique combinations, Core fruit-forward targeting the most refreshing energy drink, each with distinct marketing.</t>
  </si>
  <si>
    <t>Amazon share &amp; cannibalization</t>
  </si>
  <si>
    <t>What is Celsius's Amazon share, has it been impacted by broader distribution, and what is the Amazon consumer like.</t>
  </si>
  <si>
    <t>Just under a 19 share on Amazon, a couple percent below Monster, well ahead of Red Bull. Q2 showed over 100% growth in all channels - no cannibalization. Amazon consumer is a loyal repeat purchaser comfortable with a warm 18-pack, distinct from the C&amp;G impulse buyer and Costco consumer; 'the tides are rising.' Celsius is #1 energy drink on Instacart.</t>
  </si>
  <si>
    <t>Market share ceiling &amp; South Florida</t>
  </si>
  <si>
    <t>What is the market share ceiling given no brand besides Red Bull/Monster has sustained above 10%, and how is Celsius positioned in South Florida.</t>
  </si>
  <si>
    <t>Potential framed between the Amazon share (every brand treated equally) and the ~3-share national level. South Florida share rose from 21.7% (April) to 23.5% (Aug 13) - about two share points; it is a transient market and now 'in our backyard,' so the next call will cite other markets (e.g., unmarketed Buffalo, NY). A proof point that the brand performs well as the category evolves to 'energy 2.0.'</t>
  </si>
  <si>
    <t>Foodservice mechanics &amp; PepsiCo partnership</t>
  </si>
  <si>
    <t>How foodservice expansion works with the PepsiCo partnership - whether Celsius and Pepsi jointly approach customers and what wins are on the horizon.</t>
  </si>
  <si>
    <t>Celsius hired a retired Pepsi foodservice executive; expansion is largely joint partnerships leveraging Pepsi's connections and population reach (it would not be profitable to independently source ~2,000 restaurants). Opportunity includes Marriott, Hyatt, Sheraton, colleges (Pepsi reaches ~60% of college population), and Lowe's. Delivery thesis: few food-delivery orders include a beverage and many fast-casual consumers skip the fountain - Celsius could be incremental to the basket.</t>
  </si>
  <si>
    <t>International opportunity &amp; strategy</t>
  </si>
  <si>
    <t>How management thinks about the international opportunity and what is next there.</t>
  </si>
  <si>
    <t>Same global megatrends; already in Sweden (10+ share), growing Finland, with distribution/seeding in South Korea, Taiwan, Hong Kong, a China licensing agreement, Malaysia, and Philippines. 2023 a planning year connecting with PepsiCo Europe/APAC teams; some 2024 launches but the larger opportunity is 2025-2026 (2024 builds the blueprint). US has massive runway (~$310M US sales last quarter, ~100% growth) so the team stays US-focused; a market gets ~six months to perform at retail.</t>
  </si>
  <si>
    <t>Portfolio innovation beyond the core</t>
  </si>
  <si>
    <t>Beyond the Core/Vibe differentiation, what other innovation is in the works and how to build the portfolio without getting distracted from the core.</t>
  </si>
  <si>
    <t>A cross-functional team meets monthly to evaluate innovation; focus on the core portfolio is most important now. Three-to-ten-year vision of Celsius as a versatile Gatorade-like brand able to play in functional waters and hydration. The largely unmarketed On-The-Go Stick powder business is already over $100M and growing rapidly (sold at Walmart, Target, Kroger) - an expansion opportunity within hydration.</t>
  </si>
  <si>
    <t>Sustainable margin profile &amp; EBITDA outlook</t>
  </si>
  <si>
    <t>What is the sustainable margin profile / long-term EBITDA outlook.</t>
  </si>
  <si>
    <t>Did not commit to a specific sustainable EBITDA range; cited Monster's historical margins as the 'gold standard' aspiration (currently dented by industry-wide supply chain hiccups). With 100% growth, management is focused on investing behind growth and deliberately giving up some near-term margin - profitable growth, reinvesting earnings. Sees opportunities to slowly leverage gross margin and put S&amp;M dollars to better use; lots of operating leverage in G&amp;A and S&amp;M as the business scales and improved shelf placement makes each dollar more effective.</t>
  </si>
  <si>
    <t>Q3 2023 Earnings Call</t>
  </si>
  <si>
    <t>2023-11-07</t>
  </si>
  <si>
    <t>~$385M</t>
  </si>
  <si>
    <t>~$188M</t>
  </si>
  <si>
    <t>$371M</t>
  </si>
  <si>
    <t>$180M</t>
  </si>
  <si>
    <t>~107%</t>
  </si>
  <si>
    <t>$13.6M</t>
  </si>
  <si>
    <t>$8.7M</t>
  </si>
  <si>
    <t>~$63.2M</t>
  </si>
  <si>
    <t>~$34.5M</t>
  </si>
  <si>
    <t>~83.3%</t>
  </si>
  <si>
    <t>~$22.2M</t>
  </si>
  <si>
    <t>$15.6M</t>
  </si>
  <si>
    <t>~42%</t>
  </si>
  <si>
    <t>Net Income (common shareholders)</t>
  </si>
  <si>
    <t>$70.5M</t>
  </si>
  <si>
    <t>-$186.5M loss</t>
  </si>
  <si>
    <t>loss to profit</t>
  </si>
  <si>
    <t>$0.89</t>
  </si>
  <si>
    <t>-$2.46 loss</t>
  </si>
  <si>
    <t>~$104M (~27% of sales)</t>
  </si>
  <si>
    <t>~$25M</t>
  </si>
  <si>
    <t>~318%</t>
  </si>
  <si>
    <t>$194M</t>
  </si>
  <si>
    <t>$79M</t>
  </si>
  <si>
    <t>~147%</t>
  </si>
  <si>
    <t>~50.4%</t>
  </si>
  <si>
    <t>+860 bps</t>
  </si>
  <si>
    <t>+165 bps</t>
  </si>
  <si>
    <t>~$73M</t>
  </si>
  <si>
    <t>higher (prior-yr term costs)</t>
  </si>
  <si>
    <t>-~63%</t>
  </si>
  <si>
    <t>~19.1%</t>
  </si>
  <si>
    <t>~23% (adj for term exp)</t>
  </si>
  <si>
    <t>-~3.9 pts</t>
  </si>
  <si>
    <t>~$23M</t>
  </si>
  <si>
    <t>higher</t>
  </si>
  <si>
    <t>-~17%</t>
  </si>
  <si>
    <t>14.6%</t>
  </si>
  <si>
    <t>-8.6 pts</t>
  </si>
  <si>
    <t>YTD Freight (% of net revenues)</t>
  </si>
  <si>
    <t>~4.9%</t>
  </si>
  <si>
    <t>5.9%</t>
  </si>
  <si>
    <t>-100 bps</t>
  </si>
  <si>
    <t>Nine-Month (9M) Results</t>
  </si>
  <si>
    <t>9M 2022</t>
  </si>
  <si>
    <t>9M Revenue</t>
  </si>
  <si>
    <t>~$971M</t>
  </si>
  <si>
    <t>~$476M</t>
  </si>
  <si>
    <t>9M Gross Profit</t>
  </si>
  <si>
    <t>$467M</t>
  </si>
  <si>
    <t>$192M</t>
  </si>
  <si>
    <t>~143%</t>
  </si>
  <si>
    <t>9M Cash from Operations</t>
  </si>
  <si>
    <t>$136M</t>
  </si>
  <si>
    <t>$171M</t>
  </si>
  <si>
    <t>-~20%</t>
  </si>
  <si>
    <t>MULOC Energy Market Share (#3)</t>
  </si>
  <si>
    <t>~10.5%</t>
  </si>
  <si>
    <t>4.4%</t>
  </si>
  <si>
    <t>+6.1 pts (~138%)</t>
  </si>
  <si>
    <t>Amazon Energy Category Share (#1)</t>
  </si>
  <si>
    <t>~21.4%</t>
  </si>
  <si>
    <t>18.6% (Q2 2023)</t>
  </si>
  <si>
    <t>+~2.8 pts</t>
  </si>
  <si>
    <t>95.6%</t>
  </si>
  <si>
    <t>72.1%</t>
  </si>
  <si>
    <t>+23.5 pts</t>
  </si>
  <si>
    <t>~95.6%</t>
  </si>
  <si>
    <t>+22.6 pts</t>
  </si>
  <si>
    <t>~24.1%</t>
  </si>
  <si>
    <t>17.7% (Jan 2023)</t>
  </si>
  <si>
    <t>+6.4 pts YTD</t>
  </si>
  <si>
    <t>~25%</t>
  </si>
  <si>
    <t>11.1%</t>
  </si>
  <si>
    <t>+~13.9 pts</t>
  </si>
  <si>
    <t>Incremental Category Dollar Growth</t>
  </si>
  <si>
    <t>~$950M (28% of cat. growth, +144%)</t>
  </si>
  <si>
    <t>Incremental Category Unit Growth</t>
  </si>
  <si>
    <t>289.2M units (39% of cat. growth, +114%)</t>
  </si>
  <si>
    <t>&gt;$760M</t>
  </si>
  <si>
    <t>Sep 30, 2023</t>
  </si>
  <si>
    <t>&gt;$879M</t>
  </si>
  <si>
    <t>$199M (up ~$46M vs Q2)</t>
  </si>
  <si>
    <t>New Employees Added</t>
  </si>
  <si>
    <t>200+ full/part-time</t>
  </si>
  <si>
    <t>Inventory/Promo/SKU-Mix Impact (Q2 to Q3)</t>
  </si>
  <si>
    <t>~$20M</t>
  </si>
  <si>
    <t>Q3 2023 sequential</t>
  </si>
  <si>
    <t>Q3 2023 Distributor Pipe Fill</t>
  </si>
  <si>
    <t>~$10M-$15M</t>
  </si>
  <si>
    <t>Three-for-One Forward Stock Split</t>
  </si>
  <si>
    <t>Effective Nov 15, 2023</t>
  </si>
  <si>
    <t>Q4 Gross Margin</t>
  </si>
  <si>
    <t>Consistent with Q2 and full-year profile</t>
  </si>
  <si>
    <t>2023 Q4</t>
  </si>
  <si>
    <t>G&amp;A Expense (% of sales)</t>
  </si>
  <si>
    <t>7%-8%</t>
  </si>
  <si>
    <t>Drill-Deep Markets</t>
  </si>
  <si>
    <t>23 expanding to over 30</t>
  </si>
  <si>
    <t>Celsius Branded Cooler Placement</t>
  </si>
  <si>
    <t>~15,000 coolers (working toward)</t>
  </si>
  <si>
    <t>Canada Launch</t>
  </si>
  <si>
    <t>Q1 2024 (inconsequential 2024 impact)</t>
  </si>
  <si>
    <t>Q4 Outlook</t>
  </si>
  <si>
    <t>Seasonal pullback + possible distributor destock</t>
  </si>
  <si>
    <t>Record Q3: revenue ~$385M (+104%); net income $70.5M / $0.89 EPS vs a prior-year $186.5M loss driven by distributor termination expenses.</t>
  </si>
  <si>
    <t>Record adjusted EBITDA ~$104M (+318%, ~27% of sales) on 860 bps gross margin expansion plus S&amp;M and G&amp;A leverage.</t>
  </si>
  <si>
    <t>Gross margin expansion driven by lower package/raw-material costs, improved waste, and ~100 bps freight-lane efficiency.</t>
  </si>
  <si>
    <t>A Q3 promotional allowance accrual adjustment drove a positive margin benefit; excluding it, gross margin would have been consistent with Q2.</t>
  </si>
  <si>
    <t>Roughly $20M of the Q2-to-Q3 sequential revenue increase came from inventory build, promo allowance adjustments, and SKU/channel mix.</t>
  </si>
  <si>
    <t>Celsius distribution points are roughly 50% of Monster/Red Bull; long-term goal is to match peer distribution points.</t>
  </si>
  <si>
    <t>Now the #1 best-selling energy drink on Amazon (21.4% share, ahead of Monster's 18.6% and Red Bull's 13%) and #1 on Instacart.</t>
  </si>
  <si>
    <t>MULOC energy share reached a record 10.5% - more than doubling year-ago, a level not achieved in the energy category in a decade.</t>
  </si>
  <si>
    <t>Most successful NACS in company history; 7-Eleven took four Celsius Essentials SKUs chain-wide with gas-pump signage.</t>
  </si>
  <si>
    <t>Expansion into non-tracked foodservice/independent channels structurally lowers the blended promotional-allowance rate (Monster-like trajectory).</t>
  </si>
  <si>
    <t>Foodservice expansion: Jersey Mike's national rollout (~2,000 locations, three flavors) and Dunkin' authorization in 3,000-4,000 locations (one SKU).</t>
  </si>
  <si>
    <t>Celsius Essentials 16oz performance-energy line (270mg caffeine, four flavors) launched at 7-Eleven; nationwide rollout planned 2024, designed to be incremental.</t>
  </si>
  <si>
    <t>Front-checkout/perfect-store cooler initiative a key win - recent Publix front-end authorization; chain-wide front-checkout placement can unlock 1,000-3,000 stores per chain.</t>
  </si>
  <si>
    <t>Management flagged a Q4 seasonal pullback at traditional seasonality levels, possibly compounded by a PepsiCo distributor inventory reduction (a PepsiCo decision, 'no guarantees').</t>
  </si>
  <si>
    <t>Canada is the first major international market under PepsiCo, launching Q1 2024; 2024 build/impact 'inconsequential,' phased through Q1.</t>
  </si>
  <si>
    <t>International blueprint: target the largest energy markets (UK, Germany, Japan, Australia); using Monster's international structures/P&amp;Ls as a guideline.</t>
  </si>
  <si>
    <t>2024 innovation pipeline: new core fruit-forward flavors, new Vibe flavors (Cosmic Vibe 'trilogy'), and Vibe flavors extending into the powder/On-The-Go portfolio.</t>
  </si>
  <si>
    <t>200+ employees added in Q3; drill-deep markets expanding from 23 to over 30 in 2024.</t>
  </si>
  <si>
    <t>Three-for-one forward stock split effective November 15, 2023.</t>
  </si>
  <si>
    <t>Household penetration more than doubled to ~25% (from 11.1%); Celsius made the top 10 in total LRB beverages in Q3.</t>
  </si>
  <si>
    <t>Management tone highly confident and growth-oriented.</t>
  </si>
  <si>
    <t>Distribution-point ceiling &amp; Amazon/Costco sequential slowdown</t>
  </si>
  <si>
    <t>Benchmark on where distribution points can go (Celsius ~50% of Monster/Red Bull, convenience ~20% below Bang's peak), and what drove the slower sequential growth in Amazon and Costco vs Q2.</t>
  </si>
  <si>
    <t>Long-term goal to match Monster/Red Bull's maximum distribution points; still early growth phase, opportunities evolving through 2024 resets; most successful NACS ever. Amazon/Costco slowdown was channel 'lumpiness' - a Prime build in Q2 for Amazon, load-in timing/seasonality for club - while Amazon still gained over 200 bps of share (18.6% to 21.4%); club remains strong with pack-size opportunity.</t>
  </si>
  <si>
    <t>PepsiCo inventory levels &amp; gross margin sustainability</t>
  </si>
  <si>
    <t>What to expect for PepsiCo inventory levels in a low-seasonality Q4; and whether two strong quarters change the medium-term 'mid-to-high 40s' gross margin outlook.</t>
  </si>
  <si>
    <t>Any Q4/Q1 inventory management is PepsiCo's decision with 'no guarantees.' Raw material savings have been consistent and should remain steady into 2024; outbound freight has held but could fluctuate with fuel; operations did an excellent job on scrap/waste/aged inventory and freight lanes - unsure how much more can be squeezed, but in great shape into 2024.</t>
  </si>
  <si>
    <t>2024 shelf resets &amp; headcount hiring</t>
  </si>
  <si>
    <t>Vivien Azer - TD Cowen</t>
  </si>
  <si>
    <t>Update on conversations with key retailers around 2024 shelf resets; and where the back-half-weighted 2023 headcount expansion stood in Q3.</t>
  </si>
  <si>
    <t>Retailers still defining 2024 sets; most successful NACS ever (7-Eleven took four Essentials SKUs chain-wide). 2024 is the first full year of strategic AOP prioritization (2023 joined PepsiCo late in Q4 2022); expanded distribution should appear in IRI scan data around March-April 2024. 2024 budgets call for continued hiring across HR, finance, logistics, ops, sales, marketing; drill-deep markets expand from 23 to over 30.</t>
  </si>
  <si>
    <t>Margin drivers &amp; sustainability</t>
  </si>
  <si>
    <t>Unpack the margin drivers - management had guided to a sequential EBITDA margin dip from higher promo/marketing spend, but margins rose - and separate sustainable from one-time factors.</t>
  </si>
  <si>
    <t>Expansion into foodservice/independent channels carries a lower promotional-allowance profile, plus quarter timing. G&amp;A showed good leverage (YTD ~7.9%), FY2024 expected 7-8% (international build gives some back). S&amp;M averaged ~19-20% this year vs a historical ~22-24%; continued investment in 2024. Gross profit aided by commodity improvement, international cans rolling off the system by Q2, and ~100 bps better freight (~4.9% YTD vs 5.9%).</t>
  </si>
  <si>
    <t>Canada launch impact &amp; international evaluation</t>
  </si>
  <si>
    <t>Michael Lavery - Piper Sandler / Peter Grom - UBS</t>
  </si>
  <si>
    <t>Whether Canada pipeline fill lands in Q4 or Q1 and any Q4 impact; and how management evaluates international opportunities, alignment with PepsiCo, and the margin impact.</t>
  </si>
  <si>
    <t>Canada 2024 build/impact 'inconsequential' - good growth/share expected with seeding investment, but not a big inventory/growth driver in Q4 or Q1, rollout phased through Q1. International evaluation targets the largest energy markets (UK, Germany, Japan, Australia); PepsiCo partnerships the priority but other partners possible; too early to detail structures, using Monster's international P&amp;Ls as a guideline.</t>
  </si>
  <si>
    <t>Components of the ~$20M Q2-to-Q3 sequential benefit</t>
  </si>
  <si>
    <t>Run through the ~$20M benefit to Q3 revenue - how much was promotional allowance vs inventory built ahead of what was lapped a year ago.</t>
  </si>
  <si>
    <t>Both Q3 2022 and Q3 2023 had a distributor pipe fill (2023 ~$10-15M), so inventory was not significant to the YoY growth percentage on an apples-to-apples basis; but it was a benefit on the Q2-to-Q3 sequential comparison. Promo-line leverage driven by significant ACV growth and movement into non-tracked channels with shallower promotion; updated promo allowance estimates produced a benefit, keeping the promo % of gross revenue roughly consistent YoY.</t>
  </si>
  <si>
    <t>Foodservice rollout (Jersey Mike's, Dunkin') &amp; Celsius Essentials differentiation</t>
  </si>
  <si>
    <t>Jon Andersen - William Blair</t>
  </si>
  <si>
    <t>Timing of the 3,000+ Dunkin' authorization and further eatery rollout; how Celsius Essentials is differentiated and whether it is key to 2024 shelf space; and progress on Celsius branded cooler placement vs the 2023 target.</t>
  </si>
  <si>
    <t>Foodservice a huge opportunity; Jersey Mike's (~2,000 locations, three flavors) is the first nationwide fast-casual proof-of-concept, ~four weeks in with positive early feedback. Dunkin' authorization covers 3,000-4,000 locations with one SKU. Celsius Essentials limited to particular retailers initially (core/Vibe is priority #1), targets performance-energy, designed to be incremental on top of expected 2024 gains. 2023 cooler goal ~15,000 (working toward it); biggest current win is chain-wide front-checkout cooler authorization (recent Publix front-end win).</t>
  </si>
  <si>
    <t>Q4 promotional allowances, holiday spend &amp; velocity scope</t>
  </si>
  <si>
    <t>Eric Sirota - Morgan Stanley</t>
  </si>
  <si>
    <t>Whether promotional allowances see material changes in Q4 vs post-adjustment Q3; and the scope for velocity growth over the next 12-24 months given rapid distribution expansion.</t>
  </si>
  <si>
    <t>For Q4 promos, look to the year-to-date percentage. Q4 S&amp;M trickier with holiday programs; the company plans to keep spending into the holiday season and buyer-reset window to build 2024 velocities. Velocity scope is 'somewhat an unknown' - Celsius is in uncharted territory north of a 10 share; household penetration more than doubled to ~25% (from 11.1%); reset-driven shelf-space expansion should build the billboard effect.</t>
  </si>
  <si>
    <t>Foodservice source of volume &amp; cross-category merchandising</t>
  </si>
  <si>
    <t>Whether foodservice consumers are switching from CSDs/teas to Celsius and whether that tracks into retail switches; and whether Celsius could be merchandised outside the energy category throughout the store.</t>
  </si>
  <si>
    <t>A 'huge unlock' the company is working on but needs more data; the Celsius consumer is incremental with a bigger basket ring (buying Celsius with water/food/snack). Hypothesis that foodservice delivery-app consumers skip the fountain - Celsius is incremental, not competing with the fountain. Already placed in grab-and-go sections at some stores (Ralphs, Publix, Kroger), opening a bigger TAM; Celsius made the top 10 in total LRB beverages.</t>
  </si>
  <si>
    <t>Q4 seasonality &amp; 2024 innovation plans</t>
  </si>
  <si>
    <t>How management is thinking about Q4 seasonality given the comparison to last year's Pepsi launch; and whether there is substantial 2024 innovation beyond Celsius Essentials.</t>
  </si>
  <si>
    <t>Category seasonality is real - anticipate a Q4 pullback at traditional seasonality levels, possibly compounded by a PepsiCo distributor inventory reduction. Beyond Celsius Essentials, 2024 innovation includes new core fruit-forward flavors, new Vibe flavors (Cosmic Vibe 'trilogy'), and expansion of the powder/On-The-Go portfolio with Vibe flavors - driven by growing retailer interest.</t>
  </si>
  <si>
    <t>Stephens Annual Investment Conference</t>
  </si>
  <si>
    <t>2023-11-15</t>
  </si>
  <si>
    <t>~95%</t>
  </si>
  <si>
    <t>~65% (Oct 2022 transition)</t>
  </si>
  <si>
    <t>SKUs per Location</t>
  </si>
  <si>
    <t>(peers ~25)</t>
  </si>
  <si>
    <t>Convenience (C-Store) Sales Mix</t>
  </si>
  <si>
    <t>58%</t>
  </si>
  <si>
    <t>(Monster/Red Bull ~70%)</t>
  </si>
  <si>
    <t>23 (2023)</t>
  </si>
  <si>
    <t>18 (2022)</t>
  </si>
  <si>
    <t>+5 markets</t>
  </si>
  <si>
    <t>Market Share / Consumption</t>
  </si>
  <si>
    <t>National Energy Category Share (#3)</t>
  </si>
  <si>
    <t>~3.5 share (year ago)</t>
  </si>
  <si>
    <t>~+6.5 pts</t>
  </si>
  <si>
    <t>~17.7% (start 2023)</t>
  </si>
  <si>
    <t>~+6.3 pts</t>
  </si>
  <si>
    <t>Over 80%</t>
  </si>
  <si>
    <t>Profitability (Q3 2023)</t>
  </si>
  <si>
    <t>Target</t>
  </si>
  <si>
    <t>Gross Margin (Q3 2023)</t>
  </si>
  <si>
    <t>Just over 50% (~49% normalized)</t>
  </si>
  <si>
    <t>~55% aspirational</t>
  </si>
  <si>
    <t>EBITDA Margin (Q3 2023)</t>
  </si>
  <si>
    <t>~27%</t>
  </si>
  <si>
    <t>30%-35% target</t>
  </si>
  <si>
    <t>~19-22%</t>
  </si>
  <si>
    <t>Operations / Balance Sheet</t>
  </si>
  <si>
    <t>~13 (6-7 predominant)</t>
  </si>
  <si>
    <t>Cans Sold (FY2023 est.)</t>
  </si>
  <si>
    <t>~2 billion</t>
  </si>
  <si>
    <t>Branded Coolers Placed (2023 goal)</t>
  </si>
  <si>
    <t>~20,000</t>
  </si>
  <si>
    <t>~$750M</t>
  </si>
  <si>
    <t>Untracked Run Rate (Costco + Amazon)</t>
  </si>
  <si>
    <t>~$250M (~$500M retail)</t>
  </si>
  <si>
    <t>PepsiCo Ownership Stake</t>
  </si>
  <si>
    <t>8.5%</t>
  </si>
  <si>
    <t>Promotional Weeks/Year (category)</t>
  </si>
  <si>
    <t>~25 weeks</t>
  </si>
  <si>
    <t>Monster International Revenue Mix (benchmark)</t>
  </si>
  <si>
    <t>~37%</t>
  </si>
  <si>
    <t>Drill-Deep Market Expansion</t>
  </si>
  <si>
    <t>30 markets</t>
  </si>
  <si>
    <t>Gross Margin Baseline</t>
  </si>
  <si>
    <t>Q2 2023 profile (~49% normalized)</t>
  </si>
  <si>
    <t>EBITDA Margin Target</t>
  </si>
  <si>
    <t>30%-35%</t>
  </si>
  <si>
    <t>Canada Market Entry</t>
  </si>
  <si>
    <t>Q1 2024 with Pepsi Canada</t>
  </si>
  <si>
    <t>Essentials 16oz National Rollout</t>
  </si>
  <si>
    <t>January 2024</t>
  </si>
  <si>
    <t>Jan 2024</t>
  </si>
  <si>
    <t>7-Eleven Green Apple Cherry National Rollout</t>
  </si>
  <si>
    <t>Celsius positioned as 'Energy 2.0' competing directly with Red Bull and Monster, riding a five-to-ten-year health-and-wellness movement.</t>
  </si>
  <si>
    <t>Cleaner label (no sugar, no artificial preservatives/colors/flavors, seven essential vitamins) and fitness-rooted authenticity drive resonance.</t>
  </si>
  <si>
    <t>PepsiCo partnership (signed Aug 1, 2022, 8.5% stake; distribution transitioned Oct 1, 2022) lifted ACV from ~65% to ~95%.</t>
  </si>
  <si>
    <t>Over 80% of consumption is incremental to the category - retailers value new dollars, not trade-out from Red Bull/Monster.</t>
  </si>
  <si>
    <t>Demographics differ from traditional energy: ~50-50 male/female, over-indexing female/African-American/Hispanic; 18-24 the fastest-growing segment.</t>
  </si>
  <si>
    <t>SKU/facing gap remains large: ~15 SKUs per location vs ~25 for peers, who also have 40-50 facings and multi-shelf 'super SKUs.'</t>
  </si>
  <si>
    <t>Negotiating 2024 shelf space from a ~10 share #3 position vs a ~3.5 share a year ago - should drive more SKUs, better placement, trial.</t>
  </si>
  <si>
    <t>South Florida share rose from ~17.7% to ~24% in 10 months - the drill-deep playbook to be replicated across 30 markets in 2024.</t>
  </si>
  <si>
    <t>Convenience is 58% of sales vs ~70% for Monster/Red Bull - meaningful channel headroom; Circle K divisions still ramping.</t>
  </si>
  <si>
    <t>Food service a major new unlock via Pepsi - Jersey Mike's (~2,000 locations) a proof-of-concept; Pepsi caters to ~60% of the US college population.</t>
  </si>
  <si>
    <t>Capturing college-age heavy users (one-to-two cans/day) could solidify lifetime consumers with a 50-60 year runway.</t>
  </si>
  <si>
    <t>Operations led by ex-Monster global ops head Paul Story; 'orbit strategy' (up to eight orbits) minimizes miles on product; ~2 billion cans in 2023.</t>
  </si>
  <si>
    <t>Promotional focus is depth (e.g., two-for-$4 vs two-for-$4.50) to capture margin; energy category promoted ~25 weeks/year.</t>
  </si>
  <si>
    <t>Celsius priced between Red Bull and Monster; if Red Bull's price nears $4/can, that becomes an opportunity to capture trade-down consumers.</t>
  </si>
  <si>
    <t>Celsius runs retailer exclusives over a period rather than short-lived LTOs - rewards partners and earns reciprocity.</t>
  </si>
  <si>
    <t>A 250ml lower-caffeine offering is under consideration (TBD); new core and Vibe flavors coming in 2024; discipline on not launching too much at once.</t>
  </si>
  <si>
    <t>Branded coolers a 'silent salesman' - pay for themselves in 4-6 months (~three days at a Walmart); ~20,000 placed in 2023; amortized over 5-7 years.</t>
  </si>
  <si>
    <t>Tracked-channel scan data understates true performance - ~$250M untracked Costco/Amazon run rate distorts velocity/share; gap should narrow in 1-2 years.</t>
  </si>
  <si>
    <t>Amazon (#1) and Instacart (#1) are 'neutral playing fields' lacking competitors' shelf advantage - proof points for brick-and-mortar potential.</t>
  </si>
  <si>
    <t>~$750M cash earns interest offsetting the Pepsi dividend; M&amp;A and vertical integration are 'on the table' but approached cautiously.</t>
  </si>
  <si>
    <t>Q3 gross margin &gt;50% included one-off benefits; ~49% normalized / the Q2 profile is the near-term baseline; ~55% gross / 30-35% EBITDA aspirational.</t>
  </si>
  <si>
    <t>Aspirational ~55% gross margin equates to Monster's ~59% three years ago, adjusted for a ~4% outbound-freight classification delta.</t>
  </si>
  <si>
    <t>Digital-first marketing ('own the phone') via targeted ads (Hulu, YouTube, Instagram, TikTok, Snapchat) drives precise targeting and ROI visibility.</t>
  </si>
  <si>
    <t>International methodical: Canada launch Q1 2024 with Pepsi Canada; evaluating Europe, Japan, Australia; build framework, then expand faster in 2025-2026; US remains the priority.</t>
  </si>
  <si>
    <t>Brand resonance with consumers</t>
  </si>
  <si>
    <t>What about the Celsius product resonates so much with consumers to support the rapid growth.</t>
  </si>
  <si>
    <t>Celsius capitalizes on a five-to-ten-year health-and-wellness movement; born in 2005 as a pre-workout supplement, now a multi-occasion energy beverage with a cleaner label and fitness-rooted authenticity - 'Energy 2.0' competing with Red Bull and Monster. Demographics differ from traditional energy (24-45, with 18-24 the fastest-growing segment, balanced male/female) - driving share from outside traditional energy.</t>
  </si>
  <si>
    <t>Pepsi distribution partnership</t>
  </si>
  <si>
    <t>How the Pepsi distribution partnership fueled growth and the incremental opportunity it brings.</t>
  </si>
  <si>
    <t>The deal (signed Aug 1, 2022, Pepsi taking an 8.5% stake; distribution transitioned Oct 1, 2022) lifted ACV from ~65% to ~90% by year-end and ~95% now. Pepsi is best-in-class in distribution/merchandising; velocities maintained despite the massive distribution gain; food service is a major new unlock. Celsius aims to be the #1 energy drink in Pepsi's portfolio.</t>
  </si>
  <si>
    <t>SKUs &amp; facings vs peers</t>
  </si>
  <si>
    <t>The opportunity to increase available SKUs and facings, especially relative to Monster and Red Bull.</t>
  </si>
  <si>
    <t>Celsius is at ~15 SKUs per location vs ~25 for peers, who also have far more facings (40-50, with multi-shelf 'super SKUs'). Celsius is mostly one SKU/one facing - opportunity for more SKUs, more facings, better locations. Negotiated 2024 shelf space from a ~10 share #3 position vs a ~3.5 share a year earlier, which should drive trial and stickiness.</t>
  </si>
  <si>
    <t>Reaching beyond the core energy consumer</t>
  </si>
  <si>
    <t>How Celsius's unique characteristics enhance its ability to reach beyond the core energy consumer and gain shelf space outside traditional energy positions.</t>
  </si>
  <si>
    <t>Celsius brings new consumers - over 80% of consumption incremental (44% new-to-category, ~40% user intensification) - which retailers value as new dollars. Higher ring rate merits more space; over-indexes with females (~50-50 split), African-American, Hispanic and college-age consumers, while also appealing to people in their 50s-60s.</t>
  </si>
  <si>
    <t>Winning with white-collar workers</t>
  </si>
  <si>
    <t>What allows Celsius to win with white-collar office workers, atypical for energy drinks.</t>
  </si>
  <si>
    <t>Celsius's cleaner-label perception and fitness roots give it a different reputation - someone arriving at the office with a Celsius is not perceived as hungover, unlike with more aggressive brands. Framed almost as a 'functional soda' with multiple usage occasions (replacing morning/afternoon coffee, paired with lunch).</t>
  </si>
  <si>
    <t>Share strategy &amp; drill-deep markets</t>
  </si>
  <si>
    <t>Unidentified participant</t>
  </si>
  <si>
    <t>Whether share is gained from new consumers or from competitors, and how markets are expanded.</t>
  </si>
  <si>
    <t>Celsius wants both - new consumers and pulling from Monster/Red Bull (~70-75% of the category). Cited Amazon (#1, having passed Monster) and South Florida (~24% share, up from ~17.7%) as proof points. Drill-deep started with five markets plus New York; resourced markets expanded from 18 (2022) to 23 (2023) to 30 (2024). Convenience is 58% of sales vs ~70% for peers - room to grow.</t>
  </si>
  <si>
    <t>Market expansion timeline</t>
  </si>
  <si>
    <t>How long it takes to mature a new market.</t>
  </si>
  <si>
    <t>It should not take 10 years like South Florida; each market is unique, needing a toggled playbook for regionality/culture. Declined a firm timeline but noted South Florida jumped 17.7% to 24% in 10 months; anticipates market-share gains in newer markets. Brand awareness in newer markets is relatively low after only 12-24 months of focus.</t>
  </si>
  <si>
    <t>Top markets &amp; resource allocation</t>
  </si>
  <si>
    <t>Which markets Celsius is in and their energy-drink ranking.</t>
  </si>
  <si>
    <t>Drill-deep markets are top-10 energy markets; L.A. the largest, Dallas #2-3, Miami top-10, Tampa top-25, New England top-20, New York top-5 - an '80-20 rule' of large metros driving energy sales. With ~$300M revenue at ~20% S&amp;M, Celsius has ~$300M vs $150M of marketing capital to accelerate markets.</t>
  </si>
  <si>
    <t>Operations, co-packing &amp; vertical integration</t>
  </si>
  <si>
    <t>About operations leadership, co-packing capacity and vertical integration.</t>
  </si>
  <si>
    <t>Hired ex-Monster global ops head Paul Story ~2.5 years ago. Plenty of capacity; works with the biggest can companies (Ball, Crown, Ardagh); ~13 co-packers; an 'orbit strategy' with up to eight orbits minimizes miles on product. All co-packed today; vertical integration could be considered if it makes sense (Monster's flavor-house acquisition cited as precedent).</t>
  </si>
  <si>
    <t>Food service wins (Dunkin', Jersey Mike's)</t>
  </si>
  <si>
    <t>Color on the recently announced Dunkin' and Jersey Mike's wins and the food-service opportunity with Pepsi.</t>
  </si>
  <si>
    <t>Pepsi's bandwidth opened food service; Pepsi CEO Ramon Laguarta helped bring a retired Pepsi food-service executive onto Celsius's team. Jersey Mike's (~2,000 locations) is a proof-of-concept for other Pepsi-oriented eateries. The college/university component is huge - Pepsi caters to ~60% of the US college population - giving access to early-adopter heavy consumers.</t>
  </si>
  <si>
    <t>Capturing the college-to-workforce consumer</t>
  </si>
  <si>
    <t>Whether capturing a consumer at the college level could solidify a lifetime Celsius consumer as they enter the workforce.</t>
  </si>
  <si>
    <t>Theoretically that is the goal - retaining consumers as long as possible, with a potential 50-60 year runway. The 18-25 crowd are heavy users (one-to-two cans/day), so getting in early matters, as does the blue-collar consumer. Celsius can capture people for a decade or 15 years, similar to Red Bull/Monster.</t>
  </si>
  <si>
    <t>Co-manufacturing capacity</t>
  </si>
  <si>
    <t>Whether there is ample co-manufacturing capacity to scale up given strong growth.</t>
  </si>
  <si>
    <t>Very confident it can produce as it scales - will sell close to 2 billion cans in 2023 - and can flex with different co-packers (~13 total, predominantly 6-7 used), including Refresco, which has multiple domestic and global locations for international expansion.</t>
  </si>
  <si>
    <t>Near-term promotional spend</t>
  </si>
  <si>
    <t>What Celsius is seeing in promotional spend and what retail partners expect on promotion and pricing.</t>
  </si>
  <si>
    <t>The energy category is highly promoted (~25 weeks/year); focus is promotional depth (two-for-$4 vs two-for-$4.50) to capture margin without losing sales. Red Bull is 'supposedly' taking price - question of whether it deals down on promotion. Celsius makes pricing decisions largely independent of competitors, having taken price in early 2022 ahead of others.</t>
  </si>
  <si>
    <t>Price positioning vs competition</t>
  </si>
  <si>
    <t>How Celsius thinks about its price position relative to competition and whether maintaining a price gap matters.</t>
  </si>
  <si>
    <t>Celsius is priced between Red Bull and Monster (more expensive per ounce but in between on shelf price); believes it has price elasticity. As a growth brand, if Red Bull's price nears $4/can, that becomes an opportunity to capture Red Bull consumers trading down to Celsius at ~$2.75-$3. A small team meets monthly to review analytics; the consumer views Celsius as premium.</t>
  </si>
  <si>
    <t>Limited-time / seasonal offerings &amp; exclusives</t>
  </si>
  <si>
    <t>What role limited-time and seasonal offerings play in the merchandising strategy and what to expect entering the new year.</t>
  </si>
  <si>
    <t>Celsius historically does not do short-lived LTOs/seasonals; instead it runs retailer exclusives over a period (7-Eleven green apple cherry exclusive all of 2023, rolling national in January 2024; the 16oz Essentials line launched early at 7-Eleven with a two-month four-SKU exclusivity, rolling nationwide January 2024). Exclusivity is part of taking care of retail partners.</t>
  </si>
  <si>
    <t>Lower-caffeine / new-format innovation</t>
  </si>
  <si>
    <t>About new product formats / lower-caffeine offerings.</t>
  </si>
  <si>
    <t>A 250ml (Red Bull-can-style) lower-caffeine offering could make sense but no decisions made ('TBD'). With the 16oz line just rolled out, management does not want to launch too much at once; new core and Vibe flavors are also coming in 2024. A lower-caffeine version could capture an extra daily occasion (e.g., 4:00 p.m.).</t>
  </si>
  <si>
    <t>Branded fridge placements</t>
  </si>
  <si>
    <t>The opportunity in expanding branded fridge placements and whether they drive incremental trial.</t>
  </si>
  <si>
    <t>Cooler sales are 'astronomical' in good positions; coolers pay for themselves in 4-6 months (~three days at a well-positioned Walmart). CEO called out a push for ~20,000 total coolers placed in 2023. Coolers are a 'silent salesman' providing incremental placement; amortized over 5-7 years.</t>
  </si>
  <si>
    <t>Retailer pushback on fridge placements</t>
  </si>
  <si>
    <t>Whether retailers push back on fridge placements.</t>
  </si>
  <si>
    <t>Depends on the retailer; placements happen where Celsius or Pepsi has a relationship with the owner/manager. Celsius previously offered 'free fill' but rarely needs to now because stores see the incremental dollar value. Some retailers (e.g., 7-Eleven) do not allow branded coolers; independent convenience and Walmart/Target are key opportunities.</t>
  </si>
  <si>
    <t>Commodity basket &amp; 2024 gross margin</t>
  </si>
  <si>
    <t>About the commodity basket and how management feels about gross margins moving into 2024.</t>
  </si>
  <si>
    <t>Gross margins improved over the prior 12 months - Q3 came in just over 50% (with one-off benefits; ~49% normalized) and the Q2 profile is the near-term baseline. Monster is the long-term benchmark, adjusting for Monster excluding outbound freight from COGS (~4% delta) - Monster's ~59% three years ago equates to ~55% for Celsius (aspirational, achievable with scale and possible vertical integration). EBITDA margin ~27% vs a 30-35% target.</t>
  </si>
  <si>
    <t>Balance sheet &amp; capital deployment</t>
  </si>
  <si>
    <t>Whether the ~$750M cash just builds or there are key deployment opportunities.</t>
  </si>
  <si>
    <t>The ~$750M earns interest that offsets the Pepsi dividend, giving flexibility for M&amp;A. Management will be strategic - the priority is the core 'unicorn' brand and driving share; M&amp;A and vertical integration are 'on the table' but approached cautiously and must make sense to investors.</t>
  </si>
  <si>
    <t>Sales &amp; marketing spend and acquisition costs</t>
  </si>
  <si>
    <t>About sales and marketing spend levels and customer acquisition.</t>
  </si>
  <si>
    <t>S&amp;M as a percentage of revenue will continue at a similar rate - recently ~19%, ~21-22% prior, likely somewhere in between. The marketing mantra is 'own the phone' via targeted digital ads (Hulu, YouTube, Instagram, TikTok, Snapchat), enabling precise targeting and better ROI visibility, especially driving to Amazon/Walmart for immediate sales.</t>
  </si>
  <si>
    <t>Q22</t>
  </si>
  <si>
    <t>Tracked vs untracked data gap</t>
  </si>
  <si>
    <t>About the gap between tracked-channel data and reported results.</t>
  </si>
  <si>
    <t>The tracked-vs-reported gap should narrow in a year or two. Much remaining opportunity is in independent non-tracked channels owned by Red Bull/Monster. Celsius generates ~$250M run rate (~$500M retail) from untracked Costco and Amazon, distorting tracked velocity/share comparisons. Celsius is #1 on Amazon and #1 on Instacart; disclosing South Florida data drew 50-100 competitor reps into the market.</t>
  </si>
  <si>
    <t>Q23</t>
  </si>
  <si>
    <t>Amazon customer differences</t>
  </si>
  <si>
    <t>Whether there is anything different about the Amazon #1 customer.</t>
  </si>
  <si>
    <t>Pretty much everyone uses Amazon - a 'neutral playing field' where Red Bull and Monster lack their multi-shelf advantage. If Celsius had the same shelf space as peers in every store, its share would be far higher. Amazon is an indicator of brick-and-mortar potential, which is why Celsius cites South Florida and other purchasable market data.</t>
  </si>
  <si>
    <t>Q24</t>
  </si>
  <si>
    <t>Closing thoughts on the international opportunity and anything to be aware of.</t>
  </si>
  <si>
    <t>Monster is a benchmark (~37% of revenue international), but ~67% of Monster's ~$7.5B revenue is still US - underscoring the US must remain Celsius's focus. International is an incremental growth path, approached strategically without a 'shocking approach.' Canada entry announced for Q1 2024 with Pepsi Canada; evaluating Europe, Japan, Australia; Pepsi is the preferred (not mandated) international partner; build frameworks, execute in the first 12-18 months, then expand faster in 2025-2026.</t>
  </si>
  <si>
    <t>Morgan Stanley Global Consumer &amp; Retail Conference</t>
  </si>
  <si>
    <t>2023-12-06</t>
  </si>
  <si>
    <t>Market Share / Distribution</t>
  </si>
  <si>
    <t>Tracked-Channel Market Share (#3 player)</t>
  </si>
  <si>
    <t>~9%-9.5%</t>
  </si>
  <si>
    <t>~3.5%</t>
  </si>
  <si>
    <t>+~5.5-6.0 pts</t>
  </si>
  <si>
    <t>ACV Distribution</t>
  </si>
  <si>
    <t>mid-70s% (Oct 2022)</t>
  </si>
  <si>
    <t>+~17-20 pts</t>
  </si>
  <si>
    <t>South Florida Market Share (#2, passed Monster)</t>
  </si>
  <si>
    <t>Channel / Foodservice</t>
  </si>
  <si>
    <t>Foodservice as % of Pepsi-Delivered Revenue</t>
  </si>
  <si>
    <t>~0 (next to nothing)</t>
  </si>
  <si>
    <t>+~10 pts</t>
  </si>
  <si>
    <t>Jersey Mike's Foodservice Distribution</t>
  </si>
  <si>
    <t>2,000-plus locations</t>
  </si>
  <si>
    <t>0</t>
  </si>
  <si>
    <t>+2,000-plus</t>
  </si>
  <si>
    <t>Count</t>
  </si>
  <si>
    <t>Drill-Deep Markets (2020)</t>
  </si>
  <si>
    <t>Drill-Deep Markets (2022)</t>
  </si>
  <si>
    <t>Drill-Deep Markets (2023)</t>
  </si>
  <si>
    <t>Drill-Deep Markets (2024 plan)</t>
  </si>
  <si>
    <t>Consumer / Benchmark</t>
  </si>
  <si>
    <t>Incremental Growth (% incremental to brand)</t>
  </si>
  <si>
    <t>75%-80%</t>
  </si>
  <si>
    <t>Male/Female Split</t>
  </si>
  <si>
    <t>50/50</t>
  </si>
  <si>
    <t>~35%-37%</t>
  </si>
  <si>
    <t>Spring Resets Timing</t>
  </si>
  <si>
    <t>January through May</t>
  </si>
  <si>
    <t>2024</t>
  </si>
  <si>
    <t>ESSENTIALS Line</t>
  </si>
  <si>
    <t>4 SKUs (adding a fifth), nationwide</t>
  </si>
  <si>
    <t>International Rollout</t>
  </si>
  <si>
    <t>Handful of markets in 2024; sizable rollout over 3-5 yrs</t>
  </si>
  <si>
    <t>2024-2028</t>
  </si>
  <si>
    <t>2024 Gross Margin</t>
  </si>
  <si>
    <t>Modest opportunity, no quantified target</t>
  </si>
  <si>
    <t>Long-Term Gross Margin Goal</t>
  </si>
  <si>
    <t>Monster-like (takes time)</t>
  </si>
  <si>
    <t>First full year inside the PepsiCo system - became the #3 energy player, reaching ~9%-9.5% Nielsen tracked share (higher in Circana) from ~3.5%.</t>
  </si>
  <si>
    <t>Revenue on track to more than double in 2023.</t>
  </si>
  <si>
    <t>Tracked-channel share flattened sequentially at 9%-9.5% since early August - management attributes it to Q4 seasonality, holiday-floor compression, and competitive 'noise' (Red Bull and Alani Nu seasonal launches), not a structural slowdown.</t>
  </si>
  <si>
    <t>Management urged investors to view historical Q4s as a guide and expects Q1 and Q2 2024 to 'shape up.'</t>
  </si>
  <si>
    <t>2024 spring resets (Jan-May) are the first fully integrated Pepsi planning cycle - expected to deliver more and better space, more SKUs and slots; management declined to quantify.</t>
  </si>
  <si>
    <t>Foodservice grew from 'next to nothing' to ~10% of Pepsi's delivered revenue - outpacing what Bang ever achieved at Rockstar; QSR runway (Taco Bell, Pizza Hut).</t>
  </si>
  <si>
    <t>Demographic much broader than the energy category - 'a full beverage play,' aging down (18-24 entering) and up; 75-80% of growth incremental, 50/50 male/female.</t>
  </si>
  <si>
    <t>GLP-1 drugs viewed as an opportunity - fatigued patients consuming fewer calories should benefit the energy category; Celsius's fitness 'healthy halo' positions it as a likely top beneficiary.</t>
  </si>
  <si>
    <t>Bang's potential revival: Celsius was the biggest beneficiary of Bang's shelf space (not consumers) and will not cede it back; Bang's resurgence a bigger risk to Monster's own portfolio (and C4/Ghost).</t>
  </si>
  <si>
    <t>Pricing seen as a 2024 opportunity following Red Bull's price move ('five weeks in,' need a couple months to see if it sticks); a second consecutive year of category pricing could establish a trend.</t>
  </si>
  <si>
    <t>Velocity accelerated even as distribution expanded massively - credited to wiring into the Pepsi system without disruption, best-in-class merchandising, and influencer/digital-heavy marketing plus MLS and F1/Ferrari partnerships.</t>
  </si>
  <si>
    <t>South Florida playbook (24% share, passed Monster) being replicated across 30 drill-deep markets; the brand 'travels' (strong share even in non-drill-deep Buffalo).</t>
  </si>
  <si>
    <t>Management declines to commit to a quantified 2024 margin path - 'in growth mode,' 'not ready to draw a line in the sand'; prioritizes share gains over margin expansion.</t>
  </si>
  <si>
    <t>Margin levers cited: orbit freight model, normalized raw materials, flushing costly international cans, co-packer relationships, procurement/manufacturing scale, promo-calendar efficiency.</t>
  </si>
  <si>
    <t>Celsius is roughly at Monster's total-company gross margin on a freight-adjusted basis but well below Monster's high-60s US margins; closing the gap will take time as growth moderates.</t>
  </si>
  <si>
    <t>Club and Amazon use a different (full-pallet, no white-glove) model with cost savings partly shared back - net gross margin profile consistent channel to channel.</t>
  </si>
  <si>
    <t>#1 on Amazon in energy (ahead of Red Bull, passed Monster in Q3); a top-selling beverage at Costco overall; 'middle innings' at Sam's Club.</t>
  </si>
  <si>
    <t>Clean-energy competitors (Ghost, Alani, C4) are solid brands with narrower demographics; Celsius's fitness authenticity drives a better-for-you spillover and incremental category growth.</t>
  </si>
  <si>
    <t>Energy is gaining shelf space at the expense of CSDs, dairy, teas, and coffee; failed small brands create space opportunities for Celsius.</t>
  </si>
  <si>
    <t>2024 innovation: line bifurcation (core vs Vibe), ESSENTIALS 16oz nationwide rollout, SKUs coming off 7-Eleven/Circle K exclusivity, two Vibe SKUs, variety packs.</t>
  </si>
  <si>
    <t>Primary focus remains growing the core portfolio - 'we feel like this is a unicorn' and 'don't feel like a 10 share is nearly good enough.'</t>
  </si>
  <si>
    <t>Tone confident and growth-focused throughout.</t>
  </si>
  <si>
    <t>Growth opportunity framing &amp; distribution runway</t>
  </si>
  <si>
    <t>Eric Serotta - Morgan Stanley</t>
  </si>
  <si>
    <t>Frame the growth opportunities ahead - distribution breadth, depth, velocity, non-tracked channels, international - and what is most important to the long-term profile as Celsius scales.</t>
  </si>
  <si>
    <t>Opportunity exists across all areas. ACV is in a strong place; 2024 resets run Jan-May, offering more/better space, SKUs and slots. Foodservice grew from next to nothing to ~10% of Pepsi's delivered revenue with QSR runway. Non-tracked C&amp;G can reach a couple hundred thousand Pepsi locations. Drill-deep expands from 6 (2020) to 18 (2022) to 30 (2024). International is 'a couple of years away' but has runway.</t>
  </si>
  <si>
    <t>Sequential market share plateau</t>
  </si>
  <si>
    <t>Why tracked-channel share has been range-bound at 9%-9.5% since early August and when it would move higher.</t>
  </si>
  <si>
    <t>Attributed the plateau to 'a lot of noise in the category' and Q4 seasonality, which affects Celsius more than peers because its sales team drives large display drops competing with holiday floor merchandising. Cited Red Bull's seasonal SKU and Alani Nu's two launches (a seasonal and the Kim Kardashian 'Kimade' SKU). Urged investors to view historical Q4s as a guide; expects Q1 and Q2 to 'shape up.'</t>
  </si>
  <si>
    <t>Spring resets &amp; innovation pipeline</t>
  </si>
  <si>
    <t>In the first fully integrated Pepsi planning cycle, an early read on the percentage of accounts resetting space for spring and how much incremental space Celsius is getting.</t>
  </si>
  <si>
    <t>Declined specifics ('we don't really give guidance') but said management is 'pleased' and expects more/better space across all channels, with earlier planogram access and better placement. Visible innovation: ESSENTIALS 16oz line (four SKUs, adding a fifth) nationwide in January, SKUs coming off 7-Eleven/Circle K exclusivity, two Vibe SKUs (noncarbonated and core), and variety packs.</t>
  </si>
  <si>
    <t>Non-tracked channels &amp; foodservice wins</t>
  </si>
  <si>
    <t>How to size the opportunity in non-tracked Pepsi channels (colleges, hospitals, hotels) and the initial consumer pull at foodservice wins like Jersey Mike's and Dunkin'.</t>
  </si>
  <si>
    <t>Foodservice was 'really nonexistent' before the Pepsi deal and is hard to size, but reaching 10% of Pepsi's revenue contribution is significant and outpaced what Bang ever achieved at Rockstar. Celsius is in 2,000-plus Jersey Mike's locations with encouraging early data - a potential QSR proof of concept (Taco Bell, Pizza Hut). Entered Dunkin' nationally with one SKU.</t>
  </si>
  <si>
    <t>Demographics &amp; brand scaling</t>
  </si>
  <si>
    <t>A snapshot of Celsius's demographic profile vs traditional energy, how it is changing as the brand scales from 3% to 9-10% share, and the long-term growth implications.</t>
  </si>
  <si>
    <t>Celsius's demographic is much broader than the energy category - essentially a full beverage play, aging down (18-24 entering) and up, with 75-80% of growth incremental to the brand and a 50/50 male/female split. Targeting is community-based via the 30-market drill-deep strategy and partnerships (MLS, F1).</t>
  </si>
  <si>
    <t>GLP-1 drug opportunity</t>
  </si>
  <si>
    <t>How Celsius is thinking about the GLP-1 (Ozempic/Wegovy) opportunity, given energy-drink consumption could rise among fatigued patients.</t>
  </si>
  <si>
    <t>Celsius will not revert to its calorie-burning positioning but agreed GLP-1 is an opportunity - patients consuming fewer calories produce less energy, so the category should benefit, and Celsius's fitness-rooted 'healthy halo' positions it as a likely top beneficiary.</t>
  </si>
  <si>
    <t>Competitive risk from Bang revival</t>
  </si>
  <si>
    <t>The risk to Celsius's growth if Monster successfully revitalizes the Bang brand, given Celsius disproportionately benefited from Bang's decline.</t>
  </si>
  <si>
    <t>Celsius was the biggest beneficiary of Bang's shelf space (not its consumers) as the #3 player and 'next man up,' and will not cede that space back. Bang's resurgence is more a risk to Monster's own portfolio (and to C4 and Ghost) than to Celsius.</t>
  </si>
  <si>
    <t>International rollout &amp; market share targets</t>
  </si>
  <si>
    <t>Midterm international market-share targets, what level of share makes a market worthwhile, and the expected incremental investment.</t>
  </si>
  <si>
    <t>Monster derives ~35-37% of revenue internationally and took time to ramp; today's digital/social tools allow faster brand-awareness building. Celsius will be methodical, working with Pepsi's multi-country partners to build playbooks - a handful of markets in 2024, faster rollout in 2025-2026. Investments will be 'modest' and not materially impactful over the next couple of years; a sizable rollout expected across roughly six core partners over three to five years.</t>
  </si>
  <si>
    <t>US pricing opportunity</t>
  </si>
  <si>
    <t>How Celsius is thinking about pricing opportunities, given it was restrained on pricing in 2023 and Red Bull recently moved on price.</t>
  </si>
  <si>
    <t>It is 'five weeks in' on Red Bull's move and needs a couple of months to see if it sticks. Pricing is an opportunity; the CPG market typically has annual price increases while energy has differed. Two consecutive years of category pricing could establish a trend, and as the super-premium brand, Celsius's elasticity will be interesting to test - a 2024 opportunity.</t>
  </si>
  <si>
    <t>Velocity acceleration drivers</t>
  </si>
  <si>
    <t>What drove the unusual acceleration in velocity even as distribution expanded massively, and the view on velocity growth in 2024 and beyond.</t>
  </si>
  <si>
    <t>Credited the marketing/sales organizations for wiring into the Pepsi system without disruption, Pepsi's best-in-class merchandising, and influencer-heavy, digital-heavy marketing plus MLS and F1/Ferrari partnerships. Celsius replicates its proven core-market playbook (24% share in South Florida, passed Monster) across 30 drill-deep markets in 2024; strong share even in non-drill-deep markets like Buffalo shows the brand 'travels.'</t>
  </si>
  <si>
    <t>2024 gross margin puts and takes</t>
  </si>
  <si>
    <t>Given the CFO's Q3 caution against expecting more incremental margin improvement, the broader puts and takes for 2024 gross margin.</t>
  </si>
  <si>
    <t>Management does not want to set expectations that get investors 'over their skis' and will not decide based on consensus. There is opportunity to 'slowly turn the screws,' but Celsius is in growth mode prioritizing share gains. Levers: orbit freight model, normalized raw materials, flushing costly international cans, co-packer relationships, procurement/manufacturing scale, promo-calendar efficiency - but 'not ready to draw a line in the sand.'</t>
  </si>
  <si>
    <t>Long-term gross margin vs Monster</t>
  </si>
  <si>
    <t>Given Celsius is roughly at Monster's total-company gross margin on a freight-adjusted basis but well below Monster's high-60s US margins, how much of that gap it could close.</t>
  </si>
  <si>
    <t>Monster sets the standard and is used as a goal; Celsius believes it can get there over time. Opportunities exist across procurement, manufacturing-partner capacity utilization (longer runs), and promos as Celsius scales; as growth moderates, management will fine-tune to capture leverage.</t>
  </si>
  <si>
    <t>Club &amp; e-commerce channels and profitability</t>
  </si>
  <si>
    <t>The growth potential in Club and e-commerce channels and how grocery and C-stores compare on profitability.</t>
  </si>
  <si>
    <t>Club and Amazon use a different model - full-pallet, no white-glove service - so there are cost savings partly shared back to the retailer; net gross margin profile is consistent channel to channel. Celsius is #1 on Amazon in energy (ahead of Red Bull, passed Monster in Q3), a top-selling beverage at Costco overall, and in 'middle innings' at Sam's Club. C-store trial drives subsequent bulk-pack purchases at Amazon/Costco/Sam's.</t>
  </si>
  <si>
    <t>Competitive differentiation vs clean-energy entrants</t>
  </si>
  <si>
    <t>What differentiates Celsius from clean/performance-energy competitors (Ghost, Alani, C4) and whether they are share competition or category-growth contributors.</t>
  </si>
  <si>
    <t>Those are solid brands but each has a narrower demographic than Celsius; Alani doesn't play well in fitness, while Ghost and C4 are fitness-channel players. Celsius's authenticity is rooted in fitness, creating a better-for-you spillover. Celsius aims to take share from everybody and is incremental, bringing in new consumers at a higher rate than any other brand. Energy is gaining shelf space at the expense of CSDs, dairy, teas, and coffee.</t>
  </si>
  <si>
    <t>Innovation strategy &amp; pipeline</t>
  </si>
  <si>
    <t>The innovation strategy and pipeline for 2024 and the medium term, and where Celsius sits between Red Bull's and Monster's portfolio strategies.</t>
  </si>
  <si>
    <t>2024 has substantial innovation. In 2023 Celsius bifurcated its lines - separating core SKUs (fruit on package) from Vibe lines (same formula, different flavor/marketing) - to win additional shelf space per line. The ESSENTIALS 16oz line launched at 7-Eleven and rolls out nationwide. Innovation is evaluated for energy-category levers and large-TAM adjacencies, but the primary focus remains growing the core portfolio ('this is a unicorn'; a 10 share is not the ceiling).</t>
  </si>
  <si>
    <t>Celsius Holdings Q4 2023 Earnings Call</t>
  </si>
  <si>
    <t>2024-02-29</t>
  </si>
  <si>
    <t>102%</t>
  </si>
  <si>
    <t>~48%</t>
  </si>
  <si>
    <t>~41%</t>
  </si>
  <si>
    <t>+7 ppt (&gt;660 bps)</t>
  </si>
  <si>
    <t>~80</t>
  </si>
  <si>
    <t>~90</t>
  </si>
  <si>
    <t>29% (adj)</t>
  </si>
  <si>
    <t>-6 ppt</t>
  </si>
  <si>
    <t>~27</t>
  </si>
  <si>
    <t>~22</t>
  </si>
  <si>
    <t>12%</t>
  </si>
  <si>
    <t>-4 ppt</t>
  </si>
  <si>
    <t>FY2022 (adj)</t>
  </si>
  <si>
    <t>Cash &amp; Equivalents</t>
  </si>
  <si>
    <t>&gt;$755M</t>
  </si>
  <si>
    <t>&gt;$928M</t>
  </si>
  <si>
    <t>&gt;$140M</t>
  </si>
  <si>
    <t>$108M</t>
  </si>
  <si>
    <t>US ACV Distribution</t>
  </si>
  <si>
    <t>98%+</t>
  </si>
  <si>
    <t>US Energy Share MULOC (4wk to Feb 11, 2024)</t>
  </si>
  <si>
    <t>11.5 share</t>
  </si>
  <si>
    <t>first to break 10 in a decade</t>
  </si>
  <si>
    <t>Club Sales Q4 ($M)</t>
  </si>
  <si>
    <t>~47</t>
  </si>
  <si>
    <t>Club Sales FY ($M)</t>
  </si>
  <si>
    <t>~138.7</t>
  </si>
  <si>
    <t>83.6%</t>
  </si>
  <si>
    <t>Amazon Revenue FY ($M)</t>
  </si>
  <si>
    <t>~57.9</t>
  </si>
  <si>
    <t>72.9%</t>
  </si>
  <si>
    <t>Celsius Essentials ACV (Feb 18, 2024)</t>
  </si>
  <si>
    <t>40% (Jan 2024)</t>
  </si>
  <si>
    <t>On-the-Go Powder Energy Share (Jan 2024)</t>
  </si>
  <si>
    <t>23.1 share</t>
  </si>
  <si>
    <t>+5.6% vs prior</t>
  </si>
  <si>
    <t>Branded Coolers Placed FY2023</t>
  </si>
  <si>
    <t>&gt;10,000</t>
  </si>
  <si>
    <t>&gt;300%</t>
  </si>
  <si>
    <t>Food Service % of PepsiCo Sales</t>
  </si>
  <si>
    <t>12.5%+</t>
  </si>
  <si>
    <t>+2.5 ppt</t>
  </si>
  <si>
    <t>Display Activity Increase FY2023</t>
  </si>
  <si>
    <t>+60%</t>
  </si>
  <si>
    <t>MULOC Energy Category Growth Contribution FY2023</t>
  </si>
  <si>
    <t>30.6%</t>
  </si>
  <si>
    <t>Celsius MULOC dollar growth Q4 / FY</t>
  </si>
  <si>
    <t>+126.6% / +140.2%</t>
  </si>
  <si>
    <t>Fairly consistent with ~48%</t>
  </si>
  <si>
    <t>Similar to Q4 (~23%)</t>
  </si>
  <si>
    <t>22%-24% historical range; 20% YTD 2023</t>
  </si>
  <si>
    <t>Management framed 2023 as the best earnings year in company history; Celsius is now truly a billion-dollar brand at just over $1.3B revenue, up 102%.</t>
  </si>
  <si>
    <t>Celsius became the first company in over a decade to break the 10-share barrier, hitting a record 11.5 MULOC share; the energy category is now a 'three-team race'.</t>
  </si>
  <si>
    <t>Near-complete US distribution at 98%+ ACV; the three forward growth levers are distribution points per location, non-tracked channels, and international expansion.</t>
  </si>
  <si>
    <t>Full-year gross margin expanded over 660 bps to ~48%, driven by raw material sourcing efficiency, product waste reduction, lower package costs, and promotional allowance leverage.</t>
  </si>
  <si>
    <t>Q4 carries recurring seasonality vs Q3 - reduced display activity competing with seasonal items pressures both revenue and margin; not a one-time anomaly.</t>
  </si>
  <si>
    <t>Robust innovation pipeline: Celsius Essentials 16-oz line (49% ACV, described as incremental, not cannibalizing), new Vibe flavors, Fizz Free non-carbonated line.</t>
  </si>
  <si>
    <t>Non-tracked channels strong: Club +83.6% FY, Amazon #1 energy position at $100.1M (+72.9%), food service now 12.5%+ of PepsiCo sales.</t>
  </si>
  <si>
    <t>2024 shelf-space planning was conducted in Q3 2023 at a double-digit share vs 2023 planograms set at ~4.5 share - a structural tailwind to 2024 shelf space.</t>
  </si>
  <si>
    <t>Spring resets run January through May; placed &gt;10,000 branded coolers (+300%); cold availability is the biggest opportunity ('if it's cold, it's sold').</t>
  </si>
  <si>
    <t>International expansion methodical: Canada launched mid-January 2024 (exceeding expectations), UK/Ireland via Suntory beginning gradually in Q2 in the fitness channel.</t>
  </si>
  <si>
    <t>Management deliberately cautious on guidance ('prudent to give ourselves additional time') citing macro uncertainty on operational and promotional fronts.</t>
  </si>
  <si>
    <t>Management declined to give a forward market share target or comment on future price increases despite a competitor having taken a rate increase.</t>
  </si>
  <si>
    <t>Convenience is the biggest opportunity - Celsius only at a ~10 share in convenience vs ~16 in food and ~20 on Amazon.</t>
  </si>
  <si>
    <t>ROI discipline emphasized - 'John and I require an ROI on everything we do'; will invest ahead of growth where the opportunity exists, otherwise lever.</t>
  </si>
  <si>
    <t>Gross margin step-down &amp; channel inventory disconnect</t>
  </si>
  <si>
    <t>Why did Q4 gross margin step back from Q3 even after adjusting for the prior-quarter promotional allowances accrual, and how to model 2024? Separately, scanner data plus disclosed Amazon/Costco sales imply a 'fairly big disconnect' to actual Q4 sell-in - did Celsius under-ship somewhere in the channel?</t>
  </si>
  <si>
    <t>Management was pleased with margins (full year up &gt;660 bps); cited the Essentials launch and Q4 innovation launches with room to improve. Q4 saw seasonal channel-inventory impact mainly in food and large format. On a net-net days-on-hand basis with the largest distributor, inventory was in good shape - innovation pipe-fill offset legacy reductions. Follow-up: as of 12/31 days on hand were consistent; January innovation rollout has been successful and incremental.</t>
  </si>
  <si>
    <t>Market share trajectory &amp; international contribution</t>
  </si>
  <si>
    <t>How to think about the share trajectory from here and what is the new target now that 10% is passed? Follow-up: international revenue contribution, additional 2024 markets, and why Suntory for UK/Ireland?</t>
  </si>
  <si>
    <t>Declined forward share guidance; pointed to current trajectories - ~20 share on Amazon, 12 key markets ahead of 15 share, only ~10 share in convenience (the biggest opportunity), ~16 in food, all excluding the new Essentials line. Canada entered with strong acceptance; Suntory chosen for UK partly for gym-community access; methodical, build-loyal-foundation-first approach.</t>
  </si>
  <si>
    <t>Non-measured channels &amp; 2024 margin profile</t>
  </si>
  <si>
    <t>How quickly can unmeasured channels (corporate cafeterias, universities, vending) ramp? And should investors expect an EBITDA/EBIT margin dip in 2024 from the Canada/UK/Ireland launches?</t>
  </si>
  <si>
    <t>Food service is now 12%+ of PepsiCo revenue with broad TAM; too early to size, clearer over 12-24 months. Canada and UK ramp on different trajectories - Canada benefits from an existing co-packer and US proximity, UK launches from zero. International investment will not be a significant component of growth or cost infrastructure in 2024; prepared-remarks numbers can absorb it. UK already shows higher-than-expected brand awareness.</t>
  </si>
  <si>
    <t>Gross margin vs competitor pricing &amp; Amazon drivers</t>
  </si>
  <si>
    <t>With a larger competitor having taken a rate increase and sentiment another will follow, how does Celsius manage price gaps and is there margin upside? Follow-up: drivers of the better-than-expected non-measured/Amazon revenue?</t>
  </si>
  <si>
    <t>Celsius positions as a premium-priced product, competitively priced per ounce, with multiple levers beyond frontline pricing (promotional strategies, pricing architecture by channel/pack size, Essentials line extension); no comments on future price increases. Amazon had a great quarter with shipment timing dynamics; Celsius is #1 energy on Amazon at ~20 share - continued growth opportunity.</t>
  </si>
  <si>
    <t>S&amp;M run-rate &amp; Celsius Essentials ramp</t>
  </si>
  <si>
    <t>Is the Q4 23% S&amp;M rate the right full-year 2024 assumption? Follow-up: where can Essentials ACV go - can it reach 80%+ by year-end?</t>
  </si>
  <si>
    <t>Q1 carries activations (Super Bowl, Jake Paul fight, MLS kickoff, F1); full-year historical range is 22%-24%, 20% YTD 2023 - use those data points; spending is ROI-driven. Essentials is the first new line launched with PepsiCo, well received and incremental (not cannibalizing); only 8-12 weeks of data - the summer resets will give a better read.</t>
  </si>
  <si>
    <t>Food service step-up &amp; new SKU incrementality</t>
  </si>
  <si>
    <t>Eric Serotta (Morgan Stanley)</t>
  </si>
  <si>
    <t>What drove the food-service step-up (from ~10% to 12.5% of PepsiCo revenue) and which channels? What incrementality do new Vibe and Core SKUs show, and what is the SKU-count limit?</t>
  </si>
  <si>
    <t>Food service step-up reflects continued momentum - college program fully in place in Q4, growth across hospitals, Jersey Mike's, Dunkin'; vending also routes through food service. The 10%-to-12% move illustrates the non-tracked opportunity. Vibe will be a separate line to scale; Core team keeps producing strong flavors; Celsius does annual SKU rationalization, cutting slow-moving tail SKUs.</t>
  </si>
  <si>
    <t>Branded coolers &amp; cooler planograms</t>
  </si>
  <si>
    <t>Jim Salera (Stephens)</t>
  </si>
  <si>
    <t>What is the channel strategy for placing branded coolers, and what uplift/velocity/repeat rates do branded-fridge locations show? Follow-up: are cooler SKUs consistent across the portfolio or do they vary?</t>
  </si>
  <si>
    <t>Cold placement is a long-running initiative - Celsius historically sold warm, building a loyal consumer who chills it at home. Placed ~10,000 coolers, investing in more, wants placement at checkout at eye level ('if it's cold, it's sold'); substantial but hard-to-quantify uplift. Coolers follow a standard national planogram with size-based progressions, some regional seasonality, and retailer-exclusive flavors; Core, Vibe, Fizz Free and Essentials each have their own planogram.</t>
  </si>
  <si>
    <t>UBS Global Consumer and Retail Conference 2024</t>
  </si>
  <si>
    <t>2024-03-14</t>
  </si>
  <si>
    <t>US Tracked-Channel ACV</t>
  </si>
  <si>
    <t>essentially full distribution in tracked channels</t>
  </si>
  <si>
    <t>Avg SKUs per Location (Celsius)</t>
  </si>
  <si>
    <t>vs ~25 for Red Bull/Monster</t>
  </si>
  <si>
    <t>Tracked Sales Through Convenience (Celsius)</t>
  </si>
  <si>
    <t>~58%</t>
  </si>
  <si>
    <t>vs ~70% for Red Bull/Monster</t>
  </si>
  <si>
    <t>Food Service % of Pepsi Sales</t>
  </si>
  <si>
    <t>~12%</t>
  </si>
  <si>
    <t>~6-7% of total company sales</t>
  </si>
  <si>
    <t>Independent Convenience Store Universe</t>
  </si>
  <si>
    <t>~250,000 stores</t>
  </si>
  <si>
    <t>massive opportunity via Pepsi</t>
  </si>
  <si>
    <t>Celsius Essentials ACV (early 2024)</t>
  </si>
  <si>
    <t>rolled out nationally in Q1 2024</t>
  </si>
  <si>
    <t>US Total Energy Share</t>
  </si>
  <si>
    <t>national, early 2024</t>
  </si>
  <si>
    <t>Markets Above 15% Share</t>
  </si>
  <si>
    <t>12 markets</t>
  </si>
  <si>
    <t>several near 20, large markets</t>
  </si>
  <si>
    <t>Q3 2023 data, last referenced</t>
  </si>
  <si>
    <t>Consumer / Product Stats</t>
  </si>
  <si>
    <t>New Consumers Incremental to Category</t>
  </si>
  <si>
    <t>~20% taken from other brands</t>
  </si>
  <si>
    <t>Consumer Gender Split</t>
  </si>
  <si>
    <t>~50/50 male/female</t>
  </si>
  <si>
    <t>more female-skewed in prior years</t>
  </si>
  <si>
    <t>Current Caffeine Content per Can</t>
  </si>
  <si>
    <t>Energy Drinks on Promotion (category norm)</t>
  </si>
  <si>
    <t>~26 weeks/year</t>
  </si>
  <si>
    <t>Margin / Expense</t>
  </si>
  <si>
    <t>Q4 2023 S&amp;M % of Sales</t>
  </si>
  <si>
    <t>vs ~20% recent quarters; Monster at ~9%</t>
  </si>
  <si>
    <t>Monster Gross Margin (reference)</t>
  </si>
  <si>
    <t>~59%</t>
  </si>
  <si>
    <t>~55% equivalent for Celsius ex hop-on-freight</t>
  </si>
  <si>
    <t>Q1 similar to Q4 2023 (~48%)</t>
  </si>
  <si>
    <t>Gross Profit Margin (long term)</t>
  </si>
  <si>
    <t>~55% (Monster-like, adj for hop-on-freight)</t>
  </si>
  <si>
    <t>Operating Margin (long term)</t>
  </si>
  <si>
    <t>Mid-30s (Monster-like)</t>
  </si>
  <si>
    <t>S&amp;M % of Sales (long term)</t>
  </si>
  <si>
    <t>Could 'dial in' toward 13%-14% over time</t>
  </si>
  <si>
    <t>Celsius has emerged as a genuine third competitive force in an energy category long dominated by Monster and Red Bull, differentiated by fitness-centric, better-for-you, premium brand DNA.</t>
  </si>
  <si>
    <t>Celsius launched in fitness and vitamin-specialty channels rather than convenience, building a health-and-wellness positioning before premiumizing around a 'live fit lifestyle'.</t>
  </si>
  <si>
    <t>Substantial breadth-of-distribution runway: ~16 SKUs per location vs ~25 for peers; 2024 growth is about more SKUs and more facings, not new ACV.</t>
  </si>
  <si>
    <t>~80% of new consumers are incremental to the energy category; consumer base is now a deliberate ~50/50 male/female split, broader than the prior female-skewed base.</t>
  </si>
  <si>
    <t>Convenience is the biggest opportunity - only ~58% of tracked sales vs ~70% for peers, because convenience was Celsius's last channel entered; ~250,000 independent c-stores reachable via Pepsi.</t>
  </si>
  <si>
    <t>Food service is primarily a brand-equity/marketing play - placing product everywhere people 'live, work, play' drives awareness and retail conversion.</t>
  </si>
  <si>
    <t>The PepsiCo relationship is 'great' - unlocked food service and college-campus access; Pepsi provides incremental placements, coolers, displays while Celsius reps call on Tier 1/2 chains.</t>
  </si>
  <si>
    <t>Energy as a category is gaining shelf space from shrinking adjacent categories (coffee, CSDs, dairy, tea, water); Celsius targets weak 'wounded gazelle' brands, not Red Bull/Monster space.</t>
  </si>
  <si>
    <t>Spring shelf resets will 'stair-step' up monthly through end of May (Circle K resets in May); benefits visible progressively in two-to-four-week scanner data.</t>
  </si>
  <si>
    <t>Elevated promotional spend tied to the Essentials 16-oz national rollout is deliberate 'short-term pain for long-term gain' to induce trial; expected to normalize as the year goes on.</t>
  </si>
  <si>
    <t>Management reiterated belief it can reach a Monster-like ~55% gross margin and mid-30s operating margin over time, but explicitly declined to bound the timeline or give guidance.</t>
  </si>
  <si>
    <t>Management is not concerned about the Bang relaunch under Monster - would be 'amazed' if Bang recaptured its prior ~10% share; will not seed back shelf space won during Bang's troubles.</t>
  </si>
  <si>
    <t>Management views Celsius as economically resilient (energy held up in 2008) and a natural fit for GLP-1/weight-loss consumers given its healthy-halo, fitness positioning.</t>
  </si>
  <si>
    <t>Exploring a lower-caffeine product vs the current 200 mg offering as a potential incremental SKU, but no timeline committed.</t>
  </si>
  <si>
    <t>UK and Ireland launch via Suntory in Q2 2024 - the UK is one of the largest energy markets in the world; Canada launch has exceeded expectations.</t>
  </si>
  <si>
    <t>What Celsius did differently</t>
  </si>
  <si>
    <t>Peter Grom (UBS, host)</t>
  </si>
  <si>
    <t>In an industry dominated by two players that almost every beverage company has tried and failed to enter, what has Celsius done differently?</t>
  </si>
  <si>
    <t>Kyle Watson: Celsius was 'ahead of its time,' launched in fitness and vitamin-specialty channels rather than the typical convenience route, building a health-and-wellness positioning; it then premiumized around a 'live fit lifestyle,' becoming the category's first true disruptor as a genuine energy drink with a better-for-you healthy halo while keeping its fitness-centric DNA.</t>
  </si>
  <si>
    <t>Core customer profile</t>
  </si>
  <si>
    <t>Who is Celsius's core customer today and has that changed as brand awareness has grown?</t>
  </si>
  <si>
    <t>Kyle Watson: the demographic is now wide; five years ago it over-indexed on females 25-40; the strategy now focuses on bringing Gen Z into the category while retaining the existing demographic, and also benefits from consumers aging out of traditional energy brands into Celsius.</t>
  </si>
  <si>
    <t>Customer sourcing</t>
  </si>
  <si>
    <t>Where is Celsius sourcing customers from - traditional energy consumers vs outside the category?</t>
  </si>
  <si>
    <t>Kyle Watson: ~80% of consumers are increasing frequency or new to category (all incremental), ~20% taken from other brands; insights suggest pulling from RTD coffee and coffee; food service is a 'massive opportunity' given Celsius's fruit-forward, refreshing flavor pairs better with food.</t>
  </si>
  <si>
    <t>Distribution channel mix</t>
  </si>
  <si>
    <t>What does the tracked vs non-tracked channel mix look like, and is there a target mix over the next several years?</t>
  </si>
  <si>
    <t>Toby David: Celsius has not given public mix data, but ~70% of Red Bull/Monster tracked sales come through convenience vs ~58% for Celsius - not weak performance, but because convenience was its last channel entered; convenience is the biggest opportunity and also drives trial that flows to Amazon and Costco.</t>
  </si>
  <si>
    <t>Food service opportunity size</t>
  </si>
  <si>
    <t>How does Celsius's ~12% food-service mix compare to other energy companies, and how big can food service ultimately be?</t>
  </si>
  <si>
    <t>Kyle Watson framed food service primarily as a brand-equity/marketing play - touch points everywhere drive awareness and retail conversion. Toby David declined to speculate on competitors but noted Celsius is already past Bang's peak in the Pepsi portfolio; food service spans QSR, hospitals, hotels, casinos, colleges and universities.</t>
  </si>
  <si>
    <t>PepsiCo relationship health</t>
  </si>
  <si>
    <t>Can you touch on the health of the Celsius-Pepsi relationship?</t>
  </si>
  <si>
    <t>Toby David: the relationship is 'great,' with close work across all levels and frequent executive meetings; many ex-Rockstar/Pepsi staff at Celsius eased the transition. Pepsi unlocked food service and college campuses ('you can't get on campus unless you're in a red or blue truck') and expanded TDPs; Celsius reps still call on Tier 1/2 chains while Pepsi provides incremental placements, coolers and merchandising.</t>
  </si>
  <si>
    <t>2024 growth building blocks</t>
  </si>
  <si>
    <t>What are the US growth drivers for 2024 - TDP growth vs velocity - given ACV is high but TDPs lag the competition?</t>
  </si>
  <si>
    <t>Toby David: at 98% ACV Celsius is essentially at full tracked distribution, so 2024 focus is breadth within the store - more SKUs (~16 vs ~25 for peers) and more facings; declined guidance but said the total planogram reset would stair-step monthly through May; ~250,000 independent c-stores are a massive opportunity via Pepsi.</t>
  </si>
  <si>
    <t>Shelf resets vs competitor optimism</t>
  </si>
  <si>
    <t>Celsius sounds constructive on shelf resets, but so do competitors - is energy as a category gaining shelf space from other categories?</t>
  </si>
  <si>
    <t>Toby David: yes - energy as a category is gaining retail footprint across the board with coffee, CSDs, dairy, tea and water all shrinking; Celsius does not target Red Bull/Monster space but rather weak 'wounded gazelle' brands not paying their fair share of cooler rent.</t>
  </si>
  <si>
    <t>Better placement within the cooler</t>
  </si>
  <si>
    <t>Within the energy cooler, is Celsius expecting better placement as well as more space?</t>
  </si>
  <si>
    <t>Toby David: better placement is the objective - in regions where Celsius is still in its infancy product is often in the 'basement or the crack' with few facings; the goal is eye-level placement touching Red Bull and Monster.</t>
  </si>
  <si>
    <t>When reset benefits appear in data</t>
  </si>
  <si>
    <t>When should reset benefits start to appear in scanner data - coming weeks or April/May?</t>
  </si>
  <si>
    <t>Toby David: March and April are big reset months; a clearer picture by end of April; Circle K (second-largest US c-chain) typically resets in May, so totality is visible by end of May, appearing as a stair-step in two-to-four-week data.</t>
  </si>
  <si>
    <t>Market share glide path</t>
  </si>
  <si>
    <t>How quickly can Celsius reach mid-teens national share from ~11.5, given another 400 bps will be hard without the same distribution benefit?</t>
  </si>
  <si>
    <t>Toby David declined guidance but offered color: Celsius cites Amazon and Costco for apples-to-apples comparison free of shelf constraints (#1 on Amazon); as it gains shelf space the gap should narrow; 12 markets are above 15% share, several near 20, in some of the largest US markets - a proof of concept, timing uncertain.</t>
  </si>
  <si>
    <t>Convenience channel ceiling</t>
  </si>
  <si>
    <t>Is there anything about the convenience channel that would limit Celsius's ability to reach the share it sees online or in FDM?</t>
  </si>
  <si>
    <t>Toby David: Celsius's 7-Eleven share is 'sizable' and larger than its national average, showing it can compete with the big players in convenience; earlier investor concern that Celsius was too fitness/female-oriented for convenience is contradicted by the data.</t>
  </si>
  <si>
    <t>Competitive landscape &amp; Bang relaunch</t>
  </si>
  <si>
    <t>What is your view on the competitive landscape, including Bang coming back under Monster, and could the refresh alter Celsius's momentum?</t>
  </si>
  <si>
    <t>Kyle Watson: Celsius is 'paranoid about everything,' calls the Monster-led Rain relaunch a 'huge immediate threat' but is 'not as concerned' - Rain looks like a value imitation while Celsius built a brand with loyal communities. Toby David: would be 'amazed' if Bang recaptured its prior magic; any share Bang gains likely comes from Monster/Rain or Ghost/C4, 'not from us'; the Essentials launch coincided with Bang's return - 'best defense is a good offense.'</t>
  </si>
  <si>
    <t>Promotion vs advertising &amp; international opportunity</t>
  </si>
  <si>
    <t>How do you think about promotion vs advertising given the growth stage, and how to think about the international opportunity (Canada, UK, Ireland) and brand-building there?</t>
  </si>
  <si>
    <t>Toby David: promotional activity picked up due to the Q4 Essentials launch (exclusive 7-Eleven, promoted nearly the whole quarter) - deliberate short-term pain for trial; with national rollout in Q1 (~40% ACV) promo spend is up short term but should normalize; Q1 gross margin will look similar to Q4. Canada exceeded expectations; UK/Ireland entered in Q2 via Suntory. Kyle Watson: brand positioning stays the same internationally, applying the proven US fitness-DNA playbook.</t>
  </si>
  <si>
    <t>Gross margin near term &amp; long-term target</t>
  </si>
  <si>
    <t>Why is gross margin subdued near term, and is a Monster-like US gross margin north of 60% a reasonable long-term target?</t>
  </si>
  <si>
    <t>Toby David: near-term pressure is from elevated above-the-line promotional spend on the Essentials launch; Monster's ~59% gross margin equates to ~55% for Celsius after removing hop-on-freight - a target management believes it can meet over time; operating margin target is mid-30s. Q4 S&amp;M ticked up to 23% (from ~20%) to invest behind rapid growth vs Monster at ~9%; Monster's margin edge reflects vertical integration.</t>
  </si>
  <si>
    <t>S&amp;M leverage over time</t>
  </si>
  <si>
    <t>Where can the S&amp;M line go over time, and is Monster's ~9% achievable?</t>
  </si>
  <si>
    <t>Toby David: no color on reaching a Monster-like S&amp;M profile, but Celsius can 'dial in quite a bit' over time - even 13%-14% would be a 10%+ improvement on Q4's 23%; historically 22%-24%, then ~20% for the last five-to-six quarters; spend is 'for scale, and this is to win' (Monster ran nearly 100 people in South Florida in Q4).</t>
  </si>
  <si>
    <t>Energy drinker loyalty &amp; frequency (audience)</t>
  </si>
  <si>
    <t>How loyal is an energy-drink drinker to their drink of choice, and what is the frequency for a loyal drinker?</t>
  </si>
  <si>
    <t>Kyle Watson: a loyal/heavy consumer is roughly two a day (Celsius does not recommend more than two daily); much of Celsius's growth comes from increased frequency among current users. Toby David: the data-analytics team knows the competitive set and gives marketing detailed targeting marching orders.</t>
  </si>
  <si>
    <t>Lower-caffeine SKU (audience)</t>
  </si>
  <si>
    <t>Does Celsius need lower-caffeine SKU options vs the current 200 mg offering to increase per-capita consumption, and the timeline?</t>
  </si>
  <si>
    <t>Toby David declined a timeline; a lower-caffeine product is something Celsius has discussed and is 'interested in' - potentially an incremental SKU for a second daily consumption or caffeine-sensitive consumers - but no commitment made.</t>
  </si>
  <si>
    <t>GLP-1 / weight-loss drugs (audience)</t>
  </si>
  <si>
    <t>Are you concerned about GLP-1 / weight-loss drugs affecting consumption?</t>
  </si>
  <si>
    <t>Toby David: those drugs restrict calories and energy, so users would likely pivot to energy drinks; Celsius, with its healthy halo and fitness background, is 'the natural fit' for weight-loss-focused consumers - the industry is watching with concern 'not for us.'</t>
  </si>
  <si>
    <t>Promotional margin weakness &amp; consumer budgets (audience)</t>
  </si>
  <si>
    <t>Is the margin/promotion weakness because consumers are tight on budget, making it harder to drive trial of new products?</t>
  </si>
  <si>
    <t>Toby David: energy is a heavily promoted category (~26 weeks/year on promotion); the lever is the depth/breadth of promotion, finding the 'sweet spot.' Celsius is not driven by the economic situation - energy held up even in the 2008 downturn. Red Bull has taken price and Celsius is watching peers, but that does not mean Celsius will take price.</t>
  </si>
  <si>
    <t>Q1 2024 Earnings Call</t>
  </si>
  <si>
    <t>2024-05-07</t>
  </si>
  <si>
    <t>Income Statement</t>
  </si>
  <si>
    <t>$355.7M</t>
  </si>
  <si>
    <t>$259.9M</t>
  </si>
  <si>
    <t>$339.5M</t>
  </si>
  <si>
    <t>~$247.8M</t>
  </si>
  <si>
    <t>$16.2M</t>
  </si>
  <si>
    <t>~$11.4M</t>
  </si>
  <si>
    <t>$182.2M</t>
  </si>
  <si>
    <t>$113.8M</t>
  </si>
  <si>
    <t>51.2%</t>
  </si>
  <si>
    <t>43.8%</t>
  </si>
  <si>
    <t>+7.4 ppt</t>
  </si>
  <si>
    <t>+3 ppt</t>
  </si>
  <si>
    <t>~$23.2M</t>
  </si>
  <si>
    <t>~$21.3M</t>
  </si>
  <si>
    <t>G&amp;A (% of Sales)</t>
  </si>
  <si>
    <t>~$88M</t>
  </si>
  <si>
    <t>$48.7M</t>
  </si>
  <si>
    <t>81%</t>
  </si>
  <si>
    <t>Net Income to Common Shareholders</t>
  </si>
  <si>
    <t>$65M</t>
  </si>
  <si>
    <t>~$31.6M</t>
  </si>
  <si>
    <t>$0.27</t>
  </si>
  <si>
    <t>$0.13</t>
  </si>
  <si>
    <t>Cash Flow / Balance Sheet</t>
  </si>
  <si>
    <t>Cash on Hand (Mar 31, 2024)</t>
  </si>
  <si>
    <t>~$879.5M</t>
  </si>
  <si>
    <t>Cash Flow from Operating Activities</t>
  </si>
  <si>
    <t>$135M</t>
  </si>
  <si>
    <t>Share / Distribution Metrics</t>
  </si>
  <si>
    <t>MULOC Energy Category Share (4 wks end Apr 14)</t>
  </si>
  <si>
    <t>11.5% (vs ~7.5% prior yr)</t>
  </si>
  <si>
    <t>MULOC Share intra-quarter (late Apr/early May)</t>
  </si>
  <si>
    <t>~11.8%</t>
  </si>
  <si>
    <t>98.4%</t>
  </si>
  <si>
    <t>Celsius Essentials ACV (mid-April)</t>
  </si>
  <si>
    <t>54.5%</t>
  </si>
  <si>
    <t>Amazon Energy Category Share (Stackline 12-wk)</t>
  </si>
  <si>
    <t>20.2% (Monster 20%, Red Bull 12.3%)</t>
  </si>
  <si>
    <t>Canada Market Share (Nielsen, first 2 periods)</t>
  </si>
  <si>
    <t>5.5%</t>
  </si>
  <si>
    <t>PepsiCo % of North America Business</t>
  </si>
  <si>
    <t>~62%</t>
  </si>
  <si>
    <t>Food Service as % of Pepsi Sales</t>
  </si>
  <si>
    <t>Household Penetration (all-time high)</t>
  </si>
  <si>
    <t>29.7%</t>
  </si>
  <si>
    <t>Branded Coolers Placed Q1</t>
  </si>
  <si>
    <t>~3,000</t>
  </si>
  <si>
    <t>Celsius Share of Category Growth</t>
  </si>
  <si>
    <t>Non-Tracked Channels</t>
  </si>
  <si>
    <t>$63M</t>
  </si>
  <si>
    <t>$46.5M</t>
  </si>
  <si>
    <t>36%</t>
  </si>
  <si>
    <t>$28M</t>
  </si>
  <si>
    <t>$21.8M</t>
  </si>
  <si>
    <t>Cost / Category Growth Composition</t>
  </si>
  <si>
    <t>Freight Costs (% of Net Invoiced Sales)</t>
  </si>
  <si>
    <t>Decreased 120 bps YoY</t>
  </si>
  <si>
    <t>COGS</t>
  </si>
  <si>
    <t>Decreased 470 bps YoY</t>
  </si>
  <si>
    <t>Convenience &amp; Gas Channel Share Gain</t>
  </si>
  <si>
    <t>+69% / +4 points</t>
  </si>
  <si>
    <t>Growth Composition</t>
  </si>
  <si>
    <t>~35% intensification, ~42% new-to-category, ~23% brand shift</t>
  </si>
  <si>
    <t>Sales Staff Headcount</t>
  </si>
  <si>
    <t>3x prior-year level</t>
  </si>
  <si>
    <t>FY2024 year-end</t>
  </si>
  <si>
    <t>20%-23%</t>
  </si>
  <si>
    <t>High 40s</t>
  </si>
  <si>
    <t>FY2024 (Q2-Q4)</t>
  </si>
  <si>
    <t>Q1 2023 Inventory Buildup (context)</t>
  </si>
  <si>
    <t>Record first quarter - revenue $355.7M up 37% YoY, strong 'especially after growing at triple-digit for the past three consecutive years.'</t>
  </si>
  <si>
    <t>Celsius alone drove ~47% of total energy-category growth; reached an 11.5% MULOC share (a full point above Q4 2023, ~4 points above prior year).</t>
  </si>
  <si>
    <t>Record gross margin of 51.2% (up from 43.8%) on reduced freight and raw-material costs; adjusted EBITDA up 81% to ~$88M; net income up 106% to $65M.</t>
  </si>
  <si>
    <t>Central headwind: inventory movements by largest customer PepsiCo (~62% of Q1 NA revenue) - Q1 revenue would have been higher absent these; YoY variation due to elevated Q1 2023 restocking that did not repeat. Management told analysts not to 'bake in a reversal.'</t>
  </si>
  <si>
    <t>Watch items: rising fuel and aluminum costs (aluminum largely locked in around Q4), cost of a new March Pepsi incentive program, and higher promotional period entering '100 days of summer.'</t>
  </si>
  <si>
    <t>Spring shelf resets ~one-third complete at quarter-end, expected fully done by end of June - 'best shelf space gains in company history,' with full scanner-data effect from July.</t>
  </si>
  <si>
    <t>New March PepsiCo incentive program aligns shared priorities toward becoming the #1 global energy brand; ramps over first 6-8 months, 'cruising' by the back half, with an associated cost.</t>
  </si>
  <si>
    <t>Celsius Essentials (16-oz) reached 54.5% ACV by mid-April (a 5.5-point share increase since February); new 12-oz flavors (Galaxy Vibe, Blue Razz Lemonade, Sparkling Raspberry Peach, Astro Vibe).</t>
  </si>
  <si>
    <t>Margin guidance deliberately conservative - reiterated February 'high 40s' framework, declining to lock into the 50s despite the 51.2% print.</t>
  </si>
  <si>
    <t>International: UK/Ireland live as of April; Australia, New Zealand, France planned to begin gradually in Q4 2024 with phased 2025 expansion; Canada (launched January) reached 5.5% share.</t>
  </si>
  <si>
    <t>Faster shipment cycles (seven days vs prior ~14) will impact revenue-recognition timing relative to depletions.</t>
  </si>
  <si>
    <t>Sales and key-accounts team grew ~85% YTD; 3x sales staff planned by year-end versus prior year.</t>
  </si>
  <si>
    <t>Inventory Reversal &amp; Margin One-Time Items</t>
  </si>
  <si>
    <t>Kaumil Gajrawala (Jefferies)</t>
  </si>
  <si>
    <t>Asked how Q2 has progressed on consumption, whether inventories are now tight/low into more resets, whether some of the ~$20M reverses in Q2; and whether the margin beat contained one-time items or was pure leverage.</t>
  </si>
  <si>
    <t>CEO Fieldly said Celsius does not control PepsiCo inventory but believes everyone is optimizing; Celsius itself optimized inventory ~$47M over 15 months. CFO Langhans said depletions are 'rock-solid' but April is 'a new normal' and explicitly 'I wouldn't bake in a reversal.' On margins: favorable Q1 freight (fluctuates quarter to quarter, depends on back-half fuel) and raw-material leverage, but with 100-days-of-summer promotional intensity rising, would not 'put the line in the sand' at the Q1 rate - sticking with the 'high 40s' framework for Q2-Q4.</t>
  </si>
  <si>
    <t>Under-Shipment vs. End Demand &amp; Service Levels</t>
  </si>
  <si>
    <t>Said rough math implies Celsius under-shipped demand per scanner data for two quarters; asked what management says to the visible gap, and whether PepsiCo's shelf management has affected out-of-stocks/service levels.</t>
  </si>
  <si>
    <t>Fieldly said PepsiCo is at 'really good inventory levels,' Celsius is maintaining deliveries and keeping product in stock, scan data is strong, and the company just broke a record at 11.5% share - product is flowing. Both sides are learning each other's supply chains. No out-of-stocks beyond normal course. Langhans aligned - no service issues as PepsiCo optimizes.</t>
  </si>
  <si>
    <t>Markets Near 15% Share, Spring Resets &amp; Coolers</t>
  </si>
  <si>
    <t>Asked for color on markets near a 15% share and what was done; where spring-reset gains are most significant (SKUs, facings, shelf quality); and the 2024 cooler plan including non-Celsius coolers.</t>
  </si>
  <si>
    <t>Fieldly said Celsius is in 12 major US metros above 15% share with several others approaching, driven by deeper Pepsi collaboration, larger teams and a methodical activation approach. Convenience is the biggest reset opportunity (e.g., the Publix move from HPC into the energy set with front-checkout coolers); full resets expected done by end of June. Declined to give a cooler number but said a 'substantial' number is planned; ~3,000 coolers placed in Q1.</t>
  </si>
  <si>
    <t>Aluminum Exposure, Pepsi Incentive Margin Impact &amp; Costco/Food Service</t>
  </si>
  <si>
    <t>Asked the magnitude of COGS exposure to aluminum and timing; what the Pepsi agreement amendment means for margin; and the drivers of the sequential Costco decline and flat food service.</t>
  </si>
  <si>
    <t>CFO Langhans clarified his earlier April comment referred only to days-on-hand being consistent March-into-April. Celsius has locked in a lot of its aluminum pricing (typically around Q4), so it is in good shape despite rising fuel. The Pepsi incentive program is incentive-based with an associated cost, ramping over the first 6-8 months and 'cruising' by the back half. Costco/club softness reflects a strong Q4 Thanksgiving/Black Friday bump and Q1 club seasonality; food service remains strong (~12% is good).</t>
  </si>
  <si>
    <t>Shelf-Reset Phasing, Destocking Floor &amp; Incentive-Program Rationale</t>
  </si>
  <si>
    <t>Jonathan Keypour (BofA) / Michael Lavery (Piper Sandler)</t>
  </si>
  <si>
    <t>Keypour asked whether further TDP/average-items movement implies new flavors/innovation or double/triple facing. Lavery asked whether to expect more destocking (how low could it go) and the rationale for the Pepsi incentive program given existing strong momentum.</t>
  </si>
  <si>
    <t>Fieldly said the reset goal is double/triple facing and secondary/better placements (which may not lift average items per store in scanner data), citing the Publix HPC-to-energy-aisle transition; innovation also launching (Essentials, Galaxy Vibe). On destocking, Celsius cannot control it - sales flowing strongly at the register, balancing appears finalized, things seem 'somewhat stable' exiting March. On the incentive program, framed as standard practice that further aligns priorities within PEP Energy; Langhans added it is about full alignment to go after the #1 and #2 players.</t>
  </si>
  <si>
    <t>Category Growth Composition &amp; Drill-Deep Markets</t>
  </si>
  <si>
    <t>Jon Andersen (William Blair)</t>
  </si>
  <si>
    <t>Asked how much of Celsius's ~half of category growth is new consumers versus buy-rate through new occasions, and household penetration/repeat performance; and what is being done differently in the 31 drill-deep markets and expected share results.</t>
  </si>
  <si>
    <t>Fieldly said growth is largely incremental, not brand-shifting: latest data showed ~35% intensification (core consumers consuming more), ~42% new-to-category, ~23% brand shift. Celsius is expanding the category, aided by the Pepsi partnership (Jersey Mike's, Dunkin'), better-for-you attributes and the fitness trend. Household penetration reached an all-time high of 29.7%. Declined to detail drill-deep market strategies (competitors listening) - a proprietary approach starting with the employee and a great product, touching consumers where they live, work and play.</t>
  </si>
  <si>
    <t>Year-Ago Inventory Comp &amp; Reset Phasing/Share Outlook</t>
  </si>
  <si>
    <t>Asked the CFO to remind investors what the inventory dynamic is comping against and whether the scanner-data gap continues or aligns through the year; and on resets, when the one-third occurred in Q1, whether the steady 11.5% share reflects a benefit, the phasing of benefits, and whether reset track growth/share can be contextualized.</t>
  </si>
  <si>
    <t>CFO Langhans said Celsius was just getting started with PepsiCo last year. Q1 2023 saw ~$25M of inventory buildup, minor buildup across Q2/Q3 then steady through Q4 (some innovation pipe-fill). Q1 2024 saw clear optimization. No product-on-shelf issues; April days-on-hand maintained at March levels. On resets, the four-week share has climbed to roughly 11.8% in the last couple of weeks, progress continues through April into May; once resets fully baked in by early July the company will see where it stands - reiterating expectations for the best space gains in company history and a 'phenomenal back half.'</t>
  </si>
  <si>
    <t>2024-05-14</t>
  </si>
  <si>
    <t>Share / Sales Metrics</t>
  </si>
  <si>
    <t>Energy-Category Market Share (Q1 close)</t>
  </si>
  <si>
    <t>11.5% (up ~4 pts YoY)</t>
  </si>
  <si>
    <t>Energy-Category Market Share (most recent scan week)</t>
  </si>
  <si>
    <t>12.1%</t>
  </si>
  <si>
    <t>Q1 Revenue Growth (reported)</t>
  </si>
  <si>
    <t>37% (lapping 95% prior year)</t>
  </si>
  <si>
    <t>Q1 IRI Sell-Through Growth</t>
  </si>
  <si>
    <t>Q1 2024 Gross Margin</t>
  </si>
  <si>
    <t>a bit over 51%</t>
  </si>
  <si>
    <t>~29% (up ~11 pts, almost double)</t>
  </si>
  <si>
    <t>Average Items per Store</t>
  </si>
  <si>
    <t>~20 (Monster/Red Bull 28%-30%)</t>
  </si>
  <si>
    <t>Convenience-Channel Share</t>
  </si>
  <si>
    <t>New York City Market Share</t>
  </si>
  <si>
    <t>close to ~20 share</t>
  </si>
  <si>
    <t>Amazon Market Share</t>
  </si>
  <si>
    <t>~20 share</t>
  </si>
  <si>
    <t>Stock Performance YTD</t>
  </si>
  <si>
    <t>+58%</t>
  </si>
  <si>
    <t>Distribution / Operations</t>
  </si>
  <si>
    <t>Pepsi Share of North America Distribution</t>
  </si>
  <si>
    <t>Inventory Optimization (trailing 15 months)</t>
  </si>
  <si>
    <t>$47M</t>
  </si>
  <si>
    <t>Q1 2023 Artificial Pepsi Inventory Build (context)</t>
  </si>
  <si>
    <t>$20-25M</t>
  </si>
  <si>
    <t>Canada Market Share / Run Rate</t>
  </si>
  <si>
    <t>~4%-5% share / ~$25M run rate</t>
  </si>
  <si>
    <t>Canada Category Size (100% capture)</t>
  </si>
  <si>
    <t>~$500M</t>
  </si>
  <si>
    <t>Employee Headcount</t>
  </si>
  <si>
    <t>almost 800</t>
  </si>
  <si>
    <t>Category Growth (Industry, Mintel)</t>
  </si>
  <si>
    <t>Foreseeable future</t>
  </si>
  <si>
    <t>Convenience Resets Completion</t>
  </si>
  <si>
    <t>Done by June 2024</t>
  </si>
  <si>
    <t>Q2 2024</t>
  </si>
  <si>
    <t>International Q4 Launches</t>
  </si>
  <si>
    <t>Australia, France, New Zealand</t>
  </si>
  <si>
    <t>Full-Year Gross Margin</t>
  </si>
  <si>
    <t>Upper 40s %</t>
  </si>
  <si>
    <t>Management reframed a recent slowdown in scanner-data growth as a comp and channel-timing issue, not a structural demand problem.</t>
  </si>
  <si>
    <t>Emphasized 11.5% energy-category share (up four points YoY) and back-to-back record scan weeks, most recent at 12.1%.</t>
  </si>
  <si>
    <t>Central tension: reconciling 37% reported Q1 revenue growth with ~70% IRI consumer sell-through - depressed by lapping a $20-25M artificial Pepsi inventory build in Q1 2023.</t>
  </si>
  <si>
    <t>Management repeatedly stressed it cannot control Pepsi inventory decisions; reported revenue will 'catch up' to consumer demand 'whatever quarter that may be.'</t>
  </si>
  <si>
    <t>Largest shelf resets in company history underway (~50% complete); convenience resets (the biggest opportunity given ~10% convenience share vs 68% of category sold there) delayed by labor shortages, expected done by June.</t>
  </si>
  <si>
    <t>Margin guidance held in 'upper 40s' despite a 51%+ Q1 - constrained by reset-related slotting fees, trial promotions, and Essentials volume ramp.</t>
  </si>
  <si>
    <t>Celsius Essentials (16-oz) proven incremental, rolling into convenience for the larger-can value segment; deliberately different branding to avoid cannibalizing core lines.</t>
  </si>
  <si>
    <t>Pricing: Red Bull took a 2023 increase, Monster announced a Q4 2024 increase; Celsius declined to announce its own but said the team is 'very disciplined to take advantage' of pricing opportunity post-resets.</t>
  </si>
  <si>
    <t>International: Canada at ~5.5% share / ~$25M run rate within months; North America remains the priority. Management declined to commit to Monster's ~40% five-year international mix.</t>
  </si>
  <si>
    <t>'100 days of summer' positioned as the biggest in company history (MLS, F1/Ferrari, Jake Paul vs Mike Tyson fight, concert series).</t>
  </si>
  <si>
    <t>Margin levers: 'orbit' one-day-delivery freight model and co-packer renegotiations as volume scales; long-term aspiration to reach Monster-like gross margins at scale, though margin focus deferred to drive scale first.</t>
  </si>
  <si>
    <t>Red Bull terminated its longtime NYC distributor (going direct), framed by management as a potential opportunity for Celsius.</t>
  </si>
  <si>
    <t>Energy-Category Deceleration Drivers</t>
  </si>
  <si>
    <t>Goldman Sachs Analyst (Host)</t>
  </si>
  <si>
    <t>Asked, given decelerating energy-category scanner growth, what management views as the driver.</t>
  </si>
  <si>
    <t>2023 was a high-comp year, so deceleration partly reflects lapping difficult comps - view on a two-year stack. Management remains bullish - Mintel anticipates ~8.8% category growth for the foreseeable future. The category is 'blurring' toward total beverage as usage occasions expand into daily lifestyle/routine; Celsius is bringing in new consumers.</t>
  </si>
  <si>
    <t>Consumption Pattern Changes</t>
  </si>
  <si>
    <t>Asked whether management is seeing any noticeable changes in consumption patterns amid the step-down in growth.</t>
  </si>
  <si>
    <t>Data shows nothing significant; growth remains good. The brand is well positioned, bringing in new consumers and retaining consumers who would have aged out by positioning Celsius as a better fuel alternative. Still under-indexed in convenience (~68% of category sales); summer reset data will provide more clarity.</t>
  </si>
  <si>
    <t>Q1 Growth Trajectory &amp; Pepsi Sell-In</t>
  </si>
  <si>
    <t>Noted Q1 2024 revenue growth of 37% (lapping 95%) and asked how growth is continuing into April and May.</t>
  </si>
  <si>
    <t>The 37% is sell-in to Pepsi and other partners, depressed by a significant reduction in Pepsi days-on-hand and lapping a ~$20-25M artificial inventory build in Q1 2023; consumer sell-through (IRI) growth was ~70%. Management bullish - the brand continues to resonate and bring in new consumers; resets still underway.</t>
  </si>
  <si>
    <t>Spring Resets &amp; Pepsi Ordering</t>
  </si>
  <si>
    <t>Asked, given spring shelf-space gains, whether Pepsi will order more to fill the additional space.</t>
  </si>
  <si>
    <t>~50% of resets complete; the biggest are still to come in convenience. Scan data should be the focus - registers strong, a record scan week at earnings release and a most-recent week at 12.1% share, two back-to-back record weeks. Convenience resets run through end of May, done by June. Celsius won a supplier award at Casey's.</t>
  </si>
  <si>
    <t>Pepsi Inventory Levels &amp; Non-Pepsi Distribution</t>
  </si>
  <si>
    <t>Asked Pepsi's share of distribution and inventory levels with the rest of Celsius's distributors.</t>
  </si>
  <si>
    <t>Pepsi is ~62% of North America distribution; the rest is direct to Amazon and club plus regional distributors. Non-Pepsi inventory is consistent. Underlying demand is strong; Celsius cannot control Pepsi inventory swings, but consumer demand will flow through and reported revenue will catch up. Pepsi days-of-supply will stay consistent (rising in dollars with revenue). Celsius optimized inventory by $47M over 15 months. NYC share is close to 20.</t>
  </si>
  <si>
    <t>Red Bull NYC Distributor Change</t>
  </si>
  <si>
    <t>Noted possible changes with one of the big energy brands in the NYC market and a potential opportunity for Celsius.</t>
  </si>
  <si>
    <t>Confirmed Red Bull terminated its longtime NYC distribution partner to go direct. Such disruption can create opportunity, and Celsius will try to make it an opportunistic situation.</t>
  </si>
  <si>
    <t>Shelf Resets &amp; Space Gain Visibility</t>
  </si>
  <si>
    <t>Noted retailer feedback that Celsius is one of the biggest space gainers and asked about the ~50% reset visibility.</t>
  </si>
  <si>
    <t>The huge opportunity is convenience, where Celsius has ~10% share versus higher elsewhere; 68% of energy drinks sell in convenience. Grocery and mass reset earlier; convenience resets somewhat delayed by labor shortages but the biggest opportunity. Focus: set resets, build the retail 'billboard,' secure secondary cold placements.</t>
  </si>
  <si>
    <t>Space Gain Quantification &amp; Household Penetration</t>
  </si>
  <si>
    <t>Asked for a sense of the percentage increase in retail space this year, comparison to prior year, whether it met internal expectations, and whether it can be quantified.</t>
  </si>
  <si>
    <t>Declined an exact quantification but illustrated with examples - Publix and Kroger migrating Celsius from HBC to the beverage aisle. Celsius quadrupled its sales/key-accounts teams. On items per store, Celsius is ~20 versus 28%-30% for Monster/Red Bull; the bigger impact is improved placement ('out of the gutter,' 'bull's eye zone,' billboard, secondary placements). Household penetration ~29%, up over 11 points.</t>
  </si>
  <si>
    <t>Convenience Reset Examples &amp; Category Growth Share</t>
  </si>
  <si>
    <t>Sought further color on the reset gains and how they compare to expectations.</t>
  </si>
  <si>
    <t>No percentage given but ~50% of resets complete; this is the year of biggest gains ever. Circle K (second-largest convenience chain, ~13 divisions) had only ~half its divisions entered last year; in Florida Circle K, Celsius has 20-plus share in multiple markets but sits in the bottom-row gutter awaiting reset. Dollar General moved from warm to cold placements (~doubling availability); Maverik doubled space. Celsius drives ~47% of category growth.</t>
  </si>
  <si>
    <t>Noting Red Bull's 2023 increase and Monster's announced Q4 2024 increase, asked whether Celsius would consider following on pricing.</t>
  </si>
  <si>
    <t>Celsius constantly analyzes the market and does not want to be a drag; sees pricing opportunities going forward but timing and sequencing are critical, especially mid-resets. Launched Essentials 16-oz for convenience with promotional strategies for trial. Pricing/promotional architecture matters by channel and pack mix. Would not announce a price increase but said the team is disciplined to take advantage of pricing opportunity.</t>
  </si>
  <si>
    <t>Celsius Essentials Cannibalization</t>
  </si>
  <si>
    <t>Asked, given Essentials is incremental, how much it has potentially cannibalized core brands.</t>
  </si>
  <si>
    <t>Management ecstatic about Essentials' performance and incrementality since the Q4 2023 7-Eleven launch; it attracts a different consumer wanting more volume (16-oz can), with deliberately different branding/packaging to avoid cannibalization. Fieldly added the flavor profile is 'spot on.'</t>
  </si>
  <si>
    <t>Stepped-Up Competition</t>
  </si>
  <si>
    <t>Asked for thoughts on stepped-up competition (Reign Storm, Bang, etc.) and how concerned management is.</t>
  </si>
  <si>
    <t>The beverage industry is extremely competitive - ~1,000 new brands launch yearly and few reach $100M in sales. Celsius has a loyal consumer segment and amazing innovation/assets; it must stay true to its core, win consumers daily, and connect through culture - 'bigger than the liquid in the can,' analogizing to Nike.</t>
  </si>
  <si>
    <t>Canada &amp; International Start</t>
  </si>
  <si>
    <t>Asked where Canada's ~5.5% share is coming from and how big the Canadian energy market is versus the US.</t>
  </si>
  <si>
    <t>Management was surprised - the brand resonated very well. The US is the highest priority by size; Canada gets marketing spillover as a neighbor. The Canadian category is ~$500M at 100% capture, so a ~4%-5% share equals a ~$25M run rate; Canada is roughly the size of Ohio - reinforcing a methodical international approach.</t>
  </si>
  <si>
    <t>Other International Expansion Plans</t>
  </si>
  <si>
    <t>Asked about other international expansion plans (Australia, France, Ireland, New Zealand, UK).</t>
  </si>
  <si>
    <t>Celsius has signed distribution agreements and has product on the ground in the UK and Ireland, using a methodical timing-and-sequencing approach - launching in select retailers and the fitness channel to build a loyal base before scaling. Australia, France, New Zealand planned for Q4 2024. North America remains the priority; health-and-wellness trends are global.</t>
  </si>
  <si>
    <t>International Route-to-Market &amp; Partner Selection</t>
  </si>
  <si>
    <t>Asked about the international route-to-market and the decision process for choosing partners.</t>
  </si>
  <si>
    <t>Pepsi's international system is mostly third-party bottlers (with some Pepsi-owned, e.g., Canada, Germany); Celsius is not beholden to use them - giving negotiating leverage. Celsius signed multiple deals with Suntory, a Tier-one Australian distributor and #1 energy player there. Speculated Monster's large US/international gap may stem from fast-signed Coke-network deals ~10 years ago now nearing renegotiation. Celsius will pick the best partner per market.</t>
  </si>
  <si>
    <t>International Revenue Mix Over Five Years</t>
  </si>
  <si>
    <t>Asked how big international could become as a percentage of sales and how quickly Celsius can scale it.</t>
  </si>
  <si>
    <t>Fieldly sees no reason Celsius could not reach a Monster-like revenue mix at maturity in 5-10 years. Toby David noted Monster was ~20% international at Celsius's current stage; Celsius will take it easy, judged quarterly by the street, and will not burn the P&amp;L investing in too many markets at once - but with international properties like F1/Ferrari, growth could snowball. He declined to commit to Monster's ~40% international mix in five years.</t>
  </si>
  <si>
    <t>Gross Margin Guidance Conservatism</t>
  </si>
  <si>
    <t>Asked why management kept full-year gross margin guidance in the 'high 40% range' when Q1 came in over 51%, and where the upside lies.</t>
  </si>
  <si>
    <t>Management does not want to commit above the upper-40s, especially with resets bringing margin constraints - slotting fees, trial promotions, and Essentials volume ramp; a reset shelf does not automatically fill the cart. Confident in the upper 40s. Margin levers include the orbit one-day-delivery freight model and co-packer renegotiations as volume scales.</t>
  </si>
  <si>
    <t>Long-Term Gross Margin Aspiration</t>
  </si>
  <si>
    <t>Asked whether management has a longer-term gross margin aspiration beyond the high-40s 2024 guidance.</t>
  </si>
  <si>
    <t>Management has long said it believes that upon scale gross margin can be similar to Monster, its largest peer; but said now is not the time to truly focus on margin impact - the priority is driving further scale within the category.</t>
  </si>
  <si>
    <t>William Blair 44th Annual Growth Stock Conference</t>
  </si>
  <si>
    <t>2024-06-04</t>
  </si>
  <si>
    <t>Financial Snapshot</t>
  </si>
  <si>
    <t>FY2023 Net Sales</t>
  </si>
  <si>
    <t>$1.3B</t>
  </si>
  <si>
    <t>FY2023 Gross Margin</t>
  </si>
  <si>
    <t>FY2023 US Net Sales</t>
  </si>
  <si>
    <t>$1.2B</t>
  </si>
  <si>
    <t>FY2023 Retail Track Sales (Category)</t>
  </si>
  <si>
    <t>$1.8B</t>
  </si>
  <si>
    <t>Share / Penetration Metrics</t>
  </si>
  <si>
    <t>US Energy-Category Market Share</t>
  </si>
  <si>
    <t>&gt;11% (host) / ~12 brand share (mgmt)</t>
  </si>
  <si>
    <t>Market Share Prior (two years ago)</t>
  </si>
  <si>
    <t>~3.5% (+8 pts in two years)</t>
  </si>
  <si>
    <t>26.8% (up 11.5% in last year)</t>
  </si>
  <si>
    <t>New-to-Category Growth</t>
  </si>
  <si>
    <t>41% of growth / 79% of consumption new-to-category</t>
  </si>
  <si>
    <t>ACV Distribution (current)</t>
  </si>
  <si>
    <t>ACV Distribution (post-Pepsi transition / pre-Pepsi)</t>
  </si>
  <si>
    <t>95% / 65%</t>
  </si>
  <si>
    <t>Drill-Deep Markets Count</t>
  </si>
  <si>
    <t>31 (vs 22 in 2023, 18 in 2022, 6 pre-2022)</t>
  </si>
  <si>
    <t>over 20 share</t>
  </si>
  <si>
    <t>Florida Market Share (state / South Florida)</t>
  </si>
  <si>
    <t>20 share / ~25 share</t>
  </si>
  <si>
    <t>Metro Market Footprint</t>
  </si>
  <si>
    <t>15+ share in 12 major metros / 12 states</t>
  </si>
  <si>
    <t>Canada Market Share (end of Q1)</t>
  </si>
  <si>
    <t>Industry / Supply Chain</t>
  </si>
  <si>
    <t>Energy-Drink Category Household Penetration</t>
  </si>
  <si>
    <t>70% (from 64% prior year)</t>
  </si>
  <si>
    <t>Gym Check-Ins (industry indicator)</t>
  </si>
  <si>
    <t>up 60% YoY</t>
  </si>
  <si>
    <t>~40% (~$4B US, ~$3B+ intl)</t>
  </si>
  <si>
    <t>US Co-Packer Count</t>
  </si>
  <si>
    <t>over 20</t>
  </si>
  <si>
    <t>International Launches</t>
  </si>
  <si>
    <t>Canada, UK, Ireland, Australia, France, New Zealand</t>
  </si>
  <si>
    <t>2024 (Q4 for latter three)</t>
  </si>
  <si>
    <t>Circana SKU Data Visibility</t>
  </si>
  <si>
    <t>End-of-month SKU-per-location read</t>
  </si>
  <si>
    <t>June 2024</t>
  </si>
  <si>
    <t>Slide-driven presentation positioning Celsius as the disruptor of the Red Bull / Monster energy-drink duopoly - the #3 US energy brand and first in a decade to exceed 10% share.</t>
  </si>
  <si>
    <t>20-year evolution narrative: from a 'negative calorie' beverage near insolvency in 2011 to a fitness-rooted, science-backed 'live fit' brand.</t>
  </si>
  <si>
    <t>Structural tailwind: total beverage declining while energy grows; retailers shifting shelf space to energy from CSDs, water, dairy, coffee - Celsius the biggest beneficiary.</t>
  </si>
  <si>
    <t>Unique incrementality: 41% of growth is new-to-category and 79% of consumption is new-to-category, so Celsius's retail dollar 'travels further' than other brands.</t>
  </si>
  <si>
    <t>Acknowledged headwind: Pepsi inventory 'noise' - the pullback was in days-on-hand, not total cases; attributed to Pepsi getting more efficient in its second full year. Conceded it 'creates noise for us as a publicly traded company.'</t>
  </si>
  <si>
    <t>2024 framed as the biggest growth year ever; at 98% ACV, focus is breadth/depth within the store rather than store count.</t>
  </si>
  <si>
    <t>Refused to quantify shelf-space gains - deferred to end-of-month Circana SKU-per-location data; cited Maverik example (three facings in December to ~a shelf and a half in 2024).</t>
  </si>
  <si>
    <t>Resets need time to 'marinate' before consumers show up - tempering near-term expectations; Circle K and some Kroger divisions still had resets to complete.</t>
  </si>
  <si>
    <t>Methodical five-year international plan: Canada at 5.5% share, UK/Ireland launched, Australia/France/New Zealand planned for Q4 2024; disciplined - 'not looking to just blow cash.'</t>
  </si>
  <si>
    <t>Clear long-term ambition to close the ~$3 billion gap to Monster's US business via new-to-category compounding.</t>
  </si>
  <si>
    <t>Portfolio: bifurcated core/Vibe lines (same formula, 24 flavors, 'billboard effect'), the new Essentials 16-oz can (Q4 2023 launch at 7-Eleven, ~50% of category is 16-oz), and On The Go powder sticks.</t>
  </si>
  <si>
    <t>F1/Ferrari partnership positioned as a brand-building catalyst across Europe, APAC and the US; sugar-free category at an inflection point ('getting ready to flip for the first time').</t>
  </si>
  <si>
    <t>Shelf Space &amp; Reset Progress</t>
  </si>
  <si>
    <t>Asked for an update on shelf-space gains and how far along Celsius is in the reset process.</t>
  </si>
  <si>
    <t>Said retailers are giving Celsius more space and it is the biggest beneficiary; Celsius has not publicly stated where it will land but said 2024 will be its biggest growth year ever. At 98% ACV, growth is about breadth/depth within the store. Cited Maverik - moving from three facings in a 'three-door set' in December to ~a shelf and a half in 2024 - and said end-of-month Circana data will show SKUs per location. Resets remained at Circle K and some Kroger divisions; reset locations need time to 'marinate' before velocity builds.</t>
  </si>
  <si>
    <t>Olympics &amp; Event Marketing Leverage</t>
  </si>
  <si>
    <t>Unidentified Participant (Audience)</t>
  </si>
  <si>
    <t>Asked about leveraging major events such as the Olympics for marketing (question inaudible in transcript).</t>
  </si>
  <si>
    <t>Said the timing makes the Olympics tough to leverage given the Q4 launch cadence; Celsius has discussed grassroots events but nothing major. Pointed to the recent Monaco F1 race and the Ferrari partnership - taking retailers to events builds goodwill - and said the F1/Ferrari deal will be excellent for Europe, APAC and the US; any Olympics involvement would not be significant.</t>
  </si>
  <si>
    <t>Production Capacity &amp; Supply Chain</t>
  </si>
  <si>
    <t>Asked about production capacity and the ability to scale (question inaudible in transcript).</t>
  </si>
  <si>
    <t>Said Chief Supply Chain Officer Paul Storey came from Monster (head of global ops four years; also built Rockstar's footprint) with best-in-class relationships with the three major global can manufacturers. Celsius owns no production - it outsources everything, using over 20 US co-packers plus co-packing in Europe and Asia, with production planned in Australia at launch. Storey challenges the sales team weekly to outsell production capacity, giving confidence Celsius can scale.</t>
  </si>
  <si>
    <t>Pepsi Inventory Pullback</t>
  </si>
  <si>
    <t>Asked about the Pepsi inventory pullback (question inaudible in transcript).</t>
  </si>
  <si>
    <t>Clarified the inventory pullback was in days-on-hand, not total cases - sales continue to grow, so Celsius tracks inventory as days-on-hand. Attributed it to Pepsi getting more efficient in its second full year, understanding Celsius's SKU portfolio, and determining the appropriate inventory level - like any good business drawing down raw-material inventory. As long as accounts are serviced there are no complaints, though it 'creates noise' for a publicly traded company; management had no updates beyond prior public statements.</t>
  </si>
  <si>
    <t>4th Annual Evercore ISI Consumer and Retail Conference</t>
  </si>
  <si>
    <t>2024-06-11</t>
  </si>
  <si>
    <t>Share / Scanner Metrics</t>
  </si>
  <si>
    <t>US Energy-Category Market Share (4-week read, June 2 data)</t>
  </si>
  <si>
    <t>11.5%</t>
  </si>
  <si>
    <t>Celsius Scanner Growth (4-week read)</t>
  </si>
  <si>
    <t>up 35%</t>
  </si>
  <si>
    <t>Weekly Scan Dollars (Moolak/MULO+, recent)</t>
  </si>
  <si>
    <t>~$50M/week (vs ~$40M/week in January)</t>
  </si>
  <si>
    <t>15+ share in 12 markets</t>
  </si>
  <si>
    <t>20+ share</t>
  </si>
  <si>
    <t>~80% of growth from new-to-category consumers</t>
  </si>
  <si>
    <t>Canada Market Share (4-week read, ~end of Q1)</t>
  </si>
  <si>
    <t>~5.5%</t>
  </si>
  <si>
    <t>~14 share</t>
  </si>
  <si>
    <t>Industry / Pepsi / Margin</t>
  </si>
  <si>
    <t>Energy Category Convenience Mix</t>
  </si>
  <si>
    <t>70% of sales in convenience</t>
  </si>
  <si>
    <t>Pepsi Inventory Optimization (in-quarter Q2)</t>
  </si>
  <si>
    <t>~$20-30M</t>
  </si>
  <si>
    <t>Pepsi System Depletions Growth</t>
  </si>
  <si>
    <t>mid-teens vs Q1</t>
  </si>
  <si>
    <t>upper 40s %</t>
  </si>
  <si>
    <t>Monster Cash Position (benchmark)</t>
  </si>
  <si>
    <t>~3x Celsius's cash</t>
  </si>
  <si>
    <t>Pepsi Inventory Optimization</t>
  </si>
  <si>
    <t>~$20-30M in-quarter</t>
  </si>
  <si>
    <t>Management addressed head-on the central investor concern of a sharply decelerating energy-drink category in scanner data.</t>
  </si>
  <si>
    <t>Category slowdown described as real and 'disappointing,' driven by external factors - weather, delayed resets, gas-pump and rising-cost pressure on consumer spending.</t>
  </si>
  <si>
    <t>Celsius itself continues to grow - if backed out, the rest of the category would be in negative growth.</t>
  </si>
  <si>
    <t>Celsius's four-week share (June 2 data) is 11.5%, brand up 35% in the latest four-week read; weekly Moolak scans rose from ~$40M in January to ~$50M recently.</t>
  </si>
  <si>
    <t>Largest reset season in company history nearing completion (~85-90% done) with significant Essentials 16-oz space gains.</t>
  </si>
  <si>
    <t>Pepsi inventory: CFO disclosed roughly $20-30M of in-quarter Pepsi optimization impacting net revenues, while stressing Pepsi system depletions grew mid-teens versus Q1 and Pepsi is now 'fully' optimized.</t>
  </si>
  <si>
    <t>Strong multi-line portfolio (Core/Fruit Forward, Vibe, Fizz-Free, Essentials) - no reliance on a single hero SKU.</t>
  </si>
  <si>
    <t>Reaffirmed 'upper 40s' full-year gross margin framework; framed the back half as a likely reset-driven scanner reacceleration into the busiest summer selling season.</t>
  </si>
  <si>
    <t>Methodical multi-partner international playbook - 'agnostic about who that is,' finding the right partner to grow and profit together.</t>
  </si>
  <si>
    <t>M&amp;A and buybacks are active board-level discussions but neither is 'of urgency'; M&amp;A would have to be an easy bolt-on.</t>
  </si>
  <si>
    <t>Future structural margin catalyst: shipping direct to Pepsi distribution centers (bypassing mixing centers) creates margin improvement on both ends with only 'nominal' days-on-hand noise.</t>
  </si>
  <si>
    <t>Pricing reticence - management declined to confirm a price increase; Celsius cannot do zip-code pricing and only controls the price into its distributor; NACS October 7 framed as the summer playbook 'finish line.'</t>
  </si>
  <si>
    <t>Energy Category Deceleration</t>
  </si>
  <si>
    <t>Robert Ottenstein (Evercore ISI)</t>
  </si>
  <si>
    <t>Asked why the energy-drink sector has been slowing progressively this year, what the factors are, and what needs to happen to turn the segment around.</t>
  </si>
  <si>
    <t>CEO Fieldly agreed the category has slowed; forecasts still anticipate good growth and summer is the busiest season. Cited weather, reset timing and consumer spending pressure as factors, calling it 'disappointing.' Stressed Celsius is still growing - backing it out, the rest of the category would be negative; four-week read (June 2) is 11.5% share. CFO Langhans agreed - running the playbook, 12 markets above a 15 share, 20+ on Amazon.</t>
  </si>
  <si>
    <t>Shelf Reset Progress &amp; Causes of Delay</t>
  </si>
  <si>
    <t>Asked how much of the shelf resets are in market, whether they are taking longer than expected, what is causing the delay, and when Celsius will be fully set.</t>
  </si>
  <si>
    <t>Grocery resets normally occur early January and convenience in March/April, but resets were delayed this year - most likely labor shortages. Celsius is 'probably coming towards the end of the resets,' having had its biggest reset season ever with substantial additional space, better placements and space gains for the Essentials 16-oz line. Well positioned heading into summer; the 'finish line' is NACS on October 7.</t>
  </si>
  <si>
    <t>Scanner Reacceleration Outlook</t>
  </si>
  <si>
    <t>Noted Celsius appears ~85-90% done on shelf sets and asked whether, as sets are fully in and marketing kicks in, scanner data would reaccelerate in the next month or two.</t>
  </si>
  <si>
    <t>Said that is the plan - shelves are set for the year with mid-year cut-ins as a further opportunity; management hopes the category shifts to growth mode entering summer. Celsius is at 11.5% national four-week share, up 35%; weekly Moolak scans rose from ~$40M in January to ~$50M recently. The multi-line portfolio is well suited to today's consumer; 12 markets above a 15 share.</t>
  </si>
  <si>
    <t>Portfolio Segmentation &amp; Brand Families</t>
  </si>
  <si>
    <t>Asked how Celsius segments the market across its brand families, how the product lines meet different occasions/demographics, how incremental they appear, and for early reads on Essentials.</t>
  </si>
  <si>
    <t>The portfolio build-out is working - the Core/Fruit Forward line leans on the better-for-you healthy halo; the Vibe line is more experiential with a more aggressive personality; the Fizz-Free line (three flavors, plus a variety pack coming) targets cold-coffee and anti-carbonation consumers; the Essentials 16-oz line (replacing the older Celsius Heat) addresses the ~50% of the category that is 16-oz in convenience. Mintel and Numerator data show 'not a lot of cannibalization' - Essentials is truly incremental.</t>
  </si>
  <si>
    <t>Essentials Early Incrementality Metrics</t>
  </si>
  <si>
    <t>Acknowledging it is super early, asked whether any metrics - repeat purchase, demographic data - give early confidence in Essentials' incrementality and success.</t>
  </si>
  <si>
    <t>Fieldly said it is very early - the longest placement is 7-Eleven at ~five months. Essentials targets the 18-24 male consumer (versus Celsius's historical 50/50 mix) and initial survey data suggests it is hitting that consumer; broader distribution and a full summer are needed for clearer reads. Essentials is now at Walmart and 'just about every retailer.' CFO Langhans added the incremental data shows Essentials is additive to the product.</t>
  </si>
  <si>
    <t>New-to-Category Sourcing &amp; Coffee</t>
  </si>
  <si>
    <t>Noted Numerator data suggesting ~80% of Celsius's growth is from consumers new to the energy category, asked whether Celsius's data agrees, whether those drinkers skew different demographics, and whether Celsius sources more from coffee than typical.</t>
  </si>
  <si>
    <t>Consumers often do not see Celsius as an energy drink - it is part of their daily routine. Celsius brings in consumers who avoided traditional energy's 'aggressive tone.' Coffee is a real source of new-to-category consumers; 18-24 college students are a big cohort, and Pepsi has expanded Celsius into colleges and universities. Growth also comes from increased consumption among existing users and from consumers who do not drink soda.</t>
  </si>
  <si>
    <t>Volume vs. Pricing &amp; Differentiated Pricing</t>
  </si>
  <si>
    <t>Asked how management balances US volume growth versus pricing - given Red Bull's November increase, Monster's potential move and the weaker category - and whether differentiated pricing by zip code is feasible.</t>
  </si>
  <si>
    <t>Fieldly declined to confirm a price increase. CFO Langhans said Celsius is not positioned to do zip-code pricing the way fast-food chains attempted; pricing varies by venue and user occasion, but ultimately the price is set by the retailer/grocer - Celsius only controls what it charges its distributor. Fieldly said there are multiple pricing levers (promotional strategies, slotting, pack and channel strategies, variety packs) and Celsius will take pricing where opportunities arise; reaffirmed the upper-40s full-year gross margin framework.</t>
  </si>
  <si>
    <t>Canada Performance</t>
  </si>
  <si>
    <t>Shared strong anecdotal Canada data from a Toronto Circle K visit and asked for numbers supporting it.</t>
  </si>
  <si>
    <t>Canada surprised management - a four-week read at the end of the quarter was around a 5.5 share after only a few short months, exceeding expectations with more opportunity through summer. It shows the brand scales, citing Sweden at ~14 share and continued growth in Finland.</t>
  </si>
  <si>
    <t>UK Entrance</t>
  </si>
  <si>
    <t>Asked what Celsius is seeing in the UK after its recent entrance.</t>
  </si>
  <si>
    <t>CFO Langhans said UK and Ireland are early days, focused first on fitness and health locations to build brand awareness; good brand awareness already in the UK and Australia, helped by global influencer and F1 assets. The approach is 'fast seeding' - timing and sequencing, not a big-bang launch. UK success will be clearest in the back half; early performance is meeting or exceeding expectations.</t>
  </si>
  <si>
    <t>Long-Term International Strategy &amp; Partners</t>
  </si>
  <si>
    <t>Asked how management thinks about the long-term international strategy - whether it could mean five or six different partners across markets and multiple routes to market.</t>
  </si>
  <si>
    <t>CFO Langhans confirmed yes - different markets inherently have different large distributors across APAC, EMEA and LATAM. Celsius is 'agnostic' about who the partner is; the priority is finding the right partner to grow and profit together and expand the brand internationally.</t>
  </si>
  <si>
    <t>Pepsi Inventory Impact on Results</t>
  </si>
  <si>
    <t>Relaying an investor question, asked how much Pepsi inventory issues have played into reported results and the likely second-half impact.</t>
  </si>
  <si>
    <t>CFO Langhans explained days-on-hand methodology (current weekly depletions vs total inventory). Pepsi took inventory and days-on-hand up last year when Celsius was new and growing fast, then began optimizing; that optimization (~$20-30M during the quarter) impacted net revenues. Pepsi system depletions grew mid-teens versus Q1, so demand remains healthy. Pepsi is essentially fully optimized; the back half is 'less of an issue' for comps. A future shift to shipping direct to Pepsi DCs offers margin benefit on both ends with only 'nominal' noise.</t>
  </si>
  <si>
    <t>Use of Cash: M&amp;A &amp; Share Buybacks</t>
  </si>
  <si>
    <t>Asked for thoughts on use of cash - M&amp;A versus share buybacks - including whether buybacks could smooth the stock's scanner-data-driven volatility.</t>
  </si>
  <si>
    <t>Fieldly said Celsius is in a strong cash position generating good cash flow; it looks at potential M&amp;A but wants to keep teams focused - M&amp;A is not urgent and would need to be a special, easy bolt-on. Share buybacks have been discussed internally. Noted Monster holds about three times more cash, suggesting Celsius is at a reasonable level; capital deployment is an ongoing board-level discussion.</t>
  </si>
  <si>
    <t>Q2 2024 Earnings Call</t>
  </si>
  <si>
    <t>2024-08-06</t>
  </si>
  <si>
    <t>2024Q2</t>
  </si>
  <si>
    <t>2023Q2</t>
  </si>
  <si>
    <t>$402M</t>
  </si>
  <si>
    <t>$326M</t>
  </si>
  <si>
    <t>North America revenue (US &amp; Canada)</t>
  </si>
  <si>
    <t>$382M</t>
  </si>
  <si>
    <t>~$311M</t>
  </si>
  <si>
    <t>International revenue</t>
  </si>
  <si>
    <t>$19.6M</t>
  </si>
  <si>
    <t>~$15.1M</t>
  </si>
  <si>
    <t>Revenue (First Half)</t>
  </si>
  <si>
    <t>2024H1</t>
  </si>
  <si>
    <t>2023H1</t>
  </si>
  <si>
    <t>Total revenue H1</t>
  </si>
  <si>
    <t>$757.7M</t>
  </si>
  <si>
    <t>$586M</t>
  </si>
  <si>
    <t>29%</t>
  </si>
  <si>
    <t>North America revenue H1</t>
  </si>
  <si>
    <t>$722M</t>
  </si>
  <si>
    <t>~$560M</t>
  </si>
  <si>
    <t>International revenue H1</t>
  </si>
  <si>
    <t>$36M</t>
  </si>
  <si>
    <t>~$26.5M</t>
  </si>
  <si>
    <t>Margins &amp; Profit</t>
  </si>
  <si>
    <t>$209M</t>
  </si>
  <si>
    <t>Gross profit margin</t>
  </si>
  <si>
    <t>~49%</t>
  </si>
  <si>
    <t>+~300bps</t>
  </si>
  <si>
    <t>~$78M</t>
  </si>
  <si>
    <t>~$80M</t>
  </si>
  <si>
    <t>~$52M</t>
  </si>
  <si>
    <t>Net income to common shareholders</t>
  </si>
  <si>
    <t>~$67M</t>
  </si>
  <si>
    <t>~$41M</t>
  </si>
  <si>
    <t>Diluted EPS to common</t>
  </si>
  <si>
    <t>$0.28</t>
  </si>
  <si>
    <t>$0.17</t>
  </si>
  <si>
    <t>64.7%</t>
  </si>
  <si>
    <t>Margins &amp; Profit (First Half)</t>
  </si>
  <si>
    <t>Gross profit margin H1</t>
  </si>
  <si>
    <t>51.6%</t>
  </si>
  <si>
    <t>46.6%</t>
  </si>
  <si>
    <t>+~500bps</t>
  </si>
  <si>
    <t>Non-GAAP Adjusted EBITDA H1</t>
  </si>
  <si>
    <t>~$127M</t>
  </si>
  <si>
    <t>Net income H1</t>
  </si>
  <si>
    <t>$158M</t>
  </si>
  <si>
    <t>$93M</t>
  </si>
  <si>
    <t>Net income to common H1</t>
  </si>
  <si>
    <t>$132M</t>
  </si>
  <si>
    <t>~$72.5M</t>
  </si>
  <si>
    <t>82%</t>
  </si>
  <si>
    <t>Diluted EPS to common H1</t>
  </si>
  <si>
    <t>$0.55</t>
  </si>
  <si>
    <t>$0.31</t>
  </si>
  <si>
    <t>77.4%</t>
  </si>
  <si>
    <t>Sales &amp; marketing as % of revenue</t>
  </si>
  <si>
    <t>within 20-23% range</t>
  </si>
  <si>
    <t>S&amp;M as % of sales (H1)</t>
  </si>
  <si>
    <t>G&amp;A expense</t>
  </si>
  <si>
    <t>~$24M</t>
  </si>
  <si>
    <t>-24%</t>
  </si>
  <si>
    <t>G&amp;A as % of sales</t>
  </si>
  <si>
    <t>-~400bps</t>
  </si>
  <si>
    <t>G&amp;A as % of sales (H1)</t>
  </si>
  <si>
    <t>-~300bps</t>
  </si>
  <si>
    <t>G&amp;A legal charge included in Q2</t>
  </si>
  <si>
    <t>$7.9M</t>
  </si>
  <si>
    <t>Freight cost as % of net invoiced sales</t>
  </si>
  <si>
    <t>down 81bps YoY</t>
  </si>
  <si>
    <t>-81bps</t>
  </si>
  <si>
    <t>COGS change</t>
  </si>
  <si>
    <t>down 236bps YoY</t>
  </si>
  <si>
    <t>-236bps</t>
  </si>
  <si>
    <t>Cash on hand</t>
  </si>
  <si>
    <t>~$903M</t>
  </si>
  <si>
    <t>Club channel sales</t>
  </si>
  <si>
    <t>$88M</t>
  </si>
  <si>
    <t>$68M</t>
  </si>
  <si>
    <t>Amazon sales</t>
  </si>
  <si>
    <t>$39.9M</t>
  </si>
  <si>
    <t>$28.2M</t>
  </si>
  <si>
    <t>Foodservice as % of NA sales to PepsiCo</t>
  </si>
  <si>
    <t>~12.1%</t>
  </si>
  <si>
    <t>Volume &amp; Share</t>
  </si>
  <si>
    <t>Celsius unit sales volume growth</t>
  </si>
  <si>
    <t>+30.6%</t>
  </si>
  <si>
    <t>category flat</t>
  </si>
  <si>
    <t>+2.8 unit-share pts</t>
  </si>
  <si>
    <t>Celsius MULOC share (4-wk to Jul 14)</t>
  </si>
  <si>
    <t>~9.6%</t>
  </si>
  <si>
    <t>+1.4 pts YoY; -0.5 pt QoQ</t>
  </si>
  <si>
    <t>Celsius MULO Plus w/ convenience share</t>
  </si>
  <si>
    <t>12.04%</t>
  </si>
  <si>
    <t>Celsius Amazon energy share (StackLine 14-wk to Jul 6)</t>
  </si>
  <si>
    <t>19.7 (vs Monster 21.8, Red Bull 14)</t>
  </si>
  <si>
    <t>Celsius Amazon share post-Prime Day (4-wk to Jul 20)</t>
  </si>
  <si>
    <t>22.1% (#1; Monster 21.5, Red Bull 13.8)</t>
  </si>
  <si>
    <t>Convenience &amp; gas channel share gain</t>
  </si>
  <si>
    <t>+34% / +2.5 pts</t>
  </si>
  <si>
    <t>+2.5 pts</t>
  </si>
  <si>
    <t>Avg SKUs per store gain (resets)</t>
  </si>
  <si>
    <t>+&gt;35%</t>
  </si>
  <si>
    <t>vs Dec 2023 reset</t>
  </si>
  <si>
    <t>Avg SKUs per store gain - convenience</t>
  </si>
  <si>
    <t>+43%</t>
  </si>
  <si>
    <t>Celsius share of category growth</t>
  </si>
  <si>
    <t>category growth leader</t>
  </si>
  <si>
    <t>Celsius growth vs category</t>
  </si>
  <si>
    <t>~10x category rate</t>
  </si>
  <si>
    <t>Energy category 4-wk read (to Jul 14)</t>
  </si>
  <si>
    <t>~+2%</t>
  </si>
  <si>
    <t>slower than Q1/PY</t>
  </si>
  <si>
    <t>Field sales team growth (trailing 12 months)</t>
  </si>
  <si>
    <t>+&gt;250%</t>
  </si>
  <si>
    <t>Markets above/within 2 pts of 15 share</t>
  </si>
  <si>
    <t>16 markets</t>
  </si>
  <si>
    <t>Distributor Inventory Drag</t>
  </si>
  <si>
    <t>Q2 distributor days-on-hand headwind</t>
  </si>
  <si>
    <t>~$20M-$25M (low end of $20-30M)</t>
  </si>
  <si>
    <t>Carryover continuing YoY drag</t>
  </si>
  <si>
    <t>~$20M (uncommitted)</t>
  </si>
  <si>
    <t>2024 Q3 &amp; Q4</t>
  </si>
  <si>
    <t>Value/Range</t>
  </si>
  <si>
    <t>Back-half gross margin</t>
  </si>
  <si>
    <t>High 40s to 50%</t>
  </si>
  <si>
    <t>2024 H2</t>
  </si>
  <si>
    <t>Q3 sales &amp; marketing spend</t>
  </si>
  <si>
    <t>Above high end of 20-23% range</t>
  </si>
  <si>
    <t>2024Q3</t>
  </si>
  <si>
    <t>2025 pricing</t>
  </si>
  <si>
    <t>Room for further pricing; benefits 2025</t>
  </si>
  <si>
    <t>Record Q2 2024 results - revenue +23% to $402M, gross margin 52%, adjusted EBITDA ~$100M - but the dominant narrative was a sharply slowing energy category and resulting share volatility.</t>
  </si>
  <si>
    <t>Celsius contributed 47% of all category growth and grew ~10x the category rate; unit volume +30.6% while the category's Q2 unit volume was flat.</t>
  </si>
  <si>
    <t>Headwinds: macro pressure on consumer purchasing, a stagnating-then-softening energy category (one large convenience chain SSS down &gt;4%), intensifying competition (notably Red Bull launches), delayed shelf resets/promotions, ~$20-25M distributor inventory timing drag, and a $7.9M legal charge in G&amp;A.</t>
  </si>
  <si>
    <t>Large shelf-space gains during seasonal resets: average SKUs per store +&gt;35% (+43% convenience) vs the Dec 2023 reset.</t>
  </si>
  <si>
    <t>Non-tracked channels were a major tailwind: Club +30% to $88M, Amazon +41% to $39.9M; Celsius recaptured #1 Amazon energy share (22.1%) post-Prime Day.</t>
  </si>
  <si>
    <t>Sequential MULOC share contracted (11% to ~10.5% area) despite growth leadership; management attributed it to competitors' large dollar base and recent launches, but flagged it as a real watch item.</t>
  </si>
  <si>
    <t>Management explicitly declined to guide on when share would stabilize/re-align with sales: 'we're not going to provide forward-looking guidance on that.'</t>
  </si>
  <si>
    <t>Switched tracked-channel reference to Circana's MULO Plus geography (12.04% with convenience) to better capture online and club retailers.</t>
  </si>
  <si>
    <t>The full-sugar energy subset has stagnated; the growth fight has moved to sugar-free, now ~50% of the category; Celsius is the #2 sugar-free brand and is driving the entire category's growth.</t>
  </si>
  <si>
    <t>Back-half outlook constructive but explicitly cautious: conservative gross margin target of high 40s-to-50%, Q3 S&amp;M spend likely above the 20-23% range, aggressive investment in field sales (+&gt;250% over 12 months), promotions and the Pepsi added-incentive program (fully ramped in H2).</t>
  </si>
  <si>
    <t>2025 catalysts: room for further pricing (offsetting aluminum/freight inflation), a strong 2025 innovation pipeline (on-the-go powders, 'beyond the can' packaging), international launches (Australia, New Zealand, France on track for later 2024), and 'interesting concepts' for Q1 2025.</t>
  </si>
  <si>
    <t>International growth strong: revenue +30% in Q2; Canada exceeding expectations, UK/Ireland launched in Q2.</t>
  </si>
  <si>
    <t>Executive change-in-control agreements &amp; July share trends</t>
  </si>
  <si>
    <t>What is the purpose of the new Aug 1 employment agreements with change-in-control amendments, and what is being seen in July share trends?</t>
  </si>
  <si>
    <t>Fieldly: the compensation committee standardized the executive team's change-of-control terms. Langhans: largely administrative - bringing newer executives (CCO, CSCO, CMO, CLO) up to par with John's and Jarrod's existing severance/change-of-control packages as the company expands globally. On July, share moved from 11 to 10 amid heavy competition and consumer challenges; weekly reads are noisy; Celsius still drives 47% of category growth and grows &gt;10x category, but July showed 'further softness within the category.' Observers expect a Q4 recovery but management must be cautious.</t>
  </si>
  <si>
    <t>Growth vs share contraction disconnect</t>
  </si>
  <si>
    <t>Why is Celsius growth meaningfully ahead of the category (~15% vs ~1% over six weeks) yet market share has contracted ~20bps sequentially?</t>
  </si>
  <si>
    <t>Fieldly: attributed to competitor scale and recent launches - particularly Red Bull's strong launches and recent share gains. Because competitors have such a large dollar base, even with Celsius growing 10x the category, a competitor's 1-1.5 share points of growth on a large base moves the relative share figures.</t>
  </si>
  <si>
    <t>Share normalization, consumer switching &amp; pricing</t>
  </si>
  <si>
    <t>Mark Astrachan (Stifel) / Michael Lavery (Piper Sandler)</t>
  </si>
  <si>
    <t>Will share stabilize/improve, is data showing consumers switching from Celsius to other brands, when does share/sales re-align, and how is pricing being approached given competitor moves and aluminum cost pressure?</t>
  </si>
  <si>
    <t>Fieldly: watches 1-, 4-, 12-week data; new competitor innovation gets trial but loyal consumers return; confidence from the Amazon-vs-tracked share gap and 15-share markets. Declined a stabilization timeline ('we're not going to provide forward-looking guidance'). Sugar-free now 50% of the category. On pricing: two top competitors have taken pricing; Celsius will maintain its premium position but be cautious given price-sensitive consumers; promotional pricing strategy/architecture is key; increasing Q3 retail marketing investments.</t>
  </si>
  <si>
    <t>Channel dynamics &amp; Pepsi inventory / velocity</t>
  </si>
  <si>
    <t>Michael Lavery (Piper Sandler) / Jonathan Keypour (Bank of America)</t>
  </si>
  <si>
    <t>Is the shift toward Amazon accelerating as C-store is pressured, was Amazon strength Prime-Day-related, what was the actual Q2 Pepsi inventory drag, will a ~$20M drag recur in Q3/Q4, and why did velocity keep declining sequentially after resets?</t>
  </si>
  <si>
    <t>Fieldly: Amazon and club (larger packs, better per-can value) performed well; convenience declined as a percent of category sales, indicating consumers expanding across channels. Langhans: the $20-30M DOH headwind landed at the low end (~20-25%); the distributor manages its own inventory so 'we'll have to see where they end up'; on velocity, cited timing/sequencing and reset delays that also delayed promotions; the company deliberately held promotions until shelf space was secured to protect ROI; strong Q3/Q4 promotional calendar expected to turn velocities around.</t>
  </si>
  <si>
    <t>Back-half velocity resilience, category slowdown &amp; innovation contribution</t>
  </si>
  <si>
    <t>Jonathan Keypour (BofA) / Bill Chappell (Truist)</t>
  </si>
  <si>
    <t>Does the deeper Q3/Q4 program pipeline imply more resilient back-half velocities/share, why is the category slowing now, and have newer flavors been as incremental as expected?</t>
  </si>
  <si>
    <t>Fieldly: back-half resilience is category-dependent - the category was down on a recent weekly read; the priority is getting the category back to growth. On the slowdown: in total LRB, juices/coffee/tea remained pressured while sports drinks/water/CSDs grew; energy was up only ~2% on a 4-week read to July 14; cited interest-rate pressure and consumers 'taking a pause' but reaffirmed massive upside. On innovation: a 'total portfolio play' (new flavors Sparkling Watermelon Lemonade, Kiwi Strawberry, Cherry Cola, plus Essentials 16oz) drives growth across the portfolio rather than any single flavor.</t>
  </si>
  <si>
    <t>Pepsi inventory clarification &amp; future shelf space / innovation</t>
  </si>
  <si>
    <t>Should another Q3 Pepsi inventory headwind be expected, and how confident is management that retailers will give incremental space for the 2025 innovation pipeline?</t>
  </si>
  <si>
    <t>Langhans: the Q2 DOH impact landed near the low end of $20-30M; 'time will tell' on Q3 - cannot predict the partner's actions; if the distributor's system is fully optimized the company is in good shape but there is still some flexibility to further optimize. Fieldly: the key is continuing to outpace category growth, strengthening the retailer selling story (#1, incremental, driving sugar-free growth); a lot of great 2025 innovation planned; initial 2025 retailer discussions 'fairly positive'; on-the-go powders and 'beyond the can' packaging are additional opportunities.</t>
  </si>
  <si>
    <t>Barclays Annual Global Consumer Staples Conference</t>
  </si>
  <si>
    <t>2024-09-04</t>
  </si>
  <si>
    <t>Category &amp; Share</t>
  </si>
  <si>
    <t>US energy category size (TAM)</t>
  </si>
  <si>
    <t>~$28B</t>
  </si>
  <si>
    <t>Celsius rank in category</t>
  </si>
  <si>
    <t>#3 player</t>
  </si>
  <si>
    <t>Celsius MULOC share position</t>
  </si>
  <si>
    <t>~10 share (first in a decade)</t>
  </si>
  <si>
    <t>MULO+ with convenience share</t>
  </si>
  <si>
    <t>~40-47% of category growth</t>
  </si>
  <si>
    <t>Sugar-free as % of category sales</t>
  </si>
  <si>
    <t>Scanner / Velocity</t>
  </si>
  <si>
    <t>QTD revenue growth (Circana scan data)</t>
  </si>
  <si>
    <t>~10% YoY</t>
  </si>
  <si>
    <t>2024Q3 QTD</t>
  </si>
  <si>
    <t>~10x category growth rate</t>
  </si>
  <si>
    <t>Share point gain</t>
  </si>
  <si>
    <t>+~1 share point YoY</t>
  </si>
  <si>
    <t>Distribution / Space Gains</t>
  </si>
  <si>
    <t>Total space gain (MULOC, all channels)</t>
  </si>
  <si>
    <t>+~35%</t>
  </si>
  <si>
    <t>Convenience channel space gain</t>
  </si>
  <si>
    <t>+~43-45%</t>
  </si>
  <si>
    <t>Total Distribution Points (TDP) growth</t>
  </si>
  <si>
    <t>+~39-45% YoY</t>
  </si>
  <si>
    <t>Pepsi Order Reduction (rev-rec drag)</t>
  </si>
  <si>
    <t>H1 2024 reduced orders to Pepsi</t>
  </si>
  <si>
    <t>~-$47M</t>
  </si>
  <si>
    <t>Q3 / YTD reduced orders to Pepsi vs PY</t>
  </si>
  <si>
    <t>~-$100M to -$120M</t>
  </si>
  <si>
    <t>Amazon as % of Q2 sales</t>
  </si>
  <si>
    <t>Club channel as % of Q2 sales</t>
  </si>
  <si>
    <t>Food service as % of Pepsi revenue</t>
  </si>
  <si>
    <t>&gt;12%</t>
  </si>
  <si>
    <t>International as % of revenue mix</t>
  </si>
  <si>
    <t>~5% (vs ~40% for Monster)</t>
  </si>
  <si>
    <t>Convenience Channel Macro</t>
  </si>
  <si>
    <t>Convenience foot traffic decline (7-Eleven et al.)</t>
  </si>
  <si>
    <t>~-4%</t>
  </si>
  <si>
    <t>Category promotional weeks per year (avg)</t>
  </si>
  <si>
    <t>~26 weeks</t>
  </si>
  <si>
    <t>Gross margin (back half)</t>
  </si>
  <si>
    <t>High 40s to 50%; Q3 impacted 'even greater than anticipated'</t>
  </si>
  <si>
    <t>2024 H2 / Q3</t>
  </si>
  <si>
    <t>Pepsi order reduction (Q3 impact)</t>
  </si>
  <si>
    <t>~$100M-$120M reduction in orders</t>
  </si>
  <si>
    <t>Q2 2024 gross margin (prior reference)</t>
  </si>
  <si>
    <t>2025 pricing realization</t>
  </si>
  <si>
    <t>Pricing benefit deferred; transpires into 2025+</t>
  </si>
  <si>
    <t>Management reframed a difficult intra-quarter narrative around long-term positioning: #3 player in a ~$28B energy category, growing ~10x category rate, driving ~40-47% of category growth on three megatrends (better-for-you, function, fitness lifestyle).</t>
  </si>
  <si>
    <t>Most material disclosure: Pepsi inventory-optimization drag escalated to ~$100-120M of reduced Q3 orders vs PY (after ~$47M in H1); revenue is recognized on delivery to Pepsi, not on sell-through, creating a 'disconnect' vs strong scanner data.</t>
  </si>
  <si>
    <t>Management warned the Pepsi order reduction would hit Q3 gross margins 'even greater than we anticipated'; stressed the optimization is 'out of our control.'</t>
  </si>
  <si>
    <t>Management firmly rejected the interpretation that Pepsi's pullback signals macro caution; attributed it solely to 'supply chain optimization on their side' (Pepsi held several million more cases than needed).</t>
  </si>
  <si>
    <t>Energy category sharply slowing amid macro pressure on mid/low-income consumers; some top players posted negative growth 'for the first time in a generation'; convenience foot traffic down ~4%.</t>
  </si>
  <si>
    <t>Management argued the category is NOT losing consumers to other categories - it is a frequency/intensification reduction, not category abandonment - so Celsius is positioned to capture returning consumers.</t>
  </si>
  <si>
    <t>Large shelf-space gains: ~35% MULOC, ~43-45% convenience, ~39-45% TDP YoY; management acknowledged large space gains historically cause a temporary per-point velocity dip while new space fills out.</t>
  </si>
  <si>
    <t>Switched share reporting to Circana MULO+ with convenience (~11.8% share) to better capture omnichannel (Amazon, .com, club); Amazon ~10% of Q2 sales, club ~22%.</t>
  </si>
  <si>
    <t>Food service is a major opportunity: &gt;12% of revenue through Pepsi; in Jersey Mike's, testing at Pizza Hut; expands the energy usage occasion (breakfast, lunch, pre-workout).</t>
  </si>
  <si>
    <t>2024 pricing actions followed top players; front-line pricing 'expands the toolbox'; no material 2024 impact, price 'dealt back' via promotions in 2024, benefit deferred to 2025.</t>
  </si>
  <si>
    <t>International only ~5% of revenue mix vs ~40% for Monster - a structural growth runway; Suntory-partnered Phase 1 markets: UK/Ireland launched, France/Australia/New Zealand/Benelux ahead.</t>
  </si>
  <si>
    <t>Marketing slate: Charles Leclerc/Ferrari F1, MLS initiative, Breakaway music festival, Live Fit Tour, Celsius U Ambassador Program (120 grads/80+ universities), Jake Paul-Mike Tyson Netflix event sponsorship.</t>
  </si>
  <si>
    <t>Catalysts: NACS show (Oct 2024) as 'next big opportunity'; 2025 retailer space negotiations 'very positive'; expected category/convenience-traffic recovery; Monster expected to begin taking price in Q4.</t>
  </si>
  <si>
    <t>Celsius story &amp; three-way race overview</t>
  </si>
  <si>
    <t>Analyst (Barclays)</t>
  </si>
  <si>
    <t>Catch up newcomers on where Celsius plays in energy and how it turned the category into a three-way race.</t>
  </si>
  <si>
    <t>Fieldly: #3 player in ~$28B category with growth runway, differentiated on three megatrends (better-for-you with 7+ vitamins/green tea/ginger/guarana; clinically-proven functional energy backed by 6+ peer-reviewed studies; fitness 'Live Fit' lifestyle); achieved 10 share (first in a decade), grows ~10x category, leverages PepsiCo North America distribution partnership and Suntory international (UK/Ireland launched).</t>
  </si>
  <si>
    <t>Q3 category backdrop &amp; Celsius performance</t>
  </si>
  <si>
    <t>How is Celsius faring more than halfway through an unseasonably challenging Q3 for the energy category?</t>
  </si>
  <si>
    <t>David: macro-challenged consumer hitting the category for the first time in some time; some top players posting negative growth; Celsius resilient at +10% QTD YoY (~10x category), ~45% convenience space gains; large TDP gains (+39-45%) historically produce a temporary velocity dip. Fieldly: bullish on H2 and 2025; sugar-free now 50% of category sales, Celsius clear #2.</t>
  </si>
  <si>
    <t>Pepsi inventory headwind</t>
  </si>
  <si>
    <t>Q2 call flagged a $20-30M revenue headwind from Pepsi reducing inventory - more detail and is more impact expected in Q3?</t>
  </si>
  <si>
    <t>Fieldly: scanner sales +~10% QTD, depletions tracking similarly; H1 2024 saw ~$47M of reduced orders from Pepsi optimizing inventory, escalating in Q3 to a YTD estimate of ~$100-120M reduced orders; revenue recognized on delivery to Pepsi creates a 'disconnect' he called unfortunate/disappointing. David: ~$100-120M less Q3 orders vs PY, Pepsi held several million more cases than needed and is now optimizing.</t>
  </si>
  <si>
    <t>Optimization confirmation &amp; macro caution probe</t>
  </si>
  <si>
    <t>Confirm the Pepsi impact relates to optimization in a new relationship - and do conversations suggest Pepsi macro concern (Frito-Lay impacts, lower-income consumer)?</t>
  </si>
  <si>
    <t>Fieldly firmly rejected macro caution: 'really supply chain optimization on their side'; Celsius is the growth driver (47% of category growth), a leading brand in Pepsi's portfolio; recent AOP meeting produced 2025 strategies; implemented an incentive program with Pepsi to align expectations and unlock display inventory and priority periods.</t>
  </si>
  <si>
    <t>Market share growth levers</t>
  </si>
  <si>
    <t>What levers is Celsius pulling to keep pushing the market-share growth story?</t>
  </si>
  <si>
    <t>Fieldly: marketing/partnership slate - Charles Leclerc/Ferrari F1, MLS initiative, new Breakaway music-festival partnership (Essential Vibes Tour), Live Fit Tour (5Ks/workouts), and Celsius U Ambassador Program (120 grads, 80+ universities, NIL partnerships) - all bringing new consumers and growing the category.</t>
  </si>
  <si>
    <t>Shelf-space gains across channels &amp; timing of payoff</t>
  </si>
  <si>
    <t>Have space gains been similar across channels, and how should timing of the payoff be modeled?</t>
  </si>
  <si>
    <t>David: total MULOC space +~35%, convenience +~43%; convenience is the key future growth driver (~65% of Red Bull/Monster sales, key for trial - 'when we get trial, we know it sticks'); category not losing consumers, just frequency reduction; 2025 retailer meetings 'very positive.' Fieldly: NACS in October is the next big opportunity; pursuing additional space, better placements, cold checkout placements.</t>
  </si>
  <si>
    <t>Energy category slowdown diagnosis</t>
  </si>
  <si>
    <t>Management's direct view on what is driving the category slowdown, and is it comparable across the three brands?</t>
  </si>
  <si>
    <t>Fieldly: mid/low-income consumers being affected, visible in convenience data; Celsius led category growth (40% of growth); consumers are not moving to other categories - it is reduced frequency due to the economic climate; confident in recovery and Celsius well positioned, especially as the sugar-free movement becomes the category driver.</t>
  </si>
  <si>
    <t>MULO+ with convenience metric explanation</t>
  </si>
  <si>
    <t>Explain the new Circana MULO+ with convenience measure and why it better tracks Celsius's trend.</t>
  </si>
  <si>
    <t>Fieldly: MULO+ captures the omnichannel world (Amazon, target.com, walmart.com, club); Celsius over-indexes on Amazon (#1/#2 in energy) and club; measure shows ~11.8% share. David: Amazon and Costco are among the largest US retailers (Amazon ~10% of Q2 sales, club ~22%), so excluding them makes no sense - the measure is more representative.</t>
  </si>
  <si>
    <t>Channel opportunities &amp; pack-size strategy</t>
  </si>
  <si>
    <t>Greater opportunity in one channel vs another, and do channels rise/fall in importance under macro pressure?</t>
  </si>
  <si>
    <t>David: variety of pack-size/channel strategies; value multipacks perform extremely well but management is cautious if the basket ring becomes too large under consumer pressure; food service is a major opportunity (&gt;12% of revenue through Pepsi - hospitals, universities, Lowe's, restaurants; in Jersey Mike's, testing Pizza Hut), expanding the energy usage occasion.</t>
  </si>
  <si>
    <t>Gross margin &amp; promotional cadence</t>
  </si>
  <si>
    <t>Have the H2 promotions started, and how long will the investment last (per the Q2 high-40s-to-50% margin commentary)?</t>
  </si>
  <si>
    <t>Fieldly: category highly promotional (~26 weeks/year avg); Celsius leaning into promotions in the post-reset quarter; strong Q2 gross profit and efficiency gains, more supply-chain efficiencies planned for 2025; warned the ~$100-120M Q3 Pepsi order reduction will impact Q3 margins 'even greater than we anticipated.'</t>
  </si>
  <si>
    <t>Promotional activity on track</t>
  </si>
  <si>
    <t>Is the slated promotional activity and in-market execution still on track?</t>
  </si>
  <si>
    <t>Fieldly: on track, nothing outside the ordinary - additional promotions and targeted retail marketing programs; the perfect time to lean in with retailers ahead of back-half buyer reviews.</t>
  </si>
  <si>
    <t>Pricing approach &amp; rationale</t>
  </si>
  <si>
    <t>How to think about pricing approach; and skeptics say it is 'an odd time to raise prices' amid a macro-pressured consumer - broader view on industry-wide pricing?</t>
  </si>
  <si>
    <t>Fieldly: strong pricing architecture, Celsius warrants a premium position; followed top players in taking price but no upside realized in H2 2024 - transpires into 2025+; front-line pricing 'expands the toolbox' (EDLP, high-low, bundling); no material 2024 impact. David: will 'deal back' the price via promotions in 2024; Monster 'supposedly' begins taking price in Q4 and has been aggressive with BOGOs, whereas Celsius rarely runs BOGOs.</t>
  </si>
  <si>
    <t>International strategy &amp; ramp timing</t>
  </si>
  <si>
    <t>Strategy and ramp timing for the new Suntory international markets, and long-term international mix potential?</t>
  </si>
  <si>
    <t>Fieldly: international ~5% of revenue mix vs ~40% for Monster - a massive opportunity; health/wellness trends are global; UK/Australia study showed higher-than-expected brand awareness; launched in UK and Ireland with Suntory (into Tesco), entering gyms first with a methodical approach; Phase 1 markets: UK, Ireland, France (later 2024), Australia, New Zealand, Benelux; more markets in 2025-2026.</t>
  </si>
  <si>
    <t>International awareness-building &amp; marketing reach</t>
  </si>
  <si>
    <t>How does Celsius build awareness internationally given it enters gyms first?</t>
  </si>
  <si>
    <t>Fieldly: a 'drill-deep' playbook built in the US (Boston a top market, well above a 15 share) builds awareness, trial, acceptance and loyalty, executed successfully in Sweden and Finland; measured, ROI-focused approach (not a land-grab); tied to global-reach bets - Ferrari F1 with Charles Leclerc and the Jake Paul-Mike Tyson fight, where Celsius is a major sponsor of Netflix's first live national sporting event.</t>
  </si>
  <si>
    <t>Piper Sandler Conference</t>
  </si>
  <si>
    <t>2024-09-10</t>
  </si>
  <si>
    <t>Customer &amp; Scanner</t>
  </si>
  <si>
    <t>Pepsi as % of North America purchases</t>
  </si>
  <si>
    <t>~55%+</t>
  </si>
  <si>
    <t>QTD revenue growth (scanner)</t>
  </si>
  <si>
    <t>Market share gain vs PY (scanner)</t>
  </si>
  <si>
    <t>+~1 point</t>
  </si>
  <si>
    <t>Pepsi order reduction Q3 vs Q3 PY</t>
  </si>
  <si>
    <t>Category &amp; Sugar-Free</t>
  </si>
  <si>
    <t>Sugar-free as % of energy category</t>
  </si>
  <si>
    <t>Celsius sugar-free market share</t>
  </si>
  <si>
    <t>~25% (#2 in sugar-free)</t>
  </si>
  <si>
    <t>Full-sugar energy growth YTD</t>
  </si>
  <si>
    <t>2024 YTD</t>
  </si>
  <si>
    <t>Sugar-free energy growth YTD</t>
  </si>
  <si>
    <t>~+7%</t>
  </si>
  <si>
    <t>Category promotional intensity</t>
  </si>
  <si>
    <t>~26 weeks/year on promotion</t>
  </si>
  <si>
    <t>Celsius market share (tracked channels)</t>
  </si>
  <si>
    <t>~11%-12%</t>
  </si>
  <si>
    <t>Celsius Amazon energy share (trailing 18 mo)</t>
  </si>
  <si>
    <t>over ~20 share (#1)</t>
  </si>
  <si>
    <t>Celsius South Florida market share</t>
  </si>
  <si>
    <t>close to mid-20s (#2)</t>
  </si>
  <si>
    <t>Celsius New York City market share</t>
  </si>
  <si>
    <t>Celsius Canada market share</t>
  </si>
  <si>
    <t>close to 5-share (#4 brand)</t>
  </si>
  <si>
    <t>Other strong US markets</t>
  </si>
  <si>
    <t>upper teens (15 to upper teens)</t>
  </si>
  <si>
    <t>International &amp; Channels</t>
  </si>
  <si>
    <t>International as % of sales</t>
  </si>
  <si>
    <t>Food service as % of Pepsi sales</t>
  </si>
  <si>
    <t>2024 (quarterly)</t>
  </si>
  <si>
    <t>Margins / Opex</t>
  </si>
  <si>
    <t>Q2 2024 gross profit margin</t>
  </si>
  <si>
    <t>~52% (vs ~49% PY, +~300bps)</t>
  </si>
  <si>
    <t>~21%-23%</t>
  </si>
  <si>
    <t>Gross margin framework return</t>
  </si>
  <si>
    <t>Back to framework (Q2 ~52%); Q4 'a little noise' largely gone</t>
  </si>
  <si>
    <t>2024Q4</t>
  </si>
  <si>
    <t>Sales &amp; marketing % of revenue</t>
  </si>
  <si>
    <t>21-23% now; expected to decline with leverage over time</t>
  </si>
  <si>
    <t>Multi-year</t>
  </si>
  <si>
    <t>Pepsi Q4 visibility</t>
  </si>
  <si>
    <t>No Q4 guidance; 'bigger swings behind us' (uncommitted)</t>
  </si>
  <si>
    <t>Category normalization</t>
  </si>
  <si>
    <t>Category expected to normalize in 2025</t>
  </si>
  <si>
    <t>Toby David (Chief of Staff) attended solo to add transparency on the Pepsi inventory situation first disclosed the prior week at Barclays.</t>
  </si>
  <si>
    <t>Core message: PepsiCo (Celsius's largest customer, ~55%+ of NA purchases) purchased ~$100-120M less in Q3 2024 vs Q3 2023 because Pepsi over-stocked Celsius product in 2023 (its first full year as distributor) and is now drawing inventory down to a normalized, optimized level ('cash is king').</t>
  </si>
  <si>
    <t>Management stressed this is an order/timing issue, not a demand issue: scanner growth ~10% QTD YoY with market share up ~1 point, and depletions out of Pepsi warehouses match scanner data.</t>
  </si>
  <si>
    <t>Pepsi's dynamic ordering system is relatively new and gives little Q4 visibility; management hopes the 'bigger swings are behind us' but would not commit.</t>
  </si>
  <si>
    <t>Sugar-free is now 50% of the category; Celsius is #2 with ~25% sugar-free share; YTD full-sugar energy down ~4% while sugar-free up ~7% - trends favor Celsius.</t>
  </si>
  <si>
    <t>Category slowdown is a frequency/intensification issue plus slower new-consumer entry, which hurts Celsius disproportionately given its over-index on new-to-category consumers; consumers are NOT leaving energy for coffee/tea/soda.</t>
  </si>
  <si>
    <t>Celsius's broad, fruit-forward flavor assortment contrasts with Red Bull/Monster 'super SKUs' (operationally efficient power SKUs); today's consumer wants something different.</t>
  </si>
  <si>
    <t>Celsius's value to retailers comes from bringing new-to-category consumers (not brand shifting) plus a strong basket ring, keeping 2025 retailer meetings 'excellent' even with velocity challenged; management declined space guidance.</t>
  </si>
  <si>
    <t>Amazon (where Celsius is #1 over 18 months at ~20+ share, and is not space-constrained) is cited as a barometer of share capability; tracked-channel share has been roughly flat at ~11-12% for 3.5-4 months amid a stagnant category.</t>
  </si>
  <si>
    <t>International is only ~5% of sales vs ~40% for Monster; Canada launched Jan 2024 and jumped to a ~5 share (#4 brand) within months with Pepsi as the distributor; UK/Ireland launched with Suntory (positive Tesco reads); Australia/New Zealand entries within a couple of months.</t>
  </si>
  <si>
    <t>International market-entry approach is market-dependent: fitness as the early investment then a core partner retailer (e.g., Tesco); going too wide too fast risks delisting.</t>
  </si>
  <si>
    <t>Competitors are aggressive on promotions (Monster running BOGOs on Reign, Bang and core brands); Celsius does not promote deeper than peers ('probably below most') but is getting 'promotionally more motivated' in Q3 with shallow-depth tactics given the tight consumer.</t>
  </si>
  <si>
    <t>Margin: Q3 will have 'a lot of noise' from the ~$120M Pepsi order shortfall undercutting budgeted margin structure, with a little Q4 noise before returning to the margin framework; Monster is a 'great comp' but its gross margin excludes outbound freight (~4% difference).</t>
  </si>
  <si>
    <t>U.S. growth comes from three levers: TDP expansion, velocity and innovation; Essentials launched in 2024 targeting an incremental consumer; management seeks 'white space' within the Pepsi portfolio so Pepsi leans into innovation.</t>
  </si>
  <si>
    <t>Pepsi relationship has some partnership-driven category preclusions but management does not view it as blocking anything Celsius would pursue; food service is ~12% of Pepsi sales (vending the big portion), in 'early innings' with plenty of growth runway.</t>
  </si>
  <si>
    <t>Pepsi inventory situation update</t>
  </si>
  <si>
    <t>Analyst (Piper Sandler)</t>
  </si>
  <si>
    <t>How has the inventory situation evolved, and what should investors know for thinking about Q3?</t>
  </si>
  <si>
    <t>David: at the prior week's Barclays conference Celsius pre-announced that Pepsi (~55%+ of NA purchases) purchased ~$100-120M less in Q3 vs Q3 PY; Pepsi over-stocked in 2023 (first full year as distributor) and is now optimizing inventory. Celsius scanner growth is ~10% QTD with share up ~1 point - orders should line up but do not because Pepsi is drawing down inventory; Celsius is 'very comfortable' with Pepsi's current inventory level for servicing the account, but it impacts Q3 reported numbers.</t>
  </si>
  <si>
    <t>Magnitude &amp; further adjustments / Q4 outlook</t>
  </si>
  <si>
    <t>Does this 'rip the band-aid off' and set inventory at the right level, or could further adjustments come?</t>
  </si>
  <si>
    <t>David declined to discuss Q4, citing lack of visibility - Pepsi's dynamic ordering system is relatively new. He would 'like to think' an adjustment of this magnitude gets Pepsi much closer to a normalized inventory level and that 'the bigger swings are behind us,' but would not commit.</t>
  </si>
  <si>
    <t>Category dynamics: sugar vs sugar-free</t>
  </si>
  <si>
    <t>How does the slowing category break down between sugared and sugar-free energy, and how is Celsius positioned?</t>
  </si>
  <si>
    <t>David: sugar-free is now 50% of the category and where the trends are; Celsius is the strong #2 with ~25% sugar-free share. YTD full-sugar energy down ~4% while sugar-free up ~7%. The category is not losing consumers to other categories - it is a frequency/intensification issue with slower new-consumer entry that affects Celsius more given its new-to-category over-index; confident Celsius will be well positioned once the category normalizes in 2025.</t>
  </si>
  <si>
    <t>Shelf resets, assortment breadth &amp; distribution trajectory</t>
  </si>
  <si>
    <t>How should shelf resets be modeled, where does distribution go from here given slower category growth, and is a broad assortment helpful vs the Red Bull/Monster super-SKU model?</t>
  </si>
  <si>
    <t>David: Red Bull/Monster have operationally efficient super SKUs but today's consumer wants something different (Celsius's fruit-forward flavors); spring resets occurred a few months ago, with cut-ins/retailer-exclusive SKUs through the year and most current meetings for 2025 ('very positive'); declined space guidance. Celsius's retailer value is new-to-category consumers plus a strong basket ring; energy is the 'jewel of beverage' and would at minimum retain its space and possibly gain space from weaker, lower-margin categories.</t>
  </si>
  <si>
    <t>Market share headroom &amp; benchmarks</t>
  </si>
  <si>
    <t>Celsius is ~11-12% share - how should investors think about the headroom and benchmark the opportunity?</t>
  </si>
  <si>
    <t>David: management is careful not to issue share guidance, but Amazon (where Celsius is #1 over 18 months at ~20+ share, not space-constrained) is a good barometer of capability; strong US markets - South Florida (mid-20s, #2), NYC (~20%), several in the upper teens. Share has been roughly flat for 3.5-4 months amid a stagnant category, but management is confident about the 2025 opportunity once the category normalizes.</t>
  </si>
  <si>
    <t>International progress (Canada, UK, Australia/New Zealand)</t>
  </si>
  <si>
    <t>Update on international progress and approach across Canada, UK/Ireland, and the upcoming France/Australia/New Zealand launches?</t>
  </si>
  <si>
    <t>David: Canada launched Jan 2024 and jumped to ~5 share (#4 brand) within months, with Pepsi as distributor; the UK is one of the largest energy markets and an important proof point since international (~5% of sales vs ~40% for Monster) is largely not in the valuation; methodical approach, not overinvesting, 'more fuel on the fire' if markets succeed; UK/Ireland launched with Suntory into many Tesco stores with 'very positive' reads; Australia/New Zealand entries within a couple of months, more announcements soon.</t>
  </si>
  <si>
    <t>International market-entry approach</t>
  </si>
  <si>
    <t>Is gym/fitness branding the initial approach, and is market entry phased to build brand identity with a core consumer first?</t>
  </si>
  <si>
    <t>David: it depends by market - Canada went nationwide quickly given US proximity and marketing bleed-over, whereas other markets start with fitness as the early investment then a core partner retailer (e.g., Tesco). Going too wide too fast requires creating pull-through everywhere or risks delisting; concentrating on one big retailer focuses marketing resources, secures retailer lean-in via exclusivity, and builds a selling story for broader distribution.</t>
  </si>
  <si>
    <t>U.S. promotional environment</t>
  </si>
  <si>
    <t>How does the US promotional environment look, is there extra intensity, and is slowness driving pricing changes or irrational promotions?</t>
  </si>
  <si>
    <t>David: peers are aggressive; pushed back on Nielsen data calling Celsius 'over promotional' - Celsius uses Circana, and Nielsen counts off-shelf displays (where Celsius over-indexes) as promotions; Celsius does not promote deeper than peers, 'probably below most.' BOGOs are prevalent (Monster on Reign, Bang and core brands); Celsius is getting 'promotionally more motivated' in Q3 with shallow-depth tactics (e.g., two for $4.50 vs two for $4) mainly to secure off-shelf displays in a category ~26 weeks/year on promotion.</t>
  </si>
  <si>
    <t>Margin upside &amp; Monster benchmark</t>
  </si>
  <si>
    <t>Celsius already has strong margins - what is the upside from here, and is Monster the right benchmark?</t>
  </si>
  <si>
    <t>David: Q3 will have 'a lot of noise' because the ~$120M Pepsi order shortfall undercuts the budgeted margin structure, with a little Q4 noise before returning to the margin framework (Q2 2024 was ~52% gross profit). Monster historically excluded outbound freight from gross margin (a ~4% difference - so a Monster 59% equates to ~55% for Celsius); Celsius S&amp;M is 21-23% of revenue, above Monster's, expected to come down with leverage; Celsius can avoid Monster's large US-vs-international margin delta since it is not contractually locked into one international distribution partner.</t>
  </si>
  <si>
    <t>Innovation role &amp; brand adjacencies</t>
  </si>
  <si>
    <t>What role does innovation play, what might be ahead (citing Essentials), and how far might the brand extend into adjacencies?</t>
  </si>
  <si>
    <t>David: U.S. growth comes from three areas - TDP expansion, velocity and innovation. Essentials launched in 2024 has 'done well,' targeting an incremental consumer that will take time to reach core-brand velocity; management is evaluating other areas within energy and adjacent categories, identifying 'white space opportunities within the Pepsi portfolio' so Pepsi leans into innovation.</t>
  </si>
  <si>
    <t>Pepsi relationship limitations</t>
  </si>
  <si>
    <t>Does the Pepsi relationship have explicit limitations on what kind of products Celsius can launch?</t>
  </si>
  <si>
    <t>David: unsure what has been publicly disclosed; Pepsi has some partnerships that would preclude certain areas, but he did not think it was blocking Celsius from anything it would be looking to get into.</t>
  </si>
  <si>
    <t>Food service opportunity</t>
  </si>
  <si>
    <t>What does the food service opportunity look like (restaurants, universities, vending), and how much has been tackled vs what lies ahead?</t>
  </si>
  <si>
    <t>David: food service is ~12% of Pepsi sales on a quarterly basis (vending a big portion, plus colleges, universities, hospitals, hotels, restaurants); Celsius feels it is in the 'early innings,' declined a target mix (the goal is to grow the total Pepsi business), and sees 'plenty of room' for growth; Celsius pairs better with meals than competitors with a more traditional energy taste.</t>
  </si>
  <si>
    <t>Q3 2024 Earnings Call</t>
  </si>
  <si>
    <t>2024-11-06</t>
  </si>
  <si>
    <t>2023Q3</t>
  </si>
  <si>
    <t>$265.7M</t>
  </si>
  <si>
    <t>$385M</t>
  </si>
  <si>
    <t>-31%</t>
  </si>
  <si>
    <t>North American revenue</t>
  </si>
  <si>
    <t>~$247M</t>
  </si>
  <si>
    <t>-33%</t>
  </si>
  <si>
    <t>$18.6M</t>
  </si>
  <si>
    <t>~$13.6M</t>
  </si>
  <si>
    <t>YTD revenue (through Sept 30)</t>
  </si>
  <si>
    <t>$1.02B</t>
  </si>
  <si>
    <t>Pepsi inventory optimization revenue impact</t>
  </si>
  <si>
    <t>~$124M reduction</t>
  </si>
  <si>
    <t>$122M</t>
  </si>
  <si>
    <t>-37%</t>
  </si>
  <si>
    <t>46%</t>
  </si>
  <si>
    <t>50.4%</t>
  </si>
  <si>
    <t>-4.4 pts</t>
  </si>
  <si>
    <t>~$4.4M</t>
  </si>
  <si>
    <t>$103.6M</t>
  </si>
  <si>
    <t>-96%</t>
  </si>
  <si>
    <t>~$6.4M</t>
  </si>
  <si>
    <t>$83.9M</t>
  </si>
  <si>
    <t>-92%</t>
  </si>
  <si>
    <t>YTD Margins &amp; Profit</t>
  </si>
  <si>
    <t>YTD 2024</t>
  </si>
  <si>
    <t>YTD 2023</t>
  </si>
  <si>
    <t>YTD gross profit</t>
  </si>
  <si>
    <t>$513.5M</t>
  </si>
  <si>
    <t>$466.9M</t>
  </si>
  <si>
    <t>YTD gross profit margin</t>
  </si>
  <si>
    <t>50.2%</t>
  </si>
  <si>
    <t>48.1%</t>
  </si>
  <si>
    <t>YTD adjusted EBITDA</t>
  </si>
  <si>
    <t>$192.8M (18.8% margin)</t>
  </si>
  <si>
    <t>YTD net income</t>
  </si>
  <si>
    <t>$164M</t>
  </si>
  <si>
    <t>Sales &amp; marketing as % of revenue (Q3)</t>
  </si>
  <si>
    <t>37.6%</t>
  </si>
  <si>
    <t>elevated on low revenue base</t>
  </si>
  <si>
    <t>Sales &amp; marketing as % of revenue (YTD)</t>
  </si>
  <si>
    <t>26.1%</t>
  </si>
  <si>
    <t>$25.5M (10% of sales)</t>
  </si>
  <si>
    <t>~$23M (6% of sales)</t>
  </si>
  <si>
    <t>+11%</t>
  </si>
  <si>
    <t>Cash balance</t>
  </si>
  <si>
    <t>above $900M</t>
  </si>
  <si>
    <t>$22.2M</t>
  </si>
  <si>
    <t>Total club channel sales</t>
  </si>
  <si>
    <t>$60.5M</t>
  </si>
  <si>
    <t>$63.2M</t>
  </si>
  <si>
    <t>Costco (within club)</t>
  </si>
  <si>
    <t>+15%</t>
  </si>
  <si>
    <t>Share &amp; Category</t>
  </si>
  <si>
    <t>Celsius retail sales growth</t>
  </si>
  <si>
    <t>+7.1% (units +7.3%)</t>
  </si>
  <si>
    <t>vs category +2%</t>
  </si>
  <si>
    <t>Energy category growth</t>
  </si>
  <si>
    <t>&gt;16% of all growth</t>
  </si>
  <si>
    <t>MULO+ with convenience market share</t>
  </si>
  <si>
    <t>11.6%</t>
  </si>
  <si>
    <t>4-wk to Oct 6, 2024</t>
  </si>
  <si>
    <t>+10 bps YoY</t>
  </si>
  <si>
    <t>Amazon market share (StackLine 14-wk to Oct 5)</t>
  </si>
  <si>
    <t>20.4%</t>
  </si>
  <si>
    <t>Foodservice share of NA PepsiCo sales</t>
  </si>
  <si>
    <t>~12.3%</t>
  </si>
  <si>
    <t>Lodging points of distribution growth</t>
  </si>
  <si>
    <t>+46%</t>
  </si>
  <si>
    <t>Restaurant points of distribution growth</t>
  </si>
  <si>
    <t>+27%</t>
  </si>
  <si>
    <t>Sugar-free as % of category</t>
  </si>
  <si>
    <t>first time</t>
  </si>
  <si>
    <t>Q4 inventory impact</t>
  </si>
  <si>
    <t>Slight positive benefit up to ~$15M of pressure</t>
  </si>
  <si>
    <t>Sell-in / sell-through alignment</t>
  </si>
  <si>
    <t>Expected before Q4 ends</t>
  </si>
  <si>
    <t>Q4 North America modeling</t>
  </si>
  <si>
    <t>Low-to-mid single-digit scanner data minus ~$15M conservative inventory assumption</t>
  </si>
  <si>
    <t>Formal forward guidance</t>
  </si>
  <si>
    <t>Not providing forward guidance</t>
  </si>
  <si>
    <t>Q3 revenue fell 31% to $265.7M, primarily due to ~$124M of distributor (Pepsi) inventory optimization; YTD revenue still grew 5% to $1.02B.</t>
  </si>
  <si>
    <t>Celsius retail sales rose 7.1% (units +7.3%) overcoming a category that grew only 2%; Celsius contributed &gt;16% of all category growth - management framed retail performance as resilient despite the reported revenue collapse.</t>
  </si>
  <si>
    <t>Profitability cratered: Q3 gross margin 46% (vs 50.4% PY), adjusted EBITDA down 96% to ~$4.4M, net income down 92% to ~$6.4M - but YTD figures are 'more indicative of full-year operations' (YTD gross margin 50.2%, EBITDA $192.8M).</t>
  </si>
  <si>
    <t>Two margin pressures: the ~$124M Pepsi inventory optimization and the new Pepsi incentive program (priority periods, aligned resources) that fully ramped in Q3; partially offset by reduced outbound freight and material savings.</t>
  </si>
  <si>
    <t>Management characterized Q3 optimization as 'very good' and 'very efficient' (the distributor commented on it on its own call); Q4 is more a function of where the category goes than further optimization.</t>
  </si>
  <si>
    <t>Q4 guidance: a range from a slight positive benefit up to ~$15M of pressure; sell-in and sell-through should align before Q4 ends; Q4 NA growth modelable as low-to-mid single-digit scanner data minus a conservative ~$15M inventory assumption.</t>
  </si>
  <si>
    <t>Three reiterated growth drivers: attracting new consumers, expanding product availability, increasing consumption frequency.</t>
  </si>
  <si>
    <t>Q3 was 'troubled with traffic' - major retailers cited reduced convenience traffic; the shopper is taking one less trip/occasion; management needs traffic and occasions to return and macro trends to improve.</t>
  </si>
  <si>
    <t>Celsius's share is historically stronger in food/drug/mass and on Amazon than in convenience; closing the convenience gap is the big opportunity (better placements, path-to-purchase disruption, higher household penetration).</t>
  </si>
  <si>
    <t>Sugar-free crossed &gt;50% of the category for the first time; the Better-For-You / performance-energy / fitness-lifestyle secular trend continues; competitors (Red Bull, Monster) leaning into sugar-free reinforces the opportunity.</t>
  </si>
  <si>
    <t>Big Beverage co-packer acquisition: a capital-efficient vertical-integration move (LTOs, innovation, Orbit-model optimization); the plant predominantly ran Celsius; management does NOT intend to become a co-packer and prefers staying asset-light.</t>
  </si>
  <si>
    <t>International revenue grew 37% to $18.6M; Australia and New Zealand launched (7-Eleven partner); UK/Ireland with Suntory and Tesco; a new Ireland center of excellence (supply chain, innovation, marketing) being stood up to enable faster scaled global expansion; expansion pace tempered to consumer acceptance.</t>
  </si>
  <si>
    <t>Management explicitly is not providing formal forward guidance (could reevaluate in future); declined to commit on the international ramp magnitude.</t>
  </si>
  <si>
    <t>Catalysts: Jake Paul/Mike Tyson Netflix event title sponsorship (within ~2 weeks; potentially the largest live boxing event in history); positive NACS retailer feedback for 2025 resets; Supplier of the Year awards at 7-Eleven, Circle K and Casey's; KDP/Ghost deal seen as creating disruption-driven opportunity.</t>
  </si>
  <si>
    <t>Pricing: Celsius rolled out a price increase but is 'being conservative' and does not expect significant benefit in 2025; has not disclosed the amount; Monster took a Nov 1 list-price increase.</t>
  </si>
  <si>
    <t>Q4/2025 cadence &amp; category reacceleration conditions</t>
  </si>
  <si>
    <t>Should scanner-data trends improve sequentially month-on-month through Q4 into 2025, and what would need to change in the consumer to reaccelerate category growth in 2025?</t>
  </si>
  <si>
    <t>Fieldly: Q4 has a variety of planned promotional activities amid a highly promotional category and heavy competitor innovation; a Jake Paul/Mike Tyson title sponsorship for national reach. On reacceleration: Q3 was 'troubled with traffic' - the company needs convenience traffic and occasions to return; the Better-For-You/performance-energy/fitness-lifestyle position has tailwinds; the category crossed 50% sugar-free; macro trends need to improve, and management is confident the category will return to growth.</t>
  </si>
  <si>
    <t>Pepsi incentive program &amp; inventory completion</t>
  </si>
  <si>
    <t>Details on the new Pepsi incentive structure and why it drives category acceleration; and is the distributor inventory optimization done?</t>
  </si>
  <si>
    <t>Fieldly: the alignment incentive program is being further implemented into 2025 with additional focus and priority periods, with strong cross-functional collaboration after NACS and Pepsi's AOP meeting. Langhans: management has a handful of weeks of Q4 visibility and sees a tighter weekly correlation between sell-in and depletions vs Q3; a slight disconnect remains but sell-in and sell-through should align before Q4 ends; guided Q4 to a range from a slight positive benefit up to ~$15M of pressure - November and December are key.</t>
  </si>
  <si>
    <t>Q4 range benchmarking &amp; market share</t>
  </si>
  <si>
    <t>How to benchmark the inventory destock/restock outcome against scanner demand trends, and where has the consumer that drove the May share peak gone?</t>
  </si>
  <si>
    <t>Langhans: the scanner-demand framing is good - if trends pick up Celsius has a better opportunity to benefit; flat means nothing substantial. Fieldly: the share decline since the May peak reflects convenience-channel expansion challenges and foot-traffic weakness (shoppers taking one less trip/occasion); competitor innovation also expanded trial; confident in the portfolio, 2025 innovation, and positive NACS retailer feedback, citing the deepening third-year Pepsi relationship.</t>
  </si>
  <si>
    <t>Channel share profile</t>
  </si>
  <si>
    <t>Is Celsius's share weaker in convenience stores than in mass, Amazon and Costco?</t>
  </si>
  <si>
    <t>Fieldly confirmed: historically Celsius's share has been better in food/drug/mass and on Amazon than in convenience - so closing the convenience gap is the big opportunity, requiring better placements, path-to-purchase disruption and higher household penetration; the sugar-free/Better-For-You/fitness-lifestyle consumer is there and Celsius is well positioned when the category returns to growth.</t>
  </si>
  <si>
    <t>Q4 visibility &amp; modeling</t>
  </si>
  <si>
    <t>Will the Q4 inventory assumption be updated through the quarter, what underpins the $15M headwind, how does visibility compare to spring/summer, and can 4Q NA growth be modeled as scanner data minus an inventory assumption?</t>
  </si>
  <si>
    <t>Langhans: visibility is good and teams are working closer together; Q3's optimization was very efficient (the distributor commented on it); Q4 is more a function of where the category goes than further optimization; the $15M range is a trend-based analysis. He confirmed ('Yes') that Q4 NA growth can be modeled as low-to-mid single-digit scanner data minus a conservative ~$15M inventory assumption.</t>
  </si>
  <si>
    <t>Differentiation vs peers &amp; share trajectory</t>
  </si>
  <si>
    <t>What is genuinely different in Celsius's plans vs peers doing similar promotions and innovation, and should investors brace for YoY share declines if sequential share holds?</t>
  </si>
  <si>
    <t>Fieldly: share involves many variables (shopping-pattern changes, innovation, sentiment). Celsius has tactics to drive new-to-category consumption (Gen Z/college program), leverage the Better-For-You/sugar-free movement, and increase availability via deeper Pepsi alignment and cooler placements; increased-consumption occasions include foodservice; national reach from the Jake Paul/Tyson Netflix event; new flavor innovation reinforces the 'most refreshing' positioning.</t>
  </si>
  <si>
    <t>Formal guidance &amp; international expansion pace</t>
  </si>
  <si>
    <t>Kevin Grundy (BNP Paribas)</t>
  </si>
  <si>
    <t>Has management considered introducing formal guidance, and is there a case to expand internationally much more aggressively to offset US deceleration with the right leadership in place?</t>
  </si>
  <si>
    <t>Fieldly: many variables in the models - 'at this time, the company is not providing forward guidance' (could reevaluate). On international: multiple 2024 expansions announced (Suntory UK/Ireland; Australia, New Zealand, France); agrees the opportunities are large but is 'being very cognizant of timing and sequencing' and will 'temper expectations,' moving as fast as the brand gains acceptance. Langhans: standing up a center of excellence (supply chain, innovation, marketing) to enable faster scaled global expansion.</t>
  </si>
  <si>
    <t>Shelf resets, competition &amp; capital deployment</t>
  </si>
  <si>
    <t>Kevin Grundy (BNP Paribas) / Michael Lavery (Piper Sandler)</t>
  </si>
  <si>
    <t>How much of 2025 shelf space is already set, how does Celsius position competitively against Ghost/KDP, and how will Celsius deploy its large cash balance after Big Beverage?</t>
  </si>
  <si>
    <t>Fieldly: NACS feedback was positive, giving confidence Celsius will gain additional shelf space, better placements and secondary cold placements in 2025; won Supplier of the Year awards at 7-Eleven, Circle K and Casey's. KDP/Ghost reinforces the performance-energy/Better-For-You opportunity, and disruption creates opportunity. On capital: an extremely healthy balance sheet; Big Beverage adds flexibility for LTOs/innovation/Orbit-model optimization with good ROI. Langhans: Big Beverage was a plant predominantly running Celsius, easy to absorb - but Celsius does not desire to become a co-packer and prefers staying asset-light.</t>
  </si>
  <si>
    <t>2025 playbook evolution &amp; pricing</t>
  </si>
  <si>
    <t>How does the execution playbook evolve for 2025 given Red Bull's and Monster's sugar-free pushes, and has Celsius communicated anything to the trade on pricing given Monster's Nov 1 increase?</t>
  </si>
  <si>
    <t>Fieldly: Red Bull's and Monster's sugar-free leaning-in reinforces Celsius's opportunity as a strong #3 player and the broader sugar-free/Better-For-You movement; increased competition allows further expansion. The 2025 playbook returns to the three growth drivers (new-to-category Gen Z/coffee-occasion replacement, increased availability via Pepsi alignment, increased consumption via foodservice/Jersey Mike's). On pricing: Celsius rolled out a price increase but is 'being cognizant' and does not expect significant benefit in 2025; has not disclosed the amount - 'we're being conservative on that.'</t>
  </si>
  <si>
    <t>Morgan Stanley Conference</t>
  </si>
  <si>
    <t>2024-12-03</t>
  </si>
  <si>
    <t>Category &amp; Distribution</t>
  </si>
  <si>
    <t>US energy-category sugar-free mix</t>
  </si>
  <si>
    <t>over 50% (first time)</t>
  </si>
  <si>
    <t>Convenience distribution uptick</t>
  </si>
  <si>
    <t>Convenience as % of Celsius sales</t>
  </si>
  <si>
    <t>~55% (vs ~65% for category)</t>
  </si>
  <si>
    <t>ACV distribution</t>
  </si>
  <si>
    <t>98% (vs ~65% for Red Bull/Monster)</t>
  </si>
  <si>
    <t>Avg SKUs on shelf</t>
  </si>
  <si>
    <t>~20 (vs ~6 for Red Bull/Monster)</t>
  </si>
  <si>
    <t>New-to-category growth rate (historical)</t>
  </si>
  <si>
    <t>~45% of growth</t>
  </si>
  <si>
    <t>entering 2024</t>
  </si>
  <si>
    <t>Drill-deep markets count</t>
  </si>
  <si>
    <t>~20 markets (12+ at 15+ share)</t>
  </si>
  <si>
    <t>South Florida market share</t>
  </si>
  <si>
    <t>mid-20s</t>
  </si>
  <si>
    <t>New York / Boston market share</t>
  </si>
  <si>
    <t>close to 20 each</t>
  </si>
  <si>
    <t>Los Angeles market share</t>
  </si>
  <si>
    <t>over 15</t>
  </si>
  <si>
    <t>Canada market share</t>
  </si>
  <si>
    <t>~5 share (in ~6 weeks)</t>
  </si>
  <si>
    <t>Amazon market share</t>
  </si>
  <si>
    <t>over 20 share (#1 toggle with Monster)</t>
  </si>
  <si>
    <t>Alani market share (competitor)</t>
  </si>
  <si>
    <t>low-4s</t>
  </si>
  <si>
    <t>Red Bull category share (competitor)</t>
  </si>
  <si>
    <t>Q1/Q2 2024 gross margin</t>
  </si>
  <si>
    <t>low-50s</t>
  </si>
  <si>
    <t>2024Q1-Q2</t>
  </si>
  <si>
    <t>Full-year 2024 gross margin</t>
  </si>
  <si>
    <t>upper-40s</t>
  </si>
  <si>
    <t>~20%-23%</t>
  </si>
  <si>
    <t>Q4 inventory headwind</t>
  </si>
  <si>
    <t>Up to ~$15M (max)</t>
  </si>
  <si>
    <t>Upper-40s</t>
  </si>
  <si>
    <t>2025 innovation slate</t>
  </si>
  <si>
    <t>Six SKUs (two Essentials, two Vibe, two Core)</t>
  </si>
  <si>
    <t>2025 category recovery</t>
  </si>
  <si>
    <t>Return to normalcy expected in 2025</t>
  </si>
  <si>
    <t>Toby David (Chief of Staff) reframed a difficult 2024 as a cyclical, macro-driven trough rather than a structural maturation of the brand or category.</t>
  </si>
  <si>
    <t>Core message: energy remains the best category in beverage/consumer goods; consumers are not abandoning caffeine but shifting toward sugar-free (now over 50% of the category for the first time) and functional benefits - boxes Celsius checks all.</t>
  </si>
  <si>
    <t>Celsius captured substantial 2024 shelf space (~45% convenience uptick) that it could not capitalize on amid the slowdown - positioning it well for a 2025 recovery once the category turns.</t>
  </si>
  <si>
    <t>The slowdown disproportionately hurt Celsius because new-to-category consumption (~45% of historical growth) went 'negligible' category-wide - consumers buy familiar items at lower frequency and avoid jumping into new categories during a macro pinch.</t>
  </si>
  <si>
    <t>Velocity framework: 'more people, more placements, more often' - more people (new-to-category), more placements (distribution), more often (frequency, e.g., moving the core consumer from 1 to 1.5 Celsius/week); during the slowdown the focus is frequency.</t>
  </si>
  <si>
    <t>Competitor sugar-free pushes (Red Bull, Monster) are welcomed - transitioning their core audiences to sugar-free benefits Celsius, a 15+ year authentic sugar-free brand that can win on taste sugar-free vs sugar-free; competitor moves are 'short-term noise.'</t>
  </si>
  <si>
    <t>Alani (low-4s share, predominantly female) overlaps with Celsius's female over-index; any sourcing likely takes a bit from Celsius, but Celsius is broader and stays 'on the offensive.'</t>
  </si>
  <si>
    <t>Pepsi destocking: Pepsi over-carried Celsius in 2023 (first full year with a $1B brand growing ~100%); small Q1/Q2 2024 pullbacks then a large Q3 drawdown; Pepsi has now optimized well and inventory is hoped not to be a recurring 2025 topic; Q4 headwind ~$15M max.</t>
  </si>
  <si>
    <t>Q4 gross margin: full-year 2024 rounds out in the upper-40s (strong low-50s in Q1/Q2, Q3 challenged), reflecting heavier H2 promotion and a margin-dilutive Pepsi incentive agreement.</t>
  </si>
  <si>
    <t>Big Beverage co-packer acquisition (North Carolina) expected to be margin-accretive for the Southeast US business; Monster remains the long-term gross-margin and bottom-line benchmark.</t>
  </si>
  <si>
    <t>Margin levers: drive costs out (more direct manufacturer business, cutting brokers), continued vertical integration, possible future West Coast facility; the company is 'not ready to lever yet' but can later pull promotional, S&amp;M and G&amp;A levers.</t>
  </si>
  <si>
    <t>Foodservice is a key differentiator given Celsius's distinct usage occasions (Jersey Mike's pairing; plus hospitals, hotels, vending, colleges/universities); recovery 'breadcrumbs' include a 6-8 week scanner pickup, retailer NACS optimism, and falling gas prices boosting convenience traffic.</t>
  </si>
  <si>
    <t>Pricing: Celsius took H2 2024 pricing but saw no benefit (consumer not ready) and 'dealt it back' via promotions; 2025 gives flexibility, pricing expected to be beneficial but full-capture amount not disclosed; Monster took a 5% Nov 1 increase, Red Bull appears to have captured most of its 2024 pricing.</t>
  </si>
  <si>
    <t>Promotional environment very aggressive (Monster BOGOs, Bang $1/can, Rain/Ghost/C4 BOGOs); Celsius is in line with the category - greater frequency but comparable depth, and notably does not run BOGOs; promotes even at modest depth to secure off-shelf displays.</t>
  </si>
  <si>
    <t>2025 innovation: six SKUs (two each Essentials/Vibe/Core) plus strong flavors coming off exclusivity at end-2024 (Cherry Cola, Watermelon Lemonade, Kiwi Strawberry); Amazon (20+ share, toggling #1 with Monster on a level playing field) is a proxy for Celsius's true opportunity.</t>
  </si>
  <si>
    <t>Drivers of the 2024 slowdown: cyclical vs structural</t>
  </si>
  <si>
    <t>Disaggregate the 2024 slowdown into cyclical factors (macro, category) vs structural factors (larger base, increased competition).</t>
  </si>
  <si>
    <t>David: no better category to disrupt than energy, which has outpaced total beverage for years and is still growing despite the consumer-goods downturn; consumers are shifting to sugar-free (&gt;50% of category for the first time) and functional - boxes Celsius checks. Celsius is well positioned for 2025 with captured 2024 space ready to capitalize on, a six-SKU innovation slate, and competitor sugar-free pushes transitioning audiences.</t>
  </si>
  <si>
    <t>Defending the sugar-free position vs Red Bull / Monster</t>
  </si>
  <si>
    <t>What is Celsius doing to protect its sugar-free/lifestyle position and go back on offense against Red Bull's and Monster's sugar-free pushes?</t>
  </si>
  <si>
    <t>David: Celsius has been sugar-free for 15+ years and welcomes Red Bull/Monster pushing the sugar-free agenda - transitioning their core audiences benefits Celsius, which wins on taste sugar-free vs sugar-free; competitor moves create short-term noise (Red Bull is 37% of the category) but Celsius is well positioned with innovation, marketing and its authentic legacy.</t>
  </si>
  <si>
    <t>Competition with Alani</t>
  </si>
  <si>
    <t>Where does Celsius see the interaction with a momentum-gaining Alani, and how does it protect its moat?</t>
  </si>
  <si>
    <t>David: Alani is a nice brand in the low-4s share, predominantly female-oriented; Celsius over-indexes female (still ~50/50) so any Alani sourcing likely takes a bit from Celsius with some crossover; Alani's LTOs drive temporary spikes that fade; Celsius is broader and stays on the offensive - 'the best defense is a good offense.'</t>
  </si>
  <si>
    <t>Shelf space &amp; distribution potential</t>
  </si>
  <si>
    <t>How does Celsius view space and distribution potential from here (space, items per store, doors)?</t>
  </si>
  <si>
    <t>David: 2023-2024 saw substantial space gains including a ~45% convenience uptick in 2024 that coincided with the slowdown; 2025 retail conversations have been positive (further space possible, undisclosed); the captured-but-uncapitalized 2024 space positions Celsius well; convenience is ~55% of Celsius sales vs ~65% category-wide - closing that gap is the opportunity.</t>
  </si>
  <si>
    <t>Velocity improvement drivers</t>
  </si>
  <si>
    <t>What drives improved Celsius velocity from here, and how do velocities compare to Alani and Ghost?</t>
  </si>
  <si>
    <t>David: Red Bull and Monster are 'in a league of their own'; Celsius matches or exceeds Ghost and C4 velocity despite carrying ~20 SKUs at 98% ACV vs ~6 SKUs at ~65% ACV; velocity dipped in 2024 when the expected post-distribution pickup coincided with the slowdown; focus is more people, more placements, more often.</t>
  </si>
  <si>
    <t>Stimulating existing-user consumption</t>
  </si>
  <si>
    <t>What is within Celsius's control to drive existing users to drink more?</t>
  </si>
  <si>
    <t>David: new-to-category is hard during a stagnated macro, so the focus is frequency within the existing base (as Red Bull is doing via LTOs/innovation); levers include new flavors for the existing audience and digital/social marketing targeting identified Celsius consumers to push a Celsius purchase over coffee or nothing.</t>
  </si>
  <si>
    <t>Pepsi inventory destocking &amp; Q4 tracking</t>
  </si>
  <si>
    <t>In retrospect, what drove the 2024 Pepsi destocking, and how is Q4 tracking vs the slight-tailwind-to-$15M-headwind framework?</t>
  </si>
  <si>
    <t>David: nothing changed in the last six weeks - the ~$15M headwind still seems like the max with year-end variability; Celsius has good visibility into Pepsi's holdings. Pepsi was simply optimizing its system: 2023 was the first full year with a $1B brand growing ~100% so Pepsi carried plenty; small Q1/Q2 pullbacks, large Q3 drawdown; Pepsi has now optimized well and management hopes inventory will not be a recurring 2025 topic.</t>
  </si>
  <si>
    <t>Non-tracked channels &amp; foodservice progress</t>
  </si>
  <si>
    <t>How is the business progressing with Pepsi on a sell-out basis in non-tracked channels (foodservice, colleges/universities, hospitals, hotels)?</t>
  </si>
  <si>
    <t>David: foodservice is a key differentiation area given Celsius's distinct usage occasions - Jersey Mike's has gone very well (people pair Celsius with subs, unlike Monster or Red Bull); foodservice also includes hospitals, hotels, vending, and college/university; college/university captures early adopters; hospitals succeed because long-hour night-shift staff want a higher-quality option; foodservice drives trial and long-term loyalty.</t>
  </si>
  <si>
    <t>Drill-deep strategy for 2025 &amp; new-user confidence</t>
  </si>
  <si>
    <t>How does Celsius view the drill-deep strategy for 2025, what are the latest developed-market shares, and what gives confidence new-user acquisition reaccelerates rather than reflecting brand maturation?</t>
  </si>
  <si>
    <t>David: drill-deep began in 2013 with five markets, grew to ~6, then to ~20 by 2020/2021, producing 12+ markets above a 15 share (mid-20s South Florida, near 20 NY/Boston, 15+ LA, strong Midwest markets); 2025 concentrates more resources into drill-deep markets. All peers also struggle to bring in new consumers - logical in a macro; Celsius is hit harder given its ~45% new-to-category rate; focus is frequency; this is cyclical, not maturation, with 'breadcrumbs' suggesting recovery sooner rather than later.</t>
  </si>
  <si>
    <t>Category recovery breadcrumbs</t>
  </si>
  <si>
    <t>Beyond the scanner pickup over the prior six to eight weeks, are there other category-recovery breadcrumbs?</t>
  </si>
  <si>
    <t>David: the scanner is the key data, but retailer conversations (e.g., at NACS) showed convenience retailers confident things were picking up; falling gas prices should bring more convenience foot traffic, driving energy trial and consumption; the convenience single-serve trial is the big opportunity, after which consumers buy in bulk.</t>
  </si>
  <si>
    <t>2025 gross margin puts and takes</t>
  </si>
  <si>
    <t>Celsius is on track for high-40s full-year 2024 gross margin - what are the puts and takes for 2025 gross margin in a normalizing top-line environment?</t>
  </si>
  <si>
    <t>David: deferred 2025 direction to the CEO/CFO; long-term the Monster benchmark remains the target; Q1/Q2 2024 had strong low-50s margins, Q3 was challenged by Pepsi inventory, the full year rounds out in the upper-40s given heavier H2 promotion and the margin-dilutive Pepsi incentive agreement; for 2025 the inventory situation should normalize, S&amp;M and gross profit return to a normalized cadence, and Big Beverage is expected to be margin-accretive.</t>
  </si>
  <si>
    <t>Building blocks to Monster-like margin</t>
  </si>
  <si>
    <t>What are the medium-term building blocks to take Celsius from high-40s to Monster-like gross margin?</t>
  </si>
  <si>
    <t>David: keep driving costs out - more direct manufacturer business, cutting brokers - supported by a best-in-class ops team under CSCO Paul Storey; vertical integration is a continued opportunity (Celsius has an East Coast facility, may consider a West Coast one); S&amp;M is ~20-23% of revenue (Monster lower); Celsius is 'not ready to lever the company yet' but can later pull promotional, S&amp;M and G&amp;A levers.</t>
  </si>
  <si>
    <t>Pricing actions to date</t>
  </si>
  <si>
    <t>Given Monster's 5% Nov 1 increase, what has Celsius done on pricing to date (list and shelf)?</t>
  </si>
  <si>
    <t>David: Celsius indicated in the Q2 call it would take H2 2024 pricing but would not see a benefit because the consumer was not ready - which held true; Celsius 'dealt the back' through promotions, shopper marketing and above-the-line treatments; 2025 gives flexibility, pricing is believed to be beneficial in 2025 but the full-capture amount has not been disclosed.</t>
  </si>
  <si>
    <t>Category promotional environment</t>
  </si>
  <si>
    <t>What is Celsius seeing in the overall category promotional environment (Bang $1/can, Monster four-for-$8), and is it short-term noise?</t>
  </si>
  <si>
    <t>David: pricing has been very aggressive - Monster BOGOs on Green Claw at Publix, Bang $1 at 7-Eleven, Rain/Rainstorm/Ghost/C4 BOGOs, Red Bull discounting more frequently; Celsius is in line with the category (greater frequency, comparable depth, no BOGOs); promotes even at modest depth to secure off-shelf displays; by January, data will show whether Monster captured or discounted back its November increase; Red Bull appears to have captured most of its 2024 pricing.</t>
  </si>
  <si>
    <t>Competitor innovation &amp; sugar-free traction</t>
  </si>
  <si>
    <t>Given Red Bull's sugar-free flavor traction and Monster's ultra vice guava, is competitor innovation game-changing or typical?</t>
  </si>
  <si>
    <t>David: Monster is always innovating - nothing new; Monster is the #1 sugar-free brand, Celsius is right behind in total dollar sales, Red Bull lags both; Red Bull is innovating more than historically but its innovation appears to mostly cannibalize existing sales and pick up frequency rather than new consumers; competitor sugar-free pushes are short-term noise but ultimately benefit the sugar-free category and Celsius, which wins on taste sugar-free vs sugar-free.</t>
  </si>
  <si>
    <t>International progress (Canada, UK, Australia)</t>
  </si>
  <si>
    <t>What is the latest on Canada, initial UK progress, and when do other announced markets come online?</t>
  </si>
  <si>
    <t>David: Canada blew away both Celsius's and Pepsi's forecasts, hitting a 5 share in ~6 weeks (causing supply-chain disruption from blowing through forecast) and is well positioned for 2025 with likely more SKUs; the UK launched in June into the fitness channel and a Tesco segment with nice early store-level results, too early for firm reads, methodical with no cash burn; Australia launched ~6 weeks prior to a great start; global trends mirror the US with government sugar taxes a tailwind.</t>
  </si>
  <si>
    <t>2025 US innovation pipeline</t>
  </si>
  <si>
    <t>Recap the 2025 US innovation pipeline and how it compares to prior years in size, timing and cadence.</t>
  </si>
  <si>
    <t>David: tough to compare exactly; 2025 has six referenced SKU launches (two each Essentials/Vibe/Core) plus likely additional unannounced innovation; 2024 also had a robust pipeline (six SKUs including the Essentials launch plus three Vibes); on top of 2025 innovation, several strong flavors come off exclusivity at end-2024 - Cherry Cola, Watermelon Lemonade, Kiwi Strawberry.</t>
  </si>
  <si>
    <t>Amazon performance</t>
  </si>
  <si>
    <t>Any read on Amazon performance, Prime Day, and any change in focus dealing with or marketing on Amazon?</t>
  </si>
  <si>
    <t>David: Amazon remains a priority and is indicative of Celsius's opportunity - Celsius toggles with Monster for #1 on the platform at a 20+ share with no algorithm tricks; Amazon is a level playing field where Red Bull and Monster cannot win on space; Cyber Monday had just passed and he had not yet seen team results.</t>
  </si>
  <si>
    <t>Q4 2024 Earnings Call</t>
  </si>
  <si>
    <t>2025-02-20</t>
  </si>
  <si>
    <t>Full Year 2024 Results</t>
  </si>
  <si>
    <t>~$1.36B</t>
  </si>
  <si>
    <t>~$1.32B</t>
  </si>
  <si>
    <t>$680M</t>
  </si>
  <si>
    <t>~$636M</t>
  </si>
  <si>
    <t>48.0%</t>
  </si>
  <si>
    <t>+220 bps</t>
  </si>
  <si>
    <t>~$145M</t>
  </si>
  <si>
    <t>~$227M</t>
  </si>
  <si>
    <t>$0.70</t>
  </si>
  <si>
    <t>(category +5%)</t>
  </si>
  <si>
    <t>Full Year 2024 Operating Expenses</t>
  </si>
  <si>
    <t>25.9%</t>
  </si>
  <si>
    <t>+590 bps</t>
  </si>
  <si>
    <t>12.8%</t>
  </si>
  <si>
    <t>7.8%</t>
  </si>
  <si>
    <t>+500 bps</t>
  </si>
  <si>
    <t>Q4 2024 Results</t>
  </si>
  <si>
    <t>declined 4%</t>
  </si>
  <si>
    <t>47.8%</t>
  </si>
  <si>
    <t>+240 bps</t>
  </si>
  <si>
    <t>18.9%</t>
  </si>
  <si>
    <t>flat (0 bps)</t>
  </si>
  <si>
    <t>$185M</t>
  </si>
  <si>
    <t>~$107M</t>
  </si>
  <si>
    <t>Net Income / (Loss)</t>
  </si>
  <si>
    <t>-$18.9M</t>
  </si>
  <si>
    <t>$50.1M</t>
  </si>
  <si>
    <t>loss</t>
  </si>
  <si>
    <t>$0.14</t>
  </si>
  <si>
    <t>Distribution / Category</t>
  </si>
  <si>
    <t>Points of Distribution Growth (FY2024)</t>
  </si>
  <si>
    <t>98.7%</t>
  </si>
  <si>
    <t>U.S. Retail Outlets</t>
  </si>
  <si>
    <t>241,000+</t>
  </si>
  <si>
    <t>Contribution to Category Growth (2024)</t>
  </si>
  <si>
    <t>Sugar-Free Share of Category (2024)</t>
  </si>
  <si>
    <t>Energy Category Size (2024)</t>
  </si>
  <si>
    <t>~$90B</t>
  </si>
  <si>
    <t>~$890M</t>
  </si>
  <si>
    <t>Pepsi Inventory Change Impact (Q4)</t>
  </si>
  <si>
    <t>$8M-$10M</t>
  </si>
  <si>
    <t>Alani Nu Acquisition</t>
  </si>
  <si>
    <t>$1.8B (cash + stock)</t>
  </si>
  <si>
    <t>Funding - Cash + Earn-out + Restricted Stock</t>
  </si>
  <si>
    <t>$1.275B cash + $25M earn-out + $500M stock</t>
  </si>
  <si>
    <t>$900M committed debt + ~$375M cash on hand</t>
  </si>
  <si>
    <t>Pro-Forma Ownership (Alani Nu sellers)</t>
  </si>
  <si>
    <t>~8.6%</t>
  </si>
  <si>
    <t>Alani Nu 2024 Revenue</t>
  </si>
  <si>
    <t>$595M</t>
  </si>
  <si>
    <t>Alani Nu 2024 Fully Synergized Adj. EBITDA</t>
  </si>
  <si>
    <t>$137M</t>
  </si>
  <si>
    <t>&lt;3x 2024 revenue; ~12x synergized EBITDA</t>
  </si>
  <si>
    <t>Run-Rate Cost Synergies</t>
  </si>
  <si>
    <t>$50M over 2 years post-close</t>
  </si>
  <si>
    <t>Pro-Forma Combined Sales (2024)</t>
  </si>
  <si>
    <t>~$2B</t>
  </si>
  <si>
    <t>Combined Energy Category Share</t>
  </si>
  <si>
    <t>Alani Nu Female Social Media Following</t>
  </si>
  <si>
    <t>~92%</t>
  </si>
  <si>
    <t>Alani Nu Life-Cycle Position</t>
  </si>
  <si>
    <t>18-24 months behind Celsius</t>
  </si>
  <si>
    <t>10% CAGR</t>
  </si>
  <si>
    <t>2024-2029</t>
  </si>
  <si>
    <t>Alani Nu Acquisition Close</t>
  </si>
  <si>
    <t>Cash EPS Accretion</t>
  </si>
  <si>
    <t>Accretive in year one</t>
  </si>
  <si>
    <t>Year 1 post-close</t>
  </si>
  <si>
    <t>~1x</t>
  </si>
  <si>
    <t>Post-close</t>
  </si>
  <si>
    <t>Celsius Distribution Expansion (retail sets)</t>
  </si>
  <si>
    <t>~15%-20%</t>
  </si>
  <si>
    <t>Spring 2025 resets</t>
  </si>
  <si>
    <t>Alani Nu Distribution Gains</t>
  </si>
  <si>
    <t>Pretty sizable, esp. convenience</t>
  </si>
  <si>
    <t>18,000 locations</t>
  </si>
  <si>
    <t>Starting Mar 2025</t>
  </si>
  <si>
    <t>~50% (potentially high 40s with tariffs)</t>
  </si>
  <si>
    <t>Record FY2024 revenue ~$1.36B (+3%); Q4 revenue and adjusted EBITDA each declined 4% - a return to 'more traditional results' after an 'uncharacteristic' Q3.</t>
  </si>
  <si>
    <t>FY2024 net income fell 36% to ~$145M; Q4 a net loss of $18.9M, driven by one-time costs.</t>
  </si>
  <si>
    <t>Q4 SG&amp;A rose 73% to $185M on accrued legal expenses (case on appeal), Big Beverage acquisition costs, Center of Excellence build-out, legal settlement, and co-packer penalties/restructuring.</t>
  </si>
  <si>
    <t>FY2024 gross margin expanded 220 bps to 50.2% on lower freight costs and raw-material savings.</t>
  </si>
  <si>
    <t>Resilient operating metrics: 22% volume growth vs a 5% category, 37% points-of-distribution growth, ACV 98.7%, 30% of all 2024 category growth.</t>
  </si>
  <si>
    <t>Dominant strategic news: a $1.8B definitive agreement to acquire female-focused functional wellness brand Alani Nu - cash + stock - expected to close Q2 2025.</t>
  </si>
  <si>
    <t>Alani Nu deal creates a ~$2B pro-forma platform and ~16% combined energy category share; &lt;3x 2024 revenue / ~12x fully synergized EBITDA; cash EPS accretive in year one.</t>
  </si>
  <si>
    <t>$50M run-rate cost synergies expected over two years post-close (supply chain, sales force, back-office); pro-forma net leverage ~1x.</t>
  </si>
  <si>
    <t>Alani Nu is incremental - a younger, aspirational female consumer (~92% female social following); management says cannibalization with Celsius is 'fairly low.'</t>
  </si>
  <si>
    <t>Q1 2025 off to a 'slow start' in scanner data - attributed to promotion timing and cycling tough prior-year innovation comps (Essentials launch, strong Q1 2024 innovation), framed as timing-driven.</t>
  </si>
  <si>
    <t>Category went negative in Q3 2024 for the first time in many years; steep new sugar-free competition gained trial.</t>
  </si>
  <si>
    <t>The category is now &gt;50% sugar-free; energy has 'gone mainstream' across all ages.</t>
  </si>
  <si>
    <t>Contra revenue was a little elevated across 2024 vs 2023 and 2022; the largest-distributor incentive program will be fully in place by Q1-Q2 2025, with extra incentive in Q1-Q2 due to a phased-in approach.</t>
  </si>
  <si>
    <t>Management deflected all questions on whether Alani Nu would migrate from the Anheuser-Busch network to Pepsi - 'running separate until closing.'</t>
  </si>
  <si>
    <t>Tariff/aluminum risk could pull gross margin back ('high 40s with the tariffs'), but management defends ~50% as 'a solid number'; declined to detail Alani Nu's standalone margin until after close.</t>
  </si>
  <si>
    <t>2025 spring resets expected to deliver ~15-20% Celsius distribution expansion and 'pretty sizable' Alani Nu convenience gains.</t>
  </si>
  <si>
    <t>2025 innovation pipeline is back-half/summer-weighted (new flavors, CELSIUS HYDRATION, tentpole programs) - framed as the path to re-acceleration after a weak Q1.</t>
  </si>
  <si>
    <t>Celsius begins selling in Subway starting March 2025 (18,000-location opportunity); also gained Home Depot distribution.</t>
  </si>
  <si>
    <t>Alani Nu roughly where Celsius was two years ago in its growth cycle - meaningful ACV upside in foodservice and convenience.</t>
  </si>
  <si>
    <t>Integration risk mitigants: the disciplined hiccup-free Pepsi integration precedent, active founder involvement, a two-year transition agreement, and founder equity alignment.</t>
  </si>
  <si>
    <t>Celsius recently expanded internationally into the UK, Ireland, Australia, New Zealand and France - 'just getting started in the first innings.'</t>
  </si>
  <si>
    <t>Pepsi inventory rightsizing viewed as positive for long-term supply-chain health.</t>
  </si>
  <si>
    <t>Management tone confident and forward-leaning, framing 2024 softness as timing-driven.</t>
  </si>
  <si>
    <t>Brand positioning &amp; cannibalization</t>
  </si>
  <si>
    <t>Kaumil Gajrawala - Jefferies</t>
  </si>
  <si>
    <t>How the two brands would be positioned and whether there is age/demographic overlap to 'solve for.'</t>
  </si>
  <si>
    <t>Alani Nu has a unique, incremental consumer base - a younger, aspirational, accessible female consumer centered on health/wellness/fitness, with a ~92% female social-media following. Cannibalization potential is 'fairly low,' with a much higher trade-in dynamic; Celsius gains two strong portfolios.</t>
  </si>
  <si>
    <t>Alani Nu distribution strategy</t>
  </si>
  <si>
    <t>Whether the preference is to keep Alani Nu in the Anheuser-Busch network or consolidate it into Pepsi, and whether Pepsi would be involved financially or operationally.</t>
  </si>
  <si>
    <t>Deflected the distribution question - the transaction was just announced and must clear customary closing procedures and regulatory approval, with an expected Q2 close. Praised the ABI network as a great partner; focus is on the consumer, customers and growing the businesses together.</t>
  </si>
  <si>
    <t>Alani Nu incrementality vs core Celsius</t>
  </si>
  <si>
    <t>Whether legacy Celsius would grow in line with the category with Alani Nu providing the lift, or return to above-trend growth; and how Alani Nu's powders/RTD shakes/snacks fit an energy-centric portfolio.</t>
  </si>
  <si>
    <t>Acknowledged a 'slow start' in Q1 2025 from promotion timing and innovation comps but is bullish on the 2025 Celsius innovation strategy and 50/50 male/female positioning. The category is now &gt;50% sugar-free; Alani Nu is roughly where Celsius was two years ago in its growth cycle with ACV upside in foodservice/convenience. Both brands form a better-for-you platform with adjacency expansion opportunities.</t>
  </si>
  <si>
    <t>What to expect from spring shelf resets for core Celsius given challenged velocity trends, and visibility on shelf-space gains for Alani Nu.</t>
  </si>
  <si>
    <t>Celsius expects ~15-20% distribution expansion within retail sets coming out of resets, with grocery and large-format leaning further into energy. Emphasized improved cold placements and disrupting the path to purchase. Alani Nu is expecting 'pretty sizable' distribution gains through reset season, especially in convenience.</t>
  </si>
  <si>
    <t>Pepsi rights &amp; Q4 inventory change</t>
  </si>
  <si>
    <t>Whether Pepsi has a right of first refusal for distributing other brands Celsius buys, who pays distributor buyouts if Alani Nu changes networks, the Q4 Pepsi inventory change, and Q1 expectations.</t>
  </si>
  <si>
    <t>Reiterated focus on closing the transaction and servicing customers, with the companies running separately until close, declining the distribution-rights specifics. CFO quantified the Q4 Pepsi inventory change impact at between $8M and $10M.</t>
  </si>
  <si>
    <t>Deal rationale vs core slowdown</t>
  </si>
  <si>
    <t>Gerald Pascarelli - Needham &amp; Company</t>
  </si>
  <si>
    <t>Whether the near-term core slowdown expedited Celsius's push to get aggressive with M&amp;A and buy scale, or whether Alani Nu had long been a contemplated target.</t>
  </si>
  <si>
    <t>Celsius is 'extremely confident' in its portfolio and energy-category tailwinds; acknowledged the slow start and pointed to the 2025 innovation pipeline. The Alani Nu opportunity arose and is incremental; combining the two brands makes Celsius a ~16% energy-category share player (up from a solid #3) - a 'natural fit' leveraging built infrastructure and synergies.</t>
  </si>
  <si>
    <t>Intra-quarter consumption &amp; innovation reception</t>
  </si>
  <si>
    <t>Andrea Teixeira - JPMorgan</t>
  </si>
  <si>
    <t>Intra-quarter consumption trends for Celsius and Alani Nu, when velocity improvement should be visible, and how the new innovation pipeline is being received.</t>
  </si>
  <si>
    <t>Reiterated confidence in the Celsius portfolio while acknowledging Q1 weakness from cycling high prior-year hurdles (Essentials launch, strong Q1 2024 innovation). Pointed to an innovation-packed back half into the summer beverage season, tentpole programs, and the 7-Eleven award; Alani Nu's incrementality and distribution gains will help. Framed the issue as timing; energy has 'gone mainstream.'</t>
  </si>
  <si>
    <t>2024 share trends &amp; Subway rollout</t>
  </si>
  <si>
    <t>A diagnosis of the sequential share pressure across 2024 and how to address it, plus whether the Subway rollout is each franchisee's decision.</t>
  </si>
  <si>
    <t>Attributed share pressure to category-wide challenges that emerged in Q3 2024 when the category went negative for the first time in many years, plus steep competition entering sugar-free and gaining trial. Path to recovery: Celsius's loyal long-term consumer, the 2025 innovation portfolio, targeted marketing, and broadening consumer-segment reach. (The Subway franchisee-decision portion was not directly addressed.)</t>
  </si>
  <si>
    <t>Promotional allowances &amp; gross margin sustainability</t>
  </si>
  <si>
    <t>Sean McGowan - ROTH Capital Partners</t>
  </si>
  <si>
    <t>How much promotional allowances impacted revenue and gross margin in the quarter, and whether the current gross margin level is sustainable given aluminum cost pressure.</t>
  </si>
  <si>
    <t>Contra revenue was a little elevated across 2024 vs 2023 and 2022, with the distributor incentive plan fully in place by Q1-Q2 2025 and benefits from full program implementation expected to normalize the basis. On gross margin, tariffs are uncertain but Celsius is 'in good shape'; aluminum from Canada would not significantly impact results though it could pull margin back - conservatively 'high 40s with the tariffs,' but 50% is 'a solid number.' Declined to detail Alani Nu's margin profile until after close.</t>
  </si>
  <si>
    <t>Synergies &amp; combined EBITDA margin potential</t>
  </si>
  <si>
    <t>Kevin Grundy - BNP Paribas</t>
  </si>
  <si>
    <t>Key areas and visibility for the $50M synergy target and any upside, whether combined EBITDA margins could resemble Monster's US margins, and how Celsius limits integration risk.</t>
  </si>
  <si>
    <t>Alani Nu is 18-24 months behind Celsius in life cycle, leaving leverage opportunity; the synergies are 'hard cost' - COGS, competitive purchasing power, a 500-strong sales force, global supply chain/procurement, back-office. Integration risk mitigants: the disciplined hiccup-free Pepsi distribution integration as precedent, active founder involvement, a two-year transition agreement, and founder equity alignment.</t>
  </si>
  <si>
    <t>Sustaining Alani Nu momentum</t>
  </si>
  <si>
    <t>How Celsius will maintain Alani Nu's momentum (share gains roughly doubling YTD), what drove those gains, and why those consumers can be retained - implying some gains may have come at Celsius's expense.</t>
  </si>
  <si>
    <t>Reiterated that the two portfolios combined add category strength and that the Alani Nu consumer is incremental. Energy-category consumers are loyal; Alani Nu has a true brand identity connecting emotionally with Gen Z and female Millennials, and the category has gone mainstream across all ages - supporting a massive growth opportunity.</t>
  </si>
  <si>
    <t>Alani Nu ACV, international &amp; marketing</t>
  </si>
  <si>
    <t>Jeff Van Sinderen - B. Riley Securities</t>
  </si>
  <si>
    <t>Alani Nu's current ACV and international penetration, and how Celsius plans to broaden its marketing reach in 2025 and how that changes with Alani Nu.</t>
  </si>
  <si>
    <t>The international opportunity is 'massive'; Alani Nu has only a small amount of international distribution. Celsius itself recently expanded into the UK, Ireland, Australia, New Zealand and France - 'just getting started in the first innings.' Cited the energy category at ~$90B in 2024 growing at a 10% CAGR to 2029. (Specific Alani Nu ACV and detailed marketing plans were not quantified.)</t>
  </si>
  <si>
    <t>2025 Consumer Analyst Group of New York (CAGNY) Conference</t>
  </si>
  <si>
    <t>2025-02-21</t>
  </si>
  <si>
    <t>FY2024 Results</t>
  </si>
  <si>
    <t>$1.36B</t>
  </si>
  <si>
    <t>$256M</t>
  </si>
  <si>
    <t>Retail Sales</t>
  </si>
  <si>
    <t>$2.7B</t>
  </si>
  <si>
    <t>LRB Brand Rank</t>
  </si>
  <si>
    <t>#9 (from #90 in 2020)</t>
  </si>
  <si>
    <t>Contribution to Category Growth</t>
  </si>
  <si>
    <t>Distribution / Brand Stats</t>
  </si>
  <si>
    <t>RTD ACV (US)</t>
  </si>
  <si>
    <t>US Retail Locations</t>
  </si>
  <si>
    <t>250,000+</t>
  </si>
  <si>
    <t>Sugar-Free Segment Share (Celsius portfolio)</t>
  </si>
  <si>
    <t>Gender Mix</t>
  </si>
  <si>
    <t>54% female / 46% male</t>
  </si>
  <si>
    <t>Repeat-Buyer Households</t>
  </si>
  <si>
    <t>Owned Social Followers</t>
  </si>
  <si>
    <t>7 million</t>
  </si>
  <si>
    <t>Monthly Social Views / Impressions</t>
  </si>
  <si>
    <t>150M views / 300M impressions</t>
  </si>
  <si>
    <t>Brand Ambassadors</t>
  </si>
  <si>
    <t>3,000+</t>
  </si>
  <si>
    <t>Dedicated Sales Staff</t>
  </si>
  <si>
    <t>500+</t>
  </si>
  <si>
    <t>Transaction Value (net of $150M tax assets)</t>
  </si>
  <si>
    <t>$1.65B</t>
  </si>
  <si>
    <t>EBITDA Multiple (synergized)</t>
  </si>
  <si>
    <t>~12x</t>
  </si>
  <si>
    <t>Revenue Multiple</t>
  </si>
  <si>
    <t>&lt;3x</t>
  </si>
  <si>
    <t>~$600M</t>
  </si>
  <si>
    <t>Alani Nu Revenue CAGR</t>
  </si>
  <si>
    <t>Alani Nu RTD Revenue Mix</t>
  </si>
  <si>
    <t>Founder Stock Consideration</t>
  </si>
  <si>
    <t>8.7% (locked 12/18/24 mo)</t>
  </si>
  <si>
    <t>Combined Company / Industry</t>
  </si>
  <si>
    <t>Pro-Forma Combined 2024 Sales</t>
  </si>
  <si>
    <t>Combined Contribution to Category Growth</t>
  </si>
  <si>
    <t>Global Energy Category Size 2024</t>
  </si>
  <si>
    <t>Global Energy Category Growth</t>
  </si>
  <si>
    <t>Up to 18,000 locations</t>
  </si>
  <si>
    <t>Alani Nu Cash EPS Accretion</t>
  </si>
  <si>
    <t>Inaugural CAGNY presentation; management positioned Celsius as a 'category disrupter' with premium zero-sugar functional beverage brands in a large/growing TAM.</t>
  </si>
  <si>
    <t>Recapped FY2024: $1.36B revenue, 50.2% GM, $145M net income, $256M adj EBITDA; reached #9 LRB brand at $2.7B retail sales.</t>
  </si>
  <si>
    <t>Dominant theme: newly announced Alani Nu acquisition framed as creating a leading better-for-you functional lifestyle platform with ~$2B combined pro-forma sales and ~16% energy share.</t>
  </si>
  <si>
    <t>Three-pillar growth strategy: more people, more places, more often, underpinned by operational excellence.</t>
  </si>
  <si>
    <t>CMO Watson emphasized brand-building over commodity positioning ('Live Fit'); cited 72% repeat-buyer households, 7M owned social followers, 3,000+ ambassadors; competitors saw household declines while Celsius expanded.</t>
  </si>
  <si>
    <t>Energy category framed as going mainstream: gender/age-balanced; sugar-free surpassed sugary energy for the first time in 2024 (from ~39% of category in 2020) - a structural mix shift favoring Celsius's all-sugar-free portfolio.</t>
  </si>
  <si>
    <t>Margin expansion via operational excellence: Nov 2024 Big Beverages vertical-integration acquisition, scrap reduction, aged-inventory removal, AI-driven sales/marketing ROI.</t>
  </si>
  <si>
    <t>2025 'healthy HALO' marketing campaign to launch prior to summer beverage season.</t>
  </si>
  <si>
    <t>Foodservice expansion: Subway up to 18,000 locations (with Pepsi), Jersey Mike's, Home Depot; Hydration line 'selling out' on Amazon.</t>
  </si>
  <si>
    <t>CFO framed Alani Nu valuation as compelling (~12x synergized EBITDA, &lt;3x revenue); ~1x modest net leverage; year-one cash EPS accretion; founders gave 8.7% stock with 2-year lock-up and consulting agreement.</t>
  </si>
  <si>
    <t>Management tone confident, promotional, forward-leaning; only acknowledged near-term challenge implicit in prior night's reported softness.</t>
  </si>
  <si>
    <t>Note: Q&amp;A abbreviated due to time constraints - only one substantive question taken on the main stage.</t>
  </si>
  <si>
    <t>Alani Nu EPS Accretion Assumptions</t>
  </si>
  <si>
    <t>Unidentified Participant (Analyst)</t>
  </si>
  <si>
    <t>Asked for more color on the assumptions behind expected EPS accretion from the Alani Nu deal - magnitude of accretion, and whether growth above Alani Nu's 2024 base is baked in.</t>
  </si>
  <si>
    <t>CFO Langhans said detail would come at a dedicated post-close modeling call, but management assumes 'outsized growth' beyond what is expected within the energy category. Cash accretion reflects expected 2025 growth plus synergy capture, net of estimated interest costs, synergy costs, and the 8.7% dilutive stock issued. CEO Fieldly added significant leverage opportunities in supply chain (building on Big Beverages), raw materials, logistics, and the larger combined sales organization.</t>
  </si>
  <si>
    <t>UBS Global Consumer and Retail Conference</t>
  </si>
  <si>
    <t>2025-03-12</t>
  </si>
  <si>
    <t>Share / Sales</t>
  </si>
  <si>
    <t>Energy Category Share (peak end-Q1/early-Q2 2024)</t>
  </si>
  <si>
    <t>Energy Category Share (current, ex coffees/teas)</t>
  </si>
  <si>
    <t>LRB Brand Rank FY2024</t>
  </si>
  <si>
    <t>#9</t>
  </si>
  <si>
    <t>Retail Sales FY2024</t>
  </si>
  <si>
    <t>Combined Energy Category Share (post Alani Nu)</t>
  </si>
  <si>
    <t>~16.5</t>
  </si>
  <si>
    <t>Celsius/Alani Consumer Overlap</t>
  </si>
  <si>
    <t>~13-14 share</t>
  </si>
  <si>
    <t>Dedicated Field/Sales Team</t>
  </si>
  <si>
    <t>~1,000 (400-500 incremental to Pepsi)</t>
  </si>
  <si>
    <t>Incremental Cooler Target 2025</t>
  </si>
  <si>
    <t>15,000+</t>
  </si>
  <si>
    <t>Pepsi Sales Reps Leveraged</t>
  </si>
  <si>
    <t>30,000+</t>
  </si>
  <si>
    <t>Powder / Energy-Stick Business</t>
  </si>
  <si>
    <t>Margins / Spend</t>
  </si>
  <si>
    <t>Sales &amp; Marketing (% of Sales) FY2024</t>
  </si>
  <si>
    <t>Gross Margin FY2024</t>
  </si>
  <si>
    <t>Mid-to-high single digit</t>
  </si>
  <si>
    <t>Spring-Reset Shelf-Space Gain</t>
  </si>
  <si>
    <t>15%-20%</t>
  </si>
  <si>
    <t>Spring 2025</t>
  </si>
  <si>
    <t>15,000+ coolers</t>
  </si>
  <si>
    <t>~50% (upside/downside)</t>
  </si>
  <si>
    <t>Sales &amp; Marketing (% of Sales)</t>
  </si>
  <si>
    <t>Between ~22-23% and 26%</t>
  </si>
  <si>
    <t>Alani Nu Accretion</t>
  </si>
  <si>
    <t>Accretive to revenue and EPS year one</t>
  </si>
  <si>
    <t>UBS fireside chat; management addressed head-on the energy-category slowdown and Celsius's own market-share erosion.</t>
  </si>
  <si>
    <t>Category went negative for the first time in Q3 2024 amid macro pressure, slowing convenience traffic and shifting consumer habits; competitors 'woke up' with their largest-ever sugar-free innovation push.</t>
  </si>
  <si>
    <t>CEO Fieldly candidly admitted 'we're not happy where we ended 2024 out and share' and that Celsius 'could have timed our innovation better.'</t>
  </si>
  <si>
    <t>Deliberate slower Q1 2025 start: a 'step change' shifting innovation timing from mid-January to mid-April; explicit lever for the back-half recovery.</t>
  </si>
  <si>
    <t>Structural shift to sugar-free (now the majority of the category) aligns with Celsius's all-sugar-free portfolio.</t>
  </si>
  <si>
    <t>Expected 15%-20% spring-reset shelf-space gains (sold in last year); targeting 15,000+ incremental coolers within six feet of every checkout.</t>
  </si>
  <si>
    <t>Pepsi partnership strengthening - hired 27-year PepsiCo veteran Eric Hanson (starting March 24); sales force now fully app-integrated; 2024 inventory optimization now behind the company.</t>
  </si>
  <si>
    <t>Convenience-channel share lags total-company share (c-store was last channel entered, Circle K only mid-2022); 7-Eleven share already exceeds the ~11 company share.</t>
  </si>
  <si>
    <t>CFO framed 2025 as a building year - softer first half, accelerating second half; gross margin 'circled' at ~50%; S&amp;M between historical 22-23% and elevated 26% of 2024.</t>
  </si>
  <si>
    <t>Tariffs: newly imposed 25% tariff flagged as a swing factor management declined to model given volatility; center of excellence provides ingredient-route mitigation.</t>
  </si>
  <si>
    <t>Alani Nu positioned as incremental (only ~15% Celsius/Alani consumer overlap, lower than Red Bull/Monster overlap); deal makes Celsius a 'mega number three player' at ~16.5 combined share.</t>
  </si>
  <si>
    <t>Why the Category Slowed in 2024</t>
  </si>
  <si>
    <t>Asked, with hindsight, why the energy category slowed so unexpectedly in 2024.</t>
  </si>
  <si>
    <t>2024 began strongly with record distribution gains, but category went negative for the first time in Q3 amid macro pressure, slowing convenience traffic and shifting consumer habits. Celsius peaked near a 12 share (now ~11 ex coffees/teas). Competitors 'woke up' with their largest-ever sugar-free innovation push. Bright spot: structural shift to majority sugar-free. Light back-half 2024 innovation and timing drove soft trailing scans.</t>
  </si>
  <si>
    <t>Market-Share Evolution &amp; What Could Be Done Differently</t>
  </si>
  <si>
    <t>Asked what did not play out as planned with the expected convenience reset share lift and what Celsius could have done differently.</t>
  </si>
  <si>
    <t>Candidly said 'we're not happy where we ended 2024 out and share'; competition leaned in and Celsius 'could have timed our innovation better.' 2025 fix: a step change in innovation timing (causing the slower Q1 start), an internal growth department synergizing marketing and sales, better retail execution, and converting strong household awareness into higher purchase consideration and frequency.</t>
  </si>
  <si>
    <t>Drivers of Category Improvement &amp; 2025 Run Rate</t>
  </si>
  <si>
    <t>Asked what is driving recent category improvement and whether mid-to-high single-digit growth is a fair 2025 run rate given tougher summer comps.</t>
  </si>
  <si>
    <t>Anticipates mid-to-high single-digit category growth through the year (consistent with Mintel and internal numbers), cautiously optimistic. Improvement driven by consumers returning after a tough Q3; energy shifting from impulse purchase to pantry/multi-pack staple; usage occasions expanding (energy replacing coffee; Subway up to 18,000 locations; Jersey Mike's; Pepsi foodservice).</t>
  </si>
  <si>
    <t>Shelf-Space Gains vs. Soft Velocity</t>
  </si>
  <si>
    <t>Asked to elaborate on the expected 15%-20% spring-reset space gain and whether soft core-brand velocities are causing any retailer to pull back shelf space.</t>
  </si>
  <si>
    <t>Reiterated Celsius is 'here to win' with ~1,000 dedicated team members; 10-share crossed, 15 the next hurdle (citing South Florida 20%+, NYC near 20, Baltimore 18, Buffalo/LA/Chicago north of 15). Conceded that failure to grow share/revenue would bring 'hard decisions' at year-end buyer meetings, but said soft 4-/12-week reads reflect the innovation-timing step change and does not anticipate those conversations.</t>
  </si>
  <si>
    <t>Convenience-Channel Share Gap</t>
  </si>
  <si>
    <t>Asked how Celsius plans to close the gap between total-company share and lower convenience-store share as it expands TDP.</t>
  </si>
  <si>
    <t>Convenience was the last channel Celsius entered (built food, gyms, Amazon, large format, drug first), so long runway. Partnering with major/regional c-store chains on food-pairing collaborations (7-Eleven, AMPM). CFO Langhans noted 7-Eleven share already exceeds the ~11 company share - proof Celsius can win in national convenience over time.</t>
  </si>
  <si>
    <t>Celsius Consumer vs. Legacy Energy</t>
  </si>
  <si>
    <t>Asked what is unique about the Celsius consumer versus legacy energy - usage occasions, frequency, loyalty, switching - and whether the consumer is more discretionary.</t>
  </si>
  <si>
    <t>Celsius consumer is core to a daily routine, wanting 'more out of their energy drink' - no crash/jitters, great flavor, enhanced vitamins ('a multivitamin in a can,' 2.8g of vitamins). Large share are fitness advocates/athletes; high repurchase. Some consumers move between Red Bull and Monster on promotion/pricing/flavor, but Celsius has an extremely loyal following. Category could evolve toward CSD-like daily-staple status over 5-20 years.</t>
  </si>
  <si>
    <t>Pepsi Partnership &amp; Inventory Optimization</t>
  </si>
  <si>
    <t>Asked how Celsius is strengthening the Pepsi relationship after 2024's incentive-structure changes and inventory surprises, plus inventory-optimization color.</t>
  </si>
  <si>
    <t>Described a strong, deepening Pepsi relationship - tied into priority periods/strategic planning, treated like Pepsi's own brands, leveraging 30,000+ reps, strengthened by Eric Hanson's hire. CFO Langhans said the 400-500-strong sales force is fully app-integrated; current depletions consistent with scanner data, no inventory issues to call out. 2024's significant Pepsi footprint optimization is now behind the company.</t>
  </si>
  <si>
    <t>US Top-Line Cadence &amp; Comp Normalization</t>
  </si>
  <si>
    <t>Asked to conceptually frame US core-Celsius top-line growth given lapping of 2024 inventory destocking and promotional impacts.</t>
  </si>
  <si>
    <t>CFO Langhans said first half of 2025 is a tougher comp than the back half (2024 retail growth ~22% stronger in front half). Q3 2024 inventory movement means a 'big pick up' in Q3 2025. Innovation moving to mid-April and promotional calendar skewed late Q1/Q2 concentrate comp pressure in Q1; easier reported comps begin ~May. Cadence: first-half softness then second/third-quarter acceleration.</t>
  </si>
  <si>
    <t>Core Innovation &amp; Adjacent Categories</t>
  </si>
  <si>
    <t>Asked about the 2025 innovation plan, the Hydration sticks opportunity, and room to expand into other adjacent categories.</t>
  </si>
  <si>
    <t>2025 core/Vibe/Essentials innovation is flavor-led (mango lemonade for summer, Retro Vibe, Playa Vibe, Grape Slush on Essentials, plus a back-half LTO). First adjacency move is Hydration, launched on Amazon, rolling to Walmart.com and other retailers - 'too early to tell' on size. Powder/energy-stick business is 'almost $100M' and growing. Cautious on brand stretch - 'we got to win in energy' first.</t>
  </si>
  <si>
    <t>Asked what Celsius has learned in new international markets and whether future growth comes more from new markets or deeper distribution within existing ones.</t>
  </si>
  <si>
    <t>US health-and-wellness trends are global. Celsius has a 13-14 share in Sweden (first international market, 10+ years), high single digits in Finland. Recent launches (UK, Ireland, Australia, NZ, France) follow a methodical, profitability-conscious, English-speaking-market approach with partner Centauri. Australia (7-Eleven lead launch) 'one of the best launches they've seen in 5-7 years.' Further expansion likely in 2026-2027.</t>
  </si>
  <si>
    <t>Alani Nu Positioning</t>
  </si>
  <si>
    <t>Asked for high-level thoughts on the Alani Nu brand and how it is positioned in the energy category.</t>
  </si>
  <si>
    <t>Celsius has admired Alani Nu for years; resonates with a unique, loyal female/Gen Z new-to-category consumer. Combined entity is a 'mega number three player' at over a 16.5 energy share, unlocking multi-brand pricing/promotional flexibility, supplier and infrastructure synergies. Reiterated the deal is accretive to revenue and EPS in year one.</t>
  </si>
  <si>
    <t>Brand Overlap &amp; Integration Synergies</t>
  </si>
  <si>
    <t>Asked whether there is brand overlap given both brands' health-and-wellness roots, and where the biggest integration synergies lie.</t>
  </si>
  <si>
    <t>Rejected the cannibalization thesis: Celsius is ~50-50 male/female; only ~15% of Celsius consumers also buy Alani Nu - lower than overlap with Red Bull or Monster - so it is incremental. CFO Langhans said the biggest synergy is bringing Alani Nu into Celsius's built-up infrastructure (500-person sales force, key-accounts team, supply chain, center of excellence), with workforce, supply-chain, procurement and back-office savings largely 'known cost' that can be lined up in the second half.</t>
  </si>
  <si>
    <t>Gross Margin &amp; Profitability Outlook</t>
  </si>
  <si>
    <t>Asked how gross margin and profitability evolve over the next 12 months given aluminum and tariff pressures.</t>
  </si>
  <si>
    <t>CFO Langhans said price slots in place leave Celsius comfortable on 2024-set pricing. Big Beverages and scale create upside on the 50% margin; tariffs could drive downside, so management 'circled' 50% with both upside and downside. Declined to model the 25% tariff given volatility; center of excellence provides alternative ingredient channels. Big Beverages will continue to unlock raw-material/ingredient-route optimization.</t>
  </si>
  <si>
    <t>Sales &amp; Marketing Spend Target</t>
  </si>
  <si>
    <t>Asked what a reasonable 2025 S&amp;M spend target is, given 2024's 26% of revenue included both stepped-up investment and deleverage.</t>
  </si>
  <si>
    <t>CFO Langhans said S&amp;M historically closer to 22-23%, spiked to 26% in 2024. For 2025, will invest behind the brand where opportunity exists, with quarterly variation (Q1/Q4 higher as % of revenue given lower seasonal revenue). Fieldly added the new summer 'healthy Halo' program, broader distribution and strong innovation mean spend could land at the higher end - 2025 is the time to invest given peak ACV and retailer lean-in.</t>
  </si>
  <si>
    <t>37th Annual ROTH Conference</t>
  </si>
  <si>
    <t>2025-03-18</t>
  </si>
  <si>
    <t>Celsius Stats</t>
  </si>
  <si>
    <t>Revenue FY2024</t>
  </si>
  <si>
    <t>~$1.4B</t>
  </si>
  <si>
    <t>Celsius ACV</t>
  </si>
  <si>
    <t>~99%</t>
  </si>
  <si>
    <t>New-to-Category Share of Celsius Growth (historical)</t>
  </si>
  <si>
    <t>Caffeinated Powder Business (% of Revenue)</t>
  </si>
  <si>
    <t>~5%</t>
  </si>
  <si>
    <t>Canada Market Share</t>
  </si>
  <si>
    <t>~5% share</t>
  </si>
  <si>
    <t>Essentials 16-oz Line Share</t>
  </si>
  <si>
    <t>~1 share</t>
  </si>
  <si>
    <t>Jake Paul Megafight Reach</t>
  </si>
  <si>
    <t>100M+ eyeballs</t>
  </si>
  <si>
    <t>Alani Nu</t>
  </si>
  <si>
    <t>Alani Nu Recent Growth (last 4 weeks)</t>
  </si>
  <si>
    <t>Alani Nu Female Consumer Mix</t>
  </si>
  <si>
    <t>~90% female</t>
  </si>
  <si>
    <t>Alani Nu EBITDA Margin</t>
  </si>
  <si>
    <t>Alani Nu ACV (total)</t>
  </si>
  <si>
    <t>&lt;80%</t>
  </si>
  <si>
    <t>Alani Nu ACV (convenience)</t>
  </si>
  <si>
    <t>Pro-Forma Combined Entity 2024</t>
  </si>
  <si>
    <t>North of ~16%</t>
  </si>
  <si>
    <t>Energy Category Growth (recent weeks)</t>
  </si>
  <si>
    <t>~7%</t>
  </si>
  <si>
    <t>Spring Shelf-Space Gain</t>
  </si>
  <si>
    <t>Upwards of 18,000 locations</t>
  </si>
  <si>
    <t>Alani Nu Cost Synergies</t>
  </si>
  <si>
    <t>~$50M ('pretty conservative')</t>
  </si>
  <si>
    <t>Over next 2 years</t>
  </si>
  <si>
    <t>Alani Nu Founder Lock-Up</t>
  </si>
  <si>
    <t>24 months</t>
  </si>
  <si>
    <t>ROTH fireside chat; Chief of Staff Toby David delivered a confident recovery narrative.</t>
  </si>
  <si>
    <t>Positioned Celsius as the #3 US energy brand with close to $1.4B in 2024 revenue; Alani Nu acquisition (~2-3 weeks prior) creates a ~$2B pro-forma entity.</t>
  </si>
  <si>
    <t>Explained the 2024 slowdown as a broad CPG phenomenon - challenged consumer sentiment (election-cycle uncertainty, money-saving) reducing consumption frequency, not consumers leaving the category.</t>
  </si>
  <si>
    <t>Critical disproportionate impact on Celsius: ~44% of Celsius's historical growth came from new-to-category consumers, who stopped entering in 2024.</t>
  </si>
  <si>
    <t>Category back to ~7% growth in recent weeks; confidence in recapturing momentum in 2025.</t>
  </si>
  <si>
    <t>Alani Nu explosive growth (~99% last four weeks; ~65% FY2024); David called the deal 'an amazing value.'</t>
  </si>
  <si>
    <t>2025 fix: drive brand awareness in under-penetrated markets and induce trial among consumers who have heard of Celsius but never tried it ('once they do, they come back').</t>
  </si>
  <si>
    <t>Six new flavors rolling out with 30-60-day retailer-exclusivity windows (Playa Vibe at Walmart, Retro Vibe at Target); possible back-half LTO.</t>
  </si>
  <si>
    <t>Celsius near 99% ACV with expected 15%-20% spring shelf-space gains; Alani Nu (just below 80% total ACV, ~55% convenience) expected to get significant shelf space through May resets.</t>
  </si>
  <si>
    <t>AB distribution network has lost C4, Ghost, Celsius, Electrolit and (announced prior day) Poppy - leaving Alani Nu the 'lone man standing,' likely to get strong distributor push.</t>
  </si>
  <si>
    <t>Hands-off Alani Nu integration: founders locked up 24 months, will keep running the brand - contrast to acquirers that 'immediately go in there and start doing cost cutting.'</t>
  </si>
  <si>
    <t>Tariffs not expected to have a significant impact - best-in-class supply chain, complex aluminum sourcing (Australia into Canada).</t>
  </si>
  <si>
    <t>~$50M Alani Nu synergies over two years characterized as 'pretty conservative' given combined ~$2B buying power.</t>
  </si>
  <si>
    <t>Defining Celsius Today</t>
  </si>
  <si>
    <t>Sean McGowan (ROTH)</t>
  </si>
  <si>
    <t>Asked at a high level how he would define what Celsius is today.</t>
  </si>
  <si>
    <t>Leading functional energy drink brand, #3 US energy brand behind Red Bull and Monster, close to $1.4B in 2024 revenue. Recently acquired #4 brand Alani Nu, making a ~$2B pro-forma 2024 entity; mission is delivering on 'modern energy.'</t>
  </si>
  <si>
    <t>What Alani Nu Adds</t>
  </si>
  <si>
    <t>Asked what Alani Nu provides that Celsius did not already have - a different consumer or demographic.</t>
  </si>
  <si>
    <t>Alani Nu born through fitness influencer Katy Hearn targeting females (~90% female, younger audience). Rejected cannibalization - Celsius is 50-50 gender-neutral and 'there's not only one female consumer'; Alani Nu tastes much sweeter. Growing ~99% in last four weeks, looking like where Celsius was 2-3 years ago - an attractive opportunity at a strong value.</t>
  </si>
  <si>
    <t>Category Growth Beyond the Leaders</t>
  </si>
  <si>
    <t>Asked whether there is genuine growth across the category or whether everyone is fighting for the last incremental dollar.</t>
  </si>
  <si>
    <t>Monster and Red Bull returned to growth in 2025 after a challenged 2024; category growing ~7% recently, appearing healthy again. Competitor innovation/LTOs spurred frequency. Ghost and C4 have slowed; Alani Nu separated to become the growth engine outside the big three. Celsius grew triple-digit for ~3.5 years before a ~nine-month slowdown - confident in recapturing momentum in 2025.</t>
  </si>
  <si>
    <t>What Drove the 2024 Slowdown</t>
  </si>
  <si>
    <t>Asked his hindsight read - inflation fatigue, economic concerns or lack of innovation.</t>
  </si>
  <si>
    <t>A CPG-wide phenomenon driven by challenged consumer sentiment amid election-cycle uncertainty and money-saving. Consumers did not leave the category but reduced frequency. Critically, new-to-category consumers stopped entering - and since ~44% of Celsius's historical growth came from new-to-category consumers, the slowdown hit Celsius at an outsized margin versus Monster or Red Bull.</t>
  </si>
  <si>
    <t>What Celsius Is Doing Differently in 2025</t>
  </si>
  <si>
    <t>Asked what controllable things Celsius could point to as being done differently in 2025.</t>
  </si>
  <si>
    <t>Being introspective on marketing tactics. Two 2025 focuses: drive brand awareness in markets lacking double-digit share, and - more importantly - induce trial among consumers who have heard of Celsius but never tried it, using data mining to identify them, because 'once they do, they come back.' Robust marketing plan set for Q2 and summer.</t>
  </si>
  <si>
    <t>Specifics on the Marketing Plan</t>
  </si>
  <si>
    <t>Asked whether he could share specifics on the marketing plan.</t>
  </si>
  <si>
    <t>Declined - 'a little bit too much secret sauce.'</t>
  </si>
  <si>
    <t>2025 Innovation &amp; SKUs</t>
  </si>
  <si>
    <t>Asked what is different in 2025 in terms of innovation, SKUs and flavors driving growth.</t>
  </si>
  <si>
    <t>About six new flavors rolling out, most with short retailer-exclusive windows - Playa Vibe (coconut) at Walmart, Retro Vibe (sherbet) at Target - going national after 30-60-day exclusivity. Cited LTOs/seasonal flavors as a key competitor learning; hinted at a possible back-half LTO to bring in new consumers and drive frequency.</t>
  </si>
  <si>
    <t>Alani Nu's ACV at Acquisition</t>
  </si>
  <si>
    <t>Asked where Alani Nu's ACV stood at the time of acquisition.</t>
  </si>
  <si>
    <t>Just below 80% total ACV but only ~55% in convenience - a major opportunity, alongside adding more SKUs given strong velocity. Productive retailer meetings last fall mean Alani Nu should get 'significant shelf space' through the May planogram resets.</t>
  </si>
  <si>
    <t>How Celsius Lifts Alani Nu ACV</t>
  </si>
  <si>
    <t>Asked whether Celsius can help lift Alani Nu's ACV or provide a halo effect.</t>
  </si>
  <si>
    <t>Once the deal closes, Celsius's significant feet-on-the-street sales force can help shift shelf space in independents and 7-Elevens. Alani Nu is in the AB independent network, which has lost many brands (C4, Ghost, Celsius, Electrolit, Poppy) - leaving Alani Nu 'the lone man standing,' likely to get strong distributor push.</t>
  </si>
  <si>
    <t>Alani Nu's Distribution Network Future</t>
  </si>
  <si>
    <t>Asked, tongue-in-cheek, whether to 'handicap whose truck' Alani Nu will be on by year-end.</t>
  </si>
  <si>
    <t>Deflected - that is up to the host; Celsius has not spoken about Pepsi or Alani Nu distribution. Pepsi was aware of the transaction beforehand with great communication; praised the AB network as 'fabulous' and said Alani Nu is 'in good hands right now.'</t>
  </si>
  <si>
    <t>Celsius Incremental Distribution</t>
  </si>
  <si>
    <t>Asked whether Celsius, with already-high ACV, is still adding incremental outlets or filling out existing customers.</t>
  </si>
  <si>
    <t>Celsius is near 99% ACV but CEO Fieldly cited an expected 15%-20% additional space gain in 2025. Subway (Pepsi won the contract; upwards of 18,000 locations) and Home Depot are new opportunities; within track channels Celsius has good reach but room to expand depth.</t>
  </si>
  <si>
    <t>Display Counts &amp; Pepsi Pullback</t>
  </si>
  <si>
    <t>Asked whether there has been any pullback in in-store spots/displays since Celsius began working closely with Pepsi.</t>
  </si>
  <si>
    <t>No - Celsius 'hits above its weight' on displays and inventory-on-display, on par with Monster and Red Bull, driven by its field sales organization and the 'power of the Pepsi blue truck.' Incremental displays have continued to grow into 2025.</t>
  </si>
  <si>
    <t>International Partnerships</t>
  </si>
  <si>
    <t>Asked how international partnerships are performing relative to expectations.</t>
  </si>
  <si>
    <t>International performance 'phenomenal' - Canada (with Pepsi) reached a 5% share quickly; UK, Ireland, France, NZ and Australia (with partner Centauri) launched in 2024 with solid returns. Australia (Q4 launch) saw 'amazing returns'; UK gained strong footing within Tesco and is now rolling out nationwide.</t>
  </si>
  <si>
    <t>Tariffs</t>
  </si>
  <si>
    <t>Asked whether tariffs are a meaningful issue affecting canning, pricing or otherwise.</t>
  </si>
  <si>
    <t>Celsius has a best-in-class supply chain (Head of Global Ops Paul Storey, formerly of Monster) that mitigates tariff exposure. Referenced complex aluminum sourcing (Australia into Canada); does not anticipate a significant impact, if any.</t>
  </si>
  <si>
    <t>Alani Nu Deep Dive</t>
  </si>
  <si>
    <t>Unidentified Participant (audience)</t>
  </si>
  <si>
    <t>Asked for more detail on Alani Nu (audio inaudible).</t>
  </si>
  <si>
    <t>Alani Nu is the #4 US energy brand, close to $600M 2024 revenue, ~15% EBITDA. The ~$50M synergy target is 'pretty conservative' given combined ~$2B buying power vs Alani Nu's standalone ~$600M. Alani Nu grew ~65% FY2024 accelerating to ~99% recently; the two brands give Celsius 'north of a 16% share' - territory only Red Bull and Monster have reached. Deal is accretive for shareholders at an attractive valuation.</t>
  </si>
  <si>
    <t>How the Alani Nu Deal Came Together</t>
  </si>
  <si>
    <t>Asked how the Alani Nu deal originated (audio inaudible).</t>
  </si>
  <si>
    <t>Declined deal specifics but said Celsius has long known the Alani Nu founders (co-founders Max and Trey drove strategy) and maintains a healthy open dialogue with leadership of all major brands. Heard there might be an opportunity and engaged in conversations.</t>
  </si>
  <si>
    <t>Powders &amp; Innovation Pipeline</t>
  </si>
  <si>
    <t>Asked about innovation in powders and adjacent formats (audio inaudible).</t>
  </si>
  <si>
    <t>The caffeinated Celsius powder business is ~5% of revenue with room to grow (many consumers do not realize stick packs exist). Robust innovation pipeline across formats within energy, plus Hydration (stick packs launched on Amazon Q1, expanding to large brick-and-mortar Q2); interest in non-caffeine ingredients with similar effects subject to cost/supply-chain considerations.</t>
  </si>
  <si>
    <t>Sweeteners &amp; Label</t>
  </si>
  <si>
    <t>Asked about sweetener choices and the ingredient label (audio inaudible).</t>
  </si>
  <si>
    <t>Celsius predominantly uses sucralose (avoiding aspartame's negative reputation); Alani Nu uses a variety including sucralose. Sweetener selection is a balancing act between health and taste to reach a broad audience; Celsius continually evaluates alternatives and asserts it has 'the best label out there' versus other sugar-free brands.</t>
  </si>
  <si>
    <t>Gut Health &amp; Probiotics</t>
  </si>
  <si>
    <t>Asked whether Celsius is considering gut health and probiotics.</t>
  </si>
  <si>
    <t>Pointed to the robust innovation pipeline and the prior-day Pepsi/Poppy acquisition as reinforcing demand for functionality/better-for-you. Gut health is something Celsius could explore - either as a Celsius-brand play or an alternate brand leveraging Celsius's infrastructure and potentially Pepsi distribution.</t>
  </si>
  <si>
    <t>Ingredient/Regulatory Positioning</t>
  </si>
  <si>
    <t>Asked about regulatory or ingredient-scrutiny risk (audio inaudible).</t>
  </si>
  <si>
    <t>Celsius feels well positioned, putting its label against any top-20 energy brand on ingredient profile; spends more to avoid preservatives like sodium benzoate. Any ingredient-related impact would likely affect the entire category and be a gradual 'stair-step' - not a concern.</t>
  </si>
  <si>
    <t>Sponsorships &amp; Brand Identity</t>
  </si>
  <si>
    <t>Asked about high-profile sponsorships and how the brand wants to be identified with consumers.</t>
  </si>
  <si>
    <t>A broad approach - big platforms like Ferrari/F1, official energy drink of MLS, and a Jake Paul/Mike Tyson megafight reaching 100M+ eyeballs - balanced with grassroots authenticity rooted in fitness (e.g., the Arnold trade show). Builds from the ground up, often via nano-influencers, to maintain authenticity even as the brand grows wide.</t>
  </si>
  <si>
    <t>Essentials 16-oz Line Performance</t>
  </si>
  <si>
    <t>Asked how the 16-oz Essentials line has performed and whether it has proven incremental.</t>
  </si>
  <si>
    <t>Saw nice initial success, reaching ~a one share within its first year (went national Q1 2024), and has been incremental - targeting a more traditional male energy consumer pushed into fitness, performing solidly in convenience. Celsius will continue to push 16-oz alongside core and Vibe lines.</t>
  </si>
  <si>
    <t>Alani Nu 16-oz &amp; Integration Approach</t>
  </si>
  <si>
    <t>Asked whether Alani Nu should be expected to launch a 16-oz product.</t>
  </si>
  <si>
    <t>Celsius will 'keep our hands away from the cookie jar' with Alani Nu, deliberately not interfering with marketing/strategy - contrasting with acquirers that immediately cut costs and meddle. Founders locked up 24 months, bringing over their marketing team, will continue running the business, with interesting (undisclosed) innovation in the pipeline.</t>
  </si>
  <si>
    <t>Q1 2025 Earnings Call</t>
  </si>
  <si>
    <t>2025-05-06</t>
  </si>
  <si>
    <t>$329.3M</t>
  </si>
  <si>
    <t>-7.4%</t>
  </si>
  <si>
    <t>$172.4M</t>
  </si>
  <si>
    <t>-5.4%</t>
  </si>
  <si>
    <t>52.3%</t>
  </si>
  <si>
    <t>+110 bps</t>
  </si>
  <si>
    <t>SG&amp;A Expense</t>
  </si>
  <si>
    <t>$120.3M</t>
  </si>
  <si>
    <t>$99M</t>
  </si>
  <si>
    <t>+21.5%</t>
  </si>
  <si>
    <t>$69.7M</t>
  </si>
  <si>
    <t>-20.8%</t>
  </si>
  <si>
    <t>21.2%</t>
  </si>
  <si>
    <t>24.7%</t>
  </si>
  <si>
    <t>-3.5 pts</t>
  </si>
  <si>
    <t>Net Income (to common)</t>
  </si>
  <si>
    <t>$34.4M</t>
  </si>
  <si>
    <t>GAAP Diluted EPS</t>
  </si>
  <si>
    <t>$0.15</t>
  </si>
  <si>
    <t>Non-GAAP Adjusted Diluted EPS</t>
  </si>
  <si>
    <t>$0.18</t>
  </si>
  <si>
    <t>Q1 2024 (implied)</t>
  </si>
  <si>
    <t>$22.8M</t>
  </si>
  <si>
    <t>~$16.2M</t>
  </si>
  <si>
    <t>+41%</t>
  </si>
  <si>
    <t>As of Mar 31, 2025</t>
  </si>
  <si>
    <t>$977M (pre-Alani close; no debt)</t>
  </si>
  <si>
    <t>Detail</t>
  </si>
  <si>
    <t>13 wks ending Mar 30; held steady</t>
  </si>
  <si>
    <t>+88% YoY</t>
  </si>
  <si>
    <t>5.3%</t>
  </si>
  <si>
    <t>up 221 bps YoY</t>
  </si>
  <si>
    <t>Alani Nu trailing 52-wk retail sales</t>
  </si>
  <si>
    <t>&gt;$1B</t>
  </si>
  <si>
    <t>milestone (last month)</t>
  </si>
  <si>
    <t>16.2%</t>
  </si>
  <si>
    <t>up 81 bps YoY (qtr ending Mar 30)</t>
  </si>
  <si>
    <t>Avg items selling per store (Celsius family)</t>
  </si>
  <si>
    <t>+4.1 items</t>
  </si>
  <si>
    <t>MULO+ with convenience</t>
  </si>
  <si>
    <t>~13.4%</t>
  </si>
  <si>
    <t>Better-for-you share of category growth</t>
  </si>
  <si>
    <t>Celsius + Alani share of energy category dollar growth</t>
  </si>
  <si>
    <t>~20% (Q1 2025); ~50% (FY2024)</t>
  </si>
  <si>
    <t>Multipack share of retail sales mix</t>
  </si>
  <si>
    <t>~28% MULO+ Conv / ~55% MULO+</t>
  </si>
  <si>
    <t>Scanner vs. Reported Bridge</t>
  </si>
  <si>
    <t>Reported revenue (books &amp; records)</t>
  </si>
  <si>
    <t>-7%</t>
  </si>
  <si>
    <t>~3 pts</t>
  </si>
  <si>
    <t>Alani Nu Acquisition Funding (closed Apr 1, 2025)</t>
  </si>
  <si>
    <t>$900M</t>
  </si>
  <si>
    <t>~$400M</t>
  </si>
  <si>
    <t>Remainder</t>
  </si>
  <si>
    <t>stock</t>
  </si>
  <si>
    <t>Quantitative Guidance</t>
  </si>
  <si>
    <t>Distributor incentive / promo allowance impact</t>
  </si>
  <si>
    <t>~2 pts pressure Q1 &amp; Q2; ~2 pts benefit Q3 &amp; Q4</t>
  </si>
  <si>
    <t>FY2025 by quarter</t>
  </si>
  <si>
    <t>Core Celsius gross margin</t>
  </si>
  <si>
    <t>Alani Nu standalone gross margin (excl. step-up)</t>
  </si>
  <si>
    <t>mid-40s / low-end mid-40s</t>
  </si>
  <si>
    <t>Alani Nu P&amp;L profile lag vs. Celsius</t>
  </si>
  <si>
    <t>~18-24 months behind</t>
  </si>
  <si>
    <t>multi-year</t>
  </si>
  <si>
    <t>Q1 2025 revenue declined 7% to $329.3M - attributed to slowed Q1 velocity, timing/structure of the US distributor incentive program, and increased retail promotional programs, vs. a very strong Q1 2024 (ESSENTIALS launch, elevated promo takeovers).</t>
  </si>
  <si>
    <t>Management framed the softness as temporary 'noise,' not structural; business fundamentals strengthened through the quarter with positive momentum into Q2.</t>
  </si>
  <si>
    <t>Gross margin expanded 110 bps to 52.3% on sourcing efficiencies for raw and packaging materials; the ~50% full-year peg is a core-Celsius (pre-Alani) number; Q3/Q4 hedged on unknown tariffs/inflation.</t>
  </si>
  <si>
    <t>Adjusted EBITDA margin compressed to 21.2% (from 24.7%) on Alani Nu transaction expenses and continued investment in global sales, marketing, and organizational infrastructure.</t>
  </si>
  <si>
    <t>Alani Nu acquisition closed April 1, 2025 (a second $1B brand); reflected in Q2; funded with $900M debt, ~$400M cash, remainder stock; Q2 will carry inventory step-up purchase-accounting noise and higher D&amp;A.</t>
  </si>
  <si>
    <t>Celsius/Alani Nu cannibalization minimal - ~15% crossover per Circana; both portfolios over-index against other leading category brands.</t>
  </si>
  <si>
    <t>Easier comps begin June 2025 - after the next 4-5 weeks of peak revenue hurdles, Celsius cycles much easier comps; back half of 2024 was softer.</t>
  </si>
  <si>
    <t>No destocking - DSD-network depletions (COBOs and FOBOs) stable this quarter and at prior year-end; some non-DSD club timing/sequencing from Q4 into Q1; a Costco MVM event created prior-period pipe-fill.</t>
  </si>
  <si>
    <t>Costco scanner data was up; reported softness from MVM pipe-fill timing and a revenue/ARR-as-%-of-sales working-capital nuance, not lost distribution.</t>
  </si>
  <si>
    <t>Celsius took pricing in Q4 2024 (rolling through); flexible/opportunistic on additional pricing but cautious given consumers trading down from singles to multipacks and seeking promos.</t>
  </si>
  <si>
    <t>Innovation a key growth driver - new core Vibe and ESSENTIALS flavors; summer innovation Playa Vibe, Retro Vibe, Mango Lemonade; CELSIUS HYDRATION launched into the $1.4B hydration powder category.</t>
  </si>
  <si>
    <t>A public Alani Nu modeling call planned for late May / early June - pro forma combined-business reviews and purchase-accounting detail (inventory step-up, intangible/fixed-asset valuations, increased D&amp;A).</t>
  </si>
  <si>
    <t>A bold story-driven LIVE FIT summer marketing campaign begins this summer - first time the company has built a holistic campaign.</t>
  </si>
  <si>
    <t>Eric Hanson appointed first President &amp; COO in March (near-three-decade food/beverage exec with prior PepsiCo experience); Big Beverage facility fully integrated, room for a second production line.</t>
  </si>
  <si>
    <t>Continued retail shelf-space gains expected in Q2 and Q3; analyst referenced an internal expectation of 15-20% shelf reset wins.</t>
  </si>
  <si>
    <t>Energy category resilient on both dollars and volume; sugar-free surpassed full-sugar varieties for the first time in 2024; female consumers a large underserved segment, strengthened by Alani Nu.</t>
  </si>
  <si>
    <t>Co-branded and/or dedicated coolers under evaluation depending on retailer footprint - co-branded coolers in the works for smaller-format stores; Alani Nu cross-channel opportunity (Amazon, foodservice, colleges, on-premise).</t>
  </si>
  <si>
    <t>Alani Nu is ~18-24 months behind Celsius on the P&amp;L profile (excluding step-up); standalone gross margin mid-40s / low-end mid-40s, working up to Celsius's profile.</t>
  </si>
  <si>
    <t>Energy Category Acceleration</t>
  </si>
  <si>
    <t>Kaumil Gajrawala, Jefferies</t>
  </si>
  <si>
    <t>Why is the energy category accelerating while most of CPG decelerates, and what is behind it?</t>
  </si>
  <si>
    <t>Q1 was strong for energy, which has been resilient on dollars and volume over several years; attributed to health and wellness trends and a high volume of competitor innovation driving consumer excitement and trial.</t>
  </si>
  <si>
    <t>Velocity Improvement Initiatives</t>
  </si>
  <si>
    <t>What specifically is the company doing to increase velocity?</t>
  </si>
  <si>
    <t>Q1 got off to a slow start; a more balanced approach this year after 2024's front-loaded innovation, distribution gains and promo; leaning into LIVE FIT-based programs and brand-DNA research to bring more consumers into the sugar-free segment.</t>
  </si>
  <si>
    <t>Q1 Sales Performance Bridge</t>
  </si>
  <si>
    <t>Bridge the ~2% retail sales growth to the high-single-digit North America reported decline; parse underlying shipment/depletion trends after stripping the noise.</t>
  </si>
  <si>
    <t>Slow start, increased competition, improving exit velocity; retailers leaned heavily on specific brands in 2024 launches vs. a balanced approach this year; cycling distributor incentives. Bridge: scanner ~-4% vs. -7% on books and records - a couple of points from promos/incentives, some non-DSD pipe-fill into Q4 2024. Primary-network depletions (COBOs, FOBOs) in good shape, little noise.</t>
  </si>
  <si>
    <t>Category Pricing &amp; Promotion Strategy</t>
  </si>
  <si>
    <t>Kevin Grundy, BNP Paribas</t>
  </si>
  <si>
    <t>Broad view on category pricing (Monster priced ~75% of its portfolio; Red Bull uncertain) and the plan for pricing and promotion for the balance of the year.</t>
  </si>
  <si>
    <t>Opportunistic opportunities to take additional pricing; confident in the brands but cautious given consumers trading down from singles to multipacks and seeking promos. Q4 2024 pricing rolling through gives flexibility on promotional activity amid consumer uncertainty.</t>
  </si>
  <si>
    <t>Spring Shelf-Space Expansion</t>
  </si>
  <si>
    <t>Jon Andersen, William Blair</t>
  </si>
  <si>
    <t>More color on spring shelf-space expansion, dimensionalized for core Celsius and Alani Nu, and how to activate consumers around those gains versus last year.</t>
  </si>
  <si>
    <t>Summer innovation (Playa Vibe, Retro Vibe, Mango Lemonade) expected to gain placements; secondary placements and checkout coolers major wins at large national retailers. Strong optimism on Alani Nu distribution gains - 2026 buyer/key-account meetings upcoming, summer momentum, $1B retail sales milestone, loyal female base.</t>
  </si>
  <si>
    <t>Costco, Allowances &amp; Destocking Phasing</t>
  </si>
  <si>
    <t>Whether the steep Costco decline reflected lost distribution or destocking; North America sales down excluding the allowance change; help quantifying destocking vs. sell-out and the sequential phasing of allowances/destocking.</t>
  </si>
  <si>
    <t>Reiterated the -4% scanner vs. -7% bridge (a couple of points promos/incentives). Costco scanner up; an MVM event created prior-period pipe-fill, plus a Costco-specific revenue/ARR-as-%-of-sales working-capital nuance, no underlying issue. Allowance phasing: ~2 pts pressure in Q1 and Q2, flipping to ~2 pts benefit in Q3 and Q4. No destocking - DSD depletions stable; only non-DSD club timing Q4 into Q1. Strong gross profit mitigated allowance pressure, flowed to EBITDA.</t>
  </si>
  <si>
    <t>Gross Margin Sustainability &amp; Aluminum</t>
  </si>
  <si>
    <t>Michael Lavery, Piper Sandler</t>
  </si>
  <si>
    <t>Color on the strong gross margin despite increased incentives/allowances, how sustainable it is, and watchouts from aluminum.</t>
  </si>
  <si>
    <t>Great shape near-term - benefiting from scale, orbit model, organizational structure; aluminum 'knock-on-wood' not significantly impactful currently. Tariff outcomes unknown long-term, but Q2 still strong. ~50% gross margin pegged for the year; back half 'kind of an unknown' on inflation/tariffs; supply-chain structure set up as a sustainable long-term program.</t>
  </si>
  <si>
    <t>Alani Nu Cross-Pollination &amp; Cannibalization</t>
  </si>
  <si>
    <t>Jim Salera, Stephens</t>
  </si>
  <si>
    <t>Formats/retailers where Alani Nu outperforms core Celsius and how to cross-pollinate; branded cooler placements and the opportunity for co-branded coolers given limited cannibalization.</t>
  </si>
  <si>
    <t>Great opportunities across all three brands (core Celsius, ESSENTIALS, Alani Nu) - Alani Nu in convenience, Amazon, restaurants/foodservice, colleges, on-premise. Cannibalization minimal at ~15% crossover (Circana); both portfolios over-index vs. leading brands. Energy merchandised together in energy sets; cooler placements a top KPI; evaluating co-branded and/or dedicated coolers, with co-branded coolers in the works for smaller-format stores.</t>
  </si>
  <si>
    <t>Core Portfolio Inflection Conviction</t>
  </si>
  <si>
    <t>Gerald Pascarelli, Needham</t>
  </si>
  <si>
    <t>Given the tailwinds (new innovation, 15-20% shelf reset wins, easier comps, new marketing campaign), conviction that core revenue trends improve from here.</t>
  </si>
  <si>
    <t>Tailwinds favorable, especially after the next 4-5 weeks of peak revenue hurdles; from June, Celsius cycles much easier comps and is seeing improving velocity. Cited the category's return to strong growth, strong brand positioning, improving fundamentals, gross-profit improvements, the Big Beverage acquisition, orbit-model efficiencies, and the strength of operating a portfolio (wider pricing/promotional strategies).</t>
  </si>
  <si>
    <t>International Market Performance</t>
  </si>
  <si>
    <t>How the international business is performing market-by-market relative to expectations.</t>
  </si>
  <si>
    <t>Cautiously optimistic on international with a strict strategic new-market-entry approach; new-market expansion well received, better than initially expected; Australia/New Zealand launches with key retailers brought new consumers and share gains. International a growth area with additional markets in 2026, 2027 and beyond; 2025 focus on building Q4 2024-launched core markets.</t>
  </si>
  <si>
    <t>Sequential Gross Margin &amp; Alani Nu Layering</t>
  </si>
  <si>
    <t>Steve Powers, Deutsche Bank</t>
  </si>
  <si>
    <t>Any known headwinds causing sequential gross margin moderation from Q1, and considerations for how Alani Nu layers in from a gross-profit perspective.</t>
  </si>
  <si>
    <t>The ~50% was the core Celsius business margin; a late-May / early-June modeling call will cover Alani Nu consolidation, including inventory step-up noise (a purchase-accounting issue). Comfortable with the core-business level; Q3/Q4 harder to call. Alani Nu ~18-24 months behind Celsius on the P&amp;L profile (excl. step-up), gross margin mid-40s / low-end mid-40s working up to Celsius's profile.</t>
  </si>
  <si>
    <t>2025-05-13</t>
  </si>
  <si>
    <t>Share &amp; Margins</t>
  </si>
  <si>
    <t>Q1 2024 revenue growth (comp reference)</t>
  </si>
  <si>
    <t>~35-37%</t>
  </si>
  <si>
    <t>Celsius US core dollar share</t>
  </si>
  <si>
    <t>~11% / just under 11%</t>
  </si>
  <si>
    <t>Q1 2025 (down slightly YoY)</t>
  </si>
  <si>
    <t>~16-17%</t>
  </si>
  <si>
    <t>Combined portfolio share in food + retail</t>
  </si>
  <si>
    <t>over 20%</t>
  </si>
  <si>
    <t>Q1 2025 (up &gt;200 bps)</t>
  </si>
  <si>
    <t>Q1 2025 gross margin</t>
  </si>
  <si>
    <t>just over 52%</t>
  </si>
  <si>
    <t>Q1 2025 (up ~100 bps YoY)</t>
  </si>
  <si>
    <t>Essentials ACV</t>
  </si>
  <si>
    <t>mid-60s</t>
  </si>
  <si>
    <t>Celsius Orange (best seller) ACV</t>
  </si>
  <si>
    <t>84 (vs. company 98 ACV)</t>
  </si>
  <si>
    <t>International share of sales (incl. Alani)</t>
  </si>
  <si>
    <t>current (vs. Monster ~40%)</t>
  </si>
  <si>
    <t>Big Beverage capacity - potential Alani volume share (2 lines)</t>
  </si>
  <si>
    <t>~20-25% of current volumes</t>
  </si>
  <si>
    <t>next ~18 months</t>
  </si>
  <si>
    <t>Eric Hansen tenure</t>
  </si>
  <si>
    <t>8 weeks (week eight)</t>
  </si>
  <si>
    <t>as of May 13, 2025</t>
  </si>
  <si>
    <t>Combined-portfolio distribution expansion</t>
  </si>
  <si>
    <t>15-20%</t>
  </si>
  <si>
    <t>Full-year gross margin</t>
  </si>
  <si>
    <t>Alani Nu synergies (identified)</t>
  </si>
  <si>
    <t>$50M</t>
  </si>
  <si>
    <t>over next ~18 months</t>
  </si>
  <si>
    <t>Alani Nu integration runway</t>
  </si>
  <si>
    <t>~18 months</t>
  </si>
  <si>
    <t>FY2025-FY2026</t>
  </si>
  <si>
    <t>Big Beverage potential Alani volume capacity</t>
  </si>
  <si>
    <t>~20-25% of current volumes (two lines)</t>
  </si>
  <si>
    <t>Marketing campaign launch</t>
  </si>
  <si>
    <t>within ~30 days (~June 2025)</t>
  </si>
  <si>
    <t>Eight weeks into Eric Hansen's tenure as first President &amp; COO (28-year PepsiCo veteran); company framed as being at a 'pivotal point' with a two-brand portfolio (Celsius + Alani Nu) at ~16-17% combined share.</t>
  </si>
  <si>
    <t>Q1 2025 revenue softness framed as 'noise' - innovation timing shifting later in the quarter vs. front-loaded in Q1 2024, lapping the Essentials launch, promotional timing, and a tough ~35-37% prior-year comp.</t>
  </si>
  <si>
    <t>Core Celsius has shown 'a couple of months of week-over-week growth in dollars' and is 'working its way back'; Alani Nu described as 'currently a rocket ship.'</t>
  </si>
  <si>
    <t>Core Celsius dollar share down slightly YoY (~11%); management notably declined to reaffirm a prior ~15% Celsius share goal, pivoting to combined ~17% portfolio share and channels already over 20%.</t>
  </si>
  <si>
    <t>Retailer feedback flagged 'too many flavors'; management conceded the need to rationalize SKUs and improve ACV on top sellers - best sellers under-distributed (Orange at 84 ACV vs. company 98; top 10 SKUs should be 90%+).</t>
  </si>
  <si>
    <t>SKU rationalization and set right-sizing planned toward year-end - reduces complexity, helps both top line and bottom-line margin; 2025 reset plans largely locked, further space gains a 2026 opportunity.</t>
  </si>
  <si>
    <t>Q1 gross margin above 52% (up ~100 bps); full-year pegged ~50% explicitly as 'conservatism' against unknown tariffs (better that week, peaked around the earnings call) and expected commodity/aluminum inflation - not a known cost headwind.</t>
  </si>
  <si>
    <t>Aluminum's share of COGS not quantified - 'consistent with the beverage category'; mitigation via going direct on raw materials, using co-packers differently, multiple toolbox levers over coming years.</t>
  </si>
  <si>
    <t>$50M of Alani Nu synergies identified (significant portion headcount - built-out sales and supply-chain teams); 12-month transition service agreement; ~18-month integration runway after which Alani Nu's P&amp;L converges to Celsius's.</t>
  </si>
  <si>
    <t>Alani Nu modeling call targeted for Memorial Day week (~late May 2025) - pro forma combined-business detail and purchase-accounting framing.</t>
  </si>
  <si>
    <t>A new Celsius marketing campaign launches within ~30 days, timed to capture summer growth and refocus on the core Celsius consumer.</t>
  </si>
  <si>
    <t>Celsius launching its first national, all-channel limited-time-offer (winter theme) in the back half - a test of the Alani Nu-style LTO playbook applied to Celsius; expects to repeat if successful.</t>
  </si>
  <si>
    <t>Big Beverage fully integrated and kitted for a second line; as Alani Nu grows, ~20-25% of its current volume could move in-house; Celsius runs a six-orbit model (6 primary plants + ~6-7 secondary), could double capacity within the current footprint, and is not in any Pepsi plants.</t>
  </si>
  <si>
    <t>Alani Nu's biggest positive surprise was its marketing capability - opportunity to combine the strengths of the Celsius and Alani Nu marketing teams into data-driven, consumer-focused teams; brand teams kept separate to preserve each brand's voice.</t>
  </si>
  <si>
    <t>Better-for-you/zero-sugar now over 50% of the category, creating more permissibility and bringing more consumers in; energy sourcing volume from older categories - tea, water, juice, coffee, dairy.</t>
  </si>
  <si>
    <t>Pricing: Celsius took headline Q4 2024 pricing to 'get it' but has been promoting much of it back; a recent singles-vs-multipack mix shift created an optical price uplift in scanner data that is really just mix; pricing remains a future optionality lever.</t>
  </si>
  <si>
    <t>Combined-portfolio distribution expected to expand 15-20% in 2025 - from set growth at large customers, Subway (~18,000 stores), Home Depot, ~15,000 additional small-format coolers, energy space growth within total beverage, independent-set increases in the Pepsi system; Walmart energy-space expansion timing 'TBD.'</t>
  </si>
  <si>
    <t>International: a huge runway (Monster ~40% vs. Celsius ~5% incl. Alani), deliberate 'build' approach not a shotgun approach; building EMEA resources including a global operations team in Dublin; performance largely in line, 'probably more to the upside.'</t>
  </si>
  <si>
    <t>M&amp;A: focus is integration and paying down debt; would look at the right opportunity but sees ample runway to build out the portfolio.</t>
  </si>
  <si>
    <t>Revenue management is at a base level with a lot of room to grow - different pack configurations/sizes can drive frequency and occasions.</t>
  </si>
  <si>
    <t>Inaugural Event / Tenure</t>
  </si>
  <si>
    <t>Goldman Sachs moderator</t>
  </si>
  <si>
    <t>Confirmed it was the moderator's inaugural event and that Hansen was eight weeks into his role.</t>
  </si>
  <si>
    <t>Confirmed it was 'week eight.'</t>
  </si>
  <si>
    <t>Why Celsius / Strengths &amp; Opportunities</t>
  </si>
  <si>
    <t>What led Hansen to Celsius after a long PepsiCo career, and the company's strengths and opportunities.</t>
  </si>
  <si>
    <t>Having helped bring Celsius into the PepsiCo system gave a head start on people, culture, brands. Energy is one of the best categories; Celsius/Alani Nu fantastic, fast-growing brands. Strengths in brand-building, consumer/media engagement, field selling, supply chain. Biggest opportunity: reorganizing from a 'one brand-focused, very US-centric' structure toward a portfolio-oriented, global one.</t>
  </si>
  <si>
    <t>Surprises Since the Acquisition</t>
  </si>
  <si>
    <t>Whether anything surprised Hansen, positive or negative.</t>
  </si>
  <si>
    <t>Alani Nu's marketing capability was the biggest positive surprise; opportunity to combine the strengths of the Celsius and Alani Nu marketing teams into better, data-driven, consumer-focused teams.</t>
  </si>
  <si>
    <t>Category Growth Drivers &amp; Sourcing</t>
  </si>
  <si>
    <t>What drives recent category acceleration and where the category is sourcing volume from.</t>
  </si>
  <si>
    <t>A ton of innovation (especially into zero sugar, now over 50% of the category), consumers seeking more function, and a closing price gap making energy a relatively better value. Volume sourcing from softness in tea, water, juice, coffee - 'older categories' (teas, dairy, juices) higher in sugar and seen as less healthy.</t>
  </si>
  <si>
    <t>Q1 Results &amp; Underlying Growth</t>
  </si>
  <si>
    <t>Unpack the Q1 top-line moving parts (distributor incentive timing, promotional allowances, lapping Essentials) and characterize the underlying Q1 growth trend.</t>
  </si>
  <si>
    <t>Q1 had a lot of noise - innovation front-loaded in Q1 2024 vs. later in Q1 2025, the Essentials launch not repeated, different promotional timing, vs. a tough ~35-37% prior-year comp. Recent trends show a couple of months of week-over-week dollar growth for core Celsius, 'working its way back'; softer comps, year-round innovation timing, a back-half LTO and Alani Nu's strength set up 'a pretty good year.'</t>
  </si>
  <si>
    <t>Fall LTO Details</t>
  </si>
  <si>
    <t>Details on the LTO flavor, distribution and channel rollout.</t>
  </si>
  <si>
    <t>It will be a national, all-channel LTO with a winter theme.</t>
  </si>
  <si>
    <t>Core Celsius Share Softness</t>
  </si>
  <si>
    <t>What is weighing on core Celsius share gains (just under 11%, down slightly YoY, stable vs. Q4) and what the company could do better.</t>
  </si>
  <si>
    <t>Attributed partly to the Essentials lap and changed innovation timing. Focus areas: a fall LTO (vs. traditional front-of-year SKU launches), a marketing campaign launching within ~30 days targeting the core Celsius consumer, and right-sizing flavor sets toward year-end - giving confidence that share momentum returns.</t>
  </si>
  <si>
    <t>SKU / Flavor Rationalization</t>
  </si>
  <si>
    <t>Retailer feedback that there are too many flavors - whether management would rationalize.</t>
  </si>
  <si>
    <t>Agreed: best sellers are under-distributed (Orange at 84 ACV vs. company 98; top 10 SKUs should be 90%+), so sharper execution on best flavors is needed; rationalization reduces complexity across packages/formats, helping both top line and bottom-line margin.</t>
  </si>
  <si>
    <t>Celsius 15% Share Goal</t>
  </si>
  <si>
    <t>Whether a prior ~15% Celsius share goal is still achievable and by when.</t>
  </si>
  <si>
    <t>Hansen declined to confirm a specific goal, noting collective portfolio share is 17% with several markets/channels/customers already over 20%, with runway to move total-US share higher; Langhans added food and retail combined is over 20%.</t>
  </si>
  <si>
    <t>Alani Nu Share-Gain Drivers &amp; Learnings</t>
  </si>
  <si>
    <t>What Alani Nu (line share 5.3, up &gt;200 bps) is doing better and how Celsius can leverage those learnings.</t>
  </si>
  <si>
    <t>Two things: continued growth in total points of distribution/ACV, and a very sharp marketing and LTO strategy - deep consumer knowledge, design/flavor focus, social/influencer communication, rotating a new SKU every 2-3 months to create news, excitement and a 'treasure hunt' dynamic with merchandise drops, generating social-media and purchase spikes.</t>
  </si>
  <si>
    <t>Replicating LTOs on Celsius</t>
  </si>
  <si>
    <t>Whether, if the fall Celsius LTO goes well, the company will do more LTOs on the Celsius brand.</t>
  </si>
  <si>
    <t>Yes, he would expect to do that.</t>
  </si>
  <si>
    <t>Brand Interaction &amp; Alani Nu Synergies / P&amp;L</t>
  </si>
  <si>
    <t>How the two brands interact, anything surprising since closing, the modeling-call date, and initial synergies/P&amp;L flow-through opportunities.</t>
  </si>
  <si>
    <t>Too early to tell since most in-market plans were set before Celsius took control, but ownership gives optionality on price-pack and promotional strategy and how/whether to merchandise the brands together. Modeling call targeted for Memorial Day week; $50M of synergies (significant portion headcount; 12-month TSA); a marketing/brand team carved out to preserve Alani Nu's voice; supply-chain synergies. Alani Nu a couple of years behind Celsius on the P&amp;L profile but fully expected to converge, with integration plus synergies driven over ~18 months.</t>
  </si>
  <si>
    <t>Celsius Essentials Performance</t>
  </si>
  <si>
    <t>How Essentials performed vs. internal expectations, where it fell short, current distribution, and the runway ahead.</t>
  </si>
  <si>
    <t>Largely in line with expectations - a little stronger out of the gate, then stabilizing as anticipated. Distribution opportunity remains (ACV mid-60s, especially in convenience-and-gas) and an opportunity to sharpen brand messaging in performance energy; should continue performing fairly well.</t>
  </si>
  <si>
    <t>Update on pricing strategy and how it flows through the year, given Q4 2024 pricing was promoted back.</t>
  </si>
  <si>
    <t>Has been promoting a lot of the pricing back. A recent mix shift with singles growing faster than multipacks creates an optical price uplift in the data that is really just mix. Took the headline price to 'get it,' has been promotional with it; remains a future optionality lever.</t>
  </si>
  <si>
    <t>Gross Margin &amp; Second-Half Caution</t>
  </si>
  <si>
    <t>Why management is more cautious on the second half (~50% full-year peg vs. 52%+ Q1) - assuming tariffs.</t>
  </si>
  <si>
    <t>Called the caution 'a bit of conservatism' given uncertainty over tariffs (better that week, at their peak around the earnings call). Cited mitigation strategies in place in advance, some conservatism, and expected commodity inflation - wanting to set a realistic goal.</t>
  </si>
  <si>
    <t>Aluminum Exposure &amp; Mitigation</t>
  </si>
  <si>
    <t>What percentage of COGS is aluminum, and beyond pricing what mitigation levers exist.</t>
  </si>
  <si>
    <t>Did not have the aluminum-as-%-of-COGS figure but said it is consistent with the beverage category. Mitigation: leveraging the business to expand margins (citing the larger public competitor's playbook) - going direct on raw materials, using co-packers differently, multiple toolbox tools over coming years.</t>
  </si>
  <si>
    <t>Alani Nu Margin Accretion &amp; Big Beverage / Space</t>
  </si>
  <si>
    <t>Whether Alani Nu is accretive with scale/margin advantages, how the integrated Big Beverage facility drives margin lift, and where the 15-20% space expansion comes from.</t>
  </si>
  <si>
    <t>Alani Nu shares many ingredients, enabling scale and better pricing over coming years plus synergies and margin convergence. Big Beverage has margin savings and is kitted for a second line; as Alani Nu grows, a portion of its volume moves in-house. The 15-20% space expansion comes from set growth at large customers, Subway, Home Depot (~18,000 stores), ~15,000 additional small-format coolers, energy space growth within total beverage, and independent-set increases in the Pepsi system; 2025 plans largely locked, further gains a 2026 opportunity.</t>
  </si>
  <si>
    <t>Big Beverage Capacity &amp; Pepsi Plants</t>
  </si>
  <si>
    <t>Whether all of Alani Nu would move into Big Beverage and how insourcing more volume interacts with the Pepsi relationship.</t>
  </si>
  <si>
    <t>Not all of Alani Nu - with two lines, Big Beverage holds ~20-25% of current volumes (~25% of current capacity). Celsius is not in any Pepsi plants; runs a six-orbit model (6 primary plants incl. Big Beverage, plus ~6-7 secondary) and could double capacity within the current footprint; has explored opportunities with Pepsi (partly around tunnel-pasteurizing sourcing/footprint).</t>
  </si>
  <si>
    <t>Pepsi / Alani Nu Distribution &amp; International Strategy</t>
  </si>
  <si>
    <t>Whether Pepsi would distribute Alani Nu, and how Celsius drives daily consumption internationally and balances US vs. global expansion.</t>
  </si>
  <si>
    <t>Current focus is resets and ensuring product is on shelf; sees opportunities with both distribution systems but nothing to announce. On international, the focus is building deliberately in markets already entered, not a 'shotgun approach,' with performance roughly in line; a huge runway (Monster ~40% vs. Celsius ~5% incl. Alani). Building out EMEA resources including a global operations team in Dublin to bring on new countries faster.</t>
  </si>
  <si>
    <t>International Performance vs. Expectations</t>
  </si>
  <si>
    <t>Whether international performance has surprised to the upside.</t>
  </si>
  <si>
    <t>A bit of both - a couple of markets doing better, a couple needing to get on track - but largely in line, 'probably more to the upside.'</t>
  </si>
  <si>
    <t>Walmart Energy Space &amp; Future M&amp;A</t>
  </si>
  <si>
    <t>What management hears about Walmart's energy-drink space and Langhans's view on future acquisitions.</t>
  </si>
  <si>
    <t>Not hearing much, but expects Walmart sets to get bigger over time, timing 'TBD.' Company has plenty to keep it busy - integration, paying down debt, a strong back-half/summer plan plus global expansion; Eric's structuring work sets the company up to do more; would look at the right opportunity but has ample runway with the current portfolio.</t>
  </si>
  <si>
    <t>Alani Nu Modeling Call (post-closing)</t>
  </si>
  <si>
    <t>2025-05-28</t>
  </si>
  <si>
    <t>Alani Nu Standalone Financials</t>
  </si>
  <si>
    <t>Net Revenues</t>
  </si>
  <si>
    <t>~$605M</t>
  </si>
  <si>
    <t>~83%</t>
  </si>
  <si>
    <t>remainder pre-workouts/snacks/stick packs</t>
  </si>
  <si>
    <t>Standalone gross margin</t>
  </si>
  <si>
    <t>40% -&gt; low 40s</t>
  </si>
  <si>
    <t>2023-2024</t>
  </si>
  <si>
    <t>Combined Business (Celsius + Alani Nu)</t>
  </si>
  <si>
    <t>Combined 2024 pro forma revenue</t>
  </si>
  <si>
    <t>FY2024 pro forma</t>
  </si>
  <si>
    <t>Combined US energy category dollar share</t>
  </si>
  <si>
    <t>~16% (strong #3 player)</t>
  </si>
  <si>
    <t>2024/2025</t>
  </si>
  <si>
    <t>Combined share of 2024 US energy category dollar growth</t>
  </si>
  <si>
    <t>Sugar-free share of 2024 category growth</t>
  </si>
  <si>
    <t>more than 90%</t>
  </si>
  <si>
    <t>Combined new category growth dollars (thru Apr 20, 2025)</t>
  </si>
  <si>
    <t>~$18.5M</t>
  </si>
  <si>
    <t>early Q2 2025</t>
  </si>
  <si>
    <t>Alani Nu Growth (consolidated basis)</t>
  </si>
  <si>
    <t>Q1 2025 YoY revenue growth</t>
  </si>
  <si>
    <t>+65% to +70%</t>
  </si>
  <si>
    <t>Q1 2025 (partly Sherbet Swirl pipe-fill)</t>
  </si>
  <si>
    <t>Q3 2024 consolidated growth</t>
  </si>
  <si>
    <t>+39%</t>
  </si>
  <si>
    <t>Q3 2024</t>
  </si>
  <si>
    <t>Q4 2024 consolidated growth</t>
  </si>
  <si>
    <t>+53%</t>
  </si>
  <si>
    <t>Q4 2024 (holiday-edition launch)</t>
  </si>
  <si>
    <t>Deal Terms / Pre-Acquisition Items</t>
  </si>
  <si>
    <t>Distributor termination fees (Alani, pre-acquisition)</t>
  </si>
  <si>
    <t>~$10.7M</t>
  </si>
  <si>
    <t>Acquisition closed</t>
  </si>
  <si>
    <t>April 1, 2025 (excluded from Q1 2025; 3 qtrs in 2025)</t>
  </si>
  <si>
    <t>Acquisition funding (per prior calls)</t>
  </si>
  <si>
    <t>$900M debt, ~$400M cash, remainder stock</t>
  </si>
  <si>
    <t>2025 Modeling Guidance (Quantitative)</t>
  </si>
  <si>
    <t>Period / Allocation</t>
  </si>
  <si>
    <t>Combined full-year 2025 GAAP gross margin</t>
  </si>
  <si>
    <t>high 40s</t>
  </si>
  <si>
    <t>Inventory step-up</t>
  </si>
  <si>
    <t>~$15M (~1% FY gross-margin drag)</t>
  </si>
  <si>
    <t>allocate ~80% Q2, ~20% Q3</t>
  </si>
  <si>
    <t>GAAP SG&amp;A as % of revenue</t>
  </si>
  <si>
    <t>low 30s</t>
  </si>
  <si>
    <t>Purchase-accounting customer-list amortization (SG&amp;A)</t>
  </si>
  <si>
    <t>FY2025 full-year &amp; quarterly</t>
  </si>
  <si>
    <t>Effective tax rate</t>
  </si>
  <si>
    <t>25-26% (front-half-weighted)</t>
  </si>
  <si>
    <t>Interest expense (quarterly)</t>
  </si>
  <si>
    <t>~$19M/quarter</t>
  </si>
  <si>
    <t>starting Q2 2025</t>
  </si>
  <si>
    <t>Interest expense (full-year)</t>
  </si>
  <si>
    <t>~$57M</t>
  </si>
  <si>
    <t>Interest rate structure</t>
  </si>
  <si>
    <t>SOFR + 325 bps (excl. issuance costs); 7.5% assumed on $900M debt</t>
  </si>
  <si>
    <t>Combined adjusted EBITDA margin</t>
  </si>
  <si>
    <t>~17% to 20%</t>
  </si>
  <si>
    <t>Run-rate cost synergies</t>
  </si>
  <si>
    <t>$50M (~$4.2M/month at run rate)</t>
  </si>
  <si>
    <t>full run rate from April 2026</t>
  </si>
  <si>
    <t>Synergy capture - Q4 2025 / Q1 2026</t>
  </si>
  <si>
    <t>$5M to $10M</t>
  </si>
  <si>
    <t>Q4 2025-Q1 2026</t>
  </si>
  <si>
    <t>Integration period</t>
  </si>
  <si>
    <t>24 months (majority in first 12 months)</t>
  </si>
  <si>
    <t>FY2025-FY2027</t>
  </si>
  <si>
    <t>Transition services agreement (Congo Brands)</t>
  </si>
  <si>
    <t>12-month TSA</t>
  </si>
  <si>
    <t>Alani Nu market-share-expansion lag vs. Celsius</t>
  </si>
  <si>
    <t>12-24 months behind</t>
  </si>
  <si>
    <t>forward</t>
  </si>
  <si>
    <t>Marketing uplift share of synergies (per analyst, Slide 19)</t>
  </si>
  <si>
    <t>~10% of synergies</t>
  </si>
  <si>
    <t>Global energy category growth</t>
  </si>
  <si>
    <t>~10% CAGR</t>
  </si>
  <si>
    <t>Cash EPS accretion</t>
  </si>
  <si>
    <t>accretive in first full year of ownership</t>
  </si>
  <si>
    <t>year one post-close</t>
  </si>
  <si>
    <t>A dedicated post-closing modeling call to help analysts model the combined business after the April 1, 2025 Alani Nu close - technical, disciplined and execution-focused; management explicitly declined to provide a revenue outlook for either Alani Nu or core Celsius.</t>
  </si>
  <si>
    <t>Strategic rationale: a leading better-for-you functional lifestyle platform at the intersection of consumer megatrends; Alani Nu (founded 2018, #4 US energy drink) is female-centric and complementary to gender-neutral, performance-driven Celsius - 90%+ of Alani's social followers are female.</t>
  </si>
  <si>
    <t>Combined business is a strong #3 in US energy at ~16% share and ~$2B 2024 pro forma revenue; more than 90% RTD energy; Alani adds RTD protein, pre-workout, supplements.</t>
  </si>
  <si>
    <t>Alani Nu's 2023-2024 P&amp;L profile mirrors Celsius's 2022-2023 profile; gross margin moved from 40% into the low 40s, expected to converge to Celsius's profile over a 24-month supply-chain integration.</t>
  </si>
  <si>
    <t>Purchase-accounting noise: ~$15M inventory step-up (opening inventory $15M higher on April 1; ~80% to Q2, ~20% to Q3; ~1% FY gross-margin drag); customer-list amortization adds ~1% in SG&amp;A; brand/trademark assets and goodwill recorded but not amortized monthly - evaluated annually.</t>
  </si>
  <si>
    <t>Interest expense ~$19M/quarter (~$57M FY) begins Q2 2025 on $900M debt at a 7.5% assumed rate; the variable SOFR+325bps rate fluctuates with SOFR quarter-to-quarter.</t>
  </si>
  <si>
    <t>Scanner-vs-GAAP reconciliation is 'tricky' and 'contingent on how successful our LTOs are' - Alani recognizes GAAP revenue on delivery while Circana captures register scans; LTO launches cause pipe-fill that shifts revenue between periods (spike then fade); converges over a longer period.</t>
  </si>
  <si>
    <t>$50M run-rate synergies driven mostly by headcount (using hundreds of commercial team members to absorb sales/merchandising/key-accounts/field-marketing); full run rate (~$4.2M/month) reached April 2026; only $5-10M captured across Q4 2025/Q1 2026 - most in 2026.</t>
  </si>
  <si>
    <t>24-month integration with majority of work in the first 12 months, running alongside a 12-month TSA with Congo Brands; separate brand/marketing teams maintained to preserve each brand's voice.</t>
  </si>
  <si>
    <t>Core Celsius got off to a slow Q1 start but is showing week-over-week growth and stabilization; a more balanced 2025 innovation cadence and summer marketing investment; the portfolio enables a branded go-to-market approach on pricing, promotion and architecture.</t>
  </si>
  <si>
    <t>Alani Nu Q1 2025 was up 65-70% YoY (consolidated), partly inflated by the Sherbet Swirl LTO pipe-fill - which was briefly the #1 energy SKU at certain large retailers; consolidated growth ran +39% Q3 2024, +53% Q4 2024 (holiday-edition launch); Q2 2025 scanner data 'pretty solid' but needs more time.</t>
  </si>
  <si>
    <t>The Witch's Brew holiday edition that drove the Q4 2024 spike will be re-launched in Q4 2025 - a near-term scanner-data/revenue catalyst.</t>
  </si>
  <si>
    <t>Adjacent categories: protein is interesting (a growing segment, under analysis with potential to build out); stick packs a big on-the-go opportunity and a profitable piece of the business; some other inherited products under evaluation per internal profitability algorithms; near-term focus is RTD energy.</t>
  </si>
  <si>
    <t>Marketing synergies come from 'marketing operations' - scale media buys and crossover/shared resources - not from merging the creative/brand teams; the portfolio gives flexibility to dial in innovation timing across channels.</t>
  </si>
  <si>
    <t>~$10.7M distributor termination fees relate to Alani switching distributors before the acquisition (notification period plus a multiple of gross profit); no update on the go-forward distributor network - focus is integration and existing customers/partners.</t>
  </si>
  <si>
    <t>Alani Nu currently distributed internationally only through Canada, with other countries 'in the pipeline.'</t>
  </si>
  <si>
    <t>Revenue Growth Color &amp; Scanner-vs-GAAP Gap</t>
  </si>
  <si>
    <t>Color on revenue growth for Alani Nu and core Celsius (given no revenue outlook was provided), and help interpreting the large scanner-vs-GAAP gap as analysts model Q2 - whether the prior-year GAAP figure should 'come back.'</t>
  </si>
  <si>
    <t>Core Celsius got off to a slow Q1 start but is showing week-over-week growth and stabilization, with a more balanced 2025 innovation cadence and summer marketing investment; Alani Nu's growth is LTO-timing-driven and lumpy, so tracking scan data gives the best read. The reconciliation is 'tricky' and contingent on LTO success - Sherbet Swirl was briefly the #1 energy SKU at certain retailers; LTOs spike then fade. Prior-year consolidated growth ran +39% (Q3) and +53% (Q4, holiday-edition); Alani Nu up 65-70% YoY in Q1 2025, partly Sherbet Swirl pipe-fill; Q2 scanner data 'pretty solid.'</t>
  </si>
  <si>
    <t>Marketing Spend Allocation &amp; LTO Cadence</t>
  </si>
  <si>
    <t>How marketing spend will be allocated across the two brands (percentage of sales, equal vs. tilted), and whether seasonal LTOs alternate or run concurrently.</t>
  </si>
  <si>
    <t>Separate brand teams handle creative, social and brand voice; synergies come from 'marketing operations' - scale media buys and crossover/shared resources (e.g., field-marketing resources). Managing a portfolio in one category lets the company dial in innovation timing to maximize the retailer/channel footprint, giving flexibility the company lacked before the Alani Nu acquisition and enabling appropriate fund allocation on a consistent timeline.</t>
  </si>
  <si>
    <t>Product Mix &amp; Adjacent Categories</t>
  </si>
  <si>
    <t>David Shakno, William Blair (for Jon Andersen)</t>
  </si>
  <si>
    <t>Whether the non-energy mix at Alani Nu (sticks, shakes, snacks) should persist, given some of those categories are incremental to legacy Celsius.</t>
  </si>
  <si>
    <t>The broader adjacent-category portfolio is interesting - protein is a growing segment under further analysis with potential to build out; stick packs offer a big on-the-go opportunity (Celsius has seen stick-pack growth) leveraging Celsius's sales organization and supply chain, and a profitable piece of the business. Some other inherited products are under evaluation per internal profitability algorithms. Near-term, the company is extremely focused on RTD energy where it sees immediate accretive synergies through the back half of 2025 and into 2026.</t>
  </si>
  <si>
    <t>Distributor Termination Fees &amp; Network Plans</t>
  </si>
  <si>
    <t>Robert Moskow, TD Cowen</t>
  </si>
  <si>
    <t>Who received the ~$10.7M distributor termination fees and whether there is any update on the distributor network plan.</t>
  </si>
  <si>
    <t>The fees relate to Alani Nu switching distributors before the acquisition - typically a notification period and a multiple of gross profit paid when leaving certain distributors for others - activity that occurred prior to Celsius acquiring Alani Nu as it updated its distribution platform. The company is focused on integrating Alani Nu and the organization and on existing customers/partners, with no distributor-network update at this time.</t>
  </si>
  <si>
    <t>dbAccess Global Consumer Conference (Deutsche Bank, Paris)</t>
  </si>
  <si>
    <t>2025-06-03</t>
  </si>
  <si>
    <t>Share &amp; Revenue</t>
  </si>
  <si>
    <t>~16-16.5%</t>
  </si>
  <si>
    <t>current</t>
  </si>
  <si>
    <t>Celsius US category share - 2024 peak</t>
  </si>
  <si>
    <t>2024 peak</t>
  </si>
  <si>
    <t>Celsius US category share - current</t>
  </si>
  <si>
    <t>~10.8-11%</t>
  </si>
  <si>
    <t>Celsius + Alani Nu MULO (large format) share</t>
  </si>
  <si>
    <t>almost 25%</t>
  </si>
  <si>
    <t>Strong-market Celsius share (Amazon, S. Florida, NYC, LA)</t>
  </si>
  <si>
    <t>near or beyond 20%</t>
  </si>
  <si>
    <t>Celsius Sweden share</t>
  </si>
  <si>
    <t>mid-teens</t>
  </si>
  <si>
    <t>Margins / Operations</t>
  </si>
  <si>
    <t>Celsius standalone gross margin</t>
  </si>
  <si>
    <t>low 50s (Q1 2025: 52%)</t>
  </si>
  <si>
    <t>Celsius standalone SG&amp;A as % of revenue</t>
  </si>
  <si>
    <t>over two-year integration</t>
  </si>
  <si>
    <t>Celsius international revenue (2025)</t>
  </si>
  <si>
    <t>France ACV</t>
  </si>
  <si>
    <t>Alani Nu RTD protein business size</t>
  </si>
  <si>
    <t>Big Beverage production share (with second line)</t>
  </si>
  <si>
    <t>~20% of combined production</t>
  </si>
  <si>
    <t>over next 15-18 months</t>
  </si>
  <si>
    <t>Balance sheet cash (post-acquisition)</t>
  </si>
  <si>
    <t>~$450M</t>
  </si>
  <si>
    <t>current (after ~$450M paid toward deal)</t>
  </si>
  <si>
    <t>Subway distribution rollout</t>
  </si>
  <si>
    <t>up to 20,000 locations</t>
  </si>
  <si>
    <t>US energy category growth rate</t>
  </si>
  <si>
    <t>over 10% recent; high single digits forward</t>
  </si>
  <si>
    <t>current / forward</t>
  </si>
  <si>
    <t>Alani Nu synergies</t>
  </si>
  <si>
    <t>Alani Nu integration period</t>
  </si>
  <si>
    <t>two-year integration plan</t>
  </si>
  <si>
    <t>Alani Nu margin convergence target</t>
  </si>
  <si>
    <t>toward Celsius low-50s GM / low-30s SG&amp;A</t>
  </si>
  <si>
    <t>Celsius full-year gross margin</t>
  </si>
  <si>
    <t>~50% average</t>
  </si>
  <si>
    <t>International breakeven</t>
  </si>
  <si>
    <t>~3-5 years</t>
  </si>
  <si>
    <t>FY2025+</t>
  </si>
  <si>
    <t>International share aspiration</t>
  </si>
  <si>
    <t>10 share</t>
  </si>
  <si>
    <t>next 3-5 years</t>
  </si>
  <si>
    <t>US energy category growth</t>
  </si>
  <si>
    <t>next several years</t>
  </si>
  <si>
    <t>Big Beverage second-line production share</t>
  </si>
  <si>
    <t>~20% of combined production (15-18 months to install)</t>
  </si>
  <si>
    <t>H2 2026+</t>
  </si>
  <si>
    <t>Celsius framed at the center of an energy-category 'renaissance' - new consumers, especially females, entering for the first time and need-state lines blurring (energy consumed throughout the day and with meals).</t>
  </si>
  <si>
    <t>Management candidly acknowledged Celsius slipped from a ~12.3% 2024 US share peak to ~10.8-11% - 'not pleased with that' - driven by 2024's front-loaded innovation being cycled and unusually heavy Red Bull/Monster sugar-free innovation vs. Celsius's lighter 2025 calendar.</t>
  </si>
  <si>
    <t>Convenience-channel under-indexing is the single biggest US share opportunity - Celsius + Alani Nu represent almost 25% of MULO large-format share while Alani is barely present in convenience.</t>
  </si>
  <si>
    <t>The two-brand portfolio's #1 advantage is pricing/promotional optionality (high-low strategies, timing/sequencing) in a highly promotional category; brand/marketing teams kept separate to preserve each brand's identity.</t>
  </si>
  <si>
    <t>Celsius runs low-50s gross margin and low-30s SG&amp;A; Alani Nu expected to converge over a two-year integration, with $50M of synergies on top; the company is comfortable with the $50M whether the North American distribution is dual or single.</t>
  </si>
  <si>
    <t>Distribution uncertainty left explicitly unresolved - whether Alani Nu moves from ABI into PepsiCo; 'there's been no decisions on the path forward,' though PepsiCo's CEO referenced active discussions.</t>
  </si>
  <si>
    <t>Synergy harvest concentrated in 2026 - the 12-month Congo Brands TSA and a methodical headcount/supply-chain transition push most capture into 2026; optionality to capture sooner if opportunities arise.</t>
  </si>
  <si>
    <t>First-ever Celsius LTO (winter theme) in the back half of 2025, designed to attract new consumers and disrupt the path to purchase; new holistic 'Live Fit / Fit Go' marketing campaign launched.</t>
  </si>
  <si>
    <t>Alani Nu's largest-ever innovation year (2025) includes Witch's Brew for Halloween and a winter edition; Alani revenue is LTO-driven and lumpy (a launch followed by ~60 days of pickup then trail-off; pipe-fill recorded then a couple-week delay before it hits scanner data).</t>
  </si>
  <si>
    <t>Celsius is now a ~$100M international business growing off a small base - ~88% ACV in France, mid-teens share in Sweden, gaining share in Finland; recently launched France, Australia, NZ, Benelux, UK; partnered with Suntory; goal to break even in ~3-5 years and aspire to a 10 share.</t>
  </si>
  <si>
    <t>International approach is tactical - not over-investing, building trial then investing more; considering bringing Alani Nu to Sweden where Celsius is more established; same global health/wellness, sugar-free, female trends apply.</t>
  </si>
  <si>
    <t>Energy category growing over 10% recently, high single digits expected forward; sourcing volume from softness in tea, water, juice and coffee; GLP-1 cited as a broadening tailwind for better-for-you energy and protein.</t>
  </si>
  <si>
    <t>SKU rationalization is continuous - SKU consistency is 'a big opportunity' (flavors vary by retailer); shifting from regional 'lead launches' toward national launches; rebalancing pack sizes (upsizing 12-packs, reducing 4-packs) as consumption shifts to large-format pantry purchasing.</t>
  </si>
  <si>
    <t>Adjacency optionality: powders/hydration (hydration launched in Walmart), Alani Nu's ~$50M RTD protein business (somewhat lower margin, improves with scale, under evaluation); Celsius has a 'right to play' in hydration adjacencies.</t>
  </si>
  <si>
    <t>Capital allocation: ~$450M cash remains after paying ~$450M toward the acquisition; the company is cash-generative and CapEx-light, will pay down 'some' (not all) acquisition debt to build credit; M&amp;A optionality on the balance sheet.</t>
  </si>
  <si>
    <t>Big Beverage (acquired 2024, mostly Celsius product) being expanded with a second line over 15-18 months, eventually bringing ~20% of combined production in-house - a forward margin lever.</t>
  </si>
  <si>
    <t>Energy is a highly impulse-driven category - being within six feet of a register matters; two brands give greater retailer leverage for shelf space and cooler strategies.</t>
  </si>
  <si>
    <t>Who Is Celsius</t>
  </si>
  <si>
    <t>Stephen Powers, Deutsche Bank</t>
  </si>
  <si>
    <t>Introduce the company - Celsius is newer/less familiar to European investors despite ~88% ACV in France.</t>
  </si>
  <si>
    <t>An energy-category renaissance: Celsius was born in the US as a fitness, sugar-free, functional-vitamin (seven essential vitamins) brand, now joined by female-focused Alani Nu. New consumers - especially females - entering for the first time, consumption occasions expanding to throughout-the-day and with-meals. Cited Subway (up to 20,000 locations), Jersey Mike's, the PepsiCo partnership, foodservice meal-pairing, and a refreshing flavor lineup.</t>
  </si>
  <si>
    <t>Alani Nu's Effect on Company Identity</t>
  </si>
  <si>
    <t>How adding Alani Nu evolves the company's identity internally and in the marketplace.</t>
  </si>
  <si>
    <t>Internally, the company has built a capable infrastructure (supply, procurement, sales, finance) and Alani Nu drives synergies. In the marketplace, a single brand competing at a high level faces pricing/promotional challenges; a multi-brand portfolio (core Celsius, Essentials, Alani Nu) enables a portfolio approach with competitive advantages and ~16-16.5% combined category share.</t>
  </si>
  <si>
    <t>Addressable Market Definition</t>
  </si>
  <si>
    <t>How the company defines and sizes the addressable market, given its brands differ from traditional Monster/Red Bull.</t>
  </si>
  <si>
    <t>The historical heavy consumer was male 25-34, but the category is now gender- and age-balanced, with sugar-free above 50% of North America category sales for the first time last year. Celsius is 'increasing the pie,' targeting 18-34 while also aging up as consumers seek healthier alternatives.</t>
  </si>
  <si>
    <t>Financial Profile &amp; Synergies (Pro Forma Level-Set)</t>
  </si>
  <si>
    <t>Level-set the pro forma financial profile of the combined business and how the synergies layer in.</t>
  </si>
  <si>
    <t>Celsius's pre-Alani profile is low-50s gross margin and low-30s SG&amp;A; Alani Nu expected to converge over a two-year integration, with $50M of synergies on top driving further margin expansion, plus additional leverage and global expansion.</t>
  </si>
  <si>
    <t>Synergy Timing &amp; Harvest Window</t>
  </si>
  <si>
    <t>Why synergies ramp mostly in the first half of 2026 and why the harvest is concentrated in a couple of quarters.</t>
  </si>
  <si>
    <t>Synergies bucket into supply chain and people. A 12-month TSA with Congo Brands covers the employee base; a separate marketing team/head was carved out. Moving Alani Nu's supply chain into Celsius's orbit model and transitioning headcount happen over the 12 months as two work streams. Gross-margin benefit comes as the supply chain is fully integrated (some sooner, some in the back half of 2026); finance/IT/back-shop synergies at the tail end; sales timing depends on commercial-strategy sequencing - the lowest-risk, methodical approach, with optionality to capture sooner.</t>
  </si>
  <si>
    <t>U.S. Category Lag &amp; Drivers of YTD Performance</t>
  </si>
  <si>
    <t>Drivers of Celsius's year-to-date lag versus the growing US category, and the enablers of a return to growth.</t>
  </si>
  <si>
    <t>Celsius peaked at ~12.3% US category share in 2024, now ~10.8-11%. The company front-loaded 2024 innovation (now cycling) and took a more balanced 2025 approach; first Celsius LTO in the back half. 2024 saw the heaviest-ever Red Bull/Monster sugar-free innovation activity, against which Celsius's lighter calendar underperformed. Cited the new 'Live Fit / Fit Go' campaign, Alani Nu's largest-ever innovation year (Witch's Brew, winter edition), and the portfolio's ability to drive new-to-category consumers.</t>
  </si>
  <si>
    <t>Aspirational Share &amp; Margin Objectives</t>
  </si>
  <si>
    <t>Aspirational market-share objectives for Celsius vs. Alani Nu, and Celsius's aspirational margin.</t>
  </si>
  <si>
    <t>At ~11% share the company is 'not pleased' and sees huge US upside - markets with a level playing field (Amazon, South Florida, NYC, LA) near or above 20% share. The biggest opportunity is closing the convenience-channel gap where Celsius is under-indexed; Celsius + Alani Nu represent almost 25% of MULO large-format share while Alani is barely in convenience. Cited food-pairing trial-driving deals (Casey's, NYC).</t>
  </si>
  <si>
    <t>International Growth &amp; Prioritization</t>
  </si>
  <si>
    <t>How the international growth journey plays out, the level of prioritization vs. US opportunities, and how Alani Nu layers in.</t>
  </si>
  <si>
    <t>International a huge opportunity (Monster's international success, global health/wellness trends). Celsius has a mid-teens Sweden share, gains in Finland, recently launched France, Australia, NZ, Benelux, UK (partnered with Suntory); France ~88% ACV. Tactical approach - not over-investing, building trial then investing more - goal to break even in ~3-5 years and aspire to a 10 share. International a ~$100M business in 2025. Alani Nu international entry is a timing question - considering Sweden first.</t>
  </si>
  <si>
    <t>How the Two Brands Work Together</t>
  </si>
  <si>
    <t>How Celsius and Alani Nu complement each other in the marketplace and whether managing two brands creates conflicts/complexity.</t>
  </si>
  <si>
    <t>The portfolio's #1 advantage is pricing/promotional optionality (high-low strategies, timing/sequencing) in a highly promotional category. Marketing/brand teams kept separate; commercial/department-level synergies captured. Brands complementary in attracting new consumers and expanding usage occasions; opportunities in cooler strategies and greater retailer leverage to win shelf space (energy is impulse-driven - within six feet of a register matters).</t>
  </si>
  <si>
    <t>Distribution Architecture (Dual vs. Single System)</t>
  </si>
  <si>
    <t>Merits of the current dual system (Celsius via PepsiCo/Suntory, Alani Nu via ABI) vs. consolidating Alani Nu into Pepsi, and how the company approaches distribution decisions.</t>
  </si>
  <si>
    <t>Both ABI and Pepsi systems are highly capable. Pepsi has been a great North American partner (priority periods, suggested/pallet orders, data connections, Subway and college distribution). PepsiCo's CEO referenced active discussions, but it is too early - no decisions on the path forward. Focus is execution, driving share, and capturing the ~$50M synergies; Alani Nu performing well in the ABI system.</t>
  </si>
  <si>
    <t>Synergies Independent of Distribution</t>
  </si>
  <si>
    <t>Whether the synergies are independent of any distribution consideration.</t>
  </si>
  <si>
    <t>Confirmed - the company is comfortable with the $50M of synergies regardless of whether North American distribution is dual or single.</t>
  </si>
  <si>
    <t>Dual-System Cooperation</t>
  </si>
  <si>
    <t>Whether, if the dual system remains, the ABI and Pepsi networks can be made to cooperate as well as a single system.</t>
  </si>
  <si>
    <t>Both networks have pros and cons and are amazing routes to market; the company will keep evaluating what is best for the brands and shareholders, focused on share growth, bringing in consumers, growing the category and selling more cans. The acquisition financials are based on existing partners, distribution and customers.</t>
  </si>
  <si>
    <t>SKU Assortment &amp; Innovation Complexity</t>
  </si>
  <si>
    <t>The right number of SKUs given heavy flavor innovation and the complexity it creates.</t>
  </si>
  <si>
    <t>The company reviews SKUs annually; SKU consistency is 'a big opportunity' since flavors vary by retailer, and the goal is a consistent in-store flow. Revenue-management capability and Pepsi-network knowledge support prioritization; the company 'cuts its tail' and has shifted from regional lead launches toward national launches while continuing to introduce new flavors annually.</t>
  </si>
  <si>
    <t>Right SKU Level / Pack-Size Rebalancing</t>
  </si>
  <si>
    <t>Whether both portfolios are at the right level of overall SKUs.</t>
  </si>
  <si>
    <t>The goal is constant efficiency - supply chain always wants fewer SKUs. The company is rebalancing pack sizes, upsizing 12-packs and reducing 4-packs as consumption shifts from convenience impulse purchasing toward large-format pantry purchasing, eliminating some SKUs.</t>
  </si>
  <si>
    <t>LTO Objective</t>
  </si>
  <si>
    <t>Whether the LTO objective is to reengage base consumers or attract new consumers.</t>
  </si>
  <si>
    <t>The LTO strategy is to attract new consumers - disrupting the path to purchase, bringing Celsius to more people, targeting consumers of other established brands, driving trial.</t>
  </si>
  <si>
    <t>Alani Nu Scanner-vs-Reported Lumpiness</t>
  </si>
  <si>
    <t>The drivers of differences between Alani Nu's reported results and consumption data, and any known gaps to expect over the balance of the year.</t>
  </si>
  <si>
    <t>The LTO strategy makes launches visible quarterly - a launch followed by ~60 days of pickup then a trail-off, with the LTO designed to raise the base. More peaks and valleys for Alani Nu; a pipe-fill spike is recorded in financial results followed by a couple-week delay before it hits scanner data, so within a quarter the gap is unnoticeable but cross-month timing requires keeping investors informed.</t>
  </si>
  <si>
    <t>Powders, Protein, Snacks &amp; Adjacent Businesses</t>
  </si>
  <si>
    <t>How the powder, snack-bar, shake and other alternative businesses fit alongside the core can, and how much focus they get.</t>
  </si>
  <si>
    <t>The on-the-go powder offering is a great, growing business. Pre-workout/powders are a growth opportunity. Alani Nu's RTD protein is a ~$50M business at scale - a good growth channel with somewhat lower margin that improves with scale, under evaluation over the next couple of years. Smaller protein bars/supplements are less interesting than powders and RTD protein. GLP-1 broadens acceptance of better-for-you energy and protein.</t>
  </si>
  <si>
    <t>Celsius's Right to Play in Protein / Adjacencies</t>
  </si>
  <si>
    <t>Whether the Celsius brand has the right to go into protein/adjacencies.</t>
  </si>
  <si>
    <t>Hydration is another area where Celsius has a right to play - it just launched hydration on-the-go powders in the US, including in Walmart, with strong major-retailer interest. Celsius has a right to play in adjacencies; the hydration product tastes good and has expansion opportunity, letting consumers drink more Celsius throughout the day (since caffeine limits all-day energy-drink consumption).</t>
  </si>
  <si>
    <t>William Blair 45th Annual Growth Stock Conference</t>
  </si>
  <si>
    <t>2025-06-04</t>
  </si>
  <si>
    <t>Share &amp; Position</t>
  </si>
  <si>
    <t>Combined US energy tracked-channel share</t>
  </si>
  <si>
    <t>Celsius + Alani share of 2024 US energy category growth</t>
  </si>
  <si>
    <t>Celsius brand ACV</t>
  </si>
  <si>
    <t>Celsius brand US retail outlets</t>
  </si>
  <si>
    <t>over 241,000</t>
  </si>
  <si>
    <t>Alani Nu ACV</t>
  </si>
  <si>
    <t>low-80s</t>
  </si>
  <si>
    <t>Celsius brand market share (trailing 9 months)</t>
  </si>
  <si>
    <t>maintained / roughly flat</t>
  </si>
  <si>
    <t>Celsius Holdings energy MULO+ share gained since Q1 2022</t>
  </si>
  <si>
    <t>~10 share points</t>
  </si>
  <si>
    <t>Q1 2022 to mid-2025</t>
  </si>
  <si>
    <t>Strong-Market Celsius Share</t>
  </si>
  <si>
    <t>South Florida</t>
  </si>
  <si>
    <t>mid-20s share</t>
  </si>
  <si>
    <t>New York / New England (Boston)</t>
  </si>
  <si>
    <t>close to 20 share</t>
  </si>
  <si>
    <t>Los Angeles</t>
  </si>
  <si>
    <t>~15 share</t>
  </si>
  <si>
    <t>Competitor Share (US energy MULO+)</t>
  </si>
  <si>
    <t>Red Bull</t>
  </si>
  <si>
    <t>Monster</t>
  </si>
  <si>
    <t>27.5%</t>
  </si>
  <si>
    <t>Financials</t>
  </si>
  <si>
    <t>Celsius Holdings 2024 retail sales</t>
  </si>
  <si>
    <t>$3.5B</t>
  </si>
  <si>
    <t>Combined 2024 pro forma net revenue</t>
  </si>
  <si>
    <t>Combined 2024 pro forma gross margin</t>
  </si>
  <si>
    <t>Alani Nu 2024 net revenue</t>
  </si>
  <si>
    <t>~$600M (+46% YoY; implied ~$411M prior)</t>
  </si>
  <si>
    <t>Alani Nu energy drink share of 2024 sales</t>
  </si>
  <si>
    <t>Alani Nu protein shakes share of 2024 sales</t>
  </si>
  <si>
    <t>Celsius Q1 2025 gross margin</t>
  </si>
  <si>
    <t>Celsius Holdings net leverage</t>
  </si>
  <si>
    <t>~1.0x</t>
  </si>
  <si>
    <t>post-Alani Nu</t>
  </si>
  <si>
    <t>Alani Nu female social media following</t>
  </si>
  <si>
    <t>more than 90% female (~1-2% follow Celsius)</t>
  </si>
  <si>
    <t>~7% (Q1 2025); accelerated trailing 4 weeks</t>
  </si>
  <si>
    <t>Q1/Q2 2025</t>
  </si>
  <si>
    <t>Core Celsius distribution gain</t>
  </si>
  <si>
    <t>FY2025 (mostly on shelf)</t>
  </si>
  <si>
    <t>Big Beverage production opportunity</t>
  </si>
  <si>
    <t>~20% of total production</t>
  </si>
  <si>
    <t>~24 months (toward Celsius margin profile)</t>
  </si>
  <si>
    <t>Net leverage reduction</t>
  </si>
  <si>
    <t>~1.0x, reducing over time</t>
  </si>
  <si>
    <t>~7% Q1 2025, accelerated trailing 4 weeks</t>
  </si>
  <si>
    <t>Company organized around four themes: category disruption (Celsius + Alani drove 50% of 2024 US energy growth), a large/growing functional-beverage TAM, a 'more people, more places, more often' growth strategy, and strong cash generation deployed through disciplined capital allocation.</t>
  </si>
  <si>
    <t>Positioned as the #3 US energy portfolio at 16.6% tracked-channel share - closer to #2 Monster than to the #4 brand below; $3.5B 2024 retail sales, ~$2B 2024 pro forma net revenue.</t>
  </si>
  <si>
    <t>Celsius was a 'rocket ship' with triple-digit growth ~2020-2024, hit 'a little bit of a slow period last year,' and has maintained ~11% market share over the trailing nine months - framed as a strong foundation to re-accelerate from, not a decline.</t>
  </si>
  <si>
    <t>Celsius brand ACV 98.7% across 241,000+ outlets; Alani Nu ACV in the low-80s with significant upside; Celsius Holdings has picked up ~10 share points of energy MULO+ since Q1 2022.</t>
  </si>
  <si>
    <t>Alani Nu's lower gross margin (~8-10 points below Celsius) attributed firmly to scale, not mix - shared ingredients, same can suppliers, same manufacturing facilities; buying power moving from $1.5B to $2-plus billion should enhance margins.</t>
  </si>
  <si>
    <t>Management pushed back on the crossover/cannibalization view - only ~1-2% of Alani Nu followers also follow Celsius; the brands serve highly differentiated consumers (Celsius 50-50 male/female, Alani Nu 90%+ female, younger 18-24); Alani is incremental, not cannibalistic.</t>
  </si>
  <si>
    <t>First-ever Celsius limited-time offering planned for Q3/Q4 2025 - an excellent way to drive consumption frequency within the existing base; LTOs (Monster, Red Bull, Alani Nu) have driven a lot of category growth.</t>
  </si>
  <si>
    <t>Newly announced 'Live Fit Go' comprehensive 360-degree marketing campaign (digital, TV, social) broadens the Celsius message beyond gym users to mainstream consumers.</t>
  </si>
  <si>
    <t>Core Celsius distribution up 15-20% in 2025 (CEO-cited target), the bulk already on shelf from January-May resets, a couple of large retailers still to come; summer innovation (a couple of SKUs) and the later-year LTO bring additional placements.</t>
  </si>
  <si>
    <t>Alani Nu's 2025 distribution gains described as 'substantial' (not publicly detailed), with further distribution upside through the rest of 2025 and into 2026.</t>
  </si>
  <si>
    <t>Alani Nu distribution decision (ABI vs. Pepsi) remains open - 'we haven't made any decisions yet and there's really nothing to talk about publicly'; the company values optionality between Pepsi and the fragmented AB Independent Beer Network, where Alani gets significant attention.</t>
  </si>
  <si>
    <t>24-month Alani Nu integration toward a Celsius-like margin profile (Alani ~2-3 years behind Celsius), rolling Alani into Celsius's supplier contracts and scaling buying power.</t>
  </si>
  <si>
    <t>Big Beverage (North Carolina contract manufacturer, acquired November 2024) could eventually handle ~20% of total Celsius/Alani production, serving most of the Southeast - one line in place with infrastructure for a second; in-house production is margin-friendly.</t>
  </si>
  <si>
    <t>Q1 2025 gross margin 52%; combined 2024 pro forma gross margin ~48%; some vertical-integration benefit started to be seen in Q1.</t>
  </si>
  <si>
    <t>Capital allocation disciplined - net leverage ~1.0x with ample cash, goal of reducing leverage over time; fuel organic growth, invest in innovation/marketing, maintain a strong balance sheet and pay down debt; cash-EPS accretive in year one; opportunistic M&amp;A with Alani Nu integration as the explicit #1 priority.</t>
  </si>
  <si>
    <t>Category evolved from a niche, male-dominated, young thrill-seeker category 20 years ago to mainstream, gender-balanced, age-balanced, lifestyle/functional-focused; sugar-free overtook full sugar for the first time last year (&gt;50%).</t>
  </si>
  <si>
    <t>A report cited that women are driving energy drink growth right now - the Celsius/Alani Nu portfolio is positioned to capitalize; energy/CSD lines are blurring.</t>
  </si>
  <si>
    <t>Consumer bounced back - convenience-channel foot traffic improved (lower gas prices); last year's slowdown attributed mainly to macro issues; category grew ~7% in Q1 2025, accelerated in the trailing four weeks.</t>
  </si>
  <si>
    <t>Exploring an Alani Nu-style 100-milligram-caffeine smaller can for core Celsius; suggested 'fewer but bigger' innovation and more focused national campaigns, plus 'true innovation' vs. flavor innovation, going forward.</t>
  </si>
  <si>
    <t>Incremental marketing spend - 'probably a little bit of additional spend' behind Live Fit Go (S&amp;M % addressed at the Celsius Holdings level on the modeling call); the two big players (especially Red Bull) spend heavily on marketing.</t>
  </si>
  <si>
    <t>Dublin center of excellence (set up 2024) supports innovation, global procurement, supply chain and global marketing; the company is investing in AI-assisted tools to drive sales and efficiency.</t>
  </si>
  <si>
    <t>Reported net revenue diverges from Circana/Nielsen scanner data during a growth phase due to order ebbs and flows - the modeling call's five-quarter view was provided for that perspective.</t>
  </si>
  <si>
    <t>Category Growth &amp; 2025 Expectations</t>
  </si>
  <si>
    <t>William Blair moderator/audience</t>
  </si>
  <si>
    <t>What Celsius is seeing more recently in the energy category after last year's slowdown, and expectations for 2025.</t>
  </si>
  <si>
    <t>The consumer bounced back with improved convenience-channel foot traffic (lower gas prices), benefiting Celsius given its convenience skew. Red Bull leaning into sugar-free and LTOs has driven category growth, as have Monster and Alani Nu LTOs; Celsius launches its first LTO in Q3/Q4 to drive frequency. Last year's slowdown was mainly macro. The category grew ~7% in Q1 2025 and accelerated in the trailing four weeks.</t>
  </si>
  <si>
    <t>Shelf-Space Gains: Brand Mix &amp; Timing</t>
  </si>
  <si>
    <t>Whether the 15-20% distribution gain is Celsius, Alani Nu, or both, and when those gains hit shelves.</t>
  </si>
  <si>
    <t>The 15-20% reference is for core Celsius (a CEO-cited target), gains pretty much all on shelf after January-May resets, a couple of large retailers still to come. Summer innovation (a couple of SKUs) and the later-year LTO bring additional placements. Alani Nu's 2025 distribution gains were 'substantial,' not publicly detailed, with further upside for the rest of 2025 and into 2026.</t>
  </si>
  <si>
    <t>Alani Nu Distribution (ABI vs. Pepsi)</t>
  </si>
  <si>
    <t>Whether Alani Nu would become part of the Pepsi distribution system.</t>
  </si>
  <si>
    <t>Not commenting publicly; the company values the optionality between Pepsi and the fragmented AB Independent Beer Network (which has lost key brands over the last 2-3 years, so Alani Nu gets significant attention there). Pros for both networks, but no decision made and nothing to discuss publicly.</t>
  </si>
  <si>
    <t>Broadening the Brand &amp; Marketing Spend</t>
  </si>
  <si>
    <t>Given the effort to broaden Celsius beyond the gym user, whether the company will spend more on marketing and is leaning in enough.</t>
  </si>
  <si>
    <t>The modeling call addressed the S&amp;M percentage for the rest of the year at the Celsius Holdings level (including Alani Nu); anticipates a little bit of additional spend going into the Live Fit Go initiative. The two big players (especially Red Bull) are spending heavily on marketing, making it important for Celsius to lean into the campaign.</t>
  </si>
  <si>
    <t>Alani Nu Margin Gap (Mix vs. Scale)</t>
  </si>
  <si>
    <t>Whether Alani Nu's margins (~8-10 points below Celsius) reflect its non-energy mix or simply scale.</t>
  </si>
  <si>
    <t>Just scale - Alani Nu is where Celsius was 2-3 years ago at a similar size. The brands share many ingredients, source cans from the same three big players, use many of the same manufacturing facilities. Rolling Alani Nu into Celsius's contracts plus the scale benefit (buying power from $1.5B to $2-plus billion) should enhance margins; no reason Alani Nu cannot reach a Celsius-like margin profile - hopefully faster than the 24 months cited.</t>
  </si>
  <si>
    <t>Lower-Caffeine / Smaller-Can Innovation</t>
  </si>
  <si>
    <t>Whether a lower-caffeine version or smaller hand size is being considered to support a broader customer base.</t>
  </si>
  <si>
    <t>Alani Nu already has a smaller 100-milligram-caffeine can, which Celsius is exploring for its core brand. The innovation team evaluates many opportunities; agreed Celsius has done a lot of flavor assortment and suggested 'fewer but bigger,' more focused national campaigns, and 'true innovation' versus flavor innovation could be opportunities going forward.</t>
  </si>
  <si>
    <t>Big Beverage Capacity (~20% of Production)</t>
  </si>
  <si>
    <t>Whether the ~20% production figure for Big Beverage applies to Celsius volume only or includes Alani Nu.</t>
  </si>
  <si>
    <t>It applies to both Celsius and Alani Nu. The plant currently has one line with infrastructure to add a second; North Carolina is a major US beverage manufacturing hub with nearby co-packers and good freight lanes to serve the Southeast. A huge opportunity, and in-house production is margin-friendly.</t>
  </si>
  <si>
    <t>Timing of Vertical-Integration Benefits</t>
  </si>
  <si>
    <t>When the benefits of the vertical integration would be realized (question heavily affected by technical difficulty).</t>
  </si>
  <si>
    <t>Maybe a little bit in Q1 / Q4 - not necessarily - but some of the benefit started to be seen in Q1.</t>
  </si>
  <si>
    <t>CELH Q2 2025 Earnings Call</t>
  </si>
  <si>
    <t>2025-08-07</t>
  </si>
  <si>
    <t>~106%</t>
  </si>
  <si>
    <t>North America (H1)</t>
  </si>
  <si>
    <t>International (H1)</t>
  </si>
  <si>
    <t>International (Q2 growth)</t>
  </si>
  <si>
    <t>27%</t>
  </si>
  <si>
    <t>Margins / Profitability</t>
  </si>
  <si>
    <t>Consolidated Gross Margin</t>
  </si>
  <si>
    <t>51.5%</t>
  </si>
  <si>
    <t>-50 bps</t>
  </si>
  <si>
    <t>54%+</t>
  </si>
  <si>
    <t>S&amp;M % of revenue</t>
  </si>
  <si>
    <t>20.5%</t>
  </si>
  <si>
    <t>G&amp;A % of revenue</t>
  </si>
  <si>
    <t>11.7%</t>
  </si>
  <si>
    <t>+570 bps</t>
  </si>
  <si>
    <t>Net Income ($M)</t>
  </si>
  <si>
    <t>~24.8%</t>
  </si>
  <si>
    <t>Net Income to Common ($M)</t>
  </si>
  <si>
    <t>~28.5%</t>
  </si>
  <si>
    <t>$0.33</t>
  </si>
  <si>
    <t>~17.9%</t>
  </si>
  <si>
    <t>$0.47</t>
  </si>
  <si>
    <t>~67.9%</t>
  </si>
  <si>
    <t>G&amp;A Detail ($M)</t>
  </si>
  <si>
    <t>H1 2025 Results</t>
  </si>
  <si>
    <t>H1 2024</t>
  </si>
  <si>
    <t>Total Revenue ($B)</t>
  </si>
  <si>
    <t>+20 bps</t>
  </si>
  <si>
    <t>$0.65</t>
  </si>
  <si>
    <t>~18.2%</t>
  </si>
  <si>
    <t>Retail Sales / Share (13 wks ended Jun 29)</t>
  </si>
  <si>
    <t>Total CELH retail sales growth</t>
  </si>
  <si>
    <t>Total CELH volume growth</t>
  </si>
  <si>
    <t>CELH dollar sales growth</t>
  </si>
  <si>
    <t>28.9%</t>
  </si>
  <si>
    <t>RTD energy category dollar growth</t>
  </si>
  <si>
    <t>15.2%</t>
  </si>
  <si>
    <t>RTD energy category unit growth</t>
  </si>
  <si>
    <t>13.5%</t>
  </si>
  <si>
    <t>CELH portfolio dollar share</t>
  </si>
  <si>
    <t>17.3%</t>
  </si>
  <si>
    <t>+180 bps</t>
  </si>
  <si>
    <t>Celsius brand dollar sales growth</t>
  </si>
  <si>
    <t>Celsius brand unit growth</t>
  </si>
  <si>
    <t>6.1%</t>
  </si>
  <si>
    <t>Celsius brand share</t>
  </si>
  <si>
    <t>11 share</t>
  </si>
  <si>
    <t>Alani Nu retail dollar sales growth</t>
  </si>
  <si>
    <t>129%</t>
  </si>
  <si>
    <t>+3.2 pts share</t>
  </si>
  <si>
    <t>Alani Nu share</t>
  </si>
  <si>
    <t>6.3 share</t>
  </si>
  <si>
    <t>Celsius scanner growth (vs 9% reported)</t>
  </si>
  <si>
    <t>Other Metrics</t>
  </si>
  <si>
    <t>Portfolio household penetration</t>
  </si>
  <si>
    <t>Celsius household penetration</t>
  </si>
  <si>
    <t>Alani Nu household penetration</t>
  </si>
  <si>
    <t>Repeat rate</t>
  </si>
  <si>
    <t>&gt;65%</t>
  </si>
  <si>
    <t>Trailing 52-wk portfolio retail sales</t>
  </si>
  <si>
    <t>$4B</t>
  </si>
  <si>
    <t>Celsius food service volume growth</t>
  </si>
  <si>
    <t>9.8%</t>
  </si>
  <si>
    <t>Food service % of NA Celsius sales</t>
  </si>
  <si>
    <t>Club channel portfolio growth (Q2)</t>
  </si>
  <si>
    <t>Cash balance (Jun 30)</t>
  </si>
  <si>
    <t>$615M</t>
  </si>
  <si>
    <t>Total debt (term loan)</t>
  </si>
  <si>
    <t>Revolver</t>
  </si>
  <si>
    <t>undrawn</t>
  </si>
  <si>
    <t>Alani Nu 2024 quarterly revenue</t>
  </si>
  <si>
    <t>$136M/$146M/$166M/$157M</t>
  </si>
  <si>
    <t>2 yrs post-close (~Apr 2027)</t>
  </si>
  <si>
    <t>low 50s% (50-54%)</t>
  </si>
  <si>
    <t>Q3/Q4 2025</t>
  </si>
  <si>
    <t>Earn-out maximum payout</t>
  </si>
  <si>
    <t>$25M</t>
  </si>
  <si>
    <t>2025 net-sales targets</t>
  </si>
  <si>
    <t>International run rate</t>
  </si>
  <si>
    <t>FY2025 forward</t>
  </si>
  <si>
    <t>Q2 framed as proof of multi-brand portfolio strategy after Apr 1 Alani Nu close; Alani Nu in consolidated results for first quarter.</t>
  </si>
  <si>
    <t>Alani Nu breakout driven by record LTOs (Cotton Candy, Sherbert Swirl) - Cotton Candy set Walmart debut sales records; core SKUs also sustaining strong velocity.</t>
  </si>
  <si>
    <t>Celsius brand returned to growth (+9% reported) after slow Q1; month-over-month progression following strategy, channel and promo changes.</t>
  </si>
  <si>
    <t>Reported Celsius +9% vs ~3% scanner gap attributed to favorable prior-year distributor inventory comp - quality-of-growth question left partly unquantified.</t>
  </si>
  <si>
    <t>Gross margin pressure flagged for H2 from tariffs, aluminum, Midwest premium, LME; FIFO meant no material Q2 tariff hit.</t>
  </si>
  <si>
    <t>Management guided cautiously to low 50s% margin, repeatedly hedging ('not have everyone get over their skis').</t>
  </si>
  <si>
    <t>Innovation-led H2: Witch's Brew and Pumpkin Cream/Winter Wonderland LTOs for Alani Nu; first-ever Celsius LTO launching fall/winter.</t>
  </si>
  <si>
    <t>First national Celsius TV commercial during NFL broadcasts (fall 2025) - called a major brand-awareness milestone.</t>
  </si>
  <si>
    <t>Live. Fit. Go. campaign (with agency Anomaly) relaunched; drove largest household-penetration increase in shortest period.</t>
  </si>
  <si>
    <t>Leaning into fizz-free innovation (Dragon Fruit Lime, Pink Lemonade) as a major initiative.</t>
  </si>
  <si>
    <t>Variety packs / larger pack sizes seen as a trend of the future as energy becomes a take-home pantry purchase.</t>
  </si>
  <si>
    <t>Integration disciplined: sales org owns Tier 1/Tier 2 accounts; leveraging synergies across finance, ops, key-account, revenue and promo management; $50M two-year synergy target.</t>
  </si>
  <si>
    <t>Energy category outperforming beverages with &gt;15% retail growth; new-to-category consumers (females, Gen Z) switching from RTD coffee.</t>
  </si>
  <si>
    <t>International growth global health-and-wellness driven; building teams for UK, Ireland, NZ, Australia, Benelux; bigger opportunity in 2026+.</t>
  </si>
  <si>
    <t>Management declined forward-looking detail on Q3, citing difficulty given weekly tariff/LME volatility; reaffirmed Alani Nu May modeling call.</t>
  </si>
  <si>
    <t>Tone confident and execution-focused on top line; cautious specifically on back-half margin.</t>
  </si>
  <si>
    <t>Gross margin drivers &amp; forward trajectory</t>
  </si>
  <si>
    <t>Unpack the better-than-expected Q2 gross margin (beat prior 47-49% framework, stronger ex inventory adjustment) and frame the trajectory given rising aluminum and Midwest premium.</t>
  </si>
  <si>
    <t>Strength credited to high-margin Alani Nu LTOs (longer runs, fewer promos), favorable RTD mix, freight and raw-material savings, multi-year-low Celsius scrap rates and channel mix; ex step-up margin was 54%+. For Q3/Q4 FIFO and price locks help but tariffs/LME pressure costs; guided to low 50s% if nothing changes, plus vertical-integration scale advantages.</t>
  </si>
  <si>
    <t>Alani Nu shipments vs takeaway &amp; Witch's Brew</t>
  </si>
  <si>
    <t>Color on Alani Nu shipments vs takeaway (shipments robust despite presumed pre-close LTO sell-in), how to model the balance of the year, and expectations for Witch's Brew.</t>
  </si>
  <si>
    <t>Sell-in vs sell-out 'not a perfect match' but relative; Alani Nu mainly an independent network with limited days on hand so tracks close to scans; ~106% reported growth ($146M to $301M) vs ~129% scanner confirms sell-through; Witch's Brew launched with Pumpkin Spice variety pack, robust innovation planned including a Winter Edition.</t>
  </si>
  <si>
    <t>International expansion plans</t>
  </si>
  <si>
    <t>Plans to expand further internationally in the second half of the year.</t>
  </si>
  <si>
    <t>Building teams/organization; focused on existing markets (UK, Ireland, NZ, Australia, Benelux) working closely with Centauri; Q2 +27%, nearing $100M run rate; same health-and-wellness trends global, more females entering category; bigger opportunity 2026+.</t>
  </si>
  <si>
    <t>Costco / club channel revenue</t>
  </si>
  <si>
    <t>Gerald Pascarelli (Needham)</t>
  </si>
  <si>
    <t>Costco channel revenue in the quarter, whether an MVM coupon program drove a benefit, and how to think about that channel going forward.</t>
  </si>
  <si>
    <t>Club channel (Costco, Sam's, BJ's) a big and growing portion; promotional activity drove Costco uplift (visible in 10-Q); portfolio up ~17% for the quarter partly from the MDM coupon program on Celsius; promo/innovation timing adjusted for H2.</t>
  </si>
  <si>
    <t>Celsius brand reacceleration &amp; innovation</t>
  </si>
  <si>
    <t>Filippo Falorni (Citi)</t>
  </si>
  <si>
    <t>Drivers of the Celsius brand's return to growth (marketing, easier comps, innovation) and what to expect from back-half innovation including the first Celsius LTO.</t>
  </si>
  <si>
    <t>Slow Q1 tied to promo/innovation timing; month-over-month progression brought brand back to growth; Live. Fit. Go. campaign (with Anomaly) full data due in weeks; leaning into fizz-free; first-ever Celsius LTO launching fall/winter with more planned for 2026, leveraging Alani Nu learnings.</t>
  </si>
  <si>
    <t>Assortment optimization &amp; dual distribution networks</t>
  </si>
  <si>
    <t>Assortment optimization priorities for the shelf set, challenges of running two separate distribution networks, and how brands are managed and prioritized for placement.</t>
  </si>
  <si>
    <t>Price-pack and channel mix will fluctuate; single-serve outpaced in Q2 but variety/larger packs a trend of the future as energy becomes a pantry purchase; sales org owns Tier 1/Tier 2 accounts and leverages distribution; integrating finance, ops, key-account, revenue and promo management for synergies while preserving Alani Nu distribution strengths.</t>
  </si>
  <si>
    <t>Alani Nu back-half pacing &amp; household penetration</t>
  </si>
  <si>
    <t>How to think about Alani Nu's back-half pacing given the LTO/innovation slate against tougher comps, and household-penetration data on new vs existing consumer contribution.</t>
  </si>
  <si>
    <t>2024 Alani Nu quarterly sequence $136M/$146M/$166M/$157M, comps tougher; needs Witch's Brew and Winter Wonderland to repeat last year's success, solid core growth continuing; portfolio penetration 43% (Celsius 34%, Alani Nu 22%), substantial runway, Live. Fit. Go. drove a large penetration increase, Alani Nu keeps attracting new consumers.</t>
  </si>
  <si>
    <t>Q3 promo/shipment puts and takes &amp; prior-year distribution comp</t>
  </si>
  <si>
    <t>Andrea Teixeira (JPMorgan)</t>
  </si>
  <si>
    <t>How Q3 is unfolding on promo (Costco, Prime Day puts and takes), and whether the prior-year ~$20M distribution issue is a tailwind.</t>
  </si>
  <si>
    <t>Stands by the Alani Nu modeling call; promo optimization shifted Q1 into summer; Witch's Brew moved forward several weeks creating weekly puts and takes; a Costco promotion moved into Q3; declined forward-looking detail ('really difficult right now'); reaffirmed modeling call with margin top end slightly better than expected.</t>
  </si>
  <si>
    <t>CELH Barclays Global Consumer Staples Conference</t>
  </si>
  <si>
    <t>2025-09-02</t>
  </si>
  <si>
    <t>Share / Category Metrics</t>
  </si>
  <si>
    <t>Celsius portfolio energy share (Celsius-only)</t>
  </si>
  <si>
    <t>~10-11%</t>
  </si>
  <si>
    <t>Total portfolio energy share (incl Alani Nu/Rockstar)</t>
  </si>
  <si>
    <t>Energy category retail growth (trailing 4 wks)</t>
  </si>
  <si>
    <t>~17-18%</t>
  </si>
  <si>
    <t>Sugar-free share of energy category</t>
  </si>
  <si>
    <t>&gt;50% and growing</t>
  </si>
  <si>
    <t>Impulse purchase share of energy sales</t>
  </si>
  <si>
    <t>&gt;50-60% historically</t>
  </si>
  <si>
    <t>Large-format portfolio retailer share</t>
  </si>
  <si>
    <t>upwards of 25%</t>
  </si>
  <si>
    <t>Traditional energy segment share of energy sales</t>
  </si>
  <si>
    <t>Deal / Transaction Figures</t>
  </si>
  <si>
    <t>Rockstar incremental revenue (annual)</t>
  </si>
  <si>
    <t>PepsiCo additional equity investment</t>
  </si>
  <si>
    <t>$585M</t>
  </si>
  <si>
    <t>PepsiCo Board seats added</t>
  </si>
  <si>
    <t>second seat</t>
  </si>
  <si>
    <t>Alani Nu distribution moving to PepsiCo</t>
  </si>
  <si>
    <t>Alani Nu distribution transition timing</t>
  </si>
  <si>
    <t>first of December 2025</t>
  </si>
  <si>
    <t>Organization / Scale</t>
  </si>
  <si>
    <t>Rockstar founding-era team members at CELH</t>
  </si>
  <si>
    <t>~30</t>
  </si>
  <si>
    <t>Rockstar employees coming over</t>
  </si>
  <si>
    <t>PepsiCo sales reps / merchandisers</t>
  </si>
  <si>
    <t>20,000-30,000</t>
  </si>
  <si>
    <t>Independent convenience stores PepsiCo services</t>
  </si>
  <si>
    <t>100,000+</t>
  </si>
  <si>
    <t>Key accounts team size vs 2022</t>
  </si>
  <si>
    <t>~3x larger</t>
  </si>
  <si>
    <t>Friday-announced expanded PepsiCo transaction framed as a strategic step change: Celsius becomes PepsiCo's energy category captain.</t>
  </si>
  <si>
    <t>Deal brings Alani Nu into the PepsiCo distribution system, adds Rockstar Energy (~$250M revenue), $585M PepsiCo equity investment and a second Board seat.</t>
  </si>
  <si>
    <t>Captaincy gives Celsius control of national planograms across PepsiCo Energy - choosing which SKUs go where ('put the fast cars on the track').</t>
  </si>
  <si>
    <t>Portfolio positioned as 'total/modern energy': Celsius (fitness, 50-50 gender), Alani Nu (female-focused), Rockstar (traditional, male 25-35), Celsius Essentials (16-oz performance).</t>
  </si>
  <si>
    <t>Rockstar explicitly framed as a turnaround ('one step back'): Phase 1 SKU optimization, then stabilization, then growth - no fixed blueprint, but it has a place.</t>
  </si>
  <si>
    <t>No cannibalization observed - Alani Nu and Celsius both growing despite earlier concern given Celsius's 50-50 gender base.</t>
  </si>
  <si>
    <t>Energy category robust (~17-18% trailing 4-wk growth) vs more challenged other categories and restaurant industry.</t>
  </si>
  <si>
    <t>Consumers pivoting from cold coffee into energy seeking value; energy retains value while broad beverage pricing has been taken.</t>
  </si>
  <si>
    <t>Channel shift: large format / 12-packs / variety packs gaining mix vs the historical &gt;60% impulse-purchase profile.</t>
  </si>
  <si>
    <t>Management reiterated the deal does NOT change prior margin/EBITDA outlook, yet framed it as the deal that enables historically targeted margin profiles.</t>
  </si>
  <si>
    <t>Single distribution system (vs two) avoids significant operating expense; Orbit model (procure/produce/sell within an orbit) enhances supply chain efficiency.</t>
  </si>
  <si>
    <t>Alani Nu transition managed with weekly stakeholder reviews, a project manager, and a green/yellow/red stop-light process; key-accounts team ~3x larger than 2022.</t>
  </si>
  <si>
    <t>Rockstar revitalization to focus on music and extreme sports; Pacific Northwest its biggest market and primary learning ground.</t>
  </si>
  <si>
    <t>Catalysts: Alani Nu distribution transition (Dec 1), Rockstar close + SKU optimization, NACS convenience show for 2026 planograms, 2026 four-brand go-to-market.</t>
  </si>
  <si>
    <t>Intra-quarter (Q3) trends described as looking good; tone upbeat, strategic and execution-focused.</t>
  </si>
  <si>
    <t>PepsiCo agreement &amp; long-term strategy</t>
  </si>
  <si>
    <t>Barclays analyst</t>
  </si>
  <si>
    <t>What does the PepsiCo agreement really mean for Celsius's long-term strategy?</t>
  </si>
  <si>
    <t>Tying into a strategic distribution partner is decisive in the impulse-driven energy category (compared to Red Bull's network and Monster/Coca-Cola); captaincy enables high-level commercial planning, priority periods and planograms; Celsius can pick which SKUs go where nationally.</t>
  </si>
  <si>
    <t>Captaincy visibility &amp; retailer role</t>
  </si>
  <si>
    <t>What changes in terms of visibility - does the captaincy improve access to the full data picture, and how does the retailer role change?</t>
  </si>
  <si>
    <t>Two pieces: captaincy/planograms within PepsiCo and the retail segment; company maintains call points and builds key-accounts team; now controls planograms across PepsiCo independents, foodservice, colleges, restaurants - optimizing SKU mix locally by demographics (Marriott example).</t>
  </si>
  <si>
    <t>Servicing the full spectrum of energy consumers</t>
  </si>
  <si>
    <t>How does having Celsius, Alani Nu and Rockstar under one roof change the ability to serve the full energy-consumer spectrum?</t>
  </si>
  <si>
    <t>Gives a total/modern energy approach with distinct brands - Celsius (fitness, 50-50), Alani Nu (female, approachable), Rockstar (traditional, ~50% of segment, male 25-35); each brand has its own personality; Rockstar back to core with SKU optimization.</t>
  </si>
  <si>
    <t>US consumer backdrop</t>
  </si>
  <si>
    <t>Read on the US consumer backdrop lately.</t>
  </si>
  <si>
    <t>Energy category robust (~17-18% trailing 4-wk growth) vs more challenged other categories; Red Bull, Monster, Alani Nu, Celsius all growing; economically challenged consumers pivoting from cold coffee into energy; large format/variety packs gaining mix.</t>
  </si>
  <si>
    <t>Cold coffee substitution / relative value</t>
  </si>
  <si>
    <t>Is there a relative value proposition driving consumers from coffee-shop coffee toward energy?</t>
  </si>
  <si>
    <t>Confirmed a multi-year transition from coffee drinkers into energy; much coffee-house consumption now cold rather than hot, making the shift to canned energy easier and potentially further aiding category growth.</t>
  </si>
  <si>
    <t>Alani Nu distribution opportunity vs Celsius transition</t>
  </si>
  <si>
    <t>Opportunities for Alani Nu as it transitions into PepsiCo's US/Canada distribution, and comparison to the Celsius transition.</t>
  </si>
  <si>
    <t>PepsiCo network brings Alani Nu to more places - biggest opportunities in convenience, small format, restaurants, foodservice, hospitals, universities; Alani Nu's convenience ACV/SKU level similar to pre-PepsiCo Celsius; intra-Q3 numbers looking good; feared cannibalization did not materialize.</t>
  </si>
  <si>
    <t>Alani Nu food pairing</t>
  </si>
  <si>
    <t>What food pairs best with Alani Nu?</t>
  </si>
  <si>
    <t>Depends on flavor - peach pairs well, cotton candy less so, Fieldly cited Cherry Slush; Celsius's soda-like flavors probably pair better across the board (lighthearted exchange, limited investment substance).</t>
  </si>
  <si>
    <t>Rockstar stabilization &amp; modernization plans</t>
  </si>
  <si>
    <t>Detail on plans to stabilize and modernize Rockstar and its role in the portfolio, noting it sounds like one step back before moving forward.</t>
  </si>
  <si>
    <t>Goal to maximize Rockstar value: Phase 1 portfolio/SKU optimization focusing on the true core with talented incoming people and a laser go-to-market; restructured to manage a portfolio; no blueprint but it has a place; focus on music and extreme sports leveraging brand heritage (once #3 energy drink).</t>
  </si>
  <si>
    <t>Management team turnaround capability</t>
  </si>
  <si>
    <t>Rockstar is a turnaround requiring a different mentality - does the team have that turnaround capability?</t>
  </si>
  <si>
    <t>Celsius itself was a turnaround when Fieldly started (getting kicked out of every retailer); now a ~20% portfolio share; far greater capabilities today, disciplined; revitalizing brands very difficult but optimistic; portfolio approach gives holding power and pricing/promo levers; large-format share upwards of 25%.</t>
  </si>
  <si>
    <t>Rockstar key markets (Pacific Northwest)</t>
  </si>
  <si>
    <t>Is the Pacific Northwest the key market to focus on for Rockstar given its strength there?</t>
  </si>
  <si>
    <t>Pacific Northwest is Rockstar's biggest market and primary learning ground; bring on the team that knows it, leverage Celsius resources, then scale; emphasized daily consumption and daily users as the name of the game, built on brand DNA.</t>
  </si>
  <si>
    <t>PepsiCo confidence &amp; financial impact of the deal</t>
  </si>
  <si>
    <t>How to think about PepsiCo's additional $585M equity investment and second board seat re confidence in Celsius, and the expected financial impact of the deal.</t>
  </si>
  <si>
    <t>Investment shows PepsiCo highly confident in Celsius's capabilities (partnership since 2022); building specialized convenience/foodservice/mass teams; Rockstar ~$250M incremental revenue; prior PepsiCo incentive program enhanced; reiterated not changing future outlook - deal doesn't drastically change margin/EBITDA outlook.</t>
  </si>
  <si>
    <t>Enabler vs accelerator / margin profile</t>
  </si>
  <si>
    <t>Why wouldn't the deal be an outright accelerator rather than just an enabler?</t>
  </si>
  <si>
    <t>Deal would help accelerate top-line growth but would not ascribe a number; bringing Alani Nu into PepsiCo accelerates its ramp; running one system avoids significant operating expense and provides the opportunity to reach historically targeted gross-margin/EBITDA profiles; Orbit model supports EPS accretion.</t>
  </si>
  <si>
    <t>Alani Nu transition from ABI to PepsiCo / disruption management</t>
  </si>
  <si>
    <t>How is the company managing the transition of Alani Nu away from ABI distributors into PepsiCo, and what steps minimize disruption?</t>
  </si>
  <si>
    <t>Transition anticipated first of December; done before with Celsius; processes, checkpoints, weekly stakeholder reviews, project manager, green/yellow/red stop-light process; ~80% of distribution moving on roughly the same timeline; transitions difficult (scanning issues) but key-accounts team ~3x larger than 2022.</t>
  </si>
  <si>
    <t>Learnings from prior route-to-market noise</t>
  </si>
  <si>
    <t>Learnings from prior route-to-market noise (~12 months ago) being brought into these transitions.</t>
  </si>
  <si>
    <t>Celsius transition went well with no large 2022 impact; ABI distributors were phenomenal and supportive; there are distributor buyouts associated with the transactions; company has been open and transparent; some distributors have reconciliation challenges, distributors expected to receive sizable buyouts.</t>
  </si>
  <si>
    <t>Two-to-three-year definition of success</t>
  </si>
  <si>
    <t>With Celsius as PepsiCo's energy captain, what does success look like over the next two to three years?</t>
  </si>
  <si>
    <t>Deal a step change tying into a strategic partner, following the proven Monster/Coca-Cola model; in 2-3 years expects an amazing portfolio with a meaningful energy-category position; from ~20% share today keep building Celsius, Alani Nu, Rockstar and Celsius Essentials, leveraging PepsiCo distribution fully.</t>
  </si>
  <si>
    <t>CELH Piper Sandler 4th Annual Growth Frontiers Conference</t>
  </si>
  <si>
    <t>2025-09-10</t>
  </si>
  <si>
    <t>Deal / Distribution Figures</t>
  </si>
  <si>
    <t>Expanded PepsiCo transaction value</t>
  </si>
  <si>
    <t>~$585M</t>
  </si>
  <si>
    <t>Rockstar revenue run rate (post-rationalization)</t>
  </si>
  <si>
    <t>December 1, 2025</t>
  </si>
  <si>
    <t>CELH portfolio energy-category market share</t>
  </si>
  <si>
    <t>Monster energy-category dollar share</t>
  </si>
  <si>
    <t>~28%</t>
  </si>
  <si>
    <t>Next-closest brand share (excl Red Bull/Monster)</t>
  </si>
  <si>
    <t>Alani Nu convenience ACV</t>
  </si>
  <si>
    <t>Celsius foodservice revenue share (via PepsiCo)</t>
  </si>
  <si>
    <t>~11-12%</t>
  </si>
  <si>
    <t>International revenue share</t>
  </si>
  <si>
    <t>~5% (going lower post-Alani Nu)</t>
  </si>
  <si>
    <t>Monster international revenue share (benchmark)</t>
  </si>
  <si>
    <t>Celsius orange flavor (top SKU) ACV</t>
  </si>
  <si>
    <t>~80% (target 95%+)</t>
  </si>
  <si>
    <t>Celsius good-performer SKU ACV</t>
  </si>
  <si>
    <t>~55% (target 80%+)</t>
  </si>
  <si>
    <t>Margin Framework</t>
  </si>
  <si>
    <t>low 50s / ~51%</t>
  </si>
  <si>
    <t>H2 2025</t>
  </si>
  <si>
    <t>Q2 2025 gross margin (reference)</t>
  </si>
  <si>
    <t>Long-term gross margin aspiration (apples-to-apples vs Monster)</t>
  </si>
  <si>
    <t>mid-50s</t>
  </si>
  <si>
    <t>long-term, no timeline</t>
  </si>
  <si>
    <t>Long-term EBITDA margin aspiration</t>
  </si>
  <si>
    <t>August expanded PepsiCo deal (~$585M) broken into four elements: (1A) energy captaincy, (1B) Alani Nu into PepsiCo distribution, (3) deeper alignment incl second Board seat + Eric Hanson as President &amp; COO, (4) Rockstar acquisition.</t>
  </si>
  <si>
    <t>Captaincy gives Celsius control over how much Celsius/Alani Nu/Rockstar shelf space and which SKUs go into PepsiCo-controlled planograms nationally - 'put the fast cars on the track'.</t>
  </si>
  <si>
    <t>Portfolio at 20%+ energy share - closer to Monster (~28% dollar share) than the next-largest brand (~3%); only Red Bull and Monster previously reached such scale.</t>
  </si>
  <si>
    <t>Alani Nu transition to PepsiCo on 12/1 moves ~80% of distribution off the fragmented ABI network; convenience and foodservice cited as biggest white space.</t>
  </si>
  <si>
    <t>Most distribution/assortment gains flow through with the standard reset cadence (Jan-Apr/May), so meaningful realization is Q1/Q2 2026; some independent-convenience pickup in December.</t>
  </si>
  <si>
    <t>PepsiCo IOD/NOD (inventory-on-display) capability to build large Alani Nu displays in grocery and big box, rolling out Q1/Q2 2026.</t>
  </si>
  <si>
    <t>Rockstar framed as a turnaround requiring a conservative 'undersell and overdeliver' approach - step one is to stabilize the brand and stop share losses via SKU rationalization; ~$250M is a post-rationalization run rate.</t>
  </si>
  <si>
    <t>Management declined to commit to Rockstar returning to growth - 'I don't want to make any promises today'; stabilization first (Rockstar once a 10+ share brand).</t>
  </si>
  <si>
    <t>SKU rationalization underway for core Celsius - ensuring higher-velocity SKUs get greater ACV (orange flavor ~80% should be 95%+).</t>
  </si>
  <si>
    <t>Promotional toggling across the portfolio so one brand is always on promotion and brands aren't promoted against each other.</t>
  </si>
  <si>
    <t>Back-half gross margin guided to low 50s (~51%); Q4 under more pressure from FIFO rolling through tariff-affected aluminum cans plus Rockstar transaction noise in Q3/Q4.</t>
  </si>
  <si>
    <t>Long-term margin aspiration unchanged - mid-50s gross margin on an apples-to-apples basis vs Monster (Monster's reported margin excludes outbound freight which Celsius includes); ~30% EBITDA, no timeline.</t>
  </si>
  <si>
    <t>Management explicitly declined to discuss 2026 margin - 'we'll see what unfolds over the next quarter or so'.</t>
  </si>
  <si>
    <t>Celsius first-ever LTO confirmed for Q4 2025; robust 2026 innovation pipeline under evaluation; Alani Nu protein shakes flagged as an exciting adjacent opportunity amid protein's 'moment'.</t>
  </si>
  <si>
    <t>Energy category exceptional with most brands (Monster, Rebel included) growing double digits; 2024 slump characterized as an industry-wide anomaly now rebounded, helped by easy comps.</t>
  </si>
  <si>
    <t>Coffee-to-energy substitution: $6-7 coffee vs $3 Celsius; Starbucks conditioning consumers toward cold beverages viewed favorably.</t>
  </si>
  <si>
    <t>International a conservative, methodical 3-to-5-year play; Australia and Canada jumped to strong share; partner Suntory; ~5% of revenue vs Monster's ~40%.</t>
  </si>
  <si>
    <t>Management framed Celsius itself as a turnaround story over the past year - stabilized and back to growth, goal to exceed category growth; Alani Nu 'crushing it' with triple-digit growth; now a portfolio-driven company.</t>
  </si>
  <si>
    <t>Event was entirely a moderated fireside-chat Q&amp;A; no separate prepared remarks.</t>
  </si>
  <si>
    <t>Expanded PepsiCo deal &amp; portfolio impact</t>
  </si>
  <si>
    <t>Explain how the recently expanded PepsiCo deal impacts the portfolio and where management is most excited.</t>
  </si>
  <si>
    <t>~$585M deal in four elements: (1A) captaincy making Celsius the energy lead within PepsiCo Energy with planogram control; (1B) Alani Nu into PepsiCo distribution from the fragmented ABI network with convenience and foodservice as biggest opportunities (~65% convenience ACV); (3) deeper PepsiCo alignment - second Board seat plus Eric Hanson as President &amp; COO; (4) Rockstar acquisition, step one to stop share losses and stabilize.</t>
  </si>
  <si>
    <t>C-store focus &amp; brand-by-brand outlook</t>
  </si>
  <si>
    <t>Is C-store the focus for distribution upside, and how does each of the three brands change and what comes next?</t>
  </si>
  <si>
    <t>Alani Nu further along than Celsius was at the PepsiCo transition in MULO, so convenience is its biggest remaining opportunity - tracked plus 100,000+ independent convenience stores via PepsiCo's Medals Program; foodservice (~11-12% of Celsius revenue) is untapped for Alani Nu, well-suited to its college-age female demo.</t>
  </si>
  <si>
    <t>Brand-by-brand change &amp; portfolio positioning</t>
  </si>
  <si>
    <t>Looking at each brand separately, what might change - now vs what's ahead for each one?</t>
  </si>
  <si>
    <t>Captaincy lets the company control how many SKUs of each brand go into PepsiCo planograms, varying by market (Celsius coasts, Alani Nu Central, Rockstar Pacific NW); can sell a 20%+ share portfolio into retailers like Walmart and 7-Eleven; Rockstar adds full-sugar coverage enabling promotional toggling.</t>
  </si>
  <si>
    <t>Assortment difficulty &amp; SKU rationalization</t>
  </si>
  <si>
    <t>How much tougher has it been to get the right assortment vs Red Bull/Monster's concentrated core SKUs, and how much improvement is now possible?</t>
  </si>
  <si>
    <t>Legacy brands built the category on power SKUs but every brand entering the last 10 years needs a flavor assortment; clear SKU-rationalization opportunity to get higher-velocity SKUs greater ACV (orange flavor ~80% should be 95%+, good performers ~55% to 80%+); exercise underway for core Celsius; excited about the 2026 commercialization approach.</t>
  </si>
  <si>
    <t>Timing of distribution &amp; assortment upside</t>
  </si>
  <si>
    <t>Are there shelf resets to wait for, and how much of the execution is within the company's own control?</t>
  </si>
  <si>
    <t>Some independent-convenience opportunity in December as Alani Nu rolls in 12/1 (~80% of distribution), but most flow-through follows the standard reset cadence Jan-Apr/May, so meaningful realization is Q1/Q2 2026; PepsiCo IOD/NOD enables large displays in grocery and big box for Alani Nu rolling out Q1/Q2.</t>
  </si>
  <si>
    <t>Rockstar's future role &amp; growth potential</t>
  </si>
  <si>
    <t>Could Rockstar get back to growth, would it have an innovation focus, and what's in store?</t>
  </si>
  <si>
    <t>Conservative approach - 'undersell and overdeliver'; stabilization the key; many SKUs need consolidating toward top performers and brand DNA (once a 10+ share brand); the ~$250M figure is a post-rationalization run rate per CFO Langhans; declined to make promises - stabilization first.</t>
  </si>
  <si>
    <t>Innovation role across the portfolio</t>
  </si>
  <si>
    <t>Where does innovation fit ahead, referencing the Essentials launch ~1.5 years ago?</t>
  </si>
  <si>
    <t>Innovation important under President Eric Hanson's commercialization approach across three brands; confirmed a Celsius LTO coming in Q4 2025 - the brand's first LTO foray; robust 2026 innovation pipeline under evaluation; Alani Nu protein shakes flagged as an exciting opportunity amid protein's moment.</t>
  </si>
  <si>
    <t>Category rebound drivers</t>
  </si>
  <si>
    <t>What is driving the category rebound after the 2024 slump, and how to think about the normalized trajectory?</t>
  </si>
  <si>
    <t>Category exceptional, most brands (Monster, Rebel) growing double digits; helped by easier comps vs 2024, effective Monster/Red Bull LTO strategies and Alani Nu driving category growth; consumers moving out of coffee given the price gap ($6-7 vs $3); 2024 an industry-wide anomaly now rebounded.</t>
  </si>
  <si>
    <t>Margins: near-term watch-outs &amp; long-term headroom</t>
  </si>
  <si>
    <t>Margin framework - near-term watch-outs given second-half tariff pressure, long-term headroom vs Monster, and any changes to incentive/distribution costs under the new PepsiCo agreement.</t>
  </si>
  <si>
    <t>Q2 margins strong; aluminum/tariff pressure (absent in Q2 due to FIFO) weighs on H2 - low 50s/~51% as a starting point, Q4 more pressure as FIFO rolls through tariff-affected cans plus Q3/Q4 Rockstar transaction noise; declined to discuss 2026 margin; PepsiCo incentives give it a little enhanced margin; long-term aspiration unchanged - mid-50s gross margin apples-to-apples vs Monster and ~30% EBITDA, no timeline.</t>
  </si>
  <si>
    <t>International markets update</t>
  </si>
  <si>
    <t>Update on the newer international markets and whether the patient, fitness-channel-led approach is the right way to think about it.</t>
  </si>
  <si>
    <t>Satisfied with progress - Australia and Canada jumped to strong share helped by distribution capability and right retail/distributor partners (7-Eleven, Suntory); conservative, methodical build judged on the bottom line, fitness channel drives brand equity; international a 3-to-5-year play, ~5% of revenue (lower post-Alani Nu) vs Monster's ~40%.</t>
  </si>
  <si>
    <t>Closing thoughts / what investors might be missing</t>
  </si>
  <si>
    <t>Closing thoughts on what investors might be missing or anything else to consider.</t>
  </si>
  <si>
    <t>Framed Celsius as a turnaround story over the past year - after high peaks ~2020 to mid-2024 and 2024 difficulties, the brand stabilized and returned to growth with the goal of exceeding category growth; feels good heading into 2026; Alani Nu crushing it with triple-digit growth; restructured into a portfolio-driven company.</t>
  </si>
  <si>
    <t>CELH Q3 2025 Earnings Call</t>
  </si>
  <si>
    <t>2025-11-06</t>
  </si>
  <si>
    <t>Consolidated Revenue ($M)</t>
  </si>
  <si>
    <t>173%</t>
  </si>
  <si>
    <t>Celsius brand reported revenue growth</t>
  </si>
  <si>
    <t>Alani Nu revenue growth</t>
  </si>
  <si>
    <t>Rockstar other-income GAAP portion ($M)</t>
  </si>
  <si>
    <t>Rockstar combined Q3 impact ($M)</t>
  </si>
  <si>
    <t>YTD (Nine Months)</t>
  </si>
  <si>
    <t>YTD 2025</t>
  </si>
  <si>
    <t>Consolidated sales growth</t>
  </si>
  <si>
    <t>~75% / +$770M</t>
  </si>
  <si>
    <t>Celsius brand growth (first nine months)</t>
  </si>
  <si>
    <t>51.3%</t>
  </si>
  <si>
    <t>+530 bps</t>
  </si>
  <si>
    <t>YTD Gross Margin</t>
  </si>
  <si>
    <t>+140 bps</t>
  </si>
  <si>
    <t>S&amp;M Expense % of sales</t>
  </si>
  <si>
    <t>-300 bps</t>
  </si>
  <si>
    <t>Retail / Scanner Metrics</t>
  </si>
  <si>
    <t>Celsius brand US scanner growth</t>
  </si>
  <si>
    <t>Portfolio US energy-category share (tracked)</t>
  </si>
  <si>
    <t>Portfolio tracked-channel growth</t>
  </si>
  <si>
    <t>Portfolio share gain at Walmart</t>
  </si>
  <si>
    <t>+2 share points YoY</t>
  </si>
  <si>
    <t>Trailing 52-week portfolio retail sales</t>
  </si>
  <si>
    <t>$5B+</t>
  </si>
  <si>
    <t>Distributor termination expense (PepsiCo-funded, cash-neutral)</t>
  </si>
  <si>
    <t>Post-quarter debt paydown</t>
  </si>
  <si>
    <t>$200M</t>
  </si>
  <si>
    <t>Total debt (post-quarter)</t>
  </si>
  <si>
    <t>~$700M (from ~$900M)</t>
  </si>
  <si>
    <t>Term note rate reduction</t>
  </si>
  <si>
    <t>75 bps</t>
  </si>
  <si>
    <t>Annual interest expense reduction (from 2026)</t>
  </si>
  <si>
    <t>Distributors involved in Alani Nu transition</t>
  </si>
  <si>
    <t>PepsiCo team members supporting</t>
  </si>
  <si>
    <t>Q4 sales &amp; marketing % of sales</t>
  </si>
  <si>
    <t>23-25%</t>
  </si>
  <si>
    <t>Q4 gross margin</t>
  </si>
  <si>
    <t>more pressure, re-expanding Q1 2026</t>
  </si>
  <si>
    <t>Alani Nu distribution benefit timing</t>
  </si>
  <si>
    <t>most realized in Q1 2026 (phased load-in)</t>
  </si>
  <si>
    <t>Q4 2025 / Q1 2026</t>
  </si>
  <si>
    <t>Rockstar margin improvement</t>
  </si>
  <si>
    <t>starting H1 2026</t>
  </si>
  <si>
    <t>H1 2026</t>
  </si>
  <si>
    <t>Alani Nu margin capture</t>
  </si>
  <si>
    <t>most by end of Q1 2026</t>
  </si>
  <si>
    <t>Rockstar other-income GAAP treatment</t>
  </si>
  <si>
    <t>continues through Q4, normalizes 2026</t>
  </si>
  <si>
    <t>Q4 2025 / 2026</t>
  </si>
  <si>
    <t>Q3 framed as another pivotal quarter in a transformational year - Alani Nu acquisition, PepsiCo captaincy, Rockstar acquisition, leadership additions.</t>
  </si>
  <si>
    <t>Celsius brand returned to double-digit retail sales growth (13% scanner) after a slow Q1/Q2; 44% reported growth lapped a depressed prior-year inventory-optimization base.</t>
  </si>
  <si>
    <t>Reported-vs-scanner gap (44% vs 13%) attributed to year-over-year inventory movements; management conceded not a perfect one-to-one comparison and pointed to scanner as the health barometer.</t>
  </si>
  <si>
    <t>Alani Nu grew triple digits (115% retail, 99% revenue) led by record Witch's Brew sell-through (5th year, more than doubled prior year) plus organic core-SKU growth.</t>
  </si>
  <si>
    <t>Combined portfolio at 20%+ US energy-category share, grew 31% in tracked channels (~2x category), crossed $5B trailing-52-week US tracked retail sales.</t>
  </si>
  <si>
    <t>December 1 Alani Nu DSD transition into PepsiCo called a meaningful near-term catalyst; phased load-in means most financial benefit lands in Q1 2026.</t>
  </si>
  <si>
    <t>Q4 explicitly flagged as a noisy quarter - scrap, freight, returns, secondary warehousing, year-end CPG cash management, plus escalating tariffs; gross margin pressure before re-expanding Q1 2026.</t>
  </si>
  <si>
    <t>Management declined to size the Q4 net revenue direction; a net drag from returns coming in faster than pipeline refill is 'a scenario that plays out' but unquantified.</t>
  </si>
  <si>
    <t>~$247M distributor termination expenses recorded in Q3 - fully funded by PepsiCo, deferred and amortized into gross sales, making the transaction cash-neutral.</t>
  </si>
  <si>
    <t>Rockstar (US + Canada) acquired end of August - ~$11M revenue plus ~$7M GAAP other income (~$18M combined); accounting treatment continues through Q4, normalizes in 2026.</t>
  </si>
  <si>
    <t>Capital discipline: post-quarter $200M debt paydown and 75 bps rate cut bring total debt to ~$700M, reducing 2026 interest expense ~$20M.</t>
  </si>
  <si>
    <t>Tariffs escalating - slight in Q2, more in Q3, expected larger in Q4; Midwest premium also a headwind, partly offset by scale, synergies and vertical integration.</t>
  </si>
  <si>
    <t>Company does not do long-term hedging (only some forward buys) but evaluating it as purchasing power grows; second copacker line coming in 2026.</t>
  </si>
  <si>
    <t>Pricing under active evaluation given Monster's announced ~5%+ pricing - contemplating frontline price and promotional strategies, building a revenue-management team, but no announcement.</t>
  </si>
  <si>
    <t>Celsius launched its first-ever LTO, Spritz Vibe, in October (US, Canada, Nordics); robust 2026 innovation slate teased across Celsius and Alani Nu.</t>
  </si>
  <si>
    <t>Winter Wonderland LTO expected smaller than Witch's Brew, and crossing the distribution transition will not reach full potential this year.</t>
  </si>
  <si>
    <t>International a growth driver for years to come - first president of international expansion hired; leaning in with strategic 2026 investments; Australia the most successful early market.</t>
  </si>
  <si>
    <t>Tone confident on strategy, capital-disciplined, and deliberately conservative about Q4 noise.</t>
  </si>
  <si>
    <t>Core Celsius scanner-vs-reported variance</t>
  </si>
  <si>
    <t>44% reported core-Celsius growth off a depressed base implies a meaningful negative delta vs the 13% measured-channel growth when adding back $110-120M to the base - explain the wide variance and whether the add-back should have been lower.</t>
  </si>
  <si>
    <t>Yes, with many puts and takes; over 52 weeks mix, promos and timing change, Q2 benefited from Prime Day buildup that occurred in early Q3; inventory-optimization add-back was a lower number, not a perfect one-to-one; 13% scanner is the good barometer; October running ahead of category growth; Live Fit Go campaign building trial ahead of 2026 resets.</t>
  </si>
  <si>
    <t>Pricing &amp; Q4 integration timing</t>
  </si>
  <si>
    <t>How is management thinking about price points across Celsius, Alani Nu and Rockstar given Monster's announced pricing, and is Q4 messy before normalizing in Q1?</t>
  </si>
  <si>
    <t>Pricing a hot topic given tariff/commodity headwinds; contemplating frontline price and promotional strategies and building a revenue-management team, no announcement; Q4 activity concentrated in December; unlike the 2022 one-for-one Celsius swap, the Alani Nu roll-in is phased to align with resets, ramping across December into Q1; captaincy means not a one-for-one replacement.</t>
  </si>
  <si>
    <t>Q4 transition noise &amp; net inventory drag</t>
  </si>
  <si>
    <t>Be more specific on the optimized warehouse/distribution effects on inventory, how much the intra-quarter transition mitigates Q4 disruption, where the noise nets out, and whether returns coming in could outpace pipeline refill.</t>
  </si>
  <si>
    <t>Being transparent on Q4 puts and takes - year-end CPG cash management plus inventory build as Alani Nu enters the PepsiCo warehouse system; declined to throw out numbers ('really noisy'); picking up returns from the prior network (logistics, secondary warehousing), supply chain not yet integrated; a possible net drag 'could be a scenario that plays out' with the return pickup unknown; 250+ distributors involved.</t>
  </si>
  <si>
    <t>Sequential inventory &amp; Alani Nu growth durability</t>
  </si>
  <si>
    <t>Did Pepsi inventories decline sequentially in Q3, and how to think about the going-forward Alani Nu growth rate for the core brand and incremental LTO contribution given scanner growth has slowed since Q2?</t>
  </si>
  <si>
    <t>LTO lumpiness - Witch's Brew in its fifth year more than doubled; underlying distribution and TDP gains to be captured through 2026 as Alani Nu reaches Celsius-level ACV; Winter Wonderland smaller than Witch's Brew and not at full potential crossing the transition; on sequential inventory, declined further detail - 'that's really all we're going to go with'.</t>
  </si>
  <si>
    <t>Gross margin puts and takes, tariffs, Midwest premium, hedging</t>
  </si>
  <si>
    <t>Color on Q3 gross-margin puts and takes and the forward outlook, the tariff impact, the Midwest-premium inflation impact, and the hedging strategy.</t>
  </si>
  <si>
    <t>Gross profit an opportunity area as Alani Nu and Rockstar integrate; Midwest premium a headwind; no long-term hedging (only forward buys), evaluating it as purchasing power grows; tariffs slight in Q2, more in Q3, larger in Q4, partly offset by scale, synergies and vertical integration; second copacker line in 2026; Rockstar margin improves H1 2026; Alani Nu margin capture mostly by end of Q1; freight (Celsius ~3% of sales) can come down.</t>
  </si>
  <si>
    <t>International plans &amp; performance</t>
  </si>
  <si>
    <t>Sean McGowan (ROTH Capital Partners)</t>
  </si>
  <si>
    <t>International plans now that the company is deeper into Alani Nu ownership and has considered Rockstar, and how international performance has gone.</t>
  </si>
  <si>
    <t>Significant international opportunity; first president of international expansion just hired; foundation built over several years (Sweden, Finland, then Australia, UK, Ireland, NZ, France, Benelux); leaning in for 2026 with strategic investments; Australia the most successful early market (7-Eleven leaned in); Celsius pushed first internationally with Alani Nu to follow - a growth driver for years.</t>
  </si>
  <si>
    <t>Alani Nu distribution ramp &amp; avoiding inventory-optimization repeat</t>
  </si>
  <si>
    <t>Whether Alani Nu can reach Celsius-level ACV/TDP without repeating the 2024 inventory-optimization episode.</t>
  </si>
  <si>
    <t>The same ACV and TDP opportunity that benefited Celsius lies within Alani Nu; ramp expected to be more of a quarterly transition over the next three to six months as the company works through 2026 planogram resets, capturing distribution gains in a measured way.</t>
  </si>
  <si>
    <t>CELH Morgan Stanley Global Consumer &amp; Retail Conference</t>
  </si>
  <si>
    <t>2025-12-03</t>
  </si>
  <si>
    <t>Share / Volume Metrics</t>
  </si>
  <si>
    <t>US energy drink market share (3-brand portfolio)</t>
  </si>
  <si>
    <t>Volume growth Q3 2023 vs Q3 2025</t>
  </si>
  <si>
    <t>10-11%</t>
  </si>
  <si>
    <t>Brand Celsius scanner growth (recent weeks)</t>
  </si>
  <si>
    <t>low double digits</t>
  </si>
  <si>
    <t>Brand Celsius growth in convenience</t>
  </si>
  <si>
    <t>Brand Celsius scanner growth earlier in 2025</t>
  </si>
  <si>
    <t>low single digits, negative</t>
  </si>
  <si>
    <t>Red Bull + Monster combined US market share</t>
  </si>
  <si>
    <t>Sugar segment share of US energy category</t>
  </si>
  <si>
    <t>just under 50%</t>
  </si>
  <si>
    <t>Brand Celsius Market Share by Market</t>
  </si>
  <si>
    <t>low-20s to mid-20s</t>
  </si>
  <si>
    <t>New York City</t>
  </si>
  <si>
    <t>high teens / close to 20</t>
  </si>
  <si>
    <t>Other major markets</t>
  </si>
  <si>
    <t>Under-indexed markets</t>
  </si>
  <si>
    <t>upper single digits</t>
  </si>
  <si>
    <t>Amazon (energy rank)</t>
  </si>
  <si>
    <t>#2 energy brand</t>
  </si>
  <si>
    <t>Celsius ACV (Nielsen / Circana)</t>
  </si>
  <si>
    <t>95 / ~98</t>
  </si>
  <si>
    <t>Celsius PDPs (items per store)</t>
  </si>
  <si>
    <t>high teens</t>
  </si>
  <si>
    <t>Distribution / Integration</t>
  </si>
  <si>
    <t>Alani DSD system migrated into Pepsi (as of 12/1)</t>
  </si>
  <si>
    <t>high 80s %</t>
  </si>
  <si>
    <t>Alani integration completion</t>
  </si>
  <si>
    <t>by Q1 2026</t>
  </si>
  <si>
    <t>Rockstar integration completion</t>
  </si>
  <si>
    <t>Alani target ACV</t>
  </si>
  <si>
    <t>mid-90 level</t>
  </si>
  <si>
    <t>Rockstar FY2026 run rate</t>
  </si>
  <si>
    <t>Capital / Margin</t>
  </si>
  <si>
    <t>Post-Q3 debt paydown</t>
  </si>
  <si>
    <t>Share repurchase authorization (open-ended)</t>
  </si>
  <si>
    <t>$300M</t>
  </si>
  <si>
    <t>Back-half 2026 gross margin</t>
  </si>
  <si>
    <t>low 50s</t>
  </si>
  <si>
    <t>Big beverage second production line</t>
  </si>
  <si>
    <t>online Q3 2026, fully baked Q4 2026</t>
  </si>
  <si>
    <t>Pepsi year-end inventory timing impact</t>
  </si>
  <si>
    <t>~$5M/day; up to ~1 week if shutdown</t>
  </si>
  <si>
    <t>Blue-sky market share runway (Celsius brand)</t>
  </si>
  <si>
    <t>mid-teens to upper-teens</t>
  </si>
  <si>
    <t>Fireside chat used to reframe the narrative after a sharp post-Q3 stock decline; no headline period results.</t>
  </si>
  <si>
    <t>Q3 2025 called a phenomenal quarter on top line, gross margin and EBITDA margin; the net-sales 'disconnect' (vs buy-side) driven primarily by promotional activity bringing Celsius cases back at a lower net sales per case, plus Amazon Prime load-in timing.</t>
  </si>
  <si>
    <t>Q3 2024 included inventory optimization - Q3 2023 to Q3 2025 volume up ~10-11%, so straight YoY reads are distorted.</t>
  </si>
  <si>
    <t>Brand Celsius turnaround: from negative low-single-digit scanner growth early 2025 to double digits and category-exceeding performance, ~20% in convenience - credited to the Live Fit Go campaign.</t>
  </si>
  <si>
    <t>'High 80s' percent of the Alani US DSD system migrated into Pepsi as of December 1; methodical step-by-step integration (Tier 3/4 in Q1, Tier 1/2 across Q1-Q2).</t>
  </si>
  <si>
    <t>Q4 2025 will see the most gross-margin pressure - integration one-time charges, Pepsi-transition returns/scrap, tariffs, lower-margin Rockstar mix, rising aluminum/Midwest premium.</t>
  </si>
  <si>
    <t>Sequential margin recovery path: Q4 pressured, each step Q4-Q1-Q2 improving, back to low 50s by back half 2026, expanding into Q4 2026 and 2027.</t>
  </si>
  <si>
    <t>Potential Pepsi year-end inventory drawdown framed as immaterial timing (~$5M/day); on a $2B+ business a couple days either way doesn't warrant a line in the sand.</t>
  </si>
  <si>
    <t>Rockstar revenue partly recognized as finished-goods top line, partly as a brand-transition service in other income - a presentation nuance during integration.</t>
  </si>
  <si>
    <t>RGM (revenue growth management) a big focus for 2026+; pricing seen as an opportunity but nothing specific to call out; RGM team built out (Eric brought on March 2025).</t>
  </si>
  <si>
    <t>Captaincy lets the company control PepsiCo planogram space - 'put the fast cars on the track', often more Celsius on shelf.</t>
  </si>
  <si>
    <t>Alani LTO model addresses the 'treadmill' concern - LTOs drive trial and frequency, the whole brand is lifted with a net gain after each LTO, and strong non-seasonal LTOs can become permanent power SKUs.</t>
  </si>
  <si>
    <t>First Celsius LTO (Spritz Vibe) was the top velocity item and provided key learnings ahead of running LTOs with Alani inside the Pepsi system.</t>
  </si>
  <si>
    <t>Rockstar adds a sugar-segment play (just under 50% of the category) where only two primary players exist; intentional SKU rationalization toward ~$250M; bullish but not overnight.</t>
  </si>
  <si>
    <t>Capital allocation: number one priority is investing behind the business; opportunistic buyback when a value gap exists (has been in the market); debt paydown.</t>
  </si>
  <si>
    <t>Senior hires (Eric Hanson President/COO, Rishi CMO ex-16-yr Pepsi, Garrett international) viewed as positive for the Pepsi relationship and the three-brand portfolio.</t>
  </si>
  <si>
    <t>Long-term: a marathon not a sprint - does not expect to catch Red Bull/Monster in 2026 but aims to keep climbing share, over-indexing with sugar-free, female and Gen Z consumers.</t>
  </si>
  <si>
    <t>Fireside-chat format - no formal management prepared remarks; all substantive content is Q&amp;A.</t>
  </si>
  <si>
    <t>Q3 2025 net sales disconnect</t>
  </si>
  <si>
    <t>What happened in Q3 2025 on Celsius shipments vs cycling last year's inventory reductions, and what did the market misunderstand?</t>
  </si>
  <si>
    <t>Q3 a phenomenal quarter; a disconnect in brand Celsius net sales - in line with sell-side but below buy-side; Q3 2024 included optimization, Q3 2023 to Q3 2025 volume up ~10-11%; the real disconnect was promotional activity bringing cases back at a lower net sales per case, plus Amazon Prime load-in timing.</t>
  </si>
  <si>
    <t>Q4 2025 top-line &amp; margin visibility</t>
  </si>
  <si>
    <t>Three days into the Alani-into-Pepsi move plus Rockstar integration, is there better visibility on Q4 top line and margin?</t>
  </si>
  <si>
    <t>~80% (actually high 80s) of the Alani US DSD system into Pepsi as of 12/1, on plan; Q4 carries timing/sequencing of the Rockstar integration (finished goods to top line, brand-transition service to other income) and methodical step-by-step Alani integration (Tier 3/4 in Q1, Tier 1/2 across Q1-Q2); typical year-end cash management, nothing material.</t>
  </si>
  <si>
    <t>Pepsi year-end inventory risk</t>
  </si>
  <si>
    <t>Given the $100M+ Q3 2024 history and ~$5M per day, how to frame potential year-end inventory management?</t>
  </si>
  <si>
    <t>If Pepsi shut down for a week there could be an impact of that magnitude, but it is immaterial timing rather than a new program.</t>
  </si>
  <si>
    <t>Visibility on Pepsi inventory plans</t>
  </si>
  <si>
    <t>Does management have communication/visibility that a year-end drawdown is happening, or is it just leaving cushion?</t>
  </si>
  <si>
    <t>On a $2B+ business a couple of days either way doesn't warrant a line in the sand; integrations going well - Alani completes by Q1, Rockstar in H1 2026; typical CPG year-end cash management, nothing material; set up for a fantastic 2026.</t>
  </si>
  <si>
    <t>Category resilience &amp; maintaining momentum</t>
  </si>
  <si>
    <t>Why has energy been more resilient than broader CPG, and how to maintain Celsius/Alani momentum if the consumer weakens?</t>
  </si>
  <si>
    <t>Even when energy was flat last year it outperformed CPG peers; 2025 a substantial bounce back driven by Alani, a strong Monster year, solid Red Bull year and the Celsius turnaround; consumers want better-for-you, healthier, sugar-free products and females are entering the category - a sweet spot for Celsius/Alani.</t>
  </si>
  <si>
    <t>Pricing &amp; RGM opportunity</t>
  </si>
  <si>
    <t>How is Celsius thinking about taking pricing - lift, promo optimization, or RGM?</t>
  </si>
  <si>
    <t>Agrees there is price elasticity and opportunity; focus on price-pack and promotional activity across the three-brand portfolio and building a revenue growth management team (Eric brought on March 2025); pricing a tool in the belt, RGM a big focus for 2026 and beyond.</t>
  </si>
  <si>
    <t>2026 gross margin &amp; OpEx bridge</t>
  </si>
  <si>
    <t>Puts and takes on gross margin and OpEx for 2026, and confidence in getting back to low 50s then mid-50s gross margin.</t>
  </si>
  <si>
    <t>Q4 2025 the most pressure (integration one-time charges, Pepsi-transition returns/scrap, tariffs, lower-margin Rockstar); Alani fully into the orbit structure by Q1, synergies fully baked from April; Rockstar mostly done by Q1; back half 2026 margins return to low 50s; big beverage second line online Q3, fully baked Q4, enabling continued expansion into 2027.</t>
  </si>
  <si>
    <t>Brand Celsius momentum sustainability</t>
  </si>
  <si>
    <t>How does Celsius keep brand-Celsius momentum going in 2026 and longer term?</t>
  </si>
  <si>
    <t>Live Fit Go campaign broadened the message and captured new consumers; will continue to invest with more efficiency; the captaincy program is a key opportunity, with Celsius likely getting more shelf space as the fast cars on the track.</t>
  </si>
  <si>
    <t>Developed-market share &amp; blue sky runway</t>
  </si>
  <si>
    <t>Where do brand Celsius market shares stand in developed markets, and how does growth in mature vs less-mature markets look?</t>
  </si>
  <si>
    <t>South Florida low-20s to mid-20s, NYC high teens/~20, other major markets 15-20%, under-indexed markets upper single digits; #2 energy brand on Amazon; blue-sky markets can still reach mid-to-upper teens, just taking a bit longer than anticipated 1.5 years ago.</t>
  </si>
  <si>
    <t>Celsius LTO learnings &amp; innovation</t>
  </si>
  <si>
    <t>Learnings from the first brand-Celsius LTO (Spritz Vibe) and plans for Celsius LTOs in 2026 and broader innovation for 2027.</t>
  </si>
  <si>
    <t>Spritz Vibe was the top velocity item and provided key learnings ahead of running LTOs with Alani inside the Pepsi system - goal is flawless execution; a new Pepsi-affiliated Board member helps cut through Pepsi-system dynamics; feels good about 2026 LTO strategy.</t>
  </si>
  <si>
    <t>Alani distribution potential vs Celsius</t>
  </si>
  <si>
    <t>What is the ultimate distribution potential for Alani relative to fully-distributed Celsius, and what gap should exist?</t>
  </si>
  <si>
    <t>Alani on a path to a similar ACV to Celsius, achieved methodically; somewhat farther along than Celsius was at its Pepsi entry; independent convenience should drive Alani ACV to a mid-90 level; full visibility into the business by end of Q2 2026 once resets complete.</t>
  </si>
  <si>
    <t>Alani long-term growth &amp; LTO treadmill risk</t>
  </si>
  <si>
    <t>Long-term growth for Alani given LTOs are so central, and the concern about the treadmill of cycling prior-year LTOs.</t>
  </si>
  <si>
    <t>LTOs drive both trial (new consumers) and frequency; data shows the entire brand is lifted with a net gain after an LTO concludes, core SKUs continue to perform; Alani carries fewer SKUs than Celsius; well-performing non-seasonal LTOs can be brought into permanent rotation as power SKUs.</t>
  </si>
  <si>
    <t>Rockstar portfolio fit &amp; stabilization</t>
  </si>
  <si>
    <t>How does Rockstar fit into the portfolio, and the plans to stabilize and grow it vs willingness to cannibalize space?</t>
  </si>
  <si>
    <t>The August transactions were about owning the Pepsi-system energy portfolio (the captaincy); Rockstar adds an energy-focused asset with internal expertise; intentional SKU rationalization toward a ~$250M FY2026 run rate frees space for faster SKUs; Rockstar plays in the sugar segment (just under 50% of category); bullish but not overnight.</t>
  </si>
  <si>
    <t>Competitive moat in sugar-free energy</t>
  </si>
  <si>
    <t>What is Celsius doing to protect its positioning and moat in sugar-free active-lifestyle energy, and what differentiates the brand?</t>
  </si>
  <si>
    <t>Sugar-free is what drives the category (health and wellness, functional fitness, lifestyle); the category has always been competitive; Celsius and Alani well positioned with authentic fitness/gym roots (Alani founded in GNC, Celsius born in the gyms); authenticity and trend alignment are differentiators.</t>
  </si>
  <si>
    <t>Capital allocation priorities</t>
  </si>
  <si>
    <t>Has the company been in the market on the $300M repurchase authorization, and what are the broader capital allocation priorities?</t>
  </si>
  <si>
    <t>Strong cash generation; ~$200M used to pay down debt; number one priority is investing behind the business and portfolio growth; with a strong balance sheet the company went into the market to repurchase stock when it saw a value gap - confirmed it has been buying shares.</t>
  </si>
  <si>
    <t>Senior hires &amp; Pepsi relationship</t>
  </si>
  <si>
    <t>What do the recent senior hires bring, and any impact on the Pepsi relationship?</t>
  </si>
  <si>
    <t>Positive impact on the Pepsi relationship; Eric Hanson brings commercialization, portfolio and RGM experience for the three-brand portfolio and DSD work; Rishi (16 years at Pepsi) brings multi-brand management as a 'conductor'; Garrett brings international relationships across Europe and Asia.</t>
  </si>
  <si>
    <t>Live Fit Go investment &amp; multi-brand marketing</t>
  </si>
  <si>
    <t>Investment plans for Live Fit Go and how to balance investments across the brands.</t>
  </si>
  <si>
    <t>Live Fit Go is Celsius-specific, will continue to be invested in during 2026 with greater efficiency, one of several key media programs; marketing restructured with dedicated brand teams over Celsius, Alani and Rockstar; Rishi the conductor; the Alani marketing team retained and cofounders Max and Trey remain involved to preserve Alani's voice.</t>
  </si>
  <si>
    <t>Long-term category structure</t>
  </si>
  <si>
    <t>How does the category structure develop as Celsius gains share, given Monster and Red Bull hold ~70% combined, and what differentiates Celsius from prior challengers?</t>
  </si>
  <si>
    <t>Praised Red Bull and Monster's track record; feels good at close to 20% portfolio share; the key is capitalizing on trends - sugar-free, females, Gen Z, where Celsius and Alani over-index; a marathon not a sprint - does not expect to catch anyone in 2026 but aims to keep climbing share and expects to be among the biggest beneficiaries of category growth.</t>
  </si>
  <si>
    <t>CELH Consumer Analyst Group of New York (CAGNY) Conference</t>
  </si>
  <si>
    <t>2026-02-19</t>
  </si>
  <si>
    <t>Company / Portfolio Metrics</t>
  </si>
  <si>
    <t>~20% / 20%+</t>
  </si>
  <si>
    <t>Q3 2025 consumption growth</t>
  </si>
  <si>
    <t>31% YoY</t>
  </si>
  <si>
    <t>Distribution growth vs year ago</t>
  </si>
  <si>
    <t>over 8%</t>
  </si>
  <si>
    <t>ACV (via PepsiCo DSD)</t>
  </si>
  <si>
    <t>99.5%</t>
  </si>
  <si>
    <t>Retail outlets</t>
  </si>
  <si>
    <t>FY2025 portfolio retail sales</t>
  </si>
  <si>
    <t>$5.2B</t>
  </si>
  <si>
    <t>Shelf space increase</t>
  </si>
  <si>
    <t>more than 25%</t>
  </si>
  <si>
    <t>Velocity increase</t>
  </si>
  <si>
    <t>up 6%</t>
  </si>
  <si>
    <t>Beverage Company / Brand Rankings (North America)</t>
  </si>
  <si>
    <t>Celsius Holdings rank by NA retail sales</t>
  </si>
  <si>
    <t>#6 global beverage company</t>
  </si>
  <si>
    <t>Celsius brand rank</t>
  </si>
  <si>
    <t>Alani Nu rank</t>
  </si>
  <si>
    <t>#11</t>
  </si>
  <si>
    <t>Category / Macro Statistics</t>
  </si>
  <si>
    <t>Energy share of LRB sales</t>
  </si>
  <si>
    <t>20% (up from ~14% five years ago)</t>
  </si>
  <si>
    <t>Total LRB growth (FY2025)</t>
  </si>
  <si>
    <t>$5.5B</t>
  </si>
  <si>
    <t>Energy share of total LRB growth</t>
  </si>
  <si>
    <t>more than half</t>
  </si>
  <si>
    <t>Energy share of total energy growth</t>
  </si>
  <si>
    <t>Zero sugar share of energy growth</t>
  </si>
  <si>
    <t>Zero sugar incremental category growth</t>
  </si>
  <si>
    <t>~$2.7B</t>
  </si>
  <si>
    <t>CELH share of zero-sugar energy category growth</t>
  </si>
  <si>
    <t>Category growth from increased frequency</t>
  </si>
  <si>
    <t>Convenience share of energy drink sales</t>
  </si>
  <si>
    <t>Consumer Survey / Loyalty Metrics</t>
  </si>
  <si>
    <t>Consumers drinking energy more often</t>
  </si>
  <si>
    <t>Consumers drinking Celsius as a social drink</t>
  </si>
  <si>
    <t>Celsius consumed with a meal</t>
  </si>
  <si>
    <t>Repeat consumers purchasing 5x or more</t>
  </si>
  <si>
    <t>52% (up over 7 pts YoY)</t>
  </si>
  <si>
    <t>International market presence</t>
  </si>
  <si>
    <t>~10 markets</t>
  </si>
  <si>
    <t>Forward-Looking / Guidance</t>
  </si>
  <si>
    <t>Celsius distribution/space gains (post-reset)</t>
  </si>
  <si>
    <t>over 17%</t>
  </si>
  <si>
    <t>coming out of 2026 resets</t>
  </si>
  <si>
    <t>Alani Nu space gains (post-reset)</t>
  </si>
  <si>
    <t>over 100% increase</t>
  </si>
  <si>
    <t>CAGNY investor presentation - no headline period results; platform used to articulate the transformation from a single-brand company into a three-brand 'total energy' / functional beverage platform.</t>
  </si>
  <si>
    <t>2025 framed as a defining year - strategy validated after acquiring Alani Nu and Rockstar and strengthening the PepsiCo partnership.</t>
  </si>
  <si>
    <t>Full portfolio now integrated into the PepsiCo DSD system at 99.5% ACV - a level of reach few brands can achieve.</t>
  </si>
  <si>
    <t>Strategy framed around 'more people, more places, more often' and an ambition to move from big brands to mega brands with multi-occasion relevance.</t>
  </si>
  <si>
    <t>Energy category has structurally shifted from a transactional impulse category to a lifestyle-driven one - zero sugar, functional benefits and alcohol-replacement now mega trends.</t>
  </si>
  <si>
    <t>Zero sugar powers the majority of energy growth (85%); Celsius an early mover that helped define modern energy; CELH drives the largest share (33%) of zero-sugar category growth.</t>
  </si>
  <si>
    <t>51% of category growth comes from increased frequency among existing consumers - energy becoming part of daily lifestyle and routine.</t>
  </si>
  <si>
    <t>Female and Hispanic consumers key growth drivers; the modern-energy portfolio serves both routine-based consumption and impulse moments, growing with women while keeping a moat with men.</t>
  </si>
  <si>
    <t>Three category-defining brands with clear roles: Celsius broad male/female appeal, Alani Nu female-focused, Rockstar core male and culture-driven users.</t>
  </si>
  <si>
    <t>Rockstar requires a disciplined, phased approach - first stabilize performance, then improve execution, then sharpen positioning; adds incremental reach and long-term optionality.</t>
  </si>
  <si>
    <t>Coming out of the 2026 resets management anticipates Celsius space gains over 17% and Alani Nu space gains over 100%, a significant portion from Convenience.</t>
  </si>
  <si>
    <t>Convenience (~60% of energy sales) described as one of the biggest white space opportunities; also future opportunity across club, large format and small format.</t>
  </si>
  <si>
    <t>Revenue growth management (RGM) - investments in data, tools and talent - positioned for a long-lasting foundational impact on profitable, sustainable growth, moving beyond volume to use price/mix.</t>
  </si>
  <si>
    <t>Operating model 'must change' as the business scales with increasing complexity - managed as a portfolio with disciplined resource allocation and an execution-driven roadmap for higher-quality growth in 2026+.</t>
  </si>
  <si>
    <t>Innovation built as a system, insights-led; recent Alani Cherry Bar sold out in a week; high-impact LTOs (Spritz Vibe, Limes) drive incrementality.</t>
  </si>
  <si>
    <t>International a long-term growth opportunity with big runway - present in ~10 markets with a new Head of International; deliberate, select-market, resourced-launch approach.</t>
  </si>
  <si>
    <t>Declining alcohol consumption opening social-occasion opportunity for energy.</t>
  </si>
  <si>
    <t>PepsiCo partnership described as a true differentiator - stronger and more aligned than ever; tone optimistic, vision-led and emphatic about durability and execution discipline.</t>
  </si>
  <si>
    <t>No Q&amp;A captured - the Q&amp;A session was explicitly moved to a separate breakout room and is not included in this transcript. All content is from prepared remarks.</t>
  </si>
  <si>
    <t>Full-Year 2025 and Fourth Quarter Financial Results Press Release</t>
  </si>
  <si>
    <t>2026-02-26</t>
  </si>
  <si>
    <t>Revenue (Q4)</t>
  </si>
  <si>
    <t>4Q 2025</t>
  </si>
  <si>
    <t>4Q 2024</t>
  </si>
  <si>
    <t>$721.6M</t>
  </si>
  <si>
    <t>$332.2M</t>
  </si>
  <si>
    <t>North America revenue</t>
  </si>
  <si>
    <t>$699.5M</t>
  </si>
  <si>
    <t>$311.9M</t>
  </si>
  <si>
    <t>124%</t>
  </si>
  <si>
    <t>$22.1M</t>
  </si>
  <si>
    <t>$20.3M</t>
  </si>
  <si>
    <t>Revenue (Full Year)</t>
  </si>
  <si>
    <t>FY 2025</t>
  </si>
  <si>
    <t>FY 2024</t>
  </si>
  <si>
    <t>$2,515.3M</t>
  </si>
  <si>
    <t>$1,355.6M</t>
  </si>
  <si>
    <t>85.5%</t>
  </si>
  <si>
    <t>$2,422.5M</t>
  </si>
  <si>
    <t>$1,280.9M</t>
  </si>
  <si>
    <t>$92.8M</t>
  </si>
  <si>
    <t>$74.7M</t>
  </si>
  <si>
    <t>Revenue by Brand</t>
  </si>
  <si>
    <t>FY YoY %</t>
  </si>
  <si>
    <t>~-8% (Q4 decline)</t>
  </si>
  <si>
    <t>$1,457.7M</t>
  </si>
  <si>
    <t>Alani Nu revenue</t>
  </si>
  <si>
    <t>~$370.0M</t>
  </si>
  <si>
    <t>$1,001.9M (Q2-Q4)</t>
  </si>
  <si>
    <t>n/a (acq 4/1/25)</t>
  </si>
  <si>
    <t>~$45.0M</t>
  </si>
  <si>
    <t>$55.6M</t>
  </si>
  <si>
    <t>n/a (acq 8/28/25)</t>
  </si>
  <si>
    <t>Margins &amp; Profit (Q4)</t>
  </si>
  <si>
    <t>$341.8M</t>
  </si>
  <si>
    <t>$166.7M</t>
  </si>
  <si>
    <t>+$175.1M</t>
  </si>
  <si>
    <t>47.4%</t>
  </si>
  <si>
    <t>-280 bps</t>
  </si>
  <si>
    <t>Net income (GAAP)</t>
  </si>
  <si>
    <t>$24.7M</t>
  </si>
  <si>
    <t>+$43.6M</t>
  </si>
  <si>
    <t>$9.1M</t>
  </si>
  <si>
    <t>-$25.8M</t>
  </si>
  <si>
    <t>+$34.9M</t>
  </si>
  <si>
    <t>Diluted EPS (GAAP)</t>
  </si>
  <si>
    <t>$0.04</t>
  </si>
  <si>
    <t>-$0.11</t>
  </si>
  <si>
    <t>Adjusted diluted EPS (non-GAAP)</t>
  </si>
  <si>
    <t>$0.26</t>
  </si>
  <si>
    <t>Adjusted EBITDA (non-GAAP)</t>
  </si>
  <si>
    <t>$134.1M</t>
  </si>
  <si>
    <t>$62.9M</t>
  </si>
  <si>
    <t>113%</t>
  </si>
  <si>
    <t>Adjusted EBITDA margin (non-GAAP)</t>
  </si>
  <si>
    <t>18.6%</t>
  </si>
  <si>
    <t>-0.3 pts</t>
  </si>
  <si>
    <t>Margins &amp; Profit (Full Year)</t>
  </si>
  <si>
    <t>$1,267.3M</t>
  </si>
  <si>
    <t>$680.2M</t>
  </si>
  <si>
    <t>+$587.1M</t>
  </si>
  <si>
    <t>$108.0M</t>
  </si>
  <si>
    <t>$145.1M</t>
  </si>
  <si>
    <t>-26%</t>
  </si>
  <si>
    <t>$63.8M</t>
  </si>
  <si>
    <t>$107.5M</t>
  </si>
  <si>
    <t>-41%</t>
  </si>
  <si>
    <t>$0.25</t>
  </si>
  <si>
    <t>$0.45</t>
  </si>
  <si>
    <t>-44%</t>
  </si>
  <si>
    <t>$1.34</t>
  </si>
  <si>
    <t>91%</t>
  </si>
  <si>
    <t>$619.6M</t>
  </si>
  <si>
    <t>$255.7M</t>
  </si>
  <si>
    <t>142%</t>
  </si>
  <si>
    <t>24.6%</t>
  </si>
  <si>
    <t>+5.7 pts</t>
  </si>
  <si>
    <t>SG&amp;A expense (GAAP, Q4)</t>
  </si>
  <si>
    <t>$316M (43.8% of revenue)</t>
  </si>
  <si>
    <t>+71%</t>
  </si>
  <si>
    <t>SG&amp;A expense (GAAP, FY)</t>
  </si>
  <si>
    <t>$1,126M (44.8% of revenue)</t>
  </si>
  <si>
    <t>$524M</t>
  </si>
  <si>
    <t>31.8%</t>
  </si>
  <si>
    <t>36.1%</t>
  </si>
  <si>
    <t>-4.3 pts</t>
  </si>
  <si>
    <t>29.4%</t>
  </si>
  <si>
    <t>33.9%</t>
  </si>
  <si>
    <t>-4.5 pts</t>
  </si>
  <si>
    <t>$80.8M</t>
  </si>
  <si>
    <t>$0</t>
  </si>
  <si>
    <t>Total distributor buyout obligation (year-end)</t>
  </si>
  <si>
    <t>~$327.5M ($246.7M Q3 + $80.8M Q4)</t>
  </si>
  <si>
    <t>$60M</t>
  </si>
  <si>
    <t>$22.4M</t>
  </si>
  <si>
    <t>Alani + Rockstar</t>
  </si>
  <si>
    <t>Interest &amp; FX</t>
  </si>
  <si>
    <t>Interest income</t>
  </si>
  <si>
    <t>$4.4M</t>
  </si>
  <si>
    <t>$21.1M</t>
  </si>
  <si>
    <t>FY2024 had $39.3M net interest income</t>
  </si>
  <si>
    <t>Interest expense</t>
  </si>
  <si>
    <t>-$12.7M</t>
  </si>
  <si>
    <t>-$49.0M</t>
  </si>
  <si>
    <t>FY2024 $0</t>
  </si>
  <si>
    <t>FX translation (FY)</t>
  </si>
  <si>
    <t>$6.4M gain</t>
  </si>
  <si>
    <t>vs $2.5M loss FY2024</t>
  </si>
  <si>
    <t>Capital Allocation (Q4)</t>
  </si>
  <si>
    <t>Debt repayment</t>
  </si>
  <si>
    <t>$197.8M</t>
  </si>
  <si>
    <t>Share repurchases</t>
  </si>
  <si>
    <t>$39.8M</t>
  </si>
  <si>
    <t>Dec 31 2025</t>
  </si>
  <si>
    <t>Dec 31 2024</t>
  </si>
  <si>
    <t>Cash and cash equivalents</t>
  </si>
  <si>
    <t>$398.9M</t>
  </si>
  <si>
    <t>$890.2M</t>
  </si>
  <si>
    <t>$141.1M</t>
  </si>
  <si>
    <t>$669.9M</t>
  </si>
  <si>
    <t>$5,119.6M</t>
  </si>
  <si>
    <t>$1,766.9M</t>
  </si>
  <si>
    <t>$264.1M</t>
  </si>
  <si>
    <t>$25.0M</t>
  </si>
  <si>
    <t>$907.6M</t>
  </si>
  <si>
    <t>Retail Sales / Distribution (tracked, MULO+ w/C)</t>
  </si>
  <si>
    <t>FY 2025 (cal yr to 12/28/25)</t>
  </si>
  <si>
    <t>Q4 2025 (13-wk to 12/28/25)</t>
  </si>
  <si>
    <t>+22%</t>
  </si>
  <si>
    <t>+24.4%</t>
  </si>
  <si>
    <t>+6%</t>
  </si>
  <si>
    <t>+12.8% (+13% per release)</t>
  </si>
  <si>
    <t>10.9% dollar share</t>
  </si>
  <si>
    <t>+101%</t>
  </si>
  <si>
    <t>+76.9%</t>
  </si>
  <si>
    <t>6.7% dollar share</t>
  </si>
  <si>
    <t>-10.3%</t>
  </si>
  <si>
    <t>2.4% dollar share</t>
  </si>
  <si>
    <t>Distribution Points &amp; ACV</t>
  </si>
  <si>
    <t>TDPs</t>
  </si>
  <si>
    <t>Celsius Holdings portfolio</t>
  </si>
  <si>
    <t>FY 13-wk to 12/28/25</t>
  </si>
  <si>
    <t>CELSIUS brand</t>
  </si>
  <si>
    <t>+20%</t>
  </si>
  <si>
    <t>98.5%</t>
  </si>
  <si>
    <t>FY</t>
  </si>
  <si>
    <t>92.6%</t>
  </si>
  <si>
    <t>Rockstar Energy</t>
  </si>
  <si>
    <t>85.4%</t>
  </si>
  <si>
    <t>Other Category / Timing Metrics</t>
  </si>
  <si>
    <t>US energy drink category dollar share (portfolio)</t>
  </si>
  <si>
    <t>Zero-sugar US energy category growth contribution</t>
  </si>
  <si>
    <t>33% of the category's $3.3B growth</t>
  </si>
  <si>
    <t>Alani Nu ACV ramp (post Dec 1 2025 PepsiCo transition)</t>
  </si>
  <si>
    <t>~87% (start Q4 2025) to 94.2% (wk ended Feb 1 2026)</t>
  </si>
  <si>
    <t>Q4 2025 to Feb 2026</t>
  </si>
  <si>
    <t>Net portfolio inventory benefit (Q4)</t>
  </si>
  <si>
    <t>~$25M net positive (Alani load-in vs CELSIUS timing)</t>
  </si>
  <si>
    <t>Alani Nu integration completion</t>
  </si>
  <si>
    <t>By end of Q1 2026</t>
  </si>
  <si>
    <t>Rockstar Energy integration completion</t>
  </si>
  <si>
    <t>By end of Q2 2026</t>
  </si>
  <si>
    <t>Q2 2026</t>
  </si>
  <si>
    <t>Gross margin (normalized profile)</t>
  </si>
  <si>
    <t>Low 50s; margins expand across 2026</t>
  </si>
  <si>
    <t>Record FY2025 revenue of $2,515.3M (+85.5%) - CEO John Fieldly called it a 'defining year'; revenue growth was primarily driven by $1,001.9M of Alani Nu revenue (Q2-Q4) plus $55.6M from Rockstar Energy and 7.5% CELSIUS brand growth.</t>
  </si>
  <si>
    <t>Celsius Holdings built a scaled three-brand 'Modern Energy' portfolio (CELSIUS, Alani Nu, Rockstar Energy) and reached an ~20% dollar share of the US energy drink category in Q4 2025 as PepsiCo's energy category captain.</t>
  </si>
  <si>
    <t>Q4 revenue grew 117% to $721.6M; Q4 adjusted EBITDA $134.1M (+113%); FY adjusted EBITDA $619.6M (+142%, 24.6% margin); Q4 adjusted diluted EPS $0.26 (+86%), FY $1.34 (+91%).</t>
  </si>
  <si>
    <t>CELSIUS brand revenue declined ~8% in Q4 due to anticipated, temporary integration-related timing dynamics and distributor order sequencing - a short-term misalignment between shipments, depletions and promotions; US tracked retail sales rose +13% over the same 13 weeks, so the decline is 'not reflective of underlying retail demand.'</t>
  </si>
  <si>
    <t>A net positive ~$25M impact in Q4 2025 from the Alani Nu load-in to PepsiCo offsetting the CELSIUS brand timing differences.</t>
  </si>
  <si>
    <t>Q4 GAAP gross margin compressed 280 bps to 47.4% on Rockstar dilution, higher integration costs and tariffs, partially offset by billbacks, improved outbound freight and favorable product/pack mix; FY gross margin still improved 20 bps to 50.4%.</t>
  </si>
  <si>
    <t>FY GAAP net income fell 26% to $108.0M and FY GAAP diluted EPS declined 44% to $0.25, pressured by $327M of distributor termination costs, $60M of acquisition-related costs and $49.0M of interest expense (vs $39.3M of net interest income in FY2024).</t>
  </si>
  <si>
    <t>Total distributor buyout obligation recorded by year-end 2025 was ~$327.5M ($246.7M in Q3 + $80.8M in Q4); balance sheet shows $141.1M restricted cash, $264.1M accrued distributor termination fees, $669.9M long-term debt and $907.6M of newly issued Series B convertible preferred stock.</t>
  </si>
  <si>
    <t>Alani Nu had a record Q4 of ~$370.0M, benefiting from ongoing demand plus increased distributor orders as it moved out of its prior system into PepsiCo; FY Alani Nu retail sales +101%; ACV ramped from ~87% (start of Q4) to 94.2% by Feb 1, 2026 after the Dec 1, 2025 PepsiCo transition.</t>
  </si>
  <si>
    <t>Rockstar Energy is a drag: FY retail sales -11%, TDPs -17%, 85.4% ACV, 2.4% dollar share.</t>
  </si>
  <si>
    <t>International revenue grew 24% to $92.8M FY, driven by sustained Nordics growth and continued momentum in the UK, Ireland, France, Australia, New Zealand and Benelux.</t>
  </si>
  <si>
    <t>The portfolio contributed 33% of the zero-sugar US energy category's $3.3B growth in 2025.</t>
  </si>
  <si>
    <t>Q4 capital allocation: $197.8M of debt repayment and $39.8M of share repurchases - described as disciplined and reflecting confidence in the business.</t>
  </si>
  <si>
    <t>Outlook: Alani Nu integration to complete by end of Q1 2026 and Rockstar by end of Q2 2026; gross margins expected to expand across 2026 and return to a normalized low-50s profile; the company entered 2026 'with positive momentum, scale and confidence,' citing continued strong growth across January and February 2026.</t>
  </si>
  <si>
    <t>This is a press release, not a transcript - no question-and-answer session (the only quoted speaker is CEO John Fieldly). The companion same-day earnings call holds the prepared remarks and analyst Q&amp;A.</t>
  </si>
  <si>
    <t>Q4 2025 / FY2025 Earnings Call</t>
  </si>
  <si>
    <t>Consolidated Revenue</t>
  </si>
  <si>
    <t>Net Revenue</t>
  </si>
  <si>
    <t>~$722M</t>
  </si>
  <si>
    <t>$2.5B (record; two $2B brands)</t>
  </si>
  <si>
    <t>Brand Celsius</t>
  </si>
  <si>
    <t>Net Sales</t>
  </si>
  <si>
    <t>$1.46B</t>
  </si>
  <si>
    <t>+7.5%</t>
  </si>
  <si>
    <t>GAAP Sales (Q4)</t>
  </si>
  <si>
    <t>-7.7%</t>
  </si>
  <si>
    <t>decline on Pepsi inventory timing</t>
  </si>
  <si>
    <t>Scanner Data (Q4)</t>
  </si>
  <si>
    <t>healthy</t>
  </si>
  <si>
    <t>FY2024 Net Sales (implied)</t>
  </si>
  <si>
    <t>9 mo since acq</t>
  </si>
  <si>
    <t>$370M (record)</t>
  </si>
  <si>
    <t>$1B</t>
  </si>
  <si>
    <t>+136% pro forma (Q4)</t>
  </si>
  <si>
    <t>Rockstar (split accounting)</t>
  </si>
  <si>
    <t>$56M</t>
  </si>
  <si>
    <t>$6M</t>
  </si>
  <si>
    <t>$13M</t>
  </si>
  <si>
    <t>Net Portfolio Inventory Benefit</t>
  </si>
  <si>
    <t>Gross Profit / Margin</t>
  </si>
  <si>
    <t>-2.8 pts</t>
  </si>
  <si>
    <t>Gross Profit / Margin (FY)</t>
  </si>
  <si>
    <t>~$1.27B</t>
  </si>
  <si>
    <t>S&amp;M (GAAP)</t>
  </si>
  <si>
    <t>$249.2M / 34.5% of sales</t>
  </si>
  <si>
    <t>$876.3M / 34.8% of sales</t>
  </si>
  <si>
    <t>-$81M</t>
  </si>
  <si>
    <t>-$327.5M</t>
  </si>
  <si>
    <t>S&amp;M (Adjusted)</t>
  </si>
  <si>
    <t>23.3% of sales</t>
  </si>
  <si>
    <t>21.8% of sales</t>
  </si>
  <si>
    <t>Administrative Expense</t>
  </si>
  <si>
    <t>G&amp;A (GAAP)</t>
  </si>
  <si>
    <t>$66.6M / 9.2% of sales</t>
  </si>
  <si>
    <t>$250M / 9.9% of sales</t>
  </si>
  <si>
    <t>-$5M</t>
  </si>
  <si>
    <t>-$60.2M</t>
  </si>
  <si>
    <t>G&amp;A (Adjusted)</t>
  </si>
  <si>
    <t>8.5% of sales</t>
  </si>
  <si>
    <t>7.5% of sales</t>
  </si>
  <si>
    <t>Adjusted SG&amp;A</t>
  </si>
  <si>
    <t>31.8% of sales</t>
  </si>
  <si>
    <t>29.4% of sales</t>
  </si>
  <si>
    <t>Net Income (GAAP)</t>
  </si>
  <si>
    <t>~24.6%</t>
  </si>
  <si>
    <t>Year-end 2025</t>
  </si>
  <si>
    <t>$399M</t>
  </si>
  <si>
    <t>Total Debt</t>
  </si>
  <si>
    <t>~$670M</t>
  </si>
  <si>
    <t>Operating Cash Flow (FY)</t>
  </si>
  <si>
    <t>$359M</t>
  </si>
  <si>
    <t>Q4 Debt Paydown</t>
  </si>
  <si>
    <t>Q4 Share Repurchases</t>
  </si>
  <si>
    <t>$40M</t>
  </si>
  <si>
    <t>Remaining Buyback Authorization</t>
  </si>
  <si>
    <t>$260M</t>
  </si>
  <si>
    <t>Market Position / Distribution</t>
  </si>
  <si>
    <t>US Energy Market Share (portfolio, FY track)</t>
  </si>
  <si>
    <t>~20% (one-fifth)</t>
  </si>
  <si>
    <t>International Markets Present</t>
  </si>
  <si>
    <t>Celsius Spring Reset Space Gains 2026</t>
  </si>
  <si>
    <t>Alani Spring Reset Space Gains 2026</t>
  </si>
  <si>
    <t>triple-digit / over 100% (cited 102%)</t>
  </si>
  <si>
    <t>Retail Sales Growth (3Q25 ref, YoY)</t>
  </si>
  <si>
    <t>Alani</t>
  </si>
  <si>
    <t>Portfolio combined market share (3Q25)</t>
  </si>
  <si>
    <t>20%; growth +31% YoY</t>
  </si>
  <si>
    <t>FY2026 Quantitative Guidance</t>
  </si>
  <si>
    <t>low-50s (normalized)</t>
  </si>
  <si>
    <t>back half 2026 / across 2026</t>
  </si>
  <si>
    <t>Gross Margin (multi-year)</t>
  </si>
  <si>
    <t>next handful of years</t>
  </si>
  <si>
    <t>Sales &amp; Marketing (% sales)</t>
  </si>
  <si>
    <t>Alani Integration / cost structure</t>
  </si>
  <si>
    <t>complete by end Q1 2026</t>
  </si>
  <si>
    <t>Rockstar Integration / cost structure</t>
  </si>
  <si>
    <t>complete by end Q2 / H1 2026</t>
  </si>
  <si>
    <t>Rockstar US to finished-goods model</t>
  </si>
  <si>
    <t>Rockstar Canada to finished-goods model</t>
  </si>
  <si>
    <t>Alani Space Gains</t>
  </si>
  <si>
    <t>triple-digit</t>
  </si>
  <si>
    <t>Celsius Space Gains</t>
  </si>
  <si>
    <t>2025 framed as a 'defining year' - record $2.5B revenue, portfolio now has two $2B brands (Celsius, Alani), plus Rockstar; ~one-fifth of US energy market.</t>
  </si>
  <si>
    <t>Q4 brand Celsius GAAP sales fell 7.7% vs. 12.8% scanner - management adjusted an extra week for Celsius and loaded in additional Alani at quarter-end; net portfolio benefit ~$25M.</t>
  </si>
  <si>
    <t>Cherry Bomb, Alani's first LTO in the Pepsi system, ran out in record time; increased year-end orders support triple-digit Alani growth in the first 6-8 weeks of 2026.</t>
  </si>
  <si>
    <t>Q4 gross margin compressed to 47.4% (from 50.2%) on Rockstar dilution, integration costs, tariffs, and one-time COGS write-offs/scrap; one-time items roll off after Q4 benefiting Q1 directly.</t>
  </si>
  <si>
    <t>Margin recovery path: low-50s in back half 2026 as Alani (end Q1) and Rockstar (end Q2) cost structures align with brand Celsius; mid-50s a multi-year (not 2026) target.</t>
  </si>
  <si>
    <t>Driving GM through economies of scale, raw-material pricing, orbit model, vertical integration (co-packer acquired ~a year ago), freight, tolling, package/brand mix.</t>
  </si>
  <si>
    <t>Midwest aluminum premium increase and tariffs are cost headwinds; if they ease faster, margin targets reached quicker.</t>
  </si>
  <si>
    <t>Alani Q4 load-in characterized as 'opportunistic,' not a pull-forward - Pepsi system got Alani across the shelf quickly on an ACV basis.</t>
  </si>
  <si>
    <t>Rockstar split accounting during integration; US transitions to finished-goods model in Q1, Canada in H1 2026; plan to stabilize and return to growth over a handful of years.</t>
  </si>
  <si>
    <t>Management does not think Alani replaces brands; the energy category itself is materially expanding the subsegment Alani serves - retailers expanding shelf presence for energy.</t>
  </si>
  <si>
    <t>Spring 2026 resets: ~17% Celsius and triple-digit (over 100%) Alani space gains, biggest gains in convenience; benefits materialize through end of spring.</t>
  </si>
  <si>
    <t>Velocity will likely be lower as Alani enters new geographies/channels - similar to Celsius's broad-distribution expansion; gaining distribution does not mean immediate sell-through.</t>
  </si>
  <si>
    <t>SKU prioritization across the three-brand portfolio lets the company place fastest-turning SKUs in coolers/planograms; RGM about mix/pack/promotion, not broad price increases.</t>
  </si>
  <si>
    <t>Capital priorities: invest in brand growth/integration, strengthen balance sheet, return capital to shareholders; preserving flexibility for strategic M&amp;A.</t>
  </si>
  <si>
    <t>Category tailwinds: zero-sugar leading energy expansion, declining alcohol consumption opening social occasions, strong female consumer adoption, retailers reallocating space from juice/premium water/beer coolers to energy.</t>
  </si>
  <si>
    <t>2026 priorities: more intentional innovation/LTO cadence, national Fizz Free launch, expanded Alani core-SKU distribution, international expansion (Garrett Quigley named President of International), new in-house Brand Studio agency.</t>
  </si>
  <si>
    <t>Working capital reflected transition-driven timing; expected to moderate as cadence normalizes; quarterly variability can persist during integration and large customer ordering cycles.</t>
  </si>
  <si>
    <t>Shelf Resets &amp; Brand Celsius Reported Sales</t>
  </si>
  <si>
    <t>Filippo Falorni, Citi</t>
  </si>
  <si>
    <t>Update on spring shelf-space resets for Celsius and Alani, when benefits show in reported sales, and whether brand Celsius reported sales improve in Q1 given shelf gains.</t>
  </si>
  <si>
    <t>Shelf gains historically materialize through end of spring (summer selling season); biggest Alani gains in convenience. No forward-looking specifics on the scanner-vs-reported gap; gaps can occur weekly/short-term but normalize long-term. Portfolio-level data tightens faster than brand-by-brand; ~17% Celsius space gains drive expansion.</t>
  </si>
  <si>
    <t>$25M Net Benefit &amp; Alani Inventory Unwind</t>
  </si>
  <si>
    <t>Unpack the ~$25M net benefit between Celsius and Alani by brand; whether Alani inventory stays elevated with the unwind being a '4Q into 27' dynamic, or under-shipment occurs faster.</t>
  </si>
  <si>
    <t>Committed to tightening peaks and valleys; working closely with Pepsi (captaincy), had Pepsi's supply chain team in during January. Focus is winning at the register; opportunistically load one brand near quarter-end. Celsius came out with low double-digit growth, Alani triple-digit growth early 2026; Celsius orders align more closely to track data. ~17% Celsius / triple-digit Alani space gains in 2026.</t>
  </si>
  <si>
    <t>Gross Margin Phasing, Midwest Premium &amp; Multi-Year Path</t>
  </si>
  <si>
    <t>Near-term Midwest premium impact, phasing of gross margins through 2026, and margin evolution beyond 2026.</t>
  </si>
  <si>
    <t>Orbit model, supply-chain purchasing, vertical integration (co-packer) drive margins. 2026 target is low-50s; mid-50s a near-term multi-year (not 2026) target. From Q4's 47.4% to low-50s depends on aligning Alani's/Rockstar's COGS with Celsius - Alani cost structure in place end Q1, Rockstar end Q2. One-time Q4 costs (COGS write-offs, scrap) gone after Q4, benefit Q1 directly. Midwest premium / tariffs affect timing.</t>
  </si>
  <si>
    <t>Three-Brand SKU Prioritization, LTO Cadence &amp; Velocity</t>
  </si>
  <si>
    <t>Three-brand portfolio and SKU-trimming opportunity, Celsius LTO cadence, velocity dynamics as shelf space increases, SKU positioning in a record innovation year, retailer feedback, margin/synergy and sales predictability with Pepsi visibility.</t>
  </si>
  <si>
    <t>Innovation drives category growth and new consumers; day parts and usage occasions expanding including social occasions (Celsius Mocktails, Dirty Alani's). Portfolio lets company maximize value by channel/region, placing fastest-turning SKUs in coolers; ~17% Celsius / over-100% Alani space allocations. LTOs lift the core, drive trial, build daily routine. Female consumer a major opportunity. Synergies via vertical integration, purchasing optimization, RGM.</t>
  </si>
  <si>
    <t>Category Distribution Gains &amp; Velocity vs. TDP</t>
  </si>
  <si>
    <t>Quantify distribution gains for the category, where Alani's/Celsius's space gains are sourced from, and how to think about velocity growth versus TDP gains in new geographies (especially convenience).</t>
  </si>
  <si>
    <t>Retailers expanding energy space (half coolers, doors, dry shelves) as energy grows as a % of LRB; in convenience, beer coolers being optimized, juice and premium water under pressure - those spaces being carved out. Each retailer/market differs; large format also expected to deliver. Velocity is a major KPI - Alani will see lower initial velocity entering new locations/regions/channels, similar to Celsius's expansion experience; gaining distribution does not mean immediate sell-through.</t>
  </si>
  <si>
    <t>Alani Inventory Pull-Forward &amp; 2022 Transition Comparison</t>
  </si>
  <si>
    <t>Whether any of the Alani Q4 inventory benefit is a revenue pull-forward; contextualize the ~102% Alani shelf-space growth versus core Celsius's 2022 Pepsi transition (when Celsius took Bang's space) in a more competitive landscape.</t>
  </si>
  <si>
    <t>Alani Q4 activity was an opportunity, not a load-in - Pepsi system got Alani across the shelf quickly on ACV; Cherry Bomb LTO loaded year-end depleted in record time. Characterized as opportunistic, not a pullback or pull-forward. Celsius entered Pepsi in September at lower ACV; Alani in December. Similarities (convenience distribution opportunity) but many differences - Celsius took space from Bang in 2022, whereas Alani is not likely replacing brands; the category is expanding and retailers expanding shelf presence for energy.</t>
  </si>
  <si>
    <t>2026-03-11</t>
  </si>
  <si>
    <t>Category Dynamics</t>
  </si>
  <si>
    <t>Energy share of LRB growth</t>
  </si>
  <si>
    <t>Sugar-free share of energy growth</t>
  </si>
  <si>
    <t>Scanner growth (Q4)</t>
  </si>
  <si>
    <t>12-13%</t>
  </si>
  <si>
    <t>Q4 2025 (vs. negative Q1 2025)</t>
  </si>
  <si>
    <t>Convenience growth</t>
  </si>
  <si>
    <t>over 20% (most months)</t>
  </si>
  <si>
    <t>recent months</t>
  </si>
  <si>
    <t>Q1 2025 flavor launches</t>
  </si>
  <si>
    <t>4</t>
  </si>
  <si>
    <t>Q1 2026 flavor launches</t>
  </si>
  <si>
    <t>Q1 2026 (lapping 4)</t>
  </si>
  <si>
    <t>Top SKU ACV</t>
  </si>
  <si>
    <t>low 80s</t>
  </si>
  <si>
    <t>Top SKU ACV target</t>
  </si>
  <si>
    <t>mid-90s / upper 90s</t>
  </si>
  <si>
    <t>Mid-tier flavors ACV</t>
  </si>
  <si>
    <t>Mid-tier flavors ACV target</t>
  </si>
  <si>
    <t>80%+</t>
  </si>
  <si>
    <t>Phase III / Fizz Free flavors ACV</t>
  </si>
  <si>
    <t>~30% (two launched last yr)</t>
  </si>
  <si>
    <t>Growth at acquisition</t>
  </si>
  <si>
    <t>70-75%</t>
  </si>
  <si>
    <t>~Q1 2025</t>
  </si>
  <si>
    <t>Growth current</t>
  </si>
  <si>
    <t>late 2025 / early 2026</t>
  </si>
  <si>
    <t>Cotton Candy SKU ACV</t>
  </si>
  <si>
    <t>40% (top-performing SKU)</t>
  </si>
  <si>
    <t>Q4 2025 Net Inventory Benefit</t>
  </si>
  <si>
    <t>Net revenue benefit (Alani; pull-forward from Q1)</t>
  </si>
  <si>
    <t>Cherry Bomb LTO (December capture)</t>
  </si>
  <si>
    <t>big bulk of the $25M</t>
  </si>
  <si>
    <t>Portfolio market share</t>
  </si>
  <si>
    <t>~20 share (not year-end target)</t>
  </si>
  <si>
    <t>Celsius Holdings international % of sales</t>
  </si>
  <si>
    <t>#2 player international % of sales</t>
  </si>
  <si>
    <t>Reset Space Gains 2026</t>
  </si>
  <si>
    <t>Celsius shelf space gain</t>
  </si>
  <si>
    <t>Alani shelf space gain</t>
  </si>
  <si>
    <t>100-plus percent</t>
  </si>
  <si>
    <t>Cost / Capital</t>
  </si>
  <si>
    <t>Aluminum - Middle East share of global production</t>
  </si>
  <si>
    <t>~9%</t>
  </si>
  <si>
    <t>Debt to pay down</t>
  </si>
  <si>
    <t>~$700M</t>
  </si>
  <si>
    <t>ongoing</t>
  </si>
  <si>
    <t>Share repurchased Q4 2025</t>
  </si>
  <si>
    <t>Remaining buyback authorization</t>
  </si>
  <si>
    <t>low 50s (stair-step from Q4 47.4%)</t>
  </si>
  <si>
    <t>back half 2026</t>
  </si>
  <si>
    <t>mid 50s</t>
  </si>
  <si>
    <t>handful of years</t>
  </si>
  <si>
    <t>Sales &amp; Marketing expense</t>
  </si>
  <si>
    <t>22-24% of revenue</t>
  </si>
  <si>
    <t>near future</t>
  </si>
  <si>
    <t>Alani integration into orbit model</t>
  </si>
  <si>
    <t>fully baked in by end March 2026</t>
  </si>
  <si>
    <t>Rockstar integration</t>
  </si>
  <si>
    <t>fully integrated by end Q2 2026</t>
  </si>
  <si>
    <t>Big Beverage second production line</t>
  </si>
  <si>
    <t>online back half 2026 / Q4</t>
  </si>
  <si>
    <t>H2 2026</t>
  </si>
  <si>
    <t>Celsius LTOs</t>
  </si>
  <si>
    <t>multiple (vs. one in 2025)</t>
  </si>
  <si>
    <t>Alani LTOs</t>
  </si>
  <si>
    <t>similar number to 2025</t>
  </si>
  <si>
    <t>54% of Liquid Refresher Beverage growth comes out of energy; 85% of energy growth is sugar-free - energy remains the biggest growth driver in beverage.</t>
  </si>
  <si>
    <t>Convenience single consumption is the main driver of growth for both brands, especially Alani.</t>
  </si>
  <si>
    <t>Brand Celsius scanner softened in early Q1 2026 from a deliberate SKU rationalization ('trimming the tail' of least-productive SKUs) and lapping four Q1 2025 flavor launches with zero launches in Q1 2026 - not a health issue.</t>
  </si>
  <si>
    <t>Celsius innovation layers on in Q2, Q3, Q4 2026 after zero Q1 launches; multiple Celsius LTOs planned plus potential back-half non-LTO innovation.</t>
  </si>
  <si>
    <t>Watch the top 10-15 Celsius SKUs rise in ACV over the next ~8 weeks as the SKU rationalization plays out ('fast cars on the track').</t>
  </si>
  <si>
    <t>No significant change in Celsius/Alani crossover-consumer data over 12 months despite Alani's triple-digit growth - the brands taste completely different and serve different consumers; Alani is incremental, not cannibalistic.</t>
  </si>
  <si>
    <t>Essentials (16-oz format) has been a little bit of a drag; a work in progress expected to improve through the year - company not giving up on the format.</t>
  </si>
  <si>
    <t>The $25M Q4 net benefit is a pull-forward out of Q1 into Q4 - Cherry Bomb LTO (a Q1 scanner phenomenon) was loaded into Pepsi in December; that revenue captured in December, absent from Q1. Cautious against expecting additional pipe-fill.</t>
  </si>
  <si>
    <t>Celsius scanner now looks very similar to the sell-in to Pepsi; Alani days-on-hand expected to stay roughly linear (a function of sell-through), mitigating inventory swings.</t>
  </si>
  <si>
    <t>Pepsi captaincy lets Celsius be the insights/growth/marketing engine of the energy category while Pepsi provides world-class DSD; manages planograms for Pepsi-controlled coolers nationwide.</t>
  </si>
  <si>
    <t>Alani LTO success is about brand health and lifting the totality of the brand - LTOs address frequency in the existing base and recruit new users; three early-2025 LTOs (Cotton Candy, Sherbet Swirl, Strawberry Sunrise) became permanent SKUs.</t>
  </si>
  <si>
    <t>Cotton Candy is now the top-performing Alani SKU at only 40% ACV - significant upside; some LTOs (Witch's Brew, Winter Wonderland) are seasonal and not expected off-season.</t>
  </si>
  <si>
    <t>Coordinated multi-brand LTO cadence in 2026 so one of the three brands is always on promotion with minimal overlap - 2025 had preset Alani cadence causing overlap; expect Alani LTOs to be bigger.</t>
  </si>
  <si>
    <t>Alani has massive opportunity - outpaced expectations; planogram resets occur January through May, so the company has 'barely scratched the surface'; Alani under-served in regions like New York City.</t>
  </si>
  <si>
    <t>Rockstar 2026 is a stabilization year - rationalize SKUs, refocus on a more male-heavy 16-oz consumer; goal is to get the business back into growth; brand incremental, different demographic.</t>
  </si>
  <si>
    <t>International is a huge global opportunity - Celsius Holdings at ~5% international vs. #2 player at ~40%; ramp builds over 3-5 years; Iberia launched March 2026; evaluating concentrate/license/franchise models alongside premium finished-goods.</t>
  </si>
  <si>
    <t>Same macro trends global - sugar-free growing, female consumer growing, functional beverage growing in all markets entered.</t>
  </si>
  <si>
    <t>Gross margin stair-steps Q1 to Q2 to back half (low 50s) - Q4 2025 carried one-time scrap/returns/freight from the old-to-new distribution transition; Alani baked into orbit model end of March, Rockstar a quarter behind.</t>
  </si>
  <si>
    <t>Aluminum/tariff increases kicked in back half of 2025, so 2026 partly rolls over that step-up rather than absorbing incremental cost; company does not currently source from the Middle East; 2027+ new capacity should more than offset.</t>
  </si>
  <si>
    <t>Multi-brand price-pack-promotion strategy enables RGM 'from an exponential level' - Alani as super premium, Celsius as premium, Rockstar as premium economy; promote against the competition, not on top of each other.</t>
  </si>
  <si>
    <t>No correlation found between gas prices/foot traffic and energy sales; foot traffic up in January/February; first couple of months of 2026 great for both brands.</t>
  </si>
  <si>
    <t>Capital allocation: invest in business growth (including international), pay down ~$700M debt, share buyback ($40M spent Q4, $260M remaining); M&amp;A on the table if value-additive.</t>
  </si>
  <si>
    <t>S&amp;M expected to stay 22-24% of revenue (not slowing investment - highly competitive space, private competitor 'dumping' money in); G&amp;A and promotional allowances are scale-leverage opportunities.</t>
  </si>
  <si>
    <t>Long-term gross margin drivers: cost of materials, freight lanes, tolling charges, second production line, vertical integration, RGM via promotional-pack strategy - clear line of sight to mid-50s GM.</t>
  </si>
  <si>
    <t>Category Growth &amp; Household Penetration</t>
  </si>
  <si>
    <t>Expected energy category growth in 2026 and how quickly the industry can close the household-penetration gap.</t>
  </si>
  <si>
    <t>No public category-growth view, but (per Mintel etc.) energy will continue to be the biggest beverage/CPG driver - pivoted from impulse to a daily lifestyle routine; 54% of LRB growth from energy, 85% of energy growth sugar-free; Celsius portfolio well positioned to grow.</t>
  </si>
  <si>
    <t>Gas Prices &amp; Convenience Channel Impact</t>
  </si>
  <si>
    <t>Whether higher gas prices/uneasy consumer affected convenience-channel volumes, and history of gas-price impact.</t>
  </si>
  <si>
    <t>First couple of months of 2026 great for both brands; convenience a huge opportunity for Alani and Celsius (singles a strong Celsius driver ~six months). Multiple reports (one from UBS) found no correlation between gas prices/foot traffic and sales; foot traffic up Jan/Feb; energy continues to grow.</t>
  </si>
  <si>
    <t>Sourcing of Sales / Adjacent Categories</t>
  </si>
  <si>
    <t>Whether growth is still sourced from adjacent categories and new consumers rather than category leaders.</t>
  </si>
  <si>
    <t>Energy still sourcing strongly from RTD and drip coffee (coffee players conditioned cold-caffeine consumption); retailers shrinking the beer case to allocate space to energy; sourcing from hydration, coffee, premium water across many occasions.</t>
  </si>
  <si>
    <t>PepsiCo Captaincy</t>
  </si>
  <si>
    <t>Explain the PepsiCo category captaincy, how it differs from operations several years ago, the biggest tangible benefits, and summer-season unlocks.</t>
  </si>
  <si>
    <t>Entered the Pepsi system in 2022; captaincy strengthens the partnership - Celsius acts as the insights/growth/marketing engine while Pepsi provides world-class DSD. Delivers priority periods and planogram management for Pepsi-controlled coolers nationwide; 'focus and structure so we can win together.'</t>
  </si>
  <si>
    <t>Celsius/Alani Overlap &amp; Core Celsius Slowdown</t>
  </si>
  <si>
    <t>What management learned about Celsius/Alani overlap given slowing core Celsius growth while Alani accelerates; why core trends weakened, Essentials underperformance, and whether this is a sign of things to come as comps harden.</t>
  </si>
  <si>
    <t>Crossover-consumer data showed no significant change over 12 months; products taste completely different, different female consumers. Core softness reflects a deliberate SKU rationalization - trimming the tail, lifting top-SKU ACV (low 80s toward mid-90s) and mid-50s flavors toward 80%+ - and lapping four Q1 2025 launches with zero in Q1 2026, with innovation layering in Q2-Q4. Brand is healthy (over 20% convenience growth most months); Essentials drag does not reflect Celsius's health.</t>
  </si>
  <si>
    <t>Essentials Brand Commitment</t>
  </si>
  <si>
    <t>Why Essentials has been weaker and how committed the company is to the brand.</t>
  </si>
  <si>
    <t>The 16-oz Essentials format serves a slightly different consumer and is important; company wants to avoid it being seen as just a value brand. A work in progress expected to improve through the year - 'certainly not giving up' on the format; confident in brand Celsius's health.</t>
  </si>
  <si>
    <t>Core Celsius Innovation Pipeline</t>
  </si>
  <si>
    <t>The core Celsius innovation pipeline - Fizz Free and flavors - and what investors should watch for.</t>
  </si>
  <si>
    <t>Phase III (non-carbonated Fizz Free line) is more a marketing campaign than true innovation, cycling SKUs to build TDP - two flavors launched last year sit at ~30% ACV with room to grow. Innovation is about cadence: as the Alani lime slush LTO winds down a Celsius LTO appears, then Alani, then Celsius - minimizing overlap. 2026 designed so one of the three brands is always on promotion with minimal overlap.</t>
  </si>
  <si>
    <t>Celsius LTO Strategy &amp; Learnings</t>
  </si>
  <si>
    <t>Key learnings from the Celsius LTO strategy and how they inform the go-forward approach.</t>
  </si>
  <si>
    <t>Alani's LTO success shows LTOs are about brand health and lifting the totality of the brand, not just the spike. The first Celsius LTO (Spritz Vibe) was a chance to 'dip our toe in the water' before migrating a line to Pepsi; Cherry Bomb for Alani was a successful follow-on. Expect Alani LTOs bigger (community more accustomed), but Celsius LTOs can still drive success and lift the portfolio.</t>
  </si>
  <si>
    <t>Alani LTO Strategy &amp; Franchise Effect</t>
  </si>
  <si>
    <t>The Alani Nu LTO strategy and what it does to the broader franchise; how LTOs become permanent SKUs.</t>
  </si>
  <si>
    <t>Alani LTOs create community excitement (consumers videotaping themselves wiping out inventory on TikTok), drive frequency in the existing base and recruit new users - Cotton Candy drove incredible excitement. Three early-2025 LTOs relaunched permanently; Cotton Candy now the top portfolio SKU at only 40% ACV. LTO-to-permanent decisions driven by velocity, consumer feedback, and SKU/ACV expansion opportunity; some LTOs (Witch's Brew, Winter Wonderland) are seasonal.</t>
  </si>
  <si>
    <t>Alani Nu Performance &amp; Growth Expectations</t>
  </si>
  <si>
    <t>How Alani Nu's performance compares to expectations and how to frame growth going forward given harder comps.</t>
  </si>
  <si>
    <t>Alani has massive opportunity and outpaced expectations - could reach a 9 or 10 share but not in under 12 months, mostly without the full power of the Pepsi system (only a couple of months). Planogram resets occur January-May, so 'barely scratched the surface'; Alani under-served in regions like New York City, strong in the central US - substantial future runway.</t>
  </si>
  <si>
    <t>LTO Specifics &amp; Cross-Brand Balance</t>
  </si>
  <si>
    <t>Specifics on LTOs into the summer selling season - number, size versus last year - and how Celsius and Alani LTO strategies are balanced.</t>
  </si>
  <si>
    <t>Do not believe Reddit speculation on LTO dates. Expect a similar number of Alani LTOs to 2025 (possible slight modification); for Celsius - which had only one LTO in 2025 - multiple LTOs in 2026, designed to drive frequency, generate excitement, recruit/re-recruit users. Potential back-half non-LTO innovation for Celsius; program expected to uplift the entire portfolio.</t>
  </si>
  <si>
    <t>Market Share &amp; Alani vs. Celsius</t>
  </si>
  <si>
    <t>With both brands gaining share, whether there is a world where Alani has a larger energy-drink share than Celsius.</t>
  </si>
  <si>
    <t>Brands are close on share now; encouraging path for Alani. Company moved from a single brand to a portfolio and manages for total portfolio health - growing Celsius and Alani, flattening Rockstar before regrowing. Celsius's goal is to get back to and exceed category growth, with foundational Q1 work and innovation layering. ~20 share 'is certainly not where we expect to finish the year.'</t>
  </si>
  <si>
    <t>Rockstar Opportunity &amp; Success Definition</t>
  </si>
  <si>
    <t>The Rockstar opportunity and what success looks like a year from now.</t>
  </si>
  <si>
    <t>2026 for Rockstar is about stabilizing the business - rationalizing SKUs, focusing on core SKUs that drive sales and the core male-heavy 16-oz consumer. Goal is to get Rockstar back into growth; the brand is incremental, targeting a different demographic. Company has people who built Rockstar and is going back to the tactics that 'made Rockstar, Rockstar.'</t>
  </si>
  <si>
    <t>International Strategy</t>
  </si>
  <si>
    <t>Update on the international strategy, takeaways from new markets like the UK, and how the company decides to make international a bigger priority.</t>
  </si>
  <si>
    <t>A ton of white space - #2 player ~40% international vs. Celsius Holdings ~5%. A new international leader (~four months in) is formalizing the global expansion plan, tweaked by the Alani/Rockstar acquisitions. Near-term focus is integrating those businesses and capturing the ~17% Celsius / 100%+ Alani shelf gains; larger international push builds over 3-5 years. Evaluating concentrate/license/franchise models; launched Iberia in March 2026.</t>
  </si>
  <si>
    <t>International Category Dynamics</t>
  </si>
  <si>
    <t>Whether the US energy dynamics (zero sugar, health/wellness, female/older consumers) represent the same opportunity outside the US.</t>
  </si>
  <si>
    <t>Absolutely - in all markets entered or evaluated, sugar-free is growing, the female consumer is growing, functional beverage is growing, driven by the same macro trends of healthy, better-for-you, functional, great-tasting energy.</t>
  </si>
  <si>
    <t>$25M Net Inventory Benefit &amp; Alani Reported vs. Tracked Growth</t>
  </si>
  <si>
    <t>Whether quarter-to-date shipments still in line with consumption (re the $25M Q4 benefit), how to think about Alani reported vs. tracked growth, and whether the prior inventory-correction dynamic could repeat.</t>
  </si>
  <si>
    <t>Celsius scanner now looks very similar to the sell-in to Pepsi. For Alani, the ~$25M Q4 net benefit is 'a pull forward out of Q1 into Q4' - the Cherry Bomb LTO (a Q1 scanner phenomenon) loaded into Pepsi in December, revenue captured in December, won't appear in Q1; big bulk of the $25M. Cautious against expecting additional pipe-fill; days-on-hand should stay roughly linear. Cited four years of Pepsi-system experience, Eric Hansen (26 yrs with Pepsi) as President, two new Pepsi-affiliated board members, and the captaincy - does not anticipate a repeat of the prior dynamic.</t>
  </si>
  <si>
    <t>Gross Margin Phasing</t>
  </si>
  <si>
    <t>Remind investors of the first-half vs. second-half gross margin phasing and what gives confidence in another year of margin expansion.</t>
  </si>
  <si>
    <t>Stair-step approach from Q4 - improving through Q1, Q2, back into the low 50s in the back half. Q4 2025 carried one-time scrap/returns/freight from the old-to-new distribution transition. Alani fully baked into the orbit model by end of March; by Q2 the baked-in Alani margin profile applies; Rockstar a quarter behind (acquired Aug 28, 2025), fully integrated by end Q2; back half benefits from orbit-model freight savings and supply-chain/scale raw-material savings.</t>
  </si>
  <si>
    <t>Aluminum / Midwest Premium Exposure</t>
  </si>
  <si>
    <t>How management manages aluminum / Midwest premium exposure going forward while integrating the two acquired brands.</t>
  </si>
  <si>
    <t>Alani and Rockstar pulled fully into Celsius's contracts/supply chain, so the same tactics apply and scale delivers savings to offset aluminum/tariffs. Aluminum/tariff increases kicked in back half 2025, so 2026 partly rolls over that step-up. Short-term Middle East uncertainty (~9% of global aluminum production; company does not currently source there) but comfortable short-term; 2027-2028 new capacity should more than offset, with levers available.</t>
  </si>
  <si>
    <t>Pricing &amp; Promo Optimization</t>
  </si>
  <si>
    <t>How management thinks about pricing and promo optimization for the Celsius portfolio in 2026 given more active competitive pricing, and balancing pricing against brand momentum.</t>
  </si>
  <si>
    <t>2026 planning very different from the historical single-brand approach - the portfolio enables a multi-brand price-pack-promotion strategy and RGM 'from an exponential level.' Core principles: don't promote on top of each other, promote against the competition. Positioning Alani as super premium, Celsius as premium, Rockstar as premium economy; pricing by channel, retailer, demographic, region.</t>
  </si>
  <si>
    <t>Long-Term Gross Margin Drivers</t>
  </si>
  <si>
    <t>The two or three most important drivers to get from current gross margin to target, and how quickly the mid-50s gross margin can be achieved.</t>
  </si>
  <si>
    <t>Reiterated the 'handful of years' timeline for the mid-50s. Drivers: cost of materials, freight lanes, tolling charges with manufacturers; a second production line online back half 2026 (Q4) adding margin/efficiency from running two lines in one plant; vertical-integration COGS savings; and RGM as a big margin opportunity via the promotional-pack strategy.</t>
  </si>
  <si>
    <t>Selling &amp; Marketing / SG&amp;A Leverage</t>
  </si>
  <si>
    <t>The right level of sales-and-marketing investment as the business matures into a multi-brand portfolio, and where the most efficiency opportunity lies.</t>
  </si>
  <si>
    <t>Would not slow S&amp;M investment given the highly competitive space (two biggest players invest heavily, private one 'dumping' money in) and the need to fuel growth. Historically S&amp;M 22-24% of revenue, expected to stay in that neighborhood near-term, with continued investment in salespeople ('win in the streets'). G&amp;A is a scale-leverage opportunity; promotional allowances (above the line) another area to improve margins.</t>
  </si>
  <si>
    <t>Capital Allocation Priorities</t>
  </si>
  <si>
    <t>How management thinks about capital allocation priorities as free cash flow normalizes with the Alani integration largely behind by midyear.</t>
  </si>
  <si>
    <t>A high cash-generating business that will keep building cash. Priorities: invest in business growth (including turning up international investment as Garrett joins and the Dublin team scales); pay down ~$700M of debt; share buyback ($40M spent Q4, $260M remaining). M&amp;A remains on the table opportunistically if value-additive.</t>
  </si>
  <si>
    <t>CELH Q1 2026 Earnings Call</t>
  </si>
  <si>
    <t>2026-05-07</t>
  </si>
  <si>
    <t>Revenue by Brand ($M)</t>
  </si>
  <si>
    <t>~60% pro forma</t>
  </si>
  <si>
    <t>Alani Nu Scanner-to-Reported Bridge</t>
  </si>
  <si>
    <t>Reported scanner growth</t>
  </si>
  <si>
    <t>Clean scanner growth (ex-Cherry Bomb timing)</t>
  </si>
  <si>
    <t>Q1 2025 RTD US energy revenue (bridge base, $M)</t>
  </si>
  <si>
    <t>Implied organic Q1 2026 RTD revenue ($M)</t>
  </si>
  <si>
    <t>Canada / non-US energy add-back ($M)</t>
  </si>
  <si>
    <t>Non-cash GAAP amortization in bridge ($M)</t>
  </si>
  <si>
    <t>Celsius brand distribution-amortization impact ($M/quarter)</t>
  </si>
  <si>
    <t>Q1 2025 / Q4 2025</t>
  </si>
  <si>
    <t>~48.3%</t>
  </si>
  <si>
    <t>Q4 ~47.4%</t>
  </si>
  <si>
    <t>+~90 bps vs Q4</t>
  </si>
  <si>
    <t>~26.4%</t>
  </si>
  <si>
    <t>Q4 31.8%</t>
  </si>
  <si>
    <t>-540 bps vs Q4</t>
  </si>
  <si>
    <t>GAAP Net Income ($M)</t>
  </si>
  <si>
    <t>~150%</t>
  </si>
  <si>
    <t>~+$125M</t>
  </si>
  <si>
    <t>24.9%</t>
  </si>
  <si>
    <t>+~370 bps</t>
  </si>
  <si>
    <t>Share / Other Metrics</t>
  </si>
  <si>
    <t>Portfolio dollar share (4 wks ending Apr 12)</t>
  </si>
  <si>
    <t>20.9%</t>
  </si>
  <si>
    <t>Portfolio US share (intra-Q2)</t>
  </si>
  <si>
    <t>~21%</t>
  </si>
  <si>
    <t>Alani Nu integration synergies captured</t>
  </si>
  <si>
    <t>Q1 share repurchases</t>
  </si>
  <si>
    <t>~700,000 shares / $24.1M @ $35.39 avg</t>
  </si>
  <si>
    <t>Repurchase authorization remaining (of $300M)</t>
  </si>
  <si>
    <t>$236.1M</t>
  </si>
  <si>
    <t>Convenience/impulse share of energy sales (historical)</t>
  </si>
  <si>
    <t>over 60%</t>
  </si>
  <si>
    <t>Celsius brand space gains</t>
  </si>
  <si>
    <t>Summer 2026</t>
  </si>
  <si>
    <t>Alani Nu space gains</t>
  </si>
  <si>
    <t>over 100% (all channels)</t>
  </si>
  <si>
    <t>Rockstar shelf space</t>
  </si>
  <si>
    <t>maintained net space</t>
  </si>
  <si>
    <t>2026</t>
  </si>
  <si>
    <t>Gross margin target</t>
  </si>
  <si>
    <t>low-50s (timing commodity-dependent)</t>
  </si>
  <si>
    <t>balance of 2026</t>
  </si>
  <si>
    <t>Q2 gross margin</t>
  </si>
  <si>
    <t>side step (roughly flat vs Q1)</t>
  </si>
  <si>
    <t>Q3/Q4 gross margin</t>
  </si>
  <si>
    <t>stair step up toward low-50s</t>
  </si>
  <si>
    <t>Q3/Q4 2026</t>
  </si>
  <si>
    <t>H1 2026 (2026 a stabilization year)</t>
  </si>
  <si>
    <t>Second NC manufacturing line</t>
  </si>
  <si>
    <t>back-half 2026 benefit, full benefit 2027</t>
  </si>
  <si>
    <t>H2 2026 / 2027</t>
  </si>
  <si>
    <t>Record Q1 revenue of $783M framed as proof the multi-brand portfolio strategy (Celsius, Alani Nu, Rockstar) is working; portfolio ~20% of the US energy market, two $1B brands.</t>
  </si>
  <si>
    <t>Alani Nu integration complete with the full ~$50M of targeted synergies captured - a major milestone simplifying the operating model.</t>
  </si>
  <si>
    <t>Alani Nu pro forma growth ~60% reported (~85% clean scanner); CFO provided a detailed scanner-to-reported bridge (Cherry Bomb timing, DSD mix, Canada/non-US add-backs, ~$5M non-cash GAAP item).</t>
  </si>
  <si>
    <t>Celsius brand grew only ~6% - analysts pressed on the moderation; management redirected to portfolio share gains and did not quantify cannibalization, innovation-timing or SKU-rationalization drags.</t>
  </si>
  <si>
    <t>SKU optimization J-curve - reduction runs ahead of the ACV build; plays out over a couple of quarters; TDPs soften as total SKUs decline while space gains add holding power.</t>
  </si>
  <si>
    <t>Q1 Celsius innovation deliberately focused on assortment prioritization; moving into a more active period - Electric Vibe LTO live, a summer Celsius LTO planned.</t>
  </si>
  <si>
    <t>Alani Nu Lime Slush LTO became the brand's top-selling tracked-channel flavor (following Cherry Bomb) - proof the flavor-rotation model is durable and not hero-flavor dependent.</t>
  </si>
  <si>
    <t>Celsius Fizz-Free emerging as a meaningful platform - broadly distributed but early in item-per-store; SKUs optimized at higher velocity while scaling ACV.</t>
  </si>
  <si>
    <t>Rockstar in a 2026 stabilization year - SKU reconfiguration substantially complete, early signs of improved core-item velocities; integration on track for H1 2026 completion.</t>
  </si>
  <si>
    <t>Operating leverage strong - adjusted EBITDA margin up ~370 bps to 24.9%, GAAP net income more than doubled to $110M; adjusted SG&amp;A down to 26.4% from 31.8% in Q4.</t>
  </si>
  <si>
    <t>Q1 gross margin ~48.3% (+~90 bps vs Q4) hit by discrete costs - severe Northeast winter weather freight/freeze protection, Rockstar inventory rebalancing freight, rising Midwest aluminum premium and LME.</t>
  </si>
  <si>
    <t>Path back to low-50s gross margin reaffirmed but timing/sequencing conditional on sustained commodity costs; Q2 a side step, Q3/Q4 a stair step up, continuing into 2027.</t>
  </si>
  <si>
    <t>Company fully locked on aluminum conversion with price locks on other ingredients/vitamins; extending coverage into 2027-2028.</t>
  </si>
  <si>
    <t>Margin catalysts: second NC manufacturing line (back-half 2026 benefit, full 2027), vertical integration and direct sourcing (2027+), price pack architecture (initial H2 2026, more 2027-2028).</t>
  </si>
  <si>
    <t>First quarter managing the portfolio under PepsiCo category captaincy - unlocking food service and non-reported channels; food service mix difficult to break out.</t>
  </si>
  <si>
    <t>Reaffirmed CAGNY space gains (~17% Celsius, over 100% Alani Nu); resets to be largely finalized through May-June; retailers leaning into energy, cold space expanding rapidly.</t>
  </si>
  <si>
    <t>International expansion: Celsius launched in Spain via Suntory, Portugal next; Dublin global HQ established; partnerships incl Aston Martin Aramco F1, Palm Tree Music Festival, 23XI Racing.</t>
  </si>
  <si>
    <t>Capital allocation grounded in three priorities - invest behind brands/integration, maintain balance sheet strength, return capital; buyback continuing in Q2.</t>
  </si>
  <si>
    <t>Tone confident, disciplined, execution-focused; entering peak summer selling season well positioned.</t>
  </si>
  <si>
    <t>Celsius brand growth drivers &amp; outlook</t>
  </si>
  <si>
    <t>More color on the moderating Celsius brand growth - frame or quantify the impact of limited Q1 innovation vs last year, SKU rationalization, and assumed Alani Nu cannibalization, and how to think about Celsius growth for the rest of the year.</t>
  </si>
  <si>
    <t>Emphasized the Fizz-Free opportunity (velocity and takeaway increasing in Q1) and that SKU optimization carries a timing sequence as slower items are removed; optimization plays out over a couple of quarters with reduction ahead of the ACV build; two Celsius LTOs in coming months (Electric Vibe now, another in summer); TDPs soften while space gains add holding power; did NOT quantify the drags as asked.</t>
  </si>
  <si>
    <t>Alani Nu revenue bridge &amp; Pepsi-system shipment quality</t>
  </si>
  <si>
    <t>Was there a shipment benefit or inventory build in the quarter, or is the delta just the impact of promo and allowances as Alani Nu moves into the Pepsi system?</t>
  </si>
  <si>
    <t>Increased orders referred to building ACV across Q1 - expanding SKUs per location and total locations - which drove scanner growth and internal GAAP numbers; explained DSD-to-direct mix nuances (Celsius had a smaller direct business at its move-in and took pricing in 2022); a ~$5M non-cash GAAP amortization item is in the Alani Nu bridge vs ~$1M/quarter for Celsius.</t>
  </si>
  <si>
    <t>Shelf space gains: food service mix &amp; Alani Nu realization timing</t>
  </si>
  <si>
    <t>For Celsius, how much of the ~17% gain is food service vs tracked channels; for Alani Nu, how far along the over-100% gas-and-convenience space gains are and when more flows through tracked channels.</t>
  </si>
  <si>
    <t>Energy one of the fastest-growing within LRB, retailers leaning in (over 60% of sales historically convenience impulse); retailers anticipate adding significant energy space, cold space expanding rapidly; Alani Nu space largely in place, resets finalized through May-June, almost fully done before summer; food service difficult to break out (sometimes zero-sum); first quarter managing the portfolio under PepsiCo captaincy unlocked food service and non-reported channels.</t>
  </si>
  <si>
    <t>LTO strategy: new innovation vs recurring hero flavors</t>
  </si>
  <si>
    <t>Given the success of LTOs like Cherry Bomb and Lime Slush, how does management balance new flavor innovation against bringing the same popular flavors back every year?</t>
  </si>
  <si>
    <t>LTO strategy provides optionality in portfolio leveraging, forecasting and planning - enables surprise and delight (especially Alani Nu) and leverages seasonal trends; successful LTOs generate trial/feedback that can become permanent SKUs at mid-year resets or the new season; Cherry Bomb was the first LTO in the Pepsi system, then Lime Slush, now Electric Vibe, with a variety more in H2; portfolio holds a ~21% US share.</t>
  </si>
  <si>
    <t>Gross margin path &amp; aluminum cost sensitivity (12-18 month trajectory)</t>
  </si>
  <si>
    <t>Peter Galbo (Bank of America)</t>
  </si>
  <si>
    <t>With Midwest premium and LME moving up, how to think about the margin trajectory if there is a resolution to the conflict and potential downside for aluminum, over the next ~18 months.</t>
  </si>
  <si>
    <t>Q1 gross margin ~48.3% (+~90 bps vs Q4); discrete offsets - Northeast winter weather freight, Rockstar inventory rebalancing freight, rising LME/Midwest premium - the first two largely behind the company by Q2, aluminum premium more impactful in Q2 since it spiked in March; fully locked on aluminum conversion with price locks on other ingredients, extending coverage to 2027-2028; clear path back to low-50s but timing/sequencing conditional; second NC line in H2 (full benefit 2027), vertical integration/direct sourcing 2027+, price pack architecture 2027-2028; Q2 a side step, Q3/Q4 a stair step up.</t>
  </si>
  <si>
    <t>Comparable-basis Celsius performance, cannibalization &amp; sequential margin</t>
  </si>
  <si>
    <t>On a comparable basis, how have well-set Celsius planogram locations performed; has Alani/Celsius cannibalization phased off or should the company be modeled as a portfolio; and does 'side step' mean Q2 flattish vs Q1 with Q3 margin above 50%?</t>
  </si>
  <si>
    <t>Bullish on the Celsius portfolio's unique consumer segment; rational optimization of slower items driving consistency, optimized SKUs showing increased velocity alongside larger ACV gains; stressed consistent flavors/SKUs across retailers as a repeat-purchase driver; Fizz-Free a Q1 success; confirmed a sidestep in overall margin Q1 to Q2 with further enhancement opportunities Q3/Q4 toward the low-50% target; did not directly quantify comparable-basis planogram performance or confirm an above-50% Q3 margin.</t>
  </si>
  <si>
    <t>54% of Liquid Refresher Beverages coming out of energy</t>
  </si>
  <si>
    <t>85% of growth within energy is sugar free</t>
  </si>
  <si>
    <t>Convenience single consumption main driver of growth for both brands, especially alani</t>
  </si>
  <si>
    <t>Seeing growth from multiple segments / consumer categories hydration, coffee, premium water)</t>
  </si>
  <si>
    <t>Alani growth was 70-75% when acquired / before</t>
  </si>
  <si>
    <t>Continue using LTOs to drive growth and brand breadth</t>
  </si>
  <si>
    <t>Ton of upside for LTO used as toe in water for new flavor launches. Major growth point for Alani</t>
  </si>
  <si>
    <t>Alani growth in YTD period has MOSTLY been off the pepsi distribution system…Only a couple months on so far (LOOK INTO WHEN THEY GOT ON THE DISTRIBUTION SYSTEM)</t>
  </si>
  <si>
    <t>Expecting multiple LTOs for Celsius this year</t>
  </si>
  <si>
    <t>17% shelf space and 100 plus percent shelf space for Celsius and Alani (expected shelf space growth?)</t>
  </si>
  <si>
    <t>Sees a huge global opportunity and will see more activity in 3-5 years</t>
  </si>
  <si>
    <t>$25M in net inventory benefit from sell in from Alani. Often with LTO brands will recognize revenue when loaded onto pepsi distribution network</t>
  </si>
  <si>
    <t>expecting to stabilize inventory on pepsi network</t>
  </si>
  <si>
    <t>Can use scale to generate savings from aluminum cost increases related to inflation</t>
  </si>
  <si>
    <t>Consider Alani super premium brand</t>
  </si>
  <si>
    <t>CLEAR LINE OF SIGHT TO Mid 50% gross margins</t>
  </si>
  <si>
    <t>Generate material savings through scale and additional opportunity in freight lanes</t>
  </si>
  <si>
    <t>RGM  big opportunity with promotional pack strategy</t>
  </si>
  <si>
    <t>Built out second manufacturing line in their plant for scale</t>
  </si>
  <si>
    <t>Not expecting on slowing down sales and marketing</t>
  </si>
  <si>
    <t>Anticipating SG&amp;A in same 22-24% of revenue area</t>
  </si>
  <si>
    <t>Investing in International business is a strong capital allocaiton priority</t>
  </si>
  <si>
    <t>Looking to pay down about $700M in debt and spent about $40 million on sharebuybucks so have $260 million left on that</t>
  </si>
  <si>
    <t>Q4 2025 Earnings Call</t>
  </si>
  <si>
    <t>Driving GM growth through economies of scale / pricing on raw materials midwest aluminium - Analyze tarriff impact</t>
  </si>
  <si>
    <t>Don't think alani is replacing brands but rather category is expanding materially in the subsegment that they serve</t>
  </si>
  <si>
    <t>Rockstar</t>
  </si>
  <si>
    <t>4Q2025</t>
  </si>
  <si>
    <t>4Q2024</t>
  </si>
  <si>
    <t>QoQ Growth</t>
  </si>
  <si>
    <t>Triple digit growth first 6-8 weeks on Alani debut LTO</t>
  </si>
  <si>
    <t>GAAP Sales</t>
  </si>
  <si>
    <t>Cannibalization as Alani moves onto Pepsi network</t>
  </si>
  <si>
    <t>Scanner Data</t>
  </si>
  <si>
    <t>CELSIUS</t>
  </si>
  <si>
    <t>Yoy Growth</t>
  </si>
  <si>
    <t>Consolidated</t>
  </si>
  <si>
    <t>Distributor Termenation Fee Adjustment</t>
  </si>
  <si>
    <t>Administrative</t>
  </si>
  <si>
    <t>Acquisition Cost Adjustment</t>
  </si>
  <si>
    <t>Celsius Space Gains 2026</t>
  </si>
  <si>
    <t>Alani Space Gains 2026</t>
  </si>
  <si>
    <t xml:space="preserve"> </t>
  </si>
  <si>
    <t>3Q25</t>
  </si>
  <si>
    <t>Celsisus</t>
  </si>
  <si>
    <t>Yoy</t>
  </si>
  <si>
    <t xml:space="preserve">Combine Market Share of Portfolio </t>
  </si>
  <si>
    <t>Growth</t>
  </si>
  <si>
    <t xml:space="preserve">Celsius Brand Scanner Growth </t>
  </si>
  <si>
    <t>Celsius Brand Revenue Growth</t>
  </si>
  <si>
    <t>YTD</t>
  </si>
  <si>
    <t>Celsius Revenue</t>
  </si>
  <si>
    <t>Alani was pretty much the rest</t>
  </si>
  <si>
    <t>4Q25 Forecast</t>
  </si>
  <si>
    <t>Distributor Termination Fee</t>
  </si>
  <si>
    <t>Sales and Marketing (% sales)</t>
  </si>
  <si>
    <t>General and Aministrative (% sales)</t>
  </si>
  <si>
    <t>Yoy growth</t>
  </si>
  <si>
    <t>Quarter Debt reduction</t>
  </si>
  <si>
    <t>Interest Expense reduction</t>
  </si>
  <si>
    <t>Supply chain not optimized with new Alani integration. Need to optimize co-packing facilities, procurement logistics, freight lanes etc.</t>
  </si>
  <si>
    <t>Basically margin drag on integration of new product lines</t>
  </si>
  <si>
    <t>Expecting margin improvements from Rockstar in 1H26</t>
  </si>
  <si>
    <t>Plan on leaning into international further in 2026</t>
  </si>
  <si>
    <t>CELH -- Structural Disclosure Tables</t>
  </si>
  <si>
    <t>Source: CELH 10-K + 10-Q iXBRL filings. Axis-driven extraction. $ in filer's reporting unit.</t>
  </si>
  <si>
    <t>1. SEGMENT P&amp;L  ($ in thousands)</t>
  </si>
  <si>
    <t>Metric / Segment</t>
  </si>
  <si>
    <t xml:space="preserve">  Celsius (single segment)</t>
  </si>
  <si>
    <t>Operating Income</t>
  </si>
  <si>
    <t>2. GEOGRAPHY (REVENUE + LONG-LIVED ASSETS)  ($ in thousands)</t>
  </si>
  <si>
    <t xml:space="preserve">  North America</t>
  </si>
  <si>
    <t xml:space="preserve">  Europe</t>
  </si>
  <si>
    <t xml:space="preserve">  Sweden</t>
  </si>
  <si>
    <t xml:space="preserve">  Asia Pacific</t>
  </si>
  <si>
    <t xml:space="preserve">  Other (geography)</t>
  </si>
  <si>
    <t xml:space="preserve">  Asia</t>
  </si>
  <si>
    <t>Long-Lived Assets</t>
  </si>
  <si>
    <t xml:space="preserve">  Foreign Ops (ex-IE/SE/FI)</t>
  </si>
  <si>
    <t xml:space="preserve">  Finland</t>
  </si>
  <si>
    <t xml:space="preserve">  International (ex-NA)</t>
  </si>
  <si>
    <t xml:space="preserve">  Non-North America (rolled up)</t>
  </si>
  <si>
    <t xml:space="preserve">  Ireland</t>
  </si>
  <si>
    <t>25. CUSTOMER CONCENTRATION (% OF REVENUE)  (% values)</t>
  </si>
  <si>
    <t>% of Revenue</t>
  </si>
  <si>
    <t xml:space="preserve">  PepsiCo Inc.</t>
  </si>
  <si>
    <t xml:space="preserve">  All Other</t>
  </si>
  <si>
    <t xml:space="preserve">  Costco</t>
  </si>
  <si>
    <t xml:space="preserve">  Amazon</t>
  </si>
  <si>
    <t>3. M&amp;A PRO FORMA + ACQUISITION CONTRIBUTION  ($ in thousands)</t>
  </si>
  <si>
    <t>Pro Forma Revenue</t>
  </si>
  <si>
    <t xml:space="preserve">  Alani Nu + Rockstar (combined)</t>
  </si>
  <si>
    <t xml:space="preserve">  Alani Nu</t>
  </si>
  <si>
    <t>Pro Forma Net Income</t>
  </si>
  <si>
    <t>Purchase Price</t>
  </si>
  <si>
    <t xml:space="preserve">  Rockstar</t>
  </si>
  <si>
    <t>4. DEBT SCHEDULE  (mixed: $ in thousands, % / counts as labeled)</t>
  </si>
  <si>
    <t>Carrying Amount</t>
  </si>
  <si>
    <t xml:space="preserve">  Term Loan Facility</t>
  </si>
  <si>
    <t>Effective Rate</t>
  </si>
  <si>
    <t>5. STOCK-BASED COMPENSATION BY AWARD TYPE  (mixed: $ in thousands, % / counts as labeled)</t>
  </si>
  <si>
    <t>Wtd Avg Grant FV (per share)</t>
  </si>
  <si>
    <t xml:space="preserve">  RSUs</t>
  </si>
  <si>
    <t xml:space="preserve">  PSUs</t>
  </si>
  <si>
    <t>Shares Granted #</t>
  </si>
  <si>
    <t xml:space="preserve">  RSUs + PSUs (combined)</t>
  </si>
  <si>
    <t xml:space="preserve">  Restricted Stock</t>
  </si>
  <si>
    <t xml:space="preserve">  Non-Employee Consultant Awards</t>
  </si>
  <si>
    <t>Shares Vested #</t>
  </si>
  <si>
    <t>7. PP&amp;E BY CLASS  (mixed: $ in thousands, % / counts as labeled)</t>
  </si>
  <si>
    <t>Gross PP&amp;E</t>
  </si>
  <si>
    <t xml:space="preserve">  Merchandising Equipment / Coolers</t>
  </si>
  <si>
    <t xml:space="preserve">  Vehicles</t>
  </si>
  <si>
    <t xml:space="preserve">  Machinery &amp; Equipment</t>
  </si>
  <si>
    <t xml:space="preserve">  Office Equipment</t>
  </si>
  <si>
    <t xml:space="preserve">  Leasehold Improvements</t>
  </si>
  <si>
    <t xml:space="preserve">  Construction in Progress</t>
  </si>
  <si>
    <t>8. INTANGIBLES BY CLASS  (mixed: $ in thousands, % / counts as labeled)</t>
  </si>
  <si>
    <t>Gross</t>
  </si>
  <si>
    <t xml:space="preserve">  Customer Relationships</t>
  </si>
  <si>
    <t xml:space="preserve">  Brands</t>
  </si>
  <si>
    <t>X. FILER-SPECIFIC (NOT STANDARDIZED CROSS-TICKER)</t>
  </si>
  <si>
    <t>Hand-curated content from mda_narrative.json. Filer-specific by design.</t>
  </si>
  <si>
    <t>(empty — populate Ticker Libraries/{TICKER}/MDA and Other/mda_narrative.json)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</si>
</sst>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5" formatCode="&quot;$&quot;#,##0_);\(&quot;$&quot;#,##0\)"/>
    <numFmt numFmtId="7" formatCode="&quot;$&quot;#,##0.00_);\(&quot;$&quot;#,##0.00\)"/>
    <numFmt numFmtId="164" formatCode="#,##0;\(#,##0\);&quot;--&quot;"/>
    <numFmt numFmtId="165" formatCode="0.0%;\(0.0%\);&quot;--&quot;"/>
    <numFmt numFmtId="166" formatCode="\$#,##0.00;\(\$#,##0.00\);&quot;--&quot;"/>
    <numFmt numFmtId="167" formatCode="&quot;$&quot;#,##0"/>
    <numFmt numFmtId="168" formatCode="0.0%;\(0.0%\)"/>
    <numFmt numFmtId="169" formatCode="0.0%"/>
  </numFmts>
  <fonts count="18" x14ac:knownFonts="1">
    <font>
      <sz val="11"/>
      <color theme="1"/>
      <name val="Calibri"/>
      <family val="2"/>
      <scheme val="minor"/>
    </font>
    <font>
      <b/>
      <sz val="14"/>
      <name val="Calibri"/>
      <family val="2"/>
    </font>
    <font>
      <i/>
      <sz val="9"/>
      <color rgb="FF595959"/>
      <name val="Calibri"/>
      <family val="2"/>
    </font>
    <font>
      <b/>
      <sz val="11"/>
      <color rgb="FF1F4E79"/>
      <name val="Calibri"/>
      <family val="2"/>
    </font>
    <font>
      <b/>
      <sz val="10"/>
      <name val="Calibri"/>
      <family val="2"/>
    </font>
    <font>
      <b/>
      <sz val="10"/>
      <color rgb="FF595959"/>
      <name val="Calibri"/>
      <family val="2"/>
    </font>
    <font>
      <sz val="10"/>
      <color rgb="FF404040"/>
      <name val="Calibri"/>
      <family val="2"/>
    </font>
    <font>
      <sz val="10"/>
      <name val="Calibri"/>
      <family val="2"/>
    </font>
    <font>
      <b/>
      <sz val="11"/>
      <color theme="1"/>
      <name val="Calibri"/>
      <family val="2"/>
      <scheme val="minor"/>
    </font>
    <font>
      <sz val="11"/>
      <color rgb="FF0000FF"/>
      <name val="Calibri"/>
      <family val="2"/>
      <scheme val="minor"/>
    </font>
    <font>
      <sz val="11"/>
      <name val="Calibri"/>
      <family val="2"/>
      <scheme val="minor"/>
    </font>
    <font>
      <b/>
      <sz val="11"/>
      <name val="Calibri"/>
    </font>
    <font>
      <b/>
      <sz val="11"/>
      <name val="Calibri"/>
    </font>
    <font>
      <b/>
      <sz val="12"/>
      <name val="Calibri"/>
    </font>
    <font>
      <i/>
      <sz val="9"/>
      <color rgb="FF808080"/>
      <name val="Calibri"/>
    </font>
    <font>
      <b/>
      <sz val="11"/>
      <color rgb="FFFFFFFF"/>
      <name val="Calibri"/>
    </font>
    <font>
      <b/>
      <sz val="11"/>
      <name val="Calibri"/>
    </font>
    <font>
      <b/>
      <i/>
      <sz val="9"/>
      <name val="Calibri"/>
    </font>
  </fonts>
  <fills count="5">
    <fill>
      <patternFill patternType="none"/>
    </fill>
    <fill>
      <patternFill patternType="gray125"/>
    </fill>
    <fill>
      <patternFill patternType="solid">
        <fgColor rgb="FFD9D9D9"/>
      </patternFill>
    </fill>
    <fill>
      <patternFill patternType="solid">
        <fgColor rgb="FF1F4E78"/>
      </patternFill>
    </fill>
    <fill>
      <patternFill patternType="solid">
        <fgColor rgb="FFD9D9D9"/>
      </patternFill>
    </fill>
  </fills>
  <borders count="4">
    <border>
      <left/>
      <right/>
      <top/>
      <bottom/>
      <diagonal/>
    </border>
    <border>
      <left/>
      <right/>
      <top style="thin">
        <color rgb="FF000000"/>
      </top>
      <bottom/>
      <diagonal/>
    </border>
    <border>
      <left/>
      <right/>
      <top/>
      <bottom style="thin">
        <color rgb="FF000000"/>
      </bottom>
      <diagonal/>
    </border>
    <border>
      <left/>
      <right/>
      <top style="thin">
        <color indexed="64"/>
      </top>
      <bottom/>
      <diagonal/>
    </border>
  </borders>
  <cellStyleXfs count="1">
    <xf numFmtId="0" fontId="0" fillId="0" borderId="0"/>
  </cellStyleXfs>
  <cellXfs count="33">
    <xf numFmtId="0" fontId="0" fillId="0" borderId="0" xfId="0"/>
    <xf numFmtId="0" fontId="1" fillId="0" borderId="0" xfId="0" applyFont="1"/>
    <xf numFmtId="0" fontId="2" fillId="0" borderId="0" xfId="0" applyFont="1"/>
    <xf numFmtId="0" fontId="3" fillId="0" borderId="1" xfId="0" applyFont="1" applyBorder="1"/>
    <xf numFmtId="0" fontId="4" fillId="0" borderId="0" xfId="0" applyFont="1"/>
    <xf numFmtId="0" fontId="4" fillId="0" borderId="2" xfId="0" applyFont="1" applyBorder="1" applyAlignment="1">
      <alignment horizontal="center"/>
    </xf>
    <xf numFmtId="0" fontId="5" fillId="0" borderId="0" xfId="0" applyFont="1"/>
    <xf numFmtId="0" fontId="6" fillId="0" borderId="0" xfId="0" applyFont="1"/>
    <xf numFmtId="164" fontId="7" fillId="0" borderId="0" xfId="0" applyNumberFormat="1" applyFont="1"/>
    <xf numFmtId="165" fontId="7" fillId="0" borderId="0" xfId="0" applyNumberFormat="1" applyFont="1"/>
    <xf numFmtId="166" fontId="7" fillId="0" borderId="0" xfId="0" applyNumberFormat="1" applyFont="1"/>
    <xf numFmtId="0" fontId="8" fillId="0" borderId="0" xfId="0" applyFont="1"/>
    <xf numFmtId="14" fontId="8" fillId="0" borderId="0" xfId="0" applyNumberFormat="1" applyFont="1"/>
    <xf numFmtId="0" fontId="0" fillId="0" borderId="3" xfId="0" applyBorder="1"/>
    <xf numFmtId="167" fontId="0" fillId="0" borderId="0" xfId="0" applyNumberFormat="1"/>
    <xf numFmtId="167" fontId="9" fillId="0" borderId="0" xfId="0" applyNumberFormat="1" applyFont="1"/>
    <xf numFmtId="9" fontId="9" fillId="0" borderId="0" xfId="0" applyNumberFormat="1" applyFont="1"/>
    <xf numFmtId="168" fontId="9" fillId="0" borderId="0" xfId="0" applyNumberFormat="1" applyFont="1"/>
    <xf numFmtId="5" fontId="9" fillId="0" borderId="0" xfId="0" applyNumberFormat="1" applyFont="1"/>
    <xf numFmtId="5" fontId="10" fillId="0" borderId="3" xfId="0" applyNumberFormat="1" applyFont="1" applyBorder="1"/>
    <xf numFmtId="5" fontId="10" fillId="0" borderId="0" xfId="0" applyNumberFormat="1" applyFont="1"/>
    <xf numFmtId="167" fontId="0" fillId="0" borderId="3" xfId="0" applyNumberFormat="1" applyBorder="1"/>
    <xf numFmtId="7" fontId="0" fillId="0" borderId="0" xfId="0" applyNumberFormat="1"/>
    <xf numFmtId="9" fontId="9" fillId="0" borderId="0" xfId="0" applyNumberFormat="1" applyFont="1" applyAlignment="1">
      <alignment horizontal="right"/>
    </xf>
    <xf numFmtId="0" fontId="11" fillId="0" borderId="0" xfId="0" applyFont="1"/>
    <xf numFmtId="0" fontId="12" fillId="2" borderId="0" xfId="0" applyFont="1" applyFill="1"/>
    <xf numFmtId="0" fontId="13" fillId="0" borderId="0" xfId="0" applyFont="1"/>
    <xf numFmtId="0" fontId="14" fillId="0" borderId="0" xfId="0" applyFont="1"/>
    <xf numFmtId="0" fontId="15" fillId="3" borderId="0" xfId="0" applyFont="1" applyFill="1" applyAlignment="1">
      <alignment horizontal="center"/>
    </xf>
    <xf numFmtId="0" fontId="16" fillId="0" borderId="0" xfId="0" applyFont="1"/>
    <xf numFmtId="0" fontId="17" fillId="4" borderId="0" xfId="0" applyFont="1" applyFill="1"/>
    <xf numFmtId="0" fontId="0" fillId="4" borderId="0" xfId="0" applyFill="1"/>
    <xf numFmtId="169"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calcChain" Target="calcChain.xml"/><Relationship Id="rId7" Type="http://schemas.openxmlformats.org/officeDocument/2006/relationships/worksheet" Target="worksheets/sheet7.xml"/><Relationship Id="rId71" Type="http://schemas.openxmlformats.org/officeDocument/2006/relationships/worksheet" Target="worksheets/sheet7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Q140"/>
  <sheetViews>
    <sheetView tabSelected="1" workbookViewId="0">
      <pane xSplit="1" ySplit="4" topLeftCell="B5" activePane="bottomRight" state="frozen"/>
      <selection pane="topRight"/>
      <selection pane="bottomLeft"/>
      <selection pane="bottomRight" activeCell="AK45" sqref="AK45"/>
    </sheetView>
  </sheetViews>
  <sheetFormatPr defaultRowHeight="14.4" x14ac:dyDescent="0.3"/>
  <cols>
    <col min="1" max="1" width="38" customWidth="1"/>
    <col min="2" max="43" width="11" customWidth="1"/>
  </cols>
  <sheetData>
    <row r="1" spans="1:43" ht="15.6" x14ac:dyDescent="0.3">
      <c r="A1" s="26" t="s">
        <v>0</v>
      </c>
    </row>
    <row r="2" spans="1:43" x14ac:dyDescent="0.3">
      <c r="A2" s="27" t="s">
        <v>1</v>
      </c>
    </row>
    <row r="4" spans="1:43" x14ac:dyDescent="0.3">
      <c r="A4" s="28" t="s">
        <v>2</v>
      </c>
      <c r="B4" s="28" t="s">
        <v>3</v>
      </c>
      <c r="C4" s="28" t="s">
        <v>4</v>
      </c>
      <c r="D4" s="28" t="s">
        <v>5</v>
      </c>
      <c r="E4" s="28" t="s">
        <v>6</v>
      </c>
      <c r="F4" s="28" t="s">
        <v>7</v>
      </c>
      <c r="G4" s="28" t="s">
        <v>8</v>
      </c>
      <c r="H4" s="28" t="s">
        <v>9</v>
      </c>
      <c r="I4" s="28" t="s">
        <v>10</v>
      </c>
      <c r="J4" s="28" t="s">
        <v>11</v>
      </c>
      <c r="K4" s="28" t="s">
        <v>12</v>
      </c>
      <c r="L4" s="28" t="s">
        <v>13</v>
      </c>
      <c r="M4" s="28" t="s">
        <v>14</v>
      </c>
      <c r="N4" s="28" t="s">
        <v>15</v>
      </c>
      <c r="O4" s="28" t="s">
        <v>16</v>
      </c>
      <c r="P4" s="28" t="s">
        <v>17</v>
      </c>
      <c r="Q4" s="28" t="s">
        <v>18</v>
      </c>
      <c r="R4" s="28" t="s">
        <v>19</v>
      </c>
      <c r="S4" s="28" t="s">
        <v>20</v>
      </c>
      <c r="T4" s="28" t="s">
        <v>21</v>
      </c>
      <c r="U4" s="28" t="s">
        <v>22</v>
      </c>
      <c r="V4" s="28" t="s">
        <v>23</v>
      </c>
      <c r="W4" s="28" t="s">
        <v>24</v>
      </c>
      <c r="X4" s="28" t="s">
        <v>25</v>
      </c>
      <c r="Y4" s="28" t="s">
        <v>26</v>
      </c>
      <c r="Z4" s="28" t="s">
        <v>27</v>
      </c>
      <c r="AA4" s="28" t="s">
        <v>28</v>
      </c>
      <c r="AB4" s="28" t="s">
        <v>29</v>
      </c>
      <c r="AC4" s="28" t="s">
        <v>30</v>
      </c>
      <c r="AD4" s="28" t="s">
        <v>31</v>
      </c>
      <c r="AE4" s="28" t="s">
        <v>32</v>
      </c>
      <c r="AF4" s="28" t="s">
        <v>33</v>
      </c>
      <c r="AG4" s="28" t="s">
        <v>34</v>
      </c>
      <c r="AH4" s="28" t="s">
        <v>35</v>
      </c>
      <c r="AI4" s="28" t="s">
        <v>36</v>
      </c>
      <c r="AJ4" s="28" t="s">
        <v>37</v>
      </c>
      <c r="AK4" s="28" t="s">
        <v>38</v>
      </c>
      <c r="AL4" s="28" t="s">
        <v>39</v>
      </c>
      <c r="AM4" s="28" t="s">
        <v>40</v>
      </c>
      <c r="AN4" s="28" t="s">
        <v>41</v>
      </c>
      <c r="AO4" s="28" t="s">
        <v>42</v>
      </c>
      <c r="AP4" s="28" t="s">
        <v>43</v>
      </c>
      <c r="AQ4" s="28" t="s">
        <v>44</v>
      </c>
    </row>
    <row r="5" spans="1:43" x14ac:dyDescent="0.3">
      <c r="A5" s="29" t="s">
        <v>45</v>
      </c>
      <c r="C5">
        <v>16.600000000000001</v>
      </c>
      <c r="D5">
        <v>37.9</v>
      </c>
      <c r="E5">
        <v>14.7</v>
      </c>
      <c r="F5">
        <v>52.6</v>
      </c>
      <c r="G5">
        <v>14.5</v>
      </c>
      <c r="H5">
        <v>16.100000000000001</v>
      </c>
      <c r="I5">
        <v>30.6</v>
      </c>
      <c r="J5">
        <v>20.399999999999999</v>
      </c>
      <c r="K5">
        <v>51</v>
      </c>
      <c r="L5">
        <v>24.1</v>
      </c>
      <c r="M5">
        <v>75.099999999999994</v>
      </c>
      <c r="N5">
        <v>35.700000000000003</v>
      </c>
      <c r="Q5">
        <v>65.099999999999994</v>
      </c>
      <c r="R5">
        <v>115</v>
      </c>
      <c r="S5">
        <v>94.9</v>
      </c>
      <c r="T5">
        <v>314</v>
      </c>
      <c r="U5">
        <v>133.4</v>
      </c>
      <c r="V5">
        <v>154</v>
      </c>
      <c r="W5">
        <v>188.2</v>
      </c>
      <c r="X5">
        <v>178</v>
      </c>
      <c r="Y5">
        <v>654</v>
      </c>
      <c r="Z5">
        <v>260</v>
      </c>
      <c r="AA5">
        <v>326</v>
      </c>
      <c r="AB5">
        <v>586</v>
      </c>
      <c r="AC5">
        <v>385</v>
      </c>
      <c r="AD5">
        <v>971</v>
      </c>
      <c r="AE5">
        <v>347</v>
      </c>
      <c r="AF5">
        <v>1300</v>
      </c>
      <c r="AG5">
        <v>355.7</v>
      </c>
      <c r="AI5">
        <v>1360</v>
      </c>
      <c r="AJ5">
        <v>329.3</v>
      </c>
      <c r="AK5">
        <v>739.3</v>
      </c>
      <c r="AL5">
        <v>1070</v>
      </c>
      <c r="AM5">
        <v>725</v>
      </c>
      <c r="AO5">
        <v>1460</v>
      </c>
      <c r="AP5">
        <v>783</v>
      </c>
    </row>
    <row r="6" spans="1:43" x14ac:dyDescent="0.3">
      <c r="A6" s="29" t="s">
        <v>46</v>
      </c>
      <c r="C6">
        <v>11.4</v>
      </c>
      <c r="E6">
        <v>10.9</v>
      </c>
      <c r="F6">
        <v>38.9</v>
      </c>
      <c r="G6">
        <v>11.4</v>
      </c>
      <c r="J6">
        <v>16.8</v>
      </c>
      <c r="L6">
        <v>17.100000000000001</v>
      </c>
      <c r="M6">
        <v>60</v>
      </c>
      <c r="N6">
        <v>28.4</v>
      </c>
      <c r="Q6">
        <v>53.7</v>
      </c>
      <c r="R6">
        <v>92.6</v>
      </c>
      <c r="S6">
        <v>84.5</v>
      </c>
      <c r="T6">
        <v>273</v>
      </c>
      <c r="U6">
        <v>123.5</v>
      </c>
      <c r="V6">
        <v>145.4</v>
      </c>
      <c r="W6">
        <v>179.5</v>
      </c>
      <c r="X6">
        <v>160</v>
      </c>
      <c r="Z6">
        <v>249</v>
      </c>
      <c r="AA6">
        <v>311</v>
      </c>
      <c r="AB6">
        <v>559</v>
      </c>
      <c r="AC6">
        <v>371</v>
      </c>
      <c r="AE6">
        <v>333</v>
      </c>
      <c r="AF6">
        <v>1270</v>
      </c>
      <c r="AG6">
        <v>339.5</v>
      </c>
      <c r="AK6">
        <v>1020</v>
      </c>
      <c r="AO6">
        <v>2422.5</v>
      </c>
    </row>
    <row r="7" spans="1:43" x14ac:dyDescent="0.3">
      <c r="A7" s="29" t="s">
        <v>47</v>
      </c>
      <c r="F7">
        <v>13.7</v>
      </c>
      <c r="G7">
        <v>3.1</v>
      </c>
      <c r="N7">
        <v>7.3</v>
      </c>
      <c r="Q7">
        <v>11.5</v>
      </c>
      <c r="R7">
        <v>22.5</v>
      </c>
      <c r="S7">
        <v>10.4</v>
      </c>
      <c r="T7">
        <v>41</v>
      </c>
      <c r="U7">
        <v>9.9</v>
      </c>
      <c r="V7">
        <v>8.6</v>
      </c>
      <c r="W7">
        <v>8.6999999999999993</v>
      </c>
      <c r="X7">
        <v>11.5</v>
      </c>
      <c r="Z7">
        <v>11.4</v>
      </c>
      <c r="AA7">
        <v>15.1</v>
      </c>
      <c r="AB7">
        <v>27</v>
      </c>
      <c r="AC7">
        <v>13.6</v>
      </c>
      <c r="AE7">
        <v>15</v>
      </c>
      <c r="AF7">
        <v>54.7</v>
      </c>
      <c r="AJ7">
        <v>22.8</v>
      </c>
      <c r="AK7">
        <v>48</v>
      </c>
      <c r="AO7">
        <v>92.8</v>
      </c>
    </row>
    <row r="8" spans="1:43" x14ac:dyDescent="0.3">
      <c r="A8" s="29" t="s">
        <v>48</v>
      </c>
      <c r="E8">
        <v>2.1</v>
      </c>
      <c r="J8">
        <v>3.4</v>
      </c>
      <c r="M8">
        <v>14.5</v>
      </c>
      <c r="N8">
        <v>6.9</v>
      </c>
      <c r="Q8">
        <v>10.8</v>
      </c>
      <c r="S8">
        <v>9.5</v>
      </c>
      <c r="U8">
        <v>8.5</v>
      </c>
      <c r="V8">
        <v>7.3</v>
      </c>
      <c r="W8">
        <v>7.5</v>
      </c>
    </row>
    <row r="9" spans="1:43" x14ac:dyDescent="0.3">
      <c r="A9" s="29" t="s">
        <v>49</v>
      </c>
      <c r="C9">
        <v>1.4</v>
      </c>
      <c r="E9">
        <v>1.6</v>
      </c>
      <c r="F9">
        <v>4.3</v>
      </c>
      <c r="M9">
        <v>0.84099999999999997</v>
      </c>
      <c r="N9">
        <v>0.224</v>
      </c>
      <c r="U9">
        <v>1</v>
      </c>
    </row>
    <row r="10" spans="1:43" x14ac:dyDescent="0.3">
      <c r="A10" s="29" t="s">
        <v>50</v>
      </c>
      <c r="U10">
        <v>13.8</v>
      </c>
      <c r="W10">
        <v>16</v>
      </c>
      <c r="Y10">
        <v>58</v>
      </c>
      <c r="AC10">
        <v>22.2</v>
      </c>
      <c r="AG10">
        <v>28</v>
      </c>
    </row>
    <row r="11" spans="1:43" x14ac:dyDescent="0.3">
      <c r="A11" s="29" t="s">
        <v>51</v>
      </c>
      <c r="C11">
        <v>6.9</v>
      </c>
      <c r="D11">
        <v>15.6</v>
      </c>
      <c r="E11">
        <v>5.5</v>
      </c>
      <c r="F11">
        <v>21.1</v>
      </c>
      <c r="G11">
        <v>5.7</v>
      </c>
      <c r="H11">
        <v>6.9</v>
      </c>
      <c r="I11">
        <v>12.6</v>
      </c>
      <c r="J11">
        <v>8.6</v>
      </c>
      <c r="L11">
        <v>10.1</v>
      </c>
      <c r="M11">
        <v>31.3</v>
      </c>
      <c r="N11">
        <v>17.399999999999999</v>
      </c>
      <c r="Q11">
        <v>28.2</v>
      </c>
      <c r="R11">
        <v>48.8</v>
      </c>
      <c r="S11">
        <v>37.700000000000003</v>
      </c>
      <c r="T11">
        <v>128</v>
      </c>
      <c r="U11">
        <v>53.9</v>
      </c>
      <c r="V11">
        <v>59.3</v>
      </c>
      <c r="W11">
        <v>78.7</v>
      </c>
      <c r="X11">
        <v>79</v>
      </c>
      <c r="Y11">
        <v>271</v>
      </c>
      <c r="Z11">
        <v>114</v>
      </c>
      <c r="AA11">
        <v>159</v>
      </c>
      <c r="AB11">
        <v>273</v>
      </c>
      <c r="AC11">
        <v>194</v>
      </c>
      <c r="AD11">
        <v>467</v>
      </c>
      <c r="AE11">
        <v>166</v>
      </c>
      <c r="AF11">
        <v>633</v>
      </c>
      <c r="AG11">
        <v>182.2</v>
      </c>
      <c r="AI11">
        <v>680</v>
      </c>
      <c r="AJ11">
        <v>172.4</v>
      </c>
      <c r="AK11">
        <v>381</v>
      </c>
      <c r="AN11">
        <v>341.8</v>
      </c>
      <c r="AO11">
        <v>1270</v>
      </c>
    </row>
    <row r="12" spans="1:43" x14ac:dyDescent="0.3">
      <c r="A12" s="29" t="s">
        <v>52</v>
      </c>
      <c r="C12" s="32">
        <v>0.41499999999999998</v>
      </c>
      <c r="D12" s="32">
        <v>0.41199999999999998</v>
      </c>
      <c r="E12" s="32">
        <v>0.371</v>
      </c>
      <c r="F12" s="32">
        <v>0.4</v>
      </c>
      <c r="G12" s="32">
        <v>0.39500000000000002</v>
      </c>
      <c r="H12" s="32">
        <v>0.42599999999999999</v>
      </c>
      <c r="I12" s="32">
        <v>0.41099999999999998</v>
      </c>
      <c r="J12" s="32">
        <v>0.42199999999999999</v>
      </c>
      <c r="L12" s="32">
        <v>0.41899999999999998</v>
      </c>
      <c r="M12" s="32">
        <v>0.42</v>
      </c>
      <c r="N12" s="32">
        <v>0.48899999999999999</v>
      </c>
      <c r="Q12" s="32">
        <v>0.434</v>
      </c>
      <c r="S12" s="32">
        <v>0.4</v>
      </c>
      <c r="U12" s="32">
        <v>0.40400000000000003</v>
      </c>
      <c r="V12" s="32">
        <v>0.38500000000000001</v>
      </c>
      <c r="W12" s="32">
        <v>0.41799999999999998</v>
      </c>
      <c r="X12" s="32">
        <v>0.44400000000000001</v>
      </c>
      <c r="Z12" s="32">
        <v>0.44</v>
      </c>
      <c r="AA12" s="32">
        <v>0.48799999999999999</v>
      </c>
      <c r="AB12" s="32">
        <v>0.47</v>
      </c>
      <c r="AC12" s="32">
        <v>0.504</v>
      </c>
      <c r="AE12" s="32">
        <v>0.48</v>
      </c>
      <c r="AF12" s="32">
        <v>0.48</v>
      </c>
      <c r="AG12" s="32">
        <v>0.51200000000000001</v>
      </c>
      <c r="AH12" s="32">
        <v>0.502</v>
      </c>
      <c r="AI12" s="32">
        <v>0.502</v>
      </c>
      <c r="AJ12" s="32">
        <v>0.52300000000000002</v>
      </c>
      <c r="AK12" s="32">
        <v>0.51500000000000001</v>
      </c>
      <c r="AL12" s="32">
        <v>0.51800000000000002</v>
      </c>
      <c r="AM12" s="32">
        <v>0.51300000000000001</v>
      </c>
      <c r="AN12" s="32">
        <v>0.47399999999999998</v>
      </c>
      <c r="AO12" s="32">
        <v>0.504</v>
      </c>
      <c r="AP12" s="32">
        <v>0.48299999999999998</v>
      </c>
    </row>
    <row r="13" spans="1:43" x14ac:dyDescent="0.3">
      <c r="A13" s="29" t="s">
        <v>53</v>
      </c>
      <c r="C13">
        <v>8.6999999999999993</v>
      </c>
      <c r="D13">
        <v>18.399999999999999</v>
      </c>
      <c r="E13">
        <v>2.8</v>
      </c>
      <c r="F13">
        <v>21.2</v>
      </c>
      <c r="G13">
        <v>3.6</v>
      </c>
      <c r="H13">
        <v>5.6</v>
      </c>
      <c r="I13">
        <v>9.1999999999999993</v>
      </c>
      <c r="J13">
        <v>4.9000000000000004</v>
      </c>
      <c r="L13">
        <v>7</v>
      </c>
      <c r="M13">
        <v>21.1</v>
      </c>
      <c r="N13">
        <v>11.2</v>
      </c>
      <c r="Q13">
        <v>15.5</v>
      </c>
      <c r="S13">
        <v>22.6</v>
      </c>
      <c r="U13">
        <v>31.6</v>
      </c>
      <c r="W13">
        <v>198.8</v>
      </c>
      <c r="Y13">
        <v>353</v>
      </c>
      <c r="Z13">
        <v>48</v>
      </c>
      <c r="AA13">
        <v>63</v>
      </c>
      <c r="AC13">
        <v>73</v>
      </c>
      <c r="AE13">
        <v>80</v>
      </c>
      <c r="AK13">
        <v>152</v>
      </c>
    </row>
    <row r="14" spans="1:43" x14ac:dyDescent="0.3">
      <c r="A14" s="29" t="s">
        <v>54</v>
      </c>
      <c r="C14">
        <v>2.2999999999999998</v>
      </c>
      <c r="D14">
        <v>7.4</v>
      </c>
      <c r="E14">
        <v>3</v>
      </c>
      <c r="F14">
        <v>10.5</v>
      </c>
      <c r="G14">
        <v>2.6</v>
      </c>
      <c r="H14">
        <v>2.4</v>
      </c>
      <c r="I14">
        <v>5.0999999999999996</v>
      </c>
      <c r="J14">
        <v>2.2000000000000002</v>
      </c>
      <c r="L14">
        <v>4.4000000000000004</v>
      </c>
      <c r="M14">
        <v>11.6</v>
      </c>
      <c r="N14">
        <v>5.7</v>
      </c>
      <c r="Q14">
        <v>9.1</v>
      </c>
      <c r="S14">
        <v>11.1</v>
      </c>
      <c r="U14">
        <v>12.2</v>
      </c>
      <c r="V14">
        <v>14.4</v>
      </c>
      <c r="W14">
        <v>27.5</v>
      </c>
      <c r="Y14">
        <v>76</v>
      </c>
      <c r="Z14">
        <v>21</v>
      </c>
      <c r="AA14">
        <v>32</v>
      </c>
      <c r="AC14">
        <v>23</v>
      </c>
      <c r="AE14">
        <v>27</v>
      </c>
      <c r="AG14">
        <v>23.2</v>
      </c>
      <c r="AK14">
        <v>86</v>
      </c>
    </row>
    <row r="15" spans="1:43" x14ac:dyDescent="0.3">
      <c r="A15" s="29" t="s">
        <v>55</v>
      </c>
      <c r="C15">
        <v>-4.2</v>
      </c>
      <c r="D15">
        <v>-10.5</v>
      </c>
      <c r="E15">
        <v>-0.89300000000000002</v>
      </c>
      <c r="F15">
        <v>-11.4</v>
      </c>
      <c r="G15">
        <v>11.7</v>
      </c>
      <c r="H15">
        <v>-1.5</v>
      </c>
      <c r="I15">
        <v>10.199999999999999</v>
      </c>
      <c r="J15">
        <v>0.96099999999999997</v>
      </c>
      <c r="K15">
        <v>11.1</v>
      </c>
      <c r="L15">
        <v>-1.1000000000000001</v>
      </c>
      <c r="M15">
        <v>10</v>
      </c>
      <c r="N15">
        <v>1.7</v>
      </c>
      <c r="Q15">
        <v>3.9</v>
      </c>
      <c r="R15">
        <v>4.5</v>
      </c>
      <c r="S15">
        <v>2.7</v>
      </c>
      <c r="T15">
        <v>3.9</v>
      </c>
      <c r="U15">
        <v>6.7</v>
      </c>
      <c r="V15">
        <v>9.1999999999999993</v>
      </c>
      <c r="AC15">
        <v>70.5</v>
      </c>
      <c r="AG15">
        <v>65</v>
      </c>
      <c r="AH15">
        <v>-18.899999999999999</v>
      </c>
      <c r="AI15">
        <v>145</v>
      </c>
      <c r="AJ15">
        <v>34.4</v>
      </c>
      <c r="AK15">
        <v>85.7</v>
      </c>
      <c r="AO15">
        <v>108</v>
      </c>
      <c r="AP15">
        <v>110</v>
      </c>
    </row>
    <row r="16" spans="1:43" x14ac:dyDescent="0.3">
      <c r="A16" s="29" t="s">
        <v>56</v>
      </c>
      <c r="C16">
        <v>-2.9</v>
      </c>
      <c r="D16">
        <v>-6</v>
      </c>
      <c r="E16">
        <v>0.78500000000000003</v>
      </c>
      <c r="F16">
        <v>-6.3</v>
      </c>
      <c r="G16">
        <v>0.878</v>
      </c>
      <c r="H16">
        <v>-1.4999999999999999E-2</v>
      </c>
      <c r="I16">
        <v>0.86299999999999999</v>
      </c>
      <c r="J16">
        <v>2.4</v>
      </c>
      <c r="L16">
        <v>0.60699999999999998</v>
      </c>
      <c r="M16">
        <v>4</v>
      </c>
      <c r="N16">
        <v>3</v>
      </c>
      <c r="Q16">
        <v>7.9</v>
      </c>
      <c r="R16">
        <v>12.9</v>
      </c>
      <c r="U16">
        <v>14.8</v>
      </c>
      <c r="Z16">
        <v>48.7</v>
      </c>
      <c r="AG16">
        <v>88</v>
      </c>
      <c r="AI16">
        <v>88</v>
      </c>
      <c r="AJ16">
        <v>69.7</v>
      </c>
      <c r="AK16">
        <v>210</v>
      </c>
      <c r="AL16">
        <v>280</v>
      </c>
      <c r="AO16">
        <v>619.6</v>
      </c>
      <c r="AP16">
        <v>195</v>
      </c>
    </row>
    <row r="17" spans="1:43" x14ac:dyDescent="0.3">
      <c r="A17" s="29" t="s">
        <v>57</v>
      </c>
      <c r="F17">
        <v>-11.6</v>
      </c>
      <c r="M17">
        <v>1</v>
      </c>
      <c r="O17">
        <v>3.4</v>
      </c>
      <c r="Q17">
        <v>-30.3</v>
      </c>
      <c r="S17">
        <v>-52</v>
      </c>
      <c r="U17">
        <v>10</v>
      </c>
      <c r="AB17">
        <v>45</v>
      </c>
      <c r="AD17">
        <v>136</v>
      </c>
      <c r="AG17">
        <v>135</v>
      </c>
    </row>
    <row r="18" spans="1:43" x14ac:dyDescent="0.3">
      <c r="A18" s="29" t="s">
        <v>58</v>
      </c>
      <c r="B18">
        <v>14.2</v>
      </c>
      <c r="F18">
        <v>7.7</v>
      </c>
      <c r="M18">
        <v>23.1</v>
      </c>
      <c r="O18">
        <v>43.2</v>
      </c>
      <c r="Q18">
        <v>83.8</v>
      </c>
      <c r="S18">
        <v>61.4</v>
      </c>
      <c r="T18">
        <v>16.3</v>
      </c>
      <c r="Y18">
        <v>653</v>
      </c>
      <c r="Z18">
        <v>634</v>
      </c>
      <c r="AG18">
        <v>879.5</v>
      </c>
      <c r="AJ18">
        <v>400</v>
      </c>
      <c r="AO18">
        <v>398.9</v>
      </c>
    </row>
    <row r="19" spans="1:43" x14ac:dyDescent="0.3">
      <c r="A19" s="29" t="s">
        <v>59</v>
      </c>
      <c r="B19">
        <v>20.6</v>
      </c>
      <c r="F19">
        <v>20.2</v>
      </c>
      <c r="M19">
        <v>24.8</v>
      </c>
      <c r="O19">
        <v>64.900000000000006</v>
      </c>
      <c r="Q19">
        <v>151</v>
      </c>
      <c r="S19">
        <v>157</v>
      </c>
      <c r="T19">
        <v>169</v>
      </c>
      <c r="Y19">
        <v>757</v>
      </c>
      <c r="Z19">
        <v>801</v>
      </c>
    </row>
    <row r="20" spans="1:43" x14ac:dyDescent="0.3">
      <c r="A20" s="30" t="s">
        <v>60</v>
      </c>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c r="AH20" s="31"/>
      <c r="AI20" s="31"/>
      <c r="AJ20" s="31"/>
      <c r="AK20" s="31"/>
      <c r="AL20" s="31"/>
      <c r="AM20" s="31"/>
      <c r="AN20" s="31"/>
      <c r="AO20" s="31"/>
      <c r="AP20" s="31"/>
      <c r="AQ20" s="31"/>
    </row>
    <row r="21" spans="1:43" x14ac:dyDescent="0.3">
      <c r="A21" t="s">
        <v>61</v>
      </c>
      <c r="T21" s="32">
        <v>0.65</v>
      </c>
    </row>
    <row r="22" spans="1:43" x14ac:dyDescent="0.3">
      <c r="A22" t="s">
        <v>62</v>
      </c>
      <c r="V22" s="32">
        <v>1.94</v>
      </c>
      <c r="X22" s="32">
        <v>0.1</v>
      </c>
    </row>
    <row r="23" spans="1:43" x14ac:dyDescent="0.3">
      <c r="A23" t="s">
        <v>63</v>
      </c>
      <c r="X23" s="32">
        <v>0.1</v>
      </c>
    </row>
    <row r="24" spans="1:43" x14ac:dyDescent="0.3">
      <c r="A24" t="s">
        <v>64</v>
      </c>
      <c r="V24" s="32">
        <v>1.43</v>
      </c>
    </row>
    <row r="25" spans="1:43" x14ac:dyDescent="0.3">
      <c r="A25" t="s">
        <v>65</v>
      </c>
      <c r="AO25">
        <v>264.10000000000002</v>
      </c>
    </row>
    <row r="26" spans="1:43" x14ac:dyDescent="0.3">
      <c r="A26" t="s">
        <v>66</v>
      </c>
      <c r="AO26">
        <v>-60.2</v>
      </c>
    </row>
    <row r="27" spans="1:43" x14ac:dyDescent="0.3">
      <c r="A27" t="s">
        <v>67</v>
      </c>
      <c r="AK27">
        <v>16</v>
      </c>
    </row>
    <row r="28" spans="1:43" x14ac:dyDescent="0.3">
      <c r="A28" t="s">
        <v>68</v>
      </c>
      <c r="AN28">
        <v>60</v>
      </c>
    </row>
    <row r="29" spans="1:43" x14ac:dyDescent="0.3">
      <c r="A29" t="s">
        <v>69</v>
      </c>
      <c r="X29" s="32">
        <v>0.89700000000000002</v>
      </c>
    </row>
    <row r="30" spans="1:43" x14ac:dyDescent="0.3">
      <c r="A30" t="s">
        <v>70</v>
      </c>
      <c r="D30">
        <v>2.1</v>
      </c>
    </row>
    <row r="31" spans="1:43" x14ac:dyDescent="0.3">
      <c r="A31" t="s">
        <v>71</v>
      </c>
      <c r="F31">
        <v>2.2000000000000002</v>
      </c>
    </row>
    <row r="32" spans="1:43" x14ac:dyDescent="0.3">
      <c r="A32" t="s">
        <v>72</v>
      </c>
      <c r="Q32" s="32">
        <v>0.51800000000000002</v>
      </c>
      <c r="S32" s="32">
        <v>0.498</v>
      </c>
    </row>
    <row r="33" spans="1:42" x14ac:dyDescent="0.3">
      <c r="A33" t="s">
        <v>73</v>
      </c>
      <c r="AH33">
        <v>0.14000000000000001</v>
      </c>
      <c r="AI33">
        <v>0.7</v>
      </c>
      <c r="AJ33">
        <v>0.18</v>
      </c>
      <c r="AK33">
        <v>0.47</v>
      </c>
      <c r="AL33">
        <v>0.65</v>
      </c>
      <c r="AO33">
        <v>1.34</v>
      </c>
    </row>
    <row r="34" spans="1:42" x14ac:dyDescent="0.3">
      <c r="A34" t="s">
        <v>74</v>
      </c>
      <c r="AH34" s="32">
        <v>0.189</v>
      </c>
      <c r="AI34" s="32">
        <v>0.15</v>
      </c>
      <c r="AJ34" s="32">
        <v>0.21199999999999999</v>
      </c>
      <c r="AO34" s="32">
        <v>0.246</v>
      </c>
      <c r="AP34" s="32">
        <v>0.249</v>
      </c>
    </row>
    <row r="35" spans="1:42" x14ac:dyDescent="0.3">
      <c r="A35" t="s">
        <v>75</v>
      </c>
      <c r="AP35" s="32">
        <v>0.26400000000000001</v>
      </c>
    </row>
    <row r="36" spans="1:42" x14ac:dyDescent="0.3">
      <c r="A36" t="s">
        <v>76</v>
      </c>
      <c r="AN36" s="32">
        <v>0.29399999999999998</v>
      </c>
    </row>
    <row r="37" spans="1:42" x14ac:dyDescent="0.3">
      <c r="A37" t="s">
        <v>77</v>
      </c>
      <c r="AN37" s="32">
        <v>0.318</v>
      </c>
    </row>
    <row r="38" spans="1:42" x14ac:dyDescent="0.3">
      <c r="A38" t="s">
        <v>78</v>
      </c>
      <c r="AK38">
        <v>301.2</v>
      </c>
    </row>
    <row r="39" spans="1:42" x14ac:dyDescent="0.3">
      <c r="A39" t="s">
        <v>79</v>
      </c>
      <c r="AJ39" s="32">
        <v>5.2999999999999999E-2</v>
      </c>
    </row>
    <row r="40" spans="1:42" x14ac:dyDescent="0.3">
      <c r="A40" t="s">
        <v>80</v>
      </c>
      <c r="AP40">
        <v>368</v>
      </c>
    </row>
    <row r="41" spans="1:42" x14ac:dyDescent="0.3">
      <c r="A41" t="s">
        <v>81</v>
      </c>
      <c r="AO41" s="32">
        <v>1.01</v>
      </c>
    </row>
    <row r="42" spans="1:42" x14ac:dyDescent="0.3">
      <c r="A42" t="s">
        <v>82</v>
      </c>
      <c r="Q42">
        <v>0.61899999999999999</v>
      </c>
      <c r="S42">
        <v>0.70599999999999996</v>
      </c>
    </row>
    <row r="43" spans="1:42" x14ac:dyDescent="0.3">
      <c r="A43" t="s">
        <v>83</v>
      </c>
      <c r="X43">
        <v>12.5</v>
      </c>
    </row>
    <row r="44" spans="1:42" x14ac:dyDescent="0.3">
      <c r="A44" t="s">
        <v>84</v>
      </c>
      <c r="AP44">
        <v>348</v>
      </c>
    </row>
    <row r="45" spans="1:42" x14ac:dyDescent="0.3">
      <c r="A45" t="s">
        <v>85</v>
      </c>
      <c r="AK45">
        <v>438.1</v>
      </c>
    </row>
    <row r="46" spans="1:42" x14ac:dyDescent="0.3">
      <c r="A46" t="s">
        <v>86</v>
      </c>
      <c r="AO46" s="32">
        <v>0.06</v>
      </c>
    </row>
    <row r="47" spans="1:42" x14ac:dyDescent="0.3">
      <c r="A47" t="s">
        <v>87</v>
      </c>
      <c r="AO47">
        <v>1457.7</v>
      </c>
    </row>
    <row r="48" spans="1:42" x14ac:dyDescent="0.3">
      <c r="A48" t="s">
        <v>88</v>
      </c>
      <c r="AJ48" s="32">
        <v>0.109</v>
      </c>
    </row>
    <row r="49" spans="1:41" x14ac:dyDescent="0.3">
      <c r="A49" t="s">
        <v>89</v>
      </c>
      <c r="G49">
        <v>0.09</v>
      </c>
    </row>
    <row r="50" spans="1:41" x14ac:dyDescent="0.3">
      <c r="A50" t="s">
        <v>90</v>
      </c>
      <c r="V50">
        <v>30.9</v>
      </c>
    </row>
    <row r="51" spans="1:41" x14ac:dyDescent="0.3">
      <c r="A51" t="s">
        <v>91</v>
      </c>
      <c r="W51">
        <v>34</v>
      </c>
      <c r="Y51">
        <v>138</v>
      </c>
      <c r="AA51">
        <v>68</v>
      </c>
      <c r="AC51">
        <v>63.2</v>
      </c>
      <c r="AG51">
        <v>63</v>
      </c>
    </row>
    <row r="52" spans="1:41" x14ac:dyDescent="0.3">
      <c r="A52" t="s">
        <v>92</v>
      </c>
      <c r="AI52">
        <v>2025</v>
      </c>
    </row>
    <row r="53" spans="1:41" x14ac:dyDescent="0.3">
      <c r="A53" t="s">
        <v>93</v>
      </c>
      <c r="AJ53" s="32">
        <v>0.16200000000000001</v>
      </c>
    </row>
    <row r="54" spans="1:41" x14ac:dyDescent="0.3">
      <c r="A54" t="s">
        <v>94</v>
      </c>
      <c r="AO54">
        <v>25</v>
      </c>
    </row>
    <row r="55" spans="1:41" x14ac:dyDescent="0.3">
      <c r="A55" t="s">
        <v>95</v>
      </c>
      <c r="X55" s="32">
        <v>0.89</v>
      </c>
      <c r="AA55" s="32">
        <v>0.73</v>
      </c>
    </row>
    <row r="56" spans="1:41" x14ac:dyDescent="0.3">
      <c r="A56" t="s">
        <v>96</v>
      </c>
      <c r="T56" s="32">
        <v>0.44</v>
      </c>
    </row>
    <row r="57" spans="1:41" x14ac:dyDescent="0.3">
      <c r="A57" t="s">
        <v>97</v>
      </c>
      <c r="V57" s="32">
        <v>2.27</v>
      </c>
      <c r="W57" s="32">
        <v>1.58</v>
      </c>
    </row>
    <row r="58" spans="1:41" x14ac:dyDescent="0.3">
      <c r="A58" t="s">
        <v>98</v>
      </c>
      <c r="V58">
        <v>82000</v>
      </c>
    </row>
    <row r="59" spans="1:41" x14ac:dyDescent="0.3">
      <c r="A59" t="s">
        <v>99</v>
      </c>
      <c r="W59">
        <v>86000</v>
      </c>
    </row>
    <row r="60" spans="1:41" x14ac:dyDescent="0.3">
      <c r="A60" t="s">
        <v>100</v>
      </c>
      <c r="T60">
        <v>2021</v>
      </c>
    </row>
    <row r="61" spans="1:41" x14ac:dyDescent="0.3">
      <c r="A61" t="s">
        <v>101</v>
      </c>
      <c r="AJ61">
        <v>900</v>
      </c>
    </row>
    <row r="62" spans="1:41" x14ac:dyDescent="0.3">
      <c r="A62" t="s">
        <v>102</v>
      </c>
      <c r="Q62">
        <v>0.05</v>
      </c>
      <c r="S62">
        <v>0.04</v>
      </c>
      <c r="U62">
        <v>0.09</v>
      </c>
      <c r="V62">
        <v>0.12</v>
      </c>
      <c r="AC62">
        <v>0.89</v>
      </c>
      <c r="AG62">
        <v>0.27</v>
      </c>
      <c r="AJ62">
        <v>0.15</v>
      </c>
      <c r="AK62">
        <v>0.33</v>
      </c>
      <c r="AO62">
        <v>0.25</v>
      </c>
    </row>
    <row r="63" spans="1:41" x14ac:dyDescent="0.3">
      <c r="A63" t="s">
        <v>103</v>
      </c>
      <c r="Y63">
        <v>194</v>
      </c>
    </row>
    <row r="64" spans="1:41" x14ac:dyDescent="0.3">
      <c r="A64" t="s">
        <v>104</v>
      </c>
      <c r="AO64">
        <v>-327.5</v>
      </c>
    </row>
    <row r="65" spans="1:40" x14ac:dyDescent="0.3">
      <c r="A65" t="s">
        <v>105</v>
      </c>
      <c r="AN65">
        <v>80.8</v>
      </c>
    </row>
    <row r="66" spans="1:40" x14ac:dyDescent="0.3">
      <c r="A66" t="s">
        <v>106</v>
      </c>
      <c r="Q66">
        <v>31</v>
      </c>
    </row>
    <row r="67" spans="1:40" x14ac:dyDescent="0.3">
      <c r="A67" t="s">
        <v>107</v>
      </c>
      <c r="U67" s="32">
        <v>3.95</v>
      </c>
    </row>
    <row r="68" spans="1:40" x14ac:dyDescent="0.3">
      <c r="A68" t="s">
        <v>108</v>
      </c>
      <c r="V68">
        <v>41.8</v>
      </c>
    </row>
    <row r="69" spans="1:40" x14ac:dyDescent="0.3">
      <c r="A69" t="s">
        <v>109</v>
      </c>
      <c r="V69">
        <v>61.9</v>
      </c>
    </row>
    <row r="70" spans="1:40" x14ac:dyDescent="0.3">
      <c r="A70" t="s">
        <v>110</v>
      </c>
      <c r="T70" s="32">
        <v>0.98</v>
      </c>
    </row>
    <row r="71" spans="1:40" x14ac:dyDescent="0.3">
      <c r="A71" t="s">
        <v>111</v>
      </c>
      <c r="T71">
        <v>276</v>
      </c>
    </row>
    <row r="72" spans="1:40" x14ac:dyDescent="0.3">
      <c r="A72" t="s">
        <v>112</v>
      </c>
      <c r="Q72">
        <v>45</v>
      </c>
    </row>
    <row r="73" spans="1:40" x14ac:dyDescent="0.3">
      <c r="A73" t="s">
        <v>113</v>
      </c>
      <c r="AK73">
        <v>13.8</v>
      </c>
    </row>
    <row r="74" spans="1:40" x14ac:dyDescent="0.3">
      <c r="A74" t="s">
        <v>114</v>
      </c>
      <c r="W74" s="32">
        <v>-0.33500000000000002</v>
      </c>
    </row>
    <row r="75" spans="1:40" x14ac:dyDescent="0.3">
      <c r="A75" t="s">
        <v>115</v>
      </c>
      <c r="G75">
        <v>0.2</v>
      </c>
      <c r="I75">
        <v>0.18</v>
      </c>
      <c r="M75">
        <v>0.16</v>
      </c>
      <c r="N75">
        <v>0.02</v>
      </c>
    </row>
    <row r="76" spans="1:40" x14ac:dyDescent="0.3">
      <c r="A76" t="s">
        <v>116</v>
      </c>
      <c r="J76">
        <v>0.02</v>
      </c>
      <c r="K76">
        <v>0.19</v>
      </c>
    </row>
    <row r="77" spans="1:40" x14ac:dyDescent="0.3">
      <c r="A77" t="s">
        <v>117</v>
      </c>
      <c r="P77" s="32">
        <v>0.97</v>
      </c>
    </row>
    <row r="78" spans="1:40" x14ac:dyDescent="0.3">
      <c r="A78" t="s">
        <v>118</v>
      </c>
      <c r="AJ78" s="32">
        <v>0.13400000000000001</v>
      </c>
    </row>
    <row r="79" spans="1:40" x14ac:dyDescent="0.3">
      <c r="A79" t="s">
        <v>119</v>
      </c>
      <c r="AC79" s="32">
        <v>4.9000000000000002E-2</v>
      </c>
    </row>
    <row r="80" spans="1:40" x14ac:dyDescent="0.3">
      <c r="A80" t="s">
        <v>120</v>
      </c>
      <c r="AM80" s="32">
        <v>0.03</v>
      </c>
    </row>
    <row r="81" spans="1:41" x14ac:dyDescent="0.3">
      <c r="A81" t="s">
        <v>121</v>
      </c>
      <c r="U81" s="32">
        <v>0.09</v>
      </c>
      <c r="V81" s="32">
        <v>0.09</v>
      </c>
      <c r="W81" s="32">
        <v>0.15</v>
      </c>
      <c r="Z81" s="32">
        <v>0.08</v>
      </c>
      <c r="AA81" s="32">
        <v>0.1</v>
      </c>
      <c r="AC81" s="32">
        <v>0.06</v>
      </c>
      <c r="AE81" s="32">
        <v>0.08</v>
      </c>
      <c r="AF81" s="32">
        <v>0.08</v>
      </c>
      <c r="AG81" s="32">
        <v>7.0000000000000007E-2</v>
      </c>
      <c r="AI81" s="32">
        <v>0.128</v>
      </c>
      <c r="AK81" s="32">
        <v>0.11700000000000001</v>
      </c>
    </row>
    <row r="82" spans="1:41" x14ac:dyDescent="0.3">
      <c r="A82" t="s">
        <v>122</v>
      </c>
      <c r="AM82" s="32">
        <v>0.06</v>
      </c>
    </row>
    <row r="83" spans="1:41" x14ac:dyDescent="0.3">
      <c r="A83" t="s">
        <v>123</v>
      </c>
      <c r="AJ83">
        <v>3</v>
      </c>
    </row>
    <row r="84" spans="1:41" x14ac:dyDescent="0.3">
      <c r="A84" t="s">
        <v>124</v>
      </c>
      <c r="AA84" s="32">
        <v>0.55000000000000004</v>
      </c>
    </row>
    <row r="85" spans="1:41" x14ac:dyDescent="0.3">
      <c r="A85" t="s">
        <v>125</v>
      </c>
      <c r="AK85" s="32">
        <v>0.54</v>
      </c>
    </row>
    <row r="86" spans="1:41" x14ac:dyDescent="0.3">
      <c r="A86" t="s">
        <v>126</v>
      </c>
      <c r="W86">
        <v>330</v>
      </c>
    </row>
    <row r="87" spans="1:41" x14ac:dyDescent="0.3">
      <c r="A87" t="s">
        <v>127</v>
      </c>
      <c r="AA87" s="32">
        <v>0.111</v>
      </c>
    </row>
    <row r="88" spans="1:41" x14ac:dyDescent="0.3">
      <c r="A88" t="s">
        <v>128</v>
      </c>
      <c r="AO88">
        <v>2025</v>
      </c>
    </row>
    <row r="89" spans="1:41" x14ac:dyDescent="0.3">
      <c r="A89" t="s">
        <v>129</v>
      </c>
      <c r="AI89">
        <v>2025</v>
      </c>
    </row>
    <row r="90" spans="1:41" x14ac:dyDescent="0.3">
      <c r="A90" t="s">
        <v>130</v>
      </c>
      <c r="AG90">
        <v>16.2</v>
      </c>
    </row>
    <row r="91" spans="1:41" x14ac:dyDescent="0.3">
      <c r="A91" t="s">
        <v>131</v>
      </c>
      <c r="Q91">
        <v>155</v>
      </c>
    </row>
    <row r="92" spans="1:41" x14ac:dyDescent="0.3">
      <c r="A92" t="s">
        <v>132</v>
      </c>
      <c r="S92">
        <v>104</v>
      </c>
    </row>
    <row r="93" spans="1:41" x14ac:dyDescent="0.3">
      <c r="A93" t="s">
        <v>133</v>
      </c>
      <c r="AN93">
        <v>22.4</v>
      </c>
    </row>
    <row r="94" spans="1:41" x14ac:dyDescent="0.3">
      <c r="A94" t="s">
        <v>134</v>
      </c>
      <c r="Q94">
        <v>67.8</v>
      </c>
    </row>
    <row r="95" spans="1:41" x14ac:dyDescent="0.3">
      <c r="A95" t="s">
        <v>135</v>
      </c>
      <c r="AO95">
        <v>669.9</v>
      </c>
    </row>
    <row r="96" spans="1:41" x14ac:dyDescent="0.3">
      <c r="A96" t="s">
        <v>136</v>
      </c>
      <c r="AA96" s="32">
        <v>0.72099999999999997</v>
      </c>
    </row>
    <row r="97" spans="1:41" x14ac:dyDescent="0.3">
      <c r="A97" t="s">
        <v>137</v>
      </c>
      <c r="W97" s="32">
        <v>0.92</v>
      </c>
    </row>
    <row r="98" spans="1:41" x14ac:dyDescent="0.3">
      <c r="A98" t="s">
        <v>138</v>
      </c>
      <c r="AN98">
        <v>25</v>
      </c>
    </row>
    <row r="99" spans="1:41" x14ac:dyDescent="0.3">
      <c r="A99" t="s">
        <v>139</v>
      </c>
      <c r="Q99">
        <v>63.8</v>
      </c>
      <c r="T99">
        <v>191.2</v>
      </c>
    </row>
    <row r="100" spans="1:41" x14ac:dyDescent="0.3">
      <c r="A100" t="s">
        <v>140</v>
      </c>
      <c r="C100">
        <v>-0.08</v>
      </c>
      <c r="D100">
        <v>-0.21</v>
      </c>
      <c r="E100">
        <v>-0.02</v>
      </c>
      <c r="F100">
        <v>-0.23</v>
      </c>
      <c r="H100">
        <v>-0.03</v>
      </c>
      <c r="L100">
        <v>-0.02</v>
      </c>
    </row>
    <row r="101" spans="1:41" x14ac:dyDescent="0.3">
      <c r="A101" t="s">
        <v>141</v>
      </c>
      <c r="S101" s="32">
        <v>0.47199999999999998</v>
      </c>
    </row>
    <row r="102" spans="1:41" x14ac:dyDescent="0.3">
      <c r="A102" t="s">
        <v>142</v>
      </c>
      <c r="Q102">
        <v>15.1</v>
      </c>
    </row>
    <row r="103" spans="1:41" x14ac:dyDescent="0.3">
      <c r="A103" t="s">
        <v>143</v>
      </c>
      <c r="I103">
        <v>11.9</v>
      </c>
      <c r="AO103">
        <v>13</v>
      </c>
    </row>
    <row r="104" spans="1:41" x14ac:dyDescent="0.3">
      <c r="A104" t="s">
        <v>144</v>
      </c>
      <c r="Q104">
        <v>6.2E-2</v>
      </c>
      <c r="S104">
        <v>0.17699999999999999</v>
      </c>
    </row>
    <row r="105" spans="1:41" x14ac:dyDescent="0.3">
      <c r="A105" t="s">
        <v>145</v>
      </c>
      <c r="T105">
        <v>3.2</v>
      </c>
      <c r="U105">
        <v>0.5</v>
      </c>
    </row>
    <row r="106" spans="1:41" x14ac:dyDescent="0.3">
      <c r="A106" t="s">
        <v>146</v>
      </c>
      <c r="AO106" s="32">
        <v>0.22</v>
      </c>
    </row>
    <row r="107" spans="1:41" x14ac:dyDescent="0.3">
      <c r="A107" t="s">
        <v>147</v>
      </c>
      <c r="S107">
        <v>40</v>
      </c>
    </row>
    <row r="108" spans="1:41" x14ac:dyDescent="0.3">
      <c r="A108" t="s">
        <v>148</v>
      </c>
      <c r="AK108">
        <v>1</v>
      </c>
    </row>
    <row r="109" spans="1:41" x14ac:dyDescent="0.3">
      <c r="A109" t="s">
        <v>149</v>
      </c>
      <c r="AI109" s="32">
        <v>0.06</v>
      </c>
    </row>
    <row r="110" spans="1:41" x14ac:dyDescent="0.3">
      <c r="A110" t="s">
        <v>150</v>
      </c>
      <c r="AK110">
        <v>21.7</v>
      </c>
    </row>
    <row r="111" spans="1:41" x14ac:dyDescent="0.3">
      <c r="A111" t="s">
        <v>151</v>
      </c>
      <c r="V111" s="32">
        <v>1.85</v>
      </c>
      <c r="X111" s="32">
        <v>0.1</v>
      </c>
    </row>
    <row r="112" spans="1:41" x14ac:dyDescent="0.3">
      <c r="A112" t="s">
        <v>152</v>
      </c>
      <c r="AO112">
        <v>141.1</v>
      </c>
    </row>
    <row r="113" spans="1:43" x14ac:dyDescent="0.3">
      <c r="A113" t="s">
        <v>153</v>
      </c>
      <c r="AI113" s="32">
        <v>0.22</v>
      </c>
    </row>
    <row r="114" spans="1:43" x14ac:dyDescent="0.3">
      <c r="A114" t="s">
        <v>154</v>
      </c>
      <c r="AI114" s="32">
        <v>0.49</v>
      </c>
    </row>
    <row r="115" spans="1:43" x14ac:dyDescent="0.3">
      <c r="A115" t="s">
        <v>155</v>
      </c>
      <c r="AM115">
        <v>18</v>
      </c>
    </row>
    <row r="116" spans="1:43" x14ac:dyDescent="0.3">
      <c r="A116" t="s">
        <v>156</v>
      </c>
      <c r="AO116" s="32">
        <v>-0.11</v>
      </c>
    </row>
    <row r="117" spans="1:43" x14ac:dyDescent="0.3">
      <c r="A117" t="s">
        <v>157</v>
      </c>
      <c r="AO117">
        <v>55.6</v>
      </c>
    </row>
    <row r="118" spans="1:43" x14ac:dyDescent="0.3">
      <c r="A118" t="s">
        <v>158</v>
      </c>
      <c r="AP118">
        <v>67</v>
      </c>
    </row>
    <row r="119" spans="1:43" x14ac:dyDescent="0.3">
      <c r="A119" t="s">
        <v>159</v>
      </c>
      <c r="AM119">
        <v>7</v>
      </c>
    </row>
    <row r="120" spans="1:43" x14ac:dyDescent="0.3">
      <c r="A120" t="s">
        <v>160</v>
      </c>
      <c r="AM120">
        <v>11</v>
      </c>
    </row>
    <row r="121" spans="1:43" x14ac:dyDescent="0.3">
      <c r="A121" t="s">
        <v>161</v>
      </c>
      <c r="AQ121">
        <v>250</v>
      </c>
    </row>
    <row r="122" spans="1:43" x14ac:dyDescent="0.3">
      <c r="A122" t="s">
        <v>162</v>
      </c>
      <c r="AI122" s="32">
        <v>0.83</v>
      </c>
    </row>
    <row r="123" spans="1:43" x14ac:dyDescent="0.3">
      <c r="A123" t="s">
        <v>163</v>
      </c>
      <c r="Q123" s="32">
        <v>0.23899999999999999</v>
      </c>
      <c r="S123" s="32">
        <v>0.23799999999999999</v>
      </c>
      <c r="U123" s="32">
        <v>0.23</v>
      </c>
      <c r="V123" s="32">
        <v>0.21</v>
      </c>
      <c r="Z123" s="32">
        <v>0.183</v>
      </c>
      <c r="AA123" s="32">
        <v>0.192</v>
      </c>
      <c r="AC123" s="32">
        <v>0.191</v>
      </c>
      <c r="AE123" s="32">
        <v>0.23</v>
      </c>
      <c r="AF123" s="32">
        <v>0.2</v>
      </c>
      <c r="AG123" s="32">
        <v>0.21</v>
      </c>
      <c r="AI123" s="32">
        <v>0.25900000000000001</v>
      </c>
      <c r="AK123" s="32">
        <v>0.20499999999999999</v>
      </c>
      <c r="AM123" s="32">
        <v>0.2</v>
      </c>
    </row>
    <row r="124" spans="1:43" x14ac:dyDescent="0.3">
      <c r="A124" t="s">
        <v>164</v>
      </c>
      <c r="AJ124" s="32">
        <v>-0.04</v>
      </c>
    </row>
    <row r="125" spans="1:43" x14ac:dyDescent="0.3">
      <c r="A125" t="s">
        <v>165</v>
      </c>
      <c r="AC125">
        <v>165</v>
      </c>
    </row>
    <row r="126" spans="1:43" x14ac:dyDescent="0.3">
      <c r="A126" t="s">
        <v>166</v>
      </c>
      <c r="U126" s="32">
        <v>0.18</v>
      </c>
    </row>
    <row r="127" spans="1:43" x14ac:dyDescent="0.3">
      <c r="A127" t="s">
        <v>167</v>
      </c>
      <c r="AC127" s="32">
        <v>0.18</v>
      </c>
    </row>
    <row r="128" spans="1:43" x14ac:dyDescent="0.3">
      <c r="A128" t="s">
        <v>168</v>
      </c>
      <c r="AO128">
        <v>907.6</v>
      </c>
    </row>
    <row r="129" spans="1:41" x14ac:dyDescent="0.3">
      <c r="A129" t="s">
        <v>169</v>
      </c>
      <c r="AH129">
        <v>185</v>
      </c>
      <c r="AJ129">
        <v>120.3</v>
      </c>
    </row>
    <row r="130" spans="1:41" x14ac:dyDescent="0.3">
      <c r="A130" t="s">
        <v>170</v>
      </c>
      <c r="Q130">
        <v>4</v>
      </c>
      <c r="S130">
        <v>5.8</v>
      </c>
    </row>
    <row r="131" spans="1:41" x14ac:dyDescent="0.3">
      <c r="A131" t="s">
        <v>171</v>
      </c>
      <c r="AO131">
        <v>2025</v>
      </c>
    </row>
    <row r="132" spans="1:41" x14ac:dyDescent="0.3">
      <c r="A132" t="s">
        <v>172</v>
      </c>
      <c r="AO132">
        <v>5119.6000000000004</v>
      </c>
    </row>
    <row r="133" spans="1:41" x14ac:dyDescent="0.3">
      <c r="A133" t="s">
        <v>173</v>
      </c>
      <c r="S133">
        <v>-0.35299999999999998</v>
      </c>
    </row>
    <row r="134" spans="1:41" x14ac:dyDescent="0.3">
      <c r="A134" t="s">
        <v>174</v>
      </c>
      <c r="Q134">
        <v>0.36149999999999999</v>
      </c>
    </row>
    <row r="135" spans="1:41" x14ac:dyDescent="0.3">
      <c r="A135" t="s">
        <v>175</v>
      </c>
      <c r="N135">
        <v>1.3</v>
      </c>
    </row>
    <row r="136" spans="1:41" x14ac:dyDescent="0.3">
      <c r="A136" t="s">
        <v>176</v>
      </c>
      <c r="T136">
        <v>135000</v>
      </c>
      <c r="W136">
        <v>174000</v>
      </c>
      <c r="X136">
        <v>210000</v>
      </c>
    </row>
    <row r="137" spans="1:41" x14ac:dyDescent="0.3">
      <c r="A137" t="s">
        <v>177</v>
      </c>
      <c r="V137">
        <v>196000</v>
      </c>
    </row>
    <row r="138" spans="1:41" x14ac:dyDescent="0.3">
      <c r="A138" t="s">
        <v>178</v>
      </c>
      <c r="V138">
        <v>4.4000000000000004</v>
      </c>
    </row>
    <row r="139" spans="1:41" x14ac:dyDescent="0.3">
      <c r="A139" t="s">
        <v>179</v>
      </c>
      <c r="AI139" s="32">
        <v>0.22</v>
      </c>
    </row>
    <row r="140" spans="1:41" x14ac:dyDescent="0.3">
      <c r="A140" t="s">
        <v>180</v>
      </c>
      <c r="V140" s="32">
        <v>7</v>
      </c>
    </row>
  </sheetData>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13"/>
  <sheetViews>
    <sheetView workbookViewId="0">
      <selection activeCell="A13" sqref="A13"/>
    </sheetView>
  </sheetViews>
  <sheetFormatPr defaultRowHeight="14.4" x14ac:dyDescent="0.3"/>
  <cols>
    <col min="1" max="1" width="46" customWidth="1"/>
    <col min="2" max="8" width="15" customWidth="1"/>
  </cols>
  <sheetData>
    <row r="1" spans="1:4" x14ac:dyDescent="0.3">
      <c r="A1" s="24" t="s">
        <v>181</v>
      </c>
      <c r="B1" t="s">
        <v>182</v>
      </c>
    </row>
    <row r="2" spans="1:4" x14ac:dyDescent="0.3">
      <c r="A2" s="24" t="s">
        <v>183</v>
      </c>
      <c r="B2" t="s">
        <v>184</v>
      </c>
    </row>
    <row r="4" spans="1:4" x14ac:dyDescent="0.3">
      <c r="A4" s="25" t="s">
        <v>185</v>
      </c>
      <c r="B4" s="25"/>
      <c r="C4" s="25"/>
      <c r="D4" s="25"/>
    </row>
    <row r="6" spans="1:4" x14ac:dyDescent="0.3">
      <c r="A6" t="s">
        <v>186</v>
      </c>
      <c r="B6" t="s">
        <v>187</v>
      </c>
      <c r="C6" t="s">
        <v>188</v>
      </c>
      <c r="D6" t="s">
        <v>189</v>
      </c>
    </row>
    <row r="7" spans="1:4" x14ac:dyDescent="0.3">
      <c r="A7" t="s">
        <v>190</v>
      </c>
      <c r="B7">
        <v>10.8</v>
      </c>
      <c r="C7">
        <v>16.600000000000001</v>
      </c>
      <c r="D7" t="s">
        <v>191</v>
      </c>
    </row>
    <row r="8" spans="1:4" x14ac:dyDescent="0.3">
      <c r="A8" t="s">
        <v>192</v>
      </c>
      <c r="B8">
        <v>5.9</v>
      </c>
      <c r="C8">
        <v>11.4</v>
      </c>
      <c r="D8" t="s">
        <v>193</v>
      </c>
    </row>
    <row r="9" spans="1:4" x14ac:dyDescent="0.3">
      <c r="A9" t="s">
        <v>194</v>
      </c>
      <c r="B9">
        <v>0.36199999999999999</v>
      </c>
      <c r="C9">
        <v>1.4</v>
      </c>
      <c r="D9" t="s">
        <v>195</v>
      </c>
    </row>
    <row r="10" spans="1:4" x14ac:dyDescent="0.3">
      <c r="A10" t="s">
        <v>196</v>
      </c>
      <c r="B10" t="s">
        <v>197</v>
      </c>
      <c r="C10" t="s">
        <v>197</v>
      </c>
      <c r="D10" t="s">
        <v>198</v>
      </c>
    </row>
    <row r="11" spans="1:4" x14ac:dyDescent="0.3">
      <c r="A11" t="s">
        <v>199</v>
      </c>
      <c r="B11" t="s">
        <v>197</v>
      </c>
      <c r="C11" t="s">
        <v>197</v>
      </c>
      <c r="D11" t="s">
        <v>200</v>
      </c>
    </row>
    <row r="12" spans="1:4" x14ac:dyDescent="0.3">
      <c r="A12" t="s">
        <v>201</v>
      </c>
      <c r="B12">
        <v>27</v>
      </c>
      <c r="C12">
        <v>37.9</v>
      </c>
      <c r="D12" t="s">
        <v>202</v>
      </c>
    </row>
    <row r="14" spans="1:4" x14ac:dyDescent="0.3">
      <c r="A14" t="s">
        <v>203</v>
      </c>
      <c r="B14" t="s">
        <v>187</v>
      </c>
      <c r="C14" t="s">
        <v>188</v>
      </c>
      <c r="D14" t="s">
        <v>204</v>
      </c>
    </row>
    <row r="15" spans="1:4" x14ac:dyDescent="0.3">
      <c r="A15" t="s">
        <v>205</v>
      </c>
      <c r="B15">
        <v>4.7</v>
      </c>
      <c r="C15">
        <v>6.9</v>
      </c>
      <c r="D15" t="s">
        <v>206</v>
      </c>
    </row>
    <row r="16" spans="1:4" x14ac:dyDescent="0.3">
      <c r="A16" t="s">
        <v>207</v>
      </c>
      <c r="B16" t="s">
        <v>208</v>
      </c>
      <c r="C16" t="s">
        <v>209</v>
      </c>
      <c r="D16" t="s">
        <v>210</v>
      </c>
    </row>
    <row r="17" spans="1:4" x14ac:dyDescent="0.3">
      <c r="A17" t="s">
        <v>211</v>
      </c>
      <c r="B17">
        <v>11.6</v>
      </c>
      <c r="C17">
        <v>15.6</v>
      </c>
      <c r="D17" t="s">
        <v>212</v>
      </c>
    </row>
    <row r="18" spans="1:4" x14ac:dyDescent="0.3">
      <c r="A18" t="s">
        <v>213</v>
      </c>
      <c r="B18" t="s">
        <v>214</v>
      </c>
      <c r="C18" t="s">
        <v>215</v>
      </c>
      <c r="D18" t="s">
        <v>210</v>
      </c>
    </row>
    <row r="20" spans="1:4" x14ac:dyDescent="0.3">
      <c r="A20" t="s">
        <v>216</v>
      </c>
      <c r="B20" t="s">
        <v>187</v>
      </c>
      <c r="C20" t="s">
        <v>188</v>
      </c>
      <c r="D20" t="s">
        <v>189</v>
      </c>
    </row>
    <row r="21" spans="1:4" x14ac:dyDescent="0.3">
      <c r="A21" t="s">
        <v>217</v>
      </c>
      <c r="B21">
        <v>4.7</v>
      </c>
      <c r="C21">
        <v>8.6999999999999993</v>
      </c>
      <c r="D21" t="s">
        <v>218</v>
      </c>
    </row>
    <row r="22" spans="1:4" x14ac:dyDescent="0.3">
      <c r="A22" t="s">
        <v>219</v>
      </c>
      <c r="B22">
        <v>9.3000000000000007</v>
      </c>
      <c r="C22">
        <v>18.399999999999999</v>
      </c>
      <c r="D22" t="s">
        <v>220</v>
      </c>
    </row>
    <row r="23" spans="1:4" x14ac:dyDescent="0.3">
      <c r="A23" t="s">
        <v>221</v>
      </c>
      <c r="B23">
        <v>1.6</v>
      </c>
      <c r="C23">
        <v>2.2999999999999998</v>
      </c>
      <c r="D23" t="s">
        <v>206</v>
      </c>
    </row>
    <row r="24" spans="1:4" x14ac:dyDescent="0.3">
      <c r="A24" t="s">
        <v>222</v>
      </c>
      <c r="B24">
        <v>5.3</v>
      </c>
      <c r="C24">
        <v>7.4</v>
      </c>
      <c r="D24" t="s">
        <v>202</v>
      </c>
    </row>
    <row r="26" spans="1:4" x14ac:dyDescent="0.3">
      <c r="A26" t="s">
        <v>223</v>
      </c>
      <c r="B26" t="s">
        <v>187</v>
      </c>
      <c r="C26" t="s">
        <v>188</v>
      </c>
      <c r="D26" t="s">
        <v>204</v>
      </c>
    </row>
    <row r="27" spans="1:4" x14ac:dyDescent="0.3">
      <c r="A27" t="s">
        <v>224</v>
      </c>
      <c r="B27">
        <v>-1.7</v>
      </c>
      <c r="C27">
        <v>-4.2</v>
      </c>
      <c r="D27" t="s">
        <v>225</v>
      </c>
    </row>
    <row r="28" spans="1:4" x14ac:dyDescent="0.3">
      <c r="A28" t="s">
        <v>226</v>
      </c>
      <c r="B28">
        <v>-0.04</v>
      </c>
      <c r="C28">
        <v>-0.08</v>
      </c>
      <c r="D28" t="s">
        <v>227</v>
      </c>
    </row>
    <row r="29" spans="1:4" x14ac:dyDescent="0.3">
      <c r="A29" t="s">
        <v>228</v>
      </c>
      <c r="B29">
        <v>-3.3</v>
      </c>
      <c r="C29">
        <v>-10.5</v>
      </c>
      <c r="D29" t="s">
        <v>229</v>
      </c>
    </row>
    <row r="30" spans="1:4" x14ac:dyDescent="0.3">
      <c r="A30" t="s">
        <v>230</v>
      </c>
      <c r="B30">
        <v>-0.08</v>
      </c>
      <c r="C30">
        <v>-0.21</v>
      </c>
      <c r="D30" t="s">
        <v>231</v>
      </c>
    </row>
    <row r="31" spans="1:4" x14ac:dyDescent="0.3">
      <c r="A31" t="s">
        <v>232</v>
      </c>
      <c r="B31" t="s">
        <v>197</v>
      </c>
      <c r="C31">
        <v>-2.9</v>
      </c>
      <c r="D31" t="s">
        <v>197</v>
      </c>
    </row>
    <row r="32" spans="1:4" x14ac:dyDescent="0.3">
      <c r="A32" t="s">
        <v>233</v>
      </c>
      <c r="B32">
        <v>1.1000000000000001</v>
      </c>
      <c r="C32">
        <v>2.2000000000000002</v>
      </c>
      <c r="D32" t="s">
        <v>234</v>
      </c>
    </row>
    <row r="33" spans="1:4" x14ac:dyDescent="0.3">
      <c r="A33" t="s">
        <v>235</v>
      </c>
      <c r="B33" t="s">
        <v>197</v>
      </c>
      <c r="C33">
        <v>-6</v>
      </c>
      <c r="D33" t="s">
        <v>197</v>
      </c>
    </row>
    <row r="34" spans="1:4" x14ac:dyDescent="0.3">
      <c r="A34" t="s">
        <v>236</v>
      </c>
      <c r="B34" t="s">
        <v>197</v>
      </c>
      <c r="C34">
        <v>2.1</v>
      </c>
      <c r="D34" t="s">
        <v>197</v>
      </c>
    </row>
    <row r="36" spans="1:4" x14ac:dyDescent="0.3">
      <c r="A36" t="s">
        <v>237</v>
      </c>
      <c r="B36" t="s">
        <v>238</v>
      </c>
    </row>
    <row r="37" spans="1:4" x14ac:dyDescent="0.3">
      <c r="A37" t="s">
        <v>239</v>
      </c>
      <c r="B37">
        <v>5.0999999999999996</v>
      </c>
    </row>
    <row r="38" spans="1:4" x14ac:dyDescent="0.3">
      <c r="A38" t="s">
        <v>240</v>
      </c>
      <c r="B38">
        <v>8.1</v>
      </c>
    </row>
    <row r="39" spans="1:4" x14ac:dyDescent="0.3">
      <c r="A39" t="s">
        <v>241</v>
      </c>
      <c r="B39" t="s">
        <v>242</v>
      </c>
    </row>
    <row r="40" spans="1:4" x14ac:dyDescent="0.3">
      <c r="A40" t="s">
        <v>243</v>
      </c>
      <c r="B40" t="s">
        <v>244</v>
      </c>
    </row>
    <row r="42" spans="1:4" x14ac:dyDescent="0.3">
      <c r="A42" t="s">
        <v>245</v>
      </c>
      <c r="B42" t="s">
        <v>246</v>
      </c>
      <c r="C42" t="s">
        <v>247</v>
      </c>
      <c r="D42" t="s">
        <v>248</v>
      </c>
    </row>
    <row r="43" spans="1:4" x14ac:dyDescent="0.3">
      <c r="A43" t="s">
        <v>249</v>
      </c>
      <c r="B43">
        <v>14.2</v>
      </c>
      <c r="C43">
        <v>5.3</v>
      </c>
      <c r="D43" t="s">
        <v>250</v>
      </c>
    </row>
    <row r="44" spans="1:4" x14ac:dyDescent="0.3">
      <c r="A44" t="s">
        <v>251</v>
      </c>
      <c r="B44">
        <v>20.6</v>
      </c>
      <c r="C44">
        <v>16.3</v>
      </c>
      <c r="D44" t="s">
        <v>252</v>
      </c>
    </row>
    <row r="45" spans="1:4" x14ac:dyDescent="0.3">
      <c r="A45" t="s">
        <v>253</v>
      </c>
      <c r="B45" t="s">
        <v>197</v>
      </c>
      <c r="C45">
        <v>-9</v>
      </c>
      <c r="D45" t="s">
        <v>197</v>
      </c>
    </row>
    <row r="47" spans="1:4" x14ac:dyDescent="0.3">
      <c r="A47" t="s">
        <v>254</v>
      </c>
      <c r="B47" t="s">
        <v>238</v>
      </c>
    </row>
    <row r="48" spans="1:4" x14ac:dyDescent="0.3">
      <c r="A48" t="s">
        <v>255</v>
      </c>
      <c r="B48" t="s">
        <v>256</v>
      </c>
    </row>
    <row r="49" spans="1:4" x14ac:dyDescent="0.3">
      <c r="A49" t="s">
        <v>257</v>
      </c>
      <c r="B49" t="s">
        <v>258</v>
      </c>
    </row>
    <row r="50" spans="1:4" x14ac:dyDescent="0.3">
      <c r="A50" t="s">
        <v>259</v>
      </c>
      <c r="B50" t="s">
        <v>260</v>
      </c>
    </row>
    <row r="51" spans="1:4" x14ac:dyDescent="0.3">
      <c r="A51" t="s">
        <v>261</v>
      </c>
      <c r="B51" t="s">
        <v>262</v>
      </c>
    </row>
    <row r="52" spans="1:4" x14ac:dyDescent="0.3">
      <c r="A52" t="s">
        <v>263</v>
      </c>
      <c r="B52" t="s">
        <v>264</v>
      </c>
    </row>
    <row r="53" spans="1:4" x14ac:dyDescent="0.3">
      <c r="A53" t="s">
        <v>265</v>
      </c>
      <c r="B53" t="s">
        <v>266</v>
      </c>
    </row>
    <row r="54" spans="1:4" x14ac:dyDescent="0.3">
      <c r="A54" t="s">
        <v>267</v>
      </c>
      <c r="B54" t="s">
        <v>268</v>
      </c>
    </row>
    <row r="55" spans="1:4" x14ac:dyDescent="0.3">
      <c r="A55" t="s">
        <v>269</v>
      </c>
      <c r="B55" t="s">
        <v>270</v>
      </c>
    </row>
    <row r="56" spans="1:4" x14ac:dyDescent="0.3">
      <c r="A56" t="s">
        <v>271</v>
      </c>
      <c r="B56" t="s">
        <v>272</v>
      </c>
    </row>
    <row r="58" spans="1:4" x14ac:dyDescent="0.3">
      <c r="A58" t="s">
        <v>273</v>
      </c>
      <c r="B58" t="s">
        <v>238</v>
      </c>
      <c r="C58" t="s">
        <v>274</v>
      </c>
    </row>
    <row r="59" spans="1:4" x14ac:dyDescent="0.3">
      <c r="A59" t="s">
        <v>275</v>
      </c>
      <c r="B59" t="s">
        <v>276</v>
      </c>
      <c r="C59" t="s">
        <v>277</v>
      </c>
    </row>
    <row r="60" spans="1:4" x14ac:dyDescent="0.3">
      <c r="A60" t="s">
        <v>278</v>
      </c>
      <c r="B60" t="s">
        <v>279</v>
      </c>
      <c r="C60" t="s">
        <v>280</v>
      </c>
    </row>
    <row r="62" spans="1:4" x14ac:dyDescent="0.3">
      <c r="A62" s="25" t="s">
        <v>281</v>
      </c>
      <c r="B62" s="25"/>
      <c r="C62" s="25"/>
      <c r="D62" s="25"/>
    </row>
    <row r="63" spans="1:4" x14ac:dyDescent="0.3">
      <c r="A63" t="s">
        <v>282</v>
      </c>
    </row>
    <row r="64" spans="1:4" x14ac:dyDescent="0.3">
      <c r="A64" t="s">
        <v>283</v>
      </c>
    </row>
    <row r="65" spans="1:4" x14ac:dyDescent="0.3">
      <c r="A65" t="s">
        <v>284</v>
      </c>
    </row>
    <row r="66" spans="1:4" x14ac:dyDescent="0.3">
      <c r="A66" t="s">
        <v>285</v>
      </c>
    </row>
    <row r="67" spans="1:4" x14ac:dyDescent="0.3">
      <c r="A67" t="s">
        <v>286</v>
      </c>
    </row>
    <row r="68" spans="1:4" x14ac:dyDescent="0.3">
      <c r="A68" t="s">
        <v>287</v>
      </c>
    </row>
    <row r="69" spans="1:4" x14ac:dyDescent="0.3">
      <c r="A69" t="s">
        <v>288</v>
      </c>
    </row>
    <row r="70" spans="1:4" x14ac:dyDescent="0.3">
      <c r="A70" t="s">
        <v>289</v>
      </c>
    </row>
    <row r="71" spans="1:4" x14ac:dyDescent="0.3">
      <c r="A71" t="s">
        <v>290</v>
      </c>
    </row>
    <row r="72" spans="1:4" x14ac:dyDescent="0.3">
      <c r="A72" t="s">
        <v>291</v>
      </c>
    </row>
    <row r="73" spans="1:4" x14ac:dyDescent="0.3">
      <c r="A73" t="s">
        <v>292</v>
      </c>
    </row>
    <row r="74" spans="1:4" x14ac:dyDescent="0.3">
      <c r="A74" t="s">
        <v>293</v>
      </c>
    </row>
    <row r="75" spans="1:4" x14ac:dyDescent="0.3">
      <c r="A75" t="s">
        <v>294</v>
      </c>
    </row>
    <row r="77" spans="1:4" x14ac:dyDescent="0.3">
      <c r="A77" s="25" t="s">
        <v>295</v>
      </c>
      <c r="B77" s="25"/>
      <c r="C77" s="25"/>
      <c r="D77" s="25"/>
    </row>
    <row r="78" spans="1:4" x14ac:dyDescent="0.3">
      <c r="A78" t="s">
        <v>296</v>
      </c>
      <c r="B78" t="s">
        <v>297</v>
      </c>
      <c r="C78" t="s">
        <v>298</v>
      </c>
    </row>
    <row r="79" spans="1:4" x14ac:dyDescent="0.3">
      <c r="A79" t="s">
        <v>299</v>
      </c>
      <c r="B79" t="s">
        <v>300</v>
      </c>
    </row>
    <row r="80" spans="1:4" x14ac:dyDescent="0.3">
      <c r="A80" t="s">
        <v>301</v>
      </c>
      <c r="B80" t="s">
        <v>302</v>
      </c>
    </row>
    <row r="81" spans="1:3" x14ac:dyDescent="0.3">
      <c r="A81" t="s">
        <v>303</v>
      </c>
      <c r="B81" t="s">
        <v>304</v>
      </c>
      <c r="C81" t="s">
        <v>298</v>
      </c>
    </row>
    <row r="82" spans="1:3" x14ac:dyDescent="0.3">
      <c r="A82" t="s">
        <v>299</v>
      </c>
      <c r="B82" t="s">
        <v>305</v>
      </c>
    </row>
    <row r="83" spans="1:3" x14ac:dyDescent="0.3">
      <c r="A83" t="s">
        <v>301</v>
      </c>
      <c r="B83" t="s">
        <v>306</v>
      </c>
    </row>
    <row r="84" spans="1:3" x14ac:dyDescent="0.3">
      <c r="A84" t="s">
        <v>307</v>
      </c>
      <c r="B84" t="s">
        <v>308</v>
      </c>
      <c r="C84" t="s">
        <v>298</v>
      </c>
    </row>
    <row r="85" spans="1:3" x14ac:dyDescent="0.3">
      <c r="A85" t="s">
        <v>299</v>
      </c>
      <c r="B85" t="s">
        <v>309</v>
      </c>
    </row>
    <row r="86" spans="1:3" x14ac:dyDescent="0.3">
      <c r="A86" t="s">
        <v>301</v>
      </c>
      <c r="B86" t="s">
        <v>310</v>
      </c>
    </row>
    <row r="87" spans="1:3" x14ac:dyDescent="0.3">
      <c r="A87" t="s">
        <v>311</v>
      </c>
      <c r="B87" t="s">
        <v>312</v>
      </c>
      <c r="C87" t="s">
        <v>313</v>
      </c>
    </row>
    <row r="88" spans="1:3" x14ac:dyDescent="0.3">
      <c r="A88" t="s">
        <v>299</v>
      </c>
      <c r="B88" t="s">
        <v>314</v>
      </c>
    </row>
    <row r="89" spans="1:3" x14ac:dyDescent="0.3">
      <c r="A89" t="s">
        <v>301</v>
      </c>
      <c r="B89" t="s">
        <v>315</v>
      </c>
    </row>
    <row r="90" spans="1:3" x14ac:dyDescent="0.3">
      <c r="A90" t="s">
        <v>316</v>
      </c>
      <c r="B90" t="s">
        <v>317</v>
      </c>
      <c r="C90" t="s">
        <v>313</v>
      </c>
    </row>
    <row r="91" spans="1:3" x14ac:dyDescent="0.3">
      <c r="A91" t="s">
        <v>299</v>
      </c>
      <c r="B91" t="s">
        <v>318</v>
      </c>
    </row>
    <row r="92" spans="1:3" x14ac:dyDescent="0.3">
      <c r="A92" t="s">
        <v>301</v>
      </c>
      <c r="B92" t="s">
        <v>319</v>
      </c>
    </row>
    <row r="93" spans="1:3" x14ac:dyDescent="0.3">
      <c r="A93" t="s">
        <v>320</v>
      </c>
      <c r="B93" t="s">
        <v>321</v>
      </c>
      <c r="C93" t="s">
        <v>313</v>
      </c>
    </row>
    <row r="94" spans="1:3" x14ac:dyDescent="0.3">
      <c r="A94" t="s">
        <v>299</v>
      </c>
      <c r="B94" t="s">
        <v>322</v>
      </c>
    </row>
    <row r="95" spans="1:3" x14ac:dyDescent="0.3">
      <c r="A95" t="s">
        <v>301</v>
      </c>
      <c r="B95" t="s">
        <v>323</v>
      </c>
    </row>
    <row r="96" spans="1:3" x14ac:dyDescent="0.3">
      <c r="A96" t="s">
        <v>324</v>
      </c>
      <c r="B96" t="s">
        <v>325</v>
      </c>
      <c r="C96" t="s">
        <v>313</v>
      </c>
    </row>
    <row r="97" spans="1:3" x14ac:dyDescent="0.3">
      <c r="A97" t="s">
        <v>299</v>
      </c>
      <c r="B97" t="s">
        <v>326</v>
      </c>
    </row>
    <row r="98" spans="1:3" x14ac:dyDescent="0.3">
      <c r="A98" t="s">
        <v>301</v>
      </c>
      <c r="B98" t="s">
        <v>327</v>
      </c>
    </row>
    <row r="99" spans="1:3" x14ac:dyDescent="0.3">
      <c r="A99" t="s">
        <v>328</v>
      </c>
      <c r="B99" t="s">
        <v>329</v>
      </c>
      <c r="C99" t="s">
        <v>330</v>
      </c>
    </row>
    <row r="100" spans="1:3" x14ac:dyDescent="0.3">
      <c r="A100" t="s">
        <v>299</v>
      </c>
      <c r="B100" t="s">
        <v>331</v>
      </c>
    </row>
    <row r="101" spans="1:3" x14ac:dyDescent="0.3">
      <c r="A101" t="s">
        <v>301</v>
      </c>
      <c r="B101" t="s">
        <v>332</v>
      </c>
    </row>
    <row r="102" spans="1:3" x14ac:dyDescent="0.3">
      <c r="A102" t="s">
        <v>333</v>
      </c>
      <c r="B102" t="s">
        <v>334</v>
      </c>
      <c r="C102" t="s">
        <v>330</v>
      </c>
    </row>
    <row r="103" spans="1:3" x14ac:dyDescent="0.3">
      <c r="A103" t="s">
        <v>299</v>
      </c>
      <c r="B103" t="s">
        <v>335</v>
      </c>
    </row>
    <row r="104" spans="1:3" x14ac:dyDescent="0.3">
      <c r="A104" t="s">
        <v>301</v>
      </c>
      <c r="B104" t="s">
        <v>336</v>
      </c>
    </row>
    <row r="105" spans="1:3" x14ac:dyDescent="0.3">
      <c r="A105" t="s">
        <v>337</v>
      </c>
      <c r="B105" t="s">
        <v>338</v>
      </c>
      <c r="C105" t="s">
        <v>330</v>
      </c>
    </row>
    <row r="106" spans="1:3" x14ac:dyDescent="0.3">
      <c r="A106" t="s">
        <v>299</v>
      </c>
      <c r="B106" t="s">
        <v>339</v>
      </c>
    </row>
    <row r="107" spans="1:3" x14ac:dyDescent="0.3">
      <c r="A107" t="s">
        <v>301</v>
      </c>
      <c r="B107" t="s">
        <v>340</v>
      </c>
    </row>
    <row r="108" spans="1:3" x14ac:dyDescent="0.3">
      <c r="A108" t="s">
        <v>341</v>
      </c>
      <c r="B108" t="s">
        <v>342</v>
      </c>
      <c r="C108" t="s">
        <v>343</v>
      </c>
    </row>
    <row r="109" spans="1:3" x14ac:dyDescent="0.3">
      <c r="A109" t="s">
        <v>299</v>
      </c>
      <c r="B109" t="s">
        <v>344</v>
      </c>
    </row>
    <row r="110" spans="1:3" x14ac:dyDescent="0.3">
      <c r="A110" t="s">
        <v>301</v>
      </c>
      <c r="B110" t="s">
        <v>345</v>
      </c>
    </row>
    <row r="111" spans="1:3" x14ac:dyDescent="0.3">
      <c r="A111" t="s">
        <v>346</v>
      </c>
      <c r="B111" t="s">
        <v>347</v>
      </c>
      <c r="C111" t="s">
        <v>348</v>
      </c>
    </row>
    <row r="112" spans="1:3" x14ac:dyDescent="0.3">
      <c r="A112" t="s">
        <v>299</v>
      </c>
      <c r="B112" t="s">
        <v>349</v>
      </c>
    </row>
    <row r="113" spans="1:2" x14ac:dyDescent="0.3">
      <c r="A113" t="s">
        <v>301</v>
      </c>
      <c r="B113" t="s">
        <v>350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22"/>
  <sheetViews>
    <sheetView workbookViewId="0"/>
  </sheetViews>
  <sheetFormatPr defaultRowHeight="14.4" x14ac:dyDescent="0.3"/>
  <cols>
    <col min="1" max="1" width="46" customWidth="1"/>
    <col min="2" max="8" width="15" customWidth="1"/>
  </cols>
  <sheetData>
    <row r="1" spans="1:4" x14ac:dyDescent="0.3">
      <c r="A1" s="24" t="s">
        <v>181</v>
      </c>
      <c r="B1" t="s">
        <v>351</v>
      </c>
    </row>
    <row r="2" spans="1:4" x14ac:dyDescent="0.3">
      <c r="A2" s="24" t="s">
        <v>183</v>
      </c>
      <c r="B2" t="s">
        <v>352</v>
      </c>
    </row>
    <row r="4" spans="1:4" x14ac:dyDescent="0.3">
      <c r="A4" s="25" t="s">
        <v>185</v>
      </c>
      <c r="B4" s="25"/>
      <c r="C4" s="25"/>
      <c r="D4" s="25"/>
    </row>
    <row r="6" spans="1:4" x14ac:dyDescent="0.3">
      <c r="A6" t="s">
        <v>186</v>
      </c>
      <c r="B6" t="s">
        <v>187</v>
      </c>
      <c r="C6" t="s">
        <v>188</v>
      </c>
      <c r="D6" t="s">
        <v>189</v>
      </c>
    </row>
    <row r="7" spans="1:4" x14ac:dyDescent="0.3">
      <c r="A7" t="s">
        <v>353</v>
      </c>
      <c r="B7">
        <v>9.1</v>
      </c>
      <c r="C7">
        <v>14.7</v>
      </c>
      <c r="D7" t="s">
        <v>354</v>
      </c>
    </row>
    <row r="8" spans="1:4" x14ac:dyDescent="0.3">
      <c r="A8" t="s">
        <v>355</v>
      </c>
      <c r="B8">
        <v>6.7</v>
      </c>
      <c r="C8">
        <v>10.9</v>
      </c>
      <c r="D8" t="s">
        <v>356</v>
      </c>
    </row>
    <row r="9" spans="1:4" x14ac:dyDescent="0.3">
      <c r="A9" t="s">
        <v>357</v>
      </c>
      <c r="B9">
        <v>0.435</v>
      </c>
      <c r="C9">
        <v>1.6</v>
      </c>
      <c r="D9" t="s">
        <v>358</v>
      </c>
    </row>
    <row r="10" spans="1:4" x14ac:dyDescent="0.3">
      <c r="A10" t="s">
        <v>359</v>
      </c>
      <c r="B10" t="s">
        <v>360</v>
      </c>
      <c r="C10">
        <v>2.1</v>
      </c>
      <c r="D10" t="s">
        <v>361</v>
      </c>
    </row>
    <row r="11" spans="1:4" x14ac:dyDescent="0.3">
      <c r="A11" t="s">
        <v>362</v>
      </c>
      <c r="B11">
        <v>36.200000000000003</v>
      </c>
      <c r="C11">
        <v>52.6</v>
      </c>
      <c r="D11" t="s">
        <v>363</v>
      </c>
    </row>
    <row r="12" spans="1:4" x14ac:dyDescent="0.3">
      <c r="A12" t="s">
        <v>364</v>
      </c>
      <c r="B12" t="s">
        <v>365</v>
      </c>
      <c r="C12">
        <v>38.9</v>
      </c>
      <c r="D12" t="s">
        <v>354</v>
      </c>
    </row>
    <row r="13" spans="1:4" x14ac:dyDescent="0.3">
      <c r="A13" t="s">
        <v>366</v>
      </c>
      <c r="B13" t="s">
        <v>367</v>
      </c>
      <c r="C13">
        <v>13.7</v>
      </c>
      <c r="D13" t="s">
        <v>368</v>
      </c>
    </row>
    <row r="14" spans="1:4" x14ac:dyDescent="0.3">
      <c r="A14" t="s">
        <v>369</v>
      </c>
      <c r="B14" t="s">
        <v>197</v>
      </c>
      <c r="C14" t="s">
        <v>197</v>
      </c>
      <c r="D14" t="s">
        <v>370</v>
      </c>
    </row>
    <row r="15" spans="1:4" x14ac:dyDescent="0.3">
      <c r="A15" t="s">
        <v>371</v>
      </c>
      <c r="B15" t="s">
        <v>372</v>
      </c>
      <c r="C15">
        <v>4.3</v>
      </c>
      <c r="D15" t="s">
        <v>373</v>
      </c>
    </row>
    <row r="17" spans="1:4" x14ac:dyDescent="0.3">
      <c r="A17" t="s">
        <v>203</v>
      </c>
      <c r="B17" t="s">
        <v>187</v>
      </c>
      <c r="C17" t="s">
        <v>188</v>
      </c>
      <c r="D17" t="s">
        <v>204</v>
      </c>
    </row>
    <row r="18" spans="1:4" x14ac:dyDescent="0.3">
      <c r="A18" t="s">
        <v>374</v>
      </c>
      <c r="B18">
        <v>3.8</v>
      </c>
      <c r="C18">
        <v>5.5</v>
      </c>
      <c r="D18" t="s">
        <v>375</v>
      </c>
    </row>
    <row r="19" spans="1:4" x14ac:dyDescent="0.3">
      <c r="A19" t="s">
        <v>376</v>
      </c>
      <c r="B19" t="s">
        <v>377</v>
      </c>
      <c r="C19" t="s">
        <v>378</v>
      </c>
      <c r="D19" t="s">
        <v>379</v>
      </c>
    </row>
    <row r="20" spans="1:4" x14ac:dyDescent="0.3">
      <c r="A20" t="s">
        <v>380</v>
      </c>
      <c r="B20">
        <v>15.4</v>
      </c>
      <c r="C20">
        <v>21.1</v>
      </c>
      <c r="D20" t="s">
        <v>381</v>
      </c>
    </row>
    <row r="21" spans="1:4" x14ac:dyDescent="0.3">
      <c r="A21" t="s">
        <v>382</v>
      </c>
      <c r="B21" t="s">
        <v>383</v>
      </c>
      <c r="C21" t="s">
        <v>384</v>
      </c>
      <c r="D21" t="s">
        <v>385</v>
      </c>
    </row>
    <row r="23" spans="1:4" x14ac:dyDescent="0.3">
      <c r="A23" t="s">
        <v>216</v>
      </c>
      <c r="B23" t="s">
        <v>187</v>
      </c>
      <c r="C23" t="s">
        <v>188</v>
      </c>
      <c r="D23" t="s">
        <v>189</v>
      </c>
    </row>
    <row r="24" spans="1:4" x14ac:dyDescent="0.3">
      <c r="A24" t="s">
        <v>386</v>
      </c>
      <c r="B24">
        <v>7.3</v>
      </c>
      <c r="C24">
        <v>2.8</v>
      </c>
      <c r="D24" t="s">
        <v>387</v>
      </c>
    </row>
    <row r="25" spans="1:4" x14ac:dyDescent="0.3">
      <c r="A25" t="s">
        <v>388</v>
      </c>
      <c r="B25">
        <v>16.600000000000001</v>
      </c>
      <c r="C25">
        <v>21.2</v>
      </c>
      <c r="D25" t="s">
        <v>389</v>
      </c>
    </row>
    <row r="26" spans="1:4" x14ac:dyDescent="0.3">
      <c r="A26" t="s">
        <v>390</v>
      </c>
      <c r="B26">
        <v>1.6</v>
      </c>
      <c r="C26">
        <v>3</v>
      </c>
      <c r="D26" t="s">
        <v>391</v>
      </c>
    </row>
    <row r="27" spans="1:4" x14ac:dyDescent="0.3">
      <c r="A27" t="s">
        <v>392</v>
      </c>
      <c r="B27">
        <v>6.9</v>
      </c>
      <c r="C27">
        <v>10.5</v>
      </c>
      <c r="D27" t="s">
        <v>393</v>
      </c>
    </row>
    <row r="29" spans="1:4" x14ac:dyDescent="0.3">
      <c r="A29" t="s">
        <v>223</v>
      </c>
      <c r="B29" t="s">
        <v>187</v>
      </c>
      <c r="C29" t="s">
        <v>188</v>
      </c>
      <c r="D29" t="s">
        <v>204</v>
      </c>
    </row>
    <row r="30" spans="1:4" x14ac:dyDescent="0.3">
      <c r="A30" t="s">
        <v>394</v>
      </c>
      <c r="B30">
        <v>-5.3</v>
      </c>
      <c r="C30">
        <v>-0.89300000000000002</v>
      </c>
      <c r="D30" t="s">
        <v>395</v>
      </c>
    </row>
    <row r="31" spans="1:4" x14ac:dyDescent="0.3">
      <c r="A31" t="s">
        <v>396</v>
      </c>
      <c r="B31">
        <v>-0.12</v>
      </c>
      <c r="C31">
        <v>-0.02</v>
      </c>
      <c r="D31" t="s">
        <v>397</v>
      </c>
    </row>
    <row r="32" spans="1:4" x14ac:dyDescent="0.3">
      <c r="A32" t="s">
        <v>398</v>
      </c>
      <c r="B32">
        <v>-8.6</v>
      </c>
      <c r="C32">
        <v>-11.4</v>
      </c>
      <c r="D32" t="s">
        <v>399</v>
      </c>
    </row>
    <row r="33" spans="1:4" x14ac:dyDescent="0.3">
      <c r="A33" t="s">
        <v>400</v>
      </c>
      <c r="B33">
        <v>-0.19</v>
      </c>
      <c r="C33">
        <v>-0.23</v>
      </c>
      <c r="D33" t="s">
        <v>227</v>
      </c>
    </row>
    <row r="34" spans="1:4" x14ac:dyDescent="0.3">
      <c r="A34" t="s">
        <v>401</v>
      </c>
      <c r="B34" t="s">
        <v>197</v>
      </c>
      <c r="C34">
        <v>0.78500000000000003</v>
      </c>
      <c r="D34" t="s">
        <v>197</v>
      </c>
    </row>
    <row r="35" spans="1:4" x14ac:dyDescent="0.3">
      <c r="A35" t="s">
        <v>402</v>
      </c>
      <c r="B35">
        <v>0.70499999999999996</v>
      </c>
      <c r="C35">
        <v>0.13500000000000001</v>
      </c>
      <c r="D35" t="s">
        <v>403</v>
      </c>
    </row>
    <row r="36" spans="1:4" x14ac:dyDescent="0.3">
      <c r="A36" t="s">
        <v>404</v>
      </c>
      <c r="B36" t="s">
        <v>197</v>
      </c>
      <c r="C36">
        <v>-6.3</v>
      </c>
      <c r="D36" t="s">
        <v>197</v>
      </c>
    </row>
    <row r="37" spans="1:4" x14ac:dyDescent="0.3">
      <c r="A37" t="s">
        <v>405</v>
      </c>
      <c r="B37" t="s">
        <v>406</v>
      </c>
      <c r="C37">
        <v>2.2000000000000002</v>
      </c>
      <c r="D37" t="s">
        <v>197</v>
      </c>
    </row>
    <row r="38" spans="1:4" x14ac:dyDescent="0.3">
      <c r="A38" t="s">
        <v>407</v>
      </c>
      <c r="B38" t="s">
        <v>197</v>
      </c>
      <c r="C38" t="s">
        <v>406</v>
      </c>
      <c r="D38" t="s">
        <v>197</v>
      </c>
    </row>
    <row r="40" spans="1:4" x14ac:dyDescent="0.3">
      <c r="A40" t="s">
        <v>245</v>
      </c>
      <c r="B40" t="s">
        <v>246</v>
      </c>
      <c r="C40" t="s">
        <v>408</v>
      </c>
      <c r="D40" t="s">
        <v>248</v>
      </c>
    </row>
    <row r="41" spans="1:4" x14ac:dyDescent="0.3">
      <c r="A41" t="s">
        <v>249</v>
      </c>
      <c r="B41">
        <v>14.2</v>
      </c>
      <c r="C41">
        <v>7.7</v>
      </c>
      <c r="D41" t="s">
        <v>409</v>
      </c>
    </row>
    <row r="42" spans="1:4" x14ac:dyDescent="0.3">
      <c r="A42" t="s">
        <v>251</v>
      </c>
      <c r="B42">
        <v>20.5</v>
      </c>
      <c r="C42">
        <v>20.2</v>
      </c>
      <c r="D42" t="s">
        <v>410</v>
      </c>
    </row>
    <row r="43" spans="1:4" x14ac:dyDescent="0.3">
      <c r="A43" t="s">
        <v>411</v>
      </c>
      <c r="B43" t="s">
        <v>197</v>
      </c>
      <c r="C43">
        <v>-11.6</v>
      </c>
      <c r="D43" t="s">
        <v>197</v>
      </c>
    </row>
    <row r="45" spans="1:4" x14ac:dyDescent="0.3">
      <c r="A45" t="s">
        <v>412</v>
      </c>
      <c r="B45" t="s">
        <v>238</v>
      </c>
    </row>
    <row r="46" spans="1:4" x14ac:dyDescent="0.3">
      <c r="A46" t="s">
        <v>413</v>
      </c>
      <c r="B46" t="s">
        <v>414</v>
      </c>
    </row>
    <row r="47" spans="1:4" x14ac:dyDescent="0.3">
      <c r="A47" t="s">
        <v>415</v>
      </c>
      <c r="B47" t="s">
        <v>416</v>
      </c>
    </row>
    <row r="48" spans="1:4" x14ac:dyDescent="0.3">
      <c r="A48" t="s">
        <v>417</v>
      </c>
      <c r="B48" t="s">
        <v>418</v>
      </c>
    </row>
    <row r="49" spans="1:2" x14ac:dyDescent="0.3">
      <c r="A49" t="s">
        <v>263</v>
      </c>
      <c r="B49" t="s">
        <v>419</v>
      </c>
    </row>
    <row r="51" spans="1:2" x14ac:dyDescent="0.3">
      <c r="A51" t="s">
        <v>254</v>
      </c>
      <c r="B51" t="s">
        <v>238</v>
      </c>
    </row>
    <row r="52" spans="1:2" x14ac:dyDescent="0.3">
      <c r="A52" t="s">
        <v>420</v>
      </c>
      <c r="B52" t="s">
        <v>421</v>
      </c>
    </row>
    <row r="53" spans="1:2" x14ac:dyDescent="0.3">
      <c r="A53" t="s">
        <v>422</v>
      </c>
      <c r="B53" t="s">
        <v>423</v>
      </c>
    </row>
    <row r="54" spans="1:2" x14ac:dyDescent="0.3">
      <c r="A54" t="s">
        <v>424</v>
      </c>
      <c r="B54" t="s">
        <v>425</v>
      </c>
    </row>
    <row r="55" spans="1:2" x14ac:dyDescent="0.3">
      <c r="A55" t="s">
        <v>426</v>
      </c>
      <c r="B55" t="s">
        <v>427</v>
      </c>
    </row>
    <row r="56" spans="1:2" x14ac:dyDescent="0.3">
      <c r="A56" t="s">
        <v>428</v>
      </c>
      <c r="B56" t="s">
        <v>429</v>
      </c>
    </row>
    <row r="57" spans="1:2" x14ac:dyDescent="0.3">
      <c r="A57" t="s">
        <v>430</v>
      </c>
      <c r="B57" t="s">
        <v>431</v>
      </c>
    </row>
    <row r="58" spans="1:2" x14ac:dyDescent="0.3">
      <c r="A58" t="s">
        <v>432</v>
      </c>
      <c r="B58" t="s">
        <v>433</v>
      </c>
    </row>
    <row r="59" spans="1:2" x14ac:dyDescent="0.3">
      <c r="A59" t="s">
        <v>271</v>
      </c>
      <c r="B59" t="s">
        <v>434</v>
      </c>
    </row>
    <row r="60" spans="1:2" x14ac:dyDescent="0.3">
      <c r="A60" t="s">
        <v>435</v>
      </c>
      <c r="B60" t="s">
        <v>436</v>
      </c>
    </row>
    <row r="62" spans="1:2" x14ac:dyDescent="0.3">
      <c r="A62" t="s">
        <v>437</v>
      </c>
      <c r="B62" t="s">
        <v>238</v>
      </c>
    </row>
    <row r="63" spans="1:2" x14ac:dyDescent="0.3">
      <c r="A63" t="s">
        <v>438</v>
      </c>
      <c r="B63" t="s">
        <v>439</v>
      </c>
    </row>
    <row r="64" spans="1:2" x14ac:dyDescent="0.3">
      <c r="A64" t="s">
        <v>440</v>
      </c>
      <c r="B64" t="s">
        <v>441</v>
      </c>
    </row>
    <row r="65" spans="1:4" x14ac:dyDescent="0.3">
      <c r="A65" t="s">
        <v>442</v>
      </c>
      <c r="B65" t="s">
        <v>443</v>
      </c>
    </row>
    <row r="66" spans="1:4" x14ac:dyDescent="0.3">
      <c r="A66" t="s">
        <v>444</v>
      </c>
      <c r="B66" t="s">
        <v>445</v>
      </c>
    </row>
    <row r="68" spans="1:4" x14ac:dyDescent="0.3">
      <c r="A68" t="s">
        <v>273</v>
      </c>
      <c r="B68" t="s">
        <v>238</v>
      </c>
      <c r="C68" t="s">
        <v>274</v>
      </c>
    </row>
    <row r="69" spans="1:4" x14ac:dyDescent="0.3">
      <c r="A69" t="s">
        <v>446</v>
      </c>
      <c r="B69" t="s">
        <v>447</v>
      </c>
      <c r="C69" t="s">
        <v>448</v>
      </c>
    </row>
    <row r="70" spans="1:4" x14ac:dyDescent="0.3">
      <c r="A70" t="s">
        <v>449</v>
      </c>
      <c r="B70" t="s">
        <v>450</v>
      </c>
      <c r="C70" t="s">
        <v>451</v>
      </c>
    </row>
    <row r="71" spans="1:4" x14ac:dyDescent="0.3">
      <c r="A71" t="s">
        <v>452</v>
      </c>
      <c r="B71" t="s">
        <v>453</v>
      </c>
      <c r="C71" t="s">
        <v>14</v>
      </c>
    </row>
    <row r="72" spans="1:4" x14ac:dyDescent="0.3">
      <c r="A72" t="s">
        <v>454</v>
      </c>
      <c r="B72" t="s">
        <v>455</v>
      </c>
      <c r="C72" t="s">
        <v>14</v>
      </c>
    </row>
    <row r="74" spans="1:4" x14ac:dyDescent="0.3">
      <c r="A74" s="25" t="s">
        <v>281</v>
      </c>
      <c r="B74" s="25"/>
      <c r="C74" s="25"/>
      <c r="D74" s="25"/>
    </row>
    <row r="75" spans="1:4" x14ac:dyDescent="0.3">
      <c r="A75" t="s">
        <v>456</v>
      </c>
    </row>
    <row r="76" spans="1:4" x14ac:dyDescent="0.3">
      <c r="A76" t="s">
        <v>457</v>
      </c>
    </row>
    <row r="77" spans="1:4" x14ac:dyDescent="0.3">
      <c r="A77" t="s">
        <v>458</v>
      </c>
    </row>
    <row r="78" spans="1:4" x14ac:dyDescent="0.3">
      <c r="A78" t="s">
        <v>459</v>
      </c>
    </row>
    <row r="79" spans="1:4" x14ac:dyDescent="0.3">
      <c r="A79" t="s">
        <v>460</v>
      </c>
    </row>
    <row r="80" spans="1:4" x14ac:dyDescent="0.3">
      <c r="A80" t="s">
        <v>461</v>
      </c>
    </row>
    <row r="81" spans="1:4" x14ac:dyDescent="0.3">
      <c r="A81" t="s">
        <v>462</v>
      </c>
    </row>
    <row r="82" spans="1:4" x14ac:dyDescent="0.3">
      <c r="A82" t="s">
        <v>463</v>
      </c>
    </row>
    <row r="83" spans="1:4" x14ac:dyDescent="0.3">
      <c r="A83" t="s">
        <v>464</v>
      </c>
    </row>
    <row r="84" spans="1:4" x14ac:dyDescent="0.3">
      <c r="A84" t="s">
        <v>465</v>
      </c>
    </row>
    <row r="85" spans="1:4" x14ac:dyDescent="0.3">
      <c r="A85" t="s">
        <v>466</v>
      </c>
    </row>
    <row r="86" spans="1:4" x14ac:dyDescent="0.3">
      <c r="A86" t="s">
        <v>467</v>
      </c>
    </row>
    <row r="87" spans="1:4" x14ac:dyDescent="0.3">
      <c r="A87" t="s">
        <v>468</v>
      </c>
    </row>
    <row r="89" spans="1:4" x14ac:dyDescent="0.3">
      <c r="A89" s="25" t="s">
        <v>295</v>
      </c>
      <c r="B89" s="25"/>
      <c r="C89" s="25"/>
      <c r="D89" s="25"/>
    </row>
    <row r="90" spans="1:4" x14ac:dyDescent="0.3">
      <c r="A90" t="s">
        <v>296</v>
      </c>
      <c r="B90" t="s">
        <v>469</v>
      </c>
      <c r="C90" t="s">
        <v>298</v>
      </c>
    </row>
    <row r="91" spans="1:4" x14ac:dyDescent="0.3">
      <c r="A91" t="s">
        <v>299</v>
      </c>
      <c r="B91" t="s">
        <v>470</v>
      </c>
    </row>
    <row r="92" spans="1:4" x14ac:dyDescent="0.3">
      <c r="A92" t="s">
        <v>301</v>
      </c>
      <c r="B92" t="s">
        <v>471</v>
      </c>
    </row>
    <row r="93" spans="1:4" x14ac:dyDescent="0.3">
      <c r="A93" t="s">
        <v>303</v>
      </c>
      <c r="B93" t="s">
        <v>472</v>
      </c>
      <c r="C93" t="s">
        <v>298</v>
      </c>
    </row>
    <row r="94" spans="1:4" x14ac:dyDescent="0.3">
      <c r="A94" t="s">
        <v>299</v>
      </c>
      <c r="B94" t="s">
        <v>473</v>
      </c>
    </row>
    <row r="95" spans="1:4" x14ac:dyDescent="0.3">
      <c r="A95" t="s">
        <v>301</v>
      </c>
      <c r="B95" t="s">
        <v>474</v>
      </c>
    </row>
    <row r="96" spans="1:4" x14ac:dyDescent="0.3">
      <c r="A96" t="s">
        <v>307</v>
      </c>
      <c r="B96" t="s">
        <v>475</v>
      </c>
      <c r="C96" t="s">
        <v>298</v>
      </c>
    </row>
    <row r="97" spans="1:3" x14ac:dyDescent="0.3">
      <c r="A97" t="s">
        <v>299</v>
      </c>
      <c r="B97" t="s">
        <v>476</v>
      </c>
    </row>
    <row r="98" spans="1:3" x14ac:dyDescent="0.3">
      <c r="A98" t="s">
        <v>301</v>
      </c>
      <c r="B98" t="s">
        <v>477</v>
      </c>
    </row>
    <row r="99" spans="1:3" x14ac:dyDescent="0.3">
      <c r="A99" t="s">
        <v>311</v>
      </c>
      <c r="B99" t="s">
        <v>478</v>
      </c>
      <c r="C99" t="s">
        <v>479</v>
      </c>
    </row>
    <row r="100" spans="1:3" x14ac:dyDescent="0.3">
      <c r="A100" t="s">
        <v>299</v>
      </c>
      <c r="B100" t="s">
        <v>480</v>
      </c>
    </row>
    <row r="101" spans="1:3" x14ac:dyDescent="0.3">
      <c r="A101" t="s">
        <v>301</v>
      </c>
      <c r="B101" t="s">
        <v>481</v>
      </c>
    </row>
    <row r="102" spans="1:3" x14ac:dyDescent="0.3">
      <c r="A102" t="s">
        <v>316</v>
      </c>
      <c r="B102" t="s">
        <v>482</v>
      </c>
      <c r="C102" t="s">
        <v>479</v>
      </c>
    </row>
    <row r="103" spans="1:3" x14ac:dyDescent="0.3">
      <c r="A103" t="s">
        <v>299</v>
      </c>
      <c r="B103" t="s">
        <v>483</v>
      </c>
    </row>
    <row r="104" spans="1:3" x14ac:dyDescent="0.3">
      <c r="A104" t="s">
        <v>301</v>
      </c>
      <c r="B104" t="s">
        <v>484</v>
      </c>
    </row>
    <row r="105" spans="1:3" x14ac:dyDescent="0.3">
      <c r="A105" t="s">
        <v>320</v>
      </c>
      <c r="B105" t="s">
        <v>485</v>
      </c>
      <c r="C105" t="s">
        <v>479</v>
      </c>
    </row>
    <row r="106" spans="1:3" x14ac:dyDescent="0.3">
      <c r="A106" t="s">
        <v>299</v>
      </c>
      <c r="B106" t="s">
        <v>486</v>
      </c>
    </row>
    <row r="107" spans="1:3" x14ac:dyDescent="0.3">
      <c r="A107" t="s">
        <v>301</v>
      </c>
      <c r="B107" t="s">
        <v>487</v>
      </c>
    </row>
    <row r="108" spans="1:3" x14ac:dyDescent="0.3">
      <c r="A108" t="s">
        <v>324</v>
      </c>
      <c r="B108" t="s">
        <v>488</v>
      </c>
      <c r="C108" t="s">
        <v>479</v>
      </c>
    </row>
    <row r="109" spans="1:3" x14ac:dyDescent="0.3">
      <c r="A109" t="s">
        <v>299</v>
      </c>
      <c r="B109" t="s">
        <v>489</v>
      </c>
    </row>
    <row r="110" spans="1:3" x14ac:dyDescent="0.3">
      <c r="A110" t="s">
        <v>301</v>
      </c>
      <c r="B110" t="s">
        <v>490</v>
      </c>
    </row>
    <row r="111" spans="1:3" x14ac:dyDescent="0.3">
      <c r="A111" t="s">
        <v>328</v>
      </c>
      <c r="B111" t="s">
        <v>491</v>
      </c>
      <c r="C111" t="s">
        <v>330</v>
      </c>
    </row>
    <row r="112" spans="1:3" x14ac:dyDescent="0.3">
      <c r="A112" t="s">
        <v>299</v>
      </c>
      <c r="B112" t="s">
        <v>492</v>
      </c>
    </row>
    <row r="113" spans="1:3" x14ac:dyDescent="0.3">
      <c r="A113" t="s">
        <v>301</v>
      </c>
      <c r="B113" t="s">
        <v>493</v>
      </c>
    </row>
    <row r="114" spans="1:3" x14ac:dyDescent="0.3">
      <c r="A114" t="s">
        <v>333</v>
      </c>
      <c r="B114" t="s">
        <v>494</v>
      </c>
      <c r="C114" t="s">
        <v>330</v>
      </c>
    </row>
    <row r="115" spans="1:3" x14ac:dyDescent="0.3">
      <c r="A115" t="s">
        <v>299</v>
      </c>
      <c r="B115" t="s">
        <v>495</v>
      </c>
    </row>
    <row r="116" spans="1:3" x14ac:dyDescent="0.3">
      <c r="A116" t="s">
        <v>301</v>
      </c>
      <c r="B116" t="s">
        <v>496</v>
      </c>
    </row>
    <row r="117" spans="1:3" x14ac:dyDescent="0.3">
      <c r="A117" t="s">
        <v>337</v>
      </c>
      <c r="B117" t="s">
        <v>497</v>
      </c>
      <c r="C117" t="s">
        <v>498</v>
      </c>
    </row>
    <row r="118" spans="1:3" x14ac:dyDescent="0.3">
      <c r="A118" t="s">
        <v>299</v>
      </c>
      <c r="B118" t="s">
        <v>499</v>
      </c>
    </row>
    <row r="119" spans="1:3" x14ac:dyDescent="0.3">
      <c r="A119" t="s">
        <v>301</v>
      </c>
      <c r="B119" t="s">
        <v>500</v>
      </c>
    </row>
    <row r="120" spans="1:3" x14ac:dyDescent="0.3">
      <c r="A120" t="s">
        <v>341</v>
      </c>
      <c r="B120" t="s">
        <v>501</v>
      </c>
      <c r="C120" t="s">
        <v>498</v>
      </c>
    </row>
    <row r="121" spans="1:3" x14ac:dyDescent="0.3">
      <c r="A121" t="s">
        <v>299</v>
      </c>
      <c r="B121" t="s">
        <v>502</v>
      </c>
    </row>
    <row r="122" spans="1:3" x14ac:dyDescent="0.3">
      <c r="A122" t="s">
        <v>301</v>
      </c>
      <c r="B122" t="s">
        <v>503</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5"/>
  <sheetViews>
    <sheetView workbookViewId="0"/>
  </sheetViews>
  <sheetFormatPr defaultRowHeight="14.4" x14ac:dyDescent="0.3"/>
  <cols>
    <col min="1" max="1" width="46" customWidth="1"/>
    <col min="2" max="8" width="15" customWidth="1"/>
  </cols>
  <sheetData>
    <row r="1" spans="1:4" x14ac:dyDescent="0.3">
      <c r="A1" s="24" t="s">
        <v>181</v>
      </c>
      <c r="B1" t="s">
        <v>504</v>
      </c>
    </row>
    <row r="2" spans="1:4" x14ac:dyDescent="0.3">
      <c r="A2" s="24" t="s">
        <v>183</v>
      </c>
      <c r="B2" t="s">
        <v>505</v>
      </c>
    </row>
    <row r="4" spans="1:4" x14ac:dyDescent="0.3">
      <c r="A4" s="25" t="s">
        <v>185</v>
      </c>
      <c r="B4" s="25"/>
      <c r="C4" s="25"/>
      <c r="D4" s="25"/>
    </row>
    <row r="6" spans="1:4" x14ac:dyDescent="0.3">
      <c r="A6" t="s">
        <v>186</v>
      </c>
      <c r="B6" t="s">
        <v>187</v>
      </c>
      <c r="C6" t="s">
        <v>188</v>
      </c>
      <c r="D6" t="s">
        <v>189</v>
      </c>
    </row>
    <row r="7" spans="1:4" x14ac:dyDescent="0.3">
      <c r="A7" t="s">
        <v>506</v>
      </c>
      <c r="B7">
        <v>12.1</v>
      </c>
      <c r="C7">
        <v>14.5</v>
      </c>
      <c r="D7" t="s">
        <v>507</v>
      </c>
    </row>
    <row r="8" spans="1:4" x14ac:dyDescent="0.3">
      <c r="A8" t="s">
        <v>508</v>
      </c>
      <c r="B8" t="s">
        <v>197</v>
      </c>
      <c r="C8">
        <v>11.4</v>
      </c>
      <c r="D8" t="s">
        <v>509</v>
      </c>
    </row>
    <row r="9" spans="1:4" x14ac:dyDescent="0.3">
      <c r="A9" t="s">
        <v>510</v>
      </c>
      <c r="B9" t="s">
        <v>511</v>
      </c>
      <c r="C9">
        <v>3.1</v>
      </c>
      <c r="D9" t="s">
        <v>512</v>
      </c>
    </row>
    <row r="10" spans="1:4" x14ac:dyDescent="0.3">
      <c r="A10" t="s">
        <v>513</v>
      </c>
      <c r="B10" t="s">
        <v>197</v>
      </c>
      <c r="C10" t="s">
        <v>197</v>
      </c>
      <c r="D10" t="s">
        <v>507</v>
      </c>
    </row>
    <row r="11" spans="1:4" x14ac:dyDescent="0.3">
      <c r="A11" t="s">
        <v>514</v>
      </c>
      <c r="B11" t="s">
        <v>197</v>
      </c>
      <c r="C11" t="s">
        <v>197</v>
      </c>
      <c r="D11" t="s">
        <v>515</v>
      </c>
    </row>
    <row r="12" spans="1:4" x14ac:dyDescent="0.3">
      <c r="A12" t="s">
        <v>516</v>
      </c>
      <c r="B12" t="s">
        <v>197</v>
      </c>
      <c r="C12" t="s">
        <v>197</v>
      </c>
      <c r="D12" t="s">
        <v>517</v>
      </c>
    </row>
    <row r="14" spans="1:4" x14ac:dyDescent="0.3">
      <c r="A14" t="s">
        <v>203</v>
      </c>
      <c r="B14" t="s">
        <v>187</v>
      </c>
      <c r="C14" t="s">
        <v>188</v>
      </c>
      <c r="D14" t="s">
        <v>204</v>
      </c>
    </row>
    <row r="15" spans="1:4" x14ac:dyDescent="0.3">
      <c r="A15" t="s">
        <v>518</v>
      </c>
      <c r="B15">
        <v>4.8</v>
      </c>
      <c r="C15">
        <v>5.7</v>
      </c>
      <c r="D15" t="s">
        <v>507</v>
      </c>
    </row>
    <row r="16" spans="1:4" x14ac:dyDescent="0.3">
      <c r="A16" t="s">
        <v>519</v>
      </c>
      <c r="B16" t="s">
        <v>520</v>
      </c>
      <c r="C16" t="s">
        <v>521</v>
      </c>
      <c r="D16" t="s">
        <v>522</v>
      </c>
    </row>
    <row r="18" spans="1:4" x14ac:dyDescent="0.3">
      <c r="A18" t="s">
        <v>216</v>
      </c>
      <c r="B18" t="s">
        <v>187</v>
      </c>
      <c r="C18" t="s">
        <v>188</v>
      </c>
      <c r="D18" t="s">
        <v>189</v>
      </c>
    </row>
    <row r="19" spans="1:4" x14ac:dyDescent="0.3">
      <c r="A19" t="s">
        <v>523</v>
      </c>
      <c r="B19">
        <v>5.6</v>
      </c>
      <c r="C19">
        <v>3.6</v>
      </c>
      <c r="D19" t="s">
        <v>524</v>
      </c>
    </row>
    <row r="20" spans="1:4" x14ac:dyDescent="0.3">
      <c r="A20" t="s">
        <v>525</v>
      </c>
      <c r="B20">
        <v>2</v>
      </c>
      <c r="C20">
        <v>2.6</v>
      </c>
      <c r="D20" t="s">
        <v>526</v>
      </c>
    </row>
    <row r="22" spans="1:4" x14ac:dyDescent="0.3">
      <c r="A22" t="s">
        <v>223</v>
      </c>
      <c r="B22" t="s">
        <v>187</v>
      </c>
      <c r="C22" t="s">
        <v>188</v>
      </c>
      <c r="D22" t="s">
        <v>204</v>
      </c>
    </row>
    <row r="23" spans="1:4" x14ac:dyDescent="0.3">
      <c r="A23" t="s">
        <v>527</v>
      </c>
      <c r="B23">
        <v>-2.9</v>
      </c>
      <c r="C23">
        <v>11.7</v>
      </c>
      <c r="D23" t="s">
        <v>528</v>
      </c>
    </row>
    <row r="24" spans="1:4" x14ac:dyDescent="0.3">
      <c r="A24" t="s">
        <v>529</v>
      </c>
      <c r="B24">
        <v>-0.06</v>
      </c>
      <c r="C24">
        <v>0.2</v>
      </c>
      <c r="D24" t="s">
        <v>530</v>
      </c>
    </row>
    <row r="25" spans="1:4" x14ac:dyDescent="0.3">
      <c r="A25" t="s">
        <v>531</v>
      </c>
      <c r="B25">
        <v>-2100</v>
      </c>
      <c r="C25">
        <v>878</v>
      </c>
      <c r="D25" t="s">
        <v>532</v>
      </c>
    </row>
    <row r="26" spans="1:4" x14ac:dyDescent="0.3">
      <c r="A26" t="s">
        <v>533</v>
      </c>
      <c r="B26" t="s">
        <v>197</v>
      </c>
      <c r="C26">
        <v>12.2</v>
      </c>
      <c r="D26" t="s">
        <v>197</v>
      </c>
    </row>
    <row r="27" spans="1:4" x14ac:dyDescent="0.3">
      <c r="A27" t="s">
        <v>534</v>
      </c>
      <c r="B27" t="s">
        <v>197</v>
      </c>
      <c r="C27">
        <v>90</v>
      </c>
      <c r="D27" t="s">
        <v>197</v>
      </c>
    </row>
    <row r="28" spans="1:4" x14ac:dyDescent="0.3">
      <c r="A28" t="s">
        <v>535</v>
      </c>
      <c r="B28">
        <v>47.4</v>
      </c>
      <c r="C28">
        <v>57.2</v>
      </c>
      <c r="D28" t="s">
        <v>507</v>
      </c>
    </row>
    <row r="30" spans="1:4" x14ac:dyDescent="0.3">
      <c r="A30" t="s">
        <v>245</v>
      </c>
      <c r="B30" t="s">
        <v>408</v>
      </c>
      <c r="C30" t="s">
        <v>536</v>
      </c>
      <c r="D30" t="s">
        <v>248</v>
      </c>
    </row>
    <row r="31" spans="1:4" x14ac:dyDescent="0.3">
      <c r="A31" t="s">
        <v>249</v>
      </c>
      <c r="B31">
        <v>7.7</v>
      </c>
      <c r="C31">
        <v>2.8</v>
      </c>
      <c r="D31" t="s">
        <v>537</v>
      </c>
    </row>
    <row r="32" spans="1:4" x14ac:dyDescent="0.3">
      <c r="A32" t="s">
        <v>251</v>
      </c>
      <c r="B32">
        <v>19.600000000000001</v>
      </c>
      <c r="C32">
        <v>23.8</v>
      </c>
      <c r="D32" t="s">
        <v>538</v>
      </c>
    </row>
    <row r="33" spans="1:4" x14ac:dyDescent="0.3">
      <c r="A33" t="s">
        <v>539</v>
      </c>
      <c r="B33" t="s">
        <v>197</v>
      </c>
      <c r="C33">
        <v>-6.8</v>
      </c>
      <c r="D33" t="s">
        <v>197</v>
      </c>
    </row>
    <row r="35" spans="1:4" x14ac:dyDescent="0.3">
      <c r="A35" t="s">
        <v>540</v>
      </c>
      <c r="B35" t="s">
        <v>238</v>
      </c>
    </row>
    <row r="36" spans="1:4" x14ac:dyDescent="0.3">
      <c r="A36" t="s">
        <v>541</v>
      </c>
      <c r="B36" t="s">
        <v>542</v>
      </c>
    </row>
    <row r="37" spans="1:4" x14ac:dyDescent="0.3">
      <c r="A37" t="s">
        <v>446</v>
      </c>
      <c r="B37" t="s">
        <v>543</v>
      </c>
    </row>
    <row r="38" spans="1:4" x14ac:dyDescent="0.3">
      <c r="A38" t="s">
        <v>263</v>
      </c>
      <c r="B38" t="s">
        <v>544</v>
      </c>
    </row>
    <row r="40" spans="1:4" x14ac:dyDescent="0.3">
      <c r="A40" t="s">
        <v>254</v>
      </c>
      <c r="B40" t="s">
        <v>238</v>
      </c>
    </row>
    <row r="41" spans="1:4" x14ac:dyDescent="0.3">
      <c r="A41" t="s">
        <v>545</v>
      </c>
      <c r="B41" t="s">
        <v>546</v>
      </c>
    </row>
    <row r="42" spans="1:4" x14ac:dyDescent="0.3">
      <c r="A42" t="s">
        <v>422</v>
      </c>
      <c r="B42" t="s">
        <v>547</v>
      </c>
    </row>
    <row r="43" spans="1:4" x14ac:dyDescent="0.3">
      <c r="A43" t="s">
        <v>548</v>
      </c>
      <c r="B43" t="s">
        <v>549</v>
      </c>
    </row>
    <row r="44" spans="1:4" x14ac:dyDescent="0.3">
      <c r="A44" t="s">
        <v>269</v>
      </c>
      <c r="B44" t="s">
        <v>550</v>
      </c>
    </row>
    <row r="45" spans="1:4" x14ac:dyDescent="0.3">
      <c r="A45" t="s">
        <v>551</v>
      </c>
      <c r="B45" t="s">
        <v>552</v>
      </c>
    </row>
    <row r="46" spans="1:4" x14ac:dyDescent="0.3">
      <c r="A46" t="s">
        <v>267</v>
      </c>
      <c r="B46" t="s">
        <v>553</v>
      </c>
    </row>
    <row r="47" spans="1:4" x14ac:dyDescent="0.3">
      <c r="A47" t="s">
        <v>554</v>
      </c>
      <c r="B47" t="s">
        <v>555</v>
      </c>
    </row>
    <row r="48" spans="1:4" x14ac:dyDescent="0.3">
      <c r="A48" t="s">
        <v>271</v>
      </c>
      <c r="B48" t="s">
        <v>556</v>
      </c>
    </row>
    <row r="49" spans="1:4" x14ac:dyDescent="0.3">
      <c r="A49" t="s">
        <v>557</v>
      </c>
      <c r="B49" t="s">
        <v>558</v>
      </c>
    </row>
    <row r="50" spans="1:4" x14ac:dyDescent="0.3">
      <c r="A50" t="s">
        <v>559</v>
      </c>
      <c r="B50" t="s">
        <v>560</v>
      </c>
    </row>
    <row r="52" spans="1:4" x14ac:dyDescent="0.3">
      <c r="A52" t="s">
        <v>273</v>
      </c>
      <c r="B52" t="s">
        <v>238</v>
      </c>
      <c r="C52" t="s">
        <v>274</v>
      </c>
    </row>
    <row r="53" spans="1:4" x14ac:dyDescent="0.3">
      <c r="A53" t="s">
        <v>446</v>
      </c>
      <c r="B53" t="s">
        <v>561</v>
      </c>
      <c r="C53" t="s">
        <v>562</v>
      </c>
    </row>
    <row r="54" spans="1:4" x14ac:dyDescent="0.3">
      <c r="A54" t="s">
        <v>563</v>
      </c>
      <c r="B54" t="s">
        <v>564</v>
      </c>
      <c r="C54" t="s">
        <v>565</v>
      </c>
    </row>
    <row r="55" spans="1:4" x14ac:dyDescent="0.3">
      <c r="A55" t="s">
        <v>566</v>
      </c>
      <c r="B55" t="s">
        <v>567</v>
      </c>
      <c r="C55" t="s">
        <v>568</v>
      </c>
    </row>
    <row r="56" spans="1:4" x14ac:dyDescent="0.3">
      <c r="A56" t="s">
        <v>52</v>
      </c>
      <c r="B56" t="s">
        <v>569</v>
      </c>
      <c r="C56" t="s">
        <v>570</v>
      </c>
    </row>
    <row r="57" spans="1:4" x14ac:dyDescent="0.3">
      <c r="A57" t="s">
        <v>571</v>
      </c>
      <c r="B57" t="s">
        <v>572</v>
      </c>
      <c r="C57" t="s">
        <v>573</v>
      </c>
    </row>
    <row r="59" spans="1:4" x14ac:dyDescent="0.3">
      <c r="A59" s="25" t="s">
        <v>281</v>
      </c>
      <c r="B59" s="25"/>
      <c r="C59" s="25"/>
      <c r="D59" s="25"/>
    </row>
    <row r="60" spans="1:4" x14ac:dyDescent="0.3">
      <c r="A60" t="s">
        <v>574</v>
      </c>
    </row>
    <row r="61" spans="1:4" x14ac:dyDescent="0.3">
      <c r="A61" t="s">
        <v>575</v>
      </c>
    </row>
    <row r="62" spans="1:4" x14ac:dyDescent="0.3">
      <c r="A62" t="s">
        <v>576</v>
      </c>
    </row>
    <row r="63" spans="1:4" x14ac:dyDescent="0.3">
      <c r="A63" t="s">
        <v>577</v>
      </c>
    </row>
    <row r="64" spans="1:4" x14ac:dyDescent="0.3">
      <c r="A64" t="s">
        <v>578</v>
      </c>
    </row>
    <row r="65" spans="1:4" x14ac:dyDescent="0.3">
      <c r="A65" t="s">
        <v>579</v>
      </c>
    </row>
    <row r="66" spans="1:4" x14ac:dyDescent="0.3">
      <c r="A66" t="s">
        <v>580</v>
      </c>
    </row>
    <row r="67" spans="1:4" x14ac:dyDescent="0.3">
      <c r="A67" t="s">
        <v>581</v>
      </c>
    </row>
    <row r="68" spans="1:4" x14ac:dyDescent="0.3">
      <c r="A68" t="s">
        <v>582</v>
      </c>
    </row>
    <row r="69" spans="1:4" x14ac:dyDescent="0.3">
      <c r="A69" t="s">
        <v>583</v>
      </c>
    </row>
    <row r="70" spans="1:4" x14ac:dyDescent="0.3">
      <c r="A70" t="s">
        <v>584</v>
      </c>
    </row>
    <row r="71" spans="1:4" x14ac:dyDescent="0.3">
      <c r="A71" t="s">
        <v>585</v>
      </c>
    </row>
    <row r="72" spans="1:4" x14ac:dyDescent="0.3">
      <c r="A72" t="s">
        <v>586</v>
      </c>
    </row>
    <row r="73" spans="1:4" x14ac:dyDescent="0.3">
      <c r="A73" t="s">
        <v>587</v>
      </c>
    </row>
    <row r="75" spans="1:4" x14ac:dyDescent="0.3">
      <c r="A75" s="25" t="s">
        <v>295</v>
      </c>
      <c r="B75" s="25"/>
      <c r="C75" s="25"/>
      <c r="D75" s="25"/>
    </row>
    <row r="76" spans="1:4" x14ac:dyDescent="0.3">
      <c r="A76" t="s">
        <v>296</v>
      </c>
      <c r="B76" t="s">
        <v>588</v>
      </c>
      <c r="C76" t="s">
        <v>298</v>
      </c>
    </row>
    <row r="77" spans="1:4" x14ac:dyDescent="0.3">
      <c r="A77" t="s">
        <v>299</v>
      </c>
      <c r="B77" t="s">
        <v>589</v>
      </c>
    </row>
    <row r="78" spans="1:4" x14ac:dyDescent="0.3">
      <c r="A78" t="s">
        <v>301</v>
      </c>
      <c r="B78" t="s">
        <v>590</v>
      </c>
    </row>
    <row r="79" spans="1:4" x14ac:dyDescent="0.3">
      <c r="A79" t="s">
        <v>303</v>
      </c>
      <c r="B79" t="s">
        <v>591</v>
      </c>
      <c r="C79" t="s">
        <v>298</v>
      </c>
    </row>
    <row r="80" spans="1:4" x14ac:dyDescent="0.3">
      <c r="A80" t="s">
        <v>299</v>
      </c>
      <c r="B80" t="s">
        <v>592</v>
      </c>
    </row>
    <row r="81" spans="1:3" x14ac:dyDescent="0.3">
      <c r="A81" t="s">
        <v>301</v>
      </c>
      <c r="B81" t="s">
        <v>593</v>
      </c>
    </row>
    <row r="82" spans="1:3" x14ac:dyDescent="0.3">
      <c r="A82" t="s">
        <v>307</v>
      </c>
      <c r="B82" t="s">
        <v>594</v>
      </c>
      <c r="C82" t="s">
        <v>298</v>
      </c>
    </row>
    <row r="83" spans="1:3" x14ac:dyDescent="0.3">
      <c r="A83" t="s">
        <v>299</v>
      </c>
      <c r="B83" t="s">
        <v>595</v>
      </c>
    </row>
    <row r="84" spans="1:3" x14ac:dyDescent="0.3">
      <c r="A84" t="s">
        <v>301</v>
      </c>
      <c r="B84" t="s">
        <v>596</v>
      </c>
    </row>
    <row r="85" spans="1:3" x14ac:dyDescent="0.3">
      <c r="A85" t="s">
        <v>311</v>
      </c>
      <c r="B85" t="s">
        <v>597</v>
      </c>
      <c r="C85" t="s">
        <v>479</v>
      </c>
    </row>
    <row r="86" spans="1:3" x14ac:dyDescent="0.3">
      <c r="A86" t="s">
        <v>299</v>
      </c>
      <c r="B86" t="s">
        <v>598</v>
      </c>
    </row>
    <row r="87" spans="1:3" x14ac:dyDescent="0.3">
      <c r="A87" t="s">
        <v>301</v>
      </c>
      <c r="B87" t="s">
        <v>599</v>
      </c>
    </row>
    <row r="88" spans="1:3" x14ac:dyDescent="0.3">
      <c r="A88" t="s">
        <v>316</v>
      </c>
      <c r="B88" t="s">
        <v>600</v>
      </c>
      <c r="C88" t="s">
        <v>479</v>
      </c>
    </row>
    <row r="89" spans="1:3" x14ac:dyDescent="0.3">
      <c r="A89" t="s">
        <v>299</v>
      </c>
      <c r="B89" t="s">
        <v>601</v>
      </c>
    </row>
    <row r="90" spans="1:3" x14ac:dyDescent="0.3">
      <c r="A90" t="s">
        <v>301</v>
      </c>
      <c r="B90" t="s">
        <v>602</v>
      </c>
    </row>
    <row r="91" spans="1:3" x14ac:dyDescent="0.3">
      <c r="A91" t="s">
        <v>320</v>
      </c>
      <c r="B91" t="s">
        <v>603</v>
      </c>
      <c r="C91" t="s">
        <v>479</v>
      </c>
    </row>
    <row r="92" spans="1:3" x14ac:dyDescent="0.3">
      <c r="A92" t="s">
        <v>299</v>
      </c>
      <c r="B92" t="s">
        <v>604</v>
      </c>
    </row>
    <row r="93" spans="1:3" x14ac:dyDescent="0.3">
      <c r="A93" t="s">
        <v>301</v>
      </c>
      <c r="B93" t="s">
        <v>605</v>
      </c>
    </row>
    <row r="94" spans="1:3" x14ac:dyDescent="0.3">
      <c r="A94" t="s">
        <v>324</v>
      </c>
      <c r="B94" t="s">
        <v>606</v>
      </c>
      <c r="C94" t="s">
        <v>330</v>
      </c>
    </row>
    <row r="95" spans="1:3" x14ac:dyDescent="0.3">
      <c r="A95" t="s">
        <v>299</v>
      </c>
      <c r="B95" t="s">
        <v>607</v>
      </c>
    </row>
    <row r="96" spans="1:3" x14ac:dyDescent="0.3">
      <c r="A96" t="s">
        <v>301</v>
      </c>
      <c r="B96" t="s">
        <v>608</v>
      </c>
    </row>
    <row r="97" spans="1:3" x14ac:dyDescent="0.3">
      <c r="A97" t="s">
        <v>328</v>
      </c>
      <c r="B97" t="s">
        <v>609</v>
      </c>
      <c r="C97" t="s">
        <v>330</v>
      </c>
    </row>
    <row r="98" spans="1:3" x14ac:dyDescent="0.3">
      <c r="A98" t="s">
        <v>299</v>
      </c>
      <c r="B98" t="s">
        <v>610</v>
      </c>
    </row>
    <row r="99" spans="1:3" x14ac:dyDescent="0.3">
      <c r="A99" t="s">
        <v>301</v>
      </c>
      <c r="B99" t="s">
        <v>611</v>
      </c>
    </row>
    <row r="100" spans="1:3" x14ac:dyDescent="0.3">
      <c r="A100" t="s">
        <v>333</v>
      </c>
      <c r="B100" t="s">
        <v>612</v>
      </c>
      <c r="C100" t="s">
        <v>613</v>
      </c>
    </row>
    <row r="101" spans="1:3" x14ac:dyDescent="0.3">
      <c r="A101" t="s">
        <v>299</v>
      </c>
      <c r="B101" t="s">
        <v>614</v>
      </c>
    </row>
    <row r="102" spans="1:3" x14ac:dyDescent="0.3">
      <c r="A102" t="s">
        <v>301</v>
      </c>
      <c r="B102" t="s">
        <v>615</v>
      </c>
    </row>
    <row r="103" spans="1:3" x14ac:dyDescent="0.3">
      <c r="A103" t="s">
        <v>337</v>
      </c>
      <c r="B103" t="s">
        <v>616</v>
      </c>
      <c r="C103" t="s">
        <v>613</v>
      </c>
    </row>
    <row r="104" spans="1:3" x14ac:dyDescent="0.3">
      <c r="A104" t="s">
        <v>299</v>
      </c>
      <c r="B104" t="s">
        <v>617</v>
      </c>
    </row>
    <row r="105" spans="1:3" x14ac:dyDescent="0.3">
      <c r="A105" t="s">
        <v>301</v>
      </c>
      <c r="B105" t="s">
        <v>618</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08"/>
  <sheetViews>
    <sheetView workbookViewId="0"/>
  </sheetViews>
  <sheetFormatPr defaultRowHeight="14.4" x14ac:dyDescent="0.3"/>
  <cols>
    <col min="1" max="1" width="46" customWidth="1"/>
    <col min="2" max="8" width="15" customWidth="1"/>
  </cols>
  <sheetData>
    <row r="1" spans="1:4" x14ac:dyDescent="0.3">
      <c r="A1" s="24" t="s">
        <v>181</v>
      </c>
      <c r="B1" t="s">
        <v>619</v>
      </c>
    </row>
    <row r="2" spans="1:4" x14ac:dyDescent="0.3">
      <c r="A2" s="24" t="s">
        <v>183</v>
      </c>
      <c r="B2" t="s">
        <v>620</v>
      </c>
    </row>
    <row r="4" spans="1:4" x14ac:dyDescent="0.3">
      <c r="A4" s="25" t="s">
        <v>185</v>
      </c>
      <c r="B4" s="25"/>
      <c r="C4" s="25"/>
      <c r="D4" s="25"/>
    </row>
    <row r="6" spans="1:4" x14ac:dyDescent="0.3">
      <c r="A6" t="s">
        <v>186</v>
      </c>
      <c r="B6" t="s">
        <v>187</v>
      </c>
      <c r="C6" t="s">
        <v>188</v>
      </c>
      <c r="D6" t="s">
        <v>189</v>
      </c>
    </row>
    <row r="7" spans="1:4" x14ac:dyDescent="0.3">
      <c r="A7" t="s">
        <v>621</v>
      </c>
      <c r="B7">
        <v>9.3000000000000007</v>
      </c>
      <c r="C7">
        <v>16.100000000000001</v>
      </c>
      <c r="D7" t="s">
        <v>622</v>
      </c>
    </row>
    <row r="8" spans="1:4" x14ac:dyDescent="0.3">
      <c r="A8" t="s">
        <v>623</v>
      </c>
      <c r="B8" t="s">
        <v>197</v>
      </c>
      <c r="C8" t="s">
        <v>197</v>
      </c>
      <c r="D8" t="s">
        <v>624</v>
      </c>
    </row>
    <row r="9" spans="1:4" x14ac:dyDescent="0.3">
      <c r="A9" t="s">
        <v>625</v>
      </c>
      <c r="B9" t="s">
        <v>197</v>
      </c>
      <c r="C9" t="s">
        <v>197</v>
      </c>
      <c r="D9" t="s">
        <v>626</v>
      </c>
    </row>
    <row r="10" spans="1:4" x14ac:dyDescent="0.3">
      <c r="A10" t="s">
        <v>627</v>
      </c>
      <c r="B10">
        <v>21.4</v>
      </c>
      <c r="C10">
        <v>30.6</v>
      </c>
      <c r="D10" t="s">
        <v>375</v>
      </c>
    </row>
    <row r="11" spans="1:4" x14ac:dyDescent="0.3">
      <c r="A11" t="s">
        <v>628</v>
      </c>
      <c r="B11" t="s">
        <v>197</v>
      </c>
      <c r="C11" t="s">
        <v>197</v>
      </c>
      <c r="D11" t="s">
        <v>629</v>
      </c>
    </row>
    <row r="12" spans="1:4" x14ac:dyDescent="0.3">
      <c r="A12" t="s">
        <v>630</v>
      </c>
      <c r="B12" t="s">
        <v>197</v>
      </c>
      <c r="C12" t="s">
        <v>197</v>
      </c>
      <c r="D12" t="s">
        <v>631</v>
      </c>
    </row>
    <row r="14" spans="1:4" x14ac:dyDescent="0.3">
      <c r="A14" t="s">
        <v>203</v>
      </c>
      <c r="B14" t="s">
        <v>187</v>
      </c>
      <c r="C14" t="s">
        <v>188</v>
      </c>
      <c r="D14" t="s">
        <v>204</v>
      </c>
    </row>
    <row r="15" spans="1:4" x14ac:dyDescent="0.3">
      <c r="A15" t="s">
        <v>632</v>
      </c>
      <c r="B15">
        <v>4</v>
      </c>
      <c r="C15">
        <v>6.9</v>
      </c>
      <c r="D15" t="s">
        <v>633</v>
      </c>
    </row>
    <row r="16" spans="1:4" x14ac:dyDescent="0.3">
      <c r="A16" t="s">
        <v>634</v>
      </c>
      <c r="B16" t="s">
        <v>635</v>
      </c>
      <c r="C16" t="s">
        <v>636</v>
      </c>
      <c r="D16" t="s">
        <v>637</v>
      </c>
    </row>
    <row r="17" spans="1:4" x14ac:dyDescent="0.3">
      <c r="A17" t="s">
        <v>638</v>
      </c>
      <c r="B17">
        <v>8.6999999999999993</v>
      </c>
      <c r="C17">
        <v>12.6</v>
      </c>
      <c r="D17" t="s">
        <v>639</v>
      </c>
    </row>
    <row r="18" spans="1:4" x14ac:dyDescent="0.3">
      <c r="A18" t="s">
        <v>640</v>
      </c>
      <c r="B18" t="s">
        <v>641</v>
      </c>
      <c r="C18" t="s">
        <v>642</v>
      </c>
      <c r="D18" t="s">
        <v>643</v>
      </c>
    </row>
    <row r="20" spans="1:4" x14ac:dyDescent="0.3">
      <c r="A20" t="s">
        <v>216</v>
      </c>
      <c r="B20" t="s">
        <v>187</v>
      </c>
      <c r="C20" t="s">
        <v>188</v>
      </c>
      <c r="D20" t="s">
        <v>189</v>
      </c>
    </row>
    <row r="21" spans="1:4" x14ac:dyDescent="0.3">
      <c r="A21" t="s">
        <v>644</v>
      </c>
      <c r="B21">
        <v>4.0999999999999996</v>
      </c>
      <c r="C21">
        <v>5.6</v>
      </c>
      <c r="D21" t="s">
        <v>381</v>
      </c>
    </row>
    <row r="22" spans="1:4" x14ac:dyDescent="0.3">
      <c r="A22" t="s">
        <v>645</v>
      </c>
      <c r="B22">
        <v>9.6999999999999993</v>
      </c>
      <c r="C22">
        <v>9.1999999999999993</v>
      </c>
      <c r="D22" t="s">
        <v>646</v>
      </c>
    </row>
    <row r="23" spans="1:4" x14ac:dyDescent="0.3">
      <c r="A23" t="s">
        <v>647</v>
      </c>
      <c r="B23">
        <v>3.1</v>
      </c>
      <c r="C23">
        <v>2.4</v>
      </c>
      <c r="D23" t="s">
        <v>512</v>
      </c>
    </row>
    <row r="24" spans="1:4" x14ac:dyDescent="0.3">
      <c r="A24" t="s">
        <v>648</v>
      </c>
      <c r="B24">
        <v>5.2</v>
      </c>
      <c r="C24">
        <v>5.0999999999999996</v>
      </c>
      <c r="D24" t="s">
        <v>649</v>
      </c>
    </row>
    <row r="26" spans="1:4" x14ac:dyDescent="0.3">
      <c r="A26" t="s">
        <v>223</v>
      </c>
      <c r="B26" t="s">
        <v>187</v>
      </c>
      <c r="C26" t="s">
        <v>188</v>
      </c>
      <c r="D26" t="s">
        <v>204</v>
      </c>
    </row>
    <row r="27" spans="1:4" x14ac:dyDescent="0.3">
      <c r="A27" t="s">
        <v>650</v>
      </c>
      <c r="B27">
        <v>-3.4</v>
      </c>
      <c r="C27">
        <v>-1.5</v>
      </c>
      <c r="D27" t="s">
        <v>651</v>
      </c>
    </row>
    <row r="28" spans="1:4" x14ac:dyDescent="0.3">
      <c r="A28" t="s">
        <v>652</v>
      </c>
      <c r="B28" t="s">
        <v>197</v>
      </c>
      <c r="C28" t="s">
        <v>653</v>
      </c>
      <c r="D28" t="s">
        <v>197</v>
      </c>
    </row>
    <row r="29" spans="1:4" x14ac:dyDescent="0.3">
      <c r="A29" t="s">
        <v>654</v>
      </c>
      <c r="B29" t="s">
        <v>655</v>
      </c>
      <c r="C29">
        <v>-15</v>
      </c>
      <c r="D29" t="s">
        <v>656</v>
      </c>
    </row>
    <row r="30" spans="1:4" x14ac:dyDescent="0.3">
      <c r="A30" t="s">
        <v>657</v>
      </c>
      <c r="B30" t="s">
        <v>197</v>
      </c>
      <c r="C30">
        <v>10.199999999999999</v>
      </c>
      <c r="D30" t="s">
        <v>197</v>
      </c>
    </row>
    <row r="31" spans="1:4" x14ac:dyDescent="0.3">
      <c r="A31" t="s">
        <v>658</v>
      </c>
      <c r="B31" t="s">
        <v>197</v>
      </c>
      <c r="C31">
        <v>0.18</v>
      </c>
      <c r="D31" t="s">
        <v>197</v>
      </c>
    </row>
    <row r="32" spans="1:4" x14ac:dyDescent="0.3">
      <c r="A32" t="s">
        <v>659</v>
      </c>
      <c r="B32">
        <v>-120</v>
      </c>
      <c r="C32">
        <v>863</v>
      </c>
      <c r="D32" t="s">
        <v>660</v>
      </c>
    </row>
    <row r="33" spans="1:4" x14ac:dyDescent="0.3">
      <c r="A33" t="s">
        <v>661</v>
      </c>
      <c r="B33" t="s">
        <v>662</v>
      </c>
      <c r="C33">
        <v>11.9</v>
      </c>
      <c r="D33" t="s">
        <v>663</v>
      </c>
    </row>
    <row r="34" spans="1:4" x14ac:dyDescent="0.3">
      <c r="A34" t="s">
        <v>664</v>
      </c>
      <c r="B34" t="s">
        <v>197</v>
      </c>
      <c r="C34">
        <v>57.3</v>
      </c>
      <c r="D34" t="s">
        <v>197</v>
      </c>
    </row>
    <row r="36" spans="1:4" x14ac:dyDescent="0.3">
      <c r="A36" t="s">
        <v>665</v>
      </c>
      <c r="B36" t="s">
        <v>238</v>
      </c>
    </row>
    <row r="37" spans="1:4" x14ac:dyDescent="0.3">
      <c r="A37" t="s">
        <v>666</v>
      </c>
      <c r="B37" t="s">
        <v>667</v>
      </c>
    </row>
    <row r="38" spans="1:4" x14ac:dyDescent="0.3">
      <c r="A38" t="s">
        <v>668</v>
      </c>
      <c r="B38" t="s">
        <v>669</v>
      </c>
    </row>
    <row r="39" spans="1:4" x14ac:dyDescent="0.3">
      <c r="A39" t="s">
        <v>670</v>
      </c>
      <c r="B39" t="s">
        <v>671</v>
      </c>
    </row>
    <row r="40" spans="1:4" x14ac:dyDescent="0.3">
      <c r="A40" t="s">
        <v>672</v>
      </c>
      <c r="B40" t="s">
        <v>673</v>
      </c>
    </row>
    <row r="41" spans="1:4" x14ac:dyDescent="0.3">
      <c r="A41" t="s">
        <v>446</v>
      </c>
      <c r="B41" t="s">
        <v>674</v>
      </c>
    </row>
    <row r="42" spans="1:4" x14ac:dyDescent="0.3">
      <c r="A42" t="s">
        <v>675</v>
      </c>
      <c r="B42" t="s">
        <v>676</v>
      </c>
    </row>
    <row r="44" spans="1:4" x14ac:dyDescent="0.3">
      <c r="A44" t="s">
        <v>245</v>
      </c>
      <c r="B44" t="s">
        <v>408</v>
      </c>
      <c r="C44" t="s">
        <v>677</v>
      </c>
      <c r="D44" t="s">
        <v>248</v>
      </c>
    </row>
    <row r="45" spans="1:4" x14ac:dyDescent="0.3">
      <c r="A45" t="s">
        <v>249</v>
      </c>
      <c r="B45">
        <v>7.7</v>
      </c>
      <c r="C45">
        <v>4.8</v>
      </c>
      <c r="D45" t="s">
        <v>678</v>
      </c>
    </row>
    <row r="46" spans="1:4" x14ac:dyDescent="0.3">
      <c r="A46" t="s">
        <v>251</v>
      </c>
      <c r="B46">
        <v>19.600000000000001</v>
      </c>
      <c r="C46">
        <v>23.2</v>
      </c>
      <c r="D46" t="s">
        <v>679</v>
      </c>
    </row>
    <row r="47" spans="1:4" x14ac:dyDescent="0.3">
      <c r="A47" t="s">
        <v>680</v>
      </c>
      <c r="B47" t="s">
        <v>681</v>
      </c>
      <c r="C47">
        <v>-4.5</v>
      </c>
      <c r="D47" t="s">
        <v>682</v>
      </c>
    </row>
    <row r="49" spans="1:3" x14ac:dyDescent="0.3">
      <c r="A49" t="s">
        <v>254</v>
      </c>
      <c r="B49" t="s">
        <v>238</v>
      </c>
    </row>
    <row r="50" spans="1:3" x14ac:dyDescent="0.3">
      <c r="A50" t="s">
        <v>545</v>
      </c>
      <c r="B50" t="s">
        <v>683</v>
      </c>
    </row>
    <row r="51" spans="1:3" x14ac:dyDescent="0.3">
      <c r="A51" t="s">
        <v>684</v>
      </c>
      <c r="B51" t="s">
        <v>685</v>
      </c>
    </row>
    <row r="52" spans="1:3" x14ac:dyDescent="0.3">
      <c r="A52" t="s">
        <v>422</v>
      </c>
      <c r="B52" t="s">
        <v>686</v>
      </c>
    </row>
    <row r="53" spans="1:3" x14ac:dyDescent="0.3">
      <c r="A53" t="s">
        <v>687</v>
      </c>
      <c r="B53" t="s">
        <v>688</v>
      </c>
    </row>
    <row r="54" spans="1:3" x14ac:dyDescent="0.3">
      <c r="A54" t="s">
        <v>689</v>
      </c>
      <c r="B54" t="s">
        <v>690</v>
      </c>
    </row>
    <row r="55" spans="1:3" x14ac:dyDescent="0.3">
      <c r="A55" t="s">
        <v>691</v>
      </c>
      <c r="B55" t="s">
        <v>692</v>
      </c>
    </row>
    <row r="56" spans="1:3" x14ac:dyDescent="0.3">
      <c r="A56" t="s">
        <v>263</v>
      </c>
      <c r="B56" t="s">
        <v>693</v>
      </c>
    </row>
    <row r="57" spans="1:3" x14ac:dyDescent="0.3">
      <c r="A57" t="s">
        <v>694</v>
      </c>
      <c r="B57" t="s">
        <v>695</v>
      </c>
    </row>
    <row r="58" spans="1:3" x14ac:dyDescent="0.3">
      <c r="A58" t="s">
        <v>696</v>
      </c>
      <c r="B58" t="s">
        <v>697</v>
      </c>
    </row>
    <row r="60" spans="1:3" x14ac:dyDescent="0.3">
      <c r="A60" t="s">
        <v>273</v>
      </c>
      <c r="B60" t="s">
        <v>238</v>
      </c>
      <c r="C60" t="s">
        <v>274</v>
      </c>
    </row>
    <row r="61" spans="1:3" x14ac:dyDescent="0.3">
      <c r="A61" t="s">
        <v>698</v>
      </c>
      <c r="B61" t="s">
        <v>699</v>
      </c>
      <c r="C61" t="s">
        <v>700</v>
      </c>
    </row>
    <row r="62" spans="1:3" x14ac:dyDescent="0.3">
      <c r="A62" t="s">
        <v>446</v>
      </c>
      <c r="B62" t="s">
        <v>701</v>
      </c>
      <c r="C62" t="s">
        <v>562</v>
      </c>
    </row>
    <row r="63" spans="1:3" x14ac:dyDescent="0.3">
      <c r="A63" t="s">
        <v>672</v>
      </c>
      <c r="B63" t="s">
        <v>564</v>
      </c>
      <c r="C63" t="s">
        <v>702</v>
      </c>
    </row>
    <row r="64" spans="1:3" x14ac:dyDescent="0.3">
      <c r="A64" t="s">
        <v>571</v>
      </c>
      <c r="B64" t="s">
        <v>703</v>
      </c>
      <c r="C64" t="s">
        <v>573</v>
      </c>
    </row>
    <row r="66" spans="1:4" x14ac:dyDescent="0.3">
      <c r="A66" s="25" t="s">
        <v>281</v>
      </c>
      <c r="B66" s="25"/>
      <c r="C66" s="25"/>
      <c r="D66" s="25"/>
    </row>
    <row r="67" spans="1:4" x14ac:dyDescent="0.3">
      <c r="A67" t="s">
        <v>704</v>
      </c>
    </row>
    <row r="68" spans="1:4" x14ac:dyDescent="0.3">
      <c r="A68" t="s">
        <v>705</v>
      </c>
    </row>
    <row r="69" spans="1:4" x14ac:dyDescent="0.3">
      <c r="A69" t="s">
        <v>706</v>
      </c>
    </row>
    <row r="70" spans="1:4" x14ac:dyDescent="0.3">
      <c r="A70" t="s">
        <v>707</v>
      </c>
    </row>
    <row r="71" spans="1:4" x14ac:dyDescent="0.3">
      <c r="A71" t="s">
        <v>708</v>
      </c>
    </row>
    <row r="72" spans="1:4" x14ac:dyDescent="0.3">
      <c r="A72" t="s">
        <v>709</v>
      </c>
    </row>
    <row r="73" spans="1:4" x14ac:dyDescent="0.3">
      <c r="A73" t="s">
        <v>710</v>
      </c>
    </row>
    <row r="74" spans="1:4" x14ac:dyDescent="0.3">
      <c r="A74" t="s">
        <v>711</v>
      </c>
    </row>
    <row r="75" spans="1:4" x14ac:dyDescent="0.3">
      <c r="A75" t="s">
        <v>712</v>
      </c>
    </row>
    <row r="76" spans="1:4" x14ac:dyDescent="0.3">
      <c r="A76" t="s">
        <v>713</v>
      </c>
    </row>
    <row r="77" spans="1:4" x14ac:dyDescent="0.3">
      <c r="A77" t="s">
        <v>714</v>
      </c>
    </row>
    <row r="78" spans="1:4" x14ac:dyDescent="0.3">
      <c r="A78" t="s">
        <v>715</v>
      </c>
    </row>
    <row r="79" spans="1:4" x14ac:dyDescent="0.3">
      <c r="A79" t="s">
        <v>716</v>
      </c>
    </row>
    <row r="81" spans="1:4" x14ac:dyDescent="0.3">
      <c r="A81" s="25" t="s">
        <v>295</v>
      </c>
      <c r="B81" s="25"/>
      <c r="C81" s="25"/>
      <c r="D81" s="25"/>
    </row>
    <row r="82" spans="1:4" x14ac:dyDescent="0.3">
      <c r="A82" t="s">
        <v>296</v>
      </c>
      <c r="B82" t="s">
        <v>717</v>
      </c>
      <c r="C82" t="s">
        <v>479</v>
      </c>
    </row>
    <row r="83" spans="1:4" x14ac:dyDescent="0.3">
      <c r="A83" t="s">
        <v>299</v>
      </c>
      <c r="B83" t="s">
        <v>718</v>
      </c>
    </row>
    <row r="84" spans="1:4" x14ac:dyDescent="0.3">
      <c r="A84" t="s">
        <v>301</v>
      </c>
      <c r="B84" t="s">
        <v>719</v>
      </c>
    </row>
    <row r="85" spans="1:4" x14ac:dyDescent="0.3">
      <c r="A85" t="s">
        <v>303</v>
      </c>
      <c r="B85" t="s">
        <v>720</v>
      </c>
      <c r="C85" t="s">
        <v>479</v>
      </c>
    </row>
    <row r="86" spans="1:4" x14ac:dyDescent="0.3">
      <c r="A86" t="s">
        <v>299</v>
      </c>
      <c r="B86" t="s">
        <v>721</v>
      </c>
    </row>
    <row r="87" spans="1:4" x14ac:dyDescent="0.3">
      <c r="A87" t="s">
        <v>301</v>
      </c>
      <c r="B87" t="s">
        <v>722</v>
      </c>
    </row>
    <row r="88" spans="1:4" x14ac:dyDescent="0.3">
      <c r="A88" t="s">
        <v>307</v>
      </c>
      <c r="B88" t="s">
        <v>723</v>
      </c>
      <c r="C88" t="s">
        <v>479</v>
      </c>
    </row>
    <row r="89" spans="1:4" x14ac:dyDescent="0.3">
      <c r="A89" t="s">
        <v>299</v>
      </c>
      <c r="B89" t="s">
        <v>724</v>
      </c>
    </row>
    <row r="90" spans="1:4" x14ac:dyDescent="0.3">
      <c r="A90" t="s">
        <v>301</v>
      </c>
      <c r="B90" t="s">
        <v>725</v>
      </c>
    </row>
    <row r="91" spans="1:4" x14ac:dyDescent="0.3">
      <c r="A91" t="s">
        <v>311</v>
      </c>
      <c r="B91" t="s">
        <v>726</v>
      </c>
      <c r="C91" t="s">
        <v>727</v>
      </c>
    </row>
    <row r="92" spans="1:4" x14ac:dyDescent="0.3">
      <c r="A92" t="s">
        <v>299</v>
      </c>
      <c r="B92" t="s">
        <v>728</v>
      </c>
    </row>
    <row r="93" spans="1:4" x14ac:dyDescent="0.3">
      <c r="A93" t="s">
        <v>301</v>
      </c>
      <c r="B93" t="s">
        <v>729</v>
      </c>
    </row>
    <row r="94" spans="1:4" x14ac:dyDescent="0.3">
      <c r="A94" t="s">
        <v>316</v>
      </c>
      <c r="B94" t="s">
        <v>730</v>
      </c>
      <c r="C94" t="s">
        <v>727</v>
      </c>
    </row>
    <row r="95" spans="1:4" x14ac:dyDescent="0.3">
      <c r="A95" t="s">
        <v>299</v>
      </c>
      <c r="B95" t="s">
        <v>731</v>
      </c>
    </row>
    <row r="96" spans="1:4" x14ac:dyDescent="0.3">
      <c r="A96" t="s">
        <v>301</v>
      </c>
      <c r="B96" t="s">
        <v>732</v>
      </c>
    </row>
    <row r="97" spans="1:3" x14ac:dyDescent="0.3">
      <c r="A97" t="s">
        <v>320</v>
      </c>
      <c r="B97" t="s">
        <v>733</v>
      </c>
      <c r="C97" t="s">
        <v>727</v>
      </c>
    </row>
    <row r="98" spans="1:3" x14ac:dyDescent="0.3">
      <c r="A98" t="s">
        <v>299</v>
      </c>
      <c r="B98" t="s">
        <v>734</v>
      </c>
    </row>
    <row r="99" spans="1:3" x14ac:dyDescent="0.3">
      <c r="A99" t="s">
        <v>301</v>
      </c>
      <c r="B99" t="s">
        <v>735</v>
      </c>
    </row>
    <row r="100" spans="1:3" x14ac:dyDescent="0.3">
      <c r="A100" t="s">
        <v>324</v>
      </c>
      <c r="B100" t="s">
        <v>736</v>
      </c>
      <c r="C100" t="s">
        <v>330</v>
      </c>
    </row>
    <row r="101" spans="1:3" x14ac:dyDescent="0.3">
      <c r="A101" t="s">
        <v>299</v>
      </c>
      <c r="B101" t="s">
        <v>737</v>
      </c>
    </row>
    <row r="102" spans="1:3" x14ac:dyDescent="0.3">
      <c r="A102" t="s">
        <v>301</v>
      </c>
      <c r="B102" t="s">
        <v>738</v>
      </c>
    </row>
    <row r="103" spans="1:3" x14ac:dyDescent="0.3">
      <c r="A103" t="s">
        <v>328</v>
      </c>
      <c r="B103" t="s">
        <v>739</v>
      </c>
      <c r="C103" t="s">
        <v>330</v>
      </c>
    </row>
    <row r="104" spans="1:3" x14ac:dyDescent="0.3">
      <c r="A104" t="s">
        <v>299</v>
      </c>
      <c r="B104" t="s">
        <v>740</v>
      </c>
    </row>
    <row r="105" spans="1:3" x14ac:dyDescent="0.3">
      <c r="A105" t="s">
        <v>301</v>
      </c>
      <c r="B105" t="s">
        <v>741</v>
      </c>
    </row>
    <row r="106" spans="1:3" x14ac:dyDescent="0.3">
      <c r="A106" t="s">
        <v>333</v>
      </c>
      <c r="B106" t="s">
        <v>742</v>
      </c>
      <c r="C106" t="s">
        <v>330</v>
      </c>
    </row>
    <row r="107" spans="1:3" x14ac:dyDescent="0.3">
      <c r="A107" t="s">
        <v>299</v>
      </c>
      <c r="B107" t="s">
        <v>743</v>
      </c>
    </row>
    <row r="108" spans="1:3" x14ac:dyDescent="0.3">
      <c r="A108" t="s">
        <v>301</v>
      </c>
      <c r="B108" t="s">
        <v>744</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09"/>
  <sheetViews>
    <sheetView workbookViewId="0"/>
  </sheetViews>
  <sheetFormatPr defaultRowHeight="14.4" x14ac:dyDescent="0.3"/>
  <cols>
    <col min="1" max="1" width="46" customWidth="1"/>
    <col min="2" max="8" width="15" customWidth="1"/>
  </cols>
  <sheetData>
    <row r="1" spans="1:4" x14ac:dyDescent="0.3">
      <c r="A1" s="24" t="s">
        <v>181</v>
      </c>
      <c r="B1" t="s">
        <v>745</v>
      </c>
    </row>
    <row r="2" spans="1:4" x14ac:dyDescent="0.3">
      <c r="A2" s="24" t="s">
        <v>183</v>
      </c>
      <c r="B2" t="s">
        <v>746</v>
      </c>
    </row>
    <row r="4" spans="1:4" x14ac:dyDescent="0.3">
      <c r="A4" s="25" t="s">
        <v>185</v>
      </c>
      <c r="B4" s="25"/>
      <c r="C4" s="25"/>
      <c r="D4" s="25"/>
    </row>
    <row r="6" spans="1:4" x14ac:dyDescent="0.3">
      <c r="A6" t="s">
        <v>186</v>
      </c>
      <c r="B6" t="s">
        <v>187</v>
      </c>
      <c r="C6" t="s">
        <v>188</v>
      </c>
      <c r="D6" t="s">
        <v>189</v>
      </c>
    </row>
    <row r="7" spans="1:4" x14ac:dyDescent="0.3">
      <c r="A7" t="s">
        <v>747</v>
      </c>
      <c r="B7">
        <v>16.600000000000001</v>
      </c>
      <c r="C7">
        <v>20.399999999999999</v>
      </c>
      <c r="D7" t="s">
        <v>748</v>
      </c>
    </row>
    <row r="8" spans="1:4" x14ac:dyDescent="0.3">
      <c r="A8" t="s">
        <v>749</v>
      </c>
      <c r="B8" t="s">
        <v>197</v>
      </c>
      <c r="C8">
        <v>16.8</v>
      </c>
      <c r="D8" t="s">
        <v>750</v>
      </c>
    </row>
    <row r="9" spans="1:4" x14ac:dyDescent="0.3">
      <c r="A9" t="s">
        <v>751</v>
      </c>
      <c r="B9" t="s">
        <v>197</v>
      </c>
      <c r="C9">
        <v>3.4</v>
      </c>
      <c r="D9" t="s">
        <v>752</v>
      </c>
    </row>
    <row r="10" spans="1:4" x14ac:dyDescent="0.3">
      <c r="A10" t="s">
        <v>753</v>
      </c>
      <c r="B10">
        <v>37.9</v>
      </c>
      <c r="C10">
        <v>51</v>
      </c>
      <c r="D10" t="s">
        <v>515</v>
      </c>
    </row>
    <row r="12" spans="1:4" x14ac:dyDescent="0.3">
      <c r="A12" t="s">
        <v>203</v>
      </c>
      <c r="B12" t="s">
        <v>187</v>
      </c>
      <c r="C12" t="s">
        <v>188</v>
      </c>
      <c r="D12" t="s">
        <v>204</v>
      </c>
    </row>
    <row r="13" spans="1:4" x14ac:dyDescent="0.3">
      <c r="A13" t="s">
        <v>754</v>
      </c>
      <c r="B13">
        <v>6.9</v>
      </c>
      <c r="C13">
        <v>8.6</v>
      </c>
      <c r="D13" t="s">
        <v>755</v>
      </c>
    </row>
    <row r="14" spans="1:4" x14ac:dyDescent="0.3">
      <c r="A14" t="s">
        <v>756</v>
      </c>
      <c r="B14" t="s">
        <v>209</v>
      </c>
      <c r="C14" t="s">
        <v>757</v>
      </c>
      <c r="D14" t="s">
        <v>758</v>
      </c>
    </row>
    <row r="16" spans="1:4" x14ac:dyDescent="0.3">
      <c r="A16" t="s">
        <v>216</v>
      </c>
      <c r="B16" t="s">
        <v>187</v>
      </c>
      <c r="C16" t="s">
        <v>188</v>
      </c>
      <c r="D16" t="s">
        <v>189</v>
      </c>
    </row>
    <row r="17" spans="1:4" x14ac:dyDescent="0.3">
      <c r="A17" t="s">
        <v>759</v>
      </c>
      <c r="B17">
        <v>8.6999999999999993</v>
      </c>
      <c r="C17">
        <v>4.9000000000000004</v>
      </c>
      <c r="D17" t="s">
        <v>760</v>
      </c>
    </row>
    <row r="18" spans="1:4" x14ac:dyDescent="0.3">
      <c r="A18" t="s">
        <v>761</v>
      </c>
      <c r="B18">
        <v>2.2999999999999998</v>
      </c>
      <c r="C18">
        <v>2.2000000000000002</v>
      </c>
      <c r="D18" t="s">
        <v>762</v>
      </c>
    </row>
    <row r="20" spans="1:4" x14ac:dyDescent="0.3">
      <c r="A20" t="s">
        <v>223</v>
      </c>
      <c r="B20" t="s">
        <v>187</v>
      </c>
      <c r="C20" t="s">
        <v>188</v>
      </c>
      <c r="D20" t="s">
        <v>204</v>
      </c>
    </row>
    <row r="21" spans="1:4" x14ac:dyDescent="0.3">
      <c r="A21" t="s">
        <v>763</v>
      </c>
      <c r="B21">
        <v>-4200</v>
      </c>
      <c r="C21">
        <v>961</v>
      </c>
      <c r="D21" t="s">
        <v>764</v>
      </c>
    </row>
    <row r="22" spans="1:4" x14ac:dyDescent="0.3">
      <c r="A22" t="s">
        <v>765</v>
      </c>
      <c r="B22">
        <v>-0.08</v>
      </c>
      <c r="C22">
        <v>0.02</v>
      </c>
      <c r="D22" t="s">
        <v>397</v>
      </c>
    </row>
    <row r="23" spans="1:4" x14ac:dyDescent="0.3">
      <c r="A23" t="s">
        <v>766</v>
      </c>
      <c r="B23">
        <v>-2.9</v>
      </c>
      <c r="C23">
        <v>2.4</v>
      </c>
      <c r="D23" t="s">
        <v>767</v>
      </c>
    </row>
    <row r="24" spans="1:4" x14ac:dyDescent="0.3">
      <c r="A24" t="s">
        <v>768</v>
      </c>
      <c r="B24">
        <v>2.2000000000000002</v>
      </c>
      <c r="C24">
        <v>2.6</v>
      </c>
      <c r="D24" t="s">
        <v>769</v>
      </c>
    </row>
    <row r="25" spans="1:4" x14ac:dyDescent="0.3">
      <c r="A25" t="s">
        <v>770</v>
      </c>
      <c r="B25">
        <v>-10.5</v>
      </c>
      <c r="C25">
        <v>11.1</v>
      </c>
      <c r="D25" t="s">
        <v>771</v>
      </c>
    </row>
    <row r="26" spans="1:4" x14ac:dyDescent="0.3">
      <c r="A26" t="s">
        <v>772</v>
      </c>
      <c r="B26" t="s">
        <v>197</v>
      </c>
      <c r="C26">
        <v>0.19</v>
      </c>
      <c r="D26" t="s">
        <v>197</v>
      </c>
    </row>
    <row r="27" spans="1:4" x14ac:dyDescent="0.3">
      <c r="A27" t="s">
        <v>773</v>
      </c>
      <c r="B27">
        <v>51.1</v>
      </c>
      <c r="C27">
        <v>59.3</v>
      </c>
      <c r="D27" t="s">
        <v>774</v>
      </c>
    </row>
    <row r="29" spans="1:4" x14ac:dyDescent="0.3">
      <c r="A29" t="s">
        <v>245</v>
      </c>
      <c r="B29" t="s">
        <v>408</v>
      </c>
      <c r="C29" t="s">
        <v>775</v>
      </c>
      <c r="D29" t="s">
        <v>248</v>
      </c>
    </row>
    <row r="30" spans="1:4" x14ac:dyDescent="0.3">
      <c r="A30" t="s">
        <v>249</v>
      </c>
      <c r="B30">
        <v>7.7</v>
      </c>
      <c r="C30">
        <v>20.5</v>
      </c>
      <c r="D30" t="s">
        <v>776</v>
      </c>
    </row>
    <row r="31" spans="1:4" x14ac:dyDescent="0.3">
      <c r="A31" t="s">
        <v>251</v>
      </c>
      <c r="B31">
        <v>19.600000000000001</v>
      </c>
      <c r="C31">
        <v>37.9</v>
      </c>
      <c r="D31" t="s">
        <v>777</v>
      </c>
    </row>
    <row r="32" spans="1:4" x14ac:dyDescent="0.3">
      <c r="A32" t="s">
        <v>778</v>
      </c>
      <c r="B32" t="s">
        <v>197</v>
      </c>
      <c r="C32">
        <v>3.5</v>
      </c>
      <c r="D32" t="s">
        <v>197</v>
      </c>
    </row>
    <row r="33" spans="1:4" x14ac:dyDescent="0.3">
      <c r="A33" t="s">
        <v>779</v>
      </c>
      <c r="B33" t="s">
        <v>197</v>
      </c>
      <c r="C33">
        <v>-966</v>
      </c>
      <c r="D33" t="s">
        <v>197</v>
      </c>
    </row>
    <row r="34" spans="1:4" x14ac:dyDescent="0.3">
      <c r="A34" t="s">
        <v>780</v>
      </c>
      <c r="B34" t="s">
        <v>197</v>
      </c>
      <c r="C34">
        <v>11.3</v>
      </c>
      <c r="D34" t="s">
        <v>781</v>
      </c>
    </row>
    <row r="36" spans="1:4" x14ac:dyDescent="0.3">
      <c r="A36" t="s">
        <v>782</v>
      </c>
      <c r="B36" t="s">
        <v>238</v>
      </c>
    </row>
    <row r="37" spans="1:4" x14ac:dyDescent="0.3">
      <c r="A37" t="s">
        <v>783</v>
      </c>
      <c r="B37" t="s">
        <v>784</v>
      </c>
    </row>
    <row r="38" spans="1:4" x14ac:dyDescent="0.3">
      <c r="A38" t="s">
        <v>785</v>
      </c>
      <c r="B38" t="s">
        <v>786</v>
      </c>
    </row>
    <row r="39" spans="1:4" x14ac:dyDescent="0.3">
      <c r="A39" t="s">
        <v>787</v>
      </c>
      <c r="B39" t="s">
        <v>788</v>
      </c>
    </row>
    <row r="40" spans="1:4" x14ac:dyDescent="0.3">
      <c r="A40" t="s">
        <v>789</v>
      </c>
      <c r="B40" t="s">
        <v>790</v>
      </c>
    </row>
    <row r="41" spans="1:4" x14ac:dyDescent="0.3">
      <c r="A41" t="s">
        <v>791</v>
      </c>
      <c r="B41" t="s">
        <v>792</v>
      </c>
    </row>
    <row r="42" spans="1:4" x14ac:dyDescent="0.3">
      <c r="A42" t="s">
        <v>793</v>
      </c>
      <c r="B42" t="s">
        <v>794</v>
      </c>
    </row>
    <row r="44" spans="1:4" x14ac:dyDescent="0.3">
      <c r="A44" t="s">
        <v>254</v>
      </c>
      <c r="B44" t="s">
        <v>238</v>
      </c>
    </row>
    <row r="45" spans="1:4" x14ac:dyDescent="0.3">
      <c r="A45" t="s">
        <v>795</v>
      </c>
      <c r="B45" t="s">
        <v>796</v>
      </c>
    </row>
    <row r="46" spans="1:4" x14ac:dyDescent="0.3">
      <c r="A46" t="s">
        <v>545</v>
      </c>
      <c r="B46" t="s">
        <v>797</v>
      </c>
    </row>
    <row r="47" spans="1:4" x14ac:dyDescent="0.3">
      <c r="A47" t="s">
        <v>422</v>
      </c>
      <c r="B47" t="s">
        <v>798</v>
      </c>
    </row>
    <row r="48" spans="1:4" x14ac:dyDescent="0.3">
      <c r="A48" t="s">
        <v>799</v>
      </c>
      <c r="B48" t="s">
        <v>800</v>
      </c>
    </row>
    <row r="49" spans="1:4" x14ac:dyDescent="0.3">
      <c r="A49" t="s">
        <v>801</v>
      </c>
      <c r="B49" t="s">
        <v>802</v>
      </c>
    </row>
    <row r="50" spans="1:4" x14ac:dyDescent="0.3">
      <c r="A50" t="s">
        <v>803</v>
      </c>
      <c r="B50" t="s">
        <v>804</v>
      </c>
    </row>
    <row r="51" spans="1:4" x14ac:dyDescent="0.3">
      <c r="A51" t="s">
        <v>805</v>
      </c>
      <c r="B51" t="s">
        <v>806</v>
      </c>
    </row>
    <row r="52" spans="1:4" x14ac:dyDescent="0.3">
      <c r="A52" t="s">
        <v>807</v>
      </c>
      <c r="B52" t="s">
        <v>808</v>
      </c>
    </row>
    <row r="53" spans="1:4" x14ac:dyDescent="0.3">
      <c r="A53" t="s">
        <v>809</v>
      </c>
      <c r="B53" t="s">
        <v>810</v>
      </c>
    </row>
    <row r="54" spans="1:4" x14ac:dyDescent="0.3">
      <c r="A54" t="s">
        <v>811</v>
      </c>
      <c r="B54" t="s">
        <v>812</v>
      </c>
    </row>
    <row r="56" spans="1:4" x14ac:dyDescent="0.3">
      <c r="A56" t="s">
        <v>273</v>
      </c>
      <c r="B56" t="s">
        <v>238</v>
      </c>
      <c r="C56" t="s">
        <v>274</v>
      </c>
    </row>
    <row r="57" spans="1:4" x14ac:dyDescent="0.3">
      <c r="A57" t="s">
        <v>813</v>
      </c>
      <c r="B57" t="s">
        <v>814</v>
      </c>
      <c r="C57" t="s">
        <v>815</v>
      </c>
    </row>
    <row r="58" spans="1:4" x14ac:dyDescent="0.3">
      <c r="A58" t="s">
        <v>816</v>
      </c>
      <c r="B58" t="s">
        <v>817</v>
      </c>
      <c r="C58" t="s">
        <v>818</v>
      </c>
    </row>
    <row r="59" spans="1:4" x14ac:dyDescent="0.3">
      <c r="A59" t="s">
        <v>819</v>
      </c>
      <c r="B59" t="s">
        <v>790</v>
      </c>
      <c r="C59" t="s">
        <v>820</v>
      </c>
    </row>
    <row r="61" spans="1:4" x14ac:dyDescent="0.3">
      <c r="A61" s="25" t="s">
        <v>281</v>
      </c>
      <c r="B61" s="25"/>
      <c r="C61" s="25"/>
      <c r="D61" s="25"/>
    </row>
    <row r="62" spans="1:4" x14ac:dyDescent="0.3">
      <c r="A62" t="s">
        <v>821</v>
      </c>
    </row>
    <row r="63" spans="1:4" x14ac:dyDescent="0.3">
      <c r="A63" t="s">
        <v>822</v>
      </c>
    </row>
    <row r="64" spans="1:4" x14ac:dyDescent="0.3">
      <c r="A64" t="s">
        <v>823</v>
      </c>
    </row>
    <row r="65" spans="1:4" x14ac:dyDescent="0.3">
      <c r="A65" t="s">
        <v>824</v>
      </c>
    </row>
    <row r="66" spans="1:4" x14ac:dyDescent="0.3">
      <c r="A66" t="s">
        <v>825</v>
      </c>
    </row>
    <row r="67" spans="1:4" x14ac:dyDescent="0.3">
      <c r="A67" t="s">
        <v>826</v>
      </c>
    </row>
    <row r="68" spans="1:4" x14ac:dyDescent="0.3">
      <c r="A68" t="s">
        <v>827</v>
      </c>
    </row>
    <row r="69" spans="1:4" x14ac:dyDescent="0.3">
      <c r="A69" t="s">
        <v>828</v>
      </c>
    </row>
    <row r="70" spans="1:4" x14ac:dyDescent="0.3">
      <c r="A70" t="s">
        <v>829</v>
      </c>
    </row>
    <row r="71" spans="1:4" x14ac:dyDescent="0.3">
      <c r="A71" t="s">
        <v>830</v>
      </c>
    </row>
    <row r="72" spans="1:4" x14ac:dyDescent="0.3">
      <c r="A72" t="s">
        <v>831</v>
      </c>
    </row>
    <row r="73" spans="1:4" x14ac:dyDescent="0.3">
      <c r="A73" t="s">
        <v>832</v>
      </c>
    </row>
    <row r="74" spans="1:4" x14ac:dyDescent="0.3">
      <c r="A74" t="s">
        <v>833</v>
      </c>
    </row>
    <row r="76" spans="1:4" x14ac:dyDescent="0.3">
      <c r="A76" s="25" t="s">
        <v>295</v>
      </c>
      <c r="B76" s="25"/>
      <c r="C76" s="25"/>
      <c r="D76" s="25"/>
    </row>
    <row r="77" spans="1:4" x14ac:dyDescent="0.3">
      <c r="A77" t="s">
        <v>296</v>
      </c>
      <c r="B77" t="s">
        <v>834</v>
      </c>
      <c r="C77" t="s">
        <v>727</v>
      </c>
    </row>
    <row r="78" spans="1:4" x14ac:dyDescent="0.3">
      <c r="A78" t="s">
        <v>299</v>
      </c>
      <c r="B78" t="s">
        <v>835</v>
      </c>
    </row>
    <row r="79" spans="1:4" x14ac:dyDescent="0.3">
      <c r="A79" t="s">
        <v>301</v>
      </c>
      <c r="B79" t="s">
        <v>836</v>
      </c>
    </row>
    <row r="80" spans="1:4" x14ac:dyDescent="0.3">
      <c r="A80" t="s">
        <v>303</v>
      </c>
      <c r="B80" t="s">
        <v>837</v>
      </c>
      <c r="C80" t="s">
        <v>727</v>
      </c>
    </row>
    <row r="81" spans="1:3" x14ac:dyDescent="0.3">
      <c r="A81" t="s">
        <v>299</v>
      </c>
      <c r="B81" t="s">
        <v>838</v>
      </c>
    </row>
    <row r="82" spans="1:3" x14ac:dyDescent="0.3">
      <c r="A82" t="s">
        <v>301</v>
      </c>
      <c r="B82" t="s">
        <v>839</v>
      </c>
    </row>
    <row r="83" spans="1:3" x14ac:dyDescent="0.3">
      <c r="A83" t="s">
        <v>307</v>
      </c>
      <c r="B83" t="s">
        <v>840</v>
      </c>
      <c r="C83" t="s">
        <v>727</v>
      </c>
    </row>
    <row r="84" spans="1:3" x14ac:dyDescent="0.3">
      <c r="A84" t="s">
        <v>299</v>
      </c>
      <c r="B84" t="s">
        <v>841</v>
      </c>
    </row>
    <row r="85" spans="1:3" x14ac:dyDescent="0.3">
      <c r="A85" t="s">
        <v>301</v>
      </c>
      <c r="B85" t="s">
        <v>842</v>
      </c>
    </row>
    <row r="86" spans="1:3" x14ac:dyDescent="0.3">
      <c r="A86" t="s">
        <v>311</v>
      </c>
      <c r="B86" t="s">
        <v>843</v>
      </c>
      <c r="C86" t="s">
        <v>479</v>
      </c>
    </row>
    <row r="87" spans="1:3" x14ac:dyDescent="0.3">
      <c r="A87" t="s">
        <v>299</v>
      </c>
      <c r="B87" t="s">
        <v>844</v>
      </c>
    </row>
    <row r="88" spans="1:3" x14ac:dyDescent="0.3">
      <c r="A88" t="s">
        <v>301</v>
      </c>
      <c r="B88" t="s">
        <v>845</v>
      </c>
    </row>
    <row r="89" spans="1:3" x14ac:dyDescent="0.3">
      <c r="A89" t="s">
        <v>316</v>
      </c>
      <c r="B89" t="s">
        <v>846</v>
      </c>
      <c r="C89" t="s">
        <v>479</v>
      </c>
    </row>
    <row r="90" spans="1:3" x14ac:dyDescent="0.3">
      <c r="A90" t="s">
        <v>299</v>
      </c>
      <c r="B90" t="s">
        <v>847</v>
      </c>
    </row>
    <row r="91" spans="1:3" x14ac:dyDescent="0.3">
      <c r="A91" t="s">
        <v>301</v>
      </c>
      <c r="B91" t="s">
        <v>848</v>
      </c>
    </row>
    <row r="92" spans="1:3" x14ac:dyDescent="0.3">
      <c r="A92" t="s">
        <v>320</v>
      </c>
      <c r="B92" t="s">
        <v>849</v>
      </c>
      <c r="C92" t="s">
        <v>479</v>
      </c>
    </row>
    <row r="93" spans="1:3" x14ac:dyDescent="0.3">
      <c r="A93" t="s">
        <v>299</v>
      </c>
      <c r="B93" t="s">
        <v>850</v>
      </c>
    </row>
    <row r="94" spans="1:3" x14ac:dyDescent="0.3">
      <c r="A94" t="s">
        <v>301</v>
      </c>
      <c r="B94" t="s">
        <v>851</v>
      </c>
    </row>
    <row r="95" spans="1:3" x14ac:dyDescent="0.3">
      <c r="A95" t="s">
        <v>324</v>
      </c>
      <c r="B95" t="s">
        <v>852</v>
      </c>
      <c r="C95" t="s">
        <v>727</v>
      </c>
    </row>
    <row r="96" spans="1:3" x14ac:dyDescent="0.3">
      <c r="A96" t="s">
        <v>299</v>
      </c>
      <c r="B96" t="s">
        <v>853</v>
      </c>
    </row>
    <row r="97" spans="1:3" x14ac:dyDescent="0.3">
      <c r="A97" t="s">
        <v>301</v>
      </c>
      <c r="B97" t="s">
        <v>854</v>
      </c>
    </row>
    <row r="98" spans="1:3" x14ac:dyDescent="0.3">
      <c r="A98" t="s">
        <v>328</v>
      </c>
      <c r="B98" t="s">
        <v>855</v>
      </c>
      <c r="C98" t="s">
        <v>330</v>
      </c>
    </row>
    <row r="99" spans="1:3" x14ac:dyDescent="0.3">
      <c r="A99" t="s">
        <v>299</v>
      </c>
      <c r="B99" t="s">
        <v>856</v>
      </c>
    </row>
    <row r="100" spans="1:3" x14ac:dyDescent="0.3">
      <c r="A100" t="s">
        <v>301</v>
      </c>
      <c r="B100" t="s">
        <v>857</v>
      </c>
    </row>
    <row r="101" spans="1:3" x14ac:dyDescent="0.3">
      <c r="A101" t="s">
        <v>333</v>
      </c>
      <c r="B101" t="s">
        <v>858</v>
      </c>
      <c r="C101" t="s">
        <v>330</v>
      </c>
    </row>
    <row r="102" spans="1:3" x14ac:dyDescent="0.3">
      <c r="A102" t="s">
        <v>299</v>
      </c>
      <c r="B102" t="s">
        <v>859</v>
      </c>
    </row>
    <row r="103" spans="1:3" x14ac:dyDescent="0.3">
      <c r="A103" t="s">
        <v>301</v>
      </c>
      <c r="B103" t="s">
        <v>860</v>
      </c>
    </row>
    <row r="104" spans="1:3" x14ac:dyDescent="0.3">
      <c r="A104" t="s">
        <v>337</v>
      </c>
      <c r="B104" t="s">
        <v>861</v>
      </c>
      <c r="C104" t="s">
        <v>330</v>
      </c>
    </row>
    <row r="105" spans="1:3" x14ac:dyDescent="0.3">
      <c r="A105" t="s">
        <v>299</v>
      </c>
      <c r="B105" t="s">
        <v>862</v>
      </c>
    </row>
    <row r="106" spans="1:3" x14ac:dyDescent="0.3">
      <c r="A106" t="s">
        <v>301</v>
      </c>
      <c r="B106" t="s">
        <v>863</v>
      </c>
    </row>
    <row r="107" spans="1:3" x14ac:dyDescent="0.3">
      <c r="A107" t="s">
        <v>341</v>
      </c>
      <c r="B107" t="s">
        <v>864</v>
      </c>
      <c r="C107" t="s">
        <v>865</v>
      </c>
    </row>
    <row r="108" spans="1:3" x14ac:dyDescent="0.3">
      <c r="A108" t="s">
        <v>299</v>
      </c>
      <c r="B108" t="s">
        <v>866</v>
      </c>
    </row>
    <row r="109" spans="1:3" x14ac:dyDescent="0.3">
      <c r="A109" t="s">
        <v>301</v>
      </c>
      <c r="B109" t="s">
        <v>867</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12"/>
  <sheetViews>
    <sheetView workbookViewId="0"/>
  </sheetViews>
  <sheetFormatPr defaultRowHeight="14.4" x14ac:dyDescent="0.3"/>
  <cols>
    <col min="1" max="1" width="46" customWidth="1"/>
    <col min="2" max="8" width="15" customWidth="1"/>
  </cols>
  <sheetData>
    <row r="1" spans="1:4" x14ac:dyDescent="0.3">
      <c r="A1" s="24" t="s">
        <v>181</v>
      </c>
      <c r="B1" t="s">
        <v>868</v>
      </c>
    </row>
    <row r="2" spans="1:4" x14ac:dyDescent="0.3">
      <c r="A2" s="24" t="s">
        <v>183</v>
      </c>
      <c r="B2" t="s">
        <v>869</v>
      </c>
    </row>
    <row r="4" spans="1:4" x14ac:dyDescent="0.3">
      <c r="A4" s="25" t="s">
        <v>185</v>
      </c>
      <c r="B4" s="25"/>
      <c r="C4" s="25"/>
      <c r="D4" s="25"/>
    </row>
    <row r="6" spans="1:4" x14ac:dyDescent="0.3">
      <c r="A6" t="s">
        <v>186</v>
      </c>
      <c r="B6" t="s">
        <v>187</v>
      </c>
      <c r="C6" t="s">
        <v>188</v>
      </c>
      <c r="D6" t="s">
        <v>189</v>
      </c>
    </row>
    <row r="7" spans="1:4" x14ac:dyDescent="0.3">
      <c r="A7" t="s">
        <v>870</v>
      </c>
      <c r="B7">
        <v>14.7</v>
      </c>
      <c r="C7">
        <v>24.1</v>
      </c>
      <c r="D7" t="s">
        <v>871</v>
      </c>
    </row>
    <row r="8" spans="1:4" x14ac:dyDescent="0.3">
      <c r="A8" t="s">
        <v>872</v>
      </c>
      <c r="B8" t="s">
        <v>873</v>
      </c>
      <c r="C8">
        <v>17.100000000000001</v>
      </c>
      <c r="D8" t="s">
        <v>874</v>
      </c>
    </row>
    <row r="9" spans="1:4" x14ac:dyDescent="0.3">
      <c r="A9" t="s">
        <v>875</v>
      </c>
      <c r="B9">
        <v>52.6</v>
      </c>
      <c r="C9">
        <v>75.099999999999994</v>
      </c>
      <c r="D9" t="s">
        <v>375</v>
      </c>
    </row>
    <row r="10" spans="1:4" x14ac:dyDescent="0.3">
      <c r="A10" t="s">
        <v>876</v>
      </c>
      <c r="B10" t="s">
        <v>877</v>
      </c>
      <c r="C10">
        <v>60</v>
      </c>
      <c r="D10" t="s">
        <v>878</v>
      </c>
    </row>
    <row r="11" spans="1:4" x14ac:dyDescent="0.3">
      <c r="A11" t="s">
        <v>879</v>
      </c>
      <c r="B11">
        <v>9.3000000000000007</v>
      </c>
      <c r="C11">
        <v>14.5</v>
      </c>
      <c r="D11" t="s">
        <v>880</v>
      </c>
    </row>
    <row r="12" spans="1:4" x14ac:dyDescent="0.3">
      <c r="A12" t="s">
        <v>881</v>
      </c>
      <c r="B12">
        <v>4.3</v>
      </c>
      <c r="C12">
        <v>0.84099999999999997</v>
      </c>
      <c r="D12" t="s">
        <v>882</v>
      </c>
    </row>
    <row r="14" spans="1:4" x14ac:dyDescent="0.3">
      <c r="A14" t="s">
        <v>203</v>
      </c>
      <c r="B14" t="s">
        <v>187</v>
      </c>
      <c r="C14" t="s">
        <v>188</v>
      </c>
      <c r="D14" t="s">
        <v>204</v>
      </c>
    </row>
    <row r="15" spans="1:4" x14ac:dyDescent="0.3">
      <c r="A15" t="s">
        <v>883</v>
      </c>
      <c r="B15">
        <v>5.4</v>
      </c>
      <c r="C15">
        <v>10.1</v>
      </c>
      <c r="D15" t="s">
        <v>884</v>
      </c>
    </row>
    <row r="16" spans="1:4" x14ac:dyDescent="0.3">
      <c r="A16" t="s">
        <v>885</v>
      </c>
      <c r="B16" t="s">
        <v>378</v>
      </c>
      <c r="C16" t="s">
        <v>886</v>
      </c>
      <c r="D16" t="s">
        <v>887</v>
      </c>
    </row>
    <row r="17" spans="1:4" x14ac:dyDescent="0.3">
      <c r="A17" t="s">
        <v>888</v>
      </c>
      <c r="B17">
        <v>21.1</v>
      </c>
      <c r="C17">
        <v>31.3</v>
      </c>
      <c r="D17" t="s">
        <v>889</v>
      </c>
    </row>
    <row r="18" spans="1:4" x14ac:dyDescent="0.3">
      <c r="A18" t="s">
        <v>890</v>
      </c>
      <c r="B18" t="s">
        <v>202</v>
      </c>
      <c r="C18" t="s">
        <v>891</v>
      </c>
      <c r="D18" t="s">
        <v>892</v>
      </c>
    </row>
    <row r="20" spans="1:4" x14ac:dyDescent="0.3">
      <c r="A20" t="s">
        <v>216</v>
      </c>
      <c r="B20" t="s">
        <v>187</v>
      </c>
      <c r="C20" t="s">
        <v>188</v>
      </c>
      <c r="D20" t="s">
        <v>189</v>
      </c>
    </row>
    <row r="21" spans="1:4" x14ac:dyDescent="0.3">
      <c r="A21" t="s">
        <v>893</v>
      </c>
      <c r="B21">
        <v>2.8</v>
      </c>
      <c r="C21">
        <v>7</v>
      </c>
      <c r="D21" t="s">
        <v>894</v>
      </c>
    </row>
    <row r="22" spans="1:4" x14ac:dyDescent="0.3">
      <c r="A22" t="s">
        <v>895</v>
      </c>
      <c r="B22">
        <v>21.2</v>
      </c>
      <c r="C22">
        <v>21.1</v>
      </c>
      <c r="D22" t="s">
        <v>896</v>
      </c>
    </row>
    <row r="23" spans="1:4" x14ac:dyDescent="0.3">
      <c r="A23" t="s">
        <v>897</v>
      </c>
      <c r="B23">
        <v>3.1</v>
      </c>
      <c r="C23">
        <v>4.4000000000000004</v>
      </c>
      <c r="D23" t="s">
        <v>375</v>
      </c>
    </row>
    <row r="24" spans="1:4" x14ac:dyDescent="0.3">
      <c r="A24" t="s">
        <v>898</v>
      </c>
      <c r="B24">
        <v>10.5</v>
      </c>
      <c r="C24">
        <v>11.6</v>
      </c>
      <c r="D24" t="s">
        <v>899</v>
      </c>
    </row>
    <row r="26" spans="1:4" x14ac:dyDescent="0.3">
      <c r="A26" t="s">
        <v>223</v>
      </c>
      <c r="B26" t="s">
        <v>187</v>
      </c>
      <c r="C26" t="s">
        <v>188</v>
      </c>
      <c r="D26" t="s">
        <v>204</v>
      </c>
    </row>
    <row r="27" spans="1:4" x14ac:dyDescent="0.3">
      <c r="A27" t="s">
        <v>900</v>
      </c>
      <c r="B27">
        <v>-0.89300000000000002</v>
      </c>
      <c r="C27">
        <v>-1.1000000000000001</v>
      </c>
      <c r="D27" t="s">
        <v>901</v>
      </c>
    </row>
    <row r="28" spans="1:4" x14ac:dyDescent="0.3">
      <c r="A28" t="s">
        <v>902</v>
      </c>
      <c r="B28">
        <v>-0.02</v>
      </c>
      <c r="C28">
        <v>-0.02</v>
      </c>
      <c r="D28" t="s">
        <v>903</v>
      </c>
    </row>
    <row r="29" spans="1:4" x14ac:dyDescent="0.3">
      <c r="A29" t="s">
        <v>904</v>
      </c>
      <c r="B29">
        <v>-11.4</v>
      </c>
      <c r="C29">
        <v>10</v>
      </c>
      <c r="D29" t="s">
        <v>905</v>
      </c>
    </row>
    <row r="30" spans="1:4" x14ac:dyDescent="0.3">
      <c r="A30" t="s">
        <v>906</v>
      </c>
      <c r="B30">
        <v>-0.23</v>
      </c>
      <c r="C30">
        <v>0.16</v>
      </c>
      <c r="D30" t="s">
        <v>907</v>
      </c>
    </row>
    <row r="31" spans="1:4" x14ac:dyDescent="0.3">
      <c r="A31" t="s">
        <v>908</v>
      </c>
      <c r="B31">
        <v>136</v>
      </c>
      <c r="C31">
        <v>607</v>
      </c>
      <c r="D31" t="s">
        <v>909</v>
      </c>
    </row>
    <row r="32" spans="1:4" x14ac:dyDescent="0.3">
      <c r="A32" t="s">
        <v>910</v>
      </c>
      <c r="B32">
        <v>2.2000000000000002</v>
      </c>
      <c r="C32">
        <v>4</v>
      </c>
      <c r="D32" t="s">
        <v>911</v>
      </c>
    </row>
    <row r="34" spans="1:4" x14ac:dyDescent="0.3">
      <c r="A34" t="s">
        <v>245</v>
      </c>
      <c r="B34" t="s">
        <v>408</v>
      </c>
      <c r="C34" t="s">
        <v>912</v>
      </c>
      <c r="D34" t="s">
        <v>248</v>
      </c>
    </row>
    <row r="35" spans="1:4" x14ac:dyDescent="0.3">
      <c r="A35" t="s">
        <v>249</v>
      </c>
      <c r="B35">
        <v>7.7</v>
      </c>
      <c r="C35">
        <v>23.1</v>
      </c>
      <c r="D35" t="s">
        <v>913</v>
      </c>
    </row>
    <row r="36" spans="1:4" x14ac:dyDescent="0.3">
      <c r="A36" t="s">
        <v>251</v>
      </c>
      <c r="B36">
        <v>19.600000000000001</v>
      </c>
      <c r="C36">
        <v>24.8</v>
      </c>
      <c r="D36" t="s">
        <v>914</v>
      </c>
    </row>
    <row r="37" spans="1:4" x14ac:dyDescent="0.3">
      <c r="A37" t="s">
        <v>915</v>
      </c>
      <c r="B37" t="s">
        <v>197</v>
      </c>
      <c r="C37">
        <v>1</v>
      </c>
      <c r="D37" t="s">
        <v>197</v>
      </c>
    </row>
    <row r="39" spans="1:4" x14ac:dyDescent="0.3">
      <c r="A39" t="s">
        <v>916</v>
      </c>
      <c r="B39" t="s">
        <v>238</v>
      </c>
    </row>
    <row r="40" spans="1:4" x14ac:dyDescent="0.3">
      <c r="A40" t="s">
        <v>917</v>
      </c>
      <c r="B40" t="s">
        <v>918</v>
      </c>
    </row>
    <row r="41" spans="1:4" x14ac:dyDescent="0.3">
      <c r="A41" t="s">
        <v>919</v>
      </c>
      <c r="B41" t="s">
        <v>920</v>
      </c>
    </row>
    <row r="42" spans="1:4" x14ac:dyDescent="0.3">
      <c r="A42" t="s">
        <v>921</v>
      </c>
      <c r="B42" t="s">
        <v>922</v>
      </c>
    </row>
    <row r="43" spans="1:4" x14ac:dyDescent="0.3">
      <c r="A43" t="s">
        <v>923</v>
      </c>
      <c r="B43" t="s">
        <v>924</v>
      </c>
    </row>
    <row r="44" spans="1:4" x14ac:dyDescent="0.3">
      <c r="A44" t="s">
        <v>925</v>
      </c>
      <c r="B44" t="s">
        <v>926</v>
      </c>
    </row>
    <row r="45" spans="1:4" x14ac:dyDescent="0.3">
      <c r="A45" t="s">
        <v>927</v>
      </c>
      <c r="B45" t="s">
        <v>229</v>
      </c>
    </row>
    <row r="47" spans="1:4" x14ac:dyDescent="0.3">
      <c r="A47" t="s">
        <v>254</v>
      </c>
      <c r="B47" t="s">
        <v>238</v>
      </c>
    </row>
    <row r="48" spans="1:4" x14ac:dyDescent="0.3">
      <c r="A48" t="s">
        <v>799</v>
      </c>
      <c r="B48" t="s">
        <v>928</v>
      </c>
    </row>
    <row r="49" spans="1:4" x14ac:dyDescent="0.3">
      <c r="A49" t="s">
        <v>929</v>
      </c>
      <c r="B49" t="s">
        <v>930</v>
      </c>
    </row>
    <row r="50" spans="1:4" x14ac:dyDescent="0.3">
      <c r="A50" t="s">
        <v>931</v>
      </c>
      <c r="B50" t="s">
        <v>932</v>
      </c>
    </row>
    <row r="51" spans="1:4" x14ac:dyDescent="0.3">
      <c r="A51" t="s">
        <v>933</v>
      </c>
      <c r="B51" t="s">
        <v>934</v>
      </c>
    </row>
    <row r="52" spans="1:4" x14ac:dyDescent="0.3">
      <c r="A52" t="s">
        <v>935</v>
      </c>
      <c r="B52" t="s">
        <v>936</v>
      </c>
    </row>
    <row r="53" spans="1:4" x14ac:dyDescent="0.3">
      <c r="A53" t="s">
        <v>937</v>
      </c>
      <c r="B53" t="s">
        <v>938</v>
      </c>
    </row>
    <row r="54" spans="1:4" x14ac:dyDescent="0.3">
      <c r="A54" t="s">
        <v>939</v>
      </c>
      <c r="B54" t="s">
        <v>808</v>
      </c>
    </row>
    <row r="56" spans="1:4" x14ac:dyDescent="0.3">
      <c r="A56" t="s">
        <v>273</v>
      </c>
      <c r="B56" t="s">
        <v>238</v>
      </c>
      <c r="C56" t="s">
        <v>274</v>
      </c>
    </row>
    <row r="57" spans="1:4" x14ac:dyDescent="0.3">
      <c r="A57" t="s">
        <v>940</v>
      </c>
      <c r="B57" t="s">
        <v>941</v>
      </c>
      <c r="C57" t="s">
        <v>942</v>
      </c>
    </row>
    <row r="58" spans="1:4" x14ac:dyDescent="0.3">
      <c r="A58" t="s">
        <v>943</v>
      </c>
      <c r="B58" t="s">
        <v>944</v>
      </c>
      <c r="C58" t="s">
        <v>945</v>
      </c>
    </row>
    <row r="59" spans="1:4" x14ac:dyDescent="0.3">
      <c r="A59" t="s">
        <v>946</v>
      </c>
      <c r="B59" t="s">
        <v>947</v>
      </c>
      <c r="C59" t="s">
        <v>16</v>
      </c>
    </row>
    <row r="60" spans="1:4" x14ac:dyDescent="0.3">
      <c r="A60" t="s">
        <v>948</v>
      </c>
      <c r="B60" t="s">
        <v>949</v>
      </c>
      <c r="C60" t="s">
        <v>950</v>
      </c>
    </row>
    <row r="61" spans="1:4" x14ac:dyDescent="0.3">
      <c r="A61" t="s">
        <v>951</v>
      </c>
      <c r="B61" t="s">
        <v>952</v>
      </c>
      <c r="C61" t="s">
        <v>953</v>
      </c>
    </row>
    <row r="63" spans="1:4" x14ac:dyDescent="0.3">
      <c r="A63" s="25" t="s">
        <v>281</v>
      </c>
      <c r="B63" s="25"/>
      <c r="C63" s="25"/>
      <c r="D63" s="25"/>
    </row>
    <row r="64" spans="1:4" x14ac:dyDescent="0.3">
      <c r="A64" t="s">
        <v>954</v>
      </c>
    </row>
    <row r="65" spans="1:4" x14ac:dyDescent="0.3">
      <c r="A65" t="s">
        <v>955</v>
      </c>
    </row>
    <row r="66" spans="1:4" x14ac:dyDescent="0.3">
      <c r="A66" t="s">
        <v>956</v>
      </c>
    </row>
    <row r="67" spans="1:4" x14ac:dyDescent="0.3">
      <c r="A67" t="s">
        <v>957</v>
      </c>
    </row>
    <row r="68" spans="1:4" x14ac:dyDescent="0.3">
      <c r="A68" t="s">
        <v>958</v>
      </c>
    </row>
    <row r="69" spans="1:4" x14ac:dyDescent="0.3">
      <c r="A69" t="s">
        <v>959</v>
      </c>
    </row>
    <row r="70" spans="1:4" x14ac:dyDescent="0.3">
      <c r="A70" t="s">
        <v>960</v>
      </c>
    </row>
    <row r="71" spans="1:4" x14ac:dyDescent="0.3">
      <c r="A71" t="s">
        <v>961</v>
      </c>
    </row>
    <row r="72" spans="1:4" x14ac:dyDescent="0.3">
      <c r="A72" t="s">
        <v>962</v>
      </c>
    </row>
    <row r="73" spans="1:4" x14ac:dyDescent="0.3">
      <c r="A73" t="s">
        <v>963</v>
      </c>
    </row>
    <row r="74" spans="1:4" x14ac:dyDescent="0.3">
      <c r="A74" t="s">
        <v>964</v>
      </c>
    </row>
    <row r="75" spans="1:4" x14ac:dyDescent="0.3">
      <c r="A75" t="s">
        <v>965</v>
      </c>
    </row>
    <row r="76" spans="1:4" x14ac:dyDescent="0.3">
      <c r="A76" t="s">
        <v>966</v>
      </c>
    </row>
    <row r="77" spans="1:4" x14ac:dyDescent="0.3">
      <c r="A77" t="s">
        <v>967</v>
      </c>
    </row>
    <row r="79" spans="1:4" x14ac:dyDescent="0.3">
      <c r="A79" s="25" t="s">
        <v>295</v>
      </c>
      <c r="B79" s="25"/>
      <c r="C79" s="25"/>
      <c r="D79" s="25"/>
    </row>
    <row r="80" spans="1:4" x14ac:dyDescent="0.3">
      <c r="A80" t="s">
        <v>296</v>
      </c>
      <c r="B80" t="s">
        <v>968</v>
      </c>
      <c r="C80" t="s">
        <v>479</v>
      </c>
    </row>
    <row r="81" spans="1:3" x14ac:dyDescent="0.3">
      <c r="A81" t="s">
        <v>299</v>
      </c>
      <c r="B81" t="s">
        <v>969</v>
      </c>
    </row>
    <row r="82" spans="1:3" x14ac:dyDescent="0.3">
      <c r="A82" t="s">
        <v>301</v>
      </c>
      <c r="B82" t="s">
        <v>970</v>
      </c>
    </row>
    <row r="83" spans="1:3" x14ac:dyDescent="0.3">
      <c r="A83" t="s">
        <v>303</v>
      </c>
      <c r="B83" t="s">
        <v>971</v>
      </c>
      <c r="C83" t="s">
        <v>479</v>
      </c>
    </row>
    <row r="84" spans="1:3" x14ac:dyDescent="0.3">
      <c r="A84" t="s">
        <v>299</v>
      </c>
      <c r="B84" t="s">
        <v>972</v>
      </c>
    </row>
    <row r="85" spans="1:3" x14ac:dyDescent="0.3">
      <c r="A85" t="s">
        <v>301</v>
      </c>
      <c r="B85" t="s">
        <v>973</v>
      </c>
    </row>
    <row r="86" spans="1:3" x14ac:dyDescent="0.3">
      <c r="A86" t="s">
        <v>307</v>
      </c>
      <c r="B86" t="s">
        <v>974</v>
      </c>
      <c r="C86" t="s">
        <v>479</v>
      </c>
    </row>
    <row r="87" spans="1:3" x14ac:dyDescent="0.3">
      <c r="A87" t="s">
        <v>299</v>
      </c>
      <c r="B87" t="s">
        <v>975</v>
      </c>
    </row>
    <row r="88" spans="1:3" x14ac:dyDescent="0.3">
      <c r="A88" t="s">
        <v>301</v>
      </c>
      <c r="B88" t="s">
        <v>976</v>
      </c>
    </row>
    <row r="89" spans="1:3" x14ac:dyDescent="0.3">
      <c r="A89" t="s">
        <v>311</v>
      </c>
      <c r="B89" t="s">
        <v>977</v>
      </c>
      <c r="C89" t="s">
        <v>298</v>
      </c>
    </row>
    <row r="90" spans="1:3" x14ac:dyDescent="0.3">
      <c r="A90" t="s">
        <v>299</v>
      </c>
      <c r="B90" t="s">
        <v>978</v>
      </c>
    </row>
    <row r="91" spans="1:3" x14ac:dyDescent="0.3">
      <c r="A91" t="s">
        <v>301</v>
      </c>
      <c r="B91" t="s">
        <v>979</v>
      </c>
    </row>
    <row r="92" spans="1:3" x14ac:dyDescent="0.3">
      <c r="A92" t="s">
        <v>316</v>
      </c>
      <c r="B92" t="s">
        <v>980</v>
      </c>
      <c r="C92" t="s">
        <v>298</v>
      </c>
    </row>
    <row r="93" spans="1:3" x14ac:dyDescent="0.3">
      <c r="A93" t="s">
        <v>299</v>
      </c>
      <c r="B93" t="s">
        <v>981</v>
      </c>
    </row>
    <row r="94" spans="1:3" x14ac:dyDescent="0.3">
      <c r="A94" t="s">
        <v>301</v>
      </c>
      <c r="B94" t="s">
        <v>982</v>
      </c>
    </row>
    <row r="95" spans="1:3" x14ac:dyDescent="0.3">
      <c r="A95" t="s">
        <v>320</v>
      </c>
      <c r="B95" t="s">
        <v>983</v>
      </c>
      <c r="C95" t="s">
        <v>298</v>
      </c>
    </row>
    <row r="96" spans="1:3" x14ac:dyDescent="0.3">
      <c r="A96" t="s">
        <v>299</v>
      </c>
      <c r="B96" t="s">
        <v>984</v>
      </c>
    </row>
    <row r="97" spans="1:3" x14ac:dyDescent="0.3">
      <c r="A97" t="s">
        <v>301</v>
      </c>
      <c r="B97" t="s">
        <v>985</v>
      </c>
    </row>
    <row r="98" spans="1:3" x14ac:dyDescent="0.3">
      <c r="A98" t="s">
        <v>324</v>
      </c>
      <c r="B98" t="s">
        <v>986</v>
      </c>
      <c r="C98" t="s">
        <v>330</v>
      </c>
    </row>
    <row r="99" spans="1:3" x14ac:dyDescent="0.3">
      <c r="A99" t="s">
        <v>299</v>
      </c>
      <c r="B99" t="s">
        <v>987</v>
      </c>
    </row>
    <row r="100" spans="1:3" x14ac:dyDescent="0.3">
      <c r="A100" t="s">
        <v>301</v>
      </c>
      <c r="B100" t="s">
        <v>988</v>
      </c>
    </row>
    <row r="101" spans="1:3" x14ac:dyDescent="0.3">
      <c r="A101" t="s">
        <v>328</v>
      </c>
      <c r="B101" t="s">
        <v>989</v>
      </c>
      <c r="C101" t="s">
        <v>330</v>
      </c>
    </row>
    <row r="102" spans="1:3" x14ac:dyDescent="0.3">
      <c r="A102" t="s">
        <v>299</v>
      </c>
      <c r="B102" t="s">
        <v>990</v>
      </c>
    </row>
    <row r="103" spans="1:3" x14ac:dyDescent="0.3">
      <c r="A103" t="s">
        <v>301</v>
      </c>
      <c r="B103" t="s">
        <v>991</v>
      </c>
    </row>
    <row r="104" spans="1:3" x14ac:dyDescent="0.3">
      <c r="A104" t="s">
        <v>333</v>
      </c>
      <c r="B104" t="s">
        <v>992</v>
      </c>
      <c r="C104" t="s">
        <v>330</v>
      </c>
    </row>
    <row r="105" spans="1:3" x14ac:dyDescent="0.3">
      <c r="A105" t="s">
        <v>299</v>
      </c>
      <c r="B105" t="s">
        <v>993</v>
      </c>
    </row>
    <row r="106" spans="1:3" x14ac:dyDescent="0.3">
      <c r="A106" t="s">
        <v>301</v>
      </c>
      <c r="B106" t="s">
        <v>994</v>
      </c>
    </row>
    <row r="107" spans="1:3" x14ac:dyDescent="0.3">
      <c r="A107" t="s">
        <v>337</v>
      </c>
      <c r="B107" t="s">
        <v>995</v>
      </c>
      <c r="C107" t="s">
        <v>479</v>
      </c>
    </row>
    <row r="108" spans="1:3" x14ac:dyDescent="0.3">
      <c r="A108" t="s">
        <v>299</v>
      </c>
      <c r="B108" t="s">
        <v>996</v>
      </c>
    </row>
    <row r="109" spans="1:3" x14ac:dyDescent="0.3">
      <c r="A109" t="s">
        <v>301</v>
      </c>
      <c r="B109" t="s">
        <v>997</v>
      </c>
    </row>
    <row r="110" spans="1:3" x14ac:dyDescent="0.3">
      <c r="A110" t="s">
        <v>341</v>
      </c>
      <c r="B110" t="s">
        <v>998</v>
      </c>
      <c r="C110" t="s">
        <v>479</v>
      </c>
    </row>
    <row r="111" spans="1:3" x14ac:dyDescent="0.3">
      <c r="A111" t="s">
        <v>299</v>
      </c>
      <c r="B111" t="s">
        <v>999</v>
      </c>
    </row>
    <row r="112" spans="1:3" x14ac:dyDescent="0.3">
      <c r="A112" t="s">
        <v>301</v>
      </c>
      <c r="B112" t="s">
        <v>1000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4"/>
  <sheetViews>
    <sheetView workbookViewId="0"/>
  </sheetViews>
  <sheetFormatPr defaultRowHeight="14.4" x14ac:dyDescent="0.3"/>
  <cols>
    <col min="1" max="1" width="46" customWidth="1"/>
    <col min="2" max="8" width="15" customWidth="1"/>
  </cols>
  <sheetData>
    <row r="1" spans="1:4" x14ac:dyDescent="0.3">
      <c r="A1" s="24" t="s">
        <v>181</v>
      </c>
      <c r="B1" t="s">
        <v>1001</v>
      </c>
    </row>
    <row r="2" spans="1:4" x14ac:dyDescent="0.3">
      <c r="A2" s="24" t="s">
        <v>183</v>
      </c>
      <c r="B2" t="s">
        <v>1002</v>
      </c>
    </row>
    <row r="4" spans="1:4" x14ac:dyDescent="0.3">
      <c r="A4" s="25" t="s">
        <v>185</v>
      </c>
      <c r="B4" s="25"/>
      <c r="C4" s="25"/>
      <c r="D4" s="25"/>
    </row>
    <row r="6" spans="1:4" x14ac:dyDescent="0.3">
      <c r="A6" t="s">
        <v>1003</v>
      </c>
      <c r="B6" t="s">
        <v>1004</v>
      </c>
      <c r="C6" t="s">
        <v>1005</v>
      </c>
      <c r="D6" t="s">
        <v>189</v>
      </c>
    </row>
    <row r="7" spans="1:4" x14ac:dyDescent="0.3">
      <c r="A7" t="s">
        <v>45</v>
      </c>
      <c r="B7">
        <v>28.2</v>
      </c>
      <c r="C7">
        <v>14.5</v>
      </c>
      <c r="D7" t="s">
        <v>1006</v>
      </c>
    </row>
    <row r="8" spans="1:4" x14ac:dyDescent="0.3">
      <c r="A8" t="s">
        <v>46</v>
      </c>
      <c r="B8">
        <v>19.399999999999999</v>
      </c>
      <c r="C8">
        <v>11.4</v>
      </c>
      <c r="D8" t="s">
        <v>633</v>
      </c>
    </row>
    <row r="9" spans="1:4" x14ac:dyDescent="0.3">
      <c r="A9" t="s">
        <v>48</v>
      </c>
      <c r="B9">
        <v>8.5</v>
      </c>
      <c r="C9">
        <v>3</v>
      </c>
      <c r="D9" t="s">
        <v>1007</v>
      </c>
    </row>
    <row r="10" spans="1:4" x14ac:dyDescent="0.3">
      <c r="A10" t="s">
        <v>49</v>
      </c>
      <c r="B10">
        <v>0.26800000000000002</v>
      </c>
      <c r="C10">
        <v>5.2999999999999999E-2</v>
      </c>
      <c r="D10" t="s">
        <v>1008</v>
      </c>
    </row>
    <row r="12" spans="1:4" x14ac:dyDescent="0.3">
      <c r="A12" t="s">
        <v>1009</v>
      </c>
      <c r="B12" t="s">
        <v>1004</v>
      </c>
      <c r="C12" t="s">
        <v>1005</v>
      </c>
      <c r="D12" t="s">
        <v>189</v>
      </c>
    </row>
    <row r="13" spans="1:4" x14ac:dyDescent="0.3">
      <c r="A13" t="s">
        <v>51</v>
      </c>
      <c r="B13">
        <v>13</v>
      </c>
      <c r="C13">
        <v>5.7</v>
      </c>
      <c r="D13" t="s">
        <v>1010</v>
      </c>
    </row>
    <row r="14" spans="1:4" x14ac:dyDescent="0.3">
      <c r="A14" t="s">
        <v>1011</v>
      </c>
      <c r="B14" t="s">
        <v>1012</v>
      </c>
      <c r="C14" t="s">
        <v>521</v>
      </c>
      <c r="D14" t="s">
        <v>1013</v>
      </c>
    </row>
    <row r="15" spans="1:4" x14ac:dyDescent="0.3">
      <c r="A15" t="s">
        <v>1014</v>
      </c>
      <c r="B15">
        <v>7.5</v>
      </c>
      <c r="C15">
        <v>3.6</v>
      </c>
      <c r="D15" t="s">
        <v>1015</v>
      </c>
    </row>
    <row r="16" spans="1:4" x14ac:dyDescent="0.3">
      <c r="A16" t="s">
        <v>1016</v>
      </c>
      <c r="B16">
        <v>4.2</v>
      </c>
      <c r="C16">
        <v>2.6</v>
      </c>
      <c r="D16" t="s">
        <v>354</v>
      </c>
    </row>
    <row r="17" spans="1:4" x14ac:dyDescent="0.3">
      <c r="A17" t="s">
        <v>55</v>
      </c>
      <c r="B17">
        <v>0.54600000000000004</v>
      </c>
      <c r="C17">
        <v>11.7</v>
      </c>
      <c r="D17" t="s">
        <v>1017</v>
      </c>
    </row>
    <row r="18" spans="1:4" x14ac:dyDescent="0.3">
      <c r="A18" t="s">
        <v>1018</v>
      </c>
      <c r="B18">
        <v>0.01</v>
      </c>
      <c r="C18">
        <v>0.19</v>
      </c>
      <c r="D18" t="s">
        <v>1019</v>
      </c>
    </row>
    <row r="19" spans="1:4" x14ac:dyDescent="0.3">
      <c r="A19" t="s">
        <v>56</v>
      </c>
      <c r="B19">
        <v>2.8</v>
      </c>
      <c r="C19">
        <v>0.878</v>
      </c>
      <c r="D19" t="s">
        <v>1020</v>
      </c>
    </row>
    <row r="21" spans="1:4" x14ac:dyDescent="0.3">
      <c r="A21" t="s">
        <v>1021</v>
      </c>
      <c r="B21" t="s">
        <v>1022</v>
      </c>
    </row>
    <row r="22" spans="1:4" x14ac:dyDescent="0.3">
      <c r="A22" t="s">
        <v>1023</v>
      </c>
      <c r="B22" t="s">
        <v>1024</v>
      </c>
    </row>
    <row r="23" spans="1:4" x14ac:dyDescent="0.3">
      <c r="A23" t="s">
        <v>1025</v>
      </c>
      <c r="B23" t="s">
        <v>1026</v>
      </c>
    </row>
    <row r="24" spans="1:4" x14ac:dyDescent="0.3">
      <c r="A24" t="s">
        <v>1027</v>
      </c>
      <c r="B24" t="s">
        <v>1028</v>
      </c>
    </row>
    <row r="26" spans="1:4" x14ac:dyDescent="0.3">
      <c r="A26" t="s">
        <v>1029</v>
      </c>
      <c r="B26" t="s">
        <v>1030</v>
      </c>
      <c r="C26" t="s">
        <v>912</v>
      </c>
      <c r="D26" t="s">
        <v>248</v>
      </c>
    </row>
    <row r="27" spans="1:4" x14ac:dyDescent="0.3">
      <c r="A27" t="s">
        <v>58</v>
      </c>
      <c r="B27">
        <v>19.100000000000001</v>
      </c>
      <c r="C27">
        <v>23.1</v>
      </c>
      <c r="D27" t="s">
        <v>1031</v>
      </c>
    </row>
    <row r="28" spans="1:4" x14ac:dyDescent="0.3">
      <c r="A28" t="s">
        <v>59</v>
      </c>
      <c r="B28">
        <v>27.4</v>
      </c>
      <c r="C28">
        <v>24.8</v>
      </c>
      <c r="D28" t="s">
        <v>1032</v>
      </c>
    </row>
    <row r="29" spans="1:4" x14ac:dyDescent="0.3">
      <c r="A29" t="s">
        <v>1033</v>
      </c>
      <c r="B29">
        <v>-3.8</v>
      </c>
      <c r="C29" t="s">
        <v>1034</v>
      </c>
      <c r="D29" t="s">
        <v>197</v>
      </c>
    </row>
    <row r="30" spans="1:4" x14ac:dyDescent="0.3">
      <c r="A30" t="s">
        <v>1035</v>
      </c>
      <c r="B30" t="s">
        <v>1036</v>
      </c>
    </row>
    <row r="31" spans="1:4" x14ac:dyDescent="0.3">
      <c r="A31" t="s">
        <v>1037</v>
      </c>
      <c r="B31" t="s">
        <v>1038</v>
      </c>
    </row>
    <row r="33" spans="1:4" x14ac:dyDescent="0.3">
      <c r="A33" t="s">
        <v>1039</v>
      </c>
      <c r="B33" t="s">
        <v>238</v>
      </c>
    </row>
    <row r="34" spans="1:4" x14ac:dyDescent="0.3">
      <c r="A34" t="s">
        <v>1040</v>
      </c>
      <c r="B34" t="s">
        <v>1041</v>
      </c>
    </row>
    <row r="35" spans="1:4" x14ac:dyDescent="0.3">
      <c r="A35" t="s">
        <v>1042</v>
      </c>
      <c r="B35" t="s">
        <v>1043</v>
      </c>
    </row>
    <row r="36" spans="1:4" x14ac:dyDescent="0.3">
      <c r="A36" t="s">
        <v>1044</v>
      </c>
      <c r="B36" t="s">
        <v>1045</v>
      </c>
    </row>
    <row r="37" spans="1:4" x14ac:dyDescent="0.3">
      <c r="A37" t="s">
        <v>1046</v>
      </c>
      <c r="B37" t="s">
        <v>1047</v>
      </c>
    </row>
    <row r="38" spans="1:4" x14ac:dyDescent="0.3">
      <c r="A38" t="s">
        <v>1048</v>
      </c>
      <c r="B38" t="s">
        <v>1049</v>
      </c>
    </row>
    <row r="39" spans="1:4" x14ac:dyDescent="0.3">
      <c r="A39" t="s">
        <v>1050</v>
      </c>
      <c r="B39" t="s">
        <v>1051</v>
      </c>
    </row>
    <row r="41" spans="1:4" x14ac:dyDescent="0.3">
      <c r="A41" t="s">
        <v>1052</v>
      </c>
      <c r="B41" t="s">
        <v>238</v>
      </c>
      <c r="C41" t="s">
        <v>1053</v>
      </c>
      <c r="D41" t="s">
        <v>248</v>
      </c>
    </row>
    <row r="42" spans="1:4" x14ac:dyDescent="0.3">
      <c r="A42" t="s">
        <v>1054</v>
      </c>
      <c r="B42" t="s">
        <v>1055</v>
      </c>
      <c r="C42" t="s">
        <v>197</v>
      </c>
      <c r="D42" t="s">
        <v>197</v>
      </c>
    </row>
    <row r="43" spans="1:4" x14ac:dyDescent="0.3">
      <c r="A43" t="s">
        <v>1056</v>
      </c>
      <c r="B43" t="s">
        <v>1057</v>
      </c>
      <c r="C43" t="s">
        <v>685</v>
      </c>
      <c r="D43" t="s">
        <v>1058</v>
      </c>
    </row>
    <row r="44" spans="1:4" x14ac:dyDescent="0.3">
      <c r="A44" t="s">
        <v>1059</v>
      </c>
      <c r="B44" t="s">
        <v>1060</v>
      </c>
    </row>
    <row r="46" spans="1:4" x14ac:dyDescent="0.3">
      <c r="A46" t="s">
        <v>1061</v>
      </c>
      <c r="B46" t="s">
        <v>238</v>
      </c>
      <c r="C46" t="s">
        <v>274</v>
      </c>
    </row>
    <row r="47" spans="1:4" x14ac:dyDescent="0.3">
      <c r="A47" t="s">
        <v>1062</v>
      </c>
      <c r="B47" t="s">
        <v>1063</v>
      </c>
      <c r="C47" t="s">
        <v>1064</v>
      </c>
    </row>
    <row r="48" spans="1:4" x14ac:dyDescent="0.3">
      <c r="A48" t="s">
        <v>1065</v>
      </c>
      <c r="B48" t="s">
        <v>1066</v>
      </c>
      <c r="C48" t="s">
        <v>1067</v>
      </c>
    </row>
    <row r="49" spans="1:4" x14ac:dyDescent="0.3">
      <c r="A49" t="s">
        <v>1068</v>
      </c>
      <c r="B49" t="s">
        <v>1069</v>
      </c>
      <c r="C49" t="s">
        <v>1070</v>
      </c>
    </row>
    <row r="50" spans="1:4" x14ac:dyDescent="0.3">
      <c r="A50" t="s">
        <v>1071</v>
      </c>
      <c r="B50" t="s">
        <v>1072</v>
      </c>
      <c r="C50" t="s">
        <v>1073</v>
      </c>
    </row>
    <row r="52" spans="1:4" x14ac:dyDescent="0.3">
      <c r="A52" s="25" t="s">
        <v>281</v>
      </c>
      <c r="B52" s="25"/>
      <c r="C52" s="25"/>
      <c r="D52" s="25"/>
    </row>
    <row r="53" spans="1:4" x14ac:dyDescent="0.3">
      <c r="A53" t="s">
        <v>1074</v>
      </c>
    </row>
    <row r="54" spans="1:4" x14ac:dyDescent="0.3">
      <c r="A54" t="s">
        <v>1075</v>
      </c>
    </row>
    <row r="55" spans="1:4" x14ac:dyDescent="0.3">
      <c r="A55" t="s">
        <v>1076</v>
      </c>
    </row>
    <row r="56" spans="1:4" x14ac:dyDescent="0.3">
      <c r="A56" t="s">
        <v>1077</v>
      </c>
    </row>
    <row r="57" spans="1:4" x14ac:dyDescent="0.3">
      <c r="A57" t="s">
        <v>1078</v>
      </c>
    </row>
    <row r="58" spans="1:4" x14ac:dyDescent="0.3">
      <c r="A58" t="s">
        <v>1079</v>
      </c>
    </row>
    <row r="59" spans="1:4" x14ac:dyDescent="0.3">
      <c r="A59" t="s">
        <v>1080</v>
      </c>
    </row>
    <row r="60" spans="1:4" x14ac:dyDescent="0.3">
      <c r="A60" t="s">
        <v>1081</v>
      </c>
    </row>
    <row r="61" spans="1:4" x14ac:dyDescent="0.3">
      <c r="A61" t="s">
        <v>1082</v>
      </c>
    </row>
    <row r="62" spans="1:4" x14ac:dyDescent="0.3">
      <c r="A62" t="s">
        <v>1083</v>
      </c>
    </row>
    <row r="63" spans="1:4" x14ac:dyDescent="0.3">
      <c r="A63" t="s">
        <v>1084</v>
      </c>
    </row>
    <row r="64" spans="1:4" x14ac:dyDescent="0.3">
      <c r="A64" t="s">
        <v>1085</v>
      </c>
    </row>
    <row r="66" spans="1:4" x14ac:dyDescent="0.3">
      <c r="A66" s="25" t="s">
        <v>295</v>
      </c>
      <c r="B66" s="25"/>
      <c r="C66" s="25"/>
      <c r="D66" s="25"/>
    </row>
    <row r="67" spans="1:4" x14ac:dyDescent="0.3">
      <c r="A67" t="s">
        <v>296</v>
      </c>
      <c r="B67" t="s">
        <v>1086</v>
      </c>
      <c r="C67" t="s">
        <v>1087</v>
      </c>
    </row>
    <row r="68" spans="1:4" x14ac:dyDescent="0.3">
      <c r="A68" t="s">
        <v>299</v>
      </c>
      <c r="B68" t="s">
        <v>1088</v>
      </c>
    </row>
    <row r="69" spans="1:4" x14ac:dyDescent="0.3">
      <c r="A69" t="s">
        <v>301</v>
      </c>
      <c r="B69" t="s">
        <v>1089</v>
      </c>
    </row>
    <row r="70" spans="1:4" x14ac:dyDescent="0.3">
      <c r="A70" t="s">
        <v>303</v>
      </c>
      <c r="B70" t="s">
        <v>1090</v>
      </c>
      <c r="C70" t="s">
        <v>1091</v>
      </c>
    </row>
    <row r="71" spans="1:4" x14ac:dyDescent="0.3">
      <c r="A71" t="s">
        <v>299</v>
      </c>
      <c r="B71" t="s">
        <v>1092</v>
      </c>
    </row>
    <row r="72" spans="1:4" x14ac:dyDescent="0.3">
      <c r="A72" t="s">
        <v>301</v>
      </c>
      <c r="B72" t="s">
        <v>1093</v>
      </c>
    </row>
    <row r="73" spans="1:4" x14ac:dyDescent="0.3">
      <c r="A73" t="s">
        <v>307</v>
      </c>
      <c r="B73" t="s">
        <v>1094</v>
      </c>
      <c r="C73" t="s">
        <v>1095</v>
      </c>
    </row>
    <row r="74" spans="1:4" x14ac:dyDescent="0.3">
      <c r="A74" t="s">
        <v>299</v>
      </c>
      <c r="B74" t="s">
        <v>1096</v>
      </c>
    </row>
    <row r="75" spans="1:4" x14ac:dyDescent="0.3">
      <c r="A75" t="s">
        <v>301</v>
      </c>
      <c r="B75" t="s">
        <v>1097</v>
      </c>
    </row>
    <row r="76" spans="1:4" x14ac:dyDescent="0.3">
      <c r="A76" t="s">
        <v>311</v>
      </c>
      <c r="B76" t="s">
        <v>1098</v>
      </c>
      <c r="C76" t="s">
        <v>1099</v>
      </c>
    </row>
    <row r="77" spans="1:4" x14ac:dyDescent="0.3">
      <c r="A77" t="s">
        <v>299</v>
      </c>
      <c r="B77" t="s">
        <v>1100</v>
      </c>
    </row>
    <row r="78" spans="1:4" x14ac:dyDescent="0.3">
      <c r="A78" t="s">
        <v>301</v>
      </c>
      <c r="B78" t="s">
        <v>1101</v>
      </c>
    </row>
    <row r="79" spans="1:4" x14ac:dyDescent="0.3">
      <c r="A79" t="s">
        <v>316</v>
      </c>
      <c r="B79" t="s">
        <v>1102</v>
      </c>
      <c r="C79" t="s">
        <v>1087</v>
      </c>
    </row>
    <row r="80" spans="1:4" x14ac:dyDescent="0.3">
      <c r="A80" t="s">
        <v>299</v>
      </c>
      <c r="B80" t="s">
        <v>1103</v>
      </c>
    </row>
    <row r="81" spans="1:3" x14ac:dyDescent="0.3">
      <c r="A81" t="s">
        <v>301</v>
      </c>
      <c r="B81" t="s">
        <v>1104</v>
      </c>
    </row>
    <row r="82" spans="1:3" x14ac:dyDescent="0.3">
      <c r="A82" t="s">
        <v>320</v>
      </c>
      <c r="B82" t="s">
        <v>1105</v>
      </c>
      <c r="C82" t="s">
        <v>1106</v>
      </c>
    </row>
    <row r="83" spans="1:3" x14ac:dyDescent="0.3">
      <c r="A83" t="s">
        <v>299</v>
      </c>
      <c r="B83" t="s">
        <v>1107</v>
      </c>
    </row>
    <row r="84" spans="1:3" x14ac:dyDescent="0.3">
      <c r="A84" t="s">
        <v>301</v>
      </c>
      <c r="B84" t="s">
        <v>1108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89"/>
  <sheetViews>
    <sheetView workbookViewId="0"/>
  </sheetViews>
  <sheetFormatPr defaultRowHeight="14.4" x14ac:dyDescent="0.3"/>
  <cols>
    <col min="1" max="1" width="46" customWidth="1"/>
    <col min="2" max="8" width="15" customWidth="1"/>
  </cols>
  <sheetData>
    <row r="1" spans="1:4" x14ac:dyDescent="0.3">
      <c r="A1" s="24" t="s">
        <v>181</v>
      </c>
      <c r="B1" t="s">
        <v>1109</v>
      </c>
    </row>
    <row r="2" spans="1:4" x14ac:dyDescent="0.3">
      <c r="A2" s="24" t="s">
        <v>183</v>
      </c>
      <c r="B2" t="s">
        <v>1110</v>
      </c>
    </row>
    <row r="4" spans="1:4" x14ac:dyDescent="0.3">
      <c r="A4" s="25" t="s">
        <v>185</v>
      </c>
      <c r="B4" s="25"/>
      <c r="C4" s="25"/>
      <c r="D4" s="25"/>
    </row>
    <row r="6" spans="1:4" x14ac:dyDescent="0.3">
      <c r="A6" t="s">
        <v>1003</v>
      </c>
      <c r="B6" t="s">
        <v>1111</v>
      </c>
      <c r="C6" t="s">
        <v>1112</v>
      </c>
      <c r="D6" t="s">
        <v>189</v>
      </c>
    </row>
    <row r="7" spans="1:4" x14ac:dyDescent="0.3">
      <c r="A7" t="s">
        <v>45</v>
      </c>
      <c r="B7">
        <v>30</v>
      </c>
      <c r="C7">
        <v>16.100000000000001</v>
      </c>
      <c r="D7" t="s">
        <v>1113</v>
      </c>
    </row>
    <row r="8" spans="1:4" x14ac:dyDescent="0.3">
      <c r="A8" t="s">
        <v>46</v>
      </c>
      <c r="B8">
        <v>20.8</v>
      </c>
      <c r="C8">
        <v>14.4</v>
      </c>
      <c r="D8" t="s">
        <v>639</v>
      </c>
    </row>
    <row r="9" spans="1:4" x14ac:dyDescent="0.3">
      <c r="A9" t="s">
        <v>48</v>
      </c>
      <c r="B9">
        <v>8.8000000000000007</v>
      </c>
      <c r="C9">
        <v>1.3</v>
      </c>
      <c r="D9" t="s">
        <v>1114</v>
      </c>
    </row>
    <row r="10" spans="1:4" x14ac:dyDescent="0.3">
      <c r="A10" t="s">
        <v>49</v>
      </c>
      <c r="B10">
        <v>0.32600000000000001</v>
      </c>
      <c r="C10">
        <v>0.38100000000000001</v>
      </c>
      <c r="D10" t="s">
        <v>1115</v>
      </c>
    </row>
    <row r="12" spans="1:4" x14ac:dyDescent="0.3">
      <c r="A12" t="s">
        <v>1009</v>
      </c>
      <c r="B12" t="s">
        <v>1111</v>
      </c>
      <c r="C12" t="s">
        <v>1112</v>
      </c>
      <c r="D12" t="s">
        <v>189</v>
      </c>
    </row>
    <row r="13" spans="1:4" x14ac:dyDescent="0.3">
      <c r="A13" t="s">
        <v>51</v>
      </c>
      <c r="B13">
        <v>13</v>
      </c>
      <c r="C13">
        <v>6.9</v>
      </c>
      <c r="D13" t="s">
        <v>1116</v>
      </c>
    </row>
    <row r="14" spans="1:4" x14ac:dyDescent="0.3">
      <c r="A14" t="s">
        <v>1011</v>
      </c>
      <c r="B14" t="s">
        <v>208</v>
      </c>
      <c r="C14" t="s">
        <v>636</v>
      </c>
      <c r="D14" t="s">
        <v>1117</v>
      </c>
    </row>
    <row r="15" spans="1:4" x14ac:dyDescent="0.3">
      <c r="A15" t="s">
        <v>1014</v>
      </c>
      <c r="B15">
        <v>7.8</v>
      </c>
      <c r="C15">
        <v>5.6</v>
      </c>
      <c r="D15" t="s">
        <v>1118</v>
      </c>
    </row>
    <row r="16" spans="1:4" x14ac:dyDescent="0.3">
      <c r="A16" t="s">
        <v>1016</v>
      </c>
      <c r="B16">
        <v>3.6</v>
      </c>
      <c r="C16">
        <v>2.4</v>
      </c>
      <c r="D16" t="s">
        <v>1119</v>
      </c>
    </row>
    <row r="17" spans="1:4" x14ac:dyDescent="0.3">
      <c r="A17" t="s">
        <v>55</v>
      </c>
      <c r="B17">
        <v>1.6</v>
      </c>
      <c r="C17">
        <v>-1.5</v>
      </c>
      <c r="D17" t="s">
        <v>1120</v>
      </c>
    </row>
    <row r="18" spans="1:4" x14ac:dyDescent="0.3">
      <c r="A18" t="s">
        <v>1018</v>
      </c>
      <c r="B18">
        <v>0.02</v>
      </c>
      <c r="C18">
        <v>-0.03</v>
      </c>
      <c r="D18" t="s">
        <v>1121</v>
      </c>
    </row>
    <row r="19" spans="1:4" x14ac:dyDescent="0.3">
      <c r="A19" t="s">
        <v>56</v>
      </c>
      <c r="B19">
        <v>2.6</v>
      </c>
      <c r="C19">
        <v>-1.4999999999999999E-2</v>
      </c>
      <c r="D19" t="s">
        <v>1122</v>
      </c>
    </row>
    <row r="21" spans="1:4" x14ac:dyDescent="0.3">
      <c r="A21" t="s">
        <v>1123</v>
      </c>
      <c r="B21" t="s">
        <v>1124</v>
      </c>
      <c r="C21" t="s">
        <v>1125</v>
      </c>
      <c r="D21" t="s">
        <v>189</v>
      </c>
    </row>
    <row r="22" spans="1:4" x14ac:dyDescent="0.3">
      <c r="A22" t="s">
        <v>45</v>
      </c>
      <c r="B22">
        <v>58.2</v>
      </c>
      <c r="C22">
        <v>30.6</v>
      </c>
      <c r="D22" t="s">
        <v>1126</v>
      </c>
    </row>
    <row r="23" spans="1:4" x14ac:dyDescent="0.3">
      <c r="A23" t="s">
        <v>51</v>
      </c>
      <c r="B23">
        <v>26</v>
      </c>
      <c r="C23">
        <v>12.6</v>
      </c>
      <c r="D23" t="s">
        <v>1127</v>
      </c>
    </row>
    <row r="24" spans="1:4" x14ac:dyDescent="0.3">
      <c r="A24" t="s">
        <v>1011</v>
      </c>
      <c r="B24" t="s">
        <v>1128</v>
      </c>
      <c r="C24" t="s">
        <v>642</v>
      </c>
      <c r="D24" t="s">
        <v>1129</v>
      </c>
    </row>
    <row r="25" spans="1:4" x14ac:dyDescent="0.3">
      <c r="A25" t="s">
        <v>55</v>
      </c>
      <c r="B25">
        <v>2.1</v>
      </c>
      <c r="C25">
        <v>10.199999999999999</v>
      </c>
      <c r="D25" t="s">
        <v>1130</v>
      </c>
    </row>
    <row r="26" spans="1:4" x14ac:dyDescent="0.3">
      <c r="A26" t="s">
        <v>56</v>
      </c>
      <c r="B26">
        <v>5.4</v>
      </c>
      <c r="C26">
        <v>0.86299999999999999</v>
      </c>
      <c r="D26" t="s">
        <v>1131</v>
      </c>
    </row>
    <row r="28" spans="1:4" x14ac:dyDescent="0.3">
      <c r="A28" t="s">
        <v>1021</v>
      </c>
      <c r="B28" t="s">
        <v>1132</v>
      </c>
    </row>
    <row r="29" spans="1:4" x14ac:dyDescent="0.3">
      <c r="A29" t="s">
        <v>1133</v>
      </c>
      <c r="B29" t="s">
        <v>1134</v>
      </c>
    </row>
    <row r="30" spans="1:4" x14ac:dyDescent="0.3">
      <c r="A30" t="s">
        <v>1135</v>
      </c>
      <c r="B30" t="s">
        <v>1136</v>
      </c>
    </row>
    <row r="31" spans="1:4" x14ac:dyDescent="0.3">
      <c r="A31" t="s">
        <v>1137</v>
      </c>
      <c r="B31" t="s">
        <v>1138</v>
      </c>
    </row>
    <row r="33" spans="1:4" x14ac:dyDescent="0.3">
      <c r="A33" t="s">
        <v>1029</v>
      </c>
      <c r="B33" t="s">
        <v>1139</v>
      </c>
      <c r="C33" t="s">
        <v>912</v>
      </c>
      <c r="D33" t="s">
        <v>248</v>
      </c>
    </row>
    <row r="34" spans="1:4" x14ac:dyDescent="0.3">
      <c r="A34" t="s">
        <v>58</v>
      </c>
      <c r="B34">
        <v>20.100000000000001</v>
      </c>
      <c r="C34">
        <v>23.1</v>
      </c>
      <c r="D34" t="s">
        <v>1140</v>
      </c>
    </row>
    <row r="35" spans="1:4" x14ac:dyDescent="0.3">
      <c r="A35" t="s">
        <v>59</v>
      </c>
      <c r="B35">
        <v>31.8</v>
      </c>
      <c r="C35">
        <v>24.8</v>
      </c>
      <c r="D35" t="s">
        <v>1141</v>
      </c>
    </row>
    <row r="36" spans="1:4" x14ac:dyDescent="0.3">
      <c r="A36" t="s">
        <v>1142</v>
      </c>
      <c r="B36">
        <v>-4.3</v>
      </c>
      <c r="C36" t="s">
        <v>1034</v>
      </c>
      <c r="D36" t="s">
        <v>197</v>
      </c>
    </row>
    <row r="38" spans="1:4" x14ac:dyDescent="0.3">
      <c r="A38" t="s">
        <v>1039</v>
      </c>
      <c r="B38" t="s">
        <v>1111</v>
      </c>
      <c r="C38" t="s">
        <v>1053</v>
      </c>
    </row>
    <row r="39" spans="1:4" x14ac:dyDescent="0.3">
      <c r="A39" t="s">
        <v>1040</v>
      </c>
      <c r="B39" t="s">
        <v>1143</v>
      </c>
      <c r="C39" t="s">
        <v>1144</v>
      </c>
    </row>
    <row r="40" spans="1:4" x14ac:dyDescent="0.3">
      <c r="A40" t="s">
        <v>1145</v>
      </c>
      <c r="B40" t="s">
        <v>1146</v>
      </c>
      <c r="C40" t="s">
        <v>1147</v>
      </c>
    </row>
    <row r="41" spans="1:4" x14ac:dyDescent="0.3">
      <c r="A41" t="s">
        <v>1148</v>
      </c>
      <c r="B41" t="s">
        <v>1149</v>
      </c>
      <c r="C41" t="s">
        <v>1150</v>
      </c>
    </row>
    <row r="42" spans="1:4" x14ac:dyDescent="0.3">
      <c r="A42" t="s">
        <v>1151</v>
      </c>
      <c r="B42" t="s">
        <v>1152</v>
      </c>
    </row>
    <row r="43" spans="1:4" x14ac:dyDescent="0.3">
      <c r="A43" t="s">
        <v>1153</v>
      </c>
      <c r="B43" t="s">
        <v>1154</v>
      </c>
    </row>
    <row r="44" spans="1:4" x14ac:dyDescent="0.3">
      <c r="A44" t="s">
        <v>1155</v>
      </c>
      <c r="B44" t="s">
        <v>1156</v>
      </c>
    </row>
    <row r="46" spans="1:4" x14ac:dyDescent="0.3">
      <c r="A46" t="s">
        <v>1157</v>
      </c>
      <c r="B46" t="s">
        <v>238</v>
      </c>
    </row>
    <row r="47" spans="1:4" x14ac:dyDescent="0.3">
      <c r="A47" t="s">
        <v>1158</v>
      </c>
      <c r="B47" t="s">
        <v>1159</v>
      </c>
    </row>
    <row r="48" spans="1:4" x14ac:dyDescent="0.3">
      <c r="A48" t="s">
        <v>1160</v>
      </c>
      <c r="B48" t="s">
        <v>1161</v>
      </c>
    </row>
    <row r="49" spans="1:4" x14ac:dyDescent="0.3">
      <c r="A49" t="s">
        <v>1162</v>
      </c>
      <c r="B49" t="s">
        <v>1163</v>
      </c>
    </row>
    <row r="50" spans="1:4" x14ac:dyDescent="0.3">
      <c r="A50" t="s">
        <v>1164</v>
      </c>
      <c r="B50" t="s">
        <v>1165</v>
      </c>
    </row>
    <row r="51" spans="1:4" x14ac:dyDescent="0.3">
      <c r="A51" t="s">
        <v>1054</v>
      </c>
      <c r="B51" t="s">
        <v>1166</v>
      </c>
    </row>
    <row r="52" spans="1:4" x14ac:dyDescent="0.3">
      <c r="A52" t="s">
        <v>1167</v>
      </c>
      <c r="B52" t="s">
        <v>1168</v>
      </c>
    </row>
    <row r="54" spans="1:4" x14ac:dyDescent="0.3">
      <c r="A54" t="s">
        <v>1061</v>
      </c>
      <c r="B54" t="s">
        <v>238</v>
      </c>
      <c r="C54" t="s">
        <v>274</v>
      </c>
    </row>
    <row r="55" spans="1:4" x14ac:dyDescent="0.3">
      <c r="A55" t="s">
        <v>1169</v>
      </c>
      <c r="B55" t="s">
        <v>1170</v>
      </c>
      <c r="C55" t="s">
        <v>1171</v>
      </c>
    </row>
    <row r="56" spans="1:4" x14ac:dyDescent="0.3">
      <c r="A56" t="s">
        <v>1172</v>
      </c>
      <c r="B56" t="s">
        <v>1173</v>
      </c>
      <c r="C56" t="s">
        <v>1174</v>
      </c>
    </row>
    <row r="57" spans="1:4" x14ac:dyDescent="0.3">
      <c r="A57" t="s">
        <v>1175</v>
      </c>
      <c r="B57" t="s">
        <v>1176</v>
      </c>
      <c r="C57" t="s">
        <v>1070</v>
      </c>
    </row>
    <row r="58" spans="1:4" x14ac:dyDescent="0.3">
      <c r="A58" t="s">
        <v>1068</v>
      </c>
      <c r="B58" t="s">
        <v>1177</v>
      </c>
      <c r="C58" t="s">
        <v>1178</v>
      </c>
    </row>
    <row r="60" spans="1:4" x14ac:dyDescent="0.3">
      <c r="A60" s="25" t="s">
        <v>281</v>
      </c>
      <c r="B60" s="25"/>
      <c r="C60" s="25"/>
      <c r="D60" s="25"/>
    </row>
    <row r="61" spans="1:4" x14ac:dyDescent="0.3">
      <c r="A61" t="s">
        <v>1179</v>
      </c>
    </row>
    <row r="62" spans="1:4" x14ac:dyDescent="0.3">
      <c r="A62" t="s">
        <v>1180</v>
      </c>
    </row>
    <row r="63" spans="1:4" x14ac:dyDescent="0.3">
      <c r="A63" t="s">
        <v>1181</v>
      </c>
    </row>
    <row r="64" spans="1:4" x14ac:dyDescent="0.3">
      <c r="A64" t="s">
        <v>1182</v>
      </c>
    </row>
    <row r="65" spans="1:4" x14ac:dyDescent="0.3">
      <c r="A65" t="s">
        <v>1183</v>
      </c>
    </row>
    <row r="66" spans="1:4" x14ac:dyDescent="0.3">
      <c r="A66" t="s">
        <v>1184</v>
      </c>
    </row>
    <row r="67" spans="1:4" x14ac:dyDescent="0.3">
      <c r="A67" t="s">
        <v>1185</v>
      </c>
    </row>
    <row r="68" spans="1:4" x14ac:dyDescent="0.3">
      <c r="A68" t="s">
        <v>1186</v>
      </c>
    </row>
    <row r="69" spans="1:4" x14ac:dyDescent="0.3">
      <c r="A69" t="s">
        <v>1187</v>
      </c>
    </row>
    <row r="70" spans="1:4" x14ac:dyDescent="0.3">
      <c r="A70" t="s">
        <v>1188</v>
      </c>
    </row>
    <row r="71" spans="1:4" x14ac:dyDescent="0.3">
      <c r="A71" t="s">
        <v>1189</v>
      </c>
    </row>
    <row r="72" spans="1:4" x14ac:dyDescent="0.3">
      <c r="A72" t="s">
        <v>1190</v>
      </c>
    </row>
    <row r="74" spans="1:4" x14ac:dyDescent="0.3">
      <c r="A74" s="25" t="s">
        <v>295</v>
      </c>
      <c r="B74" s="25"/>
      <c r="C74" s="25"/>
      <c r="D74" s="25"/>
    </row>
    <row r="75" spans="1:4" x14ac:dyDescent="0.3">
      <c r="A75" t="s">
        <v>296</v>
      </c>
      <c r="B75" t="s">
        <v>1191</v>
      </c>
      <c r="C75" t="s">
        <v>1192</v>
      </c>
    </row>
    <row r="76" spans="1:4" x14ac:dyDescent="0.3">
      <c r="A76" t="s">
        <v>299</v>
      </c>
      <c r="B76" t="s">
        <v>1193</v>
      </c>
    </row>
    <row r="77" spans="1:4" x14ac:dyDescent="0.3">
      <c r="A77" t="s">
        <v>301</v>
      </c>
      <c r="B77" t="s">
        <v>1194</v>
      </c>
    </row>
    <row r="78" spans="1:4" x14ac:dyDescent="0.3">
      <c r="A78" t="s">
        <v>303</v>
      </c>
      <c r="B78" t="s">
        <v>1195</v>
      </c>
      <c r="C78" t="s">
        <v>1087</v>
      </c>
    </row>
    <row r="79" spans="1:4" x14ac:dyDescent="0.3">
      <c r="A79" t="s">
        <v>299</v>
      </c>
      <c r="B79" t="s">
        <v>1196</v>
      </c>
    </row>
    <row r="80" spans="1:4" x14ac:dyDescent="0.3">
      <c r="A80" t="s">
        <v>301</v>
      </c>
      <c r="B80" t="s">
        <v>1197</v>
      </c>
    </row>
    <row r="81" spans="1:3" x14ac:dyDescent="0.3">
      <c r="A81" t="s">
        <v>307</v>
      </c>
      <c r="B81" t="s">
        <v>1198</v>
      </c>
      <c r="C81" t="s">
        <v>1091</v>
      </c>
    </row>
    <row r="82" spans="1:3" x14ac:dyDescent="0.3">
      <c r="A82" t="s">
        <v>299</v>
      </c>
      <c r="B82" t="s">
        <v>1199</v>
      </c>
    </row>
    <row r="83" spans="1:3" x14ac:dyDescent="0.3">
      <c r="A83" t="s">
        <v>301</v>
      </c>
      <c r="B83" t="s">
        <v>1200</v>
      </c>
    </row>
    <row r="84" spans="1:3" x14ac:dyDescent="0.3">
      <c r="A84" t="s">
        <v>311</v>
      </c>
      <c r="B84" t="s">
        <v>1201</v>
      </c>
      <c r="C84" t="s">
        <v>1099</v>
      </c>
    </row>
    <row r="85" spans="1:3" x14ac:dyDescent="0.3">
      <c r="A85" t="s">
        <v>299</v>
      </c>
      <c r="B85" t="s">
        <v>1202</v>
      </c>
    </row>
    <row r="86" spans="1:3" x14ac:dyDescent="0.3">
      <c r="A86" t="s">
        <v>301</v>
      </c>
      <c r="B86" t="s">
        <v>1203</v>
      </c>
    </row>
    <row r="87" spans="1:3" x14ac:dyDescent="0.3">
      <c r="A87" t="s">
        <v>316</v>
      </c>
      <c r="B87" t="s">
        <v>1204</v>
      </c>
      <c r="C87" t="s">
        <v>1205</v>
      </c>
    </row>
    <row r="88" spans="1:3" x14ac:dyDescent="0.3">
      <c r="A88" t="s">
        <v>299</v>
      </c>
      <c r="B88" t="s">
        <v>1206</v>
      </c>
    </row>
    <row r="89" spans="1:3" x14ac:dyDescent="0.3">
      <c r="A89" t="s">
        <v>301</v>
      </c>
      <c r="B89" t="s">
        <v>1207</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58"/>
  <sheetViews>
    <sheetView workbookViewId="0"/>
  </sheetViews>
  <sheetFormatPr defaultRowHeight="14.4" x14ac:dyDescent="0.3"/>
  <cols>
    <col min="1" max="1" width="46" customWidth="1"/>
    <col min="2" max="8" width="15" customWidth="1"/>
  </cols>
  <sheetData>
    <row r="1" spans="1:4" x14ac:dyDescent="0.3">
      <c r="A1" s="24" t="s">
        <v>181</v>
      </c>
      <c r="B1" t="s">
        <v>1208</v>
      </c>
    </row>
    <row r="2" spans="1:4" x14ac:dyDescent="0.3">
      <c r="A2" s="24" t="s">
        <v>183</v>
      </c>
      <c r="B2" t="s">
        <v>1209</v>
      </c>
    </row>
    <row r="4" spans="1:4" x14ac:dyDescent="0.3">
      <c r="A4" s="25" t="s">
        <v>185</v>
      </c>
      <c r="B4" s="25"/>
      <c r="C4" s="25"/>
      <c r="D4" s="25"/>
    </row>
    <row r="6" spans="1:4" x14ac:dyDescent="0.3">
      <c r="A6" t="s">
        <v>186</v>
      </c>
      <c r="B6" t="s">
        <v>238</v>
      </c>
      <c r="C6" t="s">
        <v>1053</v>
      </c>
      <c r="D6" t="s">
        <v>189</v>
      </c>
    </row>
    <row r="7" spans="1:4" x14ac:dyDescent="0.3">
      <c r="A7" t="s">
        <v>1210</v>
      </c>
      <c r="B7">
        <v>58.2</v>
      </c>
      <c r="C7">
        <v>30.6</v>
      </c>
      <c r="D7" t="s">
        <v>1126</v>
      </c>
    </row>
    <row r="8" spans="1:4" x14ac:dyDescent="0.3">
      <c r="A8" t="s">
        <v>1211</v>
      </c>
      <c r="B8">
        <v>75</v>
      </c>
      <c r="C8" t="s">
        <v>1034</v>
      </c>
      <c r="D8" t="s">
        <v>197</v>
      </c>
    </row>
    <row r="9" spans="1:4" x14ac:dyDescent="0.3">
      <c r="A9" t="s">
        <v>1212</v>
      </c>
      <c r="B9" t="s">
        <v>1213</v>
      </c>
      <c r="C9" t="s">
        <v>197</v>
      </c>
      <c r="D9" t="s">
        <v>197</v>
      </c>
    </row>
    <row r="10" spans="1:4" x14ac:dyDescent="0.3">
      <c r="A10" t="s">
        <v>1214</v>
      </c>
      <c r="B10" t="s">
        <v>1215</v>
      </c>
      <c r="C10" t="s">
        <v>197</v>
      </c>
      <c r="D10" t="s">
        <v>1216</v>
      </c>
    </row>
    <row r="12" spans="1:4" x14ac:dyDescent="0.3">
      <c r="A12" t="s">
        <v>1217</v>
      </c>
      <c r="B12" t="s">
        <v>238</v>
      </c>
    </row>
    <row r="13" spans="1:4" x14ac:dyDescent="0.3">
      <c r="A13" t="s">
        <v>1218</v>
      </c>
      <c r="B13" t="s">
        <v>1219</v>
      </c>
    </row>
    <row r="14" spans="1:4" x14ac:dyDescent="0.3">
      <c r="A14" t="s">
        <v>1220</v>
      </c>
      <c r="B14">
        <v>9.1999999999999993</v>
      </c>
    </row>
    <row r="15" spans="1:4" x14ac:dyDescent="0.3">
      <c r="A15" t="s">
        <v>1221</v>
      </c>
      <c r="B15" t="s">
        <v>1222</v>
      </c>
    </row>
    <row r="17" spans="1:4" x14ac:dyDescent="0.3">
      <c r="A17" t="s">
        <v>1223</v>
      </c>
      <c r="B17" t="s">
        <v>238</v>
      </c>
      <c r="C17" t="s">
        <v>1053</v>
      </c>
      <c r="D17" t="s">
        <v>248</v>
      </c>
    </row>
    <row r="18" spans="1:4" x14ac:dyDescent="0.3">
      <c r="A18" t="s">
        <v>1224</v>
      </c>
      <c r="B18" t="s">
        <v>1128</v>
      </c>
      <c r="C18" t="s">
        <v>642</v>
      </c>
      <c r="D18" t="s">
        <v>1129</v>
      </c>
    </row>
    <row r="19" spans="1:4" x14ac:dyDescent="0.3">
      <c r="A19" t="s">
        <v>1225</v>
      </c>
      <c r="B19" t="s">
        <v>1226</v>
      </c>
      <c r="C19" t="s">
        <v>197</v>
      </c>
      <c r="D19" t="s">
        <v>197</v>
      </c>
    </row>
    <row r="20" spans="1:4" x14ac:dyDescent="0.3">
      <c r="A20" t="s">
        <v>55</v>
      </c>
      <c r="B20" t="s">
        <v>1227</v>
      </c>
      <c r="C20" t="s">
        <v>197</v>
      </c>
      <c r="D20" t="s">
        <v>197</v>
      </c>
    </row>
    <row r="21" spans="1:4" x14ac:dyDescent="0.3">
      <c r="A21" t="s">
        <v>56</v>
      </c>
      <c r="B21" t="s">
        <v>1228</v>
      </c>
      <c r="C21" t="s">
        <v>197</v>
      </c>
      <c r="D21" t="s">
        <v>197</v>
      </c>
    </row>
    <row r="23" spans="1:4" x14ac:dyDescent="0.3">
      <c r="A23" t="s">
        <v>1229</v>
      </c>
      <c r="B23" t="s">
        <v>238</v>
      </c>
    </row>
    <row r="24" spans="1:4" x14ac:dyDescent="0.3">
      <c r="A24" t="s">
        <v>1230</v>
      </c>
      <c r="B24" t="s">
        <v>1231</v>
      </c>
    </row>
    <row r="25" spans="1:4" x14ac:dyDescent="0.3">
      <c r="A25" t="s">
        <v>1232</v>
      </c>
      <c r="B25" t="s">
        <v>1233</v>
      </c>
    </row>
    <row r="27" spans="1:4" x14ac:dyDescent="0.3">
      <c r="A27" t="s">
        <v>1039</v>
      </c>
      <c r="B27" t="s">
        <v>238</v>
      </c>
    </row>
    <row r="28" spans="1:4" x14ac:dyDescent="0.3">
      <c r="A28" t="s">
        <v>1234</v>
      </c>
      <c r="B28" t="s">
        <v>1235</v>
      </c>
    </row>
    <row r="29" spans="1:4" x14ac:dyDescent="0.3">
      <c r="A29" t="s">
        <v>1236</v>
      </c>
      <c r="B29" t="s">
        <v>1237</v>
      </c>
    </row>
    <row r="30" spans="1:4" x14ac:dyDescent="0.3">
      <c r="A30" t="s">
        <v>96</v>
      </c>
      <c r="B30" t="s">
        <v>1238</v>
      </c>
    </row>
    <row r="31" spans="1:4" x14ac:dyDescent="0.3">
      <c r="A31" t="s">
        <v>1239</v>
      </c>
      <c r="B31" t="s">
        <v>1240</v>
      </c>
    </row>
    <row r="32" spans="1:4" x14ac:dyDescent="0.3">
      <c r="A32" t="s">
        <v>1241</v>
      </c>
      <c r="B32" t="s">
        <v>1242</v>
      </c>
    </row>
    <row r="33" spans="1:4" x14ac:dyDescent="0.3">
      <c r="A33" t="s">
        <v>1243</v>
      </c>
      <c r="B33" t="s">
        <v>558</v>
      </c>
    </row>
    <row r="34" spans="1:4" x14ac:dyDescent="0.3">
      <c r="A34" t="s">
        <v>1244</v>
      </c>
      <c r="B34" t="s">
        <v>1245</v>
      </c>
    </row>
    <row r="35" spans="1:4" x14ac:dyDescent="0.3">
      <c r="A35" t="s">
        <v>1246</v>
      </c>
      <c r="B35" t="s">
        <v>1247</v>
      </c>
    </row>
    <row r="37" spans="1:4" x14ac:dyDescent="0.3">
      <c r="A37" t="s">
        <v>1248</v>
      </c>
      <c r="B37" t="s">
        <v>238</v>
      </c>
      <c r="C37" t="s">
        <v>274</v>
      </c>
    </row>
    <row r="38" spans="1:4" x14ac:dyDescent="0.3">
      <c r="A38" t="s">
        <v>1249</v>
      </c>
      <c r="B38" t="s">
        <v>1250</v>
      </c>
      <c r="C38" t="s">
        <v>1251</v>
      </c>
    </row>
    <row r="39" spans="1:4" x14ac:dyDescent="0.3">
      <c r="A39" t="s">
        <v>1252</v>
      </c>
      <c r="B39" t="s">
        <v>1253</v>
      </c>
      <c r="C39" t="s">
        <v>1254</v>
      </c>
    </row>
    <row r="40" spans="1:4" x14ac:dyDescent="0.3">
      <c r="A40" t="s">
        <v>1255</v>
      </c>
      <c r="B40" t="s">
        <v>1256</v>
      </c>
      <c r="C40" t="s">
        <v>16</v>
      </c>
    </row>
    <row r="42" spans="1:4" x14ac:dyDescent="0.3">
      <c r="A42" s="25" t="s">
        <v>281</v>
      </c>
      <c r="B42" s="25"/>
      <c r="C42" s="25"/>
      <c r="D42" s="25"/>
    </row>
    <row r="43" spans="1:4" x14ac:dyDescent="0.3">
      <c r="A43" t="s">
        <v>1257</v>
      </c>
    </row>
    <row r="44" spans="1:4" x14ac:dyDescent="0.3">
      <c r="A44" t="s">
        <v>1258</v>
      </c>
    </row>
    <row r="45" spans="1:4" x14ac:dyDescent="0.3">
      <c r="A45" t="s">
        <v>1259</v>
      </c>
    </row>
    <row r="46" spans="1:4" x14ac:dyDescent="0.3">
      <c r="A46" t="s">
        <v>1260</v>
      </c>
    </row>
    <row r="47" spans="1:4" x14ac:dyDescent="0.3">
      <c r="A47" t="s">
        <v>1261</v>
      </c>
    </row>
    <row r="48" spans="1:4" x14ac:dyDescent="0.3">
      <c r="A48" t="s">
        <v>1262</v>
      </c>
    </row>
    <row r="49" spans="1:4" x14ac:dyDescent="0.3">
      <c r="A49" t="s">
        <v>1263</v>
      </c>
    </row>
    <row r="50" spans="1:4" x14ac:dyDescent="0.3">
      <c r="A50" t="s">
        <v>1264</v>
      </c>
    </row>
    <row r="51" spans="1:4" x14ac:dyDescent="0.3">
      <c r="A51" t="s">
        <v>1265</v>
      </c>
    </row>
    <row r="52" spans="1:4" x14ac:dyDescent="0.3">
      <c r="A52" t="s">
        <v>1266</v>
      </c>
    </row>
    <row r="53" spans="1:4" x14ac:dyDescent="0.3">
      <c r="A53" t="s">
        <v>1267</v>
      </c>
    </row>
    <row r="54" spans="1:4" x14ac:dyDescent="0.3">
      <c r="A54" t="s">
        <v>1268</v>
      </c>
    </row>
    <row r="56" spans="1:4" x14ac:dyDescent="0.3">
      <c r="A56" s="25" t="s">
        <v>295</v>
      </c>
      <c r="B56" s="25"/>
      <c r="C56" s="25"/>
      <c r="D56" s="25"/>
    </row>
    <row r="57" spans="1:4" x14ac:dyDescent="0.3">
      <c r="A57" t="s">
        <v>1269</v>
      </c>
      <c r="B57" t="s">
        <v>1270</v>
      </c>
      <c r="C57" t="s">
        <v>1271</v>
      </c>
    </row>
    <row r="58" spans="1:4" x14ac:dyDescent="0.3">
      <c r="A58" t="s">
        <v>301</v>
      </c>
      <c r="B58" t="s">
        <v>1272</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87"/>
  <sheetViews>
    <sheetView workbookViewId="0"/>
  </sheetViews>
  <sheetFormatPr defaultRowHeight="14.4" x14ac:dyDescent="0.3"/>
  <cols>
    <col min="1" max="1" width="46" customWidth="1"/>
    <col min="2" max="8" width="15" customWidth="1"/>
  </cols>
  <sheetData>
    <row r="1" spans="1:4" x14ac:dyDescent="0.3">
      <c r="A1" s="24" t="s">
        <v>181</v>
      </c>
      <c r="B1" t="s">
        <v>1273</v>
      </c>
    </row>
    <row r="2" spans="1:4" x14ac:dyDescent="0.3">
      <c r="A2" s="24" t="s">
        <v>183</v>
      </c>
      <c r="B2" t="s">
        <v>1274</v>
      </c>
    </row>
    <row r="4" spans="1:4" x14ac:dyDescent="0.3">
      <c r="A4" s="25" t="s">
        <v>185</v>
      </c>
      <c r="B4" s="25"/>
      <c r="C4" s="25"/>
      <c r="D4" s="25"/>
    </row>
    <row r="6" spans="1:4" x14ac:dyDescent="0.3">
      <c r="A6" t="s">
        <v>1003</v>
      </c>
      <c r="B6" t="s">
        <v>1275</v>
      </c>
      <c r="C6" t="s">
        <v>1276</v>
      </c>
      <c r="D6" t="s">
        <v>189</v>
      </c>
    </row>
    <row r="7" spans="1:4" x14ac:dyDescent="0.3">
      <c r="A7" t="s">
        <v>45</v>
      </c>
      <c r="B7">
        <v>36.799999999999997</v>
      </c>
      <c r="C7">
        <v>20.399999999999999</v>
      </c>
      <c r="D7" t="s">
        <v>1277</v>
      </c>
    </row>
    <row r="8" spans="1:4" x14ac:dyDescent="0.3">
      <c r="A8" t="s">
        <v>46</v>
      </c>
      <c r="B8">
        <v>26.9</v>
      </c>
      <c r="C8">
        <v>16.8</v>
      </c>
      <c r="D8" t="s">
        <v>1278</v>
      </c>
    </row>
    <row r="9" spans="1:4" x14ac:dyDescent="0.3">
      <c r="A9" t="s">
        <v>1279</v>
      </c>
      <c r="B9">
        <v>9.5</v>
      </c>
      <c r="C9">
        <v>3.4</v>
      </c>
      <c r="D9" t="s">
        <v>1280</v>
      </c>
    </row>
    <row r="10" spans="1:4" x14ac:dyDescent="0.3">
      <c r="A10" t="s">
        <v>49</v>
      </c>
      <c r="B10">
        <v>0.27500000000000002</v>
      </c>
      <c r="C10">
        <v>0.19500000000000001</v>
      </c>
      <c r="D10" t="s">
        <v>1281</v>
      </c>
    </row>
    <row r="11" spans="1:4" x14ac:dyDescent="0.3">
      <c r="A11" t="s">
        <v>1282</v>
      </c>
      <c r="B11">
        <v>5.6</v>
      </c>
      <c r="C11" t="s">
        <v>1283</v>
      </c>
      <c r="D11" t="s">
        <v>1284</v>
      </c>
    </row>
    <row r="13" spans="1:4" x14ac:dyDescent="0.3">
      <c r="A13" t="s">
        <v>1009</v>
      </c>
      <c r="B13" t="s">
        <v>1275</v>
      </c>
      <c r="C13" t="s">
        <v>1276</v>
      </c>
      <c r="D13" t="s">
        <v>189</v>
      </c>
    </row>
    <row r="14" spans="1:4" x14ac:dyDescent="0.3">
      <c r="A14" t="s">
        <v>51</v>
      </c>
      <c r="B14">
        <v>17.5</v>
      </c>
      <c r="C14">
        <v>8.6</v>
      </c>
      <c r="D14" t="s">
        <v>1285</v>
      </c>
    </row>
    <row r="15" spans="1:4" x14ac:dyDescent="0.3">
      <c r="A15" t="s">
        <v>1011</v>
      </c>
      <c r="B15" t="s">
        <v>1286</v>
      </c>
      <c r="C15" t="s">
        <v>757</v>
      </c>
      <c r="D15" t="s">
        <v>1287</v>
      </c>
    </row>
    <row r="16" spans="1:4" x14ac:dyDescent="0.3">
      <c r="A16" t="s">
        <v>1288</v>
      </c>
      <c r="B16">
        <v>8.3000000000000007</v>
      </c>
      <c r="C16">
        <v>4.9000000000000004</v>
      </c>
      <c r="D16" t="s">
        <v>1289</v>
      </c>
    </row>
    <row r="17" spans="1:4" x14ac:dyDescent="0.3">
      <c r="A17" t="s">
        <v>1016</v>
      </c>
      <c r="B17">
        <v>4.5999999999999996</v>
      </c>
      <c r="C17">
        <v>2.2000000000000002</v>
      </c>
      <c r="D17" t="s">
        <v>1015</v>
      </c>
    </row>
    <row r="18" spans="1:4" x14ac:dyDescent="0.3">
      <c r="A18" t="s">
        <v>55</v>
      </c>
      <c r="B18">
        <v>4.8</v>
      </c>
      <c r="C18">
        <v>0.96099999999999997</v>
      </c>
      <c r="D18" t="s">
        <v>1290</v>
      </c>
    </row>
    <row r="19" spans="1:4" x14ac:dyDescent="0.3">
      <c r="A19" t="s">
        <v>1018</v>
      </c>
      <c r="B19">
        <v>0.06</v>
      </c>
      <c r="C19">
        <v>0.03</v>
      </c>
      <c r="D19" t="s">
        <v>234</v>
      </c>
    </row>
    <row r="20" spans="1:4" x14ac:dyDescent="0.3">
      <c r="A20" t="s">
        <v>56</v>
      </c>
      <c r="B20">
        <v>6.9</v>
      </c>
      <c r="C20">
        <v>-2.6</v>
      </c>
      <c r="D20" t="s">
        <v>1122</v>
      </c>
    </row>
    <row r="22" spans="1:4" x14ac:dyDescent="0.3">
      <c r="A22" t="s">
        <v>1291</v>
      </c>
      <c r="B22" t="s">
        <v>1292</v>
      </c>
      <c r="C22" t="s">
        <v>1293</v>
      </c>
      <c r="D22" t="s">
        <v>189</v>
      </c>
    </row>
    <row r="23" spans="1:4" x14ac:dyDescent="0.3">
      <c r="A23" t="s">
        <v>45</v>
      </c>
      <c r="B23">
        <v>95.1</v>
      </c>
      <c r="C23">
        <v>51</v>
      </c>
      <c r="D23" t="s">
        <v>1113</v>
      </c>
    </row>
    <row r="24" spans="1:4" x14ac:dyDescent="0.3">
      <c r="A24" t="s">
        <v>1011</v>
      </c>
      <c r="B24" t="s">
        <v>1294</v>
      </c>
      <c r="C24" t="s">
        <v>377</v>
      </c>
      <c r="D24" t="s">
        <v>1295</v>
      </c>
    </row>
    <row r="25" spans="1:4" x14ac:dyDescent="0.3">
      <c r="A25" t="s">
        <v>55</v>
      </c>
      <c r="B25">
        <v>6.9</v>
      </c>
      <c r="C25">
        <v>11.1</v>
      </c>
      <c r="D25" t="s">
        <v>1296</v>
      </c>
    </row>
    <row r="26" spans="1:4" x14ac:dyDescent="0.3">
      <c r="A26" t="s">
        <v>56</v>
      </c>
      <c r="B26">
        <v>12.2</v>
      </c>
      <c r="C26">
        <v>-3.4</v>
      </c>
      <c r="D26" t="s">
        <v>1122</v>
      </c>
    </row>
    <row r="28" spans="1:4" x14ac:dyDescent="0.3">
      <c r="A28" t="s">
        <v>1021</v>
      </c>
      <c r="B28" t="s">
        <v>1297</v>
      </c>
    </row>
    <row r="29" spans="1:4" x14ac:dyDescent="0.3">
      <c r="A29" t="s">
        <v>1298</v>
      </c>
      <c r="B29" t="s">
        <v>1299</v>
      </c>
    </row>
    <row r="30" spans="1:4" x14ac:dyDescent="0.3">
      <c r="A30" t="s">
        <v>1300</v>
      </c>
      <c r="B30" t="s">
        <v>1301</v>
      </c>
    </row>
    <row r="31" spans="1:4" x14ac:dyDescent="0.3">
      <c r="A31" t="s">
        <v>1302</v>
      </c>
      <c r="B31" t="s">
        <v>1303</v>
      </c>
    </row>
    <row r="33" spans="1:4" x14ac:dyDescent="0.3">
      <c r="A33" t="s">
        <v>1029</v>
      </c>
      <c r="B33" t="s">
        <v>1304</v>
      </c>
      <c r="C33" t="s">
        <v>912</v>
      </c>
      <c r="D33" t="s">
        <v>248</v>
      </c>
    </row>
    <row r="34" spans="1:4" x14ac:dyDescent="0.3">
      <c r="A34" t="s">
        <v>58</v>
      </c>
      <c r="B34">
        <v>52.2</v>
      </c>
      <c r="C34">
        <v>23.1</v>
      </c>
      <c r="D34" t="s">
        <v>1305</v>
      </c>
    </row>
    <row r="35" spans="1:4" x14ac:dyDescent="0.3">
      <c r="A35" t="s">
        <v>59</v>
      </c>
      <c r="B35">
        <v>62.2</v>
      </c>
      <c r="C35">
        <v>24.8</v>
      </c>
      <c r="D35" t="s">
        <v>1306</v>
      </c>
    </row>
    <row r="36" spans="1:4" x14ac:dyDescent="0.3">
      <c r="A36" t="s">
        <v>1307</v>
      </c>
      <c r="B36" t="s">
        <v>1308</v>
      </c>
    </row>
    <row r="37" spans="1:4" x14ac:dyDescent="0.3">
      <c r="A37" t="s">
        <v>1309</v>
      </c>
      <c r="B37" t="s">
        <v>1310</v>
      </c>
    </row>
    <row r="39" spans="1:4" x14ac:dyDescent="0.3">
      <c r="A39" t="s">
        <v>1039</v>
      </c>
      <c r="B39" t="s">
        <v>1275</v>
      </c>
      <c r="C39" t="s">
        <v>1053</v>
      </c>
    </row>
    <row r="40" spans="1:4" x14ac:dyDescent="0.3">
      <c r="A40" t="s">
        <v>1311</v>
      </c>
      <c r="B40" t="s">
        <v>1312</v>
      </c>
      <c r="C40" t="s">
        <v>1313</v>
      </c>
    </row>
    <row r="41" spans="1:4" x14ac:dyDescent="0.3">
      <c r="A41" t="s">
        <v>1155</v>
      </c>
      <c r="B41" t="s">
        <v>1314</v>
      </c>
    </row>
    <row r="42" spans="1:4" x14ac:dyDescent="0.3">
      <c r="A42" t="s">
        <v>1315</v>
      </c>
      <c r="B42" t="s">
        <v>1316</v>
      </c>
    </row>
    <row r="43" spans="1:4" x14ac:dyDescent="0.3">
      <c r="A43" t="s">
        <v>1145</v>
      </c>
      <c r="B43" t="s">
        <v>1317</v>
      </c>
      <c r="C43" t="s">
        <v>1318</v>
      </c>
    </row>
    <row r="44" spans="1:4" x14ac:dyDescent="0.3">
      <c r="A44" t="s">
        <v>96</v>
      </c>
      <c r="B44" t="s">
        <v>1319</v>
      </c>
      <c r="C44" t="s">
        <v>1320</v>
      </c>
    </row>
    <row r="45" spans="1:4" x14ac:dyDescent="0.3">
      <c r="A45" t="s">
        <v>1321</v>
      </c>
      <c r="B45" t="s">
        <v>1322</v>
      </c>
      <c r="C45" t="s">
        <v>1323</v>
      </c>
    </row>
    <row r="47" spans="1:4" x14ac:dyDescent="0.3">
      <c r="A47" t="s">
        <v>1324</v>
      </c>
      <c r="B47" t="s">
        <v>238</v>
      </c>
    </row>
    <row r="48" spans="1:4" x14ac:dyDescent="0.3">
      <c r="A48" t="s">
        <v>1158</v>
      </c>
      <c r="B48" t="s">
        <v>1325</v>
      </c>
    </row>
    <row r="49" spans="1:4" x14ac:dyDescent="0.3">
      <c r="A49" t="s">
        <v>1326</v>
      </c>
      <c r="B49" t="s">
        <v>1327</v>
      </c>
    </row>
    <row r="50" spans="1:4" x14ac:dyDescent="0.3">
      <c r="A50" t="s">
        <v>1054</v>
      </c>
      <c r="B50" t="s">
        <v>1328</v>
      </c>
    </row>
    <row r="52" spans="1:4" x14ac:dyDescent="0.3">
      <c r="A52" t="s">
        <v>1061</v>
      </c>
      <c r="B52" t="s">
        <v>238</v>
      </c>
      <c r="C52" t="s">
        <v>274</v>
      </c>
    </row>
    <row r="53" spans="1:4" x14ac:dyDescent="0.3">
      <c r="A53" t="s">
        <v>1329</v>
      </c>
      <c r="B53" t="s">
        <v>1330</v>
      </c>
      <c r="C53" t="s">
        <v>1331</v>
      </c>
    </row>
    <row r="54" spans="1:4" x14ac:dyDescent="0.3">
      <c r="A54" t="s">
        <v>1332</v>
      </c>
      <c r="B54" t="s">
        <v>1333</v>
      </c>
      <c r="C54" t="s">
        <v>1334</v>
      </c>
    </row>
    <row r="55" spans="1:4" x14ac:dyDescent="0.3">
      <c r="A55" t="s">
        <v>1068</v>
      </c>
      <c r="B55" t="s">
        <v>1335</v>
      </c>
      <c r="C55" t="s">
        <v>1336</v>
      </c>
    </row>
    <row r="56" spans="1:4" x14ac:dyDescent="0.3">
      <c r="A56" t="s">
        <v>1169</v>
      </c>
      <c r="B56" t="s">
        <v>1170</v>
      </c>
      <c r="C56" t="s">
        <v>1337</v>
      </c>
    </row>
    <row r="57" spans="1:4" x14ac:dyDescent="0.3">
      <c r="A57" t="s">
        <v>1338</v>
      </c>
      <c r="B57" t="s">
        <v>1339</v>
      </c>
      <c r="C57" t="s">
        <v>1340</v>
      </c>
    </row>
    <row r="58" spans="1:4" x14ac:dyDescent="0.3">
      <c r="A58" t="s">
        <v>1341</v>
      </c>
      <c r="B58" t="s">
        <v>1342</v>
      </c>
      <c r="C58" t="s">
        <v>15</v>
      </c>
    </row>
    <row r="59" spans="1:4" x14ac:dyDescent="0.3">
      <c r="A59" t="s">
        <v>1343</v>
      </c>
      <c r="B59" t="s">
        <v>1344</v>
      </c>
      <c r="C59" t="s">
        <v>1345</v>
      </c>
    </row>
    <row r="61" spans="1:4" x14ac:dyDescent="0.3">
      <c r="A61" s="25" t="s">
        <v>281</v>
      </c>
      <c r="B61" s="25"/>
      <c r="C61" s="25"/>
      <c r="D61" s="25"/>
    </row>
    <row r="62" spans="1:4" x14ac:dyDescent="0.3">
      <c r="A62" t="s">
        <v>1346</v>
      </c>
    </row>
    <row r="63" spans="1:4" x14ac:dyDescent="0.3">
      <c r="A63" t="s">
        <v>1347</v>
      </c>
    </row>
    <row r="64" spans="1:4" x14ac:dyDescent="0.3">
      <c r="A64" t="s">
        <v>1348</v>
      </c>
    </row>
    <row r="65" spans="1:4" x14ac:dyDescent="0.3">
      <c r="A65" t="s">
        <v>1349</v>
      </c>
    </row>
    <row r="66" spans="1:4" x14ac:dyDescent="0.3">
      <c r="A66" t="s">
        <v>1350</v>
      </c>
    </row>
    <row r="67" spans="1:4" x14ac:dyDescent="0.3">
      <c r="A67" t="s">
        <v>1351</v>
      </c>
    </row>
    <row r="68" spans="1:4" x14ac:dyDescent="0.3">
      <c r="A68" t="s">
        <v>1352</v>
      </c>
    </row>
    <row r="69" spans="1:4" x14ac:dyDescent="0.3">
      <c r="A69" t="s">
        <v>1353</v>
      </c>
    </row>
    <row r="70" spans="1:4" x14ac:dyDescent="0.3">
      <c r="A70" t="s">
        <v>1354</v>
      </c>
    </row>
    <row r="71" spans="1:4" x14ac:dyDescent="0.3">
      <c r="A71" t="s">
        <v>1355</v>
      </c>
    </row>
    <row r="72" spans="1:4" x14ac:dyDescent="0.3">
      <c r="A72" t="s">
        <v>1356</v>
      </c>
    </row>
    <row r="73" spans="1:4" x14ac:dyDescent="0.3">
      <c r="A73" t="s">
        <v>1357</v>
      </c>
    </row>
    <row r="75" spans="1:4" x14ac:dyDescent="0.3">
      <c r="A75" s="25" t="s">
        <v>295</v>
      </c>
      <c r="B75" s="25"/>
      <c r="C75" s="25"/>
      <c r="D75" s="25"/>
    </row>
    <row r="76" spans="1:4" x14ac:dyDescent="0.3">
      <c r="A76" t="s">
        <v>296</v>
      </c>
      <c r="B76" t="s">
        <v>1358</v>
      </c>
      <c r="C76" t="s">
        <v>1192</v>
      </c>
    </row>
    <row r="77" spans="1:4" x14ac:dyDescent="0.3">
      <c r="A77" t="s">
        <v>299</v>
      </c>
      <c r="B77" t="s">
        <v>1359</v>
      </c>
    </row>
    <row r="78" spans="1:4" x14ac:dyDescent="0.3">
      <c r="A78" t="s">
        <v>301</v>
      </c>
      <c r="B78" t="s">
        <v>1360</v>
      </c>
    </row>
    <row r="79" spans="1:4" x14ac:dyDescent="0.3">
      <c r="A79" t="s">
        <v>303</v>
      </c>
      <c r="B79" t="s">
        <v>1361</v>
      </c>
      <c r="C79" t="s">
        <v>1091</v>
      </c>
    </row>
    <row r="80" spans="1:4" x14ac:dyDescent="0.3">
      <c r="A80" t="s">
        <v>299</v>
      </c>
      <c r="B80" t="s">
        <v>1362</v>
      </c>
    </row>
    <row r="81" spans="1:3" x14ac:dyDescent="0.3">
      <c r="A81" t="s">
        <v>301</v>
      </c>
      <c r="B81" t="s">
        <v>1363</v>
      </c>
    </row>
    <row r="82" spans="1:3" x14ac:dyDescent="0.3">
      <c r="A82" t="s">
        <v>307</v>
      </c>
      <c r="B82" t="s">
        <v>1364</v>
      </c>
      <c r="C82" t="s">
        <v>1087</v>
      </c>
    </row>
    <row r="83" spans="1:3" x14ac:dyDescent="0.3">
      <c r="A83" t="s">
        <v>299</v>
      </c>
      <c r="B83" t="s">
        <v>1365</v>
      </c>
    </row>
    <row r="84" spans="1:3" x14ac:dyDescent="0.3">
      <c r="A84" t="s">
        <v>301</v>
      </c>
      <c r="B84" t="s">
        <v>1366</v>
      </c>
    </row>
    <row r="85" spans="1:3" x14ac:dyDescent="0.3">
      <c r="A85" t="s">
        <v>311</v>
      </c>
      <c r="B85" t="s">
        <v>1367</v>
      </c>
      <c r="C85" t="s">
        <v>1099</v>
      </c>
    </row>
    <row r="86" spans="1:3" x14ac:dyDescent="0.3">
      <c r="A86" t="s">
        <v>299</v>
      </c>
      <c r="B86" t="s">
        <v>1368</v>
      </c>
    </row>
    <row r="87" spans="1:3" x14ac:dyDescent="0.3">
      <c r="A87" t="s">
        <v>301</v>
      </c>
      <c r="B87" t="s">
        <v>1369</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100"/>
  <sheetViews>
    <sheetView workbookViewId="0"/>
  </sheetViews>
  <sheetFormatPr defaultRowHeight="14.4" x14ac:dyDescent="0.3"/>
  <cols>
    <col min="1" max="1" width="46" customWidth="1"/>
    <col min="2" max="8" width="15" customWidth="1"/>
  </cols>
  <sheetData>
    <row r="1" spans="1:3" x14ac:dyDescent="0.3">
      <c r="A1" s="24" t="s">
        <v>181</v>
      </c>
      <c r="B1" t="s">
        <v>1370</v>
      </c>
    </row>
    <row r="2" spans="1:3" x14ac:dyDescent="0.3">
      <c r="A2" s="24" t="s">
        <v>183</v>
      </c>
      <c r="B2" t="s">
        <v>1371</v>
      </c>
    </row>
    <row r="4" spans="1:3" x14ac:dyDescent="0.3">
      <c r="A4" s="25" t="s">
        <v>185</v>
      </c>
      <c r="B4" s="25"/>
      <c r="C4" s="25"/>
    </row>
    <row r="6" spans="1:3" x14ac:dyDescent="0.3">
      <c r="A6" t="s">
        <v>1372</v>
      </c>
      <c r="B6" t="s">
        <v>238</v>
      </c>
    </row>
    <row r="7" spans="1:3" x14ac:dyDescent="0.3">
      <c r="A7" t="s">
        <v>1373</v>
      </c>
      <c r="B7" t="s">
        <v>1374</v>
      </c>
    </row>
    <row r="8" spans="1:3" x14ac:dyDescent="0.3">
      <c r="A8" t="s">
        <v>1375</v>
      </c>
      <c r="B8" t="s">
        <v>1376</v>
      </c>
    </row>
    <row r="9" spans="1:3" x14ac:dyDescent="0.3">
      <c r="A9" t="s">
        <v>1377</v>
      </c>
      <c r="B9" t="s">
        <v>1378</v>
      </c>
    </row>
    <row r="10" spans="1:3" x14ac:dyDescent="0.3">
      <c r="A10" t="s">
        <v>1379</v>
      </c>
      <c r="B10" t="s">
        <v>1316</v>
      </c>
    </row>
    <row r="11" spans="1:3" x14ac:dyDescent="0.3">
      <c r="A11" t="s">
        <v>1380</v>
      </c>
      <c r="B11" t="s">
        <v>1381</v>
      </c>
    </row>
    <row r="12" spans="1:3" x14ac:dyDescent="0.3">
      <c r="A12" t="s">
        <v>1382</v>
      </c>
      <c r="B12" t="s">
        <v>1376</v>
      </c>
    </row>
    <row r="13" spans="1:3" x14ac:dyDescent="0.3">
      <c r="A13" t="s">
        <v>1383</v>
      </c>
      <c r="B13" t="s">
        <v>1384</v>
      </c>
    </row>
    <row r="14" spans="1:3" x14ac:dyDescent="0.3">
      <c r="A14" t="s">
        <v>1385</v>
      </c>
      <c r="B14" t="s">
        <v>1386</v>
      </c>
    </row>
    <row r="15" spans="1:3" x14ac:dyDescent="0.3">
      <c r="A15" t="s">
        <v>1387</v>
      </c>
      <c r="B15" t="s">
        <v>1388</v>
      </c>
    </row>
    <row r="17" spans="1:3" x14ac:dyDescent="0.3">
      <c r="A17" t="s">
        <v>1389</v>
      </c>
      <c r="B17" t="s">
        <v>238</v>
      </c>
    </row>
    <row r="18" spans="1:3" x14ac:dyDescent="0.3">
      <c r="A18" t="s">
        <v>1390</v>
      </c>
      <c r="B18" t="s">
        <v>1391</v>
      </c>
    </row>
    <row r="19" spans="1:3" x14ac:dyDescent="0.3">
      <c r="A19" t="s">
        <v>1392</v>
      </c>
      <c r="B19" t="s">
        <v>1393</v>
      </c>
    </row>
    <row r="20" spans="1:3" x14ac:dyDescent="0.3">
      <c r="A20" t="s">
        <v>1394</v>
      </c>
      <c r="B20" t="s">
        <v>1393</v>
      </c>
    </row>
    <row r="21" spans="1:3" x14ac:dyDescent="0.3">
      <c r="A21" t="s">
        <v>1395</v>
      </c>
      <c r="B21" t="s">
        <v>1396</v>
      </c>
    </row>
    <row r="22" spans="1:3" x14ac:dyDescent="0.3">
      <c r="A22" t="s">
        <v>1397</v>
      </c>
      <c r="B22" t="s">
        <v>1156</v>
      </c>
    </row>
    <row r="24" spans="1:3" x14ac:dyDescent="0.3">
      <c r="A24" t="s">
        <v>1061</v>
      </c>
      <c r="B24" t="s">
        <v>238</v>
      </c>
      <c r="C24" t="s">
        <v>274</v>
      </c>
    </row>
    <row r="25" spans="1:3" x14ac:dyDescent="0.3">
      <c r="A25" t="s">
        <v>1398</v>
      </c>
      <c r="B25" t="s">
        <v>1399</v>
      </c>
      <c r="C25" t="s">
        <v>1400</v>
      </c>
    </row>
    <row r="26" spans="1:3" x14ac:dyDescent="0.3">
      <c r="A26" t="s">
        <v>1011</v>
      </c>
      <c r="B26" t="s">
        <v>1330</v>
      </c>
      <c r="C26" t="s">
        <v>1401</v>
      </c>
    </row>
    <row r="27" spans="1:3" x14ac:dyDescent="0.3">
      <c r="A27" t="s">
        <v>1402</v>
      </c>
      <c r="B27" t="s">
        <v>1403</v>
      </c>
      <c r="C27" t="s">
        <v>1404</v>
      </c>
    </row>
    <row r="29" spans="1:3" x14ac:dyDescent="0.3">
      <c r="A29" s="25" t="s">
        <v>281</v>
      </c>
      <c r="B29" s="25"/>
      <c r="C29" s="25"/>
    </row>
    <row r="30" spans="1:3" x14ac:dyDescent="0.3">
      <c r="A30" t="s">
        <v>1405</v>
      </c>
    </row>
    <row r="31" spans="1:3" x14ac:dyDescent="0.3">
      <c r="A31" t="s">
        <v>1406</v>
      </c>
    </row>
    <row r="32" spans="1:3" x14ac:dyDescent="0.3">
      <c r="A32" t="s">
        <v>1407</v>
      </c>
    </row>
    <row r="33" spans="1:3" x14ac:dyDescent="0.3">
      <c r="A33" t="s">
        <v>1408</v>
      </c>
    </row>
    <row r="34" spans="1:3" x14ac:dyDescent="0.3">
      <c r="A34" t="s">
        <v>1409</v>
      </c>
    </row>
    <row r="35" spans="1:3" x14ac:dyDescent="0.3">
      <c r="A35" t="s">
        <v>1410</v>
      </c>
    </row>
    <row r="36" spans="1:3" x14ac:dyDescent="0.3">
      <c r="A36" t="s">
        <v>1411</v>
      </c>
    </row>
    <row r="37" spans="1:3" x14ac:dyDescent="0.3">
      <c r="A37" t="s">
        <v>1412</v>
      </c>
    </row>
    <row r="38" spans="1:3" x14ac:dyDescent="0.3">
      <c r="A38" t="s">
        <v>1413</v>
      </c>
    </row>
    <row r="39" spans="1:3" x14ac:dyDescent="0.3">
      <c r="A39" t="s">
        <v>1414</v>
      </c>
    </row>
    <row r="40" spans="1:3" x14ac:dyDescent="0.3">
      <c r="A40" t="s">
        <v>1415</v>
      </c>
    </row>
    <row r="41" spans="1:3" x14ac:dyDescent="0.3">
      <c r="A41" t="s">
        <v>1416</v>
      </c>
    </row>
    <row r="43" spans="1:3" x14ac:dyDescent="0.3">
      <c r="A43" s="25" t="s">
        <v>295</v>
      </c>
      <c r="B43" s="25"/>
      <c r="C43" s="25"/>
    </row>
    <row r="44" spans="1:3" x14ac:dyDescent="0.3">
      <c r="A44" t="s">
        <v>296</v>
      </c>
      <c r="B44" t="s">
        <v>1417</v>
      </c>
      <c r="C44" t="s">
        <v>1418</v>
      </c>
    </row>
    <row r="45" spans="1:3" x14ac:dyDescent="0.3">
      <c r="A45" t="s">
        <v>299</v>
      </c>
      <c r="B45" t="s">
        <v>1419</v>
      </c>
    </row>
    <row r="46" spans="1:3" x14ac:dyDescent="0.3">
      <c r="A46" t="s">
        <v>301</v>
      </c>
      <c r="B46" t="s">
        <v>1420</v>
      </c>
    </row>
    <row r="47" spans="1:3" x14ac:dyDescent="0.3">
      <c r="A47" t="s">
        <v>303</v>
      </c>
      <c r="B47" t="s">
        <v>1421</v>
      </c>
      <c r="C47" t="s">
        <v>1418</v>
      </c>
    </row>
    <row r="48" spans="1:3" x14ac:dyDescent="0.3">
      <c r="A48" t="s">
        <v>299</v>
      </c>
      <c r="B48" t="s">
        <v>1422</v>
      </c>
    </row>
    <row r="49" spans="1:3" x14ac:dyDescent="0.3">
      <c r="A49" t="s">
        <v>301</v>
      </c>
      <c r="B49" t="s">
        <v>1423</v>
      </c>
    </row>
    <row r="50" spans="1:3" x14ac:dyDescent="0.3">
      <c r="A50" t="s">
        <v>307</v>
      </c>
      <c r="B50" t="s">
        <v>1424</v>
      </c>
      <c r="C50" t="s">
        <v>1418</v>
      </c>
    </row>
    <row r="51" spans="1:3" x14ac:dyDescent="0.3">
      <c r="A51" t="s">
        <v>299</v>
      </c>
      <c r="B51" t="s">
        <v>1425</v>
      </c>
    </row>
    <row r="52" spans="1:3" x14ac:dyDescent="0.3">
      <c r="A52" t="s">
        <v>301</v>
      </c>
      <c r="B52" t="s">
        <v>1426</v>
      </c>
    </row>
    <row r="53" spans="1:3" x14ac:dyDescent="0.3">
      <c r="A53" t="s">
        <v>311</v>
      </c>
      <c r="B53" t="s">
        <v>1427</v>
      </c>
      <c r="C53" t="s">
        <v>1418</v>
      </c>
    </row>
    <row r="54" spans="1:3" x14ac:dyDescent="0.3">
      <c r="A54" t="s">
        <v>299</v>
      </c>
      <c r="B54" t="s">
        <v>1428</v>
      </c>
    </row>
    <row r="55" spans="1:3" x14ac:dyDescent="0.3">
      <c r="A55" t="s">
        <v>301</v>
      </c>
      <c r="B55" t="s">
        <v>1429</v>
      </c>
    </row>
    <row r="56" spans="1:3" x14ac:dyDescent="0.3">
      <c r="A56" t="s">
        <v>316</v>
      </c>
      <c r="B56" t="s">
        <v>1430</v>
      </c>
      <c r="C56" t="s">
        <v>1418</v>
      </c>
    </row>
    <row r="57" spans="1:3" x14ac:dyDescent="0.3">
      <c r="A57" t="s">
        <v>299</v>
      </c>
      <c r="B57" t="s">
        <v>1431</v>
      </c>
    </row>
    <row r="58" spans="1:3" x14ac:dyDescent="0.3">
      <c r="A58" t="s">
        <v>301</v>
      </c>
      <c r="B58" t="s">
        <v>1432</v>
      </c>
    </row>
    <row r="59" spans="1:3" x14ac:dyDescent="0.3">
      <c r="A59" t="s">
        <v>320</v>
      </c>
      <c r="B59" t="s">
        <v>1433</v>
      </c>
      <c r="C59" t="s">
        <v>1418</v>
      </c>
    </row>
    <row r="60" spans="1:3" x14ac:dyDescent="0.3">
      <c r="A60" t="s">
        <v>299</v>
      </c>
      <c r="B60" t="s">
        <v>1434</v>
      </c>
    </row>
    <row r="61" spans="1:3" x14ac:dyDescent="0.3">
      <c r="A61" t="s">
        <v>301</v>
      </c>
      <c r="B61" t="s">
        <v>1435</v>
      </c>
    </row>
    <row r="62" spans="1:3" x14ac:dyDescent="0.3">
      <c r="A62" t="s">
        <v>324</v>
      </c>
      <c r="B62" t="s">
        <v>1436</v>
      </c>
      <c r="C62" t="s">
        <v>1418</v>
      </c>
    </row>
    <row r="63" spans="1:3" x14ac:dyDescent="0.3">
      <c r="A63" t="s">
        <v>299</v>
      </c>
      <c r="B63" t="s">
        <v>1437</v>
      </c>
    </row>
    <row r="64" spans="1:3" x14ac:dyDescent="0.3">
      <c r="A64" t="s">
        <v>301</v>
      </c>
      <c r="B64" t="s">
        <v>1438</v>
      </c>
    </row>
    <row r="65" spans="1:3" x14ac:dyDescent="0.3">
      <c r="A65" t="s">
        <v>328</v>
      </c>
      <c r="B65" t="s">
        <v>1439</v>
      </c>
      <c r="C65" t="s">
        <v>1418</v>
      </c>
    </row>
    <row r="66" spans="1:3" x14ac:dyDescent="0.3">
      <c r="A66" t="s">
        <v>299</v>
      </c>
      <c r="B66" t="s">
        <v>1440</v>
      </c>
    </row>
    <row r="67" spans="1:3" x14ac:dyDescent="0.3">
      <c r="A67" t="s">
        <v>301</v>
      </c>
      <c r="B67" t="s">
        <v>1441</v>
      </c>
    </row>
    <row r="68" spans="1:3" x14ac:dyDescent="0.3">
      <c r="A68" t="s">
        <v>333</v>
      </c>
      <c r="B68" t="s">
        <v>1442</v>
      </c>
      <c r="C68" t="s">
        <v>1418</v>
      </c>
    </row>
    <row r="69" spans="1:3" x14ac:dyDescent="0.3">
      <c r="A69" t="s">
        <v>299</v>
      </c>
      <c r="B69" t="s">
        <v>1443</v>
      </c>
    </row>
    <row r="70" spans="1:3" x14ac:dyDescent="0.3">
      <c r="A70" t="s">
        <v>301</v>
      </c>
      <c r="B70" t="s">
        <v>1444</v>
      </c>
    </row>
    <row r="71" spans="1:3" x14ac:dyDescent="0.3">
      <c r="A71" t="s">
        <v>337</v>
      </c>
      <c r="B71" t="s">
        <v>1445</v>
      </c>
      <c r="C71" t="s">
        <v>1418</v>
      </c>
    </row>
    <row r="72" spans="1:3" x14ac:dyDescent="0.3">
      <c r="A72" t="s">
        <v>299</v>
      </c>
      <c r="B72" t="s">
        <v>1446</v>
      </c>
    </row>
    <row r="73" spans="1:3" x14ac:dyDescent="0.3">
      <c r="A73" t="s">
        <v>301</v>
      </c>
      <c r="B73" t="s">
        <v>1447</v>
      </c>
    </row>
    <row r="74" spans="1:3" x14ac:dyDescent="0.3">
      <c r="A74" t="s">
        <v>341</v>
      </c>
      <c r="B74" t="s">
        <v>736</v>
      </c>
      <c r="C74" t="s">
        <v>1418</v>
      </c>
    </row>
    <row r="75" spans="1:3" x14ac:dyDescent="0.3">
      <c r="A75" t="s">
        <v>299</v>
      </c>
      <c r="B75" t="s">
        <v>1448</v>
      </c>
    </row>
    <row r="76" spans="1:3" x14ac:dyDescent="0.3">
      <c r="A76" t="s">
        <v>301</v>
      </c>
      <c r="B76" t="s">
        <v>1449</v>
      </c>
    </row>
    <row r="77" spans="1:3" x14ac:dyDescent="0.3">
      <c r="A77" t="s">
        <v>346</v>
      </c>
      <c r="B77" t="s">
        <v>1450</v>
      </c>
      <c r="C77" t="s">
        <v>1418</v>
      </c>
    </row>
    <row r="78" spans="1:3" x14ac:dyDescent="0.3">
      <c r="A78" t="s">
        <v>299</v>
      </c>
      <c r="B78" t="s">
        <v>1451</v>
      </c>
    </row>
    <row r="79" spans="1:3" x14ac:dyDescent="0.3">
      <c r="A79" t="s">
        <v>301</v>
      </c>
      <c r="B79" t="s">
        <v>1452</v>
      </c>
    </row>
    <row r="80" spans="1:3" x14ac:dyDescent="0.3">
      <c r="A80" t="s">
        <v>1453</v>
      </c>
      <c r="B80" t="s">
        <v>1454</v>
      </c>
      <c r="C80" t="s">
        <v>1418</v>
      </c>
    </row>
    <row r="81" spans="1:3" x14ac:dyDescent="0.3">
      <c r="A81" t="s">
        <v>299</v>
      </c>
      <c r="B81" t="s">
        <v>1455</v>
      </c>
    </row>
    <row r="82" spans="1:3" x14ac:dyDescent="0.3">
      <c r="A82" t="s">
        <v>301</v>
      </c>
      <c r="B82" t="s">
        <v>1456</v>
      </c>
    </row>
    <row r="83" spans="1:3" x14ac:dyDescent="0.3">
      <c r="A83" t="s">
        <v>1457</v>
      </c>
      <c r="B83" t="s">
        <v>1458</v>
      </c>
      <c r="C83" t="s">
        <v>1418</v>
      </c>
    </row>
    <row r="84" spans="1:3" x14ac:dyDescent="0.3">
      <c r="A84" t="s">
        <v>299</v>
      </c>
      <c r="B84" t="s">
        <v>1459</v>
      </c>
    </row>
    <row r="85" spans="1:3" x14ac:dyDescent="0.3">
      <c r="A85" t="s">
        <v>301</v>
      </c>
      <c r="B85" t="s">
        <v>1460</v>
      </c>
    </row>
    <row r="86" spans="1:3" x14ac:dyDescent="0.3">
      <c r="A86" t="s">
        <v>1461</v>
      </c>
      <c r="B86" t="s">
        <v>1462</v>
      </c>
      <c r="C86" t="s">
        <v>1418</v>
      </c>
    </row>
    <row r="87" spans="1:3" x14ac:dyDescent="0.3">
      <c r="A87" t="s">
        <v>299</v>
      </c>
      <c r="B87" t="s">
        <v>1463</v>
      </c>
    </row>
    <row r="88" spans="1:3" x14ac:dyDescent="0.3">
      <c r="A88" t="s">
        <v>301</v>
      </c>
      <c r="B88" t="s">
        <v>1464</v>
      </c>
    </row>
    <row r="89" spans="1:3" x14ac:dyDescent="0.3">
      <c r="A89" t="s">
        <v>1465</v>
      </c>
      <c r="B89" t="s">
        <v>1466</v>
      </c>
      <c r="C89" t="s">
        <v>1418</v>
      </c>
    </row>
    <row r="90" spans="1:3" x14ac:dyDescent="0.3">
      <c r="A90" t="s">
        <v>299</v>
      </c>
      <c r="B90" t="s">
        <v>1467</v>
      </c>
    </row>
    <row r="91" spans="1:3" x14ac:dyDescent="0.3">
      <c r="A91" t="s">
        <v>301</v>
      </c>
      <c r="B91" t="s">
        <v>1468</v>
      </c>
    </row>
    <row r="92" spans="1:3" x14ac:dyDescent="0.3">
      <c r="A92" t="s">
        <v>1469</v>
      </c>
      <c r="B92" t="s">
        <v>1470</v>
      </c>
      <c r="C92" t="s">
        <v>1418</v>
      </c>
    </row>
    <row r="93" spans="1:3" x14ac:dyDescent="0.3">
      <c r="A93" t="s">
        <v>299</v>
      </c>
      <c r="B93" t="s">
        <v>1471</v>
      </c>
    </row>
    <row r="94" spans="1:3" x14ac:dyDescent="0.3">
      <c r="A94" t="s">
        <v>301</v>
      </c>
      <c r="B94" t="s">
        <v>1472</v>
      </c>
    </row>
    <row r="95" spans="1:3" x14ac:dyDescent="0.3">
      <c r="A95" t="s">
        <v>1473</v>
      </c>
      <c r="B95" t="s">
        <v>1474</v>
      </c>
      <c r="C95" t="s">
        <v>1418</v>
      </c>
    </row>
    <row r="96" spans="1:3" x14ac:dyDescent="0.3">
      <c r="A96" t="s">
        <v>299</v>
      </c>
      <c r="B96" t="s">
        <v>1475</v>
      </c>
    </row>
    <row r="97" spans="1:3" x14ac:dyDescent="0.3">
      <c r="A97" t="s">
        <v>301</v>
      </c>
      <c r="B97" t="s">
        <v>1476</v>
      </c>
    </row>
    <row r="98" spans="1:3" x14ac:dyDescent="0.3">
      <c r="A98" t="s">
        <v>1477</v>
      </c>
      <c r="B98" t="s">
        <v>1478</v>
      </c>
      <c r="C98" t="s">
        <v>1418</v>
      </c>
    </row>
    <row r="99" spans="1:3" x14ac:dyDescent="0.3">
      <c r="A99" t="s">
        <v>299</v>
      </c>
      <c r="B99" t="s">
        <v>1479</v>
      </c>
    </row>
    <row r="100" spans="1:3" x14ac:dyDescent="0.3">
      <c r="A100" t="s">
        <v>301</v>
      </c>
      <c r="B100" t="s">
        <v>1480</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117"/>
  <sheetViews>
    <sheetView workbookViewId="0"/>
  </sheetViews>
  <sheetFormatPr defaultRowHeight="14.4" x14ac:dyDescent="0.3"/>
  <cols>
    <col min="1" max="1" width="46" customWidth="1"/>
    <col min="2" max="8" width="15" customWidth="1"/>
  </cols>
  <sheetData>
    <row r="1" spans="1:4" x14ac:dyDescent="0.3">
      <c r="A1" s="24" t="s">
        <v>181</v>
      </c>
      <c r="B1" t="s">
        <v>1481</v>
      </c>
    </row>
    <row r="2" spans="1:4" x14ac:dyDescent="0.3">
      <c r="A2" s="24" t="s">
        <v>183</v>
      </c>
      <c r="B2" t="s">
        <v>1482</v>
      </c>
    </row>
    <row r="4" spans="1:4" x14ac:dyDescent="0.3">
      <c r="A4" s="25" t="s">
        <v>185</v>
      </c>
      <c r="B4" s="25"/>
      <c r="C4" s="25"/>
      <c r="D4" s="25"/>
    </row>
    <row r="6" spans="1:4" x14ac:dyDescent="0.3">
      <c r="A6" t="s">
        <v>186</v>
      </c>
      <c r="B6" t="s">
        <v>187</v>
      </c>
      <c r="C6" t="s">
        <v>188</v>
      </c>
      <c r="D6" t="s">
        <v>189</v>
      </c>
    </row>
    <row r="7" spans="1:4" x14ac:dyDescent="0.3">
      <c r="A7" t="s">
        <v>1483</v>
      </c>
      <c r="B7">
        <v>24.1</v>
      </c>
      <c r="C7">
        <v>35.700000000000003</v>
      </c>
      <c r="D7" t="s">
        <v>1484</v>
      </c>
    </row>
    <row r="8" spans="1:4" x14ac:dyDescent="0.3">
      <c r="A8" t="s">
        <v>1485</v>
      </c>
      <c r="B8">
        <v>17.100000000000001</v>
      </c>
      <c r="C8">
        <v>28.4</v>
      </c>
      <c r="D8" t="s">
        <v>1486</v>
      </c>
    </row>
    <row r="9" spans="1:4" x14ac:dyDescent="0.3">
      <c r="A9" t="s">
        <v>1487</v>
      </c>
      <c r="B9">
        <v>7.1</v>
      </c>
      <c r="C9">
        <v>7.3</v>
      </c>
      <c r="D9" t="s">
        <v>1488</v>
      </c>
    </row>
    <row r="10" spans="1:4" x14ac:dyDescent="0.3">
      <c r="A10" t="s">
        <v>1489</v>
      </c>
      <c r="B10">
        <v>6.8</v>
      </c>
      <c r="C10">
        <v>6.9</v>
      </c>
      <c r="D10" t="s">
        <v>1490</v>
      </c>
    </row>
    <row r="11" spans="1:4" x14ac:dyDescent="0.3">
      <c r="A11" t="s">
        <v>1491</v>
      </c>
      <c r="B11">
        <v>212</v>
      </c>
      <c r="C11">
        <v>224</v>
      </c>
      <c r="D11" t="s">
        <v>1492</v>
      </c>
    </row>
    <row r="12" spans="1:4" x14ac:dyDescent="0.3">
      <c r="A12" t="s">
        <v>1493</v>
      </c>
      <c r="B12" t="s">
        <v>1494</v>
      </c>
      <c r="C12" t="s">
        <v>1495</v>
      </c>
      <c r="D12" t="s">
        <v>1496</v>
      </c>
    </row>
    <row r="14" spans="1:4" x14ac:dyDescent="0.3">
      <c r="A14" t="s">
        <v>203</v>
      </c>
      <c r="B14" t="s">
        <v>187</v>
      </c>
      <c r="C14" t="s">
        <v>188</v>
      </c>
      <c r="D14" t="s">
        <v>204</v>
      </c>
    </row>
    <row r="15" spans="1:4" x14ac:dyDescent="0.3">
      <c r="A15" t="s">
        <v>1497</v>
      </c>
      <c r="B15">
        <v>10</v>
      </c>
      <c r="C15">
        <v>17.399999999999999</v>
      </c>
      <c r="D15" t="s">
        <v>1498</v>
      </c>
    </row>
    <row r="16" spans="1:4" x14ac:dyDescent="0.3">
      <c r="A16" t="s">
        <v>1499</v>
      </c>
      <c r="B16" t="s">
        <v>886</v>
      </c>
      <c r="C16" t="s">
        <v>1500</v>
      </c>
      <c r="D16" t="s">
        <v>1501</v>
      </c>
    </row>
    <row r="17" spans="1:4" x14ac:dyDescent="0.3">
      <c r="A17" t="s">
        <v>1502</v>
      </c>
      <c r="B17" t="s">
        <v>1503</v>
      </c>
      <c r="C17" t="s">
        <v>1504</v>
      </c>
      <c r="D17" t="s">
        <v>1505</v>
      </c>
    </row>
    <row r="19" spans="1:4" x14ac:dyDescent="0.3">
      <c r="A19" t="s">
        <v>216</v>
      </c>
      <c r="B19" t="s">
        <v>187</v>
      </c>
      <c r="C19" t="s">
        <v>188</v>
      </c>
      <c r="D19" t="s">
        <v>189</v>
      </c>
    </row>
    <row r="20" spans="1:4" x14ac:dyDescent="0.3">
      <c r="A20" t="s">
        <v>1506</v>
      </c>
      <c r="B20">
        <v>7</v>
      </c>
      <c r="C20">
        <v>11.2</v>
      </c>
      <c r="D20" t="s">
        <v>1507</v>
      </c>
    </row>
    <row r="21" spans="1:4" x14ac:dyDescent="0.3">
      <c r="A21" t="s">
        <v>1508</v>
      </c>
      <c r="B21">
        <v>4.4000000000000004</v>
      </c>
      <c r="C21">
        <v>5.7</v>
      </c>
      <c r="D21" t="s">
        <v>631</v>
      </c>
    </row>
    <row r="22" spans="1:4" x14ac:dyDescent="0.3">
      <c r="A22" t="s">
        <v>1509</v>
      </c>
      <c r="B22" t="s">
        <v>1510</v>
      </c>
      <c r="C22" t="s">
        <v>1511</v>
      </c>
      <c r="D22" t="s">
        <v>1512</v>
      </c>
    </row>
    <row r="24" spans="1:4" x14ac:dyDescent="0.3">
      <c r="A24" t="s">
        <v>223</v>
      </c>
      <c r="B24" t="s">
        <v>187</v>
      </c>
      <c r="C24" t="s">
        <v>188</v>
      </c>
      <c r="D24" t="s">
        <v>204</v>
      </c>
    </row>
    <row r="25" spans="1:4" x14ac:dyDescent="0.3">
      <c r="A25" t="s">
        <v>1513</v>
      </c>
      <c r="B25">
        <v>-1.1000000000000001</v>
      </c>
      <c r="C25">
        <v>1.7</v>
      </c>
      <c r="D25" t="s">
        <v>1514</v>
      </c>
    </row>
    <row r="26" spans="1:4" x14ac:dyDescent="0.3">
      <c r="A26" t="s">
        <v>1515</v>
      </c>
      <c r="B26" t="s">
        <v>197</v>
      </c>
      <c r="C26">
        <v>0.02</v>
      </c>
      <c r="D26" t="s">
        <v>197</v>
      </c>
    </row>
    <row r="27" spans="1:4" x14ac:dyDescent="0.3">
      <c r="A27" t="s">
        <v>1516</v>
      </c>
      <c r="B27">
        <v>0.60599999999999998</v>
      </c>
      <c r="C27">
        <v>3</v>
      </c>
      <c r="D27" t="s">
        <v>1517</v>
      </c>
    </row>
    <row r="28" spans="1:4" x14ac:dyDescent="0.3">
      <c r="A28" t="s">
        <v>1518</v>
      </c>
      <c r="B28">
        <v>0.15</v>
      </c>
      <c r="C28" t="s">
        <v>1519</v>
      </c>
      <c r="D28" t="s">
        <v>1520</v>
      </c>
    </row>
    <row r="29" spans="1:4" x14ac:dyDescent="0.3">
      <c r="A29" t="s">
        <v>1521</v>
      </c>
      <c r="B29" t="s">
        <v>1522</v>
      </c>
      <c r="C29" t="s">
        <v>1523</v>
      </c>
      <c r="D29" t="s">
        <v>1524</v>
      </c>
    </row>
    <row r="30" spans="1:4" x14ac:dyDescent="0.3">
      <c r="A30" t="s">
        <v>1525</v>
      </c>
      <c r="B30" t="s">
        <v>197</v>
      </c>
      <c r="C30" t="s">
        <v>1526</v>
      </c>
      <c r="D30" t="s">
        <v>197</v>
      </c>
    </row>
    <row r="31" spans="1:4" x14ac:dyDescent="0.3">
      <c r="A31" t="s">
        <v>1527</v>
      </c>
      <c r="B31" t="s">
        <v>197</v>
      </c>
      <c r="C31">
        <v>71.900000000000006</v>
      </c>
      <c r="D31" t="s">
        <v>197</v>
      </c>
    </row>
    <row r="32" spans="1:4" x14ac:dyDescent="0.3">
      <c r="A32" t="s">
        <v>1528</v>
      </c>
      <c r="B32" t="s">
        <v>197</v>
      </c>
      <c r="C32">
        <v>76.5</v>
      </c>
      <c r="D32" t="s">
        <v>197</v>
      </c>
    </row>
    <row r="34" spans="1:4" x14ac:dyDescent="0.3">
      <c r="A34" t="s">
        <v>1529</v>
      </c>
      <c r="B34" t="s">
        <v>238</v>
      </c>
    </row>
    <row r="35" spans="1:4" x14ac:dyDescent="0.3">
      <c r="A35" t="s">
        <v>1530</v>
      </c>
      <c r="B35" t="s">
        <v>1531</v>
      </c>
    </row>
    <row r="36" spans="1:4" x14ac:dyDescent="0.3">
      <c r="A36" t="s">
        <v>1532</v>
      </c>
      <c r="B36" t="s">
        <v>1533</v>
      </c>
    </row>
    <row r="38" spans="1:4" x14ac:dyDescent="0.3">
      <c r="A38" t="s">
        <v>245</v>
      </c>
      <c r="B38" t="s">
        <v>912</v>
      </c>
      <c r="C38" t="s">
        <v>1534</v>
      </c>
      <c r="D38" t="s">
        <v>248</v>
      </c>
    </row>
    <row r="39" spans="1:4" x14ac:dyDescent="0.3">
      <c r="A39" t="s">
        <v>249</v>
      </c>
      <c r="B39">
        <v>23.1</v>
      </c>
      <c r="C39">
        <v>43.2</v>
      </c>
      <c r="D39" t="s">
        <v>1535</v>
      </c>
    </row>
    <row r="40" spans="1:4" x14ac:dyDescent="0.3">
      <c r="A40" t="s">
        <v>251</v>
      </c>
      <c r="B40">
        <v>24.8</v>
      </c>
      <c r="C40">
        <v>64.900000000000006</v>
      </c>
      <c r="D40" t="s">
        <v>1536</v>
      </c>
    </row>
    <row r="41" spans="1:4" x14ac:dyDescent="0.3">
      <c r="A41" t="s">
        <v>1537</v>
      </c>
      <c r="B41">
        <v>1</v>
      </c>
      <c r="C41">
        <v>3.4</v>
      </c>
      <c r="D41" t="s">
        <v>1538</v>
      </c>
    </row>
    <row r="42" spans="1:4" x14ac:dyDescent="0.3">
      <c r="A42" t="s">
        <v>101</v>
      </c>
      <c r="B42" t="s">
        <v>197</v>
      </c>
      <c r="C42" t="s">
        <v>1539</v>
      </c>
      <c r="D42" t="s">
        <v>197</v>
      </c>
    </row>
    <row r="44" spans="1:4" x14ac:dyDescent="0.3">
      <c r="A44" t="s">
        <v>254</v>
      </c>
      <c r="B44" t="s">
        <v>238</v>
      </c>
    </row>
    <row r="45" spans="1:4" x14ac:dyDescent="0.3">
      <c r="A45" t="s">
        <v>1540</v>
      </c>
      <c r="B45" t="s">
        <v>1541</v>
      </c>
    </row>
    <row r="46" spans="1:4" x14ac:dyDescent="0.3">
      <c r="A46" t="s">
        <v>1542</v>
      </c>
      <c r="B46" t="s">
        <v>1543</v>
      </c>
    </row>
    <row r="47" spans="1:4" x14ac:dyDescent="0.3">
      <c r="A47" t="s">
        <v>1544</v>
      </c>
      <c r="B47" t="s">
        <v>1545</v>
      </c>
    </row>
    <row r="48" spans="1:4" x14ac:dyDescent="0.3">
      <c r="A48" t="s">
        <v>799</v>
      </c>
      <c r="B48" t="s">
        <v>1546</v>
      </c>
    </row>
    <row r="49" spans="1:4" x14ac:dyDescent="0.3">
      <c r="A49" t="s">
        <v>1547</v>
      </c>
      <c r="B49" t="s">
        <v>1548</v>
      </c>
    </row>
    <row r="50" spans="1:4" x14ac:dyDescent="0.3">
      <c r="A50" t="s">
        <v>1549</v>
      </c>
      <c r="B50" t="s">
        <v>1550</v>
      </c>
    </row>
    <row r="51" spans="1:4" x14ac:dyDescent="0.3">
      <c r="A51" t="s">
        <v>1551</v>
      </c>
      <c r="B51" t="s">
        <v>1552</v>
      </c>
    </row>
    <row r="52" spans="1:4" x14ac:dyDescent="0.3">
      <c r="A52" t="s">
        <v>1553</v>
      </c>
      <c r="B52" t="s">
        <v>1554</v>
      </c>
    </row>
    <row r="53" spans="1:4" x14ac:dyDescent="0.3">
      <c r="A53" t="s">
        <v>1555</v>
      </c>
      <c r="B53" t="s">
        <v>1556</v>
      </c>
    </row>
    <row r="55" spans="1:4" x14ac:dyDescent="0.3">
      <c r="A55" t="s">
        <v>273</v>
      </c>
      <c r="B55" t="s">
        <v>238</v>
      </c>
      <c r="C55" t="s">
        <v>274</v>
      </c>
    </row>
    <row r="56" spans="1:4" x14ac:dyDescent="0.3">
      <c r="A56" t="s">
        <v>1557</v>
      </c>
      <c r="B56" t="s">
        <v>1558</v>
      </c>
      <c r="C56" t="s">
        <v>21</v>
      </c>
    </row>
    <row r="57" spans="1:4" x14ac:dyDescent="0.3">
      <c r="A57" t="s">
        <v>100</v>
      </c>
      <c r="B57" t="s">
        <v>1559</v>
      </c>
      <c r="C57" t="s">
        <v>1340</v>
      </c>
    </row>
    <row r="58" spans="1:4" x14ac:dyDescent="0.3">
      <c r="A58" t="s">
        <v>1560</v>
      </c>
      <c r="B58" t="s">
        <v>1561</v>
      </c>
      <c r="C58" t="s">
        <v>1562</v>
      </c>
    </row>
    <row r="59" spans="1:4" x14ac:dyDescent="0.3">
      <c r="A59" t="s">
        <v>1563</v>
      </c>
      <c r="B59" t="s">
        <v>1564</v>
      </c>
      <c r="C59" t="s">
        <v>188</v>
      </c>
    </row>
    <row r="60" spans="1:4" x14ac:dyDescent="0.3">
      <c r="A60" t="s">
        <v>1565</v>
      </c>
      <c r="B60" t="s">
        <v>1566</v>
      </c>
      <c r="C60" t="s">
        <v>1340</v>
      </c>
    </row>
    <row r="61" spans="1:4" x14ac:dyDescent="0.3">
      <c r="A61" t="s">
        <v>1567</v>
      </c>
      <c r="B61" t="s">
        <v>1568</v>
      </c>
      <c r="C61" t="s">
        <v>1569</v>
      </c>
    </row>
    <row r="63" spans="1:4" x14ac:dyDescent="0.3">
      <c r="A63" s="25" t="s">
        <v>281</v>
      </c>
      <c r="B63" s="25"/>
      <c r="C63" s="25"/>
      <c r="D63" s="25"/>
    </row>
    <row r="64" spans="1:4" x14ac:dyDescent="0.3">
      <c r="A64" t="s">
        <v>1570</v>
      </c>
    </row>
    <row r="65" spans="1:4" x14ac:dyDescent="0.3">
      <c r="A65" t="s">
        <v>1571</v>
      </c>
    </row>
    <row r="66" spans="1:4" x14ac:dyDescent="0.3">
      <c r="A66" t="s">
        <v>1572</v>
      </c>
    </row>
    <row r="67" spans="1:4" x14ac:dyDescent="0.3">
      <c r="A67" t="s">
        <v>1573</v>
      </c>
    </row>
    <row r="68" spans="1:4" x14ac:dyDescent="0.3">
      <c r="A68" t="s">
        <v>1574</v>
      </c>
    </row>
    <row r="69" spans="1:4" x14ac:dyDescent="0.3">
      <c r="A69" t="s">
        <v>1575</v>
      </c>
    </row>
    <row r="70" spans="1:4" x14ac:dyDescent="0.3">
      <c r="A70" t="s">
        <v>1576</v>
      </c>
    </row>
    <row r="71" spans="1:4" x14ac:dyDescent="0.3">
      <c r="A71" t="s">
        <v>1577</v>
      </c>
    </row>
    <row r="72" spans="1:4" x14ac:dyDescent="0.3">
      <c r="A72" t="s">
        <v>1578</v>
      </c>
    </row>
    <row r="73" spans="1:4" x14ac:dyDescent="0.3">
      <c r="A73" t="s">
        <v>1579</v>
      </c>
    </row>
    <row r="74" spans="1:4" x14ac:dyDescent="0.3">
      <c r="A74" t="s">
        <v>1580</v>
      </c>
    </row>
    <row r="75" spans="1:4" x14ac:dyDescent="0.3">
      <c r="A75" t="s">
        <v>1581</v>
      </c>
    </row>
    <row r="76" spans="1:4" x14ac:dyDescent="0.3">
      <c r="A76" t="s">
        <v>1582</v>
      </c>
    </row>
    <row r="78" spans="1:4" x14ac:dyDescent="0.3">
      <c r="A78" s="25" t="s">
        <v>295</v>
      </c>
      <c r="B78" s="25"/>
      <c r="C78" s="25"/>
      <c r="D78" s="25"/>
    </row>
    <row r="79" spans="1:4" x14ac:dyDescent="0.3">
      <c r="A79" t="s">
        <v>296</v>
      </c>
      <c r="B79" t="s">
        <v>1583</v>
      </c>
      <c r="C79" t="s">
        <v>727</v>
      </c>
    </row>
    <row r="80" spans="1:4" x14ac:dyDescent="0.3">
      <c r="A80" t="s">
        <v>299</v>
      </c>
      <c r="B80" t="s">
        <v>1584</v>
      </c>
    </row>
    <row r="81" spans="1:3" x14ac:dyDescent="0.3">
      <c r="A81" t="s">
        <v>301</v>
      </c>
      <c r="B81" t="s">
        <v>1585</v>
      </c>
    </row>
    <row r="82" spans="1:3" x14ac:dyDescent="0.3">
      <c r="A82" t="s">
        <v>303</v>
      </c>
      <c r="B82" t="s">
        <v>1586</v>
      </c>
      <c r="C82" t="s">
        <v>727</v>
      </c>
    </row>
    <row r="83" spans="1:3" x14ac:dyDescent="0.3">
      <c r="A83" t="s">
        <v>299</v>
      </c>
      <c r="B83" t="s">
        <v>1587</v>
      </c>
    </row>
    <row r="84" spans="1:3" x14ac:dyDescent="0.3">
      <c r="A84" t="s">
        <v>301</v>
      </c>
      <c r="B84" t="s">
        <v>1588</v>
      </c>
    </row>
    <row r="85" spans="1:3" x14ac:dyDescent="0.3">
      <c r="A85" t="s">
        <v>307</v>
      </c>
      <c r="B85" t="s">
        <v>1589</v>
      </c>
      <c r="C85" t="s">
        <v>727</v>
      </c>
    </row>
    <row r="86" spans="1:3" x14ac:dyDescent="0.3">
      <c r="A86" t="s">
        <v>299</v>
      </c>
      <c r="B86" t="s">
        <v>1590</v>
      </c>
    </row>
    <row r="87" spans="1:3" x14ac:dyDescent="0.3">
      <c r="A87" t="s">
        <v>301</v>
      </c>
      <c r="B87" t="s">
        <v>1591</v>
      </c>
    </row>
    <row r="88" spans="1:3" x14ac:dyDescent="0.3">
      <c r="A88" t="s">
        <v>311</v>
      </c>
      <c r="B88" t="s">
        <v>1592</v>
      </c>
      <c r="C88" t="s">
        <v>727</v>
      </c>
    </row>
    <row r="89" spans="1:3" x14ac:dyDescent="0.3">
      <c r="A89" t="s">
        <v>299</v>
      </c>
      <c r="B89" t="s">
        <v>1593</v>
      </c>
    </row>
    <row r="90" spans="1:3" x14ac:dyDescent="0.3">
      <c r="A90" t="s">
        <v>301</v>
      </c>
      <c r="B90" t="s">
        <v>1594</v>
      </c>
    </row>
    <row r="91" spans="1:3" x14ac:dyDescent="0.3">
      <c r="A91" t="s">
        <v>316</v>
      </c>
      <c r="B91" t="s">
        <v>1595</v>
      </c>
      <c r="C91" t="s">
        <v>479</v>
      </c>
    </row>
    <row r="92" spans="1:3" x14ac:dyDescent="0.3">
      <c r="A92" t="s">
        <v>299</v>
      </c>
      <c r="B92" t="s">
        <v>1596</v>
      </c>
    </row>
    <row r="93" spans="1:3" x14ac:dyDescent="0.3">
      <c r="A93" t="s">
        <v>301</v>
      </c>
      <c r="B93" t="s">
        <v>1597</v>
      </c>
    </row>
    <row r="94" spans="1:3" x14ac:dyDescent="0.3">
      <c r="A94" t="s">
        <v>320</v>
      </c>
      <c r="B94" t="s">
        <v>1598</v>
      </c>
      <c r="C94" t="s">
        <v>479</v>
      </c>
    </row>
    <row r="95" spans="1:3" x14ac:dyDescent="0.3">
      <c r="A95" t="s">
        <v>299</v>
      </c>
      <c r="B95" t="s">
        <v>1599</v>
      </c>
    </row>
    <row r="96" spans="1:3" x14ac:dyDescent="0.3">
      <c r="A96" t="s">
        <v>301</v>
      </c>
      <c r="B96" t="s">
        <v>1600</v>
      </c>
    </row>
    <row r="97" spans="1:3" x14ac:dyDescent="0.3">
      <c r="A97" t="s">
        <v>324</v>
      </c>
      <c r="B97" t="s">
        <v>1601</v>
      </c>
      <c r="C97" t="s">
        <v>479</v>
      </c>
    </row>
    <row r="98" spans="1:3" x14ac:dyDescent="0.3">
      <c r="A98" t="s">
        <v>299</v>
      </c>
      <c r="B98" t="s">
        <v>1602</v>
      </c>
    </row>
    <row r="99" spans="1:3" x14ac:dyDescent="0.3">
      <c r="A99" t="s">
        <v>301</v>
      </c>
      <c r="B99" t="s">
        <v>1603</v>
      </c>
    </row>
    <row r="100" spans="1:3" x14ac:dyDescent="0.3">
      <c r="A100" t="s">
        <v>328</v>
      </c>
      <c r="B100" t="s">
        <v>1604</v>
      </c>
      <c r="C100" t="s">
        <v>330</v>
      </c>
    </row>
    <row r="101" spans="1:3" x14ac:dyDescent="0.3">
      <c r="A101" t="s">
        <v>299</v>
      </c>
      <c r="B101" t="s">
        <v>1605</v>
      </c>
    </row>
    <row r="102" spans="1:3" x14ac:dyDescent="0.3">
      <c r="A102" t="s">
        <v>301</v>
      </c>
      <c r="B102" t="s">
        <v>1606</v>
      </c>
    </row>
    <row r="103" spans="1:3" x14ac:dyDescent="0.3">
      <c r="A103" t="s">
        <v>333</v>
      </c>
      <c r="B103" t="s">
        <v>1607</v>
      </c>
      <c r="C103" t="s">
        <v>330</v>
      </c>
    </row>
    <row r="104" spans="1:3" x14ac:dyDescent="0.3">
      <c r="A104" t="s">
        <v>299</v>
      </c>
      <c r="B104" t="s">
        <v>1608</v>
      </c>
    </row>
    <row r="105" spans="1:3" x14ac:dyDescent="0.3">
      <c r="A105" t="s">
        <v>301</v>
      </c>
      <c r="B105" t="s">
        <v>1609</v>
      </c>
    </row>
    <row r="106" spans="1:3" x14ac:dyDescent="0.3">
      <c r="A106" t="s">
        <v>337</v>
      </c>
      <c r="B106" t="s">
        <v>1610</v>
      </c>
      <c r="C106" t="s">
        <v>330</v>
      </c>
    </row>
    <row r="107" spans="1:3" x14ac:dyDescent="0.3">
      <c r="A107" t="s">
        <v>299</v>
      </c>
      <c r="B107" t="s">
        <v>1611</v>
      </c>
    </row>
    <row r="108" spans="1:3" x14ac:dyDescent="0.3">
      <c r="A108" t="s">
        <v>301</v>
      </c>
      <c r="B108" t="s">
        <v>1612</v>
      </c>
    </row>
    <row r="109" spans="1:3" x14ac:dyDescent="0.3">
      <c r="A109" t="s">
        <v>341</v>
      </c>
      <c r="B109" t="s">
        <v>1613</v>
      </c>
      <c r="C109" t="s">
        <v>330</v>
      </c>
    </row>
    <row r="110" spans="1:3" x14ac:dyDescent="0.3">
      <c r="A110" t="s">
        <v>299</v>
      </c>
      <c r="B110" t="s">
        <v>1614</v>
      </c>
    </row>
    <row r="111" spans="1:3" x14ac:dyDescent="0.3">
      <c r="A111" t="s">
        <v>301</v>
      </c>
      <c r="B111" t="s">
        <v>1615</v>
      </c>
    </row>
    <row r="112" spans="1:3" x14ac:dyDescent="0.3">
      <c r="A112" t="s">
        <v>346</v>
      </c>
      <c r="B112" t="s">
        <v>1616</v>
      </c>
      <c r="C112" t="s">
        <v>330</v>
      </c>
    </row>
    <row r="113" spans="1:3" x14ac:dyDescent="0.3">
      <c r="A113" t="s">
        <v>299</v>
      </c>
      <c r="B113" t="s">
        <v>1617</v>
      </c>
    </row>
    <row r="114" spans="1:3" x14ac:dyDescent="0.3">
      <c r="A114" t="s">
        <v>301</v>
      </c>
      <c r="B114" t="s">
        <v>1618</v>
      </c>
    </row>
    <row r="115" spans="1:3" x14ac:dyDescent="0.3">
      <c r="A115" t="s">
        <v>1453</v>
      </c>
      <c r="B115" t="s">
        <v>1619</v>
      </c>
      <c r="C115" t="s">
        <v>330</v>
      </c>
    </row>
    <row r="116" spans="1:3" x14ac:dyDescent="0.3">
      <c r="A116" t="s">
        <v>299</v>
      </c>
      <c r="B116" t="s">
        <v>1620</v>
      </c>
    </row>
    <row r="117" spans="1:3" x14ac:dyDescent="0.3">
      <c r="A117" t="s">
        <v>301</v>
      </c>
      <c r="B117" t="s">
        <v>1621</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99"/>
  <sheetViews>
    <sheetView workbookViewId="0"/>
  </sheetViews>
  <sheetFormatPr defaultRowHeight="14.4" x14ac:dyDescent="0.3"/>
  <cols>
    <col min="1" max="1" width="46" customWidth="1"/>
    <col min="2" max="8" width="15" customWidth="1"/>
  </cols>
  <sheetData>
    <row r="1" spans="1:4" x14ac:dyDescent="0.3">
      <c r="A1" s="24" t="s">
        <v>181</v>
      </c>
      <c r="B1" t="s">
        <v>1622</v>
      </c>
    </row>
    <row r="2" spans="1:4" x14ac:dyDescent="0.3">
      <c r="A2" s="24" t="s">
        <v>183</v>
      </c>
      <c r="B2" t="s">
        <v>1623</v>
      </c>
    </row>
    <row r="4" spans="1:4" x14ac:dyDescent="0.3">
      <c r="A4" s="25" t="s">
        <v>185</v>
      </c>
      <c r="B4" s="25"/>
      <c r="C4" s="25"/>
      <c r="D4" s="25"/>
    </row>
    <row r="6" spans="1:4" x14ac:dyDescent="0.3">
      <c r="A6" t="s">
        <v>1003</v>
      </c>
      <c r="B6" t="s">
        <v>1624</v>
      </c>
      <c r="C6" t="s">
        <v>1004</v>
      </c>
      <c r="D6" t="s">
        <v>189</v>
      </c>
    </row>
    <row r="7" spans="1:4" x14ac:dyDescent="0.3">
      <c r="A7" t="s">
        <v>45</v>
      </c>
      <c r="B7">
        <v>50</v>
      </c>
      <c r="C7">
        <v>28.2</v>
      </c>
      <c r="D7" t="s">
        <v>1625</v>
      </c>
    </row>
    <row r="8" spans="1:4" x14ac:dyDescent="0.3">
      <c r="A8" t="s">
        <v>46</v>
      </c>
      <c r="B8">
        <v>39</v>
      </c>
      <c r="C8">
        <v>19.399999999999999</v>
      </c>
      <c r="D8" t="s">
        <v>1626</v>
      </c>
    </row>
    <row r="9" spans="1:4" x14ac:dyDescent="0.3">
      <c r="A9" t="s">
        <v>48</v>
      </c>
      <c r="B9">
        <v>10.4</v>
      </c>
      <c r="C9">
        <v>8.5</v>
      </c>
      <c r="D9" t="s">
        <v>1627</v>
      </c>
    </row>
    <row r="10" spans="1:4" x14ac:dyDescent="0.3">
      <c r="A10" t="s">
        <v>1628</v>
      </c>
      <c r="B10">
        <v>0.53600000000000003</v>
      </c>
      <c r="C10">
        <v>0.26800000000000002</v>
      </c>
      <c r="D10" t="s">
        <v>234</v>
      </c>
    </row>
    <row r="11" spans="1:4" x14ac:dyDescent="0.3">
      <c r="A11" t="s">
        <v>1629</v>
      </c>
      <c r="B11">
        <v>0.128</v>
      </c>
      <c r="C11">
        <v>5.7000000000000002E-2</v>
      </c>
      <c r="D11" t="s">
        <v>1630</v>
      </c>
    </row>
    <row r="12" spans="1:4" x14ac:dyDescent="0.3">
      <c r="A12" t="s">
        <v>1631</v>
      </c>
      <c r="B12" t="s">
        <v>1632</v>
      </c>
      <c r="C12" t="s">
        <v>197</v>
      </c>
      <c r="D12" t="s">
        <v>1633</v>
      </c>
    </row>
    <row r="14" spans="1:4" x14ac:dyDescent="0.3">
      <c r="A14" t="s">
        <v>1634</v>
      </c>
      <c r="B14" t="s">
        <v>1635</v>
      </c>
    </row>
    <row r="16" spans="1:4" x14ac:dyDescent="0.3">
      <c r="A16" t="s">
        <v>1009</v>
      </c>
      <c r="B16" t="s">
        <v>1624</v>
      </c>
      <c r="C16" t="s">
        <v>1004</v>
      </c>
      <c r="D16" t="s">
        <v>189</v>
      </c>
    </row>
    <row r="17" spans="1:4" x14ac:dyDescent="0.3">
      <c r="A17" t="s">
        <v>51</v>
      </c>
      <c r="B17">
        <v>20.6</v>
      </c>
      <c r="C17">
        <v>13</v>
      </c>
      <c r="D17" t="s">
        <v>1636</v>
      </c>
    </row>
    <row r="18" spans="1:4" x14ac:dyDescent="0.3">
      <c r="A18" t="s">
        <v>1011</v>
      </c>
      <c r="B18" t="s">
        <v>642</v>
      </c>
      <c r="C18" t="s">
        <v>1012</v>
      </c>
      <c r="D18" t="s">
        <v>1637</v>
      </c>
    </row>
    <row r="19" spans="1:4" x14ac:dyDescent="0.3">
      <c r="A19" t="s">
        <v>1288</v>
      </c>
      <c r="B19">
        <v>12</v>
      </c>
      <c r="C19">
        <v>7.5</v>
      </c>
      <c r="D19" t="s">
        <v>1638</v>
      </c>
    </row>
    <row r="20" spans="1:4" x14ac:dyDescent="0.3">
      <c r="A20" t="s">
        <v>1016</v>
      </c>
      <c r="B20">
        <v>7.8</v>
      </c>
      <c r="C20">
        <v>4.5</v>
      </c>
      <c r="D20" t="s">
        <v>1639</v>
      </c>
    </row>
    <row r="21" spans="1:4" x14ac:dyDescent="0.3">
      <c r="A21" t="s">
        <v>170</v>
      </c>
      <c r="B21">
        <v>3.6</v>
      </c>
      <c r="C21">
        <v>1.4</v>
      </c>
      <c r="D21" t="s">
        <v>1640</v>
      </c>
    </row>
    <row r="22" spans="1:4" x14ac:dyDescent="0.3">
      <c r="A22" t="s">
        <v>1641</v>
      </c>
      <c r="B22">
        <v>0.22800000000000001</v>
      </c>
      <c r="C22">
        <v>0.42199999999999999</v>
      </c>
      <c r="D22" t="s">
        <v>1642</v>
      </c>
    </row>
    <row r="23" spans="1:4" x14ac:dyDescent="0.3">
      <c r="A23" t="s">
        <v>55</v>
      </c>
      <c r="B23">
        <v>0.58499999999999996</v>
      </c>
      <c r="C23">
        <v>0.54600000000000004</v>
      </c>
      <c r="D23" t="s">
        <v>1643</v>
      </c>
    </row>
    <row r="24" spans="1:4" x14ac:dyDescent="0.3">
      <c r="A24" t="s">
        <v>1018</v>
      </c>
      <c r="B24">
        <v>0.01</v>
      </c>
      <c r="C24">
        <v>0.01</v>
      </c>
      <c r="D24" t="s">
        <v>1644</v>
      </c>
    </row>
    <row r="25" spans="1:4" x14ac:dyDescent="0.3">
      <c r="A25" t="s">
        <v>56</v>
      </c>
      <c r="B25">
        <v>5</v>
      </c>
      <c r="C25">
        <v>2.8</v>
      </c>
      <c r="D25" t="s">
        <v>1645</v>
      </c>
    </row>
    <row r="27" spans="1:4" x14ac:dyDescent="0.3">
      <c r="A27" t="s">
        <v>1646</v>
      </c>
      <c r="B27" t="s">
        <v>1647</v>
      </c>
    </row>
    <row r="28" spans="1:4" x14ac:dyDescent="0.3">
      <c r="A28" t="s">
        <v>1648</v>
      </c>
      <c r="B28" t="s">
        <v>1649</v>
      </c>
    </row>
    <row r="29" spans="1:4" x14ac:dyDescent="0.3">
      <c r="A29" t="s">
        <v>1650</v>
      </c>
      <c r="B29" t="s">
        <v>1651</v>
      </c>
    </row>
    <row r="31" spans="1:4" x14ac:dyDescent="0.3">
      <c r="A31" t="s">
        <v>1029</v>
      </c>
      <c r="B31" t="s">
        <v>1652</v>
      </c>
      <c r="C31" t="s">
        <v>1534</v>
      </c>
      <c r="D31" t="s">
        <v>248</v>
      </c>
    </row>
    <row r="32" spans="1:4" x14ac:dyDescent="0.3">
      <c r="A32" t="s">
        <v>58</v>
      </c>
      <c r="B32">
        <v>31.6</v>
      </c>
      <c r="C32">
        <v>43.2</v>
      </c>
      <c r="D32" t="s">
        <v>1653</v>
      </c>
    </row>
    <row r="33" spans="1:4" x14ac:dyDescent="0.3">
      <c r="A33" t="s">
        <v>59</v>
      </c>
      <c r="B33">
        <v>73.599999999999994</v>
      </c>
      <c r="C33">
        <v>64.900000000000006</v>
      </c>
      <c r="D33" t="s">
        <v>1654</v>
      </c>
    </row>
    <row r="34" spans="1:4" x14ac:dyDescent="0.3">
      <c r="A34" t="s">
        <v>1655</v>
      </c>
      <c r="B34">
        <v>-13.3</v>
      </c>
      <c r="C34" t="s">
        <v>197</v>
      </c>
      <c r="D34" t="s">
        <v>197</v>
      </c>
    </row>
    <row r="35" spans="1:4" x14ac:dyDescent="0.3">
      <c r="A35" t="s">
        <v>1656</v>
      </c>
      <c r="B35" t="s">
        <v>1657</v>
      </c>
    </row>
    <row r="36" spans="1:4" x14ac:dyDescent="0.3">
      <c r="A36" t="s">
        <v>1658</v>
      </c>
      <c r="B36" t="s">
        <v>1659</v>
      </c>
    </row>
    <row r="37" spans="1:4" x14ac:dyDescent="0.3">
      <c r="A37" t="s">
        <v>1660</v>
      </c>
      <c r="B37" t="s">
        <v>1661</v>
      </c>
    </row>
    <row r="38" spans="1:4" x14ac:dyDescent="0.3">
      <c r="A38" t="s">
        <v>135</v>
      </c>
      <c r="B38" t="s">
        <v>1662</v>
      </c>
    </row>
    <row r="40" spans="1:4" x14ac:dyDescent="0.3">
      <c r="A40" t="s">
        <v>1039</v>
      </c>
      <c r="B40" t="s">
        <v>238</v>
      </c>
    </row>
    <row r="41" spans="1:4" x14ac:dyDescent="0.3">
      <c r="A41" t="s">
        <v>1040</v>
      </c>
      <c r="B41" t="s">
        <v>1663</v>
      </c>
    </row>
    <row r="42" spans="1:4" x14ac:dyDescent="0.3">
      <c r="A42" t="s">
        <v>1664</v>
      </c>
      <c r="B42" t="s">
        <v>558</v>
      </c>
    </row>
    <row r="43" spans="1:4" x14ac:dyDescent="0.3">
      <c r="A43" t="s">
        <v>1145</v>
      </c>
      <c r="B43" t="s">
        <v>1665</v>
      </c>
    </row>
    <row r="44" spans="1:4" x14ac:dyDescent="0.3">
      <c r="A44" t="s">
        <v>1666</v>
      </c>
      <c r="B44" t="s">
        <v>1667</v>
      </c>
    </row>
    <row r="45" spans="1:4" x14ac:dyDescent="0.3">
      <c r="A45" t="s">
        <v>1668</v>
      </c>
      <c r="B45" t="s">
        <v>1669</v>
      </c>
    </row>
    <row r="46" spans="1:4" x14ac:dyDescent="0.3">
      <c r="A46" t="s">
        <v>1670</v>
      </c>
      <c r="B46" t="s">
        <v>1671</v>
      </c>
    </row>
    <row r="47" spans="1:4" x14ac:dyDescent="0.3">
      <c r="A47" t="s">
        <v>1672</v>
      </c>
      <c r="B47" t="s">
        <v>1673</v>
      </c>
    </row>
    <row r="48" spans="1:4" x14ac:dyDescent="0.3">
      <c r="A48" t="s">
        <v>1674</v>
      </c>
      <c r="B48" t="s">
        <v>1675</v>
      </c>
    </row>
    <row r="49" spans="1:3" x14ac:dyDescent="0.3">
      <c r="A49" t="s">
        <v>1676</v>
      </c>
      <c r="B49" t="s">
        <v>1677</v>
      </c>
    </row>
    <row r="51" spans="1:3" x14ac:dyDescent="0.3">
      <c r="A51" t="s">
        <v>1678</v>
      </c>
      <c r="B51" t="s">
        <v>238</v>
      </c>
    </row>
    <row r="52" spans="1:3" x14ac:dyDescent="0.3">
      <c r="A52" t="s">
        <v>1679</v>
      </c>
      <c r="B52" t="s">
        <v>1680</v>
      </c>
    </row>
    <row r="53" spans="1:3" x14ac:dyDescent="0.3">
      <c r="A53" t="s">
        <v>96</v>
      </c>
      <c r="B53" t="s">
        <v>1681</v>
      </c>
    </row>
    <row r="54" spans="1:3" x14ac:dyDescent="0.3">
      <c r="A54" t="s">
        <v>1682</v>
      </c>
      <c r="B54" t="s">
        <v>1683</v>
      </c>
    </row>
    <row r="55" spans="1:3" x14ac:dyDescent="0.3">
      <c r="A55" t="s">
        <v>1684</v>
      </c>
      <c r="B55" t="s">
        <v>1685</v>
      </c>
    </row>
    <row r="56" spans="1:3" x14ac:dyDescent="0.3">
      <c r="A56" t="s">
        <v>1686</v>
      </c>
      <c r="B56" t="s">
        <v>1687</v>
      </c>
    </row>
    <row r="57" spans="1:3" x14ac:dyDescent="0.3">
      <c r="A57" t="s">
        <v>1688</v>
      </c>
      <c r="B57" t="s">
        <v>1689</v>
      </c>
    </row>
    <row r="59" spans="1:3" x14ac:dyDescent="0.3">
      <c r="A59" t="s">
        <v>1061</v>
      </c>
      <c r="B59" t="s">
        <v>238</v>
      </c>
      <c r="C59" t="s">
        <v>274</v>
      </c>
    </row>
    <row r="60" spans="1:3" x14ac:dyDescent="0.3">
      <c r="A60" t="s">
        <v>1690</v>
      </c>
      <c r="B60" t="s">
        <v>1691</v>
      </c>
      <c r="C60" t="s">
        <v>21</v>
      </c>
    </row>
    <row r="61" spans="1:3" x14ac:dyDescent="0.3">
      <c r="A61" t="s">
        <v>1011</v>
      </c>
      <c r="B61" t="s">
        <v>1692</v>
      </c>
      <c r="C61" t="s">
        <v>21</v>
      </c>
    </row>
    <row r="62" spans="1:3" x14ac:dyDescent="0.3">
      <c r="A62" t="s">
        <v>1145</v>
      </c>
      <c r="B62" t="s">
        <v>1693</v>
      </c>
      <c r="C62" t="s">
        <v>1694</v>
      </c>
    </row>
    <row r="63" spans="1:3" x14ac:dyDescent="0.3">
      <c r="A63" t="s">
        <v>1695</v>
      </c>
      <c r="B63" t="s">
        <v>1696</v>
      </c>
      <c r="C63" t="s">
        <v>18</v>
      </c>
    </row>
    <row r="64" spans="1:3" x14ac:dyDescent="0.3">
      <c r="A64" t="s">
        <v>1697</v>
      </c>
      <c r="B64" t="s">
        <v>1698</v>
      </c>
      <c r="C64" t="s">
        <v>1699</v>
      </c>
    </row>
    <row r="65" spans="1:4" x14ac:dyDescent="0.3">
      <c r="A65" t="s">
        <v>1700</v>
      </c>
      <c r="B65" t="s">
        <v>1701</v>
      </c>
      <c r="C65" t="s">
        <v>1702</v>
      </c>
    </row>
    <row r="67" spans="1:4" x14ac:dyDescent="0.3">
      <c r="A67" s="25" t="s">
        <v>281</v>
      </c>
      <c r="B67" s="25"/>
      <c r="C67" s="25"/>
      <c r="D67" s="25"/>
    </row>
    <row r="68" spans="1:4" x14ac:dyDescent="0.3">
      <c r="A68" t="s">
        <v>1703</v>
      </c>
    </row>
    <row r="69" spans="1:4" x14ac:dyDescent="0.3">
      <c r="A69" t="s">
        <v>1704</v>
      </c>
    </row>
    <row r="70" spans="1:4" x14ac:dyDescent="0.3">
      <c r="A70" t="s">
        <v>1705</v>
      </c>
    </row>
    <row r="71" spans="1:4" x14ac:dyDescent="0.3">
      <c r="A71" t="s">
        <v>1706</v>
      </c>
    </row>
    <row r="72" spans="1:4" x14ac:dyDescent="0.3">
      <c r="A72" t="s">
        <v>1707</v>
      </c>
    </row>
    <row r="73" spans="1:4" x14ac:dyDescent="0.3">
      <c r="A73" t="s">
        <v>1708</v>
      </c>
    </row>
    <row r="74" spans="1:4" x14ac:dyDescent="0.3">
      <c r="A74" t="s">
        <v>1709</v>
      </c>
    </row>
    <row r="75" spans="1:4" x14ac:dyDescent="0.3">
      <c r="A75" t="s">
        <v>1710</v>
      </c>
    </row>
    <row r="76" spans="1:4" x14ac:dyDescent="0.3">
      <c r="A76" t="s">
        <v>1711</v>
      </c>
    </row>
    <row r="77" spans="1:4" x14ac:dyDescent="0.3">
      <c r="A77" t="s">
        <v>1712</v>
      </c>
    </row>
    <row r="78" spans="1:4" x14ac:dyDescent="0.3">
      <c r="A78" t="s">
        <v>1713</v>
      </c>
    </row>
    <row r="79" spans="1:4" x14ac:dyDescent="0.3">
      <c r="A79" t="s">
        <v>1714</v>
      </c>
    </row>
    <row r="81" spans="1:4" x14ac:dyDescent="0.3">
      <c r="A81" s="25" t="s">
        <v>295</v>
      </c>
      <c r="B81" s="25"/>
      <c r="C81" s="25"/>
      <c r="D81" s="25"/>
    </row>
    <row r="82" spans="1:4" x14ac:dyDescent="0.3">
      <c r="A82" t="s">
        <v>296</v>
      </c>
      <c r="B82" t="s">
        <v>1715</v>
      </c>
      <c r="C82" t="s">
        <v>1716</v>
      </c>
    </row>
    <row r="83" spans="1:4" x14ac:dyDescent="0.3">
      <c r="A83" t="s">
        <v>299</v>
      </c>
      <c r="B83" t="s">
        <v>1717</v>
      </c>
    </row>
    <row r="84" spans="1:4" x14ac:dyDescent="0.3">
      <c r="A84" t="s">
        <v>301</v>
      </c>
      <c r="B84" t="s">
        <v>1718</v>
      </c>
    </row>
    <row r="85" spans="1:4" x14ac:dyDescent="0.3">
      <c r="A85" t="s">
        <v>303</v>
      </c>
      <c r="B85" t="s">
        <v>1719</v>
      </c>
      <c r="C85" t="s">
        <v>1720</v>
      </c>
    </row>
    <row r="86" spans="1:4" x14ac:dyDescent="0.3">
      <c r="A86" t="s">
        <v>299</v>
      </c>
      <c r="B86" t="s">
        <v>1721</v>
      </c>
    </row>
    <row r="87" spans="1:4" x14ac:dyDescent="0.3">
      <c r="A87" t="s">
        <v>301</v>
      </c>
      <c r="B87" t="s">
        <v>1722</v>
      </c>
    </row>
    <row r="88" spans="1:4" x14ac:dyDescent="0.3">
      <c r="A88" t="s">
        <v>307</v>
      </c>
      <c r="B88" t="s">
        <v>1723</v>
      </c>
      <c r="C88" t="s">
        <v>1716</v>
      </c>
    </row>
    <row r="89" spans="1:4" x14ac:dyDescent="0.3">
      <c r="A89" t="s">
        <v>299</v>
      </c>
      <c r="B89" t="s">
        <v>1724</v>
      </c>
    </row>
    <row r="90" spans="1:4" x14ac:dyDescent="0.3">
      <c r="A90" t="s">
        <v>301</v>
      </c>
      <c r="B90" t="s">
        <v>1725</v>
      </c>
    </row>
    <row r="91" spans="1:4" x14ac:dyDescent="0.3">
      <c r="A91" t="s">
        <v>311</v>
      </c>
      <c r="B91" t="s">
        <v>1726</v>
      </c>
      <c r="C91" t="s">
        <v>1727</v>
      </c>
    </row>
    <row r="92" spans="1:4" x14ac:dyDescent="0.3">
      <c r="A92" t="s">
        <v>299</v>
      </c>
      <c r="B92" t="s">
        <v>1728</v>
      </c>
    </row>
    <row r="93" spans="1:4" x14ac:dyDescent="0.3">
      <c r="A93" t="s">
        <v>301</v>
      </c>
      <c r="B93" t="s">
        <v>1729</v>
      </c>
    </row>
    <row r="94" spans="1:4" x14ac:dyDescent="0.3">
      <c r="A94" t="s">
        <v>316</v>
      </c>
      <c r="B94" t="s">
        <v>1730</v>
      </c>
      <c r="C94" t="s">
        <v>1731</v>
      </c>
    </row>
    <row r="95" spans="1:4" x14ac:dyDescent="0.3">
      <c r="A95" t="s">
        <v>299</v>
      </c>
      <c r="B95" t="s">
        <v>1732</v>
      </c>
    </row>
    <row r="96" spans="1:4" x14ac:dyDescent="0.3">
      <c r="A96" t="s">
        <v>301</v>
      </c>
      <c r="B96" t="s">
        <v>1733</v>
      </c>
    </row>
    <row r="97" spans="1:3" x14ac:dyDescent="0.3">
      <c r="A97" t="s">
        <v>320</v>
      </c>
      <c r="B97" t="s">
        <v>1734</v>
      </c>
      <c r="C97" t="s">
        <v>1720</v>
      </c>
    </row>
    <row r="98" spans="1:3" x14ac:dyDescent="0.3">
      <c r="A98" t="s">
        <v>299</v>
      </c>
      <c r="B98" t="s">
        <v>1735</v>
      </c>
    </row>
    <row r="99" spans="1:3" x14ac:dyDescent="0.3">
      <c r="A99" t="s">
        <v>301</v>
      </c>
      <c r="B99" t="s">
        <v>1736</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97"/>
  <sheetViews>
    <sheetView workbookViewId="0"/>
  </sheetViews>
  <sheetFormatPr defaultRowHeight="14.4" x14ac:dyDescent="0.3"/>
  <cols>
    <col min="1" max="1" width="46" customWidth="1"/>
    <col min="2" max="8" width="15" customWidth="1"/>
  </cols>
  <sheetData>
    <row r="1" spans="1:4" x14ac:dyDescent="0.3">
      <c r="A1" s="24" t="s">
        <v>181</v>
      </c>
      <c r="B1" t="s">
        <v>1737</v>
      </c>
    </row>
    <row r="2" spans="1:4" x14ac:dyDescent="0.3">
      <c r="A2" s="24" t="s">
        <v>183</v>
      </c>
      <c r="B2" t="s">
        <v>1738</v>
      </c>
    </row>
    <row r="4" spans="1:4" x14ac:dyDescent="0.3">
      <c r="A4" s="25" t="s">
        <v>185</v>
      </c>
      <c r="B4" s="25"/>
      <c r="C4" s="25"/>
      <c r="D4" s="25"/>
    </row>
    <row r="6" spans="1:4" x14ac:dyDescent="0.3">
      <c r="A6" t="s">
        <v>186</v>
      </c>
      <c r="B6" t="s">
        <v>18</v>
      </c>
      <c r="C6" t="s">
        <v>1739</v>
      </c>
      <c r="D6" t="s">
        <v>189</v>
      </c>
    </row>
    <row r="7" spans="1:4" x14ac:dyDescent="0.3">
      <c r="A7" t="s">
        <v>45</v>
      </c>
      <c r="B7">
        <v>65.099999999999994</v>
      </c>
      <c r="C7">
        <v>30</v>
      </c>
      <c r="D7" t="s">
        <v>1740</v>
      </c>
    </row>
    <row r="8" spans="1:4" x14ac:dyDescent="0.3">
      <c r="A8" t="s">
        <v>1741</v>
      </c>
      <c r="B8">
        <v>53.7</v>
      </c>
      <c r="C8">
        <v>20.8</v>
      </c>
      <c r="D8" t="s">
        <v>1742</v>
      </c>
    </row>
    <row r="9" spans="1:4" x14ac:dyDescent="0.3">
      <c r="A9" t="s">
        <v>1743</v>
      </c>
      <c r="B9">
        <v>11.5</v>
      </c>
      <c r="C9">
        <v>9.1999999999999993</v>
      </c>
      <c r="D9" t="s">
        <v>1744</v>
      </c>
    </row>
    <row r="10" spans="1:4" x14ac:dyDescent="0.3">
      <c r="A10" t="s">
        <v>1745</v>
      </c>
      <c r="B10">
        <v>10.8</v>
      </c>
      <c r="C10">
        <v>8.8000000000000007</v>
      </c>
      <c r="D10" t="s">
        <v>1746</v>
      </c>
    </row>
    <row r="11" spans="1:4" x14ac:dyDescent="0.3">
      <c r="A11" t="s">
        <v>82</v>
      </c>
      <c r="B11">
        <v>0.61899999999999999</v>
      </c>
      <c r="C11">
        <v>0.32600000000000001</v>
      </c>
      <c r="D11" t="s">
        <v>1747</v>
      </c>
    </row>
    <row r="12" spans="1:4" x14ac:dyDescent="0.3">
      <c r="A12" t="s">
        <v>144</v>
      </c>
      <c r="B12">
        <v>6.2E-2</v>
      </c>
      <c r="C12">
        <v>0.107</v>
      </c>
      <c r="D12" t="s">
        <v>1748</v>
      </c>
    </row>
    <row r="14" spans="1:4" x14ac:dyDescent="0.3">
      <c r="A14" t="s">
        <v>1009</v>
      </c>
      <c r="B14" t="s">
        <v>18</v>
      </c>
      <c r="C14" t="s">
        <v>1739</v>
      </c>
      <c r="D14" t="s">
        <v>189</v>
      </c>
    </row>
    <row r="15" spans="1:4" x14ac:dyDescent="0.3">
      <c r="A15" t="s">
        <v>51</v>
      </c>
      <c r="B15">
        <v>28.2</v>
      </c>
      <c r="C15">
        <v>13</v>
      </c>
      <c r="D15" t="s">
        <v>1740</v>
      </c>
    </row>
    <row r="16" spans="1:4" x14ac:dyDescent="0.3">
      <c r="A16" t="s">
        <v>52</v>
      </c>
      <c r="B16" t="s">
        <v>1749</v>
      </c>
      <c r="C16" t="s">
        <v>208</v>
      </c>
      <c r="D16" t="s">
        <v>1750</v>
      </c>
    </row>
    <row r="17" spans="1:4" x14ac:dyDescent="0.3">
      <c r="A17" t="s">
        <v>72</v>
      </c>
      <c r="B17" t="s">
        <v>1751</v>
      </c>
      <c r="C17" t="s">
        <v>1752</v>
      </c>
      <c r="D17" t="s">
        <v>1753</v>
      </c>
    </row>
    <row r="18" spans="1:4" x14ac:dyDescent="0.3">
      <c r="A18" t="s">
        <v>55</v>
      </c>
      <c r="B18">
        <v>3.9</v>
      </c>
      <c r="C18">
        <v>1.6</v>
      </c>
      <c r="D18" t="s">
        <v>1754</v>
      </c>
    </row>
    <row r="19" spans="1:4" x14ac:dyDescent="0.3">
      <c r="A19" t="s">
        <v>1018</v>
      </c>
      <c r="B19">
        <v>0.05</v>
      </c>
      <c r="C19">
        <v>0.02</v>
      </c>
      <c r="D19" t="s">
        <v>1755</v>
      </c>
    </row>
    <row r="20" spans="1:4" x14ac:dyDescent="0.3">
      <c r="A20" t="s">
        <v>56</v>
      </c>
      <c r="B20">
        <v>7.9</v>
      </c>
      <c r="C20" t="s">
        <v>197</v>
      </c>
      <c r="D20" t="s">
        <v>1756</v>
      </c>
    </row>
    <row r="22" spans="1:4" x14ac:dyDescent="0.3">
      <c r="A22" t="s">
        <v>1757</v>
      </c>
      <c r="B22" t="s">
        <v>18</v>
      </c>
      <c r="C22" t="s">
        <v>1739</v>
      </c>
      <c r="D22" t="s">
        <v>189</v>
      </c>
    </row>
    <row r="23" spans="1:4" x14ac:dyDescent="0.3">
      <c r="A23" t="s">
        <v>1758</v>
      </c>
      <c r="B23">
        <v>15.5</v>
      </c>
      <c r="C23">
        <v>7.9</v>
      </c>
      <c r="D23" t="s">
        <v>1759</v>
      </c>
    </row>
    <row r="24" spans="1:4" x14ac:dyDescent="0.3">
      <c r="A24" t="s">
        <v>163</v>
      </c>
      <c r="B24" t="s">
        <v>1760</v>
      </c>
      <c r="C24" t="s">
        <v>1761</v>
      </c>
      <c r="D24" t="s">
        <v>1762</v>
      </c>
    </row>
    <row r="25" spans="1:4" x14ac:dyDescent="0.3">
      <c r="A25" t="s">
        <v>54</v>
      </c>
      <c r="B25">
        <v>9.1</v>
      </c>
      <c r="C25">
        <v>3.9</v>
      </c>
      <c r="D25" t="s">
        <v>1763</v>
      </c>
    </row>
    <row r="26" spans="1:4" x14ac:dyDescent="0.3">
      <c r="A26" t="s">
        <v>170</v>
      </c>
      <c r="B26">
        <v>4</v>
      </c>
      <c r="C26">
        <v>1.2</v>
      </c>
      <c r="D26" t="s">
        <v>1764</v>
      </c>
    </row>
    <row r="27" spans="1:4" x14ac:dyDescent="0.3">
      <c r="A27" t="s">
        <v>174</v>
      </c>
      <c r="B27">
        <v>0.36149999999999999</v>
      </c>
      <c r="C27">
        <v>0.31</v>
      </c>
      <c r="D27" t="s">
        <v>1765</v>
      </c>
    </row>
    <row r="29" spans="1:4" x14ac:dyDescent="0.3">
      <c r="A29" t="s">
        <v>1766</v>
      </c>
      <c r="B29" t="s">
        <v>18</v>
      </c>
      <c r="C29" t="s">
        <v>1767</v>
      </c>
      <c r="D29" t="s">
        <v>248</v>
      </c>
    </row>
    <row r="30" spans="1:4" x14ac:dyDescent="0.3">
      <c r="A30" t="s">
        <v>58</v>
      </c>
      <c r="B30">
        <v>83.8</v>
      </c>
      <c r="C30">
        <v>43.2</v>
      </c>
      <c r="D30" t="s">
        <v>1768</v>
      </c>
    </row>
    <row r="31" spans="1:4" x14ac:dyDescent="0.3">
      <c r="A31" t="s">
        <v>59</v>
      </c>
      <c r="B31">
        <v>151</v>
      </c>
      <c r="C31">
        <v>66.2</v>
      </c>
      <c r="D31" t="s">
        <v>1769</v>
      </c>
    </row>
    <row r="32" spans="1:4" x14ac:dyDescent="0.3">
      <c r="A32" t="s">
        <v>1770</v>
      </c>
      <c r="B32">
        <v>-30.3</v>
      </c>
      <c r="C32">
        <v>-4.3</v>
      </c>
      <c r="D32" t="s">
        <v>1771</v>
      </c>
    </row>
    <row r="33" spans="1:4" x14ac:dyDescent="0.3">
      <c r="A33" t="s">
        <v>142</v>
      </c>
      <c r="B33">
        <v>15.1</v>
      </c>
      <c r="C33" t="s">
        <v>197</v>
      </c>
      <c r="D33" t="s">
        <v>197</v>
      </c>
    </row>
    <row r="34" spans="1:4" x14ac:dyDescent="0.3">
      <c r="A34" t="s">
        <v>139</v>
      </c>
      <c r="B34">
        <v>63.8</v>
      </c>
      <c r="C34">
        <v>18.399999999999999</v>
      </c>
      <c r="D34" t="s">
        <v>1772</v>
      </c>
    </row>
    <row r="35" spans="1:4" x14ac:dyDescent="0.3">
      <c r="A35" t="s">
        <v>134</v>
      </c>
      <c r="B35">
        <v>67.8</v>
      </c>
      <c r="C35" t="s">
        <v>197</v>
      </c>
      <c r="D35" t="s">
        <v>197</v>
      </c>
    </row>
    <row r="37" spans="1:4" x14ac:dyDescent="0.3">
      <c r="A37" t="s">
        <v>1773</v>
      </c>
      <c r="B37" t="s">
        <v>18</v>
      </c>
    </row>
    <row r="38" spans="1:4" x14ac:dyDescent="0.3">
      <c r="A38" t="s">
        <v>112</v>
      </c>
      <c r="B38">
        <v>45</v>
      </c>
    </row>
    <row r="39" spans="1:4" x14ac:dyDescent="0.3">
      <c r="A39" t="s">
        <v>131</v>
      </c>
      <c r="B39">
        <v>155</v>
      </c>
    </row>
    <row r="40" spans="1:4" x14ac:dyDescent="0.3">
      <c r="A40" t="s">
        <v>106</v>
      </c>
      <c r="B40">
        <v>31</v>
      </c>
    </row>
    <row r="42" spans="1:4" x14ac:dyDescent="0.3">
      <c r="A42" t="s">
        <v>1774</v>
      </c>
      <c r="B42" t="s">
        <v>238</v>
      </c>
    </row>
    <row r="43" spans="1:4" x14ac:dyDescent="0.3">
      <c r="A43" t="s">
        <v>1775</v>
      </c>
      <c r="B43" t="s">
        <v>1776</v>
      </c>
    </row>
    <row r="44" spans="1:4" x14ac:dyDescent="0.3">
      <c r="A44" t="s">
        <v>1777</v>
      </c>
      <c r="B44" t="s">
        <v>1778</v>
      </c>
    </row>
    <row r="45" spans="1:4" x14ac:dyDescent="0.3">
      <c r="A45" t="s">
        <v>1779</v>
      </c>
      <c r="B45" t="s">
        <v>1780</v>
      </c>
    </row>
    <row r="46" spans="1:4" x14ac:dyDescent="0.3">
      <c r="A46" t="s">
        <v>1781</v>
      </c>
      <c r="B46" t="s">
        <v>1782</v>
      </c>
    </row>
    <row r="47" spans="1:4" x14ac:dyDescent="0.3">
      <c r="A47" t="s">
        <v>1783</v>
      </c>
      <c r="B47" t="s">
        <v>1784</v>
      </c>
    </row>
    <row r="48" spans="1:4" x14ac:dyDescent="0.3">
      <c r="A48" t="s">
        <v>1785</v>
      </c>
      <c r="B48" t="s">
        <v>1786</v>
      </c>
    </row>
    <row r="49" spans="1:4" x14ac:dyDescent="0.3">
      <c r="A49" t="s">
        <v>1787</v>
      </c>
      <c r="B49" t="s">
        <v>1788</v>
      </c>
    </row>
    <row r="50" spans="1:4" x14ac:dyDescent="0.3">
      <c r="A50" t="s">
        <v>1789</v>
      </c>
      <c r="B50" t="s">
        <v>1790</v>
      </c>
    </row>
    <row r="51" spans="1:4" x14ac:dyDescent="0.3">
      <c r="A51" t="s">
        <v>1791</v>
      </c>
      <c r="B51" t="s">
        <v>1792</v>
      </c>
    </row>
    <row r="53" spans="1:4" x14ac:dyDescent="0.3">
      <c r="A53" t="s">
        <v>1061</v>
      </c>
      <c r="B53" t="s">
        <v>238</v>
      </c>
      <c r="C53" t="s">
        <v>274</v>
      </c>
    </row>
    <row r="54" spans="1:4" x14ac:dyDescent="0.3">
      <c r="A54" t="s">
        <v>1793</v>
      </c>
      <c r="B54" t="s">
        <v>1794</v>
      </c>
      <c r="C54" t="s">
        <v>21</v>
      </c>
    </row>
    <row r="55" spans="1:4" x14ac:dyDescent="0.3">
      <c r="A55" t="s">
        <v>1795</v>
      </c>
      <c r="B55" t="s">
        <v>1796</v>
      </c>
      <c r="C55" t="s">
        <v>26</v>
      </c>
    </row>
    <row r="56" spans="1:4" x14ac:dyDescent="0.3">
      <c r="A56" t="s">
        <v>1797</v>
      </c>
      <c r="B56" t="s">
        <v>1798</v>
      </c>
      <c r="C56" t="s">
        <v>1799</v>
      </c>
    </row>
    <row r="58" spans="1:4" x14ac:dyDescent="0.3">
      <c r="A58" s="25" t="s">
        <v>281</v>
      </c>
      <c r="B58" s="25"/>
      <c r="C58" s="25"/>
      <c r="D58" s="25"/>
    </row>
    <row r="59" spans="1:4" x14ac:dyDescent="0.3">
      <c r="A59" t="s">
        <v>1800</v>
      </c>
    </row>
    <row r="60" spans="1:4" x14ac:dyDescent="0.3">
      <c r="A60" t="s">
        <v>1801</v>
      </c>
    </row>
    <row r="61" spans="1:4" x14ac:dyDescent="0.3">
      <c r="A61" t="s">
        <v>1802</v>
      </c>
    </row>
    <row r="62" spans="1:4" x14ac:dyDescent="0.3">
      <c r="A62" t="s">
        <v>1803</v>
      </c>
    </row>
    <row r="63" spans="1:4" x14ac:dyDescent="0.3">
      <c r="A63" t="s">
        <v>1804</v>
      </c>
    </row>
    <row r="64" spans="1:4" x14ac:dyDescent="0.3">
      <c r="A64" t="s">
        <v>1805</v>
      </c>
    </row>
    <row r="65" spans="1:4" x14ac:dyDescent="0.3">
      <c r="A65" t="s">
        <v>1806</v>
      </c>
    </row>
    <row r="66" spans="1:4" x14ac:dyDescent="0.3">
      <c r="A66" t="s">
        <v>1807</v>
      </c>
    </row>
    <row r="67" spans="1:4" x14ac:dyDescent="0.3">
      <c r="A67" t="s">
        <v>1808</v>
      </c>
    </row>
    <row r="68" spans="1:4" x14ac:dyDescent="0.3">
      <c r="A68" t="s">
        <v>1809</v>
      </c>
    </row>
    <row r="69" spans="1:4" x14ac:dyDescent="0.3">
      <c r="A69" t="s">
        <v>1810</v>
      </c>
    </row>
    <row r="70" spans="1:4" x14ac:dyDescent="0.3">
      <c r="A70" t="s">
        <v>1811</v>
      </c>
    </row>
    <row r="71" spans="1:4" x14ac:dyDescent="0.3">
      <c r="A71" t="s">
        <v>1812</v>
      </c>
    </row>
    <row r="72" spans="1:4" x14ac:dyDescent="0.3">
      <c r="A72" t="s">
        <v>1813</v>
      </c>
    </row>
    <row r="73" spans="1:4" x14ac:dyDescent="0.3">
      <c r="A73" t="s">
        <v>1814</v>
      </c>
    </row>
    <row r="74" spans="1:4" x14ac:dyDescent="0.3">
      <c r="A74" t="s">
        <v>1815</v>
      </c>
    </row>
    <row r="76" spans="1:4" x14ac:dyDescent="0.3">
      <c r="A76" s="25" t="s">
        <v>295</v>
      </c>
      <c r="B76" s="25"/>
      <c r="C76" s="25"/>
      <c r="D76" s="25"/>
    </row>
    <row r="77" spans="1:4" x14ac:dyDescent="0.3">
      <c r="A77" t="s">
        <v>296</v>
      </c>
      <c r="B77" t="s">
        <v>1816</v>
      </c>
      <c r="C77" t="s">
        <v>1817</v>
      </c>
    </row>
    <row r="78" spans="1:4" x14ac:dyDescent="0.3">
      <c r="A78" t="s">
        <v>299</v>
      </c>
      <c r="B78" t="s">
        <v>1818</v>
      </c>
    </row>
    <row r="79" spans="1:4" x14ac:dyDescent="0.3">
      <c r="A79" t="s">
        <v>301</v>
      </c>
      <c r="B79" t="s">
        <v>1819</v>
      </c>
    </row>
    <row r="80" spans="1:4" x14ac:dyDescent="0.3">
      <c r="A80" t="s">
        <v>303</v>
      </c>
      <c r="B80" t="s">
        <v>1820</v>
      </c>
      <c r="C80" t="s">
        <v>1817</v>
      </c>
    </row>
    <row r="81" spans="1:3" x14ac:dyDescent="0.3">
      <c r="A81" t="s">
        <v>299</v>
      </c>
      <c r="B81" t="s">
        <v>1821</v>
      </c>
    </row>
    <row r="82" spans="1:3" x14ac:dyDescent="0.3">
      <c r="A82" t="s">
        <v>301</v>
      </c>
      <c r="B82" t="s">
        <v>1822</v>
      </c>
    </row>
    <row r="83" spans="1:3" x14ac:dyDescent="0.3">
      <c r="A83" t="s">
        <v>307</v>
      </c>
      <c r="B83" t="s">
        <v>1823</v>
      </c>
      <c r="C83" t="s">
        <v>1817</v>
      </c>
    </row>
    <row r="84" spans="1:3" x14ac:dyDescent="0.3">
      <c r="A84" t="s">
        <v>299</v>
      </c>
      <c r="B84" t="s">
        <v>1824</v>
      </c>
    </row>
    <row r="85" spans="1:3" x14ac:dyDescent="0.3">
      <c r="A85" t="s">
        <v>301</v>
      </c>
      <c r="B85" t="s">
        <v>1825</v>
      </c>
    </row>
    <row r="86" spans="1:3" x14ac:dyDescent="0.3">
      <c r="A86" t="s">
        <v>311</v>
      </c>
      <c r="B86" t="s">
        <v>1826</v>
      </c>
      <c r="C86" t="s">
        <v>1827</v>
      </c>
    </row>
    <row r="87" spans="1:3" x14ac:dyDescent="0.3">
      <c r="A87" t="s">
        <v>299</v>
      </c>
      <c r="B87" t="s">
        <v>1828</v>
      </c>
    </row>
    <row r="88" spans="1:3" x14ac:dyDescent="0.3">
      <c r="A88" t="s">
        <v>301</v>
      </c>
      <c r="B88" t="s">
        <v>1829</v>
      </c>
    </row>
    <row r="89" spans="1:3" x14ac:dyDescent="0.3">
      <c r="A89" t="s">
        <v>316</v>
      </c>
      <c r="B89" t="s">
        <v>1830</v>
      </c>
      <c r="C89" t="s">
        <v>1831</v>
      </c>
    </row>
    <row r="90" spans="1:3" x14ac:dyDescent="0.3">
      <c r="A90" t="s">
        <v>299</v>
      </c>
      <c r="B90" t="s">
        <v>1832</v>
      </c>
    </row>
    <row r="91" spans="1:3" x14ac:dyDescent="0.3">
      <c r="A91" t="s">
        <v>301</v>
      </c>
      <c r="B91" t="s">
        <v>1833</v>
      </c>
    </row>
    <row r="92" spans="1:3" x14ac:dyDescent="0.3">
      <c r="A92" t="s">
        <v>320</v>
      </c>
      <c r="B92" t="s">
        <v>1834</v>
      </c>
      <c r="C92" t="s">
        <v>1835</v>
      </c>
    </row>
    <row r="93" spans="1:3" x14ac:dyDescent="0.3">
      <c r="A93" t="s">
        <v>299</v>
      </c>
      <c r="B93" t="s">
        <v>1836</v>
      </c>
    </row>
    <row r="94" spans="1:3" x14ac:dyDescent="0.3">
      <c r="A94" t="s">
        <v>301</v>
      </c>
      <c r="B94" t="s">
        <v>1837</v>
      </c>
    </row>
    <row r="95" spans="1:3" x14ac:dyDescent="0.3">
      <c r="A95" t="s">
        <v>324</v>
      </c>
      <c r="B95" t="s">
        <v>1838</v>
      </c>
      <c r="C95" t="s">
        <v>1839</v>
      </c>
    </row>
    <row r="96" spans="1:3" x14ac:dyDescent="0.3">
      <c r="A96" t="s">
        <v>299</v>
      </c>
      <c r="B96" t="s">
        <v>1840</v>
      </c>
    </row>
    <row r="97" spans="1:2" x14ac:dyDescent="0.3">
      <c r="A97" t="s">
        <v>301</v>
      </c>
      <c r="B97" t="s">
        <v>1841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64"/>
  <sheetViews>
    <sheetView workbookViewId="0"/>
  </sheetViews>
  <sheetFormatPr defaultRowHeight="14.4" x14ac:dyDescent="0.3"/>
  <cols>
    <col min="1" max="1" width="46" customWidth="1"/>
    <col min="2" max="8" width="15" customWidth="1"/>
  </cols>
  <sheetData>
    <row r="1" spans="1:4" x14ac:dyDescent="0.3">
      <c r="A1" s="24" t="s">
        <v>181</v>
      </c>
      <c r="B1" t="s">
        <v>1842</v>
      </c>
    </row>
    <row r="2" spans="1:4" x14ac:dyDescent="0.3">
      <c r="A2" s="24" t="s">
        <v>183</v>
      </c>
      <c r="B2" t="s">
        <v>1843</v>
      </c>
    </row>
    <row r="4" spans="1:4" x14ac:dyDescent="0.3">
      <c r="A4" s="25" t="s">
        <v>185</v>
      </c>
      <c r="B4" s="25"/>
      <c r="C4" s="25"/>
      <c r="D4" s="25"/>
    </row>
    <row r="6" spans="1:4" x14ac:dyDescent="0.3">
      <c r="A6" t="s">
        <v>1844</v>
      </c>
      <c r="B6" t="s">
        <v>19</v>
      </c>
      <c r="C6" t="s">
        <v>1845</v>
      </c>
      <c r="D6" t="s">
        <v>189</v>
      </c>
    </row>
    <row r="7" spans="1:4" x14ac:dyDescent="0.3">
      <c r="A7" t="s">
        <v>45</v>
      </c>
      <c r="B7">
        <v>115</v>
      </c>
      <c r="C7">
        <v>58</v>
      </c>
      <c r="D7" t="s">
        <v>1846</v>
      </c>
    </row>
    <row r="8" spans="1:4" x14ac:dyDescent="0.3">
      <c r="A8" t="s">
        <v>46</v>
      </c>
      <c r="B8">
        <v>92.6</v>
      </c>
      <c r="C8">
        <v>40</v>
      </c>
      <c r="D8" t="s">
        <v>1847</v>
      </c>
    </row>
    <row r="9" spans="1:4" x14ac:dyDescent="0.3">
      <c r="A9" t="s">
        <v>47</v>
      </c>
      <c r="B9">
        <v>22.5</v>
      </c>
      <c r="C9">
        <v>18</v>
      </c>
      <c r="D9" t="s">
        <v>1744</v>
      </c>
    </row>
    <row r="10" spans="1:4" x14ac:dyDescent="0.3">
      <c r="A10" t="s">
        <v>51</v>
      </c>
      <c r="B10">
        <v>48.8</v>
      </c>
      <c r="C10">
        <v>26</v>
      </c>
      <c r="D10" t="s">
        <v>1116</v>
      </c>
    </row>
    <row r="11" spans="1:4" x14ac:dyDescent="0.3">
      <c r="A11" t="s">
        <v>55</v>
      </c>
      <c r="B11">
        <v>4.5</v>
      </c>
      <c r="C11" t="s">
        <v>197</v>
      </c>
      <c r="D11" t="s">
        <v>197</v>
      </c>
    </row>
    <row r="12" spans="1:4" x14ac:dyDescent="0.3">
      <c r="A12" t="s">
        <v>56</v>
      </c>
      <c r="B12">
        <v>12.9</v>
      </c>
      <c r="C12">
        <v>5.4</v>
      </c>
      <c r="D12" t="s">
        <v>1848</v>
      </c>
    </row>
    <row r="14" spans="1:4" x14ac:dyDescent="0.3">
      <c r="A14" t="s">
        <v>1849</v>
      </c>
      <c r="B14" t="s">
        <v>18</v>
      </c>
      <c r="C14" t="s">
        <v>1739</v>
      </c>
      <c r="D14" t="s">
        <v>189</v>
      </c>
    </row>
    <row r="15" spans="1:4" x14ac:dyDescent="0.3">
      <c r="A15" t="s">
        <v>1850</v>
      </c>
      <c r="B15">
        <v>65.099999999999994</v>
      </c>
      <c r="C15">
        <v>30</v>
      </c>
      <c r="D15" t="s">
        <v>1740</v>
      </c>
    </row>
    <row r="16" spans="1:4" x14ac:dyDescent="0.3">
      <c r="A16" t="s">
        <v>1851</v>
      </c>
      <c r="B16">
        <v>8</v>
      </c>
      <c r="C16" t="s">
        <v>197</v>
      </c>
      <c r="D16" t="s">
        <v>1852</v>
      </c>
    </row>
    <row r="17" spans="1:4" x14ac:dyDescent="0.3">
      <c r="A17" t="s">
        <v>1853</v>
      </c>
      <c r="B17" t="s">
        <v>1749</v>
      </c>
      <c r="C17" t="s">
        <v>197</v>
      </c>
      <c r="D17" t="s">
        <v>1854</v>
      </c>
    </row>
    <row r="19" spans="1:4" x14ac:dyDescent="0.3">
      <c r="A19" t="s">
        <v>1855</v>
      </c>
      <c r="B19" t="s">
        <v>238</v>
      </c>
    </row>
    <row r="20" spans="1:4" x14ac:dyDescent="0.3">
      <c r="A20" t="s">
        <v>1856</v>
      </c>
      <c r="B20" t="s">
        <v>1857</v>
      </c>
    </row>
    <row r="21" spans="1:4" x14ac:dyDescent="0.3">
      <c r="A21" t="s">
        <v>59</v>
      </c>
      <c r="B21" t="s">
        <v>1858</v>
      </c>
    </row>
    <row r="22" spans="1:4" x14ac:dyDescent="0.3">
      <c r="A22" t="s">
        <v>1859</v>
      </c>
      <c r="B22" t="s">
        <v>1860</v>
      </c>
    </row>
    <row r="23" spans="1:4" x14ac:dyDescent="0.3">
      <c r="A23" t="s">
        <v>131</v>
      </c>
      <c r="B23" t="s">
        <v>1861</v>
      </c>
    </row>
    <row r="24" spans="1:4" x14ac:dyDescent="0.3">
      <c r="A24" t="s">
        <v>1862</v>
      </c>
      <c r="B24" t="s">
        <v>1863</v>
      </c>
    </row>
    <row r="25" spans="1:4" x14ac:dyDescent="0.3">
      <c r="A25" t="s">
        <v>1864</v>
      </c>
      <c r="B25" t="s">
        <v>1865</v>
      </c>
    </row>
    <row r="26" spans="1:4" x14ac:dyDescent="0.3">
      <c r="A26" t="s">
        <v>1866</v>
      </c>
      <c r="B26" t="s">
        <v>1867</v>
      </c>
    </row>
    <row r="28" spans="1:4" x14ac:dyDescent="0.3">
      <c r="A28" t="s">
        <v>1868</v>
      </c>
      <c r="B28" t="s">
        <v>238</v>
      </c>
    </row>
    <row r="29" spans="1:4" x14ac:dyDescent="0.3">
      <c r="A29" t="s">
        <v>1869</v>
      </c>
      <c r="B29" t="s">
        <v>1870</v>
      </c>
    </row>
    <row r="30" spans="1:4" x14ac:dyDescent="0.3">
      <c r="A30" t="s">
        <v>1871</v>
      </c>
      <c r="B30" t="s">
        <v>1872</v>
      </c>
    </row>
    <row r="31" spans="1:4" x14ac:dyDescent="0.3">
      <c r="A31" t="s">
        <v>1873</v>
      </c>
      <c r="B31" t="s">
        <v>1874</v>
      </c>
    </row>
    <row r="32" spans="1:4" x14ac:dyDescent="0.3">
      <c r="A32" t="s">
        <v>1875</v>
      </c>
      <c r="B32" t="s">
        <v>1876</v>
      </c>
    </row>
    <row r="33" spans="1:4" x14ac:dyDescent="0.3">
      <c r="A33" t="s">
        <v>1877</v>
      </c>
      <c r="B33" t="s">
        <v>1878</v>
      </c>
    </row>
    <row r="34" spans="1:4" x14ac:dyDescent="0.3">
      <c r="A34" t="s">
        <v>1879</v>
      </c>
      <c r="B34" t="s">
        <v>1880</v>
      </c>
    </row>
    <row r="35" spans="1:4" x14ac:dyDescent="0.3">
      <c r="A35" t="s">
        <v>1881</v>
      </c>
      <c r="B35" t="s">
        <v>1882</v>
      </c>
    </row>
    <row r="36" spans="1:4" x14ac:dyDescent="0.3">
      <c r="A36" t="s">
        <v>1883</v>
      </c>
      <c r="B36" t="s">
        <v>1884</v>
      </c>
    </row>
    <row r="38" spans="1:4" x14ac:dyDescent="0.3">
      <c r="A38" t="s">
        <v>1061</v>
      </c>
      <c r="B38" t="s">
        <v>238</v>
      </c>
      <c r="C38" t="s">
        <v>274</v>
      </c>
    </row>
    <row r="39" spans="1:4" x14ac:dyDescent="0.3">
      <c r="A39" t="s">
        <v>1885</v>
      </c>
      <c r="B39" t="s">
        <v>1886</v>
      </c>
      <c r="C39" t="s">
        <v>1254</v>
      </c>
    </row>
    <row r="40" spans="1:4" x14ac:dyDescent="0.3">
      <c r="A40" t="s">
        <v>1887</v>
      </c>
      <c r="B40" t="s">
        <v>1888</v>
      </c>
      <c r="C40" t="s">
        <v>1694</v>
      </c>
    </row>
    <row r="42" spans="1:4" x14ac:dyDescent="0.3">
      <c r="A42" t="s">
        <v>1889</v>
      </c>
      <c r="B42" t="s">
        <v>1890</v>
      </c>
    </row>
    <row r="43" spans="1:4" x14ac:dyDescent="0.3">
      <c r="A43" t="s">
        <v>1891</v>
      </c>
      <c r="B43" t="s">
        <v>1892</v>
      </c>
    </row>
    <row r="44" spans="1:4" x14ac:dyDescent="0.3">
      <c r="A44" t="s">
        <v>1893</v>
      </c>
      <c r="B44" t="s">
        <v>1894</v>
      </c>
    </row>
    <row r="45" spans="1:4" x14ac:dyDescent="0.3">
      <c r="A45" t="s">
        <v>1895</v>
      </c>
      <c r="B45" t="s">
        <v>1896</v>
      </c>
    </row>
    <row r="47" spans="1:4" x14ac:dyDescent="0.3">
      <c r="A47" s="25" t="s">
        <v>281</v>
      </c>
      <c r="B47" s="25"/>
      <c r="C47" s="25"/>
      <c r="D47" s="25"/>
    </row>
    <row r="48" spans="1:4" x14ac:dyDescent="0.3">
      <c r="A48" t="s">
        <v>1897</v>
      </c>
    </row>
    <row r="49" spans="1:4" x14ac:dyDescent="0.3">
      <c r="A49" t="s">
        <v>1898</v>
      </c>
    </row>
    <row r="50" spans="1:4" x14ac:dyDescent="0.3">
      <c r="A50" t="s">
        <v>1899</v>
      </c>
    </row>
    <row r="51" spans="1:4" x14ac:dyDescent="0.3">
      <c r="A51" t="s">
        <v>1900</v>
      </c>
    </row>
    <row r="52" spans="1:4" x14ac:dyDescent="0.3">
      <c r="A52" t="s">
        <v>1901</v>
      </c>
    </row>
    <row r="53" spans="1:4" x14ac:dyDescent="0.3">
      <c r="A53" t="s">
        <v>1902</v>
      </c>
    </row>
    <row r="54" spans="1:4" x14ac:dyDescent="0.3">
      <c r="A54" t="s">
        <v>1903</v>
      </c>
    </row>
    <row r="55" spans="1:4" x14ac:dyDescent="0.3">
      <c r="A55" t="s">
        <v>1904</v>
      </c>
    </row>
    <row r="56" spans="1:4" x14ac:dyDescent="0.3">
      <c r="A56" t="s">
        <v>1905</v>
      </c>
    </row>
    <row r="57" spans="1:4" x14ac:dyDescent="0.3">
      <c r="A57" t="s">
        <v>1906</v>
      </c>
    </row>
    <row r="58" spans="1:4" x14ac:dyDescent="0.3">
      <c r="A58" t="s">
        <v>1907</v>
      </c>
    </row>
    <row r="59" spans="1:4" x14ac:dyDescent="0.3">
      <c r="A59" t="s">
        <v>1908</v>
      </c>
    </row>
    <row r="60" spans="1:4" x14ac:dyDescent="0.3">
      <c r="A60" t="s">
        <v>1909</v>
      </c>
    </row>
    <row r="61" spans="1:4" x14ac:dyDescent="0.3">
      <c r="A61" t="s">
        <v>1910</v>
      </c>
    </row>
    <row r="63" spans="1:4" x14ac:dyDescent="0.3">
      <c r="A63" s="25" t="s">
        <v>295</v>
      </c>
      <c r="B63" s="25"/>
      <c r="C63" s="25"/>
      <c r="D63" s="25"/>
    </row>
    <row r="64" spans="1:4" x14ac:dyDescent="0.3">
      <c r="A64" t="s">
        <v>1911</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92"/>
  <sheetViews>
    <sheetView workbookViewId="0"/>
  </sheetViews>
  <sheetFormatPr defaultRowHeight="14.4" x14ac:dyDescent="0.3"/>
  <cols>
    <col min="1" max="1" width="46" customWidth="1"/>
    <col min="2" max="8" width="15" customWidth="1"/>
  </cols>
  <sheetData>
    <row r="1" spans="1:4" x14ac:dyDescent="0.3">
      <c r="A1" s="24" t="s">
        <v>181</v>
      </c>
      <c r="B1" t="s">
        <v>1912</v>
      </c>
    </row>
    <row r="2" spans="1:4" x14ac:dyDescent="0.3">
      <c r="A2" s="24" t="s">
        <v>183</v>
      </c>
      <c r="B2" t="s">
        <v>1913</v>
      </c>
    </row>
    <row r="4" spans="1:4" x14ac:dyDescent="0.3">
      <c r="A4" s="25" t="s">
        <v>185</v>
      </c>
      <c r="B4" s="25"/>
      <c r="C4" s="25"/>
      <c r="D4" s="25"/>
    </row>
    <row r="6" spans="1:4" x14ac:dyDescent="0.3">
      <c r="A6" t="s">
        <v>186</v>
      </c>
      <c r="B6" t="s">
        <v>20</v>
      </c>
      <c r="C6" t="s">
        <v>1914</v>
      </c>
      <c r="D6" t="s">
        <v>189</v>
      </c>
    </row>
    <row r="7" spans="1:4" x14ac:dyDescent="0.3">
      <c r="A7" t="s">
        <v>45</v>
      </c>
      <c r="B7">
        <v>94.9</v>
      </c>
      <c r="C7">
        <v>36.799999999999997</v>
      </c>
      <c r="D7" t="s">
        <v>1915</v>
      </c>
    </row>
    <row r="8" spans="1:4" x14ac:dyDescent="0.3">
      <c r="A8" t="s">
        <v>1741</v>
      </c>
      <c r="B8">
        <v>84.5</v>
      </c>
      <c r="C8">
        <v>26.9</v>
      </c>
      <c r="D8" t="s">
        <v>1916</v>
      </c>
    </row>
    <row r="9" spans="1:4" x14ac:dyDescent="0.3">
      <c r="A9" t="s">
        <v>1743</v>
      </c>
      <c r="B9">
        <v>10.4</v>
      </c>
      <c r="C9">
        <v>9.9</v>
      </c>
      <c r="D9" t="s">
        <v>1917</v>
      </c>
    </row>
    <row r="10" spans="1:4" x14ac:dyDescent="0.3">
      <c r="A10" t="s">
        <v>1918</v>
      </c>
      <c r="B10">
        <v>9.5</v>
      </c>
      <c r="C10">
        <v>9.5</v>
      </c>
      <c r="D10" t="s">
        <v>1919</v>
      </c>
    </row>
    <row r="11" spans="1:4" x14ac:dyDescent="0.3">
      <c r="A11" t="s">
        <v>82</v>
      </c>
      <c r="B11">
        <v>0.70599999999999996</v>
      </c>
      <c r="C11">
        <v>0.27500000000000002</v>
      </c>
      <c r="D11" t="s">
        <v>1742</v>
      </c>
    </row>
    <row r="12" spans="1:4" x14ac:dyDescent="0.3">
      <c r="A12" t="s">
        <v>144</v>
      </c>
      <c r="B12">
        <v>0.17699999999999999</v>
      </c>
      <c r="C12">
        <v>0.14499999999999999</v>
      </c>
      <c r="D12" t="s">
        <v>1627</v>
      </c>
    </row>
    <row r="14" spans="1:4" x14ac:dyDescent="0.3">
      <c r="A14" t="s">
        <v>1009</v>
      </c>
      <c r="B14" t="s">
        <v>20</v>
      </c>
      <c r="C14" t="s">
        <v>1914</v>
      </c>
      <c r="D14" t="s">
        <v>248</v>
      </c>
    </row>
    <row r="15" spans="1:4" x14ac:dyDescent="0.3">
      <c r="A15" t="s">
        <v>51</v>
      </c>
      <c r="B15">
        <v>37.700000000000003</v>
      </c>
      <c r="C15">
        <v>17.5</v>
      </c>
      <c r="D15" t="s">
        <v>1920</v>
      </c>
    </row>
    <row r="16" spans="1:4" x14ac:dyDescent="0.3">
      <c r="A16" t="s">
        <v>52</v>
      </c>
      <c r="B16" t="s">
        <v>384</v>
      </c>
      <c r="C16" t="s">
        <v>1921</v>
      </c>
      <c r="D16" t="s">
        <v>1922</v>
      </c>
    </row>
    <row r="17" spans="1:4" x14ac:dyDescent="0.3">
      <c r="A17" t="s">
        <v>72</v>
      </c>
      <c r="B17" t="s">
        <v>1923</v>
      </c>
      <c r="C17" t="s">
        <v>1924</v>
      </c>
      <c r="D17" t="s">
        <v>1925</v>
      </c>
    </row>
    <row r="18" spans="1:4" x14ac:dyDescent="0.3">
      <c r="A18" t="s">
        <v>1926</v>
      </c>
      <c r="B18" t="s">
        <v>1927</v>
      </c>
      <c r="C18" t="s">
        <v>197</v>
      </c>
      <c r="D18" t="s">
        <v>1928</v>
      </c>
    </row>
    <row r="19" spans="1:4" x14ac:dyDescent="0.3">
      <c r="A19" t="s">
        <v>55</v>
      </c>
      <c r="B19">
        <v>2.7</v>
      </c>
      <c r="C19">
        <v>4.8</v>
      </c>
      <c r="D19" t="s">
        <v>1929</v>
      </c>
    </row>
    <row r="20" spans="1:4" x14ac:dyDescent="0.3">
      <c r="A20" t="s">
        <v>1018</v>
      </c>
      <c r="B20">
        <v>0.04</v>
      </c>
      <c r="C20">
        <v>0.06</v>
      </c>
      <c r="D20" t="s">
        <v>1930</v>
      </c>
    </row>
    <row r="22" spans="1:4" x14ac:dyDescent="0.3">
      <c r="A22" t="s">
        <v>1757</v>
      </c>
      <c r="B22" t="s">
        <v>20</v>
      </c>
      <c r="C22" t="s">
        <v>1914</v>
      </c>
      <c r="D22" t="s">
        <v>189</v>
      </c>
    </row>
    <row r="23" spans="1:4" x14ac:dyDescent="0.3">
      <c r="A23" t="s">
        <v>1758</v>
      </c>
      <c r="B23">
        <v>22.6</v>
      </c>
      <c r="C23">
        <v>8.3000000000000007</v>
      </c>
      <c r="D23" t="s">
        <v>1931</v>
      </c>
    </row>
    <row r="24" spans="1:4" x14ac:dyDescent="0.3">
      <c r="A24" t="s">
        <v>163</v>
      </c>
      <c r="B24" t="s">
        <v>1932</v>
      </c>
      <c r="C24" t="s">
        <v>1933</v>
      </c>
      <c r="D24" t="s">
        <v>1934</v>
      </c>
    </row>
    <row r="25" spans="1:4" x14ac:dyDescent="0.3">
      <c r="A25" t="s">
        <v>54</v>
      </c>
      <c r="B25">
        <v>11.1</v>
      </c>
      <c r="C25">
        <v>4.8</v>
      </c>
      <c r="D25" t="s">
        <v>1935</v>
      </c>
    </row>
    <row r="26" spans="1:4" x14ac:dyDescent="0.3">
      <c r="A26" t="s">
        <v>170</v>
      </c>
      <c r="B26">
        <v>5.8</v>
      </c>
      <c r="C26">
        <v>2.1</v>
      </c>
      <c r="D26" t="s">
        <v>1936</v>
      </c>
    </row>
    <row r="27" spans="1:4" x14ac:dyDescent="0.3">
      <c r="A27" t="s">
        <v>173</v>
      </c>
      <c r="B27">
        <v>-0.35299999999999998</v>
      </c>
      <c r="C27">
        <v>0.24</v>
      </c>
      <c r="D27" t="s">
        <v>1937</v>
      </c>
    </row>
    <row r="29" spans="1:4" x14ac:dyDescent="0.3">
      <c r="A29" t="s">
        <v>1766</v>
      </c>
      <c r="B29" t="s">
        <v>20</v>
      </c>
      <c r="C29" t="s">
        <v>1767</v>
      </c>
      <c r="D29" t="s">
        <v>248</v>
      </c>
    </row>
    <row r="30" spans="1:4" x14ac:dyDescent="0.3">
      <c r="A30" t="s">
        <v>58</v>
      </c>
      <c r="B30">
        <v>61.4</v>
      </c>
      <c r="C30">
        <v>43.2</v>
      </c>
      <c r="D30" t="s">
        <v>1938</v>
      </c>
    </row>
    <row r="31" spans="1:4" x14ac:dyDescent="0.3">
      <c r="A31" t="s">
        <v>59</v>
      </c>
      <c r="B31">
        <v>157</v>
      </c>
      <c r="C31">
        <v>65</v>
      </c>
      <c r="D31" t="s">
        <v>1939</v>
      </c>
    </row>
    <row r="32" spans="1:4" x14ac:dyDescent="0.3">
      <c r="A32" t="s">
        <v>1940</v>
      </c>
      <c r="B32">
        <v>-52</v>
      </c>
      <c r="C32">
        <v>3.8</v>
      </c>
      <c r="D32" t="s">
        <v>1941</v>
      </c>
    </row>
    <row r="33" spans="1:4" x14ac:dyDescent="0.3">
      <c r="A33" t="s">
        <v>132</v>
      </c>
      <c r="B33">
        <v>104</v>
      </c>
      <c r="C33" t="s">
        <v>197</v>
      </c>
      <c r="D33" t="s">
        <v>1942</v>
      </c>
    </row>
    <row r="34" spans="1:4" x14ac:dyDescent="0.3">
      <c r="A34" t="s">
        <v>147</v>
      </c>
      <c r="B34" t="s">
        <v>1943</v>
      </c>
      <c r="C34" t="s">
        <v>197</v>
      </c>
      <c r="D34" t="s">
        <v>197</v>
      </c>
    </row>
    <row r="36" spans="1:4" x14ac:dyDescent="0.3">
      <c r="A36" t="s">
        <v>1944</v>
      </c>
      <c r="B36" t="s">
        <v>238</v>
      </c>
    </row>
    <row r="37" spans="1:4" x14ac:dyDescent="0.3">
      <c r="A37" t="s">
        <v>1945</v>
      </c>
      <c r="B37" t="s">
        <v>1946</v>
      </c>
    </row>
    <row r="38" spans="1:4" x14ac:dyDescent="0.3">
      <c r="A38" t="s">
        <v>1947</v>
      </c>
      <c r="B38" t="s">
        <v>1948</v>
      </c>
    </row>
    <row r="39" spans="1:4" x14ac:dyDescent="0.3">
      <c r="A39" t="s">
        <v>1949</v>
      </c>
      <c r="B39" t="s">
        <v>1950</v>
      </c>
    </row>
    <row r="40" spans="1:4" x14ac:dyDescent="0.3">
      <c r="A40" t="s">
        <v>1951</v>
      </c>
      <c r="B40" t="s">
        <v>1952</v>
      </c>
    </row>
    <row r="42" spans="1:4" x14ac:dyDescent="0.3">
      <c r="A42" t="s">
        <v>1774</v>
      </c>
      <c r="B42" t="s">
        <v>238</v>
      </c>
    </row>
    <row r="43" spans="1:4" x14ac:dyDescent="0.3">
      <c r="A43" t="s">
        <v>1775</v>
      </c>
      <c r="B43" t="s">
        <v>1953</v>
      </c>
    </row>
    <row r="44" spans="1:4" x14ac:dyDescent="0.3">
      <c r="A44" t="s">
        <v>1877</v>
      </c>
      <c r="B44" t="s">
        <v>1954</v>
      </c>
    </row>
    <row r="45" spans="1:4" x14ac:dyDescent="0.3">
      <c r="A45" t="s">
        <v>1955</v>
      </c>
      <c r="B45" t="s">
        <v>1956</v>
      </c>
    </row>
    <row r="46" spans="1:4" x14ac:dyDescent="0.3">
      <c r="A46" t="s">
        <v>1777</v>
      </c>
      <c r="B46" t="s">
        <v>1957</v>
      </c>
    </row>
    <row r="47" spans="1:4" x14ac:dyDescent="0.3">
      <c r="A47" t="s">
        <v>1958</v>
      </c>
      <c r="B47" t="s">
        <v>1959</v>
      </c>
    </row>
    <row r="48" spans="1:4" x14ac:dyDescent="0.3">
      <c r="A48" t="s">
        <v>1960</v>
      </c>
      <c r="B48" t="s">
        <v>1961</v>
      </c>
    </row>
    <row r="49" spans="1:4" x14ac:dyDescent="0.3">
      <c r="A49" t="s">
        <v>1962</v>
      </c>
      <c r="B49" t="s">
        <v>1963</v>
      </c>
    </row>
    <row r="50" spans="1:4" x14ac:dyDescent="0.3">
      <c r="A50" t="s">
        <v>1964</v>
      </c>
      <c r="B50" t="s">
        <v>1965</v>
      </c>
    </row>
    <row r="52" spans="1:4" x14ac:dyDescent="0.3">
      <c r="A52" t="s">
        <v>1061</v>
      </c>
      <c r="B52" t="s">
        <v>238</v>
      </c>
      <c r="C52" t="s">
        <v>274</v>
      </c>
    </row>
    <row r="53" spans="1:4" x14ac:dyDescent="0.3">
      <c r="A53" t="s">
        <v>1966</v>
      </c>
      <c r="B53" t="s">
        <v>1967</v>
      </c>
      <c r="C53" t="s">
        <v>1968</v>
      </c>
    </row>
    <row r="54" spans="1:4" x14ac:dyDescent="0.3">
      <c r="A54" t="s">
        <v>1969</v>
      </c>
      <c r="B54" t="s">
        <v>1970</v>
      </c>
      <c r="C54" t="s">
        <v>1971</v>
      </c>
    </row>
    <row r="56" spans="1:4" x14ac:dyDescent="0.3">
      <c r="A56" s="25" t="s">
        <v>281</v>
      </c>
      <c r="B56" s="25"/>
      <c r="C56" s="25"/>
      <c r="D56" s="25"/>
    </row>
    <row r="57" spans="1:4" x14ac:dyDescent="0.3">
      <c r="A57" t="s">
        <v>1972</v>
      </c>
    </row>
    <row r="58" spans="1:4" x14ac:dyDescent="0.3">
      <c r="A58" t="s">
        <v>1973</v>
      </c>
    </row>
    <row r="59" spans="1:4" x14ac:dyDescent="0.3">
      <c r="A59" t="s">
        <v>1974</v>
      </c>
    </row>
    <row r="60" spans="1:4" x14ac:dyDescent="0.3">
      <c r="A60" t="s">
        <v>1975</v>
      </c>
    </row>
    <row r="61" spans="1:4" x14ac:dyDescent="0.3">
      <c r="A61" t="s">
        <v>1976</v>
      </c>
    </row>
    <row r="62" spans="1:4" x14ac:dyDescent="0.3">
      <c r="A62" t="s">
        <v>1977</v>
      </c>
    </row>
    <row r="63" spans="1:4" x14ac:dyDescent="0.3">
      <c r="A63" t="s">
        <v>1978</v>
      </c>
    </row>
    <row r="64" spans="1:4" x14ac:dyDescent="0.3">
      <c r="A64" t="s">
        <v>1979</v>
      </c>
    </row>
    <row r="65" spans="1:4" x14ac:dyDescent="0.3">
      <c r="A65" t="s">
        <v>1980</v>
      </c>
    </row>
    <row r="66" spans="1:4" x14ac:dyDescent="0.3">
      <c r="A66" t="s">
        <v>1981</v>
      </c>
    </row>
    <row r="67" spans="1:4" x14ac:dyDescent="0.3">
      <c r="A67" t="s">
        <v>1982</v>
      </c>
    </row>
    <row r="68" spans="1:4" x14ac:dyDescent="0.3">
      <c r="A68" t="s">
        <v>1983</v>
      </c>
    </row>
    <row r="69" spans="1:4" x14ac:dyDescent="0.3">
      <c r="A69" t="s">
        <v>1984</v>
      </c>
    </row>
    <row r="70" spans="1:4" x14ac:dyDescent="0.3">
      <c r="A70" t="s">
        <v>1985</v>
      </c>
    </row>
    <row r="71" spans="1:4" x14ac:dyDescent="0.3">
      <c r="A71" t="s">
        <v>1986</v>
      </c>
    </row>
    <row r="72" spans="1:4" x14ac:dyDescent="0.3">
      <c r="A72" t="s">
        <v>1987</v>
      </c>
    </row>
    <row r="74" spans="1:4" x14ac:dyDescent="0.3">
      <c r="A74" s="25" t="s">
        <v>295</v>
      </c>
      <c r="B74" s="25"/>
      <c r="C74" s="25"/>
      <c r="D74" s="25"/>
    </row>
    <row r="75" spans="1:4" x14ac:dyDescent="0.3">
      <c r="A75" t="s">
        <v>296</v>
      </c>
      <c r="B75" t="s">
        <v>1988</v>
      </c>
      <c r="C75" t="s">
        <v>1817</v>
      </c>
    </row>
    <row r="76" spans="1:4" x14ac:dyDescent="0.3">
      <c r="A76" t="s">
        <v>299</v>
      </c>
      <c r="B76" t="s">
        <v>1989</v>
      </c>
    </row>
    <row r="77" spans="1:4" x14ac:dyDescent="0.3">
      <c r="A77" t="s">
        <v>301</v>
      </c>
      <c r="B77" t="s">
        <v>1990</v>
      </c>
    </row>
    <row r="78" spans="1:4" x14ac:dyDescent="0.3">
      <c r="A78" t="s">
        <v>303</v>
      </c>
      <c r="B78" t="s">
        <v>1991</v>
      </c>
      <c r="C78" t="s">
        <v>1992</v>
      </c>
    </row>
    <row r="79" spans="1:4" x14ac:dyDescent="0.3">
      <c r="A79" t="s">
        <v>299</v>
      </c>
      <c r="B79" t="s">
        <v>1993</v>
      </c>
    </row>
    <row r="80" spans="1:4" x14ac:dyDescent="0.3">
      <c r="A80" t="s">
        <v>301</v>
      </c>
      <c r="B80" t="s">
        <v>1994</v>
      </c>
    </row>
    <row r="81" spans="1:3" x14ac:dyDescent="0.3">
      <c r="A81" t="s">
        <v>307</v>
      </c>
      <c r="B81" t="s">
        <v>1995</v>
      </c>
      <c r="C81" t="s">
        <v>1835</v>
      </c>
    </row>
    <row r="82" spans="1:3" x14ac:dyDescent="0.3">
      <c r="A82" t="s">
        <v>299</v>
      </c>
      <c r="B82" t="s">
        <v>1996</v>
      </c>
    </row>
    <row r="83" spans="1:3" x14ac:dyDescent="0.3">
      <c r="A83" t="s">
        <v>301</v>
      </c>
      <c r="B83" t="s">
        <v>1997</v>
      </c>
    </row>
    <row r="84" spans="1:3" x14ac:dyDescent="0.3">
      <c r="A84" t="s">
        <v>311</v>
      </c>
      <c r="B84" t="s">
        <v>1998</v>
      </c>
      <c r="C84" t="s">
        <v>1831</v>
      </c>
    </row>
    <row r="85" spans="1:3" x14ac:dyDescent="0.3">
      <c r="A85" t="s">
        <v>299</v>
      </c>
      <c r="B85" t="s">
        <v>1999</v>
      </c>
    </row>
    <row r="86" spans="1:3" x14ac:dyDescent="0.3">
      <c r="A86" t="s">
        <v>301</v>
      </c>
      <c r="B86" t="s">
        <v>2000</v>
      </c>
    </row>
    <row r="87" spans="1:3" x14ac:dyDescent="0.3">
      <c r="A87" t="s">
        <v>316</v>
      </c>
      <c r="B87" t="s">
        <v>2001</v>
      </c>
      <c r="C87" t="s">
        <v>1839</v>
      </c>
    </row>
    <row r="88" spans="1:3" x14ac:dyDescent="0.3">
      <c r="A88" t="s">
        <v>299</v>
      </c>
      <c r="B88" t="s">
        <v>2002</v>
      </c>
    </row>
    <row r="89" spans="1:3" x14ac:dyDescent="0.3">
      <c r="A89" t="s">
        <v>301</v>
      </c>
      <c r="B89" t="s">
        <v>2003</v>
      </c>
    </row>
    <row r="90" spans="1:3" x14ac:dyDescent="0.3">
      <c r="A90" t="s">
        <v>320</v>
      </c>
      <c r="B90" t="s">
        <v>2004</v>
      </c>
      <c r="C90" t="s">
        <v>2005</v>
      </c>
    </row>
    <row r="91" spans="1:3" x14ac:dyDescent="0.3">
      <c r="A91" t="s">
        <v>299</v>
      </c>
      <c r="B91" t="s">
        <v>2006</v>
      </c>
    </row>
    <row r="92" spans="1:3" x14ac:dyDescent="0.3">
      <c r="A92" t="s">
        <v>301</v>
      </c>
      <c r="B92" t="s">
        <v>2007</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94"/>
  <sheetViews>
    <sheetView workbookViewId="0"/>
  </sheetViews>
  <sheetFormatPr defaultRowHeight="14.4" x14ac:dyDescent="0.3"/>
  <cols>
    <col min="1" max="1" width="46" customWidth="1"/>
    <col min="2" max="8" width="15" customWidth="1"/>
  </cols>
  <sheetData>
    <row r="1" spans="1:3" x14ac:dyDescent="0.3">
      <c r="A1" s="24" t="s">
        <v>181</v>
      </c>
      <c r="B1" t="s">
        <v>2008</v>
      </c>
    </row>
    <row r="2" spans="1:3" x14ac:dyDescent="0.3">
      <c r="A2" s="24" t="s">
        <v>183</v>
      </c>
      <c r="B2" t="s">
        <v>2009</v>
      </c>
    </row>
    <row r="4" spans="1:3" x14ac:dyDescent="0.3">
      <c r="A4" s="25" t="s">
        <v>185</v>
      </c>
      <c r="B4" s="25"/>
      <c r="C4" s="25"/>
    </row>
    <row r="6" spans="1:3" x14ac:dyDescent="0.3">
      <c r="A6" t="s">
        <v>2010</v>
      </c>
      <c r="B6" t="s">
        <v>238</v>
      </c>
    </row>
    <row r="7" spans="1:3" x14ac:dyDescent="0.3">
      <c r="A7" t="s">
        <v>2011</v>
      </c>
      <c r="B7" t="s">
        <v>1953</v>
      </c>
    </row>
    <row r="8" spans="1:3" x14ac:dyDescent="0.3">
      <c r="A8" t="s">
        <v>2012</v>
      </c>
      <c r="B8" t="s">
        <v>2013</v>
      </c>
    </row>
    <row r="9" spans="1:3" x14ac:dyDescent="0.3">
      <c r="A9" t="s">
        <v>2014</v>
      </c>
      <c r="B9" t="s">
        <v>2015</v>
      </c>
    </row>
    <row r="10" spans="1:3" x14ac:dyDescent="0.3">
      <c r="A10" t="s">
        <v>2016</v>
      </c>
      <c r="B10" t="s">
        <v>2017</v>
      </c>
    </row>
    <row r="11" spans="1:3" x14ac:dyDescent="0.3">
      <c r="A11" t="s">
        <v>422</v>
      </c>
      <c r="B11" t="s">
        <v>2018</v>
      </c>
    </row>
    <row r="12" spans="1:3" x14ac:dyDescent="0.3">
      <c r="A12" t="s">
        <v>2019</v>
      </c>
      <c r="B12" t="s">
        <v>2020</v>
      </c>
    </row>
    <row r="13" spans="1:3" x14ac:dyDescent="0.3">
      <c r="A13" t="s">
        <v>2021</v>
      </c>
      <c r="B13" t="s">
        <v>2022</v>
      </c>
    </row>
    <row r="14" spans="1:3" x14ac:dyDescent="0.3">
      <c r="A14" t="s">
        <v>2023</v>
      </c>
      <c r="B14" t="s">
        <v>2024</v>
      </c>
    </row>
    <row r="16" spans="1:3" x14ac:dyDescent="0.3">
      <c r="A16" t="s">
        <v>2025</v>
      </c>
      <c r="B16" t="s">
        <v>238</v>
      </c>
    </row>
    <row r="17" spans="1:3" x14ac:dyDescent="0.3">
      <c r="A17" t="s">
        <v>1232</v>
      </c>
      <c r="B17" t="s">
        <v>2026</v>
      </c>
    </row>
    <row r="18" spans="1:3" x14ac:dyDescent="0.3">
      <c r="A18" t="s">
        <v>2027</v>
      </c>
      <c r="B18" t="s">
        <v>1950</v>
      </c>
    </row>
    <row r="19" spans="1:3" x14ac:dyDescent="0.3">
      <c r="A19" t="s">
        <v>2028</v>
      </c>
      <c r="B19" t="s">
        <v>2029</v>
      </c>
    </row>
    <row r="20" spans="1:3" x14ac:dyDescent="0.3">
      <c r="A20" t="s">
        <v>2030</v>
      </c>
      <c r="B20" t="s">
        <v>2031</v>
      </c>
    </row>
    <row r="21" spans="1:3" x14ac:dyDescent="0.3">
      <c r="A21" t="s">
        <v>2032</v>
      </c>
      <c r="B21" t="s">
        <v>2033</v>
      </c>
    </row>
    <row r="23" spans="1:3" x14ac:dyDescent="0.3">
      <c r="A23" t="s">
        <v>1061</v>
      </c>
      <c r="B23" t="s">
        <v>238</v>
      </c>
      <c r="C23" t="s">
        <v>274</v>
      </c>
    </row>
    <row r="24" spans="1:3" x14ac:dyDescent="0.3">
      <c r="A24" t="s">
        <v>2030</v>
      </c>
      <c r="B24" t="s">
        <v>2034</v>
      </c>
      <c r="C24" t="s">
        <v>1562</v>
      </c>
    </row>
    <row r="25" spans="1:3" x14ac:dyDescent="0.3">
      <c r="A25" t="s">
        <v>2035</v>
      </c>
      <c r="B25" t="s">
        <v>2036</v>
      </c>
      <c r="C25" t="s">
        <v>2037</v>
      </c>
    </row>
    <row r="26" spans="1:3" x14ac:dyDescent="0.3">
      <c r="A26" t="s">
        <v>2038</v>
      </c>
      <c r="B26" t="s">
        <v>1950</v>
      </c>
      <c r="C26" t="s">
        <v>2039</v>
      </c>
    </row>
    <row r="27" spans="1:3" x14ac:dyDescent="0.3">
      <c r="A27" t="s">
        <v>2040</v>
      </c>
      <c r="B27" t="s">
        <v>2041</v>
      </c>
      <c r="C27" t="s">
        <v>2042</v>
      </c>
    </row>
    <row r="29" spans="1:3" x14ac:dyDescent="0.3">
      <c r="A29" s="25" t="s">
        <v>281</v>
      </c>
      <c r="B29" s="25"/>
      <c r="C29" s="25"/>
    </row>
    <row r="30" spans="1:3" x14ac:dyDescent="0.3">
      <c r="A30" t="s">
        <v>2043</v>
      </c>
    </row>
    <row r="31" spans="1:3" x14ac:dyDescent="0.3">
      <c r="A31" t="s">
        <v>2044</v>
      </c>
    </row>
    <row r="32" spans="1:3" x14ac:dyDescent="0.3">
      <c r="A32" t="s">
        <v>2045</v>
      </c>
    </row>
    <row r="33" spans="1:3" x14ac:dyDescent="0.3">
      <c r="A33" t="s">
        <v>2046</v>
      </c>
    </row>
    <row r="34" spans="1:3" x14ac:dyDescent="0.3">
      <c r="A34" t="s">
        <v>2047</v>
      </c>
    </row>
    <row r="35" spans="1:3" x14ac:dyDescent="0.3">
      <c r="A35" t="s">
        <v>2048</v>
      </c>
    </row>
    <row r="36" spans="1:3" x14ac:dyDescent="0.3">
      <c r="A36" t="s">
        <v>2049</v>
      </c>
    </row>
    <row r="37" spans="1:3" x14ac:dyDescent="0.3">
      <c r="A37" t="s">
        <v>2050</v>
      </c>
    </row>
    <row r="38" spans="1:3" x14ac:dyDescent="0.3">
      <c r="A38" t="s">
        <v>2051</v>
      </c>
    </row>
    <row r="39" spans="1:3" x14ac:dyDescent="0.3">
      <c r="A39" t="s">
        <v>2052</v>
      </c>
    </row>
    <row r="40" spans="1:3" x14ac:dyDescent="0.3">
      <c r="A40" t="s">
        <v>2053</v>
      </c>
    </row>
    <row r="41" spans="1:3" x14ac:dyDescent="0.3">
      <c r="A41" t="s">
        <v>2054</v>
      </c>
    </row>
    <row r="42" spans="1:3" x14ac:dyDescent="0.3">
      <c r="A42" t="s">
        <v>2055</v>
      </c>
    </row>
    <row r="43" spans="1:3" x14ac:dyDescent="0.3">
      <c r="A43" t="s">
        <v>2056</v>
      </c>
    </row>
    <row r="44" spans="1:3" x14ac:dyDescent="0.3">
      <c r="A44" t="s">
        <v>2057</v>
      </c>
    </row>
    <row r="46" spans="1:3" x14ac:dyDescent="0.3">
      <c r="A46" s="25" t="s">
        <v>295</v>
      </c>
      <c r="B46" s="25"/>
      <c r="C46" s="25"/>
    </row>
    <row r="47" spans="1:3" x14ac:dyDescent="0.3">
      <c r="A47" t="s">
        <v>296</v>
      </c>
      <c r="B47" t="s">
        <v>2058</v>
      </c>
      <c r="C47" t="s">
        <v>2059</v>
      </c>
    </row>
    <row r="48" spans="1:3" x14ac:dyDescent="0.3">
      <c r="A48" t="s">
        <v>299</v>
      </c>
      <c r="B48" t="s">
        <v>2060</v>
      </c>
    </row>
    <row r="49" spans="1:3" x14ac:dyDescent="0.3">
      <c r="A49" t="s">
        <v>301</v>
      </c>
      <c r="B49" t="s">
        <v>2061</v>
      </c>
    </row>
    <row r="50" spans="1:3" x14ac:dyDescent="0.3">
      <c r="A50" t="s">
        <v>303</v>
      </c>
      <c r="B50" t="s">
        <v>2062</v>
      </c>
      <c r="C50" t="s">
        <v>2059</v>
      </c>
    </row>
    <row r="51" spans="1:3" x14ac:dyDescent="0.3">
      <c r="A51" t="s">
        <v>299</v>
      </c>
      <c r="B51" t="s">
        <v>2063</v>
      </c>
    </row>
    <row r="52" spans="1:3" x14ac:dyDescent="0.3">
      <c r="A52" t="s">
        <v>301</v>
      </c>
      <c r="B52" t="s">
        <v>2064</v>
      </c>
    </row>
    <row r="53" spans="1:3" x14ac:dyDescent="0.3">
      <c r="A53" t="s">
        <v>307</v>
      </c>
      <c r="B53" t="s">
        <v>2065</v>
      </c>
      <c r="C53" t="s">
        <v>2059</v>
      </c>
    </row>
    <row r="54" spans="1:3" x14ac:dyDescent="0.3">
      <c r="A54" t="s">
        <v>299</v>
      </c>
      <c r="B54" t="s">
        <v>2066</v>
      </c>
    </row>
    <row r="55" spans="1:3" x14ac:dyDescent="0.3">
      <c r="A55" t="s">
        <v>301</v>
      </c>
      <c r="B55" t="s">
        <v>2067</v>
      </c>
    </row>
    <row r="56" spans="1:3" x14ac:dyDescent="0.3">
      <c r="A56" t="s">
        <v>311</v>
      </c>
      <c r="B56" t="s">
        <v>2068</v>
      </c>
      <c r="C56" t="s">
        <v>2059</v>
      </c>
    </row>
    <row r="57" spans="1:3" x14ac:dyDescent="0.3">
      <c r="A57" t="s">
        <v>299</v>
      </c>
      <c r="B57" t="s">
        <v>2069</v>
      </c>
    </row>
    <row r="58" spans="1:3" x14ac:dyDescent="0.3">
      <c r="A58" t="s">
        <v>301</v>
      </c>
      <c r="B58" t="s">
        <v>2070</v>
      </c>
    </row>
    <row r="59" spans="1:3" x14ac:dyDescent="0.3">
      <c r="A59" t="s">
        <v>316</v>
      </c>
      <c r="B59" t="s">
        <v>2071</v>
      </c>
      <c r="C59" t="s">
        <v>2059</v>
      </c>
    </row>
    <row r="60" spans="1:3" x14ac:dyDescent="0.3">
      <c r="A60" t="s">
        <v>299</v>
      </c>
      <c r="B60" t="s">
        <v>2072</v>
      </c>
    </row>
    <row r="61" spans="1:3" x14ac:dyDescent="0.3">
      <c r="A61" t="s">
        <v>301</v>
      </c>
      <c r="B61" t="s">
        <v>2073</v>
      </c>
    </row>
    <row r="62" spans="1:3" x14ac:dyDescent="0.3">
      <c r="A62" t="s">
        <v>320</v>
      </c>
      <c r="B62" t="s">
        <v>2074</v>
      </c>
      <c r="C62" t="s">
        <v>2059</v>
      </c>
    </row>
    <row r="63" spans="1:3" x14ac:dyDescent="0.3">
      <c r="A63" t="s">
        <v>299</v>
      </c>
      <c r="B63" t="s">
        <v>2075</v>
      </c>
    </row>
    <row r="64" spans="1:3" x14ac:dyDescent="0.3">
      <c r="A64" t="s">
        <v>301</v>
      </c>
      <c r="B64" t="s">
        <v>2076</v>
      </c>
    </row>
    <row r="65" spans="1:3" x14ac:dyDescent="0.3">
      <c r="A65" t="s">
        <v>324</v>
      </c>
      <c r="B65" t="s">
        <v>2077</v>
      </c>
      <c r="C65" t="s">
        <v>2059</v>
      </c>
    </row>
    <row r="66" spans="1:3" x14ac:dyDescent="0.3">
      <c r="A66" t="s">
        <v>299</v>
      </c>
      <c r="B66" t="s">
        <v>2078</v>
      </c>
    </row>
    <row r="67" spans="1:3" x14ac:dyDescent="0.3">
      <c r="A67" t="s">
        <v>301</v>
      </c>
      <c r="B67" t="s">
        <v>2079</v>
      </c>
    </row>
    <row r="68" spans="1:3" x14ac:dyDescent="0.3">
      <c r="A68" t="s">
        <v>328</v>
      </c>
      <c r="B68" t="s">
        <v>2080</v>
      </c>
      <c r="C68" t="s">
        <v>2059</v>
      </c>
    </row>
    <row r="69" spans="1:3" x14ac:dyDescent="0.3">
      <c r="A69" t="s">
        <v>299</v>
      </c>
      <c r="B69" t="s">
        <v>2081</v>
      </c>
    </row>
    <row r="70" spans="1:3" x14ac:dyDescent="0.3">
      <c r="A70" t="s">
        <v>301</v>
      </c>
      <c r="B70" t="s">
        <v>2082</v>
      </c>
    </row>
    <row r="71" spans="1:3" x14ac:dyDescent="0.3">
      <c r="A71" t="s">
        <v>333</v>
      </c>
      <c r="B71" t="s">
        <v>2083</v>
      </c>
      <c r="C71" t="s">
        <v>2059</v>
      </c>
    </row>
    <row r="72" spans="1:3" x14ac:dyDescent="0.3">
      <c r="A72" t="s">
        <v>299</v>
      </c>
      <c r="B72" t="s">
        <v>2084</v>
      </c>
    </row>
    <row r="73" spans="1:3" x14ac:dyDescent="0.3">
      <c r="A73" t="s">
        <v>301</v>
      </c>
      <c r="B73" t="s">
        <v>2085</v>
      </c>
    </row>
    <row r="74" spans="1:3" x14ac:dyDescent="0.3">
      <c r="A74" t="s">
        <v>337</v>
      </c>
      <c r="B74" t="s">
        <v>2086</v>
      </c>
      <c r="C74" t="s">
        <v>2059</v>
      </c>
    </row>
    <row r="75" spans="1:3" x14ac:dyDescent="0.3">
      <c r="A75" t="s">
        <v>299</v>
      </c>
      <c r="B75" t="s">
        <v>2087</v>
      </c>
    </row>
    <row r="76" spans="1:3" x14ac:dyDescent="0.3">
      <c r="A76" t="s">
        <v>301</v>
      </c>
      <c r="B76" t="s">
        <v>2088</v>
      </c>
    </row>
    <row r="77" spans="1:3" x14ac:dyDescent="0.3">
      <c r="A77" t="s">
        <v>341</v>
      </c>
      <c r="B77" t="s">
        <v>2089</v>
      </c>
      <c r="C77" t="s">
        <v>2059</v>
      </c>
    </row>
    <row r="78" spans="1:3" x14ac:dyDescent="0.3">
      <c r="A78" t="s">
        <v>299</v>
      </c>
      <c r="B78" t="s">
        <v>2090</v>
      </c>
    </row>
    <row r="79" spans="1:3" x14ac:dyDescent="0.3">
      <c r="A79" t="s">
        <v>301</v>
      </c>
      <c r="B79" t="s">
        <v>2091</v>
      </c>
    </row>
    <row r="80" spans="1:3" x14ac:dyDescent="0.3">
      <c r="A80" t="s">
        <v>346</v>
      </c>
      <c r="B80" t="s">
        <v>2092</v>
      </c>
      <c r="C80" t="s">
        <v>2059</v>
      </c>
    </row>
    <row r="81" spans="1:3" x14ac:dyDescent="0.3">
      <c r="A81" t="s">
        <v>299</v>
      </c>
      <c r="B81" t="s">
        <v>2093</v>
      </c>
    </row>
    <row r="82" spans="1:3" x14ac:dyDescent="0.3">
      <c r="A82" t="s">
        <v>301</v>
      </c>
      <c r="B82" t="s">
        <v>2094</v>
      </c>
    </row>
    <row r="83" spans="1:3" x14ac:dyDescent="0.3">
      <c r="A83" t="s">
        <v>1453</v>
      </c>
      <c r="B83" t="s">
        <v>2095</v>
      </c>
      <c r="C83" t="s">
        <v>2059</v>
      </c>
    </row>
    <row r="84" spans="1:3" x14ac:dyDescent="0.3">
      <c r="A84" t="s">
        <v>299</v>
      </c>
      <c r="B84" t="s">
        <v>2096</v>
      </c>
    </row>
    <row r="85" spans="1:3" x14ac:dyDescent="0.3">
      <c r="A85" t="s">
        <v>301</v>
      </c>
      <c r="B85" t="s">
        <v>2097</v>
      </c>
    </row>
    <row r="86" spans="1:3" x14ac:dyDescent="0.3">
      <c r="A86" t="s">
        <v>1457</v>
      </c>
      <c r="B86" t="s">
        <v>2098</v>
      </c>
      <c r="C86" t="s">
        <v>2059</v>
      </c>
    </row>
    <row r="87" spans="1:3" x14ac:dyDescent="0.3">
      <c r="A87" t="s">
        <v>299</v>
      </c>
      <c r="B87" t="s">
        <v>2099</v>
      </c>
    </row>
    <row r="88" spans="1:3" x14ac:dyDescent="0.3">
      <c r="A88" t="s">
        <v>301</v>
      </c>
      <c r="B88" t="s">
        <v>2100</v>
      </c>
    </row>
    <row r="89" spans="1:3" x14ac:dyDescent="0.3">
      <c r="A89" t="s">
        <v>1461</v>
      </c>
      <c r="B89" t="s">
        <v>2101</v>
      </c>
      <c r="C89" t="s">
        <v>2059</v>
      </c>
    </row>
    <row r="90" spans="1:3" x14ac:dyDescent="0.3">
      <c r="A90" t="s">
        <v>299</v>
      </c>
      <c r="B90" t="s">
        <v>2102</v>
      </c>
    </row>
    <row r="91" spans="1:3" x14ac:dyDescent="0.3">
      <c r="A91" t="s">
        <v>301</v>
      </c>
      <c r="B91" t="s">
        <v>2103</v>
      </c>
    </row>
    <row r="92" spans="1:3" x14ac:dyDescent="0.3">
      <c r="A92" t="s">
        <v>1465</v>
      </c>
      <c r="B92" t="s">
        <v>2104</v>
      </c>
      <c r="C92" t="s">
        <v>2059</v>
      </c>
    </row>
    <row r="93" spans="1:3" x14ac:dyDescent="0.3">
      <c r="A93" t="s">
        <v>299</v>
      </c>
      <c r="B93" t="s">
        <v>2105</v>
      </c>
    </row>
    <row r="94" spans="1:3" x14ac:dyDescent="0.3">
      <c r="A94" t="s">
        <v>301</v>
      </c>
      <c r="B94" t="s">
        <v>2106</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C73"/>
  <sheetViews>
    <sheetView workbookViewId="0"/>
  </sheetViews>
  <sheetFormatPr defaultRowHeight="14.4" x14ac:dyDescent="0.3"/>
  <cols>
    <col min="1" max="1" width="46" customWidth="1"/>
    <col min="2" max="8" width="15" customWidth="1"/>
  </cols>
  <sheetData>
    <row r="1" spans="1:3" x14ac:dyDescent="0.3">
      <c r="A1" s="24" t="s">
        <v>181</v>
      </c>
      <c r="B1" t="s">
        <v>2107</v>
      </c>
    </row>
    <row r="2" spans="1:3" x14ac:dyDescent="0.3">
      <c r="A2" s="24" t="s">
        <v>183</v>
      </c>
      <c r="B2" t="s">
        <v>2108</v>
      </c>
    </row>
    <row r="4" spans="1:3" x14ac:dyDescent="0.3">
      <c r="A4" s="25" t="s">
        <v>185</v>
      </c>
      <c r="B4" s="25"/>
      <c r="C4" s="25"/>
    </row>
    <row r="6" spans="1:3" x14ac:dyDescent="0.3">
      <c r="A6" t="s">
        <v>2109</v>
      </c>
      <c r="B6" t="s">
        <v>238</v>
      </c>
    </row>
    <row r="7" spans="1:3" x14ac:dyDescent="0.3">
      <c r="A7" t="s">
        <v>2110</v>
      </c>
      <c r="B7" t="s">
        <v>2111</v>
      </c>
    </row>
    <row r="8" spans="1:3" x14ac:dyDescent="0.3">
      <c r="A8" t="s">
        <v>2112</v>
      </c>
      <c r="B8" t="s">
        <v>2113</v>
      </c>
    </row>
    <row r="9" spans="1:3" x14ac:dyDescent="0.3">
      <c r="A9" t="s">
        <v>2012</v>
      </c>
      <c r="B9" t="s">
        <v>2114</v>
      </c>
    </row>
    <row r="10" spans="1:3" x14ac:dyDescent="0.3">
      <c r="A10" t="s">
        <v>2115</v>
      </c>
      <c r="B10" t="s">
        <v>2015</v>
      </c>
    </row>
    <row r="11" spans="1:3" x14ac:dyDescent="0.3">
      <c r="A11" t="s">
        <v>2116</v>
      </c>
      <c r="B11" t="s">
        <v>2117</v>
      </c>
    </row>
    <row r="12" spans="1:3" x14ac:dyDescent="0.3">
      <c r="A12" t="s">
        <v>2118</v>
      </c>
      <c r="B12" t="s">
        <v>2119</v>
      </c>
    </row>
    <row r="13" spans="1:3" x14ac:dyDescent="0.3">
      <c r="A13" t="s">
        <v>2120</v>
      </c>
      <c r="B13" t="s">
        <v>2121</v>
      </c>
    </row>
    <row r="15" spans="1:3" x14ac:dyDescent="0.3">
      <c r="A15" t="s">
        <v>2122</v>
      </c>
      <c r="B15" t="s">
        <v>238</v>
      </c>
    </row>
    <row r="16" spans="1:3" x14ac:dyDescent="0.3">
      <c r="A16" t="s">
        <v>2123</v>
      </c>
      <c r="B16" t="s">
        <v>2124</v>
      </c>
    </row>
    <row r="17" spans="1:3" x14ac:dyDescent="0.3">
      <c r="A17" t="s">
        <v>2125</v>
      </c>
      <c r="B17" t="s">
        <v>2126</v>
      </c>
    </row>
    <row r="18" spans="1:3" x14ac:dyDescent="0.3">
      <c r="A18" t="s">
        <v>2127</v>
      </c>
      <c r="B18" t="s">
        <v>1376</v>
      </c>
    </row>
    <row r="19" spans="1:3" x14ac:dyDescent="0.3">
      <c r="A19" t="s">
        <v>2128</v>
      </c>
      <c r="B19" t="s">
        <v>2129</v>
      </c>
    </row>
    <row r="20" spans="1:3" x14ac:dyDescent="0.3">
      <c r="A20" t="s">
        <v>2032</v>
      </c>
      <c r="B20" t="s">
        <v>2130</v>
      </c>
    </row>
    <row r="22" spans="1:3" x14ac:dyDescent="0.3">
      <c r="A22" t="s">
        <v>1061</v>
      </c>
      <c r="B22" t="s">
        <v>238</v>
      </c>
      <c r="C22" t="s">
        <v>274</v>
      </c>
    </row>
    <row r="23" spans="1:3" x14ac:dyDescent="0.3">
      <c r="A23" t="s">
        <v>2131</v>
      </c>
      <c r="B23" t="s">
        <v>2111</v>
      </c>
      <c r="C23" t="s">
        <v>2132</v>
      </c>
    </row>
    <row r="24" spans="1:3" x14ac:dyDescent="0.3">
      <c r="A24" t="s">
        <v>2133</v>
      </c>
      <c r="B24" t="s">
        <v>2134</v>
      </c>
      <c r="C24" t="s">
        <v>2042</v>
      </c>
    </row>
    <row r="25" spans="1:3" x14ac:dyDescent="0.3">
      <c r="A25" t="s">
        <v>2135</v>
      </c>
      <c r="B25" t="s">
        <v>2136</v>
      </c>
      <c r="C25" t="s">
        <v>2137</v>
      </c>
    </row>
    <row r="26" spans="1:3" x14ac:dyDescent="0.3">
      <c r="A26" t="s">
        <v>2138</v>
      </c>
      <c r="B26" t="s">
        <v>2139</v>
      </c>
      <c r="C26" t="s">
        <v>2140</v>
      </c>
    </row>
    <row r="27" spans="1:3" x14ac:dyDescent="0.3">
      <c r="A27" t="s">
        <v>2141</v>
      </c>
      <c r="B27" t="s">
        <v>2142</v>
      </c>
      <c r="C27" t="s">
        <v>570</v>
      </c>
    </row>
    <row r="28" spans="1:3" x14ac:dyDescent="0.3">
      <c r="A28" t="s">
        <v>2143</v>
      </c>
      <c r="B28" t="s">
        <v>2144</v>
      </c>
      <c r="C28" t="s">
        <v>2145</v>
      </c>
    </row>
    <row r="30" spans="1:3" x14ac:dyDescent="0.3">
      <c r="A30" s="25" t="s">
        <v>281</v>
      </c>
      <c r="B30" s="25"/>
      <c r="C30" s="25"/>
    </row>
    <row r="31" spans="1:3" x14ac:dyDescent="0.3">
      <c r="A31" t="s">
        <v>2146</v>
      </c>
    </row>
    <row r="32" spans="1:3" x14ac:dyDescent="0.3">
      <c r="A32" t="s">
        <v>2147</v>
      </c>
    </row>
    <row r="33" spans="1:3" x14ac:dyDescent="0.3">
      <c r="A33" t="s">
        <v>2148</v>
      </c>
    </row>
    <row r="34" spans="1:3" x14ac:dyDescent="0.3">
      <c r="A34" t="s">
        <v>2149</v>
      </c>
    </row>
    <row r="35" spans="1:3" x14ac:dyDescent="0.3">
      <c r="A35" t="s">
        <v>2150</v>
      </c>
    </row>
    <row r="36" spans="1:3" x14ac:dyDescent="0.3">
      <c r="A36" t="s">
        <v>2151</v>
      </c>
    </row>
    <row r="37" spans="1:3" x14ac:dyDescent="0.3">
      <c r="A37" t="s">
        <v>2152</v>
      </c>
    </row>
    <row r="38" spans="1:3" x14ac:dyDescent="0.3">
      <c r="A38" t="s">
        <v>2153</v>
      </c>
    </row>
    <row r="39" spans="1:3" x14ac:dyDescent="0.3">
      <c r="A39" t="s">
        <v>2154</v>
      </c>
    </row>
    <row r="40" spans="1:3" x14ac:dyDescent="0.3">
      <c r="A40" t="s">
        <v>2155</v>
      </c>
    </row>
    <row r="41" spans="1:3" x14ac:dyDescent="0.3">
      <c r="A41" t="s">
        <v>2156</v>
      </c>
    </row>
    <row r="42" spans="1:3" x14ac:dyDescent="0.3">
      <c r="A42" t="s">
        <v>2157</v>
      </c>
    </row>
    <row r="43" spans="1:3" x14ac:dyDescent="0.3">
      <c r="A43" t="s">
        <v>2158</v>
      </c>
    </row>
    <row r="44" spans="1:3" x14ac:dyDescent="0.3">
      <c r="A44" t="s">
        <v>2159</v>
      </c>
    </row>
    <row r="46" spans="1:3" x14ac:dyDescent="0.3">
      <c r="A46" s="25" t="s">
        <v>295</v>
      </c>
      <c r="B46" s="25"/>
      <c r="C46" s="25"/>
    </row>
    <row r="47" spans="1:3" x14ac:dyDescent="0.3">
      <c r="A47" t="s">
        <v>296</v>
      </c>
      <c r="B47" t="s">
        <v>2160</v>
      </c>
      <c r="C47" t="s">
        <v>2161</v>
      </c>
    </row>
    <row r="48" spans="1:3" x14ac:dyDescent="0.3">
      <c r="A48" t="s">
        <v>299</v>
      </c>
      <c r="B48" t="s">
        <v>2162</v>
      </c>
    </row>
    <row r="49" spans="1:3" x14ac:dyDescent="0.3">
      <c r="A49" t="s">
        <v>301</v>
      </c>
      <c r="B49" t="s">
        <v>2163</v>
      </c>
    </row>
    <row r="50" spans="1:3" x14ac:dyDescent="0.3">
      <c r="A50" t="s">
        <v>303</v>
      </c>
      <c r="B50" t="s">
        <v>2164</v>
      </c>
      <c r="C50" t="s">
        <v>2161</v>
      </c>
    </row>
    <row r="51" spans="1:3" x14ac:dyDescent="0.3">
      <c r="A51" t="s">
        <v>299</v>
      </c>
      <c r="B51" t="s">
        <v>2165</v>
      </c>
    </row>
    <row r="52" spans="1:3" x14ac:dyDescent="0.3">
      <c r="A52" t="s">
        <v>301</v>
      </c>
      <c r="B52" t="s">
        <v>2166</v>
      </c>
    </row>
    <row r="53" spans="1:3" x14ac:dyDescent="0.3">
      <c r="A53" t="s">
        <v>307</v>
      </c>
      <c r="B53" t="s">
        <v>2167</v>
      </c>
      <c r="C53" t="s">
        <v>2161</v>
      </c>
    </row>
    <row r="54" spans="1:3" x14ac:dyDescent="0.3">
      <c r="A54" t="s">
        <v>299</v>
      </c>
      <c r="B54" t="s">
        <v>2168</v>
      </c>
    </row>
    <row r="55" spans="1:3" x14ac:dyDescent="0.3">
      <c r="A55" t="s">
        <v>301</v>
      </c>
      <c r="B55" t="s">
        <v>2169</v>
      </c>
    </row>
    <row r="56" spans="1:3" x14ac:dyDescent="0.3">
      <c r="A56" t="s">
        <v>311</v>
      </c>
      <c r="B56" t="s">
        <v>2170</v>
      </c>
      <c r="C56" t="s">
        <v>2161</v>
      </c>
    </row>
    <row r="57" spans="1:3" x14ac:dyDescent="0.3">
      <c r="A57" t="s">
        <v>299</v>
      </c>
      <c r="B57" t="s">
        <v>2171</v>
      </c>
    </row>
    <row r="58" spans="1:3" x14ac:dyDescent="0.3">
      <c r="A58" t="s">
        <v>301</v>
      </c>
      <c r="B58" t="s">
        <v>2172</v>
      </c>
    </row>
    <row r="59" spans="1:3" x14ac:dyDescent="0.3">
      <c r="A59" t="s">
        <v>316</v>
      </c>
      <c r="B59" t="s">
        <v>2173</v>
      </c>
      <c r="C59" t="s">
        <v>2161</v>
      </c>
    </row>
    <row r="60" spans="1:3" x14ac:dyDescent="0.3">
      <c r="A60" t="s">
        <v>299</v>
      </c>
      <c r="B60" t="s">
        <v>2174</v>
      </c>
    </row>
    <row r="61" spans="1:3" x14ac:dyDescent="0.3">
      <c r="A61" t="s">
        <v>301</v>
      </c>
      <c r="B61" t="s">
        <v>2175</v>
      </c>
    </row>
    <row r="62" spans="1:3" x14ac:dyDescent="0.3">
      <c r="A62" t="s">
        <v>320</v>
      </c>
      <c r="B62" t="s">
        <v>2176</v>
      </c>
      <c r="C62" t="s">
        <v>2161</v>
      </c>
    </row>
    <row r="63" spans="1:3" x14ac:dyDescent="0.3">
      <c r="A63" t="s">
        <v>299</v>
      </c>
      <c r="B63" t="s">
        <v>2177</v>
      </c>
    </row>
    <row r="64" spans="1:3" x14ac:dyDescent="0.3">
      <c r="A64" t="s">
        <v>301</v>
      </c>
      <c r="B64" t="s">
        <v>2178</v>
      </c>
    </row>
    <row r="65" spans="1:3" x14ac:dyDescent="0.3">
      <c r="A65" t="s">
        <v>324</v>
      </c>
      <c r="B65" t="s">
        <v>2179</v>
      </c>
      <c r="C65" t="s">
        <v>2161</v>
      </c>
    </row>
    <row r="66" spans="1:3" x14ac:dyDescent="0.3">
      <c r="A66" t="s">
        <v>299</v>
      </c>
      <c r="B66" t="s">
        <v>2180</v>
      </c>
    </row>
    <row r="67" spans="1:3" x14ac:dyDescent="0.3">
      <c r="A67" t="s">
        <v>301</v>
      </c>
      <c r="B67" t="s">
        <v>2181</v>
      </c>
    </row>
    <row r="68" spans="1:3" x14ac:dyDescent="0.3">
      <c r="A68" t="s">
        <v>328</v>
      </c>
      <c r="B68" t="s">
        <v>2182</v>
      </c>
      <c r="C68" t="s">
        <v>2161</v>
      </c>
    </row>
    <row r="69" spans="1:3" x14ac:dyDescent="0.3">
      <c r="A69" t="s">
        <v>299</v>
      </c>
      <c r="B69" t="s">
        <v>2183</v>
      </c>
    </row>
    <row r="70" spans="1:3" x14ac:dyDescent="0.3">
      <c r="A70" t="s">
        <v>301</v>
      </c>
      <c r="B70" t="s">
        <v>2184</v>
      </c>
    </row>
    <row r="71" spans="1:3" x14ac:dyDescent="0.3">
      <c r="A71" t="s">
        <v>333</v>
      </c>
      <c r="B71" t="s">
        <v>2185</v>
      </c>
      <c r="C71" t="s">
        <v>2161</v>
      </c>
    </row>
    <row r="72" spans="1:3" x14ac:dyDescent="0.3">
      <c r="A72" t="s">
        <v>299</v>
      </c>
      <c r="B72" t="s">
        <v>2186</v>
      </c>
    </row>
    <row r="73" spans="1:3" x14ac:dyDescent="0.3">
      <c r="A73" t="s">
        <v>301</v>
      </c>
      <c r="B73" t="s">
        <v>2187</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130"/>
  <sheetViews>
    <sheetView workbookViewId="0"/>
  </sheetViews>
  <sheetFormatPr defaultRowHeight="14.4" x14ac:dyDescent="0.3"/>
  <cols>
    <col min="1" max="1" width="46" customWidth="1"/>
    <col min="2" max="8" width="15" customWidth="1"/>
  </cols>
  <sheetData>
    <row r="1" spans="1:4" x14ac:dyDescent="0.3">
      <c r="A1" s="24" t="s">
        <v>181</v>
      </c>
      <c r="B1" t="s">
        <v>2188</v>
      </c>
    </row>
    <row r="2" spans="1:4" x14ac:dyDescent="0.3">
      <c r="A2" s="24" t="s">
        <v>183</v>
      </c>
      <c r="B2" t="s">
        <v>2189</v>
      </c>
    </row>
    <row r="4" spans="1:4" x14ac:dyDescent="0.3">
      <c r="A4" s="25" t="s">
        <v>185</v>
      </c>
      <c r="B4" s="25"/>
      <c r="C4" s="25"/>
      <c r="D4" s="25"/>
    </row>
    <row r="6" spans="1:4" x14ac:dyDescent="0.3">
      <c r="A6" t="s">
        <v>2190</v>
      </c>
      <c r="B6" t="s">
        <v>2191</v>
      </c>
      <c r="C6" t="s">
        <v>2192</v>
      </c>
      <c r="D6" t="s">
        <v>189</v>
      </c>
    </row>
    <row r="7" spans="1:4" x14ac:dyDescent="0.3">
      <c r="A7" t="s">
        <v>45</v>
      </c>
      <c r="B7">
        <v>104.3</v>
      </c>
      <c r="C7">
        <v>35.700000000000003</v>
      </c>
      <c r="D7" t="s">
        <v>2193</v>
      </c>
    </row>
    <row r="8" spans="1:4" x14ac:dyDescent="0.3">
      <c r="A8" t="s">
        <v>2194</v>
      </c>
      <c r="B8">
        <v>95.9</v>
      </c>
      <c r="C8">
        <v>28.4</v>
      </c>
      <c r="D8" t="s">
        <v>2195</v>
      </c>
    </row>
    <row r="9" spans="1:4" x14ac:dyDescent="0.3">
      <c r="A9" t="s">
        <v>47</v>
      </c>
      <c r="B9">
        <v>8.3000000000000007</v>
      </c>
      <c r="C9">
        <v>7.2</v>
      </c>
      <c r="D9" t="s">
        <v>2196</v>
      </c>
    </row>
    <row r="10" spans="1:4" x14ac:dyDescent="0.3">
      <c r="A10" t="s">
        <v>48</v>
      </c>
      <c r="B10">
        <v>7.4</v>
      </c>
      <c r="C10">
        <v>6.9</v>
      </c>
      <c r="D10" t="s">
        <v>198</v>
      </c>
    </row>
    <row r="11" spans="1:4" x14ac:dyDescent="0.3">
      <c r="A11" t="s">
        <v>49</v>
      </c>
      <c r="B11">
        <v>0.68</v>
      </c>
      <c r="C11">
        <v>0.224</v>
      </c>
      <c r="D11" t="s">
        <v>2197</v>
      </c>
    </row>
    <row r="13" spans="1:4" x14ac:dyDescent="0.3">
      <c r="A13" t="s">
        <v>2198</v>
      </c>
      <c r="B13" t="s">
        <v>21</v>
      </c>
      <c r="C13" t="s">
        <v>16</v>
      </c>
      <c r="D13" t="s">
        <v>189</v>
      </c>
    </row>
    <row r="14" spans="1:4" x14ac:dyDescent="0.3">
      <c r="A14" t="s">
        <v>45</v>
      </c>
      <c r="B14" t="s">
        <v>2199</v>
      </c>
      <c r="C14" t="s">
        <v>1495</v>
      </c>
      <c r="D14" t="s">
        <v>1121</v>
      </c>
    </row>
    <row r="15" spans="1:4" x14ac:dyDescent="0.3">
      <c r="A15" t="s">
        <v>145</v>
      </c>
      <c r="B15">
        <v>3.2</v>
      </c>
      <c r="C15">
        <v>1.5</v>
      </c>
      <c r="D15" t="s">
        <v>2200</v>
      </c>
    </row>
    <row r="17" spans="1:4" x14ac:dyDescent="0.3">
      <c r="A17" t="s">
        <v>2201</v>
      </c>
      <c r="B17" t="s">
        <v>2191</v>
      </c>
      <c r="C17" t="s">
        <v>2192</v>
      </c>
      <c r="D17" t="s">
        <v>189</v>
      </c>
    </row>
    <row r="18" spans="1:4" x14ac:dyDescent="0.3">
      <c r="A18" t="s">
        <v>51</v>
      </c>
      <c r="B18">
        <v>42.4</v>
      </c>
      <c r="C18">
        <v>17.399999999999999</v>
      </c>
      <c r="D18" t="s">
        <v>1848</v>
      </c>
    </row>
    <row r="19" spans="1:4" x14ac:dyDescent="0.3">
      <c r="A19" t="s">
        <v>1011</v>
      </c>
      <c r="B19" t="s">
        <v>2202</v>
      </c>
      <c r="C19" t="s">
        <v>1500</v>
      </c>
      <c r="D19" t="s">
        <v>2203</v>
      </c>
    </row>
    <row r="20" spans="1:4" x14ac:dyDescent="0.3">
      <c r="A20" t="s">
        <v>2204</v>
      </c>
      <c r="B20" t="s">
        <v>2205</v>
      </c>
      <c r="C20" t="s">
        <v>2206</v>
      </c>
      <c r="D20" t="s">
        <v>2207</v>
      </c>
    </row>
    <row r="21" spans="1:4" x14ac:dyDescent="0.3">
      <c r="A21" t="s">
        <v>1014</v>
      </c>
      <c r="B21">
        <v>24.6</v>
      </c>
      <c r="C21">
        <v>11.2</v>
      </c>
      <c r="D21" t="s">
        <v>2208</v>
      </c>
    </row>
    <row r="22" spans="1:4" x14ac:dyDescent="0.3">
      <c r="A22" t="s">
        <v>1016</v>
      </c>
      <c r="B22">
        <v>14.2</v>
      </c>
      <c r="C22">
        <v>5.7</v>
      </c>
      <c r="D22" t="s">
        <v>2209</v>
      </c>
    </row>
    <row r="23" spans="1:4" x14ac:dyDescent="0.3">
      <c r="A23" t="s">
        <v>2210</v>
      </c>
      <c r="B23">
        <v>7.8</v>
      </c>
      <c r="C23">
        <v>1.6</v>
      </c>
      <c r="D23" t="s">
        <v>2211</v>
      </c>
    </row>
    <row r="24" spans="1:4" x14ac:dyDescent="0.3">
      <c r="A24" t="s">
        <v>55</v>
      </c>
      <c r="B24">
        <v>11.9</v>
      </c>
      <c r="C24">
        <v>0.95</v>
      </c>
      <c r="D24" t="s">
        <v>1121</v>
      </c>
    </row>
    <row r="25" spans="1:4" x14ac:dyDescent="0.3">
      <c r="A25" t="s">
        <v>2212</v>
      </c>
      <c r="B25">
        <v>0.16</v>
      </c>
      <c r="C25">
        <v>0.01</v>
      </c>
      <c r="D25" t="s">
        <v>2213</v>
      </c>
    </row>
    <row r="26" spans="1:4" x14ac:dyDescent="0.3">
      <c r="A26" t="s">
        <v>1018</v>
      </c>
      <c r="B26">
        <v>0.15</v>
      </c>
      <c r="C26" t="s">
        <v>1034</v>
      </c>
      <c r="D26" t="s">
        <v>197</v>
      </c>
    </row>
    <row r="28" spans="1:4" x14ac:dyDescent="0.3">
      <c r="A28" t="s">
        <v>1646</v>
      </c>
      <c r="B28" t="s">
        <v>2214</v>
      </c>
    </row>
    <row r="29" spans="1:4" x14ac:dyDescent="0.3">
      <c r="A29" t="s">
        <v>2215</v>
      </c>
      <c r="B29" t="s">
        <v>2216</v>
      </c>
    </row>
    <row r="30" spans="1:4" x14ac:dyDescent="0.3">
      <c r="A30" t="s">
        <v>2217</v>
      </c>
      <c r="B30" t="s">
        <v>2218</v>
      </c>
    </row>
    <row r="31" spans="1:4" x14ac:dyDescent="0.3">
      <c r="A31" t="s">
        <v>2219</v>
      </c>
      <c r="B31" t="s">
        <v>2220</v>
      </c>
    </row>
    <row r="32" spans="1:4" x14ac:dyDescent="0.3">
      <c r="A32" t="s">
        <v>2221</v>
      </c>
      <c r="B32" t="s">
        <v>2222</v>
      </c>
    </row>
    <row r="33" spans="1:4" x14ac:dyDescent="0.3">
      <c r="A33" t="s">
        <v>2223</v>
      </c>
      <c r="B33" t="s">
        <v>2224</v>
      </c>
    </row>
    <row r="35" spans="1:4" x14ac:dyDescent="0.3">
      <c r="A35" t="s">
        <v>2225</v>
      </c>
      <c r="B35" t="s">
        <v>2226</v>
      </c>
      <c r="C35" t="s">
        <v>1534</v>
      </c>
      <c r="D35" t="s">
        <v>248</v>
      </c>
    </row>
    <row r="36" spans="1:4" x14ac:dyDescent="0.3">
      <c r="A36" t="s">
        <v>58</v>
      </c>
      <c r="B36">
        <v>16.3</v>
      </c>
      <c r="C36">
        <v>43.2</v>
      </c>
      <c r="D36" t="s">
        <v>387</v>
      </c>
    </row>
    <row r="37" spans="1:4" x14ac:dyDescent="0.3">
      <c r="A37" t="s">
        <v>59</v>
      </c>
      <c r="B37">
        <v>169</v>
      </c>
      <c r="C37">
        <v>66.8</v>
      </c>
      <c r="D37" t="s">
        <v>2227</v>
      </c>
    </row>
    <row r="38" spans="1:4" x14ac:dyDescent="0.3">
      <c r="A38" t="s">
        <v>139</v>
      </c>
      <c r="B38">
        <v>191.2</v>
      </c>
      <c r="C38">
        <v>18.399999999999999</v>
      </c>
      <c r="D38" t="s">
        <v>2228</v>
      </c>
    </row>
    <row r="39" spans="1:4" x14ac:dyDescent="0.3">
      <c r="A39" t="s">
        <v>135</v>
      </c>
      <c r="B39" t="s">
        <v>1662</v>
      </c>
    </row>
    <row r="40" spans="1:4" x14ac:dyDescent="0.3">
      <c r="A40" t="s">
        <v>2229</v>
      </c>
      <c r="B40" t="s">
        <v>2230</v>
      </c>
    </row>
    <row r="42" spans="1:4" x14ac:dyDescent="0.3">
      <c r="A42" t="s">
        <v>1039</v>
      </c>
      <c r="B42" t="s">
        <v>2231</v>
      </c>
      <c r="C42" t="s">
        <v>2232</v>
      </c>
    </row>
    <row r="43" spans="1:4" x14ac:dyDescent="0.3">
      <c r="A43" t="s">
        <v>111</v>
      </c>
      <c r="B43" t="s">
        <v>2233</v>
      </c>
      <c r="C43" t="s">
        <v>2234</v>
      </c>
    </row>
    <row r="44" spans="1:4" x14ac:dyDescent="0.3">
      <c r="A44" t="s">
        <v>110</v>
      </c>
      <c r="B44" t="s">
        <v>1846</v>
      </c>
      <c r="C44" t="s">
        <v>2134</v>
      </c>
    </row>
    <row r="45" spans="1:4" x14ac:dyDescent="0.3">
      <c r="A45" t="s">
        <v>61</v>
      </c>
      <c r="B45" t="s">
        <v>2235</v>
      </c>
    </row>
    <row r="46" spans="1:4" x14ac:dyDescent="0.3">
      <c r="A46" t="s">
        <v>176</v>
      </c>
      <c r="B46" t="s">
        <v>2236</v>
      </c>
      <c r="C46" t="s">
        <v>2237</v>
      </c>
    </row>
    <row r="47" spans="1:4" x14ac:dyDescent="0.3">
      <c r="A47" t="s">
        <v>2238</v>
      </c>
      <c r="B47" t="s">
        <v>2239</v>
      </c>
    </row>
    <row r="48" spans="1:4" x14ac:dyDescent="0.3">
      <c r="A48" t="s">
        <v>96</v>
      </c>
      <c r="B48" t="s">
        <v>2240</v>
      </c>
    </row>
    <row r="49" spans="1:3" x14ac:dyDescent="0.3">
      <c r="A49" t="s">
        <v>2241</v>
      </c>
      <c r="B49" t="s">
        <v>2242</v>
      </c>
    </row>
    <row r="50" spans="1:3" x14ac:dyDescent="0.3">
      <c r="A50" t="s">
        <v>2243</v>
      </c>
      <c r="B50" t="s">
        <v>2244</v>
      </c>
    </row>
    <row r="51" spans="1:3" x14ac:dyDescent="0.3">
      <c r="A51" t="s">
        <v>2245</v>
      </c>
      <c r="B51" t="s">
        <v>2246</v>
      </c>
      <c r="C51" t="s">
        <v>2247</v>
      </c>
    </row>
    <row r="52" spans="1:3" x14ac:dyDescent="0.3">
      <c r="A52" t="s">
        <v>2248</v>
      </c>
      <c r="B52" t="s">
        <v>2249</v>
      </c>
    </row>
    <row r="54" spans="1:3" x14ac:dyDescent="0.3">
      <c r="A54" t="s">
        <v>2250</v>
      </c>
      <c r="B54" t="s">
        <v>238</v>
      </c>
    </row>
    <row r="55" spans="1:3" x14ac:dyDescent="0.3">
      <c r="A55" t="s">
        <v>2251</v>
      </c>
      <c r="B55" t="s">
        <v>2252</v>
      </c>
    </row>
    <row r="56" spans="1:3" x14ac:dyDescent="0.3">
      <c r="A56" t="s">
        <v>2253</v>
      </c>
      <c r="B56" t="s">
        <v>2254</v>
      </c>
    </row>
    <row r="57" spans="1:3" x14ac:dyDescent="0.3">
      <c r="A57" t="s">
        <v>2255</v>
      </c>
      <c r="B57" t="s">
        <v>2256</v>
      </c>
    </row>
    <row r="58" spans="1:3" x14ac:dyDescent="0.3">
      <c r="A58" t="s">
        <v>2257</v>
      </c>
      <c r="B58" t="s">
        <v>2258</v>
      </c>
    </row>
    <row r="59" spans="1:3" x14ac:dyDescent="0.3">
      <c r="A59" t="s">
        <v>2259</v>
      </c>
      <c r="B59" t="s">
        <v>2260</v>
      </c>
    </row>
    <row r="60" spans="1:3" x14ac:dyDescent="0.3">
      <c r="A60" t="s">
        <v>2261</v>
      </c>
      <c r="B60" t="s">
        <v>2262</v>
      </c>
    </row>
    <row r="61" spans="1:3" x14ac:dyDescent="0.3">
      <c r="A61" t="s">
        <v>2263</v>
      </c>
      <c r="B61" t="s">
        <v>2264</v>
      </c>
    </row>
    <row r="63" spans="1:3" x14ac:dyDescent="0.3">
      <c r="A63" t="s">
        <v>1061</v>
      </c>
      <c r="B63" t="s">
        <v>238</v>
      </c>
      <c r="C63" t="s">
        <v>274</v>
      </c>
    </row>
    <row r="64" spans="1:3" x14ac:dyDescent="0.3">
      <c r="A64" t="s">
        <v>2265</v>
      </c>
      <c r="B64" t="s">
        <v>2266</v>
      </c>
      <c r="C64" t="s">
        <v>2267</v>
      </c>
    </row>
    <row r="65" spans="1:4" x14ac:dyDescent="0.3">
      <c r="A65" t="s">
        <v>2268</v>
      </c>
      <c r="B65" t="s">
        <v>2269</v>
      </c>
      <c r="C65" t="s">
        <v>2270</v>
      </c>
    </row>
    <row r="66" spans="1:4" x14ac:dyDescent="0.3">
      <c r="A66" t="s">
        <v>2271</v>
      </c>
      <c r="B66" t="s">
        <v>2272</v>
      </c>
      <c r="C66" t="s">
        <v>2270</v>
      </c>
    </row>
    <row r="67" spans="1:4" x14ac:dyDescent="0.3">
      <c r="A67" t="s">
        <v>2273</v>
      </c>
      <c r="B67" t="s">
        <v>2274</v>
      </c>
      <c r="C67" t="s">
        <v>2275</v>
      </c>
    </row>
    <row r="68" spans="1:4" x14ac:dyDescent="0.3">
      <c r="A68" t="s">
        <v>2276</v>
      </c>
      <c r="B68" t="s">
        <v>2277</v>
      </c>
      <c r="C68" t="s">
        <v>570</v>
      </c>
    </row>
    <row r="69" spans="1:4" x14ac:dyDescent="0.3">
      <c r="A69" t="s">
        <v>2278</v>
      </c>
      <c r="B69" t="s">
        <v>2279</v>
      </c>
      <c r="C69" t="s">
        <v>1345</v>
      </c>
    </row>
    <row r="70" spans="1:4" x14ac:dyDescent="0.3">
      <c r="A70" t="s">
        <v>2280</v>
      </c>
      <c r="B70" t="s">
        <v>2281</v>
      </c>
      <c r="C70" t="s">
        <v>2282</v>
      </c>
    </row>
    <row r="71" spans="1:4" x14ac:dyDescent="0.3">
      <c r="A71" t="s">
        <v>2283</v>
      </c>
      <c r="B71" t="s">
        <v>2284</v>
      </c>
      <c r="C71" t="s">
        <v>570</v>
      </c>
    </row>
    <row r="72" spans="1:4" x14ac:dyDescent="0.3">
      <c r="A72" t="s">
        <v>2285</v>
      </c>
      <c r="B72" t="s">
        <v>2286</v>
      </c>
      <c r="C72" t="s">
        <v>570</v>
      </c>
    </row>
    <row r="73" spans="1:4" x14ac:dyDescent="0.3">
      <c r="A73" t="s">
        <v>2287</v>
      </c>
      <c r="B73" t="s">
        <v>2288</v>
      </c>
      <c r="C73" t="s">
        <v>700</v>
      </c>
    </row>
    <row r="75" spans="1:4" x14ac:dyDescent="0.3">
      <c r="A75" s="25" t="s">
        <v>281</v>
      </c>
      <c r="B75" s="25"/>
      <c r="C75" s="25"/>
      <c r="D75" s="25"/>
    </row>
    <row r="76" spans="1:4" x14ac:dyDescent="0.3">
      <c r="A76" t="s">
        <v>2289</v>
      </c>
    </row>
    <row r="77" spans="1:4" x14ac:dyDescent="0.3">
      <c r="A77" t="s">
        <v>2290</v>
      </c>
    </row>
    <row r="78" spans="1:4" x14ac:dyDescent="0.3">
      <c r="A78" t="s">
        <v>2291</v>
      </c>
    </row>
    <row r="79" spans="1:4" x14ac:dyDescent="0.3">
      <c r="A79" t="s">
        <v>2292</v>
      </c>
    </row>
    <row r="80" spans="1:4" x14ac:dyDescent="0.3">
      <c r="A80" t="s">
        <v>2293</v>
      </c>
    </row>
    <row r="81" spans="1:4" x14ac:dyDescent="0.3">
      <c r="A81" t="s">
        <v>2294</v>
      </c>
    </row>
    <row r="82" spans="1:4" x14ac:dyDescent="0.3">
      <c r="A82" t="s">
        <v>2295</v>
      </c>
    </row>
    <row r="83" spans="1:4" x14ac:dyDescent="0.3">
      <c r="A83" t="s">
        <v>2296</v>
      </c>
    </row>
    <row r="84" spans="1:4" x14ac:dyDescent="0.3">
      <c r="A84" t="s">
        <v>2297</v>
      </c>
    </row>
    <row r="85" spans="1:4" x14ac:dyDescent="0.3">
      <c r="A85" t="s">
        <v>2298</v>
      </c>
    </row>
    <row r="86" spans="1:4" x14ac:dyDescent="0.3">
      <c r="A86" t="s">
        <v>2299</v>
      </c>
    </row>
    <row r="87" spans="1:4" x14ac:dyDescent="0.3">
      <c r="A87" t="s">
        <v>2300</v>
      </c>
    </row>
    <row r="88" spans="1:4" x14ac:dyDescent="0.3">
      <c r="A88" t="s">
        <v>2301</v>
      </c>
    </row>
    <row r="89" spans="1:4" x14ac:dyDescent="0.3">
      <c r="A89" t="s">
        <v>2302</v>
      </c>
    </row>
    <row r="91" spans="1:4" x14ac:dyDescent="0.3">
      <c r="A91" s="25" t="s">
        <v>295</v>
      </c>
      <c r="B91" s="25"/>
      <c r="C91" s="25"/>
      <c r="D91" s="25"/>
    </row>
    <row r="92" spans="1:4" x14ac:dyDescent="0.3">
      <c r="A92" t="s">
        <v>296</v>
      </c>
      <c r="B92" t="s">
        <v>2303</v>
      </c>
      <c r="C92" t="s">
        <v>2304</v>
      </c>
    </row>
    <row r="93" spans="1:4" x14ac:dyDescent="0.3">
      <c r="A93" t="s">
        <v>299</v>
      </c>
      <c r="B93" t="s">
        <v>2305</v>
      </c>
    </row>
    <row r="94" spans="1:4" x14ac:dyDescent="0.3">
      <c r="A94" t="s">
        <v>301</v>
      </c>
      <c r="B94" t="s">
        <v>2306</v>
      </c>
    </row>
    <row r="95" spans="1:4" x14ac:dyDescent="0.3">
      <c r="A95" t="s">
        <v>303</v>
      </c>
      <c r="B95" t="s">
        <v>2307</v>
      </c>
      <c r="C95" t="s">
        <v>2304</v>
      </c>
    </row>
    <row r="96" spans="1:4" x14ac:dyDescent="0.3">
      <c r="A96" t="s">
        <v>299</v>
      </c>
      <c r="B96" t="s">
        <v>2308</v>
      </c>
    </row>
    <row r="97" spans="1:3" x14ac:dyDescent="0.3">
      <c r="A97" t="s">
        <v>301</v>
      </c>
      <c r="B97" t="s">
        <v>2309</v>
      </c>
    </row>
    <row r="98" spans="1:3" x14ac:dyDescent="0.3">
      <c r="A98" t="s">
        <v>307</v>
      </c>
      <c r="B98" t="s">
        <v>2310</v>
      </c>
      <c r="C98" t="s">
        <v>2304</v>
      </c>
    </row>
    <row r="99" spans="1:3" x14ac:dyDescent="0.3">
      <c r="A99" t="s">
        <v>299</v>
      </c>
      <c r="B99" t="s">
        <v>2311</v>
      </c>
    </row>
    <row r="100" spans="1:3" x14ac:dyDescent="0.3">
      <c r="A100" t="s">
        <v>301</v>
      </c>
      <c r="B100" t="s">
        <v>2312</v>
      </c>
    </row>
    <row r="101" spans="1:3" x14ac:dyDescent="0.3">
      <c r="A101" t="s">
        <v>311</v>
      </c>
      <c r="B101" t="s">
        <v>2313</v>
      </c>
      <c r="C101" t="s">
        <v>2314</v>
      </c>
    </row>
    <row r="102" spans="1:3" x14ac:dyDescent="0.3">
      <c r="A102" t="s">
        <v>299</v>
      </c>
      <c r="B102" t="s">
        <v>2315</v>
      </c>
    </row>
    <row r="103" spans="1:3" x14ac:dyDescent="0.3">
      <c r="A103" t="s">
        <v>301</v>
      </c>
      <c r="B103" t="s">
        <v>2316</v>
      </c>
    </row>
    <row r="104" spans="1:3" x14ac:dyDescent="0.3">
      <c r="A104" t="s">
        <v>316</v>
      </c>
      <c r="B104" t="s">
        <v>2317</v>
      </c>
      <c r="C104" t="s">
        <v>2314</v>
      </c>
    </row>
    <row r="105" spans="1:3" x14ac:dyDescent="0.3">
      <c r="A105" t="s">
        <v>299</v>
      </c>
      <c r="B105" t="s">
        <v>2318</v>
      </c>
    </row>
    <row r="106" spans="1:3" x14ac:dyDescent="0.3">
      <c r="A106" t="s">
        <v>301</v>
      </c>
      <c r="B106" t="s">
        <v>2319</v>
      </c>
    </row>
    <row r="107" spans="1:3" x14ac:dyDescent="0.3">
      <c r="A107" t="s">
        <v>320</v>
      </c>
      <c r="B107" t="s">
        <v>2320</v>
      </c>
      <c r="C107" t="s">
        <v>1192</v>
      </c>
    </row>
    <row r="108" spans="1:3" x14ac:dyDescent="0.3">
      <c r="A108" t="s">
        <v>299</v>
      </c>
      <c r="B108" t="s">
        <v>2321</v>
      </c>
    </row>
    <row r="109" spans="1:3" x14ac:dyDescent="0.3">
      <c r="A109" t="s">
        <v>301</v>
      </c>
      <c r="B109" t="s">
        <v>2322</v>
      </c>
    </row>
    <row r="110" spans="1:3" x14ac:dyDescent="0.3">
      <c r="A110" t="s">
        <v>324</v>
      </c>
      <c r="B110" t="s">
        <v>2323</v>
      </c>
      <c r="C110" t="s">
        <v>1192</v>
      </c>
    </row>
    <row r="111" spans="1:3" x14ac:dyDescent="0.3">
      <c r="A111" t="s">
        <v>299</v>
      </c>
      <c r="B111" t="s">
        <v>2324</v>
      </c>
    </row>
    <row r="112" spans="1:3" x14ac:dyDescent="0.3">
      <c r="A112" t="s">
        <v>301</v>
      </c>
      <c r="B112" t="s">
        <v>2325</v>
      </c>
    </row>
    <row r="113" spans="1:3" x14ac:dyDescent="0.3">
      <c r="A113" t="s">
        <v>328</v>
      </c>
      <c r="B113" t="s">
        <v>2326</v>
      </c>
      <c r="C113" t="s">
        <v>2327</v>
      </c>
    </row>
    <row r="114" spans="1:3" x14ac:dyDescent="0.3">
      <c r="A114" t="s">
        <v>299</v>
      </c>
      <c r="B114" t="s">
        <v>2328</v>
      </c>
    </row>
    <row r="115" spans="1:3" x14ac:dyDescent="0.3">
      <c r="A115" t="s">
        <v>301</v>
      </c>
      <c r="B115" t="s">
        <v>2329</v>
      </c>
    </row>
    <row r="116" spans="1:3" x14ac:dyDescent="0.3">
      <c r="A116" t="s">
        <v>333</v>
      </c>
      <c r="B116" t="s">
        <v>2330</v>
      </c>
      <c r="C116" t="s">
        <v>2331</v>
      </c>
    </row>
    <row r="117" spans="1:3" x14ac:dyDescent="0.3">
      <c r="A117" t="s">
        <v>299</v>
      </c>
      <c r="B117" t="s">
        <v>2332</v>
      </c>
    </row>
    <row r="118" spans="1:3" x14ac:dyDescent="0.3">
      <c r="A118" t="s">
        <v>301</v>
      </c>
      <c r="B118" t="s">
        <v>2333</v>
      </c>
    </row>
    <row r="119" spans="1:3" x14ac:dyDescent="0.3">
      <c r="A119" t="s">
        <v>337</v>
      </c>
      <c r="B119" t="s">
        <v>2334</v>
      </c>
      <c r="C119" t="s">
        <v>2331</v>
      </c>
    </row>
    <row r="120" spans="1:3" x14ac:dyDescent="0.3">
      <c r="A120" t="s">
        <v>299</v>
      </c>
      <c r="B120" t="s">
        <v>2335</v>
      </c>
    </row>
    <row r="121" spans="1:3" x14ac:dyDescent="0.3">
      <c r="A121" t="s">
        <v>301</v>
      </c>
      <c r="B121" t="s">
        <v>2336</v>
      </c>
    </row>
    <row r="122" spans="1:3" x14ac:dyDescent="0.3">
      <c r="A122" t="s">
        <v>341</v>
      </c>
      <c r="B122" t="s">
        <v>2337</v>
      </c>
      <c r="C122" t="s">
        <v>1418</v>
      </c>
    </row>
    <row r="123" spans="1:3" x14ac:dyDescent="0.3">
      <c r="A123" t="s">
        <v>299</v>
      </c>
      <c r="B123" t="s">
        <v>2338</v>
      </c>
    </row>
    <row r="124" spans="1:3" x14ac:dyDescent="0.3">
      <c r="A124" t="s">
        <v>301</v>
      </c>
      <c r="B124" t="s">
        <v>2339</v>
      </c>
    </row>
    <row r="125" spans="1:3" x14ac:dyDescent="0.3">
      <c r="A125" t="s">
        <v>346</v>
      </c>
      <c r="B125" t="s">
        <v>2340</v>
      </c>
      <c r="C125" t="s">
        <v>1091</v>
      </c>
    </row>
    <row r="126" spans="1:3" x14ac:dyDescent="0.3">
      <c r="A126" t="s">
        <v>299</v>
      </c>
      <c r="B126" t="s">
        <v>2341</v>
      </c>
    </row>
    <row r="127" spans="1:3" x14ac:dyDescent="0.3">
      <c r="A127" t="s">
        <v>301</v>
      </c>
      <c r="B127" t="s">
        <v>2342</v>
      </c>
    </row>
    <row r="128" spans="1:3" x14ac:dyDescent="0.3">
      <c r="A128" t="s">
        <v>1453</v>
      </c>
      <c r="B128" t="s">
        <v>2343</v>
      </c>
      <c r="C128" t="s">
        <v>2344</v>
      </c>
    </row>
    <row r="129" spans="1:2" x14ac:dyDescent="0.3">
      <c r="A129" t="s">
        <v>299</v>
      </c>
      <c r="B129" t="s">
        <v>2345</v>
      </c>
    </row>
    <row r="130" spans="1:2" x14ac:dyDescent="0.3">
      <c r="A130" t="s">
        <v>301</v>
      </c>
      <c r="B130" t="s">
        <v>2346</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D99"/>
  <sheetViews>
    <sheetView workbookViewId="0"/>
  </sheetViews>
  <sheetFormatPr defaultRowHeight="14.4" x14ac:dyDescent="0.3"/>
  <cols>
    <col min="1" max="1" width="46" customWidth="1"/>
    <col min="2" max="8" width="15" customWidth="1"/>
  </cols>
  <sheetData>
    <row r="1" spans="1:4" x14ac:dyDescent="0.3">
      <c r="A1" s="24" t="s">
        <v>181</v>
      </c>
      <c r="B1" t="s">
        <v>2347</v>
      </c>
    </row>
    <row r="2" spans="1:4" x14ac:dyDescent="0.3">
      <c r="A2" s="24" t="s">
        <v>183</v>
      </c>
      <c r="B2" t="s">
        <v>2348</v>
      </c>
    </row>
    <row r="4" spans="1:4" x14ac:dyDescent="0.3">
      <c r="A4" s="25" t="s">
        <v>185</v>
      </c>
      <c r="B4" s="25"/>
      <c r="C4" s="25"/>
      <c r="D4" s="25"/>
    </row>
    <row r="6" spans="1:4" x14ac:dyDescent="0.3">
      <c r="A6" t="s">
        <v>186</v>
      </c>
      <c r="B6" t="s">
        <v>22</v>
      </c>
      <c r="C6" t="s">
        <v>17</v>
      </c>
      <c r="D6" t="s">
        <v>189</v>
      </c>
    </row>
    <row r="7" spans="1:4" x14ac:dyDescent="0.3">
      <c r="A7" t="s">
        <v>45</v>
      </c>
      <c r="B7">
        <v>133.4</v>
      </c>
      <c r="C7">
        <v>50</v>
      </c>
      <c r="D7" t="s">
        <v>2349</v>
      </c>
    </row>
    <row r="8" spans="1:4" x14ac:dyDescent="0.3">
      <c r="A8" t="s">
        <v>2350</v>
      </c>
      <c r="B8">
        <v>123.5</v>
      </c>
      <c r="C8">
        <v>39</v>
      </c>
      <c r="D8" t="s">
        <v>1916</v>
      </c>
    </row>
    <row r="9" spans="1:4" x14ac:dyDescent="0.3">
      <c r="A9" t="s">
        <v>2351</v>
      </c>
      <c r="B9">
        <v>9.9</v>
      </c>
      <c r="C9">
        <v>11</v>
      </c>
      <c r="D9" t="s">
        <v>2352</v>
      </c>
    </row>
    <row r="10" spans="1:4" x14ac:dyDescent="0.3">
      <c r="A10" t="s">
        <v>2353</v>
      </c>
      <c r="B10">
        <v>8.5</v>
      </c>
      <c r="C10">
        <v>10.4</v>
      </c>
      <c r="D10" t="s">
        <v>2354</v>
      </c>
    </row>
    <row r="11" spans="1:4" x14ac:dyDescent="0.3">
      <c r="A11" t="s">
        <v>2355</v>
      </c>
      <c r="B11">
        <v>1</v>
      </c>
      <c r="C11">
        <v>0.5</v>
      </c>
      <c r="D11" t="s">
        <v>2134</v>
      </c>
    </row>
    <row r="12" spans="1:4" x14ac:dyDescent="0.3">
      <c r="A12" t="s">
        <v>2356</v>
      </c>
      <c r="B12">
        <v>0.5</v>
      </c>
      <c r="C12">
        <v>0.14000000000000001</v>
      </c>
      <c r="D12" t="s">
        <v>2357</v>
      </c>
    </row>
    <row r="13" spans="1:4" x14ac:dyDescent="0.3">
      <c r="A13" t="s">
        <v>50</v>
      </c>
      <c r="B13">
        <v>13.8</v>
      </c>
      <c r="C13">
        <v>7.9</v>
      </c>
      <c r="D13" t="s">
        <v>1498</v>
      </c>
    </row>
    <row r="15" spans="1:4" x14ac:dyDescent="0.3">
      <c r="A15" t="s">
        <v>1009</v>
      </c>
      <c r="B15" t="s">
        <v>22</v>
      </c>
      <c r="C15" t="s">
        <v>17</v>
      </c>
      <c r="D15" t="s">
        <v>248</v>
      </c>
    </row>
    <row r="16" spans="1:4" x14ac:dyDescent="0.3">
      <c r="A16" t="s">
        <v>51</v>
      </c>
      <c r="B16">
        <v>53.9</v>
      </c>
      <c r="C16">
        <v>20.6</v>
      </c>
      <c r="D16" t="s">
        <v>2358</v>
      </c>
    </row>
    <row r="17" spans="1:4" x14ac:dyDescent="0.3">
      <c r="A17" t="s">
        <v>52</v>
      </c>
      <c r="B17" t="s">
        <v>2359</v>
      </c>
      <c r="C17" t="s">
        <v>642</v>
      </c>
      <c r="D17" t="s">
        <v>2360</v>
      </c>
    </row>
    <row r="18" spans="1:4" x14ac:dyDescent="0.3">
      <c r="A18" t="s">
        <v>2361</v>
      </c>
      <c r="B18" t="s">
        <v>635</v>
      </c>
      <c r="C18" t="s">
        <v>2362</v>
      </c>
      <c r="D18" t="s">
        <v>2363</v>
      </c>
    </row>
    <row r="19" spans="1:4" x14ac:dyDescent="0.3">
      <c r="A19" t="s">
        <v>55</v>
      </c>
      <c r="B19">
        <v>6.7</v>
      </c>
      <c r="C19">
        <v>0.6</v>
      </c>
      <c r="D19" t="s">
        <v>2364</v>
      </c>
    </row>
    <row r="20" spans="1:4" x14ac:dyDescent="0.3">
      <c r="A20" t="s">
        <v>1018</v>
      </c>
      <c r="B20">
        <v>0.09</v>
      </c>
      <c r="C20">
        <v>0.01</v>
      </c>
      <c r="D20" t="s">
        <v>2365</v>
      </c>
    </row>
    <row r="22" spans="1:4" x14ac:dyDescent="0.3">
      <c r="A22" t="s">
        <v>1757</v>
      </c>
      <c r="B22" t="s">
        <v>22</v>
      </c>
      <c r="C22" t="s">
        <v>17</v>
      </c>
      <c r="D22" t="s">
        <v>248</v>
      </c>
    </row>
    <row r="23" spans="1:4" x14ac:dyDescent="0.3">
      <c r="A23" t="s">
        <v>1758</v>
      </c>
      <c r="B23">
        <v>31.6</v>
      </c>
      <c r="C23">
        <v>12</v>
      </c>
      <c r="D23" t="s">
        <v>2366</v>
      </c>
    </row>
    <row r="24" spans="1:4" x14ac:dyDescent="0.3">
      <c r="A24" t="s">
        <v>163</v>
      </c>
      <c r="B24" t="s">
        <v>1746</v>
      </c>
      <c r="C24" t="s">
        <v>2367</v>
      </c>
      <c r="D24" t="s">
        <v>2368</v>
      </c>
    </row>
    <row r="25" spans="1:4" x14ac:dyDescent="0.3">
      <c r="A25" t="s">
        <v>54</v>
      </c>
      <c r="B25">
        <v>12.2</v>
      </c>
      <c r="C25">
        <v>7.8</v>
      </c>
      <c r="D25" t="s">
        <v>880</v>
      </c>
    </row>
    <row r="26" spans="1:4" x14ac:dyDescent="0.3">
      <c r="A26" t="s">
        <v>121</v>
      </c>
      <c r="B26" t="s">
        <v>361</v>
      </c>
      <c r="C26" t="s">
        <v>2369</v>
      </c>
      <c r="D26" t="s">
        <v>2370</v>
      </c>
    </row>
    <row r="28" spans="1:4" x14ac:dyDescent="0.3">
      <c r="A28" t="s">
        <v>1766</v>
      </c>
      <c r="B28" t="s">
        <v>22</v>
      </c>
      <c r="C28" t="s">
        <v>1053</v>
      </c>
      <c r="D28" t="s">
        <v>248</v>
      </c>
    </row>
    <row r="29" spans="1:4" x14ac:dyDescent="0.3">
      <c r="A29" t="s">
        <v>57</v>
      </c>
      <c r="B29">
        <v>9.1</v>
      </c>
      <c r="C29">
        <v>-13.3</v>
      </c>
      <c r="D29" t="s">
        <v>2371</v>
      </c>
    </row>
    <row r="30" spans="1:4" x14ac:dyDescent="0.3">
      <c r="A30" t="s">
        <v>2372</v>
      </c>
      <c r="B30">
        <v>25.5</v>
      </c>
      <c r="C30">
        <v>16.3</v>
      </c>
      <c r="D30" t="s">
        <v>2373</v>
      </c>
    </row>
    <row r="31" spans="1:4" x14ac:dyDescent="0.3">
      <c r="A31" t="s">
        <v>59</v>
      </c>
      <c r="B31">
        <v>186.5</v>
      </c>
      <c r="C31">
        <v>169.2</v>
      </c>
      <c r="D31" t="s">
        <v>2374</v>
      </c>
    </row>
    <row r="32" spans="1:4" x14ac:dyDescent="0.3">
      <c r="A32" t="s">
        <v>2375</v>
      </c>
      <c r="B32">
        <v>20</v>
      </c>
      <c r="C32" t="s">
        <v>197</v>
      </c>
      <c r="D32" t="s">
        <v>2376</v>
      </c>
    </row>
    <row r="33" spans="1:4" x14ac:dyDescent="0.3">
      <c r="A33" t="s">
        <v>2377</v>
      </c>
      <c r="B33">
        <v>-6</v>
      </c>
      <c r="C33" t="s">
        <v>197</v>
      </c>
      <c r="D33" t="s">
        <v>197</v>
      </c>
    </row>
    <row r="35" spans="1:4" x14ac:dyDescent="0.3">
      <c r="A35" t="s">
        <v>1774</v>
      </c>
      <c r="B35" t="s">
        <v>238</v>
      </c>
    </row>
    <row r="36" spans="1:4" x14ac:dyDescent="0.3">
      <c r="A36" t="s">
        <v>2378</v>
      </c>
      <c r="B36" t="s">
        <v>2379</v>
      </c>
    </row>
    <row r="37" spans="1:4" x14ac:dyDescent="0.3">
      <c r="A37" t="s">
        <v>2380</v>
      </c>
      <c r="B37" t="s">
        <v>2381</v>
      </c>
    </row>
    <row r="38" spans="1:4" x14ac:dyDescent="0.3">
      <c r="A38" t="s">
        <v>2382</v>
      </c>
      <c r="B38" t="s">
        <v>2383</v>
      </c>
    </row>
    <row r="39" spans="1:4" x14ac:dyDescent="0.3">
      <c r="A39" t="s">
        <v>2384</v>
      </c>
      <c r="B39" t="s">
        <v>2385</v>
      </c>
    </row>
    <row r="40" spans="1:4" x14ac:dyDescent="0.3">
      <c r="A40" t="s">
        <v>2386</v>
      </c>
      <c r="B40" t="s">
        <v>2387</v>
      </c>
    </row>
    <row r="41" spans="1:4" x14ac:dyDescent="0.3">
      <c r="A41" t="s">
        <v>2388</v>
      </c>
      <c r="B41" t="s">
        <v>2389</v>
      </c>
    </row>
    <row r="42" spans="1:4" x14ac:dyDescent="0.3">
      <c r="A42" t="s">
        <v>2390</v>
      </c>
      <c r="B42" t="s">
        <v>2391</v>
      </c>
    </row>
    <row r="43" spans="1:4" x14ac:dyDescent="0.3">
      <c r="A43" t="s">
        <v>1787</v>
      </c>
      <c r="B43" t="s">
        <v>2392</v>
      </c>
    </row>
    <row r="44" spans="1:4" x14ac:dyDescent="0.3">
      <c r="A44" t="s">
        <v>2393</v>
      </c>
      <c r="B44" t="s">
        <v>2394</v>
      </c>
    </row>
    <row r="45" spans="1:4" x14ac:dyDescent="0.3">
      <c r="A45" t="s">
        <v>2395</v>
      </c>
      <c r="B45" t="s">
        <v>2396</v>
      </c>
    </row>
    <row r="46" spans="1:4" x14ac:dyDescent="0.3">
      <c r="A46" t="s">
        <v>2397</v>
      </c>
      <c r="B46" t="s">
        <v>2398</v>
      </c>
    </row>
    <row r="48" spans="1:4" x14ac:dyDescent="0.3">
      <c r="A48" t="s">
        <v>1061</v>
      </c>
      <c r="B48" t="s">
        <v>238</v>
      </c>
      <c r="C48" t="s">
        <v>274</v>
      </c>
    </row>
    <row r="49" spans="1:4" x14ac:dyDescent="0.3">
      <c r="A49" t="s">
        <v>2399</v>
      </c>
      <c r="B49" t="s">
        <v>2400</v>
      </c>
      <c r="C49" t="s">
        <v>2401</v>
      </c>
    </row>
    <row r="50" spans="1:4" x14ac:dyDescent="0.3">
      <c r="A50" t="s">
        <v>117</v>
      </c>
      <c r="B50" t="s">
        <v>2402</v>
      </c>
      <c r="C50" t="s">
        <v>26</v>
      </c>
    </row>
    <row r="51" spans="1:4" x14ac:dyDescent="0.3">
      <c r="A51" t="s">
        <v>2403</v>
      </c>
      <c r="B51" t="s">
        <v>2404</v>
      </c>
      <c r="C51" t="s">
        <v>2405</v>
      </c>
    </row>
    <row r="52" spans="1:4" x14ac:dyDescent="0.3">
      <c r="A52" t="s">
        <v>2406</v>
      </c>
      <c r="B52" t="s">
        <v>2407</v>
      </c>
      <c r="C52" t="s">
        <v>26</v>
      </c>
    </row>
    <row r="53" spans="1:4" x14ac:dyDescent="0.3">
      <c r="A53" t="s">
        <v>2408</v>
      </c>
      <c r="B53" t="s">
        <v>2409</v>
      </c>
      <c r="C53" t="s">
        <v>2410</v>
      </c>
    </row>
    <row r="55" spans="1:4" x14ac:dyDescent="0.3">
      <c r="A55" s="25" t="s">
        <v>281</v>
      </c>
      <c r="B55" s="25"/>
      <c r="C55" s="25"/>
      <c r="D55" s="25"/>
    </row>
    <row r="56" spans="1:4" x14ac:dyDescent="0.3">
      <c r="A56" t="s">
        <v>2411</v>
      </c>
    </row>
    <row r="57" spans="1:4" x14ac:dyDescent="0.3">
      <c r="A57" t="s">
        <v>2412</v>
      </c>
    </row>
    <row r="58" spans="1:4" x14ac:dyDescent="0.3">
      <c r="A58" t="s">
        <v>2413</v>
      </c>
    </row>
    <row r="59" spans="1:4" x14ac:dyDescent="0.3">
      <c r="A59" t="s">
        <v>2414</v>
      </c>
    </row>
    <row r="60" spans="1:4" x14ac:dyDescent="0.3">
      <c r="A60" t="s">
        <v>2415</v>
      </c>
    </row>
    <row r="61" spans="1:4" x14ac:dyDescent="0.3">
      <c r="A61" t="s">
        <v>2416</v>
      </c>
    </row>
    <row r="62" spans="1:4" x14ac:dyDescent="0.3">
      <c r="A62" t="s">
        <v>2417</v>
      </c>
    </row>
    <row r="63" spans="1:4" x14ac:dyDescent="0.3">
      <c r="A63" t="s">
        <v>2418</v>
      </c>
    </row>
    <row r="64" spans="1:4" x14ac:dyDescent="0.3">
      <c r="A64" t="s">
        <v>2419</v>
      </c>
    </row>
    <row r="65" spans="1:4" x14ac:dyDescent="0.3">
      <c r="A65" t="s">
        <v>2420</v>
      </c>
    </row>
    <row r="66" spans="1:4" x14ac:dyDescent="0.3">
      <c r="A66" t="s">
        <v>2421</v>
      </c>
    </row>
    <row r="67" spans="1:4" x14ac:dyDescent="0.3">
      <c r="A67" t="s">
        <v>2422</v>
      </c>
    </row>
    <row r="68" spans="1:4" x14ac:dyDescent="0.3">
      <c r="A68" t="s">
        <v>2423</v>
      </c>
    </row>
    <row r="69" spans="1:4" x14ac:dyDescent="0.3">
      <c r="A69" t="s">
        <v>2424</v>
      </c>
    </row>
    <row r="70" spans="1:4" x14ac:dyDescent="0.3">
      <c r="A70" t="s">
        <v>2425</v>
      </c>
    </row>
    <row r="72" spans="1:4" x14ac:dyDescent="0.3">
      <c r="A72" s="25" t="s">
        <v>295</v>
      </c>
      <c r="B72" s="25"/>
      <c r="C72" s="25"/>
      <c r="D72" s="25"/>
    </row>
    <row r="73" spans="1:4" x14ac:dyDescent="0.3">
      <c r="A73" t="s">
        <v>296</v>
      </c>
      <c r="B73" t="s">
        <v>2426</v>
      </c>
      <c r="C73" t="s">
        <v>2059</v>
      </c>
    </row>
    <row r="74" spans="1:4" x14ac:dyDescent="0.3">
      <c r="A74" t="s">
        <v>299</v>
      </c>
      <c r="B74" t="s">
        <v>2427</v>
      </c>
    </row>
    <row r="75" spans="1:4" x14ac:dyDescent="0.3">
      <c r="A75" t="s">
        <v>301</v>
      </c>
      <c r="B75" t="s">
        <v>2428</v>
      </c>
    </row>
    <row r="76" spans="1:4" x14ac:dyDescent="0.3">
      <c r="A76" t="s">
        <v>303</v>
      </c>
      <c r="B76" t="s">
        <v>2429</v>
      </c>
      <c r="C76" t="s">
        <v>2059</v>
      </c>
    </row>
    <row r="77" spans="1:4" x14ac:dyDescent="0.3">
      <c r="A77" t="s">
        <v>299</v>
      </c>
      <c r="B77" t="s">
        <v>2430</v>
      </c>
    </row>
    <row r="78" spans="1:4" x14ac:dyDescent="0.3">
      <c r="A78" t="s">
        <v>301</v>
      </c>
      <c r="B78" t="s">
        <v>2431</v>
      </c>
    </row>
    <row r="79" spans="1:4" x14ac:dyDescent="0.3">
      <c r="A79" t="s">
        <v>307</v>
      </c>
      <c r="B79" t="s">
        <v>2432</v>
      </c>
      <c r="C79" t="s">
        <v>1817</v>
      </c>
    </row>
    <row r="80" spans="1:4" x14ac:dyDescent="0.3">
      <c r="A80" t="s">
        <v>299</v>
      </c>
      <c r="B80" t="s">
        <v>2433</v>
      </c>
    </row>
    <row r="81" spans="1:3" x14ac:dyDescent="0.3">
      <c r="A81" t="s">
        <v>301</v>
      </c>
      <c r="B81" t="s">
        <v>2434</v>
      </c>
    </row>
    <row r="82" spans="1:3" x14ac:dyDescent="0.3">
      <c r="A82" t="s">
        <v>311</v>
      </c>
      <c r="B82" t="s">
        <v>2435</v>
      </c>
      <c r="C82" t="s">
        <v>1817</v>
      </c>
    </row>
    <row r="83" spans="1:3" x14ac:dyDescent="0.3">
      <c r="A83" t="s">
        <v>299</v>
      </c>
      <c r="B83" t="s">
        <v>2436</v>
      </c>
    </row>
    <row r="84" spans="1:3" x14ac:dyDescent="0.3">
      <c r="A84" t="s">
        <v>301</v>
      </c>
      <c r="B84" t="s">
        <v>2437</v>
      </c>
    </row>
    <row r="85" spans="1:3" x14ac:dyDescent="0.3">
      <c r="A85" t="s">
        <v>316</v>
      </c>
      <c r="B85" t="s">
        <v>2438</v>
      </c>
      <c r="C85" t="s">
        <v>1835</v>
      </c>
    </row>
    <row r="86" spans="1:3" x14ac:dyDescent="0.3">
      <c r="A86" t="s">
        <v>299</v>
      </c>
      <c r="B86" t="s">
        <v>2439</v>
      </c>
    </row>
    <row r="87" spans="1:3" x14ac:dyDescent="0.3">
      <c r="A87" t="s">
        <v>301</v>
      </c>
      <c r="B87" t="s">
        <v>2440</v>
      </c>
    </row>
    <row r="88" spans="1:3" x14ac:dyDescent="0.3">
      <c r="A88" t="s">
        <v>320</v>
      </c>
      <c r="B88" t="s">
        <v>2441</v>
      </c>
      <c r="C88" t="s">
        <v>1831</v>
      </c>
    </row>
    <row r="89" spans="1:3" x14ac:dyDescent="0.3">
      <c r="A89" t="s">
        <v>299</v>
      </c>
      <c r="B89" t="s">
        <v>2442</v>
      </c>
    </row>
    <row r="90" spans="1:3" x14ac:dyDescent="0.3">
      <c r="A90" t="s">
        <v>301</v>
      </c>
      <c r="B90" t="s">
        <v>2443</v>
      </c>
    </row>
    <row r="91" spans="1:3" x14ac:dyDescent="0.3">
      <c r="A91" t="s">
        <v>324</v>
      </c>
      <c r="B91" t="s">
        <v>2444</v>
      </c>
      <c r="C91" t="s">
        <v>2445</v>
      </c>
    </row>
    <row r="92" spans="1:3" x14ac:dyDescent="0.3">
      <c r="A92" t="s">
        <v>299</v>
      </c>
      <c r="B92" t="s">
        <v>2446</v>
      </c>
    </row>
    <row r="93" spans="1:3" x14ac:dyDescent="0.3">
      <c r="A93" t="s">
        <v>301</v>
      </c>
      <c r="B93" t="s">
        <v>2447</v>
      </c>
    </row>
    <row r="94" spans="1:3" x14ac:dyDescent="0.3">
      <c r="A94" t="s">
        <v>328</v>
      </c>
      <c r="B94" t="s">
        <v>2448</v>
      </c>
      <c r="C94" t="s">
        <v>2449</v>
      </c>
    </row>
    <row r="95" spans="1:3" x14ac:dyDescent="0.3">
      <c r="A95" t="s">
        <v>299</v>
      </c>
      <c r="B95" t="s">
        <v>2450</v>
      </c>
    </row>
    <row r="96" spans="1:3" x14ac:dyDescent="0.3">
      <c r="A96" t="s">
        <v>301</v>
      </c>
      <c r="B96" t="s">
        <v>2451</v>
      </c>
    </row>
    <row r="97" spans="1:3" x14ac:dyDescent="0.3">
      <c r="A97" t="s">
        <v>333</v>
      </c>
      <c r="B97" t="s">
        <v>2452</v>
      </c>
      <c r="C97" t="s">
        <v>2005</v>
      </c>
    </row>
    <row r="98" spans="1:3" x14ac:dyDescent="0.3">
      <c r="A98" t="s">
        <v>299</v>
      </c>
      <c r="B98" t="s">
        <v>2453</v>
      </c>
    </row>
    <row r="99" spans="1:3" x14ac:dyDescent="0.3">
      <c r="A99" t="s">
        <v>301</v>
      </c>
      <c r="B99" t="s">
        <v>2454</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120"/>
  <sheetViews>
    <sheetView workbookViewId="0"/>
  </sheetViews>
  <sheetFormatPr defaultRowHeight="14.4" x14ac:dyDescent="0.3"/>
  <cols>
    <col min="1" max="1" width="46" customWidth="1"/>
    <col min="2" max="8" width="15" customWidth="1"/>
  </cols>
  <sheetData>
    <row r="1" spans="1:4" x14ac:dyDescent="0.3">
      <c r="A1" s="24" t="s">
        <v>181</v>
      </c>
      <c r="B1" t="s">
        <v>2455</v>
      </c>
    </row>
    <row r="2" spans="1:4" x14ac:dyDescent="0.3">
      <c r="A2" s="24" t="s">
        <v>183</v>
      </c>
      <c r="B2" t="s">
        <v>2456</v>
      </c>
    </row>
    <row r="4" spans="1:4" x14ac:dyDescent="0.3">
      <c r="A4" s="25" t="s">
        <v>185</v>
      </c>
      <c r="B4" s="25"/>
      <c r="C4" s="25"/>
      <c r="D4" s="25"/>
    </row>
    <row r="6" spans="1:4" x14ac:dyDescent="0.3">
      <c r="A6" t="s">
        <v>2457</v>
      </c>
      <c r="B6" t="s">
        <v>22</v>
      </c>
      <c r="C6" t="s">
        <v>17</v>
      </c>
      <c r="D6" t="s">
        <v>189</v>
      </c>
    </row>
    <row r="7" spans="1:4" x14ac:dyDescent="0.3">
      <c r="A7" t="s">
        <v>186</v>
      </c>
      <c r="B7">
        <v>133</v>
      </c>
      <c r="C7">
        <v>50</v>
      </c>
      <c r="D7" t="s">
        <v>2458</v>
      </c>
    </row>
    <row r="8" spans="1:4" x14ac:dyDescent="0.3">
      <c r="A8" t="s">
        <v>2459</v>
      </c>
      <c r="B8" t="s">
        <v>2460</v>
      </c>
      <c r="C8" t="s">
        <v>197</v>
      </c>
      <c r="D8" t="s">
        <v>197</v>
      </c>
    </row>
    <row r="9" spans="1:4" x14ac:dyDescent="0.3">
      <c r="A9" t="s">
        <v>2461</v>
      </c>
      <c r="B9">
        <v>10</v>
      </c>
      <c r="C9" t="s">
        <v>197</v>
      </c>
      <c r="D9" t="s">
        <v>197</v>
      </c>
    </row>
    <row r="11" spans="1:4" x14ac:dyDescent="0.3">
      <c r="A11" t="s">
        <v>2462</v>
      </c>
      <c r="B11" t="s">
        <v>238</v>
      </c>
      <c r="C11" t="s">
        <v>274</v>
      </c>
    </row>
    <row r="12" spans="1:4" x14ac:dyDescent="0.3">
      <c r="A12" t="s">
        <v>2463</v>
      </c>
      <c r="B12" t="s">
        <v>2464</v>
      </c>
      <c r="C12" t="s">
        <v>2465</v>
      </c>
    </row>
    <row r="13" spans="1:4" x14ac:dyDescent="0.3">
      <c r="A13" t="s">
        <v>2466</v>
      </c>
      <c r="B13" t="s">
        <v>2467</v>
      </c>
      <c r="C13" t="s">
        <v>2465</v>
      </c>
    </row>
    <row r="14" spans="1:4" x14ac:dyDescent="0.3">
      <c r="A14" t="s">
        <v>2468</v>
      </c>
      <c r="B14" t="s">
        <v>2469</v>
      </c>
      <c r="C14" t="s">
        <v>22</v>
      </c>
    </row>
    <row r="16" spans="1:4" x14ac:dyDescent="0.3">
      <c r="A16" t="s">
        <v>2470</v>
      </c>
      <c r="B16" t="s">
        <v>238</v>
      </c>
    </row>
    <row r="17" spans="1:3" x14ac:dyDescent="0.3">
      <c r="A17" t="s">
        <v>2471</v>
      </c>
      <c r="B17" t="s">
        <v>2472</v>
      </c>
    </row>
    <row r="18" spans="1:3" x14ac:dyDescent="0.3">
      <c r="A18" t="s">
        <v>2473</v>
      </c>
      <c r="B18">
        <v>288</v>
      </c>
    </row>
    <row r="19" spans="1:3" x14ac:dyDescent="0.3">
      <c r="A19" t="s">
        <v>2474</v>
      </c>
      <c r="B19">
        <v>140</v>
      </c>
    </row>
    <row r="20" spans="1:3" x14ac:dyDescent="0.3">
      <c r="A20" t="s">
        <v>2475</v>
      </c>
      <c r="B20" t="s">
        <v>2476</v>
      </c>
    </row>
    <row r="21" spans="1:3" x14ac:dyDescent="0.3">
      <c r="A21" t="s">
        <v>2477</v>
      </c>
      <c r="B21" t="s">
        <v>2478</v>
      </c>
    </row>
    <row r="23" spans="1:3" x14ac:dyDescent="0.3">
      <c r="A23" t="s">
        <v>2479</v>
      </c>
      <c r="B23" t="s">
        <v>238</v>
      </c>
    </row>
    <row r="24" spans="1:3" x14ac:dyDescent="0.3">
      <c r="A24" t="s">
        <v>2480</v>
      </c>
      <c r="B24" t="s">
        <v>769</v>
      </c>
    </row>
    <row r="25" spans="1:3" x14ac:dyDescent="0.3">
      <c r="A25" t="s">
        <v>2481</v>
      </c>
      <c r="B25" t="s">
        <v>2482</v>
      </c>
    </row>
    <row r="26" spans="1:3" x14ac:dyDescent="0.3">
      <c r="A26" t="s">
        <v>2483</v>
      </c>
      <c r="B26" t="s">
        <v>2484</v>
      </c>
    </row>
    <row r="27" spans="1:3" x14ac:dyDescent="0.3">
      <c r="A27" t="s">
        <v>2485</v>
      </c>
      <c r="B27" t="s">
        <v>393</v>
      </c>
    </row>
    <row r="29" spans="1:3" x14ac:dyDescent="0.3">
      <c r="A29" t="s">
        <v>2486</v>
      </c>
      <c r="B29" t="s">
        <v>238</v>
      </c>
      <c r="C29" t="s">
        <v>274</v>
      </c>
    </row>
    <row r="30" spans="1:3" x14ac:dyDescent="0.3">
      <c r="A30" t="s">
        <v>2487</v>
      </c>
      <c r="B30" t="s">
        <v>2488</v>
      </c>
      <c r="C30" t="s">
        <v>2489</v>
      </c>
    </row>
    <row r="32" spans="1:3" x14ac:dyDescent="0.3">
      <c r="A32" t="s">
        <v>1061</v>
      </c>
      <c r="B32" t="s">
        <v>238</v>
      </c>
      <c r="C32" t="s">
        <v>274</v>
      </c>
    </row>
    <row r="33" spans="1:4" x14ac:dyDescent="0.3">
      <c r="A33" t="s">
        <v>2490</v>
      </c>
      <c r="B33" t="s">
        <v>2491</v>
      </c>
      <c r="C33" t="s">
        <v>2492</v>
      </c>
    </row>
    <row r="34" spans="1:4" x14ac:dyDescent="0.3">
      <c r="A34" t="s">
        <v>2493</v>
      </c>
      <c r="B34" t="s">
        <v>2494</v>
      </c>
      <c r="C34" t="s">
        <v>23</v>
      </c>
    </row>
    <row r="35" spans="1:4" x14ac:dyDescent="0.3">
      <c r="A35" t="s">
        <v>2495</v>
      </c>
      <c r="B35" t="s">
        <v>2496</v>
      </c>
      <c r="C35" t="s">
        <v>2497</v>
      </c>
    </row>
    <row r="36" spans="1:4" x14ac:dyDescent="0.3">
      <c r="A36" t="s">
        <v>2498</v>
      </c>
      <c r="B36" t="s">
        <v>2499</v>
      </c>
      <c r="C36" t="s">
        <v>25</v>
      </c>
    </row>
    <row r="37" spans="1:4" x14ac:dyDescent="0.3">
      <c r="A37" t="s">
        <v>2500</v>
      </c>
      <c r="B37" t="s">
        <v>2501</v>
      </c>
      <c r="C37" t="s">
        <v>2497</v>
      </c>
    </row>
    <row r="38" spans="1:4" x14ac:dyDescent="0.3">
      <c r="A38" t="s">
        <v>2502</v>
      </c>
      <c r="B38" t="s">
        <v>2503</v>
      </c>
      <c r="C38" t="s">
        <v>2504</v>
      </c>
    </row>
    <row r="39" spans="1:4" x14ac:dyDescent="0.3">
      <c r="A39" t="s">
        <v>2505</v>
      </c>
      <c r="B39" t="s">
        <v>2506</v>
      </c>
      <c r="C39" t="s">
        <v>2497</v>
      </c>
    </row>
    <row r="41" spans="1:4" x14ac:dyDescent="0.3">
      <c r="A41" s="25" t="s">
        <v>281</v>
      </c>
      <c r="B41" s="25"/>
      <c r="C41" s="25"/>
      <c r="D41" s="25"/>
    </row>
    <row r="42" spans="1:4" x14ac:dyDescent="0.3">
      <c r="A42" t="s">
        <v>2507</v>
      </c>
    </row>
    <row r="43" spans="1:4" x14ac:dyDescent="0.3">
      <c r="A43" t="s">
        <v>2508</v>
      </c>
    </row>
    <row r="44" spans="1:4" x14ac:dyDescent="0.3">
      <c r="A44" t="s">
        <v>2509</v>
      </c>
    </row>
    <row r="45" spans="1:4" x14ac:dyDescent="0.3">
      <c r="A45" t="s">
        <v>2510</v>
      </c>
    </row>
    <row r="46" spans="1:4" x14ac:dyDescent="0.3">
      <c r="A46" t="s">
        <v>2511</v>
      </c>
    </row>
    <row r="47" spans="1:4" x14ac:dyDescent="0.3">
      <c r="A47" t="s">
        <v>2512</v>
      </c>
    </row>
    <row r="48" spans="1:4" x14ac:dyDescent="0.3">
      <c r="A48" t="s">
        <v>2513</v>
      </c>
    </row>
    <row r="49" spans="1:4" x14ac:dyDescent="0.3">
      <c r="A49" t="s">
        <v>2514</v>
      </c>
    </row>
    <row r="50" spans="1:4" x14ac:dyDescent="0.3">
      <c r="A50" t="s">
        <v>2515</v>
      </c>
    </row>
    <row r="51" spans="1:4" x14ac:dyDescent="0.3">
      <c r="A51" t="s">
        <v>2516</v>
      </c>
    </row>
    <row r="52" spans="1:4" x14ac:dyDescent="0.3">
      <c r="A52" t="s">
        <v>2517</v>
      </c>
    </row>
    <row r="53" spans="1:4" x14ac:dyDescent="0.3">
      <c r="A53" t="s">
        <v>2518</v>
      </c>
    </row>
    <row r="54" spans="1:4" x14ac:dyDescent="0.3">
      <c r="A54" t="s">
        <v>2519</v>
      </c>
    </row>
    <row r="55" spans="1:4" x14ac:dyDescent="0.3">
      <c r="A55" t="s">
        <v>2520</v>
      </c>
    </row>
    <row r="57" spans="1:4" x14ac:dyDescent="0.3">
      <c r="A57" s="25" t="s">
        <v>295</v>
      </c>
      <c r="B57" s="25"/>
      <c r="C57" s="25"/>
      <c r="D57" s="25"/>
    </row>
    <row r="58" spans="1:4" x14ac:dyDescent="0.3">
      <c r="A58" t="s">
        <v>296</v>
      </c>
      <c r="B58" t="s">
        <v>2521</v>
      </c>
      <c r="C58" t="s">
        <v>1817</v>
      </c>
    </row>
    <row r="59" spans="1:4" x14ac:dyDescent="0.3">
      <c r="A59" t="s">
        <v>299</v>
      </c>
      <c r="B59" t="s">
        <v>2522</v>
      </c>
    </row>
    <row r="60" spans="1:4" x14ac:dyDescent="0.3">
      <c r="A60" t="s">
        <v>301</v>
      </c>
      <c r="B60" t="s">
        <v>2523</v>
      </c>
    </row>
    <row r="61" spans="1:4" x14ac:dyDescent="0.3">
      <c r="A61" t="s">
        <v>303</v>
      </c>
      <c r="B61" t="s">
        <v>2524</v>
      </c>
      <c r="C61" t="s">
        <v>1817</v>
      </c>
    </row>
    <row r="62" spans="1:4" x14ac:dyDescent="0.3">
      <c r="A62" t="s">
        <v>299</v>
      </c>
      <c r="B62" t="s">
        <v>2525</v>
      </c>
    </row>
    <row r="63" spans="1:4" x14ac:dyDescent="0.3">
      <c r="A63" t="s">
        <v>301</v>
      </c>
      <c r="B63" t="s">
        <v>2526</v>
      </c>
    </row>
    <row r="64" spans="1:4" x14ac:dyDescent="0.3">
      <c r="A64" t="s">
        <v>307</v>
      </c>
      <c r="B64" t="s">
        <v>2527</v>
      </c>
      <c r="C64" t="s">
        <v>1817</v>
      </c>
    </row>
    <row r="65" spans="1:3" x14ac:dyDescent="0.3">
      <c r="A65" t="s">
        <v>299</v>
      </c>
      <c r="B65" t="s">
        <v>2528</v>
      </c>
    </row>
    <row r="66" spans="1:3" x14ac:dyDescent="0.3">
      <c r="A66" t="s">
        <v>301</v>
      </c>
      <c r="B66" t="s">
        <v>2529</v>
      </c>
    </row>
    <row r="67" spans="1:3" x14ac:dyDescent="0.3">
      <c r="A67" t="s">
        <v>311</v>
      </c>
      <c r="B67" t="s">
        <v>2530</v>
      </c>
      <c r="C67" t="s">
        <v>1817</v>
      </c>
    </row>
    <row r="68" spans="1:3" x14ac:dyDescent="0.3">
      <c r="A68" t="s">
        <v>299</v>
      </c>
      <c r="B68" t="s">
        <v>2531</v>
      </c>
    </row>
    <row r="69" spans="1:3" x14ac:dyDescent="0.3">
      <c r="A69" t="s">
        <v>301</v>
      </c>
      <c r="B69" t="s">
        <v>2532</v>
      </c>
    </row>
    <row r="70" spans="1:3" x14ac:dyDescent="0.3">
      <c r="A70" t="s">
        <v>316</v>
      </c>
      <c r="B70" t="s">
        <v>2533</v>
      </c>
      <c r="C70" t="s">
        <v>1817</v>
      </c>
    </row>
    <row r="71" spans="1:3" x14ac:dyDescent="0.3">
      <c r="A71" t="s">
        <v>299</v>
      </c>
      <c r="B71" t="s">
        <v>2534</v>
      </c>
    </row>
    <row r="72" spans="1:3" x14ac:dyDescent="0.3">
      <c r="A72" t="s">
        <v>301</v>
      </c>
      <c r="B72" t="s">
        <v>2535</v>
      </c>
    </row>
    <row r="73" spans="1:3" x14ac:dyDescent="0.3">
      <c r="A73" t="s">
        <v>320</v>
      </c>
      <c r="B73" t="s">
        <v>2536</v>
      </c>
      <c r="C73" t="s">
        <v>1817</v>
      </c>
    </row>
    <row r="74" spans="1:3" x14ac:dyDescent="0.3">
      <c r="A74" t="s">
        <v>299</v>
      </c>
      <c r="B74" t="s">
        <v>2537</v>
      </c>
    </row>
    <row r="75" spans="1:3" x14ac:dyDescent="0.3">
      <c r="A75" t="s">
        <v>301</v>
      </c>
      <c r="B75" t="s">
        <v>2538</v>
      </c>
    </row>
    <row r="76" spans="1:3" x14ac:dyDescent="0.3">
      <c r="A76" t="s">
        <v>324</v>
      </c>
      <c r="B76" t="s">
        <v>2539</v>
      </c>
      <c r="C76" t="s">
        <v>1817</v>
      </c>
    </row>
    <row r="77" spans="1:3" x14ac:dyDescent="0.3">
      <c r="A77" t="s">
        <v>299</v>
      </c>
      <c r="B77" t="s">
        <v>2540</v>
      </c>
    </row>
    <row r="78" spans="1:3" x14ac:dyDescent="0.3">
      <c r="A78" t="s">
        <v>301</v>
      </c>
      <c r="B78" t="s">
        <v>2541</v>
      </c>
    </row>
    <row r="79" spans="1:3" x14ac:dyDescent="0.3">
      <c r="A79" t="s">
        <v>328</v>
      </c>
      <c r="B79" t="s">
        <v>2542</v>
      </c>
      <c r="C79" t="s">
        <v>1817</v>
      </c>
    </row>
    <row r="80" spans="1:3" x14ac:dyDescent="0.3">
      <c r="A80" t="s">
        <v>299</v>
      </c>
      <c r="B80" t="s">
        <v>2543</v>
      </c>
    </row>
    <row r="81" spans="1:3" x14ac:dyDescent="0.3">
      <c r="A81" t="s">
        <v>301</v>
      </c>
      <c r="B81" t="s">
        <v>2544</v>
      </c>
    </row>
    <row r="82" spans="1:3" x14ac:dyDescent="0.3">
      <c r="A82" t="s">
        <v>333</v>
      </c>
      <c r="B82" t="s">
        <v>2545</v>
      </c>
      <c r="C82" t="s">
        <v>1817</v>
      </c>
    </row>
    <row r="83" spans="1:3" x14ac:dyDescent="0.3">
      <c r="A83" t="s">
        <v>299</v>
      </c>
      <c r="B83" t="s">
        <v>2546</v>
      </c>
    </row>
    <row r="84" spans="1:3" x14ac:dyDescent="0.3">
      <c r="A84" t="s">
        <v>301</v>
      </c>
      <c r="B84" t="s">
        <v>2547</v>
      </c>
    </row>
    <row r="85" spans="1:3" x14ac:dyDescent="0.3">
      <c r="A85" t="s">
        <v>337</v>
      </c>
      <c r="B85" t="s">
        <v>2548</v>
      </c>
      <c r="C85" t="s">
        <v>1817</v>
      </c>
    </row>
    <row r="86" spans="1:3" x14ac:dyDescent="0.3">
      <c r="A86" t="s">
        <v>299</v>
      </c>
      <c r="B86" t="s">
        <v>2549</v>
      </c>
    </row>
    <row r="87" spans="1:3" x14ac:dyDescent="0.3">
      <c r="A87" t="s">
        <v>301</v>
      </c>
      <c r="B87" t="s">
        <v>2550</v>
      </c>
    </row>
    <row r="88" spans="1:3" x14ac:dyDescent="0.3">
      <c r="A88" t="s">
        <v>341</v>
      </c>
      <c r="B88" t="s">
        <v>2551</v>
      </c>
      <c r="C88" t="s">
        <v>1817</v>
      </c>
    </row>
    <row r="89" spans="1:3" x14ac:dyDescent="0.3">
      <c r="A89" t="s">
        <v>299</v>
      </c>
      <c r="B89" t="s">
        <v>2552</v>
      </c>
    </row>
    <row r="90" spans="1:3" x14ac:dyDescent="0.3">
      <c r="A90" t="s">
        <v>301</v>
      </c>
      <c r="B90" t="s">
        <v>2553</v>
      </c>
    </row>
    <row r="91" spans="1:3" x14ac:dyDescent="0.3">
      <c r="A91" t="s">
        <v>346</v>
      </c>
      <c r="B91" t="s">
        <v>2554</v>
      </c>
      <c r="C91" t="s">
        <v>1817</v>
      </c>
    </row>
    <row r="92" spans="1:3" x14ac:dyDescent="0.3">
      <c r="A92" t="s">
        <v>299</v>
      </c>
      <c r="B92" t="s">
        <v>2555</v>
      </c>
    </row>
    <row r="93" spans="1:3" x14ac:dyDescent="0.3">
      <c r="A93" t="s">
        <v>301</v>
      </c>
      <c r="B93" t="s">
        <v>2556</v>
      </c>
    </row>
    <row r="94" spans="1:3" x14ac:dyDescent="0.3">
      <c r="A94" t="s">
        <v>1453</v>
      </c>
      <c r="B94" t="s">
        <v>2557</v>
      </c>
      <c r="C94" t="s">
        <v>1817</v>
      </c>
    </row>
    <row r="95" spans="1:3" x14ac:dyDescent="0.3">
      <c r="A95" t="s">
        <v>299</v>
      </c>
      <c r="B95" t="s">
        <v>2558</v>
      </c>
    </row>
    <row r="96" spans="1:3" x14ac:dyDescent="0.3">
      <c r="A96" t="s">
        <v>301</v>
      </c>
      <c r="B96" t="s">
        <v>2559</v>
      </c>
    </row>
    <row r="97" spans="1:3" x14ac:dyDescent="0.3">
      <c r="A97" t="s">
        <v>1457</v>
      </c>
      <c r="B97" t="s">
        <v>2560</v>
      </c>
      <c r="C97" t="s">
        <v>1817</v>
      </c>
    </row>
    <row r="98" spans="1:3" x14ac:dyDescent="0.3">
      <c r="A98" t="s">
        <v>299</v>
      </c>
      <c r="B98" t="s">
        <v>2561</v>
      </c>
    </row>
    <row r="99" spans="1:3" x14ac:dyDescent="0.3">
      <c r="A99" t="s">
        <v>301</v>
      </c>
      <c r="B99" t="s">
        <v>2562</v>
      </c>
    </row>
    <row r="100" spans="1:3" x14ac:dyDescent="0.3">
      <c r="A100" t="s">
        <v>1461</v>
      </c>
      <c r="B100" t="s">
        <v>2563</v>
      </c>
      <c r="C100" t="s">
        <v>1817</v>
      </c>
    </row>
    <row r="101" spans="1:3" x14ac:dyDescent="0.3">
      <c r="A101" t="s">
        <v>299</v>
      </c>
      <c r="B101" t="s">
        <v>2564</v>
      </c>
    </row>
    <row r="102" spans="1:3" x14ac:dyDescent="0.3">
      <c r="A102" t="s">
        <v>301</v>
      </c>
      <c r="B102" t="s">
        <v>2565</v>
      </c>
    </row>
    <row r="103" spans="1:3" x14ac:dyDescent="0.3">
      <c r="A103" t="s">
        <v>1465</v>
      </c>
      <c r="B103" t="s">
        <v>2566</v>
      </c>
      <c r="C103" t="s">
        <v>1817</v>
      </c>
    </row>
    <row r="104" spans="1:3" x14ac:dyDescent="0.3">
      <c r="A104" t="s">
        <v>299</v>
      </c>
      <c r="B104" t="s">
        <v>2567</v>
      </c>
    </row>
    <row r="105" spans="1:3" x14ac:dyDescent="0.3">
      <c r="A105" t="s">
        <v>301</v>
      </c>
      <c r="B105" t="s">
        <v>2568</v>
      </c>
    </row>
    <row r="106" spans="1:3" x14ac:dyDescent="0.3">
      <c r="A106" t="s">
        <v>1469</v>
      </c>
      <c r="B106" t="s">
        <v>2569</v>
      </c>
      <c r="C106" t="s">
        <v>1817</v>
      </c>
    </row>
    <row r="107" spans="1:3" x14ac:dyDescent="0.3">
      <c r="A107" t="s">
        <v>299</v>
      </c>
      <c r="B107" t="s">
        <v>2570</v>
      </c>
    </row>
    <row r="108" spans="1:3" x14ac:dyDescent="0.3">
      <c r="A108" t="s">
        <v>301</v>
      </c>
      <c r="B108" t="s">
        <v>2571</v>
      </c>
    </row>
    <row r="109" spans="1:3" x14ac:dyDescent="0.3">
      <c r="A109" t="s">
        <v>1473</v>
      </c>
      <c r="B109" t="s">
        <v>2572</v>
      </c>
      <c r="C109" t="s">
        <v>1817</v>
      </c>
    </row>
    <row r="110" spans="1:3" x14ac:dyDescent="0.3">
      <c r="A110" t="s">
        <v>299</v>
      </c>
      <c r="B110" t="s">
        <v>2573</v>
      </c>
    </row>
    <row r="111" spans="1:3" x14ac:dyDescent="0.3">
      <c r="A111" t="s">
        <v>301</v>
      </c>
      <c r="B111" t="s">
        <v>2574</v>
      </c>
    </row>
    <row r="112" spans="1:3" x14ac:dyDescent="0.3">
      <c r="A112" t="s">
        <v>1477</v>
      </c>
      <c r="B112" t="s">
        <v>2575</v>
      </c>
      <c r="C112" t="s">
        <v>1817</v>
      </c>
    </row>
    <row r="113" spans="1:3" x14ac:dyDescent="0.3">
      <c r="A113" t="s">
        <v>299</v>
      </c>
      <c r="B113" t="s">
        <v>2576</v>
      </c>
    </row>
    <row r="114" spans="1:3" x14ac:dyDescent="0.3">
      <c r="A114" t="s">
        <v>301</v>
      </c>
      <c r="B114" t="s">
        <v>2577</v>
      </c>
    </row>
    <row r="115" spans="1:3" x14ac:dyDescent="0.3">
      <c r="A115" t="s">
        <v>2578</v>
      </c>
      <c r="B115" t="s">
        <v>2579</v>
      </c>
      <c r="C115" t="s">
        <v>1817</v>
      </c>
    </row>
    <row r="116" spans="1:3" x14ac:dyDescent="0.3">
      <c r="A116" t="s">
        <v>299</v>
      </c>
      <c r="B116" t="s">
        <v>2580</v>
      </c>
    </row>
    <row r="117" spans="1:3" x14ac:dyDescent="0.3">
      <c r="A117" t="s">
        <v>301</v>
      </c>
      <c r="B117" t="s">
        <v>2581</v>
      </c>
    </row>
    <row r="118" spans="1:3" x14ac:dyDescent="0.3">
      <c r="A118" t="s">
        <v>2582</v>
      </c>
      <c r="B118" t="s">
        <v>2583</v>
      </c>
      <c r="C118" t="s">
        <v>1817</v>
      </c>
    </row>
    <row r="119" spans="1:3" x14ac:dyDescent="0.3">
      <c r="A119" t="s">
        <v>299</v>
      </c>
      <c r="B119" t="s">
        <v>2584</v>
      </c>
    </row>
    <row r="120" spans="1:3" x14ac:dyDescent="0.3">
      <c r="A120" t="s">
        <v>301</v>
      </c>
      <c r="B120" t="s">
        <v>2585</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D70"/>
  <sheetViews>
    <sheetView workbookViewId="0"/>
  </sheetViews>
  <sheetFormatPr defaultRowHeight="14.4" x14ac:dyDescent="0.3"/>
  <cols>
    <col min="1" max="1" width="46" customWidth="1"/>
    <col min="2" max="8" width="15" customWidth="1"/>
  </cols>
  <sheetData>
    <row r="1" spans="1:4" x14ac:dyDescent="0.3">
      <c r="A1" s="24" t="s">
        <v>181</v>
      </c>
      <c r="B1" t="s">
        <v>2586</v>
      </c>
    </row>
    <row r="2" spans="1:4" x14ac:dyDescent="0.3">
      <c r="A2" s="24" t="s">
        <v>183</v>
      </c>
      <c r="B2" t="s">
        <v>2587</v>
      </c>
    </row>
    <row r="4" spans="1:4" x14ac:dyDescent="0.3">
      <c r="A4" s="25" t="s">
        <v>185</v>
      </c>
      <c r="B4" s="25"/>
      <c r="C4" s="25"/>
      <c r="D4" s="25"/>
    </row>
    <row r="6" spans="1:4" x14ac:dyDescent="0.3">
      <c r="A6" t="s">
        <v>2588</v>
      </c>
      <c r="B6" t="s">
        <v>21</v>
      </c>
      <c r="C6" t="s">
        <v>2589</v>
      </c>
      <c r="D6" t="s">
        <v>189</v>
      </c>
    </row>
    <row r="7" spans="1:4" x14ac:dyDescent="0.3">
      <c r="A7" t="s">
        <v>2590</v>
      </c>
      <c r="B7">
        <v>314</v>
      </c>
      <c r="C7" t="s">
        <v>2591</v>
      </c>
      <c r="D7" t="s">
        <v>2592</v>
      </c>
    </row>
    <row r="8" spans="1:4" x14ac:dyDescent="0.3">
      <c r="A8" t="s">
        <v>2593</v>
      </c>
      <c r="B8">
        <v>273</v>
      </c>
      <c r="C8" t="s">
        <v>2594</v>
      </c>
      <c r="D8" t="s">
        <v>2595</v>
      </c>
    </row>
    <row r="9" spans="1:4" x14ac:dyDescent="0.3">
      <c r="A9" t="s">
        <v>2596</v>
      </c>
      <c r="B9">
        <v>41</v>
      </c>
      <c r="C9" t="s">
        <v>2597</v>
      </c>
      <c r="D9" t="s">
        <v>2598</v>
      </c>
    </row>
    <row r="10" spans="1:4" x14ac:dyDescent="0.3">
      <c r="A10" t="s">
        <v>2599</v>
      </c>
      <c r="B10">
        <v>128</v>
      </c>
      <c r="C10" t="s">
        <v>2600</v>
      </c>
      <c r="D10" t="s">
        <v>1284</v>
      </c>
    </row>
    <row r="11" spans="1:4" x14ac:dyDescent="0.3">
      <c r="A11" t="s">
        <v>2601</v>
      </c>
      <c r="B11">
        <v>3.9</v>
      </c>
      <c r="C11" t="s">
        <v>197</v>
      </c>
      <c r="D11" t="s">
        <v>197</v>
      </c>
    </row>
    <row r="12" spans="1:4" x14ac:dyDescent="0.3">
      <c r="A12" t="s">
        <v>2602</v>
      </c>
      <c r="B12" t="s">
        <v>2603</v>
      </c>
      <c r="C12" t="s">
        <v>197</v>
      </c>
      <c r="D12" t="s">
        <v>197</v>
      </c>
    </row>
    <row r="14" spans="1:4" x14ac:dyDescent="0.3">
      <c r="A14" t="s">
        <v>2604</v>
      </c>
      <c r="B14" t="s">
        <v>22</v>
      </c>
      <c r="C14" t="s">
        <v>17</v>
      </c>
      <c r="D14" t="s">
        <v>189</v>
      </c>
    </row>
    <row r="15" spans="1:4" x14ac:dyDescent="0.3">
      <c r="A15" t="s">
        <v>2590</v>
      </c>
      <c r="B15">
        <v>133</v>
      </c>
      <c r="C15">
        <v>50</v>
      </c>
      <c r="D15" t="s">
        <v>2349</v>
      </c>
    </row>
    <row r="16" spans="1:4" x14ac:dyDescent="0.3">
      <c r="A16" t="s">
        <v>2605</v>
      </c>
      <c r="B16" t="s">
        <v>2606</v>
      </c>
      <c r="C16" t="s">
        <v>2607</v>
      </c>
      <c r="D16" t="s">
        <v>2608</v>
      </c>
    </row>
    <row r="17" spans="1:4" x14ac:dyDescent="0.3">
      <c r="A17" t="s">
        <v>2596</v>
      </c>
      <c r="B17" t="s">
        <v>1522</v>
      </c>
      <c r="C17" t="s">
        <v>2609</v>
      </c>
      <c r="D17" t="s">
        <v>2352</v>
      </c>
    </row>
    <row r="18" spans="1:4" x14ac:dyDescent="0.3">
      <c r="A18" t="s">
        <v>2599</v>
      </c>
      <c r="B18">
        <v>53.9</v>
      </c>
      <c r="C18" t="s">
        <v>2610</v>
      </c>
      <c r="D18" t="s">
        <v>2358</v>
      </c>
    </row>
    <row r="19" spans="1:4" x14ac:dyDescent="0.3">
      <c r="A19" t="s">
        <v>2611</v>
      </c>
      <c r="B19" t="s">
        <v>2359</v>
      </c>
      <c r="C19" t="s">
        <v>642</v>
      </c>
      <c r="D19" t="s">
        <v>2360</v>
      </c>
    </row>
    <row r="20" spans="1:4" x14ac:dyDescent="0.3">
      <c r="A20" t="s">
        <v>2612</v>
      </c>
      <c r="B20">
        <v>14.8</v>
      </c>
      <c r="C20" t="s">
        <v>197</v>
      </c>
      <c r="D20" t="s">
        <v>197</v>
      </c>
    </row>
    <row r="21" spans="1:4" x14ac:dyDescent="0.3">
      <c r="A21" t="s">
        <v>2601</v>
      </c>
      <c r="B21">
        <v>6.7</v>
      </c>
      <c r="C21">
        <v>0.6</v>
      </c>
      <c r="D21" t="s">
        <v>2364</v>
      </c>
    </row>
    <row r="22" spans="1:4" x14ac:dyDescent="0.3">
      <c r="A22" t="s">
        <v>1018</v>
      </c>
      <c r="B22">
        <v>0.09</v>
      </c>
      <c r="C22">
        <v>0.01</v>
      </c>
      <c r="D22" t="s">
        <v>2365</v>
      </c>
    </row>
    <row r="23" spans="1:4" x14ac:dyDescent="0.3">
      <c r="A23" t="s">
        <v>107</v>
      </c>
      <c r="B23" t="s">
        <v>2379</v>
      </c>
      <c r="C23" t="s">
        <v>197</v>
      </c>
      <c r="D23" t="s">
        <v>197</v>
      </c>
    </row>
    <row r="25" spans="1:4" x14ac:dyDescent="0.3">
      <c r="A25" t="s">
        <v>2613</v>
      </c>
      <c r="B25" t="s">
        <v>238</v>
      </c>
      <c r="C25" t="s">
        <v>274</v>
      </c>
    </row>
    <row r="26" spans="1:4" x14ac:dyDescent="0.3">
      <c r="A26" t="s">
        <v>2614</v>
      </c>
      <c r="B26" t="s">
        <v>2615</v>
      </c>
      <c r="C26" t="s">
        <v>2616</v>
      </c>
    </row>
    <row r="27" spans="1:4" x14ac:dyDescent="0.3">
      <c r="A27" t="s">
        <v>2617</v>
      </c>
      <c r="B27" t="s">
        <v>381</v>
      </c>
      <c r="C27" t="s">
        <v>2465</v>
      </c>
    </row>
    <row r="28" spans="1:4" x14ac:dyDescent="0.3">
      <c r="A28" t="s">
        <v>2618</v>
      </c>
      <c r="B28" t="s">
        <v>2619</v>
      </c>
      <c r="C28" t="s">
        <v>2620</v>
      </c>
    </row>
    <row r="29" spans="1:4" x14ac:dyDescent="0.3">
      <c r="A29" t="s">
        <v>2621</v>
      </c>
      <c r="B29" t="s">
        <v>2622</v>
      </c>
      <c r="C29" t="s">
        <v>2620</v>
      </c>
    </row>
    <row r="30" spans="1:4" x14ac:dyDescent="0.3">
      <c r="A30" t="s">
        <v>2623</v>
      </c>
      <c r="B30" t="s">
        <v>2624</v>
      </c>
      <c r="C30" t="s">
        <v>2620</v>
      </c>
    </row>
    <row r="31" spans="1:4" x14ac:dyDescent="0.3">
      <c r="A31" t="s">
        <v>2625</v>
      </c>
      <c r="B31" t="s">
        <v>2626</v>
      </c>
      <c r="C31" t="s">
        <v>22</v>
      </c>
    </row>
    <row r="32" spans="1:4" x14ac:dyDescent="0.3">
      <c r="A32" t="s">
        <v>2627</v>
      </c>
      <c r="B32">
        <v>23</v>
      </c>
      <c r="C32" t="s">
        <v>22</v>
      </c>
    </row>
    <row r="33" spans="1:3" x14ac:dyDescent="0.3">
      <c r="A33" t="s">
        <v>2628</v>
      </c>
      <c r="B33" t="s">
        <v>2629</v>
      </c>
      <c r="C33" t="s">
        <v>22</v>
      </c>
    </row>
    <row r="34" spans="1:3" x14ac:dyDescent="0.3">
      <c r="A34" t="s">
        <v>2630</v>
      </c>
      <c r="B34" t="s">
        <v>2631</v>
      </c>
      <c r="C34" t="s">
        <v>2620</v>
      </c>
    </row>
    <row r="35" spans="1:3" x14ac:dyDescent="0.3">
      <c r="A35" t="s">
        <v>110</v>
      </c>
      <c r="B35" t="s">
        <v>1846</v>
      </c>
      <c r="C35" t="s">
        <v>2620</v>
      </c>
    </row>
    <row r="36" spans="1:3" x14ac:dyDescent="0.3">
      <c r="A36" t="s">
        <v>2632</v>
      </c>
      <c r="B36" t="s">
        <v>2633</v>
      </c>
      <c r="C36" t="s">
        <v>21</v>
      </c>
    </row>
    <row r="38" spans="1:3" x14ac:dyDescent="0.3">
      <c r="A38" t="s">
        <v>2634</v>
      </c>
      <c r="B38" t="s">
        <v>238</v>
      </c>
    </row>
    <row r="39" spans="1:3" x14ac:dyDescent="0.3">
      <c r="A39" t="s">
        <v>2635</v>
      </c>
      <c r="B39">
        <v>74470539</v>
      </c>
    </row>
    <row r="40" spans="1:3" x14ac:dyDescent="0.3">
      <c r="A40" t="s">
        <v>2636</v>
      </c>
      <c r="B40">
        <v>65371884</v>
      </c>
    </row>
    <row r="41" spans="1:3" x14ac:dyDescent="0.3">
      <c r="A41" t="s">
        <v>2637</v>
      </c>
      <c r="B41">
        <v>8</v>
      </c>
    </row>
    <row r="42" spans="1:3" x14ac:dyDescent="0.3">
      <c r="A42" t="s">
        <v>2638</v>
      </c>
      <c r="B42" t="s">
        <v>2639</v>
      </c>
    </row>
    <row r="43" spans="1:3" x14ac:dyDescent="0.3">
      <c r="A43" t="s">
        <v>2640</v>
      </c>
      <c r="B43" t="s">
        <v>2641</v>
      </c>
    </row>
    <row r="45" spans="1:3" x14ac:dyDescent="0.3">
      <c r="A45" t="s">
        <v>1061</v>
      </c>
      <c r="B45" t="s">
        <v>238</v>
      </c>
      <c r="C45" t="s">
        <v>274</v>
      </c>
    </row>
    <row r="46" spans="1:3" x14ac:dyDescent="0.3">
      <c r="A46" t="s">
        <v>2493</v>
      </c>
      <c r="B46" t="s">
        <v>2642</v>
      </c>
      <c r="C46" t="s">
        <v>24</v>
      </c>
    </row>
    <row r="47" spans="1:3" x14ac:dyDescent="0.3">
      <c r="A47" t="s">
        <v>2490</v>
      </c>
      <c r="B47" t="s">
        <v>2643</v>
      </c>
      <c r="C47" t="s">
        <v>25</v>
      </c>
    </row>
    <row r="49" spans="1:4" x14ac:dyDescent="0.3">
      <c r="A49" s="25" t="s">
        <v>281</v>
      </c>
      <c r="B49" s="25"/>
      <c r="C49" s="25"/>
      <c r="D49" s="25"/>
    </row>
    <row r="50" spans="1:4" x14ac:dyDescent="0.3">
      <c r="A50" t="s">
        <v>2644</v>
      </c>
    </row>
    <row r="51" spans="1:4" x14ac:dyDescent="0.3">
      <c r="A51" t="s">
        <v>2645</v>
      </c>
    </row>
    <row r="52" spans="1:4" x14ac:dyDescent="0.3">
      <c r="A52" t="s">
        <v>2646</v>
      </c>
    </row>
    <row r="53" spans="1:4" x14ac:dyDescent="0.3">
      <c r="A53" t="s">
        <v>2647</v>
      </c>
    </row>
    <row r="54" spans="1:4" x14ac:dyDescent="0.3">
      <c r="A54" t="s">
        <v>2648</v>
      </c>
    </row>
    <row r="55" spans="1:4" x14ac:dyDescent="0.3">
      <c r="A55" t="s">
        <v>2649</v>
      </c>
    </row>
    <row r="56" spans="1:4" x14ac:dyDescent="0.3">
      <c r="A56" t="s">
        <v>2650</v>
      </c>
    </row>
    <row r="57" spans="1:4" x14ac:dyDescent="0.3">
      <c r="A57" t="s">
        <v>2651</v>
      </c>
    </row>
    <row r="58" spans="1:4" x14ac:dyDescent="0.3">
      <c r="A58" t="s">
        <v>2652</v>
      </c>
    </row>
    <row r="59" spans="1:4" x14ac:dyDescent="0.3">
      <c r="A59" t="s">
        <v>2653</v>
      </c>
    </row>
    <row r="60" spans="1:4" x14ac:dyDescent="0.3">
      <c r="A60" t="s">
        <v>2654</v>
      </c>
    </row>
    <row r="61" spans="1:4" x14ac:dyDescent="0.3">
      <c r="A61" t="s">
        <v>2655</v>
      </c>
    </row>
    <row r="62" spans="1:4" x14ac:dyDescent="0.3">
      <c r="A62" t="s">
        <v>2656</v>
      </c>
    </row>
    <row r="63" spans="1:4" x14ac:dyDescent="0.3">
      <c r="A63" t="s">
        <v>2657</v>
      </c>
    </row>
    <row r="65" spans="1:4" x14ac:dyDescent="0.3">
      <c r="A65" s="25" t="s">
        <v>295</v>
      </c>
      <c r="B65" s="25"/>
      <c r="C65" s="25"/>
      <c r="D65" s="25"/>
    </row>
    <row r="66" spans="1:4" x14ac:dyDescent="0.3">
      <c r="A66" t="s">
        <v>296</v>
      </c>
      <c r="B66" t="s">
        <v>2658</v>
      </c>
      <c r="C66" t="s">
        <v>2659</v>
      </c>
    </row>
    <row r="67" spans="1:4" x14ac:dyDescent="0.3">
      <c r="A67" t="s">
        <v>299</v>
      </c>
      <c r="B67" t="s">
        <v>2660</v>
      </c>
    </row>
    <row r="68" spans="1:4" x14ac:dyDescent="0.3">
      <c r="A68" t="s">
        <v>301</v>
      </c>
      <c r="B68" t="s">
        <v>2661</v>
      </c>
    </row>
    <row r="69" spans="1:4" x14ac:dyDescent="0.3">
      <c r="A69" t="s">
        <v>1889</v>
      </c>
      <c r="B69" t="s">
        <v>2662</v>
      </c>
      <c r="C69" t="s">
        <v>2663</v>
      </c>
    </row>
    <row r="70" spans="1:4" x14ac:dyDescent="0.3">
      <c r="A70" t="s">
        <v>301</v>
      </c>
      <c r="B70" t="s">
        <v>2664</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C87"/>
  <sheetViews>
    <sheetView workbookViewId="0"/>
  </sheetViews>
  <sheetFormatPr defaultRowHeight="14.4" x14ac:dyDescent="0.3"/>
  <cols>
    <col min="1" max="1" width="46" customWidth="1"/>
    <col min="2" max="8" width="15" customWidth="1"/>
  </cols>
  <sheetData>
    <row r="1" spans="1:3" x14ac:dyDescent="0.3">
      <c r="A1" s="24" t="s">
        <v>181</v>
      </c>
      <c r="B1" t="s">
        <v>2665</v>
      </c>
    </row>
    <row r="2" spans="1:3" x14ac:dyDescent="0.3">
      <c r="A2" s="24" t="s">
        <v>183</v>
      </c>
      <c r="B2" t="s">
        <v>2666</v>
      </c>
    </row>
    <row r="4" spans="1:3" x14ac:dyDescent="0.3">
      <c r="A4" s="25" t="s">
        <v>185</v>
      </c>
      <c r="B4" s="25"/>
      <c r="C4" s="25"/>
    </row>
    <row r="6" spans="1:3" x14ac:dyDescent="0.3">
      <c r="A6" t="s">
        <v>2667</v>
      </c>
      <c r="B6" t="s">
        <v>238</v>
      </c>
      <c r="C6" t="s">
        <v>274</v>
      </c>
    </row>
    <row r="7" spans="1:3" x14ac:dyDescent="0.3">
      <c r="A7" t="s">
        <v>2668</v>
      </c>
      <c r="B7" t="s">
        <v>2669</v>
      </c>
      <c r="C7" t="s">
        <v>22</v>
      </c>
    </row>
    <row r="8" spans="1:3" x14ac:dyDescent="0.3">
      <c r="A8" t="s">
        <v>2617</v>
      </c>
      <c r="B8" t="s">
        <v>381</v>
      </c>
      <c r="C8" t="s">
        <v>2670</v>
      </c>
    </row>
    <row r="9" spans="1:3" x14ac:dyDescent="0.3">
      <c r="A9" t="s">
        <v>2671</v>
      </c>
      <c r="B9" t="s">
        <v>2672</v>
      </c>
      <c r="C9" t="s">
        <v>2670</v>
      </c>
    </row>
    <row r="10" spans="1:3" x14ac:dyDescent="0.3">
      <c r="A10" t="s">
        <v>2673</v>
      </c>
      <c r="B10" t="s">
        <v>2674</v>
      </c>
      <c r="C10" t="s">
        <v>2675</v>
      </c>
    </row>
    <row r="12" spans="1:3" x14ac:dyDescent="0.3">
      <c r="A12" t="s">
        <v>2676</v>
      </c>
      <c r="B12" t="s">
        <v>238</v>
      </c>
      <c r="C12" t="s">
        <v>274</v>
      </c>
    </row>
    <row r="13" spans="1:3" x14ac:dyDescent="0.3">
      <c r="A13" t="s">
        <v>2618</v>
      </c>
      <c r="B13" t="s">
        <v>2677</v>
      </c>
      <c r="C13" t="s">
        <v>2678</v>
      </c>
    </row>
    <row r="14" spans="1:3" x14ac:dyDescent="0.3">
      <c r="A14" t="s">
        <v>2679</v>
      </c>
      <c r="B14" t="s">
        <v>2680</v>
      </c>
      <c r="C14" t="s">
        <v>2678</v>
      </c>
    </row>
    <row r="15" spans="1:3" x14ac:dyDescent="0.3">
      <c r="A15" t="s">
        <v>1383</v>
      </c>
      <c r="B15" t="s">
        <v>1245</v>
      </c>
      <c r="C15" t="s">
        <v>2678</v>
      </c>
    </row>
    <row r="17" spans="1:3" x14ac:dyDescent="0.3">
      <c r="A17" t="s">
        <v>2681</v>
      </c>
      <c r="B17" t="s">
        <v>238</v>
      </c>
      <c r="C17" t="s">
        <v>274</v>
      </c>
    </row>
    <row r="18" spans="1:3" x14ac:dyDescent="0.3">
      <c r="A18" t="s">
        <v>2682</v>
      </c>
      <c r="B18" t="s">
        <v>2683</v>
      </c>
      <c r="C18" t="s">
        <v>22</v>
      </c>
    </row>
    <row r="19" spans="1:3" x14ac:dyDescent="0.3">
      <c r="A19" t="s">
        <v>2684</v>
      </c>
      <c r="B19" t="s">
        <v>2685</v>
      </c>
      <c r="C19" t="s">
        <v>2686</v>
      </c>
    </row>
    <row r="20" spans="1:3" x14ac:dyDescent="0.3">
      <c r="A20" t="s">
        <v>2687</v>
      </c>
      <c r="B20" t="s">
        <v>549</v>
      </c>
      <c r="C20" t="s">
        <v>2678</v>
      </c>
    </row>
    <row r="21" spans="1:3" x14ac:dyDescent="0.3">
      <c r="A21" t="s">
        <v>2688</v>
      </c>
      <c r="B21" t="s">
        <v>2689</v>
      </c>
      <c r="C21" t="s">
        <v>2678</v>
      </c>
    </row>
    <row r="23" spans="1:3" x14ac:dyDescent="0.3">
      <c r="A23" t="s">
        <v>2690</v>
      </c>
      <c r="B23" t="s">
        <v>238</v>
      </c>
      <c r="C23" t="s">
        <v>274</v>
      </c>
    </row>
    <row r="24" spans="1:3" x14ac:dyDescent="0.3">
      <c r="A24" t="s">
        <v>2691</v>
      </c>
      <c r="B24" t="s">
        <v>2387</v>
      </c>
      <c r="C24" t="s">
        <v>22</v>
      </c>
    </row>
    <row r="25" spans="1:3" x14ac:dyDescent="0.3">
      <c r="A25" t="s">
        <v>2692</v>
      </c>
      <c r="B25" t="s">
        <v>2693</v>
      </c>
      <c r="C25" t="s">
        <v>22</v>
      </c>
    </row>
    <row r="26" spans="1:3" x14ac:dyDescent="0.3">
      <c r="A26" t="s">
        <v>2694</v>
      </c>
      <c r="B26" t="s">
        <v>2695</v>
      </c>
      <c r="C26" t="s">
        <v>22</v>
      </c>
    </row>
    <row r="28" spans="1:3" x14ac:dyDescent="0.3">
      <c r="A28" t="s">
        <v>2696</v>
      </c>
      <c r="B28" t="s">
        <v>238</v>
      </c>
    </row>
    <row r="29" spans="1:3" x14ac:dyDescent="0.3">
      <c r="A29" t="s">
        <v>2697</v>
      </c>
      <c r="B29" t="s">
        <v>2698</v>
      </c>
    </row>
    <row r="30" spans="1:3" x14ac:dyDescent="0.3">
      <c r="A30" t="s">
        <v>2699</v>
      </c>
      <c r="B30" t="s">
        <v>2700</v>
      </c>
    </row>
    <row r="32" spans="1:3" x14ac:dyDescent="0.3">
      <c r="A32" t="s">
        <v>1061</v>
      </c>
      <c r="B32" t="s">
        <v>238</v>
      </c>
      <c r="C32" t="s">
        <v>274</v>
      </c>
    </row>
    <row r="33" spans="1:3" x14ac:dyDescent="0.3">
      <c r="A33" t="s">
        <v>2701</v>
      </c>
      <c r="B33" t="s">
        <v>2702</v>
      </c>
      <c r="C33" t="s">
        <v>2703</v>
      </c>
    </row>
    <row r="34" spans="1:3" x14ac:dyDescent="0.3">
      <c r="A34" t="s">
        <v>2704</v>
      </c>
      <c r="B34" t="s">
        <v>2705</v>
      </c>
      <c r="C34" t="s">
        <v>23</v>
      </c>
    </row>
    <row r="35" spans="1:3" x14ac:dyDescent="0.3">
      <c r="A35" t="s">
        <v>2493</v>
      </c>
      <c r="B35" t="s">
        <v>2642</v>
      </c>
      <c r="C35" t="s">
        <v>2706</v>
      </c>
    </row>
    <row r="36" spans="1:3" x14ac:dyDescent="0.3">
      <c r="A36" t="s">
        <v>2707</v>
      </c>
      <c r="B36" t="s">
        <v>2708</v>
      </c>
      <c r="C36" t="s">
        <v>2497</v>
      </c>
    </row>
    <row r="38" spans="1:3" x14ac:dyDescent="0.3">
      <c r="A38" s="25" t="s">
        <v>281</v>
      </c>
      <c r="B38" s="25"/>
      <c r="C38" s="25"/>
    </row>
    <row r="39" spans="1:3" x14ac:dyDescent="0.3">
      <c r="A39" t="s">
        <v>2709</v>
      </c>
    </row>
    <row r="40" spans="1:3" x14ac:dyDescent="0.3">
      <c r="A40" t="s">
        <v>2710</v>
      </c>
    </row>
    <row r="41" spans="1:3" x14ac:dyDescent="0.3">
      <c r="A41" t="s">
        <v>2711</v>
      </c>
    </row>
    <row r="42" spans="1:3" x14ac:dyDescent="0.3">
      <c r="A42" t="s">
        <v>2712</v>
      </c>
    </row>
    <row r="43" spans="1:3" x14ac:dyDescent="0.3">
      <c r="A43" t="s">
        <v>2713</v>
      </c>
    </row>
    <row r="44" spans="1:3" x14ac:dyDescent="0.3">
      <c r="A44" t="s">
        <v>2714</v>
      </c>
    </row>
    <row r="45" spans="1:3" x14ac:dyDescent="0.3">
      <c r="A45" t="s">
        <v>2715</v>
      </c>
    </row>
    <row r="46" spans="1:3" x14ac:dyDescent="0.3">
      <c r="A46" t="s">
        <v>2716</v>
      </c>
    </row>
    <row r="47" spans="1:3" x14ac:dyDescent="0.3">
      <c r="A47" t="s">
        <v>2717</v>
      </c>
    </row>
    <row r="48" spans="1:3" x14ac:dyDescent="0.3">
      <c r="A48" t="s">
        <v>2718</v>
      </c>
    </row>
    <row r="49" spans="1:3" x14ac:dyDescent="0.3">
      <c r="A49" t="s">
        <v>2719</v>
      </c>
    </row>
    <row r="50" spans="1:3" x14ac:dyDescent="0.3">
      <c r="A50" t="s">
        <v>2720</v>
      </c>
    </row>
    <row r="51" spans="1:3" x14ac:dyDescent="0.3">
      <c r="A51" t="s">
        <v>2721</v>
      </c>
    </row>
    <row r="52" spans="1:3" x14ac:dyDescent="0.3">
      <c r="A52" t="s">
        <v>2722</v>
      </c>
    </row>
    <row r="54" spans="1:3" x14ac:dyDescent="0.3">
      <c r="A54" s="25" t="s">
        <v>295</v>
      </c>
      <c r="B54" s="25"/>
      <c r="C54" s="25"/>
    </row>
    <row r="55" spans="1:3" x14ac:dyDescent="0.3">
      <c r="A55" t="s">
        <v>296</v>
      </c>
      <c r="B55" t="s">
        <v>2723</v>
      </c>
      <c r="C55" t="s">
        <v>2724</v>
      </c>
    </row>
    <row r="56" spans="1:3" x14ac:dyDescent="0.3">
      <c r="A56" t="s">
        <v>299</v>
      </c>
      <c r="B56" t="s">
        <v>2725</v>
      </c>
    </row>
    <row r="57" spans="1:3" x14ac:dyDescent="0.3">
      <c r="A57" t="s">
        <v>301</v>
      </c>
      <c r="B57" t="s">
        <v>2726</v>
      </c>
    </row>
    <row r="58" spans="1:3" x14ac:dyDescent="0.3">
      <c r="A58" t="s">
        <v>303</v>
      </c>
      <c r="B58" t="s">
        <v>2727</v>
      </c>
      <c r="C58" t="s">
        <v>2724</v>
      </c>
    </row>
    <row r="59" spans="1:3" x14ac:dyDescent="0.3">
      <c r="A59" t="s">
        <v>299</v>
      </c>
      <c r="B59" t="s">
        <v>2728</v>
      </c>
    </row>
    <row r="60" spans="1:3" x14ac:dyDescent="0.3">
      <c r="A60" t="s">
        <v>301</v>
      </c>
      <c r="B60" t="s">
        <v>2729</v>
      </c>
    </row>
    <row r="61" spans="1:3" x14ac:dyDescent="0.3">
      <c r="A61" t="s">
        <v>307</v>
      </c>
      <c r="B61" t="s">
        <v>2730</v>
      </c>
      <c r="C61" t="s">
        <v>2724</v>
      </c>
    </row>
    <row r="62" spans="1:3" x14ac:dyDescent="0.3">
      <c r="A62" t="s">
        <v>299</v>
      </c>
      <c r="B62" t="s">
        <v>2731</v>
      </c>
    </row>
    <row r="63" spans="1:3" x14ac:dyDescent="0.3">
      <c r="A63" t="s">
        <v>301</v>
      </c>
      <c r="B63" t="s">
        <v>2732</v>
      </c>
    </row>
    <row r="64" spans="1:3" x14ac:dyDescent="0.3">
      <c r="A64" t="s">
        <v>311</v>
      </c>
      <c r="B64" t="s">
        <v>2733</v>
      </c>
      <c r="C64" t="s">
        <v>2724</v>
      </c>
    </row>
    <row r="65" spans="1:3" x14ac:dyDescent="0.3">
      <c r="A65" t="s">
        <v>299</v>
      </c>
      <c r="B65" t="s">
        <v>2734</v>
      </c>
    </row>
    <row r="66" spans="1:3" x14ac:dyDescent="0.3">
      <c r="A66" t="s">
        <v>301</v>
      </c>
      <c r="B66" t="s">
        <v>2735</v>
      </c>
    </row>
    <row r="67" spans="1:3" x14ac:dyDescent="0.3">
      <c r="A67" t="s">
        <v>316</v>
      </c>
      <c r="B67" t="s">
        <v>2736</v>
      </c>
      <c r="C67" t="s">
        <v>2724</v>
      </c>
    </row>
    <row r="68" spans="1:3" x14ac:dyDescent="0.3">
      <c r="A68" t="s">
        <v>299</v>
      </c>
      <c r="B68" t="s">
        <v>2737</v>
      </c>
    </row>
    <row r="69" spans="1:3" x14ac:dyDescent="0.3">
      <c r="A69" t="s">
        <v>301</v>
      </c>
      <c r="B69" t="s">
        <v>2738</v>
      </c>
    </row>
    <row r="70" spans="1:3" x14ac:dyDescent="0.3">
      <c r="A70" t="s">
        <v>320</v>
      </c>
      <c r="B70" t="s">
        <v>2739</v>
      </c>
      <c r="C70" t="s">
        <v>2724</v>
      </c>
    </row>
    <row r="71" spans="1:3" x14ac:dyDescent="0.3">
      <c r="A71" t="s">
        <v>299</v>
      </c>
      <c r="B71" t="s">
        <v>2740</v>
      </c>
    </row>
    <row r="72" spans="1:3" x14ac:dyDescent="0.3">
      <c r="A72" t="s">
        <v>301</v>
      </c>
      <c r="B72" t="s">
        <v>2741</v>
      </c>
    </row>
    <row r="73" spans="1:3" x14ac:dyDescent="0.3">
      <c r="A73" t="s">
        <v>324</v>
      </c>
      <c r="B73" t="s">
        <v>2742</v>
      </c>
      <c r="C73" t="s">
        <v>2724</v>
      </c>
    </row>
    <row r="74" spans="1:3" x14ac:dyDescent="0.3">
      <c r="A74" t="s">
        <v>299</v>
      </c>
      <c r="B74" t="s">
        <v>2743</v>
      </c>
    </row>
    <row r="75" spans="1:3" x14ac:dyDescent="0.3">
      <c r="A75" t="s">
        <v>301</v>
      </c>
      <c r="B75" t="s">
        <v>2744</v>
      </c>
    </row>
    <row r="76" spans="1:3" x14ac:dyDescent="0.3">
      <c r="A76" t="s">
        <v>328</v>
      </c>
      <c r="B76" t="s">
        <v>2745</v>
      </c>
      <c r="C76" t="s">
        <v>2724</v>
      </c>
    </row>
    <row r="77" spans="1:3" x14ac:dyDescent="0.3">
      <c r="A77" t="s">
        <v>299</v>
      </c>
      <c r="B77" t="s">
        <v>2746</v>
      </c>
    </row>
    <row r="78" spans="1:3" x14ac:dyDescent="0.3">
      <c r="A78" t="s">
        <v>301</v>
      </c>
      <c r="B78" t="s">
        <v>2747</v>
      </c>
    </row>
    <row r="79" spans="1:3" x14ac:dyDescent="0.3">
      <c r="A79" t="s">
        <v>333</v>
      </c>
      <c r="B79" t="s">
        <v>2748</v>
      </c>
      <c r="C79" t="s">
        <v>2724</v>
      </c>
    </row>
    <row r="80" spans="1:3" x14ac:dyDescent="0.3">
      <c r="A80" t="s">
        <v>299</v>
      </c>
      <c r="B80" t="s">
        <v>2749</v>
      </c>
    </row>
    <row r="81" spans="1:3" x14ac:dyDescent="0.3">
      <c r="A81" t="s">
        <v>301</v>
      </c>
      <c r="B81" t="s">
        <v>2750</v>
      </c>
    </row>
    <row r="82" spans="1:3" x14ac:dyDescent="0.3">
      <c r="A82" t="s">
        <v>337</v>
      </c>
      <c r="B82" t="s">
        <v>2751</v>
      </c>
      <c r="C82" t="s">
        <v>2724</v>
      </c>
    </row>
    <row r="83" spans="1:3" x14ac:dyDescent="0.3">
      <c r="A83" t="s">
        <v>299</v>
      </c>
      <c r="B83" t="s">
        <v>2752</v>
      </c>
    </row>
    <row r="84" spans="1:3" x14ac:dyDescent="0.3">
      <c r="A84" t="s">
        <v>301</v>
      </c>
      <c r="B84" t="s">
        <v>2753</v>
      </c>
    </row>
    <row r="85" spans="1:3" x14ac:dyDescent="0.3">
      <c r="A85" t="s">
        <v>341</v>
      </c>
      <c r="B85" t="s">
        <v>2754</v>
      </c>
      <c r="C85" t="s">
        <v>2724</v>
      </c>
    </row>
    <row r="86" spans="1:3" x14ac:dyDescent="0.3">
      <c r="A86" t="s">
        <v>299</v>
      </c>
      <c r="B86" t="s">
        <v>2755</v>
      </c>
    </row>
    <row r="87" spans="1:3" x14ac:dyDescent="0.3">
      <c r="A87" t="s">
        <v>301</v>
      </c>
      <c r="B87" t="s">
        <v>2756</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96"/>
  <sheetViews>
    <sheetView workbookViewId="0"/>
  </sheetViews>
  <sheetFormatPr defaultRowHeight="14.4" x14ac:dyDescent="0.3"/>
  <cols>
    <col min="1" max="1" width="46" customWidth="1"/>
    <col min="2" max="8" width="15" customWidth="1"/>
  </cols>
  <sheetData>
    <row r="1" spans="1:4" x14ac:dyDescent="0.3">
      <c r="A1" s="24" t="s">
        <v>181</v>
      </c>
      <c r="B1" t="s">
        <v>2757</v>
      </c>
    </row>
    <row r="2" spans="1:4" x14ac:dyDescent="0.3">
      <c r="A2" s="24" t="s">
        <v>183</v>
      </c>
      <c r="B2" t="s">
        <v>2758</v>
      </c>
    </row>
    <row r="4" spans="1:4" x14ac:dyDescent="0.3">
      <c r="A4" s="25" t="s">
        <v>185</v>
      </c>
      <c r="B4" s="25"/>
      <c r="C4" s="25"/>
      <c r="D4" s="25"/>
    </row>
    <row r="6" spans="1:4" x14ac:dyDescent="0.3">
      <c r="A6" t="s">
        <v>2759</v>
      </c>
      <c r="B6" t="s">
        <v>238</v>
      </c>
      <c r="C6" t="s">
        <v>1053</v>
      </c>
      <c r="D6" t="s">
        <v>248</v>
      </c>
    </row>
    <row r="7" spans="1:4" x14ac:dyDescent="0.3">
      <c r="A7" t="s">
        <v>2760</v>
      </c>
      <c r="B7" t="s">
        <v>2761</v>
      </c>
      <c r="C7" t="s">
        <v>2762</v>
      </c>
      <c r="D7" t="s">
        <v>2763</v>
      </c>
    </row>
    <row r="8" spans="1:4" x14ac:dyDescent="0.3">
      <c r="A8" t="s">
        <v>2617</v>
      </c>
      <c r="B8" t="s">
        <v>2764</v>
      </c>
      <c r="C8" t="s">
        <v>197</v>
      </c>
      <c r="D8" t="s">
        <v>197</v>
      </c>
    </row>
    <row r="9" spans="1:4" x14ac:dyDescent="0.3">
      <c r="A9" t="s">
        <v>2765</v>
      </c>
      <c r="B9" t="s">
        <v>2766</v>
      </c>
      <c r="C9" t="s">
        <v>197</v>
      </c>
      <c r="D9" t="s">
        <v>197</v>
      </c>
    </row>
    <row r="10" spans="1:4" x14ac:dyDescent="0.3">
      <c r="A10" t="s">
        <v>2767</v>
      </c>
      <c r="B10" t="s">
        <v>790</v>
      </c>
      <c r="C10" t="s">
        <v>197</v>
      </c>
      <c r="D10" t="s">
        <v>197</v>
      </c>
    </row>
    <row r="11" spans="1:4" x14ac:dyDescent="0.3">
      <c r="A11" t="s">
        <v>2618</v>
      </c>
      <c r="B11" t="s">
        <v>2768</v>
      </c>
      <c r="C11" t="s">
        <v>197</v>
      </c>
      <c r="D11" t="s">
        <v>197</v>
      </c>
    </row>
    <row r="12" spans="1:4" x14ac:dyDescent="0.3">
      <c r="A12" t="s">
        <v>2769</v>
      </c>
      <c r="B12" t="s">
        <v>2770</v>
      </c>
      <c r="C12" t="s">
        <v>197</v>
      </c>
      <c r="D12" t="s">
        <v>197</v>
      </c>
    </row>
    <row r="13" spans="1:4" x14ac:dyDescent="0.3">
      <c r="A13" t="s">
        <v>2673</v>
      </c>
      <c r="B13" t="s">
        <v>2771</v>
      </c>
      <c r="C13" t="s">
        <v>197</v>
      </c>
      <c r="D13" t="s">
        <v>197</v>
      </c>
    </row>
    <row r="15" spans="1:4" x14ac:dyDescent="0.3">
      <c r="A15" t="s">
        <v>2470</v>
      </c>
      <c r="B15" t="s">
        <v>238</v>
      </c>
    </row>
    <row r="16" spans="1:4" x14ac:dyDescent="0.3">
      <c r="A16" t="s">
        <v>2623</v>
      </c>
      <c r="B16" t="s">
        <v>2772</v>
      </c>
    </row>
    <row r="17" spans="1:2" x14ac:dyDescent="0.3">
      <c r="A17" t="s">
        <v>2773</v>
      </c>
      <c r="B17" t="s">
        <v>2774</v>
      </c>
    </row>
    <row r="18" spans="1:2" x14ac:dyDescent="0.3">
      <c r="A18" t="s">
        <v>2473</v>
      </c>
      <c r="B18">
        <v>288</v>
      </c>
    </row>
    <row r="19" spans="1:2" x14ac:dyDescent="0.3">
      <c r="A19" t="s">
        <v>2775</v>
      </c>
      <c r="B19" t="s">
        <v>2776</v>
      </c>
    </row>
    <row r="20" spans="1:2" x14ac:dyDescent="0.3">
      <c r="A20" t="s">
        <v>2777</v>
      </c>
      <c r="B20" t="s">
        <v>2778</v>
      </c>
    </row>
    <row r="21" spans="1:2" x14ac:dyDescent="0.3">
      <c r="A21" t="s">
        <v>2779</v>
      </c>
      <c r="B21" t="s">
        <v>2780</v>
      </c>
    </row>
    <row r="23" spans="1:2" x14ac:dyDescent="0.3">
      <c r="A23" t="s">
        <v>2696</v>
      </c>
      <c r="B23" t="s">
        <v>238</v>
      </c>
    </row>
    <row r="24" spans="1:2" x14ac:dyDescent="0.3">
      <c r="A24" t="s">
        <v>2697</v>
      </c>
      <c r="B24" t="s">
        <v>2781</v>
      </c>
    </row>
    <row r="25" spans="1:2" x14ac:dyDescent="0.3">
      <c r="A25" t="s">
        <v>2782</v>
      </c>
      <c r="B25" t="s">
        <v>2783</v>
      </c>
    </row>
    <row r="27" spans="1:2" x14ac:dyDescent="0.3">
      <c r="A27" t="s">
        <v>2784</v>
      </c>
      <c r="B27" t="s">
        <v>238</v>
      </c>
    </row>
    <row r="28" spans="1:2" x14ac:dyDescent="0.3">
      <c r="A28" t="s">
        <v>2785</v>
      </c>
      <c r="B28" t="s">
        <v>2786</v>
      </c>
    </row>
    <row r="29" spans="1:2" x14ac:dyDescent="0.3">
      <c r="A29" t="s">
        <v>2787</v>
      </c>
      <c r="B29" t="s">
        <v>2788</v>
      </c>
    </row>
    <row r="30" spans="1:2" x14ac:dyDescent="0.3">
      <c r="A30" t="s">
        <v>2789</v>
      </c>
      <c r="B30" t="s">
        <v>2790</v>
      </c>
    </row>
    <row r="31" spans="1:2" x14ac:dyDescent="0.3">
      <c r="A31" t="s">
        <v>2791</v>
      </c>
      <c r="B31" t="s">
        <v>2792</v>
      </c>
    </row>
    <row r="32" spans="1:2" x14ac:dyDescent="0.3">
      <c r="A32" t="s">
        <v>2793</v>
      </c>
      <c r="B32" t="s">
        <v>2794</v>
      </c>
    </row>
    <row r="34" spans="1:4" x14ac:dyDescent="0.3">
      <c r="A34" t="s">
        <v>1061</v>
      </c>
      <c r="B34" t="s">
        <v>238</v>
      </c>
      <c r="C34" t="s">
        <v>274</v>
      </c>
    </row>
    <row r="35" spans="1:4" x14ac:dyDescent="0.3">
      <c r="A35" t="s">
        <v>2498</v>
      </c>
      <c r="B35" t="s">
        <v>2795</v>
      </c>
      <c r="C35" t="s">
        <v>25</v>
      </c>
    </row>
    <row r="36" spans="1:4" x14ac:dyDescent="0.3">
      <c r="A36" t="s">
        <v>2787</v>
      </c>
      <c r="B36" t="s">
        <v>2788</v>
      </c>
      <c r="C36" t="s">
        <v>2796</v>
      </c>
    </row>
    <row r="37" spans="1:4" x14ac:dyDescent="0.3">
      <c r="A37" t="s">
        <v>2789</v>
      </c>
      <c r="B37" t="s">
        <v>2790</v>
      </c>
      <c r="C37" t="s">
        <v>2797</v>
      </c>
    </row>
    <row r="38" spans="1:4" x14ac:dyDescent="0.3">
      <c r="A38" t="s">
        <v>2779</v>
      </c>
      <c r="B38" t="s">
        <v>2780</v>
      </c>
      <c r="C38" t="s">
        <v>2796</v>
      </c>
    </row>
    <row r="40" spans="1:4" x14ac:dyDescent="0.3">
      <c r="A40" s="25" t="s">
        <v>281</v>
      </c>
      <c r="B40" s="25"/>
      <c r="C40" s="25"/>
      <c r="D40" s="25"/>
    </row>
    <row r="41" spans="1:4" x14ac:dyDescent="0.3">
      <c r="A41" t="s">
        <v>2798</v>
      </c>
    </row>
    <row r="42" spans="1:4" x14ac:dyDescent="0.3">
      <c r="A42" t="s">
        <v>2799</v>
      </c>
    </row>
    <row r="43" spans="1:4" x14ac:dyDescent="0.3">
      <c r="A43" t="s">
        <v>2800</v>
      </c>
    </row>
    <row r="44" spans="1:4" x14ac:dyDescent="0.3">
      <c r="A44" t="s">
        <v>2801</v>
      </c>
    </row>
    <row r="45" spans="1:4" x14ac:dyDescent="0.3">
      <c r="A45" t="s">
        <v>2802</v>
      </c>
    </row>
    <row r="46" spans="1:4" x14ac:dyDescent="0.3">
      <c r="A46" t="s">
        <v>2803</v>
      </c>
    </row>
    <row r="47" spans="1:4" x14ac:dyDescent="0.3">
      <c r="A47" t="s">
        <v>2804</v>
      </c>
    </row>
    <row r="48" spans="1:4" x14ac:dyDescent="0.3">
      <c r="A48" t="s">
        <v>2805</v>
      </c>
    </row>
    <row r="49" spans="1:4" x14ac:dyDescent="0.3">
      <c r="A49" t="s">
        <v>2806</v>
      </c>
    </row>
    <row r="50" spans="1:4" x14ac:dyDescent="0.3">
      <c r="A50" t="s">
        <v>2807</v>
      </c>
    </row>
    <row r="51" spans="1:4" x14ac:dyDescent="0.3">
      <c r="A51" t="s">
        <v>2808</v>
      </c>
    </row>
    <row r="52" spans="1:4" x14ac:dyDescent="0.3">
      <c r="A52" t="s">
        <v>2809</v>
      </c>
    </row>
    <row r="53" spans="1:4" x14ac:dyDescent="0.3">
      <c r="A53" t="s">
        <v>2810</v>
      </c>
    </row>
    <row r="54" spans="1:4" x14ac:dyDescent="0.3">
      <c r="A54" t="s">
        <v>2811</v>
      </c>
    </row>
    <row r="55" spans="1:4" x14ac:dyDescent="0.3">
      <c r="A55" t="s">
        <v>2812</v>
      </c>
    </row>
    <row r="57" spans="1:4" x14ac:dyDescent="0.3">
      <c r="A57" s="25" t="s">
        <v>295</v>
      </c>
      <c r="B57" s="25"/>
      <c r="C57" s="25"/>
      <c r="D57" s="25"/>
    </row>
    <row r="58" spans="1:4" x14ac:dyDescent="0.3">
      <c r="A58" t="s">
        <v>296</v>
      </c>
      <c r="B58" t="s">
        <v>2813</v>
      </c>
      <c r="C58" t="s">
        <v>2445</v>
      </c>
    </row>
    <row r="59" spans="1:4" x14ac:dyDescent="0.3">
      <c r="A59" t="s">
        <v>299</v>
      </c>
      <c r="B59" t="s">
        <v>2814</v>
      </c>
    </row>
    <row r="60" spans="1:4" x14ac:dyDescent="0.3">
      <c r="A60" t="s">
        <v>301</v>
      </c>
      <c r="B60" t="s">
        <v>2815</v>
      </c>
    </row>
    <row r="61" spans="1:4" x14ac:dyDescent="0.3">
      <c r="A61" t="s">
        <v>303</v>
      </c>
      <c r="B61" t="s">
        <v>2816</v>
      </c>
      <c r="C61" t="s">
        <v>2445</v>
      </c>
    </row>
    <row r="62" spans="1:4" x14ac:dyDescent="0.3">
      <c r="A62" t="s">
        <v>299</v>
      </c>
      <c r="B62" t="s">
        <v>2817</v>
      </c>
    </row>
    <row r="63" spans="1:4" x14ac:dyDescent="0.3">
      <c r="A63" t="s">
        <v>301</v>
      </c>
      <c r="B63" t="s">
        <v>2818</v>
      </c>
    </row>
    <row r="64" spans="1:4" x14ac:dyDescent="0.3">
      <c r="A64" t="s">
        <v>307</v>
      </c>
      <c r="B64" t="s">
        <v>2819</v>
      </c>
      <c r="C64" t="s">
        <v>2445</v>
      </c>
    </row>
    <row r="65" spans="1:3" x14ac:dyDescent="0.3">
      <c r="A65" t="s">
        <v>299</v>
      </c>
      <c r="B65" t="s">
        <v>2820</v>
      </c>
    </row>
    <row r="66" spans="1:3" x14ac:dyDescent="0.3">
      <c r="A66" t="s">
        <v>301</v>
      </c>
      <c r="B66" t="s">
        <v>2821</v>
      </c>
    </row>
    <row r="67" spans="1:3" x14ac:dyDescent="0.3">
      <c r="A67" t="s">
        <v>311</v>
      </c>
      <c r="B67" t="s">
        <v>2822</v>
      </c>
      <c r="C67" t="s">
        <v>2445</v>
      </c>
    </row>
    <row r="68" spans="1:3" x14ac:dyDescent="0.3">
      <c r="A68" t="s">
        <v>299</v>
      </c>
      <c r="B68" t="s">
        <v>2823</v>
      </c>
    </row>
    <row r="69" spans="1:3" x14ac:dyDescent="0.3">
      <c r="A69" t="s">
        <v>301</v>
      </c>
      <c r="B69" t="s">
        <v>2824</v>
      </c>
    </row>
    <row r="70" spans="1:3" x14ac:dyDescent="0.3">
      <c r="A70" t="s">
        <v>316</v>
      </c>
      <c r="B70" t="s">
        <v>2825</v>
      </c>
      <c r="C70" t="s">
        <v>2445</v>
      </c>
    </row>
    <row r="71" spans="1:3" x14ac:dyDescent="0.3">
      <c r="A71" t="s">
        <v>299</v>
      </c>
      <c r="B71" t="s">
        <v>2826</v>
      </c>
    </row>
    <row r="72" spans="1:3" x14ac:dyDescent="0.3">
      <c r="A72" t="s">
        <v>301</v>
      </c>
      <c r="B72" t="s">
        <v>2827</v>
      </c>
    </row>
    <row r="73" spans="1:3" x14ac:dyDescent="0.3">
      <c r="A73" t="s">
        <v>320</v>
      </c>
      <c r="B73" t="s">
        <v>2828</v>
      </c>
      <c r="C73" t="s">
        <v>2445</v>
      </c>
    </row>
    <row r="74" spans="1:3" x14ac:dyDescent="0.3">
      <c r="A74" t="s">
        <v>299</v>
      </c>
      <c r="B74" t="s">
        <v>2829</v>
      </c>
    </row>
    <row r="75" spans="1:3" x14ac:dyDescent="0.3">
      <c r="A75" t="s">
        <v>301</v>
      </c>
      <c r="B75" t="s">
        <v>2830</v>
      </c>
    </row>
    <row r="76" spans="1:3" x14ac:dyDescent="0.3">
      <c r="A76" t="s">
        <v>324</v>
      </c>
      <c r="B76" t="s">
        <v>2831</v>
      </c>
      <c r="C76" t="s">
        <v>2445</v>
      </c>
    </row>
    <row r="77" spans="1:3" x14ac:dyDescent="0.3">
      <c r="A77" t="s">
        <v>299</v>
      </c>
      <c r="B77" t="s">
        <v>2832</v>
      </c>
    </row>
    <row r="78" spans="1:3" x14ac:dyDescent="0.3">
      <c r="A78" t="s">
        <v>301</v>
      </c>
      <c r="B78" t="s">
        <v>2833</v>
      </c>
    </row>
    <row r="79" spans="1:3" x14ac:dyDescent="0.3">
      <c r="A79" t="s">
        <v>328</v>
      </c>
      <c r="B79" t="s">
        <v>2834</v>
      </c>
      <c r="C79" t="s">
        <v>2445</v>
      </c>
    </row>
    <row r="80" spans="1:3" x14ac:dyDescent="0.3">
      <c r="A80" t="s">
        <v>299</v>
      </c>
      <c r="B80" t="s">
        <v>2835</v>
      </c>
    </row>
    <row r="81" spans="1:3" x14ac:dyDescent="0.3">
      <c r="A81" t="s">
        <v>301</v>
      </c>
      <c r="B81" t="s">
        <v>2836</v>
      </c>
    </row>
    <row r="82" spans="1:3" x14ac:dyDescent="0.3">
      <c r="A82" t="s">
        <v>333</v>
      </c>
      <c r="B82" t="s">
        <v>2837</v>
      </c>
      <c r="C82" t="s">
        <v>2445</v>
      </c>
    </row>
    <row r="83" spans="1:3" x14ac:dyDescent="0.3">
      <c r="A83" t="s">
        <v>299</v>
      </c>
      <c r="B83" t="s">
        <v>2838</v>
      </c>
    </row>
    <row r="84" spans="1:3" x14ac:dyDescent="0.3">
      <c r="A84" t="s">
        <v>301</v>
      </c>
      <c r="B84" t="s">
        <v>2839</v>
      </c>
    </row>
    <row r="85" spans="1:3" x14ac:dyDescent="0.3">
      <c r="A85" t="s">
        <v>337</v>
      </c>
      <c r="B85" t="s">
        <v>2840</v>
      </c>
      <c r="C85" t="s">
        <v>2445</v>
      </c>
    </row>
    <row r="86" spans="1:3" x14ac:dyDescent="0.3">
      <c r="A86" t="s">
        <v>299</v>
      </c>
      <c r="B86" t="s">
        <v>2841</v>
      </c>
    </row>
    <row r="87" spans="1:3" x14ac:dyDescent="0.3">
      <c r="A87" t="s">
        <v>301</v>
      </c>
      <c r="B87" t="s">
        <v>2842</v>
      </c>
    </row>
    <row r="88" spans="1:3" x14ac:dyDescent="0.3">
      <c r="A88" t="s">
        <v>341</v>
      </c>
      <c r="B88" t="s">
        <v>2843</v>
      </c>
      <c r="C88" t="s">
        <v>2445</v>
      </c>
    </row>
    <row r="89" spans="1:3" x14ac:dyDescent="0.3">
      <c r="A89" t="s">
        <v>299</v>
      </c>
      <c r="B89" t="s">
        <v>2844</v>
      </c>
    </row>
    <row r="90" spans="1:3" x14ac:dyDescent="0.3">
      <c r="A90" t="s">
        <v>301</v>
      </c>
      <c r="B90" t="s">
        <v>2845</v>
      </c>
    </row>
    <row r="91" spans="1:3" x14ac:dyDescent="0.3">
      <c r="A91" t="s">
        <v>346</v>
      </c>
      <c r="B91" t="s">
        <v>2846</v>
      </c>
      <c r="C91" t="s">
        <v>2445</v>
      </c>
    </row>
    <row r="92" spans="1:3" x14ac:dyDescent="0.3">
      <c r="A92" t="s">
        <v>299</v>
      </c>
      <c r="B92" t="s">
        <v>2847</v>
      </c>
    </row>
    <row r="93" spans="1:3" x14ac:dyDescent="0.3">
      <c r="A93" t="s">
        <v>301</v>
      </c>
      <c r="B93" t="s">
        <v>2848</v>
      </c>
    </row>
    <row r="94" spans="1:3" x14ac:dyDescent="0.3">
      <c r="A94" t="s">
        <v>1453</v>
      </c>
      <c r="B94" t="s">
        <v>2849</v>
      </c>
      <c r="C94" t="s">
        <v>2445</v>
      </c>
    </row>
    <row r="95" spans="1:3" x14ac:dyDescent="0.3">
      <c r="A95" t="s">
        <v>299</v>
      </c>
      <c r="B95" t="s">
        <v>2850</v>
      </c>
    </row>
    <row r="96" spans="1:3" x14ac:dyDescent="0.3">
      <c r="A96" t="s">
        <v>301</v>
      </c>
      <c r="B96" t="s">
        <v>2851</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91"/>
  <sheetViews>
    <sheetView workbookViewId="0"/>
  </sheetViews>
  <sheetFormatPr defaultRowHeight="14.4" x14ac:dyDescent="0.3"/>
  <cols>
    <col min="1" max="1" width="46" customWidth="1"/>
    <col min="2" max="8" width="15" customWidth="1"/>
  </cols>
  <sheetData>
    <row r="1" spans="1:3" x14ac:dyDescent="0.3">
      <c r="A1" s="24" t="s">
        <v>181</v>
      </c>
      <c r="B1" t="s">
        <v>2852</v>
      </c>
    </row>
    <row r="2" spans="1:3" x14ac:dyDescent="0.3">
      <c r="A2" s="24" t="s">
        <v>183</v>
      </c>
      <c r="B2" t="s">
        <v>2853</v>
      </c>
    </row>
    <row r="4" spans="1:3" x14ac:dyDescent="0.3">
      <c r="A4" s="25" t="s">
        <v>185</v>
      </c>
      <c r="B4" s="25"/>
      <c r="C4" s="25"/>
    </row>
    <row r="6" spans="1:3" x14ac:dyDescent="0.3">
      <c r="A6" t="s">
        <v>2854</v>
      </c>
      <c r="B6" t="s">
        <v>238</v>
      </c>
    </row>
    <row r="7" spans="1:3" x14ac:dyDescent="0.3">
      <c r="A7" t="s">
        <v>2855</v>
      </c>
      <c r="B7" t="s">
        <v>2856</v>
      </c>
    </row>
    <row r="8" spans="1:3" x14ac:dyDescent="0.3">
      <c r="A8" t="s">
        <v>2857</v>
      </c>
      <c r="B8" t="s">
        <v>2858</v>
      </c>
    </row>
    <row r="9" spans="1:3" x14ac:dyDescent="0.3">
      <c r="A9" t="s">
        <v>2859</v>
      </c>
      <c r="B9" t="s">
        <v>2860</v>
      </c>
    </row>
    <row r="10" spans="1:3" x14ac:dyDescent="0.3">
      <c r="A10" t="s">
        <v>2861</v>
      </c>
      <c r="B10" t="s">
        <v>1384</v>
      </c>
    </row>
    <row r="11" spans="1:3" x14ac:dyDescent="0.3">
      <c r="A11" t="s">
        <v>2862</v>
      </c>
      <c r="B11" t="s">
        <v>2863</v>
      </c>
    </row>
    <row r="12" spans="1:3" x14ac:dyDescent="0.3">
      <c r="A12" t="s">
        <v>2864</v>
      </c>
      <c r="B12" t="s">
        <v>2865</v>
      </c>
    </row>
    <row r="14" spans="1:3" x14ac:dyDescent="0.3">
      <c r="A14" t="s">
        <v>2866</v>
      </c>
      <c r="B14" t="s">
        <v>238</v>
      </c>
      <c r="C14" t="s">
        <v>274</v>
      </c>
    </row>
    <row r="15" spans="1:3" x14ac:dyDescent="0.3">
      <c r="A15" t="s">
        <v>2617</v>
      </c>
      <c r="B15" t="s">
        <v>381</v>
      </c>
      <c r="C15" t="s">
        <v>2867</v>
      </c>
    </row>
    <row r="16" spans="1:3" x14ac:dyDescent="0.3">
      <c r="A16" t="s">
        <v>2868</v>
      </c>
      <c r="B16" t="s">
        <v>2869</v>
      </c>
      <c r="C16" t="s">
        <v>2867</v>
      </c>
    </row>
    <row r="17" spans="1:3" x14ac:dyDescent="0.3">
      <c r="A17" t="s">
        <v>2870</v>
      </c>
      <c r="B17" t="s">
        <v>2871</v>
      </c>
      <c r="C17" t="s">
        <v>2872</v>
      </c>
    </row>
    <row r="18" spans="1:3" x14ac:dyDescent="0.3">
      <c r="A18" t="s">
        <v>2873</v>
      </c>
      <c r="B18" t="s">
        <v>2874</v>
      </c>
      <c r="C18" t="s">
        <v>2872</v>
      </c>
    </row>
    <row r="19" spans="1:3" x14ac:dyDescent="0.3">
      <c r="A19" t="s">
        <v>2875</v>
      </c>
      <c r="B19" t="s">
        <v>2876</v>
      </c>
      <c r="C19" t="s">
        <v>2872</v>
      </c>
    </row>
    <row r="20" spans="1:3" x14ac:dyDescent="0.3">
      <c r="A20" t="s">
        <v>2877</v>
      </c>
      <c r="B20" t="s">
        <v>808</v>
      </c>
      <c r="C20" t="s">
        <v>815</v>
      </c>
    </row>
    <row r="22" spans="1:3" x14ac:dyDescent="0.3">
      <c r="A22" t="s">
        <v>2878</v>
      </c>
      <c r="B22" t="s">
        <v>238</v>
      </c>
      <c r="C22" t="s">
        <v>274</v>
      </c>
    </row>
    <row r="23" spans="1:3" x14ac:dyDescent="0.3">
      <c r="A23" t="s">
        <v>2879</v>
      </c>
      <c r="B23" t="s">
        <v>2880</v>
      </c>
      <c r="C23" t="s">
        <v>2881</v>
      </c>
    </row>
    <row r="24" spans="1:3" x14ac:dyDescent="0.3">
      <c r="A24" t="s">
        <v>2882</v>
      </c>
      <c r="B24" t="s">
        <v>2883</v>
      </c>
      <c r="C24" t="s">
        <v>815</v>
      </c>
    </row>
    <row r="25" spans="1:3" x14ac:dyDescent="0.3">
      <c r="A25" t="s">
        <v>2884</v>
      </c>
      <c r="B25" t="s">
        <v>2885</v>
      </c>
      <c r="C25" t="s">
        <v>2886</v>
      </c>
    </row>
    <row r="26" spans="1:3" x14ac:dyDescent="0.3">
      <c r="A26" t="s">
        <v>2887</v>
      </c>
      <c r="B26" t="s">
        <v>2888</v>
      </c>
      <c r="C26" t="s">
        <v>2886</v>
      </c>
    </row>
    <row r="27" spans="1:3" x14ac:dyDescent="0.3">
      <c r="A27" t="s">
        <v>2889</v>
      </c>
      <c r="B27" t="s">
        <v>2890</v>
      </c>
      <c r="C27" t="s">
        <v>2891</v>
      </c>
    </row>
    <row r="28" spans="1:3" x14ac:dyDescent="0.3">
      <c r="A28" t="s">
        <v>2892</v>
      </c>
      <c r="B28" t="s">
        <v>2893</v>
      </c>
      <c r="C28" t="s">
        <v>2894</v>
      </c>
    </row>
    <row r="29" spans="1:3" x14ac:dyDescent="0.3">
      <c r="A29" t="s">
        <v>2895</v>
      </c>
      <c r="B29" t="s">
        <v>2896</v>
      </c>
      <c r="C29" t="s">
        <v>2897</v>
      </c>
    </row>
    <row r="31" spans="1:3" x14ac:dyDescent="0.3">
      <c r="A31" s="25" t="s">
        <v>281</v>
      </c>
      <c r="B31" s="25"/>
      <c r="C31" s="25"/>
    </row>
    <row r="32" spans="1:3" x14ac:dyDescent="0.3">
      <c r="A32" t="s">
        <v>2898</v>
      </c>
    </row>
    <row r="33" spans="1:1" x14ac:dyDescent="0.3">
      <c r="A33" t="s">
        <v>2899</v>
      </c>
    </row>
    <row r="34" spans="1:1" x14ac:dyDescent="0.3">
      <c r="A34" t="s">
        <v>2900</v>
      </c>
    </row>
    <row r="35" spans="1:1" x14ac:dyDescent="0.3">
      <c r="A35" t="s">
        <v>2901</v>
      </c>
    </row>
    <row r="36" spans="1:1" x14ac:dyDescent="0.3">
      <c r="A36" t="s">
        <v>2902</v>
      </c>
    </row>
    <row r="37" spans="1:1" x14ac:dyDescent="0.3">
      <c r="A37" t="s">
        <v>2903</v>
      </c>
    </row>
    <row r="38" spans="1:1" x14ac:dyDescent="0.3">
      <c r="A38" t="s">
        <v>2904</v>
      </c>
    </row>
    <row r="39" spans="1:1" x14ac:dyDescent="0.3">
      <c r="A39" t="s">
        <v>2905</v>
      </c>
    </row>
    <row r="40" spans="1:1" x14ac:dyDescent="0.3">
      <c r="A40" t="s">
        <v>2906</v>
      </c>
    </row>
    <row r="41" spans="1:1" x14ac:dyDescent="0.3">
      <c r="A41" t="s">
        <v>2907</v>
      </c>
    </row>
    <row r="42" spans="1:1" x14ac:dyDescent="0.3">
      <c r="A42" t="s">
        <v>2908</v>
      </c>
    </row>
    <row r="43" spans="1:1" x14ac:dyDescent="0.3">
      <c r="A43" t="s">
        <v>2909</v>
      </c>
    </row>
    <row r="44" spans="1:1" x14ac:dyDescent="0.3">
      <c r="A44" t="s">
        <v>2910</v>
      </c>
    </row>
    <row r="45" spans="1:1" x14ac:dyDescent="0.3">
      <c r="A45" t="s">
        <v>2911</v>
      </c>
    </row>
    <row r="46" spans="1:1" x14ac:dyDescent="0.3">
      <c r="A46" t="s">
        <v>2912</v>
      </c>
    </row>
    <row r="47" spans="1:1" x14ac:dyDescent="0.3">
      <c r="A47" t="s">
        <v>2913</v>
      </c>
    </row>
    <row r="49" spans="1:3" x14ac:dyDescent="0.3">
      <c r="A49" s="25" t="s">
        <v>295</v>
      </c>
      <c r="B49" s="25"/>
      <c r="C49" s="25"/>
    </row>
    <row r="50" spans="1:3" x14ac:dyDescent="0.3">
      <c r="A50" t="s">
        <v>296</v>
      </c>
      <c r="B50" t="s">
        <v>2914</v>
      </c>
      <c r="C50" t="s">
        <v>1817</v>
      </c>
    </row>
    <row r="51" spans="1:3" x14ac:dyDescent="0.3">
      <c r="A51" t="s">
        <v>299</v>
      </c>
      <c r="B51" t="s">
        <v>2915</v>
      </c>
    </row>
    <row r="52" spans="1:3" x14ac:dyDescent="0.3">
      <c r="A52" t="s">
        <v>301</v>
      </c>
      <c r="B52" t="s">
        <v>2916</v>
      </c>
    </row>
    <row r="53" spans="1:3" x14ac:dyDescent="0.3">
      <c r="A53" t="s">
        <v>303</v>
      </c>
      <c r="B53" t="s">
        <v>2917</v>
      </c>
      <c r="C53" t="s">
        <v>1817</v>
      </c>
    </row>
    <row r="54" spans="1:3" x14ac:dyDescent="0.3">
      <c r="A54" t="s">
        <v>299</v>
      </c>
      <c r="B54" t="s">
        <v>2918</v>
      </c>
    </row>
    <row r="55" spans="1:3" x14ac:dyDescent="0.3">
      <c r="A55" t="s">
        <v>301</v>
      </c>
      <c r="B55" t="s">
        <v>2919</v>
      </c>
    </row>
    <row r="56" spans="1:3" x14ac:dyDescent="0.3">
      <c r="A56" t="s">
        <v>307</v>
      </c>
      <c r="B56" t="s">
        <v>2920</v>
      </c>
      <c r="C56" t="s">
        <v>2921</v>
      </c>
    </row>
    <row r="57" spans="1:3" x14ac:dyDescent="0.3">
      <c r="A57" t="s">
        <v>299</v>
      </c>
      <c r="B57" t="s">
        <v>2922</v>
      </c>
    </row>
    <row r="58" spans="1:3" x14ac:dyDescent="0.3">
      <c r="A58" t="s">
        <v>301</v>
      </c>
      <c r="B58" t="s">
        <v>2923</v>
      </c>
    </row>
    <row r="59" spans="1:3" x14ac:dyDescent="0.3">
      <c r="A59" t="s">
        <v>311</v>
      </c>
      <c r="B59" t="s">
        <v>2924</v>
      </c>
      <c r="C59" t="s">
        <v>2059</v>
      </c>
    </row>
    <row r="60" spans="1:3" x14ac:dyDescent="0.3">
      <c r="A60" t="s">
        <v>299</v>
      </c>
      <c r="B60" t="s">
        <v>2925</v>
      </c>
    </row>
    <row r="61" spans="1:3" x14ac:dyDescent="0.3">
      <c r="A61" t="s">
        <v>301</v>
      </c>
      <c r="B61" t="s">
        <v>2926</v>
      </c>
    </row>
    <row r="62" spans="1:3" x14ac:dyDescent="0.3">
      <c r="A62" t="s">
        <v>316</v>
      </c>
      <c r="B62" t="s">
        <v>2927</v>
      </c>
      <c r="C62" t="s">
        <v>2059</v>
      </c>
    </row>
    <row r="63" spans="1:3" x14ac:dyDescent="0.3">
      <c r="A63" t="s">
        <v>299</v>
      </c>
      <c r="B63" t="s">
        <v>2928</v>
      </c>
    </row>
    <row r="64" spans="1:3" x14ac:dyDescent="0.3">
      <c r="A64" t="s">
        <v>301</v>
      </c>
      <c r="B64" t="s">
        <v>2929</v>
      </c>
    </row>
    <row r="65" spans="1:3" x14ac:dyDescent="0.3">
      <c r="A65" t="s">
        <v>320</v>
      </c>
      <c r="B65" t="s">
        <v>2930</v>
      </c>
      <c r="C65" t="s">
        <v>2931</v>
      </c>
    </row>
    <row r="66" spans="1:3" x14ac:dyDescent="0.3">
      <c r="A66" t="s">
        <v>299</v>
      </c>
      <c r="B66" t="s">
        <v>2932</v>
      </c>
    </row>
    <row r="67" spans="1:3" x14ac:dyDescent="0.3">
      <c r="A67" t="s">
        <v>301</v>
      </c>
      <c r="B67" t="s">
        <v>2933</v>
      </c>
    </row>
    <row r="68" spans="1:3" x14ac:dyDescent="0.3">
      <c r="A68" t="s">
        <v>324</v>
      </c>
      <c r="B68" t="s">
        <v>2934</v>
      </c>
      <c r="C68" t="s">
        <v>2445</v>
      </c>
    </row>
    <row r="69" spans="1:3" x14ac:dyDescent="0.3">
      <c r="A69" t="s">
        <v>299</v>
      </c>
      <c r="B69" t="s">
        <v>2935</v>
      </c>
    </row>
    <row r="70" spans="1:3" x14ac:dyDescent="0.3">
      <c r="A70" t="s">
        <v>301</v>
      </c>
      <c r="B70" t="s">
        <v>2936</v>
      </c>
    </row>
    <row r="71" spans="1:3" x14ac:dyDescent="0.3">
      <c r="A71" t="s">
        <v>328</v>
      </c>
      <c r="B71" t="s">
        <v>2937</v>
      </c>
      <c r="C71" t="s">
        <v>2445</v>
      </c>
    </row>
    <row r="72" spans="1:3" x14ac:dyDescent="0.3">
      <c r="A72" t="s">
        <v>299</v>
      </c>
      <c r="B72" t="s">
        <v>2938</v>
      </c>
    </row>
    <row r="73" spans="1:3" x14ac:dyDescent="0.3">
      <c r="A73" t="s">
        <v>301</v>
      </c>
      <c r="B73" t="s">
        <v>2939</v>
      </c>
    </row>
    <row r="74" spans="1:3" x14ac:dyDescent="0.3">
      <c r="A74" t="s">
        <v>333</v>
      </c>
      <c r="B74" t="s">
        <v>2940</v>
      </c>
      <c r="C74" t="s">
        <v>2941</v>
      </c>
    </row>
    <row r="75" spans="1:3" x14ac:dyDescent="0.3">
      <c r="A75" t="s">
        <v>299</v>
      </c>
      <c r="B75" t="s">
        <v>2942</v>
      </c>
    </row>
    <row r="76" spans="1:3" x14ac:dyDescent="0.3">
      <c r="A76" t="s">
        <v>301</v>
      </c>
      <c r="B76" t="s">
        <v>2943</v>
      </c>
    </row>
    <row r="77" spans="1:3" x14ac:dyDescent="0.3">
      <c r="A77" t="s">
        <v>337</v>
      </c>
      <c r="B77" t="s">
        <v>2944</v>
      </c>
      <c r="C77" t="s">
        <v>2945</v>
      </c>
    </row>
    <row r="78" spans="1:3" x14ac:dyDescent="0.3">
      <c r="A78" t="s">
        <v>299</v>
      </c>
      <c r="B78" t="s">
        <v>2946</v>
      </c>
    </row>
    <row r="79" spans="1:3" x14ac:dyDescent="0.3">
      <c r="A79" t="s">
        <v>301</v>
      </c>
      <c r="B79" t="s">
        <v>2947</v>
      </c>
    </row>
    <row r="80" spans="1:3" x14ac:dyDescent="0.3">
      <c r="A80" t="s">
        <v>341</v>
      </c>
      <c r="B80" t="s">
        <v>2948</v>
      </c>
      <c r="C80" t="s">
        <v>1835</v>
      </c>
    </row>
    <row r="81" spans="1:3" x14ac:dyDescent="0.3">
      <c r="A81" t="s">
        <v>299</v>
      </c>
      <c r="B81" t="s">
        <v>2949</v>
      </c>
    </row>
    <row r="82" spans="1:3" x14ac:dyDescent="0.3">
      <c r="A82" t="s">
        <v>301</v>
      </c>
      <c r="B82" t="s">
        <v>2950</v>
      </c>
    </row>
    <row r="83" spans="1:3" x14ac:dyDescent="0.3">
      <c r="A83" t="s">
        <v>346</v>
      </c>
      <c r="B83" t="s">
        <v>2951</v>
      </c>
      <c r="C83" t="s">
        <v>1839</v>
      </c>
    </row>
    <row r="84" spans="1:3" x14ac:dyDescent="0.3">
      <c r="A84" t="s">
        <v>299</v>
      </c>
      <c r="B84" t="s">
        <v>2952</v>
      </c>
    </row>
    <row r="85" spans="1:3" x14ac:dyDescent="0.3">
      <c r="A85" t="s">
        <v>301</v>
      </c>
      <c r="B85" t="s">
        <v>2953</v>
      </c>
    </row>
    <row r="86" spans="1:3" x14ac:dyDescent="0.3">
      <c r="A86" t="s">
        <v>1453</v>
      </c>
      <c r="B86" t="s">
        <v>2954</v>
      </c>
      <c r="C86" t="s">
        <v>1839</v>
      </c>
    </row>
    <row r="87" spans="1:3" x14ac:dyDescent="0.3">
      <c r="A87" t="s">
        <v>299</v>
      </c>
      <c r="B87" t="s">
        <v>2955</v>
      </c>
    </row>
    <row r="88" spans="1:3" x14ac:dyDescent="0.3">
      <c r="A88" t="s">
        <v>301</v>
      </c>
      <c r="B88" t="s">
        <v>2956</v>
      </c>
    </row>
    <row r="89" spans="1:3" x14ac:dyDescent="0.3">
      <c r="A89" t="s">
        <v>1457</v>
      </c>
      <c r="B89" t="s">
        <v>2957</v>
      </c>
      <c r="C89" t="s">
        <v>2005</v>
      </c>
    </row>
    <row r="90" spans="1:3" x14ac:dyDescent="0.3">
      <c r="A90" t="s">
        <v>299</v>
      </c>
      <c r="B90" t="s">
        <v>2958</v>
      </c>
    </row>
    <row r="91" spans="1:3" x14ac:dyDescent="0.3">
      <c r="A91" t="s">
        <v>301</v>
      </c>
      <c r="B91" t="s">
        <v>2959</v>
      </c>
    </row>
  </sheetData>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D101"/>
  <sheetViews>
    <sheetView workbookViewId="0"/>
  </sheetViews>
  <sheetFormatPr defaultRowHeight="14.4" x14ac:dyDescent="0.3"/>
  <cols>
    <col min="1" max="1" width="46" customWidth="1"/>
    <col min="2" max="8" width="15" customWidth="1"/>
  </cols>
  <sheetData>
    <row r="1" spans="1:4" x14ac:dyDescent="0.3">
      <c r="A1" s="24" t="s">
        <v>181</v>
      </c>
      <c r="B1" t="s">
        <v>2960</v>
      </c>
    </row>
    <row r="2" spans="1:4" x14ac:dyDescent="0.3">
      <c r="A2" s="24" t="s">
        <v>183</v>
      </c>
      <c r="B2" t="s">
        <v>2961</v>
      </c>
    </row>
    <row r="4" spans="1:4" x14ac:dyDescent="0.3">
      <c r="A4" s="25" t="s">
        <v>185</v>
      </c>
      <c r="B4" s="25"/>
      <c r="C4" s="25"/>
      <c r="D4" s="25"/>
    </row>
    <row r="6" spans="1:4" x14ac:dyDescent="0.3">
      <c r="A6" t="s">
        <v>2962</v>
      </c>
      <c r="B6" t="s">
        <v>23</v>
      </c>
      <c r="C6" t="s">
        <v>18</v>
      </c>
      <c r="D6" t="s">
        <v>189</v>
      </c>
    </row>
    <row r="7" spans="1:4" x14ac:dyDescent="0.3">
      <c r="A7" t="s">
        <v>2963</v>
      </c>
      <c r="B7">
        <v>154</v>
      </c>
      <c r="C7">
        <v>65.099999999999994</v>
      </c>
      <c r="D7" t="s">
        <v>1671</v>
      </c>
    </row>
    <row r="8" spans="1:4" x14ac:dyDescent="0.3">
      <c r="A8" t="s">
        <v>2964</v>
      </c>
      <c r="B8">
        <v>145.4</v>
      </c>
      <c r="C8">
        <v>53.6</v>
      </c>
      <c r="D8" t="s">
        <v>2965</v>
      </c>
    </row>
    <row r="9" spans="1:4" x14ac:dyDescent="0.3">
      <c r="A9" t="s">
        <v>1220</v>
      </c>
      <c r="B9">
        <v>8.6</v>
      </c>
      <c r="C9">
        <v>11.5</v>
      </c>
      <c r="D9" t="s">
        <v>2966</v>
      </c>
    </row>
    <row r="10" spans="1:4" x14ac:dyDescent="0.3">
      <c r="A10" t="s">
        <v>2967</v>
      </c>
      <c r="B10">
        <v>7.3</v>
      </c>
      <c r="C10">
        <v>10.8</v>
      </c>
      <c r="D10" t="s">
        <v>2968</v>
      </c>
    </row>
    <row r="11" spans="1:4" x14ac:dyDescent="0.3">
      <c r="A11" t="s">
        <v>2969</v>
      </c>
      <c r="B11">
        <v>59.3</v>
      </c>
      <c r="C11">
        <v>28.2</v>
      </c>
      <c r="D11" t="s">
        <v>2970</v>
      </c>
    </row>
    <row r="12" spans="1:4" x14ac:dyDescent="0.3">
      <c r="A12" t="s">
        <v>2971</v>
      </c>
      <c r="B12">
        <v>14.4</v>
      </c>
      <c r="C12">
        <v>12.3</v>
      </c>
      <c r="D12" t="s">
        <v>2972</v>
      </c>
    </row>
    <row r="13" spans="1:4" x14ac:dyDescent="0.3">
      <c r="A13" t="s">
        <v>2973</v>
      </c>
      <c r="B13">
        <v>9.1999999999999993</v>
      </c>
      <c r="C13">
        <v>0.8</v>
      </c>
      <c r="D13" t="s">
        <v>2974</v>
      </c>
    </row>
    <row r="15" spans="1:4" x14ac:dyDescent="0.3">
      <c r="A15" t="s">
        <v>2975</v>
      </c>
      <c r="B15" t="s">
        <v>23</v>
      </c>
      <c r="C15" t="s">
        <v>18</v>
      </c>
      <c r="D15" t="s">
        <v>204</v>
      </c>
    </row>
    <row r="16" spans="1:4" x14ac:dyDescent="0.3">
      <c r="A16" t="s">
        <v>2611</v>
      </c>
      <c r="B16" t="s">
        <v>2976</v>
      </c>
      <c r="C16" t="s">
        <v>1749</v>
      </c>
      <c r="D16" t="s">
        <v>2977</v>
      </c>
    </row>
    <row r="17" spans="1:4" x14ac:dyDescent="0.3">
      <c r="A17" t="s">
        <v>2978</v>
      </c>
      <c r="B17" t="s">
        <v>639</v>
      </c>
      <c r="C17" t="s">
        <v>1751</v>
      </c>
      <c r="D17" t="s">
        <v>2979</v>
      </c>
    </row>
    <row r="18" spans="1:4" x14ac:dyDescent="0.3">
      <c r="A18" t="s">
        <v>2980</v>
      </c>
      <c r="B18" t="s">
        <v>2981</v>
      </c>
      <c r="C18" t="s">
        <v>2367</v>
      </c>
      <c r="D18" t="s">
        <v>2982</v>
      </c>
    </row>
    <row r="19" spans="1:4" x14ac:dyDescent="0.3">
      <c r="A19" t="s">
        <v>2983</v>
      </c>
      <c r="B19" t="s">
        <v>361</v>
      </c>
      <c r="C19" t="s">
        <v>1884</v>
      </c>
      <c r="D19" t="s">
        <v>2984</v>
      </c>
    </row>
    <row r="20" spans="1:4" x14ac:dyDescent="0.3">
      <c r="A20" t="s">
        <v>1018</v>
      </c>
      <c r="B20">
        <v>0.12</v>
      </c>
      <c r="C20">
        <v>0.01</v>
      </c>
      <c r="D20" t="s">
        <v>2985</v>
      </c>
    </row>
    <row r="22" spans="1:4" x14ac:dyDescent="0.3">
      <c r="A22" t="s">
        <v>2986</v>
      </c>
      <c r="B22" t="s">
        <v>238</v>
      </c>
    </row>
    <row r="23" spans="1:4" x14ac:dyDescent="0.3">
      <c r="A23" t="s">
        <v>2987</v>
      </c>
      <c r="B23">
        <v>40.700000000000003</v>
      </c>
    </row>
    <row r="24" spans="1:4" x14ac:dyDescent="0.3">
      <c r="A24" t="s">
        <v>2988</v>
      </c>
      <c r="B24">
        <v>-7.5</v>
      </c>
    </row>
    <row r="25" spans="1:4" x14ac:dyDescent="0.3">
      <c r="A25" t="s">
        <v>2989</v>
      </c>
      <c r="B25">
        <v>-2.1</v>
      </c>
    </row>
    <row r="27" spans="1:4" x14ac:dyDescent="0.3">
      <c r="A27" t="s">
        <v>2990</v>
      </c>
      <c r="B27" t="s">
        <v>238</v>
      </c>
      <c r="C27" t="s">
        <v>1053</v>
      </c>
      <c r="D27" t="s">
        <v>248</v>
      </c>
    </row>
    <row r="28" spans="1:4" x14ac:dyDescent="0.3">
      <c r="A28" t="s">
        <v>2991</v>
      </c>
      <c r="B28">
        <v>42.3</v>
      </c>
      <c r="C28">
        <v>-30.3</v>
      </c>
      <c r="D28">
        <v>72.599999999999994</v>
      </c>
    </row>
    <row r="29" spans="1:4" x14ac:dyDescent="0.3">
      <c r="A29" t="s">
        <v>2992</v>
      </c>
      <c r="B29">
        <v>60</v>
      </c>
      <c r="C29">
        <v>16.3</v>
      </c>
      <c r="D29">
        <v>43.7</v>
      </c>
    </row>
    <row r="30" spans="1:4" x14ac:dyDescent="0.3">
      <c r="A30" t="s">
        <v>2993</v>
      </c>
      <c r="B30">
        <v>162</v>
      </c>
      <c r="C30">
        <v>191</v>
      </c>
      <c r="D30">
        <v>-29</v>
      </c>
    </row>
    <row r="31" spans="1:4" x14ac:dyDescent="0.3">
      <c r="A31" t="s">
        <v>2994</v>
      </c>
      <c r="B31">
        <v>57</v>
      </c>
      <c r="C31">
        <v>90</v>
      </c>
      <c r="D31">
        <v>-33</v>
      </c>
    </row>
    <row r="33" spans="1:4" x14ac:dyDescent="0.3">
      <c r="A33" t="s">
        <v>2995</v>
      </c>
      <c r="B33" t="s">
        <v>23</v>
      </c>
      <c r="C33" t="s">
        <v>18</v>
      </c>
      <c r="D33" t="s">
        <v>248</v>
      </c>
    </row>
    <row r="34" spans="1:4" x14ac:dyDescent="0.3">
      <c r="A34" t="s">
        <v>2996</v>
      </c>
      <c r="B34">
        <v>61.9</v>
      </c>
      <c r="C34" t="s">
        <v>197</v>
      </c>
      <c r="D34" t="s">
        <v>2997</v>
      </c>
    </row>
    <row r="35" spans="1:4" x14ac:dyDescent="0.3">
      <c r="A35" t="s">
        <v>2998</v>
      </c>
      <c r="B35">
        <v>41.8</v>
      </c>
      <c r="C35" t="s">
        <v>197</v>
      </c>
      <c r="D35" t="s">
        <v>197</v>
      </c>
    </row>
    <row r="36" spans="1:4" x14ac:dyDescent="0.3">
      <c r="A36" t="s">
        <v>2999</v>
      </c>
      <c r="B36">
        <v>30.9</v>
      </c>
      <c r="C36" t="s">
        <v>197</v>
      </c>
      <c r="D36" t="s">
        <v>3000</v>
      </c>
    </row>
    <row r="37" spans="1:4" x14ac:dyDescent="0.3">
      <c r="A37" t="s">
        <v>3001</v>
      </c>
      <c r="B37">
        <v>4.4000000000000004</v>
      </c>
      <c r="C37" t="s">
        <v>197</v>
      </c>
      <c r="D37" t="s">
        <v>3002</v>
      </c>
    </row>
    <row r="38" spans="1:4" x14ac:dyDescent="0.3">
      <c r="A38" t="s">
        <v>177</v>
      </c>
      <c r="B38" t="s">
        <v>3003</v>
      </c>
      <c r="C38" t="s">
        <v>3004</v>
      </c>
      <c r="D38" t="s">
        <v>191</v>
      </c>
    </row>
    <row r="39" spans="1:4" x14ac:dyDescent="0.3">
      <c r="A39" t="s">
        <v>98</v>
      </c>
      <c r="B39" t="s">
        <v>2237</v>
      </c>
      <c r="C39" t="s">
        <v>3005</v>
      </c>
      <c r="D39" t="s">
        <v>3006</v>
      </c>
    </row>
    <row r="40" spans="1:4" x14ac:dyDescent="0.3">
      <c r="A40" t="s">
        <v>2625</v>
      </c>
      <c r="B40" t="s">
        <v>3007</v>
      </c>
      <c r="C40" t="s">
        <v>197</v>
      </c>
      <c r="D40" t="s">
        <v>197</v>
      </c>
    </row>
    <row r="41" spans="1:4" x14ac:dyDescent="0.3">
      <c r="A41" t="s">
        <v>97</v>
      </c>
      <c r="B41" t="s">
        <v>3008</v>
      </c>
      <c r="C41" t="s">
        <v>197</v>
      </c>
      <c r="D41" t="s">
        <v>197</v>
      </c>
    </row>
    <row r="42" spans="1:4" x14ac:dyDescent="0.3">
      <c r="A42" t="s">
        <v>180</v>
      </c>
      <c r="B42" t="s">
        <v>3009</v>
      </c>
      <c r="C42" t="s">
        <v>197</v>
      </c>
      <c r="D42" t="s">
        <v>197</v>
      </c>
    </row>
    <row r="43" spans="1:4" x14ac:dyDescent="0.3">
      <c r="A43" t="s">
        <v>3010</v>
      </c>
      <c r="B43" t="s">
        <v>3011</v>
      </c>
      <c r="C43" t="s">
        <v>197</v>
      </c>
      <c r="D43" t="s">
        <v>197</v>
      </c>
    </row>
    <row r="44" spans="1:4" x14ac:dyDescent="0.3">
      <c r="A44" t="s">
        <v>3012</v>
      </c>
      <c r="B44" t="s">
        <v>3013</v>
      </c>
      <c r="C44" t="s">
        <v>197</v>
      </c>
      <c r="D44" t="s">
        <v>197</v>
      </c>
    </row>
    <row r="45" spans="1:4" x14ac:dyDescent="0.3">
      <c r="A45" t="s">
        <v>3014</v>
      </c>
      <c r="B45" t="s">
        <v>3015</v>
      </c>
      <c r="C45" t="s">
        <v>197</v>
      </c>
      <c r="D45" t="s">
        <v>197</v>
      </c>
    </row>
    <row r="46" spans="1:4" x14ac:dyDescent="0.3">
      <c r="A46" t="s">
        <v>3016</v>
      </c>
      <c r="B46" t="s">
        <v>3017</v>
      </c>
      <c r="C46" t="s">
        <v>197</v>
      </c>
      <c r="D46" t="s">
        <v>197</v>
      </c>
    </row>
    <row r="48" spans="1:4" x14ac:dyDescent="0.3">
      <c r="A48" t="s">
        <v>3018</v>
      </c>
      <c r="B48" t="s">
        <v>3019</v>
      </c>
      <c r="C48" t="s">
        <v>3020</v>
      </c>
    </row>
    <row r="49" spans="1:4" x14ac:dyDescent="0.3">
      <c r="A49" t="s">
        <v>64</v>
      </c>
      <c r="B49" t="s">
        <v>3021</v>
      </c>
      <c r="C49" t="s">
        <v>3022</v>
      </c>
    </row>
    <row r="50" spans="1:4" x14ac:dyDescent="0.3">
      <c r="A50" t="s">
        <v>62</v>
      </c>
      <c r="B50" t="s">
        <v>3023</v>
      </c>
      <c r="C50" t="s">
        <v>3022</v>
      </c>
    </row>
    <row r="51" spans="1:4" x14ac:dyDescent="0.3">
      <c r="A51" t="s">
        <v>151</v>
      </c>
      <c r="B51" t="s">
        <v>3024</v>
      </c>
      <c r="C51" t="s">
        <v>3025</v>
      </c>
    </row>
    <row r="53" spans="1:4" x14ac:dyDescent="0.3">
      <c r="A53" t="s">
        <v>1061</v>
      </c>
      <c r="B53" t="s">
        <v>238</v>
      </c>
      <c r="C53" t="s">
        <v>274</v>
      </c>
    </row>
    <row r="54" spans="1:4" x14ac:dyDescent="0.3">
      <c r="A54" t="s">
        <v>3026</v>
      </c>
      <c r="B54" t="s">
        <v>808</v>
      </c>
      <c r="C54" t="s">
        <v>815</v>
      </c>
    </row>
    <row r="55" spans="1:4" x14ac:dyDescent="0.3">
      <c r="A55" t="s">
        <v>2611</v>
      </c>
      <c r="B55" t="s">
        <v>2400</v>
      </c>
      <c r="C55" t="s">
        <v>25</v>
      </c>
    </row>
    <row r="56" spans="1:4" x14ac:dyDescent="0.3">
      <c r="A56" t="s">
        <v>3027</v>
      </c>
      <c r="B56" t="s">
        <v>3028</v>
      </c>
      <c r="C56" t="s">
        <v>24</v>
      </c>
    </row>
    <row r="57" spans="1:4" x14ac:dyDescent="0.3">
      <c r="A57" t="s">
        <v>3029</v>
      </c>
      <c r="B57" t="s">
        <v>3030</v>
      </c>
      <c r="C57" t="s">
        <v>24</v>
      </c>
    </row>
    <row r="59" spans="1:4" x14ac:dyDescent="0.3">
      <c r="A59" s="25" t="s">
        <v>281</v>
      </c>
      <c r="B59" s="25"/>
      <c r="C59" s="25"/>
      <c r="D59" s="25"/>
    </row>
    <row r="60" spans="1:4" x14ac:dyDescent="0.3">
      <c r="A60" t="s">
        <v>3031</v>
      </c>
    </row>
    <row r="61" spans="1:4" x14ac:dyDescent="0.3">
      <c r="A61" t="s">
        <v>3032</v>
      </c>
    </row>
    <row r="62" spans="1:4" x14ac:dyDescent="0.3">
      <c r="A62" t="s">
        <v>3033</v>
      </c>
    </row>
    <row r="63" spans="1:4" x14ac:dyDescent="0.3">
      <c r="A63" t="s">
        <v>3034</v>
      </c>
    </row>
    <row r="64" spans="1:4" x14ac:dyDescent="0.3">
      <c r="A64" t="s">
        <v>3035</v>
      </c>
    </row>
    <row r="65" spans="1:4" x14ac:dyDescent="0.3">
      <c r="A65" t="s">
        <v>3036</v>
      </c>
    </row>
    <row r="66" spans="1:4" x14ac:dyDescent="0.3">
      <c r="A66" t="s">
        <v>3037</v>
      </c>
    </row>
    <row r="67" spans="1:4" x14ac:dyDescent="0.3">
      <c r="A67" t="s">
        <v>3038</v>
      </c>
    </row>
    <row r="68" spans="1:4" x14ac:dyDescent="0.3">
      <c r="A68" t="s">
        <v>3039</v>
      </c>
    </row>
    <row r="69" spans="1:4" x14ac:dyDescent="0.3">
      <c r="A69" t="s">
        <v>3040</v>
      </c>
    </row>
    <row r="70" spans="1:4" x14ac:dyDescent="0.3">
      <c r="A70" t="s">
        <v>3041</v>
      </c>
    </row>
    <row r="71" spans="1:4" x14ac:dyDescent="0.3">
      <c r="A71" t="s">
        <v>3042</v>
      </c>
    </row>
    <row r="72" spans="1:4" x14ac:dyDescent="0.3">
      <c r="A72" t="s">
        <v>3043</v>
      </c>
    </row>
    <row r="73" spans="1:4" x14ac:dyDescent="0.3">
      <c r="A73" t="s">
        <v>3044</v>
      </c>
    </row>
    <row r="74" spans="1:4" x14ac:dyDescent="0.3">
      <c r="A74" t="s">
        <v>3045</v>
      </c>
    </row>
    <row r="75" spans="1:4" x14ac:dyDescent="0.3">
      <c r="A75" t="s">
        <v>3046</v>
      </c>
    </row>
    <row r="77" spans="1:4" x14ac:dyDescent="0.3">
      <c r="A77" s="25" t="s">
        <v>295</v>
      </c>
      <c r="B77" s="25"/>
      <c r="C77" s="25"/>
      <c r="D77" s="25"/>
    </row>
    <row r="78" spans="1:4" x14ac:dyDescent="0.3">
      <c r="A78" t="s">
        <v>296</v>
      </c>
      <c r="B78" t="s">
        <v>3047</v>
      </c>
      <c r="C78" t="s">
        <v>2931</v>
      </c>
    </row>
    <row r="79" spans="1:4" x14ac:dyDescent="0.3">
      <c r="A79" t="s">
        <v>299</v>
      </c>
      <c r="B79" t="s">
        <v>3048</v>
      </c>
    </row>
    <row r="80" spans="1:4" x14ac:dyDescent="0.3">
      <c r="A80" t="s">
        <v>301</v>
      </c>
      <c r="B80" t="s">
        <v>3049</v>
      </c>
    </row>
    <row r="81" spans="1:3" x14ac:dyDescent="0.3">
      <c r="A81" t="s">
        <v>303</v>
      </c>
      <c r="B81" t="s">
        <v>3050</v>
      </c>
      <c r="C81" t="s">
        <v>1817</v>
      </c>
    </row>
    <row r="82" spans="1:3" x14ac:dyDescent="0.3">
      <c r="A82" t="s">
        <v>299</v>
      </c>
      <c r="B82" t="s">
        <v>3051</v>
      </c>
    </row>
    <row r="83" spans="1:3" x14ac:dyDescent="0.3">
      <c r="A83" t="s">
        <v>301</v>
      </c>
      <c r="B83" t="s">
        <v>3052</v>
      </c>
    </row>
    <row r="84" spans="1:3" x14ac:dyDescent="0.3">
      <c r="A84" t="s">
        <v>307</v>
      </c>
      <c r="B84" t="s">
        <v>3053</v>
      </c>
      <c r="C84" t="s">
        <v>2059</v>
      </c>
    </row>
    <row r="85" spans="1:3" x14ac:dyDescent="0.3">
      <c r="A85" t="s">
        <v>299</v>
      </c>
      <c r="B85" t="s">
        <v>3054</v>
      </c>
    </row>
    <row r="86" spans="1:3" x14ac:dyDescent="0.3">
      <c r="A86" t="s">
        <v>301</v>
      </c>
      <c r="B86" t="s">
        <v>3055</v>
      </c>
    </row>
    <row r="87" spans="1:3" x14ac:dyDescent="0.3">
      <c r="A87" t="s">
        <v>311</v>
      </c>
      <c r="B87" t="s">
        <v>3056</v>
      </c>
      <c r="C87" t="s">
        <v>2445</v>
      </c>
    </row>
    <row r="88" spans="1:3" x14ac:dyDescent="0.3">
      <c r="A88" t="s">
        <v>299</v>
      </c>
      <c r="B88" t="s">
        <v>3057</v>
      </c>
    </row>
    <row r="89" spans="1:3" x14ac:dyDescent="0.3">
      <c r="A89" t="s">
        <v>301</v>
      </c>
      <c r="B89" t="s">
        <v>3058</v>
      </c>
    </row>
    <row r="90" spans="1:3" x14ac:dyDescent="0.3">
      <c r="A90" t="s">
        <v>316</v>
      </c>
      <c r="B90" t="s">
        <v>3059</v>
      </c>
      <c r="C90" t="s">
        <v>1835</v>
      </c>
    </row>
    <row r="91" spans="1:3" x14ac:dyDescent="0.3">
      <c r="A91" t="s">
        <v>299</v>
      </c>
      <c r="B91" t="s">
        <v>3060</v>
      </c>
    </row>
    <row r="92" spans="1:3" x14ac:dyDescent="0.3">
      <c r="A92" t="s">
        <v>301</v>
      </c>
      <c r="B92" t="s">
        <v>3061</v>
      </c>
    </row>
    <row r="93" spans="1:3" x14ac:dyDescent="0.3">
      <c r="A93" t="s">
        <v>320</v>
      </c>
      <c r="B93" t="s">
        <v>3062</v>
      </c>
      <c r="C93" t="s">
        <v>1831</v>
      </c>
    </row>
    <row r="94" spans="1:3" x14ac:dyDescent="0.3">
      <c r="A94" t="s">
        <v>299</v>
      </c>
      <c r="B94" t="s">
        <v>3063</v>
      </c>
    </row>
    <row r="95" spans="1:3" x14ac:dyDescent="0.3">
      <c r="A95" t="s">
        <v>301</v>
      </c>
      <c r="B95" t="s">
        <v>3064</v>
      </c>
    </row>
    <row r="96" spans="1:3" x14ac:dyDescent="0.3">
      <c r="A96" t="s">
        <v>324</v>
      </c>
      <c r="B96" t="s">
        <v>3065</v>
      </c>
      <c r="C96" t="s">
        <v>1839</v>
      </c>
    </row>
    <row r="97" spans="1:3" x14ac:dyDescent="0.3">
      <c r="A97" t="s">
        <v>299</v>
      </c>
      <c r="B97" t="s">
        <v>3066</v>
      </c>
    </row>
    <row r="98" spans="1:3" x14ac:dyDescent="0.3">
      <c r="A98" t="s">
        <v>301</v>
      </c>
      <c r="B98" t="s">
        <v>3067</v>
      </c>
    </row>
    <row r="99" spans="1:3" x14ac:dyDescent="0.3">
      <c r="A99" t="s">
        <v>328</v>
      </c>
      <c r="B99" t="s">
        <v>3068</v>
      </c>
      <c r="C99" t="s">
        <v>3069</v>
      </c>
    </row>
    <row r="100" spans="1:3" x14ac:dyDescent="0.3">
      <c r="A100" t="s">
        <v>299</v>
      </c>
      <c r="B100" t="s">
        <v>3070</v>
      </c>
    </row>
    <row r="101" spans="1:3" x14ac:dyDescent="0.3">
      <c r="A101" t="s">
        <v>301</v>
      </c>
      <c r="B101" t="s">
        <v>3071</v>
      </c>
    </row>
  </sheetData>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D106"/>
  <sheetViews>
    <sheetView workbookViewId="0"/>
  </sheetViews>
  <sheetFormatPr defaultRowHeight="14.4" x14ac:dyDescent="0.3"/>
  <cols>
    <col min="1" max="1" width="46" customWidth="1"/>
    <col min="2" max="8" width="15" customWidth="1"/>
  </cols>
  <sheetData>
    <row r="1" spans="1:4" x14ac:dyDescent="0.3">
      <c r="A1" s="24" t="s">
        <v>181</v>
      </c>
      <c r="B1" t="s">
        <v>3072</v>
      </c>
    </row>
    <row r="2" spans="1:4" x14ac:dyDescent="0.3">
      <c r="A2" s="24" t="s">
        <v>183</v>
      </c>
      <c r="B2" t="s">
        <v>3073</v>
      </c>
    </row>
    <row r="4" spans="1:4" x14ac:dyDescent="0.3">
      <c r="A4" s="25" t="s">
        <v>185</v>
      </c>
      <c r="B4" s="25"/>
      <c r="C4" s="25"/>
      <c r="D4" s="25"/>
    </row>
    <row r="6" spans="1:4" x14ac:dyDescent="0.3">
      <c r="A6" t="s">
        <v>2962</v>
      </c>
      <c r="B6" t="s">
        <v>24</v>
      </c>
      <c r="C6" t="s">
        <v>20</v>
      </c>
      <c r="D6" t="s">
        <v>189</v>
      </c>
    </row>
    <row r="7" spans="1:4" x14ac:dyDescent="0.3">
      <c r="A7" t="s">
        <v>2963</v>
      </c>
      <c r="B7">
        <v>188.2</v>
      </c>
      <c r="C7">
        <v>94.9</v>
      </c>
      <c r="D7" t="s">
        <v>220</v>
      </c>
    </row>
    <row r="8" spans="1:4" x14ac:dyDescent="0.3">
      <c r="A8" t="s">
        <v>2964</v>
      </c>
      <c r="B8">
        <v>179.5</v>
      </c>
      <c r="C8">
        <v>84.4</v>
      </c>
      <c r="D8" t="s">
        <v>3074</v>
      </c>
    </row>
    <row r="9" spans="1:4" x14ac:dyDescent="0.3">
      <c r="A9" t="s">
        <v>1220</v>
      </c>
      <c r="B9">
        <v>8.6999999999999993</v>
      </c>
      <c r="C9">
        <v>10.4</v>
      </c>
      <c r="D9" t="s">
        <v>3075</v>
      </c>
    </row>
    <row r="10" spans="1:4" x14ac:dyDescent="0.3">
      <c r="A10" t="s">
        <v>3076</v>
      </c>
      <c r="B10">
        <v>7.5</v>
      </c>
      <c r="C10">
        <v>9.5</v>
      </c>
      <c r="D10" t="s">
        <v>3077</v>
      </c>
    </row>
    <row r="11" spans="1:4" x14ac:dyDescent="0.3">
      <c r="A11" t="s">
        <v>2969</v>
      </c>
      <c r="B11">
        <v>78.7</v>
      </c>
      <c r="C11">
        <v>37.700000000000003</v>
      </c>
      <c r="D11" t="s">
        <v>2200</v>
      </c>
    </row>
    <row r="12" spans="1:4" x14ac:dyDescent="0.3">
      <c r="A12" t="s">
        <v>3078</v>
      </c>
      <c r="B12">
        <v>198.8</v>
      </c>
      <c r="C12">
        <v>22.7</v>
      </c>
      <c r="D12" t="s">
        <v>3079</v>
      </c>
    </row>
    <row r="13" spans="1:4" x14ac:dyDescent="0.3">
      <c r="A13" t="s">
        <v>2971</v>
      </c>
      <c r="B13">
        <v>27.5</v>
      </c>
      <c r="C13">
        <v>23.3</v>
      </c>
      <c r="D13" t="s">
        <v>3080</v>
      </c>
    </row>
    <row r="15" spans="1:4" x14ac:dyDescent="0.3">
      <c r="A15" t="s">
        <v>2975</v>
      </c>
      <c r="B15" t="s">
        <v>24</v>
      </c>
      <c r="C15" t="s">
        <v>20</v>
      </c>
      <c r="D15" t="s">
        <v>204</v>
      </c>
    </row>
    <row r="16" spans="1:4" x14ac:dyDescent="0.3">
      <c r="A16" t="s">
        <v>2611</v>
      </c>
      <c r="B16" t="s">
        <v>3081</v>
      </c>
      <c r="C16" t="s">
        <v>3082</v>
      </c>
      <c r="D16" t="s">
        <v>3083</v>
      </c>
    </row>
    <row r="17" spans="1:4" x14ac:dyDescent="0.3">
      <c r="A17" t="s">
        <v>2978</v>
      </c>
      <c r="B17" t="s">
        <v>3084</v>
      </c>
      <c r="C17" t="s">
        <v>3085</v>
      </c>
      <c r="D17" t="s">
        <v>3086</v>
      </c>
    </row>
    <row r="18" spans="1:4" x14ac:dyDescent="0.3">
      <c r="A18" t="s">
        <v>126</v>
      </c>
      <c r="B18" t="s">
        <v>3087</v>
      </c>
      <c r="C18" t="s">
        <v>197</v>
      </c>
      <c r="D18" t="s">
        <v>197</v>
      </c>
    </row>
    <row r="19" spans="1:4" x14ac:dyDescent="0.3">
      <c r="A19" t="s">
        <v>2983</v>
      </c>
      <c r="B19" t="s">
        <v>2196</v>
      </c>
      <c r="C19" t="s">
        <v>1744</v>
      </c>
      <c r="D19" t="s">
        <v>2984</v>
      </c>
    </row>
    <row r="20" spans="1:4" x14ac:dyDescent="0.3">
      <c r="A20" t="s">
        <v>114</v>
      </c>
      <c r="B20" t="s">
        <v>3088</v>
      </c>
      <c r="C20" t="s">
        <v>197</v>
      </c>
      <c r="D20" t="s">
        <v>197</v>
      </c>
    </row>
    <row r="22" spans="1:4" x14ac:dyDescent="0.3">
      <c r="A22" t="s">
        <v>3089</v>
      </c>
      <c r="B22" t="s">
        <v>238</v>
      </c>
    </row>
    <row r="23" spans="1:4" x14ac:dyDescent="0.3">
      <c r="A23" t="s">
        <v>3090</v>
      </c>
      <c r="B23">
        <v>155.4</v>
      </c>
    </row>
    <row r="24" spans="1:4" x14ac:dyDescent="0.3">
      <c r="A24" t="s">
        <v>3091</v>
      </c>
      <c r="B24">
        <v>174.7</v>
      </c>
    </row>
    <row r="25" spans="1:4" x14ac:dyDescent="0.3">
      <c r="A25" t="s">
        <v>3092</v>
      </c>
      <c r="B25" t="s">
        <v>3093</v>
      </c>
    </row>
    <row r="26" spans="1:4" x14ac:dyDescent="0.3">
      <c r="A26" t="s">
        <v>3094</v>
      </c>
      <c r="B26">
        <v>7.8</v>
      </c>
    </row>
    <row r="27" spans="1:4" x14ac:dyDescent="0.3">
      <c r="A27" t="s">
        <v>3095</v>
      </c>
      <c r="B27">
        <v>2.4</v>
      </c>
    </row>
    <row r="28" spans="1:4" x14ac:dyDescent="0.3">
      <c r="A28" t="s">
        <v>3096</v>
      </c>
      <c r="B28">
        <v>832.5</v>
      </c>
    </row>
    <row r="29" spans="1:4" x14ac:dyDescent="0.3">
      <c r="A29" t="s">
        <v>3097</v>
      </c>
      <c r="B29">
        <v>282.5</v>
      </c>
    </row>
    <row r="30" spans="1:4" x14ac:dyDescent="0.3">
      <c r="A30" t="s">
        <v>3098</v>
      </c>
      <c r="B30">
        <v>550</v>
      </c>
    </row>
    <row r="31" spans="1:4" x14ac:dyDescent="0.3">
      <c r="A31" t="s">
        <v>3099</v>
      </c>
      <c r="B31">
        <v>71.400000000000006</v>
      </c>
    </row>
    <row r="32" spans="1:4" x14ac:dyDescent="0.3">
      <c r="A32" t="s">
        <v>3100</v>
      </c>
      <c r="B32" t="s">
        <v>3101</v>
      </c>
    </row>
    <row r="34" spans="1:4" x14ac:dyDescent="0.3">
      <c r="A34" t="s">
        <v>2990</v>
      </c>
      <c r="B34" t="s">
        <v>238</v>
      </c>
      <c r="C34" t="s">
        <v>1053</v>
      </c>
      <c r="D34" t="s">
        <v>248</v>
      </c>
    </row>
    <row r="35" spans="1:4" x14ac:dyDescent="0.3">
      <c r="A35" t="s">
        <v>2992</v>
      </c>
      <c r="B35">
        <v>727</v>
      </c>
      <c r="C35">
        <v>16.3</v>
      </c>
      <c r="D35">
        <v>710.7</v>
      </c>
    </row>
    <row r="36" spans="1:4" x14ac:dyDescent="0.3">
      <c r="A36" t="s">
        <v>3102</v>
      </c>
      <c r="B36">
        <v>171</v>
      </c>
      <c r="C36">
        <v>-52.1</v>
      </c>
      <c r="D36">
        <v>223.1</v>
      </c>
    </row>
    <row r="37" spans="1:4" x14ac:dyDescent="0.3">
      <c r="A37" t="s">
        <v>2993</v>
      </c>
      <c r="B37">
        <v>154</v>
      </c>
      <c r="C37">
        <v>191</v>
      </c>
      <c r="D37">
        <v>-37</v>
      </c>
    </row>
    <row r="39" spans="1:4" x14ac:dyDescent="0.3">
      <c r="A39" t="s">
        <v>2995</v>
      </c>
      <c r="B39" t="s">
        <v>24</v>
      </c>
      <c r="C39" t="s">
        <v>20</v>
      </c>
      <c r="D39" t="s">
        <v>248</v>
      </c>
    </row>
    <row r="40" spans="1:4" x14ac:dyDescent="0.3">
      <c r="A40" t="s">
        <v>3103</v>
      </c>
      <c r="B40">
        <v>34</v>
      </c>
      <c r="C40" t="s">
        <v>3104</v>
      </c>
      <c r="D40" t="s">
        <v>3105</v>
      </c>
    </row>
    <row r="41" spans="1:4" x14ac:dyDescent="0.3">
      <c r="A41" t="s">
        <v>3106</v>
      </c>
      <c r="B41">
        <v>16</v>
      </c>
      <c r="C41" t="s">
        <v>197</v>
      </c>
      <c r="D41" t="s">
        <v>3107</v>
      </c>
    </row>
    <row r="42" spans="1:4" x14ac:dyDescent="0.3">
      <c r="A42" t="s">
        <v>3108</v>
      </c>
      <c r="B42">
        <v>43</v>
      </c>
      <c r="C42">
        <v>21</v>
      </c>
      <c r="D42" t="s">
        <v>1015</v>
      </c>
    </row>
    <row r="43" spans="1:4" x14ac:dyDescent="0.3">
      <c r="A43" t="s">
        <v>176</v>
      </c>
      <c r="B43" t="s">
        <v>3109</v>
      </c>
      <c r="C43" t="s">
        <v>3110</v>
      </c>
      <c r="D43" t="s">
        <v>191</v>
      </c>
    </row>
    <row r="44" spans="1:4" x14ac:dyDescent="0.3">
      <c r="A44" t="s">
        <v>99</v>
      </c>
      <c r="B44" t="s">
        <v>3111</v>
      </c>
      <c r="C44" t="s">
        <v>3112</v>
      </c>
      <c r="D44" t="s">
        <v>1680</v>
      </c>
    </row>
    <row r="45" spans="1:4" x14ac:dyDescent="0.3">
      <c r="A45" t="s">
        <v>97</v>
      </c>
      <c r="B45" t="s">
        <v>3113</v>
      </c>
      <c r="C45" t="s">
        <v>197</v>
      </c>
      <c r="D45" t="s">
        <v>3114</v>
      </c>
    </row>
    <row r="46" spans="1:4" x14ac:dyDescent="0.3">
      <c r="A46" t="s">
        <v>137</v>
      </c>
      <c r="B46" t="s">
        <v>193</v>
      </c>
      <c r="C46" t="s">
        <v>3115</v>
      </c>
      <c r="D46" t="s">
        <v>3116</v>
      </c>
    </row>
    <row r="48" spans="1:4" x14ac:dyDescent="0.3">
      <c r="A48" t="s">
        <v>3117</v>
      </c>
      <c r="B48" t="s">
        <v>238</v>
      </c>
      <c r="C48" t="s">
        <v>274</v>
      </c>
    </row>
    <row r="49" spans="1:3" x14ac:dyDescent="0.3">
      <c r="A49" t="s">
        <v>3118</v>
      </c>
      <c r="B49" t="s">
        <v>3119</v>
      </c>
      <c r="C49" t="s">
        <v>3120</v>
      </c>
    </row>
    <row r="50" spans="1:3" x14ac:dyDescent="0.3">
      <c r="A50" t="s">
        <v>2617</v>
      </c>
      <c r="B50" t="s">
        <v>3121</v>
      </c>
      <c r="C50" t="s">
        <v>24</v>
      </c>
    </row>
    <row r="51" spans="1:3" x14ac:dyDescent="0.3">
      <c r="A51" t="s">
        <v>3122</v>
      </c>
      <c r="B51" t="s">
        <v>3123</v>
      </c>
      <c r="C51" t="s">
        <v>3124</v>
      </c>
    </row>
    <row r="52" spans="1:3" x14ac:dyDescent="0.3">
      <c r="A52" t="s">
        <v>3125</v>
      </c>
      <c r="B52" t="s">
        <v>3126</v>
      </c>
      <c r="C52" t="s">
        <v>3124</v>
      </c>
    </row>
    <row r="53" spans="1:3" x14ac:dyDescent="0.3">
      <c r="A53" t="s">
        <v>3127</v>
      </c>
      <c r="B53" t="s">
        <v>3128</v>
      </c>
      <c r="C53" t="s">
        <v>3129</v>
      </c>
    </row>
    <row r="54" spans="1:3" x14ac:dyDescent="0.3">
      <c r="A54" t="s">
        <v>3130</v>
      </c>
      <c r="B54" t="s">
        <v>3131</v>
      </c>
      <c r="C54" t="s">
        <v>25</v>
      </c>
    </row>
    <row r="56" spans="1:3" x14ac:dyDescent="0.3">
      <c r="A56" t="s">
        <v>3132</v>
      </c>
      <c r="B56" t="s">
        <v>3019</v>
      </c>
      <c r="C56" t="s">
        <v>3020</v>
      </c>
    </row>
    <row r="57" spans="1:3" x14ac:dyDescent="0.3">
      <c r="A57" t="s">
        <v>63</v>
      </c>
      <c r="B57" t="s">
        <v>3133</v>
      </c>
      <c r="C57" t="s">
        <v>3134</v>
      </c>
    </row>
    <row r="58" spans="1:3" x14ac:dyDescent="0.3">
      <c r="A58" t="s">
        <v>62</v>
      </c>
      <c r="B58" t="s">
        <v>3135</v>
      </c>
      <c r="C58" t="s">
        <v>3134</v>
      </c>
    </row>
    <row r="59" spans="1:3" x14ac:dyDescent="0.3">
      <c r="A59" t="s">
        <v>151</v>
      </c>
      <c r="B59" t="s">
        <v>3136</v>
      </c>
      <c r="C59" t="s">
        <v>3134</v>
      </c>
    </row>
    <row r="61" spans="1:3" x14ac:dyDescent="0.3">
      <c r="A61" t="s">
        <v>1061</v>
      </c>
      <c r="B61" t="s">
        <v>238</v>
      </c>
      <c r="C61" t="s">
        <v>274</v>
      </c>
    </row>
    <row r="62" spans="1:3" x14ac:dyDescent="0.3">
      <c r="A62" t="s">
        <v>2611</v>
      </c>
      <c r="B62" t="s">
        <v>3137</v>
      </c>
      <c r="C62" t="s">
        <v>3138</v>
      </c>
    </row>
    <row r="63" spans="1:3" x14ac:dyDescent="0.3">
      <c r="A63" t="s">
        <v>3139</v>
      </c>
      <c r="B63" t="s">
        <v>3140</v>
      </c>
      <c r="C63" t="s">
        <v>25</v>
      </c>
    </row>
    <row r="64" spans="1:3" x14ac:dyDescent="0.3">
      <c r="A64" t="s">
        <v>3141</v>
      </c>
      <c r="B64" t="s">
        <v>3142</v>
      </c>
      <c r="C64" t="s">
        <v>3143</v>
      </c>
    </row>
    <row r="65" spans="1:4" x14ac:dyDescent="0.3">
      <c r="A65" t="s">
        <v>3144</v>
      </c>
      <c r="B65" t="s">
        <v>3145</v>
      </c>
      <c r="C65" t="s">
        <v>3146</v>
      </c>
    </row>
    <row r="67" spans="1:4" x14ac:dyDescent="0.3">
      <c r="A67" s="25" t="s">
        <v>281</v>
      </c>
      <c r="B67" s="25"/>
      <c r="C67" s="25"/>
      <c r="D67" s="25"/>
    </row>
    <row r="68" spans="1:4" x14ac:dyDescent="0.3">
      <c r="A68" t="s">
        <v>3147</v>
      </c>
    </row>
    <row r="69" spans="1:4" x14ac:dyDescent="0.3">
      <c r="A69" t="s">
        <v>3148</v>
      </c>
    </row>
    <row r="70" spans="1:4" x14ac:dyDescent="0.3">
      <c r="A70" t="s">
        <v>3149</v>
      </c>
    </row>
    <row r="71" spans="1:4" x14ac:dyDescent="0.3">
      <c r="A71" t="s">
        <v>3150</v>
      </c>
    </row>
    <row r="72" spans="1:4" x14ac:dyDescent="0.3">
      <c r="A72" t="s">
        <v>3151</v>
      </c>
    </row>
    <row r="73" spans="1:4" x14ac:dyDescent="0.3">
      <c r="A73" t="s">
        <v>3152</v>
      </c>
    </row>
    <row r="74" spans="1:4" x14ac:dyDescent="0.3">
      <c r="A74" t="s">
        <v>3153</v>
      </c>
    </row>
    <row r="75" spans="1:4" x14ac:dyDescent="0.3">
      <c r="A75" t="s">
        <v>3154</v>
      </c>
    </row>
    <row r="76" spans="1:4" x14ac:dyDescent="0.3">
      <c r="A76" t="s">
        <v>3155</v>
      </c>
    </row>
    <row r="77" spans="1:4" x14ac:dyDescent="0.3">
      <c r="A77" t="s">
        <v>3156</v>
      </c>
    </row>
    <row r="78" spans="1:4" x14ac:dyDescent="0.3">
      <c r="A78" t="s">
        <v>3157</v>
      </c>
    </row>
    <row r="79" spans="1:4" x14ac:dyDescent="0.3">
      <c r="A79" t="s">
        <v>3158</v>
      </c>
    </row>
    <row r="80" spans="1:4" x14ac:dyDescent="0.3">
      <c r="A80" t="s">
        <v>3159</v>
      </c>
    </row>
    <row r="81" spans="1:4" x14ac:dyDescent="0.3">
      <c r="A81" t="s">
        <v>3160</v>
      </c>
    </row>
    <row r="82" spans="1:4" x14ac:dyDescent="0.3">
      <c r="A82" t="s">
        <v>3161</v>
      </c>
    </row>
    <row r="83" spans="1:4" x14ac:dyDescent="0.3">
      <c r="A83" t="s">
        <v>3162</v>
      </c>
    </row>
    <row r="85" spans="1:4" x14ac:dyDescent="0.3">
      <c r="A85" s="25" t="s">
        <v>295</v>
      </c>
      <c r="B85" s="25"/>
      <c r="C85" s="25"/>
      <c r="D85" s="25"/>
    </row>
    <row r="86" spans="1:4" x14ac:dyDescent="0.3">
      <c r="A86" t="s">
        <v>296</v>
      </c>
      <c r="B86" t="s">
        <v>3163</v>
      </c>
      <c r="C86" t="s">
        <v>2445</v>
      </c>
    </row>
    <row r="87" spans="1:4" x14ac:dyDescent="0.3">
      <c r="A87" t="s">
        <v>299</v>
      </c>
      <c r="B87" t="s">
        <v>3164</v>
      </c>
    </row>
    <row r="88" spans="1:4" x14ac:dyDescent="0.3">
      <c r="A88" t="s">
        <v>301</v>
      </c>
      <c r="B88" t="s">
        <v>3165</v>
      </c>
    </row>
    <row r="89" spans="1:4" x14ac:dyDescent="0.3">
      <c r="A89" t="s">
        <v>303</v>
      </c>
      <c r="B89" t="s">
        <v>3166</v>
      </c>
      <c r="C89" t="s">
        <v>3167</v>
      </c>
    </row>
    <row r="90" spans="1:4" x14ac:dyDescent="0.3">
      <c r="A90" t="s">
        <v>299</v>
      </c>
      <c r="B90" t="s">
        <v>3168</v>
      </c>
    </row>
    <row r="91" spans="1:4" x14ac:dyDescent="0.3">
      <c r="A91" t="s">
        <v>301</v>
      </c>
      <c r="B91" t="s">
        <v>3169</v>
      </c>
    </row>
    <row r="92" spans="1:4" x14ac:dyDescent="0.3">
      <c r="A92" t="s">
        <v>307</v>
      </c>
      <c r="B92" t="s">
        <v>3170</v>
      </c>
      <c r="C92" t="s">
        <v>2931</v>
      </c>
    </row>
    <row r="93" spans="1:4" x14ac:dyDescent="0.3">
      <c r="A93" t="s">
        <v>299</v>
      </c>
      <c r="B93" t="s">
        <v>3171</v>
      </c>
    </row>
    <row r="94" spans="1:4" x14ac:dyDescent="0.3">
      <c r="A94" t="s">
        <v>301</v>
      </c>
      <c r="B94" t="s">
        <v>3172</v>
      </c>
    </row>
    <row r="95" spans="1:4" x14ac:dyDescent="0.3">
      <c r="A95" t="s">
        <v>311</v>
      </c>
      <c r="B95" t="s">
        <v>3173</v>
      </c>
      <c r="C95" t="s">
        <v>1835</v>
      </c>
    </row>
    <row r="96" spans="1:4" x14ac:dyDescent="0.3">
      <c r="A96" t="s">
        <v>299</v>
      </c>
      <c r="B96" t="s">
        <v>3174</v>
      </c>
    </row>
    <row r="97" spans="1:3" x14ac:dyDescent="0.3">
      <c r="A97" t="s">
        <v>301</v>
      </c>
      <c r="B97" t="s">
        <v>3175</v>
      </c>
    </row>
    <row r="98" spans="1:3" x14ac:dyDescent="0.3">
      <c r="A98" t="s">
        <v>316</v>
      </c>
      <c r="B98" t="s">
        <v>3176</v>
      </c>
      <c r="C98" t="s">
        <v>1831</v>
      </c>
    </row>
    <row r="99" spans="1:3" x14ac:dyDescent="0.3">
      <c r="A99" t="s">
        <v>299</v>
      </c>
      <c r="B99" t="s">
        <v>3177</v>
      </c>
    </row>
    <row r="100" spans="1:3" x14ac:dyDescent="0.3">
      <c r="A100" t="s">
        <v>301</v>
      </c>
      <c r="B100" t="s">
        <v>3178</v>
      </c>
    </row>
    <row r="101" spans="1:3" x14ac:dyDescent="0.3">
      <c r="A101" t="s">
        <v>320</v>
      </c>
      <c r="B101" t="s">
        <v>3179</v>
      </c>
      <c r="C101" t="s">
        <v>1839</v>
      </c>
    </row>
    <row r="102" spans="1:3" x14ac:dyDescent="0.3">
      <c r="A102" t="s">
        <v>299</v>
      </c>
      <c r="B102" t="s">
        <v>3180</v>
      </c>
    </row>
    <row r="103" spans="1:3" x14ac:dyDescent="0.3">
      <c r="A103" t="s">
        <v>301</v>
      </c>
      <c r="B103" t="s">
        <v>3181</v>
      </c>
    </row>
    <row r="104" spans="1:3" x14ac:dyDescent="0.3">
      <c r="A104" t="s">
        <v>324</v>
      </c>
      <c r="B104" t="s">
        <v>3182</v>
      </c>
      <c r="C104" t="s">
        <v>3069</v>
      </c>
    </row>
    <row r="105" spans="1:3" x14ac:dyDescent="0.3">
      <c r="A105" t="s">
        <v>299</v>
      </c>
      <c r="B105" t="s">
        <v>3183</v>
      </c>
    </row>
    <row r="106" spans="1:3" x14ac:dyDescent="0.3">
      <c r="A106" t="s">
        <v>301</v>
      </c>
      <c r="B106" t="s">
        <v>3184</v>
      </c>
    </row>
  </sheetData>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113"/>
  <sheetViews>
    <sheetView workbookViewId="0"/>
  </sheetViews>
  <sheetFormatPr defaultRowHeight="14.4" x14ac:dyDescent="0.3"/>
  <cols>
    <col min="1" max="1" width="46" customWidth="1"/>
    <col min="2" max="8" width="15" customWidth="1"/>
  </cols>
  <sheetData>
    <row r="1" spans="1:4" x14ac:dyDescent="0.3">
      <c r="A1" s="24" t="s">
        <v>181</v>
      </c>
      <c r="B1" t="s">
        <v>3185</v>
      </c>
    </row>
    <row r="2" spans="1:4" x14ac:dyDescent="0.3">
      <c r="A2" s="24" t="s">
        <v>183</v>
      </c>
      <c r="B2" t="s">
        <v>3186</v>
      </c>
    </row>
    <row r="4" spans="1:4" x14ac:dyDescent="0.3">
      <c r="A4" s="25" t="s">
        <v>185</v>
      </c>
      <c r="B4" s="25"/>
      <c r="C4" s="25"/>
      <c r="D4" s="25"/>
    </row>
    <row r="6" spans="1:4" x14ac:dyDescent="0.3">
      <c r="A6" t="s">
        <v>3187</v>
      </c>
      <c r="B6" t="s">
        <v>25</v>
      </c>
      <c r="C6" t="s">
        <v>1971</v>
      </c>
      <c r="D6" t="s">
        <v>189</v>
      </c>
    </row>
    <row r="7" spans="1:4" x14ac:dyDescent="0.3">
      <c r="A7" t="s">
        <v>45</v>
      </c>
      <c r="B7">
        <v>178</v>
      </c>
      <c r="C7">
        <v>104</v>
      </c>
      <c r="D7" t="s">
        <v>3188</v>
      </c>
    </row>
    <row r="8" spans="1:4" x14ac:dyDescent="0.3">
      <c r="A8" t="s">
        <v>46</v>
      </c>
      <c r="B8">
        <v>160</v>
      </c>
      <c r="C8" t="s">
        <v>3189</v>
      </c>
      <c r="D8" t="s">
        <v>1498</v>
      </c>
    </row>
    <row r="9" spans="1:4" x14ac:dyDescent="0.3">
      <c r="A9" t="s">
        <v>3190</v>
      </c>
      <c r="B9">
        <v>11.5</v>
      </c>
      <c r="C9">
        <v>8.3000000000000007</v>
      </c>
      <c r="D9" t="s">
        <v>3191</v>
      </c>
    </row>
    <row r="11" spans="1:4" x14ac:dyDescent="0.3">
      <c r="A11" t="s">
        <v>3192</v>
      </c>
      <c r="B11" t="s">
        <v>26</v>
      </c>
      <c r="C11" t="s">
        <v>21</v>
      </c>
      <c r="D11" t="s">
        <v>189</v>
      </c>
    </row>
    <row r="12" spans="1:4" x14ac:dyDescent="0.3">
      <c r="A12" t="s">
        <v>45</v>
      </c>
      <c r="B12">
        <v>654</v>
      </c>
      <c r="C12">
        <v>314</v>
      </c>
      <c r="D12" t="s">
        <v>1015</v>
      </c>
    </row>
    <row r="13" spans="1:4" x14ac:dyDescent="0.3">
      <c r="A13" t="s">
        <v>3193</v>
      </c>
      <c r="B13" t="s">
        <v>197</v>
      </c>
      <c r="C13" t="s">
        <v>197</v>
      </c>
      <c r="D13" t="s">
        <v>3136</v>
      </c>
    </row>
    <row r="14" spans="1:4" x14ac:dyDescent="0.3">
      <c r="A14" t="s">
        <v>91</v>
      </c>
      <c r="B14">
        <v>138</v>
      </c>
      <c r="C14">
        <v>40</v>
      </c>
      <c r="D14" t="s">
        <v>3194</v>
      </c>
    </row>
    <row r="15" spans="1:4" x14ac:dyDescent="0.3">
      <c r="A15" t="s">
        <v>3195</v>
      </c>
      <c r="B15">
        <v>58</v>
      </c>
      <c r="C15">
        <v>32</v>
      </c>
      <c r="D15" t="s">
        <v>3196</v>
      </c>
    </row>
    <row r="17" spans="1:4" x14ac:dyDescent="0.3">
      <c r="A17" t="s">
        <v>3197</v>
      </c>
      <c r="B17" t="s">
        <v>25</v>
      </c>
      <c r="C17" t="s">
        <v>1971</v>
      </c>
      <c r="D17" t="s">
        <v>248</v>
      </c>
    </row>
    <row r="18" spans="1:4" x14ac:dyDescent="0.3">
      <c r="A18" t="s">
        <v>51</v>
      </c>
      <c r="B18">
        <v>79</v>
      </c>
      <c r="C18">
        <v>42</v>
      </c>
      <c r="D18" t="s">
        <v>1126</v>
      </c>
    </row>
    <row r="19" spans="1:4" x14ac:dyDescent="0.3">
      <c r="A19" t="s">
        <v>52</v>
      </c>
      <c r="B19" t="s">
        <v>3198</v>
      </c>
      <c r="C19" t="s">
        <v>384</v>
      </c>
      <c r="D19" t="s">
        <v>3199</v>
      </c>
    </row>
    <row r="21" spans="1:4" x14ac:dyDescent="0.3">
      <c r="A21" t="s">
        <v>3200</v>
      </c>
      <c r="B21" t="s">
        <v>26</v>
      </c>
      <c r="C21" t="s">
        <v>21</v>
      </c>
      <c r="D21" t="s">
        <v>248</v>
      </c>
    </row>
    <row r="22" spans="1:4" x14ac:dyDescent="0.3">
      <c r="A22" t="s">
        <v>51</v>
      </c>
      <c r="B22">
        <v>271</v>
      </c>
      <c r="C22">
        <v>128</v>
      </c>
      <c r="D22" t="s">
        <v>1284</v>
      </c>
    </row>
    <row r="23" spans="1:4" x14ac:dyDescent="0.3">
      <c r="A23" t="s">
        <v>52</v>
      </c>
      <c r="B23" t="s">
        <v>197</v>
      </c>
      <c r="C23" t="s">
        <v>197</v>
      </c>
      <c r="D23" t="s">
        <v>3201</v>
      </c>
    </row>
    <row r="25" spans="1:4" x14ac:dyDescent="0.3">
      <c r="A25" t="s">
        <v>1757</v>
      </c>
      <c r="B25" t="s">
        <v>274</v>
      </c>
      <c r="C25" t="s">
        <v>238</v>
      </c>
      <c r="D25" t="s">
        <v>189</v>
      </c>
    </row>
    <row r="26" spans="1:4" x14ac:dyDescent="0.3">
      <c r="A26" t="s">
        <v>3202</v>
      </c>
      <c r="B26" t="s">
        <v>25</v>
      </c>
      <c r="C26">
        <v>90</v>
      </c>
      <c r="D26" t="s">
        <v>3203</v>
      </c>
    </row>
    <row r="27" spans="1:4" x14ac:dyDescent="0.3">
      <c r="A27" t="s">
        <v>3204</v>
      </c>
      <c r="B27" t="s">
        <v>26</v>
      </c>
      <c r="C27">
        <v>353</v>
      </c>
      <c r="D27" t="s">
        <v>3205</v>
      </c>
    </row>
    <row r="28" spans="1:4" x14ac:dyDescent="0.3">
      <c r="A28" t="s">
        <v>3206</v>
      </c>
      <c r="B28" t="s">
        <v>26</v>
      </c>
      <c r="C28">
        <v>194</v>
      </c>
      <c r="D28" t="s">
        <v>3207</v>
      </c>
    </row>
    <row r="29" spans="1:4" x14ac:dyDescent="0.3">
      <c r="A29" t="s">
        <v>3208</v>
      </c>
      <c r="B29" t="s">
        <v>25</v>
      </c>
      <c r="C29">
        <v>22</v>
      </c>
      <c r="D29" t="s">
        <v>191</v>
      </c>
    </row>
    <row r="30" spans="1:4" x14ac:dyDescent="0.3">
      <c r="A30" t="s">
        <v>3209</v>
      </c>
      <c r="B30" t="s">
        <v>26</v>
      </c>
      <c r="C30">
        <v>76</v>
      </c>
      <c r="D30" t="s">
        <v>3210</v>
      </c>
    </row>
    <row r="31" spans="1:4" x14ac:dyDescent="0.3">
      <c r="A31" t="s">
        <v>3211</v>
      </c>
      <c r="B31" t="s">
        <v>26</v>
      </c>
      <c r="C31">
        <v>21</v>
      </c>
      <c r="D31" t="s">
        <v>3212</v>
      </c>
    </row>
    <row r="32" spans="1:4" x14ac:dyDescent="0.3">
      <c r="A32" t="s">
        <v>3213</v>
      </c>
      <c r="B32" t="s">
        <v>25</v>
      </c>
      <c r="C32">
        <v>15</v>
      </c>
      <c r="D32" t="s">
        <v>197</v>
      </c>
    </row>
    <row r="34" spans="1:4" x14ac:dyDescent="0.3">
      <c r="A34" t="s">
        <v>1766</v>
      </c>
      <c r="B34" t="s">
        <v>3214</v>
      </c>
      <c r="C34" t="s">
        <v>3215</v>
      </c>
      <c r="D34" t="s">
        <v>248</v>
      </c>
    </row>
    <row r="35" spans="1:4" x14ac:dyDescent="0.3">
      <c r="A35" t="s">
        <v>58</v>
      </c>
      <c r="B35">
        <v>653</v>
      </c>
      <c r="C35">
        <v>16</v>
      </c>
      <c r="D35" t="s">
        <v>3216</v>
      </c>
    </row>
    <row r="36" spans="1:4" x14ac:dyDescent="0.3">
      <c r="A36" t="s">
        <v>59</v>
      </c>
      <c r="B36">
        <v>757</v>
      </c>
      <c r="C36">
        <v>169</v>
      </c>
      <c r="D36" t="s">
        <v>3217</v>
      </c>
    </row>
    <row r="37" spans="1:4" x14ac:dyDescent="0.3">
      <c r="A37" t="s">
        <v>3218</v>
      </c>
      <c r="B37">
        <v>108</v>
      </c>
      <c r="C37">
        <v>-97</v>
      </c>
      <c r="D37" t="s">
        <v>3219</v>
      </c>
    </row>
    <row r="38" spans="1:4" x14ac:dyDescent="0.3">
      <c r="A38" t="s">
        <v>3220</v>
      </c>
      <c r="B38">
        <v>173</v>
      </c>
      <c r="C38">
        <v>191</v>
      </c>
      <c r="D38" t="s">
        <v>3221</v>
      </c>
    </row>
    <row r="39" spans="1:4" x14ac:dyDescent="0.3">
      <c r="A39" t="s">
        <v>3222</v>
      </c>
      <c r="B39">
        <v>39</v>
      </c>
      <c r="C39" t="s">
        <v>197</v>
      </c>
      <c r="D39" t="s">
        <v>3223</v>
      </c>
    </row>
    <row r="41" spans="1:4" x14ac:dyDescent="0.3">
      <c r="A41" t="s">
        <v>2010</v>
      </c>
      <c r="B41" t="s">
        <v>25</v>
      </c>
      <c r="C41" t="s">
        <v>1971</v>
      </c>
      <c r="D41" t="s">
        <v>248</v>
      </c>
    </row>
    <row r="42" spans="1:4" x14ac:dyDescent="0.3">
      <c r="A42" t="s">
        <v>69</v>
      </c>
      <c r="B42" t="s">
        <v>3224</v>
      </c>
      <c r="C42" t="s">
        <v>3225</v>
      </c>
      <c r="D42" t="s">
        <v>3226</v>
      </c>
    </row>
    <row r="43" spans="1:4" x14ac:dyDescent="0.3">
      <c r="A43" t="s">
        <v>95</v>
      </c>
      <c r="B43" t="s">
        <v>3227</v>
      </c>
      <c r="C43" t="s">
        <v>3228</v>
      </c>
      <c r="D43" t="s">
        <v>3229</v>
      </c>
    </row>
    <row r="44" spans="1:4" x14ac:dyDescent="0.3">
      <c r="A44" t="s">
        <v>2380</v>
      </c>
      <c r="B44" t="s">
        <v>3230</v>
      </c>
      <c r="C44" t="s">
        <v>197</v>
      </c>
      <c r="D44" t="s">
        <v>3231</v>
      </c>
    </row>
    <row r="45" spans="1:4" x14ac:dyDescent="0.3">
      <c r="A45" t="s">
        <v>3232</v>
      </c>
      <c r="B45" t="s">
        <v>3233</v>
      </c>
      <c r="C45" t="s">
        <v>3234</v>
      </c>
      <c r="D45" t="s">
        <v>3235</v>
      </c>
    </row>
    <row r="46" spans="1:4" x14ac:dyDescent="0.3">
      <c r="A46" t="s">
        <v>83</v>
      </c>
      <c r="B46" t="s">
        <v>3236</v>
      </c>
      <c r="C46" t="s">
        <v>197</v>
      </c>
      <c r="D46" t="s">
        <v>197</v>
      </c>
    </row>
    <row r="48" spans="1:4" x14ac:dyDescent="0.3">
      <c r="A48" t="s">
        <v>3237</v>
      </c>
      <c r="B48" t="s">
        <v>238</v>
      </c>
    </row>
    <row r="49" spans="1:4" x14ac:dyDescent="0.3">
      <c r="A49" t="s">
        <v>3238</v>
      </c>
      <c r="B49" t="s">
        <v>3239</v>
      </c>
    </row>
    <row r="50" spans="1:4" x14ac:dyDescent="0.3">
      <c r="A50" t="s">
        <v>3240</v>
      </c>
      <c r="B50" t="s">
        <v>3241</v>
      </c>
    </row>
    <row r="52" spans="1:4" x14ac:dyDescent="0.3">
      <c r="A52" t="s">
        <v>1061</v>
      </c>
      <c r="B52" t="s">
        <v>238</v>
      </c>
      <c r="C52" t="s">
        <v>274</v>
      </c>
    </row>
    <row r="53" spans="1:4" x14ac:dyDescent="0.3">
      <c r="A53" t="s">
        <v>3242</v>
      </c>
      <c r="B53" t="s">
        <v>3243</v>
      </c>
      <c r="C53" t="s">
        <v>33</v>
      </c>
    </row>
    <row r="54" spans="1:4" x14ac:dyDescent="0.3">
      <c r="A54" t="s">
        <v>3244</v>
      </c>
      <c r="B54" t="s">
        <v>3245</v>
      </c>
      <c r="C54" t="s">
        <v>3246</v>
      </c>
    </row>
    <row r="55" spans="1:4" x14ac:dyDescent="0.3">
      <c r="A55" t="s">
        <v>52</v>
      </c>
      <c r="B55" t="s">
        <v>2400</v>
      </c>
      <c r="C55" t="s">
        <v>33</v>
      </c>
    </row>
    <row r="56" spans="1:4" x14ac:dyDescent="0.3">
      <c r="A56" t="s">
        <v>3247</v>
      </c>
      <c r="B56" t="s">
        <v>3248</v>
      </c>
      <c r="C56" t="s">
        <v>33</v>
      </c>
    </row>
    <row r="57" spans="1:4" x14ac:dyDescent="0.3">
      <c r="A57" t="s">
        <v>3249</v>
      </c>
      <c r="B57" t="s">
        <v>3250</v>
      </c>
      <c r="C57" t="s">
        <v>3251</v>
      </c>
    </row>
    <row r="58" spans="1:4" x14ac:dyDescent="0.3">
      <c r="A58" t="s">
        <v>3252</v>
      </c>
      <c r="B58" t="s">
        <v>3253</v>
      </c>
      <c r="C58" t="s">
        <v>3254</v>
      </c>
    </row>
    <row r="60" spans="1:4" x14ac:dyDescent="0.3">
      <c r="A60" s="25" t="s">
        <v>281</v>
      </c>
      <c r="B60" s="25"/>
      <c r="C60" s="25"/>
      <c r="D60" s="25"/>
    </row>
    <row r="61" spans="1:4" x14ac:dyDescent="0.3">
      <c r="A61" t="s">
        <v>3255</v>
      </c>
    </row>
    <row r="62" spans="1:4" x14ac:dyDescent="0.3">
      <c r="A62" t="s">
        <v>3256</v>
      </c>
    </row>
    <row r="63" spans="1:4" x14ac:dyDescent="0.3">
      <c r="A63" t="s">
        <v>3257</v>
      </c>
    </row>
    <row r="64" spans="1:4" x14ac:dyDescent="0.3">
      <c r="A64" t="s">
        <v>3258</v>
      </c>
    </row>
    <row r="65" spans="1:4" x14ac:dyDescent="0.3">
      <c r="A65" t="s">
        <v>3259</v>
      </c>
    </row>
    <row r="66" spans="1:4" x14ac:dyDescent="0.3">
      <c r="A66" t="s">
        <v>3260</v>
      </c>
    </row>
    <row r="67" spans="1:4" x14ac:dyDescent="0.3">
      <c r="A67" t="s">
        <v>3261</v>
      </c>
    </row>
    <row r="68" spans="1:4" x14ac:dyDescent="0.3">
      <c r="A68" t="s">
        <v>3262</v>
      </c>
    </row>
    <row r="69" spans="1:4" x14ac:dyDescent="0.3">
      <c r="A69" t="s">
        <v>3263</v>
      </c>
    </row>
    <row r="70" spans="1:4" x14ac:dyDescent="0.3">
      <c r="A70" t="s">
        <v>3264</v>
      </c>
    </row>
    <row r="71" spans="1:4" x14ac:dyDescent="0.3">
      <c r="A71" t="s">
        <v>3265</v>
      </c>
    </row>
    <row r="72" spans="1:4" x14ac:dyDescent="0.3">
      <c r="A72" t="s">
        <v>3266</v>
      </c>
    </row>
    <row r="73" spans="1:4" x14ac:dyDescent="0.3">
      <c r="A73" t="s">
        <v>3267</v>
      </c>
    </row>
    <row r="74" spans="1:4" x14ac:dyDescent="0.3">
      <c r="A74" t="s">
        <v>3268</v>
      </c>
    </row>
    <row r="75" spans="1:4" x14ac:dyDescent="0.3">
      <c r="A75" t="s">
        <v>3269</v>
      </c>
    </row>
    <row r="76" spans="1:4" x14ac:dyDescent="0.3">
      <c r="A76" t="s">
        <v>3270</v>
      </c>
    </row>
    <row r="77" spans="1:4" x14ac:dyDescent="0.3">
      <c r="A77" t="s">
        <v>3271</v>
      </c>
    </row>
    <row r="78" spans="1:4" x14ac:dyDescent="0.3">
      <c r="A78" t="s">
        <v>3272</v>
      </c>
    </row>
    <row r="80" spans="1:4" x14ac:dyDescent="0.3">
      <c r="A80" s="25" t="s">
        <v>295</v>
      </c>
      <c r="B80" s="25"/>
      <c r="C80" s="25"/>
      <c r="D80" s="25"/>
    </row>
    <row r="81" spans="1:3" x14ac:dyDescent="0.3">
      <c r="A81" t="s">
        <v>296</v>
      </c>
      <c r="B81" t="s">
        <v>3273</v>
      </c>
      <c r="C81" t="s">
        <v>2059</v>
      </c>
    </row>
    <row r="82" spans="1:3" x14ac:dyDescent="0.3">
      <c r="A82" t="s">
        <v>299</v>
      </c>
      <c r="B82" t="s">
        <v>3274</v>
      </c>
    </row>
    <row r="83" spans="1:3" x14ac:dyDescent="0.3">
      <c r="A83" t="s">
        <v>301</v>
      </c>
      <c r="B83" t="s">
        <v>3275</v>
      </c>
    </row>
    <row r="84" spans="1:3" x14ac:dyDescent="0.3">
      <c r="A84" t="s">
        <v>303</v>
      </c>
      <c r="B84" t="s">
        <v>3276</v>
      </c>
      <c r="C84" t="s">
        <v>2445</v>
      </c>
    </row>
    <row r="85" spans="1:3" x14ac:dyDescent="0.3">
      <c r="A85" t="s">
        <v>299</v>
      </c>
      <c r="B85" t="s">
        <v>3277</v>
      </c>
    </row>
    <row r="86" spans="1:3" x14ac:dyDescent="0.3">
      <c r="A86" t="s">
        <v>301</v>
      </c>
      <c r="B86" t="s">
        <v>3278</v>
      </c>
    </row>
    <row r="87" spans="1:3" x14ac:dyDescent="0.3">
      <c r="A87" t="s">
        <v>307</v>
      </c>
      <c r="B87" t="s">
        <v>3279</v>
      </c>
      <c r="C87" t="s">
        <v>1817</v>
      </c>
    </row>
    <row r="88" spans="1:3" x14ac:dyDescent="0.3">
      <c r="A88" t="s">
        <v>299</v>
      </c>
      <c r="B88" t="s">
        <v>3280</v>
      </c>
    </row>
    <row r="89" spans="1:3" x14ac:dyDescent="0.3">
      <c r="A89" t="s">
        <v>301</v>
      </c>
      <c r="B89" t="s">
        <v>3281</v>
      </c>
    </row>
    <row r="90" spans="1:3" x14ac:dyDescent="0.3">
      <c r="A90" t="s">
        <v>311</v>
      </c>
      <c r="B90" t="s">
        <v>3282</v>
      </c>
      <c r="C90" t="s">
        <v>2931</v>
      </c>
    </row>
    <row r="91" spans="1:3" x14ac:dyDescent="0.3">
      <c r="A91" t="s">
        <v>299</v>
      </c>
      <c r="B91" t="s">
        <v>3283</v>
      </c>
    </row>
    <row r="92" spans="1:3" x14ac:dyDescent="0.3">
      <c r="A92" t="s">
        <v>301</v>
      </c>
      <c r="B92" t="s">
        <v>3284</v>
      </c>
    </row>
    <row r="93" spans="1:3" x14ac:dyDescent="0.3">
      <c r="A93" t="s">
        <v>316</v>
      </c>
      <c r="B93" t="s">
        <v>3285</v>
      </c>
      <c r="C93" t="s">
        <v>3286</v>
      </c>
    </row>
    <row r="94" spans="1:3" x14ac:dyDescent="0.3">
      <c r="A94" t="s">
        <v>299</v>
      </c>
      <c r="B94" t="s">
        <v>3287</v>
      </c>
    </row>
    <row r="95" spans="1:3" x14ac:dyDescent="0.3">
      <c r="A95" t="s">
        <v>301</v>
      </c>
      <c r="B95" t="s">
        <v>3288</v>
      </c>
    </row>
    <row r="96" spans="1:3" x14ac:dyDescent="0.3">
      <c r="A96" t="s">
        <v>320</v>
      </c>
      <c r="B96" t="s">
        <v>3289</v>
      </c>
      <c r="C96" t="s">
        <v>3290</v>
      </c>
    </row>
    <row r="97" spans="1:3" x14ac:dyDescent="0.3">
      <c r="A97" t="s">
        <v>299</v>
      </c>
      <c r="B97" t="s">
        <v>3291</v>
      </c>
    </row>
    <row r="98" spans="1:3" x14ac:dyDescent="0.3">
      <c r="A98" t="s">
        <v>301</v>
      </c>
      <c r="B98" t="s">
        <v>3292</v>
      </c>
    </row>
    <row r="99" spans="1:3" x14ac:dyDescent="0.3">
      <c r="A99" t="s">
        <v>324</v>
      </c>
      <c r="B99" t="s">
        <v>3293</v>
      </c>
      <c r="C99" t="s">
        <v>1835</v>
      </c>
    </row>
    <row r="100" spans="1:3" x14ac:dyDescent="0.3">
      <c r="A100" t="s">
        <v>299</v>
      </c>
      <c r="B100" t="s">
        <v>3294</v>
      </c>
    </row>
    <row r="101" spans="1:3" x14ac:dyDescent="0.3">
      <c r="A101" t="s">
        <v>301</v>
      </c>
      <c r="B101" t="s">
        <v>3295</v>
      </c>
    </row>
    <row r="102" spans="1:3" x14ac:dyDescent="0.3">
      <c r="A102" t="s">
        <v>328</v>
      </c>
      <c r="B102" t="s">
        <v>3296</v>
      </c>
      <c r="C102" t="s">
        <v>2005</v>
      </c>
    </row>
    <row r="103" spans="1:3" x14ac:dyDescent="0.3">
      <c r="A103" t="s">
        <v>299</v>
      </c>
      <c r="B103" t="s">
        <v>3297</v>
      </c>
    </row>
    <row r="104" spans="1:3" x14ac:dyDescent="0.3">
      <c r="A104" t="s">
        <v>301</v>
      </c>
      <c r="B104" t="s">
        <v>3298</v>
      </c>
    </row>
    <row r="105" spans="1:3" x14ac:dyDescent="0.3">
      <c r="A105" t="s">
        <v>333</v>
      </c>
      <c r="B105" t="s">
        <v>3299</v>
      </c>
      <c r="C105" t="s">
        <v>1831</v>
      </c>
    </row>
    <row r="106" spans="1:3" x14ac:dyDescent="0.3">
      <c r="A106" t="s">
        <v>299</v>
      </c>
      <c r="B106" t="s">
        <v>3300</v>
      </c>
    </row>
    <row r="107" spans="1:3" x14ac:dyDescent="0.3">
      <c r="A107" t="s">
        <v>301</v>
      </c>
      <c r="B107" t="s">
        <v>3301</v>
      </c>
    </row>
    <row r="108" spans="1:3" x14ac:dyDescent="0.3">
      <c r="A108" t="s">
        <v>337</v>
      </c>
      <c r="B108" t="s">
        <v>3302</v>
      </c>
      <c r="C108" t="s">
        <v>1839</v>
      </c>
    </row>
    <row r="109" spans="1:3" x14ac:dyDescent="0.3">
      <c r="A109" t="s">
        <v>299</v>
      </c>
      <c r="B109" t="s">
        <v>3303</v>
      </c>
    </row>
    <row r="110" spans="1:3" x14ac:dyDescent="0.3">
      <c r="A110" t="s">
        <v>301</v>
      </c>
      <c r="B110" t="s">
        <v>3304</v>
      </c>
    </row>
    <row r="111" spans="1:3" x14ac:dyDescent="0.3">
      <c r="A111" t="s">
        <v>341</v>
      </c>
      <c r="B111" t="s">
        <v>3305</v>
      </c>
      <c r="C111" t="s">
        <v>3306</v>
      </c>
    </row>
    <row r="112" spans="1:3" x14ac:dyDescent="0.3">
      <c r="A112" t="s">
        <v>299</v>
      </c>
      <c r="B112" t="s">
        <v>3307</v>
      </c>
    </row>
    <row r="113" spans="1:2" x14ac:dyDescent="0.3">
      <c r="A113" t="s">
        <v>301</v>
      </c>
      <c r="B113" t="s">
        <v>3308</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D87"/>
  <sheetViews>
    <sheetView workbookViewId="0"/>
  </sheetViews>
  <sheetFormatPr defaultRowHeight="14.4" x14ac:dyDescent="0.3"/>
  <cols>
    <col min="1" max="1" width="46" customWidth="1"/>
    <col min="2" max="8" width="15" customWidth="1"/>
  </cols>
  <sheetData>
    <row r="1" spans="1:4" x14ac:dyDescent="0.3">
      <c r="A1" s="24" t="s">
        <v>181</v>
      </c>
      <c r="B1" t="s">
        <v>3309</v>
      </c>
    </row>
    <row r="2" spans="1:4" x14ac:dyDescent="0.3">
      <c r="A2" s="24" t="s">
        <v>183</v>
      </c>
      <c r="B2" t="s">
        <v>3310</v>
      </c>
    </row>
    <row r="4" spans="1:4" x14ac:dyDescent="0.3">
      <c r="A4" s="25" t="s">
        <v>185</v>
      </c>
      <c r="B4" s="25"/>
      <c r="C4" s="25"/>
      <c r="D4" s="25"/>
    </row>
    <row r="6" spans="1:4" x14ac:dyDescent="0.3">
      <c r="A6" t="s">
        <v>186</v>
      </c>
      <c r="B6" t="s">
        <v>27</v>
      </c>
      <c r="C6" t="s">
        <v>22</v>
      </c>
      <c r="D6" t="s">
        <v>189</v>
      </c>
    </row>
    <row r="7" spans="1:4" x14ac:dyDescent="0.3">
      <c r="A7" t="s">
        <v>45</v>
      </c>
      <c r="B7">
        <v>260</v>
      </c>
      <c r="C7">
        <v>133</v>
      </c>
      <c r="D7" t="s">
        <v>1006</v>
      </c>
    </row>
    <row r="8" spans="1:4" x14ac:dyDescent="0.3">
      <c r="A8" t="s">
        <v>3311</v>
      </c>
      <c r="B8">
        <v>249</v>
      </c>
      <c r="C8">
        <v>124</v>
      </c>
      <c r="D8" t="s">
        <v>1626</v>
      </c>
    </row>
    <row r="9" spans="1:4" x14ac:dyDescent="0.3">
      <c r="A9" t="s">
        <v>1743</v>
      </c>
      <c r="B9">
        <v>11.4</v>
      </c>
      <c r="C9">
        <v>9.9</v>
      </c>
      <c r="D9" t="s">
        <v>2196</v>
      </c>
    </row>
    <row r="11" spans="1:4" x14ac:dyDescent="0.3">
      <c r="A11" t="s">
        <v>3312</v>
      </c>
      <c r="B11" t="s">
        <v>27</v>
      </c>
      <c r="C11" t="s">
        <v>22</v>
      </c>
      <c r="D11" t="s">
        <v>189</v>
      </c>
    </row>
    <row r="12" spans="1:4" x14ac:dyDescent="0.3">
      <c r="A12" t="s">
        <v>3313</v>
      </c>
      <c r="B12">
        <v>114</v>
      </c>
      <c r="C12">
        <v>54</v>
      </c>
      <c r="D12" t="s">
        <v>1284</v>
      </c>
    </row>
    <row r="13" spans="1:4" x14ac:dyDescent="0.3">
      <c r="A13" t="s">
        <v>52</v>
      </c>
      <c r="B13" t="s">
        <v>2240</v>
      </c>
      <c r="C13" t="s">
        <v>808</v>
      </c>
      <c r="D13" t="s">
        <v>3314</v>
      </c>
    </row>
    <row r="14" spans="1:4" x14ac:dyDescent="0.3">
      <c r="A14" t="s">
        <v>3315</v>
      </c>
      <c r="B14">
        <v>48.7</v>
      </c>
      <c r="C14" t="s">
        <v>3316</v>
      </c>
      <c r="D14" t="s">
        <v>3317</v>
      </c>
    </row>
    <row r="16" spans="1:4" x14ac:dyDescent="0.3">
      <c r="A16" t="s">
        <v>3318</v>
      </c>
      <c r="B16" t="s">
        <v>27</v>
      </c>
      <c r="C16" t="s">
        <v>22</v>
      </c>
      <c r="D16" t="s">
        <v>189</v>
      </c>
    </row>
    <row r="17" spans="1:4" x14ac:dyDescent="0.3">
      <c r="A17" t="s">
        <v>3319</v>
      </c>
      <c r="B17" t="s">
        <v>3320</v>
      </c>
      <c r="C17" t="s">
        <v>3321</v>
      </c>
      <c r="D17" t="s">
        <v>3322</v>
      </c>
    </row>
    <row r="18" spans="1:4" x14ac:dyDescent="0.3">
      <c r="A18" t="s">
        <v>3323</v>
      </c>
      <c r="B18" t="s">
        <v>3324</v>
      </c>
      <c r="C18" t="s">
        <v>3325</v>
      </c>
      <c r="D18" t="s">
        <v>3326</v>
      </c>
    </row>
    <row r="19" spans="1:4" x14ac:dyDescent="0.3">
      <c r="A19" t="s">
        <v>3327</v>
      </c>
      <c r="B19" t="s">
        <v>3328</v>
      </c>
      <c r="C19" t="s">
        <v>3329</v>
      </c>
      <c r="D19" t="s">
        <v>3330</v>
      </c>
    </row>
    <row r="20" spans="1:4" x14ac:dyDescent="0.3">
      <c r="A20" t="s">
        <v>3331</v>
      </c>
      <c r="B20" t="s">
        <v>3022</v>
      </c>
      <c r="C20" t="s">
        <v>361</v>
      </c>
      <c r="D20" t="s">
        <v>3332</v>
      </c>
    </row>
    <row r="22" spans="1:4" x14ac:dyDescent="0.3">
      <c r="A22" t="s">
        <v>3333</v>
      </c>
      <c r="B22" t="s">
        <v>27</v>
      </c>
      <c r="C22" t="s">
        <v>1053</v>
      </c>
    </row>
    <row r="23" spans="1:4" x14ac:dyDescent="0.3">
      <c r="A23" t="s">
        <v>3334</v>
      </c>
      <c r="B23" t="s">
        <v>3335</v>
      </c>
      <c r="C23" t="s">
        <v>3336</v>
      </c>
    </row>
    <row r="24" spans="1:4" x14ac:dyDescent="0.3">
      <c r="A24" t="s">
        <v>3337</v>
      </c>
      <c r="B24" t="s">
        <v>3338</v>
      </c>
      <c r="C24" t="s">
        <v>3316</v>
      </c>
    </row>
    <row r="25" spans="1:4" x14ac:dyDescent="0.3">
      <c r="A25" t="s">
        <v>57</v>
      </c>
      <c r="B25" t="s">
        <v>3339</v>
      </c>
      <c r="C25" t="s">
        <v>3340</v>
      </c>
    </row>
    <row r="26" spans="1:4" x14ac:dyDescent="0.3">
      <c r="A26" t="s">
        <v>3220</v>
      </c>
      <c r="B26" t="s">
        <v>3341</v>
      </c>
      <c r="C26" t="s">
        <v>3342</v>
      </c>
    </row>
    <row r="27" spans="1:4" x14ac:dyDescent="0.3">
      <c r="A27" t="s">
        <v>3343</v>
      </c>
      <c r="B27" t="s">
        <v>3344</v>
      </c>
      <c r="C27" t="s">
        <v>27</v>
      </c>
    </row>
    <row r="29" spans="1:4" x14ac:dyDescent="0.3">
      <c r="A29" t="s">
        <v>3345</v>
      </c>
      <c r="B29" t="s">
        <v>238</v>
      </c>
      <c r="C29" t="s">
        <v>1053</v>
      </c>
      <c r="D29" t="s">
        <v>248</v>
      </c>
    </row>
    <row r="30" spans="1:4" x14ac:dyDescent="0.3">
      <c r="A30" t="s">
        <v>3346</v>
      </c>
      <c r="B30" t="s">
        <v>3347</v>
      </c>
      <c r="C30" t="s">
        <v>3348</v>
      </c>
      <c r="D30" t="s">
        <v>3349</v>
      </c>
    </row>
    <row r="31" spans="1:4" x14ac:dyDescent="0.3">
      <c r="A31" t="s">
        <v>422</v>
      </c>
      <c r="B31" t="s">
        <v>3350</v>
      </c>
      <c r="C31" t="s">
        <v>3351</v>
      </c>
      <c r="D31" t="s">
        <v>3352</v>
      </c>
    </row>
    <row r="32" spans="1:4" x14ac:dyDescent="0.3">
      <c r="A32" t="s">
        <v>3353</v>
      </c>
      <c r="B32" t="s">
        <v>3354</v>
      </c>
      <c r="C32" t="s">
        <v>3355</v>
      </c>
      <c r="D32" t="s">
        <v>3356</v>
      </c>
    </row>
    <row r="33" spans="1:4" x14ac:dyDescent="0.3">
      <c r="A33" t="s">
        <v>3357</v>
      </c>
      <c r="B33">
        <v>13.6</v>
      </c>
      <c r="C33">
        <v>8.6</v>
      </c>
      <c r="D33" t="s">
        <v>3358</v>
      </c>
    </row>
    <row r="34" spans="1:4" x14ac:dyDescent="0.3">
      <c r="A34" t="s">
        <v>3359</v>
      </c>
      <c r="B34">
        <v>47</v>
      </c>
      <c r="C34">
        <v>26</v>
      </c>
      <c r="D34" t="s">
        <v>1680</v>
      </c>
    </row>
    <row r="35" spans="1:4" x14ac:dyDescent="0.3">
      <c r="A35" t="s">
        <v>3360</v>
      </c>
      <c r="B35" t="s">
        <v>1245</v>
      </c>
      <c r="C35" t="s">
        <v>3316</v>
      </c>
      <c r="D35" t="s">
        <v>3316</v>
      </c>
    </row>
    <row r="36" spans="1:4" x14ac:dyDescent="0.3">
      <c r="A36" t="s">
        <v>3361</v>
      </c>
      <c r="B36" t="s">
        <v>3362</v>
      </c>
      <c r="C36" t="s">
        <v>3316</v>
      </c>
      <c r="D36" t="s">
        <v>3363</v>
      </c>
    </row>
    <row r="38" spans="1:4" x14ac:dyDescent="0.3">
      <c r="A38" t="s">
        <v>273</v>
      </c>
      <c r="B38" t="s">
        <v>238</v>
      </c>
      <c r="C38" t="s">
        <v>274</v>
      </c>
    </row>
    <row r="39" spans="1:4" x14ac:dyDescent="0.3">
      <c r="A39" t="s">
        <v>52</v>
      </c>
      <c r="B39" t="s">
        <v>3364</v>
      </c>
      <c r="C39" t="s">
        <v>33</v>
      </c>
    </row>
    <row r="40" spans="1:4" x14ac:dyDescent="0.3">
      <c r="A40" t="s">
        <v>3323</v>
      </c>
      <c r="B40" t="s">
        <v>3365</v>
      </c>
      <c r="C40" t="s">
        <v>33</v>
      </c>
    </row>
    <row r="41" spans="1:4" x14ac:dyDescent="0.3">
      <c r="A41" t="s">
        <v>3366</v>
      </c>
      <c r="B41" t="s">
        <v>3367</v>
      </c>
      <c r="C41" t="s">
        <v>33</v>
      </c>
    </row>
    <row r="42" spans="1:4" x14ac:dyDescent="0.3">
      <c r="A42" t="s">
        <v>3368</v>
      </c>
      <c r="B42" t="s">
        <v>3369</v>
      </c>
      <c r="C42" t="s">
        <v>3370</v>
      </c>
    </row>
    <row r="44" spans="1:4" x14ac:dyDescent="0.3">
      <c r="A44" s="25" t="s">
        <v>281</v>
      </c>
      <c r="B44" s="25"/>
      <c r="C44" s="25"/>
      <c r="D44" s="25"/>
    </row>
    <row r="45" spans="1:4" x14ac:dyDescent="0.3">
      <c r="A45" t="s">
        <v>3371</v>
      </c>
    </row>
    <row r="46" spans="1:4" x14ac:dyDescent="0.3">
      <c r="A46" t="s">
        <v>3372</v>
      </c>
    </row>
    <row r="47" spans="1:4" x14ac:dyDescent="0.3">
      <c r="A47" t="s">
        <v>3373</v>
      </c>
    </row>
    <row r="48" spans="1:4" x14ac:dyDescent="0.3">
      <c r="A48" t="s">
        <v>3374</v>
      </c>
    </row>
    <row r="49" spans="1:4" x14ac:dyDescent="0.3">
      <c r="A49" t="s">
        <v>3375</v>
      </c>
    </row>
    <row r="50" spans="1:4" x14ac:dyDescent="0.3">
      <c r="A50" t="s">
        <v>3376</v>
      </c>
    </row>
    <row r="51" spans="1:4" x14ac:dyDescent="0.3">
      <c r="A51" t="s">
        <v>3377</v>
      </c>
    </row>
    <row r="52" spans="1:4" x14ac:dyDescent="0.3">
      <c r="A52" t="s">
        <v>3378</v>
      </c>
    </row>
    <row r="53" spans="1:4" x14ac:dyDescent="0.3">
      <c r="A53" t="s">
        <v>3379</v>
      </c>
    </row>
    <row r="54" spans="1:4" x14ac:dyDescent="0.3">
      <c r="A54" t="s">
        <v>3380</v>
      </c>
    </row>
    <row r="55" spans="1:4" x14ac:dyDescent="0.3">
      <c r="A55" t="s">
        <v>3381</v>
      </c>
    </row>
    <row r="56" spans="1:4" x14ac:dyDescent="0.3">
      <c r="A56" t="s">
        <v>3382</v>
      </c>
    </row>
    <row r="57" spans="1:4" x14ac:dyDescent="0.3">
      <c r="A57" t="s">
        <v>3383</v>
      </c>
    </row>
    <row r="58" spans="1:4" x14ac:dyDescent="0.3">
      <c r="A58" t="s">
        <v>3384</v>
      </c>
    </row>
    <row r="60" spans="1:4" x14ac:dyDescent="0.3">
      <c r="A60" s="25" t="s">
        <v>295</v>
      </c>
      <c r="B60" s="25"/>
      <c r="C60" s="25"/>
      <c r="D60" s="25"/>
    </row>
    <row r="61" spans="1:4" x14ac:dyDescent="0.3">
      <c r="A61" t="s">
        <v>296</v>
      </c>
      <c r="B61" t="s">
        <v>3385</v>
      </c>
      <c r="C61" t="s">
        <v>3386</v>
      </c>
    </row>
    <row r="62" spans="1:4" x14ac:dyDescent="0.3">
      <c r="A62" t="s">
        <v>299</v>
      </c>
      <c r="B62" t="s">
        <v>3387</v>
      </c>
    </row>
    <row r="63" spans="1:4" x14ac:dyDescent="0.3">
      <c r="A63" t="s">
        <v>301</v>
      </c>
      <c r="B63" t="s">
        <v>3388</v>
      </c>
    </row>
    <row r="64" spans="1:4" x14ac:dyDescent="0.3">
      <c r="A64" t="s">
        <v>303</v>
      </c>
      <c r="B64" t="s">
        <v>3389</v>
      </c>
      <c r="C64" t="s">
        <v>727</v>
      </c>
    </row>
    <row r="65" spans="1:3" x14ac:dyDescent="0.3">
      <c r="A65" t="s">
        <v>299</v>
      </c>
      <c r="B65" t="s">
        <v>3390</v>
      </c>
    </row>
    <row r="66" spans="1:3" x14ac:dyDescent="0.3">
      <c r="A66" t="s">
        <v>301</v>
      </c>
      <c r="B66" t="s">
        <v>3391</v>
      </c>
    </row>
    <row r="67" spans="1:3" x14ac:dyDescent="0.3">
      <c r="A67" t="s">
        <v>307</v>
      </c>
      <c r="B67" t="s">
        <v>3392</v>
      </c>
      <c r="C67" t="s">
        <v>3393</v>
      </c>
    </row>
    <row r="68" spans="1:3" x14ac:dyDescent="0.3">
      <c r="A68" t="s">
        <v>299</v>
      </c>
      <c r="B68" t="s">
        <v>3394</v>
      </c>
    </row>
    <row r="69" spans="1:3" x14ac:dyDescent="0.3">
      <c r="A69" t="s">
        <v>301</v>
      </c>
      <c r="B69" t="s">
        <v>3395</v>
      </c>
    </row>
    <row r="70" spans="1:3" x14ac:dyDescent="0.3">
      <c r="A70" t="s">
        <v>311</v>
      </c>
      <c r="B70" t="s">
        <v>3396</v>
      </c>
      <c r="C70" t="s">
        <v>3397</v>
      </c>
    </row>
    <row r="71" spans="1:3" x14ac:dyDescent="0.3">
      <c r="A71" t="s">
        <v>299</v>
      </c>
      <c r="B71" t="s">
        <v>3398</v>
      </c>
    </row>
    <row r="72" spans="1:3" x14ac:dyDescent="0.3">
      <c r="A72" t="s">
        <v>301</v>
      </c>
      <c r="B72" t="s">
        <v>3399</v>
      </c>
    </row>
    <row r="73" spans="1:3" x14ac:dyDescent="0.3">
      <c r="A73" t="s">
        <v>316</v>
      </c>
      <c r="B73" t="s">
        <v>3400</v>
      </c>
      <c r="C73" t="s">
        <v>3401</v>
      </c>
    </row>
    <row r="74" spans="1:3" x14ac:dyDescent="0.3">
      <c r="A74" t="s">
        <v>299</v>
      </c>
      <c r="B74" t="s">
        <v>3402</v>
      </c>
    </row>
    <row r="75" spans="1:3" x14ac:dyDescent="0.3">
      <c r="A75" t="s">
        <v>301</v>
      </c>
      <c r="B75" t="s">
        <v>3403</v>
      </c>
    </row>
    <row r="76" spans="1:3" x14ac:dyDescent="0.3">
      <c r="A76" t="s">
        <v>320</v>
      </c>
      <c r="B76" t="s">
        <v>3404</v>
      </c>
      <c r="C76" t="s">
        <v>3405</v>
      </c>
    </row>
    <row r="77" spans="1:3" x14ac:dyDescent="0.3">
      <c r="A77" t="s">
        <v>299</v>
      </c>
      <c r="B77" t="s">
        <v>3406</v>
      </c>
    </row>
    <row r="78" spans="1:3" x14ac:dyDescent="0.3">
      <c r="A78" t="s">
        <v>301</v>
      </c>
      <c r="B78" t="s">
        <v>3407</v>
      </c>
    </row>
    <row r="79" spans="1:3" x14ac:dyDescent="0.3">
      <c r="A79" t="s">
        <v>324</v>
      </c>
      <c r="B79" t="s">
        <v>3408</v>
      </c>
      <c r="C79" t="s">
        <v>3409</v>
      </c>
    </row>
    <row r="80" spans="1:3" x14ac:dyDescent="0.3">
      <c r="A80" t="s">
        <v>299</v>
      </c>
      <c r="B80" t="s">
        <v>3410</v>
      </c>
    </row>
    <row r="81" spans="1:3" x14ac:dyDescent="0.3">
      <c r="A81" t="s">
        <v>301</v>
      </c>
      <c r="B81" t="s">
        <v>3411</v>
      </c>
    </row>
    <row r="82" spans="1:3" x14ac:dyDescent="0.3">
      <c r="A82" t="s">
        <v>328</v>
      </c>
      <c r="B82" t="s">
        <v>3412</v>
      </c>
      <c r="C82" t="s">
        <v>3413</v>
      </c>
    </row>
    <row r="83" spans="1:3" x14ac:dyDescent="0.3">
      <c r="A83" t="s">
        <v>299</v>
      </c>
      <c r="B83" t="s">
        <v>3414</v>
      </c>
    </row>
    <row r="84" spans="1:3" x14ac:dyDescent="0.3">
      <c r="A84" t="s">
        <v>301</v>
      </c>
      <c r="B84" t="s">
        <v>3415</v>
      </c>
    </row>
    <row r="85" spans="1:3" x14ac:dyDescent="0.3">
      <c r="A85" t="s">
        <v>333</v>
      </c>
      <c r="B85" t="s">
        <v>3416</v>
      </c>
      <c r="C85" t="s">
        <v>3417</v>
      </c>
    </row>
    <row r="86" spans="1:3" x14ac:dyDescent="0.3">
      <c r="A86" t="s">
        <v>299</v>
      </c>
      <c r="B86" t="s">
        <v>3418</v>
      </c>
    </row>
    <row r="87" spans="1:3" x14ac:dyDescent="0.3">
      <c r="A87" t="s">
        <v>301</v>
      </c>
      <c r="B87" t="s">
        <v>3419</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D103"/>
  <sheetViews>
    <sheetView workbookViewId="0"/>
  </sheetViews>
  <sheetFormatPr defaultRowHeight="14.4" x14ac:dyDescent="0.3"/>
  <cols>
    <col min="1" max="1" width="46" customWidth="1"/>
    <col min="2" max="8" width="15" customWidth="1"/>
  </cols>
  <sheetData>
    <row r="1" spans="1:4" x14ac:dyDescent="0.3">
      <c r="A1" s="24" t="s">
        <v>181</v>
      </c>
      <c r="B1" t="s">
        <v>3420</v>
      </c>
    </row>
    <row r="2" spans="1:4" x14ac:dyDescent="0.3">
      <c r="A2" s="24" t="s">
        <v>183</v>
      </c>
      <c r="B2" t="s">
        <v>3421</v>
      </c>
    </row>
    <row r="4" spans="1:4" x14ac:dyDescent="0.3">
      <c r="A4" s="25" t="s">
        <v>185</v>
      </c>
      <c r="B4" s="25"/>
      <c r="C4" s="25"/>
      <c r="D4" s="25"/>
    </row>
    <row r="6" spans="1:4" x14ac:dyDescent="0.3">
      <c r="A6" t="s">
        <v>3422</v>
      </c>
      <c r="B6" t="s">
        <v>238</v>
      </c>
      <c r="C6" t="s">
        <v>1053</v>
      </c>
      <c r="D6" t="s">
        <v>1021</v>
      </c>
    </row>
    <row r="7" spans="1:4" x14ac:dyDescent="0.3">
      <c r="A7" t="s">
        <v>3423</v>
      </c>
      <c r="B7" t="s">
        <v>3424</v>
      </c>
      <c r="C7" t="s">
        <v>3316</v>
      </c>
      <c r="D7" t="s">
        <v>3425</v>
      </c>
    </row>
    <row r="8" spans="1:4" x14ac:dyDescent="0.3">
      <c r="A8" t="s">
        <v>3426</v>
      </c>
      <c r="B8" t="s">
        <v>3427</v>
      </c>
      <c r="C8" t="s">
        <v>3316</v>
      </c>
      <c r="D8" t="s">
        <v>3428</v>
      </c>
    </row>
    <row r="9" spans="1:4" x14ac:dyDescent="0.3">
      <c r="A9" t="s">
        <v>3429</v>
      </c>
      <c r="B9" t="s">
        <v>1006</v>
      </c>
      <c r="C9" t="s">
        <v>3316</v>
      </c>
      <c r="D9" t="s">
        <v>3430</v>
      </c>
    </row>
    <row r="10" spans="1:4" x14ac:dyDescent="0.3">
      <c r="A10" t="s">
        <v>3431</v>
      </c>
      <c r="B10" t="s">
        <v>3432</v>
      </c>
      <c r="C10" t="s">
        <v>3316</v>
      </c>
      <c r="D10" t="s">
        <v>3433</v>
      </c>
    </row>
    <row r="11" spans="1:4" x14ac:dyDescent="0.3">
      <c r="A11" t="s">
        <v>3434</v>
      </c>
      <c r="B11" t="s">
        <v>3435</v>
      </c>
      <c r="C11" t="s">
        <v>3436</v>
      </c>
      <c r="D11" t="s">
        <v>3437</v>
      </c>
    </row>
    <row r="13" spans="1:4" x14ac:dyDescent="0.3">
      <c r="A13" t="s">
        <v>3438</v>
      </c>
      <c r="B13" t="s">
        <v>238</v>
      </c>
      <c r="C13" t="s">
        <v>1053</v>
      </c>
      <c r="D13" t="s">
        <v>248</v>
      </c>
    </row>
    <row r="14" spans="1:4" x14ac:dyDescent="0.3">
      <c r="A14" t="s">
        <v>3439</v>
      </c>
      <c r="B14" t="s">
        <v>3354</v>
      </c>
      <c r="C14" t="s">
        <v>3440</v>
      </c>
      <c r="D14" t="s">
        <v>3441</v>
      </c>
    </row>
    <row r="15" spans="1:4" x14ac:dyDescent="0.3">
      <c r="A15" t="s">
        <v>3442</v>
      </c>
      <c r="B15" t="s">
        <v>3022</v>
      </c>
      <c r="C15" t="s">
        <v>3440</v>
      </c>
      <c r="D15" t="s">
        <v>3443</v>
      </c>
    </row>
    <row r="16" spans="1:4" x14ac:dyDescent="0.3">
      <c r="A16" t="s">
        <v>3444</v>
      </c>
      <c r="B16" t="s">
        <v>1303</v>
      </c>
      <c r="C16" t="s">
        <v>3316</v>
      </c>
      <c r="D16" t="s">
        <v>3445</v>
      </c>
    </row>
    <row r="17" spans="1:4" x14ac:dyDescent="0.3">
      <c r="A17" t="s">
        <v>3446</v>
      </c>
      <c r="B17" t="s">
        <v>1884</v>
      </c>
      <c r="C17" t="s">
        <v>3316</v>
      </c>
      <c r="D17" t="s">
        <v>3447</v>
      </c>
    </row>
    <row r="19" spans="1:4" x14ac:dyDescent="0.3">
      <c r="A19" t="s">
        <v>3448</v>
      </c>
      <c r="B19" t="s">
        <v>238</v>
      </c>
      <c r="C19" t="s">
        <v>1021</v>
      </c>
    </row>
    <row r="20" spans="1:4" x14ac:dyDescent="0.3">
      <c r="A20" t="s">
        <v>3449</v>
      </c>
      <c r="B20" t="s">
        <v>1289</v>
      </c>
      <c r="C20" t="s">
        <v>3450</v>
      </c>
    </row>
    <row r="21" spans="1:4" x14ac:dyDescent="0.3">
      <c r="A21" t="s">
        <v>3451</v>
      </c>
      <c r="B21" t="s">
        <v>2484</v>
      </c>
      <c r="C21" t="s">
        <v>3452</v>
      </c>
    </row>
    <row r="22" spans="1:4" x14ac:dyDescent="0.3">
      <c r="A22" t="s">
        <v>3453</v>
      </c>
      <c r="B22" t="s">
        <v>1245</v>
      </c>
      <c r="C22" t="s">
        <v>3454</v>
      </c>
    </row>
    <row r="23" spans="1:4" x14ac:dyDescent="0.3">
      <c r="A23" t="s">
        <v>3455</v>
      </c>
      <c r="B23" t="s">
        <v>3028</v>
      </c>
      <c r="C23" t="s">
        <v>3456</v>
      </c>
    </row>
    <row r="24" spans="1:4" x14ac:dyDescent="0.3">
      <c r="A24" t="s">
        <v>3457</v>
      </c>
      <c r="B24" t="s">
        <v>3458</v>
      </c>
      <c r="C24" t="s">
        <v>3459</v>
      </c>
    </row>
    <row r="25" spans="1:4" x14ac:dyDescent="0.3">
      <c r="A25" t="s">
        <v>3460</v>
      </c>
      <c r="B25" t="s">
        <v>3461</v>
      </c>
      <c r="C25" t="s">
        <v>3462</v>
      </c>
    </row>
    <row r="27" spans="1:4" x14ac:dyDescent="0.3">
      <c r="A27" t="s">
        <v>273</v>
      </c>
      <c r="B27" t="s">
        <v>238</v>
      </c>
      <c r="C27" t="s">
        <v>274</v>
      </c>
    </row>
    <row r="28" spans="1:4" x14ac:dyDescent="0.3">
      <c r="A28" t="s">
        <v>52</v>
      </c>
      <c r="B28" t="s">
        <v>2400</v>
      </c>
      <c r="C28" t="s">
        <v>3463</v>
      </c>
    </row>
    <row r="29" spans="1:4" x14ac:dyDescent="0.3">
      <c r="A29" t="s">
        <v>52</v>
      </c>
      <c r="B29" t="s">
        <v>3464</v>
      </c>
      <c r="C29" t="s">
        <v>3465</v>
      </c>
    </row>
    <row r="30" spans="1:4" x14ac:dyDescent="0.3">
      <c r="A30" t="s">
        <v>3466</v>
      </c>
      <c r="B30" t="s">
        <v>3467</v>
      </c>
      <c r="C30" t="s">
        <v>3468</v>
      </c>
    </row>
    <row r="31" spans="1:4" x14ac:dyDescent="0.3">
      <c r="A31" t="s">
        <v>3469</v>
      </c>
      <c r="B31" t="s">
        <v>3470</v>
      </c>
      <c r="C31" t="s">
        <v>33</v>
      </c>
    </row>
    <row r="32" spans="1:4" x14ac:dyDescent="0.3">
      <c r="A32" t="s">
        <v>3471</v>
      </c>
      <c r="B32" t="s">
        <v>3472</v>
      </c>
      <c r="C32" t="s">
        <v>3473</v>
      </c>
    </row>
    <row r="33" spans="1:4" x14ac:dyDescent="0.3">
      <c r="A33" t="s">
        <v>3474</v>
      </c>
      <c r="B33" t="s">
        <v>3475</v>
      </c>
      <c r="C33" t="s">
        <v>33</v>
      </c>
    </row>
    <row r="35" spans="1:4" x14ac:dyDescent="0.3">
      <c r="A35" s="25" t="s">
        <v>281</v>
      </c>
      <c r="B35" s="25"/>
      <c r="C35" s="25"/>
      <c r="D35" s="25"/>
    </row>
    <row r="36" spans="1:4" x14ac:dyDescent="0.3">
      <c r="A36" t="s">
        <v>3476</v>
      </c>
    </row>
    <row r="37" spans="1:4" x14ac:dyDescent="0.3">
      <c r="A37" t="s">
        <v>3477</v>
      </c>
    </row>
    <row r="38" spans="1:4" x14ac:dyDescent="0.3">
      <c r="A38" t="s">
        <v>3478</v>
      </c>
    </row>
    <row r="39" spans="1:4" x14ac:dyDescent="0.3">
      <c r="A39" t="s">
        <v>3479</v>
      </c>
    </row>
    <row r="40" spans="1:4" x14ac:dyDescent="0.3">
      <c r="A40" t="s">
        <v>3480</v>
      </c>
    </row>
    <row r="41" spans="1:4" x14ac:dyDescent="0.3">
      <c r="A41" t="s">
        <v>3481</v>
      </c>
    </row>
    <row r="42" spans="1:4" x14ac:dyDescent="0.3">
      <c r="A42" t="s">
        <v>3482</v>
      </c>
    </row>
    <row r="43" spans="1:4" x14ac:dyDescent="0.3">
      <c r="A43" t="s">
        <v>3483</v>
      </c>
    </row>
    <row r="44" spans="1:4" x14ac:dyDescent="0.3">
      <c r="A44" t="s">
        <v>3484</v>
      </c>
    </row>
    <row r="45" spans="1:4" x14ac:dyDescent="0.3">
      <c r="A45" t="s">
        <v>3485</v>
      </c>
    </row>
    <row r="46" spans="1:4" x14ac:dyDescent="0.3">
      <c r="A46" t="s">
        <v>3486</v>
      </c>
    </row>
    <row r="47" spans="1:4" x14ac:dyDescent="0.3">
      <c r="A47" t="s">
        <v>3487</v>
      </c>
    </row>
    <row r="48" spans="1:4" x14ac:dyDescent="0.3">
      <c r="A48" t="s">
        <v>3488</v>
      </c>
    </row>
    <row r="49" spans="1:4" x14ac:dyDescent="0.3">
      <c r="A49" t="s">
        <v>3489</v>
      </c>
    </row>
    <row r="50" spans="1:4" x14ac:dyDescent="0.3">
      <c r="A50" t="s">
        <v>3490</v>
      </c>
    </row>
    <row r="52" spans="1:4" x14ac:dyDescent="0.3">
      <c r="A52" s="25" t="s">
        <v>295</v>
      </c>
      <c r="B52" s="25"/>
      <c r="C52" s="25"/>
      <c r="D52" s="25"/>
    </row>
    <row r="53" spans="1:4" x14ac:dyDescent="0.3">
      <c r="A53" t="s">
        <v>296</v>
      </c>
      <c r="B53" t="s">
        <v>3491</v>
      </c>
      <c r="C53" t="s">
        <v>3492</v>
      </c>
    </row>
    <row r="54" spans="1:4" x14ac:dyDescent="0.3">
      <c r="A54" t="s">
        <v>299</v>
      </c>
      <c r="B54" t="s">
        <v>3493</v>
      </c>
    </row>
    <row r="55" spans="1:4" x14ac:dyDescent="0.3">
      <c r="A55" t="s">
        <v>301</v>
      </c>
      <c r="B55" t="s">
        <v>3494</v>
      </c>
    </row>
    <row r="56" spans="1:4" x14ac:dyDescent="0.3">
      <c r="A56" t="s">
        <v>303</v>
      </c>
      <c r="B56" t="s">
        <v>3495</v>
      </c>
      <c r="C56" t="s">
        <v>3492</v>
      </c>
    </row>
    <row r="57" spans="1:4" x14ac:dyDescent="0.3">
      <c r="A57" t="s">
        <v>299</v>
      </c>
      <c r="B57" t="s">
        <v>3496</v>
      </c>
    </row>
    <row r="58" spans="1:4" x14ac:dyDescent="0.3">
      <c r="A58" t="s">
        <v>301</v>
      </c>
      <c r="B58" t="s">
        <v>3497</v>
      </c>
    </row>
    <row r="59" spans="1:4" x14ac:dyDescent="0.3">
      <c r="A59" t="s">
        <v>307</v>
      </c>
      <c r="B59" t="s">
        <v>3498</v>
      </c>
      <c r="C59" t="s">
        <v>3492</v>
      </c>
    </row>
    <row r="60" spans="1:4" x14ac:dyDescent="0.3">
      <c r="A60" t="s">
        <v>299</v>
      </c>
      <c r="B60" t="s">
        <v>3499</v>
      </c>
    </row>
    <row r="61" spans="1:4" x14ac:dyDescent="0.3">
      <c r="A61" t="s">
        <v>301</v>
      </c>
      <c r="B61" t="s">
        <v>3500</v>
      </c>
    </row>
    <row r="62" spans="1:4" x14ac:dyDescent="0.3">
      <c r="A62" t="s">
        <v>311</v>
      </c>
      <c r="B62" t="s">
        <v>3501</v>
      </c>
      <c r="C62" t="s">
        <v>3492</v>
      </c>
    </row>
    <row r="63" spans="1:4" x14ac:dyDescent="0.3">
      <c r="A63" t="s">
        <v>299</v>
      </c>
      <c r="B63" t="s">
        <v>3502</v>
      </c>
    </row>
    <row r="64" spans="1:4" x14ac:dyDescent="0.3">
      <c r="A64" t="s">
        <v>301</v>
      </c>
      <c r="B64" t="s">
        <v>3503</v>
      </c>
    </row>
    <row r="65" spans="1:3" x14ac:dyDescent="0.3">
      <c r="A65" t="s">
        <v>316</v>
      </c>
      <c r="B65" t="s">
        <v>3504</v>
      </c>
      <c r="C65" t="s">
        <v>3492</v>
      </c>
    </row>
    <row r="66" spans="1:3" x14ac:dyDescent="0.3">
      <c r="A66" t="s">
        <v>299</v>
      </c>
      <c r="B66" t="s">
        <v>3505</v>
      </c>
    </row>
    <row r="67" spans="1:3" x14ac:dyDescent="0.3">
      <c r="A67" t="s">
        <v>301</v>
      </c>
      <c r="B67" t="s">
        <v>3506</v>
      </c>
    </row>
    <row r="68" spans="1:3" x14ac:dyDescent="0.3">
      <c r="A68" t="s">
        <v>320</v>
      </c>
      <c r="B68" t="s">
        <v>3507</v>
      </c>
      <c r="C68" t="s">
        <v>3492</v>
      </c>
    </row>
    <row r="69" spans="1:3" x14ac:dyDescent="0.3">
      <c r="A69" t="s">
        <v>299</v>
      </c>
      <c r="B69" t="s">
        <v>3508</v>
      </c>
    </row>
    <row r="70" spans="1:3" x14ac:dyDescent="0.3">
      <c r="A70" t="s">
        <v>301</v>
      </c>
      <c r="B70" t="s">
        <v>3509</v>
      </c>
    </row>
    <row r="71" spans="1:3" x14ac:dyDescent="0.3">
      <c r="A71" t="s">
        <v>324</v>
      </c>
      <c r="B71" t="s">
        <v>3510</v>
      </c>
      <c r="C71" t="s">
        <v>3492</v>
      </c>
    </row>
    <row r="72" spans="1:3" x14ac:dyDescent="0.3">
      <c r="A72" t="s">
        <v>299</v>
      </c>
      <c r="B72" t="s">
        <v>3511</v>
      </c>
    </row>
    <row r="73" spans="1:3" x14ac:dyDescent="0.3">
      <c r="A73" t="s">
        <v>301</v>
      </c>
      <c r="B73" t="s">
        <v>3512</v>
      </c>
    </row>
    <row r="74" spans="1:3" x14ac:dyDescent="0.3">
      <c r="A74" t="s">
        <v>328</v>
      </c>
      <c r="B74" t="s">
        <v>3513</v>
      </c>
      <c r="C74" t="s">
        <v>3492</v>
      </c>
    </row>
    <row r="75" spans="1:3" x14ac:dyDescent="0.3">
      <c r="A75" t="s">
        <v>299</v>
      </c>
      <c r="B75" t="s">
        <v>3514</v>
      </c>
    </row>
    <row r="76" spans="1:3" x14ac:dyDescent="0.3">
      <c r="A76" t="s">
        <v>301</v>
      </c>
      <c r="B76" t="s">
        <v>3515</v>
      </c>
    </row>
    <row r="77" spans="1:3" x14ac:dyDescent="0.3">
      <c r="A77" t="s">
        <v>333</v>
      </c>
      <c r="B77" t="s">
        <v>3516</v>
      </c>
      <c r="C77" t="s">
        <v>3492</v>
      </c>
    </row>
    <row r="78" spans="1:3" x14ac:dyDescent="0.3">
      <c r="A78" t="s">
        <v>299</v>
      </c>
      <c r="B78" t="s">
        <v>3517</v>
      </c>
    </row>
    <row r="79" spans="1:3" x14ac:dyDescent="0.3">
      <c r="A79" t="s">
        <v>301</v>
      </c>
      <c r="B79" t="s">
        <v>3518</v>
      </c>
    </row>
    <row r="80" spans="1:3" x14ac:dyDescent="0.3">
      <c r="A80" t="s">
        <v>337</v>
      </c>
      <c r="B80" t="s">
        <v>3519</v>
      </c>
      <c r="C80" t="s">
        <v>3492</v>
      </c>
    </row>
    <row r="81" spans="1:3" x14ac:dyDescent="0.3">
      <c r="A81" t="s">
        <v>299</v>
      </c>
      <c r="B81" t="s">
        <v>3520</v>
      </c>
    </row>
    <row r="82" spans="1:3" x14ac:dyDescent="0.3">
      <c r="A82" t="s">
        <v>301</v>
      </c>
      <c r="B82" t="s">
        <v>3521</v>
      </c>
    </row>
    <row r="83" spans="1:3" x14ac:dyDescent="0.3">
      <c r="A83" t="s">
        <v>341</v>
      </c>
      <c r="B83" t="s">
        <v>3522</v>
      </c>
      <c r="C83" t="s">
        <v>3492</v>
      </c>
    </row>
    <row r="84" spans="1:3" x14ac:dyDescent="0.3">
      <c r="A84" t="s">
        <v>299</v>
      </c>
      <c r="B84" t="s">
        <v>3523</v>
      </c>
    </row>
    <row r="85" spans="1:3" x14ac:dyDescent="0.3">
      <c r="A85" t="s">
        <v>301</v>
      </c>
      <c r="B85" t="s">
        <v>3524</v>
      </c>
    </row>
    <row r="86" spans="1:3" x14ac:dyDescent="0.3">
      <c r="A86" t="s">
        <v>346</v>
      </c>
      <c r="B86" t="s">
        <v>3525</v>
      </c>
      <c r="C86" t="s">
        <v>3492</v>
      </c>
    </row>
    <row r="87" spans="1:3" x14ac:dyDescent="0.3">
      <c r="A87" t="s">
        <v>299</v>
      </c>
      <c r="B87" t="s">
        <v>3526</v>
      </c>
    </row>
    <row r="88" spans="1:3" x14ac:dyDescent="0.3">
      <c r="A88" t="s">
        <v>301</v>
      </c>
      <c r="B88" t="s">
        <v>3527</v>
      </c>
    </row>
    <row r="89" spans="1:3" x14ac:dyDescent="0.3">
      <c r="A89" t="s">
        <v>1453</v>
      </c>
      <c r="B89" t="s">
        <v>3528</v>
      </c>
      <c r="C89" t="s">
        <v>3492</v>
      </c>
    </row>
    <row r="90" spans="1:3" x14ac:dyDescent="0.3">
      <c r="A90" t="s">
        <v>299</v>
      </c>
      <c r="B90" t="s">
        <v>3529</v>
      </c>
    </row>
    <row r="91" spans="1:3" x14ac:dyDescent="0.3">
      <c r="A91" t="s">
        <v>301</v>
      </c>
      <c r="B91" t="s">
        <v>3530</v>
      </c>
    </row>
    <row r="92" spans="1:3" x14ac:dyDescent="0.3">
      <c r="A92" t="s">
        <v>1457</v>
      </c>
      <c r="B92" t="s">
        <v>3531</v>
      </c>
      <c r="C92" t="s">
        <v>3492</v>
      </c>
    </row>
    <row r="93" spans="1:3" x14ac:dyDescent="0.3">
      <c r="A93" t="s">
        <v>299</v>
      </c>
      <c r="B93" t="s">
        <v>3532</v>
      </c>
    </row>
    <row r="94" spans="1:3" x14ac:dyDescent="0.3">
      <c r="A94" t="s">
        <v>301</v>
      </c>
      <c r="B94" t="s">
        <v>3533</v>
      </c>
    </row>
    <row r="95" spans="1:3" x14ac:dyDescent="0.3">
      <c r="A95" t="s">
        <v>1461</v>
      </c>
      <c r="B95" t="s">
        <v>3534</v>
      </c>
      <c r="C95" t="s">
        <v>3492</v>
      </c>
    </row>
    <row r="96" spans="1:3" x14ac:dyDescent="0.3">
      <c r="A96" t="s">
        <v>299</v>
      </c>
      <c r="B96" t="s">
        <v>3535</v>
      </c>
    </row>
    <row r="97" spans="1:3" x14ac:dyDescent="0.3">
      <c r="A97" t="s">
        <v>301</v>
      </c>
      <c r="B97" t="s">
        <v>3536</v>
      </c>
    </row>
    <row r="98" spans="1:3" x14ac:dyDescent="0.3">
      <c r="A98" t="s">
        <v>1465</v>
      </c>
      <c r="B98" t="s">
        <v>3537</v>
      </c>
      <c r="C98" t="s">
        <v>3492</v>
      </c>
    </row>
    <row r="99" spans="1:3" x14ac:dyDescent="0.3">
      <c r="A99" t="s">
        <v>299</v>
      </c>
      <c r="B99" t="s">
        <v>3538</v>
      </c>
    </row>
    <row r="100" spans="1:3" x14ac:dyDescent="0.3">
      <c r="A100" t="s">
        <v>301</v>
      </c>
      <c r="B100" t="s">
        <v>3539</v>
      </c>
    </row>
    <row r="101" spans="1:3" x14ac:dyDescent="0.3">
      <c r="A101" t="s">
        <v>1469</v>
      </c>
      <c r="B101" t="s">
        <v>3540</v>
      </c>
      <c r="C101" t="s">
        <v>3492</v>
      </c>
    </row>
    <row r="102" spans="1:3" x14ac:dyDescent="0.3">
      <c r="A102" t="s">
        <v>299</v>
      </c>
      <c r="B102" t="s">
        <v>3541</v>
      </c>
    </row>
    <row r="103" spans="1:3" x14ac:dyDescent="0.3">
      <c r="A103" t="s">
        <v>301</v>
      </c>
      <c r="B103" t="s">
        <v>3542</v>
      </c>
    </row>
  </sheetData>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D60"/>
  <sheetViews>
    <sheetView workbookViewId="0"/>
  </sheetViews>
  <sheetFormatPr defaultRowHeight="14.4" x14ac:dyDescent="0.3"/>
  <cols>
    <col min="1" max="1" width="46" customWidth="1"/>
    <col min="2" max="8" width="15" customWidth="1"/>
  </cols>
  <sheetData>
    <row r="1" spans="1:4" x14ac:dyDescent="0.3">
      <c r="A1" s="24" t="s">
        <v>181</v>
      </c>
      <c r="B1" t="s">
        <v>3543</v>
      </c>
    </row>
    <row r="2" spans="1:4" x14ac:dyDescent="0.3">
      <c r="A2" s="24" t="s">
        <v>183</v>
      </c>
      <c r="B2" t="s">
        <v>3544</v>
      </c>
    </row>
    <row r="4" spans="1:4" x14ac:dyDescent="0.3">
      <c r="A4" s="25" t="s">
        <v>185</v>
      </c>
      <c r="B4" s="25"/>
      <c r="C4" s="25"/>
      <c r="D4" s="25"/>
    </row>
    <row r="6" spans="1:4" x14ac:dyDescent="0.3">
      <c r="A6" t="s">
        <v>3545</v>
      </c>
      <c r="B6" t="s">
        <v>238</v>
      </c>
      <c r="C6" t="s">
        <v>1021</v>
      </c>
    </row>
    <row r="7" spans="1:4" x14ac:dyDescent="0.3">
      <c r="A7" t="s">
        <v>3546</v>
      </c>
      <c r="B7">
        <v>76752970</v>
      </c>
      <c r="C7" t="s">
        <v>3547</v>
      </c>
    </row>
    <row r="8" spans="1:4" x14ac:dyDescent="0.3">
      <c r="A8" t="s">
        <v>3548</v>
      </c>
      <c r="B8" t="s">
        <v>3549</v>
      </c>
      <c r="C8" t="s">
        <v>3550</v>
      </c>
    </row>
    <row r="10" spans="1:4" x14ac:dyDescent="0.3">
      <c r="A10" t="s">
        <v>3551</v>
      </c>
      <c r="B10" t="s">
        <v>26</v>
      </c>
      <c r="C10" t="s">
        <v>21</v>
      </c>
      <c r="D10" t="s">
        <v>189</v>
      </c>
    </row>
    <row r="11" spans="1:4" x14ac:dyDescent="0.3">
      <c r="A11" t="s">
        <v>3552</v>
      </c>
      <c r="B11" t="s">
        <v>3553</v>
      </c>
      <c r="C11">
        <v>314</v>
      </c>
      <c r="D11" t="s">
        <v>1015</v>
      </c>
    </row>
    <row r="12" spans="1:4" x14ac:dyDescent="0.3">
      <c r="A12" t="s">
        <v>51</v>
      </c>
      <c r="B12">
        <v>271</v>
      </c>
      <c r="C12">
        <v>128</v>
      </c>
      <c r="D12" t="s">
        <v>1284</v>
      </c>
    </row>
    <row r="13" spans="1:4" x14ac:dyDescent="0.3">
      <c r="A13" t="s">
        <v>1288</v>
      </c>
      <c r="B13">
        <v>353</v>
      </c>
      <c r="C13">
        <v>75</v>
      </c>
      <c r="D13" t="s">
        <v>3205</v>
      </c>
    </row>
    <row r="14" spans="1:4" x14ac:dyDescent="0.3">
      <c r="A14" t="s">
        <v>103</v>
      </c>
      <c r="B14">
        <v>194</v>
      </c>
      <c r="C14" t="s">
        <v>3316</v>
      </c>
      <c r="D14" t="s">
        <v>3554</v>
      </c>
    </row>
    <row r="15" spans="1:4" x14ac:dyDescent="0.3">
      <c r="A15" t="s">
        <v>1016</v>
      </c>
      <c r="B15" t="s">
        <v>3555</v>
      </c>
      <c r="C15">
        <v>58</v>
      </c>
      <c r="D15" t="s">
        <v>3210</v>
      </c>
    </row>
    <row r="16" spans="1:4" x14ac:dyDescent="0.3">
      <c r="A16" t="s">
        <v>3556</v>
      </c>
      <c r="B16" t="s">
        <v>3557</v>
      </c>
      <c r="C16" t="s">
        <v>3558</v>
      </c>
      <c r="D16" t="s">
        <v>3559</v>
      </c>
    </row>
    <row r="17" spans="1:4" x14ac:dyDescent="0.3">
      <c r="A17" t="s">
        <v>3560</v>
      </c>
      <c r="B17" t="s">
        <v>3561</v>
      </c>
      <c r="C17" t="s">
        <v>3562</v>
      </c>
      <c r="D17" t="s">
        <v>3563</v>
      </c>
    </row>
    <row r="19" spans="1:4" x14ac:dyDescent="0.3">
      <c r="A19" t="s">
        <v>3564</v>
      </c>
      <c r="B19" t="s">
        <v>27</v>
      </c>
      <c r="C19" t="s">
        <v>22</v>
      </c>
      <c r="D19" t="s">
        <v>189</v>
      </c>
    </row>
    <row r="20" spans="1:4" x14ac:dyDescent="0.3">
      <c r="A20" t="s">
        <v>3552</v>
      </c>
      <c r="B20" t="s">
        <v>3565</v>
      </c>
      <c r="C20">
        <v>133</v>
      </c>
      <c r="D20" t="s">
        <v>1006</v>
      </c>
    </row>
    <row r="21" spans="1:4" x14ac:dyDescent="0.3">
      <c r="A21" t="s">
        <v>46</v>
      </c>
      <c r="B21">
        <v>249</v>
      </c>
      <c r="C21" t="s">
        <v>3316</v>
      </c>
      <c r="D21" t="s">
        <v>1626</v>
      </c>
    </row>
    <row r="22" spans="1:4" x14ac:dyDescent="0.3">
      <c r="A22" t="s">
        <v>51</v>
      </c>
      <c r="B22">
        <v>114</v>
      </c>
      <c r="C22">
        <v>54</v>
      </c>
      <c r="D22" t="s">
        <v>1284</v>
      </c>
    </row>
    <row r="23" spans="1:4" x14ac:dyDescent="0.3">
      <c r="A23" t="s">
        <v>1011</v>
      </c>
      <c r="B23" t="s">
        <v>2240</v>
      </c>
      <c r="C23" t="s">
        <v>808</v>
      </c>
      <c r="D23" t="s">
        <v>3314</v>
      </c>
    </row>
    <row r="24" spans="1:4" x14ac:dyDescent="0.3">
      <c r="A24" t="s">
        <v>1288</v>
      </c>
      <c r="B24" t="s">
        <v>3320</v>
      </c>
      <c r="C24" t="s">
        <v>3321</v>
      </c>
      <c r="D24" t="s">
        <v>3566</v>
      </c>
    </row>
    <row r="25" spans="1:4" x14ac:dyDescent="0.3">
      <c r="A25" t="s">
        <v>1016</v>
      </c>
      <c r="B25" t="s">
        <v>3328</v>
      </c>
      <c r="C25" t="s">
        <v>3329</v>
      </c>
      <c r="D25" t="s">
        <v>3330</v>
      </c>
    </row>
    <row r="26" spans="1:4" x14ac:dyDescent="0.3">
      <c r="A26" t="s">
        <v>3567</v>
      </c>
      <c r="B26" t="s">
        <v>3568</v>
      </c>
      <c r="C26" t="s">
        <v>3316</v>
      </c>
      <c r="D26" t="s">
        <v>3316</v>
      </c>
    </row>
    <row r="27" spans="1:4" x14ac:dyDescent="0.3">
      <c r="A27" t="s">
        <v>3569</v>
      </c>
      <c r="B27" t="s">
        <v>3570</v>
      </c>
      <c r="C27" t="s">
        <v>3316</v>
      </c>
      <c r="D27" t="s">
        <v>3316</v>
      </c>
    </row>
    <row r="29" spans="1:4" x14ac:dyDescent="0.3">
      <c r="A29" t="s">
        <v>3345</v>
      </c>
      <c r="B29" t="s">
        <v>238</v>
      </c>
      <c r="C29" t="s">
        <v>1053</v>
      </c>
      <c r="D29" t="s">
        <v>248</v>
      </c>
    </row>
    <row r="30" spans="1:4" x14ac:dyDescent="0.3">
      <c r="A30" t="s">
        <v>3571</v>
      </c>
      <c r="B30" t="s">
        <v>3572</v>
      </c>
      <c r="C30" t="s">
        <v>3316</v>
      </c>
      <c r="D30" t="s">
        <v>3316</v>
      </c>
    </row>
    <row r="31" spans="1:4" x14ac:dyDescent="0.3">
      <c r="A31" t="s">
        <v>3573</v>
      </c>
      <c r="B31" t="s">
        <v>3574</v>
      </c>
      <c r="C31" t="s">
        <v>3316</v>
      </c>
      <c r="D31" t="s">
        <v>3363</v>
      </c>
    </row>
    <row r="32" spans="1:4" x14ac:dyDescent="0.3">
      <c r="A32" t="s">
        <v>3575</v>
      </c>
      <c r="B32" t="s">
        <v>3576</v>
      </c>
      <c r="C32" t="s">
        <v>3316</v>
      </c>
      <c r="D32" t="s">
        <v>3577</v>
      </c>
    </row>
    <row r="33" spans="1:4" x14ac:dyDescent="0.3">
      <c r="A33" t="s">
        <v>3578</v>
      </c>
      <c r="B33" t="s">
        <v>3579</v>
      </c>
      <c r="C33" t="s">
        <v>3580</v>
      </c>
      <c r="D33" t="s">
        <v>3581</v>
      </c>
    </row>
    <row r="34" spans="1:4" x14ac:dyDescent="0.3">
      <c r="A34" t="s">
        <v>3582</v>
      </c>
      <c r="B34" t="s">
        <v>3347</v>
      </c>
      <c r="C34" t="s">
        <v>3348</v>
      </c>
      <c r="D34" t="s">
        <v>3583</v>
      </c>
    </row>
    <row r="35" spans="1:4" x14ac:dyDescent="0.3">
      <c r="A35" t="s">
        <v>422</v>
      </c>
      <c r="B35" t="s">
        <v>3350</v>
      </c>
      <c r="C35" t="s">
        <v>3351</v>
      </c>
      <c r="D35" t="s">
        <v>3584</v>
      </c>
    </row>
    <row r="36" spans="1:4" x14ac:dyDescent="0.3">
      <c r="A36" t="s">
        <v>3585</v>
      </c>
      <c r="B36" t="s">
        <v>1289</v>
      </c>
      <c r="C36" t="s">
        <v>3316</v>
      </c>
      <c r="D36" t="s">
        <v>3586</v>
      </c>
    </row>
    <row r="37" spans="1:4" x14ac:dyDescent="0.3">
      <c r="A37" t="s">
        <v>3587</v>
      </c>
      <c r="B37" t="s">
        <v>2367</v>
      </c>
      <c r="C37" t="s">
        <v>3316</v>
      </c>
      <c r="D37" t="s">
        <v>3316</v>
      </c>
    </row>
    <row r="39" spans="1:4" x14ac:dyDescent="0.3">
      <c r="A39" t="s">
        <v>273</v>
      </c>
      <c r="B39" t="s">
        <v>238</v>
      </c>
      <c r="C39" t="s">
        <v>274</v>
      </c>
    </row>
    <row r="40" spans="1:4" x14ac:dyDescent="0.3">
      <c r="A40" t="s">
        <v>3588</v>
      </c>
      <c r="B40" t="s">
        <v>3316</v>
      </c>
      <c r="C40" t="s">
        <v>3316</v>
      </c>
    </row>
    <row r="42" spans="1:4" x14ac:dyDescent="0.3">
      <c r="A42" s="25" t="s">
        <v>281</v>
      </c>
      <c r="B42" s="25"/>
      <c r="C42" s="25"/>
      <c r="D42" s="25"/>
    </row>
    <row r="43" spans="1:4" x14ac:dyDescent="0.3">
      <c r="A43" t="s">
        <v>3589</v>
      </c>
    </row>
    <row r="44" spans="1:4" x14ac:dyDescent="0.3">
      <c r="A44" t="s">
        <v>3590</v>
      </c>
    </row>
    <row r="45" spans="1:4" x14ac:dyDescent="0.3">
      <c r="A45" t="s">
        <v>3591</v>
      </c>
    </row>
    <row r="46" spans="1:4" x14ac:dyDescent="0.3">
      <c r="A46" t="s">
        <v>3592</v>
      </c>
    </row>
    <row r="47" spans="1:4" x14ac:dyDescent="0.3">
      <c r="A47" t="s">
        <v>3593</v>
      </c>
    </row>
    <row r="48" spans="1:4" x14ac:dyDescent="0.3">
      <c r="A48" t="s">
        <v>3594</v>
      </c>
    </row>
    <row r="49" spans="1:4" x14ac:dyDescent="0.3">
      <c r="A49" t="s">
        <v>3595</v>
      </c>
    </row>
    <row r="50" spans="1:4" x14ac:dyDescent="0.3">
      <c r="A50" t="s">
        <v>3596</v>
      </c>
    </row>
    <row r="51" spans="1:4" x14ac:dyDescent="0.3">
      <c r="A51" t="s">
        <v>3597</v>
      </c>
    </row>
    <row r="52" spans="1:4" x14ac:dyDescent="0.3">
      <c r="A52" t="s">
        <v>3598</v>
      </c>
    </row>
    <row r="53" spans="1:4" x14ac:dyDescent="0.3">
      <c r="A53" t="s">
        <v>3599</v>
      </c>
    </row>
    <row r="54" spans="1:4" x14ac:dyDescent="0.3">
      <c r="A54" t="s">
        <v>3600</v>
      </c>
    </row>
    <row r="55" spans="1:4" x14ac:dyDescent="0.3">
      <c r="A55" t="s">
        <v>3601</v>
      </c>
    </row>
    <row r="56" spans="1:4" x14ac:dyDescent="0.3">
      <c r="A56" t="s">
        <v>3602</v>
      </c>
    </row>
    <row r="58" spans="1:4" x14ac:dyDescent="0.3">
      <c r="A58" s="25" t="s">
        <v>295</v>
      </c>
      <c r="B58" s="25"/>
      <c r="C58" s="25"/>
      <c r="D58" s="25"/>
    </row>
    <row r="59" spans="1:4" x14ac:dyDescent="0.3">
      <c r="A59" t="s">
        <v>1269</v>
      </c>
      <c r="B59" t="s">
        <v>3603</v>
      </c>
      <c r="C59" t="s">
        <v>3316</v>
      </c>
    </row>
    <row r="60" spans="1:4" x14ac:dyDescent="0.3">
      <c r="A60" t="s">
        <v>1021</v>
      </c>
      <c r="B60" t="s">
        <v>3604</v>
      </c>
    </row>
  </sheetData>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D94"/>
  <sheetViews>
    <sheetView workbookViewId="0"/>
  </sheetViews>
  <sheetFormatPr defaultRowHeight="14.4" x14ac:dyDescent="0.3"/>
  <cols>
    <col min="1" max="1" width="46" customWidth="1"/>
    <col min="2" max="8" width="15" customWidth="1"/>
  </cols>
  <sheetData>
    <row r="1" spans="1:4" x14ac:dyDescent="0.3">
      <c r="A1" s="24" t="s">
        <v>181</v>
      </c>
      <c r="B1" t="s">
        <v>3605</v>
      </c>
    </row>
    <row r="2" spans="1:4" x14ac:dyDescent="0.3">
      <c r="A2" s="24" t="s">
        <v>183</v>
      </c>
      <c r="B2" t="s">
        <v>3606</v>
      </c>
    </row>
    <row r="4" spans="1:4" x14ac:dyDescent="0.3">
      <c r="A4" s="25" t="s">
        <v>185</v>
      </c>
      <c r="B4" s="25"/>
      <c r="C4" s="25"/>
      <c r="D4" s="25"/>
    </row>
    <row r="6" spans="1:4" x14ac:dyDescent="0.3">
      <c r="A6" t="s">
        <v>1039</v>
      </c>
      <c r="B6" t="s">
        <v>238</v>
      </c>
      <c r="C6" t="s">
        <v>1053</v>
      </c>
      <c r="D6" t="s">
        <v>1021</v>
      </c>
    </row>
    <row r="7" spans="1:4" x14ac:dyDescent="0.3">
      <c r="A7" t="s">
        <v>3423</v>
      </c>
      <c r="B7" t="s">
        <v>3607</v>
      </c>
      <c r="C7" t="s">
        <v>3316</v>
      </c>
      <c r="D7" t="s">
        <v>3608</v>
      </c>
    </row>
    <row r="8" spans="1:4" x14ac:dyDescent="0.3">
      <c r="A8" t="s">
        <v>3582</v>
      </c>
      <c r="B8" t="s">
        <v>1006</v>
      </c>
      <c r="C8" t="s">
        <v>3316</v>
      </c>
      <c r="D8" t="s">
        <v>3609</v>
      </c>
    </row>
    <row r="9" spans="1:4" x14ac:dyDescent="0.3">
      <c r="A9" t="s">
        <v>3610</v>
      </c>
      <c r="B9" t="s">
        <v>3611</v>
      </c>
      <c r="C9" t="s">
        <v>3316</v>
      </c>
      <c r="D9" t="s">
        <v>3612</v>
      </c>
    </row>
    <row r="10" spans="1:4" x14ac:dyDescent="0.3">
      <c r="A10" t="s">
        <v>3613</v>
      </c>
      <c r="B10" t="s">
        <v>3614</v>
      </c>
      <c r="C10" t="s">
        <v>3316</v>
      </c>
      <c r="D10" t="s">
        <v>3615</v>
      </c>
    </row>
    <row r="11" spans="1:4" x14ac:dyDescent="0.3">
      <c r="A11" t="s">
        <v>3616</v>
      </c>
      <c r="B11" t="s">
        <v>1245</v>
      </c>
      <c r="C11" t="s">
        <v>3316</v>
      </c>
      <c r="D11" t="s">
        <v>3617</v>
      </c>
    </row>
    <row r="12" spans="1:4" x14ac:dyDescent="0.3">
      <c r="A12" t="s">
        <v>3618</v>
      </c>
      <c r="B12" t="s">
        <v>3619</v>
      </c>
      <c r="C12" t="s">
        <v>3316</v>
      </c>
      <c r="D12" t="s">
        <v>3620</v>
      </c>
    </row>
    <row r="13" spans="1:4" x14ac:dyDescent="0.3">
      <c r="A13" t="s">
        <v>3621</v>
      </c>
      <c r="B13" t="s">
        <v>3622</v>
      </c>
      <c r="C13" t="s">
        <v>3316</v>
      </c>
      <c r="D13" t="s">
        <v>3623</v>
      </c>
    </row>
    <row r="14" spans="1:4" x14ac:dyDescent="0.3">
      <c r="A14" t="s">
        <v>3624</v>
      </c>
      <c r="B14" t="s">
        <v>3625</v>
      </c>
      <c r="C14" t="s">
        <v>3626</v>
      </c>
      <c r="D14" t="s">
        <v>3627</v>
      </c>
    </row>
    <row r="16" spans="1:4" x14ac:dyDescent="0.3">
      <c r="A16" t="s">
        <v>3438</v>
      </c>
      <c r="B16" t="s">
        <v>238</v>
      </c>
      <c r="C16" t="s">
        <v>1021</v>
      </c>
    </row>
    <row r="17" spans="1:3" x14ac:dyDescent="0.3">
      <c r="A17" t="s">
        <v>3628</v>
      </c>
      <c r="B17" t="s">
        <v>3629</v>
      </c>
      <c r="C17" t="s">
        <v>3630</v>
      </c>
    </row>
    <row r="18" spans="1:3" x14ac:dyDescent="0.3">
      <c r="A18" t="s">
        <v>3444</v>
      </c>
      <c r="B18" t="s">
        <v>1303</v>
      </c>
      <c r="C18" t="s">
        <v>3617</v>
      </c>
    </row>
    <row r="19" spans="1:3" x14ac:dyDescent="0.3">
      <c r="A19" t="s">
        <v>3446</v>
      </c>
      <c r="B19" t="s">
        <v>2482</v>
      </c>
      <c r="C19" t="s">
        <v>3631</v>
      </c>
    </row>
    <row r="20" spans="1:3" x14ac:dyDescent="0.3">
      <c r="A20" t="s">
        <v>3632</v>
      </c>
      <c r="B20" t="s">
        <v>3633</v>
      </c>
      <c r="C20" t="s">
        <v>3634</v>
      </c>
    </row>
    <row r="22" spans="1:3" x14ac:dyDescent="0.3">
      <c r="A22" t="s">
        <v>3635</v>
      </c>
      <c r="B22" t="s">
        <v>238</v>
      </c>
      <c r="C22" t="s">
        <v>1021</v>
      </c>
    </row>
    <row r="23" spans="1:3" x14ac:dyDescent="0.3">
      <c r="A23" t="s">
        <v>3636</v>
      </c>
      <c r="B23" t="s">
        <v>3637</v>
      </c>
      <c r="C23" t="s">
        <v>3452</v>
      </c>
    </row>
    <row r="24" spans="1:3" x14ac:dyDescent="0.3">
      <c r="A24" t="s">
        <v>3451</v>
      </c>
      <c r="B24" t="s">
        <v>2367</v>
      </c>
      <c r="C24" t="s">
        <v>3452</v>
      </c>
    </row>
    <row r="25" spans="1:3" x14ac:dyDescent="0.3">
      <c r="A25" t="s">
        <v>3638</v>
      </c>
      <c r="B25" t="s">
        <v>2240</v>
      </c>
      <c r="C25" t="s">
        <v>3452</v>
      </c>
    </row>
    <row r="26" spans="1:3" x14ac:dyDescent="0.3">
      <c r="A26" t="s">
        <v>3639</v>
      </c>
      <c r="B26" t="s">
        <v>3640</v>
      </c>
      <c r="C26" t="s">
        <v>3316</v>
      </c>
    </row>
    <row r="27" spans="1:3" x14ac:dyDescent="0.3">
      <c r="A27" t="s">
        <v>127</v>
      </c>
      <c r="B27" t="s">
        <v>3641</v>
      </c>
      <c r="C27" t="s">
        <v>3642</v>
      </c>
    </row>
    <row r="28" spans="1:3" x14ac:dyDescent="0.3">
      <c r="A28" t="s">
        <v>3643</v>
      </c>
      <c r="B28" t="s">
        <v>3644</v>
      </c>
      <c r="C28" t="s">
        <v>3645</v>
      </c>
    </row>
    <row r="30" spans="1:3" x14ac:dyDescent="0.3">
      <c r="A30" t="s">
        <v>273</v>
      </c>
      <c r="B30" t="s">
        <v>238</v>
      </c>
      <c r="C30" t="s">
        <v>274</v>
      </c>
    </row>
    <row r="31" spans="1:3" x14ac:dyDescent="0.3">
      <c r="A31" t="s">
        <v>3646</v>
      </c>
      <c r="B31" t="s">
        <v>3647</v>
      </c>
      <c r="C31" t="s">
        <v>3648</v>
      </c>
    </row>
    <row r="32" spans="1:3" x14ac:dyDescent="0.3">
      <c r="A32" t="s">
        <v>3649</v>
      </c>
      <c r="B32" t="s">
        <v>3650</v>
      </c>
      <c r="C32" t="s">
        <v>3651</v>
      </c>
    </row>
    <row r="33" spans="1:4" x14ac:dyDescent="0.3">
      <c r="A33" t="s">
        <v>3652</v>
      </c>
      <c r="B33" t="s">
        <v>3653</v>
      </c>
      <c r="C33" t="s">
        <v>3654</v>
      </c>
    </row>
    <row r="35" spans="1:4" x14ac:dyDescent="0.3">
      <c r="A35" s="25" t="s">
        <v>281</v>
      </c>
      <c r="B35" s="25"/>
      <c r="C35" s="25"/>
      <c r="D35" s="25"/>
    </row>
    <row r="36" spans="1:4" x14ac:dyDescent="0.3">
      <c r="A36" t="s">
        <v>3655</v>
      </c>
    </row>
    <row r="37" spans="1:4" x14ac:dyDescent="0.3">
      <c r="A37" t="s">
        <v>3656</v>
      </c>
    </row>
    <row r="38" spans="1:4" x14ac:dyDescent="0.3">
      <c r="A38" t="s">
        <v>3657</v>
      </c>
    </row>
    <row r="39" spans="1:4" x14ac:dyDescent="0.3">
      <c r="A39" t="s">
        <v>3658</v>
      </c>
    </row>
    <row r="40" spans="1:4" x14ac:dyDescent="0.3">
      <c r="A40" t="s">
        <v>3659</v>
      </c>
    </row>
    <row r="41" spans="1:4" x14ac:dyDescent="0.3">
      <c r="A41" t="s">
        <v>3660</v>
      </c>
    </row>
    <row r="42" spans="1:4" x14ac:dyDescent="0.3">
      <c r="A42" t="s">
        <v>3661</v>
      </c>
    </row>
    <row r="43" spans="1:4" x14ac:dyDescent="0.3">
      <c r="A43" t="s">
        <v>3662</v>
      </c>
    </row>
    <row r="44" spans="1:4" x14ac:dyDescent="0.3">
      <c r="A44" t="s">
        <v>3663</v>
      </c>
    </row>
    <row r="45" spans="1:4" x14ac:dyDescent="0.3">
      <c r="A45" t="s">
        <v>3664</v>
      </c>
    </row>
    <row r="46" spans="1:4" x14ac:dyDescent="0.3">
      <c r="A46" t="s">
        <v>3665</v>
      </c>
    </row>
    <row r="47" spans="1:4" x14ac:dyDescent="0.3">
      <c r="A47" t="s">
        <v>3666</v>
      </c>
    </row>
    <row r="48" spans="1:4" x14ac:dyDescent="0.3">
      <c r="A48" t="s">
        <v>3667</v>
      </c>
    </row>
    <row r="49" spans="1:4" x14ac:dyDescent="0.3">
      <c r="A49" t="s">
        <v>3668</v>
      </c>
    </row>
    <row r="50" spans="1:4" x14ac:dyDescent="0.3">
      <c r="A50" t="s">
        <v>3669</v>
      </c>
    </row>
    <row r="52" spans="1:4" x14ac:dyDescent="0.3">
      <c r="A52" s="25" t="s">
        <v>295</v>
      </c>
      <c r="B52" s="25"/>
      <c r="C52" s="25"/>
      <c r="D52" s="25"/>
    </row>
    <row r="53" spans="1:4" x14ac:dyDescent="0.3">
      <c r="A53" t="s">
        <v>296</v>
      </c>
      <c r="B53" t="s">
        <v>3670</v>
      </c>
      <c r="C53" t="s">
        <v>3671</v>
      </c>
    </row>
    <row r="54" spans="1:4" x14ac:dyDescent="0.3">
      <c r="A54" t="s">
        <v>299</v>
      </c>
      <c r="B54" t="s">
        <v>3672</v>
      </c>
    </row>
    <row r="55" spans="1:4" x14ac:dyDescent="0.3">
      <c r="A55" t="s">
        <v>301</v>
      </c>
      <c r="B55" t="s">
        <v>3673</v>
      </c>
    </row>
    <row r="56" spans="1:4" x14ac:dyDescent="0.3">
      <c r="A56" t="s">
        <v>303</v>
      </c>
      <c r="B56" t="s">
        <v>3674</v>
      </c>
      <c r="C56" t="s">
        <v>3671</v>
      </c>
    </row>
    <row r="57" spans="1:4" x14ac:dyDescent="0.3">
      <c r="A57" t="s">
        <v>299</v>
      </c>
      <c r="B57" t="s">
        <v>3675</v>
      </c>
    </row>
    <row r="58" spans="1:4" x14ac:dyDescent="0.3">
      <c r="A58" t="s">
        <v>301</v>
      </c>
      <c r="B58" t="s">
        <v>3676</v>
      </c>
    </row>
    <row r="59" spans="1:4" x14ac:dyDescent="0.3">
      <c r="A59" t="s">
        <v>307</v>
      </c>
      <c r="B59" t="s">
        <v>3677</v>
      </c>
      <c r="C59" t="s">
        <v>3671</v>
      </c>
    </row>
    <row r="60" spans="1:4" x14ac:dyDescent="0.3">
      <c r="A60" t="s">
        <v>299</v>
      </c>
      <c r="B60" t="s">
        <v>3678</v>
      </c>
    </row>
    <row r="61" spans="1:4" x14ac:dyDescent="0.3">
      <c r="A61" t="s">
        <v>301</v>
      </c>
      <c r="B61" t="s">
        <v>3679</v>
      </c>
    </row>
    <row r="62" spans="1:4" x14ac:dyDescent="0.3">
      <c r="A62" t="s">
        <v>311</v>
      </c>
      <c r="B62" t="s">
        <v>3680</v>
      </c>
      <c r="C62" t="s">
        <v>3671</v>
      </c>
    </row>
    <row r="63" spans="1:4" x14ac:dyDescent="0.3">
      <c r="A63" t="s">
        <v>299</v>
      </c>
      <c r="B63" t="s">
        <v>3681</v>
      </c>
    </row>
    <row r="64" spans="1:4" x14ac:dyDescent="0.3">
      <c r="A64" t="s">
        <v>301</v>
      </c>
      <c r="B64" t="s">
        <v>3682</v>
      </c>
    </row>
    <row r="65" spans="1:3" x14ac:dyDescent="0.3">
      <c r="A65" t="s">
        <v>316</v>
      </c>
      <c r="B65" t="s">
        <v>3683</v>
      </c>
      <c r="C65" t="s">
        <v>3671</v>
      </c>
    </row>
    <row r="66" spans="1:3" x14ac:dyDescent="0.3">
      <c r="A66" t="s">
        <v>299</v>
      </c>
      <c r="B66" t="s">
        <v>3684</v>
      </c>
    </row>
    <row r="67" spans="1:3" x14ac:dyDescent="0.3">
      <c r="A67" t="s">
        <v>301</v>
      </c>
      <c r="B67" t="s">
        <v>3685</v>
      </c>
    </row>
    <row r="68" spans="1:3" x14ac:dyDescent="0.3">
      <c r="A68" t="s">
        <v>320</v>
      </c>
      <c r="B68" t="s">
        <v>3686</v>
      </c>
      <c r="C68" t="s">
        <v>3671</v>
      </c>
    </row>
    <row r="69" spans="1:3" x14ac:dyDescent="0.3">
      <c r="A69" t="s">
        <v>299</v>
      </c>
      <c r="B69" t="s">
        <v>3687</v>
      </c>
    </row>
    <row r="70" spans="1:3" x14ac:dyDescent="0.3">
      <c r="A70" t="s">
        <v>301</v>
      </c>
      <c r="B70" t="s">
        <v>3688</v>
      </c>
    </row>
    <row r="71" spans="1:3" x14ac:dyDescent="0.3">
      <c r="A71" t="s">
        <v>324</v>
      </c>
      <c r="B71" t="s">
        <v>3689</v>
      </c>
      <c r="C71" t="s">
        <v>3671</v>
      </c>
    </row>
    <row r="72" spans="1:3" x14ac:dyDescent="0.3">
      <c r="A72" t="s">
        <v>299</v>
      </c>
      <c r="B72" t="s">
        <v>3690</v>
      </c>
    </row>
    <row r="73" spans="1:3" x14ac:dyDescent="0.3">
      <c r="A73" t="s">
        <v>301</v>
      </c>
      <c r="B73" t="s">
        <v>3691</v>
      </c>
    </row>
    <row r="74" spans="1:3" x14ac:dyDescent="0.3">
      <c r="A74" t="s">
        <v>328</v>
      </c>
      <c r="B74" t="s">
        <v>3692</v>
      </c>
      <c r="C74" t="s">
        <v>3671</v>
      </c>
    </row>
    <row r="75" spans="1:3" x14ac:dyDescent="0.3">
      <c r="A75" t="s">
        <v>299</v>
      </c>
      <c r="B75" t="s">
        <v>3693</v>
      </c>
    </row>
    <row r="76" spans="1:3" x14ac:dyDescent="0.3">
      <c r="A76" t="s">
        <v>301</v>
      </c>
      <c r="B76" t="s">
        <v>3694</v>
      </c>
    </row>
    <row r="77" spans="1:3" x14ac:dyDescent="0.3">
      <c r="A77" t="s">
        <v>333</v>
      </c>
      <c r="B77" t="s">
        <v>3695</v>
      </c>
      <c r="C77" t="s">
        <v>3671</v>
      </c>
    </row>
    <row r="78" spans="1:3" x14ac:dyDescent="0.3">
      <c r="A78" t="s">
        <v>299</v>
      </c>
      <c r="B78" t="s">
        <v>3696</v>
      </c>
    </row>
    <row r="79" spans="1:3" x14ac:dyDescent="0.3">
      <c r="A79" t="s">
        <v>301</v>
      </c>
      <c r="B79" t="s">
        <v>3697</v>
      </c>
    </row>
    <row r="80" spans="1:3" x14ac:dyDescent="0.3">
      <c r="A80" t="s">
        <v>337</v>
      </c>
      <c r="B80" t="s">
        <v>3698</v>
      </c>
      <c r="C80" t="s">
        <v>3671</v>
      </c>
    </row>
    <row r="81" spans="1:3" x14ac:dyDescent="0.3">
      <c r="A81" t="s">
        <v>299</v>
      </c>
      <c r="B81" t="s">
        <v>3699</v>
      </c>
    </row>
    <row r="82" spans="1:3" x14ac:dyDescent="0.3">
      <c r="A82" t="s">
        <v>301</v>
      </c>
      <c r="B82" t="s">
        <v>3700</v>
      </c>
    </row>
    <row r="83" spans="1:3" x14ac:dyDescent="0.3">
      <c r="A83" t="s">
        <v>341</v>
      </c>
      <c r="B83" t="s">
        <v>3701</v>
      </c>
      <c r="C83" t="s">
        <v>3671</v>
      </c>
    </row>
    <row r="84" spans="1:3" x14ac:dyDescent="0.3">
      <c r="A84" t="s">
        <v>299</v>
      </c>
      <c r="B84" t="s">
        <v>3702</v>
      </c>
    </row>
    <row r="85" spans="1:3" x14ac:dyDescent="0.3">
      <c r="A85" t="s">
        <v>301</v>
      </c>
      <c r="B85" t="s">
        <v>3703</v>
      </c>
    </row>
    <row r="86" spans="1:3" x14ac:dyDescent="0.3">
      <c r="A86" t="s">
        <v>346</v>
      </c>
      <c r="B86" t="s">
        <v>3704</v>
      </c>
      <c r="C86" t="s">
        <v>3671</v>
      </c>
    </row>
    <row r="87" spans="1:3" x14ac:dyDescent="0.3">
      <c r="A87" t="s">
        <v>299</v>
      </c>
      <c r="B87" t="s">
        <v>3705</v>
      </c>
    </row>
    <row r="88" spans="1:3" x14ac:dyDescent="0.3">
      <c r="A88" t="s">
        <v>301</v>
      </c>
      <c r="B88" t="s">
        <v>3706</v>
      </c>
    </row>
    <row r="89" spans="1:3" x14ac:dyDescent="0.3">
      <c r="A89" t="s">
        <v>1453</v>
      </c>
      <c r="B89" t="s">
        <v>3707</v>
      </c>
      <c r="C89" t="s">
        <v>3671</v>
      </c>
    </row>
    <row r="90" spans="1:3" x14ac:dyDescent="0.3">
      <c r="A90" t="s">
        <v>299</v>
      </c>
      <c r="B90" t="s">
        <v>3708</v>
      </c>
    </row>
    <row r="91" spans="1:3" x14ac:dyDescent="0.3">
      <c r="A91" t="s">
        <v>301</v>
      </c>
      <c r="B91" t="s">
        <v>3709</v>
      </c>
    </row>
    <row r="92" spans="1:3" x14ac:dyDescent="0.3">
      <c r="A92" t="s">
        <v>1457</v>
      </c>
      <c r="B92" t="s">
        <v>3710</v>
      </c>
      <c r="C92" t="s">
        <v>3671</v>
      </c>
    </row>
    <row r="93" spans="1:3" x14ac:dyDescent="0.3">
      <c r="A93" t="s">
        <v>299</v>
      </c>
      <c r="B93" t="s">
        <v>3711</v>
      </c>
    </row>
    <row r="94" spans="1:3" x14ac:dyDescent="0.3">
      <c r="A94" t="s">
        <v>301</v>
      </c>
      <c r="B94" t="s">
        <v>3712</v>
      </c>
    </row>
  </sheetData>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C79"/>
  <sheetViews>
    <sheetView workbookViewId="0"/>
  </sheetViews>
  <sheetFormatPr defaultRowHeight="14.4" x14ac:dyDescent="0.3"/>
  <cols>
    <col min="1" max="1" width="46" customWidth="1"/>
    <col min="2" max="8" width="15" customWidth="1"/>
  </cols>
  <sheetData>
    <row r="1" spans="1:3" x14ac:dyDescent="0.3">
      <c r="A1" s="24" t="s">
        <v>181</v>
      </c>
      <c r="B1" t="s">
        <v>3713</v>
      </c>
    </row>
    <row r="2" spans="1:3" x14ac:dyDescent="0.3">
      <c r="A2" s="24" t="s">
        <v>183</v>
      </c>
      <c r="B2" t="s">
        <v>3714</v>
      </c>
    </row>
    <row r="4" spans="1:3" x14ac:dyDescent="0.3">
      <c r="A4" s="25" t="s">
        <v>185</v>
      </c>
      <c r="B4" s="25"/>
      <c r="C4" s="25"/>
    </row>
    <row r="6" spans="1:3" x14ac:dyDescent="0.3">
      <c r="A6" t="s">
        <v>3715</v>
      </c>
      <c r="B6" t="s">
        <v>238</v>
      </c>
      <c r="C6" t="s">
        <v>1021</v>
      </c>
    </row>
    <row r="7" spans="1:3" x14ac:dyDescent="0.3">
      <c r="A7" t="s">
        <v>3628</v>
      </c>
      <c r="B7" t="s">
        <v>3716</v>
      </c>
      <c r="C7" t="s">
        <v>3717</v>
      </c>
    </row>
    <row r="8" spans="1:3" x14ac:dyDescent="0.3">
      <c r="A8" t="s">
        <v>3444</v>
      </c>
      <c r="B8" t="s">
        <v>3718</v>
      </c>
      <c r="C8" t="s">
        <v>3719</v>
      </c>
    </row>
    <row r="9" spans="1:3" x14ac:dyDescent="0.3">
      <c r="A9" t="s">
        <v>3446</v>
      </c>
      <c r="B9" t="s">
        <v>1884</v>
      </c>
      <c r="C9" t="s">
        <v>3720</v>
      </c>
    </row>
    <row r="10" spans="1:3" x14ac:dyDescent="0.3">
      <c r="A10" t="s">
        <v>3721</v>
      </c>
      <c r="B10" t="s">
        <v>3140</v>
      </c>
      <c r="C10" t="s">
        <v>3722</v>
      </c>
    </row>
    <row r="11" spans="1:3" x14ac:dyDescent="0.3">
      <c r="A11" t="s">
        <v>3723</v>
      </c>
      <c r="B11" t="s">
        <v>3724</v>
      </c>
      <c r="C11" t="s">
        <v>3725</v>
      </c>
    </row>
    <row r="12" spans="1:3" x14ac:dyDescent="0.3">
      <c r="A12" t="s">
        <v>3726</v>
      </c>
      <c r="B12" t="s">
        <v>2592</v>
      </c>
      <c r="C12" t="s">
        <v>3727</v>
      </c>
    </row>
    <row r="13" spans="1:3" x14ac:dyDescent="0.3">
      <c r="A13" t="s">
        <v>3453</v>
      </c>
      <c r="B13" t="s">
        <v>1245</v>
      </c>
      <c r="C13" t="s">
        <v>3728</v>
      </c>
    </row>
    <row r="14" spans="1:3" x14ac:dyDescent="0.3">
      <c r="A14" t="s">
        <v>3729</v>
      </c>
      <c r="B14" t="s">
        <v>3730</v>
      </c>
      <c r="C14" t="s">
        <v>3731</v>
      </c>
    </row>
    <row r="15" spans="1:3" x14ac:dyDescent="0.3">
      <c r="A15" t="s">
        <v>3732</v>
      </c>
      <c r="B15" t="s">
        <v>3733</v>
      </c>
      <c r="C15" t="s">
        <v>3734</v>
      </c>
    </row>
    <row r="16" spans="1:3" x14ac:dyDescent="0.3">
      <c r="A16" t="s">
        <v>3735</v>
      </c>
      <c r="B16" t="s">
        <v>3736</v>
      </c>
      <c r="C16" t="s">
        <v>3737</v>
      </c>
    </row>
    <row r="18" spans="1:3" x14ac:dyDescent="0.3">
      <c r="A18" t="s">
        <v>3738</v>
      </c>
      <c r="B18" t="s">
        <v>238</v>
      </c>
      <c r="C18" t="s">
        <v>1021</v>
      </c>
    </row>
    <row r="19" spans="1:3" x14ac:dyDescent="0.3">
      <c r="A19" t="s">
        <v>3451</v>
      </c>
      <c r="B19" t="s">
        <v>2367</v>
      </c>
      <c r="C19" t="s">
        <v>3452</v>
      </c>
    </row>
    <row r="20" spans="1:3" x14ac:dyDescent="0.3">
      <c r="A20" t="s">
        <v>3638</v>
      </c>
      <c r="B20" t="s">
        <v>639</v>
      </c>
      <c r="C20" t="s">
        <v>3452</v>
      </c>
    </row>
    <row r="21" spans="1:3" x14ac:dyDescent="0.3">
      <c r="A21" t="s">
        <v>3636</v>
      </c>
      <c r="B21" t="s">
        <v>1289</v>
      </c>
      <c r="C21" t="s">
        <v>3739</v>
      </c>
    </row>
    <row r="22" spans="1:3" x14ac:dyDescent="0.3">
      <c r="A22" t="s">
        <v>3740</v>
      </c>
      <c r="B22" t="s">
        <v>3741</v>
      </c>
      <c r="C22" t="s">
        <v>3742</v>
      </c>
    </row>
    <row r="23" spans="1:3" x14ac:dyDescent="0.3">
      <c r="A23" t="s">
        <v>3743</v>
      </c>
      <c r="B23" t="s">
        <v>3744</v>
      </c>
      <c r="C23" t="s">
        <v>3745</v>
      </c>
    </row>
    <row r="25" spans="1:3" x14ac:dyDescent="0.3">
      <c r="A25" t="s">
        <v>273</v>
      </c>
      <c r="B25" t="s">
        <v>238</v>
      </c>
      <c r="C25" t="s">
        <v>274</v>
      </c>
    </row>
    <row r="26" spans="1:3" x14ac:dyDescent="0.3">
      <c r="A26" t="s">
        <v>3746</v>
      </c>
      <c r="B26" t="s">
        <v>2407</v>
      </c>
      <c r="C26" t="s">
        <v>3747</v>
      </c>
    </row>
    <row r="27" spans="1:3" x14ac:dyDescent="0.3">
      <c r="A27" t="s">
        <v>3748</v>
      </c>
      <c r="B27" t="s">
        <v>3749</v>
      </c>
      <c r="C27" t="s">
        <v>3750</v>
      </c>
    </row>
    <row r="29" spans="1:3" x14ac:dyDescent="0.3">
      <c r="A29" s="25" t="s">
        <v>281</v>
      </c>
      <c r="B29" s="25"/>
      <c r="C29" s="25"/>
    </row>
    <row r="30" spans="1:3" x14ac:dyDescent="0.3">
      <c r="A30" t="s">
        <v>3751</v>
      </c>
    </row>
    <row r="31" spans="1:3" x14ac:dyDescent="0.3">
      <c r="A31" t="s">
        <v>3752</v>
      </c>
    </row>
    <row r="32" spans="1:3" x14ac:dyDescent="0.3">
      <c r="A32" t="s">
        <v>3753</v>
      </c>
    </row>
    <row r="33" spans="1:3" x14ac:dyDescent="0.3">
      <c r="A33" t="s">
        <v>3754</v>
      </c>
    </row>
    <row r="34" spans="1:3" x14ac:dyDescent="0.3">
      <c r="A34" t="s">
        <v>3755</v>
      </c>
    </row>
    <row r="35" spans="1:3" x14ac:dyDescent="0.3">
      <c r="A35" t="s">
        <v>3756</v>
      </c>
    </row>
    <row r="36" spans="1:3" x14ac:dyDescent="0.3">
      <c r="A36" t="s">
        <v>3757</v>
      </c>
    </row>
    <row r="37" spans="1:3" x14ac:dyDescent="0.3">
      <c r="A37" t="s">
        <v>3758</v>
      </c>
    </row>
    <row r="38" spans="1:3" x14ac:dyDescent="0.3">
      <c r="A38" t="s">
        <v>3759</v>
      </c>
    </row>
    <row r="39" spans="1:3" x14ac:dyDescent="0.3">
      <c r="A39" t="s">
        <v>3760</v>
      </c>
    </row>
    <row r="40" spans="1:3" x14ac:dyDescent="0.3">
      <c r="A40" t="s">
        <v>3761</v>
      </c>
    </row>
    <row r="41" spans="1:3" x14ac:dyDescent="0.3">
      <c r="A41" t="s">
        <v>3762</v>
      </c>
    </row>
    <row r="42" spans="1:3" x14ac:dyDescent="0.3">
      <c r="A42" t="s">
        <v>3763</v>
      </c>
    </row>
    <row r="43" spans="1:3" x14ac:dyDescent="0.3">
      <c r="A43" t="s">
        <v>3764</v>
      </c>
    </row>
    <row r="44" spans="1:3" x14ac:dyDescent="0.3">
      <c r="A44" t="s">
        <v>3765</v>
      </c>
    </row>
    <row r="46" spans="1:3" x14ac:dyDescent="0.3">
      <c r="A46" s="25" t="s">
        <v>295</v>
      </c>
      <c r="B46" s="25"/>
      <c r="C46" s="25"/>
    </row>
    <row r="47" spans="1:3" x14ac:dyDescent="0.3">
      <c r="A47" t="s">
        <v>296</v>
      </c>
      <c r="B47" t="s">
        <v>3766</v>
      </c>
      <c r="C47" t="s">
        <v>3767</v>
      </c>
    </row>
    <row r="48" spans="1:3" x14ac:dyDescent="0.3">
      <c r="A48" t="s">
        <v>299</v>
      </c>
      <c r="B48" t="s">
        <v>3768</v>
      </c>
    </row>
    <row r="49" spans="1:3" x14ac:dyDescent="0.3">
      <c r="A49" t="s">
        <v>301</v>
      </c>
      <c r="B49" t="s">
        <v>3769</v>
      </c>
    </row>
    <row r="50" spans="1:3" x14ac:dyDescent="0.3">
      <c r="A50" t="s">
        <v>303</v>
      </c>
      <c r="B50" t="s">
        <v>3770</v>
      </c>
      <c r="C50" t="s">
        <v>3767</v>
      </c>
    </row>
    <row r="51" spans="1:3" x14ac:dyDescent="0.3">
      <c r="A51" t="s">
        <v>299</v>
      </c>
      <c r="B51" t="s">
        <v>3771</v>
      </c>
    </row>
    <row r="52" spans="1:3" x14ac:dyDescent="0.3">
      <c r="A52" t="s">
        <v>301</v>
      </c>
      <c r="B52" t="s">
        <v>3772</v>
      </c>
    </row>
    <row r="53" spans="1:3" x14ac:dyDescent="0.3">
      <c r="A53" t="s">
        <v>307</v>
      </c>
      <c r="B53" t="s">
        <v>2566</v>
      </c>
      <c r="C53" t="s">
        <v>3767</v>
      </c>
    </row>
    <row r="54" spans="1:3" x14ac:dyDescent="0.3">
      <c r="A54" t="s">
        <v>299</v>
      </c>
      <c r="B54" t="s">
        <v>3773</v>
      </c>
    </row>
    <row r="55" spans="1:3" x14ac:dyDescent="0.3">
      <c r="A55" t="s">
        <v>301</v>
      </c>
      <c r="B55" t="s">
        <v>3774</v>
      </c>
    </row>
    <row r="56" spans="1:3" x14ac:dyDescent="0.3">
      <c r="A56" t="s">
        <v>311</v>
      </c>
      <c r="B56" t="s">
        <v>3775</v>
      </c>
      <c r="C56" t="s">
        <v>3767</v>
      </c>
    </row>
    <row r="57" spans="1:3" x14ac:dyDescent="0.3">
      <c r="A57" t="s">
        <v>299</v>
      </c>
      <c r="B57" t="s">
        <v>3776</v>
      </c>
    </row>
    <row r="58" spans="1:3" x14ac:dyDescent="0.3">
      <c r="A58" t="s">
        <v>301</v>
      </c>
      <c r="B58" t="s">
        <v>3777</v>
      </c>
    </row>
    <row r="59" spans="1:3" x14ac:dyDescent="0.3">
      <c r="A59" t="s">
        <v>316</v>
      </c>
      <c r="B59" t="s">
        <v>3778</v>
      </c>
      <c r="C59" t="s">
        <v>3767</v>
      </c>
    </row>
    <row r="60" spans="1:3" x14ac:dyDescent="0.3">
      <c r="A60" t="s">
        <v>299</v>
      </c>
      <c r="B60" t="s">
        <v>3779</v>
      </c>
    </row>
    <row r="61" spans="1:3" x14ac:dyDescent="0.3">
      <c r="A61" t="s">
        <v>301</v>
      </c>
      <c r="B61" t="s">
        <v>3780</v>
      </c>
    </row>
    <row r="62" spans="1:3" x14ac:dyDescent="0.3">
      <c r="A62" t="s">
        <v>320</v>
      </c>
      <c r="B62" t="s">
        <v>3781</v>
      </c>
      <c r="C62" t="s">
        <v>3767</v>
      </c>
    </row>
    <row r="63" spans="1:3" x14ac:dyDescent="0.3">
      <c r="A63" t="s">
        <v>299</v>
      </c>
      <c r="B63" t="s">
        <v>3782</v>
      </c>
    </row>
    <row r="64" spans="1:3" x14ac:dyDescent="0.3">
      <c r="A64" t="s">
        <v>301</v>
      </c>
      <c r="B64" t="s">
        <v>3783</v>
      </c>
    </row>
    <row r="65" spans="1:3" x14ac:dyDescent="0.3">
      <c r="A65" t="s">
        <v>324</v>
      </c>
      <c r="B65" t="s">
        <v>3784</v>
      </c>
      <c r="C65" t="s">
        <v>3767</v>
      </c>
    </row>
    <row r="66" spans="1:3" x14ac:dyDescent="0.3">
      <c r="A66" t="s">
        <v>299</v>
      </c>
      <c r="B66" t="s">
        <v>3785</v>
      </c>
    </row>
    <row r="67" spans="1:3" x14ac:dyDescent="0.3">
      <c r="A67" t="s">
        <v>301</v>
      </c>
      <c r="B67" t="s">
        <v>3786</v>
      </c>
    </row>
    <row r="68" spans="1:3" x14ac:dyDescent="0.3">
      <c r="A68" t="s">
        <v>328</v>
      </c>
      <c r="B68" t="s">
        <v>3787</v>
      </c>
      <c r="C68" t="s">
        <v>3767</v>
      </c>
    </row>
    <row r="69" spans="1:3" x14ac:dyDescent="0.3">
      <c r="A69" t="s">
        <v>299</v>
      </c>
      <c r="B69" t="s">
        <v>3788</v>
      </c>
    </row>
    <row r="70" spans="1:3" x14ac:dyDescent="0.3">
      <c r="A70" t="s">
        <v>301</v>
      </c>
      <c r="B70" t="s">
        <v>3789</v>
      </c>
    </row>
    <row r="71" spans="1:3" x14ac:dyDescent="0.3">
      <c r="A71" t="s">
        <v>333</v>
      </c>
      <c r="B71" t="s">
        <v>3790</v>
      </c>
      <c r="C71" t="s">
        <v>3767</v>
      </c>
    </row>
    <row r="72" spans="1:3" x14ac:dyDescent="0.3">
      <c r="A72" t="s">
        <v>299</v>
      </c>
      <c r="B72" t="s">
        <v>3791</v>
      </c>
    </row>
    <row r="73" spans="1:3" x14ac:dyDescent="0.3">
      <c r="A73" t="s">
        <v>301</v>
      </c>
      <c r="B73" t="s">
        <v>3792</v>
      </c>
    </row>
    <row r="74" spans="1:3" x14ac:dyDescent="0.3">
      <c r="A74" t="s">
        <v>337</v>
      </c>
      <c r="B74" t="s">
        <v>3793</v>
      </c>
      <c r="C74" t="s">
        <v>3767</v>
      </c>
    </row>
    <row r="75" spans="1:3" x14ac:dyDescent="0.3">
      <c r="A75" t="s">
        <v>299</v>
      </c>
      <c r="B75" t="s">
        <v>3794</v>
      </c>
    </row>
    <row r="76" spans="1:3" x14ac:dyDescent="0.3">
      <c r="A76" t="s">
        <v>301</v>
      </c>
      <c r="B76" t="s">
        <v>3795</v>
      </c>
    </row>
    <row r="77" spans="1:3" x14ac:dyDescent="0.3">
      <c r="A77" t="s">
        <v>341</v>
      </c>
      <c r="B77" t="s">
        <v>3796</v>
      </c>
      <c r="C77" t="s">
        <v>3767</v>
      </c>
    </row>
    <row r="78" spans="1:3" x14ac:dyDescent="0.3">
      <c r="A78" t="s">
        <v>299</v>
      </c>
      <c r="B78" t="s">
        <v>3797</v>
      </c>
    </row>
    <row r="79" spans="1:3" x14ac:dyDescent="0.3">
      <c r="A79" t="s">
        <v>301</v>
      </c>
      <c r="B79" t="s">
        <v>3798</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D109"/>
  <sheetViews>
    <sheetView workbookViewId="0"/>
  </sheetViews>
  <sheetFormatPr defaultRowHeight="14.4" x14ac:dyDescent="0.3"/>
  <cols>
    <col min="1" max="1" width="46" customWidth="1"/>
    <col min="2" max="8" width="15" customWidth="1"/>
  </cols>
  <sheetData>
    <row r="1" spans="1:4" x14ac:dyDescent="0.3">
      <c r="A1" s="24" t="s">
        <v>181</v>
      </c>
      <c r="B1" t="s">
        <v>3799</v>
      </c>
    </row>
    <row r="2" spans="1:4" x14ac:dyDescent="0.3">
      <c r="A2" s="24" t="s">
        <v>183</v>
      </c>
      <c r="B2" t="s">
        <v>3800</v>
      </c>
    </row>
    <row r="4" spans="1:4" x14ac:dyDescent="0.3">
      <c r="A4" s="25" t="s">
        <v>185</v>
      </c>
      <c r="B4" s="25"/>
      <c r="C4" s="25"/>
      <c r="D4" s="25"/>
    </row>
    <row r="5" spans="1:4" x14ac:dyDescent="0.3">
      <c r="A5" t="s">
        <v>3552</v>
      </c>
      <c r="B5" t="s">
        <v>28</v>
      </c>
      <c r="C5" t="s">
        <v>23</v>
      </c>
      <c r="D5" t="s">
        <v>189</v>
      </c>
    </row>
    <row r="6" spans="1:4" x14ac:dyDescent="0.3">
      <c r="A6" t="s">
        <v>45</v>
      </c>
      <c r="B6" t="s">
        <v>3801</v>
      </c>
      <c r="C6" t="s">
        <v>3802</v>
      </c>
      <c r="D6" t="s">
        <v>3803</v>
      </c>
    </row>
    <row r="7" spans="1:4" x14ac:dyDescent="0.3">
      <c r="A7" t="s">
        <v>46</v>
      </c>
      <c r="B7" t="s">
        <v>3804</v>
      </c>
      <c r="C7" t="s">
        <v>3805</v>
      </c>
      <c r="D7" t="s">
        <v>3806</v>
      </c>
    </row>
    <row r="8" spans="1:4" x14ac:dyDescent="0.3">
      <c r="A8" t="s">
        <v>47</v>
      </c>
      <c r="B8" t="s">
        <v>3807</v>
      </c>
      <c r="C8" t="s">
        <v>3808</v>
      </c>
      <c r="D8" t="s">
        <v>3809</v>
      </c>
    </row>
    <row r="10" spans="1:4" x14ac:dyDescent="0.3">
      <c r="A10" t="s">
        <v>3810</v>
      </c>
      <c r="B10" t="s">
        <v>28</v>
      </c>
      <c r="C10" t="s">
        <v>23</v>
      </c>
      <c r="D10" t="s">
        <v>189</v>
      </c>
    </row>
    <row r="11" spans="1:4" x14ac:dyDescent="0.3">
      <c r="A11" t="s">
        <v>91</v>
      </c>
      <c r="B11" t="s">
        <v>3811</v>
      </c>
      <c r="C11" t="s">
        <v>3812</v>
      </c>
      <c r="D11" t="s">
        <v>3813</v>
      </c>
    </row>
    <row r="12" spans="1:4" x14ac:dyDescent="0.3">
      <c r="A12" t="s">
        <v>3195</v>
      </c>
      <c r="B12" t="s">
        <v>3814</v>
      </c>
      <c r="C12" t="s">
        <v>3815</v>
      </c>
      <c r="D12" t="s">
        <v>3816</v>
      </c>
    </row>
    <row r="14" spans="1:4" x14ac:dyDescent="0.3">
      <c r="A14" t="s">
        <v>3817</v>
      </c>
      <c r="B14" t="s">
        <v>29</v>
      </c>
      <c r="C14" t="s">
        <v>3818</v>
      </c>
      <c r="D14" t="s">
        <v>189</v>
      </c>
    </row>
    <row r="15" spans="1:4" x14ac:dyDescent="0.3">
      <c r="A15" t="s">
        <v>3819</v>
      </c>
      <c r="B15" t="s">
        <v>3820</v>
      </c>
      <c r="C15" t="s">
        <v>3821</v>
      </c>
      <c r="D15" t="s">
        <v>3822</v>
      </c>
    </row>
    <row r="16" spans="1:4" x14ac:dyDescent="0.3">
      <c r="A16" t="s">
        <v>3823</v>
      </c>
      <c r="B16" t="s">
        <v>3824</v>
      </c>
      <c r="C16" t="s">
        <v>1034</v>
      </c>
      <c r="D16" t="s">
        <v>3816</v>
      </c>
    </row>
    <row r="17" spans="1:4" x14ac:dyDescent="0.3">
      <c r="A17" t="s">
        <v>3825</v>
      </c>
      <c r="B17" t="s">
        <v>3826</v>
      </c>
      <c r="C17" t="s">
        <v>1034</v>
      </c>
      <c r="D17" t="s">
        <v>1798</v>
      </c>
    </row>
    <row r="18" spans="1:4" x14ac:dyDescent="0.3">
      <c r="A18" t="s">
        <v>3827</v>
      </c>
      <c r="B18" t="s">
        <v>3828</v>
      </c>
      <c r="C18" t="s">
        <v>3829</v>
      </c>
      <c r="D18" t="s">
        <v>3830</v>
      </c>
    </row>
    <row r="19" spans="1:4" x14ac:dyDescent="0.3">
      <c r="A19" t="s">
        <v>3831</v>
      </c>
      <c r="B19" t="s">
        <v>3832</v>
      </c>
      <c r="C19" t="s">
        <v>3833</v>
      </c>
      <c r="D19" t="s">
        <v>3834</v>
      </c>
    </row>
    <row r="20" spans="1:4" x14ac:dyDescent="0.3">
      <c r="A20" t="s">
        <v>3835</v>
      </c>
      <c r="B20" t="s">
        <v>3836</v>
      </c>
      <c r="C20" t="s">
        <v>3837</v>
      </c>
      <c r="D20" t="s">
        <v>3838</v>
      </c>
    </row>
    <row r="22" spans="1:4" x14ac:dyDescent="0.3">
      <c r="A22" t="s">
        <v>3312</v>
      </c>
      <c r="B22" t="s">
        <v>28</v>
      </c>
      <c r="C22" t="s">
        <v>23</v>
      </c>
      <c r="D22" t="s">
        <v>189</v>
      </c>
    </row>
    <row r="23" spans="1:4" x14ac:dyDescent="0.3">
      <c r="A23" t="s">
        <v>51</v>
      </c>
      <c r="B23" t="s">
        <v>3839</v>
      </c>
      <c r="C23" t="s">
        <v>3840</v>
      </c>
      <c r="D23" t="s">
        <v>3841</v>
      </c>
    </row>
    <row r="24" spans="1:4" x14ac:dyDescent="0.3">
      <c r="A24" t="s">
        <v>52</v>
      </c>
      <c r="B24" t="s">
        <v>3085</v>
      </c>
      <c r="C24" t="s">
        <v>2976</v>
      </c>
      <c r="D24" t="s">
        <v>3842</v>
      </c>
    </row>
    <row r="25" spans="1:4" x14ac:dyDescent="0.3">
      <c r="A25" t="s">
        <v>3843</v>
      </c>
      <c r="B25" t="s">
        <v>3844</v>
      </c>
      <c r="C25" t="s">
        <v>1034</v>
      </c>
      <c r="D25" t="s">
        <v>1034</v>
      </c>
    </row>
    <row r="26" spans="1:4" x14ac:dyDescent="0.3">
      <c r="A26" t="s">
        <v>3845</v>
      </c>
      <c r="B26" t="s">
        <v>3846</v>
      </c>
      <c r="C26" t="s">
        <v>1034</v>
      </c>
      <c r="D26" t="s">
        <v>3847</v>
      </c>
    </row>
    <row r="28" spans="1:4" x14ac:dyDescent="0.3">
      <c r="A28" t="s">
        <v>3848</v>
      </c>
      <c r="B28" t="s">
        <v>28</v>
      </c>
      <c r="C28" t="s">
        <v>23</v>
      </c>
      <c r="D28" t="s">
        <v>189</v>
      </c>
    </row>
    <row r="29" spans="1:4" x14ac:dyDescent="0.3">
      <c r="A29" t="s">
        <v>3849</v>
      </c>
      <c r="B29" t="s">
        <v>3850</v>
      </c>
      <c r="C29" t="s">
        <v>3851</v>
      </c>
      <c r="D29" t="s">
        <v>3852</v>
      </c>
    </row>
    <row r="30" spans="1:4" x14ac:dyDescent="0.3">
      <c r="A30" t="s">
        <v>3853</v>
      </c>
      <c r="B30" t="s">
        <v>3854</v>
      </c>
      <c r="C30" t="s">
        <v>3855</v>
      </c>
      <c r="D30" t="s">
        <v>3856</v>
      </c>
    </row>
    <row r="31" spans="1:4" x14ac:dyDescent="0.3">
      <c r="A31" t="s">
        <v>3857</v>
      </c>
      <c r="B31" t="s">
        <v>3858</v>
      </c>
      <c r="C31" t="s">
        <v>3859</v>
      </c>
      <c r="D31" t="s">
        <v>3860</v>
      </c>
    </row>
    <row r="32" spans="1:4" x14ac:dyDescent="0.3">
      <c r="A32" t="s">
        <v>3861</v>
      </c>
      <c r="B32" t="s">
        <v>3134</v>
      </c>
      <c r="C32" t="s">
        <v>361</v>
      </c>
      <c r="D32" t="s">
        <v>3862</v>
      </c>
    </row>
    <row r="34" spans="1:4" x14ac:dyDescent="0.3">
      <c r="A34" t="s">
        <v>3863</v>
      </c>
      <c r="B34" t="s">
        <v>188</v>
      </c>
      <c r="C34" t="s">
        <v>3864</v>
      </c>
      <c r="D34" t="s">
        <v>204</v>
      </c>
    </row>
    <row r="35" spans="1:4" x14ac:dyDescent="0.3">
      <c r="A35" t="s">
        <v>3865</v>
      </c>
      <c r="B35" t="s">
        <v>3866</v>
      </c>
      <c r="C35" t="s">
        <v>3867</v>
      </c>
      <c r="D35" t="s">
        <v>3868</v>
      </c>
    </row>
    <row r="36" spans="1:4" x14ac:dyDescent="0.3">
      <c r="A36" t="s">
        <v>3869</v>
      </c>
      <c r="B36" t="s">
        <v>3870</v>
      </c>
      <c r="C36" t="s">
        <v>1034</v>
      </c>
      <c r="D36" t="s">
        <v>1034</v>
      </c>
    </row>
    <row r="37" spans="1:4" x14ac:dyDescent="0.3">
      <c r="A37" t="s">
        <v>136</v>
      </c>
      <c r="B37" t="s">
        <v>3871</v>
      </c>
      <c r="C37" t="s">
        <v>3872</v>
      </c>
      <c r="D37" t="s">
        <v>3873</v>
      </c>
    </row>
    <row r="38" spans="1:4" x14ac:dyDescent="0.3">
      <c r="A38" t="s">
        <v>422</v>
      </c>
      <c r="B38" t="s">
        <v>3874</v>
      </c>
      <c r="C38" t="s">
        <v>3875</v>
      </c>
      <c r="D38" t="s">
        <v>3876</v>
      </c>
    </row>
    <row r="39" spans="1:4" x14ac:dyDescent="0.3">
      <c r="A39" t="s">
        <v>3877</v>
      </c>
      <c r="B39" t="s">
        <v>3878</v>
      </c>
      <c r="C39" t="s">
        <v>1034</v>
      </c>
      <c r="D39" t="s">
        <v>1034</v>
      </c>
    </row>
    <row r="41" spans="1:4" x14ac:dyDescent="0.3">
      <c r="A41" t="s">
        <v>3879</v>
      </c>
      <c r="B41" t="s">
        <v>238</v>
      </c>
      <c r="C41" t="s">
        <v>274</v>
      </c>
    </row>
    <row r="42" spans="1:4" x14ac:dyDescent="0.3">
      <c r="A42" t="s">
        <v>3880</v>
      </c>
      <c r="B42" t="s">
        <v>3881</v>
      </c>
      <c r="C42" t="s">
        <v>3882</v>
      </c>
    </row>
    <row r="43" spans="1:4" x14ac:dyDescent="0.3">
      <c r="A43" t="s">
        <v>3337</v>
      </c>
      <c r="B43" t="s">
        <v>3883</v>
      </c>
      <c r="C43" t="s">
        <v>3882</v>
      </c>
    </row>
    <row r="44" spans="1:4" x14ac:dyDescent="0.3">
      <c r="A44" t="s">
        <v>3220</v>
      </c>
      <c r="B44" t="s">
        <v>3884</v>
      </c>
      <c r="C44" t="s">
        <v>3882</v>
      </c>
    </row>
    <row r="45" spans="1:4" x14ac:dyDescent="0.3">
      <c r="A45" t="s">
        <v>3885</v>
      </c>
      <c r="B45" t="s">
        <v>3886</v>
      </c>
      <c r="C45" t="s">
        <v>3887</v>
      </c>
    </row>
    <row r="46" spans="1:4" x14ac:dyDescent="0.3">
      <c r="A46" t="s">
        <v>3888</v>
      </c>
      <c r="B46" t="s">
        <v>3889</v>
      </c>
      <c r="C46" t="s">
        <v>28</v>
      </c>
    </row>
    <row r="47" spans="1:4" x14ac:dyDescent="0.3">
      <c r="A47" t="s">
        <v>3890</v>
      </c>
      <c r="B47" t="s">
        <v>3123</v>
      </c>
      <c r="C47" t="s">
        <v>28</v>
      </c>
    </row>
    <row r="48" spans="1:4" x14ac:dyDescent="0.3">
      <c r="A48" t="s">
        <v>3891</v>
      </c>
      <c r="B48" t="s">
        <v>3892</v>
      </c>
      <c r="C48" t="s">
        <v>28</v>
      </c>
    </row>
    <row r="49" spans="1:4" x14ac:dyDescent="0.3">
      <c r="A49" t="s">
        <v>271</v>
      </c>
      <c r="B49" t="s">
        <v>3893</v>
      </c>
      <c r="C49" t="s">
        <v>28</v>
      </c>
    </row>
    <row r="50" spans="1:4" x14ac:dyDescent="0.3">
      <c r="A50" t="s">
        <v>3894</v>
      </c>
      <c r="B50" t="s">
        <v>3895</v>
      </c>
      <c r="C50" t="s">
        <v>3896</v>
      </c>
    </row>
    <row r="52" spans="1:4" x14ac:dyDescent="0.3">
      <c r="A52" t="s">
        <v>3897</v>
      </c>
      <c r="B52" t="s">
        <v>238</v>
      </c>
    </row>
    <row r="53" spans="1:4" x14ac:dyDescent="0.3">
      <c r="A53" t="s">
        <v>3898</v>
      </c>
      <c r="B53" t="s">
        <v>3899</v>
      </c>
    </row>
    <row r="54" spans="1:4" x14ac:dyDescent="0.3">
      <c r="A54" t="s">
        <v>3900</v>
      </c>
      <c r="B54" t="s">
        <v>3901</v>
      </c>
    </row>
    <row r="56" spans="1:4" x14ac:dyDescent="0.3">
      <c r="A56" t="s">
        <v>273</v>
      </c>
      <c r="B56" t="s">
        <v>238</v>
      </c>
      <c r="C56" t="s">
        <v>274</v>
      </c>
    </row>
    <row r="57" spans="1:4" x14ac:dyDescent="0.3">
      <c r="A57" t="s">
        <v>3902</v>
      </c>
      <c r="B57" t="s">
        <v>3903</v>
      </c>
      <c r="C57" t="s">
        <v>3904</v>
      </c>
    </row>
    <row r="58" spans="1:4" x14ac:dyDescent="0.3">
      <c r="A58" t="s">
        <v>3853</v>
      </c>
      <c r="B58" t="s">
        <v>3905</v>
      </c>
      <c r="C58" t="s">
        <v>3904</v>
      </c>
    </row>
    <row r="59" spans="1:4" x14ac:dyDescent="0.3">
      <c r="A59" t="s">
        <v>3906</v>
      </c>
      <c r="B59" t="s">
        <v>3907</v>
      </c>
      <c r="C59" t="s">
        <v>3908</v>
      </c>
    </row>
    <row r="60" spans="1:4" x14ac:dyDescent="0.3">
      <c r="A60" t="s">
        <v>3909</v>
      </c>
      <c r="B60" t="s">
        <v>3910</v>
      </c>
      <c r="C60" t="s">
        <v>3911</v>
      </c>
    </row>
    <row r="61" spans="1:4" x14ac:dyDescent="0.3">
      <c r="A61" t="s">
        <v>3912</v>
      </c>
      <c r="B61" t="s">
        <v>3370</v>
      </c>
      <c r="C61" t="s">
        <v>2891</v>
      </c>
    </row>
    <row r="63" spans="1:4" x14ac:dyDescent="0.3">
      <c r="A63" s="25" t="s">
        <v>281</v>
      </c>
      <c r="B63" s="25"/>
      <c r="C63" s="25"/>
      <c r="D63" s="25"/>
    </row>
    <row r="64" spans="1:4" x14ac:dyDescent="0.3">
      <c r="A64" t="s">
        <v>3913</v>
      </c>
    </row>
    <row r="65" spans="1:1" x14ac:dyDescent="0.3">
      <c r="A65" t="s">
        <v>3914</v>
      </c>
    </row>
    <row r="66" spans="1:1" x14ac:dyDescent="0.3">
      <c r="A66" t="s">
        <v>3915</v>
      </c>
    </row>
    <row r="67" spans="1:1" x14ac:dyDescent="0.3">
      <c r="A67" t="s">
        <v>3916</v>
      </c>
    </row>
    <row r="68" spans="1:1" x14ac:dyDescent="0.3">
      <c r="A68" t="s">
        <v>3917</v>
      </c>
    </row>
    <row r="69" spans="1:1" x14ac:dyDescent="0.3">
      <c r="A69" t="s">
        <v>3918</v>
      </c>
    </row>
    <row r="70" spans="1:1" x14ac:dyDescent="0.3">
      <c r="A70" t="s">
        <v>3919</v>
      </c>
    </row>
    <row r="71" spans="1:1" x14ac:dyDescent="0.3">
      <c r="A71" t="s">
        <v>3920</v>
      </c>
    </row>
    <row r="72" spans="1:1" x14ac:dyDescent="0.3">
      <c r="A72" t="s">
        <v>3921</v>
      </c>
    </row>
    <row r="73" spans="1:1" x14ac:dyDescent="0.3">
      <c r="A73" t="s">
        <v>3922</v>
      </c>
    </row>
    <row r="74" spans="1:1" x14ac:dyDescent="0.3">
      <c r="A74" t="s">
        <v>3923</v>
      </c>
    </row>
    <row r="75" spans="1:1" x14ac:dyDescent="0.3">
      <c r="A75" t="s">
        <v>3924</v>
      </c>
    </row>
    <row r="76" spans="1:1" x14ac:dyDescent="0.3">
      <c r="A76" t="s">
        <v>3925</v>
      </c>
    </row>
    <row r="77" spans="1:1" x14ac:dyDescent="0.3">
      <c r="A77" t="s">
        <v>3926</v>
      </c>
    </row>
    <row r="78" spans="1:1" x14ac:dyDescent="0.3">
      <c r="A78" t="s">
        <v>3927</v>
      </c>
    </row>
    <row r="79" spans="1:1" x14ac:dyDescent="0.3">
      <c r="A79" t="s">
        <v>3928</v>
      </c>
    </row>
    <row r="80" spans="1:1" x14ac:dyDescent="0.3">
      <c r="A80" t="s">
        <v>3929</v>
      </c>
    </row>
    <row r="82" spans="1:4" x14ac:dyDescent="0.3">
      <c r="A82" s="25" t="s">
        <v>295</v>
      </c>
      <c r="B82" s="25"/>
      <c r="C82" s="25"/>
      <c r="D82" s="25"/>
    </row>
    <row r="83" spans="1:4" x14ac:dyDescent="0.3">
      <c r="A83" t="s">
        <v>296</v>
      </c>
      <c r="B83" t="s">
        <v>3930</v>
      </c>
      <c r="C83" t="s">
        <v>3931</v>
      </c>
    </row>
    <row r="84" spans="1:4" x14ac:dyDescent="0.3">
      <c r="A84" t="s">
        <v>299</v>
      </c>
      <c r="B84" t="s">
        <v>3932</v>
      </c>
    </row>
    <row r="85" spans="1:4" x14ac:dyDescent="0.3">
      <c r="A85" t="s">
        <v>301</v>
      </c>
      <c r="B85" t="s">
        <v>3933</v>
      </c>
    </row>
    <row r="86" spans="1:4" x14ac:dyDescent="0.3">
      <c r="A86" t="s">
        <v>303</v>
      </c>
      <c r="B86" t="s">
        <v>3934</v>
      </c>
      <c r="C86" t="s">
        <v>2314</v>
      </c>
    </row>
    <row r="87" spans="1:4" x14ac:dyDescent="0.3">
      <c r="A87" t="s">
        <v>299</v>
      </c>
      <c r="B87" t="s">
        <v>3935</v>
      </c>
    </row>
    <row r="88" spans="1:4" x14ac:dyDescent="0.3">
      <c r="A88" t="s">
        <v>301</v>
      </c>
      <c r="B88" t="s">
        <v>3936</v>
      </c>
    </row>
    <row r="89" spans="1:4" x14ac:dyDescent="0.3">
      <c r="A89" t="s">
        <v>307</v>
      </c>
      <c r="B89" t="s">
        <v>3937</v>
      </c>
      <c r="C89" t="s">
        <v>3938</v>
      </c>
    </row>
    <row r="90" spans="1:4" x14ac:dyDescent="0.3">
      <c r="A90" t="s">
        <v>299</v>
      </c>
      <c r="B90" t="s">
        <v>3939</v>
      </c>
    </row>
    <row r="91" spans="1:4" x14ac:dyDescent="0.3">
      <c r="A91" t="s">
        <v>301</v>
      </c>
      <c r="B91" t="s">
        <v>3940</v>
      </c>
    </row>
    <row r="92" spans="1:4" x14ac:dyDescent="0.3">
      <c r="A92" t="s">
        <v>311</v>
      </c>
      <c r="B92" t="s">
        <v>3941</v>
      </c>
      <c r="C92" t="s">
        <v>1192</v>
      </c>
    </row>
    <row r="93" spans="1:4" x14ac:dyDescent="0.3">
      <c r="A93" t="s">
        <v>299</v>
      </c>
      <c r="B93" t="s">
        <v>3942</v>
      </c>
    </row>
    <row r="94" spans="1:4" x14ac:dyDescent="0.3">
      <c r="A94" t="s">
        <v>301</v>
      </c>
      <c r="B94" t="s">
        <v>3943</v>
      </c>
    </row>
    <row r="95" spans="1:4" x14ac:dyDescent="0.3">
      <c r="A95" t="s">
        <v>316</v>
      </c>
      <c r="B95" t="s">
        <v>3944</v>
      </c>
      <c r="C95" t="s">
        <v>3945</v>
      </c>
    </row>
    <row r="96" spans="1:4" x14ac:dyDescent="0.3">
      <c r="A96" t="s">
        <v>299</v>
      </c>
      <c r="B96" t="s">
        <v>3946</v>
      </c>
    </row>
    <row r="97" spans="1:3" x14ac:dyDescent="0.3">
      <c r="A97" t="s">
        <v>301</v>
      </c>
      <c r="B97" t="s">
        <v>3947</v>
      </c>
    </row>
    <row r="98" spans="1:3" x14ac:dyDescent="0.3">
      <c r="A98" t="s">
        <v>320</v>
      </c>
      <c r="B98" t="s">
        <v>3948</v>
      </c>
      <c r="C98" t="s">
        <v>3949</v>
      </c>
    </row>
    <row r="99" spans="1:3" x14ac:dyDescent="0.3">
      <c r="A99" t="s">
        <v>299</v>
      </c>
      <c r="B99" t="s">
        <v>3950</v>
      </c>
    </row>
    <row r="100" spans="1:3" x14ac:dyDescent="0.3">
      <c r="A100" t="s">
        <v>301</v>
      </c>
      <c r="B100" t="s">
        <v>3951</v>
      </c>
    </row>
    <row r="101" spans="1:3" x14ac:dyDescent="0.3">
      <c r="A101" t="s">
        <v>324</v>
      </c>
      <c r="B101" t="s">
        <v>3952</v>
      </c>
      <c r="C101" t="s">
        <v>3953</v>
      </c>
    </row>
    <row r="102" spans="1:3" x14ac:dyDescent="0.3">
      <c r="A102" t="s">
        <v>299</v>
      </c>
      <c r="B102" t="s">
        <v>3954</v>
      </c>
    </row>
    <row r="103" spans="1:3" x14ac:dyDescent="0.3">
      <c r="A103" t="s">
        <v>301</v>
      </c>
      <c r="B103" t="s">
        <v>3955</v>
      </c>
    </row>
    <row r="104" spans="1:3" x14ac:dyDescent="0.3">
      <c r="A104" t="s">
        <v>328</v>
      </c>
      <c r="B104" t="s">
        <v>3956</v>
      </c>
      <c r="C104" t="s">
        <v>2331</v>
      </c>
    </row>
    <row r="105" spans="1:3" x14ac:dyDescent="0.3">
      <c r="A105" t="s">
        <v>299</v>
      </c>
      <c r="B105" t="s">
        <v>3957</v>
      </c>
    </row>
    <row r="106" spans="1:3" x14ac:dyDescent="0.3">
      <c r="A106" t="s">
        <v>301</v>
      </c>
      <c r="B106" t="s">
        <v>3958</v>
      </c>
    </row>
    <row r="107" spans="1:3" x14ac:dyDescent="0.3">
      <c r="A107" t="s">
        <v>333</v>
      </c>
      <c r="B107" t="s">
        <v>3959</v>
      </c>
      <c r="C107" t="s">
        <v>3960</v>
      </c>
    </row>
    <row r="108" spans="1:3" x14ac:dyDescent="0.3">
      <c r="A108" t="s">
        <v>299</v>
      </c>
      <c r="B108" t="s">
        <v>3961</v>
      </c>
    </row>
    <row r="109" spans="1:3" x14ac:dyDescent="0.3">
      <c r="A109" t="s">
        <v>301</v>
      </c>
      <c r="B109" t="s">
        <v>3962</v>
      </c>
    </row>
  </sheetData>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D96"/>
  <sheetViews>
    <sheetView workbookViewId="0"/>
  </sheetViews>
  <sheetFormatPr defaultRowHeight="14.4" x14ac:dyDescent="0.3"/>
  <cols>
    <col min="1" max="1" width="46" customWidth="1"/>
    <col min="2" max="8" width="15" customWidth="1"/>
  </cols>
  <sheetData>
    <row r="1" spans="1:4" x14ac:dyDescent="0.3">
      <c r="A1" s="24" t="s">
        <v>181</v>
      </c>
      <c r="B1" t="s">
        <v>3963</v>
      </c>
    </row>
    <row r="2" spans="1:4" x14ac:dyDescent="0.3">
      <c r="A2" s="24" t="s">
        <v>183</v>
      </c>
      <c r="B2" t="s">
        <v>3964</v>
      </c>
    </row>
    <row r="4" spans="1:4" x14ac:dyDescent="0.3">
      <c r="A4" s="25" t="s">
        <v>185</v>
      </c>
      <c r="B4" s="25"/>
      <c r="C4" s="25"/>
      <c r="D4" s="25"/>
    </row>
    <row r="5" spans="1:4" x14ac:dyDescent="0.3">
      <c r="A5" t="s">
        <v>3965</v>
      </c>
      <c r="B5" t="s">
        <v>188</v>
      </c>
      <c r="C5" t="s">
        <v>1053</v>
      </c>
      <c r="D5" t="s">
        <v>248</v>
      </c>
    </row>
    <row r="6" spans="1:4" x14ac:dyDescent="0.3">
      <c r="A6" t="s">
        <v>3966</v>
      </c>
      <c r="B6" t="s">
        <v>1006</v>
      </c>
      <c r="C6" t="s">
        <v>2235</v>
      </c>
      <c r="D6" t="s">
        <v>3967</v>
      </c>
    </row>
    <row r="7" spans="1:4" x14ac:dyDescent="0.3">
      <c r="A7" t="s">
        <v>3968</v>
      </c>
      <c r="B7">
        <v>15</v>
      </c>
      <c r="C7">
        <v>8</v>
      </c>
      <c r="D7" t="s">
        <v>3969</v>
      </c>
    </row>
    <row r="8" spans="1:4" x14ac:dyDescent="0.3">
      <c r="A8" t="s">
        <v>3970</v>
      </c>
      <c r="B8" t="s">
        <v>3633</v>
      </c>
      <c r="C8" t="s">
        <v>3234</v>
      </c>
      <c r="D8" t="s">
        <v>3971</v>
      </c>
    </row>
    <row r="10" spans="1:4" x14ac:dyDescent="0.3">
      <c r="A10" t="s">
        <v>3972</v>
      </c>
      <c r="B10" t="s">
        <v>188</v>
      </c>
      <c r="C10" t="s">
        <v>1053</v>
      </c>
    </row>
    <row r="11" spans="1:4" x14ac:dyDescent="0.3">
      <c r="A11" t="s">
        <v>3973</v>
      </c>
      <c r="B11" t="s">
        <v>3974</v>
      </c>
      <c r="C11" t="s">
        <v>3975</v>
      </c>
      <c r="D11" t="s">
        <v>3976</v>
      </c>
    </row>
    <row r="12" spans="1:4" x14ac:dyDescent="0.3">
      <c r="A12" t="s">
        <v>3977</v>
      </c>
      <c r="B12" t="s">
        <v>3978</v>
      </c>
      <c r="C12" t="s">
        <v>1034</v>
      </c>
    </row>
    <row r="14" spans="1:4" x14ac:dyDescent="0.3">
      <c r="A14" t="s">
        <v>3979</v>
      </c>
      <c r="B14" t="s">
        <v>238</v>
      </c>
    </row>
    <row r="15" spans="1:4" x14ac:dyDescent="0.3">
      <c r="A15" t="s">
        <v>3980</v>
      </c>
      <c r="B15" t="s">
        <v>3981</v>
      </c>
    </row>
    <row r="16" spans="1:4" x14ac:dyDescent="0.3">
      <c r="A16" t="s">
        <v>3982</v>
      </c>
      <c r="B16" t="s">
        <v>808</v>
      </c>
    </row>
    <row r="17" spans="1:3" x14ac:dyDescent="0.3">
      <c r="A17" t="s">
        <v>3983</v>
      </c>
      <c r="B17" t="s">
        <v>3984</v>
      </c>
    </row>
    <row r="19" spans="1:3" x14ac:dyDescent="0.3">
      <c r="A19" t="s">
        <v>3985</v>
      </c>
      <c r="B19" t="s">
        <v>238</v>
      </c>
    </row>
    <row r="20" spans="1:3" x14ac:dyDescent="0.3">
      <c r="A20" t="s">
        <v>3986</v>
      </c>
      <c r="B20" t="s">
        <v>3987</v>
      </c>
    </row>
    <row r="21" spans="1:3" x14ac:dyDescent="0.3">
      <c r="A21" t="s">
        <v>3988</v>
      </c>
      <c r="B21" t="s">
        <v>3989</v>
      </c>
    </row>
    <row r="22" spans="1:3" x14ac:dyDescent="0.3">
      <c r="A22" t="s">
        <v>3990</v>
      </c>
      <c r="B22" t="s">
        <v>3123</v>
      </c>
    </row>
    <row r="24" spans="1:3" x14ac:dyDescent="0.3">
      <c r="A24" t="s">
        <v>3991</v>
      </c>
      <c r="B24" t="s">
        <v>238</v>
      </c>
      <c r="C24" t="s">
        <v>3992</v>
      </c>
    </row>
    <row r="25" spans="1:3" x14ac:dyDescent="0.3">
      <c r="A25" t="s">
        <v>3993</v>
      </c>
      <c r="B25" t="s">
        <v>3994</v>
      </c>
      <c r="C25" t="s">
        <v>1034</v>
      </c>
    </row>
    <row r="26" spans="1:3" x14ac:dyDescent="0.3">
      <c r="A26" t="s">
        <v>3995</v>
      </c>
      <c r="B26" t="s">
        <v>3996</v>
      </c>
      <c r="C26" t="s">
        <v>1034</v>
      </c>
    </row>
    <row r="27" spans="1:3" x14ac:dyDescent="0.3">
      <c r="A27" t="s">
        <v>3997</v>
      </c>
      <c r="B27" t="s">
        <v>3998</v>
      </c>
      <c r="C27" t="s">
        <v>3999</v>
      </c>
    </row>
    <row r="29" spans="1:3" x14ac:dyDescent="0.3">
      <c r="A29" t="s">
        <v>4000</v>
      </c>
      <c r="B29" t="s">
        <v>238</v>
      </c>
    </row>
    <row r="30" spans="1:3" x14ac:dyDescent="0.3">
      <c r="A30" t="s">
        <v>4001</v>
      </c>
      <c r="B30" t="s">
        <v>4002</v>
      </c>
    </row>
    <row r="31" spans="1:3" x14ac:dyDescent="0.3">
      <c r="A31" t="s">
        <v>4003</v>
      </c>
      <c r="B31" t="s">
        <v>4004</v>
      </c>
    </row>
    <row r="32" spans="1:3" x14ac:dyDescent="0.3">
      <c r="A32" t="s">
        <v>4005</v>
      </c>
      <c r="B32" t="s">
        <v>2496</v>
      </c>
    </row>
    <row r="34" spans="1:4" x14ac:dyDescent="0.3">
      <c r="A34" t="s">
        <v>273</v>
      </c>
      <c r="B34" t="s">
        <v>238</v>
      </c>
      <c r="C34" t="s">
        <v>274</v>
      </c>
    </row>
    <row r="35" spans="1:4" x14ac:dyDescent="0.3">
      <c r="A35" t="s">
        <v>4006</v>
      </c>
      <c r="B35" t="s">
        <v>4007</v>
      </c>
      <c r="C35" t="s">
        <v>36</v>
      </c>
    </row>
    <row r="36" spans="1:4" x14ac:dyDescent="0.3">
      <c r="A36" t="s">
        <v>4008</v>
      </c>
      <c r="B36" t="s">
        <v>4009</v>
      </c>
      <c r="C36" t="s">
        <v>2497</v>
      </c>
    </row>
    <row r="37" spans="1:4" x14ac:dyDescent="0.3">
      <c r="A37" t="s">
        <v>3368</v>
      </c>
      <c r="B37" t="s">
        <v>4010</v>
      </c>
      <c r="C37" t="s">
        <v>36</v>
      </c>
    </row>
    <row r="38" spans="1:4" x14ac:dyDescent="0.3">
      <c r="A38" t="s">
        <v>129</v>
      </c>
      <c r="B38" t="s">
        <v>4011</v>
      </c>
      <c r="C38" t="s">
        <v>4012</v>
      </c>
    </row>
    <row r="40" spans="1:4" x14ac:dyDescent="0.3">
      <c r="A40" s="25" t="s">
        <v>281</v>
      </c>
      <c r="B40" s="25"/>
      <c r="C40" s="25"/>
      <c r="D40" s="25"/>
    </row>
    <row r="41" spans="1:4" x14ac:dyDescent="0.3">
      <c r="A41" t="s">
        <v>4013</v>
      </c>
    </row>
    <row r="42" spans="1:4" x14ac:dyDescent="0.3">
      <c r="A42" t="s">
        <v>4014</v>
      </c>
    </row>
    <row r="43" spans="1:4" x14ac:dyDescent="0.3">
      <c r="A43" t="s">
        <v>4015</v>
      </c>
    </row>
    <row r="44" spans="1:4" x14ac:dyDescent="0.3">
      <c r="A44" t="s">
        <v>4016</v>
      </c>
    </row>
    <row r="45" spans="1:4" x14ac:dyDescent="0.3">
      <c r="A45" t="s">
        <v>4017</v>
      </c>
    </row>
    <row r="46" spans="1:4" x14ac:dyDescent="0.3">
      <c r="A46" t="s">
        <v>4018</v>
      </c>
    </row>
    <row r="47" spans="1:4" x14ac:dyDescent="0.3">
      <c r="A47" t="s">
        <v>4019</v>
      </c>
    </row>
    <row r="48" spans="1:4" x14ac:dyDescent="0.3">
      <c r="A48" t="s">
        <v>4020</v>
      </c>
    </row>
    <row r="49" spans="1:4" x14ac:dyDescent="0.3">
      <c r="A49" t="s">
        <v>4021</v>
      </c>
    </row>
    <row r="50" spans="1:4" x14ac:dyDescent="0.3">
      <c r="A50" t="s">
        <v>4022</v>
      </c>
    </row>
    <row r="51" spans="1:4" x14ac:dyDescent="0.3">
      <c r="A51" t="s">
        <v>4023</v>
      </c>
    </row>
    <row r="52" spans="1:4" x14ac:dyDescent="0.3">
      <c r="A52" t="s">
        <v>4024</v>
      </c>
    </row>
    <row r="53" spans="1:4" x14ac:dyDescent="0.3">
      <c r="A53" t="s">
        <v>4025</v>
      </c>
    </row>
    <row r="54" spans="1:4" x14ac:dyDescent="0.3">
      <c r="A54" t="s">
        <v>4026</v>
      </c>
    </row>
    <row r="55" spans="1:4" x14ac:dyDescent="0.3">
      <c r="A55" t="s">
        <v>4027</v>
      </c>
    </row>
    <row r="56" spans="1:4" x14ac:dyDescent="0.3">
      <c r="A56" t="s">
        <v>4028</v>
      </c>
    </row>
    <row r="57" spans="1:4" x14ac:dyDescent="0.3">
      <c r="A57" t="s">
        <v>4029</v>
      </c>
    </row>
    <row r="58" spans="1:4" x14ac:dyDescent="0.3">
      <c r="A58" t="s">
        <v>4030</v>
      </c>
    </row>
    <row r="60" spans="1:4" x14ac:dyDescent="0.3">
      <c r="A60" s="25" t="s">
        <v>295</v>
      </c>
      <c r="B60" s="25"/>
      <c r="C60" s="25"/>
      <c r="D60" s="25"/>
    </row>
    <row r="61" spans="1:4" x14ac:dyDescent="0.3">
      <c r="A61" t="s">
        <v>296</v>
      </c>
      <c r="B61" t="s">
        <v>4031</v>
      </c>
      <c r="C61" t="s">
        <v>4032</v>
      </c>
    </row>
    <row r="62" spans="1:4" x14ac:dyDescent="0.3">
      <c r="A62" t="s">
        <v>299</v>
      </c>
      <c r="B62" t="s">
        <v>4033</v>
      </c>
    </row>
    <row r="63" spans="1:4" x14ac:dyDescent="0.3">
      <c r="A63" t="s">
        <v>301</v>
      </c>
      <c r="B63" t="s">
        <v>4034</v>
      </c>
    </row>
    <row r="64" spans="1:4" x14ac:dyDescent="0.3">
      <c r="A64" t="s">
        <v>303</v>
      </c>
      <c r="B64" t="s">
        <v>4035</v>
      </c>
      <c r="C64" t="s">
        <v>4036</v>
      </c>
    </row>
    <row r="65" spans="1:3" x14ac:dyDescent="0.3">
      <c r="A65" t="s">
        <v>299</v>
      </c>
      <c r="B65" t="s">
        <v>4037</v>
      </c>
    </row>
    <row r="66" spans="1:3" x14ac:dyDescent="0.3">
      <c r="A66" t="s">
        <v>301</v>
      </c>
      <c r="B66" t="s">
        <v>4038</v>
      </c>
    </row>
    <row r="67" spans="1:3" x14ac:dyDescent="0.3">
      <c r="A67" t="s">
        <v>307</v>
      </c>
      <c r="B67" t="s">
        <v>4039</v>
      </c>
      <c r="C67" t="s">
        <v>4036</v>
      </c>
    </row>
    <row r="68" spans="1:3" x14ac:dyDescent="0.3">
      <c r="A68" t="s">
        <v>299</v>
      </c>
      <c r="B68" t="s">
        <v>4040</v>
      </c>
    </row>
    <row r="69" spans="1:3" x14ac:dyDescent="0.3">
      <c r="A69" t="s">
        <v>301</v>
      </c>
      <c r="B69" t="s">
        <v>4041</v>
      </c>
    </row>
    <row r="70" spans="1:3" x14ac:dyDescent="0.3">
      <c r="A70" t="s">
        <v>311</v>
      </c>
      <c r="B70" t="s">
        <v>4042</v>
      </c>
      <c r="C70" t="s">
        <v>4036</v>
      </c>
    </row>
    <row r="71" spans="1:3" x14ac:dyDescent="0.3">
      <c r="A71" t="s">
        <v>299</v>
      </c>
      <c r="B71" t="s">
        <v>4043</v>
      </c>
    </row>
    <row r="72" spans="1:3" x14ac:dyDescent="0.3">
      <c r="A72" t="s">
        <v>301</v>
      </c>
      <c r="B72" t="s">
        <v>4044</v>
      </c>
    </row>
    <row r="73" spans="1:3" x14ac:dyDescent="0.3">
      <c r="A73" t="s">
        <v>316</v>
      </c>
      <c r="B73" t="s">
        <v>4045</v>
      </c>
      <c r="C73" t="s">
        <v>4036</v>
      </c>
    </row>
    <row r="74" spans="1:3" x14ac:dyDescent="0.3">
      <c r="A74" t="s">
        <v>299</v>
      </c>
      <c r="B74" t="s">
        <v>4046</v>
      </c>
    </row>
    <row r="75" spans="1:3" x14ac:dyDescent="0.3">
      <c r="A75" t="s">
        <v>301</v>
      </c>
      <c r="B75" t="s">
        <v>4047</v>
      </c>
    </row>
    <row r="76" spans="1:3" x14ac:dyDescent="0.3">
      <c r="A76" t="s">
        <v>320</v>
      </c>
      <c r="B76" t="s">
        <v>4048</v>
      </c>
      <c r="C76" t="s">
        <v>4036</v>
      </c>
    </row>
    <row r="77" spans="1:3" x14ac:dyDescent="0.3">
      <c r="A77" t="s">
        <v>299</v>
      </c>
      <c r="B77" t="s">
        <v>4049</v>
      </c>
    </row>
    <row r="78" spans="1:3" x14ac:dyDescent="0.3">
      <c r="A78" t="s">
        <v>301</v>
      </c>
      <c r="B78" t="s">
        <v>4050</v>
      </c>
    </row>
    <row r="79" spans="1:3" x14ac:dyDescent="0.3">
      <c r="A79" t="s">
        <v>324</v>
      </c>
      <c r="B79" t="s">
        <v>4051</v>
      </c>
      <c r="C79" t="s">
        <v>4036</v>
      </c>
    </row>
    <row r="80" spans="1:3" x14ac:dyDescent="0.3">
      <c r="A80" t="s">
        <v>299</v>
      </c>
      <c r="B80" t="s">
        <v>4052</v>
      </c>
    </row>
    <row r="81" spans="1:3" x14ac:dyDescent="0.3">
      <c r="A81" t="s">
        <v>301</v>
      </c>
      <c r="B81" t="s">
        <v>4053</v>
      </c>
    </row>
    <row r="82" spans="1:3" x14ac:dyDescent="0.3">
      <c r="A82" t="s">
        <v>328</v>
      </c>
      <c r="B82" t="s">
        <v>4054</v>
      </c>
      <c r="C82" t="s">
        <v>4036</v>
      </c>
    </row>
    <row r="83" spans="1:3" x14ac:dyDescent="0.3">
      <c r="A83" t="s">
        <v>299</v>
      </c>
      <c r="B83" t="s">
        <v>4055</v>
      </c>
    </row>
    <row r="84" spans="1:3" x14ac:dyDescent="0.3">
      <c r="A84" t="s">
        <v>301</v>
      </c>
      <c r="B84" t="s">
        <v>4056</v>
      </c>
    </row>
    <row r="85" spans="1:3" x14ac:dyDescent="0.3">
      <c r="A85" t="s">
        <v>333</v>
      </c>
      <c r="B85" t="s">
        <v>4057</v>
      </c>
      <c r="C85" t="s">
        <v>4036</v>
      </c>
    </row>
    <row r="86" spans="1:3" x14ac:dyDescent="0.3">
      <c r="A86" t="s">
        <v>299</v>
      </c>
      <c r="B86" t="s">
        <v>4058</v>
      </c>
    </row>
    <row r="87" spans="1:3" x14ac:dyDescent="0.3">
      <c r="A87" t="s">
        <v>301</v>
      </c>
      <c r="B87" t="s">
        <v>4059</v>
      </c>
    </row>
    <row r="88" spans="1:3" x14ac:dyDescent="0.3">
      <c r="A88" t="s">
        <v>337</v>
      </c>
      <c r="B88" t="s">
        <v>4060</v>
      </c>
      <c r="C88" t="s">
        <v>4036</v>
      </c>
    </row>
    <row r="89" spans="1:3" x14ac:dyDescent="0.3">
      <c r="A89" t="s">
        <v>299</v>
      </c>
      <c r="B89" t="s">
        <v>4061</v>
      </c>
    </row>
    <row r="90" spans="1:3" x14ac:dyDescent="0.3">
      <c r="A90" t="s">
        <v>301</v>
      </c>
      <c r="B90" t="s">
        <v>4062</v>
      </c>
    </row>
    <row r="91" spans="1:3" x14ac:dyDescent="0.3">
      <c r="A91" t="s">
        <v>341</v>
      </c>
      <c r="B91" t="s">
        <v>4063</v>
      </c>
      <c r="C91" t="s">
        <v>4036</v>
      </c>
    </row>
    <row r="92" spans="1:3" x14ac:dyDescent="0.3">
      <c r="A92" t="s">
        <v>299</v>
      </c>
      <c r="B92" t="s">
        <v>4064</v>
      </c>
    </row>
    <row r="93" spans="1:3" x14ac:dyDescent="0.3">
      <c r="A93" t="s">
        <v>301</v>
      </c>
      <c r="B93" t="s">
        <v>4065</v>
      </c>
    </row>
    <row r="94" spans="1:3" x14ac:dyDescent="0.3">
      <c r="A94" t="s">
        <v>346</v>
      </c>
      <c r="B94" t="s">
        <v>4066</v>
      </c>
      <c r="C94" t="s">
        <v>4036</v>
      </c>
    </row>
    <row r="95" spans="1:3" x14ac:dyDescent="0.3">
      <c r="A95" t="s">
        <v>299</v>
      </c>
      <c r="B95" t="s">
        <v>4067</v>
      </c>
    </row>
    <row r="96" spans="1:3" x14ac:dyDescent="0.3">
      <c r="A96" t="s">
        <v>301</v>
      </c>
      <c r="B96" t="s">
        <v>4068</v>
      </c>
    </row>
  </sheetData>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85"/>
  <sheetViews>
    <sheetView workbookViewId="0"/>
  </sheetViews>
  <sheetFormatPr defaultRowHeight="14.4" x14ac:dyDescent="0.3"/>
  <cols>
    <col min="1" max="1" width="46" customWidth="1"/>
    <col min="2" max="8" width="15" customWidth="1"/>
  </cols>
  <sheetData>
    <row r="1" spans="1:4" x14ac:dyDescent="0.3">
      <c r="A1" s="24" t="s">
        <v>181</v>
      </c>
      <c r="B1" t="s">
        <v>4069</v>
      </c>
    </row>
    <row r="2" spans="1:4" x14ac:dyDescent="0.3">
      <c r="A2" s="24" t="s">
        <v>183</v>
      </c>
      <c r="B2" t="s">
        <v>4070</v>
      </c>
    </row>
    <row r="4" spans="1:4" x14ac:dyDescent="0.3">
      <c r="A4" s="25" t="s">
        <v>185</v>
      </c>
      <c r="B4" s="25"/>
      <c r="C4" s="25"/>
      <c r="D4" s="25"/>
    </row>
    <row r="5" spans="1:4" x14ac:dyDescent="0.3">
      <c r="A5" t="s">
        <v>4071</v>
      </c>
      <c r="B5" t="s">
        <v>238</v>
      </c>
      <c r="C5" t="s">
        <v>1053</v>
      </c>
      <c r="D5" t="s">
        <v>248</v>
      </c>
    </row>
    <row r="6" spans="1:4" x14ac:dyDescent="0.3">
      <c r="A6" t="s">
        <v>4072</v>
      </c>
      <c r="B6" t="s">
        <v>4073</v>
      </c>
      <c r="C6" t="s">
        <v>197</v>
      </c>
      <c r="D6" t="s">
        <v>4074</v>
      </c>
    </row>
    <row r="7" spans="1:4" x14ac:dyDescent="0.3">
      <c r="A7" t="s">
        <v>4075</v>
      </c>
      <c r="B7" t="s">
        <v>4076</v>
      </c>
      <c r="C7" t="s">
        <v>1034</v>
      </c>
      <c r="D7" t="s">
        <v>4077</v>
      </c>
    </row>
    <row r="8" spans="1:4" x14ac:dyDescent="0.3">
      <c r="A8" t="s">
        <v>4078</v>
      </c>
      <c r="B8" t="s">
        <v>4079</v>
      </c>
      <c r="C8" t="s">
        <v>197</v>
      </c>
      <c r="D8" t="s">
        <v>934</v>
      </c>
    </row>
    <row r="10" spans="1:4" x14ac:dyDescent="0.3">
      <c r="A10" t="s">
        <v>3965</v>
      </c>
      <c r="B10" t="s">
        <v>188</v>
      </c>
      <c r="C10" t="s">
        <v>1053</v>
      </c>
      <c r="D10" t="s">
        <v>248</v>
      </c>
    </row>
    <row r="11" spans="1:4" x14ac:dyDescent="0.3">
      <c r="A11" t="s">
        <v>3966</v>
      </c>
      <c r="B11" t="s">
        <v>4080</v>
      </c>
      <c r="C11" t="s">
        <v>4081</v>
      </c>
      <c r="D11" t="s">
        <v>4082</v>
      </c>
    </row>
    <row r="12" spans="1:4" x14ac:dyDescent="0.3">
      <c r="A12" t="s">
        <v>4083</v>
      </c>
      <c r="B12" t="s">
        <v>3878</v>
      </c>
      <c r="C12" t="s">
        <v>1034</v>
      </c>
      <c r="D12" t="s">
        <v>4084</v>
      </c>
    </row>
    <row r="13" spans="1:4" x14ac:dyDescent="0.3">
      <c r="A13" t="s">
        <v>4085</v>
      </c>
      <c r="B13" t="s">
        <v>4086</v>
      </c>
      <c r="C13" t="s">
        <v>197</v>
      </c>
      <c r="D13" t="s">
        <v>197</v>
      </c>
    </row>
    <row r="15" spans="1:4" x14ac:dyDescent="0.3">
      <c r="A15" t="s">
        <v>3438</v>
      </c>
      <c r="B15" t="s">
        <v>188</v>
      </c>
      <c r="C15" t="s">
        <v>1053</v>
      </c>
    </row>
    <row r="16" spans="1:4" x14ac:dyDescent="0.3">
      <c r="A16" t="s">
        <v>3970</v>
      </c>
      <c r="B16" t="s">
        <v>4087</v>
      </c>
      <c r="C16" t="s">
        <v>4088</v>
      </c>
      <c r="D16" t="s">
        <v>3971</v>
      </c>
    </row>
    <row r="17" spans="1:4" x14ac:dyDescent="0.3">
      <c r="A17" t="s">
        <v>4089</v>
      </c>
      <c r="B17" t="s">
        <v>4090</v>
      </c>
      <c r="C17" t="s">
        <v>1034</v>
      </c>
      <c r="D17" t="s">
        <v>4091</v>
      </c>
    </row>
    <row r="18" spans="1:4" x14ac:dyDescent="0.3">
      <c r="A18" t="s">
        <v>3973</v>
      </c>
      <c r="B18" t="s">
        <v>4092</v>
      </c>
      <c r="C18" t="s">
        <v>3975</v>
      </c>
      <c r="D18" t="s">
        <v>4093</v>
      </c>
    </row>
    <row r="19" spans="1:4" x14ac:dyDescent="0.3">
      <c r="A19" t="s">
        <v>3977</v>
      </c>
      <c r="B19" t="s">
        <v>3978</v>
      </c>
      <c r="C19" t="s">
        <v>1034</v>
      </c>
    </row>
    <row r="20" spans="1:4" x14ac:dyDescent="0.3">
      <c r="A20" t="s">
        <v>4094</v>
      </c>
      <c r="B20" t="s">
        <v>4095</v>
      </c>
      <c r="C20" t="s">
        <v>1034</v>
      </c>
    </row>
    <row r="22" spans="1:4" x14ac:dyDescent="0.3">
      <c r="A22" t="s">
        <v>4096</v>
      </c>
      <c r="B22" t="s">
        <v>238</v>
      </c>
    </row>
    <row r="23" spans="1:4" x14ac:dyDescent="0.3">
      <c r="A23" t="s">
        <v>3980</v>
      </c>
      <c r="B23" t="s">
        <v>4097</v>
      </c>
    </row>
    <row r="24" spans="1:4" x14ac:dyDescent="0.3">
      <c r="A24" t="s">
        <v>4098</v>
      </c>
      <c r="B24" t="s">
        <v>4099</v>
      </c>
    </row>
    <row r="25" spans="1:4" x14ac:dyDescent="0.3">
      <c r="A25" t="s">
        <v>4100</v>
      </c>
      <c r="B25" t="s">
        <v>4101</v>
      </c>
    </row>
    <row r="27" spans="1:4" x14ac:dyDescent="0.3">
      <c r="A27" t="s">
        <v>4102</v>
      </c>
      <c r="B27" t="s">
        <v>238</v>
      </c>
      <c r="C27" t="s">
        <v>274</v>
      </c>
    </row>
    <row r="28" spans="1:4" x14ac:dyDescent="0.3">
      <c r="A28" t="s">
        <v>3970</v>
      </c>
      <c r="B28" t="s">
        <v>4087</v>
      </c>
      <c r="C28" t="s">
        <v>4103</v>
      </c>
    </row>
    <row r="29" spans="1:4" x14ac:dyDescent="0.3">
      <c r="A29" t="s">
        <v>4104</v>
      </c>
      <c r="B29" t="s">
        <v>4105</v>
      </c>
      <c r="C29" t="s">
        <v>36</v>
      </c>
    </row>
    <row r="30" spans="1:4" x14ac:dyDescent="0.3">
      <c r="A30" t="s">
        <v>3368</v>
      </c>
      <c r="B30" t="s">
        <v>4106</v>
      </c>
      <c r="C30" t="s">
        <v>2891</v>
      </c>
    </row>
    <row r="31" spans="1:4" x14ac:dyDescent="0.3">
      <c r="A31" t="s">
        <v>4107</v>
      </c>
      <c r="B31" t="s">
        <v>4108</v>
      </c>
      <c r="C31" t="s">
        <v>3908</v>
      </c>
    </row>
    <row r="32" spans="1:4" x14ac:dyDescent="0.3">
      <c r="A32" t="s">
        <v>4109</v>
      </c>
      <c r="B32" t="s">
        <v>4110</v>
      </c>
      <c r="C32" t="s">
        <v>2497</v>
      </c>
    </row>
    <row r="34" spans="1:4" x14ac:dyDescent="0.3">
      <c r="A34" s="25" t="s">
        <v>281</v>
      </c>
      <c r="B34" s="25"/>
      <c r="C34" s="25"/>
      <c r="D34" s="25"/>
    </row>
    <row r="35" spans="1:4" x14ac:dyDescent="0.3">
      <c r="A35" t="s">
        <v>4111</v>
      </c>
    </row>
    <row r="36" spans="1:4" x14ac:dyDescent="0.3">
      <c r="A36" t="s">
        <v>4112</v>
      </c>
    </row>
    <row r="37" spans="1:4" x14ac:dyDescent="0.3">
      <c r="A37" t="s">
        <v>4113</v>
      </c>
    </row>
    <row r="38" spans="1:4" x14ac:dyDescent="0.3">
      <c r="A38" t="s">
        <v>4114</v>
      </c>
    </row>
    <row r="39" spans="1:4" x14ac:dyDescent="0.3">
      <c r="A39" t="s">
        <v>4115</v>
      </c>
    </row>
    <row r="40" spans="1:4" x14ac:dyDescent="0.3">
      <c r="A40" t="s">
        <v>4116</v>
      </c>
    </row>
    <row r="41" spans="1:4" x14ac:dyDescent="0.3">
      <c r="A41" t="s">
        <v>4117</v>
      </c>
    </row>
    <row r="42" spans="1:4" x14ac:dyDescent="0.3">
      <c r="A42" t="s">
        <v>4118</v>
      </c>
    </row>
    <row r="43" spans="1:4" x14ac:dyDescent="0.3">
      <c r="A43" t="s">
        <v>4119</v>
      </c>
    </row>
    <row r="44" spans="1:4" x14ac:dyDescent="0.3">
      <c r="A44" t="s">
        <v>4120</v>
      </c>
    </row>
    <row r="45" spans="1:4" x14ac:dyDescent="0.3">
      <c r="A45" t="s">
        <v>4121</v>
      </c>
    </row>
    <row r="46" spans="1:4" x14ac:dyDescent="0.3">
      <c r="A46" t="s">
        <v>4122</v>
      </c>
    </row>
    <row r="47" spans="1:4" x14ac:dyDescent="0.3">
      <c r="A47" t="s">
        <v>4123</v>
      </c>
    </row>
    <row r="48" spans="1:4" x14ac:dyDescent="0.3">
      <c r="A48" t="s">
        <v>4124</v>
      </c>
    </row>
    <row r="49" spans="1:4" x14ac:dyDescent="0.3">
      <c r="A49" t="s">
        <v>4125</v>
      </c>
    </row>
    <row r="50" spans="1:4" x14ac:dyDescent="0.3">
      <c r="A50" t="s">
        <v>4126</v>
      </c>
    </row>
    <row r="51" spans="1:4" x14ac:dyDescent="0.3">
      <c r="A51" t="s">
        <v>4127</v>
      </c>
    </row>
    <row r="52" spans="1:4" x14ac:dyDescent="0.3">
      <c r="A52" t="s">
        <v>4128</v>
      </c>
    </row>
    <row r="53" spans="1:4" x14ac:dyDescent="0.3">
      <c r="A53" t="s">
        <v>4129</v>
      </c>
    </row>
    <row r="55" spans="1:4" x14ac:dyDescent="0.3">
      <c r="A55" s="25" t="s">
        <v>295</v>
      </c>
      <c r="B55" s="25"/>
      <c r="C55" s="25"/>
      <c r="D55" s="25"/>
    </row>
    <row r="56" spans="1:4" x14ac:dyDescent="0.3">
      <c r="A56" t="s">
        <v>296</v>
      </c>
      <c r="B56" t="s">
        <v>4130</v>
      </c>
      <c r="C56" t="s">
        <v>3945</v>
      </c>
    </row>
    <row r="57" spans="1:4" x14ac:dyDescent="0.3">
      <c r="A57" t="s">
        <v>299</v>
      </c>
      <c r="B57" t="s">
        <v>4131</v>
      </c>
    </row>
    <row r="58" spans="1:4" x14ac:dyDescent="0.3">
      <c r="A58" t="s">
        <v>301</v>
      </c>
      <c r="B58" t="s">
        <v>4132</v>
      </c>
    </row>
    <row r="59" spans="1:4" x14ac:dyDescent="0.3">
      <c r="A59" t="s">
        <v>303</v>
      </c>
      <c r="B59" t="s">
        <v>4133</v>
      </c>
      <c r="C59" t="s">
        <v>3945</v>
      </c>
    </row>
    <row r="60" spans="1:4" x14ac:dyDescent="0.3">
      <c r="A60" t="s">
        <v>299</v>
      </c>
      <c r="B60" t="s">
        <v>4134</v>
      </c>
    </row>
    <row r="61" spans="1:4" x14ac:dyDescent="0.3">
      <c r="A61" t="s">
        <v>301</v>
      </c>
      <c r="B61" t="s">
        <v>4135</v>
      </c>
    </row>
    <row r="62" spans="1:4" x14ac:dyDescent="0.3">
      <c r="A62" t="s">
        <v>307</v>
      </c>
      <c r="B62" t="s">
        <v>4136</v>
      </c>
      <c r="C62" t="s">
        <v>3945</v>
      </c>
    </row>
    <row r="63" spans="1:4" x14ac:dyDescent="0.3">
      <c r="A63" t="s">
        <v>299</v>
      </c>
      <c r="B63" t="s">
        <v>4137</v>
      </c>
    </row>
    <row r="64" spans="1:4" x14ac:dyDescent="0.3">
      <c r="A64" t="s">
        <v>301</v>
      </c>
      <c r="B64" t="s">
        <v>4138</v>
      </c>
    </row>
    <row r="65" spans="1:3" x14ac:dyDescent="0.3">
      <c r="A65" t="s">
        <v>311</v>
      </c>
      <c r="B65" t="s">
        <v>4139</v>
      </c>
      <c r="C65" t="s">
        <v>3945</v>
      </c>
    </row>
    <row r="66" spans="1:3" x14ac:dyDescent="0.3">
      <c r="A66" t="s">
        <v>299</v>
      </c>
      <c r="B66" t="s">
        <v>4140</v>
      </c>
    </row>
    <row r="67" spans="1:3" x14ac:dyDescent="0.3">
      <c r="A67" t="s">
        <v>301</v>
      </c>
      <c r="B67" t="s">
        <v>4141</v>
      </c>
    </row>
    <row r="68" spans="1:3" x14ac:dyDescent="0.3">
      <c r="A68" t="s">
        <v>316</v>
      </c>
      <c r="B68" t="s">
        <v>4142</v>
      </c>
      <c r="C68" t="s">
        <v>3945</v>
      </c>
    </row>
    <row r="69" spans="1:3" x14ac:dyDescent="0.3">
      <c r="A69" t="s">
        <v>299</v>
      </c>
      <c r="B69" t="s">
        <v>4143</v>
      </c>
    </row>
    <row r="70" spans="1:3" x14ac:dyDescent="0.3">
      <c r="A70" t="s">
        <v>301</v>
      </c>
      <c r="B70" t="s">
        <v>4144</v>
      </c>
    </row>
    <row r="71" spans="1:3" x14ac:dyDescent="0.3">
      <c r="A71" t="s">
        <v>320</v>
      </c>
      <c r="B71" t="s">
        <v>4145</v>
      </c>
      <c r="C71" t="s">
        <v>3945</v>
      </c>
    </row>
    <row r="72" spans="1:3" x14ac:dyDescent="0.3">
      <c r="A72" t="s">
        <v>299</v>
      </c>
      <c r="B72" t="s">
        <v>4146</v>
      </c>
    </row>
    <row r="73" spans="1:3" x14ac:dyDescent="0.3">
      <c r="A73" t="s">
        <v>301</v>
      </c>
      <c r="B73" t="s">
        <v>4147</v>
      </c>
    </row>
    <row r="74" spans="1:3" x14ac:dyDescent="0.3">
      <c r="A74" t="s">
        <v>324</v>
      </c>
      <c r="B74" t="s">
        <v>4148</v>
      </c>
      <c r="C74" t="s">
        <v>3945</v>
      </c>
    </row>
    <row r="75" spans="1:3" x14ac:dyDescent="0.3">
      <c r="A75" t="s">
        <v>299</v>
      </c>
      <c r="B75" t="s">
        <v>4149</v>
      </c>
    </row>
    <row r="76" spans="1:3" x14ac:dyDescent="0.3">
      <c r="A76" t="s">
        <v>301</v>
      </c>
      <c r="B76" t="s">
        <v>4150</v>
      </c>
    </row>
    <row r="77" spans="1:3" x14ac:dyDescent="0.3">
      <c r="A77" t="s">
        <v>328</v>
      </c>
      <c r="B77" t="s">
        <v>4151</v>
      </c>
      <c r="C77" t="s">
        <v>3945</v>
      </c>
    </row>
    <row r="78" spans="1:3" x14ac:dyDescent="0.3">
      <c r="A78" t="s">
        <v>299</v>
      </c>
      <c r="B78" t="s">
        <v>4152</v>
      </c>
    </row>
    <row r="79" spans="1:3" x14ac:dyDescent="0.3">
      <c r="A79" t="s">
        <v>301</v>
      </c>
      <c r="B79" t="s">
        <v>4153</v>
      </c>
    </row>
    <row r="80" spans="1:3" x14ac:dyDescent="0.3">
      <c r="A80" t="s">
        <v>333</v>
      </c>
      <c r="B80" t="s">
        <v>4154</v>
      </c>
      <c r="C80" t="s">
        <v>3945</v>
      </c>
    </row>
    <row r="81" spans="1:3" x14ac:dyDescent="0.3">
      <c r="A81" t="s">
        <v>299</v>
      </c>
      <c r="B81" t="s">
        <v>4155</v>
      </c>
    </row>
    <row r="82" spans="1:3" x14ac:dyDescent="0.3">
      <c r="A82" t="s">
        <v>301</v>
      </c>
      <c r="B82" t="s">
        <v>4156</v>
      </c>
    </row>
    <row r="83" spans="1:3" x14ac:dyDescent="0.3">
      <c r="A83" t="s">
        <v>337</v>
      </c>
      <c r="B83" t="s">
        <v>4157</v>
      </c>
      <c r="C83" t="s">
        <v>3945</v>
      </c>
    </row>
    <row r="84" spans="1:3" x14ac:dyDescent="0.3">
      <c r="A84" t="s">
        <v>299</v>
      </c>
      <c r="B84" t="s">
        <v>4158</v>
      </c>
    </row>
    <row r="85" spans="1:3" x14ac:dyDescent="0.3">
      <c r="A85" t="s">
        <v>301</v>
      </c>
      <c r="B85" t="s">
        <v>4159</v>
      </c>
    </row>
  </sheetData>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D117"/>
  <sheetViews>
    <sheetView workbookViewId="0"/>
  </sheetViews>
  <sheetFormatPr defaultRowHeight="14.4" x14ac:dyDescent="0.3"/>
  <cols>
    <col min="1" max="1" width="46" customWidth="1"/>
    <col min="2" max="8" width="15" customWidth="1"/>
  </cols>
  <sheetData>
    <row r="1" spans="1:4" x14ac:dyDescent="0.3">
      <c r="A1" s="24" t="s">
        <v>181</v>
      </c>
      <c r="B1" t="s">
        <v>4160</v>
      </c>
    </row>
    <row r="2" spans="1:4" x14ac:dyDescent="0.3">
      <c r="A2" s="24" t="s">
        <v>183</v>
      </c>
      <c r="B2" t="s">
        <v>4161</v>
      </c>
    </row>
    <row r="4" spans="1:4" x14ac:dyDescent="0.3">
      <c r="A4" s="25" t="s">
        <v>185</v>
      </c>
      <c r="B4" s="25"/>
      <c r="C4" s="25"/>
      <c r="D4" s="25"/>
    </row>
    <row r="5" spans="1:4" x14ac:dyDescent="0.3">
      <c r="A5" t="s">
        <v>3552</v>
      </c>
      <c r="B5" t="s">
        <v>30</v>
      </c>
      <c r="C5" t="s">
        <v>24</v>
      </c>
      <c r="D5" t="s">
        <v>189</v>
      </c>
    </row>
    <row r="6" spans="1:4" x14ac:dyDescent="0.3">
      <c r="A6" t="s">
        <v>45</v>
      </c>
      <c r="B6" t="s">
        <v>4162</v>
      </c>
      <c r="C6" t="s">
        <v>4163</v>
      </c>
      <c r="D6" t="s">
        <v>3822</v>
      </c>
    </row>
    <row r="7" spans="1:4" x14ac:dyDescent="0.3">
      <c r="A7" t="s">
        <v>46</v>
      </c>
      <c r="B7" t="s">
        <v>4164</v>
      </c>
      <c r="C7" t="s">
        <v>4165</v>
      </c>
      <c r="D7" t="s">
        <v>4166</v>
      </c>
    </row>
    <row r="8" spans="1:4" x14ac:dyDescent="0.3">
      <c r="A8" t="s">
        <v>47</v>
      </c>
      <c r="B8" t="s">
        <v>4167</v>
      </c>
      <c r="C8" t="s">
        <v>4168</v>
      </c>
      <c r="D8" t="s">
        <v>3625</v>
      </c>
    </row>
    <row r="9" spans="1:4" x14ac:dyDescent="0.3">
      <c r="A9" t="s">
        <v>167</v>
      </c>
      <c r="B9" t="s">
        <v>3011</v>
      </c>
      <c r="C9" t="s">
        <v>197</v>
      </c>
      <c r="D9" t="s">
        <v>197</v>
      </c>
    </row>
    <row r="11" spans="1:4" x14ac:dyDescent="0.3">
      <c r="A11" t="s">
        <v>3810</v>
      </c>
      <c r="B11" t="s">
        <v>30</v>
      </c>
      <c r="C11" t="s">
        <v>24</v>
      </c>
      <c r="D11" t="s">
        <v>189</v>
      </c>
    </row>
    <row r="12" spans="1:4" x14ac:dyDescent="0.3">
      <c r="A12" t="s">
        <v>91</v>
      </c>
      <c r="B12" t="s">
        <v>4169</v>
      </c>
      <c r="C12" t="s">
        <v>4170</v>
      </c>
      <c r="D12" t="s">
        <v>4171</v>
      </c>
    </row>
    <row r="13" spans="1:4" x14ac:dyDescent="0.3">
      <c r="A13" t="s">
        <v>3195</v>
      </c>
      <c r="B13" t="s">
        <v>4172</v>
      </c>
      <c r="C13" t="s">
        <v>4173</v>
      </c>
      <c r="D13" t="s">
        <v>4174</v>
      </c>
    </row>
    <row r="15" spans="1:4" x14ac:dyDescent="0.3">
      <c r="A15" t="s">
        <v>3312</v>
      </c>
      <c r="B15" t="s">
        <v>30</v>
      </c>
      <c r="C15" t="s">
        <v>24</v>
      </c>
      <c r="D15" t="s">
        <v>189</v>
      </c>
    </row>
    <row r="16" spans="1:4" x14ac:dyDescent="0.3">
      <c r="A16" t="s">
        <v>4175</v>
      </c>
      <c r="B16" t="s">
        <v>4176</v>
      </c>
      <c r="C16" t="s">
        <v>4177</v>
      </c>
      <c r="D16" t="s">
        <v>4178</v>
      </c>
    </row>
    <row r="17" spans="1:4" x14ac:dyDescent="0.3">
      <c r="A17" t="s">
        <v>102</v>
      </c>
      <c r="B17" t="s">
        <v>4179</v>
      </c>
      <c r="C17" t="s">
        <v>4180</v>
      </c>
      <c r="D17" t="s">
        <v>4178</v>
      </c>
    </row>
    <row r="18" spans="1:4" x14ac:dyDescent="0.3">
      <c r="A18" t="s">
        <v>3843</v>
      </c>
      <c r="B18" t="s">
        <v>4181</v>
      </c>
      <c r="C18" t="s">
        <v>4182</v>
      </c>
      <c r="D18" t="s">
        <v>4183</v>
      </c>
    </row>
    <row r="19" spans="1:4" x14ac:dyDescent="0.3">
      <c r="A19" t="s">
        <v>51</v>
      </c>
      <c r="B19" t="s">
        <v>4184</v>
      </c>
      <c r="C19" t="s">
        <v>4185</v>
      </c>
      <c r="D19" t="s">
        <v>4186</v>
      </c>
    </row>
    <row r="20" spans="1:4" x14ac:dyDescent="0.3">
      <c r="A20" t="s">
        <v>52</v>
      </c>
      <c r="B20" t="s">
        <v>4187</v>
      </c>
      <c r="C20" t="s">
        <v>3081</v>
      </c>
      <c r="D20" t="s">
        <v>4188</v>
      </c>
    </row>
    <row r="21" spans="1:4" x14ac:dyDescent="0.3">
      <c r="A21" t="s">
        <v>165</v>
      </c>
      <c r="B21" t="s">
        <v>4189</v>
      </c>
      <c r="C21" t="s">
        <v>197</v>
      </c>
      <c r="D21" t="s">
        <v>197</v>
      </c>
    </row>
    <row r="23" spans="1:4" x14ac:dyDescent="0.3">
      <c r="A23" t="s">
        <v>3848</v>
      </c>
      <c r="B23" t="s">
        <v>30</v>
      </c>
      <c r="C23" t="s">
        <v>24</v>
      </c>
      <c r="D23" t="s">
        <v>189</v>
      </c>
    </row>
    <row r="24" spans="1:4" x14ac:dyDescent="0.3">
      <c r="A24" t="s">
        <v>3849</v>
      </c>
      <c r="B24" t="s">
        <v>4190</v>
      </c>
      <c r="C24" t="s">
        <v>4191</v>
      </c>
      <c r="D24" t="s">
        <v>4192</v>
      </c>
    </row>
    <row r="25" spans="1:4" x14ac:dyDescent="0.3">
      <c r="A25" t="s">
        <v>3853</v>
      </c>
      <c r="B25" t="s">
        <v>4193</v>
      </c>
      <c r="C25" t="s">
        <v>4194</v>
      </c>
      <c r="D25" t="s">
        <v>4195</v>
      </c>
    </row>
    <row r="26" spans="1:4" x14ac:dyDescent="0.3">
      <c r="A26" t="s">
        <v>3857</v>
      </c>
      <c r="B26" t="s">
        <v>4196</v>
      </c>
      <c r="C26" t="s">
        <v>4197</v>
      </c>
      <c r="D26" t="s">
        <v>4198</v>
      </c>
    </row>
    <row r="27" spans="1:4" x14ac:dyDescent="0.3">
      <c r="A27" t="s">
        <v>3861</v>
      </c>
      <c r="B27" t="s">
        <v>3028</v>
      </c>
      <c r="C27" t="s">
        <v>4199</v>
      </c>
      <c r="D27" t="s">
        <v>4200</v>
      </c>
    </row>
    <row r="28" spans="1:4" x14ac:dyDescent="0.3">
      <c r="A28" t="s">
        <v>4201</v>
      </c>
      <c r="B28" t="s">
        <v>4202</v>
      </c>
      <c r="C28" t="s">
        <v>4203</v>
      </c>
      <c r="D28" t="s">
        <v>4204</v>
      </c>
    </row>
    <row r="30" spans="1:4" x14ac:dyDescent="0.3">
      <c r="A30" t="s">
        <v>4205</v>
      </c>
      <c r="B30" t="s">
        <v>31</v>
      </c>
      <c r="C30" t="s">
        <v>4206</v>
      </c>
      <c r="D30" t="s">
        <v>189</v>
      </c>
    </row>
    <row r="31" spans="1:4" x14ac:dyDescent="0.3">
      <c r="A31" t="s">
        <v>4207</v>
      </c>
      <c r="B31" t="s">
        <v>4208</v>
      </c>
      <c r="C31" t="s">
        <v>4209</v>
      </c>
      <c r="D31" t="s">
        <v>3822</v>
      </c>
    </row>
    <row r="32" spans="1:4" x14ac:dyDescent="0.3">
      <c r="A32" t="s">
        <v>4210</v>
      </c>
      <c r="B32" t="s">
        <v>4211</v>
      </c>
      <c r="C32" t="s">
        <v>4212</v>
      </c>
      <c r="D32" t="s">
        <v>4213</v>
      </c>
    </row>
    <row r="33" spans="1:4" x14ac:dyDescent="0.3">
      <c r="A33" t="s">
        <v>4214</v>
      </c>
      <c r="B33" t="s">
        <v>4215</v>
      </c>
      <c r="C33" t="s">
        <v>4216</v>
      </c>
      <c r="D33" t="s">
        <v>4217</v>
      </c>
    </row>
    <row r="35" spans="1:4" x14ac:dyDescent="0.3">
      <c r="A35" t="s">
        <v>3863</v>
      </c>
      <c r="B35" t="s">
        <v>188</v>
      </c>
      <c r="C35" t="s">
        <v>1053</v>
      </c>
      <c r="D35" t="s">
        <v>248</v>
      </c>
    </row>
    <row r="36" spans="1:4" x14ac:dyDescent="0.3">
      <c r="A36" t="s">
        <v>4218</v>
      </c>
      <c r="B36" t="s">
        <v>4219</v>
      </c>
      <c r="C36" t="s">
        <v>4220</v>
      </c>
      <c r="D36" t="s">
        <v>4221</v>
      </c>
    </row>
    <row r="37" spans="1:4" x14ac:dyDescent="0.3">
      <c r="A37" t="s">
        <v>4222</v>
      </c>
      <c r="B37" t="s">
        <v>4223</v>
      </c>
      <c r="C37" t="s">
        <v>4224</v>
      </c>
      <c r="D37" t="s">
        <v>4225</v>
      </c>
    </row>
    <row r="38" spans="1:4" x14ac:dyDescent="0.3">
      <c r="A38" t="s">
        <v>136</v>
      </c>
      <c r="B38" t="s">
        <v>4226</v>
      </c>
      <c r="C38" t="s">
        <v>4227</v>
      </c>
      <c r="D38" t="s">
        <v>4228</v>
      </c>
    </row>
    <row r="39" spans="1:4" x14ac:dyDescent="0.3">
      <c r="A39" t="s">
        <v>95</v>
      </c>
      <c r="B39" t="s">
        <v>4229</v>
      </c>
      <c r="C39" t="s">
        <v>1496</v>
      </c>
      <c r="D39" t="s">
        <v>4230</v>
      </c>
    </row>
    <row r="40" spans="1:4" x14ac:dyDescent="0.3">
      <c r="A40" t="s">
        <v>3973</v>
      </c>
      <c r="B40" t="s">
        <v>4231</v>
      </c>
      <c r="C40" t="s">
        <v>4232</v>
      </c>
      <c r="D40" t="s">
        <v>4233</v>
      </c>
    </row>
    <row r="41" spans="1:4" x14ac:dyDescent="0.3">
      <c r="A41" t="s">
        <v>127</v>
      </c>
      <c r="B41" t="s">
        <v>4234</v>
      </c>
      <c r="C41" t="s">
        <v>4235</v>
      </c>
      <c r="D41" t="s">
        <v>4236</v>
      </c>
    </row>
    <row r="43" spans="1:4" x14ac:dyDescent="0.3">
      <c r="A43" t="s">
        <v>3897</v>
      </c>
      <c r="B43" t="s">
        <v>238</v>
      </c>
    </row>
    <row r="44" spans="1:4" x14ac:dyDescent="0.3">
      <c r="A44" t="s">
        <v>4237</v>
      </c>
      <c r="B44" t="s">
        <v>4238</v>
      </c>
    </row>
    <row r="45" spans="1:4" x14ac:dyDescent="0.3">
      <c r="A45" t="s">
        <v>4239</v>
      </c>
      <c r="B45" t="s">
        <v>4240</v>
      </c>
    </row>
    <row r="47" spans="1:4" x14ac:dyDescent="0.3">
      <c r="A47" t="s">
        <v>3879</v>
      </c>
      <c r="B47" t="s">
        <v>238</v>
      </c>
      <c r="C47" t="s">
        <v>274</v>
      </c>
    </row>
    <row r="48" spans="1:4" x14ac:dyDescent="0.3">
      <c r="A48" t="s">
        <v>3880</v>
      </c>
      <c r="B48" t="s">
        <v>4241</v>
      </c>
      <c r="C48" t="s">
        <v>4242</v>
      </c>
    </row>
    <row r="49" spans="1:4" x14ac:dyDescent="0.3">
      <c r="A49" t="s">
        <v>3337</v>
      </c>
      <c r="B49" t="s">
        <v>4243</v>
      </c>
      <c r="C49" t="s">
        <v>4242</v>
      </c>
    </row>
    <row r="50" spans="1:4" x14ac:dyDescent="0.3">
      <c r="A50" t="s">
        <v>3220</v>
      </c>
      <c r="B50" t="s">
        <v>4244</v>
      </c>
      <c r="C50" t="s">
        <v>4242</v>
      </c>
    </row>
    <row r="51" spans="1:4" x14ac:dyDescent="0.3">
      <c r="A51" t="s">
        <v>4245</v>
      </c>
      <c r="B51" t="s">
        <v>4246</v>
      </c>
      <c r="C51" t="s">
        <v>30</v>
      </c>
    </row>
    <row r="52" spans="1:4" x14ac:dyDescent="0.3">
      <c r="A52" t="s">
        <v>4247</v>
      </c>
      <c r="B52" t="s">
        <v>4248</v>
      </c>
      <c r="C52" t="s">
        <v>4249</v>
      </c>
    </row>
    <row r="53" spans="1:4" x14ac:dyDescent="0.3">
      <c r="A53" t="s">
        <v>4250</v>
      </c>
      <c r="B53" t="s">
        <v>4251</v>
      </c>
      <c r="C53" t="s">
        <v>30</v>
      </c>
    </row>
    <row r="54" spans="1:4" x14ac:dyDescent="0.3">
      <c r="A54" t="s">
        <v>4252</v>
      </c>
      <c r="B54" t="s">
        <v>4253</v>
      </c>
    </row>
    <row r="56" spans="1:4" x14ac:dyDescent="0.3">
      <c r="A56" t="s">
        <v>273</v>
      </c>
      <c r="B56" t="s">
        <v>238</v>
      </c>
      <c r="C56" t="s">
        <v>274</v>
      </c>
    </row>
    <row r="57" spans="1:4" x14ac:dyDescent="0.3">
      <c r="A57" t="s">
        <v>4254</v>
      </c>
      <c r="B57" t="s">
        <v>4255</v>
      </c>
      <c r="C57" t="s">
        <v>4256</v>
      </c>
    </row>
    <row r="58" spans="1:4" x14ac:dyDescent="0.3">
      <c r="A58" t="s">
        <v>4257</v>
      </c>
      <c r="B58" t="s">
        <v>4258</v>
      </c>
      <c r="C58" t="s">
        <v>36</v>
      </c>
    </row>
    <row r="59" spans="1:4" x14ac:dyDescent="0.3">
      <c r="A59" t="s">
        <v>4259</v>
      </c>
      <c r="B59" t="s">
        <v>4260</v>
      </c>
      <c r="C59" t="s">
        <v>36</v>
      </c>
    </row>
    <row r="60" spans="1:4" x14ac:dyDescent="0.3">
      <c r="A60" t="s">
        <v>4261</v>
      </c>
      <c r="B60" t="s">
        <v>4262</v>
      </c>
      <c r="C60" t="s">
        <v>33</v>
      </c>
    </row>
    <row r="61" spans="1:4" x14ac:dyDescent="0.3">
      <c r="A61" t="s">
        <v>4263</v>
      </c>
      <c r="B61" t="s">
        <v>4264</v>
      </c>
      <c r="C61" t="s">
        <v>34</v>
      </c>
    </row>
    <row r="62" spans="1:4" x14ac:dyDescent="0.3">
      <c r="A62" t="s">
        <v>4265</v>
      </c>
      <c r="B62" t="s">
        <v>4266</v>
      </c>
      <c r="C62" t="s">
        <v>4256</v>
      </c>
    </row>
    <row r="64" spans="1:4" x14ac:dyDescent="0.3">
      <c r="A64" s="25" t="s">
        <v>281</v>
      </c>
      <c r="B64" s="25"/>
      <c r="C64" s="25"/>
      <c r="D64" s="25"/>
    </row>
    <row r="65" spans="1:1" x14ac:dyDescent="0.3">
      <c r="A65" t="s">
        <v>4267</v>
      </c>
    </row>
    <row r="66" spans="1:1" x14ac:dyDescent="0.3">
      <c r="A66" t="s">
        <v>4268</v>
      </c>
    </row>
    <row r="67" spans="1:1" x14ac:dyDescent="0.3">
      <c r="A67" t="s">
        <v>4269</v>
      </c>
    </row>
    <row r="68" spans="1:1" x14ac:dyDescent="0.3">
      <c r="A68" t="s">
        <v>4270</v>
      </c>
    </row>
    <row r="69" spans="1:1" x14ac:dyDescent="0.3">
      <c r="A69" t="s">
        <v>4271</v>
      </c>
    </row>
    <row r="70" spans="1:1" x14ac:dyDescent="0.3">
      <c r="A70" t="s">
        <v>4272</v>
      </c>
    </row>
    <row r="71" spans="1:1" x14ac:dyDescent="0.3">
      <c r="A71" t="s">
        <v>4273</v>
      </c>
    </row>
    <row r="72" spans="1:1" x14ac:dyDescent="0.3">
      <c r="A72" t="s">
        <v>4274</v>
      </c>
    </row>
    <row r="73" spans="1:1" x14ac:dyDescent="0.3">
      <c r="A73" t="s">
        <v>4275</v>
      </c>
    </row>
    <row r="74" spans="1:1" x14ac:dyDescent="0.3">
      <c r="A74" t="s">
        <v>4276</v>
      </c>
    </row>
    <row r="75" spans="1:1" x14ac:dyDescent="0.3">
      <c r="A75" t="s">
        <v>4277</v>
      </c>
    </row>
    <row r="76" spans="1:1" x14ac:dyDescent="0.3">
      <c r="A76" t="s">
        <v>4278</v>
      </c>
    </row>
    <row r="77" spans="1:1" x14ac:dyDescent="0.3">
      <c r="A77" t="s">
        <v>4279</v>
      </c>
    </row>
    <row r="78" spans="1:1" x14ac:dyDescent="0.3">
      <c r="A78" t="s">
        <v>4280</v>
      </c>
    </row>
    <row r="79" spans="1:1" x14ac:dyDescent="0.3">
      <c r="A79" t="s">
        <v>4281</v>
      </c>
    </row>
    <row r="80" spans="1:1" x14ac:dyDescent="0.3">
      <c r="A80" t="s">
        <v>4282</v>
      </c>
    </row>
    <row r="81" spans="1:4" x14ac:dyDescent="0.3">
      <c r="A81" t="s">
        <v>4283</v>
      </c>
    </row>
    <row r="82" spans="1:4" x14ac:dyDescent="0.3">
      <c r="A82" t="s">
        <v>4284</v>
      </c>
    </row>
    <row r="83" spans="1:4" x14ac:dyDescent="0.3">
      <c r="A83" t="s">
        <v>4285</v>
      </c>
    </row>
    <row r="84" spans="1:4" x14ac:dyDescent="0.3">
      <c r="A84" t="s">
        <v>4286</v>
      </c>
    </row>
    <row r="85" spans="1:4" x14ac:dyDescent="0.3">
      <c r="A85" t="s">
        <v>4287</v>
      </c>
    </row>
    <row r="87" spans="1:4" x14ac:dyDescent="0.3">
      <c r="A87" s="25" t="s">
        <v>295</v>
      </c>
      <c r="B87" s="25"/>
      <c r="C87" s="25"/>
      <c r="D87" s="25"/>
    </row>
    <row r="88" spans="1:4" x14ac:dyDescent="0.3">
      <c r="A88" t="s">
        <v>296</v>
      </c>
      <c r="B88" t="s">
        <v>4288</v>
      </c>
      <c r="C88" t="s">
        <v>2314</v>
      </c>
    </row>
    <row r="89" spans="1:4" x14ac:dyDescent="0.3">
      <c r="A89" t="s">
        <v>299</v>
      </c>
      <c r="B89" t="s">
        <v>4289</v>
      </c>
    </row>
    <row r="90" spans="1:4" x14ac:dyDescent="0.3">
      <c r="A90" t="s">
        <v>301</v>
      </c>
      <c r="B90" t="s">
        <v>4290</v>
      </c>
    </row>
    <row r="91" spans="1:4" x14ac:dyDescent="0.3">
      <c r="A91" t="s">
        <v>303</v>
      </c>
      <c r="B91" t="s">
        <v>4291</v>
      </c>
      <c r="C91" t="s">
        <v>3949</v>
      </c>
    </row>
    <row r="92" spans="1:4" x14ac:dyDescent="0.3">
      <c r="A92" t="s">
        <v>299</v>
      </c>
      <c r="B92" t="s">
        <v>4292</v>
      </c>
    </row>
    <row r="93" spans="1:4" x14ac:dyDescent="0.3">
      <c r="A93" t="s">
        <v>301</v>
      </c>
      <c r="B93" t="s">
        <v>4293</v>
      </c>
    </row>
    <row r="94" spans="1:4" x14ac:dyDescent="0.3">
      <c r="A94" t="s">
        <v>307</v>
      </c>
      <c r="B94" t="s">
        <v>4294</v>
      </c>
      <c r="C94" t="s">
        <v>4295</v>
      </c>
    </row>
    <row r="95" spans="1:4" x14ac:dyDescent="0.3">
      <c r="A95" t="s">
        <v>299</v>
      </c>
      <c r="B95" t="s">
        <v>4296</v>
      </c>
    </row>
    <row r="96" spans="1:4" x14ac:dyDescent="0.3">
      <c r="A96" t="s">
        <v>301</v>
      </c>
      <c r="B96" t="s">
        <v>4297</v>
      </c>
    </row>
    <row r="97" spans="1:3" x14ac:dyDescent="0.3">
      <c r="A97" t="s">
        <v>311</v>
      </c>
      <c r="B97" t="s">
        <v>4298</v>
      </c>
      <c r="C97" t="s">
        <v>3945</v>
      </c>
    </row>
    <row r="98" spans="1:3" x14ac:dyDescent="0.3">
      <c r="A98" t="s">
        <v>299</v>
      </c>
      <c r="B98" t="s">
        <v>4299</v>
      </c>
    </row>
    <row r="99" spans="1:3" x14ac:dyDescent="0.3">
      <c r="A99" t="s">
        <v>301</v>
      </c>
      <c r="B99" t="s">
        <v>4300</v>
      </c>
    </row>
    <row r="100" spans="1:3" x14ac:dyDescent="0.3">
      <c r="A100" t="s">
        <v>316</v>
      </c>
      <c r="B100" t="s">
        <v>4301</v>
      </c>
      <c r="C100" t="s">
        <v>4302</v>
      </c>
    </row>
    <row r="101" spans="1:3" x14ac:dyDescent="0.3">
      <c r="A101" t="s">
        <v>299</v>
      </c>
      <c r="B101" t="s">
        <v>4303</v>
      </c>
    </row>
    <row r="102" spans="1:3" x14ac:dyDescent="0.3">
      <c r="A102" t="s">
        <v>301</v>
      </c>
      <c r="B102" t="s">
        <v>4304</v>
      </c>
    </row>
    <row r="103" spans="1:3" x14ac:dyDescent="0.3">
      <c r="A103" t="s">
        <v>320</v>
      </c>
      <c r="B103" t="s">
        <v>4305</v>
      </c>
      <c r="C103" t="s">
        <v>3938</v>
      </c>
    </row>
    <row r="104" spans="1:3" x14ac:dyDescent="0.3">
      <c r="A104" t="s">
        <v>299</v>
      </c>
      <c r="B104" t="s">
        <v>4306</v>
      </c>
    </row>
    <row r="105" spans="1:3" x14ac:dyDescent="0.3">
      <c r="A105" t="s">
        <v>301</v>
      </c>
      <c r="B105" t="s">
        <v>4307</v>
      </c>
    </row>
    <row r="106" spans="1:3" x14ac:dyDescent="0.3">
      <c r="A106" t="s">
        <v>324</v>
      </c>
      <c r="B106" t="s">
        <v>4308</v>
      </c>
      <c r="C106" t="s">
        <v>4309</v>
      </c>
    </row>
    <row r="107" spans="1:3" x14ac:dyDescent="0.3">
      <c r="A107" t="s">
        <v>299</v>
      </c>
      <c r="B107" t="s">
        <v>4310</v>
      </c>
    </row>
    <row r="108" spans="1:3" x14ac:dyDescent="0.3">
      <c r="A108" t="s">
        <v>301</v>
      </c>
      <c r="B108" t="s">
        <v>4311</v>
      </c>
    </row>
    <row r="109" spans="1:3" x14ac:dyDescent="0.3">
      <c r="A109" t="s">
        <v>328</v>
      </c>
      <c r="B109" t="s">
        <v>4312</v>
      </c>
      <c r="C109" t="s">
        <v>4313</v>
      </c>
    </row>
    <row r="110" spans="1:3" x14ac:dyDescent="0.3">
      <c r="A110" t="s">
        <v>299</v>
      </c>
      <c r="B110" t="s">
        <v>4314</v>
      </c>
    </row>
    <row r="111" spans="1:3" x14ac:dyDescent="0.3">
      <c r="A111" t="s">
        <v>301</v>
      </c>
      <c r="B111" t="s">
        <v>4315</v>
      </c>
    </row>
    <row r="112" spans="1:3" x14ac:dyDescent="0.3">
      <c r="A112" t="s">
        <v>333</v>
      </c>
      <c r="B112" t="s">
        <v>4316</v>
      </c>
      <c r="C112" t="s">
        <v>3953</v>
      </c>
    </row>
    <row r="113" spans="1:3" x14ac:dyDescent="0.3">
      <c r="A113" t="s">
        <v>299</v>
      </c>
      <c r="B113" t="s">
        <v>4317</v>
      </c>
    </row>
    <row r="114" spans="1:3" x14ac:dyDescent="0.3">
      <c r="A114" t="s">
        <v>301</v>
      </c>
      <c r="B114" t="s">
        <v>4318</v>
      </c>
    </row>
    <row r="115" spans="1:3" x14ac:dyDescent="0.3">
      <c r="A115" t="s">
        <v>337</v>
      </c>
      <c r="B115" t="s">
        <v>4319</v>
      </c>
      <c r="C115" t="s">
        <v>1192</v>
      </c>
    </row>
    <row r="116" spans="1:3" x14ac:dyDescent="0.3">
      <c r="A116" t="s">
        <v>299</v>
      </c>
      <c r="B116" t="s">
        <v>4320</v>
      </c>
    </row>
    <row r="117" spans="1:3" x14ac:dyDescent="0.3">
      <c r="A117" t="s">
        <v>301</v>
      </c>
      <c r="B117" t="s">
        <v>4321</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D140"/>
  <sheetViews>
    <sheetView workbookViewId="0"/>
  </sheetViews>
  <sheetFormatPr defaultRowHeight="14.4" x14ac:dyDescent="0.3"/>
  <cols>
    <col min="1" max="1" width="46" customWidth="1"/>
    <col min="2" max="8" width="15" customWidth="1"/>
  </cols>
  <sheetData>
    <row r="1" spans="1:4" x14ac:dyDescent="0.3">
      <c r="A1" s="24" t="s">
        <v>181</v>
      </c>
      <c r="B1" t="s">
        <v>4322</v>
      </c>
    </row>
    <row r="2" spans="1:4" x14ac:dyDescent="0.3">
      <c r="A2" s="24" t="s">
        <v>183</v>
      </c>
      <c r="B2" t="s">
        <v>4323</v>
      </c>
    </row>
    <row r="4" spans="1:4" x14ac:dyDescent="0.3">
      <c r="A4" s="25" t="s">
        <v>185</v>
      </c>
      <c r="B4" s="25"/>
      <c r="C4" s="25"/>
      <c r="D4" s="25"/>
    </row>
    <row r="5" spans="1:4" x14ac:dyDescent="0.3">
      <c r="A5" t="s">
        <v>3965</v>
      </c>
      <c r="B5" t="s">
        <v>188</v>
      </c>
      <c r="C5" t="s">
        <v>1053</v>
      </c>
      <c r="D5" t="s">
        <v>248</v>
      </c>
    </row>
    <row r="6" spans="1:4" x14ac:dyDescent="0.3">
      <c r="A6" t="s">
        <v>3966</v>
      </c>
      <c r="B6" t="s">
        <v>4324</v>
      </c>
      <c r="C6" t="s">
        <v>4325</v>
      </c>
      <c r="D6" t="s">
        <v>3967</v>
      </c>
    </row>
    <row r="7" spans="1:4" x14ac:dyDescent="0.3">
      <c r="A7" t="s">
        <v>4326</v>
      </c>
      <c r="B7" t="s">
        <v>1526</v>
      </c>
      <c r="C7" t="s">
        <v>197</v>
      </c>
      <c r="D7" t="s">
        <v>4327</v>
      </c>
    </row>
    <row r="8" spans="1:4" x14ac:dyDescent="0.3">
      <c r="A8" t="s">
        <v>4328</v>
      </c>
      <c r="B8" t="s">
        <v>4329</v>
      </c>
      <c r="C8" t="s">
        <v>197</v>
      </c>
      <c r="D8" t="s">
        <v>4330</v>
      </c>
    </row>
    <row r="9" spans="1:4" x14ac:dyDescent="0.3">
      <c r="A9" t="s">
        <v>4259</v>
      </c>
      <c r="B9" t="s">
        <v>4331</v>
      </c>
      <c r="C9" t="s">
        <v>4332</v>
      </c>
      <c r="D9" t="s">
        <v>4333</v>
      </c>
    </row>
    <row r="11" spans="1:4" x14ac:dyDescent="0.3">
      <c r="A11" t="s">
        <v>4334</v>
      </c>
      <c r="B11" t="s">
        <v>238</v>
      </c>
      <c r="C11" t="s">
        <v>1053</v>
      </c>
    </row>
    <row r="12" spans="1:4" x14ac:dyDescent="0.3">
      <c r="A12" t="s">
        <v>4335</v>
      </c>
      <c r="B12" t="s">
        <v>3633</v>
      </c>
      <c r="C12" t="s">
        <v>4336</v>
      </c>
      <c r="D12" t="s">
        <v>4337</v>
      </c>
    </row>
    <row r="13" spans="1:4" x14ac:dyDescent="0.3">
      <c r="A13" t="s">
        <v>3444</v>
      </c>
      <c r="B13" t="s">
        <v>2484</v>
      </c>
      <c r="C13" t="s">
        <v>4338</v>
      </c>
      <c r="D13" t="s">
        <v>4339</v>
      </c>
    </row>
    <row r="14" spans="1:4" x14ac:dyDescent="0.3">
      <c r="A14" t="s">
        <v>3980</v>
      </c>
      <c r="B14" t="s">
        <v>639</v>
      </c>
      <c r="C14" t="s">
        <v>197</v>
      </c>
    </row>
    <row r="15" spans="1:4" x14ac:dyDescent="0.3">
      <c r="A15" t="s">
        <v>3982</v>
      </c>
      <c r="B15" t="s">
        <v>808</v>
      </c>
      <c r="C15" t="s">
        <v>197</v>
      </c>
    </row>
    <row r="16" spans="1:4" x14ac:dyDescent="0.3">
      <c r="A16" t="s">
        <v>3636</v>
      </c>
      <c r="B16" t="s">
        <v>4340</v>
      </c>
      <c r="C16" t="s">
        <v>197</v>
      </c>
    </row>
    <row r="18" spans="1:3" x14ac:dyDescent="0.3">
      <c r="A18" t="s">
        <v>4341</v>
      </c>
      <c r="B18" t="s">
        <v>238</v>
      </c>
      <c r="C18" t="s">
        <v>4342</v>
      </c>
    </row>
    <row r="19" spans="1:3" x14ac:dyDescent="0.3">
      <c r="A19" t="s">
        <v>4343</v>
      </c>
      <c r="B19" t="s">
        <v>4344</v>
      </c>
      <c r="C19" t="s">
        <v>4345</v>
      </c>
    </row>
    <row r="20" spans="1:3" x14ac:dyDescent="0.3">
      <c r="A20" t="s">
        <v>4346</v>
      </c>
      <c r="B20" t="s">
        <v>4347</v>
      </c>
      <c r="C20" t="s">
        <v>4348</v>
      </c>
    </row>
    <row r="21" spans="1:3" x14ac:dyDescent="0.3">
      <c r="A21" t="s">
        <v>4006</v>
      </c>
      <c r="B21" t="s">
        <v>4349</v>
      </c>
      <c r="C21" t="s">
        <v>197</v>
      </c>
    </row>
    <row r="23" spans="1:3" x14ac:dyDescent="0.3">
      <c r="A23" t="s">
        <v>4350</v>
      </c>
      <c r="B23" t="s">
        <v>238</v>
      </c>
    </row>
    <row r="24" spans="1:3" x14ac:dyDescent="0.3">
      <c r="A24" t="s">
        <v>4001</v>
      </c>
      <c r="B24" t="s">
        <v>4351</v>
      </c>
    </row>
    <row r="25" spans="1:3" x14ac:dyDescent="0.3">
      <c r="A25" t="s">
        <v>4352</v>
      </c>
      <c r="B25" t="s">
        <v>4353</v>
      </c>
    </row>
    <row r="26" spans="1:3" x14ac:dyDescent="0.3">
      <c r="A26" t="s">
        <v>4354</v>
      </c>
      <c r="B26" t="s">
        <v>4355</v>
      </c>
    </row>
    <row r="27" spans="1:3" x14ac:dyDescent="0.3">
      <c r="A27" t="s">
        <v>3334</v>
      </c>
      <c r="B27" t="s">
        <v>4356</v>
      </c>
    </row>
    <row r="28" spans="1:3" x14ac:dyDescent="0.3">
      <c r="A28" t="s">
        <v>4357</v>
      </c>
      <c r="B28" t="s">
        <v>4358</v>
      </c>
    </row>
    <row r="29" spans="1:3" x14ac:dyDescent="0.3">
      <c r="A29" t="s">
        <v>4359</v>
      </c>
      <c r="B29" t="s">
        <v>4360</v>
      </c>
    </row>
    <row r="30" spans="1:3" x14ac:dyDescent="0.3">
      <c r="A30" t="s">
        <v>4361</v>
      </c>
      <c r="B30" t="s">
        <v>4362</v>
      </c>
    </row>
    <row r="31" spans="1:3" x14ac:dyDescent="0.3">
      <c r="A31" t="s">
        <v>4363</v>
      </c>
      <c r="B31" t="s">
        <v>4364</v>
      </c>
    </row>
    <row r="33" spans="1:4" x14ac:dyDescent="0.3">
      <c r="A33" t="s">
        <v>273</v>
      </c>
      <c r="B33" t="s">
        <v>238</v>
      </c>
      <c r="C33" t="s">
        <v>274</v>
      </c>
    </row>
    <row r="34" spans="1:4" x14ac:dyDescent="0.3">
      <c r="A34" t="s">
        <v>4365</v>
      </c>
      <c r="B34" t="s">
        <v>4366</v>
      </c>
      <c r="C34" t="s">
        <v>36</v>
      </c>
    </row>
    <row r="35" spans="1:4" x14ac:dyDescent="0.3">
      <c r="A35" t="s">
        <v>4367</v>
      </c>
      <c r="B35" t="s">
        <v>4368</v>
      </c>
      <c r="C35" t="s">
        <v>4103</v>
      </c>
    </row>
    <row r="36" spans="1:4" x14ac:dyDescent="0.3">
      <c r="A36" t="s">
        <v>124</v>
      </c>
      <c r="B36" t="s">
        <v>874</v>
      </c>
      <c r="C36" t="s">
        <v>2497</v>
      </c>
    </row>
    <row r="37" spans="1:4" x14ac:dyDescent="0.3">
      <c r="A37" t="s">
        <v>4369</v>
      </c>
      <c r="B37" t="s">
        <v>4370</v>
      </c>
      <c r="C37" t="s">
        <v>2796</v>
      </c>
    </row>
    <row r="38" spans="1:4" x14ac:dyDescent="0.3">
      <c r="A38" t="s">
        <v>4371</v>
      </c>
      <c r="B38" t="s">
        <v>4372</v>
      </c>
      <c r="C38" t="s">
        <v>34</v>
      </c>
    </row>
    <row r="39" spans="1:4" x14ac:dyDescent="0.3">
      <c r="A39" t="s">
        <v>4373</v>
      </c>
      <c r="B39" t="s">
        <v>4374</v>
      </c>
      <c r="C39" t="s">
        <v>4375</v>
      </c>
    </row>
    <row r="40" spans="1:4" x14ac:dyDescent="0.3">
      <c r="A40" t="s">
        <v>4376</v>
      </c>
      <c r="B40" t="s">
        <v>4374</v>
      </c>
      <c r="C40" t="s">
        <v>4375</v>
      </c>
    </row>
    <row r="42" spans="1:4" x14ac:dyDescent="0.3">
      <c r="A42" s="25" t="s">
        <v>281</v>
      </c>
      <c r="B42" s="25"/>
      <c r="C42" s="25"/>
      <c r="D42" s="25"/>
    </row>
    <row r="43" spans="1:4" x14ac:dyDescent="0.3">
      <c r="A43" t="s">
        <v>4377</v>
      </c>
    </row>
    <row r="44" spans="1:4" x14ac:dyDescent="0.3">
      <c r="A44" t="s">
        <v>4378</v>
      </c>
    </row>
    <row r="45" spans="1:4" x14ac:dyDescent="0.3">
      <c r="A45" t="s">
        <v>4379</v>
      </c>
    </row>
    <row r="46" spans="1:4" x14ac:dyDescent="0.3">
      <c r="A46" t="s">
        <v>4380</v>
      </c>
    </row>
    <row r="47" spans="1:4" x14ac:dyDescent="0.3">
      <c r="A47" t="s">
        <v>4381</v>
      </c>
    </row>
    <row r="48" spans="1:4" x14ac:dyDescent="0.3">
      <c r="A48" t="s">
        <v>4382</v>
      </c>
    </row>
    <row r="49" spans="1:1" x14ac:dyDescent="0.3">
      <c r="A49" t="s">
        <v>4383</v>
      </c>
    </row>
    <row r="50" spans="1:1" x14ac:dyDescent="0.3">
      <c r="A50" t="s">
        <v>4384</v>
      </c>
    </row>
    <row r="51" spans="1:1" x14ac:dyDescent="0.3">
      <c r="A51" t="s">
        <v>4385</v>
      </c>
    </row>
    <row r="52" spans="1:1" x14ac:dyDescent="0.3">
      <c r="A52" t="s">
        <v>4386</v>
      </c>
    </row>
    <row r="53" spans="1:1" x14ac:dyDescent="0.3">
      <c r="A53" t="s">
        <v>4387</v>
      </c>
    </row>
    <row r="54" spans="1:1" x14ac:dyDescent="0.3">
      <c r="A54" t="s">
        <v>4388</v>
      </c>
    </row>
    <row r="55" spans="1:1" x14ac:dyDescent="0.3">
      <c r="A55" t="s">
        <v>4389</v>
      </c>
    </row>
    <row r="56" spans="1:1" x14ac:dyDescent="0.3">
      <c r="A56" t="s">
        <v>4390</v>
      </c>
    </row>
    <row r="57" spans="1:1" x14ac:dyDescent="0.3">
      <c r="A57" t="s">
        <v>4391</v>
      </c>
    </row>
    <row r="58" spans="1:1" x14ac:dyDescent="0.3">
      <c r="A58" t="s">
        <v>4392</v>
      </c>
    </row>
    <row r="59" spans="1:1" x14ac:dyDescent="0.3">
      <c r="A59" t="s">
        <v>4393</v>
      </c>
    </row>
    <row r="60" spans="1:1" x14ac:dyDescent="0.3">
      <c r="A60" t="s">
        <v>4394</v>
      </c>
    </row>
    <row r="61" spans="1:1" x14ac:dyDescent="0.3">
      <c r="A61" t="s">
        <v>4395</v>
      </c>
    </row>
    <row r="62" spans="1:1" x14ac:dyDescent="0.3">
      <c r="A62" t="s">
        <v>4396</v>
      </c>
    </row>
    <row r="63" spans="1:1" x14ac:dyDescent="0.3">
      <c r="A63" t="s">
        <v>4397</v>
      </c>
    </row>
    <row r="64" spans="1:1" x14ac:dyDescent="0.3">
      <c r="A64" t="s">
        <v>4398</v>
      </c>
    </row>
    <row r="65" spans="1:4" x14ac:dyDescent="0.3">
      <c r="A65" t="s">
        <v>4399</v>
      </c>
    </row>
    <row r="66" spans="1:4" x14ac:dyDescent="0.3">
      <c r="A66" t="s">
        <v>4400</v>
      </c>
    </row>
    <row r="68" spans="1:4" x14ac:dyDescent="0.3">
      <c r="A68" s="25" t="s">
        <v>295</v>
      </c>
      <c r="B68" s="25"/>
      <c r="C68" s="25"/>
      <c r="D68" s="25"/>
    </row>
    <row r="69" spans="1:4" x14ac:dyDescent="0.3">
      <c r="A69" t="s">
        <v>296</v>
      </c>
      <c r="B69" t="s">
        <v>4401</v>
      </c>
      <c r="C69" t="s">
        <v>3953</v>
      </c>
    </row>
    <row r="70" spans="1:4" x14ac:dyDescent="0.3">
      <c r="A70" t="s">
        <v>299</v>
      </c>
      <c r="B70" t="s">
        <v>4402</v>
      </c>
    </row>
    <row r="71" spans="1:4" x14ac:dyDescent="0.3">
      <c r="A71" t="s">
        <v>301</v>
      </c>
      <c r="B71" t="s">
        <v>4403</v>
      </c>
    </row>
    <row r="72" spans="1:4" x14ac:dyDescent="0.3">
      <c r="A72" t="s">
        <v>303</v>
      </c>
      <c r="B72" t="s">
        <v>4404</v>
      </c>
      <c r="C72" t="s">
        <v>3953</v>
      </c>
    </row>
    <row r="73" spans="1:4" x14ac:dyDescent="0.3">
      <c r="A73" t="s">
        <v>299</v>
      </c>
      <c r="B73" t="s">
        <v>4405</v>
      </c>
    </row>
    <row r="74" spans="1:4" x14ac:dyDescent="0.3">
      <c r="A74" t="s">
        <v>301</v>
      </c>
      <c r="B74" t="s">
        <v>4406</v>
      </c>
    </row>
    <row r="75" spans="1:4" x14ac:dyDescent="0.3">
      <c r="A75" t="s">
        <v>307</v>
      </c>
      <c r="B75" t="s">
        <v>4407</v>
      </c>
      <c r="C75" t="s">
        <v>3953</v>
      </c>
    </row>
    <row r="76" spans="1:4" x14ac:dyDescent="0.3">
      <c r="A76" t="s">
        <v>299</v>
      </c>
      <c r="B76" t="s">
        <v>4408</v>
      </c>
    </row>
    <row r="77" spans="1:4" x14ac:dyDescent="0.3">
      <c r="A77" t="s">
        <v>301</v>
      </c>
      <c r="B77" t="s">
        <v>4409</v>
      </c>
    </row>
    <row r="78" spans="1:4" x14ac:dyDescent="0.3">
      <c r="A78" t="s">
        <v>311</v>
      </c>
      <c r="B78" t="s">
        <v>4410</v>
      </c>
      <c r="C78" t="s">
        <v>3953</v>
      </c>
    </row>
    <row r="79" spans="1:4" x14ac:dyDescent="0.3">
      <c r="A79" t="s">
        <v>299</v>
      </c>
      <c r="B79" t="s">
        <v>4411</v>
      </c>
    </row>
    <row r="80" spans="1:4" x14ac:dyDescent="0.3">
      <c r="A80" t="s">
        <v>301</v>
      </c>
      <c r="B80" t="s">
        <v>4412</v>
      </c>
    </row>
    <row r="81" spans="1:3" x14ac:dyDescent="0.3">
      <c r="A81" t="s">
        <v>316</v>
      </c>
      <c r="B81" t="s">
        <v>4413</v>
      </c>
      <c r="C81" t="s">
        <v>3953</v>
      </c>
    </row>
    <row r="82" spans="1:3" x14ac:dyDescent="0.3">
      <c r="A82" t="s">
        <v>299</v>
      </c>
      <c r="B82" t="s">
        <v>4414</v>
      </c>
    </row>
    <row r="83" spans="1:3" x14ac:dyDescent="0.3">
      <c r="A83" t="s">
        <v>301</v>
      </c>
      <c r="B83" t="s">
        <v>4415</v>
      </c>
    </row>
    <row r="84" spans="1:3" x14ac:dyDescent="0.3">
      <c r="A84" t="s">
        <v>320</v>
      </c>
      <c r="B84" t="s">
        <v>4416</v>
      </c>
      <c r="C84" t="s">
        <v>4417</v>
      </c>
    </row>
    <row r="85" spans="1:3" x14ac:dyDescent="0.3">
      <c r="A85" t="s">
        <v>299</v>
      </c>
      <c r="B85" t="s">
        <v>4418</v>
      </c>
    </row>
    <row r="86" spans="1:3" x14ac:dyDescent="0.3">
      <c r="A86" t="s">
        <v>301</v>
      </c>
      <c r="B86" t="s">
        <v>4419</v>
      </c>
    </row>
    <row r="87" spans="1:3" x14ac:dyDescent="0.3">
      <c r="A87" t="s">
        <v>324</v>
      </c>
      <c r="B87" t="s">
        <v>4420</v>
      </c>
      <c r="C87" t="s">
        <v>4417</v>
      </c>
    </row>
    <row r="88" spans="1:3" x14ac:dyDescent="0.3">
      <c r="A88" t="s">
        <v>299</v>
      </c>
      <c r="B88" t="s">
        <v>4421</v>
      </c>
    </row>
    <row r="89" spans="1:3" x14ac:dyDescent="0.3">
      <c r="A89" t="s">
        <v>301</v>
      </c>
      <c r="B89" t="s">
        <v>4422</v>
      </c>
    </row>
    <row r="90" spans="1:3" x14ac:dyDescent="0.3">
      <c r="A90" t="s">
        <v>328</v>
      </c>
      <c r="B90" t="s">
        <v>4423</v>
      </c>
      <c r="C90" t="s">
        <v>4417</v>
      </c>
    </row>
    <row r="91" spans="1:3" x14ac:dyDescent="0.3">
      <c r="A91" t="s">
        <v>299</v>
      </c>
      <c r="B91" t="s">
        <v>4424</v>
      </c>
    </row>
    <row r="92" spans="1:3" x14ac:dyDescent="0.3">
      <c r="A92" t="s">
        <v>301</v>
      </c>
      <c r="B92" t="s">
        <v>4425</v>
      </c>
    </row>
    <row r="93" spans="1:3" x14ac:dyDescent="0.3">
      <c r="A93" t="s">
        <v>333</v>
      </c>
      <c r="B93" t="s">
        <v>4426</v>
      </c>
      <c r="C93" t="s">
        <v>4417</v>
      </c>
    </row>
    <row r="94" spans="1:3" x14ac:dyDescent="0.3">
      <c r="A94" t="s">
        <v>299</v>
      </c>
      <c r="B94" t="s">
        <v>4427</v>
      </c>
    </row>
    <row r="95" spans="1:3" x14ac:dyDescent="0.3">
      <c r="A95" t="s">
        <v>301</v>
      </c>
      <c r="B95" t="s">
        <v>4428</v>
      </c>
    </row>
    <row r="96" spans="1:3" x14ac:dyDescent="0.3">
      <c r="A96" t="s">
        <v>337</v>
      </c>
      <c r="B96" t="s">
        <v>4429</v>
      </c>
      <c r="C96" t="s">
        <v>3953</v>
      </c>
    </row>
    <row r="97" spans="1:3" x14ac:dyDescent="0.3">
      <c r="A97" t="s">
        <v>299</v>
      </c>
      <c r="B97" t="s">
        <v>4430</v>
      </c>
    </row>
    <row r="98" spans="1:3" x14ac:dyDescent="0.3">
      <c r="A98" t="s">
        <v>301</v>
      </c>
      <c r="B98" t="s">
        <v>4431</v>
      </c>
    </row>
    <row r="99" spans="1:3" x14ac:dyDescent="0.3">
      <c r="A99" t="s">
        <v>341</v>
      </c>
      <c r="B99" t="s">
        <v>4432</v>
      </c>
      <c r="C99" t="s">
        <v>3953</v>
      </c>
    </row>
    <row r="100" spans="1:3" x14ac:dyDescent="0.3">
      <c r="A100" t="s">
        <v>299</v>
      </c>
      <c r="B100" t="s">
        <v>4433</v>
      </c>
    </row>
    <row r="101" spans="1:3" x14ac:dyDescent="0.3">
      <c r="A101" t="s">
        <v>301</v>
      </c>
      <c r="B101" t="s">
        <v>4434</v>
      </c>
    </row>
    <row r="102" spans="1:3" x14ac:dyDescent="0.3">
      <c r="A102" t="s">
        <v>346</v>
      </c>
      <c r="B102" t="s">
        <v>4435</v>
      </c>
      <c r="C102" t="s">
        <v>3953</v>
      </c>
    </row>
    <row r="103" spans="1:3" x14ac:dyDescent="0.3">
      <c r="A103" t="s">
        <v>299</v>
      </c>
      <c r="B103" t="s">
        <v>4436</v>
      </c>
    </row>
    <row r="104" spans="1:3" x14ac:dyDescent="0.3">
      <c r="A104" t="s">
        <v>301</v>
      </c>
      <c r="B104" t="s">
        <v>4437</v>
      </c>
    </row>
    <row r="105" spans="1:3" x14ac:dyDescent="0.3">
      <c r="A105" t="s">
        <v>1453</v>
      </c>
      <c r="B105" t="s">
        <v>4438</v>
      </c>
      <c r="C105" t="s">
        <v>3953</v>
      </c>
    </row>
    <row r="106" spans="1:3" x14ac:dyDescent="0.3">
      <c r="A106" t="s">
        <v>299</v>
      </c>
      <c r="B106" t="s">
        <v>4439</v>
      </c>
    </row>
    <row r="107" spans="1:3" x14ac:dyDescent="0.3">
      <c r="A107" t="s">
        <v>301</v>
      </c>
      <c r="B107" t="s">
        <v>4440</v>
      </c>
    </row>
    <row r="108" spans="1:3" x14ac:dyDescent="0.3">
      <c r="A108" t="s">
        <v>1457</v>
      </c>
      <c r="B108" t="s">
        <v>4441</v>
      </c>
      <c r="C108" t="s">
        <v>3953</v>
      </c>
    </row>
    <row r="109" spans="1:3" x14ac:dyDescent="0.3">
      <c r="A109" t="s">
        <v>299</v>
      </c>
      <c r="B109" t="s">
        <v>4442</v>
      </c>
    </row>
    <row r="110" spans="1:3" x14ac:dyDescent="0.3">
      <c r="A110" t="s">
        <v>301</v>
      </c>
      <c r="B110" t="s">
        <v>4443</v>
      </c>
    </row>
    <row r="111" spans="1:3" x14ac:dyDescent="0.3">
      <c r="A111" t="s">
        <v>1461</v>
      </c>
      <c r="B111" t="s">
        <v>4444</v>
      </c>
      <c r="C111" t="s">
        <v>3953</v>
      </c>
    </row>
    <row r="112" spans="1:3" x14ac:dyDescent="0.3">
      <c r="A112" t="s">
        <v>299</v>
      </c>
      <c r="B112" t="s">
        <v>4445</v>
      </c>
    </row>
    <row r="113" spans="1:3" x14ac:dyDescent="0.3">
      <c r="A113" t="s">
        <v>301</v>
      </c>
      <c r="B113" t="s">
        <v>4446</v>
      </c>
    </row>
    <row r="114" spans="1:3" x14ac:dyDescent="0.3">
      <c r="A114" t="s">
        <v>1465</v>
      </c>
      <c r="B114" t="s">
        <v>4447</v>
      </c>
      <c r="C114" t="s">
        <v>4417</v>
      </c>
    </row>
    <row r="115" spans="1:3" x14ac:dyDescent="0.3">
      <c r="A115" t="s">
        <v>299</v>
      </c>
      <c r="B115" t="s">
        <v>4448</v>
      </c>
    </row>
    <row r="116" spans="1:3" x14ac:dyDescent="0.3">
      <c r="A116" t="s">
        <v>301</v>
      </c>
      <c r="B116" t="s">
        <v>4449</v>
      </c>
    </row>
    <row r="117" spans="1:3" x14ac:dyDescent="0.3">
      <c r="A117" t="s">
        <v>1469</v>
      </c>
      <c r="B117" t="s">
        <v>4450</v>
      </c>
      <c r="C117" t="s">
        <v>3953</v>
      </c>
    </row>
    <row r="118" spans="1:3" x14ac:dyDescent="0.3">
      <c r="A118" t="s">
        <v>299</v>
      </c>
      <c r="B118" t="s">
        <v>4451</v>
      </c>
    </row>
    <row r="119" spans="1:3" x14ac:dyDescent="0.3">
      <c r="A119" t="s">
        <v>301</v>
      </c>
      <c r="B119" t="s">
        <v>4452</v>
      </c>
    </row>
    <row r="120" spans="1:3" x14ac:dyDescent="0.3">
      <c r="A120" t="s">
        <v>1473</v>
      </c>
      <c r="B120" t="s">
        <v>4453</v>
      </c>
      <c r="C120" t="s">
        <v>3953</v>
      </c>
    </row>
    <row r="121" spans="1:3" x14ac:dyDescent="0.3">
      <c r="A121" t="s">
        <v>299</v>
      </c>
      <c r="B121" t="s">
        <v>4454</v>
      </c>
    </row>
    <row r="122" spans="1:3" x14ac:dyDescent="0.3">
      <c r="A122" t="s">
        <v>301</v>
      </c>
      <c r="B122" t="s">
        <v>4455</v>
      </c>
    </row>
    <row r="123" spans="1:3" x14ac:dyDescent="0.3">
      <c r="A123" t="s">
        <v>1477</v>
      </c>
      <c r="B123" t="s">
        <v>4456</v>
      </c>
      <c r="C123" t="s">
        <v>3953</v>
      </c>
    </row>
    <row r="124" spans="1:3" x14ac:dyDescent="0.3">
      <c r="A124" t="s">
        <v>299</v>
      </c>
      <c r="B124" t="s">
        <v>4457</v>
      </c>
    </row>
    <row r="125" spans="1:3" x14ac:dyDescent="0.3">
      <c r="A125" t="s">
        <v>301</v>
      </c>
      <c r="B125" t="s">
        <v>4458</v>
      </c>
    </row>
    <row r="126" spans="1:3" x14ac:dyDescent="0.3">
      <c r="A126" t="s">
        <v>2578</v>
      </c>
      <c r="B126" t="s">
        <v>4459</v>
      </c>
      <c r="C126" t="s">
        <v>3953</v>
      </c>
    </row>
    <row r="127" spans="1:3" x14ac:dyDescent="0.3">
      <c r="A127" t="s">
        <v>299</v>
      </c>
      <c r="B127" t="s">
        <v>4460</v>
      </c>
    </row>
    <row r="128" spans="1:3" x14ac:dyDescent="0.3">
      <c r="A128" t="s">
        <v>301</v>
      </c>
      <c r="B128" t="s">
        <v>4461</v>
      </c>
    </row>
    <row r="129" spans="1:3" x14ac:dyDescent="0.3">
      <c r="A129" t="s">
        <v>2582</v>
      </c>
      <c r="B129" t="s">
        <v>4462</v>
      </c>
      <c r="C129" t="s">
        <v>4417</v>
      </c>
    </row>
    <row r="130" spans="1:3" x14ac:dyDescent="0.3">
      <c r="A130" t="s">
        <v>299</v>
      </c>
      <c r="B130" t="s">
        <v>4463</v>
      </c>
    </row>
    <row r="131" spans="1:3" x14ac:dyDescent="0.3">
      <c r="A131" t="s">
        <v>301</v>
      </c>
      <c r="B131" t="s">
        <v>4464</v>
      </c>
    </row>
    <row r="132" spans="1:3" x14ac:dyDescent="0.3">
      <c r="A132" t="s">
        <v>4465</v>
      </c>
      <c r="B132" t="s">
        <v>4466</v>
      </c>
      <c r="C132" t="s">
        <v>4417</v>
      </c>
    </row>
    <row r="133" spans="1:3" x14ac:dyDescent="0.3">
      <c r="A133" t="s">
        <v>299</v>
      </c>
      <c r="B133" t="s">
        <v>4467</v>
      </c>
    </row>
    <row r="134" spans="1:3" x14ac:dyDescent="0.3">
      <c r="A134" t="s">
        <v>301</v>
      </c>
      <c r="B134" t="s">
        <v>4468</v>
      </c>
    </row>
    <row r="135" spans="1:3" x14ac:dyDescent="0.3">
      <c r="A135" t="s">
        <v>4469</v>
      </c>
      <c r="B135" t="s">
        <v>4470</v>
      </c>
      <c r="C135" t="s">
        <v>4417</v>
      </c>
    </row>
    <row r="136" spans="1:3" x14ac:dyDescent="0.3">
      <c r="A136" t="s">
        <v>299</v>
      </c>
      <c r="B136" t="s">
        <v>4471</v>
      </c>
    </row>
    <row r="137" spans="1:3" x14ac:dyDescent="0.3">
      <c r="A137" t="s">
        <v>301</v>
      </c>
      <c r="B137" t="s">
        <v>4472</v>
      </c>
    </row>
    <row r="138" spans="1:3" x14ac:dyDescent="0.3">
      <c r="A138" t="s">
        <v>4473</v>
      </c>
      <c r="B138" t="s">
        <v>3540</v>
      </c>
      <c r="C138" t="s">
        <v>3953</v>
      </c>
    </row>
    <row r="139" spans="1:3" x14ac:dyDescent="0.3">
      <c r="A139" t="s">
        <v>299</v>
      </c>
      <c r="B139" t="s">
        <v>4474</v>
      </c>
    </row>
    <row r="140" spans="1:3" x14ac:dyDescent="0.3">
      <c r="A140" t="s">
        <v>301</v>
      </c>
      <c r="B140" t="s">
        <v>4475</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D102"/>
  <sheetViews>
    <sheetView workbookViewId="0"/>
  </sheetViews>
  <sheetFormatPr defaultRowHeight="14.4" x14ac:dyDescent="0.3"/>
  <cols>
    <col min="1" max="1" width="46" customWidth="1"/>
    <col min="2" max="8" width="15" customWidth="1"/>
  </cols>
  <sheetData>
    <row r="1" spans="1:4" x14ac:dyDescent="0.3">
      <c r="A1" s="24" t="s">
        <v>181</v>
      </c>
      <c r="B1" t="s">
        <v>4476</v>
      </c>
    </row>
    <row r="2" spans="1:4" x14ac:dyDescent="0.3">
      <c r="A2" s="24" t="s">
        <v>183</v>
      </c>
      <c r="B2" t="s">
        <v>4477</v>
      </c>
    </row>
    <row r="4" spans="1:4" x14ac:dyDescent="0.3">
      <c r="A4" s="25" t="s">
        <v>185</v>
      </c>
      <c r="B4" s="25"/>
      <c r="C4" s="25"/>
      <c r="D4" s="25"/>
    </row>
    <row r="5" spans="1:4" x14ac:dyDescent="0.3">
      <c r="A5" t="s">
        <v>4478</v>
      </c>
      <c r="B5" t="s">
        <v>188</v>
      </c>
      <c r="C5" t="s">
        <v>1053</v>
      </c>
      <c r="D5" t="s">
        <v>248</v>
      </c>
    </row>
    <row r="6" spans="1:4" x14ac:dyDescent="0.3">
      <c r="A6" t="s">
        <v>4479</v>
      </c>
      <c r="B6" t="s">
        <v>4480</v>
      </c>
      <c r="C6" t="s">
        <v>4481</v>
      </c>
      <c r="D6" t="s">
        <v>4482</v>
      </c>
    </row>
    <row r="7" spans="1:4" x14ac:dyDescent="0.3">
      <c r="A7" t="s">
        <v>4483</v>
      </c>
      <c r="B7" t="s">
        <v>3852</v>
      </c>
      <c r="C7" t="s">
        <v>4484</v>
      </c>
      <c r="D7" t="s">
        <v>4485</v>
      </c>
    </row>
    <row r="8" spans="1:4" x14ac:dyDescent="0.3">
      <c r="A8" t="s">
        <v>4486</v>
      </c>
      <c r="B8" t="s">
        <v>2367</v>
      </c>
      <c r="C8" t="s">
        <v>1034</v>
      </c>
    </row>
    <row r="10" spans="1:4" x14ac:dyDescent="0.3">
      <c r="A10" t="s">
        <v>4487</v>
      </c>
      <c r="B10" t="s">
        <v>238</v>
      </c>
      <c r="C10" t="s">
        <v>1053</v>
      </c>
    </row>
    <row r="11" spans="1:4" x14ac:dyDescent="0.3">
      <c r="A11" t="s">
        <v>4488</v>
      </c>
      <c r="B11" t="s">
        <v>1245</v>
      </c>
      <c r="C11" t="s">
        <v>4489</v>
      </c>
      <c r="D11" t="s">
        <v>4490</v>
      </c>
    </row>
    <row r="12" spans="1:4" x14ac:dyDescent="0.3">
      <c r="A12" t="s">
        <v>4491</v>
      </c>
      <c r="B12" t="s">
        <v>4492</v>
      </c>
      <c r="C12" t="s">
        <v>4493</v>
      </c>
      <c r="D12" t="s">
        <v>4494</v>
      </c>
    </row>
    <row r="14" spans="1:4" x14ac:dyDescent="0.3">
      <c r="A14" t="s">
        <v>4259</v>
      </c>
      <c r="B14" t="s">
        <v>4495</v>
      </c>
    </row>
    <row r="15" spans="1:4" x14ac:dyDescent="0.3">
      <c r="A15" t="s">
        <v>4496</v>
      </c>
      <c r="B15">
        <v>6</v>
      </c>
    </row>
    <row r="16" spans="1:4" x14ac:dyDescent="0.3">
      <c r="A16" t="s">
        <v>4497</v>
      </c>
      <c r="B16">
        <v>18</v>
      </c>
    </row>
    <row r="17" spans="1:3" x14ac:dyDescent="0.3">
      <c r="A17" t="s">
        <v>4498</v>
      </c>
      <c r="B17">
        <v>23</v>
      </c>
    </row>
    <row r="18" spans="1:3" x14ac:dyDescent="0.3">
      <c r="A18" t="s">
        <v>4499</v>
      </c>
      <c r="B18">
        <v>30</v>
      </c>
    </row>
    <row r="20" spans="1:3" x14ac:dyDescent="0.3">
      <c r="A20" t="s">
        <v>4500</v>
      </c>
      <c r="B20" t="s">
        <v>238</v>
      </c>
    </row>
    <row r="21" spans="1:3" x14ac:dyDescent="0.3">
      <c r="A21" t="s">
        <v>4501</v>
      </c>
      <c r="B21" t="s">
        <v>4502</v>
      </c>
    </row>
    <row r="22" spans="1:3" x14ac:dyDescent="0.3">
      <c r="A22" t="s">
        <v>4503</v>
      </c>
      <c r="B22" t="s">
        <v>4504</v>
      </c>
    </row>
    <row r="23" spans="1:3" x14ac:dyDescent="0.3">
      <c r="A23" t="s">
        <v>4363</v>
      </c>
      <c r="B23" t="s">
        <v>4505</v>
      </c>
    </row>
    <row r="25" spans="1:3" x14ac:dyDescent="0.3">
      <c r="A25" t="s">
        <v>4102</v>
      </c>
      <c r="B25" t="s">
        <v>238</v>
      </c>
      <c r="C25" t="s">
        <v>274</v>
      </c>
    </row>
    <row r="26" spans="1:3" x14ac:dyDescent="0.3">
      <c r="A26" t="s">
        <v>4506</v>
      </c>
      <c r="B26" t="s">
        <v>4507</v>
      </c>
      <c r="C26" t="s">
        <v>4508</v>
      </c>
    </row>
    <row r="27" spans="1:3" x14ac:dyDescent="0.3">
      <c r="A27" t="s">
        <v>4259</v>
      </c>
      <c r="B27" t="s">
        <v>4366</v>
      </c>
      <c r="C27" t="s">
        <v>36</v>
      </c>
    </row>
    <row r="28" spans="1:3" x14ac:dyDescent="0.3">
      <c r="A28" t="s">
        <v>4509</v>
      </c>
      <c r="B28" t="s">
        <v>4510</v>
      </c>
      <c r="C28" t="s">
        <v>4375</v>
      </c>
    </row>
    <row r="29" spans="1:3" x14ac:dyDescent="0.3">
      <c r="A29" t="s">
        <v>4511</v>
      </c>
      <c r="B29" t="s">
        <v>4512</v>
      </c>
      <c r="C29" t="s">
        <v>4513</v>
      </c>
    </row>
    <row r="30" spans="1:3" x14ac:dyDescent="0.3">
      <c r="A30" t="s">
        <v>4514</v>
      </c>
      <c r="B30" t="s">
        <v>4515</v>
      </c>
      <c r="C30" t="s">
        <v>36</v>
      </c>
    </row>
    <row r="31" spans="1:3" x14ac:dyDescent="0.3">
      <c r="A31" t="s">
        <v>4516</v>
      </c>
      <c r="B31" t="s">
        <v>4517</v>
      </c>
      <c r="C31" t="s">
        <v>2497</v>
      </c>
    </row>
    <row r="33" spans="1:4" x14ac:dyDescent="0.3">
      <c r="A33" s="25" t="s">
        <v>281</v>
      </c>
      <c r="B33" s="25"/>
      <c r="C33" s="25"/>
      <c r="D33" s="25"/>
    </row>
    <row r="34" spans="1:4" x14ac:dyDescent="0.3">
      <c r="A34" t="s">
        <v>4518</v>
      </c>
    </row>
    <row r="35" spans="1:4" x14ac:dyDescent="0.3">
      <c r="A35" t="s">
        <v>4519</v>
      </c>
    </row>
    <row r="36" spans="1:4" x14ac:dyDescent="0.3">
      <c r="A36" t="s">
        <v>4520</v>
      </c>
    </row>
    <row r="37" spans="1:4" x14ac:dyDescent="0.3">
      <c r="A37" t="s">
        <v>4521</v>
      </c>
    </row>
    <row r="38" spans="1:4" x14ac:dyDescent="0.3">
      <c r="A38" t="s">
        <v>4522</v>
      </c>
    </row>
    <row r="39" spans="1:4" x14ac:dyDescent="0.3">
      <c r="A39" t="s">
        <v>4523</v>
      </c>
    </row>
    <row r="40" spans="1:4" x14ac:dyDescent="0.3">
      <c r="A40" t="s">
        <v>4524</v>
      </c>
    </row>
    <row r="41" spans="1:4" x14ac:dyDescent="0.3">
      <c r="A41" t="s">
        <v>4525</v>
      </c>
    </row>
    <row r="42" spans="1:4" x14ac:dyDescent="0.3">
      <c r="A42" t="s">
        <v>4526</v>
      </c>
    </row>
    <row r="43" spans="1:4" x14ac:dyDescent="0.3">
      <c r="A43" t="s">
        <v>4527</v>
      </c>
    </row>
    <row r="44" spans="1:4" x14ac:dyDescent="0.3">
      <c r="A44" t="s">
        <v>4528</v>
      </c>
    </row>
    <row r="45" spans="1:4" x14ac:dyDescent="0.3">
      <c r="A45" t="s">
        <v>4529</v>
      </c>
    </row>
    <row r="46" spans="1:4" x14ac:dyDescent="0.3">
      <c r="A46" t="s">
        <v>4530</v>
      </c>
    </row>
    <row r="47" spans="1:4" x14ac:dyDescent="0.3">
      <c r="A47" t="s">
        <v>4531</v>
      </c>
    </row>
    <row r="48" spans="1:4" x14ac:dyDescent="0.3">
      <c r="A48" t="s">
        <v>4532</v>
      </c>
    </row>
    <row r="49" spans="1:4" x14ac:dyDescent="0.3">
      <c r="A49" t="s">
        <v>4533</v>
      </c>
    </row>
    <row r="50" spans="1:4" x14ac:dyDescent="0.3">
      <c r="A50" t="s">
        <v>4534</v>
      </c>
    </row>
    <row r="51" spans="1:4" x14ac:dyDescent="0.3">
      <c r="A51" t="s">
        <v>4535</v>
      </c>
    </row>
    <row r="52" spans="1:4" x14ac:dyDescent="0.3">
      <c r="A52" t="s">
        <v>4536</v>
      </c>
    </row>
    <row r="53" spans="1:4" x14ac:dyDescent="0.3">
      <c r="A53" t="s">
        <v>4537</v>
      </c>
    </row>
    <row r="54" spans="1:4" x14ac:dyDescent="0.3">
      <c r="A54" t="s">
        <v>4538</v>
      </c>
    </row>
    <row r="55" spans="1:4" x14ac:dyDescent="0.3">
      <c r="A55" t="s">
        <v>4539</v>
      </c>
    </row>
    <row r="57" spans="1:4" x14ac:dyDescent="0.3">
      <c r="A57" s="25" t="s">
        <v>295</v>
      </c>
      <c r="B57" s="25"/>
      <c r="C57" s="25"/>
      <c r="D57" s="25"/>
    </row>
    <row r="58" spans="1:4" x14ac:dyDescent="0.3">
      <c r="A58" t="s">
        <v>296</v>
      </c>
      <c r="B58" t="s">
        <v>4540</v>
      </c>
      <c r="C58" t="s">
        <v>4541</v>
      </c>
    </row>
    <row r="59" spans="1:4" x14ac:dyDescent="0.3">
      <c r="A59" t="s">
        <v>299</v>
      </c>
      <c r="B59" t="s">
        <v>4542</v>
      </c>
    </row>
    <row r="60" spans="1:4" x14ac:dyDescent="0.3">
      <c r="A60" t="s">
        <v>301</v>
      </c>
      <c r="B60" t="s">
        <v>4543</v>
      </c>
    </row>
    <row r="61" spans="1:4" x14ac:dyDescent="0.3">
      <c r="A61" t="s">
        <v>303</v>
      </c>
      <c r="B61" t="s">
        <v>4544</v>
      </c>
      <c r="C61" t="s">
        <v>4541</v>
      </c>
    </row>
    <row r="62" spans="1:4" x14ac:dyDescent="0.3">
      <c r="A62" t="s">
        <v>299</v>
      </c>
      <c r="B62" t="s">
        <v>4545</v>
      </c>
    </row>
    <row r="63" spans="1:4" x14ac:dyDescent="0.3">
      <c r="A63" t="s">
        <v>301</v>
      </c>
      <c r="B63" t="s">
        <v>4546</v>
      </c>
    </row>
    <row r="64" spans="1:4" x14ac:dyDescent="0.3">
      <c r="A64" t="s">
        <v>307</v>
      </c>
      <c r="B64" t="s">
        <v>4547</v>
      </c>
      <c r="C64" t="s">
        <v>4541</v>
      </c>
    </row>
    <row r="65" spans="1:3" x14ac:dyDescent="0.3">
      <c r="A65" t="s">
        <v>299</v>
      </c>
      <c r="B65" t="s">
        <v>4548</v>
      </c>
    </row>
    <row r="66" spans="1:3" x14ac:dyDescent="0.3">
      <c r="A66" t="s">
        <v>301</v>
      </c>
      <c r="B66" t="s">
        <v>4549</v>
      </c>
    </row>
    <row r="67" spans="1:3" x14ac:dyDescent="0.3">
      <c r="A67" t="s">
        <v>311</v>
      </c>
      <c r="B67" t="s">
        <v>4550</v>
      </c>
      <c r="C67" t="s">
        <v>4541</v>
      </c>
    </row>
    <row r="68" spans="1:3" x14ac:dyDescent="0.3">
      <c r="A68" t="s">
        <v>299</v>
      </c>
      <c r="B68" t="s">
        <v>4551</v>
      </c>
    </row>
    <row r="69" spans="1:3" x14ac:dyDescent="0.3">
      <c r="A69" t="s">
        <v>301</v>
      </c>
      <c r="B69" t="s">
        <v>4552</v>
      </c>
    </row>
    <row r="70" spans="1:3" x14ac:dyDescent="0.3">
      <c r="A70" t="s">
        <v>316</v>
      </c>
      <c r="B70" t="s">
        <v>4553</v>
      </c>
      <c r="C70" t="s">
        <v>4541</v>
      </c>
    </row>
    <row r="71" spans="1:3" x14ac:dyDescent="0.3">
      <c r="A71" t="s">
        <v>299</v>
      </c>
      <c r="B71" t="s">
        <v>4554</v>
      </c>
    </row>
    <row r="72" spans="1:3" x14ac:dyDescent="0.3">
      <c r="A72" t="s">
        <v>301</v>
      </c>
      <c r="B72" t="s">
        <v>4555</v>
      </c>
    </row>
    <row r="73" spans="1:3" x14ac:dyDescent="0.3">
      <c r="A73" t="s">
        <v>320</v>
      </c>
      <c r="B73" t="s">
        <v>4556</v>
      </c>
      <c r="C73" t="s">
        <v>4541</v>
      </c>
    </row>
    <row r="74" spans="1:3" x14ac:dyDescent="0.3">
      <c r="A74" t="s">
        <v>299</v>
      </c>
      <c r="B74" t="s">
        <v>4557</v>
      </c>
    </row>
    <row r="75" spans="1:3" x14ac:dyDescent="0.3">
      <c r="A75" t="s">
        <v>301</v>
      </c>
      <c r="B75" t="s">
        <v>4558</v>
      </c>
    </row>
    <row r="76" spans="1:3" x14ac:dyDescent="0.3">
      <c r="A76" t="s">
        <v>324</v>
      </c>
      <c r="B76" t="s">
        <v>4559</v>
      </c>
      <c r="C76" t="s">
        <v>4541</v>
      </c>
    </row>
    <row r="77" spans="1:3" x14ac:dyDescent="0.3">
      <c r="A77" t="s">
        <v>299</v>
      </c>
      <c r="B77" t="s">
        <v>4560</v>
      </c>
    </row>
    <row r="78" spans="1:3" x14ac:dyDescent="0.3">
      <c r="A78" t="s">
        <v>301</v>
      </c>
      <c r="B78" t="s">
        <v>4561</v>
      </c>
    </row>
    <row r="79" spans="1:3" x14ac:dyDescent="0.3">
      <c r="A79" t="s">
        <v>328</v>
      </c>
      <c r="B79" t="s">
        <v>4562</v>
      </c>
      <c r="C79" t="s">
        <v>4541</v>
      </c>
    </row>
    <row r="80" spans="1:3" x14ac:dyDescent="0.3">
      <c r="A80" t="s">
        <v>299</v>
      </c>
      <c r="B80" t="s">
        <v>4563</v>
      </c>
    </row>
    <row r="81" spans="1:3" x14ac:dyDescent="0.3">
      <c r="A81" t="s">
        <v>301</v>
      </c>
      <c r="B81" t="s">
        <v>4564</v>
      </c>
    </row>
    <row r="82" spans="1:3" x14ac:dyDescent="0.3">
      <c r="A82" t="s">
        <v>333</v>
      </c>
      <c r="B82" t="s">
        <v>4565</v>
      </c>
      <c r="C82" t="s">
        <v>4541</v>
      </c>
    </row>
    <row r="83" spans="1:3" x14ac:dyDescent="0.3">
      <c r="A83" t="s">
        <v>299</v>
      </c>
      <c r="B83" t="s">
        <v>4566</v>
      </c>
    </row>
    <row r="84" spans="1:3" x14ac:dyDescent="0.3">
      <c r="A84" t="s">
        <v>301</v>
      </c>
      <c r="B84" t="s">
        <v>4567</v>
      </c>
    </row>
    <row r="85" spans="1:3" x14ac:dyDescent="0.3">
      <c r="A85" t="s">
        <v>337</v>
      </c>
      <c r="B85" t="s">
        <v>4568</v>
      </c>
      <c r="C85" t="s">
        <v>4541</v>
      </c>
    </row>
    <row r="86" spans="1:3" x14ac:dyDescent="0.3">
      <c r="A86" t="s">
        <v>299</v>
      </c>
      <c r="B86" t="s">
        <v>4569</v>
      </c>
    </row>
    <row r="87" spans="1:3" x14ac:dyDescent="0.3">
      <c r="A87" t="s">
        <v>301</v>
      </c>
      <c r="B87" t="s">
        <v>4570</v>
      </c>
    </row>
    <row r="88" spans="1:3" x14ac:dyDescent="0.3">
      <c r="A88" t="s">
        <v>341</v>
      </c>
      <c r="B88" t="s">
        <v>4571</v>
      </c>
      <c r="C88" t="s">
        <v>4541</v>
      </c>
    </row>
    <row r="89" spans="1:3" x14ac:dyDescent="0.3">
      <c r="A89" t="s">
        <v>299</v>
      </c>
      <c r="B89" t="s">
        <v>4572</v>
      </c>
    </row>
    <row r="90" spans="1:3" x14ac:dyDescent="0.3">
      <c r="A90" t="s">
        <v>301</v>
      </c>
      <c r="B90" t="s">
        <v>4573</v>
      </c>
    </row>
    <row r="91" spans="1:3" x14ac:dyDescent="0.3">
      <c r="A91" t="s">
        <v>346</v>
      </c>
      <c r="B91" t="s">
        <v>4574</v>
      </c>
      <c r="C91" t="s">
        <v>4541</v>
      </c>
    </row>
    <row r="92" spans="1:3" x14ac:dyDescent="0.3">
      <c r="A92" t="s">
        <v>299</v>
      </c>
      <c r="B92" t="s">
        <v>4575</v>
      </c>
    </row>
    <row r="93" spans="1:3" x14ac:dyDescent="0.3">
      <c r="A93" t="s">
        <v>301</v>
      </c>
      <c r="B93" t="s">
        <v>4576</v>
      </c>
    </row>
    <row r="94" spans="1:3" x14ac:dyDescent="0.3">
      <c r="A94" t="s">
        <v>1453</v>
      </c>
      <c r="B94" t="s">
        <v>4577</v>
      </c>
      <c r="C94" t="s">
        <v>4541</v>
      </c>
    </row>
    <row r="95" spans="1:3" x14ac:dyDescent="0.3">
      <c r="A95" t="s">
        <v>299</v>
      </c>
      <c r="B95" t="s">
        <v>4578</v>
      </c>
    </row>
    <row r="96" spans="1:3" x14ac:dyDescent="0.3">
      <c r="A96" t="s">
        <v>301</v>
      </c>
      <c r="B96" t="s">
        <v>4579</v>
      </c>
    </row>
    <row r="97" spans="1:3" x14ac:dyDescent="0.3">
      <c r="A97" t="s">
        <v>1457</v>
      </c>
      <c r="B97" t="s">
        <v>4580</v>
      </c>
      <c r="C97" t="s">
        <v>4541</v>
      </c>
    </row>
    <row r="98" spans="1:3" x14ac:dyDescent="0.3">
      <c r="A98" t="s">
        <v>299</v>
      </c>
      <c r="B98" t="s">
        <v>4581</v>
      </c>
    </row>
    <row r="99" spans="1:3" x14ac:dyDescent="0.3">
      <c r="A99" t="s">
        <v>301</v>
      </c>
      <c r="B99" t="s">
        <v>4582</v>
      </c>
    </row>
    <row r="100" spans="1:3" x14ac:dyDescent="0.3">
      <c r="A100" t="s">
        <v>1461</v>
      </c>
      <c r="B100" t="s">
        <v>4583</v>
      </c>
      <c r="C100" t="s">
        <v>4541</v>
      </c>
    </row>
    <row r="101" spans="1:3" x14ac:dyDescent="0.3">
      <c r="A101" t="s">
        <v>299</v>
      </c>
      <c r="B101" t="s">
        <v>4584</v>
      </c>
    </row>
    <row r="102" spans="1:3" x14ac:dyDescent="0.3">
      <c r="A102" t="s">
        <v>301</v>
      </c>
      <c r="B102" t="s">
        <v>4585</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D95"/>
  <sheetViews>
    <sheetView workbookViewId="0"/>
  </sheetViews>
  <sheetFormatPr defaultRowHeight="14.4" x14ac:dyDescent="0.3"/>
  <cols>
    <col min="1" max="1" width="46" customWidth="1"/>
    <col min="2" max="8" width="15" customWidth="1"/>
  </cols>
  <sheetData>
    <row r="1" spans="1:4" x14ac:dyDescent="0.3">
      <c r="A1" s="24" t="s">
        <v>181</v>
      </c>
      <c r="B1" t="s">
        <v>4586</v>
      </c>
    </row>
    <row r="2" spans="1:4" x14ac:dyDescent="0.3">
      <c r="A2" s="24" t="s">
        <v>183</v>
      </c>
      <c r="B2" t="s">
        <v>4587</v>
      </c>
    </row>
    <row r="4" spans="1:4" x14ac:dyDescent="0.3">
      <c r="A4" s="25" t="s">
        <v>185</v>
      </c>
      <c r="B4" s="25"/>
      <c r="C4" s="25"/>
      <c r="D4" s="25"/>
    </row>
    <row r="6" spans="1:4" x14ac:dyDescent="0.3">
      <c r="A6" t="s">
        <v>186</v>
      </c>
      <c r="B6" t="s">
        <v>32</v>
      </c>
      <c r="C6" t="s">
        <v>25</v>
      </c>
      <c r="D6" t="s">
        <v>189</v>
      </c>
    </row>
    <row r="7" spans="1:4" x14ac:dyDescent="0.3">
      <c r="A7" t="s">
        <v>45</v>
      </c>
      <c r="B7">
        <v>347</v>
      </c>
      <c r="C7">
        <v>178</v>
      </c>
      <c r="D7" t="s">
        <v>1006</v>
      </c>
    </row>
    <row r="8" spans="1:4" x14ac:dyDescent="0.3">
      <c r="A8" t="s">
        <v>3311</v>
      </c>
      <c r="B8">
        <v>333</v>
      </c>
      <c r="C8">
        <v>169</v>
      </c>
      <c r="D8" t="s">
        <v>3006</v>
      </c>
    </row>
    <row r="9" spans="1:4" x14ac:dyDescent="0.3">
      <c r="A9" t="s">
        <v>1743</v>
      </c>
      <c r="B9">
        <v>15</v>
      </c>
      <c r="C9">
        <v>8.9</v>
      </c>
      <c r="D9" t="s">
        <v>1289</v>
      </c>
    </row>
    <row r="11" spans="1:4" x14ac:dyDescent="0.3">
      <c r="A11" t="s">
        <v>186</v>
      </c>
      <c r="B11" t="s">
        <v>33</v>
      </c>
      <c r="C11" t="s">
        <v>26</v>
      </c>
      <c r="D11" t="s">
        <v>189</v>
      </c>
    </row>
    <row r="12" spans="1:4" x14ac:dyDescent="0.3">
      <c r="A12" t="s">
        <v>45</v>
      </c>
      <c r="B12">
        <v>1300</v>
      </c>
      <c r="C12">
        <v>654</v>
      </c>
      <c r="D12" t="s">
        <v>4588</v>
      </c>
    </row>
    <row r="13" spans="1:4" x14ac:dyDescent="0.3">
      <c r="A13" t="s">
        <v>3311</v>
      </c>
      <c r="B13">
        <v>1270</v>
      </c>
      <c r="C13">
        <v>620</v>
      </c>
      <c r="D13" t="s">
        <v>3572</v>
      </c>
    </row>
    <row r="14" spans="1:4" x14ac:dyDescent="0.3">
      <c r="A14" t="s">
        <v>1743</v>
      </c>
      <c r="B14">
        <v>54.7</v>
      </c>
      <c r="C14">
        <v>36</v>
      </c>
      <c r="D14" t="s">
        <v>393</v>
      </c>
    </row>
    <row r="16" spans="1:4" x14ac:dyDescent="0.3">
      <c r="A16" t="s">
        <v>51</v>
      </c>
      <c r="B16" t="s">
        <v>32</v>
      </c>
      <c r="C16" t="s">
        <v>25</v>
      </c>
      <c r="D16" t="s">
        <v>189</v>
      </c>
    </row>
    <row r="17" spans="1:4" x14ac:dyDescent="0.3">
      <c r="A17" t="s">
        <v>3313</v>
      </c>
      <c r="B17">
        <v>166</v>
      </c>
      <c r="C17">
        <v>79</v>
      </c>
      <c r="D17" t="s">
        <v>2970</v>
      </c>
    </row>
    <row r="18" spans="1:4" x14ac:dyDescent="0.3">
      <c r="A18" t="s">
        <v>52</v>
      </c>
      <c r="B18" t="s">
        <v>4589</v>
      </c>
      <c r="C18" t="s">
        <v>2240</v>
      </c>
      <c r="D18" t="s">
        <v>3314</v>
      </c>
    </row>
    <row r="20" spans="1:4" x14ac:dyDescent="0.3">
      <c r="A20" t="s">
        <v>51</v>
      </c>
      <c r="B20" t="s">
        <v>33</v>
      </c>
      <c r="C20" t="s">
        <v>26</v>
      </c>
      <c r="D20" t="s">
        <v>189</v>
      </c>
    </row>
    <row r="21" spans="1:4" x14ac:dyDescent="0.3">
      <c r="A21" t="s">
        <v>3313</v>
      </c>
      <c r="B21">
        <v>633</v>
      </c>
      <c r="C21">
        <v>271</v>
      </c>
      <c r="D21" t="s">
        <v>1935</v>
      </c>
    </row>
    <row r="22" spans="1:4" x14ac:dyDescent="0.3">
      <c r="A22" t="s">
        <v>52</v>
      </c>
      <c r="B22" t="s">
        <v>4589</v>
      </c>
      <c r="C22" t="s">
        <v>4590</v>
      </c>
      <c r="D22" t="s">
        <v>4591</v>
      </c>
    </row>
    <row r="24" spans="1:4" x14ac:dyDescent="0.3">
      <c r="A24" t="s">
        <v>3318</v>
      </c>
      <c r="B24" t="s">
        <v>32</v>
      </c>
      <c r="C24" t="s">
        <v>25</v>
      </c>
      <c r="D24" t="s">
        <v>189</v>
      </c>
    </row>
    <row r="25" spans="1:4" x14ac:dyDescent="0.3">
      <c r="A25" t="s">
        <v>3319</v>
      </c>
      <c r="B25" t="s">
        <v>4592</v>
      </c>
      <c r="C25" t="s">
        <v>4593</v>
      </c>
      <c r="D25" t="s">
        <v>752</v>
      </c>
    </row>
    <row r="26" spans="1:4" x14ac:dyDescent="0.3">
      <c r="A26" t="s">
        <v>3323</v>
      </c>
      <c r="B26" t="s">
        <v>1746</v>
      </c>
      <c r="C26" t="s">
        <v>4594</v>
      </c>
      <c r="D26" t="s">
        <v>4595</v>
      </c>
    </row>
    <row r="27" spans="1:4" x14ac:dyDescent="0.3">
      <c r="A27" t="s">
        <v>3327</v>
      </c>
      <c r="B27" t="s">
        <v>4596</v>
      </c>
      <c r="C27" t="s">
        <v>4597</v>
      </c>
      <c r="D27" t="s">
        <v>2367</v>
      </c>
    </row>
    <row r="28" spans="1:4" x14ac:dyDescent="0.3">
      <c r="A28" t="s">
        <v>3331</v>
      </c>
      <c r="B28" t="s">
        <v>3022</v>
      </c>
      <c r="C28" t="s">
        <v>4598</v>
      </c>
      <c r="D28" t="s">
        <v>4599</v>
      </c>
    </row>
    <row r="30" spans="1:4" x14ac:dyDescent="0.3">
      <c r="A30" t="s">
        <v>3318</v>
      </c>
      <c r="B30" t="s">
        <v>33</v>
      </c>
      <c r="C30" t="s">
        <v>4600</v>
      </c>
      <c r="D30" t="s">
        <v>189</v>
      </c>
    </row>
    <row r="31" spans="1:4" x14ac:dyDescent="0.3">
      <c r="A31" t="s">
        <v>3323</v>
      </c>
      <c r="B31" t="s">
        <v>507</v>
      </c>
      <c r="C31" t="s">
        <v>2367</v>
      </c>
      <c r="D31" t="s">
        <v>4599</v>
      </c>
    </row>
    <row r="32" spans="1:4" x14ac:dyDescent="0.3">
      <c r="A32" t="s">
        <v>3331</v>
      </c>
      <c r="B32" t="s">
        <v>3022</v>
      </c>
      <c r="C32" t="s">
        <v>4598</v>
      </c>
      <c r="D32" t="s">
        <v>4599</v>
      </c>
    </row>
    <row r="34" spans="1:4" x14ac:dyDescent="0.3">
      <c r="A34" t="s">
        <v>3333</v>
      </c>
      <c r="B34" t="s">
        <v>33</v>
      </c>
      <c r="C34" t="s">
        <v>26</v>
      </c>
    </row>
    <row r="35" spans="1:4" x14ac:dyDescent="0.3">
      <c r="A35" t="s">
        <v>4601</v>
      </c>
      <c r="B35" t="s">
        <v>4602</v>
      </c>
      <c r="C35" t="s">
        <v>3316</v>
      </c>
    </row>
    <row r="36" spans="1:4" x14ac:dyDescent="0.3">
      <c r="A36" t="s">
        <v>3337</v>
      </c>
      <c r="B36" t="s">
        <v>4603</v>
      </c>
      <c r="C36" t="s">
        <v>3316</v>
      </c>
    </row>
    <row r="37" spans="1:4" x14ac:dyDescent="0.3">
      <c r="A37" t="s">
        <v>57</v>
      </c>
      <c r="B37" t="s">
        <v>4604</v>
      </c>
      <c r="C37" t="s">
        <v>4605</v>
      </c>
    </row>
    <row r="39" spans="1:4" x14ac:dyDescent="0.3">
      <c r="A39" t="s">
        <v>3345</v>
      </c>
      <c r="B39" t="s">
        <v>238</v>
      </c>
      <c r="C39" t="s">
        <v>1053</v>
      </c>
      <c r="D39" t="s">
        <v>189</v>
      </c>
    </row>
    <row r="40" spans="1:4" x14ac:dyDescent="0.3">
      <c r="A40" t="s">
        <v>4606</v>
      </c>
      <c r="B40" t="s">
        <v>4607</v>
      </c>
      <c r="C40" t="s">
        <v>3316</v>
      </c>
      <c r="D40" t="s">
        <v>3316</v>
      </c>
    </row>
    <row r="41" spans="1:4" x14ac:dyDescent="0.3">
      <c r="A41" t="s">
        <v>4608</v>
      </c>
      <c r="B41" t="s">
        <v>4609</v>
      </c>
      <c r="C41" t="s">
        <v>3316</v>
      </c>
      <c r="D41" t="s">
        <v>4610</v>
      </c>
    </row>
    <row r="42" spans="1:4" x14ac:dyDescent="0.3">
      <c r="A42" t="s">
        <v>4611</v>
      </c>
      <c r="B42">
        <v>77.099999999999994</v>
      </c>
      <c r="C42" t="s">
        <v>4612</v>
      </c>
      <c r="D42" t="s">
        <v>871</v>
      </c>
    </row>
    <row r="43" spans="1:4" x14ac:dyDescent="0.3">
      <c r="A43" t="s">
        <v>4613</v>
      </c>
      <c r="B43">
        <v>254.6</v>
      </c>
      <c r="C43" t="s">
        <v>4614</v>
      </c>
      <c r="D43" t="s">
        <v>4615</v>
      </c>
    </row>
    <row r="44" spans="1:4" x14ac:dyDescent="0.3">
      <c r="A44" t="s">
        <v>4616</v>
      </c>
      <c r="B44">
        <v>100.1</v>
      </c>
      <c r="C44" t="s">
        <v>4617</v>
      </c>
      <c r="D44" t="s">
        <v>4618</v>
      </c>
    </row>
    <row r="45" spans="1:4" x14ac:dyDescent="0.3">
      <c r="A45" t="s">
        <v>4619</v>
      </c>
      <c r="B45" t="s">
        <v>889</v>
      </c>
      <c r="C45" t="s">
        <v>4620</v>
      </c>
      <c r="D45" t="s">
        <v>3316</v>
      </c>
    </row>
    <row r="46" spans="1:4" x14ac:dyDescent="0.3">
      <c r="A46" t="s">
        <v>4621</v>
      </c>
      <c r="B46" t="s">
        <v>4622</v>
      </c>
      <c r="C46" t="s">
        <v>3316</v>
      </c>
      <c r="D46" t="s">
        <v>4623</v>
      </c>
    </row>
    <row r="47" spans="1:4" x14ac:dyDescent="0.3">
      <c r="A47" t="s">
        <v>4624</v>
      </c>
      <c r="B47" t="s">
        <v>4625</v>
      </c>
      <c r="C47" t="s">
        <v>3316</v>
      </c>
      <c r="D47" t="s">
        <v>4626</v>
      </c>
    </row>
    <row r="48" spans="1:4" x14ac:dyDescent="0.3">
      <c r="A48" t="s">
        <v>4627</v>
      </c>
      <c r="B48" t="s">
        <v>4628</v>
      </c>
      <c r="C48" t="s">
        <v>1245</v>
      </c>
      <c r="D48" t="s">
        <v>4629</v>
      </c>
    </row>
    <row r="49" spans="1:4" x14ac:dyDescent="0.3">
      <c r="A49" t="s">
        <v>4630</v>
      </c>
      <c r="B49" t="s">
        <v>4631</v>
      </c>
      <c r="C49" t="s">
        <v>3316</v>
      </c>
      <c r="D49" t="s">
        <v>1638</v>
      </c>
    </row>
    <row r="50" spans="1:4" x14ac:dyDescent="0.3">
      <c r="A50" t="s">
        <v>4632</v>
      </c>
      <c r="B50" t="s">
        <v>4633</v>
      </c>
      <c r="C50" t="s">
        <v>3316</v>
      </c>
      <c r="D50" t="s">
        <v>3316</v>
      </c>
    </row>
    <row r="51" spans="1:4" x14ac:dyDescent="0.3">
      <c r="A51" t="s">
        <v>4634</v>
      </c>
      <c r="B51" t="s">
        <v>4635</v>
      </c>
      <c r="C51" t="s">
        <v>3316</v>
      </c>
      <c r="D51" t="s">
        <v>3316</v>
      </c>
    </row>
    <row r="53" spans="1:4" x14ac:dyDescent="0.3">
      <c r="A53" t="s">
        <v>273</v>
      </c>
      <c r="B53" t="s">
        <v>238</v>
      </c>
      <c r="C53" t="s">
        <v>274</v>
      </c>
    </row>
    <row r="54" spans="1:4" x14ac:dyDescent="0.3">
      <c r="A54" t="s">
        <v>52</v>
      </c>
      <c r="B54" t="s">
        <v>4636</v>
      </c>
      <c r="C54" t="s">
        <v>36</v>
      </c>
    </row>
    <row r="55" spans="1:4" x14ac:dyDescent="0.3">
      <c r="A55" t="s">
        <v>3323</v>
      </c>
      <c r="B55" t="s">
        <v>4637</v>
      </c>
      <c r="C55" t="s">
        <v>34</v>
      </c>
    </row>
    <row r="56" spans="1:4" x14ac:dyDescent="0.3">
      <c r="A56" t="s">
        <v>3323</v>
      </c>
      <c r="B56" t="s">
        <v>4638</v>
      </c>
      <c r="C56" t="s">
        <v>36</v>
      </c>
    </row>
    <row r="58" spans="1:4" x14ac:dyDescent="0.3">
      <c r="A58" s="25" t="s">
        <v>281</v>
      </c>
      <c r="B58" s="25"/>
      <c r="C58" s="25"/>
      <c r="D58" s="25"/>
    </row>
    <row r="59" spans="1:4" x14ac:dyDescent="0.3">
      <c r="A59" t="s">
        <v>4639</v>
      </c>
    </row>
    <row r="60" spans="1:4" x14ac:dyDescent="0.3">
      <c r="A60" t="s">
        <v>4640</v>
      </c>
    </row>
    <row r="61" spans="1:4" x14ac:dyDescent="0.3">
      <c r="A61" t="s">
        <v>4641</v>
      </c>
    </row>
    <row r="62" spans="1:4" x14ac:dyDescent="0.3">
      <c r="A62" t="s">
        <v>4642</v>
      </c>
    </row>
    <row r="63" spans="1:4" x14ac:dyDescent="0.3">
      <c r="A63" t="s">
        <v>4643</v>
      </c>
    </row>
    <row r="64" spans="1:4" x14ac:dyDescent="0.3">
      <c r="A64" t="s">
        <v>4644</v>
      </c>
    </row>
    <row r="65" spans="1:4" x14ac:dyDescent="0.3">
      <c r="A65" t="s">
        <v>4645</v>
      </c>
    </row>
    <row r="66" spans="1:4" x14ac:dyDescent="0.3">
      <c r="A66" t="s">
        <v>4646</v>
      </c>
    </row>
    <row r="67" spans="1:4" x14ac:dyDescent="0.3">
      <c r="A67" t="s">
        <v>4647</v>
      </c>
    </row>
    <row r="68" spans="1:4" x14ac:dyDescent="0.3">
      <c r="A68" t="s">
        <v>4648</v>
      </c>
    </row>
    <row r="69" spans="1:4" x14ac:dyDescent="0.3">
      <c r="A69" t="s">
        <v>4649</v>
      </c>
    </row>
    <row r="70" spans="1:4" x14ac:dyDescent="0.3">
      <c r="A70" t="s">
        <v>4650</v>
      </c>
    </row>
    <row r="71" spans="1:4" x14ac:dyDescent="0.3">
      <c r="A71" t="s">
        <v>4651</v>
      </c>
    </row>
    <row r="72" spans="1:4" x14ac:dyDescent="0.3">
      <c r="A72" t="s">
        <v>4652</v>
      </c>
    </row>
    <row r="74" spans="1:4" x14ac:dyDescent="0.3">
      <c r="A74" s="25" t="s">
        <v>295</v>
      </c>
      <c r="B74" s="25"/>
      <c r="C74" s="25"/>
      <c r="D74" s="25"/>
    </row>
    <row r="75" spans="1:4" x14ac:dyDescent="0.3">
      <c r="A75" t="s">
        <v>296</v>
      </c>
      <c r="B75" t="s">
        <v>4653</v>
      </c>
      <c r="C75" t="s">
        <v>3386</v>
      </c>
    </row>
    <row r="76" spans="1:4" x14ac:dyDescent="0.3">
      <c r="A76" t="s">
        <v>299</v>
      </c>
      <c r="B76" t="s">
        <v>4654</v>
      </c>
    </row>
    <row r="77" spans="1:4" x14ac:dyDescent="0.3">
      <c r="A77" t="s">
        <v>301</v>
      </c>
      <c r="B77" t="s">
        <v>4655</v>
      </c>
    </row>
    <row r="78" spans="1:4" x14ac:dyDescent="0.3">
      <c r="A78" t="s">
        <v>303</v>
      </c>
      <c r="B78" t="s">
        <v>4656</v>
      </c>
      <c r="C78" t="s">
        <v>3397</v>
      </c>
    </row>
    <row r="79" spans="1:4" x14ac:dyDescent="0.3">
      <c r="A79" t="s">
        <v>299</v>
      </c>
      <c r="B79" t="s">
        <v>4657</v>
      </c>
    </row>
    <row r="80" spans="1:4" x14ac:dyDescent="0.3">
      <c r="A80" t="s">
        <v>301</v>
      </c>
      <c r="B80" t="s">
        <v>4658</v>
      </c>
    </row>
    <row r="81" spans="1:3" x14ac:dyDescent="0.3">
      <c r="A81" t="s">
        <v>307</v>
      </c>
      <c r="B81" t="s">
        <v>4659</v>
      </c>
      <c r="C81" t="s">
        <v>3409</v>
      </c>
    </row>
    <row r="82" spans="1:3" x14ac:dyDescent="0.3">
      <c r="A82" t="s">
        <v>299</v>
      </c>
      <c r="B82" t="s">
        <v>4660</v>
      </c>
    </row>
    <row r="83" spans="1:3" x14ac:dyDescent="0.3">
      <c r="A83" t="s">
        <v>301</v>
      </c>
      <c r="B83" t="s">
        <v>4661</v>
      </c>
    </row>
    <row r="84" spans="1:3" x14ac:dyDescent="0.3">
      <c r="A84" t="s">
        <v>311</v>
      </c>
      <c r="B84" t="s">
        <v>4662</v>
      </c>
      <c r="C84" t="s">
        <v>3405</v>
      </c>
    </row>
    <row r="85" spans="1:3" x14ac:dyDescent="0.3">
      <c r="A85" t="s">
        <v>299</v>
      </c>
      <c r="B85" t="s">
        <v>4663</v>
      </c>
    </row>
    <row r="86" spans="1:3" x14ac:dyDescent="0.3">
      <c r="A86" t="s">
        <v>301</v>
      </c>
      <c r="B86" t="s">
        <v>4664</v>
      </c>
    </row>
    <row r="87" spans="1:3" x14ac:dyDescent="0.3">
      <c r="A87" t="s">
        <v>316</v>
      </c>
      <c r="B87" t="s">
        <v>4665</v>
      </c>
      <c r="C87" t="s">
        <v>3417</v>
      </c>
    </row>
    <row r="88" spans="1:3" x14ac:dyDescent="0.3">
      <c r="A88" t="s">
        <v>299</v>
      </c>
      <c r="B88" t="s">
        <v>4666</v>
      </c>
    </row>
    <row r="89" spans="1:3" x14ac:dyDescent="0.3">
      <c r="A89" t="s">
        <v>301</v>
      </c>
      <c r="B89" t="s">
        <v>4667</v>
      </c>
    </row>
    <row r="90" spans="1:3" x14ac:dyDescent="0.3">
      <c r="A90" t="s">
        <v>320</v>
      </c>
      <c r="B90" t="s">
        <v>4668</v>
      </c>
      <c r="C90" t="s">
        <v>4669</v>
      </c>
    </row>
    <row r="91" spans="1:3" x14ac:dyDescent="0.3">
      <c r="A91" t="s">
        <v>299</v>
      </c>
      <c r="B91" t="s">
        <v>4670</v>
      </c>
    </row>
    <row r="92" spans="1:3" x14ac:dyDescent="0.3">
      <c r="A92" t="s">
        <v>301</v>
      </c>
      <c r="B92" t="s">
        <v>4671</v>
      </c>
    </row>
    <row r="93" spans="1:3" x14ac:dyDescent="0.3">
      <c r="A93" t="s">
        <v>324</v>
      </c>
      <c r="B93" t="s">
        <v>4672</v>
      </c>
      <c r="C93" t="s">
        <v>4673</v>
      </c>
    </row>
    <row r="94" spans="1:3" x14ac:dyDescent="0.3">
      <c r="A94" t="s">
        <v>299</v>
      </c>
      <c r="B94" t="s">
        <v>4674</v>
      </c>
    </row>
    <row r="95" spans="1:3" x14ac:dyDescent="0.3">
      <c r="A95" t="s">
        <v>301</v>
      </c>
      <c r="B95" t="s">
        <v>4675</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12"/>
  <sheetViews>
    <sheetView workbookViewId="0"/>
  </sheetViews>
  <sheetFormatPr defaultRowHeight="14.4" x14ac:dyDescent="0.3"/>
  <cols>
    <col min="1" max="1" width="46" customWidth="1"/>
    <col min="2" max="8" width="15" customWidth="1"/>
  </cols>
  <sheetData>
    <row r="1" spans="1:3" x14ac:dyDescent="0.3">
      <c r="A1" s="24" t="s">
        <v>181</v>
      </c>
      <c r="B1" t="s">
        <v>4676</v>
      </c>
    </row>
    <row r="2" spans="1:3" x14ac:dyDescent="0.3">
      <c r="A2" s="24" t="s">
        <v>183</v>
      </c>
      <c r="B2" t="s">
        <v>4677</v>
      </c>
    </row>
    <row r="4" spans="1:3" x14ac:dyDescent="0.3">
      <c r="A4" s="25" t="s">
        <v>185</v>
      </c>
      <c r="B4" s="25"/>
      <c r="C4" s="25"/>
    </row>
    <row r="6" spans="1:3" x14ac:dyDescent="0.3">
      <c r="A6" t="s">
        <v>1039</v>
      </c>
      <c r="B6" t="s">
        <v>238</v>
      </c>
      <c r="C6" t="s">
        <v>1021</v>
      </c>
    </row>
    <row r="7" spans="1:3" x14ac:dyDescent="0.3">
      <c r="A7" t="s">
        <v>4678</v>
      </c>
      <c r="B7" t="s">
        <v>220</v>
      </c>
      <c r="C7" t="s">
        <v>4679</v>
      </c>
    </row>
    <row r="8" spans="1:3" x14ac:dyDescent="0.3">
      <c r="A8" t="s">
        <v>4680</v>
      </c>
      <c r="B8" t="s">
        <v>3558</v>
      </c>
      <c r="C8" t="s">
        <v>4681</v>
      </c>
    </row>
    <row r="9" spans="1:3" x14ac:dyDescent="0.3">
      <c r="A9" t="s">
        <v>4682</v>
      </c>
      <c r="B9" t="s">
        <v>4683</v>
      </c>
      <c r="C9" t="s">
        <v>4684</v>
      </c>
    </row>
    <row r="10" spans="1:3" x14ac:dyDescent="0.3">
      <c r="A10" t="s">
        <v>4685</v>
      </c>
      <c r="B10" t="s">
        <v>4686</v>
      </c>
      <c r="C10" t="s">
        <v>4687</v>
      </c>
    </row>
    <row r="11" spans="1:3" x14ac:dyDescent="0.3">
      <c r="A11" t="s">
        <v>4688</v>
      </c>
      <c r="B11" t="s">
        <v>4689</v>
      </c>
      <c r="C11" t="s">
        <v>4690</v>
      </c>
    </row>
    <row r="12" spans="1:3" x14ac:dyDescent="0.3">
      <c r="A12" t="s">
        <v>4691</v>
      </c>
      <c r="B12" t="s">
        <v>808</v>
      </c>
      <c r="C12" t="s">
        <v>4692</v>
      </c>
    </row>
    <row r="14" spans="1:3" x14ac:dyDescent="0.3">
      <c r="A14" t="s">
        <v>3438</v>
      </c>
      <c r="B14" t="s">
        <v>238</v>
      </c>
      <c r="C14" t="s">
        <v>1021</v>
      </c>
    </row>
    <row r="15" spans="1:3" x14ac:dyDescent="0.3">
      <c r="A15" t="s">
        <v>4693</v>
      </c>
      <c r="B15" t="s">
        <v>4609</v>
      </c>
      <c r="C15" t="s">
        <v>4694</v>
      </c>
    </row>
    <row r="16" spans="1:3" x14ac:dyDescent="0.3">
      <c r="A16" t="s">
        <v>4695</v>
      </c>
      <c r="B16" t="s">
        <v>4696</v>
      </c>
      <c r="C16" t="s">
        <v>4697</v>
      </c>
    </row>
    <row r="17" spans="1:3" x14ac:dyDescent="0.3">
      <c r="A17" t="s">
        <v>3973</v>
      </c>
      <c r="B17" t="s">
        <v>2367</v>
      </c>
      <c r="C17" t="s">
        <v>4698</v>
      </c>
    </row>
    <row r="19" spans="1:3" x14ac:dyDescent="0.3">
      <c r="A19" t="s">
        <v>4699</v>
      </c>
      <c r="B19" t="s">
        <v>238</v>
      </c>
      <c r="C19" t="s">
        <v>1053</v>
      </c>
    </row>
    <row r="20" spans="1:3" x14ac:dyDescent="0.3">
      <c r="A20" t="s">
        <v>4700</v>
      </c>
      <c r="B20" t="s">
        <v>3614</v>
      </c>
      <c r="C20" t="s">
        <v>4701</v>
      </c>
    </row>
    <row r="21" spans="1:3" x14ac:dyDescent="0.3">
      <c r="A21" t="s">
        <v>4702</v>
      </c>
      <c r="B21" t="s">
        <v>4703</v>
      </c>
      <c r="C21" t="s">
        <v>4704</v>
      </c>
    </row>
    <row r="22" spans="1:3" x14ac:dyDescent="0.3">
      <c r="A22" t="s">
        <v>4705</v>
      </c>
      <c r="B22" t="s">
        <v>3741</v>
      </c>
      <c r="C22" t="s">
        <v>3316</v>
      </c>
    </row>
    <row r="23" spans="1:3" x14ac:dyDescent="0.3">
      <c r="A23" t="s">
        <v>4706</v>
      </c>
      <c r="B23" t="s">
        <v>4707</v>
      </c>
      <c r="C23" t="s">
        <v>3316</v>
      </c>
    </row>
    <row r="25" spans="1:3" x14ac:dyDescent="0.3">
      <c r="A25" t="s">
        <v>4708</v>
      </c>
      <c r="B25" t="s">
        <v>238</v>
      </c>
      <c r="C25" t="s">
        <v>1021</v>
      </c>
    </row>
    <row r="26" spans="1:3" x14ac:dyDescent="0.3">
      <c r="A26" t="s">
        <v>4709</v>
      </c>
      <c r="B26" t="s">
        <v>1746</v>
      </c>
      <c r="C26" t="s">
        <v>4710</v>
      </c>
    </row>
    <row r="27" spans="1:3" x14ac:dyDescent="0.3">
      <c r="A27" t="s">
        <v>4711</v>
      </c>
      <c r="B27" t="s">
        <v>4712</v>
      </c>
      <c r="C27" t="s">
        <v>4713</v>
      </c>
    </row>
    <row r="29" spans="1:3" x14ac:dyDescent="0.3">
      <c r="A29" t="s">
        <v>273</v>
      </c>
      <c r="B29" t="s">
        <v>238</v>
      </c>
      <c r="C29" t="s">
        <v>274</v>
      </c>
    </row>
    <row r="30" spans="1:3" x14ac:dyDescent="0.3">
      <c r="A30" t="s">
        <v>1011</v>
      </c>
      <c r="B30" t="s">
        <v>4714</v>
      </c>
      <c r="C30" t="s">
        <v>34</v>
      </c>
    </row>
    <row r="31" spans="1:3" x14ac:dyDescent="0.3">
      <c r="A31" t="s">
        <v>4715</v>
      </c>
      <c r="B31" t="s">
        <v>4716</v>
      </c>
      <c r="C31" t="s">
        <v>2042</v>
      </c>
    </row>
    <row r="32" spans="1:3" x14ac:dyDescent="0.3">
      <c r="A32" t="s">
        <v>4717</v>
      </c>
      <c r="B32" t="s">
        <v>4718</v>
      </c>
      <c r="C32" t="s">
        <v>2042</v>
      </c>
    </row>
    <row r="33" spans="1:3" x14ac:dyDescent="0.3">
      <c r="A33" t="s">
        <v>4719</v>
      </c>
      <c r="B33" t="s">
        <v>4720</v>
      </c>
      <c r="C33" t="s">
        <v>2042</v>
      </c>
    </row>
    <row r="35" spans="1:3" x14ac:dyDescent="0.3">
      <c r="A35" s="25" t="s">
        <v>281</v>
      </c>
      <c r="B35" s="25"/>
      <c r="C35" s="25"/>
    </row>
    <row r="36" spans="1:3" x14ac:dyDescent="0.3">
      <c r="A36" t="s">
        <v>4721</v>
      </c>
    </row>
    <row r="37" spans="1:3" x14ac:dyDescent="0.3">
      <c r="A37" t="s">
        <v>4722</v>
      </c>
    </row>
    <row r="38" spans="1:3" x14ac:dyDescent="0.3">
      <c r="A38" t="s">
        <v>4723</v>
      </c>
    </row>
    <row r="39" spans="1:3" x14ac:dyDescent="0.3">
      <c r="A39" t="s">
        <v>4724</v>
      </c>
    </row>
    <row r="40" spans="1:3" x14ac:dyDescent="0.3">
      <c r="A40" t="s">
        <v>4725</v>
      </c>
    </row>
    <row r="41" spans="1:3" x14ac:dyDescent="0.3">
      <c r="A41" t="s">
        <v>4726</v>
      </c>
    </row>
    <row r="42" spans="1:3" x14ac:dyDescent="0.3">
      <c r="A42" t="s">
        <v>4727</v>
      </c>
    </row>
    <row r="43" spans="1:3" x14ac:dyDescent="0.3">
      <c r="A43" t="s">
        <v>4728</v>
      </c>
    </row>
    <row r="44" spans="1:3" x14ac:dyDescent="0.3">
      <c r="A44" t="s">
        <v>4729</v>
      </c>
    </row>
    <row r="45" spans="1:3" x14ac:dyDescent="0.3">
      <c r="A45" t="s">
        <v>4730</v>
      </c>
    </row>
    <row r="46" spans="1:3" x14ac:dyDescent="0.3">
      <c r="A46" t="s">
        <v>4731</v>
      </c>
    </row>
    <row r="47" spans="1:3" x14ac:dyDescent="0.3">
      <c r="A47" t="s">
        <v>4732</v>
      </c>
    </row>
    <row r="48" spans="1:3" x14ac:dyDescent="0.3">
      <c r="A48" t="s">
        <v>4733</v>
      </c>
    </row>
    <row r="49" spans="1:3" x14ac:dyDescent="0.3">
      <c r="A49" t="s">
        <v>4734</v>
      </c>
    </row>
    <row r="50" spans="1:3" x14ac:dyDescent="0.3">
      <c r="A50" t="s">
        <v>4735</v>
      </c>
    </row>
    <row r="52" spans="1:3" x14ac:dyDescent="0.3">
      <c r="A52" s="25" t="s">
        <v>295</v>
      </c>
      <c r="B52" s="25"/>
      <c r="C52" s="25"/>
    </row>
    <row r="53" spans="1:3" x14ac:dyDescent="0.3">
      <c r="A53" t="s">
        <v>296</v>
      </c>
      <c r="B53" t="s">
        <v>4736</v>
      </c>
      <c r="C53" t="s">
        <v>4737</v>
      </c>
    </row>
    <row r="54" spans="1:3" x14ac:dyDescent="0.3">
      <c r="A54" t="s">
        <v>299</v>
      </c>
      <c r="B54" t="s">
        <v>4738</v>
      </c>
    </row>
    <row r="55" spans="1:3" x14ac:dyDescent="0.3">
      <c r="A55" t="s">
        <v>301</v>
      </c>
      <c r="B55" t="s">
        <v>4739</v>
      </c>
    </row>
    <row r="56" spans="1:3" x14ac:dyDescent="0.3">
      <c r="A56" t="s">
        <v>303</v>
      </c>
      <c r="B56" t="s">
        <v>4740</v>
      </c>
      <c r="C56" t="s">
        <v>4737</v>
      </c>
    </row>
    <row r="57" spans="1:3" x14ac:dyDescent="0.3">
      <c r="A57" t="s">
        <v>299</v>
      </c>
      <c r="B57" t="s">
        <v>4741</v>
      </c>
    </row>
    <row r="58" spans="1:3" x14ac:dyDescent="0.3">
      <c r="A58" t="s">
        <v>301</v>
      </c>
      <c r="B58" t="s">
        <v>4742</v>
      </c>
    </row>
    <row r="59" spans="1:3" x14ac:dyDescent="0.3">
      <c r="A59" t="s">
        <v>307</v>
      </c>
      <c r="B59" t="s">
        <v>4743</v>
      </c>
      <c r="C59" t="s">
        <v>4737</v>
      </c>
    </row>
    <row r="60" spans="1:3" x14ac:dyDescent="0.3">
      <c r="A60" t="s">
        <v>299</v>
      </c>
      <c r="B60" t="s">
        <v>4744</v>
      </c>
    </row>
    <row r="61" spans="1:3" x14ac:dyDescent="0.3">
      <c r="A61" t="s">
        <v>301</v>
      </c>
      <c r="B61" t="s">
        <v>4745</v>
      </c>
    </row>
    <row r="62" spans="1:3" x14ac:dyDescent="0.3">
      <c r="A62" t="s">
        <v>311</v>
      </c>
      <c r="B62" t="s">
        <v>4746</v>
      </c>
      <c r="C62" t="s">
        <v>4737</v>
      </c>
    </row>
    <row r="63" spans="1:3" x14ac:dyDescent="0.3">
      <c r="A63" t="s">
        <v>299</v>
      </c>
      <c r="B63" t="s">
        <v>4747</v>
      </c>
    </row>
    <row r="64" spans="1:3" x14ac:dyDescent="0.3">
      <c r="A64" t="s">
        <v>301</v>
      </c>
      <c r="B64" t="s">
        <v>4748</v>
      </c>
    </row>
    <row r="65" spans="1:3" x14ac:dyDescent="0.3">
      <c r="A65" t="s">
        <v>316</v>
      </c>
      <c r="B65" t="s">
        <v>4749</v>
      </c>
      <c r="C65" t="s">
        <v>4737</v>
      </c>
    </row>
    <row r="66" spans="1:3" x14ac:dyDescent="0.3">
      <c r="A66" t="s">
        <v>299</v>
      </c>
      <c r="B66" t="s">
        <v>4750</v>
      </c>
    </row>
    <row r="67" spans="1:3" x14ac:dyDescent="0.3">
      <c r="A67" t="s">
        <v>301</v>
      </c>
      <c r="B67" t="s">
        <v>4751</v>
      </c>
    </row>
    <row r="68" spans="1:3" x14ac:dyDescent="0.3">
      <c r="A68" t="s">
        <v>320</v>
      </c>
      <c r="B68" t="s">
        <v>4752</v>
      </c>
      <c r="C68" t="s">
        <v>4737</v>
      </c>
    </row>
    <row r="69" spans="1:3" x14ac:dyDescent="0.3">
      <c r="A69" t="s">
        <v>299</v>
      </c>
      <c r="B69" t="s">
        <v>4753</v>
      </c>
    </row>
    <row r="70" spans="1:3" x14ac:dyDescent="0.3">
      <c r="A70" t="s">
        <v>301</v>
      </c>
      <c r="B70" t="s">
        <v>4754</v>
      </c>
    </row>
    <row r="71" spans="1:3" x14ac:dyDescent="0.3">
      <c r="A71" t="s">
        <v>324</v>
      </c>
      <c r="B71" t="s">
        <v>4755</v>
      </c>
      <c r="C71" t="s">
        <v>4737</v>
      </c>
    </row>
    <row r="72" spans="1:3" x14ac:dyDescent="0.3">
      <c r="A72" t="s">
        <v>299</v>
      </c>
      <c r="B72" t="s">
        <v>4756</v>
      </c>
    </row>
    <row r="73" spans="1:3" x14ac:dyDescent="0.3">
      <c r="A73" t="s">
        <v>301</v>
      </c>
      <c r="B73" t="s">
        <v>4757</v>
      </c>
    </row>
    <row r="74" spans="1:3" x14ac:dyDescent="0.3">
      <c r="A74" t="s">
        <v>328</v>
      </c>
      <c r="B74" t="s">
        <v>4758</v>
      </c>
      <c r="C74" t="s">
        <v>4737</v>
      </c>
    </row>
    <row r="75" spans="1:3" x14ac:dyDescent="0.3">
      <c r="A75" t="s">
        <v>299</v>
      </c>
      <c r="B75" t="s">
        <v>4759</v>
      </c>
    </row>
    <row r="76" spans="1:3" x14ac:dyDescent="0.3">
      <c r="A76" t="s">
        <v>301</v>
      </c>
      <c r="B76" t="s">
        <v>4760</v>
      </c>
    </row>
    <row r="77" spans="1:3" x14ac:dyDescent="0.3">
      <c r="A77" t="s">
        <v>333</v>
      </c>
      <c r="B77" t="s">
        <v>4761</v>
      </c>
      <c r="C77" t="s">
        <v>4737</v>
      </c>
    </row>
    <row r="78" spans="1:3" x14ac:dyDescent="0.3">
      <c r="A78" t="s">
        <v>299</v>
      </c>
      <c r="B78" t="s">
        <v>4762</v>
      </c>
    </row>
    <row r="79" spans="1:3" x14ac:dyDescent="0.3">
      <c r="A79" t="s">
        <v>301</v>
      </c>
      <c r="B79" t="s">
        <v>4763</v>
      </c>
    </row>
    <row r="80" spans="1:3" x14ac:dyDescent="0.3">
      <c r="A80" t="s">
        <v>337</v>
      </c>
      <c r="B80" t="s">
        <v>4764</v>
      </c>
      <c r="C80" t="s">
        <v>4737</v>
      </c>
    </row>
    <row r="81" spans="1:3" x14ac:dyDescent="0.3">
      <c r="A81" t="s">
        <v>299</v>
      </c>
      <c r="B81" t="s">
        <v>4765</v>
      </c>
    </row>
    <row r="82" spans="1:3" x14ac:dyDescent="0.3">
      <c r="A82" t="s">
        <v>301</v>
      </c>
      <c r="B82" t="s">
        <v>4766</v>
      </c>
    </row>
    <row r="83" spans="1:3" x14ac:dyDescent="0.3">
      <c r="A83" t="s">
        <v>341</v>
      </c>
      <c r="B83" t="s">
        <v>4767</v>
      </c>
      <c r="C83" t="s">
        <v>4737</v>
      </c>
    </row>
    <row r="84" spans="1:3" x14ac:dyDescent="0.3">
      <c r="A84" t="s">
        <v>299</v>
      </c>
      <c r="B84" t="s">
        <v>4768</v>
      </c>
    </row>
    <row r="85" spans="1:3" x14ac:dyDescent="0.3">
      <c r="A85" t="s">
        <v>301</v>
      </c>
      <c r="B85" t="s">
        <v>4769</v>
      </c>
    </row>
    <row r="86" spans="1:3" x14ac:dyDescent="0.3">
      <c r="A86" t="s">
        <v>346</v>
      </c>
      <c r="B86" t="s">
        <v>4770</v>
      </c>
      <c r="C86" t="s">
        <v>4737</v>
      </c>
    </row>
    <row r="87" spans="1:3" x14ac:dyDescent="0.3">
      <c r="A87" t="s">
        <v>299</v>
      </c>
      <c r="B87" t="s">
        <v>4771</v>
      </c>
    </row>
    <row r="88" spans="1:3" x14ac:dyDescent="0.3">
      <c r="A88" t="s">
        <v>301</v>
      </c>
      <c r="B88" t="s">
        <v>4772</v>
      </c>
    </row>
    <row r="89" spans="1:3" x14ac:dyDescent="0.3">
      <c r="A89" t="s">
        <v>1453</v>
      </c>
      <c r="B89" t="s">
        <v>4773</v>
      </c>
      <c r="C89" t="s">
        <v>4737</v>
      </c>
    </row>
    <row r="90" spans="1:3" x14ac:dyDescent="0.3">
      <c r="A90" t="s">
        <v>299</v>
      </c>
      <c r="B90" t="s">
        <v>4774</v>
      </c>
    </row>
    <row r="91" spans="1:3" x14ac:dyDescent="0.3">
      <c r="A91" t="s">
        <v>301</v>
      </c>
      <c r="B91" t="s">
        <v>4775</v>
      </c>
    </row>
    <row r="92" spans="1:3" x14ac:dyDescent="0.3">
      <c r="A92" t="s">
        <v>1457</v>
      </c>
      <c r="B92" t="s">
        <v>4776</v>
      </c>
      <c r="C92" t="s">
        <v>4737</v>
      </c>
    </row>
    <row r="93" spans="1:3" x14ac:dyDescent="0.3">
      <c r="A93" t="s">
        <v>299</v>
      </c>
      <c r="B93" t="s">
        <v>4777</v>
      </c>
    </row>
    <row r="94" spans="1:3" x14ac:dyDescent="0.3">
      <c r="A94" t="s">
        <v>301</v>
      </c>
      <c r="B94" t="s">
        <v>4778</v>
      </c>
    </row>
    <row r="95" spans="1:3" x14ac:dyDescent="0.3">
      <c r="A95" t="s">
        <v>1461</v>
      </c>
      <c r="B95" t="s">
        <v>4779</v>
      </c>
      <c r="C95" t="s">
        <v>4737</v>
      </c>
    </row>
    <row r="96" spans="1:3" x14ac:dyDescent="0.3">
      <c r="A96" t="s">
        <v>299</v>
      </c>
      <c r="B96" t="s">
        <v>4780</v>
      </c>
    </row>
    <row r="97" spans="1:3" x14ac:dyDescent="0.3">
      <c r="A97" t="s">
        <v>301</v>
      </c>
      <c r="B97" t="s">
        <v>4781</v>
      </c>
    </row>
    <row r="98" spans="1:3" x14ac:dyDescent="0.3">
      <c r="A98" t="s">
        <v>1465</v>
      </c>
      <c r="B98" t="s">
        <v>4782</v>
      </c>
      <c r="C98" t="s">
        <v>4737</v>
      </c>
    </row>
    <row r="99" spans="1:3" x14ac:dyDescent="0.3">
      <c r="A99" t="s">
        <v>299</v>
      </c>
      <c r="B99" t="s">
        <v>4783</v>
      </c>
    </row>
    <row r="100" spans="1:3" x14ac:dyDescent="0.3">
      <c r="A100" t="s">
        <v>301</v>
      </c>
      <c r="B100" t="s">
        <v>4784</v>
      </c>
    </row>
    <row r="101" spans="1:3" x14ac:dyDescent="0.3">
      <c r="A101" t="s">
        <v>1469</v>
      </c>
      <c r="B101" t="s">
        <v>4785</v>
      </c>
      <c r="C101" t="s">
        <v>4737</v>
      </c>
    </row>
    <row r="102" spans="1:3" x14ac:dyDescent="0.3">
      <c r="A102" t="s">
        <v>299</v>
      </c>
      <c r="B102" t="s">
        <v>4786</v>
      </c>
    </row>
    <row r="103" spans="1:3" x14ac:dyDescent="0.3">
      <c r="A103" t="s">
        <v>301</v>
      </c>
      <c r="B103" t="s">
        <v>4787</v>
      </c>
    </row>
    <row r="104" spans="1:3" x14ac:dyDescent="0.3">
      <c r="A104" t="s">
        <v>1473</v>
      </c>
      <c r="B104" t="s">
        <v>4788</v>
      </c>
      <c r="C104" t="s">
        <v>4737</v>
      </c>
    </row>
    <row r="105" spans="1:3" x14ac:dyDescent="0.3">
      <c r="A105" t="s">
        <v>299</v>
      </c>
      <c r="B105" t="s">
        <v>4789</v>
      </c>
    </row>
    <row r="106" spans="1:3" x14ac:dyDescent="0.3">
      <c r="A106" t="s">
        <v>301</v>
      </c>
      <c r="B106" t="s">
        <v>4790</v>
      </c>
    </row>
    <row r="107" spans="1:3" x14ac:dyDescent="0.3">
      <c r="A107" t="s">
        <v>1477</v>
      </c>
      <c r="B107" t="s">
        <v>4791</v>
      </c>
      <c r="C107" t="s">
        <v>4737</v>
      </c>
    </row>
    <row r="108" spans="1:3" x14ac:dyDescent="0.3">
      <c r="A108" t="s">
        <v>299</v>
      </c>
      <c r="B108" t="s">
        <v>4792</v>
      </c>
    </row>
    <row r="109" spans="1:3" x14ac:dyDescent="0.3">
      <c r="A109" t="s">
        <v>301</v>
      </c>
      <c r="B109" t="s">
        <v>4793</v>
      </c>
    </row>
    <row r="110" spans="1:3" x14ac:dyDescent="0.3">
      <c r="A110" t="s">
        <v>2578</v>
      </c>
      <c r="B110" t="s">
        <v>4794</v>
      </c>
      <c r="C110" t="s">
        <v>4737</v>
      </c>
    </row>
    <row r="111" spans="1:3" x14ac:dyDescent="0.3">
      <c r="A111" t="s">
        <v>299</v>
      </c>
      <c r="B111" t="s">
        <v>4795</v>
      </c>
    </row>
    <row r="112" spans="1:3" x14ac:dyDescent="0.3">
      <c r="A112" t="s">
        <v>301</v>
      </c>
      <c r="B112" t="s">
        <v>4796</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D88"/>
  <sheetViews>
    <sheetView workbookViewId="0"/>
  </sheetViews>
  <sheetFormatPr defaultRowHeight="14.4" x14ac:dyDescent="0.3"/>
  <cols>
    <col min="1" max="1" width="46" customWidth="1"/>
    <col min="2" max="8" width="15" customWidth="1"/>
  </cols>
  <sheetData>
    <row r="1" spans="1:4" x14ac:dyDescent="0.3">
      <c r="A1" s="24" t="s">
        <v>181</v>
      </c>
      <c r="B1" t="s">
        <v>4797</v>
      </c>
    </row>
    <row r="2" spans="1:4" x14ac:dyDescent="0.3">
      <c r="A2" s="24" t="s">
        <v>183</v>
      </c>
      <c r="B2" t="s">
        <v>4798</v>
      </c>
    </row>
    <row r="4" spans="1:4" x14ac:dyDescent="0.3">
      <c r="A4" s="25" t="s">
        <v>185</v>
      </c>
      <c r="B4" s="25"/>
      <c r="C4" s="25"/>
      <c r="D4" s="25"/>
    </row>
    <row r="6" spans="1:4" x14ac:dyDescent="0.3">
      <c r="A6" t="s">
        <v>4799</v>
      </c>
      <c r="B6" t="s">
        <v>34</v>
      </c>
      <c r="C6" t="s">
        <v>27</v>
      </c>
      <c r="D6" t="s">
        <v>189</v>
      </c>
    </row>
    <row r="7" spans="1:4" x14ac:dyDescent="0.3">
      <c r="A7" t="s">
        <v>45</v>
      </c>
      <c r="B7" t="s">
        <v>4800</v>
      </c>
      <c r="C7" t="s">
        <v>4801</v>
      </c>
      <c r="D7" t="s">
        <v>381</v>
      </c>
    </row>
    <row r="8" spans="1:4" x14ac:dyDescent="0.3">
      <c r="A8" t="s">
        <v>46</v>
      </c>
      <c r="B8" t="s">
        <v>4802</v>
      </c>
      <c r="C8" t="s">
        <v>4803</v>
      </c>
      <c r="D8" t="s">
        <v>381</v>
      </c>
    </row>
    <row r="9" spans="1:4" x14ac:dyDescent="0.3">
      <c r="A9" t="s">
        <v>130</v>
      </c>
      <c r="B9" t="s">
        <v>4804</v>
      </c>
      <c r="C9" t="s">
        <v>4805</v>
      </c>
      <c r="D9" t="s">
        <v>891</v>
      </c>
    </row>
    <row r="10" spans="1:4" x14ac:dyDescent="0.3">
      <c r="A10" t="s">
        <v>51</v>
      </c>
      <c r="B10" t="s">
        <v>4806</v>
      </c>
      <c r="C10" t="s">
        <v>4807</v>
      </c>
      <c r="D10" t="s">
        <v>1638</v>
      </c>
    </row>
    <row r="11" spans="1:4" x14ac:dyDescent="0.3">
      <c r="A11" t="s">
        <v>1011</v>
      </c>
      <c r="B11" t="s">
        <v>4808</v>
      </c>
      <c r="C11" t="s">
        <v>4809</v>
      </c>
      <c r="D11" t="s">
        <v>4810</v>
      </c>
    </row>
    <row r="12" spans="1:4" x14ac:dyDescent="0.3">
      <c r="A12" t="s">
        <v>3244</v>
      </c>
      <c r="B12" t="s">
        <v>2981</v>
      </c>
      <c r="C12" t="s">
        <v>3080</v>
      </c>
      <c r="D12" t="s">
        <v>4811</v>
      </c>
    </row>
    <row r="13" spans="1:4" x14ac:dyDescent="0.3">
      <c r="A13" t="s">
        <v>1016</v>
      </c>
      <c r="B13" t="s">
        <v>4812</v>
      </c>
      <c r="C13" t="s">
        <v>4813</v>
      </c>
      <c r="D13" t="s">
        <v>361</v>
      </c>
    </row>
    <row r="14" spans="1:4" x14ac:dyDescent="0.3">
      <c r="A14" t="s">
        <v>4814</v>
      </c>
      <c r="B14" t="s">
        <v>198</v>
      </c>
      <c r="C14" t="s">
        <v>3022</v>
      </c>
      <c r="D14" t="s">
        <v>3332</v>
      </c>
    </row>
    <row r="15" spans="1:4" x14ac:dyDescent="0.3">
      <c r="A15" t="s">
        <v>3843</v>
      </c>
      <c r="B15" t="s">
        <v>4815</v>
      </c>
      <c r="C15" t="s">
        <v>4816</v>
      </c>
      <c r="D15" t="s">
        <v>4817</v>
      </c>
    </row>
    <row r="16" spans="1:4" x14ac:dyDescent="0.3">
      <c r="A16" t="s">
        <v>4818</v>
      </c>
      <c r="B16" t="s">
        <v>4819</v>
      </c>
      <c r="C16" t="s">
        <v>4820</v>
      </c>
      <c r="D16" t="s">
        <v>1127</v>
      </c>
    </row>
    <row r="17" spans="1:4" x14ac:dyDescent="0.3">
      <c r="A17" t="s">
        <v>102</v>
      </c>
      <c r="B17" t="s">
        <v>4821</v>
      </c>
      <c r="C17" t="s">
        <v>4822</v>
      </c>
      <c r="D17" t="s">
        <v>3816</v>
      </c>
    </row>
    <row r="19" spans="1:4" x14ac:dyDescent="0.3">
      <c r="A19" t="s">
        <v>4823</v>
      </c>
      <c r="B19" t="s">
        <v>34</v>
      </c>
      <c r="C19" t="s">
        <v>27</v>
      </c>
    </row>
    <row r="20" spans="1:4" x14ac:dyDescent="0.3">
      <c r="A20" t="s">
        <v>4824</v>
      </c>
      <c r="B20" t="s">
        <v>4825</v>
      </c>
      <c r="C20" t="s">
        <v>197</v>
      </c>
    </row>
    <row r="21" spans="1:4" x14ac:dyDescent="0.3">
      <c r="A21" t="s">
        <v>4826</v>
      </c>
      <c r="B21" t="s">
        <v>4827</v>
      </c>
      <c r="C21" t="s">
        <v>3339</v>
      </c>
    </row>
    <row r="23" spans="1:4" x14ac:dyDescent="0.3">
      <c r="A23" t="s">
        <v>4828</v>
      </c>
      <c r="B23" t="s">
        <v>238</v>
      </c>
    </row>
    <row r="24" spans="1:4" x14ac:dyDescent="0.3">
      <c r="A24" t="s">
        <v>4829</v>
      </c>
      <c r="B24" t="s">
        <v>4830</v>
      </c>
    </row>
    <row r="25" spans="1:4" x14ac:dyDescent="0.3">
      <c r="A25" t="s">
        <v>4831</v>
      </c>
      <c r="B25" t="s">
        <v>4832</v>
      </c>
    </row>
    <row r="26" spans="1:4" x14ac:dyDescent="0.3">
      <c r="A26" t="s">
        <v>4606</v>
      </c>
      <c r="B26" t="s">
        <v>4833</v>
      </c>
    </row>
    <row r="27" spans="1:4" x14ac:dyDescent="0.3">
      <c r="A27" t="s">
        <v>4834</v>
      </c>
      <c r="B27" t="s">
        <v>4835</v>
      </c>
    </row>
    <row r="28" spans="1:4" x14ac:dyDescent="0.3">
      <c r="A28" t="s">
        <v>4836</v>
      </c>
      <c r="B28" t="s">
        <v>4837</v>
      </c>
    </row>
    <row r="29" spans="1:4" x14ac:dyDescent="0.3">
      <c r="A29" t="s">
        <v>4838</v>
      </c>
      <c r="B29" t="s">
        <v>4839</v>
      </c>
    </row>
    <row r="30" spans="1:4" x14ac:dyDescent="0.3">
      <c r="A30" t="s">
        <v>4840</v>
      </c>
      <c r="B30" t="s">
        <v>4841</v>
      </c>
    </row>
    <row r="31" spans="1:4" x14ac:dyDescent="0.3">
      <c r="A31" t="s">
        <v>4842</v>
      </c>
      <c r="B31" t="s">
        <v>4686</v>
      </c>
    </row>
    <row r="32" spans="1:4" x14ac:dyDescent="0.3">
      <c r="A32" t="s">
        <v>4843</v>
      </c>
      <c r="B32" t="s">
        <v>4844</v>
      </c>
    </row>
    <row r="33" spans="1:4" x14ac:dyDescent="0.3">
      <c r="A33" t="s">
        <v>4845</v>
      </c>
      <c r="B33" t="s">
        <v>4846</v>
      </c>
    </row>
    <row r="34" spans="1:4" x14ac:dyDescent="0.3">
      <c r="A34" t="s">
        <v>4847</v>
      </c>
      <c r="B34" t="s">
        <v>3832</v>
      </c>
    </row>
    <row r="36" spans="1:4" x14ac:dyDescent="0.3">
      <c r="A36" t="s">
        <v>4848</v>
      </c>
      <c r="B36" t="s">
        <v>34</v>
      </c>
      <c r="C36" t="s">
        <v>27</v>
      </c>
      <c r="D36" t="s">
        <v>189</v>
      </c>
    </row>
    <row r="37" spans="1:4" x14ac:dyDescent="0.3">
      <c r="A37" t="s">
        <v>91</v>
      </c>
      <c r="B37" t="s">
        <v>4849</v>
      </c>
      <c r="C37" t="s">
        <v>4850</v>
      </c>
      <c r="D37" t="s">
        <v>4851</v>
      </c>
    </row>
    <row r="38" spans="1:4" x14ac:dyDescent="0.3">
      <c r="A38" t="s">
        <v>50</v>
      </c>
      <c r="B38" t="s">
        <v>4852</v>
      </c>
      <c r="C38" t="s">
        <v>4853</v>
      </c>
      <c r="D38" t="s">
        <v>631</v>
      </c>
    </row>
    <row r="40" spans="1:4" x14ac:dyDescent="0.3">
      <c r="A40" t="s">
        <v>4854</v>
      </c>
      <c r="B40" t="s">
        <v>238</v>
      </c>
    </row>
    <row r="41" spans="1:4" x14ac:dyDescent="0.3">
      <c r="A41" t="s">
        <v>4855</v>
      </c>
      <c r="B41" t="s">
        <v>4856</v>
      </c>
    </row>
    <row r="42" spans="1:4" x14ac:dyDescent="0.3">
      <c r="A42" t="s">
        <v>4857</v>
      </c>
      <c r="B42" t="s">
        <v>4858</v>
      </c>
    </row>
    <row r="43" spans="1:4" x14ac:dyDescent="0.3">
      <c r="A43" t="s">
        <v>4859</v>
      </c>
      <c r="B43" t="s">
        <v>4860</v>
      </c>
    </row>
    <row r="44" spans="1:4" x14ac:dyDescent="0.3">
      <c r="A44" t="s">
        <v>4861</v>
      </c>
      <c r="B44" t="s">
        <v>4862</v>
      </c>
    </row>
    <row r="46" spans="1:4" x14ac:dyDescent="0.3">
      <c r="A46" t="s">
        <v>273</v>
      </c>
      <c r="B46" t="s">
        <v>238</v>
      </c>
      <c r="C46" t="s">
        <v>274</v>
      </c>
    </row>
    <row r="47" spans="1:4" x14ac:dyDescent="0.3">
      <c r="A47" t="s">
        <v>4863</v>
      </c>
      <c r="B47" t="s">
        <v>4864</v>
      </c>
      <c r="C47" t="s">
        <v>4865</v>
      </c>
    </row>
    <row r="48" spans="1:4" x14ac:dyDescent="0.3">
      <c r="A48" t="s">
        <v>3244</v>
      </c>
      <c r="B48" t="s">
        <v>4866</v>
      </c>
      <c r="C48" t="s">
        <v>36</v>
      </c>
    </row>
    <row r="49" spans="1:4" x14ac:dyDescent="0.3">
      <c r="A49" t="s">
        <v>1011</v>
      </c>
      <c r="B49" t="s">
        <v>4867</v>
      </c>
      <c r="C49" t="s">
        <v>4868</v>
      </c>
    </row>
    <row r="50" spans="1:4" x14ac:dyDescent="0.3">
      <c r="A50" t="s">
        <v>4869</v>
      </c>
      <c r="B50" t="s">
        <v>4182</v>
      </c>
      <c r="C50" t="s">
        <v>27</v>
      </c>
    </row>
    <row r="53" spans="1:4" x14ac:dyDescent="0.3">
      <c r="A53" s="25" t="s">
        <v>281</v>
      </c>
      <c r="B53" s="25"/>
      <c r="C53" s="25"/>
      <c r="D53" s="25"/>
    </row>
    <row r="54" spans="1:4" x14ac:dyDescent="0.3">
      <c r="A54" t="s">
        <v>4870</v>
      </c>
    </row>
    <row r="55" spans="1:4" x14ac:dyDescent="0.3">
      <c r="A55" t="s">
        <v>4871</v>
      </c>
    </row>
    <row r="56" spans="1:4" x14ac:dyDescent="0.3">
      <c r="A56" t="s">
        <v>4872</v>
      </c>
    </row>
    <row r="57" spans="1:4" x14ac:dyDescent="0.3">
      <c r="A57" t="s">
        <v>4873</v>
      </c>
    </row>
    <row r="58" spans="1:4" x14ac:dyDescent="0.3">
      <c r="A58" t="s">
        <v>4874</v>
      </c>
    </row>
    <row r="59" spans="1:4" x14ac:dyDescent="0.3">
      <c r="A59" t="s">
        <v>4875</v>
      </c>
    </row>
    <row r="60" spans="1:4" x14ac:dyDescent="0.3">
      <c r="A60" t="s">
        <v>4876</v>
      </c>
    </row>
    <row r="61" spans="1:4" x14ac:dyDescent="0.3">
      <c r="A61" t="s">
        <v>4877</v>
      </c>
    </row>
    <row r="62" spans="1:4" x14ac:dyDescent="0.3">
      <c r="A62" t="s">
        <v>4878</v>
      </c>
    </row>
    <row r="63" spans="1:4" x14ac:dyDescent="0.3">
      <c r="A63" t="s">
        <v>4879</v>
      </c>
    </row>
    <row r="64" spans="1:4" x14ac:dyDescent="0.3">
      <c r="A64" t="s">
        <v>4880</v>
      </c>
    </row>
    <row r="65" spans="1:4" x14ac:dyDescent="0.3">
      <c r="A65" t="s">
        <v>4881</v>
      </c>
    </row>
    <row r="67" spans="1:4" x14ac:dyDescent="0.3">
      <c r="A67" s="25" t="s">
        <v>295</v>
      </c>
      <c r="B67" s="25"/>
      <c r="C67" s="25"/>
      <c r="D67" s="25"/>
    </row>
    <row r="68" spans="1:4" x14ac:dyDescent="0.3">
      <c r="A68" t="s">
        <v>296</v>
      </c>
      <c r="B68" t="s">
        <v>4882</v>
      </c>
      <c r="C68" t="s">
        <v>4883</v>
      </c>
    </row>
    <row r="69" spans="1:4" x14ac:dyDescent="0.3">
      <c r="A69" t="s">
        <v>299</v>
      </c>
      <c r="B69" t="s">
        <v>4884</v>
      </c>
    </row>
    <row r="70" spans="1:4" x14ac:dyDescent="0.3">
      <c r="A70" t="s">
        <v>301</v>
      </c>
      <c r="B70" t="s">
        <v>4885</v>
      </c>
    </row>
    <row r="71" spans="1:4" x14ac:dyDescent="0.3">
      <c r="A71" t="s">
        <v>303</v>
      </c>
      <c r="B71" t="s">
        <v>4886</v>
      </c>
      <c r="C71" t="s">
        <v>3386</v>
      </c>
    </row>
    <row r="72" spans="1:4" x14ac:dyDescent="0.3">
      <c r="A72" t="s">
        <v>299</v>
      </c>
      <c r="B72" t="s">
        <v>4887</v>
      </c>
    </row>
    <row r="73" spans="1:4" x14ac:dyDescent="0.3">
      <c r="A73" t="s">
        <v>301</v>
      </c>
      <c r="B73" t="s">
        <v>4888</v>
      </c>
    </row>
    <row r="74" spans="1:4" x14ac:dyDescent="0.3">
      <c r="A74" t="s">
        <v>307</v>
      </c>
      <c r="B74" t="s">
        <v>4889</v>
      </c>
      <c r="C74" t="s">
        <v>727</v>
      </c>
    </row>
    <row r="75" spans="1:4" x14ac:dyDescent="0.3">
      <c r="A75" t="s">
        <v>299</v>
      </c>
      <c r="B75" t="s">
        <v>4890</v>
      </c>
    </row>
    <row r="76" spans="1:4" x14ac:dyDescent="0.3">
      <c r="A76" t="s">
        <v>301</v>
      </c>
      <c r="B76" t="s">
        <v>4891</v>
      </c>
    </row>
    <row r="77" spans="1:4" x14ac:dyDescent="0.3">
      <c r="A77" t="s">
        <v>311</v>
      </c>
      <c r="B77" t="s">
        <v>4892</v>
      </c>
      <c r="C77" t="s">
        <v>3401</v>
      </c>
    </row>
    <row r="78" spans="1:4" x14ac:dyDescent="0.3">
      <c r="A78" t="s">
        <v>299</v>
      </c>
      <c r="B78" t="s">
        <v>4893</v>
      </c>
    </row>
    <row r="79" spans="1:4" x14ac:dyDescent="0.3">
      <c r="A79" t="s">
        <v>301</v>
      </c>
      <c r="B79" t="s">
        <v>4894</v>
      </c>
    </row>
    <row r="80" spans="1:4" x14ac:dyDescent="0.3">
      <c r="A80" t="s">
        <v>316</v>
      </c>
      <c r="B80" t="s">
        <v>4895</v>
      </c>
      <c r="C80" t="s">
        <v>4896</v>
      </c>
    </row>
    <row r="81" spans="1:3" x14ac:dyDescent="0.3">
      <c r="A81" t="s">
        <v>299</v>
      </c>
      <c r="B81" t="s">
        <v>4897</v>
      </c>
    </row>
    <row r="82" spans="1:3" x14ac:dyDescent="0.3">
      <c r="A82" t="s">
        <v>301</v>
      </c>
      <c r="B82" t="s">
        <v>4898</v>
      </c>
    </row>
    <row r="83" spans="1:3" x14ac:dyDescent="0.3">
      <c r="A83" t="s">
        <v>320</v>
      </c>
      <c r="B83" t="s">
        <v>4899</v>
      </c>
      <c r="C83" t="s">
        <v>4900</v>
      </c>
    </row>
    <row r="84" spans="1:3" x14ac:dyDescent="0.3">
      <c r="A84" t="s">
        <v>299</v>
      </c>
      <c r="B84" t="s">
        <v>4901</v>
      </c>
    </row>
    <row r="85" spans="1:3" x14ac:dyDescent="0.3">
      <c r="A85" t="s">
        <v>301</v>
      </c>
      <c r="B85" t="s">
        <v>4902</v>
      </c>
    </row>
    <row r="86" spans="1:3" x14ac:dyDescent="0.3">
      <c r="A86" t="s">
        <v>324</v>
      </c>
      <c r="B86" t="s">
        <v>4903</v>
      </c>
      <c r="C86" t="s">
        <v>3397</v>
      </c>
    </row>
    <row r="87" spans="1:3" x14ac:dyDescent="0.3">
      <c r="A87" t="s">
        <v>299</v>
      </c>
      <c r="B87" t="s">
        <v>4904</v>
      </c>
    </row>
    <row r="88" spans="1:3" x14ac:dyDescent="0.3">
      <c r="A88" t="s">
        <v>301</v>
      </c>
      <c r="B88" t="s">
        <v>4905</v>
      </c>
    </row>
  </sheetData>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03"/>
  <sheetViews>
    <sheetView workbookViewId="0"/>
  </sheetViews>
  <sheetFormatPr defaultRowHeight="14.4" x14ac:dyDescent="0.3"/>
  <cols>
    <col min="1" max="1" width="46" customWidth="1"/>
    <col min="2" max="8" width="15" customWidth="1"/>
  </cols>
  <sheetData>
    <row r="1" spans="1:3" x14ac:dyDescent="0.3">
      <c r="A1" s="24" t="s">
        <v>181</v>
      </c>
      <c r="B1" t="s">
        <v>3420</v>
      </c>
    </row>
    <row r="2" spans="1:3" x14ac:dyDescent="0.3">
      <c r="A2" s="24" t="s">
        <v>183</v>
      </c>
      <c r="B2" t="s">
        <v>4906</v>
      </c>
    </row>
    <row r="4" spans="1:3" x14ac:dyDescent="0.3">
      <c r="A4" s="25" t="s">
        <v>185</v>
      </c>
      <c r="B4" s="25"/>
      <c r="C4" s="25"/>
    </row>
    <row r="6" spans="1:3" x14ac:dyDescent="0.3">
      <c r="A6" t="s">
        <v>4907</v>
      </c>
      <c r="B6" t="s">
        <v>238</v>
      </c>
    </row>
    <row r="7" spans="1:3" x14ac:dyDescent="0.3">
      <c r="A7" t="s">
        <v>4908</v>
      </c>
      <c r="B7" t="s">
        <v>4909</v>
      </c>
    </row>
    <row r="8" spans="1:3" x14ac:dyDescent="0.3">
      <c r="A8" t="s">
        <v>4910</v>
      </c>
      <c r="B8" t="s">
        <v>4911</v>
      </c>
    </row>
    <row r="9" spans="1:3" x14ac:dyDescent="0.3">
      <c r="A9" t="s">
        <v>4912</v>
      </c>
      <c r="B9" t="s">
        <v>4913</v>
      </c>
    </row>
    <row r="10" spans="1:3" x14ac:dyDescent="0.3">
      <c r="A10" t="s">
        <v>4914</v>
      </c>
      <c r="B10" t="s">
        <v>1156</v>
      </c>
    </row>
    <row r="11" spans="1:3" x14ac:dyDescent="0.3">
      <c r="A11" t="s">
        <v>4915</v>
      </c>
      <c r="B11" t="s">
        <v>4916</v>
      </c>
    </row>
    <row r="12" spans="1:3" x14ac:dyDescent="0.3">
      <c r="A12" t="s">
        <v>127</v>
      </c>
      <c r="B12" t="s">
        <v>4917</v>
      </c>
    </row>
    <row r="13" spans="1:3" x14ac:dyDescent="0.3">
      <c r="A13" t="s">
        <v>4847</v>
      </c>
      <c r="B13" t="s">
        <v>3832</v>
      </c>
    </row>
    <row r="14" spans="1:3" x14ac:dyDescent="0.3">
      <c r="A14" t="s">
        <v>4918</v>
      </c>
      <c r="B14" t="s">
        <v>4919</v>
      </c>
    </row>
    <row r="15" spans="1:3" x14ac:dyDescent="0.3">
      <c r="A15" t="s">
        <v>4920</v>
      </c>
      <c r="B15" t="s">
        <v>1245</v>
      </c>
    </row>
    <row r="16" spans="1:3" x14ac:dyDescent="0.3">
      <c r="A16" t="s">
        <v>4921</v>
      </c>
      <c r="B16" t="s">
        <v>4922</v>
      </c>
    </row>
    <row r="17" spans="1:3" x14ac:dyDescent="0.3">
      <c r="A17" t="s">
        <v>4923</v>
      </c>
      <c r="B17" t="s">
        <v>4924</v>
      </c>
    </row>
    <row r="18" spans="1:3" x14ac:dyDescent="0.3">
      <c r="A18" t="s">
        <v>4925</v>
      </c>
      <c r="B18" t="s">
        <v>4926</v>
      </c>
    </row>
    <row r="20" spans="1:3" x14ac:dyDescent="0.3">
      <c r="A20" t="s">
        <v>4927</v>
      </c>
      <c r="B20" t="s">
        <v>238</v>
      </c>
    </row>
    <row r="21" spans="1:3" x14ac:dyDescent="0.3">
      <c r="A21" t="s">
        <v>4928</v>
      </c>
      <c r="B21" t="s">
        <v>4841</v>
      </c>
    </row>
    <row r="22" spans="1:3" x14ac:dyDescent="0.3">
      <c r="A22" t="s">
        <v>4929</v>
      </c>
      <c r="B22" t="s">
        <v>4930</v>
      </c>
    </row>
    <row r="23" spans="1:3" x14ac:dyDescent="0.3">
      <c r="A23" t="s">
        <v>4931</v>
      </c>
      <c r="B23" t="s">
        <v>4932</v>
      </c>
    </row>
    <row r="24" spans="1:3" x14ac:dyDescent="0.3">
      <c r="A24" t="s">
        <v>4933</v>
      </c>
      <c r="B24" t="s">
        <v>4934</v>
      </c>
    </row>
    <row r="25" spans="1:3" x14ac:dyDescent="0.3">
      <c r="A25" t="s">
        <v>4935</v>
      </c>
      <c r="B25" t="s">
        <v>4936</v>
      </c>
    </row>
    <row r="26" spans="1:3" x14ac:dyDescent="0.3">
      <c r="A26" t="s">
        <v>4937</v>
      </c>
      <c r="B26" t="s">
        <v>4938</v>
      </c>
    </row>
    <row r="28" spans="1:3" x14ac:dyDescent="0.3">
      <c r="A28" t="s">
        <v>273</v>
      </c>
      <c r="B28" t="s">
        <v>238</v>
      </c>
      <c r="C28" t="s">
        <v>274</v>
      </c>
    </row>
    <row r="29" spans="1:3" x14ac:dyDescent="0.3">
      <c r="A29" t="s">
        <v>4939</v>
      </c>
      <c r="B29" t="s">
        <v>1511</v>
      </c>
      <c r="C29" t="s">
        <v>4940</v>
      </c>
    </row>
    <row r="30" spans="1:3" x14ac:dyDescent="0.3">
      <c r="A30" t="s">
        <v>4941</v>
      </c>
      <c r="B30" t="s">
        <v>4942</v>
      </c>
      <c r="C30" t="s">
        <v>4943</v>
      </c>
    </row>
    <row r="31" spans="1:3" x14ac:dyDescent="0.3">
      <c r="A31" t="s">
        <v>4944</v>
      </c>
      <c r="B31" t="s">
        <v>4945</v>
      </c>
      <c r="C31" t="s">
        <v>35</v>
      </c>
    </row>
    <row r="32" spans="1:3" x14ac:dyDescent="0.3">
      <c r="A32" t="s">
        <v>4946</v>
      </c>
      <c r="B32" t="s">
        <v>4947</v>
      </c>
      <c r="C32" t="s">
        <v>36</v>
      </c>
    </row>
    <row r="35" spans="1:3" x14ac:dyDescent="0.3">
      <c r="A35" s="25" t="s">
        <v>281</v>
      </c>
      <c r="B35" s="25"/>
      <c r="C35" s="25"/>
    </row>
    <row r="36" spans="1:3" x14ac:dyDescent="0.3">
      <c r="A36" t="s">
        <v>4948</v>
      </c>
    </row>
    <row r="37" spans="1:3" x14ac:dyDescent="0.3">
      <c r="A37" t="s">
        <v>4949</v>
      </c>
    </row>
    <row r="38" spans="1:3" x14ac:dyDescent="0.3">
      <c r="A38" t="s">
        <v>4950</v>
      </c>
    </row>
    <row r="39" spans="1:3" x14ac:dyDescent="0.3">
      <c r="A39" t="s">
        <v>4951</v>
      </c>
    </row>
    <row r="40" spans="1:3" x14ac:dyDescent="0.3">
      <c r="A40" t="s">
        <v>4952</v>
      </c>
    </row>
    <row r="41" spans="1:3" x14ac:dyDescent="0.3">
      <c r="A41" t="s">
        <v>4953</v>
      </c>
    </row>
    <row r="42" spans="1:3" x14ac:dyDescent="0.3">
      <c r="A42" t="s">
        <v>4954</v>
      </c>
    </row>
    <row r="43" spans="1:3" x14ac:dyDescent="0.3">
      <c r="A43" t="s">
        <v>4955</v>
      </c>
    </row>
    <row r="44" spans="1:3" x14ac:dyDescent="0.3">
      <c r="A44" t="s">
        <v>4956</v>
      </c>
    </row>
    <row r="45" spans="1:3" x14ac:dyDescent="0.3">
      <c r="A45" t="s">
        <v>4957</v>
      </c>
    </row>
    <row r="46" spans="1:3" x14ac:dyDescent="0.3">
      <c r="A46" t="s">
        <v>4958</v>
      </c>
    </row>
    <row r="47" spans="1:3" x14ac:dyDescent="0.3">
      <c r="A47" t="s">
        <v>4959</v>
      </c>
    </row>
    <row r="49" spans="1:3" x14ac:dyDescent="0.3">
      <c r="A49" s="25" t="s">
        <v>295</v>
      </c>
      <c r="B49" s="25"/>
      <c r="C49" s="25"/>
    </row>
    <row r="50" spans="1:3" x14ac:dyDescent="0.3">
      <c r="A50" t="s">
        <v>296</v>
      </c>
      <c r="B50" t="s">
        <v>4960</v>
      </c>
      <c r="C50" t="s">
        <v>4961</v>
      </c>
    </row>
    <row r="51" spans="1:3" x14ac:dyDescent="0.3">
      <c r="A51" t="s">
        <v>299</v>
      </c>
      <c r="B51" t="s">
        <v>4962</v>
      </c>
    </row>
    <row r="52" spans="1:3" x14ac:dyDescent="0.3">
      <c r="A52" t="s">
        <v>301</v>
      </c>
      <c r="B52" t="s">
        <v>4963</v>
      </c>
    </row>
    <row r="53" spans="1:3" x14ac:dyDescent="0.3">
      <c r="A53" t="s">
        <v>303</v>
      </c>
      <c r="B53" t="s">
        <v>4964</v>
      </c>
      <c r="C53" t="s">
        <v>4961</v>
      </c>
    </row>
    <row r="54" spans="1:3" x14ac:dyDescent="0.3">
      <c r="A54" t="s">
        <v>299</v>
      </c>
      <c r="B54" t="s">
        <v>4965</v>
      </c>
    </row>
    <row r="55" spans="1:3" x14ac:dyDescent="0.3">
      <c r="A55" t="s">
        <v>301</v>
      </c>
      <c r="B55" t="s">
        <v>4966</v>
      </c>
    </row>
    <row r="56" spans="1:3" x14ac:dyDescent="0.3">
      <c r="A56" t="s">
        <v>307</v>
      </c>
      <c r="B56" t="s">
        <v>4967</v>
      </c>
      <c r="C56" t="s">
        <v>4961</v>
      </c>
    </row>
    <row r="57" spans="1:3" x14ac:dyDescent="0.3">
      <c r="A57" t="s">
        <v>299</v>
      </c>
      <c r="B57" t="s">
        <v>4968</v>
      </c>
    </row>
    <row r="58" spans="1:3" x14ac:dyDescent="0.3">
      <c r="A58" t="s">
        <v>301</v>
      </c>
      <c r="B58" t="s">
        <v>4969</v>
      </c>
    </row>
    <row r="59" spans="1:3" x14ac:dyDescent="0.3">
      <c r="A59" t="s">
        <v>311</v>
      </c>
      <c r="B59" t="s">
        <v>4970</v>
      </c>
      <c r="C59" t="s">
        <v>4961</v>
      </c>
    </row>
    <row r="60" spans="1:3" x14ac:dyDescent="0.3">
      <c r="A60" t="s">
        <v>299</v>
      </c>
      <c r="B60" t="s">
        <v>4971</v>
      </c>
    </row>
    <row r="61" spans="1:3" x14ac:dyDescent="0.3">
      <c r="A61" t="s">
        <v>301</v>
      </c>
      <c r="B61" t="s">
        <v>4972</v>
      </c>
    </row>
    <row r="62" spans="1:3" x14ac:dyDescent="0.3">
      <c r="A62" t="s">
        <v>316</v>
      </c>
      <c r="B62" t="s">
        <v>4973</v>
      </c>
      <c r="C62" t="s">
        <v>4961</v>
      </c>
    </row>
    <row r="63" spans="1:3" x14ac:dyDescent="0.3">
      <c r="A63" t="s">
        <v>299</v>
      </c>
      <c r="B63" t="s">
        <v>4974</v>
      </c>
    </row>
    <row r="64" spans="1:3" x14ac:dyDescent="0.3">
      <c r="A64" t="s">
        <v>301</v>
      </c>
      <c r="B64" t="s">
        <v>4975</v>
      </c>
    </row>
    <row r="65" spans="1:3" x14ac:dyDescent="0.3">
      <c r="A65" t="s">
        <v>320</v>
      </c>
      <c r="B65" t="s">
        <v>4976</v>
      </c>
      <c r="C65" t="s">
        <v>4961</v>
      </c>
    </row>
    <row r="66" spans="1:3" x14ac:dyDescent="0.3">
      <c r="A66" t="s">
        <v>299</v>
      </c>
      <c r="B66" t="s">
        <v>4977</v>
      </c>
    </row>
    <row r="67" spans="1:3" x14ac:dyDescent="0.3">
      <c r="A67" t="s">
        <v>301</v>
      </c>
      <c r="B67" t="s">
        <v>4978</v>
      </c>
    </row>
    <row r="68" spans="1:3" x14ac:dyDescent="0.3">
      <c r="A68" t="s">
        <v>324</v>
      </c>
      <c r="B68" t="s">
        <v>4979</v>
      </c>
      <c r="C68" t="s">
        <v>4961</v>
      </c>
    </row>
    <row r="69" spans="1:3" x14ac:dyDescent="0.3">
      <c r="A69" t="s">
        <v>299</v>
      </c>
      <c r="B69" t="s">
        <v>4980</v>
      </c>
    </row>
    <row r="70" spans="1:3" x14ac:dyDescent="0.3">
      <c r="A70" t="s">
        <v>301</v>
      </c>
      <c r="B70" t="s">
        <v>4981</v>
      </c>
    </row>
    <row r="71" spans="1:3" x14ac:dyDescent="0.3">
      <c r="A71" t="s">
        <v>328</v>
      </c>
      <c r="B71" t="s">
        <v>4982</v>
      </c>
      <c r="C71" t="s">
        <v>4961</v>
      </c>
    </row>
    <row r="72" spans="1:3" x14ac:dyDescent="0.3">
      <c r="A72" t="s">
        <v>299</v>
      </c>
      <c r="B72" t="s">
        <v>4983</v>
      </c>
    </row>
    <row r="73" spans="1:3" x14ac:dyDescent="0.3">
      <c r="A73" t="s">
        <v>301</v>
      </c>
      <c r="B73" t="s">
        <v>4984</v>
      </c>
    </row>
    <row r="74" spans="1:3" x14ac:dyDescent="0.3">
      <c r="A74" t="s">
        <v>333</v>
      </c>
      <c r="B74" t="s">
        <v>4985</v>
      </c>
      <c r="C74" t="s">
        <v>4961</v>
      </c>
    </row>
    <row r="75" spans="1:3" x14ac:dyDescent="0.3">
      <c r="A75" t="s">
        <v>299</v>
      </c>
      <c r="B75" t="s">
        <v>4986</v>
      </c>
    </row>
    <row r="76" spans="1:3" x14ac:dyDescent="0.3">
      <c r="A76" t="s">
        <v>301</v>
      </c>
      <c r="B76" t="s">
        <v>4987</v>
      </c>
    </row>
    <row r="77" spans="1:3" x14ac:dyDescent="0.3">
      <c r="A77" t="s">
        <v>337</v>
      </c>
      <c r="B77" t="s">
        <v>2179</v>
      </c>
      <c r="C77" t="s">
        <v>4961</v>
      </c>
    </row>
    <row r="78" spans="1:3" x14ac:dyDescent="0.3">
      <c r="A78" t="s">
        <v>299</v>
      </c>
      <c r="B78" t="s">
        <v>4988</v>
      </c>
    </row>
    <row r="79" spans="1:3" x14ac:dyDescent="0.3">
      <c r="A79" t="s">
        <v>301</v>
      </c>
      <c r="B79" t="s">
        <v>4989</v>
      </c>
    </row>
    <row r="80" spans="1:3" x14ac:dyDescent="0.3">
      <c r="A80" t="s">
        <v>341</v>
      </c>
      <c r="B80" t="s">
        <v>4990</v>
      </c>
      <c r="C80" t="s">
        <v>4961</v>
      </c>
    </row>
    <row r="81" spans="1:3" x14ac:dyDescent="0.3">
      <c r="A81" t="s">
        <v>299</v>
      </c>
      <c r="B81" t="s">
        <v>4991</v>
      </c>
    </row>
    <row r="82" spans="1:3" x14ac:dyDescent="0.3">
      <c r="A82" t="s">
        <v>301</v>
      </c>
      <c r="B82" t="s">
        <v>4992</v>
      </c>
    </row>
    <row r="83" spans="1:3" x14ac:dyDescent="0.3">
      <c r="A83" t="s">
        <v>346</v>
      </c>
      <c r="B83" t="s">
        <v>4993</v>
      </c>
      <c r="C83" t="s">
        <v>4961</v>
      </c>
    </row>
    <row r="84" spans="1:3" x14ac:dyDescent="0.3">
      <c r="A84" t="s">
        <v>299</v>
      </c>
      <c r="B84" t="s">
        <v>4994</v>
      </c>
    </row>
    <row r="85" spans="1:3" x14ac:dyDescent="0.3">
      <c r="A85" t="s">
        <v>301</v>
      </c>
      <c r="B85" t="s">
        <v>4995</v>
      </c>
    </row>
    <row r="86" spans="1:3" x14ac:dyDescent="0.3">
      <c r="A86" t="s">
        <v>1453</v>
      </c>
      <c r="B86" t="s">
        <v>4996</v>
      </c>
      <c r="C86" t="s">
        <v>4961</v>
      </c>
    </row>
    <row r="87" spans="1:3" x14ac:dyDescent="0.3">
      <c r="A87" t="s">
        <v>299</v>
      </c>
      <c r="B87" t="s">
        <v>4997</v>
      </c>
    </row>
    <row r="88" spans="1:3" x14ac:dyDescent="0.3">
      <c r="A88" t="s">
        <v>301</v>
      </c>
      <c r="B88" t="s">
        <v>4998</v>
      </c>
    </row>
    <row r="89" spans="1:3" x14ac:dyDescent="0.3">
      <c r="A89" t="s">
        <v>1457</v>
      </c>
      <c r="B89" t="s">
        <v>4999</v>
      </c>
      <c r="C89" t="s">
        <v>4961</v>
      </c>
    </row>
    <row r="90" spans="1:3" x14ac:dyDescent="0.3">
      <c r="A90" t="s">
        <v>299</v>
      </c>
      <c r="B90" t="s">
        <v>5000</v>
      </c>
    </row>
    <row r="91" spans="1:3" x14ac:dyDescent="0.3">
      <c r="A91" t="s">
        <v>301</v>
      </c>
      <c r="B91" t="s">
        <v>5001</v>
      </c>
    </row>
    <row r="92" spans="1:3" x14ac:dyDescent="0.3">
      <c r="A92" t="s">
        <v>1461</v>
      </c>
      <c r="B92" t="s">
        <v>5002</v>
      </c>
      <c r="C92" t="s">
        <v>4961</v>
      </c>
    </row>
    <row r="93" spans="1:3" x14ac:dyDescent="0.3">
      <c r="A93" t="s">
        <v>299</v>
      </c>
      <c r="B93" t="s">
        <v>5003</v>
      </c>
    </row>
    <row r="94" spans="1:3" x14ac:dyDescent="0.3">
      <c r="A94" t="s">
        <v>301</v>
      </c>
      <c r="B94" t="s">
        <v>5004</v>
      </c>
    </row>
    <row r="95" spans="1:3" x14ac:dyDescent="0.3">
      <c r="A95" t="s">
        <v>1465</v>
      </c>
      <c r="B95" t="s">
        <v>5005</v>
      </c>
      <c r="C95" t="s">
        <v>4961</v>
      </c>
    </row>
    <row r="96" spans="1:3" x14ac:dyDescent="0.3">
      <c r="A96" t="s">
        <v>299</v>
      </c>
      <c r="B96" t="s">
        <v>5006</v>
      </c>
    </row>
    <row r="97" spans="1:3" x14ac:dyDescent="0.3">
      <c r="A97" t="s">
        <v>301</v>
      </c>
      <c r="B97" t="s">
        <v>5007</v>
      </c>
    </row>
    <row r="98" spans="1:3" x14ac:dyDescent="0.3">
      <c r="A98" t="s">
        <v>1469</v>
      </c>
      <c r="B98" t="s">
        <v>5008</v>
      </c>
      <c r="C98" t="s">
        <v>4961</v>
      </c>
    </row>
    <row r="99" spans="1:3" x14ac:dyDescent="0.3">
      <c r="A99" t="s">
        <v>299</v>
      </c>
      <c r="B99" t="s">
        <v>5009</v>
      </c>
    </row>
    <row r="100" spans="1:3" x14ac:dyDescent="0.3">
      <c r="A100" t="s">
        <v>301</v>
      </c>
      <c r="B100" t="s">
        <v>5010</v>
      </c>
    </row>
    <row r="101" spans="1:3" x14ac:dyDescent="0.3">
      <c r="A101" t="s">
        <v>1473</v>
      </c>
      <c r="B101" t="s">
        <v>5011</v>
      </c>
      <c r="C101" t="s">
        <v>4961</v>
      </c>
    </row>
    <row r="102" spans="1:3" x14ac:dyDescent="0.3">
      <c r="A102" t="s">
        <v>299</v>
      </c>
      <c r="B102" t="s">
        <v>5012</v>
      </c>
    </row>
    <row r="103" spans="1:3" x14ac:dyDescent="0.3">
      <c r="A103" t="s">
        <v>301</v>
      </c>
      <c r="B103" t="s">
        <v>5013</v>
      </c>
    </row>
  </sheetData>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C63"/>
  <sheetViews>
    <sheetView workbookViewId="0"/>
  </sheetViews>
  <sheetFormatPr defaultRowHeight="14.4" x14ac:dyDescent="0.3"/>
  <cols>
    <col min="1" max="1" width="46" customWidth="1"/>
    <col min="2" max="8" width="15" customWidth="1"/>
  </cols>
  <sheetData>
    <row r="1" spans="1:3" x14ac:dyDescent="0.3">
      <c r="A1" s="24" t="s">
        <v>181</v>
      </c>
      <c r="B1" t="s">
        <v>5014</v>
      </c>
    </row>
    <row r="2" spans="1:3" x14ac:dyDescent="0.3">
      <c r="A2" s="24" t="s">
        <v>183</v>
      </c>
      <c r="B2" t="s">
        <v>5015</v>
      </c>
    </row>
    <row r="4" spans="1:3" x14ac:dyDescent="0.3">
      <c r="A4" s="25" t="s">
        <v>185</v>
      </c>
      <c r="B4" s="25"/>
      <c r="C4" s="25"/>
    </row>
    <row r="6" spans="1:3" x14ac:dyDescent="0.3">
      <c r="A6" t="s">
        <v>5016</v>
      </c>
      <c r="B6" t="s">
        <v>238</v>
      </c>
    </row>
    <row r="7" spans="1:3" x14ac:dyDescent="0.3">
      <c r="A7" t="s">
        <v>5017</v>
      </c>
      <c r="B7" t="s">
        <v>5018</v>
      </c>
    </row>
    <row r="8" spans="1:3" x14ac:dyDescent="0.3">
      <c r="A8" t="s">
        <v>5019</v>
      </c>
      <c r="B8" t="s">
        <v>1484</v>
      </c>
    </row>
    <row r="9" spans="1:3" x14ac:dyDescent="0.3">
      <c r="A9" t="s">
        <v>5020</v>
      </c>
      <c r="B9" t="s">
        <v>5021</v>
      </c>
    </row>
    <row r="10" spans="1:3" x14ac:dyDescent="0.3">
      <c r="A10" t="s">
        <v>5022</v>
      </c>
      <c r="B10" t="s">
        <v>5023</v>
      </c>
    </row>
    <row r="12" spans="1:3" x14ac:dyDescent="0.3">
      <c r="A12" t="s">
        <v>5024</v>
      </c>
      <c r="B12" t="s">
        <v>238</v>
      </c>
    </row>
    <row r="13" spans="1:3" x14ac:dyDescent="0.3">
      <c r="A13" t="s">
        <v>5025</v>
      </c>
      <c r="B13" t="s">
        <v>5026</v>
      </c>
    </row>
    <row r="14" spans="1:3" x14ac:dyDescent="0.3">
      <c r="A14" t="s">
        <v>5027</v>
      </c>
      <c r="B14" t="s">
        <v>5028</v>
      </c>
    </row>
    <row r="15" spans="1:3" x14ac:dyDescent="0.3">
      <c r="A15" t="s">
        <v>4847</v>
      </c>
      <c r="B15" t="s">
        <v>206</v>
      </c>
    </row>
    <row r="16" spans="1:3" x14ac:dyDescent="0.3">
      <c r="A16" t="s">
        <v>127</v>
      </c>
      <c r="B16" t="s">
        <v>5029</v>
      </c>
    </row>
    <row r="17" spans="1:3" x14ac:dyDescent="0.3">
      <c r="A17" t="s">
        <v>5030</v>
      </c>
      <c r="B17" t="s">
        <v>5031</v>
      </c>
    </row>
    <row r="18" spans="1:3" x14ac:dyDescent="0.3">
      <c r="A18" t="s">
        <v>5032</v>
      </c>
      <c r="B18" t="s">
        <v>220</v>
      </c>
    </row>
    <row r="19" spans="1:3" x14ac:dyDescent="0.3">
      <c r="A19" t="s">
        <v>5033</v>
      </c>
      <c r="B19" t="s">
        <v>5034</v>
      </c>
    </row>
    <row r="20" spans="1:3" x14ac:dyDescent="0.3">
      <c r="A20" t="s">
        <v>5035</v>
      </c>
      <c r="B20" t="s">
        <v>5036</v>
      </c>
    </row>
    <row r="21" spans="1:3" x14ac:dyDescent="0.3">
      <c r="A21" t="s">
        <v>4923</v>
      </c>
      <c r="B21" t="s">
        <v>5037</v>
      </c>
    </row>
    <row r="22" spans="1:3" x14ac:dyDescent="0.3">
      <c r="A22" t="s">
        <v>5038</v>
      </c>
      <c r="B22" t="s">
        <v>5039</v>
      </c>
    </row>
    <row r="23" spans="1:3" x14ac:dyDescent="0.3">
      <c r="A23" t="s">
        <v>5040</v>
      </c>
      <c r="B23" t="s">
        <v>5041</v>
      </c>
    </row>
    <row r="24" spans="1:3" x14ac:dyDescent="0.3">
      <c r="A24" t="s">
        <v>5042</v>
      </c>
      <c r="B24" t="s">
        <v>4839</v>
      </c>
    </row>
    <row r="26" spans="1:3" x14ac:dyDescent="0.3">
      <c r="A26" t="s">
        <v>5043</v>
      </c>
      <c r="B26" t="s">
        <v>238</v>
      </c>
    </row>
    <row r="27" spans="1:3" x14ac:dyDescent="0.3">
      <c r="A27" t="s">
        <v>5044</v>
      </c>
      <c r="B27" t="s">
        <v>5045</v>
      </c>
    </row>
    <row r="28" spans="1:3" x14ac:dyDescent="0.3">
      <c r="A28" t="s">
        <v>5046</v>
      </c>
      <c r="B28" t="s">
        <v>5047</v>
      </c>
    </row>
    <row r="29" spans="1:3" x14ac:dyDescent="0.3">
      <c r="A29" t="s">
        <v>4363</v>
      </c>
      <c r="B29" t="s">
        <v>5048</v>
      </c>
    </row>
    <row r="30" spans="1:3" x14ac:dyDescent="0.3">
      <c r="A30" t="s">
        <v>5049</v>
      </c>
      <c r="B30" t="s">
        <v>5050</v>
      </c>
    </row>
    <row r="32" spans="1:3" x14ac:dyDescent="0.3">
      <c r="A32" t="s">
        <v>273</v>
      </c>
      <c r="B32" t="s">
        <v>238</v>
      </c>
      <c r="C32" t="s">
        <v>274</v>
      </c>
    </row>
    <row r="33" spans="1:3" x14ac:dyDescent="0.3">
      <c r="A33" t="s">
        <v>5051</v>
      </c>
      <c r="B33" t="s">
        <v>5052</v>
      </c>
      <c r="C33" t="s">
        <v>5053</v>
      </c>
    </row>
    <row r="34" spans="1:3" x14ac:dyDescent="0.3">
      <c r="A34" t="s">
        <v>5054</v>
      </c>
      <c r="B34" t="s">
        <v>5055</v>
      </c>
      <c r="C34" t="s">
        <v>5056</v>
      </c>
    </row>
    <row r="37" spans="1:3" x14ac:dyDescent="0.3">
      <c r="A37" s="25" t="s">
        <v>281</v>
      </c>
      <c r="B37" s="25"/>
      <c r="C37" s="25"/>
    </row>
    <row r="38" spans="1:3" x14ac:dyDescent="0.3">
      <c r="A38" t="s">
        <v>5057</v>
      </c>
    </row>
    <row r="39" spans="1:3" x14ac:dyDescent="0.3">
      <c r="A39" t="s">
        <v>5058</v>
      </c>
    </row>
    <row r="40" spans="1:3" x14ac:dyDescent="0.3">
      <c r="A40" t="s">
        <v>5059</v>
      </c>
    </row>
    <row r="41" spans="1:3" x14ac:dyDescent="0.3">
      <c r="A41" t="s">
        <v>5060</v>
      </c>
    </row>
    <row r="42" spans="1:3" x14ac:dyDescent="0.3">
      <c r="A42" t="s">
        <v>5061</v>
      </c>
    </row>
    <row r="43" spans="1:3" x14ac:dyDescent="0.3">
      <c r="A43" t="s">
        <v>5062</v>
      </c>
    </row>
    <row r="44" spans="1:3" x14ac:dyDescent="0.3">
      <c r="A44" t="s">
        <v>5063</v>
      </c>
    </row>
    <row r="45" spans="1:3" x14ac:dyDescent="0.3">
      <c r="A45" t="s">
        <v>5064</v>
      </c>
    </row>
    <row r="46" spans="1:3" x14ac:dyDescent="0.3">
      <c r="A46" t="s">
        <v>5065</v>
      </c>
    </row>
    <row r="47" spans="1:3" x14ac:dyDescent="0.3">
      <c r="A47" t="s">
        <v>5066</v>
      </c>
    </row>
    <row r="48" spans="1:3" x14ac:dyDescent="0.3">
      <c r="A48" t="s">
        <v>5067</v>
      </c>
    </row>
    <row r="49" spans="1:3" x14ac:dyDescent="0.3">
      <c r="A49" t="s">
        <v>5068</v>
      </c>
    </row>
    <row r="51" spans="1:3" x14ac:dyDescent="0.3">
      <c r="A51" s="25" t="s">
        <v>295</v>
      </c>
      <c r="B51" s="25"/>
      <c r="C51" s="25"/>
    </row>
    <row r="52" spans="1:3" x14ac:dyDescent="0.3">
      <c r="A52" t="s">
        <v>296</v>
      </c>
      <c r="B52" t="s">
        <v>5069</v>
      </c>
      <c r="C52" t="s">
        <v>4900</v>
      </c>
    </row>
    <row r="53" spans="1:3" x14ac:dyDescent="0.3">
      <c r="A53" t="s">
        <v>299</v>
      </c>
      <c r="B53" t="s">
        <v>5070</v>
      </c>
    </row>
    <row r="54" spans="1:3" x14ac:dyDescent="0.3">
      <c r="A54" t="s">
        <v>301</v>
      </c>
      <c r="B54" t="s">
        <v>5071</v>
      </c>
    </row>
    <row r="55" spans="1:3" x14ac:dyDescent="0.3">
      <c r="A55" t="s">
        <v>303</v>
      </c>
      <c r="B55" t="s">
        <v>5072</v>
      </c>
      <c r="C55" t="s">
        <v>5073</v>
      </c>
    </row>
    <row r="56" spans="1:3" x14ac:dyDescent="0.3">
      <c r="A56" t="s">
        <v>299</v>
      </c>
      <c r="B56" t="s">
        <v>5074</v>
      </c>
    </row>
    <row r="57" spans="1:3" x14ac:dyDescent="0.3">
      <c r="A57" t="s">
        <v>301</v>
      </c>
      <c r="B57" t="s">
        <v>5075</v>
      </c>
    </row>
    <row r="58" spans="1:3" x14ac:dyDescent="0.3">
      <c r="A58" t="s">
        <v>307</v>
      </c>
      <c r="B58" t="s">
        <v>5076</v>
      </c>
      <c r="C58" t="s">
        <v>5073</v>
      </c>
    </row>
    <row r="59" spans="1:3" x14ac:dyDescent="0.3">
      <c r="A59" t="s">
        <v>299</v>
      </c>
      <c r="B59" t="s">
        <v>5077</v>
      </c>
    </row>
    <row r="60" spans="1:3" x14ac:dyDescent="0.3">
      <c r="A60" t="s">
        <v>301</v>
      </c>
      <c r="B60" t="s">
        <v>5078</v>
      </c>
    </row>
    <row r="61" spans="1:3" x14ac:dyDescent="0.3">
      <c r="A61" t="s">
        <v>311</v>
      </c>
      <c r="B61" t="s">
        <v>5079</v>
      </c>
      <c r="C61" t="s">
        <v>5073</v>
      </c>
    </row>
    <row r="62" spans="1:3" x14ac:dyDescent="0.3">
      <c r="A62" t="s">
        <v>299</v>
      </c>
      <c r="B62" t="s">
        <v>5080</v>
      </c>
    </row>
    <row r="63" spans="1:3" x14ac:dyDescent="0.3">
      <c r="A63" t="s">
        <v>301</v>
      </c>
      <c r="B63" t="s">
        <v>5081</v>
      </c>
    </row>
  </sheetData>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C78"/>
  <sheetViews>
    <sheetView workbookViewId="0"/>
  </sheetViews>
  <sheetFormatPr defaultRowHeight="14.4" x14ac:dyDescent="0.3"/>
  <cols>
    <col min="1" max="1" width="46" customWidth="1"/>
    <col min="2" max="8" width="15" customWidth="1"/>
  </cols>
  <sheetData>
    <row r="1" spans="1:3" x14ac:dyDescent="0.3">
      <c r="A1" s="24" t="s">
        <v>181</v>
      </c>
      <c r="B1" t="s">
        <v>5082</v>
      </c>
    </row>
    <row r="2" spans="1:3" x14ac:dyDescent="0.3">
      <c r="A2" s="24" t="s">
        <v>183</v>
      </c>
      <c r="B2" t="s">
        <v>5083</v>
      </c>
    </row>
    <row r="4" spans="1:3" x14ac:dyDescent="0.3">
      <c r="A4" s="25" t="s">
        <v>185</v>
      </c>
      <c r="B4" s="25"/>
      <c r="C4" s="25"/>
    </row>
    <row r="6" spans="1:3" x14ac:dyDescent="0.3">
      <c r="A6" t="s">
        <v>5084</v>
      </c>
      <c r="B6" t="s">
        <v>238</v>
      </c>
    </row>
    <row r="7" spans="1:3" x14ac:dyDescent="0.3">
      <c r="A7" t="s">
        <v>5085</v>
      </c>
      <c r="B7" t="s">
        <v>5086</v>
      </c>
    </row>
    <row r="8" spans="1:3" x14ac:dyDescent="0.3">
      <c r="A8" t="s">
        <v>5087</v>
      </c>
      <c r="B8" t="s">
        <v>5088</v>
      </c>
    </row>
    <row r="9" spans="1:3" x14ac:dyDescent="0.3">
      <c r="A9" t="s">
        <v>5089</v>
      </c>
      <c r="B9" t="s">
        <v>5090</v>
      </c>
    </row>
    <row r="10" spans="1:3" x14ac:dyDescent="0.3">
      <c r="A10" t="s">
        <v>5040</v>
      </c>
      <c r="B10" t="s">
        <v>5091</v>
      </c>
    </row>
    <row r="11" spans="1:3" x14ac:dyDescent="0.3">
      <c r="A11" t="s">
        <v>4923</v>
      </c>
      <c r="B11" t="s">
        <v>5092</v>
      </c>
    </row>
    <row r="12" spans="1:3" x14ac:dyDescent="0.3">
      <c r="A12" t="s">
        <v>5030</v>
      </c>
      <c r="B12" t="s">
        <v>5093</v>
      </c>
    </row>
    <row r="13" spans="1:3" x14ac:dyDescent="0.3">
      <c r="A13" t="s">
        <v>5094</v>
      </c>
      <c r="B13" t="s">
        <v>5095</v>
      </c>
    </row>
    <row r="14" spans="1:3" x14ac:dyDescent="0.3">
      <c r="A14" t="s">
        <v>3632</v>
      </c>
      <c r="B14" t="s">
        <v>5096</v>
      </c>
    </row>
    <row r="16" spans="1:3" x14ac:dyDescent="0.3">
      <c r="A16" t="s">
        <v>5097</v>
      </c>
      <c r="B16" t="s">
        <v>238</v>
      </c>
    </row>
    <row r="17" spans="1:3" x14ac:dyDescent="0.3">
      <c r="A17" t="s">
        <v>5098</v>
      </c>
      <c r="B17" t="s">
        <v>5099</v>
      </c>
    </row>
    <row r="18" spans="1:3" x14ac:dyDescent="0.3">
      <c r="A18" t="s">
        <v>5100</v>
      </c>
      <c r="B18" t="s">
        <v>5101</v>
      </c>
    </row>
    <row r="19" spans="1:3" x14ac:dyDescent="0.3">
      <c r="A19" t="s">
        <v>5102</v>
      </c>
      <c r="B19" t="s">
        <v>5103</v>
      </c>
    </row>
    <row r="20" spans="1:3" x14ac:dyDescent="0.3">
      <c r="A20" t="s">
        <v>4946</v>
      </c>
      <c r="B20" t="s">
        <v>5104</v>
      </c>
    </row>
    <row r="21" spans="1:3" x14ac:dyDescent="0.3">
      <c r="A21" t="s">
        <v>5105</v>
      </c>
      <c r="B21" t="s">
        <v>5106</v>
      </c>
    </row>
    <row r="23" spans="1:3" x14ac:dyDescent="0.3">
      <c r="A23" t="s">
        <v>273</v>
      </c>
      <c r="B23" t="s">
        <v>238</v>
      </c>
      <c r="C23" t="s">
        <v>274</v>
      </c>
    </row>
    <row r="24" spans="1:3" x14ac:dyDescent="0.3">
      <c r="A24" t="s">
        <v>5107</v>
      </c>
      <c r="B24" t="s">
        <v>5108</v>
      </c>
      <c r="C24" t="s">
        <v>4943</v>
      </c>
    </row>
    <row r="25" spans="1:3" x14ac:dyDescent="0.3">
      <c r="A25" t="s">
        <v>4946</v>
      </c>
      <c r="B25" t="s">
        <v>4947</v>
      </c>
      <c r="C25" t="s">
        <v>36</v>
      </c>
    </row>
    <row r="28" spans="1:3" x14ac:dyDescent="0.3">
      <c r="A28" s="25" t="s">
        <v>281</v>
      </c>
      <c r="B28" s="25"/>
      <c r="C28" s="25"/>
    </row>
    <row r="29" spans="1:3" x14ac:dyDescent="0.3">
      <c r="A29" t="s">
        <v>5109</v>
      </c>
    </row>
    <row r="30" spans="1:3" x14ac:dyDescent="0.3">
      <c r="A30" t="s">
        <v>5110</v>
      </c>
    </row>
    <row r="31" spans="1:3" x14ac:dyDescent="0.3">
      <c r="A31" t="s">
        <v>5111</v>
      </c>
    </row>
    <row r="32" spans="1:3" x14ac:dyDescent="0.3">
      <c r="A32" t="s">
        <v>5112</v>
      </c>
    </row>
    <row r="33" spans="1:3" x14ac:dyDescent="0.3">
      <c r="A33" t="s">
        <v>5113</v>
      </c>
    </row>
    <row r="34" spans="1:3" x14ac:dyDescent="0.3">
      <c r="A34" t="s">
        <v>5114</v>
      </c>
    </row>
    <row r="35" spans="1:3" x14ac:dyDescent="0.3">
      <c r="A35" t="s">
        <v>5115</v>
      </c>
    </row>
    <row r="36" spans="1:3" x14ac:dyDescent="0.3">
      <c r="A36" t="s">
        <v>5116</v>
      </c>
    </row>
    <row r="37" spans="1:3" x14ac:dyDescent="0.3">
      <c r="A37" t="s">
        <v>5117</v>
      </c>
    </row>
    <row r="38" spans="1:3" x14ac:dyDescent="0.3">
      <c r="A38" t="s">
        <v>5118</v>
      </c>
    </row>
    <row r="39" spans="1:3" x14ac:dyDescent="0.3">
      <c r="A39" t="s">
        <v>5119</v>
      </c>
    </row>
    <row r="40" spans="1:3" x14ac:dyDescent="0.3">
      <c r="A40" t="s">
        <v>5120</v>
      </c>
    </row>
    <row r="42" spans="1:3" x14ac:dyDescent="0.3">
      <c r="A42" s="25" t="s">
        <v>295</v>
      </c>
      <c r="B42" s="25"/>
      <c r="C42" s="25"/>
    </row>
    <row r="43" spans="1:3" x14ac:dyDescent="0.3">
      <c r="A43" t="s">
        <v>296</v>
      </c>
      <c r="B43" t="s">
        <v>5121</v>
      </c>
      <c r="C43" t="s">
        <v>5122</v>
      </c>
    </row>
    <row r="44" spans="1:3" x14ac:dyDescent="0.3">
      <c r="A44" t="s">
        <v>299</v>
      </c>
      <c r="B44" t="s">
        <v>5123</v>
      </c>
    </row>
    <row r="45" spans="1:3" x14ac:dyDescent="0.3">
      <c r="A45" t="s">
        <v>301</v>
      </c>
      <c r="B45" t="s">
        <v>5124</v>
      </c>
    </row>
    <row r="46" spans="1:3" x14ac:dyDescent="0.3">
      <c r="A46" t="s">
        <v>303</v>
      </c>
      <c r="B46" t="s">
        <v>5125</v>
      </c>
      <c r="C46" t="s">
        <v>5122</v>
      </c>
    </row>
    <row r="47" spans="1:3" x14ac:dyDescent="0.3">
      <c r="A47" t="s">
        <v>299</v>
      </c>
      <c r="B47" t="s">
        <v>5126</v>
      </c>
    </row>
    <row r="48" spans="1:3" x14ac:dyDescent="0.3">
      <c r="A48" t="s">
        <v>301</v>
      </c>
      <c r="B48" t="s">
        <v>5127</v>
      </c>
    </row>
    <row r="49" spans="1:3" x14ac:dyDescent="0.3">
      <c r="A49" t="s">
        <v>307</v>
      </c>
      <c r="B49" t="s">
        <v>5128</v>
      </c>
      <c r="C49" t="s">
        <v>5122</v>
      </c>
    </row>
    <row r="50" spans="1:3" x14ac:dyDescent="0.3">
      <c r="A50" t="s">
        <v>299</v>
      </c>
      <c r="B50" t="s">
        <v>5129</v>
      </c>
    </row>
    <row r="51" spans="1:3" x14ac:dyDescent="0.3">
      <c r="A51" t="s">
        <v>301</v>
      </c>
      <c r="B51" t="s">
        <v>5130</v>
      </c>
    </row>
    <row r="52" spans="1:3" x14ac:dyDescent="0.3">
      <c r="A52" t="s">
        <v>311</v>
      </c>
      <c r="B52" t="s">
        <v>5131</v>
      </c>
      <c r="C52" t="s">
        <v>5122</v>
      </c>
    </row>
    <row r="53" spans="1:3" x14ac:dyDescent="0.3">
      <c r="A53" t="s">
        <v>299</v>
      </c>
      <c r="B53" t="s">
        <v>5132</v>
      </c>
    </row>
    <row r="54" spans="1:3" x14ac:dyDescent="0.3">
      <c r="A54" t="s">
        <v>301</v>
      </c>
      <c r="B54" t="s">
        <v>5133</v>
      </c>
    </row>
    <row r="55" spans="1:3" x14ac:dyDescent="0.3">
      <c r="A55" t="s">
        <v>316</v>
      </c>
      <c r="B55" t="s">
        <v>5134</v>
      </c>
      <c r="C55" t="s">
        <v>5122</v>
      </c>
    </row>
    <row r="56" spans="1:3" x14ac:dyDescent="0.3">
      <c r="A56" t="s">
        <v>299</v>
      </c>
      <c r="B56" t="s">
        <v>5135</v>
      </c>
    </row>
    <row r="57" spans="1:3" x14ac:dyDescent="0.3">
      <c r="A57" t="s">
        <v>301</v>
      </c>
      <c r="B57" t="s">
        <v>5136</v>
      </c>
    </row>
    <row r="58" spans="1:3" x14ac:dyDescent="0.3">
      <c r="A58" t="s">
        <v>320</v>
      </c>
      <c r="B58" t="s">
        <v>5137</v>
      </c>
      <c r="C58" t="s">
        <v>5122</v>
      </c>
    </row>
    <row r="59" spans="1:3" x14ac:dyDescent="0.3">
      <c r="A59" t="s">
        <v>299</v>
      </c>
      <c r="B59" t="s">
        <v>5138</v>
      </c>
    </row>
    <row r="60" spans="1:3" x14ac:dyDescent="0.3">
      <c r="A60" t="s">
        <v>301</v>
      </c>
      <c r="B60" t="s">
        <v>5139</v>
      </c>
    </row>
    <row r="61" spans="1:3" x14ac:dyDescent="0.3">
      <c r="A61" t="s">
        <v>324</v>
      </c>
      <c r="B61" t="s">
        <v>5140</v>
      </c>
      <c r="C61" t="s">
        <v>5122</v>
      </c>
    </row>
    <row r="62" spans="1:3" x14ac:dyDescent="0.3">
      <c r="A62" t="s">
        <v>299</v>
      </c>
      <c r="B62" t="s">
        <v>5141</v>
      </c>
    </row>
    <row r="63" spans="1:3" x14ac:dyDescent="0.3">
      <c r="A63" t="s">
        <v>301</v>
      </c>
      <c r="B63" t="s">
        <v>5142</v>
      </c>
    </row>
    <row r="64" spans="1:3" x14ac:dyDescent="0.3">
      <c r="A64" t="s">
        <v>328</v>
      </c>
      <c r="B64" t="s">
        <v>5143</v>
      </c>
      <c r="C64" t="s">
        <v>5122</v>
      </c>
    </row>
    <row r="65" spans="1:3" x14ac:dyDescent="0.3">
      <c r="A65" t="s">
        <v>299</v>
      </c>
      <c r="B65" t="s">
        <v>5144</v>
      </c>
    </row>
    <row r="66" spans="1:3" x14ac:dyDescent="0.3">
      <c r="A66" t="s">
        <v>301</v>
      </c>
      <c r="B66" t="s">
        <v>5145</v>
      </c>
    </row>
    <row r="67" spans="1:3" x14ac:dyDescent="0.3">
      <c r="A67" t="s">
        <v>333</v>
      </c>
      <c r="B67" t="s">
        <v>5146</v>
      </c>
      <c r="C67" t="s">
        <v>5122</v>
      </c>
    </row>
    <row r="68" spans="1:3" x14ac:dyDescent="0.3">
      <c r="A68" t="s">
        <v>299</v>
      </c>
      <c r="B68" t="s">
        <v>5147</v>
      </c>
    </row>
    <row r="69" spans="1:3" x14ac:dyDescent="0.3">
      <c r="A69" t="s">
        <v>301</v>
      </c>
      <c r="B69" t="s">
        <v>5148</v>
      </c>
    </row>
    <row r="70" spans="1:3" x14ac:dyDescent="0.3">
      <c r="A70" t="s">
        <v>337</v>
      </c>
      <c r="B70" t="s">
        <v>5149</v>
      </c>
      <c r="C70" t="s">
        <v>5122</v>
      </c>
    </row>
    <row r="71" spans="1:3" x14ac:dyDescent="0.3">
      <c r="A71" t="s">
        <v>299</v>
      </c>
      <c r="B71" t="s">
        <v>5150</v>
      </c>
    </row>
    <row r="72" spans="1:3" x14ac:dyDescent="0.3">
      <c r="A72" t="s">
        <v>301</v>
      </c>
      <c r="B72" t="s">
        <v>5151</v>
      </c>
    </row>
    <row r="73" spans="1:3" x14ac:dyDescent="0.3">
      <c r="A73" t="s">
        <v>341</v>
      </c>
      <c r="B73" t="s">
        <v>5152</v>
      </c>
      <c r="C73" t="s">
        <v>5122</v>
      </c>
    </row>
    <row r="74" spans="1:3" x14ac:dyDescent="0.3">
      <c r="A74" t="s">
        <v>299</v>
      </c>
      <c r="B74" t="s">
        <v>5153</v>
      </c>
    </row>
    <row r="75" spans="1:3" x14ac:dyDescent="0.3">
      <c r="A75" t="s">
        <v>301</v>
      </c>
      <c r="B75" t="s">
        <v>5154</v>
      </c>
    </row>
    <row r="76" spans="1:3" x14ac:dyDescent="0.3">
      <c r="A76" t="s">
        <v>346</v>
      </c>
      <c r="B76" t="s">
        <v>5155</v>
      </c>
      <c r="C76" t="s">
        <v>5122</v>
      </c>
    </row>
    <row r="77" spans="1:3" x14ac:dyDescent="0.3">
      <c r="A77" t="s">
        <v>299</v>
      </c>
      <c r="B77" t="s">
        <v>5156</v>
      </c>
    </row>
    <row r="78" spans="1:3" x14ac:dyDescent="0.3">
      <c r="A78" t="s">
        <v>301</v>
      </c>
      <c r="B78" t="s">
        <v>5157</v>
      </c>
    </row>
  </sheetData>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D104"/>
  <sheetViews>
    <sheetView workbookViewId="0"/>
  </sheetViews>
  <sheetFormatPr defaultRowHeight="14.4" x14ac:dyDescent="0.3"/>
  <cols>
    <col min="1" max="1" width="46" customWidth="1"/>
    <col min="2" max="8" width="15" customWidth="1"/>
  </cols>
  <sheetData>
    <row r="1" spans="1:4" x14ac:dyDescent="0.3">
      <c r="A1" s="24" t="s">
        <v>181</v>
      </c>
      <c r="B1" t="s">
        <v>5158</v>
      </c>
    </row>
    <row r="2" spans="1:4" x14ac:dyDescent="0.3">
      <c r="A2" s="24" t="s">
        <v>183</v>
      </c>
      <c r="B2" t="s">
        <v>5159</v>
      </c>
    </row>
    <row r="4" spans="1:4" x14ac:dyDescent="0.3">
      <c r="A4" s="25" t="s">
        <v>185</v>
      </c>
      <c r="B4" s="25"/>
      <c r="C4" s="25"/>
      <c r="D4" s="25"/>
    </row>
    <row r="5" spans="1:4" x14ac:dyDescent="0.3">
      <c r="A5" t="s">
        <v>3552</v>
      </c>
      <c r="B5" t="s">
        <v>5160</v>
      </c>
      <c r="C5" t="s">
        <v>5161</v>
      </c>
      <c r="D5" t="s">
        <v>189</v>
      </c>
    </row>
    <row r="6" spans="1:4" x14ac:dyDescent="0.3">
      <c r="A6" t="s">
        <v>2963</v>
      </c>
      <c r="B6" t="s">
        <v>5162</v>
      </c>
      <c r="C6" t="s">
        <v>5163</v>
      </c>
      <c r="D6" t="s">
        <v>1746</v>
      </c>
    </row>
    <row r="7" spans="1:4" x14ac:dyDescent="0.3">
      <c r="A7" t="s">
        <v>5164</v>
      </c>
      <c r="B7" t="s">
        <v>5165</v>
      </c>
      <c r="C7" t="s">
        <v>5166</v>
      </c>
      <c r="D7" t="s">
        <v>1746</v>
      </c>
    </row>
    <row r="8" spans="1:4" x14ac:dyDescent="0.3">
      <c r="A8" t="s">
        <v>5167</v>
      </c>
      <c r="B8" t="s">
        <v>5168</v>
      </c>
      <c r="C8" t="s">
        <v>5169</v>
      </c>
      <c r="D8" t="s">
        <v>631</v>
      </c>
    </row>
    <row r="10" spans="1:4" x14ac:dyDescent="0.3">
      <c r="A10" t="s">
        <v>5170</v>
      </c>
      <c r="B10" t="s">
        <v>5171</v>
      </c>
      <c r="C10" t="s">
        <v>5172</v>
      </c>
      <c r="D10" t="s">
        <v>189</v>
      </c>
    </row>
    <row r="11" spans="1:4" x14ac:dyDescent="0.3">
      <c r="A11" t="s">
        <v>5173</v>
      </c>
      <c r="B11" t="s">
        <v>5174</v>
      </c>
      <c r="C11" t="s">
        <v>5175</v>
      </c>
      <c r="D11" t="s">
        <v>5176</v>
      </c>
    </row>
    <row r="12" spans="1:4" x14ac:dyDescent="0.3">
      <c r="A12" t="s">
        <v>5177</v>
      </c>
      <c r="B12" t="s">
        <v>5178</v>
      </c>
      <c r="C12" t="s">
        <v>5179</v>
      </c>
      <c r="D12" t="s">
        <v>5176</v>
      </c>
    </row>
    <row r="13" spans="1:4" x14ac:dyDescent="0.3">
      <c r="A13" t="s">
        <v>5180</v>
      </c>
      <c r="B13" t="s">
        <v>5181</v>
      </c>
      <c r="C13" t="s">
        <v>5182</v>
      </c>
      <c r="D13" t="s">
        <v>4851</v>
      </c>
    </row>
    <row r="15" spans="1:4" x14ac:dyDescent="0.3">
      <c r="A15" t="s">
        <v>5183</v>
      </c>
      <c r="B15" t="s">
        <v>5160</v>
      </c>
      <c r="C15" t="s">
        <v>5161</v>
      </c>
      <c r="D15" t="s">
        <v>204</v>
      </c>
    </row>
    <row r="16" spans="1:4" x14ac:dyDescent="0.3">
      <c r="A16" t="s">
        <v>2969</v>
      </c>
      <c r="B16" t="s">
        <v>5184</v>
      </c>
      <c r="C16" t="s">
        <v>3839</v>
      </c>
      <c r="D16" t="s">
        <v>3210</v>
      </c>
    </row>
    <row r="17" spans="1:4" x14ac:dyDescent="0.3">
      <c r="A17" t="s">
        <v>5185</v>
      </c>
      <c r="B17" t="s">
        <v>393</v>
      </c>
      <c r="C17" t="s">
        <v>5186</v>
      </c>
      <c r="D17" t="s">
        <v>5187</v>
      </c>
    </row>
    <row r="18" spans="1:4" x14ac:dyDescent="0.3">
      <c r="A18" t="s">
        <v>3843</v>
      </c>
      <c r="B18" t="s">
        <v>790</v>
      </c>
      <c r="C18" t="s">
        <v>5188</v>
      </c>
      <c r="D18" t="s">
        <v>5176</v>
      </c>
    </row>
    <row r="19" spans="1:4" x14ac:dyDescent="0.3">
      <c r="A19" t="s">
        <v>2973</v>
      </c>
      <c r="B19" t="s">
        <v>5189</v>
      </c>
      <c r="C19" t="s">
        <v>5190</v>
      </c>
      <c r="D19" t="s">
        <v>629</v>
      </c>
    </row>
    <row r="20" spans="1:4" x14ac:dyDescent="0.3">
      <c r="A20" t="s">
        <v>5191</v>
      </c>
      <c r="B20" t="s">
        <v>5192</v>
      </c>
      <c r="C20" t="s">
        <v>5193</v>
      </c>
      <c r="D20" t="s">
        <v>356</v>
      </c>
    </row>
    <row r="21" spans="1:4" x14ac:dyDescent="0.3">
      <c r="A21" t="s">
        <v>5194</v>
      </c>
      <c r="B21" t="s">
        <v>5195</v>
      </c>
      <c r="C21" t="s">
        <v>5196</v>
      </c>
      <c r="D21" t="s">
        <v>5197</v>
      </c>
    </row>
    <row r="23" spans="1:4" x14ac:dyDescent="0.3">
      <c r="A23" t="s">
        <v>5198</v>
      </c>
      <c r="B23" t="s">
        <v>5171</v>
      </c>
      <c r="C23" t="s">
        <v>5172</v>
      </c>
      <c r="D23" t="s">
        <v>204</v>
      </c>
    </row>
    <row r="24" spans="1:4" x14ac:dyDescent="0.3">
      <c r="A24" t="s">
        <v>5199</v>
      </c>
      <c r="B24" t="s">
        <v>5200</v>
      </c>
      <c r="C24" t="s">
        <v>5201</v>
      </c>
      <c r="D24" t="s">
        <v>5202</v>
      </c>
    </row>
    <row r="25" spans="1:4" x14ac:dyDescent="0.3">
      <c r="A25" t="s">
        <v>5203</v>
      </c>
      <c r="B25" t="s">
        <v>4163</v>
      </c>
      <c r="C25" t="s">
        <v>5204</v>
      </c>
      <c r="D25" t="s">
        <v>1484</v>
      </c>
    </row>
    <row r="26" spans="1:4" x14ac:dyDescent="0.3">
      <c r="A26" t="s">
        <v>5205</v>
      </c>
      <c r="B26" t="s">
        <v>5206</v>
      </c>
      <c r="C26" t="s">
        <v>5207</v>
      </c>
      <c r="D26" t="s">
        <v>633</v>
      </c>
    </row>
    <row r="27" spans="1:4" x14ac:dyDescent="0.3">
      <c r="A27" t="s">
        <v>5208</v>
      </c>
      <c r="B27" t="s">
        <v>5209</v>
      </c>
      <c r="C27" t="s">
        <v>5210</v>
      </c>
      <c r="D27" t="s">
        <v>5211</v>
      </c>
    </row>
    <row r="28" spans="1:4" x14ac:dyDescent="0.3">
      <c r="A28" t="s">
        <v>5212</v>
      </c>
      <c r="B28" t="s">
        <v>5213</v>
      </c>
      <c r="C28" t="s">
        <v>5214</v>
      </c>
      <c r="D28" t="s">
        <v>5215</v>
      </c>
    </row>
    <row r="30" spans="1:4" x14ac:dyDescent="0.3">
      <c r="A30" t="s">
        <v>3318</v>
      </c>
      <c r="B30" t="s">
        <v>5160</v>
      </c>
      <c r="C30" t="s">
        <v>3864</v>
      </c>
      <c r="D30" t="s">
        <v>204</v>
      </c>
    </row>
    <row r="31" spans="1:4" x14ac:dyDescent="0.3">
      <c r="A31" t="s">
        <v>5216</v>
      </c>
      <c r="B31" t="s">
        <v>1933</v>
      </c>
      <c r="C31" t="s">
        <v>197</v>
      </c>
      <c r="D31" t="s">
        <v>5217</v>
      </c>
    </row>
    <row r="32" spans="1:4" x14ac:dyDescent="0.3">
      <c r="A32" t="s">
        <v>5218</v>
      </c>
      <c r="B32" t="s">
        <v>1627</v>
      </c>
      <c r="C32" t="s">
        <v>1884</v>
      </c>
      <c r="D32" t="s">
        <v>5187</v>
      </c>
    </row>
    <row r="33" spans="1:4" x14ac:dyDescent="0.3">
      <c r="A33" t="s">
        <v>5219</v>
      </c>
      <c r="B33" t="s">
        <v>5220</v>
      </c>
      <c r="C33" t="s">
        <v>4820</v>
      </c>
      <c r="D33" t="s">
        <v>5221</v>
      </c>
    </row>
    <row r="34" spans="1:4" x14ac:dyDescent="0.3">
      <c r="A34" t="s">
        <v>5222</v>
      </c>
      <c r="B34" t="s">
        <v>1492</v>
      </c>
      <c r="C34" t="s">
        <v>3134</v>
      </c>
      <c r="D34" t="s">
        <v>5223</v>
      </c>
    </row>
    <row r="35" spans="1:4" x14ac:dyDescent="0.3">
      <c r="A35" t="s">
        <v>5224</v>
      </c>
      <c r="B35" t="s">
        <v>1492</v>
      </c>
      <c r="C35" t="s">
        <v>361</v>
      </c>
      <c r="D35" t="s">
        <v>5225</v>
      </c>
    </row>
    <row r="36" spans="1:4" x14ac:dyDescent="0.3">
      <c r="A36" t="s">
        <v>5226</v>
      </c>
      <c r="B36" t="s">
        <v>5227</v>
      </c>
      <c r="C36" t="s">
        <v>197</v>
      </c>
      <c r="D36" t="s">
        <v>197</v>
      </c>
    </row>
    <row r="37" spans="1:4" x14ac:dyDescent="0.3">
      <c r="A37" t="s">
        <v>5228</v>
      </c>
      <c r="B37" t="s">
        <v>5229</v>
      </c>
      <c r="C37" t="s">
        <v>197</v>
      </c>
      <c r="D37" t="s">
        <v>5230</v>
      </c>
    </row>
    <row r="38" spans="1:4" x14ac:dyDescent="0.3">
      <c r="A38" t="s">
        <v>5231</v>
      </c>
      <c r="B38" t="s">
        <v>5232</v>
      </c>
      <c r="C38" t="s">
        <v>197</v>
      </c>
      <c r="D38" t="s">
        <v>5233</v>
      </c>
    </row>
    <row r="40" spans="1:4" x14ac:dyDescent="0.3">
      <c r="A40" t="s">
        <v>2486</v>
      </c>
      <c r="B40" t="s">
        <v>5160</v>
      </c>
    </row>
    <row r="41" spans="1:4" x14ac:dyDescent="0.3">
      <c r="A41" t="s">
        <v>5234</v>
      </c>
      <c r="B41" t="s">
        <v>5235</v>
      </c>
    </row>
    <row r="43" spans="1:4" x14ac:dyDescent="0.3">
      <c r="A43" t="s">
        <v>3810</v>
      </c>
      <c r="B43" t="s">
        <v>5160</v>
      </c>
      <c r="C43" t="s">
        <v>5161</v>
      </c>
      <c r="D43" t="s">
        <v>189</v>
      </c>
    </row>
    <row r="44" spans="1:4" x14ac:dyDescent="0.3">
      <c r="A44" t="s">
        <v>5236</v>
      </c>
      <c r="B44" t="s">
        <v>5237</v>
      </c>
      <c r="C44" t="s">
        <v>5238</v>
      </c>
      <c r="D44" t="s">
        <v>631</v>
      </c>
    </row>
    <row r="45" spans="1:4" x14ac:dyDescent="0.3">
      <c r="A45" t="s">
        <v>5239</v>
      </c>
      <c r="B45" t="s">
        <v>5240</v>
      </c>
      <c r="C45" t="s">
        <v>5241</v>
      </c>
      <c r="D45" t="s">
        <v>509</v>
      </c>
    </row>
    <row r="46" spans="1:4" x14ac:dyDescent="0.3">
      <c r="A46" t="s">
        <v>5242</v>
      </c>
      <c r="B46" t="s">
        <v>5243</v>
      </c>
      <c r="C46" t="s">
        <v>197</v>
      </c>
      <c r="D46" t="s">
        <v>197</v>
      </c>
    </row>
    <row r="48" spans="1:4" x14ac:dyDescent="0.3">
      <c r="A48" t="s">
        <v>5244</v>
      </c>
      <c r="B48" t="s">
        <v>238</v>
      </c>
      <c r="C48" t="s">
        <v>1053</v>
      </c>
      <c r="D48" t="s">
        <v>248</v>
      </c>
    </row>
    <row r="49" spans="1:4" x14ac:dyDescent="0.3">
      <c r="A49" t="s">
        <v>5245</v>
      </c>
      <c r="B49" t="s">
        <v>5246</v>
      </c>
      <c r="C49" t="s">
        <v>5247</v>
      </c>
      <c r="D49" t="s">
        <v>5248</v>
      </c>
    </row>
    <row r="50" spans="1:4" x14ac:dyDescent="0.3">
      <c r="A50" t="s">
        <v>5249</v>
      </c>
      <c r="B50" t="s">
        <v>899</v>
      </c>
      <c r="C50" t="s">
        <v>5250</v>
      </c>
      <c r="D50" t="s">
        <v>5251</v>
      </c>
    </row>
    <row r="51" spans="1:4" x14ac:dyDescent="0.3">
      <c r="A51" t="s">
        <v>5252</v>
      </c>
      <c r="B51" t="s">
        <v>5253</v>
      </c>
      <c r="C51" t="s">
        <v>197</v>
      </c>
      <c r="D51" t="s">
        <v>197</v>
      </c>
    </row>
    <row r="52" spans="1:4" x14ac:dyDescent="0.3">
      <c r="A52" t="s">
        <v>5254</v>
      </c>
      <c r="B52" t="s">
        <v>5255</v>
      </c>
      <c r="C52" t="s">
        <v>197</v>
      </c>
      <c r="D52" t="s">
        <v>197</v>
      </c>
    </row>
    <row r="53" spans="1:4" x14ac:dyDescent="0.3">
      <c r="A53" t="s">
        <v>5256</v>
      </c>
      <c r="B53" t="s">
        <v>5257</v>
      </c>
      <c r="C53" t="s">
        <v>197</v>
      </c>
      <c r="D53" t="s">
        <v>197</v>
      </c>
    </row>
    <row r="54" spans="1:4" x14ac:dyDescent="0.3">
      <c r="A54" t="s">
        <v>5258</v>
      </c>
      <c r="B54" t="s">
        <v>5259</v>
      </c>
      <c r="C54" t="s">
        <v>197</v>
      </c>
      <c r="D54" t="s">
        <v>5260</v>
      </c>
    </row>
    <row r="55" spans="1:4" x14ac:dyDescent="0.3">
      <c r="A55" t="s">
        <v>5261</v>
      </c>
      <c r="B55" t="s">
        <v>5262</v>
      </c>
      <c r="C55" t="s">
        <v>197</v>
      </c>
      <c r="D55" t="s">
        <v>5263</v>
      </c>
    </row>
    <row r="56" spans="1:4" x14ac:dyDescent="0.3">
      <c r="A56" t="s">
        <v>5264</v>
      </c>
      <c r="B56" t="s">
        <v>5265</v>
      </c>
      <c r="C56" t="s">
        <v>197</v>
      </c>
      <c r="D56" t="s">
        <v>5263</v>
      </c>
    </row>
    <row r="57" spans="1:4" x14ac:dyDescent="0.3">
      <c r="A57" t="s">
        <v>5266</v>
      </c>
      <c r="B57" t="s">
        <v>206</v>
      </c>
      <c r="C57" t="s">
        <v>197</v>
      </c>
      <c r="D57" t="s">
        <v>5267</v>
      </c>
    </row>
    <row r="58" spans="1:4" x14ac:dyDescent="0.3">
      <c r="A58" t="s">
        <v>5268</v>
      </c>
      <c r="B58" t="s">
        <v>5269</v>
      </c>
      <c r="C58" t="s">
        <v>197</v>
      </c>
      <c r="D58" t="s">
        <v>197</v>
      </c>
    </row>
    <row r="59" spans="1:4" x14ac:dyDescent="0.3">
      <c r="A59" t="s">
        <v>5270</v>
      </c>
      <c r="B59" t="s">
        <v>5271</v>
      </c>
      <c r="C59" t="s">
        <v>197</v>
      </c>
      <c r="D59" t="s">
        <v>5272</v>
      </c>
    </row>
    <row r="60" spans="1:4" x14ac:dyDescent="0.3">
      <c r="A60" t="s">
        <v>5273</v>
      </c>
      <c r="B60" t="s">
        <v>5274</v>
      </c>
      <c r="C60" t="s">
        <v>197</v>
      </c>
      <c r="D60" t="s">
        <v>197</v>
      </c>
    </row>
    <row r="61" spans="1:4" x14ac:dyDescent="0.3">
      <c r="A61" t="s">
        <v>5275</v>
      </c>
      <c r="B61" t="s">
        <v>5276</v>
      </c>
      <c r="C61" t="s">
        <v>197</v>
      </c>
      <c r="D61" t="s">
        <v>197</v>
      </c>
    </row>
    <row r="63" spans="1:4" x14ac:dyDescent="0.3">
      <c r="A63" t="s">
        <v>5277</v>
      </c>
      <c r="B63" t="s">
        <v>238</v>
      </c>
      <c r="C63" t="s">
        <v>274</v>
      </c>
    </row>
    <row r="64" spans="1:4" x14ac:dyDescent="0.3">
      <c r="A64" t="s">
        <v>5278</v>
      </c>
      <c r="B64" t="s">
        <v>5279</v>
      </c>
      <c r="C64" t="s">
        <v>5160</v>
      </c>
    </row>
    <row r="65" spans="1:4" x14ac:dyDescent="0.3">
      <c r="A65" t="s">
        <v>5280</v>
      </c>
      <c r="B65" t="s">
        <v>5281</v>
      </c>
      <c r="C65" t="s">
        <v>5282</v>
      </c>
    </row>
    <row r="67" spans="1:4" x14ac:dyDescent="0.3">
      <c r="A67" t="s">
        <v>273</v>
      </c>
      <c r="B67" t="s">
        <v>5283</v>
      </c>
      <c r="C67" t="s">
        <v>274</v>
      </c>
    </row>
    <row r="68" spans="1:4" x14ac:dyDescent="0.3">
      <c r="A68" t="s">
        <v>5284</v>
      </c>
      <c r="B68" t="s">
        <v>5285</v>
      </c>
      <c r="C68" t="s">
        <v>5286</v>
      </c>
    </row>
    <row r="69" spans="1:4" x14ac:dyDescent="0.3">
      <c r="A69" t="s">
        <v>5287</v>
      </c>
      <c r="B69" t="s">
        <v>5288</v>
      </c>
      <c r="C69" t="s">
        <v>5289</v>
      </c>
    </row>
    <row r="70" spans="1:4" x14ac:dyDescent="0.3">
      <c r="A70" t="s">
        <v>5290</v>
      </c>
      <c r="B70" t="s">
        <v>5291</v>
      </c>
      <c r="C70" t="s">
        <v>4012</v>
      </c>
    </row>
    <row r="72" spans="1:4" x14ac:dyDescent="0.3">
      <c r="A72" s="25" t="s">
        <v>281</v>
      </c>
      <c r="B72" s="25"/>
      <c r="C72" s="25"/>
      <c r="D72" s="25"/>
    </row>
    <row r="73" spans="1:4" x14ac:dyDescent="0.3">
      <c r="A73" t="s">
        <v>5292</v>
      </c>
    </row>
    <row r="74" spans="1:4" x14ac:dyDescent="0.3">
      <c r="A74" t="s">
        <v>5293</v>
      </c>
    </row>
    <row r="75" spans="1:4" x14ac:dyDescent="0.3">
      <c r="A75" t="s">
        <v>5294</v>
      </c>
    </row>
    <row r="76" spans="1:4" x14ac:dyDescent="0.3">
      <c r="A76" t="s">
        <v>5295</v>
      </c>
    </row>
    <row r="77" spans="1:4" x14ac:dyDescent="0.3">
      <c r="A77" t="s">
        <v>5296</v>
      </c>
    </row>
    <row r="78" spans="1:4" x14ac:dyDescent="0.3">
      <c r="A78" t="s">
        <v>5297</v>
      </c>
    </row>
    <row r="79" spans="1:4" x14ac:dyDescent="0.3">
      <c r="A79" t="s">
        <v>5298</v>
      </c>
    </row>
    <row r="80" spans="1:4" x14ac:dyDescent="0.3">
      <c r="A80" t="s">
        <v>5299</v>
      </c>
    </row>
    <row r="81" spans="1:4" x14ac:dyDescent="0.3">
      <c r="A81" t="s">
        <v>5300</v>
      </c>
    </row>
    <row r="82" spans="1:4" x14ac:dyDescent="0.3">
      <c r="A82" t="s">
        <v>5301</v>
      </c>
    </row>
    <row r="83" spans="1:4" x14ac:dyDescent="0.3">
      <c r="A83" t="s">
        <v>5302</v>
      </c>
    </row>
    <row r="84" spans="1:4" x14ac:dyDescent="0.3">
      <c r="A84" t="s">
        <v>5303</v>
      </c>
    </row>
    <row r="86" spans="1:4" x14ac:dyDescent="0.3">
      <c r="A86" s="25" t="s">
        <v>295</v>
      </c>
      <c r="B86" s="25"/>
      <c r="C86" s="25"/>
      <c r="D86" s="25"/>
    </row>
    <row r="87" spans="1:4" x14ac:dyDescent="0.3">
      <c r="A87" t="s">
        <v>296</v>
      </c>
      <c r="B87" t="s">
        <v>5304</v>
      </c>
      <c r="C87" t="s">
        <v>4883</v>
      </c>
    </row>
    <row r="88" spans="1:4" x14ac:dyDescent="0.3">
      <c r="A88" t="s">
        <v>299</v>
      </c>
      <c r="B88" t="s">
        <v>5305</v>
      </c>
    </row>
    <row r="89" spans="1:4" x14ac:dyDescent="0.3">
      <c r="A89" t="s">
        <v>301</v>
      </c>
      <c r="B89" t="s">
        <v>5306</v>
      </c>
    </row>
    <row r="90" spans="1:4" x14ac:dyDescent="0.3">
      <c r="A90" t="s">
        <v>303</v>
      </c>
      <c r="B90" t="s">
        <v>5307</v>
      </c>
      <c r="C90" t="s">
        <v>3386</v>
      </c>
    </row>
    <row r="91" spans="1:4" x14ac:dyDescent="0.3">
      <c r="A91" t="s">
        <v>299</v>
      </c>
      <c r="B91" t="s">
        <v>5308</v>
      </c>
    </row>
    <row r="92" spans="1:4" x14ac:dyDescent="0.3">
      <c r="A92" t="s">
        <v>301</v>
      </c>
      <c r="B92" t="s">
        <v>5309</v>
      </c>
    </row>
    <row r="93" spans="1:4" x14ac:dyDescent="0.3">
      <c r="A93" t="s">
        <v>307</v>
      </c>
      <c r="B93" t="s">
        <v>5310</v>
      </c>
      <c r="C93" t="s">
        <v>5311</v>
      </c>
    </row>
    <row r="94" spans="1:4" x14ac:dyDescent="0.3">
      <c r="A94" t="s">
        <v>299</v>
      </c>
      <c r="B94" t="s">
        <v>5312</v>
      </c>
    </row>
    <row r="95" spans="1:4" x14ac:dyDescent="0.3">
      <c r="A95" t="s">
        <v>301</v>
      </c>
      <c r="B95" t="s">
        <v>5313</v>
      </c>
    </row>
    <row r="96" spans="1:4" x14ac:dyDescent="0.3">
      <c r="A96" t="s">
        <v>311</v>
      </c>
      <c r="B96" t="s">
        <v>5314</v>
      </c>
      <c r="C96" t="s">
        <v>5315</v>
      </c>
    </row>
    <row r="97" spans="1:3" x14ac:dyDescent="0.3">
      <c r="A97" t="s">
        <v>299</v>
      </c>
      <c r="B97" t="s">
        <v>5316</v>
      </c>
    </row>
    <row r="98" spans="1:3" x14ac:dyDescent="0.3">
      <c r="A98" t="s">
        <v>301</v>
      </c>
      <c r="B98" t="s">
        <v>5317</v>
      </c>
    </row>
    <row r="99" spans="1:3" x14ac:dyDescent="0.3">
      <c r="A99" t="s">
        <v>316</v>
      </c>
      <c r="B99" t="s">
        <v>5318</v>
      </c>
      <c r="C99" t="s">
        <v>5319</v>
      </c>
    </row>
    <row r="100" spans="1:3" x14ac:dyDescent="0.3">
      <c r="A100" t="s">
        <v>299</v>
      </c>
      <c r="B100" t="s">
        <v>5320</v>
      </c>
    </row>
    <row r="101" spans="1:3" x14ac:dyDescent="0.3">
      <c r="A101" t="s">
        <v>301</v>
      </c>
      <c r="B101" t="s">
        <v>5321</v>
      </c>
    </row>
    <row r="102" spans="1:3" x14ac:dyDescent="0.3">
      <c r="A102" t="s">
        <v>320</v>
      </c>
      <c r="B102" t="s">
        <v>5322</v>
      </c>
      <c r="C102" t="s">
        <v>3397</v>
      </c>
    </row>
    <row r="103" spans="1:3" x14ac:dyDescent="0.3">
      <c r="A103" t="s">
        <v>299</v>
      </c>
      <c r="B103" t="s">
        <v>5323</v>
      </c>
    </row>
    <row r="104" spans="1:3" x14ac:dyDescent="0.3">
      <c r="A104" t="s">
        <v>301</v>
      </c>
      <c r="B104" t="s">
        <v>5324</v>
      </c>
    </row>
  </sheetData>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C100"/>
  <sheetViews>
    <sheetView workbookViewId="0"/>
  </sheetViews>
  <sheetFormatPr defaultRowHeight="14.4" x14ac:dyDescent="0.3"/>
  <cols>
    <col min="1" max="1" width="46" customWidth="1"/>
    <col min="2" max="8" width="15" customWidth="1"/>
  </cols>
  <sheetData>
    <row r="1" spans="1:3" x14ac:dyDescent="0.3">
      <c r="A1" s="24" t="s">
        <v>181</v>
      </c>
      <c r="B1" t="s">
        <v>5325</v>
      </c>
    </row>
    <row r="2" spans="1:3" x14ac:dyDescent="0.3">
      <c r="A2" s="24" t="s">
        <v>183</v>
      </c>
      <c r="B2" t="s">
        <v>5326</v>
      </c>
    </row>
    <row r="4" spans="1:3" x14ac:dyDescent="0.3">
      <c r="A4" s="25" t="s">
        <v>185</v>
      </c>
      <c r="B4" s="25"/>
      <c r="C4" s="25"/>
    </row>
    <row r="5" spans="1:3" x14ac:dyDescent="0.3">
      <c r="A5" t="s">
        <v>5327</v>
      </c>
      <c r="B5" t="s">
        <v>238</v>
      </c>
      <c r="C5" t="s">
        <v>274</v>
      </c>
    </row>
    <row r="6" spans="1:3" x14ac:dyDescent="0.3">
      <c r="A6" t="s">
        <v>5328</v>
      </c>
      <c r="B6" t="s">
        <v>5329</v>
      </c>
      <c r="C6" t="s">
        <v>4508</v>
      </c>
    </row>
    <row r="7" spans="1:3" x14ac:dyDescent="0.3">
      <c r="A7" t="s">
        <v>5330</v>
      </c>
      <c r="B7" t="s">
        <v>5331</v>
      </c>
      <c r="C7" t="s">
        <v>4508</v>
      </c>
    </row>
    <row r="8" spans="1:3" x14ac:dyDescent="0.3">
      <c r="A8" t="s">
        <v>5332</v>
      </c>
      <c r="B8" t="s">
        <v>5333</v>
      </c>
      <c r="C8" t="s">
        <v>4508</v>
      </c>
    </row>
    <row r="9" spans="1:3" x14ac:dyDescent="0.3">
      <c r="A9" t="s">
        <v>5334</v>
      </c>
      <c r="B9" t="s">
        <v>4832</v>
      </c>
      <c r="C9" t="s">
        <v>5289</v>
      </c>
    </row>
    <row r="10" spans="1:3" x14ac:dyDescent="0.3">
      <c r="A10" t="s">
        <v>5266</v>
      </c>
      <c r="B10" t="s">
        <v>5335</v>
      </c>
      <c r="C10" t="s">
        <v>5289</v>
      </c>
    </row>
    <row r="11" spans="1:3" x14ac:dyDescent="0.3">
      <c r="A11" t="s">
        <v>5336</v>
      </c>
      <c r="B11" t="s">
        <v>2126</v>
      </c>
      <c r="C11" t="s">
        <v>4508</v>
      </c>
    </row>
    <row r="13" spans="1:3" x14ac:dyDescent="0.3">
      <c r="A13" t="s">
        <v>5337</v>
      </c>
      <c r="B13" t="s">
        <v>238</v>
      </c>
      <c r="C13" t="s">
        <v>274</v>
      </c>
    </row>
    <row r="14" spans="1:3" x14ac:dyDescent="0.3">
      <c r="A14" t="s">
        <v>5338</v>
      </c>
      <c r="B14" t="s">
        <v>5339</v>
      </c>
      <c r="C14" t="s">
        <v>5340</v>
      </c>
    </row>
    <row r="15" spans="1:3" x14ac:dyDescent="0.3">
      <c r="A15" t="s">
        <v>5268</v>
      </c>
      <c r="B15" t="s">
        <v>5341</v>
      </c>
      <c r="C15" t="s">
        <v>5340</v>
      </c>
    </row>
    <row r="16" spans="1:3" x14ac:dyDescent="0.3">
      <c r="A16" t="s">
        <v>5342</v>
      </c>
      <c r="B16" t="s">
        <v>5343</v>
      </c>
      <c r="C16" t="s">
        <v>5340</v>
      </c>
    </row>
    <row r="18" spans="1:3" x14ac:dyDescent="0.3">
      <c r="A18" t="s">
        <v>5344</v>
      </c>
      <c r="B18" t="s">
        <v>238</v>
      </c>
      <c r="C18" t="s">
        <v>274</v>
      </c>
    </row>
    <row r="19" spans="1:3" x14ac:dyDescent="0.3">
      <c r="A19" t="s">
        <v>5345</v>
      </c>
      <c r="B19" t="s">
        <v>5346</v>
      </c>
      <c r="C19" t="s">
        <v>5289</v>
      </c>
    </row>
    <row r="20" spans="1:3" x14ac:dyDescent="0.3">
      <c r="A20" t="s">
        <v>5347</v>
      </c>
      <c r="B20" t="s">
        <v>5348</v>
      </c>
      <c r="C20" t="s">
        <v>5289</v>
      </c>
    </row>
    <row r="21" spans="1:3" x14ac:dyDescent="0.3">
      <c r="A21" t="s">
        <v>5349</v>
      </c>
      <c r="B21" t="s">
        <v>5350</v>
      </c>
      <c r="C21" t="s">
        <v>5289</v>
      </c>
    </row>
    <row r="23" spans="1:3" x14ac:dyDescent="0.3">
      <c r="A23" t="s">
        <v>5351</v>
      </c>
      <c r="B23" t="s">
        <v>238</v>
      </c>
      <c r="C23" t="s">
        <v>274</v>
      </c>
    </row>
    <row r="24" spans="1:3" x14ac:dyDescent="0.3">
      <c r="A24" t="s">
        <v>5352</v>
      </c>
      <c r="B24" t="s">
        <v>5353</v>
      </c>
      <c r="C24" t="s">
        <v>5171</v>
      </c>
    </row>
    <row r="25" spans="1:3" x14ac:dyDescent="0.3">
      <c r="A25" t="s">
        <v>5354</v>
      </c>
      <c r="B25" t="s">
        <v>5355</v>
      </c>
      <c r="C25" t="s">
        <v>5289</v>
      </c>
    </row>
    <row r="27" spans="1:3" x14ac:dyDescent="0.3">
      <c r="A27" t="s">
        <v>2681</v>
      </c>
      <c r="B27" t="s">
        <v>238</v>
      </c>
      <c r="C27" t="s">
        <v>274</v>
      </c>
    </row>
    <row r="28" spans="1:3" x14ac:dyDescent="0.3">
      <c r="A28" t="s">
        <v>5356</v>
      </c>
      <c r="B28" t="s">
        <v>1245</v>
      </c>
      <c r="C28" t="s">
        <v>5160</v>
      </c>
    </row>
    <row r="29" spans="1:3" x14ac:dyDescent="0.3">
      <c r="A29" t="s">
        <v>5357</v>
      </c>
      <c r="B29" t="s">
        <v>1303</v>
      </c>
      <c r="C29" t="s">
        <v>5160</v>
      </c>
    </row>
    <row r="30" spans="1:3" x14ac:dyDescent="0.3">
      <c r="A30" t="s">
        <v>5358</v>
      </c>
      <c r="B30" t="s">
        <v>5359</v>
      </c>
      <c r="C30" t="s">
        <v>4508</v>
      </c>
    </row>
    <row r="31" spans="1:3" x14ac:dyDescent="0.3">
      <c r="A31" t="s">
        <v>5360</v>
      </c>
      <c r="B31" t="s">
        <v>5361</v>
      </c>
      <c r="C31" t="s">
        <v>4508</v>
      </c>
    </row>
    <row r="33" spans="1:3" x14ac:dyDescent="0.3">
      <c r="A33" t="s">
        <v>5362</v>
      </c>
      <c r="B33" t="s">
        <v>238</v>
      </c>
      <c r="C33" t="s">
        <v>274</v>
      </c>
    </row>
    <row r="34" spans="1:3" x14ac:dyDescent="0.3">
      <c r="A34" t="s">
        <v>5363</v>
      </c>
      <c r="B34" t="s">
        <v>5364</v>
      </c>
      <c r="C34" t="s">
        <v>5289</v>
      </c>
    </row>
    <row r="35" spans="1:3" x14ac:dyDescent="0.3">
      <c r="A35" t="s">
        <v>5365</v>
      </c>
      <c r="B35" t="s">
        <v>5366</v>
      </c>
      <c r="C35" t="s">
        <v>4508</v>
      </c>
    </row>
    <row r="37" spans="1:3" x14ac:dyDescent="0.3">
      <c r="A37" t="s">
        <v>273</v>
      </c>
      <c r="B37" t="s">
        <v>5283</v>
      </c>
      <c r="C37" t="s">
        <v>274</v>
      </c>
    </row>
    <row r="38" spans="1:3" x14ac:dyDescent="0.3">
      <c r="A38" t="s">
        <v>5367</v>
      </c>
      <c r="B38" t="s">
        <v>5368</v>
      </c>
      <c r="C38" t="s">
        <v>5369</v>
      </c>
    </row>
    <row r="39" spans="1:3" x14ac:dyDescent="0.3">
      <c r="A39" t="s">
        <v>5370</v>
      </c>
      <c r="B39" t="s">
        <v>5371</v>
      </c>
      <c r="C39" t="s">
        <v>5289</v>
      </c>
    </row>
    <row r="40" spans="1:3" x14ac:dyDescent="0.3">
      <c r="A40" t="s">
        <v>5372</v>
      </c>
      <c r="B40" t="s">
        <v>393</v>
      </c>
      <c r="C40" t="s">
        <v>5160</v>
      </c>
    </row>
    <row r="41" spans="1:3" x14ac:dyDescent="0.3">
      <c r="A41" t="s">
        <v>5373</v>
      </c>
      <c r="B41" t="s">
        <v>5374</v>
      </c>
      <c r="C41" t="s">
        <v>4012</v>
      </c>
    </row>
    <row r="43" spans="1:3" x14ac:dyDescent="0.3">
      <c r="A43" s="25" t="s">
        <v>281</v>
      </c>
      <c r="B43" s="25"/>
      <c r="C43" s="25"/>
    </row>
    <row r="44" spans="1:3" x14ac:dyDescent="0.3">
      <c r="A44" t="s">
        <v>5375</v>
      </c>
    </row>
    <row r="45" spans="1:3" x14ac:dyDescent="0.3">
      <c r="A45" t="s">
        <v>5376</v>
      </c>
    </row>
    <row r="46" spans="1:3" x14ac:dyDescent="0.3">
      <c r="A46" t="s">
        <v>5377</v>
      </c>
    </row>
    <row r="47" spans="1:3" x14ac:dyDescent="0.3">
      <c r="A47" t="s">
        <v>5378</v>
      </c>
    </row>
    <row r="48" spans="1:3" x14ac:dyDescent="0.3">
      <c r="A48" t="s">
        <v>5379</v>
      </c>
    </row>
    <row r="49" spans="1:3" x14ac:dyDescent="0.3">
      <c r="A49" t="s">
        <v>5380</v>
      </c>
    </row>
    <row r="50" spans="1:3" x14ac:dyDescent="0.3">
      <c r="A50" t="s">
        <v>5381</v>
      </c>
    </row>
    <row r="51" spans="1:3" x14ac:dyDescent="0.3">
      <c r="A51" t="s">
        <v>5382</v>
      </c>
    </row>
    <row r="52" spans="1:3" x14ac:dyDescent="0.3">
      <c r="A52" t="s">
        <v>5383</v>
      </c>
    </row>
    <row r="53" spans="1:3" x14ac:dyDescent="0.3">
      <c r="A53" t="s">
        <v>5384</v>
      </c>
    </row>
    <row r="54" spans="1:3" x14ac:dyDescent="0.3">
      <c r="A54" t="s">
        <v>5385</v>
      </c>
    </row>
    <row r="55" spans="1:3" x14ac:dyDescent="0.3">
      <c r="A55" t="s">
        <v>5386</v>
      </c>
    </row>
    <row r="56" spans="1:3" x14ac:dyDescent="0.3">
      <c r="A56" t="s">
        <v>5387</v>
      </c>
    </row>
    <row r="58" spans="1:3" x14ac:dyDescent="0.3">
      <c r="A58" s="25" t="s">
        <v>295</v>
      </c>
      <c r="B58" s="25"/>
      <c r="C58" s="25"/>
    </row>
    <row r="59" spans="1:3" x14ac:dyDescent="0.3">
      <c r="A59" t="s">
        <v>296</v>
      </c>
      <c r="B59" t="s">
        <v>5388</v>
      </c>
      <c r="C59" t="s">
        <v>5389</v>
      </c>
    </row>
    <row r="60" spans="1:3" x14ac:dyDescent="0.3">
      <c r="A60" t="s">
        <v>299</v>
      </c>
      <c r="B60" t="s">
        <v>5390</v>
      </c>
    </row>
    <row r="61" spans="1:3" x14ac:dyDescent="0.3">
      <c r="A61" t="s">
        <v>301</v>
      </c>
      <c r="B61" t="s">
        <v>5391</v>
      </c>
    </row>
    <row r="62" spans="1:3" x14ac:dyDescent="0.3">
      <c r="A62" t="s">
        <v>303</v>
      </c>
      <c r="B62" t="s">
        <v>5392</v>
      </c>
      <c r="C62" t="s">
        <v>5389</v>
      </c>
    </row>
    <row r="63" spans="1:3" x14ac:dyDescent="0.3">
      <c r="A63" t="s">
        <v>299</v>
      </c>
      <c r="B63" t="s">
        <v>5393</v>
      </c>
    </row>
    <row r="64" spans="1:3" x14ac:dyDescent="0.3">
      <c r="A64" t="s">
        <v>301</v>
      </c>
      <c r="B64" t="s">
        <v>5394</v>
      </c>
    </row>
    <row r="65" spans="1:3" x14ac:dyDescent="0.3">
      <c r="A65" t="s">
        <v>307</v>
      </c>
      <c r="B65" t="s">
        <v>5395</v>
      </c>
      <c r="C65" t="s">
        <v>5389</v>
      </c>
    </row>
    <row r="66" spans="1:3" x14ac:dyDescent="0.3">
      <c r="A66" t="s">
        <v>299</v>
      </c>
      <c r="B66" t="s">
        <v>5396</v>
      </c>
    </row>
    <row r="67" spans="1:3" x14ac:dyDescent="0.3">
      <c r="A67" t="s">
        <v>301</v>
      </c>
      <c r="B67" t="s">
        <v>5397</v>
      </c>
    </row>
    <row r="68" spans="1:3" x14ac:dyDescent="0.3">
      <c r="A68" t="s">
        <v>311</v>
      </c>
      <c r="B68" t="s">
        <v>5398</v>
      </c>
      <c r="C68" t="s">
        <v>5389</v>
      </c>
    </row>
    <row r="69" spans="1:3" x14ac:dyDescent="0.3">
      <c r="A69" t="s">
        <v>299</v>
      </c>
      <c r="B69" t="s">
        <v>5399</v>
      </c>
    </row>
    <row r="70" spans="1:3" x14ac:dyDescent="0.3">
      <c r="A70" t="s">
        <v>301</v>
      </c>
      <c r="B70" t="s">
        <v>5400</v>
      </c>
    </row>
    <row r="71" spans="1:3" x14ac:dyDescent="0.3">
      <c r="A71" t="s">
        <v>316</v>
      </c>
      <c r="B71" t="s">
        <v>5401</v>
      </c>
      <c r="C71" t="s">
        <v>5389</v>
      </c>
    </row>
    <row r="72" spans="1:3" x14ac:dyDescent="0.3">
      <c r="A72" t="s">
        <v>299</v>
      </c>
      <c r="B72" t="s">
        <v>5402</v>
      </c>
    </row>
    <row r="73" spans="1:3" x14ac:dyDescent="0.3">
      <c r="A73" t="s">
        <v>301</v>
      </c>
      <c r="B73" t="s">
        <v>5403</v>
      </c>
    </row>
    <row r="74" spans="1:3" x14ac:dyDescent="0.3">
      <c r="A74" t="s">
        <v>320</v>
      </c>
      <c r="B74" t="s">
        <v>5404</v>
      </c>
      <c r="C74" t="s">
        <v>5389</v>
      </c>
    </row>
    <row r="75" spans="1:3" x14ac:dyDescent="0.3">
      <c r="A75" t="s">
        <v>299</v>
      </c>
      <c r="B75" t="s">
        <v>5405</v>
      </c>
    </row>
    <row r="76" spans="1:3" x14ac:dyDescent="0.3">
      <c r="A76" t="s">
        <v>301</v>
      </c>
      <c r="B76" t="s">
        <v>5406</v>
      </c>
    </row>
    <row r="77" spans="1:3" x14ac:dyDescent="0.3">
      <c r="A77" t="s">
        <v>324</v>
      </c>
      <c r="B77" t="s">
        <v>5407</v>
      </c>
      <c r="C77" t="s">
        <v>5389</v>
      </c>
    </row>
    <row r="78" spans="1:3" x14ac:dyDescent="0.3">
      <c r="A78" t="s">
        <v>299</v>
      </c>
      <c r="B78" t="s">
        <v>5408</v>
      </c>
    </row>
    <row r="79" spans="1:3" x14ac:dyDescent="0.3">
      <c r="A79" t="s">
        <v>301</v>
      </c>
      <c r="B79" t="s">
        <v>5409</v>
      </c>
    </row>
    <row r="80" spans="1:3" x14ac:dyDescent="0.3">
      <c r="A80" t="s">
        <v>328</v>
      </c>
      <c r="B80" t="s">
        <v>5410</v>
      </c>
      <c r="C80" t="s">
        <v>5389</v>
      </c>
    </row>
    <row r="81" spans="1:3" x14ac:dyDescent="0.3">
      <c r="A81" t="s">
        <v>299</v>
      </c>
      <c r="B81" t="s">
        <v>5411</v>
      </c>
    </row>
    <row r="82" spans="1:3" x14ac:dyDescent="0.3">
      <c r="A82" t="s">
        <v>301</v>
      </c>
      <c r="B82" t="s">
        <v>5412</v>
      </c>
    </row>
    <row r="83" spans="1:3" x14ac:dyDescent="0.3">
      <c r="A83" t="s">
        <v>333</v>
      </c>
      <c r="B83" t="s">
        <v>5413</v>
      </c>
      <c r="C83" t="s">
        <v>5389</v>
      </c>
    </row>
    <row r="84" spans="1:3" x14ac:dyDescent="0.3">
      <c r="A84" t="s">
        <v>299</v>
      </c>
      <c r="B84" t="s">
        <v>5414</v>
      </c>
    </row>
    <row r="85" spans="1:3" x14ac:dyDescent="0.3">
      <c r="A85" t="s">
        <v>301</v>
      </c>
      <c r="B85" t="s">
        <v>5415</v>
      </c>
    </row>
    <row r="86" spans="1:3" x14ac:dyDescent="0.3">
      <c r="A86" t="s">
        <v>337</v>
      </c>
      <c r="B86" t="s">
        <v>5416</v>
      </c>
      <c r="C86" t="s">
        <v>5389</v>
      </c>
    </row>
    <row r="87" spans="1:3" x14ac:dyDescent="0.3">
      <c r="A87" t="s">
        <v>299</v>
      </c>
      <c r="B87" t="s">
        <v>5417</v>
      </c>
    </row>
    <row r="88" spans="1:3" x14ac:dyDescent="0.3">
      <c r="A88" t="s">
        <v>301</v>
      </c>
      <c r="B88" t="s">
        <v>5418</v>
      </c>
    </row>
    <row r="89" spans="1:3" x14ac:dyDescent="0.3">
      <c r="A89" t="s">
        <v>341</v>
      </c>
      <c r="B89" t="s">
        <v>5419</v>
      </c>
      <c r="C89" t="s">
        <v>5389</v>
      </c>
    </row>
    <row r="90" spans="1:3" x14ac:dyDescent="0.3">
      <c r="A90" t="s">
        <v>299</v>
      </c>
      <c r="B90" t="s">
        <v>5420</v>
      </c>
    </row>
    <row r="91" spans="1:3" x14ac:dyDescent="0.3">
      <c r="A91" t="s">
        <v>301</v>
      </c>
      <c r="B91" t="s">
        <v>5421</v>
      </c>
    </row>
    <row r="92" spans="1:3" x14ac:dyDescent="0.3">
      <c r="A92" t="s">
        <v>346</v>
      </c>
      <c r="B92" t="s">
        <v>5422</v>
      </c>
      <c r="C92" t="s">
        <v>5389</v>
      </c>
    </row>
    <row r="93" spans="1:3" x14ac:dyDescent="0.3">
      <c r="A93" t="s">
        <v>299</v>
      </c>
      <c r="B93" t="s">
        <v>5423</v>
      </c>
    </row>
    <row r="94" spans="1:3" x14ac:dyDescent="0.3">
      <c r="A94" t="s">
        <v>301</v>
      </c>
      <c r="B94" t="s">
        <v>5424</v>
      </c>
    </row>
    <row r="95" spans="1:3" x14ac:dyDescent="0.3">
      <c r="A95" t="s">
        <v>1453</v>
      </c>
      <c r="B95" t="s">
        <v>5425</v>
      </c>
      <c r="C95" t="s">
        <v>5389</v>
      </c>
    </row>
    <row r="96" spans="1:3" x14ac:dyDescent="0.3">
      <c r="A96" t="s">
        <v>299</v>
      </c>
      <c r="B96" t="s">
        <v>5426</v>
      </c>
    </row>
    <row r="97" spans="1:3" x14ac:dyDescent="0.3">
      <c r="A97" t="s">
        <v>301</v>
      </c>
      <c r="B97" t="s">
        <v>5427</v>
      </c>
    </row>
    <row r="98" spans="1:3" x14ac:dyDescent="0.3">
      <c r="A98" t="s">
        <v>1457</v>
      </c>
      <c r="B98" t="s">
        <v>5428</v>
      </c>
      <c r="C98" t="s">
        <v>5389</v>
      </c>
    </row>
    <row r="99" spans="1:3" x14ac:dyDescent="0.3">
      <c r="A99" t="s">
        <v>299</v>
      </c>
      <c r="B99" t="s">
        <v>5429</v>
      </c>
    </row>
    <row r="100" spans="1:3" x14ac:dyDescent="0.3">
      <c r="A100" t="s">
        <v>301</v>
      </c>
      <c r="B100" t="s">
        <v>5430</v>
      </c>
    </row>
  </sheetData>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C93"/>
  <sheetViews>
    <sheetView workbookViewId="0"/>
  </sheetViews>
  <sheetFormatPr defaultRowHeight="14.4" x14ac:dyDescent="0.3"/>
  <cols>
    <col min="1" max="1" width="46" customWidth="1"/>
    <col min="2" max="8" width="15" customWidth="1"/>
  </cols>
  <sheetData>
    <row r="1" spans="1:3" x14ac:dyDescent="0.3">
      <c r="A1" s="24" t="s">
        <v>181</v>
      </c>
      <c r="B1" t="s">
        <v>5431</v>
      </c>
    </row>
    <row r="2" spans="1:3" x14ac:dyDescent="0.3">
      <c r="A2" s="24" t="s">
        <v>183</v>
      </c>
      <c r="B2" t="s">
        <v>5432</v>
      </c>
    </row>
    <row r="4" spans="1:3" x14ac:dyDescent="0.3">
      <c r="A4" s="25" t="s">
        <v>185</v>
      </c>
      <c r="B4" s="25"/>
      <c r="C4" s="25"/>
    </row>
    <row r="5" spans="1:3" x14ac:dyDescent="0.3">
      <c r="A5" t="s">
        <v>5433</v>
      </c>
      <c r="B5" t="s">
        <v>238</v>
      </c>
      <c r="C5" t="s">
        <v>274</v>
      </c>
    </row>
    <row r="6" spans="1:3" x14ac:dyDescent="0.3">
      <c r="A6" t="s">
        <v>5434</v>
      </c>
      <c r="B6" t="s">
        <v>5435</v>
      </c>
      <c r="C6" t="s">
        <v>4508</v>
      </c>
    </row>
    <row r="7" spans="1:3" x14ac:dyDescent="0.3">
      <c r="A7" t="s">
        <v>5436</v>
      </c>
      <c r="B7" t="s">
        <v>5339</v>
      </c>
      <c r="C7" t="s">
        <v>5340</v>
      </c>
    </row>
    <row r="8" spans="1:3" x14ac:dyDescent="0.3">
      <c r="A8" t="s">
        <v>5437</v>
      </c>
      <c r="B8" t="s">
        <v>5438</v>
      </c>
      <c r="C8" t="s">
        <v>5340</v>
      </c>
    </row>
    <row r="9" spans="1:3" x14ac:dyDescent="0.3">
      <c r="A9" t="s">
        <v>5439</v>
      </c>
      <c r="B9" t="s">
        <v>5355</v>
      </c>
      <c r="C9" t="s">
        <v>5289</v>
      </c>
    </row>
    <row r="11" spans="1:3" x14ac:dyDescent="0.3">
      <c r="A11" t="s">
        <v>5440</v>
      </c>
      <c r="B11" t="s">
        <v>238</v>
      </c>
      <c r="C11" t="s">
        <v>274</v>
      </c>
    </row>
    <row r="12" spans="1:3" x14ac:dyDescent="0.3">
      <c r="A12" t="s">
        <v>5441</v>
      </c>
      <c r="B12" t="s">
        <v>2126</v>
      </c>
      <c r="C12" t="s">
        <v>4508</v>
      </c>
    </row>
    <row r="13" spans="1:3" x14ac:dyDescent="0.3">
      <c r="A13" t="s">
        <v>5442</v>
      </c>
      <c r="B13" t="s">
        <v>5443</v>
      </c>
      <c r="C13" t="s">
        <v>4508</v>
      </c>
    </row>
    <row r="14" spans="1:3" x14ac:dyDescent="0.3">
      <c r="A14" t="s">
        <v>5444</v>
      </c>
      <c r="B14" t="s">
        <v>5364</v>
      </c>
      <c r="C14" t="s">
        <v>5445</v>
      </c>
    </row>
    <row r="15" spans="1:3" x14ac:dyDescent="0.3">
      <c r="A15" t="s">
        <v>5446</v>
      </c>
      <c r="B15" t="s">
        <v>5447</v>
      </c>
      <c r="C15" t="s">
        <v>5445</v>
      </c>
    </row>
    <row r="16" spans="1:3" x14ac:dyDescent="0.3">
      <c r="A16" t="s">
        <v>5448</v>
      </c>
      <c r="B16" t="s">
        <v>5449</v>
      </c>
      <c r="C16" t="s">
        <v>4508</v>
      </c>
    </row>
    <row r="18" spans="1:3" x14ac:dyDescent="0.3">
      <c r="A18" t="s">
        <v>3438</v>
      </c>
      <c r="B18" t="s">
        <v>238</v>
      </c>
      <c r="C18" t="s">
        <v>274</v>
      </c>
    </row>
    <row r="19" spans="1:3" x14ac:dyDescent="0.3">
      <c r="A19" t="s">
        <v>5450</v>
      </c>
      <c r="B19" t="s">
        <v>5451</v>
      </c>
      <c r="C19" t="s">
        <v>5289</v>
      </c>
    </row>
    <row r="20" spans="1:3" x14ac:dyDescent="0.3">
      <c r="A20" t="s">
        <v>5452</v>
      </c>
      <c r="B20" t="s">
        <v>5453</v>
      </c>
      <c r="C20" t="s">
        <v>4508</v>
      </c>
    </row>
    <row r="21" spans="1:3" x14ac:dyDescent="0.3">
      <c r="A21" t="s">
        <v>5454</v>
      </c>
      <c r="B21" t="s">
        <v>5455</v>
      </c>
      <c r="C21" t="s">
        <v>4508</v>
      </c>
    </row>
    <row r="22" spans="1:3" x14ac:dyDescent="0.3">
      <c r="A22" t="s">
        <v>5456</v>
      </c>
      <c r="B22" t="s">
        <v>1376</v>
      </c>
      <c r="C22" t="s">
        <v>4508</v>
      </c>
    </row>
    <row r="23" spans="1:3" x14ac:dyDescent="0.3">
      <c r="A23" t="s">
        <v>5457</v>
      </c>
      <c r="B23" t="s">
        <v>5458</v>
      </c>
      <c r="C23" t="s">
        <v>4508</v>
      </c>
    </row>
    <row r="24" spans="1:3" x14ac:dyDescent="0.3">
      <c r="A24" t="s">
        <v>5459</v>
      </c>
      <c r="B24" t="s">
        <v>5460</v>
      </c>
      <c r="C24" t="s">
        <v>4508</v>
      </c>
    </row>
    <row r="26" spans="1:3" x14ac:dyDescent="0.3">
      <c r="A26" t="s">
        <v>5461</v>
      </c>
      <c r="B26" t="s">
        <v>238</v>
      </c>
      <c r="C26" t="s">
        <v>274</v>
      </c>
    </row>
    <row r="27" spans="1:3" x14ac:dyDescent="0.3">
      <c r="A27" t="s">
        <v>5462</v>
      </c>
      <c r="B27" t="s">
        <v>5361</v>
      </c>
      <c r="C27" t="s">
        <v>4508</v>
      </c>
    </row>
    <row r="28" spans="1:3" x14ac:dyDescent="0.3">
      <c r="A28" t="s">
        <v>5463</v>
      </c>
      <c r="B28" t="s">
        <v>4686</v>
      </c>
      <c r="C28" t="s">
        <v>5464</v>
      </c>
    </row>
    <row r="30" spans="1:3" x14ac:dyDescent="0.3">
      <c r="A30" t="s">
        <v>5465</v>
      </c>
      <c r="B30" t="s">
        <v>238</v>
      </c>
      <c r="C30" t="s">
        <v>274</v>
      </c>
    </row>
    <row r="31" spans="1:3" x14ac:dyDescent="0.3">
      <c r="A31" t="s">
        <v>5466</v>
      </c>
      <c r="B31" t="s">
        <v>5467</v>
      </c>
      <c r="C31" t="s">
        <v>5160</v>
      </c>
    </row>
    <row r="32" spans="1:3" x14ac:dyDescent="0.3">
      <c r="A32" t="s">
        <v>5216</v>
      </c>
      <c r="B32" t="s">
        <v>5468</v>
      </c>
      <c r="C32" t="s">
        <v>4508</v>
      </c>
    </row>
    <row r="34" spans="1:3" x14ac:dyDescent="0.3">
      <c r="A34" t="s">
        <v>273</v>
      </c>
      <c r="B34" t="s">
        <v>5283</v>
      </c>
      <c r="C34" t="s">
        <v>274</v>
      </c>
    </row>
    <row r="35" spans="1:3" x14ac:dyDescent="0.3">
      <c r="A35" t="s">
        <v>5469</v>
      </c>
      <c r="B35" t="s">
        <v>5470</v>
      </c>
      <c r="C35" t="s">
        <v>5471</v>
      </c>
    </row>
    <row r="36" spans="1:3" x14ac:dyDescent="0.3">
      <c r="A36" t="s">
        <v>5472</v>
      </c>
      <c r="B36" t="s">
        <v>5473</v>
      </c>
      <c r="C36" t="s">
        <v>5474</v>
      </c>
    </row>
    <row r="37" spans="1:3" x14ac:dyDescent="0.3">
      <c r="A37" t="s">
        <v>5475</v>
      </c>
      <c r="B37" t="s">
        <v>5476</v>
      </c>
      <c r="C37" t="s">
        <v>5471</v>
      </c>
    </row>
    <row r="38" spans="1:3" x14ac:dyDescent="0.3">
      <c r="A38" t="s">
        <v>5477</v>
      </c>
      <c r="B38" t="s">
        <v>5478</v>
      </c>
      <c r="C38" t="s">
        <v>42</v>
      </c>
    </row>
    <row r="40" spans="1:3" x14ac:dyDescent="0.3">
      <c r="A40" s="25" t="s">
        <v>281</v>
      </c>
      <c r="B40" s="25"/>
      <c r="C40" s="25"/>
    </row>
    <row r="41" spans="1:3" x14ac:dyDescent="0.3">
      <c r="A41" t="s">
        <v>5479</v>
      </c>
    </row>
    <row r="42" spans="1:3" x14ac:dyDescent="0.3">
      <c r="A42" t="s">
        <v>5480</v>
      </c>
    </row>
    <row r="43" spans="1:3" x14ac:dyDescent="0.3">
      <c r="A43" t="s">
        <v>5481</v>
      </c>
    </row>
    <row r="44" spans="1:3" x14ac:dyDescent="0.3">
      <c r="A44" t="s">
        <v>5482</v>
      </c>
    </row>
    <row r="45" spans="1:3" x14ac:dyDescent="0.3">
      <c r="A45" t="s">
        <v>5483</v>
      </c>
    </row>
    <row r="46" spans="1:3" x14ac:dyDescent="0.3">
      <c r="A46" t="s">
        <v>5484</v>
      </c>
    </row>
    <row r="47" spans="1:3" x14ac:dyDescent="0.3">
      <c r="A47" t="s">
        <v>5485</v>
      </c>
    </row>
    <row r="48" spans="1:3" x14ac:dyDescent="0.3">
      <c r="A48" t="s">
        <v>5486</v>
      </c>
    </row>
    <row r="49" spans="1:3" x14ac:dyDescent="0.3">
      <c r="A49" t="s">
        <v>5487</v>
      </c>
    </row>
    <row r="50" spans="1:3" x14ac:dyDescent="0.3">
      <c r="A50" t="s">
        <v>5488</v>
      </c>
    </row>
    <row r="51" spans="1:3" x14ac:dyDescent="0.3">
      <c r="A51" t="s">
        <v>5489</v>
      </c>
    </row>
    <row r="52" spans="1:3" x14ac:dyDescent="0.3">
      <c r="A52" t="s">
        <v>5490</v>
      </c>
    </row>
    <row r="53" spans="1:3" x14ac:dyDescent="0.3">
      <c r="A53" t="s">
        <v>5491</v>
      </c>
    </row>
    <row r="54" spans="1:3" x14ac:dyDescent="0.3">
      <c r="A54" t="s">
        <v>5492</v>
      </c>
    </row>
    <row r="55" spans="1:3" x14ac:dyDescent="0.3">
      <c r="A55" t="s">
        <v>5493</v>
      </c>
    </row>
    <row r="57" spans="1:3" x14ac:dyDescent="0.3">
      <c r="A57" s="25" t="s">
        <v>295</v>
      </c>
      <c r="B57" s="25"/>
      <c r="C57" s="25"/>
    </row>
    <row r="58" spans="1:3" x14ac:dyDescent="0.3">
      <c r="A58" t="s">
        <v>296</v>
      </c>
      <c r="B58" t="s">
        <v>5494</v>
      </c>
      <c r="C58" t="s">
        <v>5495</v>
      </c>
    </row>
    <row r="59" spans="1:3" x14ac:dyDescent="0.3">
      <c r="A59" t="s">
        <v>299</v>
      </c>
      <c r="B59" t="s">
        <v>5496</v>
      </c>
    </row>
    <row r="60" spans="1:3" x14ac:dyDescent="0.3">
      <c r="A60" t="s">
        <v>301</v>
      </c>
      <c r="B60" t="s">
        <v>5497</v>
      </c>
    </row>
    <row r="61" spans="1:3" x14ac:dyDescent="0.3">
      <c r="A61" t="s">
        <v>303</v>
      </c>
      <c r="B61" t="s">
        <v>5498</v>
      </c>
      <c r="C61" t="s">
        <v>5495</v>
      </c>
    </row>
    <row r="62" spans="1:3" x14ac:dyDescent="0.3">
      <c r="A62" t="s">
        <v>299</v>
      </c>
      <c r="B62" t="s">
        <v>5499</v>
      </c>
    </row>
    <row r="63" spans="1:3" x14ac:dyDescent="0.3">
      <c r="A63" t="s">
        <v>301</v>
      </c>
      <c r="B63" t="s">
        <v>5500</v>
      </c>
    </row>
    <row r="64" spans="1:3" x14ac:dyDescent="0.3">
      <c r="A64" t="s">
        <v>307</v>
      </c>
      <c r="B64" t="s">
        <v>5501</v>
      </c>
      <c r="C64" t="s">
        <v>5495</v>
      </c>
    </row>
    <row r="65" spans="1:3" x14ac:dyDescent="0.3">
      <c r="A65" t="s">
        <v>299</v>
      </c>
      <c r="B65" t="s">
        <v>5502</v>
      </c>
    </row>
    <row r="66" spans="1:3" x14ac:dyDescent="0.3">
      <c r="A66" t="s">
        <v>301</v>
      </c>
      <c r="B66" t="s">
        <v>5503</v>
      </c>
    </row>
    <row r="67" spans="1:3" x14ac:dyDescent="0.3">
      <c r="A67" t="s">
        <v>311</v>
      </c>
      <c r="B67" t="s">
        <v>5504</v>
      </c>
      <c r="C67" t="s">
        <v>5495</v>
      </c>
    </row>
    <row r="68" spans="1:3" x14ac:dyDescent="0.3">
      <c r="A68" t="s">
        <v>299</v>
      </c>
      <c r="B68" t="s">
        <v>5505</v>
      </c>
    </row>
    <row r="69" spans="1:3" x14ac:dyDescent="0.3">
      <c r="A69" t="s">
        <v>301</v>
      </c>
      <c r="B69" t="s">
        <v>5506</v>
      </c>
    </row>
    <row r="70" spans="1:3" x14ac:dyDescent="0.3">
      <c r="A70" t="s">
        <v>316</v>
      </c>
      <c r="B70" t="s">
        <v>5507</v>
      </c>
      <c r="C70" t="s">
        <v>5495</v>
      </c>
    </row>
    <row r="71" spans="1:3" x14ac:dyDescent="0.3">
      <c r="A71" t="s">
        <v>299</v>
      </c>
      <c r="B71" t="s">
        <v>5508</v>
      </c>
    </row>
    <row r="72" spans="1:3" x14ac:dyDescent="0.3">
      <c r="A72" t="s">
        <v>301</v>
      </c>
      <c r="B72" t="s">
        <v>5509</v>
      </c>
    </row>
    <row r="73" spans="1:3" x14ac:dyDescent="0.3">
      <c r="A73" t="s">
        <v>320</v>
      </c>
      <c r="B73" t="s">
        <v>5510</v>
      </c>
      <c r="C73" t="s">
        <v>5495</v>
      </c>
    </row>
    <row r="74" spans="1:3" x14ac:dyDescent="0.3">
      <c r="A74" t="s">
        <v>299</v>
      </c>
      <c r="B74" t="s">
        <v>5511</v>
      </c>
    </row>
    <row r="75" spans="1:3" x14ac:dyDescent="0.3">
      <c r="A75" t="s">
        <v>301</v>
      </c>
      <c r="B75" t="s">
        <v>5512</v>
      </c>
    </row>
    <row r="76" spans="1:3" x14ac:dyDescent="0.3">
      <c r="A76" t="s">
        <v>324</v>
      </c>
      <c r="B76" t="s">
        <v>5513</v>
      </c>
      <c r="C76" t="s">
        <v>5495</v>
      </c>
    </row>
    <row r="77" spans="1:3" x14ac:dyDescent="0.3">
      <c r="A77" t="s">
        <v>299</v>
      </c>
      <c r="B77" t="s">
        <v>5514</v>
      </c>
    </row>
    <row r="78" spans="1:3" x14ac:dyDescent="0.3">
      <c r="A78" t="s">
        <v>301</v>
      </c>
      <c r="B78" t="s">
        <v>5515</v>
      </c>
    </row>
    <row r="79" spans="1:3" x14ac:dyDescent="0.3">
      <c r="A79" t="s">
        <v>328</v>
      </c>
      <c r="B79" t="s">
        <v>5516</v>
      </c>
      <c r="C79" t="s">
        <v>5495</v>
      </c>
    </row>
    <row r="80" spans="1:3" x14ac:dyDescent="0.3">
      <c r="A80" t="s">
        <v>299</v>
      </c>
      <c r="B80" t="s">
        <v>5517</v>
      </c>
    </row>
    <row r="81" spans="1:3" x14ac:dyDescent="0.3">
      <c r="A81" t="s">
        <v>301</v>
      </c>
      <c r="B81" t="s">
        <v>5518</v>
      </c>
    </row>
    <row r="82" spans="1:3" x14ac:dyDescent="0.3">
      <c r="A82" t="s">
        <v>333</v>
      </c>
      <c r="B82" t="s">
        <v>5519</v>
      </c>
      <c r="C82" t="s">
        <v>5495</v>
      </c>
    </row>
    <row r="83" spans="1:3" x14ac:dyDescent="0.3">
      <c r="A83" t="s">
        <v>299</v>
      </c>
      <c r="B83" t="s">
        <v>5520</v>
      </c>
    </row>
    <row r="84" spans="1:3" x14ac:dyDescent="0.3">
      <c r="A84" t="s">
        <v>301</v>
      </c>
      <c r="B84" t="s">
        <v>5521</v>
      </c>
    </row>
    <row r="85" spans="1:3" x14ac:dyDescent="0.3">
      <c r="A85" t="s">
        <v>337</v>
      </c>
      <c r="B85" t="s">
        <v>5522</v>
      </c>
      <c r="C85" t="s">
        <v>5495</v>
      </c>
    </row>
    <row r="86" spans="1:3" x14ac:dyDescent="0.3">
      <c r="A86" t="s">
        <v>299</v>
      </c>
      <c r="B86" t="s">
        <v>5523</v>
      </c>
    </row>
    <row r="87" spans="1:3" x14ac:dyDescent="0.3">
      <c r="A87" t="s">
        <v>301</v>
      </c>
      <c r="B87" t="s">
        <v>5524</v>
      </c>
    </row>
    <row r="88" spans="1:3" x14ac:dyDescent="0.3">
      <c r="A88" t="s">
        <v>341</v>
      </c>
      <c r="B88" t="s">
        <v>5525</v>
      </c>
      <c r="C88" t="s">
        <v>5495</v>
      </c>
    </row>
    <row r="89" spans="1:3" x14ac:dyDescent="0.3">
      <c r="A89" t="s">
        <v>299</v>
      </c>
      <c r="B89" t="s">
        <v>5526</v>
      </c>
    </row>
    <row r="90" spans="1:3" x14ac:dyDescent="0.3">
      <c r="A90" t="s">
        <v>301</v>
      </c>
      <c r="B90" t="s">
        <v>5527</v>
      </c>
    </row>
    <row r="91" spans="1:3" x14ac:dyDescent="0.3">
      <c r="A91" t="s">
        <v>346</v>
      </c>
      <c r="B91" t="s">
        <v>5528</v>
      </c>
      <c r="C91" t="s">
        <v>5495</v>
      </c>
    </row>
    <row r="92" spans="1:3" x14ac:dyDescent="0.3">
      <c r="A92" t="s">
        <v>299</v>
      </c>
      <c r="B92" t="s">
        <v>5529</v>
      </c>
    </row>
    <row r="93" spans="1:3" x14ac:dyDescent="0.3">
      <c r="A93" t="s">
        <v>301</v>
      </c>
      <c r="B93" t="s">
        <v>5530</v>
      </c>
    </row>
  </sheetData>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98"/>
  <sheetViews>
    <sheetView workbookViewId="0"/>
  </sheetViews>
  <sheetFormatPr defaultRowHeight="14.4" x14ac:dyDescent="0.3"/>
  <cols>
    <col min="1" max="1" width="46" customWidth="1"/>
    <col min="2" max="8" width="15" customWidth="1"/>
  </cols>
  <sheetData>
    <row r="1" spans="1:4" x14ac:dyDescent="0.3">
      <c r="A1" s="24" t="s">
        <v>181</v>
      </c>
      <c r="B1" t="s">
        <v>5531</v>
      </c>
    </row>
    <row r="2" spans="1:4" x14ac:dyDescent="0.3">
      <c r="A2" s="24" t="s">
        <v>183</v>
      </c>
      <c r="B2" t="s">
        <v>5532</v>
      </c>
    </row>
    <row r="4" spans="1:4" x14ac:dyDescent="0.3">
      <c r="A4" s="25" t="s">
        <v>185</v>
      </c>
      <c r="B4" s="25"/>
      <c r="C4" s="25"/>
      <c r="D4" s="25"/>
    </row>
    <row r="5" spans="1:4" x14ac:dyDescent="0.3">
      <c r="A5" t="s">
        <v>3552</v>
      </c>
      <c r="B5" t="s">
        <v>5289</v>
      </c>
      <c r="C5" t="s">
        <v>5533</v>
      </c>
      <c r="D5" t="s">
        <v>189</v>
      </c>
    </row>
    <row r="6" spans="1:4" x14ac:dyDescent="0.3">
      <c r="A6" t="s">
        <v>2963</v>
      </c>
      <c r="B6" t="s">
        <v>5534</v>
      </c>
      <c r="C6" t="s">
        <v>5535</v>
      </c>
      <c r="D6" t="s">
        <v>5536</v>
      </c>
    </row>
    <row r="7" spans="1:4" x14ac:dyDescent="0.3">
      <c r="A7" t="s">
        <v>5537</v>
      </c>
      <c r="B7" t="s">
        <v>5538</v>
      </c>
      <c r="C7" t="s">
        <v>4164</v>
      </c>
      <c r="D7" t="s">
        <v>5539</v>
      </c>
    </row>
    <row r="8" spans="1:4" x14ac:dyDescent="0.3">
      <c r="A8" t="s">
        <v>5167</v>
      </c>
      <c r="B8" t="s">
        <v>5540</v>
      </c>
      <c r="C8" t="s">
        <v>5541</v>
      </c>
      <c r="D8" t="s">
        <v>381</v>
      </c>
    </row>
    <row r="9" spans="1:4" x14ac:dyDescent="0.3">
      <c r="A9" t="s">
        <v>5542</v>
      </c>
      <c r="B9" t="s">
        <v>5543</v>
      </c>
      <c r="C9" t="s">
        <v>4208</v>
      </c>
      <c r="D9" t="s">
        <v>1917</v>
      </c>
    </row>
    <row r="10" spans="1:4" x14ac:dyDescent="0.3">
      <c r="A10" t="s">
        <v>5544</v>
      </c>
      <c r="B10" t="s">
        <v>5545</v>
      </c>
      <c r="C10" t="s">
        <v>197</v>
      </c>
      <c r="D10" t="s">
        <v>197</v>
      </c>
    </row>
    <row r="12" spans="1:4" x14ac:dyDescent="0.3">
      <c r="A12" t="s">
        <v>5183</v>
      </c>
      <c r="B12" t="s">
        <v>5289</v>
      </c>
      <c r="C12" t="s">
        <v>5533</v>
      </c>
      <c r="D12" t="s">
        <v>204</v>
      </c>
    </row>
    <row r="13" spans="1:4" x14ac:dyDescent="0.3">
      <c r="A13" t="s">
        <v>2969</v>
      </c>
      <c r="B13" t="s">
        <v>5546</v>
      </c>
      <c r="C13" t="s">
        <v>4184</v>
      </c>
      <c r="D13" t="s">
        <v>5547</v>
      </c>
    </row>
    <row r="14" spans="1:4" x14ac:dyDescent="0.3">
      <c r="A14" t="s">
        <v>5185</v>
      </c>
      <c r="B14" t="s">
        <v>5548</v>
      </c>
      <c r="C14" t="s">
        <v>5549</v>
      </c>
      <c r="D14" t="s">
        <v>5550</v>
      </c>
    </row>
    <row r="15" spans="1:4" x14ac:dyDescent="0.3">
      <c r="A15" t="s">
        <v>56</v>
      </c>
      <c r="B15" t="s">
        <v>5551</v>
      </c>
      <c r="C15" t="s">
        <v>5552</v>
      </c>
      <c r="D15" t="s">
        <v>5553</v>
      </c>
    </row>
    <row r="16" spans="1:4" x14ac:dyDescent="0.3">
      <c r="A16" t="s">
        <v>2973</v>
      </c>
      <c r="B16" t="s">
        <v>5554</v>
      </c>
      <c r="C16" t="s">
        <v>5555</v>
      </c>
      <c r="D16" t="s">
        <v>5556</v>
      </c>
    </row>
    <row r="18" spans="1:4" x14ac:dyDescent="0.3">
      <c r="A18" t="s">
        <v>5557</v>
      </c>
      <c r="B18" t="s">
        <v>5558</v>
      </c>
      <c r="C18" t="s">
        <v>5559</v>
      </c>
      <c r="D18" t="s">
        <v>204</v>
      </c>
    </row>
    <row r="19" spans="1:4" x14ac:dyDescent="0.3">
      <c r="A19" t="s">
        <v>5560</v>
      </c>
      <c r="B19" t="s">
        <v>5561</v>
      </c>
      <c r="C19" t="s">
        <v>5562</v>
      </c>
      <c r="D19" t="s">
        <v>3134</v>
      </c>
    </row>
    <row r="20" spans="1:4" x14ac:dyDescent="0.3">
      <c r="A20" t="s">
        <v>5563</v>
      </c>
      <c r="B20" t="s">
        <v>5564</v>
      </c>
      <c r="C20" t="s">
        <v>5565</v>
      </c>
      <c r="D20" t="s">
        <v>3083</v>
      </c>
    </row>
    <row r="21" spans="1:4" x14ac:dyDescent="0.3">
      <c r="A21" t="s">
        <v>5566</v>
      </c>
      <c r="B21" t="s">
        <v>5567</v>
      </c>
      <c r="C21" t="s">
        <v>197</v>
      </c>
      <c r="D21" t="s">
        <v>197</v>
      </c>
    </row>
    <row r="22" spans="1:4" x14ac:dyDescent="0.3">
      <c r="A22" t="s">
        <v>5568</v>
      </c>
      <c r="B22" t="s">
        <v>5569</v>
      </c>
      <c r="C22" t="s">
        <v>197</v>
      </c>
      <c r="D22" t="s">
        <v>197</v>
      </c>
    </row>
    <row r="24" spans="1:4" x14ac:dyDescent="0.3">
      <c r="A24" t="s">
        <v>3318</v>
      </c>
      <c r="B24" t="s">
        <v>5289</v>
      </c>
      <c r="C24" t="s">
        <v>3864</v>
      </c>
      <c r="D24" t="s">
        <v>1646</v>
      </c>
    </row>
    <row r="25" spans="1:4" x14ac:dyDescent="0.3">
      <c r="A25" t="s">
        <v>5570</v>
      </c>
      <c r="B25" t="s">
        <v>5571</v>
      </c>
      <c r="C25" t="s">
        <v>197</v>
      </c>
      <c r="D25" t="s">
        <v>5572</v>
      </c>
    </row>
    <row r="26" spans="1:4" x14ac:dyDescent="0.3">
      <c r="A26" t="s">
        <v>5573</v>
      </c>
      <c r="B26" t="s">
        <v>5574</v>
      </c>
      <c r="C26" t="s">
        <v>197</v>
      </c>
      <c r="D26" t="s">
        <v>197</v>
      </c>
    </row>
    <row r="27" spans="1:4" x14ac:dyDescent="0.3">
      <c r="A27" t="s">
        <v>5219</v>
      </c>
      <c r="B27" t="s">
        <v>5575</v>
      </c>
      <c r="C27" t="s">
        <v>5576</v>
      </c>
      <c r="D27" t="s">
        <v>5577</v>
      </c>
    </row>
    <row r="29" spans="1:4" x14ac:dyDescent="0.3">
      <c r="A29" t="s">
        <v>2486</v>
      </c>
      <c r="B29" t="s">
        <v>5289</v>
      </c>
    </row>
    <row r="30" spans="1:4" x14ac:dyDescent="0.3">
      <c r="A30" t="s">
        <v>5578</v>
      </c>
      <c r="B30" t="s">
        <v>5579</v>
      </c>
    </row>
    <row r="32" spans="1:4" x14ac:dyDescent="0.3">
      <c r="A32" t="s">
        <v>3810</v>
      </c>
      <c r="B32" t="s">
        <v>5289</v>
      </c>
      <c r="C32" t="s">
        <v>5533</v>
      </c>
      <c r="D32" t="s">
        <v>189</v>
      </c>
    </row>
    <row r="33" spans="1:4" x14ac:dyDescent="0.3">
      <c r="A33" t="s">
        <v>5239</v>
      </c>
      <c r="B33" t="s">
        <v>3826</v>
      </c>
      <c r="C33" t="s">
        <v>5580</v>
      </c>
      <c r="D33" t="s">
        <v>2981</v>
      </c>
    </row>
    <row r="34" spans="1:4" x14ac:dyDescent="0.3">
      <c r="A34" t="s">
        <v>5581</v>
      </c>
      <c r="B34" t="s">
        <v>5582</v>
      </c>
      <c r="C34" t="s">
        <v>5583</v>
      </c>
      <c r="D34" t="s">
        <v>762</v>
      </c>
    </row>
    <row r="35" spans="1:4" x14ac:dyDescent="0.3">
      <c r="A35" t="s">
        <v>5584</v>
      </c>
      <c r="B35" t="s">
        <v>197</v>
      </c>
      <c r="C35" t="s">
        <v>197</v>
      </c>
      <c r="D35" t="s">
        <v>5585</v>
      </c>
    </row>
    <row r="37" spans="1:4" x14ac:dyDescent="0.3">
      <c r="A37" t="s">
        <v>5586</v>
      </c>
      <c r="B37" t="s">
        <v>238</v>
      </c>
      <c r="C37" t="s">
        <v>274</v>
      </c>
      <c r="D37" t="s">
        <v>1646</v>
      </c>
    </row>
    <row r="38" spans="1:4" x14ac:dyDescent="0.3">
      <c r="A38" t="s">
        <v>5587</v>
      </c>
      <c r="B38" t="s">
        <v>5588</v>
      </c>
      <c r="C38" t="s">
        <v>5289</v>
      </c>
      <c r="D38" t="s">
        <v>5589</v>
      </c>
    </row>
    <row r="39" spans="1:4" x14ac:dyDescent="0.3">
      <c r="A39" t="s">
        <v>5590</v>
      </c>
      <c r="B39" t="s">
        <v>1490</v>
      </c>
      <c r="C39" t="s">
        <v>5289</v>
      </c>
    </row>
    <row r="40" spans="1:4" x14ac:dyDescent="0.3">
      <c r="A40" t="s">
        <v>2617</v>
      </c>
      <c r="B40" t="s">
        <v>5591</v>
      </c>
      <c r="C40" t="s">
        <v>5289</v>
      </c>
    </row>
    <row r="41" spans="1:4" x14ac:dyDescent="0.3">
      <c r="A41" t="s">
        <v>5592</v>
      </c>
      <c r="B41" t="s">
        <v>5593</v>
      </c>
      <c r="C41" t="s">
        <v>5594</v>
      </c>
      <c r="D41" t="s">
        <v>5595</v>
      </c>
    </row>
    <row r="42" spans="1:4" x14ac:dyDescent="0.3">
      <c r="A42" t="s">
        <v>5596</v>
      </c>
      <c r="B42" t="s">
        <v>5597</v>
      </c>
      <c r="C42" t="s">
        <v>5289</v>
      </c>
    </row>
    <row r="43" spans="1:4" x14ac:dyDescent="0.3">
      <c r="A43" t="s">
        <v>5598</v>
      </c>
      <c r="B43" t="s">
        <v>5599</v>
      </c>
      <c r="C43" t="s">
        <v>5289</v>
      </c>
    </row>
    <row r="44" spans="1:4" x14ac:dyDescent="0.3">
      <c r="A44" t="s">
        <v>5600</v>
      </c>
      <c r="B44" t="s">
        <v>5601</v>
      </c>
      <c r="C44" t="s">
        <v>5289</v>
      </c>
    </row>
    <row r="45" spans="1:4" x14ac:dyDescent="0.3">
      <c r="A45" t="s">
        <v>5602</v>
      </c>
      <c r="B45" t="s">
        <v>5603</v>
      </c>
      <c r="C45" t="s">
        <v>5289</v>
      </c>
    </row>
    <row r="46" spans="1:4" x14ac:dyDescent="0.3">
      <c r="A46" t="s">
        <v>5604</v>
      </c>
      <c r="B46" t="s">
        <v>2871</v>
      </c>
      <c r="C46" t="s">
        <v>5289</v>
      </c>
      <c r="D46" t="s">
        <v>5605</v>
      </c>
    </row>
    <row r="48" spans="1:4" x14ac:dyDescent="0.3">
      <c r="A48" t="s">
        <v>273</v>
      </c>
      <c r="B48" t="s">
        <v>5283</v>
      </c>
      <c r="C48" t="s">
        <v>274</v>
      </c>
    </row>
    <row r="49" spans="1:4" x14ac:dyDescent="0.3">
      <c r="A49" t="s">
        <v>5606</v>
      </c>
      <c r="B49" t="s">
        <v>5607</v>
      </c>
      <c r="C49" t="s">
        <v>5471</v>
      </c>
    </row>
    <row r="50" spans="1:4" x14ac:dyDescent="0.3">
      <c r="A50" t="s">
        <v>5608</v>
      </c>
      <c r="B50" t="s">
        <v>5609</v>
      </c>
      <c r="C50" t="s">
        <v>5471</v>
      </c>
    </row>
    <row r="51" spans="1:4" x14ac:dyDescent="0.3">
      <c r="A51" t="s">
        <v>5610</v>
      </c>
      <c r="B51" t="s">
        <v>5611</v>
      </c>
      <c r="C51" t="s">
        <v>5471</v>
      </c>
    </row>
    <row r="52" spans="1:4" x14ac:dyDescent="0.3">
      <c r="A52" t="s">
        <v>5612</v>
      </c>
      <c r="B52" t="s">
        <v>5613</v>
      </c>
      <c r="C52" t="s">
        <v>197</v>
      </c>
    </row>
    <row r="54" spans="1:4" x14ac:dyDescent="0.3">
      <c r="A54" s="25" t="s">
        <v>281</v>
      </c>
      <c r="B54" s="25"/>
      <c r="C54" s="25"/>
      <c r="D54" s="25"/>
    </row>
    <row r="55" spans="1:4" x14ac:dyDescent="0.3">
      <c r="A55" t="s">
        <v>5614</v>
      </c>
    </row>
    <row r="56" spans="1:4" x14ac:dyDescent="0.3">
      <c r="A56" t="s">
        <v>5615</v>
      </c>
    </row>
    <row r="57" spans="1:4" x14ac:dyDescent="0.3">
      <c r="A57" t="s">
        <v>5616</v>
      </c>
    </row>
    <row r="58" spans="1:4" x14ac:dyDescent="0.3">
      <c r="A58" t="s">
        <v>5617</v>
      </c>
    </row>
    <row r="59" spans="1:4" x14ac:dyDescent="0.3">
      <c r="A59" t="s">
        <v>5618</v>
      </c>
    </row>
    <row r="60" spans="1:4" x14ac:dyDescent="0.3">
      <c r="A60" t="s">
        <v>5619</v>
      </c>
    </row>
    <row r="61" spans="1:4" x14ac:dyDescent="0.3">
      <c r="A61" t="s">
        <v>5620</v>
      </c>
    </row>
    <row r="62" spans="1:4" x14ac:dyDescent="0.3">
      <c r="A62" t="s">
        <v>5621</v>
      </c>
    </row>
    <row r="63" spans="1:4" x14ac:dyDescent="0.3">
      <c r="A63" t="s">
        <v>5622</v>
      </c>
    </row>
    <row r="64" spans="1:4" x14ac:dyDescent="0.3">
      <c r="A64" t="s">
        <v>5623</v>
      </c>
    </row>
    <row r="65" spans="1:4" x14ac:dyDescent="0.3">
      <c r="A65" t="s">
        <v>5624</v>
      </c>
    </row>
    <row r="66" spans="1:4" x14ac:dyDescent="0.3">
      <c r="A66" t="s">
        <v>5625</v>
      </c>
    </row>
    <row r="67" spans="1:4" x14ac:dyDescent="0.3">
      <c r="A67" t="s">
        <v>5626</v>
      </c>
    </row>
    <row r="68" spans="1:4" x14ac:dyDescent="0.3">
      <c r="A68" t="s">
        <v>5627</v>
      </c>
    </row>
    <row r="69" spans="1:4" x14ac:dyDescent="0.3">
      <c r="A69" t="s">
        <v>5628</v>
      </c>
    </row>
    <row r="71" spans="1:4" x14ac:dyDescent="0.3">
      <c r="A71" s="25" t="s">
        <v>295</v>
      </c>
      <c r="B71" s="25"/>
      <c r="C71" s="25"/>
      <c r="D71" s="25"/>
    </row>
    <row r="72" spans="1:4" x14ac:dyDescent="0.3">
      <c r="A72" t="s">
        <v>296</v>
      </c>
      <c r="B72" t="s">
        <v>5629</v>
      </c>
      <c r="C72" t="s">
        <v>4673</v>
      </c>
    </row>
    <row r="73" spans="1:4" x14ac:dyDescent="0.3">
      <c r="A73" t="s">
        <v>299</v>
      </c>
      <c r="B73" t="s">
        <v>5630</v>
      </c>
    </row>
    <row r="74" spans="1:4" x14ac:dyDescent="0.3">
      <c r="A74" t="s">
        <v>301</v>
      </c>
      <c r="B74" t="s">
        <v>5631</v>
      </c>
    </row>
    <row r="75" spans="1:4" x14ac:dyDescent="0.3">
      <c r="A75" t="s">
        <v>303</v>
      </c>
      <c r="B75" t="s">
        <v>5632</v>
      </c>
      <c r="C75" t="s">
        <v>4883</v>
      </c>
    </row>
    <row r="76" spans="1:4" x14ac:dyDescent="0.3">
      <c r="A76" t="s">
        <v>299</v>
      </c>
      <c r="B76" t="s">
        <v>5633</v>
      </c>
    </row>
    <row r="77" spans="1:4" x14ac:dyDescent="0.3">
      <c r="A77" t="s">
        <v>301</v>
      </c>
      <c r="B77" t="s">
        <v>5634</v>
      </c>
    </row>
    <row r="78" spans="1:4" x14ac:dyDescent="0.3">
      <c r="A78" t="s">
        <v>307</v>
      </c>
      <c r="B78" t="s">
        <v>5635</v>
      </c>
      <c r="C78" t="s">
        <v>3386</v>
      </c>
    </row>
    <row r="79" spans="1:4" x14ac:dyDescent="0.3">
      <c r="A79" t="s">
        <v>299</v>
      </c>
      <c r="B79" t="s">
        <v>5636</v>
      </c>
    </row>
    <row r="80" spans="1:4" x14ac:dyDescent="0.3">
      <c r="A80" t="s">
        <v>301</v>
      </c>
      <c r="B80" t="s">
        <v>5637</v>
      </c>
    </row>
    <row r="81" spans="1:3" x14ac:dyDescent="0.3">
      <c r="A81" t="s">
        <v>311</v>
      </c>
      <c r="B81" t="s">
        <v>5638</v>
      </c>
      <c r="C81" t="s">
        <v>3386</v>
      </c>
    </row>
    <row r="82" spans="1:3" x14ac:dyDescent="0.3">
      <c r="A82" t="s">
        <v>299</v>
      </c>
      <c r="B82" t="s">
        <v>5639</v>
      </c>
    </row>
    <row r="83" spans="1:3" x14ac:dyDescent="0.3">
      <c r="A83" t="s">
        <v>301</v>
      </c>
      <c r="B83" t="s">
        <v>5640</v>
      </c>
    </row>
    <row r="84" spans="1:3" x14ac:dyDescent="0.3">
      <c r="A84" t="s">
        <v>316</v>
      </c>
      <c r="B84" t="s">
        <v>5641</v>
      </c>
      <c r="C84" t="s">
        <v>3397</v>
      </c>
    </row>
    <row r="85" spans="1:3" x14ac:dyDescent="0.3">
      <c r="A85" t="s">
        <v>299</v>
      </c>
      <c r="B85" t="s">
        <v>5642</v>
      </c>
    </row>
    <row r="86" spans="1:3" x14ac:dyDescent="0.3">
      <c r="A86" t="s">
        <v>301</v>
      </c>
      <c r="B86" t="s">
        <v>5643</v>
      </c>
    </row>
    <row r="87" spans="1:3" x14ac:dyDescent="0.3">
      <c r="A87" t="s">
        <v>320</v>
      </c>
      <c r="B87" t="s">
        <v>5644</v>
      </c>
      <c r="C87" t="s">
        <v>3397</v>
      </c>
    </row>
    <row r="88" spans="1:3" x14ac:dyDescent="0.3">
      <c r="A88" t="s">
        <v>299</v>
      </c>
      <c r="B88" t="s">
        <v>5645</v>
      </c>
    </row>
    <row r="89" spans="1:3" x14ac:dyDescent="0.3">
      <c r="A89" t="s">
        <v>301</v>
      </c>
      <c r="B89" t="s">
        <v>5646</v>
      </c>
    </row>
    <row r="90" spans="1:3" x14ac:dyDescent="0.3">
      <c r="A90" t="s">
        <v>324</v>
      </c>
      <c r="B90" t="s">
        <v>5647</v>
      </c>
      <c r="C90" t="s">
        <v>5648</v>
      </c>
    </row>
    <row r="91" spans="1:3" x14ac:dyDescent="0.3">
      <c r="A91" t="s">
        <v>299</v>
      </c>
      <c r="B91" t="s">
        <v>5649</v>
      </c>
    </row>
    <row r="92" spans="1:3" x14ac:dyDescent="0.3">
      <c r="A92" t="s">
        <v>301</v>
      </c>
      <c r="B92" t="s">
        <v>5650</v>
      </c>
    </row>
    <row r="93" spans="1:3" x14ac:dyDescent="0.3">
      <c r="A93" t="s">
        <v>328</v>
      </c>
      <c r="B93" t="s">
        <v>5651</v>
      </c>
      <c r="C93" t="s">
        <v>5652</v>
      </c>
    </row>
    <row r="94" spans="1:3" x14ac:dyDescent="0.3">
      <c r="A94" t="s">
        <v>299</v>
      </c>
      <c r="B94" t="s">
        <v>5653</v>
      </c>
    </row>
    <row r="95" spans="1:3" x14ac:dyDescent="0.3">
      <c r="A95" t="s">
        <v>301</v>
      </c>
      <c r="B95" t="s">
        <v>5654</v>
      </c>
    </row>
    <row r="96" spans="1:3" x14ac:dyDescent="0.3">
      <c r="A96" t="s">
        <v>333</v>
      </c>
      <c r="B96" t="s">
        <v>5655</v>
      </c>
      <c r="C96" t="s">
        <v>4669</v>
      </c>
    </row>
    <row r="97" spans="1:2" x14ac:dyDescent="0.3">
      <c r="A97" t="s">
        <v>299</v>
      </c>
      <c r="B97" t="s">
        <v>5656</v>
      </c>
    </row>
    <row r="98" spans="1:2" x14ac:dyDescent="0.3">
      <c r="A98" t="s">
        <v>301</v>
      </c>
      <c r="B98" t="s">
        <v>5657</v>
      </c>
    </row>
  </sheetData>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C105"/>
  <sheetViews>
    <sheetView workbookViewId="0"/>
  </sheetViews>
  <sheetFormatPr defaultRowHeight="14.4" x14ac:dyDescent="0.3"/>
  <cols>
    <col min="1" max="1" width="46" customWidth="1"/>
    <col min="2" max="8" width="15" customWidth="1"/>
  </cols>
  <sheetData>
    <row r="1" spans="1:3" x14ac:dyDescent="0.3">
      <c r="A1" s="24" t="s">
        <v>181</v>
      </c>
      <c r="B1" t="s">
        <v>5658</v>
      </c>
    </row>
    <row r="2" spans="1:3" x14ac:dyDescent="0.3">
      <c r="A2" s="24" t="s">
        <v>183</v>
      </c>
      <c r="B2" t="s">
        <v>5659</v>
      </c>
    </row>
    <row r="4" spans="1:3" x14ac:dyDescent="0.3">
      <c r="A4" s="25" t="s">
        <v>185</v>
      </c>
      <c r="B4" s="25"/>
      <c r="C4" s="25"/>
    </row>
    <row r="5" spans="1:3" x14ac:dyDescent="0.3">
      <c r="A5" t="s">
        <v>5660</v>
      </c>
      <c r="B5" t="s">
        <v>238</v>
      </c>
      <c r="C5" t="s">
        <v>274</v>
      </c>
    </row>
    <row r="6" spans="1:3" x14ac:dyDescent="0.3">
      <c r="A6" t="s">
        <v>5661</v>
      </c>
      <c r="B6" t="s">
        <v>5662</v>
      </c>
      <c r="C6" t="s">
        <v>4508</v>
      </c>
    </row>
    <row r="7" spans="1:3" x14ac:dyDescent="0.3">
      <c r="A7" t="s">
        <v>5663</v>
      </c>
      <c r="B7" t="s">
        <v>1213</v>
      </c>
      <c r="C7" t="s">
        <v>4508</v>
      </c>
    </row>
    <row r="8" spans="1:3" x14ac:dyDescent="0.3">
      <c r="A8" t="s">
        <v>5664</v>
      </c>
      <c r="B8" t="s">
        <v>5665</v>
      </c>
      <c r="C8" t="s">
        <v>4508</v>
      </c>
    </row>
    <row r="9" spans="1:3" x14ac:dyDescent="0.3">
      <c r="A9" t="s">
        <v>5666</v>
      </c>
      <c r="B9" t="s">
        <v>5667</v>
      </c>
      <c r="C9" t="s">
        <v>4508</v>
      </c>
    </row>
    <row r="10" spans="1:3" x14ac:dyDescent="0.3">
      <c r="A10" t="s">
        <v>5668</v>
      </c>
      <c r="B10" t="s">
        <v>5669</v>
      </c>
      <c r="C10" t="s">
        <v>4508</v>
      </c>
    </row>
    <row r="11" spans="1:3" x14ac:dyDescent="0.3">
      <c r="A11" t="s">
        <v>5670</v>
      </c>
      <c r="B11" t="s">
        <v>5671</v>
      </c>
      <c r="C11" t="s">
        <v>5672</v>
      </c>
    </row>
    <row r="13" spans="1:3" x14ac:dyDescent="0.3">
      <c r="A13" t="s">
        <v>3438</v>
      </c>
      <c r="B13" t="s">
        <v>238</v>
      </c>
      <c r="C13" t="s">
        <v>274</v>
      </c>
    </row>
    <row r="14" spans="1:3" x14ac:dyDescent="0.3">
      <c r="A14" t="s">
        <v>5673</v>
      </c>
      <c r="B14" t="s">
        <v>5674</v>
      </c>
      <c r="C14" t="s">
        <v>4508</v>
      </c>
    </row>
    <row r="15" spans="1:3" x14ac:dyDescent="0.3">
      <c r="A15" t="s">
        <v>5675</v>
      </c>
      <c r="B15" t="s">
        <v>5676</v>
      </c>
      <c r="C15" t="s">
        <v>4508</v>
      </c>
    </row>
    <row r="16" spans="1:3" x14ac:dyDescent="0.3">
      <c r="A16" t="s">
        <v>5677</v>
      </c>
      <c r="B16" t="s">
        <v>5678</v>
      </c>
      <c r="C16" t="s">
        <v>4508</v>
      </c>
    </row>
    <row r="17" spans="1:3" x14ac:dyDescent="0.3">
      <c r="A17" t="s">
        <v>5679</v>
      </c>
      <c r="B17" t="s">
        <v>5680</v>
      </c>
      <c r="C17" t="s">
        <v>4508</v>
      </c>
    </row>
    <row r="18" spans="1:3" x14ac:dyDescent="0.3">
      <c r="A18" t="s">
        <v>5681</v>
      </c>
      <c r="B18" t="s">
        <v>5682</v>
      </c>
      <c r="C18" t="s">
        <v>4508</v>
      </c>
    </row>
    <row r="19" spans="1:3" x14ac:dyDescent="0.3">
      <c r="A19" t="s">
        <v>5683</v>
      </c>
      <c r="B19" t="s">
        <v>5684</v>
      </c>
      <c r="C19" t="s">
        <v>4508</v>
      </c>
    </row>
    <row r="20" spans="1:3" x14ac:dyDescent="0.3">
      <c r="A20" t="s">
        <v>5685</v>
      </c>
      <c r="B20" t="s">
        <v>5686</v>
      </c>
      <c r="C20" t="s">
        <v>4508</v>
      </c>
    </row>
    <row r="21" spans="1:3" x14ac:dyDescent="0.3">
      <c r="A21" t="s">
        <v>5687</v>
      </c>
      <c r="B21" t="s">
        <v>381</v>
      </c>
      <c r="C21" t="s">
        <v>4508</v>
      </c>
    </row>
    <row r="23" spans="1:3" x14ac:dyDescent="0.3">
      <c r="A23" t="s">
        <v>5465</v>
      </c>
      <c r="B23" t="s">
        <v>238</v>
      </c>
      <c r="C23" t="s">
        <v>274</v>
      </c>
    </row>
    <row r="24" spans="1:3" x14ac:dyDescent="0.3">
      <c r="A24" t="s">
        <v>5688</v>
      </c>
      <c r="B24" t="s">
        <v>5689</v>
      </c>
      <c r="C24" t="s">
        <v>5690</v>
      </c>
    </row>
    <row r="25" spans="1:3" x14ac:dyDescent="0.3">
      <c r="A25" t="s">
        <v>5691</v>
      </c>
      <c r="B25" t="s">
        <v>5692</v>
      </c>
      <c r="C25" t="s">
        <v>36</v>
      </c>
    </row>
    <row r="26" spans="1:3" x14ac:dyDescent="0.3">
      <c r="A26" t="s">
        <v>5216</v>
      </c>
      <c r="B26" t="s">
        <v>5693</v>
      </c>
      <c r="C26" t="s">
        <v>4508</v>
      </c>
    </row>
    <row r="28" spans="1:3" x14ac:dyDescent="0.3">
      <c r="A28" t="s">
        <v>273</v>
      </c>
      <c r="B28" t="s">
        <v>5283</v>
      </c>
      <c r="C28" t="s">
        <v>274</v>
      </c>
    </row>
    <row r="29" spans="1:3" x14ac:dyDescent="0.3">
      <c r="A29" t="s">
        <v>5694</v>
      </c>
      <c r="B29" t="s">
        <v>5695</v>
      </c>
      <c r="C29" t="s">
        <v>5471</v>
      </c>
    </row>
    <row r="30" spans="1:3" x14ac:dyDescent="0.3">
      <c r="A30" t="s">
        <v>5691</v>
      </c>
      <c r="B30" t="s">
        <v>5696</v>
      </c>
      <c r="C30" t="s">
        <v>36</v>
      </c>
    </row>
    <row r="31" spans="1:3" x14ac:dyDescent="0.3">
      <c r="A31" t="s">
        <v>5697</v>
      </c>
      <c r="B31" t="s">
        <v>5698</v>
      </c>
      <c r="C31" t="s">
        <v>42</v>
      </c>
    </row>
    <row r="32" spans="1:3" x14ac:dyDescent="0.3">
      <c r="A32" t="s">
        <v>5699</v>
      </c>
      <c r="B32" t="s">
        <v>5700</v>
      </c>
      <c r="C32" t="s">
        <v>42</v>
      </c>
    </row>
    <row r="34" spans="1:3" x14ac:dyDescent="0.3">
      <c r="A34" s="25" t="s">
        <v>281</v>
      </c>
      <c r="B34" s="25"/>
      <c r="C34" s="25"/>
    </row>
    <row r="35" spans="1:3" x14ac:dyDescent="0.3">
      <c r="A35" t="s">
        <v>5701</v>
      </c>
    </row>
    <row r="36" spans="1:3" x14ac:dyDescent="0.3">
      <c r="A36" t="s">
        <v>5702</v>
      </c>
    </row>
    <row r="37" spans="1:3" x14ac:dyDescent="0.3">
      <c r="A37" t="s">
        <v>5703</v>
      </c>
    </row>
    <row r="38" spans="1:3" x14ac:dyDescent="0.3">
      <c r="A38" t="s">
        <v>5704</v>
      </c>
    </row>
    <row r="39" spans="1:3" x14ac:dyDescent="0.3">
      <c r="A39" t="s">
        <v>5705</v>
      </c>
    </row>
    <row r="40" spans="1:3" x14ac:dyDescent="0.3">
      <c r="A40" t="s">
        <v>5706</v>
      </c>
    </row>
    <row r="41" spans="1:3" x14ac:dyDescent="0.3">
      <c r="A41" t="s">
        <v>5707</v>
      </c>
    </row>
    <row r="42" spans="1:3" x14ac:dyDescent="0.3">
      <c r="A42" t="s">
        <v>5708</v>
      </c>
    </row>
    <row r="43" spans="1:3" x14ac:dyDescent="0.3">
      <c r="A43" t="s">
        <v>5709</v>
      </c>
    </row>
    <row r="44" spans="1:3" x14ac:dyDescent="0.3">
      <c r="A44" t="s">
        <v>5710</v>
      </c>
    </row>
    <row r="45" spans="1:3" x14ac:dyDescent="0.3">
      <c r="A45" t="s">
        <v>5711</v>
      </c>
    </row>
    <row r="46" spans="1:3" x14ac:dyDescent="0.3">
      <c r="A46" t="s">
        <v>5712</v>
      </c>
    </row>
    <row r="47" spans="1:3" x14ac:dyDescent="0.3">
      <c r="A47" t="s">
        <v>5713</v>
      </c>
    </row>
    <row r="48" spans="1:3" x14ac:dyDescent="0.3">
      <c r="A48" t="s">
        <v>5714</v>
      </c>
    </row>
    <row r="49" spans="1:3" x14ac:dyDescent="0.3">
      <c r="A49" t="s">
        <v>5715</v>
      </c>
    </row>
    <row r="51" spans="1:3" x14ac:dyDescent="0.3">
      <c r="A51" s="25" t="s">
        <v>295</v>
      </c>
      <c r="B51" s="25"/>
      <c r="C51" s="25"/>
    </row>
    <row r="52" spans="1:3" x14ac:dyDescent="0.3">
      <c r="A52" t="s">
        <v>296</v>
      </c>
      <c r="B52" t="s">
        <v>5716</v>
      </c>
      <c r="C52" t="s">
        <v>4669</v>
      </c>
    </row>
    <row r="53" spans="1:3" x14ac:dyDescent="0.3">
      <c r="A53" t="s">
        <v>299</v>
      </c>
      <c r="B53" t="s">
        <v>5717</v>
      </c>
    </row>
    <row r="54" spans="1:3" x14ac:dyDescent="0.3">
      <c r="A54" t="s">
        <v>301</v>
      </c>
      <c r="B54" t="s">
        <v>5718</v>
      </c>
    </row>
    <row r="55" spans="1:3" x14ac:dyDescent="0.3">
      <c r="A55" t="s">
        <v>303</v>
      </c>
      <c r="B55" t="s">
        <v>5719</v>
      </c>
      <c r="C55" t="s">
        <v>4669</v>
      </c>
    </row>
    <row r="56" spans="1:3" x14ac:dyDescent="0.3">
      <c r="A56" t="s">
        <v>299</v>
      </c>
      <c r="B56" t="s">
        <v>5720</v>
      </c>
    </row>
    <row r="57" spans="1:3" x14ac:dyDescent="0.3">
      <c r="A57" t="s">
        <v>301</v>
      </c>
      <c r="B57" t="s">
        <v>5721</v>
      </c>
    </row>
    <row r="58" spans="1:3" x14ac:dyDescent="0.3">
      <c r="A58" t="s">
        <v>307</v>
      </c>
      <c r="B58" t="s">
        <v>5722</v>
      </c>
      <c r="C58" t="s">
        <v>4669</v>
      </c>
    </row>
    <row r="59" spans="1:3" x14ac:dyDescent="0.3">
      <c r="A59" t="s">
        <v>299</v>
      </c>
      <c r="B59" t="s">
        <v>5723</v>
      </c>
    </row>
    <row r="60" spans="1:3" x14ac:dyDescent="0.3">
      <c r="A60" t="s">
        <v>301</v>
      </c>
      <c r="B60" t="s">
        <v>5724</v>
      </c>
    </row>
    <row r="61" spans="1:3" x14ac:dyDescent="0.3">
      <c r="A61" t="s">
        <v>311</v>
      </c>
      <c r="B61" t="s">
        <v>5725</v>
      </c>
      <c r="C61" t="s">
        <v>4669</v>
      </c>
    </row>
    <row r="62" spans="1:3" x14ac:dyDescent="0.3">
      <c r="A62" t="s">
        <v>299</v>
      </c>
      <c r="B62" t="s">
        <v>5726</v>
      </c>
    </row>
    <row r="63" spans="1:3" x14ac:dyDescent="0.3">
      <c r="A63" t="s">
        <v>301</v>
      </c>
      <c r="B63" t="s">
        <v>5727</v>
      </c>
    </row>
    <row r="64" spans="1:3" x14ac:dyDescent="0.3">
      <c r="A64" t="s">
        <v>316</v>
      </c>
      <c r="B64" t="s">
        <v>5728</v>
      </c>
      <c r="C64" t="s">
        <v>4669</v>
      </c>
    </row>
    <row r="65" spans="1:3" x14ac:dyDescent="0.3">
      <c r="A65" t="s">
        <v>299</v>
      </c>
      <c r="B65" t="s">
        <v>5729</v>
      </c>
    </row>
    <row r="66" spans="1:3" x14ac:dyDescent="0.3">
      <c r="A66" t="s">
        <v>301</v>
      </c>
      <c r="B66" t="s">
        <v>5730</v>
      </c>
    </row>
    <row r="67" spans="1:3" x14ac:dyDescent="0.3">
      <c r="A67" t="s">
        <v>320</v>
      </c>
      <c r="B67" t="s">
        <v>5731</v>
      </c>
      <c r="C67" t="s">
        <v>4669</v>
      </c>
    </row>
    <row r="68" spans="1:3" x14ac:dyDescent="0.3">
      <c r="A68" t="s">
        <v>299</v>
      </c>
      <c r="B68" t="s">
        <v>5732</v>
      </c>
    </row>
    <row r="69" spans="1:3" x14ac:dyDescent="0.3">
      <c r="A69" t="s">
        <v>301</v>
      </c>
      <c r="B69" t="s">
        <v>5733</v>
      </c>
    </row>
    <row r="70" spans="1:3" x14ac:dyDescent="0.3">
      <c r="A70" t="s">
        <v>324</v>
      </c>
      <c r="B70" t="s">
        <v>5734</v>
      </c>
      <c r="C70" t="s">
        <v>4669</v>
      </c>
    </row>
    <row r="71" spans="1:3" x14ac:dyDescent="0.3">
      <c r="A71" t="s">
        <v>299</v>
      </c>
      <c r="B71" t="s">
        <v>5735</v>
      </c>
    </row>
    <row r="72" spans="1:3" x14ac:dyDescent="0.3">
      <c r="A72" t="s">
        <v>301</v>
      </c>
      <c r="B72" t="s">
        <v>5736</v>
      </c>
    </row>
    <row r="73" spans="1:3" x14ac:dyDescent="0.3">
      <c r="A73" t="s">
        <v>328</v>
      </c>
      <c r="B73" t="s">
        <v>5737</v>
      </c>
      <c r="C73" t="s">
        <v>4669</v>
      </c>
    </row>
    <row r="74" spans="1:3" x14ac:dyDescent="0.3">
      <c r="A74" t="s">
        <v>299</v>
      </c>
      <c r="B74" t="s">
        <v>5738</v>
      </c>
    </row>
    <row r="75" spans="1:3" x14ac:dyDescent="0.3">
      <c r="A75" t="s">
        <v>301</v>
      </c>
      <c r="B75" t="s">
        <v>5739</v>
      </c>
    </row>
    <row r="76" spans="1:3" x14ac:dyDescent="0.3">
      <c r="A76" t="s">
        <v>333</v>
      </c>
      <c r="B76" t="s">
        <v>5740</v>
      </c>
      <c r="C76" t="s">
        <v>4669</v>
      </c>
    </row>
    <row r="77" spans="1:3" x14ac:dyDescent="0.3">
      <c r="A77" t="s">
        <v>299</v>
      </c>
      <c r="B77" t="s">
        <v>5741</v>
      </c>
    </row>
    <row r="78" spans="1:3" x14ac:dyDescent="0.3">
      <c r="A78" t="s">
        <v>301</v>
      </c>
      <c r="B78" t="s">
        <v>5742</v>
      </c>
    </row>
    <row r="79" spans="1:3" x14ac:dyDescent="0.3">
      <c r="A79" t="s">
        <v>337</v>
      </c>
      <c r="B79" t="s">
        <v>5743</v>
      </c>
      <c r="C79" t="s">
        <v>4669</v>
      </c>
    </row>
    <row r="80" spans="1:3" x14ac:dyDescent="0.3">
      <c r="A80" t="s">
        <v>299</v>
      </c>
      <c r="B80" t="s">
        <v>5744</v>
      </c>
    </row>
    <row r="81" spans="1:3" x14ac:dyDescent="0.3">
      <c r="A81" t="s">
        <v>301</v>
      </c>
      <c r="B81" t="s">
        <v>5745</v>
      </c>
    </row>
    <row r="82" spans="1:3" x14ac:dyDescent="0.3">
      <c r="A82" t="s">
        <v>341</v>
      </c>
      <c r="B82" t="s">
        <v>5746</v>
      </c>
      <c r="C82" t="s">
        <v>4669</v>
      </c>
    </row>
    <row r="83" spans="1:3" x14ac:dyDescent="0.3">
      <c r="A83" t="s">
        <v>299</v>
      </c>
      <c r="B83" t="s">
        <v>5747</v>
      </c>
    </row>
    <row r="84" spans="1:3" x14ac:dyDescent="0.3">
      <c r="A84" t="s">
        <v>301</v>
      </c>
      <c r="B84" t="s">
        <v>5748</v>
      </c>
    </row>
    <row r="85" spans="1:3" x14ac:dyDescent="0.3">
      <c r="A85" t="s">
        <v>346</v>
      </c>
      <c r="B85" t="s">
        <v>5749</v>
      </c>
      <c r="C85" t="s">
        <v>4669</v>
      </c>
    </row>
    <row r="86" spans="1:3" x14ac:dyDescent="0.3">
      <c r="A86" t="s">
        <v>299</v>
      </c>
      <c r="B86" t="s">
        <v>5750</v>
      </c>
    </row>
    <row r="87" spans="1:3" x14ac:dyDescent="0.3">
      <c r="A87" t="s">
        <v>301</v>
      </c>
      <c r="B87" t="s">
        <v>5751</v>
      </c>
    </row>
    <row r="88" spans="1:3" x14ac:dyDescent="0.3">
      <c r="A88" t="s">
        <v>1453</v>
      </c>
      <c r="B88" t="s">
        <v>5752</v>
      </c>
      <c r="C88" t="s">
        <v>4669</v>
      </c>
    </row>
    <row r="89" spans="1:3" x14ac:dyDescent="0.3">
      <c r="A89" t="s">
        <v>299</v>
      </c>
      <c r="B89" t="s">
        <v>5753</v>
      </c>
    </row>
    <row r="90" spans="1:3" x14ac:dyDescent="0.3">
      <c r="A90" t="s">
        <v>301</v>
      </c>
      <c r="B90" t="s">
        <v>5754</v>
      </c>
    </row>
    <row r="91" spans="1:3" x14ac:dyDescent="0.3">
      <c r="A91" t="s">
        <v>1457</v>
      </c>
      <c r="B91" t="s">
        <v>5755</v>
      </c>
      <c r="C91" t="s">
        <v>4669</v>
      </c>
    </row>
    <row r="92" spans="1:3" x14ac:dyDescent="0.3">
      <c r="A92" t="s">
        <v>299</v>
      </c>
      <c r="B92" t="s">
        <v>5756</v>
      </c>
    </row>
    <row r="93" spans="1:3" x14ac:dyDescent="0.3">
      <c r="A93" t="s">
        <v>301</v>
      </c>
      <c r="B93" t="s">
        <v>5757</v>
      </c>
    </row>
    <row r="94" spans="1:3" x14ac:dyDescent="0.3">
      <c r="A94" t="s">
        <v>1461</v>
      </c>
      <c r="B94" t="s">
        <v>5758</v>
      </c>
      <c r="C94" t="s">
        <v>4669</v>
      </c>
    </row>
    <row r="95" spans="1:3" x14ac:dyDescent="0.3">
      <c r="A95" t="s">
        <v>299</v>
      </c>
      <c r="B95" t="s">
        <v>5759</v>
      </c>
    </row>
    <row r="96" spans="1:3" x14ac:dyDescent="0.3">
      <c r="A96" t="s">
        <v>301</v>
      </c>
      <c r="B96" t="s">
        <v>5760</v>
      </c>
    </row>
    <row r="97" spans="1:3" x14ac:dyDescent="0.3">
      <c r="A97" t="s">
        <v>1465</v>
      </c>
      <c r="B97" t="s">
        <v>5761</v>
      </c>
      <c r="C97" t="s">
        <v>4669</v>
      </c>
    </row>
    <row r="98" spans="1:3" x14ac:dyDescent="0.3">
      <c r="A98" t="s">
        <v>299</v>
      </c>
      <c r="B98" t="s">
        <v>5762</v>
      </c>
    </row>
    <row r="99" spans="1:3" x14ac:dyDescent="0.3">
      <c r="A99" t="s">
        <v>301</v>
      </c>
      <c r="B99" t="s">
        <v>5763</v>
      </c>
    </row>
    <row r="100" spans="1:3" x14ac:dyDescent="0.3">
      <c r="A100" t="s">
        <v>1469</v>
      </c>
      <c r="B100" t="s">
        <v>5764</v>
      </c>
      <c r="C100" t="s">
        <v>4669</v>
      </c>
    </row>
    <row r="101" spans="1:3" x14ac:dyDescent="0.3">
      <c r="A101" t="s">
        <v>299</v>
      </c>
      <c r="B101" t="s">
        <v>5765</v>
      </c>
    </row>
    <row r="102" spans="1:3" x14ac:dyDescent="0.3">
      <c r="A102" t="s">
        <v>301</v>
      </c>
      <c r="B102" t="s">
        <v>5766</v>
      </c>
    </row>
    <row r="103" spans="1:3" x14ac:dyDescent="0.3">
      <c r="A103" t="s">
        <v>1473</v>
      </c>
      <c r="B103" t="s">
        <v>5767</v>
      </c>
      <c r="C103" t="s">
        <v>4669</v>
      </c>
    </row>
    <row r="104" spans="1:3" x14ac:dyDescent="0.3">
      <c r="A104" t="s">
        <v>299</v>
      </c>
      <c r="B104" t="s">
        <v>5768</v>
      </c>
    </row>
    <row r="105" spans="1:3" x14ac:dyDescent="0.3">
      <c r="A105" t="s">
        <v>301</v>
      </c>
      <c r="B105" t="s">
        <v>5769</v>
      </c>
    </row>
  </sheetData>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D124"/>
  <sheetViews>
    <sheetView workbookViewId="0"/>
  </sheetViews>
  <sheetFormatPr defaultRowHeight="14.4" x14ac:dyDescent="0.3"/>
  <cols>
    <col min="1" max="1" width="46" customWidth="1"/>
    <col min="2" max="8" width="15" customWidth="1"/>
  </cols>
  <sheetData>
    <row r="1" spans="1:4" x14ac:dyDescent="0.3">
      <c r="A1" s="24" t="s">
        <v>181</v>
      </c>
      <c r="B1" t="s">
        <v>5770</v>
      </c>
    </row>
    <row r="2" spans="1:4" x14ac:dyDescent="0.3">
      <c r="A2" s="24" t="s">
        <v>183</v>
      </c>
      <c r="B2" t="s">
        <v>5771</v>
      </c>
    </row>
    <row r="4" spans="1:4" x14ac:dyDescent="0.3">
      <c r="A4" s="25" t="s">
        <v>185</v>
      </c>
      <c r="B4" s="25"/>
      <c r="C4" s="25"/>
      <c r="D4" s="25"/>
    </row>
    <row r="5" spans="1:4" x14ac:dyDescent="0.3">
      <c r="A5" t="s">
        <v>5772</v>
      </c>
      <c r="B5" t="s">
        <v>36</v>
      </c>
      <c r="C5" t="s">
        <v>33</v>
      </c>
      <c r="D5" t="s">
        <v>189</v>
      </c>
    </row>
    <row r="6" spans="1:4" x14ac:dyDescent="0.3">
      <c r="A6" t="s">
        <v>3552</v>
      </c>
      <c r="B6" t="s">
        <v>5773</v>
      </c>
      <c r="C6" t="s">
        <v>5774</v>
      </c>
      <c r="D6" t="s">
        <v>1488</v>
      </c>
    </row>
    <row r="7" spans="1:4" x14ac:dyDescent="0.3">
      <c r="A7" t="s">
        <v>51</v>
      </c>
      <c r="B7" t="s">
        <v>5775</v>
      </c>
      <c r="C7" t="s">
        <v>5776</v>
      </c>
      <c r="D7" t="s">
        <v>198</v>
      </c>
    </row>
    <row r="8" spans="1:4" x14ac:dyDescent="0.3">
      <c r="A8" t="s">
        <v>1011</v>
      </c>
      <c r="B8" t="s">
        <v>5564</v>
      </c>
      <c r="C8" t="s">
        <v>5777</v>
      </c>
      <c r="D8" t="s">
        <v>5778</v>
      </c>
    </row>
    <row r="9" spans="1:4" x14ac:dyDescent="0.3">
      <c r="A9" t="s">
        <v>55</v>
      </c>
      <c r="B9" t="s">
        <v>5779</v>
      </c>
      <c r="C9" t="s">
        <v>5780</v>
      </c>
      <c r="D9" t="s">
        <v>524</v>
      </c>
    </row>
    <row r="10" spans="1:4" x14ac:dyDescent="0.3">
      <c r="A10" t="s">
        <v>73</v>
      </c>
      <c r="B10" t="s">
        <v>5781</v>
      </c>
      <c r="C10" t="s">
        <v>1034</v>
      </c>
      <c r="D10" t="s">
        <v>1034</v>
      </c>
    </row>
    <row r="11" spans="1:4" x14ac:dyDescent="0.3">
      <c r="A11" t="s">
        <v>153</v>
      </c>
      <c r="B11" t="s">
        <v>1627</v>
      </c>
      <c r="C11" t="s">
        <v>197</v>
      </c>
      <c r="D11" t="s">
        <v>197</v>
      </c>
    </row>
    <row r="12" spans="1:4" x14ac:dyDescent="0.3">
      <c r="A12" t="s">
        <v>179</v>
      </c>
      <c r="B12" t="s">
        <v>1627</v>
      </c>
      <c r="C12" t="s">
        <v>197</v>
      </c>
      <c r="D12" t="s">
        <v>5782</v>
      </c>
    </row>
    <row r="14" spans="1:4" x14ac:dyDescent="0.3">
      <c r="A14" t="s">
        <v>5783</v>
      </c>
      <c r="B14" t="s">
        <v>36</v>
      </c>
      <c r="C14" t="s">
        <v>33</v>
      </c>
      <c r="D14" t="s">
        <v>248</v>
      </c>
    </row>
    <row r="15" spans="1:4" x14ac:dyDescent="0.3">
      <c r="A15" t="s">
        <v>3853</v>
      </c>
      <c r="B15" t="s">
        <v>5784</v>
      </c>
      <c r="C15" t="s">
        <v>507</v>
      </c>
      <c r="D15" t="s">
        <v>5785</v>
      </c>
    </row>
    <row r="16" spans="1:4" x14ac:dyDescent="0.3">
      <c r="A16" t="s">
        <v>3861</v>
      </c>
      <c r="B16" t="s">
        <v>5786</v>
      </c>
      <c r="C16" t="s">
        <v>5787</v>
      </c>
      <c r="D16" t="s">
        <v>5788</v>
      </c>
    </row>
    <row r="18" spans="1:4" x14ac:dyDescent="0.3">
      <c r="A18" t="s">
        <v>5789</v>
      </c>
      <c r="B18" t="s">
        <v>35</v>
      </c>
      <c r="C18" t="s">
        <v>32</v>
      </c>
      <c r="D18" t="s">
        <v>189</v>
      </c>
    </row>
    <row r="19" spans="1:4" x14ac:dyDescent="0.3">
      <c r="A19" t="s">
        <v>3552</v>
      </c>
      <c r="B19" t="s">
        <v>5790</v>
      </c>
      <c r="C19" t="s">
        <v>1034</v>
      </c>
      <c r="D19" t="s">
        <v>762</v>
      </c>
    </row>
    <row r="20" spans="1:4" x14ac:dyDescent="0.3">
      <c r="A20" t="s">
        <v>56</v>
      </c>
      <c r="B20" t="s">
        <v>5790</v>
      </c>
      <c r="C20" t="s">
        <v>1034</v>
      </c>
      <c r="D20" t="s">
        <v>762</v>
      </c>
    </row>
    <row r="21" spans="1:4" x14ac:dyDescent="0.3">
      <c r="A21" t="s">
        <v>52</v>
      </c>
      <c r="B21" t="s">
        <v>5564</v>
      </c>
      <c r="C21" t="s">
        <v>5791</v>
      </c>
      <c r="D21" t="s">
        <v>5792</v>
      </c>
    </row>
    <row r="22" spans="1:4" x14ac:dyDescent="0.3">
      <c r="A22" t="s">
        <v>74</v>
      </c>
      <c r="B22" t="s">
        <v>5793</v>
      </c>
      <c r="C22" t="s">
        <v>5793</v>
      </c>
      <c r="D22" t="s">
        <v>5794</v>
      </c>
    </row>
    <row r="23" spans="1:4" x14ac:dyDescent="0.3">
      <c r="A23" t="s">
        <v>169</v>
      </c>
      <c r="B23" t="s">
        <v>5795</v>
      </c>
      <c r="C23" t="s">
        <v>5796</v>
      </c>
      <c r="D23" t="s">
        <v>622</v>
      </c>
    </row>
    <row r="24" spans="1:4" x14ac:dyDescent="0.3">
      <c r="A24" t="s">
        <v>5797</v>
      </c>
      <c r="B24" t="s">
        <v>5798</v>
      </c>
      <c r="C24" t="s">
        <v>5799</v>
      </c>
      <c r="D24" t="s">
        <v>5800</v>
      </c>
    </row>
    <row r="25" spans="1:4" x14ac:dyDescent="0.3">
      <c r="A25" t="s">
        <v>73</v>
      </c>
      <c r="B25" t="s">
        <v>5801</v>
      </c>
      <c r="C25" t="s">
        <v>1034</v>
      </c>
      <c r="D25" t="s">
        <v>1034</v>
      </c>
    </row>
    <row r="27" spans="1:4" x14ac:dyDescent="0.3">
      <c r="A27" t="s">
        <v>5802</v>
      </c>
      <c r="B27" t="s">
        <v>238</v>
      </c>
    </row>
    <row r="28" spans="1:4" x14ac:dyDescent="0.3">
      <c r="A28" t="s">
        <v>5803</v>
      </c>
      <c r="B28" t="s">
        <v>381</v>
      </c>
    </row>
    <row r="29" spans="1:4" x14ac:dyDescent="0.3">
      <c r="A29" t="s">
        <v>3966</v>
      </c>
      <c r="B29" t="s">
        <v>5804</v>
      </c>
    </row>
    <row r="30" spans="1:4" x14ac:dyDescent="0.3">
      <c r="A30" t="s">
        <v>5805</v>
      </c>
      <c r="B30" t="s">
        <v>5806</v>
      </c>
    </row>
    <row r="31" spans="1:4" x14ac:dyDescent="0.3">
      <c r="A31" t="s">
        <v>5807</v>
      </c>
      <c r="B31" t="s">
        <v>631</v>
      </c>
    </row>
    <row r="32" spans="1:4" x14ac:dyDescent="0.3">
      <c r="A32" t="s">
        <v>5808</v>
      </c>
      <c r="B32" t="s">
        <v>2871</v>
      </c>
    </row>
    <row r="33" spans="1:2" x14ac:dyDescent="0.3">
      <c r="A33" t="s">
        <v>5809</v>
      </c>
      <c r="B33" t="s">
        <v>5810</v>
      </c>
    </row>
    <row r="35" spans="1:2" x14ac:dyDescent="0.3">
      <c r="A35" t="s">
        <v>3879</v>
      </c>
      <c r="B35" t="s">
        <v>238</v>
      </c>
    </row>
    <row r="36" spans="1:2" x14ac:dyDescent="0.3">
      <c r="A36" t="s">
        <v>3334</v>
      </c>
      <c r="B36" t="s">
        <v>5811</v>
      </c>
    </row>
    <row r="37" spans="1:2" x14ac:dyDescent="0.3">
      <c r="A37" t="s">
        <v>5812</v>
      </c>
      <c r="B37" t="s">
        <v>5813</v>
      </c>
    </row>
    <row r="39" spans="1:2" x14ac:dyDescent="0.3">
      <c r="A39" t="s">
        <v>5814</v>
      </c>
      <c r="B39" t="s">
        <v>238</v>
      </c>
    </row>
    <row r="40" spans="1:2" x14ac:dyDescent="0.3">
      <c r="A40" t="s">
        <v>783</v>
      </c>
      <c r="B40" t="s">
        <v>5815</v>
      </c>
    </row>
    <row r="41" spans="1:2" x14ac:dyDescent="0.3">
      <c r="A41" t="s">
        <v>5816</v>
      </c>
      <c r="B41" t="s">
        <v>5817</v>
      </c>
    </row>
    <row r="42" spans="1:2" x14ac:dyDescent="0.3">
      <c r="A42" t="s">
        <v>437</v>
      </c>
      <c r="B42" t="s">
        <v>5818</v>
      </c>
    </row>
    <row r="43" spans="1:2" x14ac:dyDescent="0.3">
      <c r="A43" t="s">
        <v>5819</v>
      </c>
      <c r="B43" t="s">
        <v>5820</v>
      </c>
    </row>
    <row r="44" spans="1:2" x14ac:dyDescent="0.3">
      <c r="A44" t="s">
        <v>5821</v>
      </c>
      <c r="B44" t="s">
        <v>5822</v>
      </c>
    </row>
    <row r="45" spans="1:2" x14ac:dyDescent="0.3">
      <c r="A45" t="s">
        <v>5823</v>
      </c>
      <c r="B45" t="s">
        <v>5824</v>
      </c>
    </row>
    <row r="46" spans="1:2" x14ac:dyDescent="0.3">
      <c r="A46" t="s">
        <v>785</v>
      </c>
      <c r="B46" t="s">
        <v>5825</v>
      </c>
    </row>
    <row r="47" spans="1:2" x14ac:dyDescent="0.3">
      <c r="A47" t="s">
        <v>5826</v>
      </c>
      <c r="B47" t="s">
        <v>5827</v>
      </c>
    </row>
    <row r="48" spans="1:2" x14ac:dyDescent="0.3">
      <c r="A48" t="s">
        <v>5828</v>
      </c>
      <c r="B48" t="s">
        <v>5829</v>
      </c>
    </row>
    <row r="49" spans="1:4" x14ac:dyDescent="0.3">
      <c r="A49" t="s">
        <v>5830</v>
      </c>
      <c r="B49" t="s">
        <v>1319</v>
      </c>
    </row>
    <row r="50" spans="1:4" x14ac:dyDescent="0.3">
      <c r="A50" t="s">
        <v>5831</v>
      </c>
      <c r="B50" t="s">
        <v>5832</v>
      </c>
    </row>
    <row r="51" spans="1:4" x14ac:dyDescent="0.3">
      <c r="A51" t="s">
        <v>5833</v>
      </c>
      <c r="B51" t="s">
        <v>5834</v>
      </c>
    </row>
    <row r="53" spans="1:4" x14ac:dyDescent="0.3">
      <c r="A53" t="s">
        <v>4102</v>
      </c>
      <c r="B53" t="s">
        <v>238</v>
      </c>
      <c r="C53" t="s">
        <v>274</v>
      </c>
    </row>
    <row r="54" spans="1:4" x14ac:dyDescent="0.3">
      <c r="A54" t="s">
        <v>3746</v>
      </c>
      <c r="B54" t="s">
        <v>5835</v>
      </c>
      <c r="C54" t="s">
        <v>5836</v>
      </c>
    </row>
    <row r="55" spans="1:4" x14ac:dyDescent="0.3">
      <c r="A55" t="s">
        <v>5837</v>
      </c>
      <c r="B55" t="s">
        <v>38</v>
      </c>
      <c r="C55" t="s">
        <v>38</v>
      </c>
    </row>
    <row r="56" spans="1:4" x14ac:dyDescent="0.3">
      <c r="A56" t="s">
        <v>5838</v>
      </c>
      <c r="B56" t="s">
        <v>5839</v>
      </c>
      <c r="C56" t="s">
        <v>5840</v>
      </c>
    </row>
    <row r="57" spans="1:4" x14ac:dyDescent="0.3">
      <c r="A57" t="s">
        <v>148</v>
      </c>
      <c r="B57" t="s">
        <v>5841</v>
      </c>
      <c r="C57" t="s">
        <v>5842</v>
      </c>
    </row>
    <row r="58" spans="1:4" x14ac:dyDescent="0.3">
      <c r="A58" t="s">
        <v>5843</v>
      </c>
      <c r="B58" t="s">
        <v>5844</v>
      </c>
      <c r="C58" t="s">
        <v>5845</v>
      </c>
    </row>
    <row r="59" spans="1:4" x14ac:dyDescent="0.3">
      <c r="A59" t="s">
        <v>5846</v>
      </c>
      <c r="B59" t="s">
        <v>5847</v>
      </c>
      <c r="C59" t="s">
        <v>5845</v>
      </c>
    </row>
    <row r="60" spans="1:4" x14ac:dyDescent="0.3">
      <c r="A60" t="s">
        <v>171</v>
      </c>
      <c r="B60" t="s">
        <v>5848</v>
      </c>
      <c r="C60" t="s">
        <v>5849</v>
      </c>
    </row>
    <row r="61" spans="1:4" x14ac:dyDescent="0.3">
      <c r="A61" t="s">
        <v>4946</v>
      </c>
      <c r="B61" t="s">
        <v>5850</v>
      </c>
      <c r="C61" t="s">
        <v>42</v>
      </c>
    </row>
    <row r="63" spans="1:4" x14ac:dyDescent="0.3">
      <c r="A63" s="25" t="s">
        <v>281</v>
      </c>
      <c r="B63" s="25"/>
      <c r="C63" s="25"/>
      <c r="D63" s="25"/>
    </row>
    <row r="64" spans="1:4" x14ac:dyDescent="0.3">
      <c r="A64" t="s">
        <v>5851</v>
      </c>
    </row>
    <row r="65" spans="1:1" x14ac:dyDescent="0.3">
      <c r="A65" t="s">
        <v>5852</v>
      </c>
    </row>
    <row r="66" spans="1:1" x14ac:dyDescent="0.3">
      <c r="A66" t="s">
        <v>5853</v>
      </c>
    </row>
    <row r="67" spans="1:1" x14ac:dyDescent="0.3">
      <c r="A67" t="s">
        <v>5854</v>
      </c>
    </row>
    <row r="68" spans="1:1" x14ac:dyDescent="0.3">
      <c r="A68" t="s">
        <v>5855</v>
      </c>
    </row>
    <row r="69" spans="1:1" x14ac:dyDescent="0.3">
      <c r="A69" t="s">
        <v>5856</v>
      </c>
    </row>
    <row r="70" spans="1:1" x14ac:dyDescent="0.3">
      <c r="A70" t="s">
        <v>5857</v>
      </c>
    </row>
    <row r="71" spans="1:1" x14ac:dyDescent="0.3">
      <c r="A71" t="s">
        <v>5858</v>
      </c>
    </row>
    <row r="72" spans="1:1" x14ac:dyDescent="0.3">
      <c r="A72" t="s">
        <v>5859</v>
      </c>
    </row>
    <row r="73" spans="1:1" x14ac:dyDescent="0.3">
      <c r="A73" t="s">
        <v>5860</v>
      </c>
    </row>
    <row r="74" spans="1:1" x14ac:dyDescent="0.3">
      <c r="A74" t="s">
        <v>5861</v>
      </c>
    </row>
    <row r="75" spans="1:1" x14ac:dyDescent="0.3">
      <c r="A75" t="s">
        <v>5862</v>
      </c>
    </row>
    <row r="76" spans="1:1" x14ac:dyDescent="0.3">
      <c r="A76" t="s">
        <v>5863</v>
      </c>
    </row>
    <row r="77" spans="1:1" x14ac:dyDescent="0.3">
      <c r="A77" t="s">
        <v>5864</v>
      </c>
    </row>
    <row r="78" spans="1:1" x14ac:dyDescent="0.3">
      <c r="A78" t="s">
        <v>5865</v>
      </c>
    </row>
    <row r="79" spans="1:1" x14ac:dyDescent="0.3">
      <c r="A79" t="s">
        <v>5866</v>
      </c>
    </row>
    <row r="80" spans="1:1" x14ac:dyDescent="0.3">
      <c r="A80" t="s">
        <v>5867</v>
      </c>
    </row>
    <row r="81" spans="1:4" x14ac:dyDescent="0.3">
      <c r="A81" t="s">
        <v>5868</v>
      </c>
    </row>
    <row r="82" spans="1:4" x14ac:dyDescent="0.3">
      <c r="A82" t="s">
        <v>5869</v>
      </c>
    </row>
    <row r="83" spans="1:4" x14ac:dyDescent="0.3">
      <c r="A83" t="s">
        <v>5870</v>
      </c>
    </row>
    <row r="84" spans="1:4" x14ac:dyDescent="0.3">
      <c r="A84" t="s">
        <v>5871</v>
      </c>
    </row>
    <row r="85" spans="1:4" x14ac:dyDescent="0.3">
      <c r="A85" t="s">
        <v>5872</v>
      </c>
    </row>
    <row r="86" spans="1:4" x14ac:dyDescent="0.3">
      <c r="A86" t="s">
        <v>5873</v>
      </c>
    </row>
    <row r="88" spans="1:4" x14ac:dyDescent="0.3">
      <c r="A88" s="25" t="s">
        <v>295</v>
      </c>
      <c r="B88" s="25"/>
      <c r="C88" s="25"/>
      <c r="D88" s="25"/>
    </row>
    <row r="89" spans="1:4" x14ac:dyDescent="0.3">
      <c r="A89" t="s">
        <v>296</v>
      </c>
      <c r="B89" t="s">
        <v>5874</v>
      </c>
      <c r="C89" t="s">
        <v>5875</v>
      </c>
    </row>
    <row r="90" spans="1:4" x14ac:dyDescent="0.3">
      <c r="A90" t="s">
        <v>299</v>
      </c>
      <c r="B90" t="s">
        <v>5876</v>
      </c>
    </row>
    <row r="91" spans="1:4" x14ac:dyDescent="0.3">
      <c r="A91" t="s">
        <v>301</v>
      </c>
      <c r="B91" t="s">
        <v>5877</v>
      </c>
    </row>
    <row r="92" spans="1:4" x14ac:dyDescent="0.3">
      <c r="A92" t="s">
        <v>303</v>
      </c>
      <c r="B92" t="s">
        <v>5878</v>
      </c>
      <c r="C92" t="s">
        <v>5875</v>
      </c>
    </row>
    <row r="93" spans="1:4" x14ac:dyDescent="0.3">
      <c r="A93" t="s">
        <v>299</v>
      </c>
      <c r="B93" t="s">
        <v>5879</v>
      </c>
    </row>
    <row r="94" spans="1:4" x14ac:dyDescent="0.3">
      <c r="A94" t="s">
        <v>301</v>
      </c>
      <c r="B94" t="s">
        <v>5880</v>
      </c>
    </row>
    <row r="95" spans="1:4" x14ac:dyDescent="0.3">
      <c r="A95" t="s">
        <v>307</v>
      </c>
      <c r="B95" t="s">
        <v>5881</v>
      </c>
      <c r="C95" t="s">
        <v>3953</v>
      </c>
    </row>
    <row r="96" spans="1:4" x14ac:dyDescent="0.3">
      <c r="A96" t="s">
        <v>299</v>
      </c>
      <c r="B96" t="s">
        <v>5882</v>
      </c>
    </row>
    <row r="97" spans="1:3" x14ac:dyDescent="0.3">
      <c r="A97" t="s">
        <v>301</v>
      </c>
      <c r="B97" t="s">
        <v>5883</v>
      </c>
    </row>
    <row r="98" spans="1:3" x14ac:dyDescent="0.3">
      <c r="A98" t="s">
        <v>311</v>
      </c>
      <c r="B98" t="s">
        <v>3507</v>
      </c>
      <c r="C98" t="s">
        <v>3938</v>
      </c>
    </row>
    <row r="99" spans="1:3" x14ac:dyDescent="0.3">
      <c r="A99" t="s">
        <v>299</v>
      </c>
      <c r="B99" t="s">
        <v>5884</v>
      </c>
    </row>
    <row r="100" spans="1:3" x14ac:dyDescent="0.3">
      <c r="A100" t="s">
        <v>301</v>
      </c>
      <c r="B100" t="s">
        <v>5885</v>
      </c>
    </row>
    <row r="101" spans="1:3" x14ac:dyDescent="0.3">
      <c r="A101" t="s">
        <v>316</v>
      </c>
      <c r="B101" t="s">
        <v>5886</v>
      </c>
      <c r="C101" t="s">
        <v>4541</v>
      </c>
    </row>
    <row r="102" spans="1:3" x14ac:dyDescent="0.3">
      <c r="A102" t="s">
        <v>299</v>
      </c>
      <c r="B102" t="s">
        <v>5887</v>
      </c>
    </row>
    <row r="103" spans="1:3" x14ac:dyDescent="0.3">
      <c r="A103" t="s">
        <v>301</v>
      </c>
      <c r="B103" t="s">
        <v>5888</v>
      </c>
    </row>
    <row r="104" spans="1:3" x14ac:dyDescent="0.3">
      <c r="A104" t="s">
        <v>320</v>
      </c>
      <c r="B104" t="s">
        <v>5889</v>
      </c>
      <c r="C104" t="s">
        <v>5890</v>
      </c>
    </row>
    <row r="105" spans="1:3" x14ac:dyDescent="0.3">
      <c r="A105" t="s">
        <v>299</v>
      </c>
      <c r="B105" t="s">
        <v>5891</v>
      </c>
    </row>
    <row r="106" spans="1:3" x14ac:dyDescent="0.3">
      <c r="A106" t="s">
        <v>301</v>
      </c>
      <c r="B106" t="s">
        <v>5892</v>
      </c>
    </row>
    <row r="107" spans="1:3" x14ac:dyDescent="0.3">
      <c r="A107" t="s">
        <v>324</v>
      </c>
      <c r="B107" t="s">
        <v>5893</v>
      </c>
      <c r="C107" t="s">
        <v>5894</v>
      </c>
    </row>
    <row r="108" spans="1:3" x14ac:dyDescent="0.3">
      <c r="A108" t="s">
        <v>299</v>
      </c>
      <c r="B108" t="s">
        <v>5895</v>
      </c>
    </row>
    <row r="109" spans="1:3" x14ac:dyDescent="0.3">
      <c r="A109" t="s">
        <v>301</v>
      </c>
      <c r="B109" t="s">
        <v>5896</v>
      </c>
    </row>
    <row r="110" spans="1:3" x14ac:dyDescent="0.3">
      <c r="A110" t="s">
        <v>328</v>
      </c>
      <c r="B110" t="s">
        <v>5897</v>
      </c>
      <c r="C110" t="s">
        <v>3945</v>
      </c>
    </row>
    <row r="111" spans="1:3" x14ac:dyDescent="0.3">
      <c r="A111" t="s">
        <v>299</v>
      </c>
      <c r="B111" t="s">
        <v>5898</v>
      </c>
    </row>
    <row r="112" spans="1:3" x14ac:dyDescent="0.3">
      <c r="A112" t="s">
        <v>301</v>
      </c>
      <c r="B112" t="s">
        <v>5899</v>
      </c>
    </row>
    <row r="113" spans="1:3" x14ac:dyDescent="0.3">
      <c r="A113" t="s">
        <v>333</v>
      </c>
      <c r="B113" t="s">
        <v>5900</v>
      </c>
      <c r="C113" t="s">
        <v>5901</v>
      </c>
    </row>
    <row r="114" spans="1:3" x14ac:dyDescent="0.3">
      <c r="A114" t="s">
        <v>299</v>
      </c>
      <c r="B114" t="s">
        <v>5902</v>
      </c>
    </row>
    <row r="115" spans="1:3" x14ac:dyDescent="0.3">
      <c r="A115" t="s">
        <v>301</v>
      </c>
      <c r="B115" t="s">
        <v>5903</v>
      </c>
    </row>
    <row r="116" spans="1:3" x14ac:dyDescent="0.3">
      <c r="A116" t="s">
        <v>337</v>
      </c>
      <c r="B116" t="s">
        <v>5904</v>
      </c>
      <c r="C116" t="s">
        <v>5905</v>
      </c>
    </row>
    <row r="117" spans="1:3" x14ac:dyDescent="0.3">
      <c r="A117" t="s">
        <v>299</v>
      </c>
      <c r="B117" t="s">
        <v>5906</v>
      </c>
    </row>
    <row r="118" spans="1:3" x14ac:dyDescent="0.3">
      <c r="A118" t="s">
        <v>301</v>
      </c>
      <c r="B118" t="s">
        <v>5907</v>
      </c>
    </row>
    <row r="119" spans="1:3" x14ac:dyDescent="0.3">
      <c r="A119" t="s">
        <v>341</v>
      </c>
      <c r="B119" t="s">
        <v>5908</v>
      </c>
      <c r="C119" t="s">
        <v>2314</v>
      </c>
    </row>
    <row r="120" spans="1:3" x14ac:dyDescent="0.3">
      <c r="A120" t="s">
        <v>299</v>
      </c>
      <c r="B120" t="s">
        <v>5909</v>
      </c>
    </row>
    <row r="121" spans="1:3" x14ac:dyDescent="0.3">
      <c r="A121" t="s">
        <v>301</v>
      </c>
      <c r="B121" t="s">
        <v>5910</v>
      </c>
    </row>
    <row r="122" spans="1:3" x14ac:dyDescent="0.3">
      <c r="A122" t="s">
        <v>346</v>
      </c>
      <c r="B122" t="s">
        <v>5911</v>
      </c>
      <c r="C122" t="s">
        <v>5912</v>
      </c>
    </row>
    <row r="123" spans="1:3" x14ac:dyDescent="0.3">
      <c r="A123" t="s">
        <v>299</v>
      </c>
      <c r="B123" t="s">
        <v>5913</v>
      </c>
    </row>
    <row r="124" spans="1:3" x14ac:dyDescent="0.3">
      <c r="A124" t="s">
        <v>301</v>
      </c>
      <c r="B124" t="s">
        <v>5914</v>
      </c>
    </row>
  </sheetData>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C66"/>
  <sheetViews>
    <sheetView workbookViewId="0"/>
  </sheetViews>
  <sheetFormatPr defaultRowHeight="14.4" x14ac:dyDescent="0.3"/>
  <cols>
    <col min="1" max="1" width="46" customWidth="1"/>
    <col min="2" max="8" width="15" customWidth="1"/>
  </cols>
  <sheetData>
    <row r="1" spans="1:3" x14ac:dyDescent="0.3">
      <c r="A1" s="24" t="s">
        <v>181</v>
      </c>
      <c r="B1" t="s">
        <v>5915</v>
      </c>
    </row>
    <row r="2" spans="1:3" x14ac:dyDescent="0.3">
      <c r="A2" s="24" t="s">
        <v>183</v>
      </c>
      <c r="B2" t="s">
        <v>5916</v>
      </c>
    </row>
    <row r="4" spans="1:3" x14ac:dyDescent="0.3">
      <c r="A4" s="25" t="s">
        <v>185</v>
      </c>
      <c r="B4" s="25"/>
      <c r="C4" s="25"/>
    </row>
    <row r="6" spans="1:3" x14ac:dyDescent="0.3">
      <c r="A6" t="s">
        <v>5917</v>
      </c>
      <c r="B6" t="s">
        <v>238</v>
      </c>
      <c r="C6" t="s">
        <v>204</v>
      </c>
    </row>
    <row r="7" spans="1:3" x14ac:dyDescent="0.3">
      <c r="A7" t="s">
        <v>3552</v>
      </c>
      <c r="B7" t="s">
        <v>5918</v>
      </c>
      <c r="C7" t="s">
        <v>1946</v>
      </c>
    </row>
    <row r="8" spans="1:3" x14ac:dyDescent="0.3">
      <c r="A8" t="s">
        <v>52</v>
      </c>
      <c r="B8" t="s">
        <v>5564</v>
      </c>
      <c r="C8" t="s">
        <v>5778</v>
      </c>
    </row>
    <row r="9" spans="1:3" x14ac:dyDescent="0.3">
      <c r="A9" t="s">
        <v>55</v>
      </c>
      <c r="B9" t="s">
        <v>3805</v>
      </c>
      <c r="C9" t="s">
        <v>524</v>
      </c>
    </row>
    <row r="10" spans="1:3" x14ac:dyDescent="0.3">
      <c r="A10" t="s">
        <v>56</v>
      </c>
      <c r="B10" t="s">
        <v>5919</v>
      </c>
      <c r="C10" t="s">
        <v>197</v>
      </c>
    </row>
    <row r="11" spans="1:3" x14ac:dyDescent="0.3">
      <c r="A11" t="s">
        <v>74</v>
      </c>
      <c r="B11" t="s">
        <v>5793</v>
      </c>
      <c r="C11" t="s">
        <v>197</v>
      </c>
    </row>
    <row r="12" spans="1:3" x14ac:dyDescent="0.3">
      <c r="A12" t="s">
        <v>5920</v>
      </c>
      <c r="B12" t="s">
        <v>5921</v>
      </c>
      <c r="C12" t="s">
        <v>1303</v>
      </c>
    </row>
    <row r="13" spans="1:3" x14ac:dyDescent="0.3">
      <c r="A13" t="s">
        <v>5922</v>
      </c>
      <c r="B13" t="s">
        <v>5923</v>
      </c>
      <c r="C13" t="s">
        <v>197</v>
      </c>
    </row>
    <row r="14" spans="1:3" x14ac:dyDescent="0.3">
      <c r="A14" t="s">
        <v>5924</v>
      </c>
      <c r="B14" t="s">
        <v>1316</v>
      </c>
      <c r="C14" t="s">
        <v>522</v>
      </c>
    </row>
    <row r="16" spans="1:3" x14ac:dyDescent="0.3">
      <c r="A16" t="s">
        <v>5925</v>
      </c>
      <c r="B16" t="s">
        <v>238</v>
      </c>
    </row>
    <row r="17" spans="1:2" x14ac:dyDescent="0.3">
      <c r="A17" t="s">
        <v>5926</v>
      </c>
      <c r="B17" t="s">
        <v>5804</v>
      </c>
    </row>
    <row r="18" spans="1:2" x14ac:dyDescent="0.3">
      <c r="A18" t="s">
        <v>5927</v>
      </c>
      <c r="B18" t="s">
        <v>5928</v>
      </c>
    </row>
    <row r="19" spans="1:2" x14ac:dyDescent="0.3">
      <c r="A19" t="s">
        <v>5929</v>
      </c>
      <c r="B19" t="s">
        <v>3126</v>
      </c>
    </row>
    <row r="20" spans="1:2" x14ac:dyDescent="0.3">
      <c r="A20" t="s">
        <v>5930</v>
      </c>
      <c r="B20" t="s">
        <v>5931</v>
      </c>
    </row>
    <row r="21" spans="1:2" x14ac:dyDescent="0.3">
      <c r="A21" t="s">
        <v>5932</v>
      </c>
      <c r="B21" t="s">
        <v>3115</v>
      </c>
    </row>
    <row r="22" spans="1:2" x14ac:dyDescent="0.3">
      <c r="A22" t="s">
        <v>5933</v>
      </c>
      <c r="B22" t="s">
        <v>5934</v>
      </c>
    </row>
    <row r="23" spans="1:2" x14ac:dyDescent="0.3">
      <c r="A23" t="s">
        <v>5935</v>
      </c>
      <c r="B23" t="s">
        <v>5936</v>
      </c>
    </row>
    <row r="24" spans="1:2" x14ac:dyDescent="0.3">
      <c r="A24" t="s">
        <v>5937</v>
      </c>
      <c r="B24" t="s">
        <v>5938</v>
      </c>
    </row>
    <row r="25" spans="1:2" x14ac:dyDescent="0.3">
      <c r="A25" t="s">
        <v>5939</v>
      </c>
      <c r="B25" t="s">
        <v>5940</v>
      </c>
    </row>
    <row r="27" spans="1:2" x14ac:dyDescent="0.3">
      <c r="A27" t="s">
        <v>5814</v>
      </c>
      <c r="B27" t="s">
        <v>238</v>
      </c>
    </row>
    <row r="28" spans="1:2" x14ac:dyDescent="0.3">
      <c r="A28" t="s">
        <v>5941</v>
      </c>
      <c r="B28" t="s">
        <v>5942</v>
      </c>
    </row>
    <row r="29" spans="1:2" x14ac:dyDescent="0.3">
      <c r="A29" t="s">
        <v>5943</v>
      </c>
      <c r="B29" t="s">
        <v>5944</v>
      </c>
    </row>
    <row r="30" spans="1:2" x14ac:dyDescent="0.3">
      <c r="A30" t="s">
        <v>5945</v>
      </c>
      <c r="B30" t="s">
        <v>5946</v>
      </c>
    </row>
    <row r="31" spans="1:2" x14ac:dyDescent="0.3">
      <c r="A31" t="s">
        <v>5821</v>
      </c>
      <c r="B31" t="s">
        <v>5947</v>
      </c>
    </row>
    <row r="32" spans="1:2" x14ac:dyDescent="0.3">
      <c r="A32" t="s">
        <v>5948</v>
      </c>
      <c r="B32" t="s">
        <v>2126</v>
      </c>
    </row>
    <row r="33" spans="1:3" x14ac:dyDescent="0.3">
      <c r="A33" t="s">
        <v>5949</v>
      </c>
      <c r="B33" t="s">
        <v>3614</v>
      </c>
    </row>
    <row r="34" spans="1:3" x14ac:dyDescent="0.3">
      <c r="A34" t="s">
        <v>5950</v>
      </c>
      <c r="B34" t="s">
        <v>5951</v>
      </c>
    </row>
    <row r="35" spans="1:3" x14ac:dyDescent="0.3">
      <c r="A35" t="s">
        <v>148</v>
      </c>
      <c r="B35" t="s">
        <v>5841</v>
      </c>
    </row>
    <row r="37" spans="1:3" x14ac:dyDescent="0.3">
      <c r="A37" t="s">
        <v>5952</v>
      </c>
      <c r="B37" t="s">
        <v>238</v>
      </c>
    </row>
    <row r="38" spans="1:3" x14ac:dyDescent="0.3">
      <c r="A38" t="s">
        <v>5953</v>
      </c>
      <c r="B38" t="s">
        <v>5829</v>
      </c>
    </row>
    <row r="39" spans="1:3" x14ac:dyDescent="0.3">
      <c r="A39" t="s">
        <v>5830</v>
      </c>
      <c r="B39" t="s">
        <v>1319</v>
      </c>
    </row>
    <row r="40" spans="1:3" x14ac:dyDescent="0.3">
      <c r="A40" t="s">
        <v>5954</v>
      </c>
      <c r="B40" t="s">
        <v>2126</v>
      </c>
    </row>
    <row r="41" spans="1:3" x14ac:dyDescent="0.3">
      <c r="A41" t="s">
        <v>5955</v>
      </c>
      <c r="B41" t="s">
        <v>5810</v>
      </c>
    </row>
    <row r="43" spans="1:3" x14ac:dyDescent="0.3">
      <c r="A43" t="s">
        <v>273</v>
      </c>
      <c r="B43" t="s">
        <v>238</v>
      </c>
      <c r="C43" t="s">
        <v>274</v>
      </c>
    </row>
    <row r="44" spans="1:3" x14ac:dyDescent="0.3">
      <c r="A44" t="s">
        <v>5956</v>
      </c>
      <c r="B44" t="s">
        <v>3134</v>
      </c>
      <c r="C44" t="s">
        <v>5836</v>
      </c>
    </row>
    <row r="45" spans="1:3" x14ac:dyDescent="0.3">
      <c r="A45" t="s">
        <v>171</v>
      </c>
      <c r="B45" t="s">
        <v>5957</v>
      </c>
      <c r="C45" t="s">
        <v>4012</v>
      </c>
    </row>
    <row r="46" spans="1:3" x14ac:dyDescent="0.3">
      <c r="A46" t="s">
        <v>5958</v>
      </c>
      <c r="B46" t="s">
        <v>5839</v>
      </c>
      <c r="C46" t="s">
        <v>5840</v>
      </c>
    </row>
    <row r="49" spans="1:3" x14ac:dyDescent="0.3">
      <c r="A49" s="25" t="s">
        <v>281</v>
      </c>
      <c r="B49" s="25"/>
      <c r="C49" s="25"/>
    </row>
    <row r="50" spans="1:3" x14ac:dyDescent="0.3">
      <c r="A50" t="s">
        <v>5959</v>
      </c>
    </row>
    <row r="51" spans="1:3" x14ac:dyDescent="0.3">
      <c r="A51" t="s">
        <v>5960</v>
      </c>
    </row>
    <row r="52" spans="1:3" x14ac:dyDescent="0.3">
      <c r="A52" t="s">
        <v>5961</v>
      </c>
    </row>
    <row r="53" spans="1:3" x14ac:dyDescent="0.3">
      <c r="A53" t="s">
        <v>5962</v>
      </c>
    </row>
    <row r="54" spans="1:3" x14ac:dyDescent="0.3">
      <c r="A54" t="s">
        <v>5963</v>
      </c>
    </row>
    <row r="55" spans="1:3" x14ac:dyDescent="0.3">
      <c r="A55" t="s">
        <v>5964</v>
      </c>
    </row>
    <row r="56" spans="1:3" x14ac:dyDescent="0.3">
      <c r="A56" t="s">
        <v>5965</v>
      </c>
    </row>
    <row r="57" spans="1:3" x14ac:dyDescent="0.3">
      <c r="A57" t="s">
        <v>5966</v>
      </c>
    </row>
    <row r="58" spans="1:3" x14ac:dyDescent="0.3">
      <c r="A58" t="s">
        <v>5967</v>
      </c>
    </row>
    <row r="59" spans="1:3" x14ac:dyDescent="0.3">
      <c r="A59" t="s">
        <v>5968</v>
      </c>
    </row>
    <row r="60" spans="1:3" x14ac:dyDescent="0.3">
      <c r="A60" t="s">
        <v>5969</v>
      </c>
    </row>
    <row r="62" spans="1:3" x14ac:dyDescent="0.3">
      <c r="A62" s="25" t="s">
        <v>295</v>
      </c>
      <c r="B62" s="25"/>
      <c r="C62" s="25"/>
    </row>
    <row r="63" spans="1:3" x14ac:dyDescent="0.3">
      <c r="A63" t="s">
        <v>5970</v>
      </c>
    </row>
    <row r="64" spans="1:3" x14ac:dyDescent="0.3">
      <c r="A64" t="s">
        <v>296</v>
      </c>
      <c r="B64" t="s">
        <v>5971</v>
      </c>
      <c r="C64" t="s">
        <v>5972</v>
      </c>
    </row>
    <row r="65" spans="1:2" x14ac:dyDescent="0.3">
      <c r="A65" t="s">
        <v>299</v>
      </c>
      <c r="B65" t="s">
        <v>5973</v>
      </c>
    </row>
    <row r="66" spans="1:2" x14ac:dyDescent="0.3">
      <c r="A66" t="s">
        <v>301</v>
      </c>
      <c r="B66" t="s">
        <v>5974</v>
      </c>
    </row>
  </sheetData>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C90"/>
  <sheetViews>
    <sheetView workbookViewId="0"/>
  </sheetViews>
  <sheetFormatPr defaultRowHeight="14.4" x14ac:dyDescent="0.3"/>
  <cols>
    <col min="1" max="1" width="46" customWidth="1"/>
    <col min="2" max="8" width="15" customWidth="1"/>
  </cols>
  <sheetData>
    <row r="1" spans="1:3" x14ac:dyDescent="0.3">
      <c r="A1" s="24" t="s">
        <v>181</v>
      </c>
      <c r="B1" t="s">
        <v>5975</v>
      </c>
    </row>
    <row r="2" spans="1:3" x14ac:dyDescent="0.3">
      <c r="A2" s="24" t="s">
        <v>183</v>
      </c>
      <c r="B2" t="s">
        <v>5976</v>
      </c>
    </row>
    <row r="4" spans="1:3" x14ac:dyDescent="0.3">
      <c r="A4" s="25" t="s">
        <v>185</v>
      </c>
      <c r="B4" s="25"/>
      <c r="C4" s="25"/>
    </row>
    <row r="6" spans="1:3" x14ac:dyDescent="0.3">
      <c r="A6" t="s">
        <v>5977</v>
      </c>
      <c r="B6" t="s">
        <v>238</v>
      </c>
      <c r="C6" t="s">
        <v>204</v>
      </c>
    </row>
    <row r="7" spans="1:3" x14ac:dyDescent="0.3">
      <c r="A7" t="s">
        <v>5978</v>
      </c>
      <c r="B7" t="s">
        <v>3329</v>
      </c>
      <c r="C7" t="s">
        <v>197</v>
      </c>
    </row>
    <row r="8" spans="1:3" x14ac:dyDescent="0.3">
      <c r="A8" t="s">
        <v>5979</v>
      </c>
      <c r="B8" t="s">
        <v>2609</v>
      </c>
      <c r="C8" t="s">
        <v>197</v>
      </c>
    </row>
    <row r="9" spans="1:3" x14ac:dyDescent="0.3">
      <c r="A9" t="s">
        <v>5980</v>
      </c>
      <c r="B9" t="s">
        <v>5981</v>
      </c>
      <c r="C9" t="s">
        <v>197</v>
      </c>
    </row>
    <row r="10" spans="1:3" x14ac:dyDescent="0.3">
      <c r="A10" t="s">
        <v>5982</v>
      </c>
      <c r="B10" t="s">
        <v>5921</v>
      </c>
      <c r="C10" t="s">
        <v>1627</v>
      </c>
    </row>
    <row r="11" spans="1:3" x14ac:dyDescent="0.3">
      <c r="A11" t="s">
        <v>5983</v>
      </c>
      <c r="B11" t="s">
        <v>5984</v>
      </c>
      <c r="C11" t="s">
        <v>197</v>
      </c>
    </row>
    <row r="12" spans="1:3" x14ac:dyDescent="0.3">
      <c r="A12" t="s">
        <v>5985</v>
      </c>
      <c r="B12" t="s">
        <v>1872</v>
      </c>
      <c r="C12" t="s">
        <v>197</v>
      </c>
    </row>
    <row r="13" spans="1:3" x14ac:dyDescent="0.3">
      <c r="A13" t="s">
        <v>3632</v>
      </c>
      <c r="B13" t="s">
        <v>5986</v>
      </c>
      <c r="C13" t="s">
        <v>197</v>
      </c>
    </row>
    <row r="15" spans="1:3" x14ac:dyDescent="0.3">
      <c r="A15" t="s">
        <v>4927</v>
      </c>
      <c r="B15" t="s">
        <v>238</v>
      </c>
    </row>
    <row r="16" spans="1:3" x14ac:dyDescent="0.3">
      <c r="A16" t="s">
        <v>5987</v>
      </c>
      <c r="B16" t="s">
        <v>5988</v>
      </c>
    </row>
    <row r="17" spans="1:3" x14ac:dyDescent="0.3">
      <c r="A17" t="s">
        <v>5989</v>
      </c>
      <c r="B17" t="s">
        <v>5990</v>
      </c>
    </row>
    <row r="18" spans="1:3" x14ac:dyDescent="0.3">
      <c r="A18" t="s">
        <v>5991</v>
      </c>
      <c r="B18" t="s">
        <v>5992</v>
      </c>
    </row>
    <row r="19" spans="1:3" x14ac:dyDescent="0.3">
      <c r="A19" t="s">
        <v>5993</v>
      </c>
      <c r="B19" t="s">
        <v>790</v>
      </c>
    </row>
    <row r="21" spans="1:3" x14ac:dyDescent="0.3">
      <c r="A21" t="s">
        <v>5994</v>
      </c>
      <c r="B21" t="s">
        <v>238</v>
      </c>
      <c r="C21" t="s">
        <v>1053</v>
      </c>
    </row>
    <row r="22" spans="1:3" x14ac:dyDescent="0.3">
      <c r="A22" t="s">
        <v>5995</v>
      </c>
      <c r="B22" t="s">
        <v>755</v>
      </c>
      <c r="C22" t="s">
        <v>3458</v>
      </c>
    </row>
    <row r="23" spans="1:3" x14ac:dyDescent="0.3">
      <c r="A23" t="s">
        <v>5996</v>
      </c>
      <c r="B23" t="s">
        <v>2126</v>
      </c>
      <c r="C23" t="s">
        <v>197</v>
      </c>
    </row>
    <row r="25" spans="1:3" x14ac:dyDescent="0.3">
      <c r="A25" t="s">
        <v>273</v>
      </c>
      <c r="B25" t="s">
        <v>238</v>
      </c>
      <c r="C25" t="s">
        <v>274</v>
      </c>
    </row>
    <row r="26" spans="1:3" x14ac:dyDescent="0.3">
      <c r="A26" t="s">
        <v>3746</v>
      </c>
      <c r="B26" t="s">
        <v>5997</v>
      </c>
      <c r="C26" t="s">
        <v>42</v>
      </c>
    </row>
    <row r="27" spans="1:3" x14ac:dyDescent="0.3">
      <c r="A27" t="s">
        <v>5998</v>
      </c>
      <c r="B27" t="s">
        <v>5999</v>
      </c>
      <c r="C27" t="s">
        <v>6000</v>
      </c>
    </row>
    <row r="28" spans="1:3" x14ac:dyDescent="0.3">
      <c r="A28" t="s">
        <v>128</v>
      </c>
      <c r="B28" t="s">
        <v>6001</v>
      </c>
      <c r="C28" t="s">
        <v>4012</v>
      </c>
    </row>
    <row r="29" spans="1:3" x14ac:dyDescent="0.3">
      <c r="A29" t="s">
        <v>171</v>
      </c>
      <c r="B29" t="s">
        <v>5957</v>
      </c>
      <c r="C29" t="s">
        <v>4012</v>
      </c>
    </row>
    <row r="30" spans="1:3" x14ac:dyDescent="0.3">
      <c r="A30" t="s">
        <v>52</v>
      </c>
      <c r="B30" t="s">
        <v>6002</v>
      </c>
      <c r="C30" t="s">
        <v>42</v>
      </c>
    </row>
    <row r="31" spans="1:3" x14ac:dyDescent="0.3">
      <c r="A31" t="s">
        <v>6003</v>
      </c>
      <c r="B31" t="s">
        <v>6004</v>
      </c>
      <c r="C31" t="s">
        <v>42</v>
      </c>
    </row>
    <row r="32" spans="1:3" x14ac:dyDescent="0.3">
      <c r="A32" t="s">
        <v>6005</v>
      </c>
      <c r="B32" t="s">
        <v>6006</v>
      </c>
      <c r="C32" t="s">
        <v>5840</v>
      </c>
    </row>
    <row r="35" spans="1:3" x14ac:dyDescent="0.3">
      <c r="A35" s="25" t="s">
        <v>281</v>
      </c>
      <c r="B35" s="25"/>
      <c r="C35" s="25"/>
    </row>
    <row r="36" spans="1:3" x14ac:dyDescent="0.3">
      <c r="A36" t="s">
        <v>6007</v>
      </c>
    </row>
    <row r="37" spans="1:3" x14ac:dyDescent="0.3">
      <c r="A37" t="s">
        <v>6008</v>
      </c>
    </row>
    <row r="38" spans="1:3" x14ac:dyDescent="0.3">
      <c r="A38" t="s">
        <v>6009</v>
      </c>
    </row>
    <row r="39" spans="1:3" x14ac:dyDescent="0.3">
      <c r="A39" t="s">
        <v>6010</v>
      </c>
    </row>
    <row r="40" spans="1:3" x14ac:dyDescent="0.3">
      <c r="A40" t="s">
        <v>6011</v>
      </c>
    </row>
    <row r="41" spans="1:3" x14ac:dyDescent="0.3">
      <c r="A41" t="s">
        <v>6012</v>
      </c>
    </row>
    <row r="42" spans="1:3" x14ac:dyDescent="0.3">
      <c r="A42" t="s">
        <v>6013</v>
      </c>
    </row>
    <row r="43" spans="1:3" x14ac:dyDescent="0.3">
      <c r="A43" t="s">
        <v>6014</v>
      </c>
    </row>
    <row r="44" spans="1:3" x14ac:dyDescent="0.3">
      <c r="A44" t="s">
        <v>6015</v>
      </c>
    </row>
    <row r="45" spans="1:3" x14ac:dyDescent="0.3">
      <c r="A45" t="s">
        <v>6016</v>
      </c>
    </row>
    <row r="46" spans="1:3" x14ac:dyDescent="0.3">
      <c r="A46" t="s">
        <v>6017</v>
      </c>
    </row>
    <row r="48" spans="1:3" x14ac:dyDescent="0.3">
      <c r="A48" s="25" t="s">
        <v>295</v>
      </c>
      <c r="B48" s="25"/>
      <c r="C48" s="25"/>
    </row>
    <row r="49" spans="1:3" x14ac:dyDescent="0.3">
      <c r="A49" t="s">
        <v>296</v>
      </c>
      <c r="B49" t="s">
        <v>6018</v>
      </c>
      <c r="C49" t="s">
        <v>3397</v>
      </c>
    </row>
    <row r="50" spans="1:3" x14ac:dyDescent="0.3">
      <c r="A50" t="s">
        <v>299</v>
      </c>
      <c r="B50" t="s">
        <v>6019</v>
      </c>
    </row>
    <row r="51" spans="1:3" x14ac:dyDescent="0.3">
      <c r="A51" t="s">
        <v>301</v>
      </c>
      <c r="B51" t="s">
        <v>6020</v>
      </c>
    </row>
    <row r="52" spans="1:3" x14ac:dyDescent="0.3">
      <c r="A52" t="s">
        <v>303</v>
      </c>
      <c r="B52" t="s">
        <v>6021</v>
      </c>
      <c r="C52" t="s">
        <v>3397</v>
      </c>
    </row>
    <row r="53" spans="1:3" x14ac:dyDescent="0.3">
      <c r="A53" t="s">
        <v>299</v>
      </c>
      <c r="B53" t="s">
        <v>6022</v>
      </c>
    </row>
    <row r="54" spans="1:3" x14ac:dyDescent="0.3">
      <c r="A54" t="s">
        <v>301</v>
      </c>
      <c r="B54" t="s">
        <v>6023</v>
      </c>
    </row>
    <row r="55" spans="1:3" x14ac:dyDescent="0.3">
      <c r="A55" t="s">
        <v>307</v>
      </c>
      <c r="B55" t="s">
        <v>6024</v>
      </c>
      <c r="C55" t="s">
        <v>3397</v>
      </c>
    </row>
    <row r="56" spans="1:3" x14ac:dyDescent="0.3">
      <c r="A56" t="s">
        <v>299</v>
      </c>
      <c r="B56" t="s">
        <v>6025</v>
      </c>
    </row>
    <row r="57" spans="1:3" x14ac:dyDescent="0.3">
      <c r="A57" t="s">
        <v>301</v>
      </c>
      <c r="B57" t="s">
        <v>6026</v>
      </c>
    </row>
    <row r="58" spans="1:3" x14ac:dyDescent="0.3">
      <c r="A58" t="s">
        <v>311</v>
      </c>
      <c r="B58" t="s">
        <v>6027</v>
      </c>
      <c r="C58" t="s">
        <v>3397</v>
      </c>
    </row>
    <row r="59" spans="1:3" x14ac:dyDescent="0.3">
      <c r="A59" t="s">
        <v>299</v>
      </c>
      <c r="B59" t="s">
        <v>6028</v>
      </c>
    </row>
    <row r="60" spans="1:3" x14ac:dyDescent="0.3">
      <c r="A60" t="s">
        <v>301</v>
      </c>
      <c r="B60" t="s">
        <v>6029</v>
      </c>
    </row>
    <row r="61" spans="1:3" x14ac:dyDescent="0.3">
      <c r="A61" t="s">
        <v>316</v>
      </c>
      <c r="B61" t="s">
        <v>6030</v>
      </c>
      <c r="C61" t="s">
        <v>3397</v>
      </c>
    </row>
    <row r="62" spans="1:3" x14ac:dyDescent="0.3">
      <c r="A62" t="s">
        <v>299</v>
      </c>
      <c r="B62" t="s">
        <v>6031</v>
      </c>
    </row>
    <row r="63" spans="1:3" x14ac:dyDescent="0.3">
      <c r="A63" t="s">
        <v>301</v>
      </c>
      <c r="B63" t="s">
        <v>6032</v>
      </c>
    </row>
    <row r="64" spans="1:3" x14ac:dyDescent="0.3">
      <c r="A64" t="s">
        <v>320</v>
      </c>
      <c r="B64" t="s">
        <v>6033</v>
      </c>
      <c r="C64" t="s">
        <v>3397</v>
      </c>
    </row>
    <row r="65" spans="1:3" x14ac:dyDescent="0.3">
      <c r="A65" t="s">
        <v>299</v>
      </c>
      <c r="B65" t="s">
        <v>6034</v>
      </c>
    </row>
    <row r="66" spans="1:3" x14ac:dyDescent="0.3">
      <c r="A66" t="s">
        <v>301</v>
      </c>
      <c r="B66" t="s">
        <v>6035</v>
      </c>
    </row>
    <row r="67" spans="1:3" x14ac:dyDescent="0.3">
      <c r="A67" t="s">
        <v>324</v>
      </c>
      <c r="B67" t="s">
        <v>6036</v>
      </c>
      <c r="C67" t="s">
        <v>3397</v>
      </c>
    </row>
    <row r="68" spans="1:3" x14ac:dyDescent="0.3">
      <c r="A68" t="s">
        <v>299</v>
      </c>
      <c r="B68" t="s">
        <v>6037</v>
      </c>
    </row>
    <row r="69" spans="1:3" x14ac:dyDescent="0.3">
      <c r="A69" t="s">
        <v>301</v>
      </c>
      <c r="B69" t="s">
        <v>6038</v>
      </c>
    </row>
    <row r="70" spans="1:3" x14ac:dyDescent="0.3">
      <c r="A70" t="s">
        <v>328</v>
      </c>
      <c r="B70" t="s">
        <v>6039</v>
      </c>
      <c r="C70" t="s">
        <v>3397</v>
      </c>
    </row>
    <row r="71" spans="1:3" x14ac:dyDescent="0.3">
      <c r="A71" t="s">
        <v>299</v>
      </c>
      <c r="B71" t="s">
        <v>6040</v>
      </c>
    </row>
    <row r="72" spans="1:3" x14ac:dyDescent="0.3">
      <c r="A72" t="s">
        <v>301</v>
      </c>
      <c r="B72" t="s">
        <v>6041</v>
      </c>
    </row>
    <row r="73" spans="1:3" x14ac:dyDescent="0.3">
      <c r="A73" t="s">
        <v>333</v>
      </c>
      <c r="B73" t="s">
        <v>6042</v>
      </c>
      <c r="C73" t="s">
        <v>3397</v>
      </c>
    </row>
    <row r="74" spans="1:3" x14ac:dyDescent="0.3">
      <c r="A74" t="s">
        <v>299</v>
      </c>
      <c r="B74" t="s">
        <v>6043</v>
      </c>
    </row>
    <row r="75" spans="1:3" x14ac:dyDescent="0.3">
      <c r="A75" t="s">
        <v>301</v>
      </c>
      <c r="B75" t="s">
        <v>6044</v>
      </c>
    </row>
    <row r="76" spans="1:3" x14ac:dyDescent="0.3">
      <c r="A76" t="s">
        <v>337</v>
      </c>
      <c r="B76" t="s">
        <v>3368</v>
      </c>
      <c r="C76" t="s">
        <v>3397</v>
      </c>
    </row>
    <row r="77" spans="1:3" x14ac:dyDescent="0.3">
      <c r="A77" t="s">
        <v>299</v>
      </c>
      <c r="B77" t="s">
        <v>6045</v>
      </c>
    </row>
    <row r="78" spans="1:3" x14ac:dyDescent="0.3">
      <c r="A78" t="s">
        <v>301</v>
      </c>
      <c r="B78" t="s">
        <v>6046</v>
      </c>
    </row>
    <row r="79" spans="1:3" x14ac:dyDescent="0.3">
      <c r="A79" t="s">
        <v>341</v>
      </c>
      <c r="B79" t="s">
        <v>6047</v>
      </c>
      <c r="C79" t="s">
        <v>3397</v>
      </c>
    </row>
    <row r="80" spans="1:3" x14ac:dyDescent="0.3">
      <c r="A80" t="s">
        <v>299</v>
      </c>
      <c r="B80" t="s">
        <v>6048</v>
      </c>
    </row>
    <row r="81" spans="1:3" x14ac:dyDescent="0.3">
      <c r="A81" t="s">
        <v>301</v>
      </c>
      <c r="B81" t="s">
        <v>6049</v>
      </c>
    </row>
    <row r="82" spans="1:3" x14ac:dyDescent="0.3">
      <c r="A82" t="s">
        <v>346</v>
      </c>
      <c r="B82" t="s">
        <v>6050</v>
      </c>
      <c r="C82" t="s">
        <v>3397</v>
      </c>
    </row>
    <row r="83" spans="1:3" x14ac:dyDescent="0.3">
      <c r="A83" t="s">
        <v>299</v>
      </c>
      <c r="B83" t="s">
        <v>6051</v>
      </c>
    </row>
    <row r="84" spans="1:3" x14ac:dyDescent="0.3">
      <c r="A84" t="s">
        <v>301</v>
      </c>
      <c r="B84" t="s">
        <v>6052</v>
      </c>
    </row>
    <row r="85" spans="1:3" x14ac:dyDescent="0.3">
      <c r="A85" t="s">
        <v>1453</v>
      </c>
      <c r="B85" t="s">
        <v>6053</v>
      </c>
      <c r="C85" t="s">
        <v>3397</v>
      </c>
    </row>
    <row r="86" spans="1:3" x14ac:dyDescent="0.3">
      <c r="A86" t="s">
        <v>299</v>
      </c>
      <c r="B86" t="s">
        <v>6054</v>
      </c>
    </row>
    <row r="87" spans="1:3" x14ac:dyDescent="0.3">
      <c r="A87" t="s">
        <v>301</v>
      </c>
      <c r="B87" t="s">
        <v>6055</v>
      </c>
    </row>
    <row r="88" spans="1:3" x14ac:dyDescent="0.3">
      <c r="A88" t="s">
        <v>1457</v>
      </c>
      <c r="B88" t="s">
        <v>6056</v>
      </c>
      <c r="C88" t="s">
        <v>3397</v>
      </c>
    </row>
    <row r="89" spans="1:3" x14ac:dyDescent="0.3">
      <c r="A89" t="s">
        <v>299</v>
      </c>
      <c r="B89" t="s">
        <v>6057</v>
      </c>
    </row>
    <row r="90" spans="1:3" x14ac:dyDescent="0.3">
      <c r="A90" t="s">
        <v>301</v>
      </c>
      <c r="B90" t="s">
        <v>6058</v>
      </c>
    </row>
  </sheetData>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C120"/>
  <sheetViews>
    <sheetView workbookViewId="0"/>
  </sheetViews>
  <sheetFormatPr defaultRowHeight="14.4" x14ac:dyDescent="0.3"/>
  <cols>
    <col min="1" max="1" width="46" customWidth="1"/>
    <col min="2" max="8" width="15" customWidth="1"/>
  </cols>
  <sheetData>
    <row r="1" spans="1:3" x14ac:dyDescent="0.3">
      <c r="A1" s="24" t="s">
        <v>181</v>
      </c>
      <c r="B1" t="s">
        <v>6059</v>
      </c>
    </row>
    <row r="2" spans="1:3" x14ac:dyDescent="0.3">
      <c r="A2" s="24" t="s">
        <v>183</v>
      </c>
      <c r="B2" t="s">
        <v>6060</v>
      </c>
    </row>
    <row r="4" spans="1:3" x14ac:dyDescent="0.3">
      <c r="A4" s="25" t="s">
        <v>185</v>
      </c>
      <c r="B4" s="25"/>
      <c r="C4" s="25"/>
    </row>
    <row r="6" spans="1:3" x14ac:dyDescent="0.3">
      <c r="A6" t="s">
        <v>6061</v>
      </c>
      <c r="B6" t="s">
        <v>238</v>
      </c>
      <c r="C6" t="s">
        <v>204</v>
      </c>
    </row>
    <row r="7" spans="1:3" x14ac:dyDescent="0.3">
      <c r="A7" t="s">
        <v>6062</v>
      </c>
      <c r="B7" t="s">
        <v>6063</v>
      </c>
      <c r="C7" t="s">
        <v>1946</v>
      </c>
    </row>
    <row r="8" spans="1:3" x14ac:dyDescent="0.3">
      <c r="A8" t="s">
        <v>6064</v>
      </c>
      <c r="B8" t="s">
        <v>6065</v>
      </c>
      <c r="C8" t="s">
        <v>197</v>
      </c>
    </row>
    <row r="9" spans="1:3" x14ac:dyDescent="0.3">
      <c r="A9" t="s">
        <v>6066</v>
      </c>
      <c r="B9" t="s">
        <v>2240</v>
      </c>
      <c r="C9" t="s">
        <v>197</v>
      </c>
    </row>
    <row r="10" spans="1:3" x14ac:dyDescent="0.3">
      <c r="A10" t="s">
        <v>6067</v>
      </c>
      <c r="B10" t="s">
        <v>6068</v>
      </c>
      <c r="C10" t="s">
        <v>197</v>
      </c>
    </row>
    <row r="11" spans="1:3" x14ac:dyDescent="0.3">
      <c r="A11" t="s">
        <v>6069</v>
      </c>
      <c r="B11" t="s">
        <v>6070</v>
      </c>
      <c r="C11" t="s">
        <v>197</v>
      </c>
    </row>
    <row r="12" spans="1:3" x14ac:dyDescent="0.3">
      <c r="A12" t="s">
        <v>6071</v>
      </c>
      <c r="B12" t="s">
        <v>6072</v>
      </c>
      <c r="C12" t="s">
        <v>197</v>
      </c>
    </row>
    <row r="13" spans="1:3" x14ac:dyDescent="0.3">
      <c r="A13" t="s">
        <v>6073</v>
      </c>
      <c r="B13" t="s">
        <v>6074</v>
      </c>
      <c r="C13" t="s">
        <v>197</v>
      </c>
    </row>
    <row r="15" spans="1:3" x14ac:dyDescent="0.3">
      <c r="A15" t="s">
        <v>6075</v>
      </c>
      <c r="B15" t="s">
        <v>238</v>
      </c>
      <c r="C15" t="s">
        <v>204</v>
      </c>
    </row>
    <row r="16" spans="1:3" x14ac:dyDescent="0.3">
      <c r="A16" t="s">
        <v>5821</v>
      </c>
      <c r="B16" t="s">
        <v>5947</v>
      </c>
      <c r="C16" t="s">
        <v>2235</v>
      </c>
    </row>
    <row r="17" spans="1:3" x14ac:dyDescent="0.3">
      <c r="A17" t="s">
        <v>6076</v>
      </c>
      <c r="B17" t="s">
        <v>6065</v>
      </c>
      <c r="C17" t="s">
        <v>197</v>
      </c>
    </row>
    <row r="18" spans="1:3" x14ac:dyDescent="0.3">
      <c r="A18" t="s">
        <v>6077</v>
      </c>
      <c r="B18" t="s">
        <v>6078</v>
      </c>
      <c r="C18" t="s">
        <v>197</v>
      </c>
    </row>
    <row r="19" spans="1:3" x14ac:dyDescent="0.3">
      <c r="A19" t="s">
        <v>6079</v>
      </c>
      <c r="B19" t="s">
        <v>1872</v>
      </c>
      <c r="C19" t="s">
        <v>197</v>
      </c>
    </row>
    <row r="20" spans="1:3" x14ac:dyDescent="0.3">
      <c r="A20" t="s">
        <v>6080</v>
      </c>
      <c r="B20" t="s">
        <v>6081</v>
      </c>
      <c r="C20" t="s">
        <v>197</v>
      </c>
    </row>
    <row r="21" spans="1:3" x14ac:dyDescent="0.3">
      <c r="A21" t="s">
        <v>6082</v>
      </c>
      <c r="B21" t="s">
        <v>874</v>
      </c>
      <c r="C21" t="s">
        <v>197</v>
      </c>
    </row>
    <row r="23" spans="1:3" x14ac:dyDescent="0.3">
      <c r="A23" t="s">
        <v>5952</v>
      </c>
      <c r="B23" t="s">
        <v>238</v>
      </c>
    </row>
    <row r="24" spans="1:3" x14ac:dyDescent="0.3">
      <c r="A24" t="s">
        <v>6083</v>
      </c>
      <c r="B24" t="s">
        <v>5829</v>
      </c>
    </row>
    <row r="25" spans="1:3" x14ac:dyDescent="0.3">
      <c r="A25" t="s">
        <v>5830</v>
      </c>
      <c r="B25" t="s">
        <v>6084</v>
      </c>
    </row>
    <row r="26" spans="1:3" x14ac:dyDescent="0.3">
      <c r="A26" t="s">
        <v>6085</v>
      </c>
      <c r="B26" t="s">
        <v>6086</v>
      </c>
    </row>
    <row r="28" spans="1:3" x14ac:dyDescent="0.3">
      <c r="A28" t="s">
        <v>273</v>
      </c>
      <c r="B28" t="s">
        <v>238</v>
      </c>
      <c r="C28" t="s">
        <v>274</v>
      </c>
    </row>
    <row r="29" spans="1:3" x14ac:dyDescent="0.3">
      <c r="A29" t="s">
        <v>3746</v>
      </c>
      <c r="B29" t="s">
        <v>6086</v>
      </c>
      <c r="C29" t="s">
        <v>42</v>
      </c>
    </row>
    <row r="30" spans="1:3" x14ac:dyDescent="0.3">
      <c r="A30" t="s">
        <v>6087</v>
      </c>
      <c r="B30" t="s">
        <v>5999</v>
      </c>
      <c r="C30" t="s">
        <v>42</v>
      </c>
    </row>
    <row r="31" spans="1:3" x14ac:dyDescent="0.3">
      <c r="A31" t="s">
        <v>171</v>
      </c>
      <c r="B31" t="s">
        <v>6088</v>
      </c>
      <c r="C31" t="s">
        <v>42</v>
      </c>
    </row>
    <row r="32" spans="1:3" x14ac:dyDescent="0.3">
      <c r="A32" t="s">
        <v>6089</v>
      </c>
      <c r="B32" t="s">
        <v>6090</v>
      </c>
      <c r="C32" t="s">
        <v>6091</v>
      </c>
    </row>
    <row r="33" spans="1:3" x14ac:dyDescent="0.3">
      <c r="A33" t="s">
        <v>6092</v>
      </c>
      <c r="B33" t="s">
        <v>6093</v>
      </c>
      <c r="C33" t="s">
        <v>5842</v>
      </c>
    </row>
    <row r="36" spans="1:3" x14ac:dyDescent="0.3">
      <c r="A36" s="25" t="s">
        <v>281</v>
      </c>
      <c r="B36" s="25"/>
      <c r="C36" s="25"/>
    </row>
    <row r="37" spans="1:3" x14ac:dyDescent="0.3">
      <c r="A37" t="s">
        <v>6094</v>
      </c>
    </row>
    <row r="38" spans="1:3" x14ac:dyDescent="0.3">
      <c r="A38" t="s">
        <v>6095</v>
      </c>
    </row>
    <row r="39" spans="1:3" x14ac:dyDescent="0.3">
      <c r="A39" t="s">
        <v>6096</v>
      </c>
    </row>
    <row r="40" spans="1:3" x14ac:dyDescent="0.3">
      <c r="A40" t="s">
        <v>6097</v>
      </c>
    </row>
    <row r="41" spans="1:3" x14ac:dyDescent="0.3">
      <c r="A41" t="s">
        <v>6098</v>
      </c>
    </row>
    <row r="42" spans="1:3" x14ac:dyDescent="0.3">
      <c r="A42" t="s">
        <v>6099</v>
      </c>
    </row>
    <row r="43" spans="1:3" x14ac:dyDescent="0.3">
      <c r="A43" t="s">
        <v>6100</v>
      </c>
    </row>
    <row r="44" spans="1:3" x14ac:dyDescent="0.3">
      <c r="A44" t="s">
        <v>6101</v>
      </c>
    </row>
    <row r="45" spans="1:3" x14ac:dyDescent="0.3">
      <c r="A45" t="s">
        <v>6102</v>
      </c>
    </row>
    <row r="46" spans="1:3" x14ac:dyDescent="0.3">
      <c r="A46" t="s">
        <v>6103</v>
      </c>
    </row>
    <row r="47" spans="1:3" x14ac:dyDescent="0.3">
      <c r="A47" t="s">
        <v>6104</v>
      </c>
    </row>
    <row r="48" spans="1:3" x14ac:dyDescent="0.3">
      <c r="A48" t="s">
        <v>6105</v>
      </c>
    </row>
    <row r="49" spans="1:3" x14ac:dyDescent="0.3">
      <c r="A49" t="s">
        <v>6106</v>
      </c>
    </row>
    <row r="51" spans="1:3" x14ac:dyDescent="0.3">
      <c r="A51" s="25" t="s">
        <v>295</v>
      </c>
      <c r="B51" s="25"/>
      <c r="C51" s="25"/>
    </row>
    <row r="52" spans="1:3" x14ac:dyDescent="0.3">
      <c r="A52" t="s">
        <v>296</v>
      </c>
      <c r="B52" t="s">
        <v>6107</v>
      </c>
      <c r="C52" t="s">
        <v>6108</v>
      </c>
    </row>
    <row r="53" spans="1:3" x14ac:dyDescent="0.3">
      <c r="A53" t="s">
        <v>299</v>
      </c>
      <c r="B53" t="s">
        <v>6109</v>
      </c>
    </row>
    <row r="54" spans="1:3" x14ac:dyDescent="0.3">
      <c r="A54" t="s">
        <v>301</v>
      </c>
      <c r="B54" t="s">
        <v>6110</v>
      </c>
    </row>
    <row r="55" spans="1:3" x14ac:dyDescent="0.3">
      <c r="A55" t="s">
        <v>303</v>
      </c>
      <c r="B55" t="s">
        <v>6111</v>
      </c>
      <c r="C55" t="s">
        <v>6108</v>
      </c>
    </row>
    <row r="56" spans="1:3" x14ac:dyDescent="0.3">
      <c r="A56" t="s">
        <v>299</v>
      </c>
      <c r="B56" t="s">
        <v>6112</v>
      </c>
    </row>
    <row r="57" spans="1:3" x14ac:dyDescent="0.3">
      <c r="A57" t="s">
        <v>301</v>
      </c>
      <c r="B57" t="s">
        <v>6113</v>
      </c>
    </row>
    <row r="58" spans="1:3" x14ac:dyDescent="0.3">
      <c r="A58" t="s">
        <v>307</v>
      </c>
      <c r="B58" t="s">
        <v>6114</v>
      </c>
      <c r="C58" t="s">
        <v>6108</v>
      </c>
    </row>
    <row r="59" spans="1:3" x14ac:dyDescent="0.3">
      <c r="A59" t="s">
        <v>299</v>
      </c>
      <c r="B59" t="s">
        <v>6115</v>
      </c>
    </row>
    <row r="60" spans="1:3" x14ac:dyDescent="0.3">
      <c r="A60" t="s">
        <v>301</v>
      </c>
      <c r="B60" t="s">
        <v>6116</v>
      </c>
    </row>
    <row r="61" spans="1:3" x14ac:dyDescent="0.3">
      <c r="A61" t="s">
        <v>311</v>
      </c>
      <c r="B61" t="s">
        <v>6117</v>
      </c>
      <c r="C61" t="s">
        <v>6108</v>
      </c>
    </row>
    <row r="62" spans="1:3" x14ac:dyDescent="0.3">
      <c r="A62" t="s">
        <v>299</v>
      </c>
      <c r="B62" t="s">
        <v>6118</v>
      </c>
    </row>
    <row r="63" spans="1:3" x14ac:dyDescent="0.3">
      <c r="A63" t="s">
        <v>301</v>
      </c>
      <c r="B63" t="s">
        <v>6119</v>
      </c>
    </row>
    <row r="64" spans="1:3" x14ac:dyDescent="0.3">
      <c r="A64" t="s">
        <v>316</v>
      </c>
      <c r="B64" t="s">
        <v>6120</v>
      </c>
      <c r="C64" t="s">
        <v>6108</v>
      </c>
    </row>
    <row r="65" spans="1:3" x14ac:dyDescent="0.3">
      <c r="A65" t="s">
        <v>299</v>
      </c>
      <c r="B65" t="s">
        <v>6121</v>
      </c>
    </row>
    <row r="66" spans="1:3" x14ac:dyDescent="0.3">
      <c r="A66" t="s">
        <v>301</v>
      </c>
      <c r="B66" t="s">
        <v>6122</v>
      </c>
    </row>
    <row r="67" spans="1:3" x14ac:dyDescent="0.3">
      <c r="A67" t="s">
        <v>320</v>
      </c>
      <c r="B67" t="s">
        <v>6123</v>
      </c>
      <c r="C67" t="s">
        <v>6108</v>
      </c>
    </row>
    <row r="68" spans="1:3" x14ac:dyDescent="0.3">
      <c r="A68" t="s">
        <v>299</v>
      </c>
      <c r="B68" t="s">
        <v>6124</v>
      </c>
    </row>
    <row r="69" spans="1:3" x14ac:dyDescent="0.3">
      <c r="A69" t="s">
        <v>301</v>
      </c>
      <c r="B69" t="s">
        <v>6125</v>
      </c>
    </row>
    <row r="70" spans="1:3" x14ac:dyDescent="0.3">
      <c r="A70" t="s">
        <v>324</v>
      </c>
      <c r="B70" t="s">
        <v>6126</v>
      </c>
      <c r="C70" t="s">
        <v>6108</v>
      </c>
    </row>
    <row r="71" spans="1:3" x14ac:dyDescent="0.3">
      <c r="A71" t="s">
        <v>299</v>
      </c>
      <c r="B71" t="s">
        <v>6127</v>
      </c>
    </row>
    <row r="72" spans="1:3" x14ac:dyDescent="0.3">
      <c r="A72" t="s">
        <v>301</v>
      </c>
      <c r="B72" t="s">
        <v>6128</v>
      </c>
    </row>
    <row r="73" spans="1:3" x14ac:dyDescent="0.3">
      <c r="A73" t="s">
        <v>328</v>
      </c>
      <c r="B73" t="s">
        <v>6129</v>
      </c>
      <c r="C73" t="s">
        <v>6108</v>
      </c>
    </row>
    <row r="74" spans="1:3" x14ac:dyDescent="0.3">
      <c r="A74" t="s">
        <v>299</v>
      </c>
      <c r="B74" t="s">
        <v>6130</v>
      </c>
    </row>
    <row r="75" spans="1:3" x14ac:dyDescent="0.3">
      <c r="A75" t="s">
        <v>301</v>
      </c>
      <c r="B75" t="s">
        <v>6131</v>
      </c>
    </row>
    <row r="76" spans="1:3" x14ac:dyDescent="0.3">
      <c r="A76" t="s">
        <v>333</v>
      </c>
      <c r="B76" t="s">
        <v>6132</v>
      </c>
      <c r="C76" t="s">
        <v>6108</v>
      </c>
    </row>
    <row r="77" spans="1:3" x14ac:dyDescent="0.3">
      <c r="A77" t="s">
        <v>299</v>
      </c>
      <c r="B77" t="s">
        <v>6133</v>
      </c>
    </row>
    <row r="78" spans="1:3" x14ac:dyDescent="0.3">
      <c r="A78" t="s">
        <v>301</v>
      </c>
      <c r="B78" t="s">
        <v>6134</v>
      </c>
    </row>
    <row r="79" spans="1:3" x14ac:dyDescent="0.3">
      <c r="A79" t="s">
        <v>337</v>
      </c>
      <c r="B79" t="s">
        <v>6135</v>
      </c>
      <c r="C79" t="s">
        <v>6108</v>
      </c>
    </row>
    <row r="80" spans="1:3" x14ac:dyDescent="0.3">
      <c r="A80" t="s">
        <v>299</v>
      </c>
      <c r="B80" t="s">
        <v>6136</v>
      </c>
    </row>
    <row r="81" spans="1:3" x14ac:dyDescent="0.3">
      <c r="A81" t="s">
        <v>301</v>
      </c>
      <c r="B81" t="s">
        <v>6137</v>
      </c>
    </row>
    <row r="82" spans="1:3" x14ac:dyDescent="0.3">
      <c r="A82" t="s">
        <v>341</v>
      </c>
      <c r="B82" t="s">
        <v>6138</v>
      </c>
      <c r="C82" t="s">
        <v>6108</v>
      </c>
    </row>
    <row r="83" spans="1:3" x14ac:dyDescent="0.3">
      <c r="A83" t="s">
        <v>299</v>
      </c>
      <c r="B83" t="s">
        <v>6139</v>
      </c>
    </row>
    <row r="84" spans="1:3" x14ac:dyDescent="0.3">
      <c r="A84" t="s">
        <v>301</v>
      </c>
      <c r="B84" t="s">
        <v>6140</v>
      </c>
    </row>
    <row r="85" spans="1:3" x14ac:dyDescent="0.3">
      <c r="A85" t="s">
        <v>346</v>
      </c>
      <c r="B85" t="s">
        <v>6141</v>
      </c>
      <c r="C85" t="s">
        <v>6108</v>
      </c>
    </row>
    <row r="86" spans="1:3" x14ac:dyDescent="0.3">
      <c r="A86" t="s">
        <v>299</v>
      </c>
      <c r="B86" t="s">
        <v>6142</v>
      </c>
    </row>
    <row r="87" spans="1:3" x14ac:dyDescent="0.3">
      <c r="A87" t="s">
        <v>301</v>
      </c>
      <c r="B87" t="s">
        <v>6143</v>
      </c>
    </row>
    <row r="88" spans="1:3" x14ac:dyDescent="0.3">
      <c r="A88" t="s">
        <v>1453</v>
      </c>
      <c r="B88" t="s">
        <v>6144</v>
      </c>
      <c r="C88" t="s">
        <v>6108</v>
      </c>
    </row>
    <row r="89" spans="1:3" x14ac:dyDescent="0.3">
      <c r="A89" t="s">
        <v>299</v>
      </c>
      <c r="B89" t="s">
        <v>6145</v>
      </c>
    </row>
    <row r="90" spans="1:3" x14ac:dyDescent="0.3">
      <c r="A90" t="s">
        <v>301</v>
      </c>
      <c r="B90" t="s">
        <v>6146</v>
      </c>
    </row>
    <row r="91" spans="1:3" x14ac:dyDescent="0.3">
      <c r="A91" t="s">
        <v>1457</v>
      </c>
      <c r="B91" t="s">
        <v>6147</v>
      </c>
      <c r="C91" t="s">
        <v>6108</v>
      </c>
    </row>
    <row r="92" spans="1:3" x14ac:dyDescent="0.3">
      <c r="A92" t="s">
        <v>299</v>
      </c>
      <c r="B92" t="s">
        <v>6148</v>
      </c>
    </row>
    <row r="93" spans="1:3" x14ac:dyDescent="0.3">
      <c r="A93" t="s">
        <v>301</v>
      </c>
      <c r="B93" t="s">
        <v>6149</v>
      </c>
    </row>
    <row r="94" spans="1:3" x14ac:dyDescent="0.3">
      <c r="A94" t="s">
        <v>1461</v>
      </c>
      <c r="B94" t="s">
        <v>6150</v>
      </c>
      <c r="C94" t="s">
        <v>6151</v>
      </c>
    </row>
    <row r="95" spans="1:3" x14ac:dyDescent="0.3">
      <c r="A95" t="s">
        <v>299</v>
      </c>
      <c r="B95" t="s">
        <v>6152</v>
      </c>
    </row>
    <row r="96" spans="1:3" x14ac:dyDescent="0.3">
      <c r="A96" t="s">
        <v>301</v>
      </c>
      <c r="B96" t="s">
        <v>6153</v>
      </c>
    </row>
    <row r="97" spans="1:3" x14ac:dyDescent="0.3">
      <c r="A97" t="s">
        <v>1465</v>
      </c>
      <c r="B97" t="s">
        <v>6154</v>
      </c>
      <c r="C97" t="s">
        <v>6151</v>
      </c>
    </row>
    <row r="98" spans="1:3" x14ac:dyDescent="0.3">
      <c r="A98" t="s">
        <v>299</v>
      </c>
      <c r="B98" t="s">
        <v>6155</v>
      </c>
    </row>
    <row r="99" spans="1:3" x14ac:dyDescent="0.3">
      <c r="A99" t="s">
        <v>301</v>
      </c>
      <c r="B99" t="s">
        <v>6156</v>
      </c>
    </row>
    <row r="100" spans="1:3" x14ac:dyDescent="0.3">
      <c r="A100" t="s">
        <v>1469</v>
      </c>
      <c r="B100" t="s">
        <v>6157</v>
      </c>
      <c r="C100" t="s">
        <v>6151</v>
      </c>
    </row>
    <row r="101" spans="1:3" x14ac:dyDescent="0.3">
      <c r="A101" t="s">
        <v>299</v>
      </c>
      <c r="B101" t="s">
        <v>6158</v>
      </c>
    </row>
    <row r="102" spans="1:3" x14ac:dyDescent="0.3">
      <c r="A102" t="s">
        <v>301</v>
      </c>
      <c r="B102" t="s">
        <v>6159</v>
      </c>
    </row>
    <row r="103" spans="1:3" x14ac:dyDescent="0.3">
      <c r="A103" t="s">
        <v>1473</v>
      </c>
      <c r="B103" t="s">
        <v>6160</v>
      </c>
      <c r="C103" t="s">
        <v>6151</v>
      </c>
    </row>
    <row r="104" spans="1:3" x14ac:dyDescent="0.3">
      <c r="A104" t="s">
        <v>299</v>
      </c>
      <c r="B104" t="s">
        <v>6161</v>
      </c>
    </row>
    <row r="105" spans="1:3" x14ac:dyDescent="0.3">
      <c r="A105" t="s">
        <v>301</v>
      </c>
      <c r="B105" t="s">
        <v>6162</v>
      </c>
    </row>
    <row r="106" spans="1:3" x14ac:dyDescent="0.3">
      <c r="A106" t="s">
        <v>1477</v>
      </c>
      <c r="B106" t="s">
        <v>6163</v>
      </c>
      <c r="C106" t="s">
        <v>6108</v>
      </c>
    </row>
    <row r="107" spans="1:3" x14ac:dyDescent="0.3">
      <c r="A107" t="s">
        <v>299</v>
      </c>
      <c r="B107" t="s">
        <v>6164</v>
      </c>
    </row>
    <row r="108" spans="1:3" x14ac:dyDescent="0.3">
      <c r="A108" t="s">
        <v>301</v>
      </c>
      <c r="B108" t="s">
        <v>6165</v>
      </c>
    </row>
    <row r="109" spans="1:3" x14ac:dyDescent="0.3">
      <c r="A109" t="s">
        <v>2578</v>
      </c>
      <c r="B109" t="s">
        <v>6166</v>
      </c>
      <c r="C109" t="s">
        <v>6151</v>
      </c>
    </row>
    <row r="110" spans="1:3" x14ac:dyDescent="0.3">
      <c r="A110" t="s">
        <v>299</v>
      </c>
      <c r="B110" t="s">
        <v>6167</v>
      </c>
    </row>
    <row r="111" spans="1:3" x14ac:dyDescent="0.3">
      <c r="A111" t="s">
        <v>301</v>
      </c>
      <c r="B111" t="s">
        <v>6168</v>
      </c>
    </row>
    <row r="112" spans="1:3" x14ac:dyDescent="0.3">
      <c r="A112" t="s">
        <v>2582</v>
      </c>
      <c r="B112" t="s">
        <v>6169</v>
      </c>
      <c r="C112" t="s">
        <v>6108</v>
      </c>
    </row>
    <row r="113" spans="1:3" x14ac:dyDescent="0.3">
      <c r="A113" t="s">
        <v>299</v>
      </c>
      <c r="B113" t="s">
        <v>6170</v>
      </c>
    </row>
    <row r="114" spans="1:3" x14ac:dyDescent="0.3">
      <c r="A114" t="s">
        <v>301</v>
      </c>
      <c r="B114" t="s">
        <v>6171</v>
      </c>
    </row>
    <row r="115" spans="1:3" x14ac:dyDescent="0.3">
      <c r="A115" t="s">
        <v>4465</v>
      </c>
      <c r="B115" t="s">
        <v>6172</v>
      </c>
      <c r="C115" t="s">
        <v>6108</v>
      </c>
    </row>
    <row r="116" spans="1:3" x14ac:dyDescent="0.3">
      <c r="A116" t="s">
        <v>299</v>
      </c>
      <c r="B116" t="s">
        <v>6173</v>
      </c>
    </row>
    <row r="117" spans="1:3" x14ac:dyDescent="0.3">
      <c r="A117" t="s">
        <v>301</v>
      </c>
      <c r="B117" t="s">
        <v>6174</v>
      </c>
    </row>
    <row r="118" spans="1:3" x14ac:dyDescent="0.3">
      <c r="A118" t="s">
        <v>4469</v>
      </c>
      <c r="B118" t="s">
        <v>6175</v>
      </c>
      <c r="C118" t="s">
        <v>6108</v>
      </c>
    </row>
    <row r="119" spans="1:3" x14ac:dyDescent="0.3">
      <c r="A119" t="s">
        <v>299</v>
      </c>
      <c r="B119" t="s">
        <v>6176</v>
      </c>
    </row>
    <row r="120" spans="1:3" x14ac:dyDescent="0.3">
      <c r="A120" t="s">
        <v>301</v>
      </c>
      <c r="B120" t="s">
        <v>6177</v>
      </c>
    </row>
  </sheetData>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D104"/>
  <sheetViews>
    <sheetView workbookViewId="0"/>
  </sheetViews>
  <sheetFormatPr defaultRowHeight="14.4" x14ac:dyDescent="0.3"/>
  <cols>
    <col min="1" max="1" width="46" customWidth="1"/>
    <col min="2" max="8" width="15" customWidth="1"/>
  </cols>
  <sheetData>
    <row r="1" spans="1:4" x14ac:dyDescent="0.3">
      <c r="A1" s="24" t="s">
        <v>181</v>
      </c>
      <c r="B1" t="s">
        <v>6178</v>
      </c>
    </row>
    <row r="2" spans="1:4" x14ac:dyDescent="0.3">
      <c r="A2" s="24" t="s">
        <v>183</v>
      </c>
      <c r="B2" t="s">
        <v>6179</v>
      </c>
    </row>
    <row r="4" spans="1:4" x14ac:dyDescent="0.3">
      <c r="A4" s="25" t="s">
        <v>185</v>
      </c>
      <c r="B4" s="25"/>
      <c r="C4" s="25"/>
      <c r="D4" s="25"/>
    </row>
    <row r="6" spans="1:4" x14ac:dyDescent="0.3">
      <c r="A6" t="s">
        <v>4799</v>
      </c>
      <c r="B6" t="s">
        <v>37</v>
      </c>
      <c r="C6" t="s">
        <v>34</v>
      </c>
      <c r="D6" t="s">
        <v>189</v>
      </c>
    </row>
    <row r="7" spans="1:4" x14ac:dyDescent="0.3">
      <c r="A7" t="s">
        <v>45</v>
      </c>
      <c r="B7" t="s">
        <v>6180</v>
      </c>
      <c r="C7" t="s">
        <v>4800</v>
      </c>
      <c r="D7" t="s">
        <v>6181</v>
      </c>
    </row>
    <row r="8" spans="1:4" x14ac:dyDescent="0.3">
      <c r="A8" t="s">
        <v>51</v>
      </c>
      <c r="B8" t="s">
        <v>6182</v>
      </c>
      <c r="C8" t="s">
        <v>4806</v>
      </c>
      <c r="D8" t="s">
        <v>6183</v>
      </c>
    </row>
    <row r="9" spans="1:4" x14ac:dyDescent="0.3">
      <c r="A9" t="s">
        <v>52</v>
      </c>
      <c r="B9" t="s">
        <v>6184</v>
      </c>
      <c r="C9" t="s">
        <v>4808</v>
      </c>
      <c r="D9" t="s">
        <v>6185</v>
      </c>
    </row>
    <row r="10" spans="1:4" x14ac:dyDescent="0.3">
      <c r="A10" t="s">
        <v>6186</v>
      </c>
      <c r="B10" t="s">
        <v>6187</v>
      </c>
      <c r="C10" t="s">
        <v>6188</v>
      </c>
      <c r="D10" t="s">
        <v>6189</v>
      </c>
    </row>
    <row r="11" spans="1:4" x14ac:dyDescent="0.3">
      <c r="A11" t="s">
        <v>56</v>
      </c>
      <c r="B11" t="s">
        <v>6190</v>
      </c>
      <c r="C11" t="s">
        <v>5237</v>
      </c>
      <c r="D11" t="s">
        <v>6191</v>
      </c>
    </row>
    <row r="12" spans="1:4" x14ac:dyDescent="0.3">
      <c r="A12" t="s">
        <v>74</v>
      </c>
      <c r="B12" t="s">
        <v>6192</v>
      </c>
      <c r="C12" t="s">
        <v>6193</v>
      </c>
      <c r="D12" t="s">
        <v>6194</v>
      </c>
    </row>
    <row r="13" spans="1:4" x14ac:dyDescent="0.3">
      <c r="A13" t="s">
        <v>6195</v>
      </c>
      <c r="B13" t="s">
        <v>6196</v>
      </c>
      <c r="C13" t="s">
        <v>197</v>
      </c>
      <c r="D13" t="s">
        <v>197</v>
      </c>
    </row>
    <row r="14" spans="1:4" x14ac:dyDescent="0.3">
      <c r="A14" t="s">
        <v>6197</v>
      </c>
      <c r="B14" t="s">
        <v>6198</v>
      </c>
      <c r="C14" t="s">
        <v>197</v>
      </c>
      <c r="D14" t="s">
        <v>197</v>
      </c>
    </row>
    <row r="15" spans="1:4" x14ac:dyDescent="0.3">
      <c r="A15" t="s">
        <v>6199</v>
      </c>
      <c r="B15" t="s">
        <v>6200</v>
      </c>
      <c r="C15" t="s">
        <v>4821</v>
      </c>
      <c r="D15" t="s">
        <v>1930</v>
      </c>
    </row>
    <row r="17" spans="1:4" x14ac:dyDescent="0.3">
      <c r="A17" t="s">
        <v>1743</v>
      </c>
      <c r="B17" t="s">
        <v>37</v>
      </c>
      <c r="C17" t="s">
        <v>6201</v>
      </c>
      <c r="D17" t="s">
        <v>189</v>
      </c>
    </row>
    <row r="18" spans="1:4" x14ac:dyDescent="0.3">
      <c r="A18" t="s">
        <v>47</v>
      </c>
      <c r="B18" t="s">
        <v>6202</v>
      </c>
      <c r="C18" t="s">
        <v>6203</v>
      </c>
      <c r="D18" t="s">
        <v>6204</v>
      </c>
    </row>
    <row r="20" spans="1:4" x14ac:dyDescent="0.3">
      <c r="A20" t="s">
        <v>2486</v>
      </c>
      <c r="B20" t="s">
        <v>6205</v>
      </c>
    </row>
    <row r="21" spans="1:4" x14ac:dyDescent="0.3">
      <c r="A21" t="s">
        <v>3880</v>
      </c>
      <c r="B21" t="s">
        <v>6206</v>
      </c>
    </row>
    <row r="23" spans="1:4" x14ac:dyDescent="0.3">
      <c r="A23" t="s">
        <v>4828</v>
      </c>
      <c r="B23" t="s">
        <v>37</v>
      </c>
      <c r="C23" t="s">
        <v>6207</v>
      </c>
    </row>
    <row r="24" spans="1:4" x14ac:dyDescent="0.3">
      <c r="A24" t="s">
        <v>88</v>
      </c>
      <c r="B24" t="s">
        <v>686</v>
      </c>
      <c r="C24" t="s">
        <v>6208</v>
      </c>
    </row>
    <row r="25" spans="1:4" x14ac:dyDescent="0.3">
      <c r="A25" t="s">
        <v>81</v>
      </c>
      <c r="B25" t="s">
        <v>6209</v>
      </c>
      <c r="C25" t="s">
        <v>197</v>
      </c>
    </row>
    <row r="26" spans="1:4" x14ac:dyDescent="0.3">
      <c r="A26" t="s">
        <v>79</v>
      </c>
      <c r="B26" t="s">
        <v>6210</v>
      </c>
      <c r="C26" t="s">
        <v>6211</v>
      </c>
    </row>
    <row r="27" spans="1:4" x14ac:dyDescent="0.3">
      <c r="A27" t="s">
        <v>6212</v>
      </c>
      <c r="B27" t="s">
        <v>6213</v>
      </c>
      <c r="C27" t="s">
        <v>6214</v>
      </c>
    </row>
    <row r="28" spans="1:4" x14ac:dyDescent="0.3">
      <c r="A28" t="s">
        <v>93</v>
      </c>
      <c r="B28" t="s">
        <v>6215</v>
      </c>
      <c r="C28" t="s">
        <v>6216</v>
      </c>
    </row>
    <row r="29" spans="1:4" x14ac:dyDescent="0.3">
      <c r="A29" t="s">
        <v>6217</v>
      </c>
      <c r="B29" t="s">
        <v>6218</v>
      </c>
      <c r="C29" t="s">
        <v>6219</v>
      </c>
    </row>
    <row r="30" spans="1:4" x14ac:dyDescent="0.3">
      <c r="A30" t="s">
        <v>118</v>
      </c>
      <c r="B30" t="s">
        <v>6220</v>
      </c>
      <c r="C30" t="s">
        <v>197</v>
      </c>
    </row>
    <row r="31" spans="1:4" x14ac:dyDescent="0.3">
      <c r="A31" t="s">
        <v>6221</v>
      </c>
      <c r="B31" t="s">
        <v>1113</v>
      </c>
      <c r="C31" t="s">
        <v>37</v>
      </c>
    </row>
    <row r="32" spans="1:4" x14ac:dyDescent="0.3">
      <c r="A32" t="s">
        <v>6222</v>
      </c>
      <c r="B32" t="s">
        <v>6223</v>
      </c>
      <c r="C32" t="s">
        <v>197</v>
      </c>
    </row>
    <row r="33" spans="1:3" x14ac:dyDescent="0.3">
      <c r="A33" t="s">
        <v>6224</v>
      </c>
      <c r="B33" t="s">
        <v>6225</v>
      </c>
      <c r="C33" t="s">
        <v>197</v>
      </c>
    </row>
    <row r="35" spans="1:3" x14ac:dyDescent="0.3">
      <c r="A35" t="s">
        <v>6226</v>
      </c>
      <c r="B35" t="s">
        <v>37</v>
      </c>
    </row>
    <row r="36" spans="1:3" x14ac:dyDescent="0.3">
      <c r="A36" t="s">
        <v>164</v>
      </c>
      <c r="B36" t="s">
        <v>762</v>
      </c>
    </row>
    <row r="37" spans="1:3" x14ac:dyDescent="0.3">
      <c r="A37" t="s">
        <v>6227</v>
      </c>
      <c r="B37" t="s">
        <v>6228</v>
      </c>
    </row>
    <row r="38" spans="1:3" x14ac:dyDescent="0.3">
      <c r="A38" t="s">
        <v>123</v>
      </c>
      <c r="B38" t="s">
        <v>6229</v>
      </c>
    </row>
    <row r="40" spans="1:3" x14ac:dyDescent="0.3">
      <c r="A40" t="s">
        <v>6230</v>
      </c>
    </row>
    <row r="41" spans="1:3" x14ac:dyDescent="0.3">
      <c r="A41" t="s">
        <v>101</v>
      </c>
      <c r="B41" t="s">
        <v>6231</v>
      </c>
    </row>
    <row r="42" spans="1:3" x14ac:dyDescent="0.3">
      <c r="A42" t="s">
        <v>58</v>
      </c>
      <c r="B42" t="s">
        <v>6232</v>
      </c>
    </row>
    <row r="43" spans="1:3" x14ac:dyDescent="0.3">
      <c r="A43" t="s">
        <v>6233</v>
      </c>
      <c r="B43" t="s">
        <v>6234</v>
      </c>
    </row>
    <row r="45" spans="1:3" x14ac:dyDescent="0.3">
      <c r="A45" t="s">
        <v>6235</v>
      </c>
      <c r="B45" t="s">
        <v>238</v>
      </c>
      <c r="C45" t="s">
        <v>274</v>
      </c>
    </row>
    <row r="46" spans="1:3" x14ac:dyDescent="0.3">
      <c r="A46" t="s">
        <v>6236</v>
      </c>
      <c r="B46" t="s">
        <v>6237</v>
      </c>
      <c r="C46" t="s">
        <v>6238</v>
      </c>
    </row>
    <row r="47" spans="1:3" x14ac:dyDescent="0.3">
      <c r="A47" t="s">
        <v>6239</v>
      </c>
      <c r="B47" t="s">
        <v>2126</v>
      </c>
      <c r="C47" t="s">
        <v>42</v>
      </c>
    </row>
    <row r="48" spans="1:3" x14ac:dyDescent="0.3">
      <c r="A48" t="s">
        <v>6240</v>
      </c>
      <c r="B48" t="s">
        <v>6241</v>
      </c>
      <c r="C48" t="s">
        <v>42</v>
      </c>
    </row>
    <row r="49" spans="1:4" x14ac:dyDescent="0.3">
      <c r="A49" t="s">
        <v>6242</v>
      </c>
      <c r="B49" t="s">
        <v>6243</v>
      </c>
      <c r="C49" t="s">
        <v>6244</v>
      </c>
    </row>
    <row r="51" spans="1:4" x14ac:dyDescent="0.3">
      <c r="A51" s="25" t="s">
        <v>281</v>
      </c>
      <c r="B51" s="25"/>
      <c r="C51" s="25"/>
      <c r="D51" s="25"/>
    </row>
    <row r="52" spans="1:4" x14ac:dyDescent="0.3">
      <c r="A52" t="s">
        <v>6245</v>
      </c>
    </row>
    <row r="53" spans="1:4" x14ac:dyDescent="0.3">
      <c r="A53" t="s">
        <v>6246</v>
      </c>
    </row>
    <row r="54" spans="1:4" x14ac:dyDescent="0.3">
      <c r="A54" t="s">
        <v>6247</v>
      </c>
    </row>
    <row r="55" spans="1:4" x14ac:dyDescent="0.3">
      <c r="A55" t="s">
        <v>6248</v>
      </c>
    </row>
    <row r="56" spans="1:4" x14ac:dyDescent="0.3">
      <c r="A56" t="s">
        <v>6249</v>
      </c>
    </row>
    <row r="57" spans="1:4" x14ac:dyDescent="0.3">
      <c r="A57" t="s">
        <v>6250</v>
      </c>
    </row>
    <row r="58" spans="1:4" x14ac:dyDescent="0.3">
      <c r="A58" t="s">
        <v>6251</v>
      </c>
    </row>
    <row r="59" spans="1:4" x14ac:dyDescent="0.3">
      <c r="A59" t="s">
        <v>6252</v>
      </c>
    </row>
    <row r="60" spans="1:4" x14ac:dyDescent="0.3">
      <c r="A60" t="s">
        <v>6253</v>
      </c>
    </row>
    <row r="61" spans="1:4" x14ac:dyDescent="0.3">
      <c r="A61" t="s">
        <v>6254</v>
      </c>
    </row>
    <row r="62" spans="1:4" x14ac:dyDescent="0.3">
      <c r="A62" t="s">
        <v>6255</v>
      </c>
    </row>
    <row r="63" spans="1:4" x14ac:dyDescent="0.3">
      <c r="A63" t="s">
        <v>6256</v>
      </c>
    </row>
    <row r="64" spans="1:4" x14ac:dyDescent="0.3">
      <c r="A64" t="s">
        <v>6257</v>
      </c>
    </row>
    <row r="65" spans="1:4" x14ac:dyDescent="0.3">
      <c r="A65" t="s">
        <v>6258</v>
      </c>
    </row>
    <row r="66" spans="1:4" x14ac:dyDescent="0.3">
      <c r="A66" t="s">
        <v>6259</v>
      </c>
    </row>
    <row r="67" spans="1:4" x14ac:dyDescent="0.3">
      <c r="A67" t="s">
        <v>6260</v>
      </c>
    </row>
    <row r="68" spans="1:4" x14ac:dyDescent="0.3">
      <c r="A68" t="s">
        <v>6261</v>
      </c>
    </row>
    <row r="69" spans="1:4" x14ac:dyDescent="0.3">
      <c r="A69" t="s">
        <v>6262</v>
      </c>
    </row>
    <row r="71" spans="1:4" x14ac:dyDescent="0.3">
      <c r="A71" s="25" t="s">
        <v>295</v>
      </c>
      <c r="B71" s="25"/>
      <c r="C71" s="25"/>
      <c r="D71" s="25"/>
    </row>
    <row r="72" spans="1:4" x14ac:dyDescent="0.3">
      <c r="A72" t="s">
        <v>296</v>
      </c>
      <c r="B72" t="s">
        <v>6263</v>
      </c>
      <c r="C72" t="s">
        <v>6264</v>
      </c>
    </row>
    <row r="73" spans="1:4" x14ac:dyDescent="0.3">
      <c r="A73" t="s">
        <v>299</v>
      </c>
      <c r="B73" t="s">
        <v>6265</v>
      </c>
    </row>
    <row r="74" spans="1:4" x14ac:dyDescent="0.3">
      <c r="A74" t="s">
        <v>301</v>
      </c>
      <c r="B74" t="s">
        <v>6266</v>
      </c>
    </row>
    <row r="75" spans="1:4" x14ac:dyDescent="0.3">
      <c r="A75" t="s">
        <v>303</v>
      </c>
      <c r="B75" t="s">
        <v>6267</v>
      </c>
      <c r="C75" t="s">
        <v>6264</v>
      </c>
    </row>
    <row r="76" spans="1:4" x14ac:dyDescent="0.3">
      <c r="A76" t="s">
        <v>299</v>
      </c>
      <c r="B76" t="s">
        <v>6268</v>
      </c>
    </row>
    <row r="77" spans="1:4" x14ac:dyDescent="0.3">
      <c r="A77" t="s">
        <v>301</v>
      </c>
      <c r="B77" t="s">
        <v>6269</v>
      </c>
    </row>
    <row r="78" spans="1:4" x14ac:dyDescent="0.3">
      <c r="A78" t="s">
        <v>307</v>
      </c>
      <c r="B78" t="s">
        <v>6270</v>
      </c>
      <c r="C78" t="s">
        <v>2931</v>
      </c>
    </row>
    <row r="79" spans="1:4" x14ac:dyDescent="0.3">
      <c r="A79" t="s">
        <v>299</v>
      </c>
      <c r="B79" t="s">
        <v>6271</v>
      </c>
    </row>
    <row r="80" spans="1:4" x14ac:dyDescent="0.3">
      <c r="A80" t="s">
        <v>301</v>
      </c>
      <c r="B80" t="s">
        <v>6272</v>
      </c>
    </row>
    <row r="81" spans="1:3" x14ac:dyDescent="0.3">
      <c r="A81" t="s">
        <v>311</v>
      </c>
      <c r="B81" t="s">
        <v>6273</v>
      </c>
      <c r="C81" t="s">
        <v>6274</v>
      </c>
    </row>
    <row r="82" spans="1:3" x14ac:dyDescent="0.3">
      <c r="A82" t="s">
        <v>299</v>
      </c>
      <c r="B82" t="s">
        <v>6275</v>
      </c>
    </row>
    <row r="83" spans="1:3" x14ac:dyDescent="0.3">
      <c r="A83" t="s">
        <v>301</v>
      </c>
      <c r="B83" t="s">
        <v>6276</v>
      </c>
    </row>
    <row r="84" spans="1:3" x14ac:dyDescent="0.3">
      <c r="A84" t="s">
        <v>316</v>
      </c>
      <c r="B84" t="s">
        <v>6277</v>
      </c>
      <c r="C84" t="s">
        <v>6278</v>
      </c>
    </row>
    <row r="85" spans="1:3" x14ac:dyDescent="0.3">
      <c r="A85" t="s">
        <v>299</v>
      </c>
      <c r="B85" t="s">
        <v>6279</v>
      </c>
    </row>
    <row r="86" spans="1:3" x14ac:dyDescent="0.3">
      <c r="A86" t="s">
        <v>301</v>
      </c>
      <c r="B86" t="s">
        <v>6280</v>
      </c>
    </row>
    <row r="87" spans="1:3" x14ac:dyDescent="0.3">
      <c r="A87" t="s">
        <v>320</v>
      </c>
      <c r="B87" t="s">
        <v>6281</v>
      </c>
      <c r="C87" t="s">
        <v>2945</v>
      </c>
    </row>
    <row r="88" spans="1:3" x14ac:dyDescent="0.3">
      <c r="A88" t="s">
        <v>299</v>
      </c>
      <c r="B88" t="s">
        <v>6282</v>
      </c>
    </row>
    <row r="89" spans="1:3" x14ac:dyDescent="0.3">
      <c r="A89" t="s">
        <v>301</v>
      </c>
      <c r="B89" t="s">
        <v>6283</v>
      </c>
    </row>
    <row r="90" spans="1:3" x14ac:dyDescent="0.3">
      <c r="A90" t="s">
        <v>324</v>
      </c>
      <c r="B90" t="s">
        <v>6284</v>
      </c>
      <c r="C90" t="s">
        <v>6285</v>
      </c>
    </row>
    <row r="91" spans="1:3" x14ac:dyDescent="0.3">
      <c r="A91" t="s">
        <v>299</v>
      </c>
      <c r="B91" t="s">
        <v>6286</v>
      </c>
    </row>
    <row r="92" spans="1:3" x14ac:dyDescent="0.3">
      <c r="A92" t="s">
        <v>301</v>
      </c>
      <c r="B92" t="s">
        <v>6287</v>
      </c>
    </row>
    <row r="93" spans="1:3" x14ac:dyDescent="0.3">
      <c r="A93" t="s">
        <v>328</v>
      </c>
      <c r="B93" t="s">
        <v>6288</v>
      </c>
      <c r="C93" t="s">
        <v>6289</v>
      </c>
    </row>
    <row r="94" spans="1:3" x14ac:dyDescent="0.3">
      <c r="A94" t="s">
        <v>299</v>
      </c>
      <c r="B94" t="s">
        <v>6290</v>
      </c>
    </row>
    <row r="95" spans="1:3" x14ac:dyDescent="0.3">
      <c r="A95" t="s">
        <v>301</v>
      </c>
      <c r="B95" t="s">
        <v>6291</v>
      </c>
    </row>
    <row r="96" spans="1:3" x14ac:dyDescent="0.3">
      <c r="A96" t="s">
        <v>333</v>
      </c>
      <c r="B96" t="s">
        <v>6292</v>
      </c>
      <c r="C96" t="s">
        <v>6293</v>
      </c>
    </row>
    <row r="97" spans="1:3" x14ac:dyDescent="0.3">
      <c r="A97" t="s">
        <v>299</v>
      </c>
      <c r="B97" t="s">
        <v>6294</v>
      </c>
    </row>
    <row r="98" spans="1:3" x14ac:dyDescent="0.3">
      <c r="A98" t="s">
        <v>301</v>
      </c>
      <c r="B98" t="s">
        <v>6295</v>
      </c>
    </row>
    <row r="99" spans="1:3" x14ac:dyDescent="0.3">
      <c r="A99" t="s">
        <v>337</v>
      </c>
      <c r="B99" t="s">
        <v>6296</v>
      </c>
      <c r="C99" t="s">
        <v>3069</v>
      </c>
    </row>
    <row r="100" spans="1:3" x14ac:dyDescent="0.3">
      <c r="A100" t="s">
        <v>299</v>
      </c>
      <c r="B100" t="s">
        <v>6297</v>
      </c>
    </row>
    <row r="101" spans="1:3" x14ac:dyDescent="0.3">
      <c r="A101" t="s">
        <v>301</v>
      </c>
      <c r="B101" t="s">
        <v>6298</v>
      </c>
    </row>
    <row r="102" spans="1:3" x14ac:dyDescent="0.3">
      <c r="A102" t="s">
        <v>341</v>
      </c>
      <c r="B102" t="s">
        <v>6299</v>
      </c>
      <c r="C102" t="s">
        <v>6300</v>
      </c>
    </row>
    <row r="103" spans="1:3" x14ac:dyDescent="0.3">
      <c r="A103" t="s">
        <v>299</v>
      </c>
      <c r="B103" t="s">
        <v>6301</v>
      </c>
    </row>
    <row r="104" spans="1:3" x14ac:dyDescent="0.3">
      <c r="A104" t="s">
        <v>301</v>
      </c>
      <c r="B104" t="s">
        <v>6302</v>
      </c>
    </row>
  </sheetData>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C114"/>
  <sheetViews>
    <sheetView workbookViewId="0"/>
  </sheetViews>
  <sheetFormatPr defaultRowHeight="14.4" x14ac:dyDescent="0.3"/>
  <cols>
    <col min="1" max="1" width="46" customWidth="1"/>
    <col min="2" max="8" width="15" customWidth="1"/>
  </cols>
  <sheetData>
    <row r="1" spans="1:3" x14ac:dyDescent="0.3">
      <c r="A1" s="24" t="s">
        <v>181</v>
      </c>
      <c r="B1" t="s">
        <v>3420</v>
      </c>
    </row>
    <row r="2" spans="1:3" x14ac:dyDescent="0.3">
      <c r="A2" s="24" t="s">
        <v>183</v>
      </c>
      <c r="B2" t="s">
        <v>6303</v>
      </c>
    </row>
    <row r="4" spans="1:3" x14ac:dyDescent="0.3">
      <c r="A4" s="25" t="s">
        <v>185</v>
      </c>
      <c r="B4" s="25"/>
      <c r="C4" s="25"/>
    </row>
    <row r="6" spans="1:3" x14ac:dyDescent="0.3">
      <c r="A6" t="s">
        <v>6304</v>
      </c>
      <c r="B6" t="s">
        <v>238</v>
      </c>
      <c r="C6" t="s">
        <v>274</v>
      </c>
    </row>
    <row r="7" spans="1:3" x14ac:dyDescent="0.3">
      <c r="A7" t="s">
        <v>6305</v>
      </c>
      <c r="B7" t="s">
        <v>6306</v>
      </c>
      <c r="C7" t="s">
        <v>34</v>
      </c>
    </row>
    <row r="8" spans="1:3" x14ac:dyDescent="0.3">
      <c r="A8" t="s">
        <v>6307</v>
      </c>
      <c r="B8" t="s">
        <v>6308</v>
      </c>
      <c r="C8" t="s">
        <v>6309</v>
      </c>
    </row>
    <row r="9" spans="1:3" x14ac:dyDescent="0.3">
      <c r="A9" t="s">
        <v>93</v>
      </c>
      <c r="B9" t="s">
        <v>6310</v>
      </c>
      <c r="C9" t="s">
        <v>37</v>
      </c>
    </row>
    <row r="10" spans="1:3" x14ac:dyDescent="0.3">
      <c r="A10" t="s">
        <v>6311</v>
      </c>
      <c r="B10" t="s">
        <v>6312</v>
      </c>
      <c r="C10" t="s">
        <v>37</v>
      </c>
    </row>
    <row r="11" spans="1:3" x14ac:dyDescent="0.3">
      <c r="A11" t="s">
        <v>79</v>
      </c>
      <c r="B11" t="s">
        <v>6210</v>
      </c>
      <c r="C11" t="s">
        <v>6313</v>
      </c>
    </row>
    <row r="12" spans="1:3" x14ac:dyDescent="0.3">
      <c r="A12" t="s">
        <v>6314</v>
      </c>
      <c r="B12" t="s">
        <v>6315</v>
      </c>
      <c r="C12" t="s">
        <v>6316</v>
      </c>
    </row>
    <row r="14" spans="1:3" x14ac:dyDescent="0.3">
      <c r="A14" t="s">
        <v>4927</v>
      </c>
      <c r="B14" t="s">
        <v>238</v>
      </c>
      <c r="C14" t="s">
        <v>274</v>
      </c>
    </row>
    <row r="15" spans="1:3" x14ac:dyDescent="0.3">
      <c r="A15" t="s">
        <v>6317</v>
      </c>
      <c r="B15" t="s">
        <v>6318</v>
      </c>
      <c r="C15" t="s">
        <v>37</v>
      </c>
    </row>
    <row r="16" spans="1:3" x14ac:dyDescent="0.3">
      <c r="A16" t="s">
        <v>6319</v>
      </c>
      <c r="B16" t="s">
        <v>6320</v>
      </c>
      <c r="C16" t="s">
        <v>37</v>
      </c>
    </row>
    <row r="17" spans="1:3" x14ac:dyDescent="0.3">
      <c r="A17" t="s">
        <v>6321</v>
      </c>
      <c r="B17" t="s">
        <v>6068</v>
      </c>
      <c r="C17" t="s">
        <v>6322</v>
      </c>
    </row>
    <row r="18" spans="1:3" x14ac:dyDescent="0.3">
      <c r="A18" t="s">
        <v>6323</v>
      </c>
      <c r="B18" t="s">
        <v>6324</v>
      </c>
      <c r="C18" t="s">
        <v>6325</v>
      </c>
    </row>
    <row r="19" spans="1:3" x14ac:dyDescent="0.3">
      <c r="A19" t="s">
        <v>6326</v>
      </c>
      <c r="B19" t="s">
        <v>6327</v>
      </c>
      <c r="C19" t="s">
        <v>6328</v>
      </c>
    </row>
    <row r="21" spans="1:3" x14ac:dyDescent="0.3">
      <c r="A21" t="s">
        <v>6235</v>
      </c>
      <c r="B21" t="s">
        <v>238</v>
      </c>
      <c r="C21" t="s">
        <v>274</v>
      </c>
    </row>
    <row r="22" spans="1:3" x14ac:dyDescent="0.3">
      <c r="A22" t="s">
        <v>6329</v>
      </c>
      <c r="B22" t="s">
        <v>6330</v>
      </c>
      <c r="C22" t="s">
        <v>42</v>
      </c>
    </row>
    <row r="23" spans="1:3" x14ac:dyDescent="0.3">
      <c r="A23" t="s">
        <v>6331</v>
      </c>
      <c r="B23" t="s">
        <v>2126</v>
      </c>
      <c r="C23" t="s">
        <v>42</v>
      </c>
    </row>
    <row r="24" spans="1:3" x14ac:dyDescent="0.3">
      <c r="A24" t="s">
        <v>6332</v>
      </c>
      <c r="B24" t="s">
        <v>6333</v>
      </c>
      <c r="C24" t="s">
        <v>6334</v>
      </c>
    </row>
    <row r="25" spans="1:3" x14ac:dyDescent="0.3">
      <c r="A25" t="s">
        <v>6335</v>
      </c>
      <c r="B25" t="s">
        <v>6336</v>
      </c>
      <c r="C25" t="s">
        <v>6337</v>
      </c>
    </row>
    <row r="26" spans="1:3" x14ac:dyDescent="0.3">
      <c r="A26" t="s">
        <v>6338</v>
      </c>
      <c r="B26" t="s">
        <v>6339</v>
      </c>
      <c r="C26" t="s">
        <v>6325</v>
      </c>
    </row>
    <row r="27" spans="1:3" x14ac:dyDescent="0.3">
      <c r="A27" t="s">
        <v>6340</v>
      </c>
      <c r="B27" t="s">
        <v>6341</v>
      </c>
      <c r="C27" t="s">
        <v>38</v>
      </c>
    </row>
    <row r="29" spans="1:3" x14ac:dyDescent="0.3">
      <c r="A29" s="25" t="s">
        <v>281</v>
      </c>
      <c r="B29" s="25"/>
      <c r="C29" s="25"/>
    </row>
    <row r="30" spans="1:3" x14ac:dyDescent="0.3">
      <c r="A30" t="s">
        <v>6342</v>
      </c>
    </row>
    <row r="31" spans="1:3" x14ac:dyDescent="0.3">
      <c r="A31" t="s">
        <v>6343</v>
      </c>
    </row>
    <row r="32" spans="1:3" x14ac:dyDescent="0.3">
      <c r="A32" t="s">
        <v>6344</v>
      </c>
    </row>
    <row r="33" spans="1:1" x14ac:dyDescent="0.3">
      <c r="A33" t="s">
        <v>6345</v>
      </c>
    </row>
    <row r="34" spans="1:1" x14ac:dyDescent="0.3">
      <c r="A34" t="s">
        <v>6346</v>
      </c>
    </row>
    <row r="35" spans="1:1" x14ac:dyDescent="0.3">
      <c r="A35" t="s">
        <v>6347</v>
      </c>
    </row>
    <row r="36" spans="1:1" x14ac:dyDescent="0.3">
      <c r="A36" t="s">
        <v>6348</v>
      </c>
    </row>
    <row r="37" spans="1:1" x14ac:dyDescent="0.3">
      <c r="A37" t="s">
        <v>6349</v>
      </c>
    </row>
    <row r="38" spans="1:1" x14ac:dyDescent="0.3">
      <c r="A38" t="s">
        <v>6350</v>
      </c>
    </row>
    <row r="39" spans="1:1" x14ac:dyDescent="0.3">
      <c r="A39" t="s">
        <v>6351</v>
      </c>
    </row>
    <row r="40" spans="1:1" x14ac:dyDescent="0.3">
      <c r="A40" t="s">
        <v>6352</v>
      </c>
    </row>
    <row r="41" spans="1:1" x14ac:dyDescent="0.3">
      <c r="A41" t="s">
        <v>6353</v>
      </c>
    </row>
    <row r="42" spans="1:1" x14ac:dyDescent="0.3">
      <c r="A42" t="s">
        <v>6354</v>
      </c>
    </row>
    <row r="43" spans="1:1" x14ac:dyDescent="0.3">
      <c r="A43" t="s">
        <v>6355</v>
      </c>
    </row>
    <row r="44" spans="1:1" x14ac:dyDescent="0.3">
      <c r="A44" t="s">
        <v>6356</v>
      </c>
    </row>
    <row r="45" spans="1:1" x14ac:dyDescent="0.3">
      <c r="A45" t="s">
        <v>6357</v>
      </c>
    </row>
    <row r="46" spans="1:1" x14ac:dyDescent="0.3">
      <c r="A46" t="s">
        <v>6358</v>
      </c>
    </row>
    <row r="47" spans="1:1" x14ac:dyDescent="0.3">
      <c r="A47" t="s">
        <v>6359</v>
      </c>
    </row>
    <row r="48" spans="1:1" x14ac:dyDescent="0.3">
      <c r="A48" t="s">
        <v>6360</v>
      </c>
    </row>
    <row r="49" spans="1:3" x14ac:dyDescent="0.3">
      <c r="A49" t="s">
        <v>6361</v>
      </c>
    </row>
    <row r="51" spans="1:3" x14ac:dyDescent="0.3">
      <c r="A51" s="25" t="s">
        <v>295</v>
      </c>
      <c r="B51" s="25"/>
      <c r="C51" s="25"/>
    </row>
    <row r="52" spans="1:3" x14ac:dyDescent="0.3">
      <c r="A52" t="s">
        <v>296</v>
      </c>
      <c r="B52" t="s">
        <v>6362</v>
      </c>
      <c r="C52" t="s">
        <v>6363</v>
      </c>
    </row>
    <row r="53" spans="1:3" x14ac:dyDescent="0.3">
      <c r="A53" t="s">
        <v>299</v>
      </c>
      <c r="B53" t="s">
        <v>6364</v>
      </c>
    </row>
    <row r="54" spans="1:3" x14ac:dyDescent="0.3">
      <c r="A54" t="s">
        <v>301</v>
      </c>
      <c r="B54" t="s">
        <v>6365</v>
      </c>
    </row>
    <row r="55" spans="1:3" x14ac:dyDescent="0.3">
      <c r="A55" t="s">
        <v>303</v>
      </c>
      <c r="B55" t="s">
        <v>6366</v>
      </c>
      <c r="C55" t="s">
        <v>6363</v>
      </c>
    </row>
    <row r="56" spans="1:3" x14ac:dyDescent="0.3">
      <c r="A56" t="s">
        <v>299</v>
      </c>
      <c r="B56" t="s">
        <v>6367</v>
      </c>
    </row>
    <row r="57" spans="1:3" x14ac:dyDescent="0.3">
      <c r="A57" t="s">
        <v>301</v>
      </c>
      <c r="B57" t="s">
        <v>6368</v>
      </c>
    </row>
    <row r="58" spans="1:3" x14ac:dyDescent="0.3">
      <c r="A58" t="s">
        <v>307</v>
      </c>
      <c r="B58" t="s">
        <v>6369</v>
      </c>
      <c r="C58" t="s">
        <v>6363</v>
      </c>
    </row>
    <row r="59" spans="1:3" x14ac:dyDescent="0.3">
      <c r="A59" t="s">
        <v>299</v>
      </c>
      <c r="B59" t="s">
        <v>6370</v>
      </c>
    </row>
    <row r="60" spans="1:3" x14ac:dyDescent="0.3">
      <c r="A60" t="s">
        <v>301</v>
      </c>
      <c r="B60" t="s">
        <v>6371</v>
      </c>
    </row>
    <row r="61" spans="1:3" x14ac:dyDescent="0.3">
      <c r="A61" t="s">
        <v>311</v>
      </c>
      <c r="B61" t="s">
        <v>6372</v>
      </c>
      <c r="C61" t="s">
        <v>6363</v>
      </c>
    </row>
    <row r="62" spans="1:3" x14ac:dyDescent="0.3">
      <c r="A62" t="s">
        <v>299</v>
      </c>
      <c r="B62" t="s">
        <v>6373</v>
      </c>
    </row>
    <row r="63" spans="1:3" x14ac:dyDescent="0.3">
      <c r="A63" t="s">
        <v>301</v>
      </c>
      <c r="B63" t="s">
        <v>6374</v>
      </c>
    </row>
    <row r="64" spans="1:3" x14ac:dyDescent="0.3">
      <c r="A64" t="s">
        <v>316</v>
      </c>
      <c r="B64" t="s">
        <v>6375</v>
      </c>
      <c r="C64" t="s">
        <v>6363</v>
      </c>
    </row>
    <row r="65" spans="1:3" x14ac:dyDescent="0.3">
      <c r="A65" t="s">
        <v>299</v>
      </c>
      <c r="B65" t="s">
        <v>6376</v>
      </c>
    </row>
    <row r="66" spans="1:3" x14ac:dyDescent="0.3">
      <c r="A66" t="s">
        <v>301</v>
      </c>
      <c r="B66" t="s">
        <v>6377</v>
      </c>
    </row>
    <row r="67" spans="1:3" x14ac:dyDescent="0.3">
      <c r="A67" t="s">
        <v>320</v>
      </c>
      <c r="B67" t="s">
        <v>6378</v>
      </c>
      <c r="C67" t="s">
        <v>6363</v>
      </c>
    </row>
    <row r="68" spans="1:3" x14ac:dyDescent="0.3">
      <c r="A68" t="s">
        <v>299</v>
      </c>
      <c r="B68" t="s">
        <v>6379</v>
      </c>
    </row>
    <row r="69" spans="1:3" x14ac:dyDescent="0.3">
      <c r="A69" t="s">
        <v>301</v>
      </c>
      <c r="B69" t="s">
        <v>6380</v>
      </c>
    </row>
    <row r="70" spans="1:3" x14ac:dyDescent="0.3">
      <c r="A70" t="s">
        <v>324</v>
      </c>
      <c r="B70" t="s">
        <v>6381</v>
      </c>
      <c r="C70" t="s">
        <v>6363</v>
      </c>
    </row>
    <row r="71" spans="1:3" x14ac:dyDescent="0.3">
      <c r="A71" t="s">
        <v>299</v>
      </c>
      <c r="B71" t="s">
        <v>6382</v>
      </c>
    </row>
    <row r="72" spans="1:3" x14ac:dyDescent="0.3">
      <c r="A72" t="s">
        <v>301</v>
      </c>
      <c r="B72" t="s">
        <v>6383</v>
      </c>
    </row>
    <row r="73" spans="1:3" x14ac:dyDescent="0.3">
      <c r="A73" t="s">
        <v>328</v>
      </c>
      <c r="B73" t="s">
        <v>6384</v>
      </c>
      <c r="C73" t="s">
        <v>6363</v>
      </c>
    </row>
    <row r="74" spans="1:3" x14ac:dyDescent="0.3">
      <c r="A74" t="s">
        <v>299</v>
      </c>
      <c r="B74" t="s">
        <v>6385</v>
      </c>
    </row>
    <row r="75" spans="1:3" x14ac:dyDescent="0.3">
      <c r="A75" t="s">
        <v>301</v>
      </c>
      <c r="B75" t="s">
        <v>6386</v>
      </c>
    </row>
    <row r="76" spans="1:3" x14ac:dyDescent="0.3">
      <c r="A76" t="s">
        <v>333</v>
      </c>
      <c r="B76" t="s">
        <v>6387</v>
      </c>
      <c r="C76" t="s">
        <v>6363</v>
      </c>
    </row>
    <row r="77" spans="1:3" x14ac:dyDescent="0.3">
      <c r="A77" t="s">
        <v>299</v>
      </c>
      <c r="B77" t="s">
        <v>6388</v>
      </c>
    </row>
    <row r="78" spans="1:3" x14ac:dyDescent="0.3">
      <c r="A78" t="s">
        <v>301</v>
      </c>
      <c r="B78" t="s">
        <v>6389</v>
      </c>
    </row>
    <row r="79" spans="1:3" x14ac:dyDescent="0.3">
      <c r="A79" t="s">
        <v>337</v>
      </c>
      <c r="B79" t="s">
        <v>6390</v>
      </c>
      <c r="C79" t="s">
        <v>6363</v>
      </c>
    </row>
    <row r="80" spans="1:3" x14ac:dyDescent="0.3">
      <c r="A80" t="s">
        <v>299</v>
      </c>
      <c r="B80" t="s">
        <v>6391</v>
      </c>
    </row>
    <row r="81" spans="1:3" x14ac:dyDescent="0.3">
      <c r="A81" t="s">
        <v>301</v>
      </c>
      <c r="B81" t="s">
        <v>6392</v>
      </c>
    </row>
    <row r="82" spans="1:3" x14ac:dyDescent="0.3">
      <c r="A82" t="s">
        <v>341</v>
      </c>
      <c r="B82" t="s">
        <v>6393</v>
      </c>
      <c r="C82" t="s">
        <v>6363</v>
      </c>
    </row>
    <row r="83" spans="1:3" x14ac:dyDescent="0.3">
      <c r="A83" t="s">
        <v>299</v>
      </c>
      <c r="B83" t="s">
        <v>6394</v>
      </c>
    </row>
    <row r="84" spans="1:3" x14ac:dyDescent="0.3">
      <c r="A84" t="s">
        <v>301</v>
      </c>
      <c r="B84" t="s">
        <v>6395</v>
      </c>
    </row>
    <row r="85" spans="1:3" x14ac:dyDescent="0.3">
      <c r="A85" t="s">
        <v>346</v>
      </c>
      <c r="B85" t="s">
        <v>6396</v>
      </c>
      <c r="C85" t="s">
        <v>6363</v>
      </c>
    </row>
    <row r="86" spans="1:3" x14ac:dyDescent="0.3">
      <c r="A86" t="s">
        <v>299</v>
      </c>
      <c r="B86" t="s">
        <v>6397</v>
      </c>
    </row>
    <row r="87" spans="1:3" x14ac:dyDescent="0.3">
      <c r="A87" t="s">
        <v>301</v>
      </c>
      <c r="B87" t="s">
        <v>6398</v>
      </c>
    </row>
    <row r="88" spans="1:3" x14ac:dyDescent="0.3">
      <c r="A88" t="s">
        <v>1453</v>
      </c>
      <c r="B88" t="s">
        <v>6399</v>
      </c>
      <c r="C88" t="s">
        <v>6363</v>
      </c>
    </row>
    <row r="89" spans="1:3" x14ac:dyDescent="0.3">
      <c r="A89" t="s">
        <v>299</v>
      </c>
      <c r="B89" t="s">
        <v>6400</v>
      </c>
    </row>
    <row r="90" spans="1:3" x14ac:dyDescent="0.3">
      <c r="A90" t="s">
        <v>301</v>
      </c>
      <c r="B90" t="s">
        <v>6401</v>
      </c>
    </row>
    <row r="91" spans="1:3" x14ac:dyDescent="0.3">
      <c r="A91" t="s">
        <v>1457</v>
      </c>
      <c r="B91" t="s">
        <v>2179</v>
      </c>
      <c r="C91" t="s">
        <v>6363</v>
      </c>
    </row>
    <row r="92" spans="1:3" x14ac:dyDescent="0.3">
      <c r="A92" t="s">
        <v>299</v>
      </c>
      <c r="B92" t="s">
        <v>6402</v>
      </c>
    </row>
    <row r="93" spans="1:3" x14ac:dyDescent="0.3">
      <c r="A93" t="s">
        <v>301</v>
      </c>
      <c r="B93" t="s">
        <v>6403</v>
      </c>
    </row>
    <row r="94" spans="1:3" x14ac:dyDescent="0.3">
      <c r="A94" t="s">
        <v>1461</v>
      </c>
      <c r="B94" t="s">
        <v>6404</v>
      </c>
      <c r="C94" t="s">
        <v>6363</v>
      </c>
    </row>
    <row r="95" spans="1:3" x14ac:dyDescent="0.3">
      <c r="A95" t="s">
        <v>299</v>
      </c>
      <c r="B95" t="s">
        <v>6405</v>
      </c>
    </row>
    <row r="96" spans="1:3" x14ac:dyDescent="0.3">
      <c r="A96" t="s">
        <v>301</v>
      </c>
      <c r="B96" t="s">
        <v>6406</v>
      </c>
    </row>
    <row r="97" spans="1:3" x14ac:dyDescent="0.3">
      <c r="A97" t="s">
        <v>1465</v>
      </c>
      <c r="B97" t="s">
        <v>6407</v>
      </c>
      <c r="C97" t="s">
        <v>6363</v>
      </c>
    </row>
    <row r="98" spans="1:3" x14ac:dyDescent="0.3">
      <c r="A98" t="s">
        <v>299</v>
      </c>
      <c r="B98" t="s">
        <v>6408</v>
      </c>
    </row>
    <row r="99" spans="1:3" x14ac:dyDescent="0.3">
      <c r="A99" t="s">
        <v>301</v>
      </c>
      <c r="B99" t="s">
        <v>6409</v>
      </c>
    </row>
    <row r="100" spans="1:3" x14ac:dyDescent="0.3">
      <c r="A100" t="s">
        <v>1469</v>
      </c>
      <c r="B100" t="s">
        <v>6410</v>
      </c>
      <c r="C100" t="s">
        <v>6363</v>
      </c>
    </row>
    <row r="101" spans="1:3" x14ac:dyDescent="0.3">
      <c r="A101" t="s">
        <v>299</v>
      </c>
      <c r="B101" t="s">
        <v>6411</v>
      </c>
    </row>
    <row r="102" spans="1:3" x14ac:dyDescent="0.3">
      <c r="A102" t="s">
        <v>301</v>
      </c>
      <c r="B102" t="s">
        <v>6412</v>
      </c>
    </row>
    <row r="103" spans="1:3" x14ac:dyDescent="0.3">
      <c r="A103" t="s">
        <v>1473</v>
      </c>
      <c r="B103" t="s">
        <v>6413</v>
      </c>
      <c r="C103" t="s">
        <v>6363</v>
      </c>
    </row>
    <row r="104" spans="1:3" x14ac:dyDescent="0.3">
      <c r="A104" t="s">
        <v>299</v>
      </c>
      <c r="B104" t="s">
        <v>6414</v>
      </c>
    </row>
    <row r="105" spans="1:3" x14ac:dyDescent="0.3">
      <c r="A105" t="s">
        <v>301</v>
      </c>
      <c r="B105" t="s">
        <v>6415</v>
      </c>
    </row>
    <row r="106" spans="1:3" x14ac:dyDescent="0.3">
      <c r="A106" t="s">
        <v>1477</v>
      </c>
      <c r="B106" t="s">
        <v>6416</v>
      </c>
      <c r="C106" t="s">
        <v>6363</v>
      </c>
    </row>
    <row r="107" spans="1:3" x14ac:dyDescent="0.3">
      <c r="A107" t="s">
        <v>299</v>
      </c>
      <c r="B107" t="s">
        <v>6417</v>
      </c>
    </row>
    <row r="108" spans="1:3" x14ac:dyDescent="0.3">
      <c r="A108" t="s">
        <v>301</v>
      </c>
      <c r="B108" t="s">
        <v>6418</v>
      </c>
    </row>
    <row r="109" spans="1:3" x14ac:dyDescent="0.3">
      <c r="A109" t="s">
        <v>2578</v>
      </c>
      <c r="B109" t="s">
        <v>6419</v>
      </c>
      <c r="C109" t="s">
        <v>6363</v>
      </c>
    </row>
    <row r="110" spans="1:3" x14ac:dyDescent="0.3">
      <c r="A110" t="s">
        <v>299</v>
      </c>
      <c r="B110" t="s">
        <v>6420</v>
      </c>
    </row>
    <row r="111" spans="1:3" x14ac:dyDescent="0.3">
      <c r="A111" t="s">
        <v>301</v>
      </c>
      <c r="B111" t="s">
        <v>6421</v>
      </c>
    </row>
    <row r="112" spans="1:3" x14ac:dyDescent="0.3">
      <c r="A112" t="s">
        <v>2582</v>
      </c>
      <c r="B112" t="s">
        <v>6422</v>
      </c>
      <c r="C112" t="s">
        <v>6363</v>
      </c>
    </row>
    <row r="113" spans="1:2" x14ac:dyDescent="0.3">
      <c r="A113" t="s">
        <v>299</v>
      </c>
      <c r="B113" t="s">
        <v>6423</v>
      </c>
    </row>
    <row r="114" spans="1:2" x14ac:dyDescent="0.3">
      <c r="A114" t="s">
        <v>301</v>
      </c>
      <c r="B114" t="s">
        <v>6424</v>
      </c>
    </row>
  </sheetData>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C82"/>
  <sheetViews>
    <sheetView workbookViewId="0"/>
  </sheetViews>
  <sheetFormatPr defaultRowHeight="14.4" x14ac:dyDescent="0.3"/>
  <cols>
    <col min="1" max="1" width="46" customWidth="1"/>
    <col min="2" max="8" width="15" customWidth="1"/>
  </cols>
  <sheetData>
    <row r="1" spans="1:3" x14ac:dyDescent="0.3">
      <c r="A1" s="24" t="s">
        <v>181</v>
      </c>
      <c r="B1" t="s">
        <v>6425</v>
      </c>
    </row>
    <row r="2" spans="1:3" x14ac:dyDescent="0.3">
      <c r="A2" s="24" t="s">
        <v>183</v>
      </c>
      <c r="B2" t="s">
        <v>6426</v>
      </c>
    </row>
    <row r="4" spans="1:3" x14ac:dyDescent="0.3">
      <c r="A4" s="25" t="s">
        <v>185</v>
      </c>
      <c r="B4" s="25"/>
      <c r="C4" s="25"/>
    </row>
    <row r="6" spans="1:3" x14ac:dyDescent="0.3">
      <c r="A6" t="s">
        <v>6427</v>
      </c>
      <c r="B6" t="s">
        <v>36</v>
      </c>
      <c r="C6" t="s">
        <v>6207</v>
      </c>
    </row>
    <row r="7" spans="1:3" x14ac:dyDescent="0.3">
      <c r="A7" t="s">
        <v>6428</v>
      </c>
      <c r="B7" t="s">
        <v>6429</v>
      </c>
      <c r="C7" t="s">
        <v>197</v>
      </c>
    </row>
    <row r="8" spans="1:3" x14ac:dyDescent="0.3">
      <c r="A8" t="s">
        <v>56</v>
      </c>
      <c r="B8" t="s">
        <v>4815</v>
      </c>
      <c r="C8" t="s">
        <v>197</v>
      </c>
    </row>
    <row r="9" spans="1:3" x14ac:dyDescent="0.3">
      <c r="A9" t="s">
        <v>74</v>
      </c>
      <c r="B9" t="s">
        <v>1872</v>
      </c>
      <c r="C9" t="s">
        <v>197</v>
      </c>
    </row>
    <row r="10" spans="1:3" x14ac:dyDescent="0.3">
      <c r="A10" t="s">
        <v>154</v>
      </c>
      <c r="B10" t="s">
        <v>5186</v>
      </c>
      <c r="C10" t="s">
        <v>197</v>
      </c>
    </row>
    <row r="11" spans="1:3" x14ac:dyDescent="0.3">
      <c r="A11" t="s">
        <v>162</v>
      </c>
      <c r="B11" t="s">
        <v>6430</v>
      </c>
      <c r="C11" t="s">
        <v>197</v>
      </c>
    </row>
    <row r="12" spans="1:3" x14ac:dyDescent="0.3">
      <c r="A12" t="s">
        <v>149</v>
      </c>
      <c r="B12" t="s">
        <v>3028</v>
      </c>
      <c r="C12" t="s">
        <v>6431</v>
      </c>
    </row>
    <row r="13" spans="1:3" x14ac:dyDescent="0.3">
      <c r="A13" t="s">
        <v>6432</v>
      </c>
      <c r="B13" t="s">
        <v>6433</v>
      </c>
      <c r="C13" t="s">
        <v>6434</v>
      </c>
    </row>
    <row r="15" spans="1:3" x14ac:dyDescent="0.3">
      <c r="A15" t="s">
        <v>6435</v>
      </c>
      <c r="B15" t="s">
        <v>238</v>
      </c>
      <c r="C15" t="s">
        <v>274</v>
      </c>
    </row>
    <row r="16" spans="1:3" x14ac:dyDescent="0.3">
      <c r="A16" t="s">
        <v>6436</v>
      </c>
      <c r="B16" t="s">
        <v>5829</v>
      </c>
      <c r="C16" t="s">
        <v>6437</v>
      </c>
    </row>
    <row r="17" spans="1:3" x14ac:dyDescent="0.3">
      <c r="A17" t="s">
        <v>6438</v>
      </c>
      <c r="B17" t="s">
        <v>6439</v>
      </c>
      <c r="C17" t="s">
        <v>6440</v>
      </c>
    </row>
    <row r="18" spans="1:3" x14ac:dyDescent="0.3">
      <c r="A18" t="s">
        <v>6441</v>
      </c>
      <c r="B18" t="s">
        <v>1119</v>
      </c>
      <c r="C18" t="s">
        <v>36</v>
      </c>
    </row>
    <row r="19" spans="1:3" x14ac:dyDescent="0.3">
      <c r="A19" t="s">
        <v>6442</v>
      </c>
      <c r="B19" t="s">
        <v>3969</v>
      </c>
      <c r="C19" t="s">
        <v>36</v>
      </c>
    </row>
    <row r="20" spans="1:3" x14ac:dyDescent="0.3">
      <c r="A20" t="s">
        <v>92</v>
      </c>
      <c r="B20" t="s">
        <v>6443</v>
      </c>
      <c r="C20" t="s">
        <v>4012</v>
      </c>
    </row>
    <row r="21" spans="1:3" x14ac:dyDescent="0.3">
      <c r="A21" t="s">
        <v>6444</v>
      </c>
      <c r="B21" t="s">
        <v>6445</v>
      </c>
      <c r="C21" t="s">
        <v>6446</v>
      </c>
    </row>
    <row r="23" spans="1:3" x14ac:dyDescent="0.3">
      <c r="A23" t="s">
        <v>6447</v>
      </c>
      <c r="B23" t="s">
        <v>238</v>
      </c>
      <c r="C23" t="s">
        <v>274</v>
      </c>
    </row>
    <row r="24" spans="1:3" x14ac:dyDescent="0.3">
      <c r="A24" t="s">
        <v>6448</v>
      </c>
      <c r="B24" t="s">
        <v>6449</v>
      </c>
      <c r="C24" t="s">
        <v>6450</v>
      </c>
    </row>
    <row r="25" spans="1:3" x14ac:dyDescent="0.3">
      <c r="A25" t="s">
        <v>6451</v>
      </c>
      <c r="B25" t="s">
        <v>6452</v>
      </c>
      <c r="C25" t="s">
        <v>6453</v>
      </c>
    </row>
    <row r="26" spans="1:3" x14ac:dyDescent="0.3">
      <c r="A26" t="s">
        <v>6454</v>
      </c>
      <c r="B26" t="s">
        <v>6455</v>
      </c>
      <c r="C26" t="s">
        <v>6456</v>
      </c>
    </row>
    <row r="28" spans="1:3" x14ac:dyDescent="0.3">
      <c r="A28" t="s">
        <v>6457</v>
      </c>
      <c r="B28" t="s">
        <v>238</v>
      </c>
    </row>
    <row r="29" spans="1:3" x14ac:dyDescent="0.3">
      <c r="A29" t="s">
        <v>6458</v>
      </c>
      <c r="B29" t="s">
        <v>6459</v>
      </c>
    </row>
    <row r="30" spans="1:3" x14ac:dyDescent="0.3">
      <c r="A30" t="s">
        <v>6460</v>
      </c>
      <c r="B30" t="s">
        <v>6461</v>
      </c>
    </row>
    <row r="31" spans="1:3" x14ac:dyDescent="0.3">
      <c r="A31" t="s">
        <v>6462</v>
      </c>
      <c r="B31" t="s">
        <v>6463</v>
      </c>
    </row>
    <row r="33" spans="1:3" x14ac:dyDescent="0.3">
      <c r="A33" t="s">
        <v>6464</v>
      </c>
      <c r="B33" t="s">
        <v>238</v>
      </c>
      <c r="C33" t="s">
        <v>6465</v>
      </c>
    </row>
    <row r="34" spans="1:3" x14ac:dyDescent="0.3">
      <c r="A34" t="s">
        <v>6466</v>
      </c>
      <c r="B34" t="s">
        <v>6467</v>
      </c>
      <c r="C34" t="s">
        <v>42</v>
      </c>
    </row>
    <row r="35" spans="1:3" x14ac:dyDescent="0.3">
      <c r="A35" t="s">
        <v>6468</v>
      </c>
      <c r="B35" t="s">
        <v>6469</v>
      </c>
      <c r="C35" t="s">
        <v>6470</v>
      </c>
    </row>
    <row r="36" spans="1:3" x14ac:dyDescent="0.3">
      <c r="A36" t="s">
        <v>6471</v>
      </c>
      <c r="B36" t="s">
        <v>6472</v>
      </c>
      <c r="C36" t="s">
        <v>42</v>
      </c>
    </row>
    <row r="37" spans="1:3" x14ac:dyDescent="0.3">
      <c r="A37" t="s">
        <v>6473</v>
      </c>
      <c r="B37" t="s">
        <v>1393</v>
      </c>
      <c r="C37" t="s">
        <v>6474</v>
      </c>
    </row>
    <row r="38" spans="1:3" x14ac:dyDescent="0.3">
      <c r="A38" t="s">
        <v>6475</v>
      </c>
      <c r="B38" t="s">
        <v>6476</v>
      </c>
      <c r="C38" t="s">
        <v>42</v>
      </c>
    </row>
    <row r="39" spans="1:3" x14ac:dyDescent="0.3">
      <c r="A39" t="s">
        <v>6477</v>
      </c>
      <c r="B39" t="s">
        <v>6478</v>
      </c>
      <c r="C39" t="s">
        <v>6479</v>
      </c>
    </row>
    <row r="40" spans="1:3" x14ac:dyDescent="0.3">
      <c r="A40" t="s">
        <v>6480</v>
      </c>
      <c r="B40" t="s">
        <v>6481</v>
      </c>
      <c r="C40" t="s">
        <v>42</v>
      </c>
    </row>
    <row r="41" spans="1:3" x14ac:dyDescent="0.3">
      <c r="A41" t="s">
        <v>6482</v>
      </c>
      <c r="B41" t="s">
        <v>6483</v>
      </c>
      <c r="C41" t="s">
        <v>42</v>
      </c>
    </row>
    <row r="42" spans="1:3" x14ac:dyDescent="0.3">
      <c r="A42" t="s">
        <v>6484</v>
      </c>
      <c r="B42" t="s">
        <v>6485</v>
      </c>
      <c r="C42" t="s">
        <v>42</v>
      </c>
    </row>
    <row r="43" spans="1:3" x14ac:dyDescent="0.3">
      <c r="A43" t="s">
        <v>6486</v>
      </c>
      <c r="B43" t="s">
        <v>6487</v>
      </c>
      <c r="C43" t="s">
        <v>6488</v>
      </c>
    </row>
    <row r="44" spans="1:3" x14ac:dyDescent="0.3">
      <c r="A44" t="s">
        <v>6489</v>
      </c>
      <c r="B44" t="s">
        <v>6490</v>
      </c>
      <c r="C44" t="s">
        <v>6491</v>
      </c>
    </row>
    <row r="45" spans="1:3" x14ac:dyDescent="0.3">
      <c r="A45" t="s">
        <v>6492</v>
      </c>
      <c r="B45" t="s">
        <v>6493</v>
      </c>
      <c r="C45" t="s">
        <v>6494</v>
      </c>
    </row>
    <row r="46" spans="1:3" x14ac:dyDescent="0.3">
      <c r="A46" t="s">
        <v>6495</v>
      </c>
      <c r="B46" t="s">
        <v>6496</v>
      </c>
      <c r="C46" t="s">
        <v>6337</v>
      </c>
    </row>
    <row r="47" spans="1:3" x14ac:dyDescent="0.3">
      <c r="A47" t="s">
        <v>6497</v>
      </c>
      <c r="B47" t="s">
        <v>6498</v>
      </c>
      <c r="C47" t="s">
        <v>6499</v>
      </c>
    </row>
    <row r="48" spans="1:3" x14ac:dyDescent="0.3">
      <c r="A48" t="s">
        <v>6500</v>
      </c>
      <c r="B48" t="s">
        <v>6501</v>
      </c>
      <c r="C48" t="s">
        <v>6499</v>
      </c>
    </row>
    <row r="49" spans="1:3" x14ac:dyDescent="0.3">
      <c r="A49" t="s">
        <v>6502</v>
      </c>
      <c r="B49" t="s">
        <v>6503</v>
      </c>
      <c r="C49" t="s">
        <v>5836</v>
      </c>
    </row>
    <row r="50" spans="1:3" x14ac:dyDescent="0.3">
      <c r="A50" t="s">
        <v>6504</v>
      </c>
      <c r="B50" t="s">
        <v>6505</v>
      </c>
      <c r="C50" t="s">
        <v>6506</v>
      </c>
    </row>
    <row r="52" spans="1:3" x14ac:dyDescent="0.3">
      <c r="A52" s="25" t="s">
        <v>281</v>
      </c>
      <c r="B52" s="25"/>
      <c r="C52" s="25"/>
    </row>
    <row r="53" spans="1:3" x14ac:dyDescent="0.3">
      <c r="A53" t="s">
        <v>6507</v>
      </c>
    </row>
    <row r="54" spans="1:3" x14ac:dyDescent="0.3">
      <c r="A54" t="s">
        <v>6508</v>
      </c>
    </row>
    <row r="55" spans="1:3" x14ac:dyDescent="0.3">
      <c r="A55" t="s">
        <v>6509</v>
      </c>
    </row>
    <row r="56" spans="1:3" x14ac:dyDescent="0.3">
      <c r="A56" t="s">
        <v>6510</v>
      </c>
    </row>
    <row r="57" spans="1:3" x14ac:dyDescent="0.3">
      <c r="A57" t="s">
        <v>6511</v>
      </c>
    </row>
    <row r="58" spans="1:3" x14ac:dyDescent="0.3">
      <c r="A58" t="s">
        <v>6512</v>
      </c>
    </row>
    <row r="59" spans="1:3" x14ac:dyDescent="0.3">
      <c r="A59" t="s">
        <v>6513</v>
      </c>
    </row>
    <row r="60" spans="1:3" x14ac:dyDescent="0.3">
      <c r="A60" t="s">
        <v>6514</v>
      </c>
    </row>
    <row r="61" spans="1:3" x14ac:dyDescent="0.3">
      <c r="A61" t="s">
        <v>6515</v>
      </c>
    </row>
    <row r="62" spans="1:3" x14ac:dyDescent="0.3">
      <c r="A62" t="s">
        <v>6516</v>
      </c>
    </row>
    <row r="63" spans="1:3" x14ac:dyDescent="0.3">
      <c r="A63" t="s">
        <v>6517</v>
      </c>
    </row>
    <row r="64" spans="1:3" x14ac:dyDescent="0.3">
      <c r="A64" t="s">
        <v>6518</v>
      </c>
    </row>
    <row r="65" spans="1:3" x14ac:dyDescent="0.3">
      <c r="A65" t="s">
        <v>6519</v>
      </c>
    </row>
    <row r="66" spans="1:3" x14ac:dyDescent="0.3">
      <c r="A66" t="s">
        <v>6520</v>
      </c>
    </row>
    <row r="67" spans="1:3" x14ac:dyDescent="0.3">
      <c r="A67" t="s">
        <v>6521</v>
      </c>
    </row>
    <row r="68" spans="1:3" x14ac:dyDescent="0.3">
      <c r="A68" t="s">
        <v>6522</v>
      </c>
    </row>
    <row r="70" spans="1:3" x14ac:dyDescent="0.3">
      <c r="A70" s="25" t="s">
        <v>295</v>
      </c>
      <c r="B70" s="25"/>
      <c r="C70" s="25"/>
    </row>
    <row r="71" spans="1:3" x14ac:dyDescent="0.3">
      <c r="A71" t="s">
        <v>296</v>
      </c>
      <c r="B71" t="s">
        <v>6523</v>
      </c>
      <c r="C71" t="s">
        <v>2931</v>
      </c>
    </row>
    <row r="72" spans="1:3" x14ac:dyDescent="0.3">
      <c r="A72" t="s">
        <v>299</v>
      </c>
      <c r="B72" t="s">
        <v>6524</v>
      </c>
    </row>
    <row r="73" spans="1:3" x14ac:dyDescent="0.3">
      <c r="A73" t="s">
        <v>301</v>
      </c>
      <c r="B73" t="s">
        <v>6525</v>
      </c>
    </row>
    <row r="74" spans="1:3" x14ac:dyDescent="0.3">
      <c r="A74" t="s">
        <v>303</v>
      </c>
      <c r="B74" t="s">
        <v>6526</v>
      </c>
      <c r="C74" t="s">
        <v>6289</v>
      </c>
    </row>
    <row r="75" spans="1:3" x14ac:dyDescent="0.3">
      <c r="A75" t="s">
        <v>299</v>
      </c>
      <c r="B75" t="s">
        <v>6527</v>
      </c>
    </row>
    <row r="76" spans="1:3" x14ac:dyDescent="0.3">
      <c r="A76" t="s">
        <v>301</v>
      </c>
      <c r="B76" t="s">
        <v>6528</v>
      </c>
    </row>
    <row r="77" spans="1:3" x14ac:dyDescent="0.3">
      <c r="A77" t="s">
        <v>307</v>
      </c>
      <c r="B77" t="s">
        <v>6529</v>
      </c>
      <c r="C77" t="s">
        <v>6530</v>
      </c>
    </row>
    <row r="78" spans="1:3" x14ac:dyDescent="0.3">
      <c r="A78" t="s">
        <v>299</v>
      </c>
      <c r="B78" t="s">
        <v>6531</v>
      </c>
    </row>
    <row r="79" spans="1:3" x14ac:dyDescent="0.3">
      <c r="A79" t="s">
        <v>301</v>
      </c>
      <c r="B79" t="s">
        <v>6532</v>
      </c>
    </row>
    <row r="80" spans="1:3" x14ac:dyDescent="0.3">
      <c r="A80" t="s">
        <v>311</v>
      </c>
      <c r="B80" t="s">
        <v>6533</v>
      </c>
      <c r="C80" t="s">
        <v>6534</v>
      </c>
    </row>
    <row r="81" spans="1:2" x14ac:dyDescent="0.3">
      <c r="A81" t="s">
        <v>299</v>
      </c>
      <c r="B81" t="s">
        <v>6535</v>
      </c>
    </row>
    <row r="82" spans="1:2" x14ac:dyDescent="0.3">
      <c r="A82" t="s">
        <v>301</v>
      </c>
      <c r="B82" t="s">
        <v>6536</v>
      </c>
    </row>
  </sheetData>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C110"/>
  <sheetViews>
    <sheetView workbookViewId="0"/>
  </sheetViews>
  <sheetFormatPr defaultRowHeight="14.4" x14ac:dyDescent="0.3"/>
  <cols>
    <col min="1" max="1" width="46" customWidth="1"/>
    <col min="2" max="8" width="15" customWidth="1"/>
  </cols>
  <sheetData>
    <row r="1" spans="1:3" x14ac:dyDescent="0.3">
      <c r="A1" s="24" t="s">
        <v>181</v>
      </c>
      <c r="B1" t="s">
        <v>6537</v>
      </c>
    </row>
    <row r="2" spans="1:3" x14ac:dyDescent="0.3">
      <c r="A2" s="24" t="s">
        <v>183</v>
      </c>
      <c r="B2" t="s">
        <v>6538</v>
      </c>
    </row>
    <row r="4" spans="1:3" x14ac:dyDescent="0.3">
      <c r="A4" s="25" t="s">
        <v>185</v>
      </c>
      <c r="B4" s="25"/>
      <c r="C4" s="25"/>
    </row>
    <row r="6" spans="1:3" x14ac:dyDescent="0.3">
      <c r="A6" t="s">
        <v>6539</v>
      </c>
      <c r="B6" t="s">
        <v>238</v>
      </c>
      <c r="C6" t="s">
        <v>274</v>
      </c>
    </row>
    <row r="7" spans="1:3" x14ac:dyDescent="0.3">
      <c r="A7" t="s">
        <v>6436</v>
      </c>
      <c r="B7" t="s">
        <v>5829</v>
      </c>
      <c r="C7" t="s">
        <v>6437</v>
      </c>
    </row>
    <row r="8" spans="1:3" x14ac:dyDescent="0.3">
      <c r="A8" t="s">
        <v>6438</v>
      </c>
      <c r="B8" t="s">
        <v>6540</v>
      </c>
      <c r="C8" t="s">
        <v>6541</v>
      </c>
    </row>
    <row r="9" spans="1:3" x14ac:dyDescent="0.3">
      <c r="A9" t="s">
        <v>6542</v>
      </c>
      <c r="B9" t="s">
        <v>5599</v>
      </c>
      <c r="C9" t="s">
        <v>6543</v>
      </c>
    </row>
    <row r="10" spans="1:3" x14ac:dyDescent="0.3">
      <c r="A10" t="s">
        <v>6544</v>
      </c>
      <c r="B10" t="s">
        <v>6545</v>
      </c>
      <c r="C10" t="s">
        <v>6541</v>
      </c>
    </row>
    <row r="11" spans="1:3" x14ac:dyDescent="0.3">
      <c r="A11" t="s">
        <v>6546</v>
      </c>
      <c r="B11" t="s">
        <v>6547</v>
      </c>
      <c r="C11" t="s">
        <v>6541</v>
      </c>
    </row>
    <row r="12" spans="1:3" x14ac:dyDescent="0.3">
      <c r="A12" t="s">
        <v>6548</v>
      </c>
      <c r="B12" t="s">
        <v>6549</v>
      </c>
      <c r="C12" t="s">
        <v>6541</v>
      </c>
    </row>
    <row r="13" spans="1:3" x14ac:dyDescent="0.3">
      <c r="A13" t="s">
        <v>6550</v>
      </c>
      <c r="B13" t="s">
        <v>6551</v>
      </c>
      <c r="C13" t="s">
        <v>6541</v>
      </c>
    </row>
    <row r="15" spans="1:3" x14ac:dyDescent="0.3">
      <c r="A15" t="s">
        <v>6552</v>
      </c>
      <c r="B15" t="s">
        <v>238</v>
      </c>
      <c r="C15" t="s">
        <v>274</v>
      </c>
    </row>
    <row r="16" spans="1:3" x14ac:dyDescent="0.3">
      <c r="A16" t="s">
        <v>6553</v>
      </c>
      <c r="B16" t="s">
        <v>6554</v>
      </c>
      <c r="C16" t="s">
        <v>6541</v>
      </c>
    </row>
    <row r="17" spans="1:3" x14ac:dyDescent="0.3">
      <c r="A17" t="s">
        <v>6555</v>
      </c>
      <c r="B17" t="s">
        <v>6472</v>
      </c>
      <c r="C17" t="s">
        <v>6541</v>
      </c>
    </row>
    <row r="18" spans="1:3" x14ac:dyDescent="0.3">
      <c r="A18" t="s">
        <v>6332</v>
      </c>
      <c r="B18" t="s">
        <v>6333</v>
      </c>
      <c r="C18" t="s">
        <v>6556</v>
      </c>
    </row>
    <row r="19" spans="1:3" x14ac:dyDescent="0.3">
      <c r="A19" t="s">
        <v>6557</v>
      </c>
      <c r="B19" t="s">
        <v>790</v>
      </c>
      <c r="C19" t="s">
        <v>42</v>
      </c>
    </row>
    <row r="20" spans="1:3" x14ac:dyDescent="0.3">
      <c r="A20" t="s">
        <v>6558</v>
      </c>
      <c r="B20" t="s">
        <v>1116</v>
      </c>
      <c r="C20" t="s">
        <v>6541</v>
      </c>
    </row>
    <row r="21" spans="1:3" x14ac:dyDescent="0.3">
      <c r="A21" t="s">
        <v>6559</v>
      </c>
      <c r="B21" t="s">
        <v>3140</v>
      </c>
      <c r="C21" t="s">
        <v>6541</v>
      </c>
    </row>
    <row r="22" spans="1:3" x14ac:dyDescent="0.3">
      <c r="A22" t="s">
        <v>6560</v>
      </c>
      <c r="B22" t="s">
        <v>6561</v>
      </c>
      <c r="C22" t="s">
        <v>6562</v>
      </c>
    </row>
    <row r="23" spans="1:3" x14ac:dyDescent="0.3">
      <c r="A23" t="s">
        <v>6563</v>
      </c>
      <c r="B23" t="s">
        <v>6564</v>
      </c>
      <c r="C23" t="s">
        <v>6565</v>
      </c>
    </row>
    <row r="24" spans="1:3" x14ac:dyDescent="0.3">
      <c r="A24" t="s">
        <v>6566</v>
      </c>
      <c r="B24" t="s">
        <v>6567</v>
      </c>
      <c r="C24" t="s">
        <v>4012</v>
      </c>
    </row>
    <row r="25" spans="1:3" x14ac:dyDescent="0.3">
      <c r="A25" t="s">
        <v>6568</v>
      </c>
      <c r="B25" t="s">
        <v>6569</v>
      </c>
      <c r="C25" t="s">
        <v>6570</v>
      </c>
    </row>
    <row r="27" spans="1:3" x14ac:dyDescent="0.3">
      <c r="A27" t="s">
        <v>6235</v>
      </c>
      <c r="B27" t="s">
        <v>238</v>
      </c>
      <c r="C27" t="s">
        <v>274</v>
      </c>
    </row>
    <row r="28" spans="1:3" x14ac:dyDescent="0.3">
      <c r="A28" t="s">
        <v>6571</v>
      </c>
      <c r="B28" t="s">
        <v>6333</v>
      </c>
      <c r="C28" t="s">
        <v>6556</v>
      </c>
    </row>
    <row r="29" spans="1:3" x14ac:dyDescent="0.3">
      <c r="A29" t="s">
        <v>6572</v>
      </c>
      <c r="B29" t="s">
        <v>6573</v>
      </c>
      <c r="C29" t="s">
        <v>6494</v>
      </c>
    </row>
    <row r="30" spans="1:3" x14ac:dyDescent="0.3">
      <c r="A30" t="s">
        <v>6574</v>
      </c>
      <c r="B30" t="s">
        <v>6575</v>
      </c>
      <c r="C30" t="s">
        <v>6494</v>
      </c>
    </row>
    <row r="31" spans="1:3" x14ac:dyDescent="0.3">
      <c r="A31" t="s">
        <v>6576</v>
      </c>
      <c r="B31" t="s">
        <v>6577</v>
      </c>
      <c r="C31" t="s">
        <v>42</v>
      </c>
    </row>
    <row r="32" spans="1:3" x14ac:dyDescent="0.3">
      <c r="A32" t="s">
        <v>6578</v>
      </c>
      <c r="B32" t="s">
        <v>6579</v>
      </c>
      <c r="C32" t="s">
        <v>6580</v>
      </c>
    </row>
    <row r="33" spans="1:3" x14ac:dyDescent="0.3">
      <c r="A33" t="s">
        <v>6581</v>
      </c>
      <c r="B33" t="s">
        <v>6582</v>
      </c>
      <c r="C33" t="s">
        <v>6583</v>
      </c>
    </row>
    <row r="34" spans="1:3" x14ac:dyDescent="0.3">
      <c r="A34" t="s">
        <v>6584</v>
      </c>
      <c r="B34" t="s">
        <v>6569</v>
      </c>
      <c r="C34" t="s">
        <v>6585</v>
      </c>
    </row>
    <row r="35" spans="1:3" x14ac:dyDescent="0.3">
      <c r="A35" t="s">
        <v>6586</v>
      </c>
      <c r="B35" t="s">
        <v>6587</v>
      </c>
      <c r="C35" t="s">
        <v>6588</v>
      </c>
    </row>
    <row r="37" spans="1:3" x14ac:dyDescent="0.3">
      <c r="A37" s="25" t="s">
        <v>281</v>
      </c>
      <c r="B37" s="25"/>
      <c r="C37" s="25"/>
    </row>
    <row r="38" spans="1:3" x14ac:dyDescent="0.3">
      <c r="A38" t="s">
        <v>6589</v>
      </c>
    </row>
    <row r="39" spans="1:3" x14ac:dyDescent="0.3">
      <c r="A39" t="s">
        <v>6590</v>
      </c>
    </row>
    <row r="40" spans="1:3" x14ac:dyDescent="0.3">
      <c r="A40" t="s">
        <v>6591</v>
      </c>
    </row>
    <row r="41" spans="1:3" x14ac:dyDescent="0.3">
      <c r="A41" t="s">
        <v>6592</v>
      </c>
    </row>
    <row r="42" spans="1:3" x14ac:dyDescent="0.3">
      <c r="A42" t="s">
        <v>6593</v>
      </c>
    </row>
    <row r="43" spans="1:3" x14ac:dyDescent="0.3">
      <c r="A43" t="s">
        <v>6594</v>
      </c>
    </row>
    <row r="44" spans="1:3" x14ac:dyDescent="0.3">
      <c r="A44" t="s">
        <v>6595</v>
      </c>
    </row>
    <row r="45" spans="1:3" x14ac:dyDescent="0.3">
      <c r="A45" t="s">
        <v>6596</v>
      </c>
    </row>
    <row r="46" spans="1:3" x14ac:dyDescent="0.3">
      <c r="A46" t="s">
        <v>6597</v>
      </c>
    </row>
    <row r="47" spans="1:3" x14ac:dyDescent="0.3">
      <c r="A47" t="s">
        <v>6598</v>
      </c>
    </row>
    <row r="48" spans="1:3" x14ac:dyDescent="0.3">
      <c r="A48" t="s">
        <v>6599</v>
      </c>
    </row>
    <row r="49" spans="1:3" x14ac:dyDescent="0.3">
      <c r="A49" t="s">
        <v>6600</v>
      </c>
    </row>
    <row r="50" spans="1:3" x14ac:dyDescent="0.3">
      <c r="A50" t="s">
        <v>6601</v>
      </c>
    </row>
    <row r="51" spans="1:3" x14ac:dyDescent="0.3">
      <c r="A51" t="s">
        <v>6602</v>
      </c>
    </row>
    <row r="52" spans="1:3" x14ac:dyDescent="0.3">
      <c r="A52" t="s">
        <v>6603</v>
      </c>
    </row>
    <row r="53" spans="1:3" x14ac:dyDescent="0.3">
      <c r="A53" t="s">
        <v>6604</v>
      </c>
    </row>
    <row r="54" spans="1:3" x14ac:dyDescent="0.3">
      <c r="A54" t="s">
        <v>6605</v>
      </c>
    </row>
    <row r="56" spans="1:3" x14ac:dyDescent="0.3">
      <c r="A56" s="25" t="s">
        <v>295</v>
      </c>
      <c r="B56" s="25"/>
      <c r="C56" s="25"/>
    </row>
    <row r="57" spans="1:3" x14ac:dyDescent="0.3">
      <c r="A57" t="s">
        <v>296</v>
      </c>
      <c r="B57" t="s">
        <v>6606</v>
      </c>
      <c r="C57" t="s">
        <v>6607</v>
      </c>
    </row>
    <row r="58" spans="1:3" x14ac:dyDescent="0.3">
      <c r="A58" t="s">
        <v>299</v>
      </c>
      <c r="B58" t="s">
        <v>6608</v>
      </c>
    </row>
    <row r="59" spans="1:3" x14ac:dyDescent="0.3">
      <c r="A59" t="s">
        <v>301</v>
      </c>
      <c r="B59" t="s">
        <v>6609</v>
      </c>
    </row>
    <row r="60" spans="1:3" x14ac:dyDescent="0.3">
      <c r="A60" t="s">
        <v>303</v>
      </c>
      <c r="B60" t="s">
        <v>6610</v>
      </c>
      <c r="C60" t="s">
        <v>6607</v>
      </c>
    </row>
    <row r="61" spans="1:3" x14ac:dyDescent="0.3">
      <c r="A61" t="s">
        <v>299</v>
      </c>
      <c r="B61" t="s">
        <v>6611</v>
      </c>
    </row>
    <row r="62" spans="1:3" x14ac:dyDescent="0.3">
      <c r="A62" t="s">
        <v>301</v>
      </c>
      <c r="B62" t="s">
        <v>6612</v>
      </c>
    </row>
    <row r="63" spans="1:3" x14ac:dyDescent="0.3">
      <c r="A63" t="s">
        <v>307</v>
      </c>
      <c r="B63" t="s">
        <v>6613</v>
      </c>
      <c r="C63" t="s">
        <v>6607</v>
      </c>
    </row>
    <row r="64" spans="1:3" x14ac:dyDescent="0.3">
      <c r="A64" t="s">
        <v>299</v>
      </c>
      <c r="B64" t="s">
        <v>6614</v>
      </c>
    </row>
    <row r="65" spans="1:3" x14ac:dyDescent="0.3">
      <c r="A65" t="s">
        <v>301</v>
      </c>
      <c r="B65" t="s">
        <v>6615</v>
      </c>
    </row>
    <row r="66" spans="1:3" x14ac:dyDescent="0.3">
      <c r="A66" t="s">
        <v>311</v>
      </c>
      <c r="B66" t="s">
        <v>6616</v>
      </c>
      <c r="C66" t="s">
        <v>6607</v>
      </c>
    </row>
    <row r="67" spans="1:3" x14ac:dyDescent="0.3">
      <c r="A67" t="s">
        <v>299</v>
      </c>
      <c r="B67" t="s">
        <v>6617</v>
      </c>
    </row>
    <row r="68" spans="1:3" x14ac:dyDescent="0.3">
      <c r="A68" t="s">
        <v>301</v>
      </c>
      <c r="B68" t="s">
        <v>6618</v>
      </c>
    </row>
    <row r="69" spans="1:3" x14ac:dyDescent="0.3">
      <c r="A69" t="s">
        <v>316</v>
      </c>
      <c r="B69" t="s">
        <v>6619</v>
      </c>
      <c r="C69" t="s">
        <v>6607</v>
      </c>
    </row>
    <row r="70" spans="1:3" x14ac:dyDescent="0.3">
      <c r="A70" t="s">
        <v>299</v>
      </c>
      <c r="B70" t="s">
        <v>6620</v>
      </c>
    </row>
    <row r="71" spans="1:3" x14ac:dyDescent="0.3">
      <c r="A71" t="s">
        <v>301</v>
      </c>
      <c r="B71" t="s">
        <v>6621</v>
      </c>
    </row>
    <row r="72" spans="1:3" x14ac:dyDescent="0.3">
      <c r="A72" t="s">
        <v>320</v>
      </c>
      <c r="B72" t="s">
        <v>6622</v>
      </c>
      <c r="C72" t="s">
        <v>6607</v>
      </c>
    </row>
    <row r="73" spans="1:3" x14ac:dyDescent="0.3">
      <c r="A73" t="s">
        <v>299</v>
      </c>
      <c r="B73" t="s">
        <v>6623</v>
      </c>
    </row>
    <row r="74" spans="1:3" x14ac:dyDescent="0.3">
      <c r="A74" t="s">
        <v>301</v>
      </c>
      <c r="B74" t="s">
        <v>6624</v>
      </c>
    </row>
    <row r="75" spans="1:3" x14ac:dyDescent="0.3">
      <c r="A75" t="s">
        <v>324</v>
      </c>
      <c r="B75" t="s">
        <v>6625</v>
      </c>
      <c r="C75" t="s">
        <v>6607</v>
      </c>
    </row>
    <row r="76" spans="1:3" x14ac:dyDescent="0.3">
      <c r="A76" t="s">
        <v>299</v>
      </c>
      <c r="B76" t="s">
        <v>6626</v>
      </c>
    </row>
    <row r="77" spans="1:3" x14ac:dyDescent="0.3">
      <c r="A77" t="s">
        <v>301</v>
      </c>
      <c r="B77" t="s">
        <v>6627</v>
      </c>
    </row>
    <row r="78" spans="1:3" x14ac:dyDescent="0.3">
      <c r="A78" t="s">
        <v>328</v>
      </c>
      <c r="B78" t="s">
        <v>6628</v>
      </c>
      <c r="C78" t="s">
        <v>6607</v>
      </c>
    </row>
    <row r="79" spans="1:3" x14ac:dyDescent="0.3">
      <c r="A79" t="s">
        <v>299</v>
      </c>
      <c r="B79" t="s">
        <v>6629</v>
      </c>
    </row>
    <row r="80" spans="1:3" x14ac:dyDescent="0.3">
      <c r="A80" t="s">
        <v>301</v>
      </c>
      <c r="B80" t="s">
        <v>6630</v>
      </c>
    </row>
    <row r="81" spans="1:3" x14ac:dyDescent="0.3">
      <c r="A81" t="s">
        <v>333</v>
      </c>
      <c r="B81" t="s">
        <v>6631</v>
      </c>
      <c r="C81" t="s">
        <v>6607</v>
      </c>
    </row>
    <row r="82" spans="1:3" x14ac:dyDescent="0.3">
      <c r="A82" t="s">
        <v>299</v>
      </c>
      <c r="B82" t="s">
        <v>6632</v>
      </c>
    </row>
    <row r="83" spans="1:3" x14ac:dyDescent="0.3">
      <c r="A83" t="s">
        <v>301</v>
      </c>
      <c r="B83" t="s">
        <v>6633</v>
      </c>
    </row>
    <row r="84" spans="1:3" x14ac:dyDescent="0.3">
      <c r="A84" t="s">
        <v>337</v>
      </c>
      <c r="B84" t="s">
        <v>6634</v>
      </c>
      <c r="C84" t="s">
        <v>6607</v>
      </c>
    </row>
    <row r="85" spans="1:3" x14ac:dyDescent="0.3">
      <c r="A85" t="s">
        <v>299</v>
      </c>
      <c r="B85" t="s">
        <v>6635</v>
      </c>
    </row>
    <row r="86" spans="1:3" x14ac:dyDescent="0.3">
      <c r="A86" t="s">
        <v>301</v>
      </c>
      <c r="B86" t="s">
        <v>6636</v>
      </c>
    </row>
    <row r="87" spans="1:3" x14ac:dyDescent="0.3">
      <c r="A87" t="s">
        <v>341</v>
      </c>
      <c r="B87" t="s">
        <v>6637</v>
      </c>
      <c r="C87" t="s">
        <v>6607</v>
      </c>
    </row>
    <row r="88" spans="1:3" x14ac:dyDescent="0.3">
      <c r="A88" t="s">
        <v>299</v>
      </c>
      <c r="B88" t="s">
        <v>6638</v>
      </c>
    </row>
    <row r="89" spans="1:3" x14ac:dyDescent="0.3">
      <c r="A89" t="s">
        <v>301</v>
      </c>
      <c r="B89" t="s">
        <v>6639</v>
      </c>
    </row>
    <row r="90" spans="1:3" x14ac:dyDescent="0.3">
      <c r="A90" t="s">
        <v>346</v>
      </c>
      <c r="B90" t="s">
        <v>6640</v>
      </c>
      <c r="C90" t="s">
        <v>6607</v>
      </c>
    </row>
    <row r="91" spans="1:3" x14ac:dyDescent="0.3">
      <c r="A91" t="s">
        <v>299</v>
      </c>
      <c r="B91" t="s">
        <v>6641</v>
      </c>
    </row>
    <row r="92" spans="1:3" x14ac:dyDescent="0.3">
      <c r="A92" t="s">
        <v>301</v>
      </c>
      <c r="B92" t="s">
        <v>6642</v>
      </c>
    </row>
    <row r="93" spans="1:3" x14ac:dyDescent="0.3">
      <c r="A93" t="s">
        <v>1453</v>
      </c>
      <c r="B93" t="s">
        <v>6643</v>
      </c>
      <c r="C93" t="s">
        <v>6607</v>
      </c>
    </row>
    <row r="94" spans="1:3" x14ac:dyDescent="0.3">
      <c r="A94" t="s">
        <v>299</v>
      </c>
      <c r="B94" t="s">
        <v>6644</v>
      </c>
    </row>
    <row r="95" spans="1:3" x14ac:dyDescent="0.3">
      <c r="A95" t="s">
        <v>301</v>
      </c>
      <c r="B95" t="s">
        <v>6645</v>
      </c>
    </row>
    <row r="96" spans="1:3" x14ac:dyDescent="0.3">
      <c r="A96" t="s">
        <v>1457</v>
      </c>
      <c r="B96" t="s">
        <v>6646</v>
      </c>
      <c r="C96" t="s">
        <v>6607</v>
      </c>
    </row>
    <row r="97" spans="1:3" x14ac:dyDescent="0.3">
      <c r="A97" t="s">
        <v>299</v>
      </c>
      <c r="B97" t="s">
        <v>6647</v>
      </c>
    </row>
    <row r="98" spans="1:3" x14ac:dyDescent="0.3">
      <c r="A98" t="s">
        <v>301</v>
      </c>
      <c r="B98" t="s">
        <v>6648</v>
      </c>
    </row>
    <row r="99" spans="1:3" x14ac:dyDescent="0.3">
      <c r="A99" t="s">
        <v>1461</v>
      </c>
      <c r="B99" t="s">
        <v>6649</v>
      </c>
      <c r="C99" t="s">
        <v>6607</v>
      </c>
    </row>
    <row r="100" spans="1:3" x14ac:dyDescent="0.3">
      <c r="A100" t="s">
        <v>299</v>
      </c>
      <c r="B100" t="s">
        <v>6650</v>
      </c>
    </row>
    <row r="101" spans="1:3" x14ac:dyDescent="0.3">
      <c r="A101" t="s">
        <v>301</v>
      </c>
      <c r="B101" t="s">
        <v>6651</v>
      </c>
    </row>
    <row r="102" spans="1:3" x14ac:dyDescent="0.3">
      <c r="A102" t="s">
        <v>1465</v>
      </c>
      <c r="B102" t="s">
        <v>6652</v>
      </c>
      <c r="C102" t="s">
        <v>6607</v>
      </c>
    </row>
    <row r="103" spans="1:3" x14ac:dyDescent="0.3">
      <c r="A103" t="s">
        <v>299</v>
      </c>
      <c r="B103" t="s">
        <v>6653</v>
      </c>
    </row>
    <row r="104" spans="1:3" x14ac:dyDescent="0.3">
      <c r="A104" t="s">
        <v>301</v>
      </c>
      <c r="B104" t="s">
        <v>6654</v>
      </c>
    </row>
    <row r="105" spans="1:3" x14ac:dyDescent="0.3">
      <c r="A105" t="s">
        <v>1469</v>
      </c>
      <c r="B105" t="s">
        <v>6655</v>
      </c>
      <c r="C105" t="s">
        <v>6607</v>
      </c>
    </row>
    <row r="106" spans="1:3" x14ac:dyDescent="0.3">
      <c r="A106" t="s">
        <v>299</v>
      </c>
      <c r="B106" t="s">
        <v>6656</v>
      </c>
    </row>
    <row r="107" spans="1:3" x14ac:dyDescent="0.3">
      <c r="A107" t="s">
        <v>301</v>
      </c>
      <c r="B107" t="s">
        <v>6657</v>
      </c>
    </row>
    <row r="108" spans="1:3" x14ac:dyDescent="0.3">
      <c r="A108" t="s">
        <v>1473</v>
      </c>
      <c r="B108" t="s">
        <v>6658</v>
      </c>
      <c r="C108" t="s">
        <v>6607</v>
      </c>
    </row>
    <row r="109" spans="1:3" x14ac:dyDescent="0.3">
      <c r="A109" t="s">
        <v>299</v>
      </c>
      <c r="B109" t="s">
        <v>6659</v>
      </c>
    </row>
    <row r="110" spans="1:3" x14ac:dyDescent="0.3">
      <c r="A110" t="s">
        <v>301</v>
      </c>
      <c r="B110" t="s">
        <v>6660</v>
      </c>
    </row>
  </sheetData>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C93"/>
  <sheetViews>
    <sheetView workbookViewId="0"/>
  </sheetViews>
  <sheetFormatPr defaultRowHeight="14.4" x14ac:dyDescent="0.3"/>
  <cols>
    <col min="1" max="1" width="46" customWidth="1"/>
    <col min="2" max="8" width="15" customWidth="1"/>
  </cols>
  <sheetData>
    <row r="1" spans="1:3" x14ac:dyDescent="0.3">
      <c r="A1" s="24" t="s">
        <v>181</v>
      </c>
      <c r="B1" t="s">
        <v>6661</v>
      </c>
    </row>
    <row r="2" spans="1:3" x14ac:dyDescent="0.3">
      <c r="A2" s="24" t="s">
        <v>183</v>
      </c>
      <c r="B2" t="s">
        <v>6662</v>
      </c>
    </row>
    <row r="4" spans="1:3" x14ac:dyDescent="0.3">
      <c r="A4" s="25" t="s">
        <v>185</v>
      </c>
      <c r="B4" s="25"/>
      <c r="C4" s="25"/>
    </row>
    <row r="6" spans="1:3" x14ac:dyDescent="0.3">
      <c r="A6" t="s">
        <v>6663</v>
      </c>
      <c r="B6" t="s">
        <v>238</v>
      </c>
      <c r="C6" t="s">
        <v>274</v>
      </c>
    </row>
    <row r="7" spans="1:3" x14ac:dyDescent="0.3">
      <c r="A7" t="s">
        <v>6664</v>
      </c>
      <c r="B7" t="s">
        <v>1765</v>
      </c>
      <c r="C7" t="s">
        <v>6541</v>
      </c>
    </row>
    <row r="8" spans="1:3" x14ac:dyDescent="0.3">
      <c r="A8" t="s">
        <v>6665</v>
      </c>
      <c r="B8" t="s">
        <v>1119</v>
      </c>
      <c r="C8" t="s">
        <v>36</v>
      </c>
    </row>
    <row r="9" spans="1:3" x14ac:dyDescent="0.3">
      <c r="A9" t="s">
        <v>6666</v>
      </c>
      <c r="B9" t="s">
        <v>5804</v>
      </c>
      <c r="C9" t="s">
        <v>6541</v>
      </c>
    </row>
    <row r="10" spans="1:3" x14ac:dyDescent="0.3">
      <c r="A10" t="s">
        <v>6667</v>
      </c>
      <c r="B10" t="s">
        <v>6668</v>
      </c>
      <c r="C10" t="s">
        <v>6541</v>
      </c>
    </row>
    <row r="11" spans="1:3" x14ac:dyDescent="0.3">
      <c r="A11" t="s">
        <v>6669</v>
      </c>
      <c r="B11" t="s">
        <v>6670</v>
      </c>
      <c r="C11" t="s">
        <v>6541</v>
      </c>
    </row>
    <row r="12" spans="1:3" x14ac:dyDescent="0.3">
      <c r="A12" t="s">
        <v>6671</v>
      </c>
      <c r="B12" t="s">
        <v>3123</v>
      </c>
      <c r="C12" t="s">
        <v>6672</v>
      </c>
    </row>
    <row r="13" spans="1:3" x14ac:dyDescent="0.3">
      <c r="A13" t="s">
        <v>6673</v>
      </c>
      <c r="B13" t="s">
        <v>6674</v>
      </c>
      <c r="C13" t="s">
        <v>6675</v>
      </c>
    </row>
    <row r="15" spans="1:3" x14ac:dyDescent="0.3">
      <c r="A15" t="s">
        <v>6676</v>
      </c>
      <c r="B15" t="s">
        <v>238</v>
      </c>
    </row>
    <row r="16" spans="1:3" x14ac:dyDescent="0.3">
      <c r="A16" t="s">
        <v>6677</v>
      </c>
      <c r="B16" t="s">
        <v>6678</v>
      </c>
    </row>
    <row r="17" spans="1:3" x14ac:dyDescent="0.3">
      <c r="A17" t="s">
        <v>6679</v>
      </c>
      <c r="B17" t="s">
        <v>6680</v>
      </c>
    </row>
    <row r="18" spans="1:3" x14ac:dyDescent="0.3">
      <c r="A18" t="s">
        <v>6681</v>
      </c>
      <c r="B18" t="s">
        <v>6682</v>
      </c>
    </row>
    <row r="20" spans="1:3" x14ac:dyDescent="0.3">
      <c r="A20" t="s">
        <v>6683</v>
      </c>
      <c r="B20" t="s">
        <v>238</v>
      </c>
    </row>
    <row r="21" spans="1:3" x14ac:dyDescent="0.3">
      <c r="A21" t="s">
        <v>6684</v>
      </c>
      <c r="B21" t="s">
        <v>381</v>
      </c>
    </row>
    <row r="22" spans="1:3" x14ac:dyDescent="0.3">
      <c r="A22" t="s">
        <v>6685</v>
      </c>
      <c r="B22" t="s">
        <v>6686</v>
      </c>
    </row>
    <row r="24" spans="1:3" x14ac:dyDescent="0.3">
      <c r="A24" t="s">
        <v>6687</v>
      </c>
      <c r="B24" t="s">
        <v>238</v>
      </c>
      <c r="C24" t="s">
        <v>274</v>
      </c>
    </row>
    <row r="25" spans="1:3" x14ac:dyDescent="0.3">
      <c r="A25" t="s">
        <v>6688</v>
      </c>
      <c r="B25" t="s">
        <v>6689</v>
      </c>
      <c r="C25" t="s">
        <v>36</v>
      </c>
    </row>
    <row r="26" spans="1:3" x14ac:dyDescent="0.3">
      <c r="A26" t="s">
        <v>6690</v>
      </c>
      <c r="B26" t="s">
        <v>5829</v>
      </c>
      <c r="C26" t="s">
        <v>6437</v>
      </c>
    </row>
    <row r="27" spans="1:3" x14ac:dyDescent="0.3">
      <c r="A27" t="s">
        <v>6691</v>
      </c>
      <c r="B27" t="s">
        <v>4589</v>
      </c>
      <c r="C27" t="s">
        <v>6437</v>
      </c>
    </row>
    <row r="28" spans="1:3" x14ac:dyDescent="0.3">
      <c r="A28" t="s">
        <v>6692</v>
      </c>
      <c r="B28" t="s">
        <v>6693</v>
      </c>
      <c r="C28" t="s">
        <v>36</v>
      </c>
    </row>
    <row r="29" spans="1:3" x14ac:dyDescent="0.3">
      <c r="A29" t="s">
        <v>6694</v>
      </c>
      <c r="B29" t="s">
        <v>6430</v>
      </c>
      <c r="C29" t="s">
        <v>36</v>
      </c>
    </row>
    <row r="30" spans="1:3" x14ac:dyDescent="0.3">
      <c r="A30" t="s">
        <v>6695</v>
      </c>
      <c r="B30" t="s">
        <v>3028</v>
      </c>
      <c r="C30" t="s">
        <v>36</v>
      </c>
    </row>
    <row r="31" spans="1:3" x14ac:dyDescent="0.3">
      <c r="A31" t="s">
        <v>6696</v>
      </c>
      <c r="B31" t="s">
        <v>393</v>
      </c>
      <c r="C31" t="s">
        <v>37</v>
      </c>
    </row>
    <row r="32" spans="1:3" x14ac:dyDescent="0.3">
      <c r="A32" t="s">
        <v>6697</v>
      </c>
      <c r="B32" t="s">
        <v>6698</v>
      </c>
      <c r="C32" t="s">
        <v>6699</v>
      </c>
    </row>
    <row r="33" spans="1:3" x14ac:dyDescent="0.3">
      <c r="A33" t="s">
        <v>6700</v>
      </c>
      <c r="B33" t="s">
        <v>6701</v>
      </c>
      <c r="C33" t="s">
        <v>6541</v>
      </c>
    </row>
    <row r="34" spans="1:3" x14ac:dyDescent="0.3">
      <c r="A34" t="s">
        <v>6584</v>
      </c>
      <c r="B34" t="s">
        <v>6702</v>
      </c>
      <c r="C34" t="s">
        <v>6703</v>
      </c>
    </row>
    <row r="35" spans="1:3" x14ac:dyDescent="0.3">
      <c r="A35" t="s">
        <v>6704</v>
      </c>
      <c r="B35" t="s">
        <v>6330</v>
      </c>
      <c r="C35" t="s">
        <v>6705</v>
      </c>
    </row>
    <row r="36" spans="1:3" x14ac:dyDescent="0.3">
      <c r="A36" t="s">
        <v>6706</v>
      </c>
      <c r="B36" t="s">
        <v>6707</v>
      </c>
      <c r="C36" t="s">
        <v>6499</v>
      </c>
    </row>
    <row r="38" spans="1:3" x14ac:dyDescent="0.3">
      <c r="A38" t="s">
        <v>6235</v>
      </c>
      <c r="B38" t="s">
        <v>238</v>
      </c>
      <c r="C38" t="s">
        <v>274</v>
      </c>
    </row>
    <row r="39" spans="1:3" x14ac:dyDescent="0.3">
      <c r="A39" t="s">
        <v>6704</v>
      </c>
      <c r="B39" t="s">
        <v>6330</v>
      </c>
      <c r="C39" t="s">
        <v>42</v>
      </c>
    </row>
    <row r="40" spans="1:3" x14ac:dyDescent="0.3">
      <c r="A40" t="s">
        <v>6572</v>
      </c>
      <c r="B40" t="s">
        <v>6708</v>
      </c>
      <c r="C40" t="s">
        <v>6494</v>
      </c>
    </row>
    <row r="41" spans="1:3" x14ac:dyDescent="0.3">
      <c r="A41" t="s">
        <v>6706</v>
      </c>
      <c r="B41" t="s">
        <v>6707</v>
      </c>
      <c r="C41" t="s">
        <v>6499</v>
      </c>
    </row>
    <row r="42" spans="1:3" x14ac:dyDescent="0.3">
      <c r="A42" t="s">
        <v>6709</v>
      </c>
      <c r="B42" t="s">
        <v>6710</v>
      </c>
      <c r="C42" t="s">
        <v>6580</v>
      </c>
    </row>
    <row r="43" spans="1:3" x14ac:dyDescent="0.3">
      <c r="A43" t="s">
        <v>6584</v>
      </c>
      <c r="B43" t="s">
        <v>6711</v>
      </c>
      <c r="C43" t="s">
        <v>4012</v>
      </c>
    </row>
    <row r="45" spans="1:3" x14ac:dyDescent="0.3">
      <c r="A45" s="25" t="s">
        <v>281</v>
      </c>
      <c r="B45" s="25"/>
      <c r="C45" s="25"/>
    </row>
    <row r="46" spans="1:3" x14ac:dyDescent="0.3">
      <c r="A46" t="s">
        <v>6712</v>
      </c>
    </row>
    <row r="47" spans="1:3" x14ac:dyDescent="0.3">
      <c r="A47" t="s">
        <v>6713</v>
      </c>
    </row>
    <row r="48" spans="1:3" x14ac:dyDescent="0.3">
      <c r="A48" t="s">
        <v>6714</v>
      </c>
    </row>
    <row r="49" spans="1:1" x14ac:dyDescent="0.3">
      <c r="A49" t="s">
        <v>6715</v>
      </c>
    </row>
    <row r="50" spans="1:1" x14ac:dyDescent="0.3">
      <c r="A50" t="s">
        <v>6716</v>
      </c>
    </row>
    <row r="51" spans="1:1" x14ac:dyDescent="0.3">
      <c r="A51" t="s">
        <v>6717</v>
      </c>
    </row>
    <row r="52" spans="1:1" x14ac:dyDescent="0.3">
      <c r="A52" t="s">
        <v>6718</v>
      </c>
    </row>
    <row r="53" spans="1:1" x14ac:dyDescent="0.3">
      <c r="A53" t="s">
        <v>6719</v>
      </c>
    </row>
    <row r="54" spans="1:1" x14ac:dyDescent="0.3">
      <c r="A54" t="s">
        <v>6720</v>
      </c>
    </row>
    <row r="55" spans="1:1" x14ac:dyDescent="0.3">
      <c r="A55" t="s">
        <v>6721</v>
      </c>
    </row>
    <row r="56" spans="1:1" x14ac:dyDescent="0.3">
      <c r="A56" t="s">
        <v>6722</v>
      </c>
    </row>
    <row r="57" spans="1:1" x14ac:dyDescent="0.3">
      <c r="A57" t="s">
        <v>6723</v>
      </c>
    </row>
    <row r="58" spans="1:1" x14ac:dyDescent="0.3">
      <c r="A58" t="s">
        <v>6724</v>
      </c>
    </row>
    <row r="59" spans="1:1" x14ac:dyDescent="0.3">
      <c r="A59" t="s">
        <v>6725</v>
      </c>
    </row>
    <row r="60" spans="1:1" x14ac:dyDescent="0.3">
      <c r="A60" t="s">
        <v>6726</v>
      </c>
    </row>
    <row r="61" spans="1:1" x14ac:dyDescent="0.3">
      <c r="A61" t="s">
        <v>6727</v>
      </c>
    </row>
    <row r="62" spans="1:1" x14ac:dyDescent="0.3">
      <c r="A62" t="s">
        <v>6728</v>
      </c>
    </row>
    <row r="63" spans="1:1" x14ac:dyDescent="0.3">
      <c r="A63" t="s">
        <v>6729</v>
      </c>
    </row>
    <row r="64" spans="1:1" x14ac:dyDescent="0.3">
      <c r="A64" t="s">
        <v>6730</v>
      </c>
    </row>
    <row r="65" spans="1:3" x14ac:dyDescent="0.3">
      <c r="A65" t="s">
        <v>6731</v>
      </c>
    </row>
    <row r="66" spans="1:3" x14ac:dyDescent="0.3">
      <c r="A66" t="s">
        <v>6732</v>
      </c>
    </row>
    <row r="67" spans="1:3" x14ac:dyDescent="0.3">
      <c r="A67" t="s">
        <v>6733</v>
      </c>
    </row>
    <row r="69" spans="1:3" x14ac:dyDescent="0.3">
      <c r="A69" s="25" t="s">
        <v>295</v>
      </c>
      <c r="B69" s="25"/>
      <c r="C69" s="25"/>
    </row>
    <row r="70" spans="1:3" x14ac:dyDescent="0.3">
      <c r="A70" t="s">
        <v>296</v>
      </c>
      <c r="B70" t="s">
        <v>6734</v>
      </c>
      <c r="C70" t="s">
        <v>6735</v>
      </c>
    </row>
    <row r="71" spans="1:3" x14ac:dyDescent="0.3">
      <c r="A71" t="s">
        <v>299</v>
      </c>
      <c r="B71" t="s">
        <v>6736</v>
      </c>
    </row>
    <row r="72" spans="1:3" x14ac:dyDescent="0.3">
      <c r="A72" t="s">
        <v>301</v>
      </c>
      <c r="B72" t="s">
        <v>6737</v>
      </c>
    </row>
    <row r="73" spans="1:3" x14ac:dyDescent="0.3">
      <c r="A73" t="s">
        <v>303</v>
      </c>
      <c r="B73" t="s">
        <v>6738</v>
      </c>
      <c r="C73" t="s">
        <v>6735</v>
      </c>
    </row>
    <row r="74" spans="1:3" x14ac:dyDescent="0.3">
      <c r="A74" t="s">
        <v>299</v>
      </c>
      <c r="B74" t="s">
        <v>6739</v>
      </c>
    </row>
    <row r="75" spans="1:3" x14ac:dyDescent="0.3">
      <c r="A75" t="s">
        <v>301</v>
      </c>
      <c r="B75" t="s">
        <v>6740</v>
      </c>
    </row>
    <row r="76" spans="1:3" x14ac:dyDescent="0.3">
      <c r="A76" t="s">
        <v>307</v>
      </c>
      <c r="B76" t="s">
        <v>6741</v>
      </c>
      <c r="C76" t="s">
        <v>6278</v>
      </c>
    </row>
    <row r="77" spans="1:3" x14ac:dyDescent="0.3">
      <c r="A77" t="s">
        <v>299</v>
      </c>
      <c r="B77" t="s">
        <v>6742</v>
      </c>
    </row>
    <row r="78" spans="1:3" x14ac:dyDescent="0.3">
      <c r="A78" t="s">
        <v>301</v>
      </c>
      <c r="B78" t="s">
        <v>6743</v>
      </c>
    </row>
    <row r="79" spans="1:3" x14ac:dyDescent="0.3">
      <c r="A79" t="s">
        <v>311</v>
      </c>
      <c r="B79" t="s">
        <v>6744</v>
      </c>
      <c r="C79" t="s">
        <v>6278</v>
      </c>
    </row>
    <row r="80" spans="1:3" x14ac:dyDescent="0.3">
      <c r="A80" t="s">
        <v>299</v>
      </c>
      <c r="B80" t="s">
        <v>6745</v>
      </c>
    </row>
    <row r="81" spans="1:3" x14ac:dyDescent="0.3">
      <c r="A81" t="s">
        <v>301</v>
      </c>
      <c r="B81" t="s">
        <v>6746</v>
      </c>
    </row>
    <row r="82" spans="1:3" x14ac:dyDescent="0.3">
      <c r="A82" t="s">
        <v>316</v>
      </c>
      <c r="B82" t="s">
        <v>6747</v>
      </c>
      <c r="C82" t="s">
        <v>6735</v>
      </c>
    </row>
    <row r="83" spans="1:3" x14ac:dyDescent="0.3">
      <c r="A83" t="s">
        <v>299</v>
      </c>
      <c r="B83" t="s">
        <v>6748</v>
      </c>
    </row>
    <row r="84" spans="1:3" x14ac:dyDescent="0.3">
      <c r="A84" t="s">
        <v>301</v>
      </c>
      <c r="B84" t="s">
        <v>6749</v>
      </c>
    </row>
    <row r="85" spans="1:3" x14ac:dyDescent="0.3">
      <c r="A85" t="s">
        <v>320</v>
      </c>
      <c r="B85" t="s">
        <v>6750</v>
      </c>
      <c r="C85" t="s">
        <v>6735</v>
      </c>
    </row>
    <row r="86" spans="1:3" x14ac:dyDescent="0.3">
      <c r="A86" t="s">
        <v>299</v>
      </c>
      <c r="B86" t="s">
        <v>6751</v>
      </c>
    </row>
    <row r="87" spans="1:3" x14ac:dyDescent="0.3">
      <c r="A87" t="s">
        <v>301</v>
      </c>
      <c r="B87" t="s">
        <v>6752</v>
      </c>
    </row>
    <row r="88" spans="1:3" x14ac:dyDescent="0.3">
      <c r="A88" t="s">
        <v>324</v>
      </c>
      <c r="B88" t="s">
        <v>6753</v>
      </c>
      <c r="C88" t="s">
        <v>6735</v>
      </c>
    </row>
    <row r="89" spans="1:3" x14ac:dyDescent="0.3">
      <c r="A89" t="s">
        <v>299</v>
      </c>
      <c r="B89" t="s">
        <v>6754</v>
      </c>
    </row>
    <row r="90" spans="1:3" x14ac:dyDescent="0.3">
      <c r="A90" t="s">
        <v>301</v>
      </c>
      <c r="B90" t="s">
        <v>6755</v>
      </c>
    </row>
    <row r="91" spans="1:3" x14ac:dyDescent="0.3">
      <c r="A91" t="s">
        <v>328</v>
      </c>
      <c r="B91" t="s">
        <v>6756</v>
      </c>
      <c r="C91" t="s">
        <v>6735</v>
      </c>
    </row>
    <row r="92" spans="1:3" x14ac:dyDescent="0.3">
      <c r="A92" t="s">
        <v>299</v>
      </c>
      <c r="B92" t="s">
        <v>6757</v>
      </c>
    </row>
    <row r="93" spans="1:3" x14ac:dyDescent="0.3">
      <c r="A93" t="s">
        <v>301</v>
      </c>
      <c r="B93" t="s">
        <v>6758</v>
      </c>
    </row>
  </sheetData>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D114"/>
  <sheetViews>
    <sheetView workbookViewId="0"/>
  </sheetViews>
  <sheetFormatPr defaultRowHeight="14.4" x14ac:dyDescent="0.3"/>
  <cols>
    <col min="1" max="1" width="46" customWidth="1"/>
    <col min="2" max="8" width="15" customWidth="1"/>
  </cols>
  <sheetData>
    <row r="1" spans="1:4" x14ac:dyDescent="0.3">
      <c r="A1" s="24" t="s">
        <v>181</v>
      </c>
      <c r="B1" t="s">
        <v>6759</v>
      </c>
    </row>
    <row r="2" spans="1:4" x14ac:dyDescent="0.3">
      <c r="A2" s="24" t="s">
        <v>183</v>
      </c>
      <c r="B2" t="s">
        <v>6760</v>
      </c>
    </row>
    <row r="4" spans="1:4" x14ac:dyDescent="0.3">
      <c r="A4" s="25" t="s">
        <v>185</v>
      </c>
      <c r="B4" s="25"/>
      <c r="C4" s="25"/>
      <c r="D4" s="25"/>
    </row>
    <row r="5" spans="1:4" x14ac:dyDescent="0.3">
      <c r="A5" t="s">
        <v>186</v>
      </c>
      <c r="B5" t="s">
        <v>38</v>
      </c>
      <c r="C5" t="s">
        <v>4943</v>
      </c>
      <c r="D5" t="s">
        <v>189</v>
      </c>
    </row>
    <row r="6" spans="1:4" x14ac:dyDescent="0.3">
      <c r="A6" t="s">
        <v>45</v>
      </c>
      <c r="B6">
        <v>739.3</v>
      </c>
      <c r="C6">
        <v>402</v>
      </c>
      <c r="D6" t="s">
        <v>218</v>
      </c>
    </row>
    <row r="7" spans="1:4" x14ac:dyDescent="0.3">
      <c r="A7" t="s">
        <v>85</v>
      </c>
      <c r="B7">
        <v>438.1</v>
      </c>
      <c r="C7">
        <v>402</v>
      </c>
      <c r="D7" t="s">
        <v>361</v>
      </c>
    </row>
    <row r="8" spans="1:4" x14ac:dyDescent="0.3">
      <c r="A8" t="s">
        <v>78</v>
      </c>
      <c r="B8">
        <v>301.2</v>
      </c>
      <c r="C8">
        <v>146</v>
      </c>
      <c r="D8" t="s">
        <v>6761</v>
      </c>
    </row>
    <row r="9" spans="1:4" x14ac:dyDescent="0.3">
      <c r="A9" t="s">
        <v>6762</v>
      </c>
      <c r="B9">
        <v>1020</v>
      </c>
      <c r="D9" t="s">
        <v>509</v>
      </c>
    </row>
    <row r="10" spans="1:4" x14ac:dyDescent="0.3">
      <c r="A10" t="s">
        <v>6763</v>
      </c>
      <c r="B10">
        <v>48</v>
      </c>
      <c r="D10" t="s">
        <v>1675</v>
      </c>
    </row>
    <row r="11" spans="1:4" x14ac:dyDescent="0.3">
      <c r="A11" t="s">
        <v>6764</v>
      </c>
      <c r="D11" t="s">
        <v>6765</v>
      </c>
    </row>
    <row r="13" spans="1:4" x14ac:dyDescent="0.3">
      <c r="A13" t="s">
        <v>6766</v>
      </c>
      <c r="B13" t="s">
        <v>38</v>
      </c>
      <c r="C13" t="s">
        <v>4943</v>
      </c>
      <c r="D13" t="s">
        <v>204</v>
      </c>
    </row>
    <row r="14" spans="1:4" x14ac:dyDescent="0.3">
      <c r="A14" t="s">
        <v>3313</v>
      </c>
      <c r="B14">
        <v>381</v>
      </c>
      <c r="C14">
        <v>209</v>
      </c>
      <c r="D14" t="s">
        <v>911</v>
      </c>
    </row>
    <row r="15" spans="1:4" x14ac:dyDescent="0.3">
      <c r="A15" t="s">
        <v>6767</v>
      </c>
      <c r="B15" t="s">
        <v>6768</v>
      </c>
      <c r="C15" t="s">
        <v>393</v>
      </c>
      <c r="D15" t="s">
        <v>6769</v>
      </c>
    </row>
    <row r="16" spans="1:4" x14ac:dyDescent="0.3">
      <c r="A16" t="s">
        <v>125</v>
      </c>
      <c r="B16" t="s">
        <v>6770</v>
      </c>
    </row>
    <row r="17" spans="1:4" x14ac:dyDescent="0.3">
      <c r="A17" t="s">
        <v>3319</v>
      </c>
      <c r="B17">
        <v>152</v>
      </c>
    </row>
    <row r="18" spans="1:4" x14ac:dyDescent="0.3">
      <c r="A18" t="s">
        <v>6771</v>
      </c>
      <c r="B18" t="s">
        <v>6772</v>
      </c>
    </row>
    <row r="19" spans="1:4" x14ac:dyDescent="0.3">
      <c r="A19" t="s">
        <v>3327</v>
      </c>
      <c r="B19">
        <v>86</v>
      </c>
    </row>
    <row r="20" spans="1:4" x14ac:dyDescent="0.3">
      <c r="A20" t="s">
        <v>6773</v>
      </c>
      <c r="B20" t="s">
        <v>6774</v>
      </c>
      <c r="C20" t="s">
        <v>1492</v>
      </c>
      <c r="D20" t="s">
        <v>6775</v>
      </c>
    </row>
    <row r="21" spans="1:4" x14ac:dyDescent="0.3">
      <c r="A21" t="s">
        <v>6776</v>
      </c>
      <c r="B21">
        <v>99.6</v>
      </c>
      <c r="C21">
        <v>79.8</v>
      </c>
      <c r="D21" t="s">
        <v>6777</v>
      </c>
    </row>
    <row r="22" spans="1:4" x14ac:dyDescent="0.3">
      <c r="A22" t="s">
        <v>6778</v>
      </c>
      <c r="B22">
        <v>85.7</v>
      </c>
      <c r="C22">
        <v>66.7</v>
      </c>
      <c r="D22" t="s">
        <v>6779</v>
      </c>
    </row>
    <row r="23" spans="1:4" x14ac:dyDescent="0.3">
      <c r="A23" t="s">
        <v>6197</v>
      </c>
      <c r="B23" t="s">
        <v>6780</v>
      </c>
      <c r="C23" t="s">
        <v>5195</v>
      </c>
      <c r="D23" t="s">
        <v>6781</v>
      </c>
    </row>
    <row r="24" spans="1:4" x14ac:dyDescent="0.3">
      <c r="A24" t="s">
        <v>73</v>
      </c>
      <c r="B24" t="s">
        <v>6782</v>
      </c>
      <c r="C24" t="s">
        <v>5195</v>
      </c>
      <c r="D24" t="s">
        <v>6783</v>
      </c>
    </row>
    <row r="25" spans="1:4" x14ac:dyDescent="0.3">
      <c r="A25" t="s">
        <v>2612</v>
      </c>
      <c r="B25">
        <v>210</v>
      </c>
      <c r="C25">
        <v>100</v>
      </c>
      <c r="D25" t="s">
        <v>2200</v>
      </c>
    </row>
    <row r="27" spans="1:4" x14ac:dyDescent="0.3">
      <c r="A27" t="s">
        <v>6784</v>
      </c>
      <c r="B27" t="s">
        <v>38</v>
      </c>
    </row>
    <row r="28" spans="1:4" x14ac:dyDescent="0.3">
      <c r="A28" t="s">
        <v>67</v>
      </c>
      <c r="B28">
        <v>16</v>
      </c>
    </row>
    <row r="29" spans="1:4" x14ac:dyDescent="0.3">
      <c r="A29" t="s">
        <v>113</v>
      </c>
      <c r="B29">
        <v>13.8</v>
      </c>
    </row>
    <row r="30" spans="1:4" x14ac:dyDescent="0.3">
      <c r="A30" t="s">
        <v>150</v>
      </c>
      <c r="B30">
        <v>21.7</v>
      </c>
    </row>
    <row r="32" spans="1:4" x14ac:dyDescent="0.3">
      <c r="A32" t="s">
        <v>6785</v>
      </c>
      <c r="B32" t="s">
        <v>39</v>
      </c>
      <c r="C32" t="s">
        <v>6786</v>
      </c>
      <c r="D32" t="s">
        <v>189</v>
      </c>
    </row>
    <row r="33" spans="1:4" x14ac:dyDescent="0.3">
      <c r="A33" t="s">
        <v>6787</v>
      </c>
      <c r="B33">
        <v>1.07</v>
      </c>
      <c r="C33">
        <v>0.75900000000000001</v>
      </c>
      <c r="D33" t="s">
        <v>509</v>
      </c>
    </row>
    <row r="34" spans="1:4" x14ac:dyDescent="0.3">
      <c r="A34" t="s">
        <v>52</v>
      </c>
      <c r="B34" t="s">
        <v>1751</v>
      </c>
      <c r="C34" t="s">
        <v>5200</v>
      </c>
      <c r="D34" t="s">
        <v>6788</v>
      </c>
    </row>
    <row r="35" spans="1:4" x14ac:dyDescent="0.3">
      <c r="A35" t="s">
        <v>2612</v>
      </c>
      <c r="B35">
        <v>280</v>
      </c>
      <c r="C35">
        <v>188</v>
      </c>
      <c r="D35" t="s">
        <v>889</v>
      </c>
    </row>
    <row r="36" spans="1:4" x14ac:dyDescent="0.3">
      <c r="A36" t="s">
        <v>73</v>
      </c>
      <c r="B36" t="s">
        <v>6789</v>
      </c>
      <c r="C36" t="s">
        <v>5213</v>
      </c>
      <c r="D36" t="s">
        <v>6790</v>
      </c>
    </row>
    <row r="38" spans="1:4" x14ac:dyDescent="0.3">
      <c r="A38" t="s">
        <v>6791</v>
      </c>
      <c r="B38" t="s">
        <v>238</v>
      </c>
      <c r="C38" t="s">
        <v>248</v>
      </c>
    </row>
    <row r="39" spans="1:4" x14ac:dyDescent="0.3">
      <c r="A39" t="s">
        <v>6792</v>
      </c>
      <c r="B39" t="s">
        <v>5176</v>
      </c>
    </row>
    <row r="40" spans="1:4" x14ac:dyDescent="0.3">
      <c r="A40" t="s">
        <v>6793</v>
      </c>
      <c r="B40" t="s">
        <v>526</v>
      </c>
    </row>
    <row r="41" spans="1:4" x14ac:dyDescent="0.3">
      <c r="A41" t="s">
        <v>6794</v>
      </c>
      <c r="B41" t="s">
        <v>6795</v>
      </c>
    </row>
    <row r="42" spans="1:4" x14ac:dyDescent="0.3">
      <c r="A42" t="s">
        <v>6796</v>
      </c>
      <c r="B42" t="s">
        <v>6797</v>
      </c>
    </row>
    <row r="43" spans="1:4" x14ac:dyDescent="0.3">
      <c r="A43" t="s">
        <v>6798</v>
      </c>
      <c r="B43" t="s">
        <v>6799</v>
      </c>
    </row>
    <row r="44" spans="1:4" x14ac:dyDescent="0.3">
      <c r="A44" t="s">
        <v>6800</v>
      </c>
      <c r="B44" t="s">
        <v>6801</v>
      </c>
      <c r="C44" t="s">
        <v>6802</v>
      </c>
    </row>
    <row r="45" spans="1:4" x14ac:dyDescent="0.3">
      <c r="A45" t="s">
        <v>6803</v>
      </c>
      <c r="B45" t="s">
        <v>1488</v>
      </c>
    </row>
    <row r="46" spans="1:4" x14ac:dyDescent="0.3">
      <c r="A46" t="s">
        <v>6804</v>
      </c>
      <c r="B46" t="s">
        <v>6805</v>
      </c>
    </row>
    <row r="47" spans="1:4" x14ac:dyDescent="0.3">
      <c r="A47" t="s">
        <v>6806</v>
      </c>
      <c r="B47" t="s">
        <v>6807</v>
      </c>
    </row>
    <row r="48" spans="1:4" x14ac:dyDescent="0.3">
      <c r="A48" t="s">
        <v>6808</v>
      </c>
      <c r="B48" t="s">
        <v>6809</v>
      </c>
      <c r="C48" t="s">
        <v>6810</v>
      </c>
    </row>
    <row r="49" spans="1:2" x14ac:dyDescent="0.3">
      <c r="A49" t="s">
        <v>6811</v>
      </c>
      <c r="B49" t="s">
        <v>6812</v>
      </c>
    </row>
    <row r="50" spans="1:2" x14ac:dyDescent="0.3">
      <c r="A50" t="s">
        <v>6813</v>
      </c>
      <c r="B50" t="s">
        <v>1946</v>
      </c>
    </row>
    <row r="52" spans="1:2" x14ac:dyDescent="0.3">
      <c r="A52" t="s">
        <v>6814</v>
      </c>
      <c r="B52" t="s">
        <v>238</v>
      </c>
    </row>
    <row r="53" spans="1:2" x14ac:dyDescent="0.3">
      <c r="A53" t="s">
        <v>6815</v>
      </c>
      <c r="B53" t="s">
        <v>375</v>
      </c>
    </row>
    <row r="54" spans="1:2" x14ac:dyDescent="0.3">
      <c r="A54" t="s">
        <v>6816</v>
      </c>
      <c r="B54" t="s">
        <v>212</v>
      </c>
    </row>
    <row r="55" spans="1:2" x14ac:dyDescent="0.3">
      <c r="A55" t="s">
        <v>6817</v>
      </c>
      <c r="B55" t="s">
        <v>1627</v>
      </c>
    </row>
    <row r="56" spans="1:2" x14ac:dyDescent="0.3">
      <c r="A56" t="s">
        <v>6818</v>
      </c>
      <c r="B56" t="s">
        <v>6819</v>
      </c>
    </row>
    <row r="57" spans="1:2" x14ac:dyDescent="0.3">
      <c r="A57" t="s">
        <v>6820</v>
      </c>
      <c r="B57" t="s">
        <v>6821</v>
      </c>
    </row>
    <row r="58" spans="1:2" x14ac:dyDescent="0.3">
      <c r="A58" t="s">
        <v>6822</v>
      </c>
      <c r="B58" t="s">
        <v>6823</v>
      </c>
    </row>
    <row r="59" spans="1:2" x14ac:dyDescent="0.3">
      <c r="A59" t="s">
        <v>6824</v>
      </c>
      <c r="B59" t="s">
        <v>4686</v>
      </c>
    </row>
    <row r="60" spans="1:2" x14ac:dyDescent="0.3">
      <c r="A60" t="s">
        <v>6825</v>
      </c>
      <c r="B60" t="s">
        <v>2598</v>
      </c>
    </row>
    <row r="61" spans="1:2" x14ac:dyDescent="0.3">
      <c r="A61" t="s">
        <v>6826</v>
      </c>
      <c r="B61" t="s">
        <v>6827</v>
      </c>
    </row>
    <row r="62" spans="1:2" x14ac:dyDescent="0.3">
      <c r="A62" t="s">
        <v>6828</v>
      </c>
      <c r="B62" t="s">
        <v>6231</v>
      </c>
    </row>
    <row r="63" spans="1:2" x14ac:dyDescent="0.3">
      <c r="A63" t="s">
        <v>6829</v>
      </c>
      <c r="B63" t="s">
        <v>6830</v>
      </c>
    </row>
    <row r="64" spans="1:2" x14ac:dyDescent="0.3">
      <c r="A64" t="s">
        <v>6831</v>
      </c>
      <c r="B64" t="s">
        <v>6832</v>
      </c>
    </row>
    <row r="66" spans="1:4" x14ac:dyDescent="0.3">
      <c r="A66" t="s">
        <v>273</v>
      </c>
      <c r="B66" t="s">
        <v>238</v>
      </c>
      <c r="C66" t="s">
        <v>274</v>
      </c>
    </row>
    <row r="67" spans="1:4" x14ac:dyDescent="0.3">
      <c r="A67" t="s">
        <v>6486</v>
      </c>
      <c r="B67" t="s">
        <v>6333</v>
      </c>
      <c r="C67" t="s">
        <v>6833</v>
      </c>
    </row>
    <row r="68" spans="1:4" x14ac:dyDescent="0.3">
      <c r="A68" t="s">
        <v>2611</v>
      </c>
      <c r="B68" t="s">
        <v>6834</v>
      </c>
      <c r="C68" t="s">
        <v>6835</v>
      </c>
    </row>
    <row r="69" spans="1:4" x14ac:dyDescent="0.3">
      <c r="A69" t="s">
        <v>6836</v>
      </c>
      <c r="B69" t="s">
        <v>6837</v>
      </c>
      <c r="C69" t="s">
        <v>6838</v>
      </c>
    </row>
    <row r="70" spans="1:4" x14ac:dyDescent="0.3">
      <c r="A70" t="s">
        <v>6839</v>
      </c>
      <c r="B70" t="s">
        <v>790</v>
      </c>
      <c r="C70" t="s">
        <v>6840</v>
      </c>
    </row>
    <row r="72" spans="1:4" x14ac:dyDescent="0.3">
      <c r="A72" s="25" t="s">
        <v>281</v>
      </c>
      <c r="B72" s="25"/>
      <c r="C72" s="25"/>
      <c r="D72" s="25"/>
    </row>
    <row r="73" spans="1:4" x14ac:dyDescent="0.3">
      <c r="A73" t="s">
        <v>6841</v>
      </c>
    </row>
    <row r="74" spans="1:4" x14ac:dyDescent="0.3">
      <c r="A74" t="s">
        <v>6842</v>
      </c>
    </row>
    <row r="75" spans="1:4" x14ac:dyDescent="0.3">
      <c r="A75" t="s">
        <v>6843</v>
      </c>
    </row>
    <row r="76" spans="1:4" x14ac:dyDescent="0.3">
      <c r="A76" t="s">
        <v>6844</v>
      </c>
    </row>
    <row r="77" spans="1:4" x14ac:dyDescent="0.3">
      <c r="A77" t="s">
        <v>6845</v>
      </c>
    </row>
    <row r="78" spans="1:4" x14ac:dyDescent="0.3">
      <c r="A78" t="s">
        <v>6846</v>
      </c>
    </row>
    <row r="79" spans="1:4" x14ac:dyDescent="0.3">
      <c r="A79" t="s">
        <v>6847</v>
      </c>
    </row>
    <row r="80" spans="1:4" x14ac:dyDescent="0.3">
      <c r="A80" t="s">
        <v>6848</v>
      </c>
    </row>
    <row r="81" spans="1:4" x14ac:dyDescent="0.3">
      <c r="A81" t="s">
        <v>6849</v>
      </c>
    </row>
    <row r="82" spans="1:4" x14ac:dyDescent="0.3">
      <c r="A82" t="s">
        <v>6850</v>
      </c>
    </row>
    <row r="83" spans="1:4" x14ac:dyDescent="0.3">
      <c r="A83" t="s">
        <v>6851</v>
      </c>
    </row>
    <row r="84" spans="1:4" x14ac:dyDescent="0.3">
      <c r="A84" t="s">
        <v>6852</v>
      </c>
    </row>
    <row r="85" spans="1:4" x14ac:dyDescent="0.3">
      <c r="A85" t="s">
        <v>6853</v>
      </c>
    </row>
    <row r="86" spans="1:4" x14ac:dyDescent="0.3">
      <c r="A86" t="s">
        <v>6854</v>
      </c>
    </row>
    <row r="87" spans="1:4" x14ac:dyDescent="0.3">
      <c r="A87" t="s">
        <v>6855</v>
      </c>
    </row>
    <row r="88" spans="1:4" x14ac:dyDescent="0.3">
      <c r="A88" t="s">
        <v>6856</v>
      </c>
    </row>
    <row r="90" spans="1:4" x14ac:dyDescent="0.3">
      <c r="A90" s="25" t="s">
        <v>295</v>
      </c>
      <c r="B90" s="25"/>
      <c r="C90" s="25"/>
      <c r="D90" s="25"/>
    </row>
    <row r="91" spans="1:4" x14ac:dyDescent="0.3">
      <c r="A91" t="s">
        <v>296</v>
      </c>
      <c r="B91" t="s">
        <v>6857</v>
      </c>
      <c r="C91" t="s">
        <v>3397</v>
      </c>
    </row>
    <row r="92" spans="1:4" x14ac:dyDescent="0.3">
      <c r="A92" t="s">
        <v>299</v>
      </c>
      <c r="B92" t="s">
        <v>6858</v>
      </c>
    </row>
    <row r="93" spans="1:4" x14ac:dyDescent="0.3">
      <c r="A93" t="s">
        <v>301</v>
      </c>
      <c r="B93" t="s">
        <v>6859</v>
      </c>
    </row>
    <row r="94" spans="1:4" x14ac:dyDescent="0.3">
      <c r="A94" t="s">
        <v>303</v>
      </c>
      <c r="B94" t="s">
        <v>6860</v>
      </c>
      <c r="C94" t="s">
        <v>4669</v>
      </c>
    </row>
    <row r="95" spans="1:4" x14ac:dyDescent="0.3">
      <c r="A95" t="s">
        <v>299</v>
      </c>
      <c r="B95" t="s">
        <v>6861</v>
      </c>
    </row>
    <row r="96" spans="1:4" x14ac:dyDescent="0.3">
      <c r="A96" t="s">
        <v>301</v>
      </c>
      <c r="B96" t="s">
        <v>6862</v>
      </c>
    </row>
    <row r="97" spans="1:3" x14ac:dyDescent="0.3">
      <c r="A97" t="s">
        <v>307</v>
      </c>
      <c r="B97" t="s">
        <v>6863</v>
      </c>
      <c r="C97" t="s">
        <v>727</v>
      </c>
    </row>
    <row r="98" spans="1:3" x14ac:dyDescent="0.3">
      <c r="A98" t="s">
        <v>299</v>
      </c>
      <c r="B98" t="s">
        <v>6864</v>
      </c>
    </row>
    <row r="99" spans="1:3" x14ac:dyDescent="0.3">
      <c r="A99" t="s">
        <v>301</v>
      </c>
      <c r="B99" t="s">
        <v>6865</v>
      </c>
    </row>
    <row r="100" spans="1:3" x14ac:dyDescent="0.3">
      <c r="A100" t="s">
        <v>311</v>
      </c>
      <c r="B100" t="s">
        <v>6866</v>
      </c>
      <c r="C100" t="s">
        <v>6867</v>
      </c>
    </row>
    <row r="101" spans="1:3" x14ac:dyDescent="0.3">
      <c r="A101" t="s">
        <v>299</v>
      </c>
      <c r="B101" t="s">
        <v>6868</v>
      </c>
    </row>
    <row r="102" spans="1:3" x14ac:dyDescent="0.3">
      <c r="A102" t="s">
        <v>301</v>
      </c>
      <c r="B102" t="s">
        <v>6869</v>
      </c>
    </row>
    <row r="103" spans="1:3" x14ac:dyDescent="0.3">
      <c r="A103" t="s">
        <v>316</v>
      </c>
      <c r="B103" t="s">
        <v>6870</v>
      </c>
      <c r="C103" t="s">
        <v>6871</v>
      </c>
    </row>
    <row r="104" spans="1:3" x14ac:dyDescent="0.3">
      <c r="A104" t="s">
        <v>299</v>
      </c>
      <c r="B104" t="s">
        <v>6872</v>
      </c>
    </row>
    <row r="105" spans="1:3" x14ac:dyDescent="0.3">
      <c r="A105" t="s">
        <v>301</v>
      </c>
      <c r="B105" t="s">
        <v>6873</v>
      </c>
    </row>
    <row r="106" spans="1:3" x14ac:dyDescent="0.3">
      <c r="A106" t="s">
        <v>320</v>
      </c>
      <c r="B106" t="s">
        <v>6874</v>
      </c>
      <c r="C106" t="s">
        <v>3409</v>
      </c>
    </row>
    <row r="107" spans="1:3" x14ac:dyDescent="0.3">
      <c r="A107" t="s">
        <v>299</v>
      </c>
      <c r="B107" t="s">
        <v>6875</v>
      </c>
    </row>
    <row r="108" spans="1:3" x14ac:dyDescent="0.3">
      <c r="A108" t="s">
        <v>301</v>
      </c>
      <c r="B108" t="s">
        <v>6876</v>
      </c>
    </row>
    <row r="109" spans="1:3" x14ac:dyDescent="0.3">
      <c r="A109" t="s">
        <v>324</v>
      </c>
      <c r="B109" t="s">
        <v>6877</v>
      </c>
      <c r="C109" t="s">
        <v>4673</v>
      </c>
    </row>
    <row r="110" spans="1:3" x14ac:dyDescent="0.3">
      <c r="A110" t="s">
        <v>299</v>
      </c>
      <c r="B110" t="s">
        <v>6878</v>
      </c>
    </row>
    <row r="111" spans="1:3" x14ac:dyDescent="0.3">
      <c r="A111" t="s">
        <v>301</v>
      </c>
      <c r="B111" t="s">
        <v>6879</v>
      </c>
    </row>
    <row r="112" spans="1:3" x14ac:dyDescent="0.3">
      <c r="A112" t="s">
        <v>328</v>
      </c>
      <c r="B112" t="s">
        <v>6880</v>
      </c>
      <c r="C112" t="s">
        <v>6881</v>
      </c>
    </row>
    <row r="113" spans="1:2" x14ac:dyDescent="0.3">
      <c r="A113" t="s">
        <v>299</v>
      </c>
      <c r="B113" t="s">
        <v>6882</v>
      </c>
    </row>
    <row r="114" spans="1:2" x14ac:dyDescent="0.3">
      <c r="A114" t="s">
        <v>301</v>
      </c>
      <c r="B114" t="s">
        <v>6883</v>
      </c>
    </row>
  </sheetData>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C90"/>
  <sheetViews>
    <sheetView workbookViewId="0"/>
  </sheetViews>
  <sheetFormatPr defaultRowHeight="14.4" x14ac:dyDescent="0.3"/>
  <cols>
    <col min="1" max="1" width="46" customWidth="1"/>
    <col min="2" max="8" width="15" customWidth="1"/>
  </cols>
  <sheetData>
    <row r="1" spans="1:3" x14ac:dyDescent="0.3">
      <c r="A1" s="24" t="s">
        <v>181</v>
      </c>
      <c r="B1" t="s">
        <v>6884</v>
      </c>
    </row>
    <row r="2" spans="1:3" x14ac:dyDescent="0.3">
      <c r="A2" s="24" t="s">
        <v>183</v>
      </c>
      <c r="B2" t="s">
        <v>6885</v>
      </c>
    </row>
    <row r="4" spans="1:3" x14ac:dyDescent="0.3">
      <c r="A4" s="25" t="s">
        <v>185</v>
      </c>
      <c r="B4" s="25"/>
      <c r="C4" s="25"/>
    </row>
    <row r="5" spans="1:3" x14ac:dyDescent="0.3">
      <c r="A5" t="s">
        <v>6886</v>
      </c>
      <c r="B5" t="s">
        <v>238</v>
      </c>
    </row>
    <row r="6" spans="1:3" x14ac:dyDescent="0.3">
      <c r="A6" t="s">
        <v>6887</v>
      </c>
      <c r="B6" t="s">
        <v>6888</v>
      </c>
    </row>
    <row r="7" spans="1:3" x14ac:dyDescent="0.3">
      <c r="A7" t="s">
        <v>6889</v>
      </c>
      <c r="B7" t="s">
        <v>1376</v>
      </c>
    </row>
    <row r="8" spans="1:3" x14ac:dyDescent="0.3">
      <c r="A8" t="s">
        <v>6890</v>
      </c>
      <c r="B8" t="s">
        <v>6891</v>
      </c>
    </row>
    <row r="9" spans="1:3" x14ac:dyDescent="0.3">
      <c r="A9" t="s">
        <v>6892</v>
      </c>
      <c r="B9" t="s">
        <v>6893</v>
      </c>
    </row>
    <row r="10" spans="1:3" x14ac:dyDescent="0.3">
      <c r="A10" t="s">
        <v>6894</v>
      </c>
      <c r="B10" t="s">
        <v>6895</v>
      </c>
    </row>
    <row r="11" spans="1:3" x14ac:dyDescent="0.3">
      <c r="A11" t="s">
        <v>6896</v>
      </c>
      <c r="B11" t="s">
        <v>6897</v>
      </c>
    </row>
    <row r="12" spans="1:3" x14ac:dyDescent="0.3">
      <c r="A12" t="s">
        <v>6898</v>
      </c>
      <c r="B12" t="s">
        <v>2126</v>
      </c>
    </row>
    <row r="14" spans="1:3" x14ac:dyDescent="0.3">
      <c r="A14" t="s">
        <v>6899</v>
      </c>
      <c r="B14" t="s">
        <v>238</v>
      </c>
    </row>
    <row r="15" spans="1:3" x14ac:dyDescent="0.3">
      <c r="A15" t="s">
        <v>6900</v>
      </c>
      <c r="B15" t="s">
        <v>3987</v>
      </c>
    </row>
    <row r="16" spans="1:3" x14ac:dyDescent="0.3">
      <c r="A16" t="s">
        <v>6901</v>
      </c>
      <c r="B16" t="s">
        <v>6902</v>
      </c>
    </row>
    <row r="17" spans="1:3" x14ac:dyDescent="0.3">
      <c r="A17" t="s">
        <v>6903</v>
      </c>
      <c r="B17" t="s">
        <v>6904</v>
      </c>
    </row>
    <row r="18" spans="1:3" x14ac:dyDescent="0.3">
      <c r="A18" t="s">
        <v>6905</v>
      </c>
      <c r="B18" t="s">
        <v>3614</v>
      </c>
    </row>
    <row r="19" spans="1:3" x14ac:dyDescent="0.3">
      <c r="A19" t="s">
        <v>6906</v>
      </c>
      <c r="B19" t="s">
        <v>6907</v>
      </c>
    </row>
    <row r="21" spans="1:3" x14ac:dyDescent="0.3">
      <c r="A21" t="s">
        <v>6908</v>
      </c>
      <c r="B21" t="s">
        <v>238</v>
      </c>
    </row>
    <row r="22" spans="1:3" x14ac:dyDescent="0.3">
      <c r="A22" t="s">
        <v>6909</v>
      </c>
      <c r="B22" t="s">
        <v>6910</v>
      </c>
    </row>
    <row r="23" spans="1:3" x14ac:dyDescent="0.3">
      <c r="A23" t="s">
        <v>6911</v>
      </c>
      <c r="B23" t="s">
        <v>3893</v>
      </c>
    </row>
    <row r="24" spans="1:3" x14ac:dyDescent="0.3">
      <c r="A24" t="s">
        <v>6912</v>
      </c>
      <c r="B24" t="s">
        <v>6913</v>
      </c>
    </row>
    <row r="25" spans="1:3" x14ac:dyDescent="0.3">
      <c r="A25" t="s">
        <v>6914</v>
      </c>
      <c r="B25" t="s">
        <v>6915</v>
      </c>
    </row>
    <row r="26" spans="1:3" x14ac:dyDescent="0.3">
      <c r="A26" t="s">
        <v>6916</v>
      </c>
      <c r="B26" t="s">
        <v>6917</v>
      </c>
    </row>
    <row r="28" spans="1:3" x14ac:dyDescent="0.3">
      <c r="A28" s="25" t="s">
        <v>281</v>
      </c>
      <c r="B28" s="25"/>
      <c r="C28" s="25"/>
    </row>
    <row r="29" spans="1:3" x14ac:dyDescent="0.3">
      <c r="A29" t="s">
        <v>6918</v>
      </c>
    </row>
    <row r="30" spans="1:3" x14ac:dyDescent="0.3">
      <c r="A30" t="s">
        <v>6919</v>
      </c>
    </row>
    <row r="31" spans="1:3" x14ac:dyDescent="0.3">
      <c r="A31" t="s">
        <v>6920</v>
      </c>
    </row>
    <row r="32" spans="1:3" x14ac:dyDescent="0.3">
      <c r="A32" t="s">
        <v>6921</v>
      </c>
    </row>
    <row r="33" spans="1:3" x14ac:dyDescent="0.3">
      <c r="A33" t="s">
        <v>6922</v>
      </c>
    </row>
    <row r="34" spans="1:3" x14ac:dyDescent="0.3">
      <c r="A34" t="s">
        <v>6923</v>
      </c>
    </row>
    <row r="35" spans="1:3" x14ac:dyDescent="0.3">
      <c r="A35" t="s">
        <v>6924</v>
      </c>
    </row>
    <row r="36" spans="1:3" x14ac:dyDescent="0.3">
      <c r="A36" t="s">
        <v>6925</v>
      </c>
    </row>
    <row r="37" spans="1:3" x14ac:dyDescent="0.3">
      <c r="A37" t="s">
        <v>6926</v>
      </c>
    </row>
    <row r="38" spans="1:3" x14ac:dyDescent="0.3">
      <c r="A38" t="s">
        <v>6927</v>
      </c>
    </row>
    <row r="39" spans="1:3" x14ac:dyDescent="0.3">
      <c r="A39" t="s">
        <v>6928</v>
      </c>
    </row>
    <row r="40" spans="1:3" x14ac:dyDescent="0.3">
      <c r="A40" t="s">
        <v>6929</v>
      </c>
    </row>
    <row r="41" spans="1:3" x14ac:dyDescent="0.3">
      <c r="A41" t="s">
        <v>6930</v>
      </c>
    </row>
    <row r="42" spans="1:3" x14ac:dyDescent="0.3">
      <c r="A42" t="s">
        <v>6931</v>
      </c>
    </row>
    <row r="43" spans="1:3" x14ac:dyDescent="0.3">
      <c r="A43" t="s">
        <v>6932</v>
      </c>
    </row>
    <row r="45" spans="1:3" x14ac:dyDescent="0.3">
      <c r="A45" s="25" t="s">
        <v>295</v>
      </c>
      <c r="B45" s="25"/>
      <c r="C45" s="25"/>
    </row>
    <row r="46" spans="1:3" x14ac:dyDescent="0.3">
      <c r="A46" t="s">
        <v>296</v>
      </c>
      <c r="B46" t="s">
        <v>6933</v>
      </c>
      <c r="C46" t="s">
        <v>6934</v>
      </c>
    </row>
    <row r="47" spans="1:3" x14ac:dyDescent="0.3">
      <c r="A47" t="s">
        <v>299</v>
      </c>
      <c r="B47" t="s">
        <v>6935</v>
      </c>
    </row>
    <row r="48" spans="1:3" x14ac:dyDescent="0.3">
      <c r="A48" t="s">
        <v>301</v>
      </c>
      <c r="B48" t="s">
        <v>6936</v>
      </c>
    </row>
    <row r="49" spans="1:3" x14ac:dyDescent="0.3">
      <c r="A49" t="s">
        <v>303</v>
      </c>
      <c r="B49" t="s">
        <v>6937</v>
      </c>
      <c r="C49" t="s">
        <v>6934</v>
      </c>
    </row>
    <row r="50" spans="1:3" x14ac:dyDescent="0.3">
      <c r="A50" t="s">
        <v>299</v>
      </c>
      <c r="B50" t="s">
        <v>6938</v>
      </c>
    </row>
    <row r="51" spans="1:3" x14ac:dyDescent="0.3">
      <c r="A51" t="s">
        <v>301</v>
      </c>
      <c r="B51" t="s">
        <v>6939</v>
      </c>
    </row>
    <row r="52" spans="1:3" x14ac:dyDescent="0.3">
      <c r="A52" t="s">
        <v>307</v>
      </c>
      <c r="B52" t="s">
        <v>6940</v>
      </c>
      <c r="C52" t="s">
        <v>6934</v>
      </c>
    </row>
    <row r="53" spans="1:3" x14ac:dyDescent="0.3">
      <c r="A53" t="s">
        <v>299</v>
      </c>
      <c r="B53" t="s">
        <v>6941</v>
      </c>
    </row>
    <row r="54" spans="1:3" x14ac:dyDescent="0.3">
      <c r="A54" t="s">
        <v>301</v>
      </c>
      <c r="B54" t="s">
        <v>6942</v>
      </c>
    </row>
    <row r="55" spans="1:3" x14ac:dyDescent="0.3">
      <c r="A55" t="s">
        <v>311</v>
      </c>
      <c r="B55" t="s">
        <v>6943</v>
      </c>
      <c r="C55" t="s">
        <v>6934</v>
      </c>
    </row>
    <row r="56" spans="1:3" x14ac:dyDescent="0.3">
      <c r="A56" t="s">
        <v>299</v>
      </c>
      <c r="B56" t="s">
        <v>6944</v>
      </c>
    </row>
    <row r="57" spans="1:3" x14ac:dyDescent="0.3">
      <c r="A57" t="s">
        <v>301</v>
      </c>
      <c r="B57" t="s">
        <v>6945</v>
      </c>
    </row>
    <row r="58" spans="1:3" x14ac:dyDescent="0.3">
      <c r="A58" t="s">
        <v>316</v>
      </c>
      <c r="B58" t="s">
        <v>6946</v>
      </c>
      <c r="C58" t="s">
        <v>6934</v>
      </c>
    </row>
    <row r="59" spans="1:3" x14ac:dyDescent="0.3">
      <c r="A59" t="s">
        <v>299</v>
      </c>
      <c r="B59" t="s">
        <v>6947</v>
      </c>
    </row>
    <row r="60" spans="1:3" x14ac:dyDescent="0.3">
      <c r="A60" t="s">
        <v>301</v>
      </c>
      <c r="B60" t="s">
        <v>6948</v>
      </c>
    </row>
    <row r="61" spans="1:3" x14ac:dyDescent="0.3">
      <c r="A61" t="s">
        <v>320</v>
      </c>
      <c r="B61" t="s">
        <v>6949</v>
      </c>
      <c r="C61" t="s">
        <v>6934</v>
      </c>
    </row>
    <row r="62" spans="1:3" x14ac:dyDescent="0.3">
      <c r="A62" t="s">
        <v>299</v>
      </c>
      <c r="B62" t="s">
        <v>6950</v>
      </c>
    </row>
    <row r="63" spans="1:3" x14ac:dyDescent="0.3">
      <c r="A63" t="s">
        <v>301</v>
      </c>
      <c r="B63" t="s">
        <v>6951</v>
      </c>
    </row>
    <row r="64" spans="1:3" x14ac:dyDescent="0.3">
      <c r="A64" t="s">
        <v>324</v>
      </c>
      <c r="B64" t="s">
        <v>6952</v>
      </c>
      <c r="C64" t="s">
        <v>6934</v>
      </c>
    </row>
    <row r="65" spans="1:3" x14ac:dyDescent="0.3">
      <c r="A65" t="s">
        <v>299</v>
      </c>
      <c r="B65" t="s">
        <v>6953</v>
      </c>
    </row>
    <row r="66" spans="1:3" x14ac:dyDescent="0.3">
      <c r="A66" t="s">
        <v>301</v>
      </c>
      <c r="B66" t="s">
        <v>6954</v>
      </c>
    </row>
    <row r="67" spans="1:3" x14ac:dyDescent="0.3">
      <c r="A67" t="s">
        <v>328</v>
      </c>
      <c r="B67" t="s">
        <v>6955</v>
      </c>
      <c r="C67" t="s">
        <v>6934</v>
      </c>
    </row>
    <row r="68" spans="1:3" x14ac:dyDescent="0.3">
      <c r="A68" t="s">
        <v>299</v>
      </c>
      <c r="B68" t="s">
        <v>6956</v>
      </c>
    </row>
    <row r="69" spans="1:3" x14ac:dyDescent="0.3">
      <c r="A69" t="s">
        <v>301</v>
      </c>
      <c r="B69" t="s">
        <v>6957</v>
      </c>
    </row>
    <row r="70" spans="1:3" x14ac:dyDescent="0.3">
      <c r="A70" t="s">
        <v>333</v>
      </c>
      <c r="B70" t="s">
        <v>6958</v>
      </c>
      <c r="C70" t="s">
        <v>6934</v>
      </c>
    </row>
    <row r="71" spans="1:3" x14ac:dyDescent="0.3">
      <c r="A71" t="s">
        <v>299</v>
      </c>
      <c r="B71" t="s">
        <v>6959</v>
      </c>
    </row>
    <row r="72" spans="1:3" x14ac:dyDescent="0.3">
      <c r="A72" t="s">
        <v>301</v>
      </c>
      <c r="B72" t="s">
        <v>6960</v>
      </c>
    </row>
    <row r="73" spans="1:3" x14ac:dyDescent="0.3">
      <c r="A73" t="s">
        <v>337</v>
      </c>
      <c r="B73" t="s">
        <v>6961</v>
      </c>
      <c r="C73" t="s">
        <v>6934</v>
      </c>
    </row>
    <row r="74" spans="1:3" x14ac:dyDescent="0.3">
      <c r="A74" t="s">
        <v>299</v>
      </c>
      <c r="B74" t="s">
        <v>6962</v>
      </c>
    </row>
    <row r="75" spans="1:3" x14ac:dyDescent="0.3">
      <c r="A75" t="s">
        <v>301</v>
      </c>
      <c r="B75" t="s">
        <v>6963</v>
      </c>
    </row>
    <row r="76" spans="1:3" x14ac:dyDescent="0.3">
      <c r="A76" t="s">
        <v>341</v>
      </c>
      <c r="B76" t="s">
        <v>6964</v>
      </c>
      <c r="C76" t="s">
        <v>6934</v>
      </c>
    </row>
    <row r="77" spans="1:3" x14ac:dyDescent="0.3">
      <c r="A77" t="s">
        <v>299</v>
      </c>
      <c r="B77" t="s">
        <v>6965</v>
      </c>
    </row>
    <row r="78" spans="1:3" x14ac:dyDescent="0.3">
      <c r="A78" t="s">
        <v>301</v>
      </c>
      <c r="B78" t="s">
        <v>6966</v>
      </c>
    </row>
    <row r="79" spans="1:3" x14ac:dyDescent="0.3">
      <c r="A79" t="s">
        <v>346</v>
      </c>
      <c r="B79" t="s">
        <v>6967</v>
      </c>
      <c r="C79" t="s">
        <v>6934</v>
      </c>
    </row>
    <row r="80" spans="1:3" x14ac:dyDescent="0.3">
      <c r="A80" t="s">
        <v>299</v>
      </c>
      <c r="B80" t="s">
        <v>6968</v>
      </c>
    </row>
    <row r="81" spans="1:3" x14ac:dyDescent="0.3">
      <c r="A81" t="s">
        <v>301</v>
      </c>
      <c r="B81" t="s">
        <v>6969</v>
      </c>
    </row>
    <row r="82" spans="1:3" x14ac:dyDescent="0.3">
      <c r="A82" t="s">
        <v>1453</v>
      </c>
      <c r="B82" t="s">
        <v>6970</v>
      </c>
      <c r="C82" t="s">
        <v>6934</v>
      </c>
    </row>
    <row r="83" spans="1:3" x14ac:dyDescent="0.3">
      <c r="A83" t="s">
        <v>299</v>
      </c>
      <c r="B83" t="s">
        <v>6971</v>
      </c>
    </row>
    <row r="84" spans="1:3" x14ac:dyDescent="0.3">
      <c r="A84" t="s">
        <v>301</v>
      </c>
      <c r="B84" t="s">
        <v>6972</v>
      </c>
    </row>
    <row r="85" spans="1:3" x14ac:dyDescent="0.3">
      <c r="A85" t="s">
        <v>1457</v>
      </c>
      <c r="B85" t="s">
        <v>6973</v>
      </c>
      <c r="C85" t="s">
        <v>6934</v>
      </c>
    </row>
    <row r="86" spans="1:3" x14ac:dyDescent="0.3">
      <c r="A86" t="s">
        <v>299</v>
      </c>
      <c r="B86" t="s">
        <v>6974</v>
      </c>
    </row>
    <row r="87" spans="1:3" x14ac:dyDescent="0.3">
      <c r="A87" t="s">
        <v>301</v>
      </c>
      <c r="B87" t="s">
        <v>6975</v>
      </c>
    </row>
    <row r="88" spans="1:3" x14ac:dyDescent="0.3">
      <c r="A88" t="s">
        <v>1461</v>
      </c>
      <c r="B88" t="s">
        <v>6976</v>
      </c>
      <c r="C88" t="s">
        <v>6934</v>
      </c>
    </row>
    <row r="89" spans="1:3" x14ac:dyDescent="0.3">
      <c r="A89" t="s">
        <v>299</v>
      </c>
      <c r="B89" t="s">
        <v>6977</v>
      </c>
    </row>
    <row r="90" spans="1:3" x14ac:dyDescent="0.3">
      <c r="A90" t="s">
        <v>301</v>
      </c>
      <c r="B90" t="s">
        <v>6978</v>
      </c>
    </row>
  </sheetData>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C83"/>
  <sheetViews>
    <sheetView workbookViewId="0"/>
  </sheetViews>
  <sheetFormatPr defaultRowHeight="14.4" x14ac:dyDescent="0.3"/>
  <cols>
    <col min="1" max="1" width="46" customWidth="1"/>
    <col min="2" max="8" width="15" customWidth="1"/>
  </cols>
  <sheetData>
    <row r="1" spans="1:3" x14ac:dyDescent="0.3">
      <c r="A1" s="24" t="s">
        <v>181</v>
      </c>
      <c r="B1" t="s">
        <v>6979</v>
      </c>
    </row>
    <row r="2" spans="1:3" x14ac:dyDescent="0.3">
      <c r="A2" s="24" t="s">
        <v>183</v>
      </c>
      <c r="B2" t="s">
        <v>6980</v>
      </c>
    </row>
    <row r="4" spans="1:3" x14ac:dyDescent="0.3">
      <c r="A4" s="25" t="s">
        <v>185</v>
      </c>
      <c r="B4" s="25"/>
      <c r="C4" s="25"/>
    </row>
    <row r="5" spans="1:3" x14ac:dyDescent="0.3">
      <c r="A5" t="s">
        <v>6981</v>
      </c>
      <c r="B5" t="s">
        <v>238</v>
      </c>
    </row>
    <row r="6" spans="1:3" x14ac:dyDescent="0.3">
      <c r="A6" t="s">
        <v>6982</v>
      </c>
      <c r="B6" t="s">
        <v>6983</v>
      </c>
    </row>
    <row r="7" spans="1:3" x14ac:dyDescent="0.3">
      <c r="A7" t="s">
        <v>6984</v>
      </c>
      <c r="B7" t="s">
        <v>3987</v>
      </c>
    </row>
    <row r="8" spans="1:3" x14ac:dyDescent="0.3">
      <c r="A8" t="s">
        <v>6905</v>
      </c>
      <c r="B8" t="s">
        <v>3614</v>
      </c>
    </row>
    <row r="9" spans="1:3" x14ac:dyDescent="0.3">
      <c r="A9" t="s">
        <v>6906</v>
      </c>
      <c r="B9" t="s">
        <v>6985</v>
      </c>
    </row>
    <row r="11" spans="1:3" x14ac:dyDescent="0.3">
      <c r="A11" t="s">
        <v>2462</v>
      </c>
      <c r="B11" t="s">
        <v>238</v>
      </c>
    </row>
    <row r="12" spans="1:3" x14ac:dyDescent="0.3">
      <c r="A12" t="s">
        <v>6986</v>
      </c>
      <c r="B12" t="s">
        <v>2469</v>
      </c>
    </row>
    <row r="13" spans="1:3" x14ac:dyDescent="0.3">
      <c r="A13" t="s">
        <v>6987</v>
      </c>
      <c r="B13" t="s">
        <v>6988</v>
      </c>
    </row>
    <row r="14" spans="1:3" x14ac:dyDescent="0.3">
      <c r="A14" t="s">
        <v>6989</v>
      </c>
      <c r="B14" t="s">
        <v>1946</v>
      </c>
    </row>
    <row r="15" spans="1:3" x14ac:dyDescent="0.3">
      <c r="A15" t="s">
        <v>6990</v>
      </c>
      <c r="B15" t="s">
        <v>2235</v>
      </c>
    </row>
    <row r="16" spans="1:3" x14ac:dyDescent="0.3">
      <c r="A16" t="s">
        <v>6991</v>
      </c>
      <c r="B16" t="s">
        <v>6992</v>
      </c>
    </row>
    <row r="17" spans="1:3" x14ac:dyDescent="0.3">
      <c r="A17" t="s">
        <v>6914</v>
      </c>
      <c r="B17" t="s">
        <v>6915</v>
      </c>
    </row>
    <row r="18" spans="1:3" x14ac:dyDescent="0.3">
      <c r="A18" t="s">
        <v>6993</v>
      </c>
      <c r="B18" t="s">
        <v>6994</v>
      </c>
    </row>
    <row r="19" spans="1:3" x14ac:dyDescent="0.3">
      <c r="A19" t="s">
        <v>6995</v>
      </c>
      <c r="B19" t="s">
        <v>808</v>
      </c>
    </row>
    <row r="20" spans="1:3" x14ac:dyDescent="0.3">
      <c r="A20" t="s">
        <v>6996</v>
      </c>
      <c r="B20" t="s">
        <v>6997</v>
      </c>
    </row>
    <row r="21" spans="1:3" x14ac:dyDescent="0.3">
      <c r="A21" t="s">
        <v>6998</v>
      </c>
      <c r="B21" t="s">
        <v>6999</v>
      </c>
    </row>
    <row r="23" spans="1:3" x14ac:dyDescent="0.3">
      <c r="A23" t="s">
        <v>7000</v>
      </c>
      <c r="B23" t="s">
        <v>238</v>
      </c>
      <c r="C23" t="s">
        <v>274</v>
      </c>
    </row>
    <row r="24" spans="1:3" x14ac:dyDescent="0.3">
      <c r="A24" t="s">
        <v>5284</v>
      </c>
      <c r="B24" t="s">
        <v>7001</v>
      </c>
      <c r="C24" t="s">
        <v>7002</v>
      </c>
    </row>
    <row r="25" spans="1:3" x14ac:dyDescent="0.3">
      <c r="A25" t="s">
        <v>7003</v>
      </c>
      <c r="B25" t="s">
        <v>6768</v>
      </c>
      <c r="C25" t="s">
        <v>38</v>
      </c>
    </row>
    <row r="26" spans="1:3" x14ac:dyDescent="0.3">
      <c r="A26" t="s">
        <v>7004</v>
      </c>
      <c r="B26" t="s">
        <v>7005</v>
      </c>
      <c r="C26" t="s">
        <v>7006</v>
      </c>
    </row>
    <row r="27" spans="1:3" x14ac:dyDescent="0.3">
      <c r="A27" t="s">
        <v>7007</v>
      </c>
      <c r="B27" t="s">
        <v>1316</v>
      </c>
      <c r="C27" t="s">
        <v>7006</v>
      </c>
    </row>
    <row r="29" spans="1:3" x14ac:dyDescent="0.3">
      <c r="A29" s="25" t="s">
        <v>281</v>
      </c>
      <c r="B29" s="25"/>
      <c r="C29" s="25"/>
    </row>
    <row r="30" spans="1:3" x14ac:dyDescent="0.3">
      <c r="A30" t="s">
        <v>7008</v>
      </c>
    </row>
    <row r="31" spans="1:3" x14ac:dyDescent="0.3">
      <c r="A31" t="s">
        <v>7009</v>
      </c>
    </row>
    <row r="32" spans="1:3" x14ac:dyDescent="0.3">
      <c r="A32" t="s">
        <v>7010</v>
      </c>
    </row>
    <row r="33" spans="1:1" x14ac:dyDescent="0.3">
      <c r="A33" t="s">
        <v>7011</v>
      </c>
    </row>
    <row r="34" spans="1:1" x14ac:dyDescent="0.3">
      <c r="A34" t="s">
        <v>7012</v>
      </c>
    </row>
    <row r="35" spans="1:1" x14ac:dyDescent="0.3">
      <c r="A35" t="s">
        <v>7013</v>
      </c>
    </row>
    <row r="36" spans="1:1" x14ac:dyDescent="0.3">
      <c r="A36" t="s">
        <v>7014</v>
      </c>
    </row>
    <row r="37" spans="1:1" x14ac:dyDescent="0.3">
      <c r="A37" t="s">
        <v>7015</v>
      </c>
    </row>
    <row r="38" spans="1:1" x14ac:dyDescent="0.3">
      <c r="A38" t="s">
        <v>7016</v>
      </c>
    </row>
    <row r="39" spans="1:1" x14ac:dyDescent="0.3">
      <c r="A39" t="s">
        <v>7017</v>
      </c>
    </row>
    <row r="40" spans="1:1" x14ac:dyDescent="0.3">
      <c r="A40" t="s">
        <v>7018</v>
      </c>
    </row>
    <row r="41" spans="1:1" x14ac:dyDescent="0.3">
      <c r="A41" t="s">
        <v>7019</v>
      </c>
    </row>
    <row r="42" spans="1:1" x14ac:dyDescent="0.3">
      <c r="A42" t="s">
        <v>7020</v>
      </c>
    </row>
    <row r="43" spans="1:1" x14ac:dyDescent="0.3">
      <c r="A43" t="s">
        <v>7021</v>
      </c>
    </row>
    <row r="44" spans="1:1" x14ac:dyDescent="0.3">
      <c r="A44" t="s">
        <v>7022</v>
      </c>
    </row>
    <row r="45" spans="1:1" x14ac:dyDescent="0.3">
      <c r="A45" t="s">
        <v>7023</v>
      </c>
    </row>
    <row r="46" spans="1:1" x14ac:dyDescent="0.3">
      <c r="A46" t="s">
        <v>7024</v>
      </c>
    </row>
    <row r="47" spans="1:1" x14ac:dyDescent="0.3">
      <c r="A47" t="s">
        <v>7025</v>
      </c>
    </row>
    <row r="49" spans="1:3" x14ac:dyDescent="0.3">
      <c r="A49" s="25" t="s">
        <v>295</v>
      </c>
      <c r="B49" s="25"/>
      <c r="C49" s="25"/>
    </row>
    <row r="50" spans="1:3" x14ac:dyDescent="0.3">
      <c r="A50" t="s">
        <v>1021</v>
      </c>
      <c r="B50" t="s">
        <v>7026</v>
      </c>
    </row>
    <row r="51" spans="1:3" x14ac:dyDescent="0.3">
      <c r="A51" t="s">
        <v>296</v>
      </c>
      <c r="B51" t="s">
        <v>7027</v>
      </c>
      <c r="C51" t="s">
        <v>3409</v>
      </c>
    </row>
    <row r="52" spans="1:3" x14ac:dyDescent="0.3">
      <c r="A52" t="s">
        <v>299</v>
      </c>
      <c r="B52" t="s">
        <v>7028</v>
      </c>
    </row>
    <row r="53" spans="1:3" x14ac:dyDescent="0.3">
      <c r="A53" t="s">
        <v>301</v>
      </c>
      <c r="B53" t="s">
        <v>7029</v>
      </c>
    </row>
    <row r="54" spans="1:3" x14ac:dyDescent="0.3">
      <c r="A54" t="s">
        <v>303</v>
      </c>
      <c r="B54" t="s">
        <v>7030</v>
      </c>
      <c r="C54" t="s">
        <v>3409</v>
      </c>
    </row>
    <row r="55" spans="1:3" x14ac:dyDescent="0.3">
      <c r="A55" t="s">
        <v>299</v>
      </c>
      <c r="B55" t="s">
        <v>7031</v>
      </c>
    </row>
    <row r="56" spans="1:3" x14ac:dyDescent="0.3">
      <c r="A56" t="s">
        <v>301</v>
      </c>
      <c r="B56" t="s">
        <v>7032</v>
      </c>
    </row>
    <row r="57" spans="1:3" x14ac:dyDescent="0.3">
      <c r="A57" t="s">
        <v>307</v>
      </c>
      <c r="B57" t="s">
        <v>7033</v>
      </c>
      <c r="C57" t="s">
        <v>3409</v>
      </c>
    </row>
    <row r="58" spans="1:3" x14ac:dyDescent="0.3">
      <c r="A58" t="s">
        <v>299</v>
      </c>
      <c r="B58" t="s">
        <v>7034</v>
      </c>
    </row>
    <row r="59" spans="1:3" x14ac:dyDescent="0.3">
      <c r="A59" t="s">
        <v>301</v>
      </c>
      <c r="B59" t="s">
        <v>7035</v>
      </c>
    </row>
    <row r="60" spans="1:3" x14ac:dyDescent="0.3">
      <c r="A60" t="s">
        <v>311</v>
      </c>
      <c r="B60" t="s">
        <v>7036</v>
      </c>
      <c r="C60" t="s">
        <v>3409</v>
      </c>
    </row>
    <row r="61" spans="1:3" x14ac:dyDescent="0.3">
      <c r="A61" t="s">
        <v>299</v>
      </c>
      <c r="B61" t="s">
        <v>7037</v>
      </c>
    </row>
    <row r="62" spans="1:3" x14ac:dyDescent="0.3">
      <c r="A62" t="s">
        <v>301</v>
      </c>
      <c r="B62" t="s">
        <v>7038</v>
      </c>
    </row>
    <row r="63" spans="1:3" x14ac:dyDescent="0.3">
      <c r="A63" t="s">
        <v>316</v>
      </c>
      <c r="B63" t="s">
        <v>7039</v>
      </c>
      <c r="C63" t="s">
        <v>3409</v>
      </c>
    </row>
    <row r="64" spans="1:3" x14ac:dyDescent="0.3">
      <c r="A64" t="s">
        <v>299</v>
      </c>
      <c r="B64" t="s">
        <v>7040</v>
      </c>
    </row>
    <row r="65" spans="1:3" x14ac:dyDescent="0.3">
      <c r="A65" t="s">
        <v>301</v>
      </c>
      <c r="B65" t="s">
        <v>7041</v>
      </c>
    </row>
    <row r="66" spans="1:3" x14ac:dyDescent="0.3">
      <c r="A66" t="s">
        <v>320</v>
      </c>
      <c r="B66" t="s">
        <v>7042</v>
      </c>
      <c r="C66" t="s">
        <v>3409</v>
      </c>
    </row>
    <row r="67" spans="1:3" x14ac:dyDescent="0.3">
      <c r="A67" t="s">
        <v>299</v>
      </c>
      <c r="B67" t="s">
        <v>7043</v>
      </c>
    </row>
    <row r="68" spans="1:3" x14ac:dyDescent="0.3">
      <c r="A68" t="s">
        <v>301</v>
      </c>
      <c r="B68" t="s">
        <v>7044</v>
      </c>
    </row>
    <row r="69" spans="1:3" x14ac:dyDescent="0.3">
      <c r="A69" t="s">
        <v>324</v>
      </c>
      <c r="B69" t="s">
        <v>7045</v>
      </c>
      <c r="C69" t="s">
        <v>3409</v>
      </c>
    </row>
    <row r="70" spans="1:3" x14ac:dyDescent="0.3">
      <c r="A70" t="s">
        <v>299</v>
      </c>
      <c r="B70" t="s">
        <v>7046</v>
      </c>
    </row>
    <row r="71" spans="1:3" x14ac:dyDescent="0.3">
      <c r="A71" t="s">
        <v>301</v>
      </c>
      <c r="B71" t="s">
        <v>7047</v>
      </c>
    </row>
    <row r="72" spans="1:3" x14ac:dyDescent="0.3">
      <c r="A72" t="s">
        <v>328</v>
      </c>
      <c r="B72" t="s">
        <v>7048</v>
      </c>
      <c r="C72" t="s">
        <v>3409</v>
      </c>
    </row>
    <row r="73" spans="1:3" x14ac:dyDescent="0.3">
      <c r="A73" t="s">
        <v>299</v>
      </c>
      <c r="B73" t="s">
        <v>7049</v>
      </c>
    </row>
    <row r="74" spans="1:3" x14ac:dyDescent="0.3">
      <c r="A74" t="s">
        <v>301</v>
      </c>
      <c r="B74" t="s">
        <v>7050</v>
      </c>
    </row>
    <row r="75" spans="1:3" x14ac:dyDescent="0.3">
      <c r="A75" t="s">
        <v>333</v>
      </c>
      <c r="B75" t="s">
        <v>7051</v>
      </c>
      <c r="C75" t="s">
        <v>3409</v>
      </c>
    </row>
    <row r="76" spans="1:3" x14ac:dyDescent="0.3">
      <c r="A76" t="s">
        <v>299</v>
      </c>
      <c r="B76" t="s">
        <v>7052</v>
      </c>
    </row>
    <row r="77" spans="1:3" x14ac:dyDescent="0.3">
      <c r="A77" t="s">
        <v>301</v>
      </c>
      <c r="B77" t="s">
        <v>7053</v>
      </c>
    </row>
    <row r="78" spans="1:3" x14ac:dyDescent="0.3">
      <c r="A78" t="s">
        <v>337</v>
      </c>
      <c r="B78" t="s">
        <v>7054</v>
      </c>
      <c r="C78" t="s">
        <v>3409</v>
      </c>
    </row>
    <row r="79" spans="1:3" x14ac:dyDescent="0.3">
      <c r="A79" t="s">
        <v>299</v>
      </c>
      <c r="B79" t="s">
        <v>7055</v>
      </c>
    </row>
    <row r="80" spans="1:3" x14ac:dyDescent="0.3">
      <c r="A80" t="s">
        <v>301</v>
      </c>
      <c r="B80" t="s">
        <v>7056</v>
      </c>
    </row>
    <row r="81" spans="1:3" x14ac:dyDescent="0.3">
      <c r="A81" t="s">
        <v>341</v>
      </c>
      <c r="B81" t="s">
        <v>7057</v>
      </c>
      <c r="C81" t="s">
        <v>3409</v>
      </c>
    </row>
    <row r="82" spans="1:3" x14ac:dyDescent="0.3">
      <c r="A82" t="s">
        <v>299</v>
      </c>
      <c r="B82" t="s">
        <v>7058</v>
      </c>
    </row>
    <row r="83" spans="1:3" x14ac:dyDescent="0.3">
      <c r="A83" t="s">
        <v>301</v>
      </c>
      <c r="B83" t="s">
        <v>7059</v>
      </c>
    </row>
  </sheetData>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D90"/>
  <sheetViews>
    <sheetView workbookViewId="0"/>
  </sheetViews>
  <sheetFormatPr defaultRowHeight="14.4" x14ac:dyDescent="0.3"/>
  <cols>
    <col min="1" max="1" width="46" customWidth="1"/>
    <col min="2" max="8" width="15" customWidth="1"/>
  </cols>
  <sheetData>
    <row r="1" spans="1:4" x14ac:dyDescent="0.3">
      <c r="A1" s="24" t="s">
        <v>181</v>
      </c>
      <c r="B1" t="s">
        <v>7060</v>
      </c>
    </row>
    <row r="2" spans="1:4" x14ac:dyDescent="0.3">
      <c r="A2" s="24" t="s">
        <v>183</v>
      </c>
      <c r="B2" t="s">
        <v>7061</v>
      </c>
    </row>
    <row r="4" spans="1:4" x14ac:dyDescent="0.3">
      <c r="A4" s="25" t="s">
        <v>185</v>
      </c>
      <c r="B4" s="25"/>
      <c r="C4" s="25"/>
      <c r="D4" s="25"/>
    </row>
    <row r="5" spans="1:4" x14ac:dyDescent="0.3">
      <c r="A5" t="s">
        <v>3552</v>
      </c>
      <c r="B5" t="s">
        <v>40</v>
      </c>
      <c r="C5" t="s">
        <v>6453</v>
      </c>
      <c r="D5" t="s">
        <v>189</v>
      </c>
    </row>
    <row r="6" spans="1:4" x14ac:dyDescent="0.3">
      <c r="A6" t="s">
        <v>7062</v>
      </c>
      <c r="B6">
        <v>725</v>
      </c>
      <c r="C6">
        <v>265</v>
      </c>
      <c r="D6" t="s">
        <v>7063</v>
      </c>
    </row>
    <row r="7" spans="1:4" x14ac:dyDescent="0.3">
      <c r="A7" t="s">
        <v>7064</v>
      </c>
      <c r="D7" t="s">
        <v>639</v>
      </c>
    </row>
    <row r="8" spans="1:4" x14ac:dyDescent="0.3">
      <c r="A8" t="s">
        <v>7065</v>
      </c>
      <c r="D8" t="s">
        <v>1242</v>
      </c>
    </row>
    <row r="9" spans="1:4" x14ac:dyDescent="0.3">
      <c r="A9" t="s">
        <v>160</v>
      </c>
      <c r="B9">
        <v>11</v>
      </c>
    </row>
    <row r="10" spans="1:4" x14ac:dyDescent="0.3">
      <c r="A10" t="s">
        <v>7066</v>
      </c>
      <c r="B10">
        <v>7</v>
      </c>
    </row>
    <row r="11" spans="1:4" x14ac:dyDescent="0.3">
      <c r="A11" t="s">
        <v>7067</v>
      </c>
      <c r="B11">
        <v>18</v>
      </c>
    </row>
    <row r="13" spans="1:4" x14ac:dyDescent="0.3">
      <c r="A13" t="s">
        <v>7068</v>
      </c>
      <c r="B13" t="s">
        <v>7069</v>
      </c>
      <c r="C13" t="s">
        <v>248</v>
      </c>
    </row>
    <row r="14" spans="1:4" x14ac:dyDescent="0.3">
      <c r="A14" t="s">
        <v>7070</v>
      </c>
      <c r="C14" t="s">
        <v>7071</v>
      </c>
    </row>
    <row r="15" spans="1:4" x14ac:dyDescent="0.3">
      <c r="A15" t="s">
        <v>7072</v>
      </c>
      <c r="C15" t="s">
        <v>4598</v>
      </c>
    </row>
    <row r="17" spans="1:4" x14ac:dyDescent="0.3">
      <c r="A17" t="s">
        <v>5465</v>
      </c>
      <c r="B17" t="s">
        <v>40</v>
      </c>
      <c r="C17" t="s">
        <v>6453</v>
      </c>
      <c r="D17" t="s">
        <v>204</v>
      </c>
    </row>
    <row r="18" spans="1:4" x14ac:dyDescent="0.3">
      <c r="A18" t="s">
        <v>52</v>
      </c>
      <c r="B18" t="s">
        <v>7073</v>
      </c>
      <c r="C18" t="s">
        <v>5548</v>
      </c>
      <c r="D18" t="s">
        <v>7074</v>
      </c>
    </row>
    <row r="19" spans="1:4" x14ac:dyDescent="0.3">
      <c r="A19" t="s">
        <v>7075</v>
      </c>
      <c r="B19" t="s">
        <v>5200</v>
      </c>
      <c r="C19" t="s">
        <v>5564</v>
      </c>
      <c r="D19" t="s">
        <v>7076</v>
      </c>
    </row>
    <row r="20" spans="1:4" x14ac:dyDescent="0.3">
      <c r="A20" t="s">
        <v>7077</v>
      </c>
      <c r="B20" t="s">
        <v>1376</v>
      </c>
    </row>
    <row r="21" spans="1:4" x14ac:dyDescent="0.3">
      <c r="A21" t="s">
        <v>122</v>
      </c>
      <c r="B21" t="s">
        <v>3028</v>
      </c>
      <c r="C21" t="s">
        <v>361</v>
      </c>
      <c r="D21" t="s">
        <v>7078</v>
      </c>
    </row>
    <row r="22" spans="1:4" x14ac:dyDescent="0.3">
      <c r="A22" t="s">
        <v>120</v>
      </c>
      <c r="B22" t="s">
        <v>1946</v>
      </c>
    </row>
    <row r="24" spans="1:4" x14ac:dyDescent="0.3">
      <c r="A24" t="s">
        <v>7079</v>
      </c>
      <c r="B24" t="s">
        <v>238</v>
      </c>
    </row>
    <row r="25" spans="1:4" x14ac:dyDescent="0.3">
      <c r="A25" t="s">
        <v>7080</v>
      </c>
      <c r="B25" t="s">
        <v>368</v>
      </c>
    </row>
    <row r="26" spans="1:4" x14ac:dyDescent="0.3">
      <c r="A26" t="s">
        <v>81</v>
      </c>
      <c r="B26" t="s">
        <v>1920</v>
      </c>
    </row>
    <row r="27" spans="1:4" x14ac:dyDescent="0.3">
      <c r="A27" t="s">
        <v>7081</v>
      </c>
      <c r="B27" t="s">
        <v>2469</v>
      </c>
    </row>
    <row r="28" spans="1:4" x14ac:dyDescent="0.3">
      <c r="A28" t="s">
        <v>7082</v>
      </c>
      <c r="B28" t="s">
        <v>526</v>
      </c>
    </row>
    <row r="29" spans="1:4" x14ac:dyDescent="0.3">
      <c r="A29" t="s">
        <v>7083</v>
      </c>
      <c r="B29" t="s">
        <v>7084</v>
      </c>
    </row>
    <row r="30" spans="1:4" x14ac:dyDescent="0.3">
      <c r="A30" t="s">
        <v>7085</v>
      </c>
      <c r="B30" t="s">
        <v>7086</v>
      </c>
    </row>
    <row r="32" spans="1:4" x14ac:dyDescent="0.3">
      <c r="A32" t="s">
        <v>3879</v>
      </c>
      <c r="B32" t="s">
        <v>238</v>
      </c>
    </row>
    <row r="33" spans="1:3" x14ac:dyDescent="0.3">
      <c r="A33" t="s">
        <v>7087</v>
      </c>
      <c r="B33" t="s">
        <v>5538</v>
      </c>
    </row>
    <row r="34" spans="1:3" x14ac:dyDescent="0.3">
      <c r="A34" t="s">
        <v>7088</v>
      </c>
      <c r="B34" t="s">
        <v>7089</v>
      </c>
    </row>
    <row r="35" spans="1:3" x14ac:dyDescent="0.3">
      <c r="A35" t="s">
        <v>7090</v>
      </c>
      <c r="B35" t="s">
        <v>7091</v>
      </c>
    </row>
    <row r="36" spans="1:3" x14ac:dyDescent="0.3">
      <c r="A36" t="s">
        <v>7092</v>
      </c>
      <c r="B36" t="s">
        <v>7093</v>
      </c>
    </row>
    <row r="37" spans="1:3" x14ac:dyDescent="0.3">
      <c r="A37" t="s">
        <v>7094</v>
      </c>
      <c r="B37" t="s">
        <v>4248</v>
      </c>
    </row>
    <row r="38" spans="1:3" x14ac:dyDescent="0.3">
      <c r="A38" t="s">
        <v>7095</v>
      </c>
      <c r="B38" t="s">
        <v>2874</v>
      </c>
    </row>
    <row r="39" spans="1:3" x14ac:dyDescent="0.3">
      <c r="A39" t="s">
        <v>7096</v>
      </c>
      <c r="B39" t="s">
        <v>5992</v>
      </c>
    </row>
    <row r="41" spans="1:3" x14ac:dyDescent="0.3">
      <c r="A41" t="s">
        <v>273</v>
      </c>
      <c r="B41" t="s">
        <v>238</v>
      </c>
      <c r="C41" t="s">
        <v>274</v>
      </c>
    </row>
    <row r="42" spans="1:3" x14ac:dyDescent="0.3">
      <c r="A42" t="s">
        <v>7097</v>
      </c>
      <c r="B42" t="s">
        <v>7098</v>
      </c>
      <c r="C42" t="s">
        <v>41</v>
      </c>
    </row>
    <row r="43" spans="1:3" x14ac:dyDescent="0.3">
      <c r="A43" t="s">
        <v>7099</v>
      </c>
      <c r="B43" t="s">
        <v>7100</v>
      </c>
      <c r="C43" t="s">
        <v>41</v>
      </c>
    </row>
    <row r="44" spans="1:3" x14ac:dyDescent="0.3">
      <c r="A44" t="s">
        <v>7101</v>
      </c>
      <c r="B44" t="s">
        <v>7102</v>
      </c>
      <c r="C44" t="s">
        <v>7103</v>
      </c>
    </row>
    <row r="45" spans="1:3" x14ac:dyDescent="0.3">
      <c r="A45" t="s">
        <v>7104</v>
      </c>
      <c r="B45" t="s">
        <v>7105</v>
      </c>
      <c r="C45" t="s">
        <v>7106</v>
      </c>
    </row>
    <row r="46" spans="1:3" x14ac:dyDescent="0.3">
      <c r="A46" t="s">
        <v>7107</v>
      </c>
      <c r="B46" t="s">
        <v>7108</v>
      </c>
      <c r="C46" t="s">
        <v>43</v>
      </c>
    </row>
    <row r="47" spans="1:3" x14ac:dyDescent="0.3">
      <c r="A47" t="s">
        <v>7109</v>
      </c>
      <c r="B47" t="s">
        <v>7110</v>
      </c>
      <c r="C47" t="s">
        <v>7111</v>
      </c>
    </row>
    <row r="49" spans="1:4" x14ac:dyDescent="0.3">
      <c r="A49" s="25" t="s">
        <v>281</v>
      </c>
      <c r="B49" s="25"/>
      <c r="C49" s="25"/>
      <c r="D49" s="25"/>
    </row>
    <row r="50" spans="1:4" x14ac:dyDescent="0.3">
      <c r="A50" t="s">
        <v>7112</v>
      </c>
    </row>
    <row r="51" spans="1:4" x14ac:dyDescent="0.3">
      <c r="A51" t="s">
        <v>7113</v>
      </c>
    </row>
    <row r="52" spans="1:4" x14ac:dyDescent="0.3">
      <c r="A52" t="s">
        <v>7114</v>
      </c>
    </row>
    <row r="53" spans="1:4" x14ac:dyDescent="0.3">
      <c r="A53" t="s">
        <v>7115</v>
      </c>
    </row>
    <row r="54" spans="1:4" x14ac:dyDescent="0.3">
      <c r="A54" t="s">
        <v>7116</v>
      </c>
    </row>
    <row r="55" spans="1:4" x14ac:dyDescent="0.3">
      <c r="A55" t="s">
        <v>7117</v>
      </c>
    </row>
    <row r="56" spans="1:4" x14ac:dyDescent="0.3">
      <c r="A56" t="s">
        <v>7118</v>
      </c>
    </row>
    <row r="57" spans="1:4" x14ac:dyDescent="0.3">
      <c r="A57" t="s">
        <v>7119</v>
      </c>
    </row>
    <row r="58" spans="1:4" x14ac:dyDescent="0.3">
      <c r="A58" t="s">
        <v>7120</v>
      </c>
    </row>
    <row r="59" spans="1:4" x14ac:dyDescent="0.3">
      <c r="A59" t="s">
        <v>7121</v>
      </c>
    </row>
    <row r="60" spans="1:4" x14ac:dyDescent="0.3">
      <c r="A60" t="s">
        <v>7122</v>
      </c>
    </row>
    <row r="61" spans="1:4" x14ac:dyDescent="0.3">
      <c r="A61" t="s">
        <v>7123</v>
      </c>
    </row>
    <row r="62" spans="1:4" x14ac:dyDescent="0.3">
      <c r="A62" t="s">
        <v>7124</v>
      </c>
    </row>
    <row r="63" spans="1:4" x14ac:dyDescent="0.3">
      <c r="A63" t="s">
        <v>7125</v>
      </c>
    </row>
    <row r="64" spans="1:4" x14ac:dyDescent="0.3">
      <c r="A64" t="s">
        <v>7126</v>
      </c>
    </row>
    <row r="65" spans="1:4" x14ac:dyDescent="0.3">
      <c r="A65" t="s">
        <v>7127</v>
      </c>
    </row>
    <row r="66" spans="1:4" x14ac:dyDescent="0.3">
      <c r="A66" t="s">
        <v>7128</v>
      </c>
    </row>
    <row r="67" spans="1:4" x14ac:dyDescent="0.3">
      <c r="A67" t="s">
        <v>7129</v>
      </c>
    </row>
    <row r="69" spans="1:4" x14ac:dyDescent="0.3">
      <c r="A69" s="25" t="s">
        <v>295</v>
      </c>
      <c r="B69" s="25"/>
      <c r="C69" s="25"/>
      <c r="D69" s="25"/>
    </row>
    <row r="70" spans="1:4" x14ac:dyDescent="0.3">
      <c r="A70" t="s">
        <v>296</v>
      </c>
      <c r="B70" t="s">
        <v>7130</v>
      </c>
      <c r="C70" t="s">
        <v>6867</v>
      </c>
    </row>
    <row r="71" spans="1:4" x14ac:dyDescent="0.3">
      <c r="A71" t="s">
        <v>299</v>
      </c>
      <c r="B71" t="s">
        <v>7131</v>
      </c>
    </row>
    <row r="72" spans="1:4" x14ac:dyDescent="0.3">
      <c r="A72" t="s">
        <v>301</v>
      </c>
      <c r="B72" t="s">
        <v>7132</v>
      </c>
    </row>
    <row r="73" spans="1:4" x14ac:dyDescent="0.3">
      <c r="A73" t="s">
        <v>303</v>
      </c>
      <c r="B73" t="s">
        <v>7133</v>
      </c>
      <c r="C73" t="s">
        <v>4883</v>
      </c>
    </row>
    <row r="74" spans="1:4" x14ac:dyDescent="0.3">
      <c r="A74" t="s">
        <v>299</v>
      </c>
      <c r="B74" t="s">
        <v>7134</v>
      </c>
    </row>
    <row r="75" spans="1:4" x14ac:dyDescent="0.3">
      <c r="A75" t="s">
        <v>301</v>
      </c>
      <c r="B75" t="s">
        <v>7135</v>
      </c>
    </row>
    <row r="76" spans="1:4" x14ac:dyDescent="0.3">
      <c r="A76" t="s">
        <v>307</v>
      </c>
      <c r="B76" t="s">
        <v>7136</v>
      </c>
      <c r="C76" t="s">
        <v>3409</v>
      </c>
    </row>
    <row r="77" spans="1:4" x14ac:dyDescent="0.3">
      <c r="A77" t="s">
        <v>299</v>
      </c>
      <c r="B77" t="s">
        <v>7137</v>
      </c>
    </row>
    <row r="78" spans="1:4" x14ac:dyDescent="0.3">
      <c r="A78" t="s">
        <v>301</v>
      </c>
      <c r="B78" t="s">
        <v>7138</v>
      </c>
    </row>
    <row r="79" spans="1:4" x14ac:dyDescent="0.3">
      <c r="A79" t="s">
        <v>311</v>
      </c>
      <c r="B79" t="s">
        <v>7139</v>
      </c>
      <c r="C79" t="s">
        <v>4669</v>
      </c>
    </row>
    <row r="80" spans="1:4" x14ac:dyDescent="0.3">
      <c r="A80" t="s">
        <v>299</v>
      </c>
      <c r="B80" t="s">
        <v>7140</v>
      </c>
    </row>
    <row r="81" spans="1:3" x14ac:dyDescent="0.3">
      <c r="A81" t="s">
        <v>301</v>
      </c>
      <c r="B81" t="s">
        <v>7141</v>
      </c>
    </row>
    <row r="82" spans="1:3" x14ac:dyDescent="0.3">
      <c r="A82" t="s">
        <v>316</v>
      </c>
      <c r="B82" t="s">
        <v>7142</v>
      </c>
      <c r="C82" t="s">
        <v>3492</v>
      </c>
    </row>
    <row r="83" spans="1:3" x14ac:dyDescent="0.3">
      <c r="A83" t="s">
        <v>299</v>
      </c>
      <c r="B83" t="s">
        <v>7143</v>
      </c>
    </row>
    <row r="84" spans="1:3" x14ac:dyDescent="0.3">
      <c r="A84" t="s">
        <v>301</v>
      </c>
      <c r="B84" t="s">
        <v>7144</v>
      </c>
    </row>
    <row r="85" spans="1:3" x14ac:dyDescent="0.3">
      <c r="A85" t="s">
        <v>320</v>
      </c>
      <c r="B85" t="s">
        <v>7145</v>
      </c>
      <c r="C85" t="s">
        <v>7146</v>
      </c>
    </row>
    <row r="86" spans="1:3" x14ac:dyDescent="0.3">
      <c r="A86" t="s">
        <v>299</v>
      </c>
      <c r="B86" t="s">
        <v>7147</v>
      </c>
    </row>
    <row r="87" spans="1:3" x14ac:dyDescent="0.3">
      <c r="A87" t="s">
        <v>301</v>
      </c>
      <c r="B87" t="s">
        <v>7148</v>
      </c>
    </row>
    <row r="88" spans="1:3" x14ac:dyDescent="0.3">
      <c r="A88" t="s">
        <v>324</v>
      </c>
      <c r="B88" t="s">
        <v>7149</v>
      </c>
      <c r="C88" t="s">
        <v>4900</v>
      </c>
    </row>
    <row r="89" spans="1:3" x14ac:dyDescent="0.3">
      <c r="A89" t="s">
        <v>299</v>
      </c>
      <c r="B89" t="s">
        <v>7150</v>
      </c>
    </row>
    <row r="90" spans="1:3" x14ac:dyDescent="0.3">
      <c r="A90" t="s">
        <v>301</v>
      </c>
      <c r="B90" t="s">
        <v>7151</v>
      </c>
    </row>
  </sheetData>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C112"/>
  <sheetViews>
    <sheetView workbookViewId="0"/>
  </sheetViews>
  <sheetFormatPr defaultRowHeight="14.4" x14ac:dyDescent="0.3"/>
  <cols>
    <col min="1" max="1" width="46" customWidth="1"/>
    <col min="2" max="8" width="15" customWidth="1"/>
  </cols>
  <sheetData>
    <row r="1" spans="1:3" x14ac:dyDescent="0.3">
      <c r="A1" s="24" t="s">
        <v>181</v>
      </c>
      <c r="B1" t="s">
        <v>7152</v>
      </c>
    </row>
    <row r="2" spans="1:3" x14ac:dyDescent="0.3">
      <c r="A2" s="24" t="s">
        <v>183</v>
      </c>
      <c r="B2" t="s">
        <v>7153</v>
      </c>
    </row>
    <row r="4" spans="1:3" x14ac:dyDescent="0.3">
      <c r="A4" s="25" t="s">
        <v>185</v>
      </c>
      <c r="B4" s="25"/>
      <c r="C4" s="25"/>
    </row>
    <row r="5" spans="1:3" x14ac:dyDescent="0.3">
      <c r="A5" t="s">
        <v>7154</v>
      </c>
      <c r="B5" t="s">
        <v>238</v>
      </c>
    </row>
    <row r="6" spans="1:3" x14ac:dyDescent="0.3">
      <c r="A6" t="s">
        <v>7155</v>
      </c>
      <c r="B6" t="s">
        <v>2469</v>
      </c>
    </row>
    <row r="7" spans="1:3" x14ac:dyDescent="0.3">
      <c r="A7" t="s">
        <v>7156</v>
      </c>
      <c r="B7" t="s">
        <v>7157</v>
      </c>
    </row>
    <row r="8" spans="1:3" x14ac:dyDescent="0.3">
      <c r="A8" t="s">
        <v>7158</v>
      </c>
      <c r="B8" t="s">
        <v>7159</v>
      </c>
    </row>
    <row r="9" spans="1:3" x14ac:dyDescent="0.3">
      <c r="A9" t="s">
        <v>7160</v>
      </c>
      <c r="B9" t="s">
        <v>1376</v>
      </c>
    </row>
    <row r="10" spans="1:3" x14ac:dyDescent="0.3">
      <c r="A10" t="s">
        <v>7161</v>
      </c>
      <c r="B10" t="s">
        <v>7162</v>
      </c>
    </row>
    <row r="11" spans="1:3" x14ac:dyDescent="0.3">
      <c r="A11" t="s">
        <v>7163</v>
      </c>
      <c r="B11" t="s">
        <v>1156</v>
      </c>
    </row>
    <row r="12" spans="1:3" x14ac:dyDescent="0.3">
      <c r="A12" t="s">
        <v>7164</v>
      </c>
      <c r="B12" t="s">
        <v>7165</v>
      </c>
    </row>
    <row r="14" spans="1:3" x14ac:dyDescent="0.3">
      <c r="A14" t="s">
        <v>7166</v>
      </c>
      <c r="B14" t="s">
        <v>238</v>
      </c>
    </row>
    <row r="15" spans="1:3" x14ac:dyDescent="0.3">
      <c r="A15" t="s">
        <v>6677</v>
      </c>
      <c r="B15" t="s">
        <v>7167</v>
      </c>
    </row>
    <row r="16" spans="1:3" x14ac:dyDescent="0.3">
      <c r="A16" t="s">
        <v>7168</v>
      </c>
      <c r="B16" t="s">
        <v>7169</v>
      </c>
    </row>
    <row r="17" spans="1:2" x14ac:dyDescent="0.3">
      <c r="A17" t="s">
        <v>7170</v>
      </c>
      <c r="B17" t="s">
        <v>6330</v>
      </c>
    </row>
    <row r="18" spans="1:2" x14ac:dyDescent="0.3">
      <c r="A18" t="s">
        <v>7171</v>
      </c>
      <c r="B18" t="s">
        <v>7172</v>
      </c>
    </row>
    <row r="19" spans="1:2" x14ac:dyDescent="0.3">
      <c r="A19" t="s">
        <v>7173</v>
      </c>
      <c r="B19" t="s">
        <v>7174</v>
      </c>
    </row>
    <row r="20" spans="1:2" x14ac:dyDescent="0.3">
      <c r="A20" t="s">
        <v>7175</v>
      </c>
      <c r="B20" t="s">
        <v>7176</v>
      </c>
    </row>
    <row r="21" spans="1:2" x14ac:dyDescent="0.3">
      <c r="A21" t="s">
        <v>7177</v>
      </c>
      <c r="B21" t="s">
        <v>7178</v>
      </c>
    </row>
    <row r="23" spans="1:2" x14ac:dyDescent="0.3">
      <c r="A23" t="s">
        <v>7179</v>
      </c>
      <c r="B23" t="s">
        <v>238</v>
      </c>
    </row>
    <row r="24" spans="1:2" x14ac:dyDescent="0.3">
      <c r="A24" t="s">
        <v>7180</v>
      </c>
      <c r="B24" t="s">
        <v>7181</v>
      </c>
    </row>
    <row r="25" spans="1:2" x14ac:dyDescent="0.3">
      <c r="A25" t="s">
        <v>7182</v>
      </c>
      <c r="B25" t="s">
        <v>7183</v>
      </c>
    </row>
    <row r="26" spans="1:2" x14ac:dyDescent="0.3">
      <c r="A26" t="s">
        <v>7184</v>
      </c>
      <c r="B26" t="s">
        <v>7106</v>
      </c>
    </row>
    <row r="27" spans="1:2" x14ac:dyDescent="0.3">
      <c r="A27" t="s">
        <v>7185</v>
      </c>
      <c r="B27" t="s">
        <v>7186</v>
      </c>
    </row>
    <row r="28" spans="1:2" x14ac:dyDescent="0.3">
      <c r="A28" t="s">
        <v>7187</v>
      </c>
      <c r="B28" t="s">
        <v>3987</v>
      </c>
    </row>
    <row r="30" spans="1:2" x14ac:dyDescent="0.3">
      <c r="A30" t="s">
        <v>7188</v>
      </c>
      <c r="B30" t="s">
        <v>238</v>
      </c>
    </row>
    <row r="31" spans="1:2" x14ac:dyDescent="0.3">
      <c r="A31" t="s">
        <v>7189</v>
      </c>
      <c r="B31" t="s">
        <v>3724</v>
      </c>
    </row>
    <row r="32" spans="1:2" x14ac:dyDescent="0.3">
      <c r="A32" t="s">
        <v>7190</v>
      </c>
      <c r="B32" t="s">
        <v>7191</v>
      </c>
    </row>
    <row r="33" spans="1:3" x14ac:dyDescent="0.3">
      <c r="A33" t="s">
        <v>7192</v>
      </c>
      <c r="B33" t="s">
        <v>7193</v>
      </c>
    </row>
    <row r="34" spans="1:3" x14ac:dyDescent="0.3">
      <c r="A34" t="s">
        <v>7194</v>
      </c>
      <c r="B34" t="s">
        <v>7195</v>
      </c>
    </row>
    <row r="35" spans="1:3" x14ac:dyDescent="0.3">
      <c r="A35" t="s">
        <v>7196</v>
      </c>
      <c r="B35" t="s">
        <v>7197</v>
      </c>
    </row>
    <row r="36" spans="1:3" x14ac:dyDescent="0.3">
      <c r="A36" t="s">
        <v>7198</v>
      </c>
      <c r="B36" t="s">
        <v>7199</v>
      </c>
    </row>
    <row r="38" spans="1:3" x14ac:dyDescent="0.3">
      <c r="A38" s="25" t="s">
        <v>281</v>
      </c>
      <c r="B38" s="25"/>
      <c r="C38" s="25"/>
    </row>
    <row r="39" spans="1:3" x14ac:dyDescent="0.3">
      <c r="A39" t="s">
        <v>7200</v>
      </c>
    </row>
    <row r="40" spans="1:3" x14ac:dyDescent="0.3">
      <c r="A40" t="s">
        <v>7201</v>
      </c>
    </row>
    <row r="41" spans="1:3" x14ac:dyDescent="0.3">
      <c r="A41" t="s">
        <v>7202</v>
      </c>
    </row>
    <row r="42" spans="1:3" x14ac:dyDescent="0.3">
      <c r="A42" t="s">
        <v>7203</v>
      </c>
    </row>
    <row r="43" spans="1:3" x14ac:dyDescent="0.3">
      <c r="A43" t="s">
        <v>7204</v>
      </c>
    </row>
    <row r="44" spans="1:3" x14ac:dyDescent="0.3">
      <c r="A44" t="s">
        <v>7205</v>
      </c>
    </row>
    <row r="45" spans="1:3" x14ac:dyDescent="0.3">
      <c r="A45" t="s">
        <v>7206</v>
      </c>
    </row>
    <row r="46" spans="1:3" x14ac:dyDescent="0.3">
      <c r="A46" t="s">
        <v>7207</v>
      </c>
    </row>
    <row r="47" spans="1:3" x14ac:dyDescent="0.3">
      <c r="A47" t="s">
        <v>7208</v>
      </c>
    </row>
    <row r="48" spans="1:3" x14ac:dyDescent="0.3">
      <c r="A48" t="s">
        <v>7209</v>
      </c>
    </row>
    <row r="49" spans="1:3" x14ac:dyDescent="0.3">
      <c r="A49" t="s">
        <v>7210</v>
      </c>
    </row>
    <row r="50" spans="1:3" x14ac:dyDescent="0.3">
      <c r="A50" t="s">
        <v>7211</v>
      </c>
    </row>
    <row r="51" spans="1:3" x14ac:dyDescent="0.3">
      <c r="A51" t="s">
        <v>7212</v>
      </c>
    </row>
    <row r="52" spans="1:3" x14ac:dyDescent="0.3">
      <c r="A52" t="s">
        <v>7213</v>
      </c>
    </row>
    <row r="53" spans="1:3" x14ac:dyDescent="0.3">
      <c r="A53" t="s">
        <v>7214</v>
      </c>
    </row>
    <row r="54" spans="1:3" x14ac:dyDescent="0.3">
      <c r="A54" t="s">
        <v>7215</v>
      </c>
    </row>
    <row r="55" spans="1:3" x14ac:dyDescent="0.3">
      <c r="A55" t="s">
        <v>7216</v>
      </c>
    </row>
    <row r="57" spans="1:3" x14ac:dyDescent="0.3">
      <c r="A57" s="25" t="s">
        <v>295</v>
      </c>
      <c r="B57" s="25"/>
      <c r="C57" s="25"/>
    </row>
    <row r="58" spans="1:3" x14ac:dyDescent="0.3">
      <c r="A58" t="s">
        <v>1021</v>
      </c>
      <c r="B58" t="s">
        <v>7217</v>
      </c>
    </row>
    <row r="59" spans="1:3" x14ac:dyDescent="0.3">
      <c r="A59" t="s">
        <v>296</v>
      </c>
      <c r="B59" t="s">
        <v>7218</v>
      </c>
      <c r="C59" t="s">
        <v>4669</v>
      </c>
    </row>
    <row r="60" spans="1:3" x14ac:dyDescent="0.3">
      <c r="A60" t="s">
        <v>299</v>
      </c>
      <c r="B60" t="s">
        <v>7219</v>
      </c>
    </row>
    <row r="61" spans="1:3" x14ac:dyDescent="0.3">
      <c r="A61" t="s">
        <v>301</v>
      </c>
      <c r="B61" t="s">
        <v>7220</v>
      </c>
    </row>
    <row r="62" spans="1:3" x14ac:dyDescent="0.3">
      <c r="A62" t="s">
        <v>303</v>
      </c>
      <c r="B62" t="s">
        <v>7221</v>
      </c>
      <c r="C62" t="s">
        <v>4669</v>
      </c>
    </row>
    <row r="63" spans="1:3" x14ac:dyDescent="0.3">
      <c r="A63" t="s">
        <v>299</v>
      </c>
      <c r="B63" t="s">
        <v>7222</v>
      </c>
    </row>
    <row r="64" spans="1:3" x14ac:dyDescent="0.3">
      <c r="A64" t="s">
        <v>301</v>
      </c>
      <c r="B64" t="s">
        <v>7223</v>
      </c>
    </row>
    <row r="65" spans="1:3" x14ac:dyDescent="0.3">
      <c r="A65" t="s">
        <v>307</v>
      </c>
      <c r="B65" t="s">
        <v>7224</v>
      </c>
      <c r="C65" t="s">
        <v>4669</v>
      </c>
    </row>
    <row r="66" spans="1:3" x14ac:dyDescent="0.3">
      <c r="A66" t="s">
        <v>299</v>
      </c>
      <c r="B66" t="s">
        <v>7225</v>
      </c>
    </row>
    <row r="67" spans="1:3" x14ac:dyDescent="0.3">
      <c r="A67" t="s">
        <v>301</v>
      </c>
      <c r="B67" t="s">
        <v>7226</v>
      </c>
    </row>
    <row r="68" spans="1:3" x14ac:dyDescent="0.3">
      <c r="A68" t="s">
        <v>311</v>
      </c>
      <c r="B68" t="s">
        <v>7227</v>
      </c>
      <c r="C68" t="s">
        <v>4669</v>
      </c>
    </row>
    <row r="69" spans="1:3" x14ac:dyDescent="0.3">
      <c r="A69" t="s">
        <v>299</v>
      </c>
      <c r="B69" t="s">
        <v>7228</v>
      </c>
    </row>
    <row r="70" spans="1:3" x14ac:dyDescent="0.3">
      <c r="A70" t="s">
        <v>301</v>
      </c>
      <c r="B70" t="s">
        <v>7229</v>
      </c>
    </row>
    <row r="71" spans="1:3" x14ac:dyDescent="0.3">
      <c r="A71" t="s">
        <v>316</v>
      </c>
      <c r="B71" t="s">
        <v>7230</v>
      </c>
      <c r="C71" t="s">
        <v>4669</v>
      </c>
    </row>
    <row r="72" spans="1:3" x14ac:dyDescent="0.3">
      <c r="A72" t="s">
        <v>299</v>
      </c>
      <c r="B72" t="s">
        <v>7231</v>
      </c>
    </row>
    <row r="73" spans="1:3" x14ac:dyDescent="0.3">
      <c r="A73" t="s">
        <v>301</v>
      </c>
      <c r="B73" t="s">
        <v>7232</v>
      </c>
    </row>
    <row r="74" spans="1:3" x14ac:dyDescent="0.3">
      <c r="A74" t="s">
        <v>320</v>
      </c>
      <c r="B74" t="s">
        <v>7233</v>
      </c>
      <c r="C74" t="s">
        <v>4669</v>
      </c>
    </row>
    <row r="75" spans="1:3" x14ac:dyDescent="0.3">
      <c r="A75" t="s">
        <v>299</v>
      </c>
      <c r="B75" t="s">
        <v>7234</v>
      </c>
    </row>
    <row r="76" spans="1:3" x14ac:dyDescent="0.3">
      <c r="A76" t="s">
        <v>301</v>
      </c>
      <c r="B76" t="s">
        <v>7235</v>
      </c>
    </row>
    <row r="77" spans="1:3" x14ac:dyDescent="0.3">
      <c r="A77" t="s">
        <v>324</v>
      </c>
      <c r="B77" t="s">
        <v>7236</v>
      </c>
      <c r="C77" t="s">
        <v>4669</v>
      </c>
    </row>
    <row r="78" spans="1:3" x14ac:dyDescent="0.3">
      <c r="A78" t="s">
        <v>299</v>
      </c>
      <c r="B78" t="s">
        <v>7237</v>
      </c>
    </row>
    <row r="79" spans="1:3" x14ac:dyDescent="0.3">
      <c r="A79" t="s">
        <v>301</v>
      </c>
      <c r="B79" t="s">
        <v>7238</v>
      </c>
    </row>
    <row r="80" spans="1:3" x14ac:dyDescent="0.3">
      <c r="A80" t="s">
        <v>328</v>
      </c>
      <c r="B80" t="s">
        <v>7239</v>
      </c>
      <c r="C80" t="s">
        <v>4669</v>
      </c>
    </row>
    <row r="81" spans="1:3" x14ac:dyDescent="0.3">
      <c r="A81" t="s">
        <v>299</v>
      </c>
      <c r="B81" t="s">
        <v>7240</v>
      </c>
    </row>
    <row r="82" spans="1:3" x14ac:dyDescent="0.3">
      <c r="A82" t="s">
        <v>301</v>
      </c>
      <c r="B82" t="s">
        <v>7241</v>
      </c>
    </row>
    <row r="83" spans="1:3" x14ac:dyDescent="0.3">
      <c r="A83" t="s">
        <v>333</v>
      </c>
      <c r="B83" t="s">
        <v>7242</v>
      </c>
      <c r="C83" t="s">
        <v>4669</v>
      </c>
    </row>
    <row r="84" spans="1:3" x14ac:dyDescent="0.3">
      <c r="A84" t="s">
        <v>299</v>
      </c>
      <c r="B84" t="s">
        <v>7243</v>
      </c>
    </row>
    <row r="85" spans="1:3" x14ac:dyDescent="0.3">
      <c r="A85" t="s">
        <v>301</v>
      </c>
      <c r="B85" t="s">
        <v>7244</v>
      </c>
    </row>
    <row r="86" spans="1:3" x14ac:dyDescent="0.3">
      <c r="A86" t="s">
        <v>337</v>
      </c>
      <c r="B86" t="s">
        <v>7245</v>
      </c>
      <c r="C86" t="s">
        <v>4669</v>
      </c>
    </row>
    <row r="87" spans="1:3" x14ac:dyDescent="0.3">
      <c r="A87" t="s">
        <v>299</v>
      </c>
      <c r="B87" t="s">
        <v>7246</v>
      </c>
    </row>
    <row r="88" spans="1:3" x14ac:dyDescent="0.3">
      <c r="A88" t="s">
        <v>301</v>
      </c>
      <c r="B88" t="s">
        <v>7247</v>
      </c>
    </row>
    <row r="89" spans="1:3" x14ac:dyDescent="0.3">
      <c r="A89" t="s">
        <v>341</v>
      </c>
      <c r="B89" t="s">
        <v>7248</v>
      </c>
      <c r="C89" t="s">
        <v>4669</v>
      </c>
    </row>
    <row r="90" spans="1:3" x14ac:dyDescent="0.3">
      <c r="A90" t="s">
        <v>299</v>
      </c>
      <c r="B90" t="s">
        <v>7249</v>
      </c>
    </row>
    <row r="91" spans="1:3" x14ac:dyDescent="0.3">
      <c r="A91" t="s">
        <v>301</v>
      </c>
      <c r="B91" t="s">
        <v>7250</v>
      </c>
    </row>
    <row r="92" spans="1:3" x14ac:dyDescent="0.3">
      <c r="A92" t="s">
        <v>346</v>
      </c>
      <c r="B92" t="s">
        <v>7251</v>
      </c>
      <c r="C92" t="s">
        <v>4669</v>
      </c>
    </row>
    <row r="93" spans="1:3" x14ac:dyDescent="0.3">
      <c r="A93" t="s">
        <v>299</v>
      </c>
      <c r="B93" t="s">
        <v>7252</v>
      </c>
    </row>
    <row r="94" spans="1:3" x14ac:dyDescent="0.3">
      <c r="A94" t="s">
        <v>301</v>
      </c>
      <c r="B94" t="s">
        <v>7253</v>
      </c>
    </row>
    <row r="95" spans="1:3" x14ac:dyDescent="0.3">
      <c r="A95" t="s">
        <v>1453</v>
      </c>
      <c r="B95" t="s">
        <v>7254</v>
      </c>
      <c r="C95" t="s">
        <v>4669</v>
      </c>
    </row>
    <row r="96" spans="1:3" x14ac:dyDescent="0.3">
      <c r="A96" t="s">
        <v>299</v>
      </c>
      <c r="B96" t="s">
        <v>7255</v>
      </c>
    </row>
    <row r="97" spans="1:3" x14ac:dyDescent="0.3">
      <c r="A97" t="s">
        <v>301</v>
      </c>
      <c r="B97" t="s">
        <v>7256</v>
      </c>
    </row>
    <row r="98" spans="1:3" x14ac:dyDescent="0.3">
      <c r="A98" t="s">
        <v>1457</v>
      </c>
      <c r="B98" t="s">
        <v>7257</v>
      </c>
      <c r="C98" t="s">
        <v>4669</v>
      </c>
    </row>
    <row r="99" spans="1:3" x14ac:dyDescent="0.3">
      <c r="A99" t="s">
        <v>299</v>
      </c>
      <c r="B99" t="s">
        <v>7258</v>
      </c>
    </row>
    <row r="100" spans="1:3" x14ac:dyDescent="0.3">
      <c r="A100" t="s">
        <v>301</v>
      </c>
      <c r="B100" t="s">
        <v>7259</v>
      </c>
    </row>
    <row r="101" spans="1:3" x14ac:dyDescent="0.3">
      <c r="A101" t="s">
        <v>1461</v>
      </c>
      <c r="B101" t="s">
        <v>7260</v>
      </c>
      <c r="C101" t="s">
        <v>4669</v>
      </c>
    </row>
    <row r="102" spans="1:3" x14ac:dyDescent="0.3">
      <c r="A102" t="s">
        <v>299</v>
      </c>
      <c r="B102" t="s">
        <v>7261</v>
      </c>
    </row>
    <row r="103" spans="1:3" x14ac:dyDescent="0.3">
      <c r="A103" t="s">
        <v>301</v>
      </c>
      <c r="B103" t="s">
        <v>7262</v>
      </c>
    </row>
    <row r="104" spans="1:3" x14ac:dyDescent="0.3">
      <c r="A104" t="s">
        <v>1465</v>
      </c>
      <c r="B104" t="s">
        <v>7263</v>
      </c>
      <c r="C104" t="s">
        <v>4669</v>
      </c>
    </row>
    <row r="105" spans="1:3" x14ac:dyDescent="0.3">
      <c r="A105" t="s">
        <v>299</v>
      </c>
      <c r="B105" t="s">
        <v>7264</v>
      </c>
    </row>
    <row r="106" spans="1:3" x14ac:dyDescent="0.3">
      <c r="A106" t="s">
        <v>301</v>
      </c>
      <c r="B106" t="s">
        <v>7265</v>
      </c>
    </row>
    <row r="107" spans="1:3" x14ac:dyDescent="0.3">
      <c r="A107" t="s">
        <v>1469</v>
      </c>
      <c r="B107" t="s">
        <v>7266</v>
      </c>
      <c r="C107" t="s">
        <v>4669</v>
      </c>
    </row>
    <row r="108" spans="1:3" x14ac:dyDescent="0.3">
      <c r="A108" t="s">
        <v>299</v>
      </c>
      <c r="B108" t="s">
        <v>7267</v>
      </c>
    </row>
    <row r="109" spans="1:3" x14ac:dyDescent="0.3">
      <c r="A109" t="s">
        <v>301</v>
      </c>
      <c r="B109" t="s">
        <v>7268</v>
      </c>
    </row>
    <row r="110" spans="1:3" x14ac:dyDescent="0.3">
      <c r="A110" t="s">
        <v>1473</v>
      </c>
      <c r="B110" t="s">
        <v>7269</v>
      </c>
      <c r="C110" t="s">
        <v>4669</v>
      </c>
    </row>
    <row r="111" spans="1:3" x14ac:dyDescent="0.3">
      <c r="A111" t="s">
        <v>299</v>
      </c>
      <c r="B111" t="s">
        <v>7270</v>
      </c>
    </row>
    <row r="112" spans="1:3" x14ac:dyDescent="0.3">
      <c r="A112" t="s">
        <v>301</v>
      </c>
      <c r="B112" t="s">
        <v>7271</v>
      </c>
    </row>
  </sheetData>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C63"/>
  <sheetViews>
    <sheetView workbookViewId="0"/>
  </sheetViews>
  <sheetFormatPr defaultRowHeight="14.4" x14ac:dyDescent="0.3"/>
  <cols>
    <col min="1" max="1" width="46" customWidth="1"/>
    <col min="2" max="8" width="15" customWidth="1"/>
  </cols>
  <sheetData>
    <row r="1" spans="1:3" x14ac:dyDescent="0.3">
      <c r="A1" s="24" t="s">
        <v>181</v>
      </c>
      <c r="B1" t="s">
        <v>7272</v>
      </c>
    </row>
    <row r="2" spans="1:3" x14ac:dyDescent="0.3">
      <c r="A2" s="24" t="s">
        <v>183</v>
      </c>
      <c r="B2" t="s">
        <v>7273</v>
      </c>
    </row>
    <row r="4" spans="1:3" x14ac:dyDescent="0.3">
      <c r="A4" s="25" t="s">
        <v>185</v>
      </c>
      <c r="B4" s="25"/>
      <c r="C4" s="25"/>
    </row>
    <row r="5" spans="1:3" x14ac:dyDescent="0.3">
      <c r="A5" t="s">
        <v>7274</v>
      </c>
      <c r="B5" t="s">
        <v>238</v>
      </c>
    </row>
    <row r="6" spans="1:3" x14ac:dyDescent="0.3">
      <c r="A6" t="s">
        <v>3118</v>
      </c>
      <c r="B6" t="s">
        <v>7275</v>
      </c>
    </row>
    <row r="7" spans="1:3" x14ac:dyDescent="0.3">
      <c r="A7" t="s">
        <v>7276</v>
      </c>
      <c r="B7" t="s">
        <v>7277</v>
      </c>
    </row>
    <row r="8" spans="1:3" x14ac:dyDescent="0.3">
      <c r="A8" t="s">
        <v>7278</v>
      </c>
      <c r="B8" t="s">
        <v>7279</v>
      </c>
    </row>
    <row r="9" spans="1:3" x14ac:dyDescent="0.3">
      <c r="A9" t="s">
        <v>7280</v>
      </c>
      <c r="B9" t="s">
        <v>7281</v>
      </c>
    </row>
    <row r="10" spans="1:3" x14ac:dyDescent="0.3">
      <c r="A10" t="s">
        <v>7282</v>
      </c>
      <c r="B10" t="s">
        <v>5928</v>
      </c>
    </row>
    <row r="11" spans="1:3" x14ac:dyDescent="0.3">
      <c r="A11" t="s">
        <v>7283</v>
      </c>
      <c r="B11" t="s">
        <v>7284</v>
      </c>
    </row>
    <row r="12" spans="1:3" x14ac:dyDescent="0.3">
      <c r="A12" t="s">
        <v>7285</v>
      </c>
      <c r="B12" t="s">
        <v>7286</v>
      </c>
    </row>
    <row r="13" spans="1:3" x14ac:dyDescent="0.3">
      <c r="A13" t="s">
        <v>7287</v>
      </c>
      <c r="B13" t="s">
        <v>7288</v>
      </c>
    </row>
    <row r="15" spans="1:3" x14ac:dyDescent="0.3">
      <c r="A15" t="s">
        <v>7289</v>
      </c>
      <c r="B15" t="s">
        <v>238</v>
      </c>
    </row>
    <row r="16" spans="1:3" x14ac:dyDescent="0.3">
      <c r="A16" t="s">
        <v>7290</v>
      </c>
      <c r="B16" t="s">
        <v>7291</v>
      </c>
    </row>
    <row r="17" spans="1:2" x14ac:dyDescent="0.3">
      <c r="A17" t="s">
        <v>7292</v>
      </c>
      <c r="B17" t="s">
        <v>5981</v>
      </c>
    </row>
    <row r="18" spans="1:2" x14ac:dyDescent="0.3">
      <c r="A18" t="s">
        <v>7293</v>
      </c>
      <c r="B18" t="s">
        <v>7294</v>
      </c>
    </row>
    <row r="20" spans="1:2" x14ac:dyDescent="0.3">
      <c r="A20" t="s">
        <v>7295</v>
      </c>
      <c r="B20" t="s">
        <v>238</v>
      </c>
    </row>
    <row r="21" spans="1:2" x14ac:dyDescent="0.3">
      <c r="A21" t="s">
        <v>7296</v>
      </c>
      <c r="B21" t="s">
        <v>7297</v>
      </c>
    </row>
    <row r="22" spans="1:2" x14ac:dyDescent="0.3">
      <c r="A22" t="s">
        <v>7298</v>
      </c>
      <c r="B22" t="s">
        <v>7299</v>
      </c>
    </row>
    <row r="23" spans="1:2" x14ac:dyDescent="0.3">
      <c r="A23" t="s">
        <v>7300</v>
      </c>
      <c r="B23" t="s">
        <v>7301</v>
      </c>
    </row>
    <row r="24" spans="1:2" x14ac:dyDescent="0.3">
      <c r="A24" t="s">
        <v>7302</v>
      </c>
      <c r="B24" t="s">
        <v>191</v>
      </c>
    </row>
    <row r="25" spans="1:2" x14ac:dyDescent="0.3">
      <c r="A25" t="s">
        <v>7303</v>
      </c>
      <c r="B25" t="s">
        <v>884</v>
      </c>
    </row>
    <row r="26" spans="1:2" x14ac:dyDescent="0.3">
      <c r="A26" t="s">
        <v>7304</v>
      </c>
      <c r="B26" t="s">
        <v>7305</v>
      </c>
    </row>
    <row r="27" spans="1:2" x14ac:dyDescent="0.3">
      <c r="A27" t="s">
        <v>7306</v>
      </c>
      <c r="B27" t="s">
        <v>1675</v>
      </c>
    </row>
    <row r="28" spans="1:2" x14ac:dyDescent="0.3">
      <c r="A28" t="s">
        <v>7307</v>
      </c>
      <c r="B28" t="s">
        <v>3566</v>
      </c>
    </row>
    <row r="29" spans="1:2" x14ac:dyDescent="0.3">
      <c r="A29" t="s">
        <v>7308</v>
      </c>
      <c r="B29" t="s">
        <v>4081</v>
      </c>
    </row>
    <row r="31" spans="1:2" x14ac:dyDescent="0.3">
      <c r="A31" t="s">
        <v>7309</v>
      </c>
      <c r="B31" t="s">
        <v>238</v>
      </c>
    </row>
    <row r="32" spans="1:2" x14ac:dyDescent="0.3">
      <c r="A32" t="s">
        <v>7310</v>
      </c>
      <c r="B32" t="s">
        <v>3210</v>
      </c>
    </row>
    <row r="33" spans="1:3" x14ac:dyDescent="0.3">
      <c r="A33" t="s">
        <v>7311</v>
      </c>
      <c r="B33" t="s">
        <v>1675</v>
      </c>
    </row>
    <row r="34" spans="1:3" x14ac:dyDescent="0.3">
      <c r="A34" t="s">
        <v>7312</v>
      </c>
      <c r="B34" t="s">
        <v>381</v>
      </c>
    </row>
    <row r="35" spans="1:3" x14ac:dyDescent="0.3">
      <c r="A35" t="s">
        <v>7313</v>
      </c>
      <c r="B35" t="s">
        <v>7314</v>
      </c>
    </row>
    <row r="36" spans="1:3" x14ac:dyDescent="0.3">
      <c r="A36" t="s">
        <v>7315</v>
      </c>
      <c r="B36" t="s">
        <v>7316</v>
      </c>
    </row>
    <row r="38" spans="1:3" x14ac:dyDescent="0.3">
      <c r="A38" t="s">
        <v>7317</v>
      </c>
      <c r="B38" t="s">
        <v>238</v>
      </c>
      <c r="C38" t="s">
        <v>274</v>
      </c>
    </row>
    <row r="39" spans="1:3" x14ac:dyDescent="0.3">
      <c r="A39" t="s">
        <v>7318</v>
      </c>
      <c r="B39" t="s">
        <v>7319</v>
      </c>
      <c r="C39" t="s">
        <v>7320</v>
      </c>
    </row>
    <row r="40" spans="1:3" x14ac:dyDescent="0.3">
      <c r="A40" t="s">
        <v>7321</v>
      </c>
      <c r="B40" t="s">
        <v>7322</v>
      </c>
      <c r="C40" t="s">
        <v>7320</v>
      </c>
    </row>
    <row r="42" spans="1:3" x14ac:dyDescent="0.3">
      <c r="A42" s="25" t="s">
        <v>281</v>
      </c>
      <c r="B42" s="25"/>
      <c r="C42" s="25"/>
    </row>
    <row r="43" spans="1:3" x14ac:dyDescent="0.3">
      <c r="A43" t="s">
        <v>7323</v>
      </c>
    </row>
    <row r="44" spans="1:3" x14ac:dyDescent="0.3">
      <c r="A44" t="s">
        <v>7324</v>
      </c>
    </row>
    <row r="45" spans="1:3" x14ac:dyDescent="0.3">
      <c r="A45" t="s">
        <v>7325</v>
      </c>
    </row>
    <row r="46" spans="1:3" x14ac:dyDescent="0.3">
      <c r="A46" t="s">
        <v>7326</v>
      </c>
    </row>
    <row r="47" spans="1:3" x14ac:dyDescent="0.3">
      <c r="A47" t="s">
        <v>7327</v>
      </c>
    </row>
    <row r="48" spans="1:3" x14ac:dyDescent="0.3">
      <c r="A48" t="s">
        <v>7328</v>
      </c>
    </row>
    <row r="49" spans="1:3" x14ac:dyDescent="0.3">
      <c r="A49" t="s">
        <v>7329</v>
      </c>
    </row>
    <row r="50" spans="1:3" x14ac:dyDescent="0.3">
      <c r="A50" t="s">
        <v>7330</v>
      </c>
    </row>
    <row r="51" spans="1:3" x14ac:dyDescent="0.3">
      <c r="A51" t="s">
        <v>7331</v>
      </c>
    </row>
    <row r="52" spans="1:3" x14ac:dyDescent="0.3">
      <c r="A52" t="s">
        <v>7332</v>
      </c>
    </row>
    <row r="53" spans="1:3" x14ac:dyDescent="0.3">
      <c r="A53" t="s">
        <v>7333</v>
      </c>
    </row>
    <row r="54" spans="1:3" x14ac:dyDescent="0.3">
      <c r="A54" t="s">
        <v>7334</v>
      </c>
    </row>
    <row r="55" spans="1:3" x14ac:dyDescent="0.3">
      <c r="A55" t="s">
        <v>7335</v>
      </c>
    </row>
    <row r="56" spans="1:3" x14ac:dyDescent="0.3">
      <c r="A56" t="s">
        <v>7336</v>
      </c>
    </row>
    <row r="57" spans="1:3" x14ac:dyDescent="0.3">
      <c r="A57" t="s">
        <v>7337</v>
      </c>
    </row>
    <row r="58" spans="1:3" x14ac:dyDescent="0.3">
      <c r="A58" t="s">
        <v>7338</v>
      </c>
    </row>
    <row r="59" spans="1:3" x14ac:dyDescent="0.3">
      <c r="A59" t="s">
        <v>7339</v>
      </c>
    </row>
    <row r="60" spans="1:3" x14ac:dyDescent="0.3">
      <c r="A60" t="s">
        <v>7340</v>
      </c>
    </row>
    <row r="62" spans="1:3" x14ac:dyDescent="0.3">
      <c r="A62" s="25" t="s">
        <v>295</v>
      </c>
      <c r="B62" s="25"/>
      <c r="C62" s="25"/>
    </row>
    <row r="63" spans="1:3" x14ac:dyDescent="0.3">
      <c r="A63" t="s">
        <v>1021</v>
      </c>
      <c r="B63" t="s">
        <v>7341</v>
      </c>
    </row>
  </sheetData>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D108"/>
  <sheetViews>
    <sheetView workbookViewId="0"/>
  </sheetViews>
  <sheetFormatPr defaultRowHeight="14.4" x14ac:dyDescent="0.3"/>
  <cols>
    <col min="1" max="1" width="46" customWidth="1"/>
    <col min="2" max="8" width="15" customWidth="1"/>
  </cols>
  <sheetData>
    <row r="1" spans="1:4" x14ac:dyDescent="0.3">
      <c r="A1" s="24" t="s">
        <v>181</v>
      </c>
      <c r="B1" t="s">
        <v>7342</v>
      </c>
    </row>
    <row r="2" spans="1:4" x14ac:dyDescent="0.3">
      <c r="A2" s="24" t="s">
        <v>183</v>
      </c>
      <c r="B2" t="s">
        <v>7343</v>
      </c>
    </row>
    <row r="4" spans="1:4" x14ac:dyDescent="0.3">
      <c r="A4" s="25" t="s">
        <v>185</v>
      </c>
      <c r="B4" s="25"/>
      <c r="C4" s="25"/>
      <c r="D4" s="25"/>
    </row>
    <row r="5" spans="1:4" x14ac:dyDescent="0.3">
      <c r="A5" t="s">
        <v>7344</v>
      </c>
      <c r="B5" t="s">
        <v>7345</v>
      </c>
      <c r="C5" t="s">
        <v>7346</v>
      </c>
      <c r="D5" t="s">
        <v>189</v>
      </c>
    </row>
    <row r="6" spans="1:4" x14ac:dyDescent="0.3">
      <c r="A6" t="s">
        <v>2963</v>
      </c>
      <c r="B6" t="s">
        <v>7347</v>
      </c>
      <c r="C6" t="s">
        <v>7348</v>
      </c>
      <c r="D6" t="s">
        <v>1740</v>
      </c>
    </row>
    <row r="7" spans="1:4" x14ac:dyDescent="0.3">
      <c r="A7" t="s">
        <v>7349</v>
      </c>
      <c r="B7" t="s">
        <v>7350</v>
      </c>
      <c r="C7" t="s">
        <v>7351</v>
      </c>
      <c r="D7" t="s">
        <v>7352</v>
      </c>
    </row>
    <row r="8" spans="1:4" x14ac:dyDescent="0.3">
      <c r="A8" t="s">
        <v>5167</v>
      </c>
      <c r="B8" t="s">
        <v>7353</v>
      </c>
      <c r="C8" t="s">
        <v>7354</v>
      </c>
      <c r="D8" t="s">
        <v>361</v>
      </c>
    </row>
    <row r="10" spans="1:4" x14ac:dyDescent="0.3">
      <c r="A10" t="s">
        <v>7355</v>
      </c>
      <c r="B10" t="s">
        <v>7356</v>
      </c>
      <c r="C10" t="s">
        <v>7357</v>
      </c>
      <c r="D10" t="s">
        <v>189</v>
      </c>
    </row>
    <row r="11" spans="1:4" x14ac:dyDescent="0.3">
      <c r="A11" t="s">
        <v>2963</v>
      </c>
      <c r="B11" t="s">
        <v>7358</v>
      </c>
      <c r="C11" t="s">
        <v>7359</v>
      </c>
      <c r="D11" t="s">
        <v>7360</v>
      </c>
    </row>
    <row r="12" spans="1:4" x14ac:dyDescent="0.3">
      <c r="A12" t="s">
        <v>7349</v>
      </c>
      <c r="B12" t="s">
        <v>7361</v>
      </c>
      <c r="C12" t="s">
        <v>7362</v>
      </c>
      <c r="D12" t="s">
        <v>3227</v>
      </c>
    </row>
    <row r="13" spans="1:4" x14ac:dyDescent="0.3">
      <c r="A13" t="s">
        <v>5167</v>
      </c>
      <c r="B13" t="s">
        <v>7363</v>
      </c>
      <c r="C13" t="s">
        <v>7364</v>
      </c>
      <c r="D13" t="s">
        <v>2367</v>
      </c>
    </row>
    <row r="15" spans="1:4" x14ac:dyDescent="0.3">
      <c r="A15" t="s">
        <v>7365</v>
      </c>
      <c r="B15" t="s">
        <v>41</v>
      </c>
      <c r="C15" t="s">
        <v>7356</v>
      </c>
      <c r="D15" t="s">
        <v>7366</v>
      </c>
    </row>
    <row r="16" spans="1:4" x14ac:dyDescent="0.3">
      <c r="A16" t="s">
        <v>87</v>
      </c>
      <c r="B16" t="s">
        <v>7367</v>
      </c>
      <c r="C16" t="s">
        <v>7368</v>
      </c>
      <c r="D16" t="s">
        <v>3354</v>
      </c>
    </row>
    <row r="17" spans="1:4" x14ac:dyDescent="0.3">
      <c r="A17" t="s">
        <v>7369</v>
      </c>
      <c r="B17" t="s">
        <v>7370</v>
      </c>
      <c r="C17" t="s">
        <v>7371</v>
      </c>
      <c r="D17" t="s">
        <v>7372</v>
      </c>
    </row>
    <row r="18" spans="1:4" x14ac:dyDescent="0.3">
      <c r="A18" t="s">
        <v>157</v>
      </c>
      <c r="B18" t="s">
        <v>7373</v>
      </c>
      <c r="C18" t="s">
        <v>7374</v>
      </c>
      <c r="D18" t="s">
        <v>7375</v>
      </c>
    </row>
    <row r="20" spans="1:4" x14ac:dyDescent="0.3">
      <c r="A20" t="s">
        <v>7376</v>
      </c>
      <c r="B20" t="s">
        <v>7345</v>
      </c>
      <c r="C20" t="s">
        <v>7346</v>
      </c>
      <c r="D20" t="s">
        <v>204</v>
      </c>
    </row>
    <row r="21" spans="1:4" x14ac:dyDescent="0.3">
      <c r="A21" t="s">
        <v>2969</v>
      </c>
      <c r="B21" t="s">
        <v>7377</v>
      </c>
      <c r="C21" t="s">
        <v>7378</v>
      </c>
      <c r="D21" t="s">
        <v>7379</v>
      </c>
    </row>
    <row r="22" spans="1:4" x14ac:dyDescent="0.3">
      <c r="A22" t="s">
        <v>2611</v>
      </c>
      <c r="B22" t="s">
        <v>7380</v>
      </c>
      <c r="C22" t="s">
        <v>5564</v>
      </c>
      <c r="D22" t="s">
        <v>7381</v>
      </c>
    </row>
    <row r="23" spans="1:4" x14ac:dyDescent="0.3">
      <c r="A23" t="s">
        <v>7382</v>
      </c>
      <c r="B23" t="s">
        <v>7383</v>
      </c>
      <c r="C23" t="s">
        <v>5798</v>
      </c>
      <c r="D23" t="s">
        <v>7384</v>
      </c>
    </row>
    <row r="24" spans="1:4" x14ac:dyDescent="0.3">
      <c r="A24" t="s">
        <v>5191</v>
      </c>
      <c r="B24" t="s">
        <v>7385</v>
      </c>
      <c r="C24" t="s">
        <v>7386</v>
      </c>
      <c r="D24" t="s">
        <v>7387</v>
      </c>
    </row>
    <row r="25" spans="1:4" x14ac:dyDescent="0.3">
      <c r="A25" t="s">
        <v>7388</v>
      </c>
      <c r="B25" t="s">
        <v>7389</v>
      </c>
      <c r="C25" t="s">
        <v>7390</v>
      </c>
      <c r="D25" t="s">
        <v>2213</v>
      </c>
    </row>
    <row r="26" spans="1:4" x14ac:dyDescent="0.3">
      <c r="A26" t="s">
        <v>7391</v>
      </c>
      <c r="B26" t="s">
        <v>7392</v>
      </c>
      <c r="C26" t="s">
        <v>5801</v>
      </c>
      <c r="D26" t="s">
        <v>1113</v>
      </c>
    </row>
    <row r="27" spans="1:4" x14ac:dyDescent="0.3">
      <c r="A27" t="s">
        <v>7393</v>
      </c>
      <c r="B27" t="s">
        <v>7394</v>
      </c>
      <c r="C27" t="s">
        <v>7395</v>
      </c>
      <c r="D27" t="s">
        <v>7396</v>
      </c>
    </row>
    <row r="28" spans="1:4" x14ac:dyDescent="0.3">
      <c r="A28" t="s">
        <v>7397</v>
      </c>
      <c r="B28" t="s">
        <v>7398</v>
      </c>
      <c r="C28" t="s">
        <v>5793</v>
      </c>
      <c r="D28" t="s">
        <v>7399</v>
      </c>
    </row>
    <row r="30" spans="1:4" x14ac:dyDescent="0.3">
      <c r="A30" t="s">
        <v>7400</v>
      </c>
      <c r="B30" t="s">
        <v>7356</v>
      </c>
      <c r="C30" t="s">
        <v>7357</v>
      </c>
      <c r="D30" t="s">
        <v>204</v>
      </c>
    </row>
    <row r="31" spans="1:4" x14ac:dyDescent="0.3">
      <c r="A31" t="s">
        <v>2969</v>
      </c>
      <c r="B31" t="s">
        <v>7401</v>
      </c>
      <c r="C31" t="s">
        <v>7402</v>
      </c>
      <c r="D31" t="s">
        <v>7403</v>
      </c>
    </row>
    <row r="32" spans="1:4" x14ac:dyDescent="0.3">
      <c r="A32" t="s">
        <v>2611</v>
      </c>
      <c r="B32" t="s">
        <v>5549</v>
      </c>
      <c r="C32" t="s">
        <v>5564</v>
      </c>
      <c r="D32" t="s">
        <v>6788</v>
      </c>
    </row>
    <row r="33" spans="1:4" x14ac:dyDescent="0.3">
      <c r="A33" t="s">
        <v>7382</v>
      </c>
      <c r="B33" t="s">
        <v>7404</v>
      </c>
      <c r="C33" t="s">
        <v>7405</v>
      </c>
      <c r="D33" t="s">
        <v>7406</v>
      </c>
    </row>
    <row r="34" spans="1:4" x14ac:dyDescent="0.3">
      <c r="A34" t="s">
        <v>5191</v>
      </c>
      <c r="B34" t="s">
        <v>7407</v>
      </c>
      <c r="C34" t="s">
        <v>7408</v>
      </c>
      <c r="D34" t="s">
        <v>7409</v>
      </c>
    </row>
    <row r="35" spans="1:4" x14ac:dyDescent="0.3">
      <c r="A35" t="s">
        <v>7388</v>
      </c>
      <c r="B35" t="s">
        <v>7410</v>
      </c>
      <c r="C35" t="s">
        <v>7411</v>
      </c>
      <c r="D35" t="s">
        <v>7412</v>
      </c>
    </row>
    <row r="36" spans="1:4" x14ac:dyDescent="0.3">
      <c r="A36" t="s">
        <v>7391</v>
      </c>
      <c r="B36" t="s">
        <v>7413</v>
      </c>
      <c r="C36" t="s">
        <v>5781</v>
      </c>
      <c r="D36" t="s">
        <v>7414</v>
      </c>
    </row>
    <row r="37" spans="1:4" x14ac:dyDescent="0.3">
      <c r="A37" t="s">
        <v>7393</v>
      </c>
      <c r="B37" t="s">
        <v>7415</v>
      </c>
      <c r="C37" t="s">
        <v>7416</v>
      </c>
      <c r="D37" t="s">
        <v>7417</v>
      </c>
    </row>
    <row r="38" spans="1:4" x14ac:dyDescent="0.3">
      <c r="A38" t="s">
        <v>7397</v>
      </c>
      <c r="B38" t="s">
        <v>7418</v>
      </c>
      <c r="C38" t="s">
        <v>5793</v>
      </c>
      <c r="D38" t="s">
        <v>7419</v>
      </c>
    </row>
    <row r="40" spans="1:4" x14ac:dyDescent="0.3">
      <c r="A40" t="s">
        <v>3318</v>
      </c>
      <c r="B40" t="s">
        <v>41</v>
      </c>
      <c r="C40" t="s">
        <v>3864</v>
      </c>
      <c r="D40" t="s">
        <v>1646</v>
      </c>
    </row>
    <row r="41" spans="1:4" x14ac:dyDescent="0.3">
      <c r="A41" t="s">
        <v>7420</v>
      </c>
      <c r="B41" t="s">
        <v>7421</v>
      </c>
      <c r="C41" t="s">
        <v>5795</v>
      </c>
      <c r="D41" t="s">
        <v>7422</v>
      </c>
    </row>
    <row r="42" spans="1:4" x14ac:dyDescent="0.3">
      <c r="A42" t="s">
        <v>7423</v>
      </c>
      <c r="B42" t="s">
        <v>7424</v>
      </c>
      <c r="C42" t="s">
        <v>7425</v>
      </c>
      <c r="D42" t="s">
        <v>3607</v>
      </c>
    </row>
    <row r="43" spans="1:4" x14ac:dyDescent="0.3">
      <c r="A43" t="s">
        <v>77</v>
      </c>
      <c r="B43" t="s">
        <v>7426</v>
      </c>
      <c r="C43" t="s">
        <v>7427</v>
      </c>
      <c r="D43" t="s">
        <v>7428</v>
      </c>
    </row>
    <row r="44" spans="1:4" x14ac:dyDescent="0.3">
      <c r="A44" t="s">
        <v>76</v>
      </c>
      <c r="B44" t="s">
        <v>7429</v>
      </c>
      <c r="C44" t="s">
        <v>7430</v>
      </c>
      <c r="D44" t="s">
        <v>7431</v>
      </c>
    </row>
    <row r="45" spans="1:4" x14ac:dyDescent="0.3">
      <c r="A45" t="s">
        <v>105</v>
      </c>
      <c r="B45" t="s">
        <v>7432</v>
      </c>
      <c r="C45" t="s">
        <v>7433</v>
      </c>
      <c r="D45" t="s">
        <v>197</v>
      </c>
    </row>
    <row r="46" spans="1:4" x14ac:dyDescent="0.3">
      <c r="A46" t="s">
        <v>7434</v>
      </c>
      <c r="B46" t="s">
        <v>7435</v>
      </c>
      <c r="C46" t="s">
        <v>7433</v>
      </c>
      <c r="D46" t="s">
        <v>197</v>
      </c>
    </row>
    <row r="47" spans="1:4" x14ac:dyDescent="0.3">
      <c r="A47" t="s">
        <v>68</v>
      </c>
      <c r="B47" t="s">
        <v>7436</v>
      </c>
      <c r="C47" t="s">
        <v>197</v>
      </c>
      <c r="D47" t="s">
        <v>197</v>
      </c>
    </row>
    <row r="48" spans="1:4" x14ac:dyDescent="0.3">
      <c r="A48" t="s">
        <v>133</v>
      </c>
      <c r="B48" t="s">
        <v>7437</v>
      </c>
      <c r="C48" t="s">
        <v>197</v>
      </c>
      <c r="D48" t="s">
        <v>7438</v>
      </c>
    </row>
    <row r="50" spans="1:4" x14ac:dyDescent="0.3">
      <c r="A50" t="s">
        <v>7439</v>
      </c>
      <c r="B50" t="s">
        <v>41</v>
      </c>
      <c r="C50" t="s">
        <v>7356</v>
      </c>
      <c r="D50" t="s">
        <v>1646</v>
      </c>
    </row>
    <row r="51" spans="1:4" x14ac:dyDescent="0.3">
      <c r="A51" t="s">
        <v>7440</v>
      </c>
      <c r="B51" t="s">
        <v>7441</v>
      </c>
      <c r="C51" t="s">
        <v>7442</v>
      </c>
      <c r="D51" t="s">
        <v>7443</v>
      </c>
    </row>
    <row r="52" spans="1:4" x14ac:dyDescent="0.3">
      <c r="A52" t="s">
        <v>7444</v>
      </c>
      <c r="B52" t="s">
        <v>7445</v>
      </c>
      <c r="C52" t="s">
        <v>7446</v>
      </c>
      <c r="D52" t="s">
        <v>7447</v>
      </c>
    </row>
    <row r="53" spans="1:4" x14ac:dyDescent="0.3">
      <c r="A53" t="s">
        <v>7448</v>
      </c>
      <c r="B53" t="s">
        <v>197</v>
      </c>
      <c r="C53" t="s">
        <v>7449</v>
      </c>
      <c r="D53" t="s">
        <v>7450</v>
      </c>
    </row>
    <row r="55" spans="1:4" x14ac:dyDescent="0.3">
      <c r="A55" t="s">
        <v>7451</v>
      </c>
      <c r="B55" t="s">
        <v>238</v>
      </c>
    </row>
    <row r="56" spans="1:4" x14ac:dyDescent="0.3">
      <c r="A56" t="s">
        <v>7452</v>
      </c>
      <c r="B56" t="s">
        <v>7453</v>
      </c>
    </row>
    <row r="57" spans="1:4" x14ac:dyDescent="0.3">
      <c r="A57" t="s">
        <v>7454</v>
      </c>
      <c r="B57" t="s">
        <v>7455</v>
      </c>
    </row>
    <row r="59" spans="1:4" x14ac:dyDescent="0.3">
      <c r="A59" t="s">
        <v>2486</v>
      </c>
      <c r="B59" t="s">
        <v>7456</v>
      </c>
      <c r="C59" t="s">
        <v>7457</v>
      </c>
    </row>
    <row r="60" spans="1:4" x14ac:dyDescent="0.3">
      <c r="A60" t="s">
        <v>7458</v>
      </c>
      <c r="B60" t="s">
        <v>7459</v>
      </c>
      <c r="C60" t="s">
        <v>7460</v>
      </c>
    </row>
    <row r="61" spans="1:4" x14ac:dyDescent="0.3">
      <c r="A61" t="s">
        <v>152</v>
      </c>
      <c r="B61" t="s">
        <v>7461</v>
      </c>
      <c r="C61" t="s">
        <v>7433</v>
      </c>
    </row>
    <row r="62" spans="1:4" x14ac:dyDescent="0.3">
      <c r="A62" t="s">
        <v>135</v>
      </c>
      <c r="B62" t="s">
        <v>7462</v>
      </c>
      <c r="C62" t="s">
        <v>7433</v>
      </c>
    </row>
    <row r="63" spans="1:4" x14ac:dyDescent="0.3">
      <c r="A63" t="s">
        <v>172</v>
      </c>
      <c r="B63" t="s">
        <v>7463</v>
      </c>
      <c r="C63" t="s">
        <v>7464</v>
      </c>
    </row>
    <row r="64" spans="1:4" x14ac:dyDescent="0.3">
      <c r="A64" t="s">
        <v>65</v>
      </c>
      <c r="B64" t="s">
        <v>7465</v>
      </c>
      <c r="C64" t="s">
        <v>197</v>
      </c>
    </row>
    <row r="65" spans="1:4" x14ac:dyDescent="0.3">
      <c r="A65" t="s">
        <v>94</v>
      </c>
      <c r="B65" t="s">
        <v>7466</v>
      </c>
      <c r="C65" t="s">
        <v>197</v>
      </c>
    </row>
    <row r="66" spans="1:4" x14ac:dyDescent="0.3">
      <c r="A66" t="s">
        <v>168</v>
      </c>
      <c r="B66" t="s">
        <v>7467</v>
      </c>
      <c r="C66" t="s">
        <v>7433</v>
      </c>
    </row>
    <row r="68" spans="1:4" x14ac:dyDescent="0.3">
      <c r="A68" t="s">
        <v>7468</v>
      </c>
      <c r="B68" t="s">
        <v>7469</v>
      </c>
      <c r="C68" t="s">
        <v>7470</v>
      </c>
      <c r="D68" t="s">
        <v>1646</v>
      </c>
    </row>
    <row r="69" spans="1:4" x14ac:dyDescent="0.3">
      <c r="A69" t="s">
        <v>146</v>
      </c>
      <c r="B69" t="s">
        <v>7471</v>
      </c>
      <c r="C69" t="s">
        <v>7472</v>
      </c>
    </row>
    <row r="70" spans="1:4" x14ac:dyDescent="0.3">
      <c r="A70" t="s">
        <v>86</v>
      </c>
      <c r="B70" t="s">
        <v>7473</v>
      </c>
      <c r="C70" t="s">
        <v>7474</v>
      </c>
      <c r="D70" t="s">
        <v>7475</v>
      </c>
    </row>
    <row r="71" spans="1:4" x14ac:dyDescent="0.3">
      <c r="A71" t="s">
        <v>81</v>
      </c>
      <c r="B71" t="s">
        <v>7476</v>
      </c>
      <c r="C71" t="s">
        <v>7477</v>
      </c>
      <c r="D71" t="s">
        <v>7478</v>
      </c>
    </row>
    <row r="72" spans="1:4" x14ac:dyDescent="0.3">
      <c r="A72" t="s">
        <v>156</v>
      </c>
      <c r="B72" t="s">
        <v>752</v>
      </c>
      <c r="C72" t="s">
        <v>7479</v>
      </c>
      <c r="D72" t="s">
        <v>7480</v>
      </c>
    </row>
    <row r="74" spans="1:4" x14ac:dyDescent="0.3">
      <c r="A74" t="s">
        <v>7481</v>
      </c>
      <c r="B74" t="s">
        <v>7482</v>
      </c>
      <c r="C74" t="s">
        <v>3966</v>
      </c>
      <c r="D74" t="s">
        <v>274</v>
      </c>
    </row>
    <row r="75" spans="1:4" x14ac:dyDescent="0.3">
      <c r="A75" t="s">
        <v>7483</v>
      </c>
      <c r="B75" t="s">
        <v>5585</v>
      </c>
      <c r="C75" t="s">
        <v>7281</v>
      </c>
      <c r="D75" t="s">
        <v>7484</v>
      </c>
    </row>
    <row r="76" spans="1:4" x14ac:dyDescent="0.3">
      <c r="A76" t="s">
        <v>7485</v>
      </c>
      <c r="B76" t="s">
        <v>7486</v>
      </c>
      <c r="C76" t="s">
        <v>7487</v>
      </c>
      <c r="D76" t="s">
        <v>7488</v>
      </c>
    </row>
    <row r="77" spans="1:4" x14ac:dyDescent="0.3">
      <c r="A77" t="s">
        <v>6075</v>
      </c>
      <c r="B77" t="s">
        <v>6452</v>
      </c>
      <c r="C77" t="s">
        <v>7489</v>
      </c>
      <c r="D77" t="s">
        <v>7488</v>
      </c>
    </row>
    <row r="78" spans="1:4" x14ac:dyDescent="0.3">
      <c r="A78" t="s">
        <v>7490</v>
      </c>
      <c r="B78" t="s">
        <v>370</v>
      </c>
      <c r="C78" t="s">
        <v>7491</v>
      </c>
      <c r="D78" t="s">
        <v>7488</v>
      </c>
    </row>
    <row r="80" spans="1:4" x14ac:dyDescent="0.3">
      <c r="A80" t="s">
        <v>7492</v>
      </c>
      <c r="B80" t="s">
        <v>238</v>
      </c>
      <c r="C80" t="s">
        <v>274</v>
      </c>
    </row>
    <row r="81" spans="1:4" x14ac:dyDescent="0.3">
      <c r="A81" t="s">
        <v>7493</v>
      </c>
      <c r="B81" t="s">
        <v>1376</v>
      </c>
      <c r="C81" t="s">
        <v>41</v>
      </c>
    </row>
    <row r="82" spans="1:4" x14ac:dyDescent="0.3">
      <c r="A82" t="s">
        <v>7494</v>
      </c>
      <c r="B82" t="s">
        <v>7495</v>
      </c>
      <c r="C82" t="s">
        <v>42</v>
      </c>
    </row>
    <row r="83" spans="1:4" x14ac:dyDescent="0.3">
      <c r="A83" t="s">
        <v>7496</v>
      </c>
      <c r="B83" t="s">
        <v>7497</v>
      </c>
      <c r="C83" t="s">
        <v>7498</v>
      </c>
    </row>
    <row r="84" spans="1:4" x14ac:dyDescent="0.3">
      <c r="A84" t="s">
        <v>7499</v>
      </c>
      <c r="B84" t="s">
        <v>7500</v>
      </c>
      <c r="C84" t="s">
        <v>41</v>
      </c>
    </row>
    <row r="86" spans="1:4" x14ac:dyDescent="0.3">
      <c r="A86" t="s">
        <v>273</v>
      </c>
      <c r="B86" t="s">
        <v>5283</v>
      </c>
      <c r="C86" t="s">
        <v>274</v>
      </c>
    </row>
    <row r="87" spans="1:4" x14ac:dyDescent="0.3">
      <c r="A87" t="s">
        <v>7501</v>
      </c>
      <c r="B87" t="s">
        <v>7502</v>
      </c>
      <c r="C87" t="s">
        <v>43</v>
      </c>
    </row>
    <row r="88" spans="1:4" x14ac:dyDescent="0.3">
      <c r="A88" t="s">
        <v>7503</v>
      </c>
      <c r="B88" t="s">
        <v>7504</v>
      </c>
      <c r="C88" t="s">
        <v>7505</v>
      </c>
    </row>
    <row r="89" spans="1:4" x14ac:dyDescent="0.3">
      <c r="A89" t="s">
        <v>7506</v>
      </c>
      <c r="B89" t="s">
        <v>7507</v>
      </c>
      <c r="C89" t="s">
        <v>44</v>
      </c>
    </row>
    <row r="91" spans="1:4" x14ac:dyDescent="0.3">
      <c r="A91" s="25" t="s">
        <v>281</v>
      </c>
      <c r="B91" s="25"/>
      <c r="C91" s="25"/>
      <c r="D91" s="25"/>
    </row>
    <row r="92" spans="1:4" x14ac:dyDescent="0.3">
      <c r="A92" t="s">
        <v>7508</v>
      </c>
    </row>
    <row r="93" spans="1:4" x14ac:dyDescent="0.3">
      <c r="A93" t="s">
        <v>7509</v>
      </c>
    </row>
    <row r="94" spans="1:4" x14ac:dyDescent="0.3">
      <c r="A94" t="s">
        <v>7510</v>
      </c>
    </row>
    <row r="95" spans="1:4" x14ac:dyDescent="0.3">
      <c r="A95" t="s">
        <v>7511</v>
      </c>
    </row>
    <row r="96" spans="1:4" x14ac:dyDescent="0.3">
      <c r="A96" t="s">
        <v>7512</v>
      </c>
    </row>
    <row r="97" spans="1:4" x14ac:dyDescent="0.3">
      <c r="A97" t="s">
        <v>7513</v>
      </c>
    </row>
    <row r="98" spans="1:4" x14ac:dyDescent="0.3">
      <c r="A98" t="s">
        <v>7514</v>
      </c>
    </row>
    <row r="99" spans="1:4" x14ac:dyDescent="0.3">
      <c r="A99" t="s">
        <v>7515</v>
      </c>
    </row>
    <row r="100" spans="1:4" x14ac:dyDescent="0.3">
      <c r="A100" t="s">
        <v>7516</v>
      </c>
    </row>
    <row r="101" spans="1:4" x14ac:dyDescent="0.3">
      <c r="A101" t="s">
        <v>7517</v>
      </c>
    </row>
    <row r="102" spans="1:4" x14ac:dyDescent="0.3">
      <c r="A102" t="s">
        <v>7518</v>
      </c>
    </row>
    <row r="103" spans="1:4" x14ac:dyDescent="0.3">
      <c r="A103" t="s">
        <v>7519</v>
      </c>
    </row>
    <row r="104" spans="1:4" x14ac:dyDescent="0.3">
      <c r="A104" t="s">
        <v>7520</v>
      </c>
    </row>
    <row r="105" spans="1:4" x14ac:dyDescent="0.3">
      <c r="A105" t="s">
        <v>7521</v>
      </c>
    </row>
    <row r="107" spans="1:4" x14ac:dyDescent="0.3">
      <c r="A107" s="25" t="s">
        <v>295</v>
      </c>
      <c r="B107" s="25"/>
      <c r="C107" s="25"/>
      <c r="D107" s="25"/>
    </row>
    <row r="108" spans="1:4" x14ac:dyDescent="0.3">
      <c r="A108" t="s">
        <v>1269</v>
      </c>
      <c r="B108" t="s">
        <v>7522</v>
      </c>
    </row>
  </sheetData>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D116"/>
  <sheetViews>
    <sheetView workbookViewId="0"/>
  </sheetViews>
  <sheetFormatPr defaultRowHeight="14.4" x14ac:dyDescent="0.3"/>
  <cols>
    <col min="1" max="1" width="46" customWidth="1"/>
    <col min="2" max="8" width="15" customWidth="1"/>
  </cols>
  <sheetData>
    <row r="1" spans="1:4" x14ac:dyDescent="0.3">
      <c r="A1" s="24" t="s">
        <v>181</v>
      </c>
      <c r="B1" t="s">
        <v>7523</v>
      </c>
    </row>
    <row r="2" spans="1:4" x14ac:dyDescent="0.3">
      <c r="A2" s="24" t="s">
        <v>183</v>
      </c>
      <c r="B2" t="s">
        <v>7343</v>
      </c>
    </row>
    <row r="4" spans="1:4" x14ac:dyDescent="0.3">
      <c r="A4" s="25" t="s">
        <v>185</v>
      </c>
      <c r="B4" s="25"/>
      <c r="C4" s="25"/>
      <c r="D4" s="25"/>
    </row>
    <row r="6" spans="1:4" x14ac:dyDescent="0.3">
      <c r="A6" t="s">
        <v>7524</v>
      </c>
      <c r="B6" t="s">
        <v>41</v>
      </c>
      <c r="C6" t="s">
        <v>42</v>
      </c>
    </row>
    <row r="7" spans="1:4" x14ac:dyDescent="0.3">
      <c r="A7" t="s">
        <v>7525</v>
      </c>
      <c r="B7" t="s">
        <v>7526</v>
      </c>
      <c r="C7" t="s">
        <v>7527</v>
      </c>
    </row>
    <row r="9" spans="1:4" x14ac:dyDescent="0.3">
      <c r="A9" t="s">
        <v>7528</v>
      </c>
      <c r="B9" t="s">
        <v>41</v>
      </c>
      <c r="C9" t="s">
        <v>42</v>
      </c>
      <c r="D9" t="s">
        <v>189</v>
      </c>
    </row>
    <row r="10" spans="1:4" x14ac:dyDescent="0.3">
      <c r="A10" t="s">
        <v>7529</v>
      </c>
      <c r="B10" t="s">
        <v>197</v>
      </c>
      <c r="C10" t="s">
        <v>7530</v>
      </c>
      <c r="D10" t="s">
        <v>7531</v>
      </c>
    </row>
    <row r="11" spans="1:4" x14ac:dyDescent="0.3">
      <c r="A11" t="s">
        <v>7532</v>
      </c>
      <c r="B11" t="s">
        <v>7533</v>
      </c>
      <c r="C11" t="s">
        <v>197</v>
      </c>
      <c r="D11" t="s">
        <v>7534</v>
      </c>
    </row>
    <row r="12" spans="1:4" x14ac:dyDescent="0.3">
      <c r="A12" t="s">
        <v>7535</v>
      </c>
      <c r="B12" t="s">
        <v>5786</v>
      </c>
      <c r="C12" t="s">
        <v>197</v>
      </c>
      <c r="D12" t="s">
        <v>7536</v>
      </c>
    </row>
    <row r="13" spans="1:4" x14ac:dyDescent="0.3">
      <c r="A13" t="s">
        <v>7537</v>
      </c>
      <c r="B13" t="s">
        <v>5773</v>
      </c>
      <c r="C13" t="s">
        <v>197</v>
      </c>
      <c r="D13" t="s">
        <v>197</v>
      </c>
    </row>
    <row r="15" spans="1:4" x14ac:dyDescent="0.3">
      <c r="A15" t="s">
        <v>6075</v>
      </c>
      <c r="B15" t="s">
        <v>41</v>
      </c>
      <c r="C15" t="s">
        <v>7538</v>
      </c>
      <c r="D15" t="s">
        <v>189</v>
      </c>
    </row>
    <row r="16" spans="1:4" x14ac:dyDescent="0.3">
      <c r="A16" t="s">
        <v>7529</v>
      </c>
      <c r="B16" t="s">
        <v>7539</v>
      </c>
      <c r="C16" t="s">
        <v>7540</v>
      </c>
      <c r="D16" t="s">
        <v>7541</v>
      </c>
    </row>
    <row r="18" spans="1:4" x14ac:dyDescent="0.3">
      <c r="A18" t="s">
        <v>7542</v>
      </c>
      <c r="B18" t="s">
        <v>41</v>
      </c>
      <c r="C18" t="s">
        <v>42</v>
      </c>
    </row>
    <row r="19" spans="1:4" x14ac:dyDescent="0.3">
      <c r="A19" t="s">
        <v>7529</v>
      </c>
      <c r="B19" t="s">
        <v>3836</v>
      </c>
      <c r="C19" t="s">
        <v>7543</v>
      </c>
    </row>
    <row r="20" spans="1:4" x14ac:dyDescent="0.3">
      <c r="A20" t="s">
        <v>143</v>
      </c>
      <c r="B20" t="s">
        <v>7544</v>
      </c>
      <c r="C20" t="s">
        <v>7545</v>
      </c>
    </row>
    <row r="22" spans="1:4" x14ac:dyDescent="0.3">
      <c r="A22" t="s">
        <v>7546</v>
      </c>
      <c r="B22" t="s">
        <v>41</v>
      </c>
    </row>
    <row r="23" spans="1:4" x14ac:dyDescent="0.3">
      <c r="A23" t="s">
        <v>138</v>
      </c>
      <c r="B23" t="s">
        <v>4182</v>
      </c>
    </row>
    <row r="25" spans="1:4" x14ac:dyDescent="0.3">
      <c r="A25" t="s">
        <v>7547</v>
      </c>
      <c r="B25" t="s">
        <v>41</v>
      </c>
      <c r="C25" t="s">
        <v>35</v>
      </c>
      <c r="D25" t="s">
        <v>204</v>
      </c>
    </row>
    <row r="26" spans="1:4" x14ac:dyDescent="0.3">
      <c r="A26" t="s">
        <v>51</v>
      </c>
      <c r="B26" t="s">
        <v>7377</v>
      </c>
      <c r="C26" t="s">
        <v>7378</v>
      </c>
      <c r="D26" t="s">
        <v>7379</v>
      </c>
    </row>
    <row r="27" spans="1:4" x14ac:dyDescent="0.3">
      <c r="A27" t="s">
        <v>52</v>
      </c>
      <c r="B27" t="s">
        <v>7380</v>
      </c>
      <c r="C27" t="s">
        <v>5564</v>
      </c>
      <c r="D27" t="s">
        <v>7548</v>
      </c>
    </row>
    <row r="29" spans="1:4" x14ac:dyDescent="0.3">
      <c r="A29" t="s">
        <v>7549</v>
      </c>
      <c r="B29" t="s">
        <v>42</v>
      </c>
      <c r="C29" t="s">
        <v>36</v>
      </c>
      <c r="D29" t="s">
        <v>204</v>
      </c>
    </row>
    <row r="30" spans="1:4" x14ac:dyDescent="0.3">
      <c r="A30" t="s">
        <v>51</v>
      </c>
      <c r="B30" t="s">
        <v>7550</v>
      </c>
      <c r="C30" t="s">
        <v>5775</v>
      </c>
      <c r="D30" t="s">
        <v>197</v>
      </c>
    </row>
    <row r="31" spans="1:4" x14ac:dyDescent="0.3">
      <c r="A31" t="s">
        <v>52</v>
      </c>
      <c r="B31" t="s">
        <v>5549</v>
      </c>
      <c r="C31" t="s">
        <v>5564</v>
      </c>
      <c r="D31" t="s">
        <v>6788</v>
      </c>
    </row>
    <row r="33" spans="1:4" x14ac:dyDescent="0.3">
      <c r="A33" t="s">
        <v>1288</v>
      </c>
      <c r="B33" t="s">
        <v>41</v>
      </c>
      <c r="C33" t="s">
        <v>42</v>
      </c>
    </row>
    <row r="34" spans="1:4" x14ac:dyDescent="0.3">
      <c r="A34" t="s">
        <v>7551</v>
      </c>
      <c r="B34" t="s">
        <v>7552</v>
      </c>
      <c r="C34" t="s">
        <v>7553</v>
      </c>
    </row>
    <row r="35" spans="1:4" x14ac:dyDescent="0.3">
      <c r="A35" t="s">
        <v>104</v>
      </c>
      <c r="B35" t="s">
        <v>7554</v>
      </c>
      <c r="C35" t="s">
        <v>7555</v>
      </c>
    </row>
    <row r="36" spans="1:4" x14ac:dyDescent="0.3">
      <c r="A36" t="s">
        <v>7556</v>
      </c>
      <c r="B36" t="s">
        <v>7557</v>
      </c>
      <c r="C36" t="s">
        <v>7558</v>
      </c>
    </row>
    <row r="38" spans="1:4" x14ac:dyDescent="0.3">
      <c r="A38" t="s">
        <v>7559</v>
      </c>
      <c r="B38" t="s">
        <v>41</v>
      </c>
      <c r="C38" t="s">
        <v>42</v>
      </c>
    </row>
    <row r="39" spans="1:4" x14ac:dyDescent="0.3">
      <c r="A39" t="s">
        <v>7560</v>
      </c>
      <c r="B39" t="s">
        <v>7561</v>
      </c>
      <c r="C39" t="s">
        <v>7562</v>
      </c>
    </row>
    <row r="40" spans="1:4" x14ac:dyDescent="0.3">
      <c r="A40" t="s">
        <v>66</v>
      </c>
      <c r="B40" t="s">
        <v>7563</v>
      </c>
      <c r="C40" t="s">
        <v>7564</v>
      </c>
    </row>
    <row r="41" spans="1:4" x14ac:dyDescent="0.3">
      <c r="A41" t="s">
        <v>7565</v>
      </c>
      <c r="B41" t="s">
        <v>7566</v>
      </c>
      <c r="C41" t="s">
        <v>7567</v>
      </c>
    </row>
    <row r="42" spans="1:4" x14ac:dyDescent="0.3">
      <c r="A42" t="s">
        <v>7568</v>
      </c>
      <c r="B42" t="s">
        <v>7569</v>
      </c>
      <c r="C42" t="s">
        <v>7570</v>
      </c>
    </row>
    <row r="44" spans="1:4" x14ac:dyDescent="0.3">
      <c r="A44" t="s">
        <v>3312</v>
      </c>
      <c r="B44" t="s">
        <v>41</v>
      </c>
      <c r="C44" t="s">
        <v>35</v>
      </c>
      <c r="D44" t="s">
        <v>42</v>
      </c>
    </row>
    <row r="45" spans="1:4" x14ac:dyDescent="0.3">
      <c r="A45" t="s">
        <v>7571</v>
      </c>
      <c r="B45" t="s">
        <v>7383</v>
      </c>
      <c r="C45" t="s">
        <v>197</v>
      </c>
      <c r="D45" t="s">
        <v>4605</v>
      </c>
    </row>
    <row r="46" spans="1:4" x14ac:dyDescent="0.3">
      <c r="A46" t="s">
        <v>56</v>
      </c>
      <c r="B46" t="s">
        <v>7394</v>
      </c>
      <c r="C46" t="s">
        <v>7395</v>
      </c>
      <c r="D46" t="s">
        <v>7415</v>
      </c>
    </row>
    <row r="47" spans="1:4" x14ac:dyDescent="0.3">
      <c r="A47" t="s">
        <v>74</v>
      </c>
      <c r="B47" t="s">
        <v>3870</v>
      </c>
      <c r="C47" t="s">
        <v>197</v>
      </c>
      <c r="D47" t="s">
        <v>7572</v>
      </c>
    </row>
    <row r="49" spans="1:2" x14ac:dyDescent="0.3">
      <c r="A49" t="s">
        <v>3333</v>
      </c>
      <c r="B49" t="s">
        <v>7573</v>
      </c>
    </row>
    <row r="50" spans="1:2" x14ac:dyDescent="0.3">
      <c r="A50" t="s">
        <v>58</v>
      </c>
      <c r="B50" t="s">
        <v>7574</v>
      </c>
    </row>
    <row r="51" spans="1:2" x14ac:dyDescent="0.3">
      <c r="A51" t="s">
        <v>7575</v>
      </c>
      <c r="B51" t="s">
        <v>7576</v>
      </c>
    </row>
    <row r="52" spans="1:2" x14ac:dyDescent="0.3">
      <c r="A52" t="s">
        <v>7577</v>
      </c>
      <c r="B52" t="s">
        <v>7578</v>
      </c>
    </row>
    <row r="53" spans="1:2" x14ac:dyDescent="0.3">
      <c r="A53" t="s">
        <v>7579</v>
      </c>
      <c r="B53" t="s">
        <v>3724</v>
      </c>
    </row>
    <row r="54" spans="1:2" x14ac:dyDescent="0.3">
      <c r="A54" t="s">
        <v>7580</v>
      </c>
      <c r="B54" t="s">
        <v>7581</v>
      </c>
    </row>
    <row r="55" spans="1:2" x14ac:dyDescent="0.3">
      <c r="A55" t="s">
        <v>7582</v>
      </c>
      <c r="B55" t="s">
        <v>7583</v>
      </c>
    </row>
    <row r="57" spans="1:2" x14ac:dyDescent="0.3">
      <c r="A57" t="s">
        <v>7584</v>
      </c>
    </row>
    <row r="58" spans="1:2" x14ac:dyDescent="0.3">
      <c r="A58" t="s">
        <v>7585</v>
      </c>
      <c r="B58" t="s">
        <v>7586</v>
      </c>
    </row>
    <row r="59" spans="1:2" x14ac:dyDescent="0.3">
      <c r="A59" t="s">
        <v>7587</v>
      </c>
      <c r="B59" t="s">
        <v>7316</v>
      </c>
    </row>
    <row r="60" spans="1:2" x14ac:dyDescent="0.3">
      <c r="A60" t="s">
        <v>7588</v>
      </c>
      <c r="B60" t="s">
        <v>2598</v>
      </c>
    </row>
    <row r="61" spans="1:2" x14ac:dyDescent="0.3">
      <c r="A61" t="s">
        <v>7589</v>
      </c>
      <c r="B61" t="s">
        <v>7590</v>
      </c>
    </row>
    <row r="63" spans="1:2" x14ac:dyDescent="0.3">
      <c r="A63" t="s">
        <v>7591</v>
      </c>
    </row>
    <row r="64" spans="1:2" x14ac:dyDescent="0.3">
      <c r="A64" t="s">
        <v>3019</v>
      </c>
      <c r="B64" t="s">
        <v>368</v>
      </c>
    </row>
    <row r="65" spans="1:4" x14ac:dyDescent="0.3">
      <c r="A65" t="s">
        <v>7592</v>
      </c>
      <c r="B65" t="s">
        <v>1920</v>
      </c>
    </row>
    <row r="66" spans="1:4" x14ac:dyDescent="0.3">
      <c r="A66" t="s">
        <v>7593</v>
      </c>
      <c r="B66" t="s">
        <v>7594</v>
      </c>
    </row>
    <row r="68" spans="1:4" x14ac:dyDescent="0.3">
      <c r="A68" t="s">
        <v>7595</v>
      </c>
      <c r="B68" t="s">
        <v>238</v>
      </c>
      <c r="C68" t="s">
        <v>274</v>
      </c>
    </row>
    <row r="69" spans="1:4" x14ac:dyDescent="0.3">
      <c r="A69" t="s">
        <v>52</v>
      </c>
      <c r="B69" t="s">
        <v>7596</v>
      </c>
      <c r="C69" t="s">
        <v>7597</v>
      </c>
    </row>
    <row r="70" spans="1:4" x14ac:dyDescent="0.3">
      <c r="A70" t="s">
        <v>7598</v>
      </c>
      <c r="B70" t="s">
        <v>7005</v>
      </c>
      <c r="C70" t="s">
        <v>7599</v>
      </c>
    </row>
    <row r="71" spans="1:4" x14ac:dyDescent="0.3">
      <c r="A71" t="s">
        <v>7600</v>
      </c>
      <c r="B71" t="s">
        <v>7098</v>
      </c>
      <c r="C71" t="s">
        <v>44</v>
      </c>
    </row>
    <row r="72" spans="1:4" x14ac:dyDescent="0.3">
      <c r="A72" t="s">
        <v>7601</v>
      </c>
      <c r="B72" t="s">
        <v>7602</v>
      </c>
      <c r="C72" t="s">
        <v>43</v>
      </c>
    </row>
    <row r="73" spans="1:4" x14ac:dyDescent="0.3">
      <c r="A73" t="s">
        <v>7603</v>
      </c>
      <c r="B73" t="s">
        <v>7604</v>
      </c>
      <c r="C73" t="s">
        <v>7106</v>
      </c>
    </row>
    <row r="74" spans="1:4" x14ac:dyDescent="0.3">
      <c r="A74" t="s">
        <v>7605</v>
      </c>
      <c r="B74" t="s">
        <v>43</v>
      </c>
      <c r="C74" t="s">
        <v>43</v>
      </c>
    </row>
    <row r="75" spans="1:4" x14ac:dyDescent="0.3">
      <c r="A75" t="s">
        <v>7606</v>
      </c>
      <c r="B75" t="s">
        <v>7106</v>
      </c>
      <c r="C75" t="s">
        <v>7106</v>
      </c>
    </row>
    <row r="76" spans="1:4" x14ac:dyDescent="0.3">
      <c r="A76" t="s">
        <v>7607</v>
      </c>
      <c r="B76" t="s">
        <v>7608</v>
      </c>
      <c r="C76" t="s">
        <v>44</v>
      </c>
    </row>
    <row r="77" spans="1:4" x14ac:dyDescent="0.3">
      <c r="A77" t="s">
        <v>7609</v>
      </c>
      <c r="B77" t="s">
        <v>2598</v>
      </c>
      <c r="C77" t="s">
        <v>44</v>
      </c>
    </row>
    <row r="79" spans="1:4" x14ac:dyDescent="0.3">
      <c r="A79" s="25" t="s">
        <v>281</v>
      </c>
      <c r="B79" s="25"/>
      <c r="C79" s="25"/>
      <c r="D79" s="25"/>
    </row>
    <row r="80" spans="1:4" x14ac:dyDescent="0.3">
      <c r="A80" t="s">
        <v>7610</v>
      </c>
    </row>
    <row r="81" spans="1:1" x14ac:dyDescent="0.3">
      <c r="A81" t="s">
        <v>7611</v>
      </c>
    </row>
    <row r="82" spans="1:1" x14ac:dyDescent="0.3">
      <c r="A82" t="s">
        <v>7612</v>
      </c>
    </row>
    <row r="83" spans="1:1" x14ac:dyDescent="0.3">
      <c r="A83" t="s">
        <v>7613</v>
      </c>
    </row>
    <row r="84" spans="1:1" x14ac:dyDescent="0.3">
      <c r="A84" t="s">
        <v>7614</v>
      </c>
    </row>
    <row r="85" spans="1:1" x14ac:dyDescent="0.3">
      <c r="A85" t="s">
        <v>7615</v>
      </c>
    </row>
    <row r="86" spans="1:1" x14ac:dyDescent="0.3">
      <c r="A86" t="s">
        <v>7616</v>
      </c>
    </row>
    <row r="87" spans="1:1" x14ac:dyDescent="0.3">
      <c r="A87" t="s">
        <v>7617</v>
      </c>
    </row>
    <row r="88" spans="1:1" x14ac:dyDescent="0.3">
      <c r="A88" t="s">
        <v>7618</v>
      </c>
    </row>
    <row r="89" spans="1:1" x14ac:dyDescent="0.3">
      <c r="A89" t="s">
        <v>7619</v>
      </c>
    </row>
    <row r="90" spans="1:1" x14ac:dyDescent="0.3">
      <c r="A90" t="s">
        <v>7620</v>
      </c>
    </row>
    <row r="91" spans="1:1" x14ac:dyDescent="0.3">
      <c r="A91" t="s">
        <v>7621</v>
      </c>
    </row>
    <row r="92" spans="1:1" x14ac:dyDescent="0.3">
      <c r="A92" t="s">
        <v>7622</v>
      </c>
    </row>
    <row r="93" spans="1:1" x14ac:dyDescent="0.3">
      <c r="A93" t="s">
        <v>7623</v>
      </c>
    </row>
    <row r="94" spans="1:1" x14ac:dyDescent="0.3">
      <c r="A94" t="s">
        <v>7624</v>
      </c>
    </row>
    <row r="95" spans="1:1" x14ac:dyDescent="0.3">
      <c r="A95" t="s">
        <v>7625</v>
      </c>
    </row>
    <row r="96" spans="1:1" x14ac:dyDescent="0.3">
      <c r="A96" t="s">
        <v>7626</v>
      </c>
    </row>
    <row r="98" spans="1:4" x14ac:dyDescent="0.3">
      <c r="A98" s="25" t="s">
        <v>295</v>
      </c>
      <c r="B98" s="25"/>
      <c r="C98" s="25"/>
      <c r="D98" s="25"/>
    </row>
    <row r="99" spans="1:4" x14ac:dyDescent="0.3">
      <c r="A99" t="s">
        <v>296</v>
      </c>
      <c r="B99" t="s">
        <v>7627</v>
      </c>
      <c r="C99" t="s">
        <v>7628</v>
      </c>
    </row>
    <row r="100" spans="1:4" x14ac:dyDescent="0.3">
      <c r="A100" t="s">
        <v>299</v>
      </c>
      <c r="B100" t="s">
        <v>7629</v>
      </c>
    </row>
    <row r="101" spans="1:4" x14ac:dyDescent="0.3">
      <c r="A101" t="s">
        <v>301</v>
      </c>
      <c r="B101" t="s">
        <v>7630</v>
      </c>
    </row>
    <row r="102" spans="1:4" x14ac:dyDescent="0.3">
      <c r="A102" t="s">
        <v>303</v>
      </c>
      <c r="B102" t="s">
        <v>7631</v>
      </c>
      <c r="C102" t="s">
        <v>2931</v>
      </c>
    </row>
    <row r="103" spans="1:4" x14ac:dyDescent="0.3">
      <c r="A103" t="s">
        <v>299</v>
      </c>
      <c r="B103" t="s">
        <v>7632</v>
      </c>
    </row>
    <row r="104" spans="1:4" x14ac:dyDescent="0.3">
      <c r="A104" t="s">
        <v>301</v>
      </c>
      <c r="B104" t="s">
        <v>7633</v>
      </c>
    </row>
    <row r="105" spans="1:4" x14ac:dyDescent="0.3">
      <c r="A105" t="s">
        <v>307</v>
      </c>
      <c r="B105" t="s">
        <v>7634</v>
      </c>
      <c r="C105" t="s">
        <v>2941</v>
      </c>
    </row>
    <row r="106" spans="1:4" x14ac:dyDescent="0.3">
      <c r="A106" t="s">
        <v>299</v>
      </c>
      <c r="B106" t="s">
        <v>7635</v>
      </c>
    </row>
    <row r="107" spans="1:4" x14ac:dyDescent="0.3">
      <c r="A107" t="s">
        <v>301</v>
      </c>
      <c r="B107" t="s">
        <v>7636</v>
      </c>
    </row>
    <row r="108" spans="1:4" x14ac:dyDescent="0.3">
      <c r="A108" t="s">
        <v>311</v>
      </c>
      <c r="B108" t="s">
        <v>7637</v>
      </c>
      <c r="C108" t="s">
        <v>2945</v>
      </c>
    </row>
    <row r="109" spans="1:4" x14ac:dyDescent="0.3">
      <c r="A109" t="s">
        <v>299</v>
      </c>
      <c r="B109" t="s">
        <v>7638</v>
      </c>
    </row>
    <row r="110" spans="1:4" x14ac:dyDescent="0.3">
      <c r="A110" t="s">
        <v>301</v>
      </c>
      <c r="B110" t="s">
        <v>7639</v>
      </c>
    </row>
    <row r="111" spans="1:4" x14ac:dyDescent="0.3">
      <c r="A111" t="s">
        <v>316</v>
      </c>
      <c r="B111" t="s">
        <v>7640</v>
      </c>
      <c r="C111" t="s">
        <v>6274</v>
      </c>
    </row>
    <row r="112" spans="1:4" x14ac:dyDescent="0.3">
      <c r="A112" t="s">
        <v>299</v>
      </c>
      <c r="B112" t="s">
        <v>7641</v>
      </c>
    </row>
    <row r="113" spans="1:3" x14ac:dyDescent="0.3">
      <c r="A113" t="s">
        <v>301</v>
      </c>
      <c r="B113" t="s">
        <v>7642</v>
      </c>
    </row>
    <row r="114" spans="1:3" x14ac:dyDescent="0.3">
      <c r="A114" t="s">
        <v>320</v>
      </c>
      <c r="B114" t="s">
        <v>7643</v>
      </c>
      <c r="C114" t="s">
        <v>6293</v>
      </c>
    </row>
    <row r="115" spans="1:3" x14ac:dyDescent="0.3">
      <c r="A115" t="s">
        <v>299</v>
      </c>
      <c r="B115" t="s">
        <v>7644</v>
      </c>
    </row>
    <row r="116" spans="1:3" x14ac:dyDescent="0.3">
      <c r="A116" t="s">
        <v>301</v>
      </c>
      <c r="B116" t="s">
        <v>7645</v>
      </c>
    </row>
  </sheetData>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C147"/>
  <sheetViews>
    <sheetView workbookViewId="0"/>
  </sheetViews>
  <sheetFormatPr defaultRowHeight="14.4" x14ac:dyDescent="0.3"/>
  <cols>
    <col min="1" max="1" width="46" customWidth="1"/>
    <col min="2" max="8" width="15" customWidth="1"/>
  </cols>
  <sheetData>
    <row r="1" spans="1:3" x14ac:dyDescent="0.3">
      <c r="A1" s="24" t="s">
        <v>181</v>
      </c>
      <c r="B1" t="s">
        <v>5975</v>
      </c>
    </row>
    <row r="2" spans="1:3" x14ac:dyDescent="0.3">
      <c r="A2" s="24" t="s">
        <v>183</v>
      </c>
      <c r="B2" t="s">
        <v>7646</v>
      </c>
    </row>
    <row r="4" spans="1:3" x14ac:dyDescent="0.3">
      <c r="A4" s="25" t="s">
        <v>185</v>
      </c>
      <c r="B4" s="25"/>
      <c r="C4" s="25"/>
    </row>
    <row r="6" spans="1:3" x14ac:dyDescent="0.3">
      <c r="A6" t="s">
        <v>7647</v>
      </c>
      <c r="B6" t="s">
        <v>238</v>
      </c>
      <c r="C6" t="s">
        <v>274</v>
      </c>
    </row>
    <row r="7" spans="1:3" x14ac:dyDescent="0.3">
      <c r="A7" t="s">
        <v>7648</v>
      </c>
      <c r="B7" t="s">
        <v>191</v>
      </c>
      <c r="C7" t="s">
        <v>42</v>
      </c>
    </row>
    <row r="8" spans="1:3" x14ac:dyDescent="0.3">
      <c r="A8" t="s">
        <v>7649</v>
      </c>
      <c r="B8" t="s">
        <v>884</v>
      </c>
      <c r="C8" t="s">
        <v>42</v>
      </c>
    </row>
    <row r="10" spans="1:3" x14ac:dyDescent="0.3">
      <c r="A10" t="s">
        <v>7528</v>
      </c>
      <c r="B10" t="s">
        <v>238</v>
      </c>
      <c r="C10" t="s">
        <v>274</v>
      </c>
    </row>
    <row r="11" spans="1:3" x14ac:dyDescent="0.3">
      <c r="A11" t="s">
        <v>7650</v>
      </c>
      <c r="B11" t="s">
        <v>7651</v>
      </c>
      <c r="C11" t="s">
        <v>7652</v>
      </c>
    </row>
    <row r="12" spans="1:3" x14ac:dyDescent="0.3">
      <c r="A12" t="s">
        <v>7653</v>
      </c>
      <c r="B12" t="s">
        <v>7654</v>
      </c>
      <c r="C12" t="s">
        <v>7655</v>
      </c>
    </row>
    <row r="13" spans="1:3" x14ac:dyDescent="0.3">
      <c r="A13" t="s">
        <v>7656</v>
      </c>
      <c r="B13" t="s">
        <v>7657</v>
      </c>
      <c r="C13" t="s">
        <v>37</v>
      </c>
    </row>
    <row r="14" spans="1:3" x14ac:dyDescent="0.3">
      <c r="A14" t="s">
        <v>7658</v>
      </c>
      <c r="B14" t="s">
        <v>4493</v>
      </c>
      <c r="C14" t="s">
        <v>7659</v>
      </c>
    </row>
    <row r="15" spans="1:3" x14ac:dyDescent="0.3">
      <c r="A15" t="s">
        <v>7660</v>
      </c>
      <c r="B15" t="s">
        <v>7661</v>
      </c>
      <c r="C15" t="s">
        <v>6541</v>
      </c>
    </row>
    <row r="16" spans="1:3" x14ac:dyDescent="0.3">
      <c r="A16" t="s">
        <v>7662</v>
      </c>
      <c r="B16" t="s">
        <v>7663</v>
      </c>
      <c r="C16" t="s">
        <v>44</v>
      </c>
    </row>
    <row r="17" spans="1:3" x14ac:dyDescent="0.3">
      <c r="A17" t="s">
        <v>7664</v>
      </c>
      <c r="B17" t="s">
        <v>7005</v>
      </c>
      <c r="C17" t="s">
        <v>6541</v>
      </c>
    </row>
    <row r="18" spans="1:3" x14ac:dyDescent="0.3">
      <c r="A18" t="s">
        <v>7665</v>
      </c>
      <c r="B18" t="s">
        <v>7666</v>
      </c>
      <c r="C18" t="s">
        <v>44</v>
      </c>
    </row>
    <row r="19" spans="1:3" x14ac:dyDescent="0.3">
      <c r="A19" t="s">
        <v>7667</v>
      </c>
      <c r="B19" t="s">
        <v>7668</v>
      </c>
      <c r="C19" t="s">
        <v>6541</v>
      </c>
    </row>
    <row r="21" spans="1:3" x14ac:dyDescent="0.3">
      <c r="A21" t="s">
        <v>6075</v>
      </c>
      <c r="B21" t="s">
        <v>238</v>
      </c>
      <c r="C21" t="s">
        <v>274</v>
      </c>
    </row>
    <row r="22" spans="1:3" x14ac:dyDescent="0.3">
      <c r="A22" t="s">
        <v>7669</v>
      </c>
      <c r="B22" t="s">
        <v>7670</v>
      </c>
      <c r="C22" t="s">
        <v>7671</v>
      </c>
    </row>
    <row r="23" spans="1:3" x14ac:dyDescent="0.3">
      <c r="A23" t="s">
        <v>7672</v>
      </c>
      <c r="B23" t="s">
        <v>7608</v>
      </c>
      <c r="C23" t="s">
        <v>7673</v>
      </c>
    </row>
    <row r="24" spans="1:3" x14ac:dyDescent="0.3">
      <c r="A24" t="s">
        <v>7674</v>
      </c>
      <c r="B24" t="s">
        <v>7675</v>
      </c>
      <c r="C24" t="s">
        <v>6541</v>
      </c>
    </row>
    <row r="26" spans="1:3" x14ac:dyDescent="0.3">
      <c r="A26" t="s">
        <v>7676</v>
      </c>
      <c r="B26" t="s">
        <v>238</v>
      </c>
    </row>
    <row r="27" spans="1:3" x14ac:dyDescent="0.3">
      <c r="A27" t="s">
        <v>7677</v>
      </c>
      <c r="B27" t="s">
        <v>6837</v>
      </c>
    </row>
    <row r="28" spans="1:3" x14ac:dyDescent="0.3">
      <c r="A28" t="s">
        <v>7678</v>
      </c>
      <c r="B28" t="s">
        <v>7679</v>
      </c>
    </row>
    <row r="30" spans="1:3" x14ac:dyDescent="0.3">
      <c r="A30" t="s">
        <v>3438</v>
      </c>
      <c r="B30" t="s">
        <v>238</v>
      </c>
      <c r="C30" t="s">
        <v>274</v>
      </c>
    </row>
    <row r="31" spans="1:3" x14ac:dyDescent="0.3">
      <c r="A31" t="s">
        <v>7680</v>
      </c>
      <c r="B31" t="s">
        <v>7681</v>
      </c>
      <c r="C31" t="s">
        <v>6541</v>
      </c>
    </row>
    <row r="32" spans="1:3" x14ac:dyDescent="0.3">
      <c r="A32" t="s">
        <v>7682</v>
      </c>
      <c r="B32" t="s">
        <v>6068</v>
      </c>
      <c r="C32" t="s">
        <v>6541</v>
      </c>
    </row>
    <row r="33" spans="1:3" x14ac:dyDescent="0.3">
      <c r="A33" t="s">
        <v>7683</v>
      </c>
      <c r="B33" t="s">
        <v>808</v>
      </c>
      <c r="C33" t="s">
        <v>6541</v>
      </c>
    </row>
    <row r="35" spans="1:3" x14ac:dyDescent="0.3">
      <c r="A35" t="s">
        <v>7684</v>
      </c>
      <c r="B35" t="s">
        <v>238</v>
      </c>
    </row>
    <row r="36" spans="1:3" x14ac:dyDescent="0.3">
      <c r="A36" t="s">
        <v>7685</v>
      </c>
      <c r="B36" t="s">
        <v>2972</v>
      </c>
    </row>
    <row r="37" spans="1:3" x14ac:dyDescent="0.3">
      <c r="A37" t="s">
        <v>7686</v>
      </c>
      <c r="B37" t="s">
        <v>7687</v>
      </c>
    </row>
    <row r="39" spans="1:3" x14ac:dyDescent="0.3">
      <c r="A39" t="s">
        <v>7688</v>
      </c>
      <c r="B39" t="s">
        <v>238</v>
      </c>
      <c r="C39" t="s">
        <v>274</v>
      </c>
    </row>
    <row r="40" spans="1:3" x14ac:dyDescent="0.3">
      <c r="A40" t="s">
        <v>7689</v>
      </c>
      <c r="B40" t="s">
        <v>7690</v>
      </c>
      <c r="C40" t="s">
        <v>6541</v>
      </c>
    </row>
    <row r="41" spans="1:3" x14ac:dyDescent="0.3">
      <c r="A41" t="s">
        <v>7691</v>
      </c>
      <c r="B41" t="s">
        <v>7692</v>
      </c>
      <c r="C41" t="s">
        <v>7693</v>
      </c>
    </row>
    <row r="42" spans="1:3" x14ac:dyDescent="0.3">
      <c r="A42" t="s">
        <v>7694</v>
      </c>
      <c r="B42" t="s">
        <v>7581</v>
      </c>
      <c r="C42" t="s">
        <v>41</v>
      </c>
    </row>
    <row r="43" spans="1:3" x14ac:dyDescent="0.3">
      <c r="A43" t="s">
        <v>7695</v>
      </c>
      <c r="B43" t="s">
        <v>7583</v>
      </c>
      <c r="C43" t="s">
        <v>6541</v>
      </c>
    </row>
    <row r="45" spans="1:3" x14ac:dyDescent="0.3">
      <c r="A45" t="s">
        <v>6235</v>
      </c>
      <c r="B45" t="s">
        <v>238</v>
      </c>
      <c r="C45" t="s">
        <v>274</v>
      </c>
    </row>
    <row r="46" spans="1:3" x14ac:dyDescent="0.3">
      <c r="A46" t="s">
        <v>52</v>
      </c>
      <c r="B46" t="s">
        <v>7696</v>
      </c>
      <c r="C46" t="s">
        <v>7697</v>
      </c>
    </row>
    <row r="47" spans="1:3" x14ac:dyDescent="0.3">
      <c r="A47" t="s">
        <v>7598</v>
      </c>
      <c r="B47" t="s">
        <v>7698</v>
      </c>
      <c r="C47" t="s">
        <v>7699</v>
      </c>
    </row>
    <row r="48" spans="1:3" x14ac:dyDescent="0.3">
      <c r="A48" t="s">
        <v>7700</v>
      </c>
      <c r="B48" t="s">
        <v>7701</v>
      </c>
      <c r="C48" t="s">
        <v>7702</v>
      </c>
    </row>
    <row r="49" spans="1:3" x14ac:dyDescent="0.3">
      <c r="A49" t="s">
        <v>7703</v>
      </c>
      <c r="B49" t="s">
        <v>7704</v>
      </c>
      <c r="C49" t="s">
        <v>43</v>
      </c>
    </row>
    <row r="50" spans="1:3" x14ac:dyDescent="0.3">
      <c r="A50" t="s">
        <v>7705</v>
      </c>
      <c r="B50" t="s">
        <v>7706</v>
      </c>
      <c r="C50" t="s">
        <v>7505</v>
      </c>
    </row>
    <row r="51" spans="1:3" x14ac:dyDescent="0.3">
      <c r="A51" t="s">
        <v>7707</v>
      </c>
      <c r="B51" t="s">
        <v>7708</v>
      </c>
      <c r="C51" t="s">
        <v>7709</v>
      </c>
    </row>
    <row r="52" spans="1:3" x14ac:dyDescent="0.3">
      <c r="A52" t="s">
        <v>7710</v>
      </c>
      <c r="B52" t="s">
        <v>7711</v>
      </c>
      <c r="C52" t="s">
        <v>44</v>
      </c>
    </row>
    <row r="53" spans="1:3" x14ac:dyDescent="0.3">
      <c r="A53" t="s">
        <v>7712</v>
      </c>
      <c r="B53" t="s">
        <v>7713</v>
      </c>
      <c r="C53" t="s">
        <v>44</v>
      </c>
    </row>
    <row r="55" spans="1:3" x14ac:dyDescent="0.3">
      <c r="A55" s="25" t="s">
        <v>281</v>
      </c>
      <c r="B55" s="25"/>
      <c r="C55" s="25"/>
    </row>
    <row r="56" spans="1:3" x14ac:dyDescent="0.3">
      <c r="A56" t="s">
        <v>7714</v>
      </c>
    </row>
    <row r="57" spans="1:3" x14ac:dyDescent="0.3">
      <c r="A57" t="s">
        <v>7715</v>
      </c>
    </row>
    <row r="58" spans="1:3" x14ac:dyDescent="0.3">
      <c r="A58" t="s">
        <v>7716</v>
      </c>
    </row>
    <row r="59" spans="1:3" x14ac:dyDescent="0.3">
      <c r="A59" t="s">
        <v>7717</v>
      </c>
    </row>
    <row r="60" spans="1:3" x14ac:dyDescent="0.3">
      <c r="A60" t="s">
        <v>7718</v>
      </c>
    </row>
    <row r="61" spans="1:3" x14ac:dyDescent="0.3">
      <c r="A61" t="s">
        <v>7719</v>
      </c>
    </row>
    <row r="62" spans="1:3" x14ac:dyDescent="0.3">
      <c r="A62" t="s">
        <v>7720</v>
      </c>
    </row>
    <row r="63" spans="1:3" x14ac:dyDescent="0.3">
      <c r="A63" t="s">
        <v>7721</v>
      </c>
    </row>
    <row r="64" spans="1:3" x14ac:dyDescent="0.3">
      <c r="A64" t="s">
        <v>7722</v>
      </c>
    </row>
    <row r="65" spans="1:1" x14ac:dyDescent="0.3">
      <c r="A65" t="s">
        <v>7723</v>
      </c>
    </row>
    <row r="66" spans="1:1" x14ac:dyDescent="0.3">
      <c r="A66" t="s">
        <v>7724</v>
      </c>
    </row>
    <row r="67" spans="1:1" x14ac:dyDescent="0.3">
      <c r="A67" t="s">
        <v>7725</v>
      </c>
    </row>
    <row r="68" spans="1:1" x14ac:dyDescent="0.3">
      <c r="A68" t="s">
        <v>7726</v>
      </c>
    </row>
    <row r="69" spans="1:1" x14ac:dyDescent="0.3">
      <c r="A69" t="s">
        <v>7727</v>
      </c>
    </row>
    <row r="70" spans="1:1" x14ac:dyDescent="0.3">
      <c r="A70" t="s">
        <v>7728</v>
      </c>
    </row>
    <row r="71" spans="1:1" x14ac:dyDescent="0.3">
      <c r="A71" t="s">
        <v>7729</v>
      </c>
    </row>
    <row r="72" spans="1:1" x14ac:dyDescent="0.3">
      <c r="A72" t="s">
        <v>7730</v>
      </c>
    </row>
    <row r="73" spans="1:1" x14ac:dyDescent="0.3">
      <c r="A73" t="s">
        <v>7731</v>
      </c>
    </row>
    <row r="74" spans="1:1" x14ac:dyDescent="0.3">
      <c r="A74" t="s">
        <v>7732</v>
      </c>
    </row>
    <row r="75" spans="1:1" x14ac:dyDescent="0.3">
      <c r="A75" t="s">
        <v>7733</v>
      </c>
    </row>
    <row r="76" spans="1:1" x14ac:dyDescent="0.3">
      <c r="A76" t="s">
        <v>7734</v>
      </c>
    </row>
    <row r="77" spans="1:1" x14ac:dyDescent="0.3">
      <c r="A77" t="s">
        <v>7735</v>
      </c>
    </row>
    <row r="78" spans="1:1" x14ac:dyDescent="0.3">
      <c r="A78" t="s">
        <v>7736</v>
      </c>
    </row>
    <row r="79" spans="1:1" x14ac:dyDescent="0.3">
      <c r="A79" t="s">
        <v>7737</v>
      </c>
    </row>
    <row r="81" spans="1:3" x14ac:dyDescent="0.3">
      <c r="A81" s="25" t="s">
        <v>295</v>
      </c>
      <c r="B81" s="25"/>
      <c r="C81" s="25"/>
    </row>
    <row r="82" spans="1:3" x14ac:dyDescent="0.3">
      <c r="A82" t="s">
        <v>296</v>
      </c>
      <c r="B82" t="s">
        <v>7738</v>
      </c>
      <c r="C82" t="s">
        <v>2931</v>
      </c>
    </row>
    <row r="83" spans="1:3" x14ac:dyDescent="0.3">
      <c r="A83" t="s">
        <v>299</v>
      </c>
      <c r="B83" t="s">
        <v>7739</v>
      </c>
    </row>
    <row r="84" spans="1:3" x14ac:dyDescent="0.3">
      <c r="A84" t="s">
        <v>301</v>
      </c>
      <c r="B84" t="s">
        <v>7740</v>
      </c>
    </row>
    <row r="85" spans="1:3" x14ac:dyDescent="0.3">
      <c r="A85" t="s">
        <v>303</v>
      </c>
      <c r="B85" t="s">
        <v>7741</v>
      </c>
      <c r="C85" t="s">
        <v>2931</v>
      </c>
    </row>
    <row r="86" spans="1:3" x14ac:dyDescent="0.3">
      <c r="A86" t="s">
        <v>299</v>
      </c>
      <c r="B86" t="s">
        <v>7742</v>
      </c>
    </row>
    <row r="87" spans="1:3" x14ac:dyDescent="0.3">
      <c r="A87" t="s">
        <v>301</v>
      </c>
      <c r="B87" t="s">
        <v>7743</v>
      </c>
    </row>
    <row r="88" spans="1:3" x14ac:dyDescent="0.3">
      <c r="A88" t="s">
        <v>307</v>
      </c>
      <c r="B88" t="s">
        <v>7744</v>
      </c>
      <c r="C88" t="s">
        <v>2931</v>
      </c>
    </row>
    <row r="89" spans="1:3" x14ac:dyDescent="0.3">
      <c r="A89" t="s">
        <v>299</v>
      </c>
      <c r="B89" t="s">
        <v>7745</v>
      </c>
    </row>
    <row r="90" spans="1:3" x14ac:dyDescent="0.3">
      <c r="A90" t="s">
        <v>301</v>
      </c>
      <c r="B90" t="s">
        <v>7746</v>
      </c>
    </row>
    <row r="91" spans="1:3" x14ac:dyDescent="0.3">
      <c r="A91" t="s">
        <v>311</v>
      </c>
      <c r="B91" t="s">
        <v>7747</v>
      </c>
      <c r="C91" t="s">
        <v>2931</v>
      </c>
    </row>
    <row r="92" spans="1:3" x14ac:dyDescent="0.3">
      <c r="A92" t="s">
        <v>299</v>
      </c>
      <c r="B92" t="s">
        <v>7748</v>
      </c>
    </row>
    <row r="93" spans="1:3" x14ac:dyDescent="0.3">
      <c r="A93" t="s">
        <v>301</v>
      </c>
      <c r="B93" t="s">
        <v>7749</v>
      </c>
    </row>
    <row r="94" spans="1:3" x14ac:dyDescent="0.3">
      <c r="A94" t="s">
        <v>316</v>
      </c>
      <c r="B94" t="s">
        <v>7750</v>
      </c>
      <c r="C94" t="s">
        <v>2931</v>
      </c>
    </row>
    <row r="95" spans="1:3" x14ac:dyDescent="0.3">
      <c r="A95" t="s">
        <v>299</v>
      </c>
      <c r="B95" t="s">
        <v>7751</v>
      </c>
    </row>
    <row r="96" spans="1:3" x14ac:dyDescent="0.3">
      <c r="A96" t="s">
        <v>301</v>
      </c>
      <c r="B96" t="s">
        <v>7752</v>
      </c>
    </row>
    <row r="97" spans="1:3" x14ac:dyDescent="0.3">
      <c r="A97" t="s">
        <v>320</v>
      </c>
      <c r="B97" t="s">
        <v>7753</v>
      </c>
      <c r="C97" t="s">
        <v>2931</v>
      </c>
    </row>
    <row r="98" spans="1:3" x14ac:dyDescent="0.3">
      <c r="A98" t="s">
        <v>299</v>
      </c>
      <c r="B98" t="s">
        <v>7754</v>
      </c>
    </row>
    <row r="99" spans="1:3" x14ac:dyDescent="0.3">
      <c r="A99" t="s">
        <v>301</v>
      </c>
      <c r="B99" t="s">
        <v>7755</v>
      </c>
    </row>
    <row r="100" spans="1:3" x14ac:dyDescent="0.3">
      <c r="A100" t="s">
        <v>324</v>
      </c>
      <c r="B100" t="s">
        <v>7756</v>
      </c>
      <c r="C100" t="s">
        <v>2931</v>
      </c>
    </row>
    <row r="101" spans="1:3" x14ac:dyDescent="0.3">
      <c r="A101" t="s">
        <v>299</v>
      </c>
      <c r="B101" t="s">
        <v>7757</v>
      </c>
    </row>
    <row r="102" spans="1:3" x14ac:dyDescent="0.3">
      <c r="A102" t="s">
        <v>301</v>
      </c>
      <c r="B102" t="s">
        <v>7758</v>
      </c>
    </row>
    <row r="103" spans="1:3" x14ac:dyDescent="0.3">
      <c r="A103" t="s">
        <v>328</v>
      </c>
      <c r="B103" t="s">
        <v>7759</v>
      </c>
      <c r="C103" t="s">
        <v>2931</v>
      </c>
    </row>
    <row r="104" spans="1:3" x14ac:dyDescent="0.3">
      <c r="A104" t="s">
        <v>299</v>
      </c>
      <c r="B104" t="s">
        <v>7760</v>
      </c>
    </row>
    <row r="105" spans="1:3" x14ac:dyDescent="0.3">
      <c r="A105" t="s">
        <v>301</v>
      </c>
      <c r="B105" t="s">
        <v>7761</v>
      </c>
    </row>
    <row r="106" spans="1:3" x14ac:dyDescent="0.3">
      <c r="A106" t="s">
        <v>333</v>
      </c>
      <c r="B106" t="s">
        <v>7762</v>
      </c>
      <c r="C106" t="s">
        <v>2931</v>
      </c>
    </row>
    <row r="107" spans="1:3" x14ac:dyDescent="0.3">
      <c r="A107" t="s">
        <v>299</v>
      </c>
      <c r="B107" t="s">
        <v>7763</v>
      </c>
    </row>
    <row r="108" spans="1:3" x14ac:dyDescent="0.3">
      <c r="A108" t="s">
        <v>301</v>
      </c>
      <c r="B108" t="s">
        <v>7764</v>
      </c>
    </row>
    <row r="109" spans="1:3" x14ac:dyDescent="0.3">
      <c r="A109" t="s">
        <v>337</v>
      </c>
      <c r="B109" t="s">
        <v>7765</v>
      </c>
      <c r="C109" t="s">
        <v>2931</v>
      </c>
    </row>
    <row r="110" spans="1:3" x14ac:dyDescent="0.3">
      <c r="A110" t="s">
        <v>299</v>
      </c>
      <c r="B110" t="s">
        <v>7766</v>
      </c>
    </row>
    <row r="111" spans="1:3" x14ac:dyDescent="0.3">
      <c r="A111" t="s">
        <v>301</v>
      </c>
      <c r="B111" t="s">
        <v>7767</v>
      </c>
    </row>
    <row r="112" spans="1:3" x14ac:dyDescent="0.3">
      <c r="A112" t="s">
        <v>341</v>
      </c>
      <c r="B112" t="s">
        <v>7768</v>
      </c>
      <c r="C112" t="s">
        <v>2931</v>
      </c>
    </row>
    <row r="113" spans="1:3" x14ac:dyDescent="0.3">
      <c r="A113" t="s">
        <v>299</v>
      </c>
      <c r="B113" t="s">
        <v>7769</v>
      </c>
    </row>
    <row r="114" spans="1:3" x14ac:dyDescent="0.3">
      <c r="A114" t="s">
        <v>301</v>
      </c>
      <c r="B114" t="s">
        <v>7770</v>
      </c>
    </row>
    <row r="115" spans="1:3" x14ac:dyDescent="0.3">
      <c r="A115" t="s">
        <v>346</v>
      </c>
      <c r="B115" t="s">
        <v>7771</v>
      </c>
      <c r="C115" t="s">
        <v>2931</v>
      </c>
    </row>
    <row r="116" spans="1:3" x14ac:dyDescent="0.3">
      <c r="A116" t="s">
        <v>299</v>
      </c>
      <c r="B116" t="s">
        <v>7772</v>
      </c>
    </row>
    <row r="117" spans="1:3" x14ac:dyDescent="0.3">
      <c r="A117" t="s">
        <v>301</v>
      </c>
      <c r="B117" t="s">
        <v>7773</v>
      </c>
    </row>
    <row r="118" spans="1:3" x14ac:dyDescent="0.3">
      <c r="A118" t="s">
        <v>1453</v>
      </c>
      <c r="B118" t="s">
        <v>7774</v>
      </c>
      <c r="C118" t="s">
        <v>2931</v>
      </c>
    </row>
    <row r="119" spans="1:3" x14ac:dyDescent="0.3">
      <c r="A119" t="s">
        <v>299</v>
      </c>
      <c r="B119" t="s">
        <v>7775</v>
      </c>
    </row>
    <row r="120" spans="1:3" x14ac:dyDescent="0.3">
      <c r="A120" t="s">
        <v>301</v>
      </c>
      <c r="B120" t="s">
        <v>7776</v>
      </c>
    </row>
    <row r="121" spans="1:3" x14ac:dyDescent="0.3">
      <c r="A121" t="s">
        <v>1457</v>
      </c>
      <c r="B121" t="s">
        <v>7777</v>
      </c>
      <c r="C121" t="s">
        <v>2931</v>
      </c>
    </row>
    <row r="122" spans="1:3" x14ac:dyDescent="0.3">
      <c r="A122" t="s">
        <v>299</v>
      </c>
      <c r="B122" t="s">
        <v>7778</v>
      </c>
    </row>
    <row r="123" spans="1:3" x14ac:dyDescent="0.3">
      <c r="A123" t="s">
        <v>301</v>
      </c>
      <c r="B123" t="s">
        <v>7779</v>
      </c>
    </row>
    <row r="124" spans="1:3" x14ac:dyDescent="0.3">
      <c r="A124" t="s">
        <v>1461</v>
      </c>
      <c r="B124" t="s">
        <v>7780</v>
      </c>
      <c r="C124" t="s">
        <v>2931</v>
      </c>
    </row>
    <row r="125" spans="1:3" x14ac:dyDescent="0.3">
      <c r="A125" t="s">
        <v>299</v>
      </c>
      <c r="B125" t="s">
        <v>7781</v>
      </c>
    </row>
    <row r="126" spans="1:3" x14ac:dyDescent="0.3">
      <c r="A126" t="s">
        <v>301</v>
      </c>
      <c r="B126" t="s">
        <v>7782</v>
      </c>
    </row>
    <row r="127" spans="1:3" x14ac:dyDescent="0.3">
      <c r="A127" t="s">
        <v>1465</v>
      </c>
      <c r="B127" t="s">
        <v>7783</v>
      </c>
      <c r="C127" t="s">
        <v>2931</v>
      </c>
    </row>
    <row r="128" spans="1:3" x14ac:dyDescent="0.3">
      <c r="A128" t="s">
        <v>299</v>
      </c>
      <c r="B128" t="s">
        <v>7784</v>
      </c>
    </row>
    <row r="129" spans="1:3" x14ac:dyDescent="0.3">
      <c r="A129" t="s">
        <v>301</v>
      </c>
      <c r="B129" t="s">
        <v>7785</v>
      </c>
    </row>
    <row r="130" spans="1:3" x14ac:dyDescent="0.3">
      <c r="A130" t="s">
        <v>1469</v>
      </c>
      <c r="B130" t="s">
        <v>7786</v>
      </c>
      <c r="C130" t="s">
        <v>2931</v>
      </c>
    </row>
    <row r="131" spans="1:3" x14ac:dyDescent="0.3">
      <c r="A131" t="s">
        <v>299</v>
      </c>
      <c r="B131" t="s">
        <v>7787</v>
      </c>
    </row>
    <row r="132" spans="1:3" x14ac:dyDescent="0.3">
      <c r="A132" t="s">
        <v>301</v>
      </c>
      <c r="B132" t="s">
        <v>7788</v>
      </c>
    </row>
    <row r="133" spans="1:3" x14ac:dyDescent="0.3">
      <c r="A133" t="s">
        <v>1473</v>
      </c>
      <c r="B133" t="s">
        <v>7789</v>
      </c>
      <c r="C133" t="s">
        <v>2931</v>
      </c>
    </row>
    <row r="134" spans="1:3" x14ac:dyDescent="0.3">
      <c r="A134" t="s">
        <v>299</v>
      </c>
      <c r="B134" t="s">
        <v>7790</v>
      </c>
    </row>
    <row r="135" spans="1:3" x14ac:dyDescent="0.3">
      <c r="A135" t="s">
        <v>301</v>
      </c>
      <c r="B135" t="s">
        <v>7791</v>
      </c>
    </row>
    <row r="136" spans="1:3" x14ac:dyDescent="0.3">
      <c r="A136" t="s">
        <v>1477</v>
      </c>
      <c r="B136" t="s">
        <v>7792</v>
      </c>
      <c r="C136" t="s">
        <v>2931</v>
      </c>
    </row>
    <row r="137" spans="1:3" x14ac:dyDescent="0.3">
      <c r="A137" t="s">
        <v>299</v>
      </c>
      <c r="B137" t="s">
        <v>7793</v>
      </c>
    </row>
    <row r="138" spans="1:3" x14ac:dyDescent="0.3">
      <c r="A138" t="s">
        <v>301</v>
      </c>
      <c r="B138" t="s">
        <v>7794</v>
      </c>
    </row>
    <row r="139" spans="1:3" x14ac:dyDescent="0.3">
      <c r="A139" t="s">
        <v>2578</v>
      </c>
      <c r="B139" t="s">
        <v>7795</v>
      </c>
      <c r="C139" t="s">
        <v>2931</v>
      </c>
    </row>
    <row r="140" spans="1:3" x14ac:dyDescent="0.3">
      <c r="A140" t="s">
        <v>299</v>
      </c>
      <c r="B140" t="s">
        <v>7796</v>
      </c>
    </row>
    <row r="141" spans="1:3" x14ac:dyDescent="0.3">
      <c r="A141" t="s">
        <v>301</v>
      </c>
      <c r="B141" t="s">
        <v>7797</v>
      </c>
    </row>
    <row r="142" spans="1:3" x14ac:dyDescent="0.3">
      <c r="A142" t="s">
        <v>2582</v>
      </c>
      <c r="B142" t="s">
        <v>7798</v>
      </c>
      <c r="C142" t="s">
        <v>2931</v>
      </c>
    </row>
    <row r="143" spans="1:3" x14ac:dyDescent="0.3">
      <c r="A143" t="s">
        <v>299</v>
      </c>
      <c r="B143" t="s">
        <v>7799</v>
      </c>
    </row>
    <row r="144" spans="1:3" x14ac:dyDescent="0.3">
      <c r="A144" t="s">
        <v>301</v>
      </c>
      <c r="B144" t="s">
        <v>7800</v>
      </c>
    </row>
    <row r="145" spans="1:3" x14ac:dyDescent="0.3">
      <c r="A145" t="s">
        <v>4465</v>
      </c>
      <c r="B145" t="s">
        <v>7801</v>
      </c>
      <c r="C145" t="s">
        <v>2931</v>
      </c>
    </row>
    <row r="146" spans="1:3" x14ac:dyDescent="0.3">
      <c r="A146" t="s">
        <v>299</v>
      </c>
      <c r="B146" t="s">
        <v>7802</v>
      </c>
    </row>
    <row r="147" spans="1:3" x14ac:dyDescent="0.3">
      <c r="A147" t="s">
        <v>301</v>
      </c>
      <c r="B147" t="s">
        <v>7803</v>
      </c>
    </row>
  </sheetData>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D84"/>
  <sheetViews>
    <sheetView workbookViewId="0">
      <selection activeCell="B6" sqref="B6"/>
    </sheetView>
  </sheetViews>
  <sheetFormatPr defaultRowHeight="14.4" x14ac:dyDescent="0.3"/>
  <cols>
    <col min="1" max="1" width="46" customWidth="1"/>
    <col min="2" max="8" width="15" customWidth="1"/>
  </cols>
  <sheetData>
    <row r="1" spans="1:4" x14ac:dyDescent="0.3">
      <c r="A1" s="24" t="s">
        <v>181</v>
      </c>
      <c r="B1" t="s">
        <v>7804</v>
      </c>
    </row>
    <row r="2" spans="1:4" x14ac:dyDescent="0.3">
      <c r="A2" s="24" t="s">
        <v>183</v>
      </c>
      <c r="B2" t="s">
        <v>7805</v>
      </c>
    </row>
    <row r="4" spans="1:4" x14ac:dyDescent="0.3">
      <c r="A4" s="25" t="s">
        <v>185</v>
      </c>
      <c r="B4" s="25"/>
      <c r="C4" s="25"/>
      <c r="D4" s="25"/>
    </row>
    <row r="5" spans="1:4" x14ac:dyDescent="0.3">
      <c r="A5" t="s">
        <v>7806</v>
      </c>
      <c r="B5" t="s">
        <v>43</v>
      </c>
      <c r="C5" t="s">
        <v>37</v>
      </c>
      <c r="D5" t="s">
        <v>189</v>
      </c>
    </row>
    <row r="6" spans="1:4" x14ac:dyDescent="0.3">
      <c r="A6" t="s">
        <v>45</v>
      </c>
      <c r="B6">
        <v>783</v>
      </c>
      <c r="D6" t="s">
        <v>3114</v>
      </c>
    </row>
    <row r="7" spans="1:4" x14ac:dyDescent="0.3">
      <c r="A7" t="s">
        <v>84</v>
      </c>
      <c r="B7">
        <v>348</v>
      </c>
      <c r="C7">
        <v>328</v>
      </c>
      <c r="D7" t="s">
        <v>3028</v>
      </c>
    </row>
    <row r="8" spans="1:4" x14ac:dyDescent="0.3">
      <c r="A8" t="s">
        <v>80</v>
      </c>
      <c r="B8">
        <v>368</v>
      </c>
      <c r="C8">
        <v>230</v>
      </c>
      <c r="D8" t="s">
        <v>7807</v>
      </c>
    </row>
    <row r="9" spans="1:4" x14ac:dyDescent="0.3">
      <c r="A9" t="s">
        <v>158</v>
      </c>
      <c r="B9">
        <v>67</v>
      </c>
    </row>
    <row r="11" spans="1:4" x14ac:dyDescent="0.3">
      <c r="A11" t="s">
        <v>7808</v>
      </c>
      <c r="B11" t="s">
        <v>238</v>
      </c>
    </row>
    <row r="12" spans="1:4" x14ac:dyDescent="0.3">
      <c r="A12" t="s">
        <v>7809</v>
      </c>
      <c r="B12" t="s">
        <v>4077</v>
      </c>
    </row>
    <row r="13" spans="1:4" x14ac:dyDescent="0.3">
      <c r="A13" t="s">
        <v>7810</v>
      </c>
      <c r="B13" t="s">
        <v>558</v>
      </c>
    </row>
    <row r="14" spans="1:4" x14ac:dyDescent="0.3">
      <c r="A14" t="s">
        <v>7811</v>
      </c>
      <c r="B14">
        <v>198</v>
      </c>
    </row>
    <row r="15" spans="1:4" x14ac:dyDescent="0.3">
      <c r="A15" t="s">
        <v>7812</v>
      </c>
      <c r="B15">
        <v>340</v>
      </c>
    </row>
    <row r="16" spans="1:4" x14ac:dyDescent="0.3">
      <c r="A16" t="s">
        <v>7813</v>
      </c>
      <c r="B16">
        <v>28</v>
      </c>
    </row>
    <row r="17" spans="1:4" x14ac:dyDescent="0.3">
      <c r="A17" t="s">
        <v>7814</v>
      </c>
      <c r="B17">
        <v>5</v>
      </c>
    </row>
    <row r="18" spans="1:4" x14ac:dyDescent="0.3">
      <c r="A18" t="s">
        <v>7815</v>
      </c>
      <c r="B18">
        <v>1</v>
      </c>
    </row>
    <row r="20" spans="1:4" x14ac:dyDescent="0.3">
      <c r="A20" t="s">
        <v>6766</v>
      </c>
      <c r="B20" t="s">
        <v>43</v>
      </c>
      <c r="C20" t="s">
        <v>7816</v>
      </c>
      <c r="D20" t="s">
        <v>248</v>
      </c>
    </row>
    <row r="21" spans="1:4" x14ac:dyDescent="0.3">
      <c r="A21" t="s">
        <v>52</v>
      </c>
      <c r="B21" t="s">
        <v>7817</v>
      </c>
      <c r="C21" t="s">
        <v>7818</v>
      </c>
      <c r="D21" t="s">
        <v>7819</v>
      </c>
    </row>
    <row r="22" spans="1:4" x14ac:dyDescent="0.3">
      <c r="A22" t="s">
        <v>75</v>
      </c>
      <c r="B22" t="s">
        <v>7820</v>
      </c>
      <c r="C22" t="s">
        <v>7821</v>
      </c>
      <c r="D22" t="s">
        <v>7822</v>
      </c>
    </row>
    <row r="23" spans="1:4" x14ac:dyDescent="0.3">
      <c r="A23" t="s">
        <v>7823</v>
      </c>
      <c r="B23">
        <v>110</v>
      </c>
      <c r="C23">
        <v>44</v>
      </c>
      <c r="D23" t="s">
        <v>7824</v>
      </c>
    </row>
    <row r="24" spans="1:4" x14ac:dyDescent="0.3">
      <c r="A24" t="s">
        <v>2612</v>
      </c>
      <c r="B24">
        <v>195</v>
      </c>
      <c r="C24">
        <v>70</v>
      </c>
      <c r="D24" t="s">
        <v>7825</v>
      </c>
    </row>
    <row r="25" spans="1:4" x14ac:dyDescent="0.3">
      <c r="A25" t="s">
        <v>74</v>
      </c>
      <c r="B25" t="s">
        <v>7826</v>
      </c>
      <c r="C25" t="s">
        <v>6192</v>
      </c>
      <c r="D25" t="s">
        <v>7827</v>
      </c>
    </row>
    <row r="27" spans="1:4" x14ac:dyDescent="0.3">
      <c r="A27" t="s">
        <v>7828</v>
      </c>
      <c r="B27" t="s">
        <v>238</v>
      </c>
    </row>
    <row r="28" spans="1:4" x14ac:dyDescent="0.3">
      <c r="A28" t="s">
        <v>7829</v>
      </c>
      <c r="B28" t="s">
        <v>7830</v>
      </c>
    </row>
    <row r="29" spans="1:4" x14ac:dyDescent="0.3">
      <c r="A29" t="s">
        <v>7831</v>
      </c>
      <c r="B29" t="s">
        <v>7832</v>
      </c>
    </row>
    <row r="30" spans="1:4" x14ac:dyDescent="0.3">
      <c r="A30" t="s">
        <v>7833</v>
      </c>
      <c r="B30" t="s">
        <v>3140</v>
      </c>
    </row>
    <row r="31" spans="1:4" x14ac:dyDescent="0.3">
      <c r="A31" t="s">
        <v>7834</v>
      </c>
      <c r="B31" t="s">
        <v>7835</v>
      </c>
    </row>
    <row r="32" spans="1:4" x14ac:dyDescent="0.3">
      <c r="A32" t="s">
        <v>7836</v>
      </c>
      <c r="B32" t="s">
        <v>7837</v>
      </c>
    </row>
    <row r="33" spans="1:4" x14ac:dyDescent="0.3">
      <c r="A33" t="s">
        <v>7838</v>
      </c>
      <c r="B33" t="s">
        <v>7839</v>
      </c>
    </row>
    <row r="35" spans="1:4" x14ac:dyDescent="0.3">
      <c r="A35" t="s">
        <v>273</v>
      </c>
      <c r="B35" t="s">
        <v>238</v>
      </c>
      <c r="C35" t="s">
        <v>274</v>
      </c>
    </row>
    <row r="36" spans="1:4" x14ac:dyDescent="0.3">
      <c r="A36" t="s">
        <v>7840</v>
      </c>
      <c r="B36" t="s">
        <v>2598</v>
      </c>
      <c r="C36" t="s">
        <v>7841</v>
      </c>
    </row>
    <row r="37" spans="1:4" x14ac:dyDescent="0.3">
      <c r="A37" t="s">
        <v>7842</v>
      </c>
      <c r="B37" t="s">
        <v>7843</v>
      </c>
      <c r="C37" t="s">
        <v>7841</v>
      </c>
    </row>
    <row r="38" spans="1:4" x14ac:dyDescent="0.3">
      <c r="A38" t="s">
        <v>7844</v>
      </c>
      <c r="B38" t="s">
        <v>7845</v>
      </c>
      <c r="C38" t="s">
        <v>7846</v>
      </c>
    </row>
    <row r="39" spans="1:4" x14ac:dyDescent="0.3">
      <c r="A39" t="s">
        <v>7847</v>
      </c>
      <c r="B39" t="s">
        <v>7848</v>
      </c>
      <c r="C39" t="s">
        <v>7849</v>
      </c>
    </row>
    <row r="40" spans="1:4" x14ac:dyDescent="0.3">
      <c r="A40" t="s">
        <v>7850</v>
      </c>
      <c r="B40" t="s">
        <v>7851</v>
      </c>
      <c r="C40" t="s">
        <v>7505</v>
      </c>
    </row>
    <row r="41" spans="1:4" x14ac:dyDescent="0.3">
      <c r="A41" t="s">
        <v>7852</v>
      </c>
      <c r="B41" t="s">
        <v>7853</v>
      </c>
      <c r="C41" t="s">
        <v>7854</v>
      </c>
    </row>
    <row r="42" spans="1:4" x14ac:dyDescent="0.3">
      <c r="A42" t="s">
        <v>7184</v>
      </c>
      <c r="B42" t="s">
        <v>7855</v>
      </c>
      <c r="C42" t="s">
        <v>7106</v>
      </c>
    </row>
    <row r="43" spans="1:4" x14ac:dyDescent="0.3">
      <c r="A43" t="s">
        <v>7856</v>
      </c>
      <c r="B43" t="s">
        <v>7857</v>
      </c>
      <c r="C43" t="s">
        <v>7858</v>
      </c>
    </row>
    <row r="45" spans="1:4" x14ac:dyDescent="0.3">
      <c r="A45" s="25" t="s">
        <v>281</v>
      </c>
      <c r="B45" s="25"/>
      <c r="C45" s="25"/>
      <c r="D45" s="25"/>
    </row>
    <row r="46" spans="1:4" x14ac:dyDescent="0.3">
      <c r="A46" t="s">
        <v>7859</v>
      </c>
    </row>
    <row r="47" spans="1:4" x14ac:dyDescent="0.3">
      <c r="A47" t="s">
        <v>7860</v>
      </c>
    </row>
    <row r="48" spans="1:4" x14ac:dyDescent="0.3">
      <c r="A48" t="s">
        <v>7861</v>
      </c>
    </row>
    <row r="49" spans="1:1" x14ac:dyDescent="0.3">
      <c r="A49" t="s">
        <v>7862</v>
      </c>
    </row>
    <row r="50" spans="1:1" x14ac:dyDescent="0.3">
      <c r="A50" t="s">
        <v>7863</v>
      </c>
    </row>
    <row r="51" spans="1:1" x14ac:dyDescent="0.3">
      <c r="A51" t="s">
        <v>7864</v>
      </c>
    </row>
    <row r="52" spans="1:1" x14ac:dyDescent="0.3">
      <c r="A52" t="s">
        <v>7865</v>
      </c>
    </row>
    <row r="53" spans="1:1" x14ac:dyDescent="0.3">
      <c r="A53" t="s">
        <v>7866</v>
      </c>
    </row>
    <row r="54" spans="1:1" x14ac:dyDescent="0.3">
      <c r="A54" t="s">
        <v>7867</v>
      </c>
    </row>
    <row r="55" spans="1:1" x14ac:dyDescent="0.3">
      <c r="A55" t="s">
        <v>7868</v>
      </c>
    </row>
    <row r="56" spans="1:1" x14ac:dyDescent="0.3">
      <c r="A56" t="s">
        <v>7869</v>
      </c>
    </row>
    <row r="57" spans="1:1" x14ac:dyDescent="0.3">
      <c r="A57" t="s">
        <v>7870</v>
      </c>
    </row>
    <row r="58" spans="1:1" x14ac:dyDescent="0.3">
      <c r="A58" t="s">
        <v>7871</v>
      </c>
    </row>
    <row r="59" spans="1:1" x14ac:dyDescent="0.3">
      <c r="A59" t="s">
        <v>7872</v>
      </c>
    </row>
    <row r="60" spans="1:1" x14ac:dyDescent="0.3">
      <c r="A60" t="s">
        <v>7873</v>
      </c>
    </row>
    <row r="61" spans="1:1" x14ac:dyDescent="0.3">
      <c r="A61" t="s">
        <v>7874</v>
      </c>
    </row>
    <row r="62" spans="1:1" x14ac:dyDescent="0.3">
      <c r="A62" t="s">
        <v>7875</v>
      </c>
    </row>
    <row r="63" spans="1:1" x14ac:dyDescent="0.3">
      <c r="A63" t="s">
        <v>7876</v>
      </c>
    </row>
    <row r="64" spans="1:1" x14ac:dyDescent="0.3">
      <c r="A64" t="s">
        <v>7877</v>
      </c>
    </row>
    <row r="66" spans="1:4" x14ac:dyDescent="0.3">
      <c r="A66" s="25" t="s">
        <v>295</v>
      </c>
      <c r="B66" s="25"/>
      <c r="C66" s="25"/>
      <c r="D66" s="25"/>
    </row>
    <row r="67" spans="1:4" x14ac:dyDescent="0.3">
      <c r="A67" t="s">
        <v>296</v>
      </c>
      <c r="B67" t="s">
        <v>7878</v>
      </c>
      <c r="C67" t="s">
        <v>3492</v>
      </c>
    </row>
    <row r="68" spans="1:4" x14ac:dyDescent="0.3">
      <c r="A68" t="s">
        <v>299</v>
      </c>
      <c r="B68" t="s">
        <v>7879</v>
      </c>
    </row>
    <row r="69" spans="1:4" x14ac:dyDescent="0.3">
      <c r="A69" t="s">
        <v>301</v>
      </c>
      <c r="B69" t="s">
        <v>7880</v>
      </c>
    </row>
    <row r="70" spans="1:4" x14ac:dyDescent="0.3">
      <c r="A70" t="s">
        <v>303</v>
      </c>
      <c r="B70" t="s">
        <v>7881</v>
      </c>
      <c r="C70" t="s">
        <v>3397</v>
      </c>
    </row>
    <row r="71" spans="1:4" x14ac:dyDescent="0.3">
      <c r="A71" t="s">
        <v>299</v>
      </c>
      <c r="B71" t="s">
        <v>7882</v>
      </c>
    </row>
    <row r="72" spans="1:4" x14ac:dyDescent="0.3">
      <c r="A72" t="s">
        <v>301</v>
      </c>
      <c r="B72" t="s">
        <v>7883</v>
      </c>
    </row>
    <row r="73" spans="1:4" x14ac:dyDescent="0.3">
      <c r="A73" t="s">
        <v>307</v>
      </c>
      <c r="B73" t="s">
        <v>7884</v>
      </c>
      <c r="C73" t="s">
        <v>6871</v>
      </c>
    </row>
    <row r="74" spans="1:4" x14ac:dyDescent="0.3">
      <c r="A74" t="s">
        <v>299</v>
      </c>
      <c r="B74" t="s">
        <v>7885</v>
      </c>
    </row>
    <row r="75" spans="1:4" x14ac:dyDescent="0.3">
      <c r="A75" t="s">
        <v>301</v>
      </c>
      <c r="B75" t="s">
        <v>7886</v>
      </c>
    </row>
    <row r="76" spans="1:4" x14ac:dyDescent="0.3">
      <c r="A76" t="s">
        <v>311</v>
      </c>
      <c r="B76" t="s">
        <v>7887</v>
      </c>
      <c r="C76" t="s">
        <v>6867</v>
      </c>
    </row>
    <row r="77" spans="1:4" x14ac:dyDescent="0.3">
      <c r="A77" t="s">
        <v>299</v>
      </c>
      <c r="B77" t="s">
        <v>7888</v>
      </c>
    </row>
    <row r="78" spans="1:4" x14ac:dyDescent="0.3">
      <c r="A78" t="s">
        <v>301</v>
      </c>
      <c r="B78" t="s">
        <v>7889</v>
      </c>
    </row>
    <row r="79" spans="1:4" x14ac:dyDescent="0.3">
      <c r="A79" t="s">
        <v>316</v>
      </c>
      <c r="B79" t="s">
        <v>7890</v>
      </c>
      <c r="C79" t="s">
        <v>7891</v>
      </c>
    </row>
    <row r="80" spans="1:4" x14ac:dyDescent="0.3">
      <c r="A80" t="s">
        <v>299</v>
      </c>
      <c r="B80" t="s">
        <v>7892</v>
      </c>
    </row>
    <row r="81" spans="1:3" x14ac:dyDescent="0.3">
      <c r="A81" t="s">
        <v>301</v>
      </c>
      <c r="B81" t="s">
        <v>7893</v>
      </c>
    </row>
    <row r="82" spans="1:3" x14ac:dyDescent="0.3">
      <c r="A82" t="s">
        <v>320</v>
      </c>
      <c r="B82" t="s">
        <v>7894</v>
      </c>
      <c r="C82" t="s">
        <v>6881</v>
      </c>
    </row>
    <row r="83" spans="1:3" x14ac:dyDescent="0.3">
      <c r="A83" t="s">
        <v>299</v>
      </c>
      <c r="B83" t="s">
        <v>7895</v>
      </c>
    </row>
    <row r="84" spans="1:3" x14ac:dyDescent="0.3">
      <c r="A84" t="s">
        <v>301</v>
      </c>
      <c r="B84" t="s">
        <v>7896</v>
      </c>
    </row>
  </sheetData>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B2:S109"/>
  <sheetViews>
    <sheetView topLeftCell="A70" zoomScale="85" zoomScaleNormal="85" workbookViewId="0">
      <selection activeCell="A15" sqref="A15"/>
    </sheetView>
  </sheetViews>
  <sheetFormatPr defaultRowHeight="14.4" x14ac:dyDescent="0.3"/>
  <cols>
    <col min="3" max="3" width="35.44140625" bestFit="1" customWidth="1"/>
  </cols>
  <sheetData>
    <row r="2" spans="2:19" x14ac:dyDescent="0.3">
      <c r="B2" t="s">
        <v>181</v>
      </c>
      <c r="C2" t="s">
        <v>5975</v>
      </c>
    </row>
    <row r="3" spans="2:19" ht="3" customHeight="1" x14ac:dyDescent="0.3"/>
    <row r="4" spans="2:19" x14ac:dyDescent="0.3">
      <c r="B4" t="s">
        <v>183</v>
      </c>
      <c r="C4" s="12">
        <v>46092</v>
      </c>
    </row>
    <row r="5" spans="2:19" ht="3" customHeight="1" x14ac:dyDescent="0.3">
      <c r="C5" s="13"/>
      <c r="D5" s="13"/>
      <c r="E5" s="13"/>
      <c r="F5" s="13"/>
      <c r="G5" s="13"/>
      <c r="H5" s="13"/>
      <c r="I5" s="13"/>
      <c r="J5" s="13"/>
      <c r="K5" s="13"/>
      <c r="L5" s="13"/>
      <c r="M5" s="13"/>
      <c r="N5" s="13"/>
      <c r="O5" s="13"/>
      <c r="P5" s="13"/>
      <c r="Q5" s="13"/>
      <c r="R5" s="13"/>
      <c r="S5" s="13"/>
    </row>
    <row r="6" spans="2:19" x14ac:dyDescent="0.3">
      <c r="C6" t="s">
        <v>7897</v>
      </c>
    </row>
    <row r="7" spans="2:19" x14ac:dyDescent="0.3">
      <c r="C7" t="s">
        <v>7898</v>
      </c>
    </row>
    <row r="8" spans="2:19" x14ac:dyDescent="0.3">
      <c r="C8" t="s">
        <v>7899</v>
      </c>
    </row>
    <row r="9" spans="2:19" x14ac:dyDescent="0.3">
      <c r="C9" t="s">
        <v>7900</v>
      </c>
    </row>
    <row r="10" spans="2:19" x14ac:dyDescent="0.3">
      <c r="C10" t="s">
        <v>7901</v>
      </c>
    </row>
    <row r="11" spans="2:19" x14ac:dyDescent="0.3">
      <c r="C11" t="s">
        <v>7902</v>
      </c>
    </row>
    <row r="12" spans="2:19" x14ac:dyDescent="0.3">
      <c r="C12" t="s">
        <v>7903</v>
      </c>
    </row>
    <row r="13" spans="2:19" x14ac:dyDescent="0.3">
      <c r="C13" s="11" t="s">
        <v>7904</v>
      </c>
    </row>
    <row r="14" spans="2:19" x14ac:dyDescent="0.3">
      <c r="C14" t="s">
        <v>7905</v>
      </c>
    </row>
    <row r="15" spans="2:19" x14ac:dyDescent="0.3">
      <c r="C15" t="s">
        <v>7906</v>
      </c>
    </row>
    <row r="16" spans="2:19" x14ac:dyDescent="0.3">
      <c r="C16" t="s">
        <v>7907</v>
      </c>
    </row>
    <row r="17" spans="2:3" x14ac:dyDescent="0.3">
      <c r="C17" t="s">
        <v>7908</v>
      </c>
    </row>
    <row r="18" spans="2:3" x14ac:dyDescent="0.3">
      <c r="C18" t="s">
        <v>7909</v>
      </c>
    </row>
    <row r="19" spans="2:3" x14ac:dyDescent="0.3">
      <c r="C19" t="s">
        <v>7910</v>
      </c>
    </row>
    <row r="20" spans="2:3" x14ac:dyDescent="0.3">
      <c r="C20" t="s">
        <v>7911</v>
      </c>
    </row>
    <row r="21" spans="2:3" x14ac:dyDescent="0.3">
      <c r="C21" s="11" t="s">
        <v>7912</v>
      </c>
    </row>
    <row r="22" spans="2:3" x14ac:dyDescent="0.3">
      <c r="C22" t="s">
        <v>7913</v>
      </c>
    </row>
    <row r="23" spans="2:3" x14ac:dyDescent="0.3">
      <c r="C23" t="s">
        <v>7914</v>
      </c>
    </row>
    <row r="24" spans="2:3" x14ac:dyDescent="0.3">
      <c r="C24" t="s">
        <v>7915</v>
      </c>
    </row>
    <row r="25" spans="2:3" x14ac:dyDescent="0.3">
      <c r="C25" t="s">
        <v>7916</v>
      </c>
    </row>
    <row r="26" spans="2:3" x14ac:dyDescent="0.3">
      <c r="C26" s="11" t="s">
        <v>7917</v>
      </c>
    </row>
    <row r="27" spans="2:3" x14ac:dyDescent="0.3">
      <c r="C27" t="s">
        <v>7918</v>
      </c>
    </row>
    <row r="28" spans="2:3" x14ac:dyDescent="0.3">
      <c r="C28" t="s">
        <v>7919</v>
      </c>
    </row>
    <row r="30" spans="2:3" x14ac:dyDescent="0.3">
      <c r="B30" t="s">
        <v>181</v>
      </c>
      <c r="C30" t="s">
        <v>7920</v>
      </c>
    </row>
    <row r="31" spans="2:3" ht="3" customHeight="1" x14ac:dyDescent="0.3"/>
    <row r="32" spans="2:3" x14ac:dyDescent="0.3">
      <c r="B32" t="s">
        <v>183</v>
      </c>
      <c r="C32" s="12">
        <v>46079</v>
      </c>
    </row>
    <row r="33" spans="3:19" ht="3" customHeight="1" x14ac:dyDescent="0.3">
      <c r="C33" s="13"/>
      <c r="D33" s="13"/>
      <c r="E33" s="13"/>
      <c r="F33" s="13"/>
      <c r="G33" s="13"/>
      <c r="H33" s="13"/>
      <c r="I33" s="13"/>
      <c r="J33" s="13"/>
      <c r="K33" s="13"/>
      <c r="L33" s="13"/>
      <c r="M33" s="13"/>
      <c r="N33" s="13"/>
      <c r="O33" s="13"/>
      <c r="P33" s="13"/>
      <c r="Q33" s="13"/>
      <c r="R33" s="13"/>
      <c r="S33" s="13"/>
    </row>
    <row r="35" spans="3:19" x14ac:dyDescent="0.3">
      <c r="C35" t="s">
        <v>7921</v>
      </c>
    </row>
    <row r="36" spans="3:19" x14ac:dyDescent="0.3">
      <c r="C36" t="s">
        <v>7922</v>
      </c>
    </row>
    <row r="41" spans="3:19" x14ac:dyDescent="0.3">
      <c r="C41" t="s">
        <v>7923</v>
      </c>
      <c r="D41" t="s">
        <v>7924</v>
      </c>
      <c r="E41" t="s">
        <v>42</v>
      </c>
    </row>
    <row r="42" spans="3:19" x14ac:dyDescent="0.3">
      <c r="C42" t="s">
        <v>7529</v>
      </c>
      <c r="D42" s="15">
        <v>45</v>
      </c>
      <c r="E42" s="15">
        <v>56</v>
      </c>
    </row>
    <row r="43" spans="3:19" x14ac:dyDescent="0.3">
      <c r="C43" t="s">
        <v>143</v>
      </c>
      <c r="D43" s="15">
        <v>6</v>
      </c>
      <c r="E43" s="15">
        <v>13</v>
      </c>
    </row>
    <row r="45" spans="3:19" x14ac:dyDescent="0.3">
      <c r="C45" t="s">
        <v>7592</v>
      </c>
      <c r="D45" t="s">
        <v>7925</v>
      </c>
      <c r="E45" t="s">
        <v>7924</v>
      </c>
    </row>
    <row r="46" spans="3:19" x14ac:dyDescent="0.3">
      <c r="C46" t="s">
        <v>7529</v>
      </c>
      <c r="D46" s="14">
        <f>E46/(1+E47)</f>
        <v>156.77966101694912</v>
      </c>
      <c r="E46" s="15">
        <v>370</v>
      </c>
    </row>
    <row r="47" spans="3:19" x14ac:dyDescent="0.3">
      <c r="C47" t="s">
        <v>7926</v>
      </c>
      <c r="E47" s="16">
        <v>1.36</v>
      </c>
    </row>
    <row r="49" spans="3:7" x14ac:dyDescent="0.3">
      <c r="C49" t="s">
        <v>7927</v>
      </c>
    </row>
    <row r="50" spans="3:7" x14ac:dyDescent="0.3">
      <c r="C50" t="s">
        <v>3019</v>
      </c>
      <c r="D50" t="s">
        <v>7924</v>
      </c>
      <c r="E50" t="s">
        <v>42</v>
      </c>
    </row>
    <row r="51" spans="3:7" x14ac:dyDescent="0.3">
      <c r="C51" t="s">
        <v>7928</v>
      </c>
      <c r="D51" s="17">
        <v>-7.6999999999999999E-2</v>
      </c>
      <c r="F51" t="s">
        <v>7929</v>
      </c>
    </row>
    <row r="52" spans="3:7" x14ac:dyDescent="0.3">
      <c r="C52" t="s">
        <v>7930</v>
      </c>
      <c r="D52" s="17">
        <v>0.128</v>
      </c>
    </row>
    <row r="54" spans="3:7" x14ac:dyDescent="0.3">
      <c r="C54" t="s">
        <v>7931</v>
      </c>
      <c r="D54" t="s">
        <v>36</v>
      </c>
      <c r="E54" t="s">
        <v>42</v>
      </c>
    </row>
    <row r="55" spans="3:7" x14ac:dyDescent="0.3">
      <c r="C55" t="s">
        <v>7529</v>
      </c>
      <c r="D55" s="14">
        <f>E55/(1+E56)</f>
        <v>1358.1395348837209</v>
      </c>
      <c r="E55" s="15">
        <v>1460</v>
      </c>
    </row>
    <row r="56" spans="3:7" x14ac:dyDescent="0.3">
      <c r="C56" t="s">
        <v>7932</v>
      </c>
      <c r="E56" s="17">
        <v>7.4999999999999997E-2</v>
      </c>
    </row>
    <row r="58" spans="3:7" x14ac:dyDescent="0.3">
      <c r="C58" t="s">
        <v>7933</v>
      </c>
      <c r="D58" t="s">
        <v>7924</v>
      </c>
      <c r="E58" t="s">
        <v>42</v>
      </c>
    </row>
    <row r="59" spans="3:7" x14ac:dyDescent="0.3">
      <c r="C59" t="s">
        <v>1758</v>
      </c>
      <c r="D59" s="15">
        <v>249.2</v>
      </c>
      <c r="E59">
        <v>876.3</v>
      </c>
      <c r="F59">
        <v>0.34799999999999998</v>
      </c>
      <c r="G59">
        <f>E59/F59</f>
        <v>2518.1034482758623</v>
      </c>
    </row>
    <row r="60" spans="3:7" x14ac:dyDescent="0.3">
      <c r="C60" t="s">
        <v>7934</v>
      </c>
      <c r="D60" s="18">
        <v>-81</v>
      </c>
      <c r="E60" s="18">
        <v>-327.5</v>
      </c>
    </row>
    <row r="61" spans="3:7" x14ac:dyDescent="0.3">
      <c r="C61" t="s">
        <v>1758</v>
      </c>
      <c r="D61" s="19">
        <f>SUM(D59:D60)</f>
        <v>168.2</v>
      </c>
      <c r="E61" s="19">
        <f>SUM(E59:E60)</f>
        <v>548.79999999999995</v>
      </c>
      <c r="F61" s="22"/>
    </row>
    <row r="62" spans="3:7" x14ac:dyDescent="0.3">
      <c r="D62" s="20"/>
    </row>
    <row r="63" spans="3:7" x14ac:dyDescent="0.3">
      <c r="C63" t="s">
        <v>7935</v>
      </c>
      <c r="D63" s="15">
        <v>81</v>
      </c>
      <c r="E63">
        <v>250</v>
      </c>
    </row>
    <row r="64" spans="3:7" x14ac:dyDescent="0.3">
      <c r="C64" t="s">
        <v>7936</v>
      </c>
      <c r="D64" s="18">
        <v>-5</v>
      </c>
      <c r="E64" s="18">
        <v>-60.2</v>
      </c>
    </row>
    <row r="65" spans="2:19" x14ac:dyDescent="0.3">
      <c r="C65" t="s">
        <v>7935</v>
      </c>
      <c r="D65" s="21">
        <f>SUM(D63:D64)</f>
        <v>76</v>
      </c>
      <c r="E65" s="21">
        <f>SUM(E63:E64)</f>
        <v>189.8</v>
      </c>
    </row>
    <row r="67" spans="2:19" x14ac:dyDescent="0.3">
      <c r="D67" t="s">
        <v>7925</v>
      </c>
      <c r="E67" t="s">
        <v>7924</v>
      </c>
      <c r="F67" t="s">
        <v>42</v>
      </c>
    </row>
    <row r="68" spans="2:19" x14ac:dyDescent="0.3">
      <c r="C68" t="s">
        <v>56</v>
      </c>
      <c r="D68" s="15">
        <v>62.9</v>
      </c>
      <c r="E68" s="15">
        <v>134.1</v>
      </c>
      <c r="F68" s="15">
        <v>619.6</v>
      </c>
    </row>
    <row r="70" spans="2:19" x14ac:dyDescent="0.3">
      <c r="C70" t="s">
        <v>7937</v>
      </c>
      <c r="D70" s="16">
        <v>0.17</v>
      </c>
      <c r="E70" s="17"/>
    </row>
    <row r="71" spans="2:19" x14ac:dyDescent="0.3">
      <c r="C71" t="s">
        <v>7938</v>
      </c>
      <c r="D71" s="16">
        <v>1.02</v>
      </c>
    </row>
    <row r="72" spans="2:19" x14ac:dyDescent="0.3">
      <c r="C72" t="s">
        <v>7939</v>
      </c>
    </row>
    <row r="75" spans="2:19" x14ac:dyDescent="0.3">
      <c r="B75" t="s">
        <v>181</v>
      </c>
      <c r="C75" t="s">
        <v>7920</v>
      </c>
    </row>
    <row r="76" spans="2:19" ht="3" customHeight="1" x14ac:dyDescent="0.3"/>
    <row r="77" spans="2:19" x14ac:dyDescent="0.3">
      <c r="B77" t="s">
        <v>183</v>
      </c>
      <c r="C77" s="12">
        <v>46079</v>
      </c>
    </row>
    <row r="78" spans="2:19" ht="3" customHeight="1" x14ac:dyDescent="0.3">
      <c r="C78" s="13"/>
      <c r="D78" s="13"/>
      <c r="E78" s="13"/>
      <c r="F78" s="13"/>
      <c r="G78" s="13"/>
      <c r="H78" s="13"/>
      <c r="I78" s="13"/>
      <c r="J78" s="13"/>
      <c r="K78" s="13"/>
      <c r="L78" s="13"/>
      <c r="M78" s="13"/>
      <c r="N78" s="13"/>
      <c r="O78" s="13"/>
      <c r="P78" s="13"/>
      <c r="Q78" s="13"/>
      <c r="R78" s="13"/>
      <c r="S78" s="13"/>
    </row>
    <row r="80" spans="2:19" x14ac:dyDescent="0.3">
      <c r="C80" t="s">
        <v>153</v>
      </c>
      <c r="D80" t="s">
        <v>7940</v>
      </c>
    </row>
    <row r="81" spans="3:5" x14ac:dyDescent="0.3">
      <c r="C81" t="s">
        <v>7941</v>
      </c>
      <c r="D81" s="16">
        <v>0.13</v>
      </c>
    </row>
    <row r="82" spans="3:5" x14ac:dyDescent="0.3">
      <c r="C82" t="s">
        <v>7592</v>
      </c>
      <c r="D82" s="16">
        <v>1.1499999999999999</v>
      </c>
      <c r="E82" t="s">
        <v>7942</v>
      </c>
    </row>
    <row r="84" spans="3:5" x14ac:dyDescent="0.3">
      <c r="D84" t="s">
        <v>7940</v>
      </c>
    </row>
    <row r="85" spans="3:5" x14ac:dyDescent="0.3">
      <c r="C85" t="s">
        <v>7943</v>
      </c>
      <c r="D85" s="16">
        <v>0.2</v>
      </c>
    </row>
    <row r="86" spans="3:5" x14ac:dyDescent="0.3">
      <c r="C86" t="s">
        <v>7944</v>
      </c>
      <c r="D86" s="16">
        <v>0.31</v>
      </c>
      <c r="E86" t="s">
        <v>204</v>
      </c>
    </row>
    <row r="89" spans="3:5" x14ac:dyDescent="0.3">
      <c r="C89" t="s">
        <v>7945</v>
      </c>
      <c r="D89" s="16">
        <v>0.13</v>
      </c>
    </row>
    <row r="90" spans="3:5" x14ac:dyDescent="0.3">
      <c r="C90" t="s">
        <v>7946</v>
      </c>
      <c r="D90" s="16">
        <v>0.44</v>
      </c>
    </row>
    <row r="92" spans="3:5" x14ac:dyDescent="0.3">
      <c r="D92" t="s">
        <v>7947</v>
      </c>
    </row>
    <row r="93" spans="3:5" x14ac:dyDescent="0.3">
      <c r="C93" t="s">
        <v>7948</v>
      </c>
      <c r="D93" s="16">
        <v>0.12</v>
      </c>
      <c r="E93" t="s">
        <v>7949</v>
      </c>
    </row>
    <row r="95" spans="3:5" x14ac:dyDescent="0.3">
      <c r="D95" t="s">
        <v>7940</v>
      </c>
      <c r="E95" t="s">
        <v>7950</v>
      </c>
    </row>
    <row r="96" spans="3:5" x14ac:dyDescent="0.3">
      <c r="C96" t="s">
        <v>7951</v>
      </c>
      <c r="D96" s="15">
        <v>247</v>
      </c>
    </row>
    <row r="97" spans="3:5" x14ac:dyDescent="0.3">
      <c r="C97" t="s">
        <v>7952</v>
      </c>
      <c r="D97" s="16">
        <v>0.2</v>
      </c>
      <c r="E97" s="23" t="s">
        <v>7098</v>
      </c>
    </row>
    <row r="98" spans="3:5" x14ac:dyDescent="0.3">
      <c r="D98" s="16"/>
    </row>
    <row r="99" spans="3:5" x14ac:dyDescent="0.3">
      <c r="C99" t="s">
        <v>7953</v>
      </c>
      <c r="D99" s="16">
        <v>0.06</v>
      </c>
    </row>
    <row r="100" spans="3:5" x14ac:dyDescent="0.3">
      <c r="C100" t="s">
        <v>7954</v>
      </c>
      <c r="D100" s="16">
        <v>0.09</v>
      </c>
    </row>
    <row r="102" spans="3:5" x14ac:dyDescent="0.3">
      <c r="C102" t="s">
        <v>7955</v>
      </c>
      <c r="D102" s="15">
        <v>200</v>
      </c>
    </row>
    <row r="103" spans="3:5" x14ac:dyDescent="0.3">
      <c r="C103" t="s">
        <v>7956</v>
      </c>
      <c r="D103" s="15">
        <v>20</v>
      </c>
    </row>
    <row r="105" spans="3:5" x14ac:dyDescent="0.3">
      <c r="C105" t="s">
        <v>7957</v>
      </c>
    </row>
    <row r="106" spans="3:5" x14ac:dyDescent="0.3">
      <c r="C106" t="s">
        <v>7958</v>
      </c>
    </row>
    <row r="107" spans="3:5" x14ac:dyDescent="0.3">
      <c r="C107" t="s">
        <v>7959</v>
      </c>
    </row>
    <row r="108" spans="3:5" x14ac:dyDescent="0.3">
      <c r="C108" t="s">
        <v>7960</v>
      </c>
    </row>
    <row r="109" spans="3:5" x14ac:dyDescent="0.3">
      <c r="C109" t="s">
        <v>7939</v>
      </c>
    </row>
  </sheetData>
  <pageMargins left="0.7" right="0.7" top="0.75" bottom="0.75" header="0.3" footer="0.3"/>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W116"/>
  <sheetViews>
    <sheetView workbookViewId="0">
      <pane xSplit="1" ySplit="4" topLeftCell="B92" activePane="bottomRight" state="frozen"/>
      <selection pane="topRight"/>
      <selection pane="bottomLeft"/>
      <selection pane="bottomRight" activeCell="D43" sqref="D43"/>
    </sheetView>
  </sheetViews>
  <sheetFormatPr defaultRowHeight="14.4" x14ac:dyDescent="0.3"/>
  <cols>
    <col min="1" max="1" width="36" customWidth="1"/>
    <col min="2" max="19" width="14" customWidth="1"/>
  </cols>
  <sheetData>
    <row r="1" spans="1:23" ht="18" customHeight="1" x14ac:dyDescent="0.35">
      <c r="A1" s="1" t="s">
        <v>7961</v>
      </c>
    </row>
    <row r="2" spans="1:23" x14ac:dyDescent="0.3">
      <c r="A2" s="2" t="s">
        <v>7962</v>
      </c>
    </row>
    <row r="4" spans="1:23" x14ac:dyDescent="0.3">
      <c r="A4" s="3" t="s">
        <v>7963</v>
      </c>
    </row>
    <row r="5" spans="1:23" x14ac:dyDescent="0.3">
      <c r="A5" s="4" t="s">
        <v>7964</v>
      </c>
      <c r="B5" s="5" t="s">
        <v>26</v>
      </c>
      <c r="C5" s="5" t="s">
        <v>33</v>
      </c>
      <c r="D5" s="5" t="s">
        <v>34</v>
      </c>
      <c r="E5" s="5" t="s">
        <v>4943</v>
      </c>
      <c r="F5" s="5" t="s">
        <v>6453</v>
      </c>
      <c r="G5" s="5" t="s">
        <v>36</v>
      </c>
      <c r="H5" s="5" t="s">
        <v>37</v>
      </c>
      <c r="I5" s="5" t="s">
        <v>38</v>
      </c>
      <c r="J5" s="5" t="s">
        <v>40</v>
      </c>
      <c r="K5" s="5" t="s">
        <v>42</v>
      </c>
      <c r="L5" s="5" t="s">
        <v>43</v>
      </c>
    </row>
    <row r="6" spans="1:23" x14ac:dyDescent="0.3">
      <c r="A6" s="6" t="s">
        <v>3552</v>
      </c>
    </row>
    <row r="7" spans="1:23" x14ac:dyDescent="0.3">
      <c r="A7" s="7" t="s">
        <v>7965</v>
      </c>
      <c r="B7" s="8">
        <v>653604</v>
      </c>
      <c r="C7" s="8">
        <v>1318014</v>
      </c>
      <c r="D7" s="8">
        <v>355708</v>
      </c>
      <c r="E7" s="8">
        <v>401977</v>
      </c>
      <c r="F7" s="8">
        <v>265748</v>
      </c>
      <c r="G7" s="8">
        <v>1355630</v>
      </c>
      <c r="H7" s="8">
        <v>329276</v>
      </c>
      <c r="I7" s="8">
        <v>739259</v>
      </c>
      <c r="J7" s="8">
        <v>725106</v>
      </c>
      <c r="K7" s="8">
        <v>2515269</v>
      </c>
      <c r="L7" s="8">
        <v>782615</v>
      </c>
    </row>
    <row r="9" spans="1:23" x14ac:dyDescent="0.3">
      <c r="A9" s="6" t="s">
        <v>7966</v>
      </c>
    </row>
    <row r="10" spans="1:23" x14ac:dyDescent="0.3">
      <c r="A10" s="7" t="s">
        <v>7965</v>
      </c>
      <c r="B10" s="8">
        <v>-152664</v>
      </c>
      <c r="C10" s="8">
        <v>291749</v>
      </c>
      <c r="D10" s="8">
        <v>92461</v>
      </c>
      <c r="E10" s="8">
        <v>104631</v>
      </c>
      <c r="F10" s="8">
        <v>8175</v>
      </c>
      <c r="G10" s="8">
        <v>195050</v>
      </c>
      <c r="H10" s="8">
        <v>60993</v>
      </c>
      <c r="I10" s="8">
        <v>129465</v>
      </c>
      <c r="J10" s="8">
        <v>-88031</v>
      </c>
      <c r="K10" s="8">
        <v>125033</v>
      </c>
      <c r="L10" s="8">
        <v>137536</v>
      </c>
    </row>
    <row r="14" spans="1:23" x14ac:dyDescent="0.3">
      <c r="A14" s="3" t="s">
        <v>7967</v>
      </c>
    </row>
    <row r="15" spans="1:23" x14ac:dyDescent="0.3">
      <c r="A15" s="4" t="s">
        <v>7964</v>
      </c>
      <c r="B15" s="5" t="s">
        <v>16</v>
      </c>
      <c r="C15" s="5" t="s">
        <v>17</v>
      </c>
      <c r="D15" s="5" t="s">
        <v>18</v>
      </c>
      <c r="E15" s="5" t="s">
        <v>20</v>
      </c>
      <c r="F15" s="5" t="s">
        <v>21</v>
      </c>
      <c r="G15" s="5" t="s">
        <v>22</v>
      </c>
      <c r="H15" s="5" t="s">
        <v>23</v>
      </c>
      <c r="I15" s="5" t="s">
        <v>24</v>
      </c>
      <c r="J15" s="5" t="s">
        <v>26</v>
      </c>
      <c r="K15" s="5" t="s">
        <v>27</v>
      </c>
      <c r="L15" s="5" t="s">
        <v>28</v>
      </c>
      <c r="M15" s="5" t="s">
        <v>30</v>
      </c>
      <c r="N15" s="5" t="s">
        <v>33</v>
      </c>
      <c r="O15" s="5" t="s">
        <v>34</v>
      </c>
      <c r="P15" s="5" t="s">
        <v>4943</v>
      </c>
      <c r="Q15" s="5" t="s">
        <v>6453</v>
      </c>
      <c r="R15" s="5" t="s">
        <v>36</v>
      </c>
      <c r="S15" s="5" t="s">
        <v>37</v>
      </c>
      <c r="T15" s="5" t="s">
        <v>38</v>
      </c>
      <c r="U15" s="5" t="s">
        <v>40</v>
      </c>
      <c r="V15" s="5" t="s">
        <v>42</v>
      </c>
      <c r="W15" s="5" t="s">
        <v>43</v>
      </c>
    </row>
    <row r="16" spans="1:23" x14ac:dyDescent="0.3">
      <c r="A16" s="6" t="s">
        <v>3552</v>
      </c>
    </row>
    <row r="17" spans="1:23" x14ac:dyDescent="0.3">
      <c r="A17" s="7" t="s">
        <v>7968</v>
      </c>
      <c r="B17" s="8">
        <v>95480.31</v>
      </c>
      <c r="C17" s="8">
        <v>39003</v>
      </c>
      <c r="D17" s="8">
        <v>53601</v>
      </c>
      <c r="E17" s="8">
        <v>84490</v>
      </c>
      <c r="F17" s="8">
        <v>273004.79499999998</v>
      </c>
      <c r="G17" s="8">
        <v>123473</v>
      </c>
      <c r="H17" s="8">
        <v>145409</v>
      </c>
      <c r="I17" s="8">
        <v>179541</v>
      </c>
      <c r="J17" s="8">
        <v>617457</v>
      </c>
      <c r="K17" s="8">
        <v>248552</v>
      </c>
      <c r="L17" s="8">
        <v>310815</v>
      </c>
      <c r="M17" s="8">
        <v>371178</v>
      </c>
      <c r="N17" s="8">
        <v>1263341</v>
      </c>
      <c r="O17" s="8">
        <v>339512</v>
      </c>
      <c r="P17" s="8">
        <v>382351</v>
      </c>
      <c r="Q17" s="8">
        <v>247125</v>
      </c>
      <c r="R17" s="8">
        <v>1280894</v>
      </c>
      <c r="S17" s="8">
        <v>306534</v>
      </c>
      <c r="T17" s="8">
        <v>714459</v>
      </c>
      <c r="U17" s="8">
        <v>701990</v>
      </c>
      <c r="V17" s="8">
        <v>2422490</v>
      </c>
      <c r="W17" s="8">
        <v>747316</v>
      </c>
    </row>
    <row r="18" spans="1:23" x14ac:dyDescent="0.3">
      <c r="A18" s="7" t="s">
        <v>7969</v>
      </c>
      <c r="B18" s="8">
        <v>33727.440999999999</v>
      </c>
      <c r="C18" s="8">
        <v>10368</v>
      </c>
      <c r="D18" s="8">
        <v>10792</v>
      </c>
      <c r="E18" s="8">
        <v>9536</v>
      </c>
      <c r="F18" s="8">
        <v>38097.016000000003</v>
      </c>
      <c r="G18" s="8">
        <v>8495</v>
      </c>
      <c r="H18" s="8">
        <v>7280</v>
      </c>
      <c r="I18" s="8">
        <v>7546</v>
      </c>
      <c r="J18" s="8">
        <v>31054</v>
      </c>
      <c r="K18" s="8">
        <v>8652</v>
      </c>
      <c r="L18" s="8">
        <v>11909</v>
      </c>
      <c r="M18" s="8">
        <v>11038</v>
      </c>
      <c r="N18" s="8">
        <v>43722</v>
      </c>
      <c r="O18" s="8">
        <v>14142</v>
      </c>
      <c r="P18" s="8">
        <v>16684</v>
      </c>
      <c r="Q18" s="8">
        <v>16243</v>
      </c>
      <c r="R18" s="8">
        <v>61696</v>
      </c>
      <c r="S18" s="8">
        <v>18659</v>
      </c>
      <c r="T18" s="8">
        <v>18301</v>
      </c>
      <c r="U18" s="8">
        <v>17691</v>
      </c>
      <c r="V18" s="8">
        <v>72544</v>
      </c>
      <c r="W18" s="8">
        <v>25354</v>
      </c>
    </row>
    <row r="19" spans="1:23" x14ac:dyDescent="0.3">
      <c r="A19" s="7" t="s">
        <v>7970</v>
      </c>
      <c r="B19" s="8">
        <v>23400</v>
      </c>
      <c r="C19" s="8">
        <v>6500</v>
      </c>
      <c r="D19" s="8">
        <v>7900</v>
      </c>
      <c r="E19" s="8">
        <v>6500</v>
      </c>
      <c r="F19" s="8">
        <v>26900</v>
      </c>
      <c r="G19" s="8">
        <v>5800</v>
      </c>
      <c r="H19" s="8">
        <v>5100</v>
      </c>
      <c r="I19" s="8">
        <v>5300</v>
      </c>
      <c r="J19" s="8">
        <v>21700</v>
      </c>
      <c r="K19" s="8">
        <v>5500</v>
      </c>
      <c r="L19" s="8">
        <v>7900</v>
      </c>
      <c r="M19" s="8">
        <v>7400</v>
      </c>
      <c r="N19" s="8">
        <v>29300</v>
      </c>
      <c r="O19" s="8">
        <v>10000</v>
      </c>
      <c r="P19" s="8">
        <v>11300</v>
      </c>
      <c r="Q19" s="8">
        <v>9500</v>
      </c>
    </row>
    <row r="20" spans="1:23" x14ac:dyDescent="0.3">
      <c r="A20" s="7" t="s">
        <v>7971</v>
      </c>
      <c r="F20" s="8">
        <v>2538</v>
      </c>
      <c r="J20" s="8">
        <v>3647</v>
      </c>
      <c r="L20" s="8">
        <v>1606</v>
      </c>
      <c r="M20" s="8">
        <v>1247</v>
      </c>
      <c r="N20" s="8">
        <v>4755</v>
      </c>
      <c r="O20" s="8">
        <v>675</v>
      </c>
      <c r="P20" s="8">
        <v>860</v>
      </c>
      <c r="Q20" s="8">
        <v>594</v>
      </c>
      <c r="R20" s="8">
        <v>5658</v>
      </c>
      <c r="S20" s="8">
        <v>2244</v>
      </c>
      <c r="T20" s="8">
        <v>4381</v>
      </c>
      <c r="U20" s="8">
        <v>3518</v>
      </c>
      <c r="V20" s="8">
        <v>12971</v>
      </c>
      <c r="W20" s="8">
        <v>6995</v>
      </c>
    </row>
    <row r="21" spans="1:23" x14ac:dyDescent="0.3">
      <c r="A21" s="7" t="s">
        <v>7972</v>
      </c>
      <c r="B21" s="8">
        <v>425.32299999999998</v>
      </c>
      <c r="C21" s="8">
        <v>128</v>
      </c>
      <c r="D21" s="8">
        <v>61</v>
      </c>
      <c r="E21" s="8">
        <v>177</v>
      </c>
      <c r="F21" s="8">
        <v>631.649</v>
      </c>
      <c r="G21" s="8">
        <v>454</v>
      </c>
      <c r="H21" s="8">
        <v>448</v>
      </c>
      <c r="I21" s="8">
        <v>182</v>
      </c>
      <c r="J21" s="8">
        <v>1446</v>
      </c>
      <c r="K21" s="8">
        <v>1477</v>
      </c>
      <c r="L21" s="8">
        <v>1553</v>
      </c>
      <c r="M21" s="8">
        <v>1294</v>
      </c>
      <c r="N21" s="8">
        <v>6196</v>
      </c>
      <c r="O21" s="8">
        <v>1379</v>
      </c>
      <c r="P21" s="8">
        <v>2082</v>
      </c>
      <c r="Q21" s="8">
        <v>1786</v>
      </c>
      <c r="R21" s="8">
        <v>7382</v>
      </c>
      <c r="S21" s="8">
        <v>1839</v>
      </c>
      <c r="T21" s="8">
        <v>2118</v>
      </c>
      <c r="U21" s="8">
        <v>1907</v>
      </c>
      <c r="V21" s="8">
        <v>7264</v>
      </c>
      <c r="W21" s="8">
        <v>2950</v>
      </c>
    </row>
    <row r="22" spans="1:23" x14ac:dyDescent="0.3">
      <c r="A22" s="7" t="s">
        <v>7973</v>
      </c>
      <c r="B22" s="8">
        <v>1092.703</v>
      </c>
      <c r="C22" s="8">
        <v>536</v>
      </c>
      <c r="D22" s="8">
        <v>619</v>
      </c>
      <c r="E22" s="8">
        <v>706</v>
      </c>
      <c r="F22" s="8">
        <v>2538.0990000000002</v>
      </c>
      <c r="G22" s="8">
        <v>966</v>
      </c>
      <c r="H22" s="8">
        <v>883</v>
      </c>
      <c r="I22" s="8">
        <v>964</v>
      </c>
      <c r="J22" s="8">
        <v>3647</v>
      </c>
      <c r="K22" s="8">
        <v>1258</v>
      </c>
      <c r="L22" s="8">
        <v>1606</v>
      </c>
      <c r="M22" s="8">
        <v>1247</v>
      </c>
      <c r="O22" s="8">
        <v>675</v>
      </c>
    </row>
    <row r="24" spans="1:23" x14ac:dyDescent="0.3">
      <c r="A24" s="6" t="s">
        <v>7974</v>
      </c>
    </row>
    <row r="25" spans="1:23" x14ac:dyDescent="0.3">
      <c r="A25" s="7" t="s">
        <v>7968</v>
      </c>
      <c r="N25" s="8">
        <v>24316</v>
      </c>
      <c r="P25" s="8">
        <v>34894</v>
      </c>
      <c r="Q25" s="8">
        <v>37023</v>
      </c>
      <c r="R25" s="8">
        <v>72115</v>
      </c>
      <c r="S25" s="8">
        <v>73023</v>
      </c>
      <c r="T25" s="8">
        <v>190854</v>
      </c>
      <c r="U25" s="8">
        <v>197635</v>
      </c>
      <c r="V25" s="8">
        <v>197866</v>
      </c>
      <c r="W25" s="8">
        <v>202300</v>
      </c>
    </row>
    <row r="26" spans="1:23" x14ac:dyDescent="0.3">
      <c r="A26" s="7" t="s">
        <v>7970</v>
      </c>
      <c r="N26" s="8">
        <v>2212</v>
      </c>
      <c r="P26" s="8">
        <v>2550</v>
      </c>
      <c r="Q26" s="8">
        <v>2663</v>
      </c>
      <c r="R26" s="8">
        <v>2523</v>
      </c>
      <c r="S26" s="8">
        <v>3744</v>
      </c>
      <c r="T26" s="8">
        <v>4057</v>
      </c>
      <c r="U26" s="8">
        <v>4441</v>
      </c>
      <c r="V26" s="8">
        <v>4635</v>
      </c>
    </row>
    <row r="27" spans="1:23" x14ac:dyDescent="0.3">
      <c r="A27" s="7" t="s">
        <v>7975</v>
      </c>
      <c r="R27" s="8">
        <v>17101</v>
      </c>
      <c r="S27" s="8">
        <v>18708</v>
      </c>
      <c r="T27" s="8">
        <v>19759</v>
      </c>
      <c r="U27" s="8">
        <v>20201</v>
      </c>
      <c r="V27" s="8">
        <v>20263</v>
      </c>
    </row>
    <row r="28" spans="1:23" x14ac:dyDescent="0.3">
      <c r="A28" s="7" t="s">
        <v>7976</v>
      </c>
      <c r="N28" s="8">
        <v>12153</v>
      </c>
      <c r="P28" s="8">
        <v>11591</v>
      </c>
      <c r="Q28" s="8">
        <v>11930</v>
      </c>
      <c r="R28" s="8">
        <v>10950</v>
      </c>
      <c r="S28" s="8">
        <v>11261</v>
      </c>
      <c r="T28" s="8">
        <v>12030</v>
      </c>
      <c r="U28" s="8">
        <v>12133</v>
      </c>
      <c r="V28" s="8">
        <v>12004</v>
      </c>
    </row>
    <row r="29" spans="1:23" x14ac:dyDescent="0.3">
      <c r="A29" s="7" t="s">
        <v>7977</v>
      </c>
      <c r="N29" s="8">
        <v>14394</v>
      </c>
      <c r="P29" s="8">
        <v>14171</v>
      </c>
      <c r="Q29" s="8">
        <v>18477</v>
      </c>
      <c r="R29" s="8">
        <v>17101</v>
      </c>
    </row>
    <row r="30" spans="1:23" x14ac:dyDescent="0.3">
      <c r="A30" s="7" t="s">
        <v>7972</v>
      </c>
      <c r="N30" s="8">
        <v>29</v>
      </c>
      <c r="P30" s="8">
        <v>30</v>
      </c>
      <c r="Q30" s="8">
        <v>30</v>
      </c>
      <c r="R30" s="8">
        <v>29</v>
      </c>
      <c r="S30" s="8">
        <v>30</v>
      </c>
      <c r="T30" s="8">
        <v>29</v>
      </c>
      <c r="U30" s="8">
        <v>29</v>
      </c>
      <c r="V30" s="8">
        <v>29</v>
      </c>
    </row>
    <row r="31" spans="1:23" x14ac:dyDescent="0.3">
      <c r="A31" s="7" t="s">
        <v>7978</v>
      </c>
      <c r="V31" s="8">
        <v>20300</v>
      </c>
      <c r="W31" s="8">
        <v>21100</v>
      </c>
    </row>
    <row r="32" spans="1:23" x14ac:dyDescent="0.3">
      <c r="A32" s="7" t="s">
        <v>7979</v>
      </c>
      <c r="Q32" s="8">
        <v>3854</v>
      </c>
      <c r="R32" s="8">
        <v>3599</v>
      </c>
      <c r="S32" s="8">
        <v>3673</v>
      </c>
      <c r="T32" s="8">
        <v>3643</v>
      </c>
      <c r="U32" s="8">
        <v>3598</v>
      </c>
      <c r="V32" s="8">
        <v>3595</v>
      </c>
    </row>
    <row r="36" spans="1:18" x14ac:dyDescent="0.3">
      <c r="A36" s="3" t="s">
        <v>7980</v>
      </c>
    </row>
    <row r="37" spans="1:18" x14ac:dyDescent="0.3">
      <c r="A37" s="4" t="s">
        <v>7964</v>
      </c>
      <c r="B37" s="5" t="s">
        <v>22</v>
      </c>
      <c r="C37" s="5" t="s">
        <v>23</v>
      </c>
      <c r="D37" s="5" t="s">
        <v>24</v>
      </c>
      <c r="E37" s="5" t="s">
        <v>26</v>
      </c>
      <c r="F37" s="5" t="s">
        <v>27</v>
      </c>
      <c r="G37" s="5" t="s">
        <v>28</v>
      </c>
      <c r="H37" s="5" t="s">
        <v>30</v>
      </c>
      <c r="I37" s="5" t="s">
        <v>33</v>
      </c>
      <c r="J37" s="5" t="s">
        <v>34</v>
      </c>
      <c r="K37" s="5" t="s">
        <v>4943</v>
      </c>
      <c r="L37" s="5" t="s">
        <v>6453</v>
      </c>
      <c r="M37" s="5" t="s">
        <v>36</v>
      </c>
      <c r="N37" s="5" t="s">
        <v>37</v>
      </c>
      <c r="O37" s="5" t="s">
        <v>38</v>
      </c>
      <c r="P37" s="5" t="s">
        <v>40</v>
      </c>
      <c r="Q37" s="5" t="s">
        <v>42</v>
      </c>
      <c r="R37" s="5" t="s">
        <v>43</v>
      </c>
    </row>
    <row r="38" spans="1:18" x14ac:dyDescent="0.3">
      <c r="A38" s="6" t="s">
        <v>7981</v>
      </c>
    </row>
    <row r="39" spans="1:18" x14ac:dyDescent="0.3">
      <c r="A39" s="7" t="s">
        <v>7982</v>
      </c>
      <c r="B39" s="9">
        <v>0.47599999999999998</v>
      </c>
      <c r="D39" s="9">
        <v>0.312</v>
      </c>
      <c r="E39" s="9">
        <v>0.47599999999999998</v>
      </c>
      <c r="F39" s="9">
        <v>0.60200000000000009</v>
      </c>
      <c r="G39" s="9">
        <v>0.56700000000000006</v>
      </c>
      <c r="H39" s="9">
        <v>0.64599999999999991</v>
      </c>
      <c r="I39" s="9">
        <v>0.59399999999999997</v>
      </c>
      <c r="J39" s="9">
        <v>0.59200000000000008</v>
      </c>
      <c r="K39" s="9">
        <v>0.52900000000000003</v>
      </c>
      <c r="L39" s="9">
        <v>0.47</v>
      </c>
      <c r="M39" s="9">
        <v>0.54700000000000004</v>
      </c>
      <c r="N39" s="9">
        <v>0.57600000000000007</v>
      </c>
      <c r="O39" s="9">
        <v>0.33300000000000002</v>
      </c>
      <c r="P39" s="9">
        <v>0.35399999999999998</v>
      </c>
      <c r="Q39" s="9">
        <v>0.43200000000000011</v>
      </c>
      <c r="R39" s="9">
        <v>0.59</v>
      </c>
    </row>
    <row r="40" spans="1:18" x14ac:dyDescent="0.3">
      <c r="A40" s="7" t="s">
        <v>7983</v>
      </c>
      <c r="B40" s="9">
        <v>0.72200000000000009</v>
      </c>
      <c r="C40" s="9">
        <v>0.84099999999999997</v>
      </c>
      <c r="D40" s="9">
        <v>0.55900000000000005</v>
      </c>
      <c r="E40" s="9">
        <v>0.40600000000000003</v>
      </c>
      <c r="F40" s="9">
        <v>0.185</v>
      </c>
      <c r="G40" s="9">
        <v>0.30299999999999999</v>
      </c>
      <c r="H40" s="9">
        <v>0.26500000000000001</v>
      </c>
      <c r="I40" s="9">
        <v>0.28599999999999998</v>
      </c>
      <c r="J40" s="9">
        <v>0.30599999999999999</v>
      </c>
      <c r="K40" s="9">
        <v>0.35</v>
      </c>
      <c r="L40" s="9">
        <v>0.27900000000000003</v>
      </c>
      <c r="M40" s="9">
        <v>0.33700000000000002</v>
      </c>
      <c r="N40" s="9">
        <v>0.24399999999999999</v>
      </c>
      <c r="O40" s="9">
        <v>0.55000000000000004</v>
      </c>
      <c r="P40" s="9">
        <v>0.48</v>
      </c>
      <c r="Q40" s="9">
        <v>0.46</v>
      </c>
      <c r="R40" s="9">
        <v>0.32600000000000001</v>
      </c>
    </row>
    <row r="41" spans="1:18" x14ac:dyDescent="0.3">
      <c r="A41" s="7" t="s">
        <v>7984</v>
      </c>
      <c r="B41" s="9">
        <v>0.17499999999999999</v>
      </c>
      <c r="C41" s="9">
        <v>0.159</v>
      </c>
      <c r="D41" s="9">
        <v>0.129</v>
      </c>
      <c r="E41" s="9">
        <v>0.16700000000000001</v>
      </c>
      <c r="F41" s="9">
        <v>0.129</v>
      </c>
      <c r="G41" s="9">
        <v>0.13</v>
      </c>
      <c r="H41" s="9">
        <v>8.900000000000001E-2</v>
      </c>
      <c r="I41" s="9">
        <v>0.12</v>
      </c>
      <c r="J41" s="9">
        <v>0.10199999999999999</v>
      </c>
      <c r="K41" s="9">
        <v>0.121</v>
      </c>
      <c r="L41" s="9">
        <v>0.14899999999999999</v>
      </c>
      <c r="M41" s="9">
        <v>0.11600000000000001</v>
      </c>
      <c r="N41" s="9">
        <v>5.8999999999999997E-2</v>
      </c>
      <c r="O41" s="9">
        <v>0.11700000000000001</v>
      </c>
      <c r="P41" s="9">
        <v>0.111</v>
      </c>
      <c r="Q41" s="9">
        <v>0.108</v>
      </c>
      <c r="R41" s="9">
        <v>8.5000000000000006E-2</v>
      </c>
    </row>
    <row r="42" spans="1:18" x14ac:dyDescent="0.3">
      <c r="A42" s="7" t="s">
        <v>7985</v>
      </c>
      <c r="B42" s="9">
        <v>0.10299999999999999</v>
      </c>
      <c r="E42" s="9">
        <v>0.11799999999999999</v>
      </c>
      <c r="F42" s="9">
        <v>8.4000000000000005E-2</v>
      </c>
      <c r="H42" s="9">
        <v>5.8000000000000003E-2</v>
      </c>
      <c r="I42" s="9">
        <v>5.8999999999999997E-2</v>
      </c>
      <c r="J42" s="9">
        <v>0.08</v>
      </c>
      <c r="L42" s="9">
        <v>0.10199999999999999</v>
      </c>
      <c r="M42" s="9">
        <v>8.900000000000001E-2</v>
      </c>
      <c r="N42" s="9">
        <v>0.121</v>
      </c>
      <c r="P42" s="9">
        <v>5.5E-2</v>
      </c>
      <c r="R42" s="9">
        <v>8.4000000000000005E-2</v>
      </c>
    </row>
    <row r="46" spans="1:18" x14ac:dyDescent="0.3">
      <c r="A46" s="3" t="s">
        <v>7986</v>
      </c>
    </row>
    <row r="47" spans="1:18" x14ac:dyDescent="0.3">
      <c r="A47" s="4" t="s">
        <v>7964</v>
      </c>
      <c r="B47" s="5" t="s">
        <v>4943</v>
      </c>
      <c r="C47" s="5" t="s">
        <v>6453</v>
      </c>
      <c r="D47" s="5" t="s">
        <v>36</v>
      </c>
      <c r="E47" s="5" t="s">
        <v>37</v>
      </c>
      <c r="F47" s="5" t="s">
        <v>38</v>
      </c>
      <c r="G47" s="5" t="s">
        <v>40</v>
      </c>
      <c r="H47" s="5" t="s">
        <v>42</v>
      </c>
      <c r="I47" s="5" t="s">
        <v>43</v>
      </c>
    </row>
    <row r="48" spans="1:18" x14ac:dyDescent="0.3">
      <c r="A48" s="6" t="s">
        <v>7987</v>
      </c>
    </row>
    <row r="49" spans="1:9" x14ac:dyDescent="0.3">
      <c r="A49" s="7" t="s">
        <v>7988</v>
      </c>
      <c r="C49" s="8">
        <v>513912</v>
      </c>
      <c r="D49" s="8">
        <v>2317965</v>
      </c>
      <c r="E49" s="8">
        <v>647397</v>
      </c>
      <c r="G49" s="8">
        <v>798496</v>
      </c>
      <c r="H49" s="8">
        <v>3003677</v>
      </c>
      <c r="I49" s="8">
        <v>782615</v>
      </c>
    </row>
    <row r="50" spans="1:9" x14ac:dyDescent="0.3">
      <c r="A50" s="7" t="s">
        <v>7989</v>
      </c>
      <c r="B50" s="8">
        <v>547650</v>
      </c>
      <c r="F50" s="8">
        <v>739259</v>
      </c>
    </row>
    <row r="52" spans="1:9" x14ac:dyDescent="0.3">
      <c r="A52" s="6" t="s">
        <v>7990</v>
      </c>
    </row>
    <row r="53" spans="1:9" x14ac:dyDescent="0.3">
      <c r="A53" s="7" t="s">
        <v>7988</v>
      </c>
      <c r="C53" s="8">
        <v>17015</v>
      </c>
      <c r="D53" s="8">
        <v>147638</v>
      </c>
      <c r="E53" s="8">
        <v>98690</v>
      </c>
      <c r="G53" s="8">
        <v>-51019</v>
      </c>
      <c r="H53" s="8">
        <v>218748</v>
      </c>
      <c r="I53" s="8">
        <v>110099</v>
      </c>
    </row>
    <row r="54" spans="1:9" x14ac:dyDescent="0.3">
      <c r="A54" s="7" t="s">
        <v>7989</v>
      </c>
      <c r="B54" s="8">
        <v>70659</v>
      </c>
      <c r="F54" s="8">
        <v>116424</v>
      </c>
    </row>
    <row r="56" spans="1:9" x14ac:dyDescent="0.3">
      <c r="A56" s="6" t="s">
        <v>7991</v>
      </c>
    </row>
    <row r="57" spans="1:9" x14ac:dyDescent="0.3">
      <c r="A57" s="7" t="s">
        <v>7989</v>
      </c>
      <c r="E57" s="8">
        <v>1775000</v>
      </c>
      <c r="F57" s="8">
        <v>2055589</v>
      </c>
    </row>
    <row r="58" spans="1:9" x14ac:dyDescent="0.3">
      <c r="A58" s="7" t="s">
        <v>7992</v>
      </c>
      <c r="G58" s="8">
        <v>307603</v>
      </c>
    </row>
    <row r="62" spans="1:9" x14ac:dyDescent="0.3">
      <c r="A62" s="3" t="s">
        <v>7993</v>
      </c>
    </row>
    <row r="63" spans="1:9" x14ac:dyDescent="0.3">
      <c r="A63" s="4" t="s">
        <v>7964</v>
      </c>
      <c r="B63" s="5" t="s">
        <v>38</v>
      </c>
      <c r="C63" s="5" t="s">
        <v>40</v>
      </c>
      <c r="D63" s="5" t="s">
        <v>41</v>
      </c>
      <c r="E63" s="5" t="s">
        <v>42</v>
      </c>
      <c r="F63" s="5" t="s">
        <v>43</v>
      </c>
    </row>
    <row r="64" spans="1:9" x14ac:dyDescent="0.3">
      <c r="A64" s="6" t="s">
        <v>7994</v>
      </c>
    </row>
    <row r="65" spans="1:13" x14ac:dyDescent="0.3">
      <c r="A65" s="7" t="s">
        <v>7995</v>
      </c>
      <c r="D65" s="8">
        <v>700000</v>
      </c>
    </row>
    <row r="67" spans="1:13" x14ac:dyDescent="0.3">
      <c r="A67" s="6" t="s">
        <v>7996</v>
      </c>
    </row>
    <row r="68" spans="1:13" x14ac:dyDescent="0.3">
      <c r="A68" s="7" t="s">
        <v>7995</v>
      </c>
      <c r="B68" s="9">
        <v>8.1600000000000006E-2</v>
      </c>
      <c r="C68" s="9">
        <v>7.9000000000000001E-2</v>
      </c>
      <c r="E68" s="9">
        <v>7.0900000000000005E-2</v>
      </c>
      <c r="F68" s="9">
        <v>6.7799999999999999E-2</v>
      </c>
    </row>
    <row r="72" spans="1:13" x14ac:dyDescent="0.3">
      <c r="A72" s="3" t="s">
        <v>7997</v>
      </c>
    </row>
    <row r="73" spans="1:13" x14ac:dyDescent="0.3">
      <c r="A73" s="4" t="s">
        <v>7964</v>
      </c>
      <c r="B73" s="5" t="s">
        <v>16</v>
      </c>
      <c r="C73" s="5" t="s">
        <v>17</v>
      </c>
      <c r="D73" s="5" t="s">
        <v>21</v>
      </c>
      <c r="E73" s="5" t="s">
        <v>22</v>
      </c>
      <c r="F73" s="5" t="s">
        <v>26</v>
      </c>
      <c r="G73" s="5" t="s">
        <v>27</v>
      </c>
      <c r="H73" s="5" t="s">
        <v>33</v>
      </c>
      <c r="I73" s="5" t="s">
        <v>34</v>
      </c>
      <c r="J73" s="5" t="s">
        <v>36</v>
      </c>
      <c r="K73" s="5" t="s">
        <v>37</v>
      </c>
      <c r="L73" s="5" t="s">
        <v>42</v>
      </c>
      <c r="M73" s="5" t="s">
        <v>43</v>
      </c>
    </row>
    <row r="74" spans="1:13" x14ac:dyDescent="0.3">
      <c r="A74" s="6" t="s">
        <v>7998</v>
      </c>
    </row>
    <row r="75" spans="1:13" x14ac:dyDescent="0.3">
      <c r="A75" s="7" t="s">
        <v>7999</v>
      </c>
      <c r="F75" s="10">
        <v>24.71</v>
      </c>
    </row>
    <row r="76" spans="1:13" x14ac:dyDescent="0.3">
      <c r="A76" s="7" t="s">
        <v>8000</v>
      </c>
      <c r="F76" s="10">
        <v>21.55</v>
      </c>
      <c r="H76" s="10">
        <v>32.76</v>
      </c>
    </row>
    <row r="78" spans="1:13" x14ac:dyDescent="0.3">
      <c r="A78" s="6" t="s">
        <v>8001</v>
      </c>
    </row>
    <row r="79" spans="1:13" x14ac:dyDescent="0.3">
      <c r="A79" s="7" t="s">
        <v>8002</v>
      </c>
      <c r="I79" s="8">
        <v>275000</v>
      </c>
      <c r="J79" s="8">
        <v>552000</v>
      </c>
      <c r="K79" s="8">
        <v>1074000</v>
      </c>
      <c r="L79" s="8">
        <v>1628000</v>
      </c>
      <c r="M79" s="8">
        <v>805000</v>
      </c>
    </row>
    <row r="80" spans="1:13" x14ac:dyDescent="0.3">
      <c r="A80" s="7" t="s">
        <v>7999</v>
      </c>
      <c r="C80" s="8">
        <v>468000</v>
      </c>
      <c r="D80" s="8">
        <v>573428</v>
      </c>
      <c r="E80" s="8">
        <v>189000</v>
      </c>
      <c r="F80" s="8">
        <v>248</v>
      </c>
      <c r="G80" s="8">
        <v>124000</v>
      </c>
      <c r="H80" s="8">
        <v>468000</v>
      </c>
      <c r="I80" s="8">
        <v>210000</v>
      </c>
      <c r="J80" s="8">
        <v>377000</v>
      </c>
    </row>
    <row r="81" spans="1:19" x14ac:dyDescent="0.3">
      <c r="A81" s="7" t="s">
        <v>8000</v>
      </c>
      <c r="D81" s="8">
        <v>15</v>
      </c>
      <c r="F81" s="8">
        <v>76</v>
      </c>
      <c r="I81" s="8">
        <v>65000</v>
      </c>
      <c r="J81" s="8">
        <v>175000</v>
      </c>
      <c r="K81" s="8">
        <v>142000</v>
      </c>
      <c r="L81" s="8">
        <v>142000</v>
      </c>
      <c r="M81" s="8">
        <v>67000</v>
      </c>
    </row>
    <row r="82" spans="1:19" x14ac:dyDescent="0.3">
      <c r="A82" s="7" t="s">
        <v>8003</v>
      </c>
      <c r="B82" s="8">
        <v>175737</v>
      </c>
    </row>
    <row r="83" spans="1:19" x14ac:dyDescent="0.3">
      <c r="A83" s="7" t="s">
        <v>8004</v>
      </c>
      <c r="D83" s="8">
        <v>15468</v>
      </c>
    </row>
    <row r="85" spans="1:19" x14ac:dyDescent="0.3">
      <c r="A85" s="6" t="s">
        <v>8005</v>
      </c>
    </row>
    <row r="86" spans="1:19" x14ac:dyDescent="0.3">
      <c r="A86" s="7" t="s">
        <v>8002</v>
      </c>
      <c r="I86" s="8">
        <v>510000</v>
      </c>
      <c r="J86" s="8">
        <v>803000</v>
      </c>
      <c r="K86" s="8">
        <v>249000</v>
      </c>
      <c r="L86" s="8">
        <v>470000</v>
      </c>
      <c r="M86" s="8">
        <v>478000</v>
      </c>
    </row>
    <row r="87" spans="1:19" x14ac:dyDescent="0.3">
      <c r="A87" s="7" t="s">
        <v>7999</v>
      </c>
      <c r="D87" s="8">
        <v>18758</v>
      </c>
      <c r="E87" s="8">
        <v>111000</v>
      </c>
      <c r="F87" s="8">
        <v>205</v>
      </c>
      <c r="G87" s="8">
        <v>157000</v>
      </c>
      <c r="H87" s="8">
        <v>670000</v>
      </c>
      <c r="I87" s="8">
        <v>510000</v>
      </c>
      <c r="J87" s="8">
        <v>715000</v>
      </c>
    </row>
    <row r="88" spans="1:19" x14ac:dyDescent="0.3">
      <c r="A88" s="7" t="s">
        <v>8000</v>
      </c>
      <c r="F88" s="8">
        <v>15</v>
      </c>
      <c r="H88" s="8">
        <v>92000</v>
      </c>
      <c r="J88" s="8">
        <v>78000</v>
      </c>
    </row>
    <row r="89" spans="1:19" x14ac:dyDescent="0.3">
      <c r="A89" s="7" t="s">
        <v>8003</v>
      </c>
      <c r="B89" s="8">
        <v>170145</v>
      </c>
      <c r="D89" s="8">
        <v>18913</v>
      </c>
    </row>
    <row r="93" spans="1:19" x14ac:dyDescent="0.3">
      <c r="A93" s="3" t="s">
        <v>8006</v>
      </c>
    </row>
    <row r="94" spans="1:19" x14ac:dyDescent="0.3">
      <c r="A94" s="4" t="s">
        <v>7964</v>
      </c>
      <c r="B94" s="5" t="s">
        <v>16</v>
      </c>
      <c r="C94" s="5" t="s">
        <v>21</v>
      </c>
      <c r="D94" s="5" t="s">
        <v>22</v>
      </c>
      <c r="E94" s="5" t="s">
        <v>23</v>
      </c>
      <c r="F94" s="5" t="s">
        <v>24</v>
      </c>
      <c r="G94" s="5" t="s">
        <v>26</v>
      </c>
      <c r="H94" s="5" t="s">
        <v>27</v>
      </c>
      <c r="I94" s="5" t="s">
        <v>28</v>
      </c>
      <c r="J94" s="5" t="s">
        <v>30</v>
      </c>
      <c r="K94" s="5" t="s">
        <v>33</v>
      </c>
      <c r="L94" s="5" t="s">
        <v>34</v>
      </c>
      <c r="M94" s="5" t="s">
        <v>4943</v>
      </c>
      <c r="N94" s="5" t="s">
        <v>6453</v>
      </c>
      <c r="O94" s="5" t="s">
        <v>36</v>
      </c>
      <c r="P94" s="5" t="s">
        <v>37</v>
      </c>
      <c r="Q94" s="5" t="s">
        <v>38</v>
      </c>
      <c r="R94" s="5" t="s">
        <v>40</v>
      </c>
      <c r="S94" s="5" t="s">
        <v>42</v>
      </c>
    </row>
    <row r="95" spans="1:19" x14ac:dyDescent="0.3">
      <c r="A95" s="6" t="s">
        <v>8007</v>
      </c>
    </row>
    <row r="96" spans="1:19" x14ac:dyDescent="0.3">
      <c r="A96" s="7" t="s">
        <v>8008</v>
      </c>
      <c r="B96" s="8">
        <v>394.41800000000001</v>
      </c>
      <c r="C96" s="8">
        <v>3051.9380000000001</v>
      </c>
      <c r="D96" s="8">
        <v>3561</v>
      </c>
      <c r="E96" s="8">
        <v>4944</v>
      </c>
      <c r="F96" s="8">
        <v>5505</v>
      </c>
      <c r="G96" s="8">
        <v>9885</v>
      </c>
      <c r="H96" s="8">
        <v>11848</v>
      </c>
      <c r="I96" s="8">
        <v>14962</v>
      </c>
      <c r="J96" s="8">
        <v>18703</v>
      </c>
      <c r="K96" s="8">
        <v>21908</v>
      </c>
      <c r="L96" s="8">
        <v>26110</v>
      </c>
      <c r="M96" s="8">
        <v>34844</v>
      </c>
      <c r="N96" s="8">
        <v>36573</v>
      </c>
      <c r="O96" s="8">
        <v>39231</v>
      </c>
      <c r="P96" s="8">
        <v>43441</v>
      </c>
      <c r="Q96" s="8">
        <v>52892</v>
      </c>
      <c r="R96" s="8">
        <v>57158</v>
      </c>
      <c r="S96" s="8">
        <v>60615</v>
      </c>
    </row>
    <row r="97" spans="1:19" x14ac:dyDescent="0.3">
      <c r="A97" s="7" t="s">
        <v>8009</v>
      </c>
      <c r="B97" s="8">
        <v>78.123999999999995</v>
      </c>
      <c r="C97" s="8">
        <v>304.20999999999998</v>
      </c>
      <c r="D97" s="8">
        <v>456</v>
      </c>
      <c r="E97" s="8">
        <v>739</v>
      </c>
      <c r="F97" s="8">
        <v>1013</v>
      </c>
      <c r="G97" s="8">
        <v>1257</v>
      </c>
      <c r="H97" s="8">
        <v>1524</v>
      </c>
      <c r="I97" s="8">
        <v>2596</v>
      </c>
      <c r="J97" s="8">
        <v>4617</v>
      </c>
      <c r="K97" s="8">
        <v>6143</v>
      </c>
      <c r="L97" s="8">
        <v>6294</v>
      </c>
      <c r="M97" s="8">
        <v>6687</v>
      </c>
      <c r="N97" s="8">
        <v>9070</v>
      </c>
      <c r="O97" s="8">
        <v>12237</v>
      </c>
      <c r="P97" s="8">
        <v>12237</v>
      </c>
      <c r="Q97" s="8">
        <v>14828</v>
      </c>
      <c r="R97" s="8">
        <v>14919</v>
      </c>
      <c r="S97" s="8">
        <v>17501</v>
      </c>
    </row>
    <row r="98" spans="1:19" x14ac:dyDescent="0.3">
      <c r="A98" s="7" t="s">
        <v>8010</v>
      </c>
      <c r="O98" s="8">
        <v>10136</v>
      </c>
      <c r="P98" s="8">
        <v>11683</v>
      </c>
      <c r="Q98" s="8">
        <v>16585</v>
      </c>
      <c r="R98" s="8">
        <v>22430</v>
      </c>
      <c r="S98" s="8">
        <v>14631</v>
      </c>
    </row>
    <row r="99" spans="1:19" x14ac:dyDescent="0.3">
      <c r="A99" s="7" t="s">
        <v>8011</v>
      </c>
      <c r="B99" s="8">
        <v>630.75900000000001</v>
      </c>
      <c r="C99" s="8">
        <v>890.69500000000005</v>
      </c>
      <c r="D99" s="8">
        <v>968</v>
      </c>
      <c r="E99" s="8">
        <v>996</v>
      </c>
      <c r="F99" s="8">
        <v>1177</v>
      </c>
      <c r="G99" s="8">
        <v>1124</v>
      </c>
      <c r="H99" s="8">
        <v>1158</v>
      </c>
      <c r="I99" s="8">
        <v>1286</v>
      </c>
      <c r="J99" s="8">
        <v>1399</v>
      </c>
      <c r="K99" s="8">
        <v>1467</v>
      </c>
      <c r="L99" s="8">
        <v>1571</v>
      </c>
      <c r="M99" s="8">
        <v>1623</v>
      </c>
      <c r="N99" s="8">
        <v>1632</v>
      </c>
      <c r="O99" s="8">
        <v>2228</v>
      </c>
      <c r="P99" s="8">
        <v>1681</v>
      </c>
      <c r="Q99" s="8">
        <v>1846</v>
      </c>
      <c r="R99" s="8">
        <v>2880</v>
      </c>
      <c r="S99" s="8">
        <v>3570</v>
      </c>
    </row>
    <row r="100" spans="1:19" x14ac:dyDescent="0.3">
      <c r="A100" s="7" t="s">
        <v>8012</v>
      </c>
      <c r="O100" s="8">
        <v>2561</v>
      </c>
      <c r="P100" s="8">
        <v>2375</v>
      </c>
      <c r="Q100" s="8">
        <v>2439</v>
      </c>
      <c r="R100" s="8">
        <v>2443</v>
      </c>
      <c r="S100" s="8">
        <v>2523</v>
      </c>
    </row>
    <row r="101" spans="1:19" x14ac:dyDescent="0.3">
      <c r="A101" s="7" t="s">
        <v>8013</v>
      </c>
      <c r="S101" s="8">
        <v>11187</v>
      </c>
    </row>
    <row r="105" spans="1:19" x14ac:dyDescent="0.3">
      <c r="A105" s="3" t="s">
        <v>8014</v>
      </c>
    </row>
    <row r="106" spans="1:19" x14ac:dyDescent="0.3">
      <c r="A106" s="4" t="s">
        <v>7964</v>
      </c>
      <c r="B106" s="5" t="s">
        <v>36</v>
      </c>
      <c r="C106" s="5" t="s">
        <v>38</v>
      </c>
      <c r="D106" s="5" t="s">
        <v>40</v>
      </c>
      <c r="E106" s="5" t="s">
        <v>42</v>
      </c>
      <c r="F106" s="5" t="s">
        <v>43</v>
      </c>
    </row>
    <row r="107" spans="1:19" x14ac:dyDescent="0.3">
      <c r="A107" s="6" t="s">
        <v>8015</v>
      </c>
    </row>
    <row r="108" spans="1:19" x14ac:dyDescent="0.3">
      <c r="A108" s="7" t="s">
        <v>8016</v>
      </c>
      <c r="B108" s="8">
        <v>13970</v>
      </c>
      <c r="C108" s="8">
        <v>126644</v>
      </c>
      <c r="D108" s="8">
        <v>132171</v>
      </c>
      <c r="E108" s="8">
        <v>132183</v>
      </c>
      <c r="F108" s="8">
        <v>131865</v>
      </c>
    </row>
    <row r="109" spans="1:19" x14ac:dyDescent="0.3">
      <c r="A109" s="7" t="s">
        <v>8017</v>
      </c>
      <c r="B109" s="8">
        <v>500</v>
      </c>
      <c r="C109" s="8">
        <v>500</v>
      </c>
      <c r="D109" s="8">
        <v>500</v>
      </c>
      <c r="E109" s="8">
        <v>500</v>
      </c>
      <c r="F109" s="8">
        <v>500</v>
      </c>
    </row>
    <row r="113" spans="1:1" x14ac:dyDescent="0.3">
      <c r="A113" s="3" t="s">
        <v>8018</v>
      </c>
    </row>
    <row r="114" spans="1:1" x14ac:dyDescent="0.3">
      <c r="A114" s="2" t="s">
        <v>8019</v>
      </c>
    </row>
    <row r="116" spans="1:1" x14ac:dyDescent="0.3">
      <c r="A116" s="7" t="s">
        <v>8020</v>
      </c>
    </row>
  </sheetData>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72</vt:i4>
      </vt:variant>
    </vt:vector>
  </HeadingPairs>
  <TitlesOfParts>
    <vt:vector size="72" baseType="lpstr">
      <vt:lpstr>KPI Consolidated</vt:lpstr>
      <vt:lpstr>01 2018Q3 Earnings</vt:lpstr>
      <vt:lpstr>02 2018Q4 Earnings</vt:lpstr>
      <vt:lpstr>03 2019Q1 Earnings</vt:lpstr>
      <vt:lpstr>04 2019Q2 Earnings</vt:lpstr>
      <vt:lpstr>05 2019Q3 Earnings</vt:lpstr>
      <vt:lpstr>06 2019Q4 Earnings</vt:lpstr>
      <vt:lpstr>07 Q1 2020 Earnings</vt:lpstr>
      <vt:lpstr>08 Q2 2020 Earnings</vt:lpstr>
      <vt:lpstr>09 LD Micro Conf</vt:lpstr>
      <vt:lpstr>10 Q3 2020 Earnings</vt:lpstr>
      <vt:lpstr>11 UBS Conference</vt:lpstr>
      <vt:lpstr>12 2020Q4 Earnings</vt:lpstr>
      <vt:lpstr>13 Q1 2021 Earnings</vt:lpstr>
      <vt:lpstr>14 2021Q2 Earnings</vt:lpstr>
      <vt:lpstr>15 Annual Shareholder Mtg</vt:lpstr>
      <vt:lpstr>16 2021Q3 Earnings</vt:lpstr>
      <vt:lpstr>17 Jefferies Conference</vt:lpstr>
      <vt:lpstr>18 Morgan Stanley Conf</vt:lpstr>
      <vt:lpstr>19 Q4 2021 Earnings</vt:lpstr>
      <vt:lpstr>20 2022Q1 Earnings</vt:lpstr>
      <vt:lpstr>21 Credit Suisse Conf</vt:lpstr>
      <vt:lpstr>22 Annual Shareholder Mtg</vt:lpstr>
      <vt:lpstr>23 Evercore Conference</vt:lpstr>
      <vt:lpstr>24 Stifel Conference</vt:lpstr>
      <vt:lpstr>25 PepsiCo Distribution</vt:lpstr>
      <vt:lpstr>26 2022Q2 Earnings</vt:lpstr>
      <vt:lpstr>27 2022Q3 Earnings</vt:lpstr>
      <vt:lpstr>28 2022Q4 Earnings</vt:lpstr>
      <vt:lpstr>29 2023Q1 Earnings</vt:lpstr>
      <vt:lpstr>30 Goldman Sachs Conference</vt:lpstr>
      <vt:lpstr>31 Annual General Meeting</vt:lpstr>
      <vt:lpstr>32 Stifel Conference</vt:lpstr>
      <vt:lpstr>33 Evercore Conference</vt:lpstr>
      <vt:lpstr>34 2023Q2 Earnings</vt:lpstr>
      <vt:lpstr>35 Barclays Conf 2023-09</vt:lpstr>
      <vt:lpstr>36 Piper Sandler Conf 09-13</vt:lpstr>
      <vt:lpstr>37 2023Q3 Earnings</vt:lpstr>
      <vt:lpstr>38 Stephens Conf 2023-11</vt:lpstr>
      <vt:lpstr>39 Morgan Stanley Conf 12-06</vt:lpstr>
      <vt:lpstr>40 2023Q4 Earnings</vt:lpstr>
      <vt:lpstr>41 UBS Conference</vt:lpstr>
      <vt:lpstr>42 Q1 2024 Earnings</vt:lpstr>
      <vt:lpstr>43 Goldman Sachs 2024-05-14</vt:lpstr>
      <vt:lpstr>44 William Blair 2024-06-04</vt:lpstr>
      <vt:lpstr>45 Evercore ISI 2024-06-11</vt:lpstr>
      <vt:lpstr>46 2024Q2 Earnings</vt:lpstr>
      <vt:lpstr>47 Barclays Conf 2024-09</vt:lpstr>
      <vt:lpstr>48 Piper Sandler Conf</vt:lpstr>
      <vt:lpstr>49 2024Q3 Earnings</vt:lpstr>
      <vt:lpstr>50 Morgan Stanley Conf</vt:lpstr>
      <vt:lpstr>51 2024Q4 Earnings</vt:lpstr>
      <vt:lpstr>52 CAGNY Conf 2025-02-21</vt:lpstr>
      <vt:lpstr>53 UBS Conf 2025-03-12</vt:lpstr>
      <vt:lpstr>54 ROTH Conf 2025-03-18</vt:lpstr>
      <vt:lpstr>55 2025Q1 Earnings</vt:lpstr>
      <vt:lpstr>56 Goldman Sachs Conf</vt:lpstr>
      <vt:lpstr>57 Acquiring Alani Nu</vt:lpstr>
      <vt:lpstr>58 Deutsche Bank Conf</vt:lpstr>
      <vt:lpstr>59 William Blair Conf</vt:lpstr>
      <vt:lpstr>60 2025Q2 Earnings</vt:lpstr>
      <vt:lpstr>61 Barclays Conf 2025-09</vt:lpstr>
      <vt:lpstr>62 Piper Sandler 2025-09</vt:lpstr>
      <vt:lpstr>63 2025Q3 Earnings</vt:lpstr>
      <vt:lpstr>64 Morgan Stanley 2025-12</vt:lpstr>
      <vt:lpstr>65 CAGNY Conf 2026-02</vt:lpstr>
      <vt:lpstr>66 2025Q4 Earnings PR</vt:lpstr>
      <vt:lpstr>67 2025Q4 Earnings</vt:lpstr>
      <vt:lpstr>68 UBS Conference</vt:lpstr>
      <vt:lpstr>69 2026Q1 Earnings</vt:lpstr>
      <vt:lpstr> Transcript Reports</vt:lpstr>
      <vt:lpstr>Disclosures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Gabriel Rodino</cp:lastModifiedBy>
  <dcterms:created xsi:type="dcterms:W3CDTF">2026-05-10T21:31:38Z</dcterms:created>
  <dcterms:modified xsi:type="dcterms:W3CDTF">2026-05-17T16:00:37Z</dcterms:modified>
</cp:coreProperties>
</file>