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KPI Consolidated" sheetId="1" state="visible" r:id="rId1"/>
    <sheet xmlns:r="http://schemas.openxmlformats.org/officeDocument/2006/relationships" name="69 2026Q1 Earnings" sheetId="2" state="visible" r:id="rId2"/>
    <sheet xmlns:r="http://schemas.openxmlformats.org/officeDocument/2006/relationships" name="68 UBS Conference" sheetId="3" state="visible" r:id="rId3"/>
    <sheet xmlns:r="http://schemas.openxmlformats.org/officeDocument/2006/relationships" name="67 2025Q4 Earnings" sheetId="4" state="visible" r:id="rId4"/>
    <sheet xmlns:r="http://schemas.openxmlformats.org/officeDocument/2006/relationships" name="66 2025Q4 Earnings PR" sheetId="5" state="visible" r:id="rId5"/>
    <sheet xmlns:r="http://schemas.openxmlformats.org/officeDocument/2006/relationships" name="65 CAGNY Conf 2026-02" sheetId="6" state="visible" r:id="rId6"/>
    <sheet xmlns:r="http://schemas.openxmlformats.org/officeDocument/2006/relationships" name="64 Morgan Stanley 2025-12" sheetId="7" state="visible" r:id="rId7"/>
    <sheet xmlns:r="http://schemas.openxmlformats.org/officeDocument/2006/relationships" name="63 2025Q3 Earnings" sheetId="8" state="visible" r:id="rId8"/>
    <sheet xmlns:r="http://schemas.openxmlformats.org/officeDocument/2006/relationships" name="62 Piper Sandler 2025-09" sheetId="9" state="visible" r:id="rId9"/>
    <sheet xmlns:r="http://schemas.openxmlformats.org/officeDocument/2006/relationships" name="61 Barclays Conf 2025-09" sheetId="10" state="visible" r:id="rId10"/>
    <sheet xmlns:r="http://schemas.openxmlformats.org/officeDocument/2006/relationships" name="60 2025Q2 Earnings" sheetId="11" state="visible" r:id="rId11"/>
    <sheet xmlns:r="http://schemas.openxmlformats.org/officeDocument/2006/relationships" name="59 William Blair Conf" sheetId="12" state="visible" r:id="rId12"/>
    <sheet xmlns:r="http://schemas.openxmlformats.org/officeDocument/2006/relationships" name="58 Deutsche Bank Conf" sheetId="13" state="visible" r:id="rId13"/>
    <sheet xmlns:r="http://schemas.openxmlformats.org/officeDocument/2006/relationships" name="57 Acquiring Alani Nu" sheetId="14" state="visible" r:id="rId14"/>
    <sheet xmlns:r="http://schemas.openxmlformats.org/officeDocument/2006/relationships" name="56 Goldman Sachs Conf" sheetId="15" state="visible" r:id="rId15"/>
    <sheet xmlns:r="http://schemas.openxmlformats.org/officeDocument/2006/relationships" name="55 2025Q1 Earnings" sheetId="16" state="visible" r:id="rId16"/>
    <sheet xmlns:r="http://schemas.openxmlformats.org/officeDocument/2006/relationships" name="54 ROTH Conf 2025-03-18" sheetId="17" state="visible" r:id="rId17"/>
    <sheet xmlns:r="http://schemas.openxmlformats.org/officeDocument/2006/relationships" name="53 UBS Conf 2025-03-12" sheetId="18" state="visible" r:id="rId18"/>
    <sheet xmlns:r="http://schemas.openxmlformats.org/officeDocument/2006/relationships" name="52 CAGNY Conf 2025-02-21" sheetId="19" state="visible" r:id="rId19"/>
    <sheet xmlns:r="http://schemas.openxmlformats.org/officeDocument/2006/relationships" name="51 2024Q4 Earnings" sheetId="20" state="visible" r:id="rId20"/>
    <sheet xmlns:r="http://schemas.openxmlformats.org/officeDocument/2006/relationships" name="50 Morgan Stanley Conf" sheetId="21" state="visible" r:id="rId21"/>
    <sheet xmlns:r="http://schemas.openxmlformats.org/officeDocument/2006/relationships" name="49 2024Q3 Earnings" sheetId="22" state="visible" r:id="rId22"/>
    <sheet xmlns:r="http://schemas.openxmlformats.org/officeDocument/2006/relationships" name="48 Piper Sandler Conf" sheetId="23" state="visible" r:id="rId23"/>
    <sheet xmlns:r="http://schemas.openxmlformats.org/officeDocument/2006/relationships" name="47 Barclays Conf 2024-09" sheetId="24" state="visible" r:id="rId24"/>
    <sheet xmlns:r="http://schemas.openxmlformats.org/officeDocument/2006/relationships" name="46 2024Q2 Earnings" sheetId="25" state="visible" r:id="rId25"/>
    <sheet xmlns:r="http://schemas.openxmlformats.org/officeDocument/2006/relationships" name="45 Evercore ISI 2024-06-11" sheetId="26" state="visible" r:id="rId26"/>
    <sheet xmlns:r="http://schemas.openxmlformats.org/officeDocument/2006/relationships" name="44 William Blair 2024-06-04" sheetId="27" state="visible" r:id="rId27"/>
    <sheet xmlns:r="http://schemas.openxmlformats.org/officeDocument/2006/relationships" name="43 Goldman Sachs 2024-05-14" sheetId="28" state="visible" r:id="rId28"/>
    <sheet xmlns:r="http://schemas.openxmlformats.org/officeDocument/2006/relationships" name="42 Q1 2024 Earnings" sheetId="29" state="visible" r:id="rId29"/>
    <sheet xmlns:r="http://schemas.openxmlformats.org/officeDocument/2006/relationships" name="41 UBS Conference" sheetId="30" state="visible" r:id="rId30"/>
    <sheet xmlns:r="http://schemas.openxmlformats.org/officeDocument/2006/relationships" name="40 2023Q4 Earnings" sheetId="31" state="visible" r:id="rId31"/>
    <sheet xmlns:r="http://schemas.openxmlformats.org/officeDocument/2006/relationships" name="39 Morgan Stanley Conf 12-06" sheetId="32" state="visible" r:id="rId32"/>
    <sheet xmlns:r="http://schemas.openxmlformats.org/officeDocument/2006/relationships" name="38 Stephens Conf 2023-11" sheetId="33" state="visible" r:id="rId33"/>
    <sheet xmlns:r="http://schemas.openxmlformats.org/officeDocument/2006/relationships" name="37 2023Q3 Earnings" sheetId="34" state="visible" r:id="rId34"/>
    <sheet xmlns:r="http://schemas.openxmlformats.org/officeDocument/2006/relationships" name="36 Piper Sandler Conf 09-13" sheetId="35" state="visible" r:id="rId35"/>
    <sheet xmlns:r="http://schemas.openxmlformats.org/officeDocument/2006/relationships" name="35 Barclays Conf 2023-09" sheetId="36" state="visible" r:id="rId36"/>
    <sheet xmlns:r="http://schemas.openxmlformats.org/officeDocument/2006/relationships" name="34 2023Q2 Earnings" sheetId="37" state="visible" r:id="rId37"/>
    <sheet xmlns:r="http://schemas.openxmlformats.org/officeDocument/2006/relationships" name="33 Evercore Conference" sheetId="38" state="visible" r:id="rId38"/>
    <sheet xmlns:r="http://schemas.openxmlformats.org/officeDocument/2006/relationships" name="32 Stifel Conference" sheetId="39" state="visible" r:id="rId39"/>
    <sheet xmlns:r="http://schemas.openxmlformats.org/officeDocument/2006/relationships" name="31 Annual General Meeting" sheetId="40" state="visible" r:id="rId40"/>
    <sheet xmlns:r="http://schemas.openxmlformats.org/officeDocument/2006/relationships" name="30 Goldman Sachs Conference" sheetId="41" state="visible" r:id="rId41"/>
    <sheet xmlns:r="http://schemas.openxmlformats.org/officeDocument/2006/relationships" name="29 2023Q1 Earnings" sheetId="42" state="visible" r:id="rId42"/>
    <sheet xmlns:r="http://schemas.openxmlformats.org/officeDocument/2006/relationships" name="28 2022Q4 Earnings" sheetId="43" state="visible" r:id="rId43"/>
    <sheet xmlns:r="http://schemas.openxmlformats.org/officeDocument/2006/relationships" name="27 2022Q3 Earnings" sheetId="44" state="visible" r:id="rId44"/>
    <sheet xmlns:r="http://schemas.openxmlformats.org/officeDocument/2006/relationships" name="26 2022Q2 Earnings" sheetId="45" state="visible" r:id="rId45"/>
    <sheet xmlns:r="http://schemas.openxmlformats.org/officeDocument/2006/relationships" name="25 PepsiCo Distribution" sheetId="46" state="visible" r:id="rId46"/>
    <sheet xmlns:r="http://schemas.openxmlformats.org/officeDocument/2006/relationships" name="24 Stifel Conference" sheetId="47" state="visible" r:id="rId47"/>
    <sheet xmlns:r="http://schemas.openxmlformats.org/officeDocument/2006/relationships" name="23 Evercore Conference" sheetId="48" state="visible" r:id="rId48"/>
    <sheet xmlns:r="http://schemas.openxmlformats.org/officeDocument/2006/relationships" name="22 Annual Shareholder Mtg" sheetId="49" state="visible" r:id="rId49"/>
    <sheet xmlns:r="http://schemas.openxmlformats.org/officeDocument/2006/relationships" name="21 Credit Suisse Conf" sheetId="50" state="visible" r:id="rId50"/>
    <sheet xmlns:r="http://schemas.openxmlformats.org/officeDocument/2006/relationships" name="20 2022Q1 Earnings" sheetId="51" state="visible" r:id="rId51"/>
    <sheet xmlns:r="http://schemas.openxmlformats.org/officeDocument/2006/relationships" name="19 Q4 2021 Earnings" sheetId="52" state="visible" r:id="rId52"/>
    <sheet xmlns:r="http://schemas.openxmlformats.org/officeDocument/2006/relationships" name="18 Morgan Stanley Conf" sheetId="53" state="visible" r:id="rId53"/>
    <sheet xmlns:r="http://schemas.openxmlformats.org/officeDocument/2006/relationships" name="17 Jefferies Conference" sheetId="54" state="visible" r:id="rId54"/>
    <sheet xmlns:r="http://schemas.openxmlformats.org/officeDocument/2006/relationships" name="16 2021Q3 Earnings" sheetId="55" state="visible" r:id="rId55"/>
    <sheet xmlns:r="http://schemas.openxmlformats.org/officeDocument/2006/relationships" name="15 Annual Shareholder Mtg" sheetId="56" state="visible" r:id="rId56"/>
    <sheet xmlns:r="http://schemas.openxmlformats.org/officeDocument/2006/relationships" name="14 2021Q2 Earnings" sheetId="57" state="visible" r:id="rId57"/>
    <sheet xmlns:r="http://schemas.openxmlformats.org/officeDocument/2006/relationships" name="13 Q1 2021 Earnings" sheetId="58" state="visible" r:id="rId58"/>
    <sheet xmlns:r="http://schemas.openxmlformats.org/officeDocument/2006/relationships" name="12 2020Q4 Earnings" sheetId="59" state="visible" r:id="rId59"/>
    <sheet xmlns:r="http://schemas.openxmlformats.org/officeDocument/2006/relationships" name="11 UBS Conference" sheetId="60" state="visible" r:id="rId60"/>
    <sheet xmlns:r="http://schemas.openxmlformats.org/officeDocument/2006/relationships" name="10 Q3 2020 Earnings" sheetId="61" state="visible" r:id="rId61"/>
    <sheet xmlns:r="http://schemas.openxmlformats.org/officeDocument/2006/relationships" name="09 LD Micro Conf" sheetId="62" state="visible" r:id="rId62"/>
    <sheet xmlns:r="http://schemas.openxmlformats.org/officeDocument/2006/relationships" name="08 Q2 2020 Earnings" sheetId="63" state="visible" r:id="rId63"/>
    <sheet xmlns:r="http://schemas.openxmlformats.org/officeDocument/2006/relationships" name="07 Q1 2020 Earnings" sheetId="64" state="visible" r:id="rId64"/>
    <sheet xmlns:r="http://schemas.openxmlformats.org/officeDocument/2006/relationships" name="06 2019Q4 Earnings" sheetId="65" state="visible" r:id="rId65"/>
    <sheet xmlns:r="http://schemas.openxmlformats.org/officeDocument/2006/relationships" name="05 2019Q3 Earnings" sheetId="66" state="visible" r:id="rId66"/>
    <sheet xmlns:r="http://schemas.openxmlformats.org/officeDocument/2006/relationships" name="04 2019Q2 Earnings" sheetId="67" state="visible" r:id="rId67"/>
    <sheet xmlns:r="http://schemas.openxmlformats.org/officeDocument/2006/relationships" name="03 2019Q1 Earnings" sheetId="68" state="visible" r:id="rId68"/>
    <sheet xmlns:r="http://schemas.openxmlformats.org/officeDocument/2006/relationships" name="02 2018Q4 Earnings" sheetId="69" state="visible" r:id="rId69"/>
    <sheet xmlns:r="http://schemas.openxmlformats.org/officeDocument/2006/relationships" name="01 2018Q3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 numFmtId="171" formatCode="0.0%"/>
  </numFmts>
  <fonts count="29">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color rgb="000563C1"/>
      <u val="single"/>
    </font>
    <font>
      <b val="1"/>
      <i val="1"/>
      <sz val="9"/>
    </font>
    <font>
      <i val="1"/>
      <color rgb="00808080"/>
    </font>
    <font>
      <i val="1"/>
      <color rgb="002F6FA8"/>
    </font>
    <font>
      <color rgb="002F6FA8"/>
    </font>
    <font>
      <i val="1"/>
    </font>
    <font>
      <b val="1"/>
      <sz val="11"/>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171" fontId="0" fillId="0"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0" borderId="0" pivotButton="0" quotePrefix="0" xfId="0"/>
    <xf numFmtId="171" fontId="22" fillId="0" borderId="0" pivotButton="0" quotePrefix="0" xfId="0"/>
    <xf numFmtId="0" fontId="23"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xf numFmtId="0" fontId="24" fillId="0" borderId="0" pivotButton="0" quotePrefix="0" xfId="0"/>
    <xf numFmtId="171" fontId="24" fillId="0" borderId="0" pivotButton="0" quotePrefix="0" xfId="0"/>
    <xf numFmtId="0" fontId="25" fillId="0" borderId="0" pivotButton="0" quotePrefix="0" xfId="0"/>
    <xf numFmtId="0" fontId="26" fillId="0" borderId="0" pivotButton="0" quotePrefix="0" xfId="0"/>
    <xf numFmtId="0" fontId="27" fillId="0" borderId="0" pivotButton="0" quotePrefix="0" xfId="0"/>
    <xf numFmtId="171" fontId="26" fillId="0" borderId="0" pivotButton="0" quotePrefix="0" xfId="0"/>
    <xf numFmtId="0" fontId="28"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transcript consolidation</author>
  </authors>
  <commentList>
    <comment ref="B5" authorId="0" shapeId="0">
      <text>
        <t>Prior-year comparative — no transcript reported this period directly.
Figure as stated in Q3 2018 Earnings Call (2018-11-09),
STEP-5 KPI “Total Revenue” (PriorYearValue field).</t>
      </text>
    </comment>
    <comment ref="C5" authorId="0" shapeId="0">
      <text>
        <t>Prior-year comparative — no transcript reported this period directly.
Figure as stated in Q3 2018 Earnings Call (2018-11-09),
STEP-5 KPI “Total Revenue (Nine Months YTD)” (PriorYearValue field).</t>
      </text>
    </comment>
    <comment ref="D5" authorId="0" shapeId="0">
      <text>
        <t>Prior-year comparative — no transcript reported this period directly.
Figure as stated in Q4 2018 Earnings Call (2019-03-14),
STEP-5 KPI “Total Revenue (Q4)” (PriorYearValue field).</t>
      </text>
    </comment>
    <comment ref="E5" authorId="0" shapeId="0">
      <text>
        <t>Prior-year comparative — no transcript reported this period directly.
Figure as stated in Q4 2018 Earnings Call (2019-03-14),
STEP-5 KPI “Total Revenue (Full Year)” (PriorYearValue field).</t>
      </text>
    </comment>
    <comment ref="F5" authorId="0" shapeId="0">
      <text>
        <t>Prior-year comparative — no transcript reported this period directly.
Figure as stated in Q1 2019 Earnings Call (2019-05-09),
STEP-5 KPI “Total Revenue” (PriorYearValue field).</t>
      </text>
    </comment>
    <comment ref="G5" authorId="0" shapeId="0">
      <text>
        <t>Prior-year comparative — no transcript reported this period directly.
Figure as stated in Q2 2019 Earnings Call (2019-08-08),
STEP-5 KPI “Total Revenue (Q2)” (PriorYearValue field).</t>
      </text>
    </comment>
    <comment ref="H5" authorId="0" shapeId="0">
      <text>
        <t>Prior-year comparative — no transcript reported this period directly.
Figure as stated in Q2 2019 Earnings Call (2019-08-08),
STEP-5 KPI “Total Revenue (First Half)” (PriorYearValue field).</t>
      </text>
    </comment>
    <comment ref="I5" authorId="0" shapeId="0">
      <text>
        <t>Source: Q3 2018 Earnings Call
Date: 2018-11-09
Workbook tab: 01 2018Q3 Earnings
Digest label: “Total Revenue Q3 2018”</t>
      </text>
    </comment>
    <comment ref="J5" authorId="0" shapeId="0">
      <text>
        <t>Source: Q3 2018 Earnings Call
Date: 2018-11-09
Workbook tab: 01 2018Q3 Earnings
Digest label: “Total Revenue 9M 2018”</t>
      </text>
    </comment>
    <comment ref="K5" authorId="0" shapeId="0">
      <text>
        <t>Source: Q4 &amp; Full-Year 2018 Earnings Call
Date: 2019-03-14
Workbook tab: 02 2018Q4 Earnings
Digest label: “Total Revenue Q4 2018”</t>
      </text>
    </comment>
    <comment ref="L5" authorId="0" shapeId="0">
      <text>
        <t>Source: Q4 &amp; Full-Year 2018 Earnings Call
Date: 2019-03-14
Workbook tab: 02 2018Q4 Earnings
Digest label: “Total Revenue FY2018”</t>
      </text>
    </comment>
    <comment ref="M5" authorId="0" shapeId="0">
      <text>
        <t>Source: Q1 2019 Earnings Call
Date: 2019-05-09
Workbook tab: 03 2019Q1 Earnings
Digest label: “Total Revenue Q1 2019”</t>
      </text>
    </comment>
    <comment ref="N5" authorId="0" shapeId="0">
      <text>
        <t>Source: Q2 2019 Earnings Call
Date: 2019-08-08
Workbook tab: 04 2019Q2 Earnings
Digest label: “Total Revenue Q2 2019”</t>
      </text>
    </comment>
    <comment ref="O5" authorId="0" shapeId="0">
      <text>
        <t>Source: Q2 2019 Earnings Call
Date: 2019-08-08
Workbook tab: 04 2019Q2 Earnings
Digest label: “Total Revenue H1 2019”</t>
      </text>
    </comment>
    <comment ref="P5" authorId="0" shapeId="0">
      <text>
        <t>Source: Q3 2019 Earnings Call
Date: 2019-11-07
Workbook tab: 05 2019Q3 Earnings
Digest label: “Total Revenue Q3 2019”</t>
      </text>
    </comment>
    <comment ref="Q5" authorId="0" shapeId="0">
      <text>
        <t>Source: Q3 2019 Earnings Call
Date: 2019-11-07
Workbook tab: 05 2019Q3 Earnings
Digest label: “YTD Revenue 9M 2019”</t>
      </text>
    </comment>
    <comment ref="R5" authorId="0" shapeId="0">
      <text>
        <t>Source: Q4 &amp; Full-Year 2019 Earnings Call
Date: 2020-03-12
Workbook tab: 06 2019Q4 Earnings
Digest label: “Total Revenue Q4 2019”</t>
      </text>
    </comment>
    <comment ref="S5" authorId="0" shapeId="0">
      <text>
        <t>Source: Q4 &amp; Full-Year 2019 Earnings Call
Date: 2020-03-12
Workbook tab: 06 2019Q4 Earnings
Digest label: “Total Revenue FY2019”</t>
      </text>
    </comment>
    <comment ref="T5" authorId="0" shapeId="0">
      <text>
        <t>Prior-year comparative — no transcript reported this period directly.
Figure as stated in Q1 2021 Earnings Call (2021-05-13),
STEP-5 KPI “Total Revenue” (PriorYearValue field).</t>
      </text>
    </comment>
    <comment ref="U5" authorId="0" shapeId="0">
      <text>
        <t>Prior-year comparative — no transcript reported this period directly.
Figure as stated in Q2 2021 Earnings Call (2021-08-12),
STEP-5 KPI “Total Revenue” (PriorYearValue field).</t>
      </text>
    </comment>
    <comment ref="V5" authorId="0" shapeId="0">
      <text>
        <t>Prior-year comparative — no transcript reported this period directly.
Figure as stated in Q3 2021 Earnings Call (2021-11-11),
STEP-5 KPI “Total Revenue” (PriorYearValue field).</t>
      </text>
    </comment>
    <comment ref="W5" authorId="0" shapeId="0">
      <text>
        <t>Source: Q4 &amp; Full-Year 2020 Earnings Call
Date: 2021-03-11
Workbook tab: 12 2020Q4 Earnings
Digest label: “Total Revenue Q4 2020”</t>
      </text>
    </comment>
    <comment ref="X5" authorId="0" shapeId="0">
      <text>
        <t>Prior-year comparative — no transcript reported this period directly.
Figure as stated in 2022 Annual General Meeting (2022-06-02),
STEP-5 KPI “FY2021 Total Revenue” (PriorYearValue field).</t>
      </text>
    </comment>
    <comment ref="Y5" authorId="0" shapeId="0">
      <text>
        <t>Prior-year comparative — no transcript reported this period directly.
Figure as stated in Q1 2022 Earnings Call (2022-05-10),
STEP-5 KPI “Total Revenue” (PriorYearValue field).</t>
      </text>
    </comment>
    <comment ref="Z5" authorId="0" shapeId="0">
      <text>
        <t>Reported in 2 transcripts (► = figure shown):
► 65.1  —  Q2 2021 Earnings Call (2021-08-12)
   tab: 14 2021Q2 Earnings  |  “Total Revenue”
• 65.1  —  2021 Annual Meeting of Shareholders (2021-08-19)
   tab: 15 Annual Shareholder Mtg  |  “Q2 Revenue”</t>
      </text>
    </comment>
    <comment ref="AA5" authorId="0" shapeId="0">
      <text>
        <t>Source: 2021 Annual Meeting of Shareholders
Date: 2021-08-19
Workbook tab: 15 Annual Shareholder Mtg
Digest label: “Total Revenue”</t>
      </text>
    </comment>
    <comment ref="AB5" authorId="0" shapeId="0">
      <text>
        <t>Source: Q3 2021 Earnings Call
Date: 2021-11-11
Workbook tab: 16 2021Q3 Earnings
Digest label: “Total Revenue”</t>
      </text>
    </comment>
    <comment ref="AD5" authorId="0" shapeId="0">
      <text>
        <t>Prior-year comparative — no transcript reported this period directly.
Figure as stated in Q4 2022 Earnings Call (2023-03-01),
STEP-5 KPI “Q4 Total Revenue” (PriorYearValue field).</t>
      </text>
    </comment>
    <comment ref="AE5" authorId="0" shapeId="0">
      <text>
        <t>Source: 2022 Annual General Meeting (Annual Meeting of Shareholders)
Date: 2022-06-02
Workbook tab: 22 Annual Shareholder Mtg
Digest label: “Total revenue ($M)”</t>
      </text>
    </comment>
    <comment ref="AF5" authorId="0" shapeId="0">
      <text>
        <t>Reported in 3 transcripts (► = figure shown):
► 133.4  —  Q1 2022 Earnings Call (2022-05-10)
   tab: 20 2022Q1 Earnings  |  “Total Revenue”
• 133  —  Credit Suisse HALO Investment Summit (2022-05-25)
   tab: 21 Credit Suisse Conf  |  “Revenue ($M)”
• 133  —  2022 Annual General Meeting (Annual Meeting of Shareholders) (2022-06-02)
   tab: 22 Annual Shareholder Mtg  |  “Total revenue ($M)”</t>
      </text>
    </comment>
    <comment ref="AG5" authorId="0" shapeId="0">
      <text>
        <t>Source: Q2 2022 Earnings Call
Date: 2022-08-09
Workbook tab: 26 2022Q2 Earnings
Digest label: “Total revenue”</t>
      </text>
    </comment>
    <comment ref="AI5" authorId="0" shapeId="0">
      <text>
        <t>Source: Q3 2022 Earnings Call
Date: 2022-11-09
Workbook tab: 27 2022Q3 Earnings
Digest label: “Total revenue”</t>
      </text>
    </comment>
    <comment ref="AK5" authorId="0" shapeId="0">
      <text>
        <t>Source: Q4 2022 / FY2022 Earnings Call
Date: 2023-03-01
Workbook tab: 28 2022Q4 Earnings
Digest label: “Total Revenue”</t>
      </text>
    </comment>
    <comment ref="AL5" authorId="0" shapeId="0">
      <text>
        <t>Reported in 2 transcripts (► = figure shown):
► 654  —  Q4 2022 / FY2022 Earnings Call (2023-03-01)
   tab: 28 2022Q4 Earnings  |  “Total Revenue”
• 654  —  Celsius Holdings 2023 Annual General Meeting (2023-06-01)
   tab: 31 Annual General Meeting  |  “Revenue”</t>
      </text>
    </comment>
    <comment ref="AM5" authorId="0" shapeId="0">
      <text>
        <t>Reported in 2 transcripts (► = figure shown):
► 260  —  Celsius Holdings Q1 2023 Earnings Call (2023-05-09)
   tab: 29 2023Q1 Earnings  |  “Total Revenue”
• 260  —  Celsius Holdings 2023 Annual General Meeting (2023-06-01)
   tab: 31 Annual General Meeting  |  “Revenue”</t>
      </text>
    </comment>
    <comment ref="AN5" authorId="0" shapeId="0">
      <text>
        <t>Source: Q2 2023 Earnings Call
Date: 2023-08-08
Workbook tab: 34 2023Q2 Earnings
Digest label: “Total Revenue”</t>
      </text>
    </comment>
    <comment ref="AO5" authorId="0" shapeId="0">
      <text>
        <t>Source: Q2 2023 Earnings Call
Date: 2023-08-08
Workbook tab: 34 2023Q2 Earnings
Digest label: “H1 Revenue”</t>
      </text>
    </comment>
    <comment ref="AP5" authorId="0" shapeId="0">
      <text>
        <t>Source: Q3 2023 Earnings Call
Date: 2023-11-07
Workbook tab: 37 2023Q3 Earnings
Digest label: “Total Revenue”</t>
      </text>
    </comment>
    <comment ref="AQ5" authorId="0" shapeId="0">
      <text>
        <t>Source: Q3 2023 Earnings Call
Date: 2023-11-07
Workbook tab: 37 2023Q3 Earnings
Digest label: “9M Revenue”</t>
      </text>
    </comment>
    <comment ref="AR5" authorId="0" shapeId="0">
      <text>
        <t>Source: Celsius Holdings Q4 2023 Earnings Call
Date: 2024-02-29
Workbook tab: 40 2023Q4 Earnings
Digest label: “Total Revenue”</t>
      </text>
    </comment>
    <comment ref="AS5" authorId="0" shapeId="0">
      <text>
        <t>Source: Celsius Holdings Q4 2023 Earnings Call
Date: 2024-02-29
Workbook tab: 40 2023Q4 Earnings
Digest label: “Total Revenue”</t>
      </text>
    </comment>
    <comment ref="AT5" authorId="0" shapeId="0">
      <text>
        <t>Source: Q1 2024 Earnings Call
Date: 2024-05-07
Workbook tab: 42 Q1 2024 Earnings
Digest label: “Total Revenue”</t>
      </text>
    </comment>
    <comment ref="AU5" authorId="0" shapeId="0">
      <text>
        <t>Prior-year comparative — no transcript reported this period directly.
Figure as stated in Q2 2025 Earnings Call (2025-08-07),
STEP-5 KPI “Total Revenue” (PriorYearValue field).</t>
      </text>
    </comment>
    <comment ref="AV5" authorId="0" shapeId="0">
      <text>
        <t>Prior-year comparative — no transcript reported this period directly.
Figure as stated in Q2 2025 Earnings Call (2025-08-07),
STEP-5 KPI “H1 2025 Total Revenue” (PriorYearValue field).</t>
      </text>
    </comment>
    <comment ref="AW5" authorId="0" shapeId="0">
      <text>
        <t>Prior-year comparative — no transcript reported this period directly.
Figure as stated in Q3 2025 Earnings Call (2025-11-06),
STEP-5 KPI “Consolidated Revenue” (PriorYearValue field).</t>
      </text>
    </comment>
    <comment ref="AX5" authorId="0" shapeId="0">
      <text>
        <t>Prior-year comparative — no transcript reported this period directly.
Figure as stated in Full-Year 2025 and Fourth Quarter Financial Results Press Release (2026-02-26),
STEP-5 KPI “Total Revenue” (PriorYearValue field).</t>
      </text>
    </comment>
    <comment ref="AY5" authorId="0" shapeId="0">
      <text>
        <t>Reported in 2 transcripts (► = figure shown):
► 1360  —  Q4 2024 Earnings Call (2025-02-20)
   tab: 51 2024Q4 Earnings  |  “Revenue”
• 605  —  Alani Nu Modeling Call (post-closing) (2025-05-28)
   tab: 57 Acquiring Alani Nu  |  “Net Revenues”</t>
      </text>
    </comment>
    <comment ref="AZ5" authorId="0" shapeId="0">
      <text>
        <t>Reported in 2 transcripts (► = figure shown):
► 329.3  —  Q1 2025 Earnings Call (2025-05-06)
   tab: 55 2025Q1 Earnings  |  “Total Revenue”
• -7.0%  —  Q1 2025 Earnings Call (2025-05-06)
   tab: 55 2025Q1 Earnings  |  “Reported revenue (books &amp; records)”</t>
      </text>
    </comment>
    <comment ref="BA5" authorId="0" shapeId="0">
      <text>
        <t>Source: CELH Q2 2025 Earnings Call
Date: 2025-08-07
Workbook tab: 60 2025Q2 Earnings
Digest label: “Total Revenue”</t>
      </text>
    </comment>
    <comment ref="BB5" authorId="0" shapeId="0">
      <text>
        <t>Source: CELH Q2 2025 Earnings Call
Date: 2025-08-07
Workbook tab: 60 2025Q2 Earnings
Digest label: “Total Revenue ($B)”</t>
      </text>
    </comment>
    <comment ref="BC5" authorId="0" shapeId="0">
      <text>
        <t>Source: CELH Q3 2025 Earnings Call
Date: 2025-11-06
Workbook tab: 63 2025Q3 Earnings
Digest label: “Consolidated Revenue ($M)”</t>
      </text>
    </comment>
    <comment ref="BE5" authorId="0" shapeId="0">
      <text>
        <t>Reported in 3 transcripts (► = figure shown):
• 2515.3  —  Full-Year 2025 and Fourth Quarter Financial Results Press Release (2026-02-26)
   tab: 66 2025Q4 Earnings PR  |  “Total revenue”
► 1460  —  Q4 2025 / FY2025 Earnings Call (2026-02-26)
   tab: 67 2025Q4 Earnings  |  “Net Sales”
• 56  —  Q4 2025 / FY2025 Earnings Call (2026-02-26)
   tab: 67 2025Q4 Earnings  |  “Net Sales”</t>
      </text>
    </comment>
    <comment ref="BF5" authorId="0" shapeId="0">
      <text>
        <t>Source: CELH Q1 2026 Earnings Call
Date: 2026-05-07
Workbook tab: 69 2026Q1 Earnings
Digest label: “Total Revenue”</t>
      </text>
    </comment>
    <comment ref="B6" authorId="0" shapeId="0">
      <text>
        <t>Prior-year comparative — no transcript reported this period directly.
Figure as stated in Q3 2018 Earnings Call (2018-11-09),
STEP-5 KPI “North America Revenue” (PriorYearValue field).</t>
      </text>
    </comment>
    <comment ref="D6" authorId="0" shapeId="0">
      <text>
        <t>Prior-year comparative — no transcript reported this period directly.
Figure as stated in Q4 2018 Earnings Call (2019-03-14),
STEP-5 KPI “North America Revenue (Q4)” (PriorYearValue field).</t>
      </text>
    </comment>
    <comment ref="E6" authorId="0" shapeId="0">
      <text>
        <t>Prior-year comparative — no transcript reported this period directly.
Figure as stated in Q4 2018 Earnings Call (2019-03-14),
STEP-5 KPI “North America Revenue (Full Year)” (PriorYearValue field).</t>
      </text>
    </comment>
    <comment ref="I6" authorId="0" shapeId="0">
      <text>
        <t>Source: Q3 2018 Earnings Call
Date: 2018-11-09
Workbook tab: 01 2018Q3 Earnings
Digest label: “North America Revenue Q3 2018”</t>
      </text>
    </comment>
    <comment ref="K6" authorId="0" shapeId="0">
      <text>
        <t>Source: Q4 &amp; Full-Year 2018 Earnings Call
Date: 2019-03-14
Workbook tab: 02 2018Q4 Earnings
Digest label: “North America Revenue Q4 2018”</t>
      </text>
    </comment>
    <comment ref="L6" authorId="0" shapeId="0">
      <text>
        <t>Source: Q4 &amp; Full-Year 2018 Earnings Call
Date: 2019-03-14
Workbook tab: 02 2018Q4 Earnings
Digest label: “North America Revenue FY2018”</t>
      </text>
    </comment>
    <comment ref="M6" authorId="0" shapeId="0">
      <text>
        <t>Source: Q1 2019 Earnings Call
Date: 2019-05-09
Workbook tab: 03 2019Q1 Earnings
Digest label: “North America Revenue Q1 2019”</t>
      </text>
    </comment>
    <comment ref="N6" authorId="0" shapeId="0">
      <text>
        <t>Prior-year comparative — no transcript reported this period directly.
Figure as stated in Q2 2020 Earnings Call (2020-08-06),
STEP-5 KPI “North America Revenue” (PriorYearValue field).</t>
      </text>
    </comment>
    <comment ref="P6" authorId="0" shapeId="0">
      <text>
        <t>Source: Q3 2019 Earnings Call
Date: 2019-11-07
Workbook tab: 05 2019Q3 Earnings
Digest label: “North America Revenue Q3 2019”</t>
      </text>
    </comment>
    <comment ref="R6" authorId="0" shapeId="0">
      <text>
        <t>Source: Q4 &amp; Full-Year 2019 Earnings Call
Date: 2020-03-12
Workbook tab: 06 2019Q4 Earnings
Digest label: “North America Revenue Q4 2019”</t>
      </text>
    </comment>
    <comment ref="S6" authorId="0" shapeId="0">
      <text>
        <t>Source: Q4 &amp; Full-Year 2019 Earnings Call
Date: 2020-03-12
Workbook tab: 06 2019Q4 Earnings
Digest label: “North America Revenue FY2019”</t>
      </text>
    </comment>
    <comment ref="T6" authorId="0" shapeId="0">
      <text>
        <t>Prior-year comparative — no transcript reported this period directly.
Figure as stated in Q1 2021 Earnings Call (2021-05-13),
STEP-5 KPI “North America Revenue” (PriorYearValue field).</t>
      </text>
    </comment>
    <comment ref="U6" authorId="0" shapeId="0">
      <text>
        <t>Prior-year comparative — no transcript reported this period directly.
Figure as stated in Q2 2021 Earnings Call (2021-08-12),
STEP-5 KPI “North America / Domestic Revenue” (PriorYearValue field).</t>
      </text>
    </comment>
    <comment ref="V6" authorId="0" shapeId="0">
      <text>
        <t>Prior-year comparative — no transcript reported this period directly.
Figure as stated in Q3 2021 Earnings Call (2021-11-11),
STEP-5 KPI “North America / Domestic Revenue” (PriorYearValue field).</t>
      </text>
    </comment>
    <comment ref="W6" authorId="0" shapeId="0">
      <text>
        <t>Source: Q4 &amp; Full-Year 2020 Earnings Call
Date: 2021-03-11
Workbook tab: 12 2020Q4 Earnings
Digest label: “North America / Domestic Revenue Q4 2020”</t>
      </text>
    </comment>
    <comment ref="X6" authorId="0" shapeId="0">
      <text>
        <t>Prior-year comparative — no transcript reported this period directly.
Figure as stated in 2022 Annual General Meeting (2022-06-02),
STEP-5 KPI “FY2021 North American Revenue” (PriorYearValue field).</t>
      </text>
    </comment>
    <comment ref="Y6" authorId="0" shapeId="0">
      <text>
        <t>Prior-year comparative — no transcript reported this period directly.
Figure as stated in Q1 2022 Earnings Call (2022-05-10),
STEP-5 KPI “Domestic / North American Revenue” (PriorYearValue field).</t>
      </text>
    </comment>
    <comment ref="Z6" authorId="0" shapeId="0">
      <text>
        <t>Source: Q2 2021 Earnings Call
Date: 2021-08-12
Workbook tab: 14 2021Q2 Earnings
Digest label: “North America / Domestic”</t>
      </text>
    </comment>
    <comment ref="AA6" authorId="0" shapeId="0">
      <text>
        <t>Source: 2021 Annual Meeting of Shareholders
Date: 2021-08-19
Workbook tab: 15 Annual Shareholder Mtg
Digest label: “North America Revenue”</t>
      </text>
    </comment>
    <comment ref="AB6" authorId="0" shapeId="0">
      <text>
        <t>Source: Q3 2021 Earnings Call
Date: 2021-11-11
Workbook tab: 16 2021Q3 Earnings
Digest label: “North America / Domestic”</t>
      </text>
    </comment>
    <comment ref="AE6" authorId="0" shapeId="0">
      <text>
        <t>Source: 2022 Annual General Meeting (Annual Meeting of Shareholders)
Date: 2022-06-02
Workbook tab: 22 Annual Shareholder Mtg
Digest label: “North American revenue ($M)”</t>
      </text>
    </comment>
    <comment ref="AF6" authorId="0" shapeId="0">
      <text>
        <t>Source: Q1 2022 Earnings Call
Date: 2022-05-10
Workbook tab: 20 2022Q1 Earnings
Digest label: “Domestic / North American Revenue”</t>
      </text>
    </comment>
    <comment ref="AG6" authorId="0" shapeId="0">
      <text>
        <t>Source: Q2 2022 Earnings Call
Date: 2022-08-09
Workbook tab: 26 2022Q2 Earnings
Digest label: “US / North America revenue”</t>
      </text>
    </comment>
    <comment ref="AI6" authorId="0" shapeId="0">
      <text>
        <t>Source: Q3 2022 Earnings Call
Date: 2022-11-09
Workbook tab: 27 2022Q3 Earnings
Digest label: “US / North America revenue”</t>
      </text>
    </comment>
    <comment ref="AK6" authorId="0" shapeId="0">
      <text>
        <t>Source: Q4 2022 / FY2022 Earnings Call
Date: 2023-03-01
Workbook tab: 28 2022Q4 Earnings
Digest label: “North America Revenue”</t>
      </text>
    </comment>
    <comment ref="AM6" authorId="0" shapeId="0">
      <text>
        <t>Reported in 2 transcripts (► = figure shown):
► 249  —  Celsius Holdings Q1 2023 Earnings Call (2023-05-09)
   tab: 29 2023Q1 Earnings  |  “North America”
• 249  —  Celsius Holdings 2023 Annual General Meeting (2023-06-01)
   tab: 31 Annual General Meeting  |  “North America Revenue”</t>
      </text>
    </comment>
    <comment ref="AN6" authorId="0" shapeId="0">
      <text>
        <t>Source: Q2 2023 Earnings Call
Date: 2023-08-08
Workbook tab: 34 2023Q2 Earnings
Digest label: “North America Revenue”</t>
      </text>
    </comment>
    <comment ref="AO6" authorId="0" shapeId="0">
      <text>
        <t>Source: Q2 2023 Earnings Call
Date: 2023-08-08
Workbook tab: 34 2023Q2 Earnings
Digest label: “H1 North America Revenue”</t>
      </text>
    </comment>
    <comment ref="AP6" authorId="0" shapeId="0">
      <text>
        <t>Source: Q3 2023 Earnings Call
Date: 2023-11-07
Workbook tab: 37 2023Q3 Earnings
Digest label: “North America Revenue”</t>
      </text>
    </comment>
    <comment ref="AR6" authorId="0" shapeId="0">
      <text>
        <t>Source: Celsius Holdings Q4 2023 Earnings Call
Date: 2024-02-29
Workbook tab: 40 2023Q4 Earnings
Digest label: “North America”</t>
      </text>
    </comment>
    <comment ref="AS6" authorId="0" shapeId="0">
      <text>
        <t>Source: Celsius Holdings Q4 2023 Earnings Call
Date: 2024-02-29
Workbook tab: 40 2023Q4 Earnings
Digest label: “North America”</t>
      </text>
    </comment>
    <comment ref="AT6" authorId="0" shapeId="0">
      <text>
        <t>Source: Q1 2024 Earnings Call
Date: 2024-05-07
Workbook tab: 42 Q1 2024 Earnings
Digest label: “North America Revenue”</t>
      </text>
    </comment>
    <comment ref="AX6" authorId="0" shapeId="0">
      <text>
        <t>Prior-year comparative — no transcript reported this period directly.
Figure as stated in Full-Year 2025 and Fourth Quarter Financial Results Press Release (2026-02-26),
STEP-5 KPI “North America Revenue” (PriorYearValue field).</t>
      </text>
    </comment>
    <comment ref="BB6" authorId="0" shapeId="0">
      <text>
        <t>Source: CELH Q2 2025 Earnings Call
Date: 2025-08-07
Workbook tab: 60 2025Q2 Earnings
Digest label: “North America (H1)”</t>
      </text>
    </comment>
    <comment ref="BE6" authorId="0" shapeId="0">
      <text>
        <t>Source: Full-Year 2025 and Fourth Quarter Financial Results Press Release
Date: 2026-02-26
Workbook tab: 66 2025Q4 Earnings PR
Digest label: “North America revenue”</t>
      </text>
    </comment>
    <comment ref="E7" authorId="0" shapeId="0">
      <text>
        <t>Prior-year comparative — no transcript reported this period directly.
Figure as stated in Q4 2018 Earnings Call (2019-03-14),
STEP-5 KPI “International Revenue (Full Year)” (PriorYearValue field).</t>
      </text>
    </comment>
    <comment ref="F7" authorId="0" shapeId="0">
      <text>
        <t>Prior-year comparative — no transcript reported this period directly.
Figure as stated in Q1 2019 Earnings Call (2019-05-09),
STEP-5 KPI “International Revenue” (PriorYearValue field).</t>
      </text>
    </comment>
    <comment ref="L7" authorId="0" shapeId="0">
      <text>
        <t>Source: Q4 &amp; Full-Year 2018 Earnings Call
Date: 2019-03-14
Workbook tab: 02 2018Q4 Earnings
Digest label: “International Revenue FY2018”</t>
      </text>
    </comment>
    <comment ref="M7" authorId="0" shapeId="0">
      <text>
        <t>Source: Q1 2019 Earnings Call
Date: 2019-05-09
Workbook tab: 03 2019Q1 Earnings
Digest label: “International Revenue Q1 2019”</t>
      </text>
    </comment>
    <comment ref="R7" authorId="0" shapeId="0">
      <text>
        <t>Prior-year comparative — no transcript reported this period directly.
Figure as stated in Q4 2020 Earnings Call (2021-03-11),
STEP-5 KPI “Q4 International Revenue” (PriorYearValue field).</t>
      </text>
    </comment>
    <comment ref="U7" authorId="0" shapeId="0">
      <text>
        <t>Prior-year comparative — no transcript reported this period directly.
Figure as stated in Q2 2021 Earnings Call (2021-08-12),
STEP-5 KPI “International Revenue” (PriorYearValue field).</t>
      </text>
    </comment>
    <comment ref="V7" authorId="0" shapeId="0">
      <text>
        <t>Prior-year comparative — no transcript reported this period directly.
Figure as stated in Q3 2021 Earnings Call (2021-11-11),
STEP-5 KPI “International Revenue” (PriorYearValue field).</t>
      </text>
    </comment>
    <comment ref="W7" authorId="0" shapeId="0">
      <text>
        <t>Source: Q4 &amp; Full-Year 2020 Earnings Call
Date: 2021-03-11
Workbook tab: 12 2020Q4 Earnings
Digest label: “International Revenue Q4 2020”</t>
      </text>
    </comment>
    <comment ref="X7" authorId="0" shapeId="0">
      <text>
        <t>Prior-year comparative — no transcript reported this period directly.
Figure as stated in 2022 Annual General Meeting (2022-06-02),
STEP-5 KPI “FY2021 International Revenue” (PriorYearValue field).</t>
      </text>
    </comment>
    <comment ref="Y7" authorId="0" shapeId="0">
      <text>
        <t>Prior-year comparative — no transcript reported this period directly.
Figure as stated in Q1 2022 Earnings Call (2022-05-10),
STEP-5 KPI “International Revenue (Total)” (PriorYearValue field).</t>
      </text>
    </comment>
    <comment ref="Z7" authorId="0" shapeId="0">
      <text>
        <t>Source: Q2 2021 Earnings Call
Date: 2021-08-12
Workbook tab: 14 2021Q2 Earnings
Digest label: “International”</t>
      </text>
    </comment>
    <comment ref="AA7" authorId="0" shapeId="0">
      <text>
        <t>Source: 2021 Annual Meeting of Shareholders
Date: 2021-08-19
Workbook tab: 15 Annual Shareholder Mtg
Digest label: “International Revenue”</t>
      </text>
    </comment>
    <comment ref="AB7" authorId="0" shapeId="0">
      <text>
        <t>Source: Q3 2021 Earnings Call
Date: 2021-11-11
Workbook tab: 16 2021Q3 Earnings
Digest label: “International”</t>
      </text>
    </comment>
    <comment ref="AD7" authorId="0" shapeId="0">
      <text>
        <t>Prior-year comparative — no transcript reported this period directly.
Figure as stated in Q4 2022 Earnings Call (2023-03-01),
STEP-5 KPI “Q4 International Sales” (PriorYearValue field).</t>
      </text>
    </comment>
    <comment ref="AE7" authorId="0" shapeId="0">
      <text>
        <t>Source: 2022 Annual General Meeting (Annual Meeting of Shareholders)
Date: 2022-06-02
Workbook tab: 22 Annual Shareholder Mtg
Digest label: “International revenue ($M)”</t>
      </text>
    </comment>
    <comment ref="AF7" authorId="0" shapeId="0">
      <text>
        <t>Reported in 2 transcripts (► = figure shown):
► 9.9  —  Q1 2022 Earnings Call (2022-05-10)
   tab: 20 2022Q1 Earnings  |  “International Revenue (total)”
• 10  —  2022 Annual General Meeting (Annual Meeting of Shareholders) (2022-06-02)
   tab: 22 Annual Shareholder Mtg  |  “International revenue ($M)”</t>
      </text>
    </comment>
    <comment ref="AG7" authorId="0" shapeId="0">
      <text>
        <t>Source: Q2 2022 Earnings Call
Date: 2022-08-09
Workbook tab: 26 2022Q2 Earnings
Digest label: “International sales”</t>
      </text>
    </comment>
    <comment ref="AI7" authorId="0" shapeId="0">
      <text>
        <t>Source: Q3 2022 Earnings Call
Date: 2022-11-09
Workbook tab: 27 2022Q3 Earnings
Digest label: “International sales”</t>
      </text>
    </comment>
    <comment ref="AK7" authorId="0" shapeId="0">
      <text>
        <t>Source: Q4 2022 / FY2022 Earnings Call
Date: 2023-03-01
Workbook tab: 28 2022Q4 Earnings
Digest label: “International Sales”</t>
      </text>
    </comment>
    <comment ref="AM7" authorId="0" shapeId="0">
      <text>
        <t>Source: Celsius Holdings Q1 2023 Earnings Call
Date: 2023-05-09
Workbook tab: 29 2023Q1 Earnings
Digest label: “International”</t>
      </text>
    </comment>
    <comment ref="AN7" authorId="0" shapeId="0">
      <text>
        <t>Source: Q2 2023 Earnings Call
Date: 2023-08-08
Workbook tab: 34 2023Q2 Earnings
Digest label: “International Revenue”</t>
      </text>
    </comment>
    <comment ref="AO7" authorId="0" shapeId="0">
      <text>
        <t>Source: Q2 2023 Earnings Call
Date: 2023-08-08
Workbook tab: 34 2023Q2 Earnings
Digest label: “H1 International Revenue”</t>
      </text>
    </comment>
    <comment ref="AP7" authorId="0" shapeId="0">
      <text>
        <t>Source: Q3 2023 Earnings Call
Date: 2023-11-07
Workbook tab: 37 2023Q3 Earnings
Digest label: “International Revenue”</t>
      </text>
    </comment>
    <comment ref="AR7" authorId="0" shapeId="0">
      <text>
        <t>Source: Celsius Holdings Q4 2023 Earnings Call
Date: 2024-02-29
Workbook tab: 40 2023Q4 Earnings
Digest label: “International”</t>
      </text>
    </comment>
    <comment ref="AS7" authorId="0" shapeId="0">
      <text>
        <t>Source: Celsius Holdings Q4 2023 Earnings Call
Date: 2024-02-29
Workbook tab: 40 2023Q4 Earnings
Digest label: “International”</t>
      </text>
    </comment>
    <comment ref="AT7" authorId="0" shapeId="0">
      <text>
        <t>Prior-year comparative — no transcript reported this period directly.
Figure as stated in Q1 2025 Earnings Call (2025-05-06),
STEP-5 KPI “International Revenue” (PriorYearValue field).</t>
      </text>
    </comment>
    <comment ref="AX7" authorId="0" shapeId="0">
      <text>
        <t>Prior-year comparative — no transcript reported this period directly.
Figure as stated in Full-Year 2025 and Fourth Quarter Financial Results Press Release (2026-02-26),
STEP-5 KPI “International Revenue” (PriorYearValue field).</t>
      </text>
    </comment>
    <comment ref="AZ7" authorId="0" shapeId="0">
      <text>
        <t>Source: Q1 2025 Earnings Call
Date: 2025-05-06
Workbook tab: 55 2025Q1 Earnings
Digest label: “International Revenue”</t>
      </text>
    </comment>
    <comment ref="BB7" authorId="0" shapeId="0">
      <text>
        <t>Source: CELH Q2 2025 Earnings Call
Date: 2025-08-07
Workbook tab: 60 2025Q2 Earnings
Digest label: “International (H1)”</t>
      </text>
    </comment>
    <comment ref="BE7" authorId="0" shapeId="0">
      <text>
        <t>Source: Full-Year 2025 and Fourth Quarter Financial Results Press Release
Date: 2026-02-26
Workbook tab: 66 2025Q4 Earnings PR
Digest label: “International revenue”</t>
      </text>
    </comment>
    <comment ref="D8" authorId="0" shapeId="0">
      <text>
        <t>Prior-year comparative — no transcript reported this period directly.
Figure as stated in Q4 2018 Earnings Call (2019-03-14),
STEP-5 KPI “Europe Revenue (Q4)” (PriorYearValue field).</t>
      </text>
    </comment>
    <comment ref="K8" authorId="0" shapeId="0">
      <text>
        <t>Source: Q4 &amp; Full-Year 2018 Earnings Call
Date: 2019-03-14
Workbook tab: 02 2018Q4 Earnings
Digest label: “Europe Revenue Q4 2018”</t>
      </text>
    </comment>
    <comment ref="M8" authorId="0" shapeId="0">
      <text>
        <t>Prior-year comparative — no transcript reported this period directly.
Figure as stated in Q1 2020 Earnings Call (2020-05-12),
STEP-5 KPI “Europe Revenue” (PriorYearValue field).</t>
      </text>
    </comment>
    <comment ref="N8" authorId="0" shapeId="0">
      <text>
        <t>Prior-year comparative — no transcript reported this period directly.
Figure as stated in Q2 2020 Earnings Call (2020-08-06),
STEP-5 KPI “Europe Revenue” (PriorYearValue field).</t>
      </text>
    </comment>
    <comment ref="P8" authorId="0" shapeId="0">
      <text>
        <t>Source: Q3 2019 Earnings Call
Date: 2019-11-07
Workbook tab: 05 2019Q3 Earnings
Digest label: “Europe Revenue Q3 2019”</t>
      </text>
    </comment>
    <comment ref="R8" authorId="0" shapeId="0">
      <text>
        <t>Prior-year comparative — no transcript reported this period directly.
Figure as stated in Q4 2020 Earnings Call (2021-03-11),
STEP-5 KPI “Q4 European Revenue” (PriorYearValue field).</t>
      </text>
    </comment>
    <comment ref="S8" authorId="0" shapeId="0">
      <text>
        <t>Source: Q4 &amp; Full-Year 2019 Earnings Call
Date: 2020-03-12
Workbook tab: 06 2019Q4 Earnings
Digest label: “Europe Revenue FY2019”</t>
      </text>
    </comment>
    <comment ref="T8" authorId="0" shapeId="0">
      <text>
        <t>Prior-year comparative — no transcript reported this period directly.
Figure as stated in Q1 2021 Earnings Call (2021-05-13),
STEP-5 KPI “European Revenue” (PriorYearValue field).</t>
      </text>
    </comment>
    <comment ref="U8" authorId="0" shapeId="0">
      <text>
        <t>Prior-year comparative — no transcript reported this period directly.
Figure as stated in Q2 2021 Earnings Call (2021-08-12),
STEP-5 KPI “European Revenue” (PriorYearValue field).</t>
      </text>
    </comment>
    <comment ref="W8" authorId="0" shapeId="0">
      <text>
        <t>Source: Q4 &amp; Full-Year 2020 Earnings Call
Date: 2021-03-11
Workbook tab: 12 2020Q4 Earnings
Digest label: “Europe Revenue Q4 2020”</t>
      </text>
    </comment>
    <comment ref="Y8" authorId="0" shapeId="0">
      <text>
        <t>Prior-year comparative — no transcript reported this period directly.
Figure as stated in Q1 2022 Earnings Call (2022-05-10),
STEP-5 KPI “Europe / Nordics Revenue” (PriorYearValue field).</t>
      </text>
    </comment>
    <comment ref="Z8" authorId="0" shapeId="0">
      <text>
        <t>Source: Q2 2021 Earnings Call
Date: 2021-08-12
Workbook tab: 14 2021Q2 Earnings
Digest label: “Europe (Nordic)”</t>
      </text>
    </comment>
    <comment ref="AB8" authorId="0" shapeId="0">
      <text>
        <t>Source: Q3 2021 Earnings Call
Date: 2021-11-11
Workbook tab: 16 2021Q3 Earnings
Digest label: “Europe / Nordic”</t>
      </text>
    </comment>
    <comment ref="AF8" authorId="0" shapeId="0">
      <text>
        <t>Source: Q1 2022 Earnings Call
Date: 2022-05-10
Workbook tab: 20 2022Q1 Earnings
Digest label: “Europe / Nordics”</t>
      </text>
    </comment>
    <comment ref="AG8" authorId="0" shapeId="0">
      <text>
        <t>Source: Q2 2022 Earnings Call
Date: 2022-08-09
Workbook tab: 26 2022Q2 Earnings
Digest label: “Nordic revenue”</t>
      </text>
    </comment>
    <comment ref="AI8" authorId="0" shapeId="0">
      <text>
        <t>Source: Q3 2022 Earnings Call
Date: 2022-11-09
Workbook tab: 27 2022Q3 Earnings
Digest label: “European revenue”</t>
      </text>
    </comment>
    <comment ref="B9" authorId="0" shapeId="0">
      <text>
        <t>Prior-year comparative — no transcript reported this period directly.
Figure as stated in Q3 2018 Earnings Call (2018-11-09),
STEP-5 KPI “Asia Revenue” (PriorYearValue field).</t>
      </text>
    </comment>
    <comment ref="D9" authorId="0" shapeId="0">
      <text>
        <t>Prior-year comparative — no transcript reported this period directly.
Figure as stated in Q4 2018 Earnings Call (2019-03-14),
STEP-5 KPI “Asia Revenue (Q4)” (PriorYearValue field).</t>
      </text>
    </comment>
    <comment ref="E9" authorId="0" shapeId="0">
      <text>
        <t>Prior-year comparative — no transcript reported this period directly.
Figure as stated in Q4 2018 Earnings Call (2019-03-14),
STEP-5 KPI “Asia Revenue (Full Year)” (PriorYearValue field).</t>
      </text>
    </comment>
    <comment ref="I9" authorId="0" shapeId="0">
      <text>
        <t>Source: Q3 2018 Earnings Call
Date: 2018-11-09
Workbook tab: 01 2018Q3 Earnings
Digest label: “Asia Revenue Q3 2018”</t>
      </text>
    </comment>
    <comment ref="K9" authorId="0" shapeId="0">
      <text>
        <t>Source: Q4 &amp; Full-Year 2018 Earnings Call
Date: 2019-03-14
Workbook tab: 02 2018Q4 Earnings
Digest label: “Asia Revenue Q4 2018”</t>
      </text>
    </comment>
    <comment ref="L9" authorId="0" shapeId="0">
      <text>
        <t>Source: Q4 &amp; Full-Year 2018 Earnings Call
Date: 2019-03-14
Workbook tab: 02 2018Q4 Earnings
Digest label: “Asia Revenue FY2018”</t>
      </text>
    </comment>
    <comment ref="M9" authorId="0" shapeId="0">
      <text>
        <t>Prior-year comparative — no transcript reported this period directly.
Figure as stated in Q1 2020 Earnings Call (2020-05-12),
STEP-5 KPI “Asia Revenue” (PriorYearValue field).</t>
      </text>
    </comment>
    <comment ref="N9" authorId="0" shapeId="0">
      <text>
        <t>Prior-year comparative — no transcript reported this period directly.
Figure as stated in Q2 2020 Earnings Call (2020-08-06),
STEP-5 KPI “Asia Revenue” (PriorYearValue field).</t>
      </text>
    </comment>
    <comment ref="P9" authorId="0" shapeId="0">
      <text>
        <t>Prior-year comparative — no transcript reported this period directly.
Figure as stated in Q3 2020 Earnings Call (2020-11-12),
STEP-5 KPI “Asia Revenue” (PriorYearValue field).</t>
      </text>
    </comment>
    <comment ref="R9" authorId="0" shapeId="0">
      <text>
        <t>Prior-year comparative — no transcript reported this period directly.
Figure as stated in Q4 2020 Earnings Call (2021-03-11),
STEP-5 KPI “Q4 Asian Revenue” (PriorYearValue field).</t>
      </text>
    </comment>
    <comment ref="S9" authorId="0" shapeId="0">
      <text>
        <t>Source: Q4 &amp; Full-Year 2019 Earnings Call
Date: 2020-03-12
Workbook tab: 06 2019Q4 Earnings
Digest label: “Asia Revenue FY2019”</t>
      </text>
    </comment>
    <comment ref="T9" authorId="0" shapeId="0">
      <text>
        <t>Prior-year comparative — no transcript reported this period directly.
Figure as stated in Q1 2021 Earnings Call (2021-05-13),
STEP-5 KPI “Asian Revenue” (PriorYearValue field).</t>
      </text>
    </comment>
    <comment ref="U9" authorId="0" shapeId="0">
      <text>
        <t>Prior-year comparative — no transcript reported this period directly.
Figure as stated in Q2 2021 Earnings Call (2021-08-12),
STEP-5 KPI “Asian Revenue” (PriorYearValue field).</t>
      </text>
    </comment>
    <comment ref="V9" authorId="0" shapeId="0">
      <text>
        <t>Prior-year comparative — no transcript reported this period directly.
Figure as stated in Q3 2021 Earnings Call (2021-11-11),
STEP-5 KPI “Asian Revenue” (PriorYearValue field).</t>
      </text>
    </comment>
    <comment ref="W9" authorId="0" shapeId="0">
      <text>
        <t>Source: Q4 &amp; Full-Year 2020 Earnings Call
Date: 2021-03-11
Workbook tab: 12 2020Q4 Earnings
Digest label: “Asia Revenue Q4 2020 ($000)”</t>
      </text>
    </comment>
    <comment ref="Z9" authorId="0" shapeId="0">
      <text>
        <t>Source: Q2 2021 Earnings Call
Date: 2021-08-12
Workbook tab: 14 2021Q2 Earnings
Digest label: “Asia (China royalty)”</t>
      </text>
    </comment>
    <comment ref="AB9" authorId="0" shapeId="0">
      <text>
        <t>Source: Q3 2021 Earnings Call
Date: 2021-11-11
Workbook tab: 16 2021Q3 Earnings
Digest label: “Asia (China royalty)”</t>
      </text>
    </comment>
    <comment ref="AF9" authorId="0" shapeId="0">
      <text>
        <t>Source: Q1 2022 Earnings Call
Date: 2022-05-10
Workbook tab: 20 2022Q1 Earnings
Digest label: “Asia (incl. China royalties)”</t>
      </text>
    </comment>
    <comment ref="Y10" authorId="0" shapeId="0">
      <text>
        <t>Prior-year comparative — no transcript reported this period directly.
Figure as stated in Q1 2022 Earnings Call (2022-05-10),
STEP-5 KPI “Amazon Revenue” (PriorYearValue field).</t>
      </text>
    </comment>
    <comment ref="AE10" authorId="0" shapeId="0">
      <text>
        <t>Prior-year comparative — no transcript reported this period directly.
Figure as stated in Q4 2022 Earnings Call (2023-03-01),
STEP-5 KPI “Amazon Sales (FY)” (PriorYearValue field).</t>
      </text>
    </comment>
    <comment ref="AF10" authorId="0" shapeId="0">
      <text>
        <t>Source: Q1 2022 Earnings Call
Date: 2022-05-10
Workbook tab: 20 2022Q1 Earnings
Digest label: “Amazon Revenue”</t>
      </text>
    </comment>
    <comment ref="AG10" authorId="0" shapeId="0">
      <text>
        <t>Prior-year comparative — no transcript reported this period directly.
Figure as stated in Q2 2023 Earnings Call (2023-08-08),
STEP-5 KPI “Amazon Sales” (PriorYearValue field).</t>
      </text>
    </comment>
    <comment ref="AI10" authorId="0" shapeId="0">
      <text>
        <t>Source: Q3 2022 Earnings Call
Date: 2022-11-09
Workbook tab: 27 2022Q3 Earnings
Digest label: “Amazon sales ($M)”</t>
      </text>
    </comment>
    <comment ref="AL10" authorId="0" shapeId="0">
      <text>
        <t>Source: Q4 2022 / FY2022 Earnings Call
Date: 2023-03-01
Workbook tab: 28 2022Q4 Earnings
Digest label: “Amazon Sales”</t>
      </text>
    </comment>
    <comment ref="AM10" authorId="0" shapeId="0">
      <text>
        <t>Prior-year comparative — no transcript reported this period directly.
Figure as stated in Q1 2024 Earnings Call (2024-05-07),
STEP-5 KPI “Amazon Revenue” (PriorYearValue field).</t>
      </text>
    </comment>
    <comment ref="AP10" authorId="0" shapeId="0">
      <text>
        <t>Source: Q3 2023 Earnings Call
Date: 2023-11-07
Workbook tab: 37 2023Q3 Earnings
Digest label: “Amazon Sales”</t>
      </text>
    </comment>
    <comment ref="AT10" authorId="0" shapeId="0">
      <text>
        <t>Source: Q1 2024 Earnings Call
Date: 2024-05-07
Workbook tab: 42 Q1 2024 Earnings
Digest label: “Amazon Revenue”</t>
      </text>
    </comment>
    <comment ref="D11" authorId="0" shapeId="0">
      <text>
        <t>Prior-year comparative — no transcript reported this period directly.
Figure as stated in Q4 2018 Earnings Call (2019-03-14),
STEP-5 KPI “Gross Profit (Q4)” (PriorYearValue field).</t>
      </text>
    </comment>
    <comment ref="E11" authorId="0" shapeId="0">
      <text>
        <t>Prior-year comparative — no transcript reported this period directly.
Figure as stated in Q4 2018 Earnings Call (2019-03-14),
STEP-5 KPI “Gross Profit (Full Year)” (PriorYearValue field).</t>
      </text>
    </comment>
    <comment ref="F11" authorId="0" shapeId="0">
      <text>
        <t>Prior-year comparative — no transcript reported this period directly.
Figure as stated in Q1 2019 Earnings Call (2019-05-09),
STEP-5 KPI “Gross Profit” (PriorYearValue field).</t>
      </text>
    </comment>
    <comment ref="G11" authorId="0" shapeId="0">
      <text>
        <t>Prior-year comparative — no transcript reported this period directly.
Figure as stated in Q2 2019 Earnings Call (2019-08-08),
STEP-5 KPI “Gross Profit (Q2)” (PriorYearValue field).</t>
      </text>
    </comment>
    <comment ref="H11" authorId="0" shapeId="0">
      <text>
        <t>Prior-year comparative — no transcript reported this period directly.
Figure as stated in Q2 2019 Earnings Call (2019-08-08),
STEP-5 KPI “Gross Profit (First Half)” (PriorYearValue field).</t>
      </text>
    </comment>
    <comment ref="I11" authorId="0" shapeId="0">
      <text>
        <t>Source: Q3 2018 Earnings Call
Date: 2018-11-09
Workbook tab: 01 2018Q3 Earnings
Digest label: “Gross Profit Q3 2018 ($M)”</t>
      </text>
    </comment>
    <comment ref="J11" authorId="0" shapeId="0">
      <text>
        <t>Source: Q3 2018 Earnings Call
Date: 2018-11-09
Workbook tab: 01 2018Q3 Earnings
Digest label: “Gross Profit 9M 2018 ($M)”</t>
      </text>
    </comment>
    <comment ref="K11" authorId="0" shapeId="0">
      <text>
        <t>Source: Q4 &amp; Full-Year 2018 Earnings Call
Date: 2019-03-14
Workbook tab: 02 2018Q4 Earnings
Digest label: “Gross Profit Q4 2018 ($M)”</t>
      </text>
    </comment>
    <comment ref="L11" authorId="0" shapeId="0">
      <text>
        <t>Source: Q4 &amp; Full-Year 2018 Earnings Call
Date: 2019-03-14
Workbook tab: 02 2018Q4 Earnings
Digest label: “Gross Profit FY2018 ($M)”</t>
      </text>
    </comment>
    <comment ref="M11" authorId="0" shapeId="0">
      <text>
        <t>Source: Q1 2019 Earnings Call
Date: 2019-05-09
Workbook tab: 03 2019Q1 Earnings
Digest label: “Gross Profit Q1 2019 ($M)”</t>
      </text>
    </comment>
    <comment ref="N11" authorId="0" shapeId="0">
      <text>
        <t>Source: Q2 2019 Earnings Call
Date: 2019-08-08
Workbook tab: 04 2019Q2 Earnings
Digest label: “Gross Profit Q2 2019 ($M)”</t>
      </text>
    </comment>
    <comment ref="O11" authorId="0" shapeId="0">
      <text>
        <t>Source: Q2 2019 Earnings Call
Date: 2019-08-08
Workbook tab: 04 2019Q2 Earnings
Digest label: “Gross Profit H1 2019 ($M)”</t>
      </text>
    </comment>
    <comment ref="P11" authorId="0" shapeId="0">
      <text>
        <t>Source: Q3 2019 Earnings Call
Date: 2019-11-07
Workbook tab: 05 2019Q3 Earnings
Digest label: “Gross Profit Q3 2019 ($M)”</t>
      </text>
    </comment>
    <comment ref="R11" authorId="0" shapeId="0">
      <text>
        <t>Source: Q4 &amp; Full-Year 2019 Earnings Call
Date: 2020-03-12
Workbook tab: 06 2019Q4 Earnings
Digest label: “Gross Profit Q4 2019 ($M)”</t>
      </text>
    </comment>
    <comment ref="S11" authorId="0" shapeId="0">
      <text>
        <t>Source: Q4 &amp; Full-Year 2019 Earnings Call
Date: 2020-03-12
Workbook tab: 06 2019Q4 Earnings
Digest label: “Gross Profit FY2019 ($M)”</t>
      </text>
    </comment>
    <comment ref="T11" authorId="0" shapeId="0">
      <text>
        <t>Prior-year comparative — no transcript reported this period directly.
Figure as stated in Q1 2021 Earnings Call (2021-05-13),
STEP-5 KPI “Gross Profit” (PriorYearValue field).</t>
      </text>
    </comment>
    <comment ref="U11" authorId="0" shapeId="0">
      <text>
        <t>Prior-year comparative — no transcript reported this period directly.
Figure as stated in Q2 2021 Earnings Call (2021-08-12),
STEP-5 KPI “Gross Profit” (PriorYearValue field).</t>
      </text>
    </comment>
    <comment ref="V11" authorId="0" shapeId="0">
      <text>
        <t>Prior-year comparative — no transcript reported this period directly.
Figure as stated in Q3 2021 Earnings Call (2021-11-11),
STEP-5 KPI “Gross Profit” (PriorYearValue field).</t>
      </text>
    </comment>
    <comment ref="W11" authorId="0" shapeId="0">
      <text>
        <t>Source: Q4 &amp; Full-Year 2020 Earnings Call
Date: 2021-03-11
Workbook tab: 12 2020Q4 Earnings
Digest label: “Gross Profit Q4 2020 ($M)”</t>
      </text>
    </comment>
    <comment ref="X11" authorId="0" shapeId="0">
      <text>
        <t>Prior-year comparative — no transcript reported this period directly.
Figure as stated in 2022 Annual General Meeting (2022-06-02),
STEP-5 KPI “FY2021 Gross Profit” (PriorYearValue field).</t>
      </text>
    </comment>
    <comment ref="Y11" authorId="0" shapeId="0">
      <text>
        <t>Prior-year comparative — no transcript reported this period directly.
Figure as stated in Q1 2022 Earnings Call (2022-05-10),
STEP-5 KPI “Gross Profit” (PriorYearValue field).</t>
      </text>
    </comment>
    <comment ref="Z11" authorId="0" shapeId="0">
      <text>
        <t>Source: Q2 2021 Earnings Call
Date: 2021-08-12
Workbook tab: 14 2021Q2 Earnings
Digest label: “Gross Profit”</t>
      </text>
    </comment>
    <comment ref="AA11" authorId="0" shapeId="0">
      <text>
        <t>Source: 2021 Annual Meeting of Shareholders
Date: 2021-08-19
Workbook tab: 15 Annual Shareholder Mtg
Digest label: “Gross Profit”</t>
      </text>
    </comment>
    <comment ref="AB11" authorId="0" shapeId="0">
      <text>
        <t>Source: Q3 2021 Earnings Call
Date: 2021-11-11
Workbook tab: 16 2021Q3 Earnings
Digest label: “Gross Profit”</t>
      </text>
    </comment>
    <comment ref="AD11" authorId="0" shapeId="0">
      <text>
        <t>Prior-year comparative — no transcript reported this period directly.
Figure as stated in Q4 2022 Earnings Call (2023-03-01),
STEP-5 KPI “Q4 Gross Profit” (PriorYearValue field).</t>
      </text>
    </comment>
    <comment ref="AE11" authorId="0" shapeId="0">
      <text>
        <t>Source: 2022 Annual General Meeting (Annual Meeting of Shareholders)
Date: 2022-06-02
Workbook tab: 22 Annual Shareholder Mtg
Digest label: “Gross profit ($M)”</t>
      </text>
    </comment>
    <comment ref="AF11" authorId="0" shapeId="0">
      <text>
        <t>Reported in 2 transcripts (► = figure shown):
► 53.9  —  Q1 2022 Earnings Call (2022-05-10)
   tab: 20 2022Q1 Earnings  |  “Gross Profit”
• 53.9  —  2022 Annual General Meeting (Annual Meeting of Shareholders) (2022-06-02)
   tab: 22 Annual Shareholder Mtg  |  “Gross profit ($M)”</t>
      </text>
    </comment>
    <comment ref="AG11" authorId="0" shapeId="0">
      <text>
        <t>Source: Q2 2022 Earnings Call
Date: 2022-08-09
Workbook tab: 26 2022Q2 Earnings
Digest label: “Gross profit”</t>
      </text>
    </comment>
    <comment ref="AI11" authorId="0" shapeId="0">
      <text>
        <t>Source: Q3 2022 Earnings Call
Date: 2022-11-09
Workbook tab: 27 2022Q3 Earnings
Digest label: “Gross profit”</t>
      </text>
    </comment>
    <comment ref="AK11" authorId="0" shapeId="0">
      <text>
        <t>Source: Q4 2022 / FY2022 Earnings Call
Date: 2023-03-01
Workbook tab: 28 2022Q4 Earnings
Digest label: “Gross Profit”</t>
      </text>
    </comment>
    <comment ref="AL11" authorId="0" shapeId="0">
      <text>
        <t>Reported in 2 transcripts (► = figure shown):
► 271  —  Q4 2022 / FY2022 Earnings Call (2023-03-01)
   tab: 28 2022Q4 Earnings  |  “Gross Profit”
• 271  —  Celsius Holdings 2023 Annual General Meeting (2023-06-01)
   tab: 31 Annual General Meeting  |  “Gross Profit”</t>
      </text>
    </comment>
    <comment ref="AM11" authorId="0" shapeId="0">
      <text>
        <t>Reported in 2 transcripts (► = figure shown):
► 114  —  Celsius Holdings Q1 2023 Earnings Call (2023-05-09)
   tab: 29 2023Q1 Earnings  |  “Gross Profit ($M)”
• 114  —  Celsius Holdings 2023 Annual General Meeting (2023-06-01)
   tab: 31 Annual General Meeting  |  “Gross Profit”</t>
      </text>
    </comment>
    <comment ref="AN11" authorId="0" shapeId="0">
      <text>
        <t>Source: Q2 2023 Earnings Call
Date: 2023-08-08
Workbook tab: 34 2023Q2 Earnings
Digest label: “Gross Profit”</t>
      </text>
    </comment>
    <comment ref="AO11" authorId="0" shapeId="0">
      <text>
        <t>Source: Q2 2023 Earnings Call
Date: 2023-08-08
Workbook tab: 34 2023Q2 Earnings
Digest label: “H1 Gross Profit”</t>
      </text>
    </comment>
    <comment ref="AP11" authorId="0" shapeId="0">
      <text>
        <t>Source: Q3 2023 Earnings Call
Date: 2023-11-07
Workbook tab: 37 2023Q3 Earnings
Digest label: “Gross Profit”</t>
      </text>
    </comment>
    <comment ref="AQ11" authorId="0" shapeId="0">
      <text>
        <t>Source: Q3 2023 Earnings Call
Date: 2023-11-07
Workbook tab: 37 2023Q3 Earnings
Digest label: “9M Gross Profit”</t>
      </text>
    </comment>
    <comment ref="AR11" authorId="0" shapeId="0">
      <text>
        <t>Source: Celsius Holdings Q4 2023 Earnings Call
Date: 2024-02-29
Workbook tab: 40 2023Q4 Earnings
Digest label: “Gross Profit ($M)”</t>
      </text>
    </comment>
    <comment ref="AS11" authorId="0" shapeId="0">
      <text>
        <t>Source: Celsius Holdings Q4 2023 Earnings Call
Date: 2024-02-29
Workbook tab: 40 2023Q4 Earnings
Digest label: “Gross Profit ($M)”</t>
      </text>
    </comment>
    <comment ref="AT11" authorId="0" shapeId="0">
      <text>
        <t>Source: Q1 2024 Earnings Call
Date: 2024-05-07
Workbook tab: 42 Q1 2024 Earnings
Digest label: “Gross Profit”</t>
      </text>
    </comment>
    <comment ref="AU11" authorId="0" shapeId="0">
      <text>
        <t>Prior-year comparative — no transcript reported this period directly.
Figure as stated in Q2 2025 Earnings Call (2025-08-07),
STEP-5 KPI “Gross Profit” (PriorYearValue field).</t>
      </text>
    </comment>
    <comment ref="AX11" authorId="0" shapeId="0">
      <text>
        <t>Prior-year comparative — no transcript reported this period directly.
Figure as stated in Full-Year 2025 and Fourth Quarter Financial Results Press Release (2026-02-26),
STEP-5 KPI “Gross Profit” (PriorYearValue field).</t>
      </text>
    </comment>
    <comment ref="AY11" authorId="0" shapeId="0">
      <text>
        <t>Source: Q4 2024 Earnings Call
Date: 2025-02-20
Workbook tab: 51 2024Q4 Earnings
Digest label: “Gross Profit”</t>
      </text>
    </comment>
    <comment ref="AZ11" authorId="0" shapeId="0">
      <text>
        <t>Source: Q1 2025 Earnings Call
Date: 2025-05-06
Workbook tab: 55 2025Q1 Earnings
Digest label: “Gross Profit”</t>
      </text>
    </comment>
    <comment ref="BA11" authorId="0" shapeId="0">
      <text>
        <t>Source: CELH Q2 2025 Earnings Call
Date: 2025-08-07
Workbook tab: 60 2025Q2 Earnings
Digest label: “Gross Profit ($M)”</t>
      </text>
    </comment>
    <comment ref="BD11" authorId="0" shapeId="0">
      <text>
        <t>Source: Q4 2025 / FY2025 Earnings Call
Date: 2026-02-26
Workbook tab: 67 2025Q4 Earnings
Digest label: “Gross Profit”</t>
      </text>
    </comment>
    <comment ref="BE11" authorId="0" shapeId="0">
      <text>
        <t>Reported in 2 transcripts (► = figure shown):
► 1270  —  Q4 2025 / FY2025 Earnings Call (2026-02-26)
   tab: 67 2025Q4 Earnings  |  “Gross Profit”
• 1267.3  —  Full-Year 2025 and Fourth Quarter Financial Results Press Release (2026-02-26)
   tab: 66 2025Q4 Earnings PR  |  “Gross profit”</t>
      </text>
    </comment>
    <comment ref="B12" authorId="0" shapeId="0">
      <text>
        <t>Prior-year comparative — no transcript reported this period directly.
Figure as stated in Q3 2018 Earnings Call (2018-11-09),
STEP-5 KPI “Gross Profit Margin” (PriorYearValue field).</t>
      </text>
    </comment>
    <comment ref="C12" authorId="0" shapeId="0">
      <text>
        <t>Prior-year comparative — no transcript reported this period directly.
Figure as stated in Q3 2018 Earnings Call (2018-11-09),
STEP-5 KPI “Gross Profit Margin (Nine Months YTD)” (PriorYearValue field).</t>
      </text>
    </comment>
    <comment ref="D12" authorId="0" shapeId="0">
      <text>
        <t>Prior-year comparative — no transcript reported this period directly.
Figure as stated in Q4 2018 Earnings Call (2019-03-14),
STEP-5 KPI “Gross Profit Margin (Q4)” (PriorYearValue field).</t>
      </text>
    </comment>
    <comment ref="E12" authorId="0" shapeId="0">
      <text>
        <t>Prior-year comparative — no transcript reported this period directly.
Figure as stated in Q4 2018 Earnings Call (2019-03-14),
STEP-5 KPI “Gross Profit Margin (Full Year)” (PriorYearValue field).</t>
      </text>
    </comment>
    <comment ref="F12" authorId="0" shapeId="0">
      <text>
        <t>Prior-year comparative — no transcript reported this period directly.
Figure as stated in Q1 2019 Earnings Call (2019-05-09),
STEP-5 KPI “Gross Profit Margin” (PriorYearValue field).</t>
      </text>
    </comment>
    <comment ref="G12" authorId="0" shapeId="0">
      <text>
        <t>Prior-year comparative — no transcript reported this period directly.
Figure as stated in Q2 2019 Earnings Call (2019-08-08),
STEP-5 KPI “Gross Profit Margin (Q2)” (PriorYearValue field).</t>
      </text>
    </comment>
    <comment ref="H12" authorId="0" shapeId="0">
      <text>
        <t>Prior-year comparative — no transcript reported this period directly.
Figure as stated in Q2 2019 Earnings Call (2019-08-08),
STEP-5 KPI “Gross Profit Margin (First Half)” (PriorYearValue field).</t>
      </text>
    </comment>
    <comment ref="I12" authorId="0" shapeId="0">
      <text>
        <t>Source: Q3 2018 Earnings Call
Date: 2018-11-09
Workbook tab: 01 2018Q3 Earnings
Digest label: “Gross Margin Q3 2018”</t>
      </text>
    </comment>
    <comment ref="J12" authorId="0" shapeId="0">
      <text>
        <t>Source: Q3 2018 Earnings Call
Date: 2018-11-09
Workbook tab: 01 2018Q3 Earnings
Digest label: “Gross Margin 9M 2018”</t>
      </text>
    </comment>
    <comment ref="K12" authorId="0" shapeId="0">
      <text>
        <t>Source: Q4 &amp; Full-Year 2018 Earnings Call
Date: 2019-03-14
Workbook tab: 02 2018Q4 Earnings
Digest label: “Gross Margin Q4 2018”</t>
      </text>
    </comment>
    <comment ref="L12" authorId="0" shapeId="0">
      <text>
        <t>Source: Q4 &amp; Full-Year 2018 Earnings Call
Date: 2019-03-14
Workbook tab: 02 2018Q4 Earnings
Digest label: “Gross Margin FY2018”</t>
      </text>
    </comment>
    <comment ref="M12" authorId="0" shapeId="0">
      <text>
        <t>Source: Q1 2019 Earnings Call
Date: 2019-05-09
Workbook tab: 03 2019Q1 Earnings
Digest label: “Gross Margin Q1 2019”</t>
      </text>
    </comment>
    <comment ref="N12" authorId="0" shapeId="0">
      <text>
        <t>Source: Q2 2019 Earnings Call
Date: 2019-08-08
Workbook tab: 04 2019Q2 Earnings
Digest label: “Gross Margin Q2 2019”</t>
      </text>
    </comment>
    <comment ref="O12" authorId="0" shapeId="0">
      <text>
        <t>Source: Q2 2019 Earnings Call
Date: 2019-08-08
Workbook tab: 04 2019Q2 Earnings
Digest label: “Gross Margin H1 2019”</t>
      </text>
    </comment>
    <comment ref="P12" authorId="0" shapeId="0">
      <text>
        <t>Source: Q3 2019 Earnings Call
Date: 2019-11-07
Workbook tab: 05 2019Q3 Earnings
Digest label: “Gross Margin Q3 2019”</t>
      </text>
    </comment>
    <comment ref="R12" authorId="0" shapeId="0">
      <text>
        <t>Source: Q4 &amp; Full-Year 2019 Earnings Call
Date: 2020-03-12
Workbook tab: 06 2019Q4 Earnings
Digest label: “Gross Margin Q4 2019”</t>
      </text>
    </comment>
    <comment ref="S12" authorId="0" shapeId="0">
      <text>
        <t>Source: Q4 &amp; Full-Year 2019 Earnings Call
Date: 2020-03-12
Workbook tab: 06 2019Q4 Earnings
Digest label: “Gross Margin FY2019”</t>
      </text>
    </comment>
    <comment ref="T12" authorId="0" shapeId="0">
      <text>
        <t>Prior-year comparative — no transcript reported this period directly.
Figure as stated in Q1 2021 Earnings Call (2021-05-13),
STEP-5 KPI “Gross Profit Margin” (PriorYearValue field).</t>
      </text>
    </comment>
    <comment ref="U12" authorId="0" shapeId="0">
      <text>
        <t>Prior-year comparative — no transcript reported this period directly.
Figure as stated in Q2 2021 Earnings Call (2021-08-12),
STEP-5 KPI “Gross Profit Margin” (PriorYearValue field).</t>
      </text>
    </comment>
    <comment ref="V12" authorId="0" shapeId="0">
      <text>
        <t>Prior-year comparative — no transcript reported this period directly.
Figure as stated in Q3 2021 Earnings Call (2021-11-11),
STEP-5 KPI “Gross Profit Margin” (PriorYearValue field).</t>
      </text>
    </comment>
    <comment ref="W12" authorId="0" shapeId="0">
      <text>
        <t>Source: Q4 &amp; Full-Year 2020 Earnings Call
Date: 2021-03-11
Workbook tab: 12 2020Q4 Earnings
Digest label: “Gross Margin Q4 2020”</t>
      </text>
    </comment>
    <comment ref="Y12" authorId="0" shapeId="0">
      <text>
        <t>Prior-year comparative — no transcript reported this period directly.
Figure as stated in Q1 2022 Earnings Call (2022-05-10),
STEP-5 KPI “Gross Margin” (PriorYearValue field).</t>
      </text>
    </comment>
    <comment ref="Z12" authorId="0" shapeId="0">
      <text>
        <t>Reported in 2 transcripts (► = figure shown):
► 43.4%  —  Q2 2021 Earnings Call (2021-08-12)
   tab: 14 2021Q2 Earnings  |  “Gross Margin”
• 43.4%  —  2021 Annual Meeting of Shareholders (2021-08-19)
   tab: 15 Annual Shareholder Mtg  |  “GAAP Gross Margin”</t>
      </text>
    </comment>
    <comment ref="AB12" authorId="0" shapeId="0">
      <text>
        <t>Source: Q3 2021 Earnings Call
Date: 2021-11-11
Workbook tab: 16 2021Q3 Earnings
Digest label: “Gross Margin”</t>
      </text>
    </comment>
    <comment ref="AF12" authorId="0" shapeId="0">
      <text>
        <t>Reported in 3 transcripts (► = figure shown):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t>
      </text>
    </comment>
    <comment ref="AG12" authorId="0" shapeId="0">
      <text>
        <t>Reported in 2 transcripts (► = figure shown):
► 38.5%  —  Q2 2022 Earnings Call (2022-08-09)
   tab: 26 2022Q2 Earnings  |  “Gross margin”
• 44.0%  —  Q2 2022 Earnings Call (2022-08-09)
   tab: 26 2022Q2 Earnings  |  “Gross margin ex-outbound freight”</t>
      </text>
    </comment>
    <comment ref="AI12" authorId="0" shapeId="0">
      <text>
        <t>Reported in 2 transcripts (► = figure shown):
► 41.8%  —  Q3 2022 Earnings Call (2022-11-09)
   tab: 27 2022Q3 Earnings  |  “Gross margin”
• 49.6%  —  Q3 2022 Earnings Call (2022-11-09)
   tab: 27 2022Q3 Earnings  |  “Gross margin ex-outbound freight”</t>
      </text>
    </comment>
    <comment ref="AK12" authorId="0" shapeId="0">
      <text>
        <t>Source: Q4 2022 / FY2022 Earnings Call
Date: 2023-03-01
Workbook tab: 28 2022Q4 Earnings
Digest label: “Gross Margin”</t>
      </text>
    </comment>
    <comment ref="AM12" authorId="0" shapeId="0">
      <text>
        <t>Reported in 2 transcripts (► = figure shown):
► 44.0%  —  Celsius Holdings Q1 2023 Earnings Call (2023-05-09)
   tab: 29 2023Q1 Earnings  |  “Gross Margin”
• 44.0%  —  Celsius Holdings 2023 Annual General Meeting (2023-06-01)
   tab: 31 Annual General Meeting  |  “Gross Profit Margin”</t>
      </text>
    </comment>
    <comment ref="AN12" authorId="0" shapeId="0">
      <text>
        <t>Source: Q2 2023 Earnings Call
Date: 2023-08-08
Workbook tab: 34 2023Q2 Earnings
Digest label: “Gross Margin”</t>
      </text>
    </comment>
    <comment ref="AO12" authorId="0" shapeId="0">
      <text>
        <t>Source: Q2 2023 Earnings Call
Date: 2023-08-08
Workbook tab: 34 2023Q2 Earnings
Digest label: “H1 Gross Margin”</t>
      </text>
    </comment>
    <comment ref="AP12" authorId="0" shapeId="0">
      <text>
        <t>Source: Q3 2023 Earnings Call
Date: 2023-11-07
Workbook tab: 37 2023Q3 Earnings
Digest label: “Gross Margin”</t>
      </text>
    </comment>
    <comment ref="AR12" authorId="0" shapeId="0">
      <text>
        <t>Source: Celsius Holdings Q4 2023 Earnings Call
Date: 2024-02-29
Workbook tab: 40 2023Q4 Earnings
Digest label: “Gross Margin”</t>
      </text>
    </comment>
    <comment ref="AS12" authorId="0" shapeId="0">
      <text>
        <t>Source: Celsius Holdings Q4 2023 Earnings Call
Date: 2024-02-29
Workbook tab: 40 2023Q4 Earnings
Digest label: “Gross Margin”</t>
      </text>
    </comment>
    <comment ref="AT12" authorId="0" shapeId="0">
      <text>
        <t>Source: Q1 2024 Earnings Call
Date: 2024-05-07
Workbook tab: 42 Q1 2024 Earnings
Digest label: “Gross Profit Margin”</t>
      </text>
    </comment>
    <comment ref="AU12" authorId="0" shapeId="0">
      <text>
        <t>Prior-year comparative — no transcript reported this period directly.
Figure as stated in Q2 2025 Earnings Call (2025-08-07),
STEP-5 KPI “Consolidated Gross Margin” (PriorYearValue field).</t>
      </text>
    </comment>
    <comment ref="AV12" authorId="0" shapeId="0">
      <text>
        <t>Prior-year comparative — no transcript reported this period directly.
Figure as stated in Q2 2025 Earnings Call (2025-08-07),
STEP-5 KPI “H1 2025 Gross Margin” (PriorYearValue field).</t>
      </text>
    </comment>
    <comment ref="AW12" authorId="0" shapeId="0">
      <text>
        <t>Prior-year comparative — no transcript reported this period directly.
Figure as stated in Q3 2025 Earnings Call (2025-11-06),
STEP-5 KPI “Gross Margin (Q3)” (PriorYearValue field).</t>
      </text>
    </comment>
    <comment ref="AX12" authorId="0" shapeId="0">
      <text>
        <t>Source: Q4 2024 Earnings Call
Date: 2025-02-20
Workbook tab: 51 2024Q4 Earnings
Digest label: “Gross Margin”</t>
      </text>
    </comment>
    <comment ref="AY12" authorId="0" shapeId="0">
      <text>
        <t>Source: Q4 2024 Earnings Call
Date: 2025-02-20
Workbook tab: 51 2024Q4 Earnings
Digest label: “Gross Profit Margin”</t>
      </text>
    </comment>
    <comment ref="AZ12" authorId="0" shapeId="0">
      <text>
        <t>Source: Q1 2025 Earnings Call
Date: 2025-05-06
Workbook tab: 55 2025Q1 Earnings
Digest label: “Gross Margin”</t>
      </text>
    </comment>
    <comment ref="BA12" authorId="0" shapeId="0">
      <text>
        <t>Source: CELH Q2 2025 Earnings Call
Date: 2025-08-07
Workbook tab: 60 2025Q2 Earnings
Digest label: “Consolidated Gross Margin”</t>
      </text>
    </comment>
    <comment ref="BB12" authorId="0" shapeId="0">
      <text>
        <t>Source: CELH Q2 2025 Earnings Call
Date: 2025-08-07
Workbook tab: 60 2025Q2 Earnings
Digest label: “Gross Margin”</t>
      </text>
    </comment>
    <comment ref="BC12" authorId="0" shapeId="0">
      <text>
        <t>Reported in 2 transcripts (► = figure shown):
► 51.3%  —  CELH Q3 2025 Earnings Call (2025-11-06)
   tab: 63 2025Q3 Earnings  |  “Gross Margin”
• 51.6%  —  CELH Q3 2025 Earnings Call (2025-11-06)
   tab: 63 2025Q3 Earnings  |  “YTD Gross Margin”</t>
      </text>
    </comment>
    <comment ref="BD12" authorId="0" shapeId="0">
      <text>
        <t>Source: Q4 2025 / FY2025 Earnings Call
Date: 2026-02-26
Workbook tab: 67 2025Q4 Earnings
Digest label: “Gross Margin”</t>
      </text>
    </comment>
    <comment ref="BE12" authorId="0" shapeId="0">
      <text>
        <t>Reported in 2 transcripts (► = figure shown):
► 50.4%  —  Q4 2025 / FY2025 Earnings Call (2026-02-26)
   tab: 67 2025Q4 Earnings  |  “Gross Margin”
• 50.4%  —  Full-Year 2025 and Fourth Quarter Financial Results Press Release (2026-02-26)
   tab: 66 2025Q4 Earnings PR  |  “Gross margin”</t>
      </text>
    </comment>
    <comment ref="BF12" authorId="0" shapeId="0">
      <text>
        <t>Source: CELH Q1 2026 Earnings Call
Date: 2026-05-07
Workbook tab: 69 2026Q1 Earnings
Digest label: “Gross Margin”</t>
      </text>
    </comment>
    <comment ref="I13" authorId="0" shapeId="0">
      <text>
        <t>Source: Q3 2018 Earnings Call
Date: 2018-11-09
Workbook tab: 01 2018Q3 Earnings
Digest label: “Selling &amp; Marketing Q3 2018”</t>
      </text>
    </comment>
    <comment ref="J13" authorId="0" shapeId="0">
      <text>
        <t>Source: Q3 2018 Earnings Call
Date: 2018-11-09
Workbook tab: 01 2018Q3 Earnings
Digest label: “Selling &amp; Marketing 9M 2018”</t>
      </text>
    </comment>
    <comment ref="K13" authorId="0" shapeId="0">
      <text>
        <t>Source: Q4 &amp; Full-Year 2018 Earnings Call
Date: 2019-03-14
Workbook tab: 02 2018Q4 Earnings
Digest label: “Selling &amp; Marketing Q4 2018”</t>
      </text>
    </comment>
    <comment ref="L13" authorId="0" shapeId="0">
      <text>
        <t>Source: Q4 &amp; Full-Year 2018 Earnings Call
Date: 2019-03-14
Workbook tab: 02 2018Q4 Earnings
Digest label: “Selling &amp; Marketing FY2018”</t>
      </text>
    </comment>
    <comment ref="M13" authorId="0" shapeId="0">
      <text>
        <t>Source: Q1 2019 Earnings Call
Date: 2019-05-09
Workbook tab: 03 2019Q1 Earnings
Digest label: “Selling &amp; Marketing Q1 2019”</t>
      </text>
    </comment>
    <comment ref="N13" authorId="0" shapeId="0">
      <text>
        <t>Source: Q2 2019 Earnings Call
Date: 2019-08-08
Workbook tab: 04 2019Q2 Earnings
Digest label: “Selling &amp; Marketing Q2 2019”</t>
      </text>
    </comment>
    <comment ref="O13" authorId="0" shapeId="0">
      <text>
        <t>Source: Q2 2019 Earnings Call
Date: 2019-08-08
Workbook tab: 04 2019Q2 Earnings
Digest label: “Selling &amp; Marketing H1 2019”</t>
      </text>
    </comment>
    <comment ref="P13" authorId="0" shapeId="0">
      <text>
        <t>Source: Q3 2019 Earnings Call
Date: 2019-11-07
Workbook tab: 05 2019Q3 Earnings
Digest label: “Sales &amp; Marketing Q3 2019”</t>
      </text>
    </comment>
    <comment ref="R13" authorId="0" shapeId="0">
      <text>
        <t>Source: Q4 &amp; Full-Year 2019 Earnings Call
Date: 2020-03-12
Workbook tab: 06 2019Q4 Earnings
Digest label: “Selling &amp; Marketing Q4 2019”</t>
      </text>
    </comment>
    <comment ref="S13" authorId="0" shapeId="0">
      <text>
        <t>Source: Q4 &amp; Full-Year 2019 Earnings Call
Date: 2020-03-12
Workbook tab: 06 2019Q4 Earnings
Digest label: “Selling &amp; Marketing FY2019”</t>
      </text>
    </comment>
    <comment ref="W13" authorId="0" shapeId="0">
      <text>
        <t>Source: Q4 &amp; Full-Year 2020 Earnings Call
Date: 2021-03-11
Workbook tab: 12 2020Q4 Earnings
Digest label: “Selling &amp; Marketing Q4 2020”</t>
      </text>
    </comment>
    <comment ref="Z13" authorId="0" shapeId="0">
      <text>
        <t>Source: Q2 2021 Earnings Call
Date: 2021-08-12
Workbook tab: 14 2021Q2 Earnings
Digest label: “Sales &amp; Marketing”</t>
      </text>
    </comment>
    <comment ref="AB13" authorId="0" shapeId="0">
      <text>
        <t>Source: Q3 2021 Earnings Call
Date: 2021-11-11
Workbook tab: 16 2021Q3 Earnings
Digest label: “Sales &amp; Marketing”</t>
      </text>
    </comment>
    <comment ref="AE13" authorId="0" shapeId="0">
      <text>
        <t>Prior-year comparative — no transcript reported this period directly.
Figure as stated in Q4 2022 Earnings Call (2023-03-01),
STEP-5 KPI “FY Sales &amp; Marketing Expense” (PriorYearValue field).</t>
      </text>
    </comment>
    <comment ref="AF13" authorId="0" shapeId="0">
      <text>
        <t>Source: Q1 2022 Earnings Call
Date: 2022-05-10
Workbook tab: 20 2022Q1 Earnings
Digest label: “Sales &amp; Marketing”</t>
      </text>
    </comment>
    <comment ref="AI13" authorId="0" shapeId="0">
      <text>
        <t>Source: Q3 2022 Earnings Call
Date: 2022-11-09
Workbook tab: 27 2022Q3 Earnings
Digest label: “Sales &amp; marketing expenses”</t>
      </text>
    </comment>
    <comment ref="AK13" authorId="0" shapeId="0">
      <text>
        <t>Prior-year comparative — no transcript reported this period directly.
Figure as stated in Q4 2023 Earnings Call (2024-02-29),
STEP-5 KPI “Q4 Sales &amp; Marketing Expense” (PriorYearValue field).</t>
      </text>
    </comment>
    <comment ref="AL13" authorId="0" shapeId="0">
      <text>
        <t>Source: Celsius Holdings 2023 Annual General Meeting
Date: 2023-06-01
Workbook tab: 31 Annual General Meeting
Digest label: “Sales &amp; Marketing Expense”</t>
      </text>
    </comment>
    <comment ref="AM13" authorId="0" shapeId="0">
      <text>
        <t>Reported in 2 transcripts (► = figure shown):
► 48  —  Celsius Holdings Q1 2023 Earnings Call (2023-05-09)
   tab: 29 2023Q1 Earnings  |  “S&amp;M Expense ($M)”
• 48  —  Celsius Holdings 2023 Annual General Meeting (2023-06-01)
   tab: 31 Annual General Meeting  |  “Sales &amp; Marketing Expense”</t>
      </text>
    </comment>
    <comment ref="AN13" authorId="0" shapeId="0">
      <text>
        <t>Source: Q2 2023 Earnings Call
Date: 2023-08-08
Workbook tab: 34 2023Q2 Earnings
Digest label: “Sales &amp; Marketing ($)”</t>
      </text>
    </comment>
    <comment ref="AP13" authorId="0" shapeId="0">
      <text>
        <t>Source: Q3 2023 Earnings Call
Date: 2023-11-07
Workbook tab: 37 2023Q3 Earnings
Digest label: “Sales &amp; Marketing ($)”</t>
      </text>
    </comment>
    <comment ref="AR13" authorId="0" shapeId="0">
      <text>
        <t>Source: Celsius Holdings Q4 2023 Earnings Call
Date: 2024-02-29
Workbook tab: 40 2023Q4 Earnings
Digest label: “S&amp;M Expense ($M)”</t>
      </text>
    </comment>
    <comment ref="BA13" authorId="0" shapeId="0">
      <text>
        <t>Source: CELH Q2 2025 Earnings Call
Date: 2025-08-07
Workbook tab: 60 2025Q2 Earnings
Digest label: “S&amp;M Expense ($M)”</t>
      </text>
    </comment>
    <comment ref="I14" authorId="0" shapeId="0">
      <text>
        <t>Source: Q3 2018 Earnings Call
Date: 2018-11-09
Workbook tab: 01 2018Q3 Earnings
Digest label: “G&amp;A Q3 2018”</t>
      </text>
    </comment>
    <comment ref="J14" authorId="0" shapeId="0">
      <text>
        <t>Source: Q3 2018 Earnings Call
Date: 2018-11-09
Workbook tab: 01 2018Q3 Earnings
Digest label: “G&amp;A 9M 2018”</t>
      </text>
    </comment>
    <comment ref="K14" authorId="0" shapeId="0">
      <text>
        <t>Source: Q4 &amp; Full-Year 2018 Earnings Call
Date: 2019-03-14
Workbook tab: 02 2018Q4 Earnings
Digest label: “G&amp;A Q4 2018”</t>
      </text>
    </comment>
    <comment ref="L14" authorId="0" shapeId="0">
      <text>
        <t>Source: Q4 &amp; Full-Year 2018 Earnings Call
Date: 2019-03-14
Workbook tab: 02 2018Q4 Earnings
Digest label: “G&amp;A FY2018”</t>
      </text>
    </comment>
    <comment ref="M14" authorId="0" shapeId="0">
      <text>
        <t>Source: Q1 2019 Earnings Call
Date: 2019-05-09
Workbook tab: 03 2019Q1 Earnings
Digest label: “G&amp;A Q1 2019”</t>
      </text>
    </comment>
    <comment ref="N14" authorId="0" shapeId="0">
      <text>
        <t>Source: Q2 2019 Earnings Call
Date: 2019-08-08
Workbook tab: 04 2019Q2 Earnings
Digest label: “G&amp;A Q2 2019”</t>
      </text>
    </comment>
    <comment ref="O14" authorId="0" shapeId="0">
      <text>
        <t>Source: Q2 2019 Earnings Call
Date: 2019-08-08
Workbook tab: 04 2019Q2 Earnings
Digest label: “G&amp;A H1 2019”</t>
      </text>
    </comment>
    <comment ref="P14" authorId="0" shapeId="0">
      <text>
        <t>Source: Q3 2019 Earnings Call
Date: 2019-11-07
Workbook tab: 05 2019Q3 Earnings
Digest label: “G&amp;A Q3 2019”</t>
      </text>
    </comment>
    <comment ref="R14" authorId="0" shapeId="0">
      <text>
        <t>Source: Q4 &amp; Full-Year 2019 Earnings Call
Date: 2020-03-12
Workbook tab: 06 2019Q4 Earnings
Digest label: “G&amp;A Q4 2019”</t>
      </text>
    </comment>
    <comment ref="S14" authorId="0" shapeId="0">
      <text>
        <t>Source: Q4 &amp; Full-Year 2019 Earnings Call
Date: 2020-03-12
Workbook tab: 06 2019Q4 Earnings
Digest label: “G&amp;A FY2019”</t>
      </text>
    </comment>
    <comment ref="W14" authorId="0" shapeId="0">
      <text>
        <t>Source: Q4 &amp; Full-Year 2020 Earnings Call
Date: 2021-03-11
Workbook tab: 12 2020Q4 Earnings
Digest label: “G&amp;A Q4 2020”</t>
      </text>
    </comment>
    <comment ref="Z14" authorId="0" shapeId="0">
      <text>
        <t>Source: Q2 2021 Earnings Call
Date: 2021-08-12
Workbook tab: 14 2021Q2 Earnings
Digest label: “General &amp; Administrative”</t>
      </text>
    </comment>
    <comment ref="AB14" authorId="0" shapeId="0">
      <text>
        <t>Source: Q3 2021 Earnings Call
Date: 2021-11-11
Workbook tab: 16 2021Q3 Earnings
Digest label: “General &amp; Administrative”</t>
      </text>
    </comment>
    <comment ref="AE14" authorId="0" shapeId="0">
      <text>
        <t>Prior-year comparative — no transcript reported this period directly.
Figure as stated in Q4 2022 Earnings Call (2023-03-01),
STEP-5 KPI “FY G&amp;A Expenses” (PriorYearValue field).</t>
      </text>
    </comment>
    <comment ref="AF14" authorId="0" shapeId="0">
      <text>
        <t>Source: Q1 2022 Earnings Call
Date: 2022-05-10
Workbook tab: 20 2022Q1 Earnings
Digest label: “General &amp; Administrative”</t>
      </text>
    </comment>
    <comment ref="AG14" authorId="0" shapeId="0">
      <text>
        <t>Source: Q2 2022 Earnings Call
Date: 2022-08-09
Workbook tab: 26 2022Q2 Earnings
Digest label: “G&amp;A expenses”</t>
      </text>
    </comment>
    <comment ref="AI14" authorId="0" shapeId="0">
      <text>
        <t>Source: Q3 2022 Earnings Call
Date: 2022-11-09
Workbook tab: 27 2022Q3 Earnings
Digest label: “G&amp;A expenses”</t>
      </text>
    </comment>
    <comment ref="AK14" authorId="0" shapeId="0">
      <text>
        <t>Prior-year comparative — no transcript reported this period directly.
Figure as stated in Q4 2023 Earnings Call (2024-02-29),
STEP-5 KPI “Q4 G&amp;A Expense” (PriorYearValue field).</t>
      </text>
    </comment>
    <comment ref="AL14" authorId="0" shapeId="0">
      <text>
        <t>Source: Celsius Holdings 2023 Annual General Meeting
Date: 2023-06-01
Workbook tab: 31 Annual General Meeting
Digest label: “G&amp;A Expense”</t>
      </text>
    </comment>
    <comment ref="AM14" authorId="0" shapeId="0">
      <text>
        <t>Reported in 2 transcripts (► = figure shown):
► 21  —  Celsius Holdings Q1 2023 Earnings Call (2023-05-09)
   tab: 29 2023Q1 Earnings  |  “G&amp;A Expense ($M)”
• 21  —  Celsius Holdings 2023 Annual General Meeting (2023-06-01)
   tab: 31 Annual General Meeting  |  “G&amp;A Expense”</t>
      </text>
    </comment>
    <comment ref="AN14" authorId="0" shapeId="0">
      <text>
        <t>Source: Q2 2023 Earnings Call
Date: 2023-08-08
Workbook tab: 34 2023Q2 Earnings
Digest label: “G&amp;A Expense ($)”</t>
      </text>
    </comment>
    <comment ref="AP14" authorId="0" shapeId="0">
      <text>
        <t>Source: Q3 2023 Earnings Call
Date: 2023-11-07
Workbook tab: 37 2023Q3 Earnings
Digest label: “G&amp;A Expense ($)”</t>
      </text>
    </comment>
    <comment ref="AR14" authorId="0" shapeId="0">
      <text>
        <t>Source: Celsius Holdings Q4 2023 Earnings Call
Date: 2024-02-29
Workbook tab: 40 2023Q4 Earnings
Digest label: “G&amp;A Expense ($M)”</t>
      </text>
    </comment>
    <comment ref="AT14" authorId="0" shapeId="0">
      <text>
        <t>Source: Q1 2024 Earnings Call
Date: 2024-05-07
Workbook tab: 42 Q1 2024 Earnings
Digest label: “G&amp;A Expense”</t>
      </text>
    </comment>
    <comment ref="AU14" authorId="0" shapeId="0">
      <text>
        <t>Prior-year comparative — no transcript reported this period directly.
Figure as stated in Q2 2025 Earnings Call (2025-08-07),
STEP-5 KPI “G&amp;A Expense” (PriorYearValue field).</t>
      </text>
    </comment>
    <comment ref="BA14" authorId="0" shapeId="0">
      <text>
        <t>Source: CELH Q2 2025 Earnings Call
Date: 2025-08-07
Workbook tab: 60 2025Q2 Earnings
Digest label: “G&amp;A Expense ($M)”</t>
      </text>
    </comment>
    <comment ref="F15" authorId="0" shapeId="0">
      <text>
        <t>Prior-year comparative — no transcript reported this period directly.
Figure as stated in Q1 2019 Earnings Call (2019-05-09),
STEP-5 KPI “Net Income to Common Shareholders” (PriorYearValue field).</t>
      </text>
    </comment>
    <comment ref="I15" authorId="0" shapeId="0">
      <text>
        <t>Source: Q3 2018 Earnings Call
Date: 2018-11-09
Workbook tab: 01 2018Q3 Earnings
Digest label: “Net Loss to Common Q3 2018 ($M)”</t>
      </text>
    </comment>
    <comment ref="J15" authorId="0" shapeId="0">
      <text>
        <t>Source: Q3 2018 Earnings Call
Date: 2018-11-09
Workbook tab: 01 2018Q3 Earnings
Digest label: “Net Loss to Common 9M 2018 ($M)”</t>
      </text>
    </comment>
    <comment ref="K15" authorId="0" shapeId="0">
      <text>
        <t>Source: Q4 &amp; Full-Year 2018 Earnings Call
Date: 2019-03-14
Workbook tab: 02 2018Q4 Earnings
Digest label: “Net Loss to Common Q4 2018 ($M)”</t>
      </text>
    </comment>
    <comment ref="L15" authorId="0" shapeId="0">
      <text>
        <t>Source: Q4 &amp; Full-Year 2018 Earnings Call
Date: 2019-03-14
Workbook tab: 02 2018Q4 Earnings
Digest label: “Net Loss to Common FY2018 ($M)”</t>
      </text>
    </comment>
    <comment ref="M15" authorId="0" shapeId="0">
      <text>
        <t>Source: Q1 2019 Earnings Call
Date: 2019-05-09
Workbook tab: 03 2019Q1 Earnings
Digest label: “Net Income to Common Q1 2019 ($M)”</t>
      </text>
    </comment>
    <comment ref="N15" authorId="0" shapeId="0">
      <text>
        <t>Source: Q2 2019 Earnings Call
Date: 2019-08-08
Workbook tab: 04 2019Q2 Earnings
Digest label: “Net Loss to Common Q2 2019 ($M)”</t>
      </text>
    </comment>
    <comment ref="O15" authorId="0" shapeId="0">
      <text>
        <t>Source: Q2 2019 Earnings Call
Date: 2019-08-08
Workbook tab: 04 2019Q2 Earnings
Digest label: “Net Income to Common H1 2019 ($M)”</t>
      </text>
    </comment>
    <comment ref="P15" authorId="0" shapeId="0">
      <text>
        <t>Source: Q3 2019 Earnings Call
Date: 2019-11-07
Workbook tab: 05 2019Q3 Earnings
Digest label: “Net Income to Common Q3 2019 ($000)”</t>
      </text>
    </comment>
    <comment ref="Q15" authorId="0" shapeId="0">
      <text>
        <t>Source: Q3 2019 Earnings Call
Date: 2019-11-07
Workbook tab: 05 2019Q3 Earnings
Digest label: “YTD Net Income to Common 9M 2019 ($M)”</t>
      </text>
    </comment>
    <comment ref="R15" authorId="0" shapeId="0">
      <text>
        <t>Source: Q4 &amp; Full-Year 2019 Earnings Call
Date: 2020-03-12
Workbook tab: 06 2019Q4 Earnings
Digest label: “Net Loss to Common Q4 2019 ($M)”</t>
      </text>
    </comment>
    <comment ref="S15" authorId="0" shapeId="0">
      <text>
        <t>Source: Q4 &amp; Full-Year 2019 Earnings Call
Date: 2020-03-12
Workbook tab: 06 2019Q4 Earnings
Digest label: “Net Income to Common FY2019 ($M)”</t>
      </text>
    </comment>
    <comment ref="T15" authorId="0" shapeId="0">
      <text>
        <t>Prior-year comparative — no transcript reported this period directly.
Figure as stated in Q1 2021 Earnings Call (2021-05-13),
STEP-5 KPI “Net Income” (PriorYearValue field).</t>
      </text>
    </comment>
    <comment ref="U15" authorId="0" shapeId="0">
      <text>
        <t>Prior-year comparative — no transcript reported this period directly.
Figure as stated in Q2 2021 Earnings Call (2021-08-12),
STEP-5 KPI “Net Income” (PriorYearValue field).</t>
      </text>
    </comment>
    <comment ref="V15" authorId="0" shapeId="0">
      <text>
        <t>Prior-year comparative — no transcript reported this period directly.
Figure as stated in Q3 2021 Earnings Call (2021-11-11),
STEP-5 KPI “Net Income” (PriorYearValue field).</t>
      </text>
    </comment>
    <comment ref="W15" authorId="0" shapeId="0">
      <text>
        <t>Source: Q4 &amp; Full-Year 2020 Earnings Call
Date: 2021-03-11
Workbook tab: 12 2020Q4 Earnings
Digest label: “Net Income Q4 2020 ($M)”</t>
      </text>
    </comment>
    <comment ref="Y15" authorId="0" shapeId="0">
      <text>
        <t>Prior-year comparative — no transcript reported this period directly.
Figure as stated in Q1 2022 Earnings Call (2022-05-10),
STEP-5 KPI “Net Income” (PriorYearValue field).</t>
      </text>
    </comment>
    <comment ref="Z15" authorId="0" shapeId="0">
      <text>
        <t>Source: Q2 2021 Earnings Call
Date: 2021-08-12
Workbook tab: 14 2021Q2 Earnings
Digest label: “Net Income”</t>
      </text>
    </comment>
    <comment ref="AA15" authorId="0" shapeId="0">
      <text>
        <t>Source: 2021 Annual Meeting of Shareholders
Date: 2021-08-19
Workbook tab: 15 Annual Shareholder Mtg
Digest label: “Net Income”</t>
      </text>
    </comment>
    <comment ref="AB15" authorId="0" shapeId="0">
      <text>
        <t>Source: Q3 2021 Earnings Call
Date: 2021-11-11
Workbook tab: 16 2021Q3 Earnings
Digest label: “Net Income”</t>
      </text>
    </comment>
    <comment ref="AE15" authorId="0" shapeId="0">
      <text>
        <t>Source: 2022 Annual General Meeting (Annual Meeting of Shareholders)
Date: 2022-06-02
Workbook tab: 22 Annual Shareholder Mtg
Digest label: “Net income ($M)”</t>
      </text>
    </comment>
    <comment ref="AF15" authorId="0" shapeId="0">
      <text>
        <t>Reported in 2 transcripts (► = figure shown):
► 6.7  —  Q1 2022 Earnings Call (2022-05-10)
   tab: 20 2022Q1 Earnings  |  “Net Income”
• 6.7  —  2022 Annual General Meeting (Annual Meeting of Shareholders) (2022-06-02)
   tab: 22 Annual Shareholder Mtg  |  “Net income ($M)”</t>
      </text>
    </comment>
    <comment ref="AG15" authorId="0" shapeId="0">
      <text>
        <t>Source: Q2 2022 Earnings Call
Date: 2022-08-09
Workbook tab: 26 2022Q2 Earnings
Digest label: “Net income”</t>
      </text>
    </comment>
    <comment ref="AP15" authorId="0" shapeId="0">
      <text>
        <t>Source: Q3 2023 Earnings Call
Date: 2023-11-07
Workbook tab: 37 2023Q3 Earnings
Digest label: “Net Income (common shareholders)”</t>
      </text>
    </comment>
    <comment ref="AR15" authorId="0" shapeId="0">
      <text>
        <t>Prior-year comparative — no transcript reported this period directly.
Figure as stated in Q4 2024 Earnings Call (2025-02-20),
STEP-5 KPI “Net Income / (Loss) (Q4)” (PriorYearValue field).</t>
      </text>
    </comment>
    <comment ref="AS15" authorId="0" shapeId="0">
      <text>
        <t>Prior-year comparative — no transcript reported this period directly.
Figure as stated in Q4 2024 Earnings Call (2025-02-20),
STEP-5 KPI “Net Income (Full Year)” (PriorYearValue field).</t>
      </text>
    </comment>
    <comment ref="AT15" authorId="0" shapeId="0">
      <text>
        <t>Source: Q1 2024 Earnings Call
Date: 2024-05-07
Workbook tab: 42 Q1 2024 Earnings
Digest label: “Net Income to Common Shareholders”</t>
      </text>
    </comment>
    <comment ref="AU15" authorId="0" shapeId="0">
      <text>
        <t>Prior-year comparative — no transcript reported this period directly.
Figure as stated in Q2 2025 Earnings Call (2025-08-07),
STEP-5 KPI “Net Income” (PriorYearValue field).</t>
      </text>
    </comment>
    <comment ref="AX15" authorId="0" shapeId="0">
      <text>
        <t>Source: Q4 2024 Earnings Call
Date: 2025-02-20
Workbook tab: 51 2024Q4 Earnings
Digest label: “Net Income / (Loss)”</t>
      </text>
    </comment>
    <comment ref="AY15" authorId="0" shapeId="0">
      <text>
        <t>Source: Q4 2024 Earnings Call
Date: 2025-02-20
Workbook tab: 51 2024Q4 Earnings
Digest label: “Net Income”</t>
      </text>
    </comment>
    <comment ref="AZ15" authorId="0" shapeId="0">
      <text>
        <t>Source: Q1 2025 Earnings Call
Date: 2025-05-06
Workbook tab: 55 2025Q1 Earnings
Digest label: “Net Income (to common)”</t>
      </text>
    </comment>
    <comment ref="BA15" authorId="0" shapeId="0">
      <text>
        <t>Reported in 2 transcripts (► = figure shown):
• 85.7  —  CELH Q2 2025 Earnings Call (2025-08-07)
   tab: 60 2025Q2 Earnings  |  “Net Income to Common ($M)”
► 99.6  —  CELH Q2 2025 Earnings Call (2025-08-07)
   tab: 60 2025Q2 Earnings  |  “Net Income ($M)”</t>
      </text>
    </comment>
    <comment ref="BE15" authorId="0" shapeId="0">
      <text>
        <t>Reported in 3 transcripts (► = figure shown):
• 108  —  Full-Year 2025 and Fourth Quarter Financial Results Press Release (2026-02-26)
   tab: 66 2025Q4 Earnings PR  |  “Net income (GAAP)”
• 63.8  —  Full-Year 2025 and Fourth Quarter Financial Results Press Release (2026-02-26)
   tab: 66 2025Q4 Earnings PR  |  “Net income to common shareholders”
► 108  —  Q4 2025 / FY2025 Earnings Call (2026-02-26)
   tab: 67 2025Q4 Earnings  |  “Net Income (GAAP)”</t>
      </text>
    </comment>
    <comment ref="BF15" authorId="0" shapeId="0">
      <text>
        <t>Source: CELH Q1 2026 Earnings Call
Date: 2026-05-07
Workbook tab: 69 2026Q1 Earnings
Digest label: “GAAP Net Income ($M)”</t>
      </text>
    </comment>
    <comment ref="F16" authorId="0" shapeId="0">
      <text>
        <t>Prior-year comparative — no transcript reported this period directly.
Figure as stated in Q1 2019 Earnings Call (2019-05-09),
STEP-5 KPI “Adjusted EBITDA” (PriorYearValue field).</t>
      </text>
    </comment>
    <comment ref="G16" authorId="0" shapeId="0">
      <text>
        <t>Prior-year comparative — no transcript reported this period directly.
Figure as stated in Q2 2019 Earnings Call (2019-08-08),
STEP-5 KPI “Adjusted EBITDA (Q2)” (PriorYearValue field).</t>
      </text>
    </comment>
    <comment ref="H16" authorId="0" shapeId="0">
      <text>
        <t>Prior-year comparative — no transcript reported this period directly.
Figure as stated in Q2 2019 Earnings Call (2019-08-08),
STEP-5 KPI “Adjusted EBITDA (First Half)” (PriorYearValue field).</t>
      </text>
    </comment>
    <comment ref="I16" authorId="0" shapeId="0">
      <text>
        <t>Reported in 2 transcripts (► = figure shown):
► -2.9  —  Q3 2018 Earnings Call (2018-11-09)
   tab: 01 2018Q3 Earnings  |  “Adjusted EBITDA Q3 2018 ($M)”
• 2.2  —  Q3 2018 Earnings Call (2018-11-09)
   tab: 01 2018Q3 Earnings  |  “Adj EBITDA ex Asia Q3 2018 ($M)”</t>
      </text>
    </comment>
    <comment ref="J16" authorId="0" shapeId="0">
      <text>
        <t>Source: Q3 2018 Earnings Call
Date: 2018-11-09
Workbook tab: 01 2018Q3 Earnings
Digest label: “Adjusted EBITDA 9M 2018 ($M)”</t>
      </text>
    </comment>
    <comment ref="K16" authorId="0" shapeId="0">
      <text>
        <t>Source: Q4 &amp; Full-Year 2018 Earnings Call
Date: 2019-03-14
Workbook tab: 02 2018Q4 Earnings
Digest label: “Adjusted EBITDA Q4 2018 ($M)”</t>
      </text>
    </comment>
    <comment ref="L16" authorId="0" shapeId="0">
      <text>
        <t>Source: Q4 &amp; Full-Year 2018 Earnings Call
Date: 2019-03-14
Workbook tab: 02 2018Q4 Earnings
Digest label: “Adjusted EBITDA FY2018 ($M)”</t>
      </text>
    </comment>
    <comment ref="M16" authorId="0" shapeId="0">
      <text>
        <t>Source: Q1 2019 Earnings Call
Date: 2019-05-09
Workbook tab: 03 2019Q1 Earnings
Digest label: “Adjusted EBITDA Q1 2019 ($000)”</t>
      </text>
    </comment>
    <comment ref="N16" authorId="0" shapeId="0">
      <text>
        <t>Source: Q2 2019 Earnings Call
Date: 2019-08-08
Workbook tab: 04 2019Q2 Earnings
Digest label: “Adjusted EBITDA Q2 2019 ($000)”</t>
      </text>
    </comment>
    <comment ref="O16" authorId="0" shapeId="0">
      <text>
        <t>Source: Q2 2019 Earnings Call
Date: 2019-08-08
Workbook tab: 04 2019Q2 Earnings
Digest label: “Adjusted EBITDA H1 2019 ($000)”</t>
      </text>
    </comment>
    <comment ref="P16" authorId="0" shapeId="0">
      <text>
        <t>Reported in 2 transcripts (► = figure shown):
► 2.4  —  Q3 2019 Earnings Call (2019-11-07)
   tab: 05 2019Q3 Earnings  |  “Adjusted EBITDA Q3 2019 ($M)”
• 2.6  —  Q3 2019 Earnings Call (2019-11-07)
   tab: 05 2019Q3 Earnings  |  “Net Non-GAAP Adjusted EBITDA Q3 2019 ($M)”</t>
      </text>
    </comment>
    <comment ref="R16" authorId="0" shapeId="0">
      <text>
        <t>Source: Q4 &amp; Full-Year 2019 Earnings Call
Date: 2020-03-12
Workbook tab: 06 2019Q4 Earnings
Digest label: “Adj EBITDA ex-Asia Q4 2019 ($000)”</t>
      </text>
    </comment>
    <comment ref="S16" authorId="0" shapeId="0">
      <text>
        <t>Source: Q4 &amp; Full-Year 2019 Earnings Call
Date: 2020-03-12
Workbook tab: 06 2019Q4 Earnings
Digest label: “Adj EBITDA ex-Asia FY2019 ($M)”</t>
      </text>
    </comment>
    <comment ref="T16" authorId="0" shapeId="0">
      <text>
        <t>Prior-year comparative — no transcript reported this period directly.
Figure as stated in Q1 2021 Earnings Call (2021-05-13),
STEP-5 KPI “Adjusted EBITDA” (PriorYearValue field).</t>
      </text>
    </comment>
    <comment ref="W16" authorId="0" shapeId="0">
      <text>
        <t>Source: Q4 &amp; Full-Year 2020 Earnings Call
Date: 2021-03-11
Workbook tab: 12 2020Q4 Earnings
Digest label: “Adjusted EBITDA Q4 2020 ($M)”</t>
      </text>
    </comment>
    <comment ref="Z16" authorId="0" shapeId="0">
      <text>
        <t>Reported in 2 transcripts (► = figure shown):
► 7.9  —  Q2 2021 Earnings Call (2021-08-12)
   tab: 14 2021Q2 Earnings  |  “Adjusted EBITDA”
• 8  —  2021 Annual Meeting of Shareholders (2021-08-19)
   tab: 15 Annual Shareholder Mtg  |  “Q2 Adjusted EBITDA”</t>
      </text>
    </comment>
    <comment ref="AA16" authorId="0" shapeId="0">
      <text>
        <t>Source: 2021 Annual Meeting of Shareholders
Date: 2021-08-19
Workbook tab: 15 Annual Shareholder Mtg
Digest label: “Adjusted EBITDA”</t>
      </text>
    </comment>
    <comment ref="AF16" authorId="0" shapeId="0">
      <text>
        <t>Source: 2022 Annual General Meeting (Annual Meeting of Shareholders)
Date: 2022-06-02
Workbook tab: 22 Annual Shareholder Mtg
Digest label: “Adjusted EBITDA ($M)”</t>
      </text>
    </comment>
    <comment ref="AI16" authorId="0" shapeId="0">
      <text>
        <t>Prior-year comparative — no transcript reported this period directly.
Figure as stated in Q3 2023 Earnings Call (2023-11-07),
STEP-5 KPI “Non-GAAP Adjusted EBITDA” (PriorYearValue field).</t>
      </text>
    </comment>
    <comment ref="AM16" authorId="0" shapeId="0">
      <text>
        <t>Source: Celsius Holdings Q1 2023 Earnings Call
Date: 2023-05-09
Workbook tab: 29 2023Q1 Earnings
Digest label: “Adjusted EBITDA ($M, non-GAAP)”</t>
      </text>
    </comment>
    <comment ref="AP16" authorId="0" shapeId="0">
      <text>
        <t>Prior-year comparative — no transcript reported this period directly.
Figure as stated in Q3 2024 Earnings Call (2024-11-06),
STEP-5 KPI “Adjusted EBITDA” (PriorYearValue field).</t>
      </text>
    </comment>
    <comment ref="AT16" authorId="0" shapeId="0">
      <text>
        <t>Source: Q1 2024 Earnings Call
Date: 2024-05-07
Workbook tab: 42 Q1 2024 Earnings
Digest label: “Non-GAAP Adjusted EBITDA”</t>
      </text>
    </comment>
    <comment ref="AU16" authorId="0" shapeId="0">
      <text>
        <t>Prior-year comparative — no transcript reported this period directly.
Figure as stated in Q2 2025 Earnings Call (2025-08-07),
STEP-5 KPI “Adjusted EBITDA” (PriorYearValue field).</t>
      </text>
    </comment>
    <comment ref="AV16" authorId="0" shapeId="0">
      <text>
        <t>Prior-year comparative — no transcript reported this period directly.
Figure as stated in Q2 2025 Earnings Call (2025-08-07),
STEP-5 KPI “H1 2025 Adjusted EBITDA” (PriorYearValue field).</t>
      </text>
    </comment>
    <comment ref="AX16" authorId="0" shapeId="0">
      <text>
        <t>Prior-year comparative — no transcript reported this period directly.
Figure as stated in Full-Year 2025 and Fourth Quarter Financial Results Press Release (2026-02-26),
STEP-5 KPI “Adjusted EBITDA (Non-GAAP)” (PriorYearValue field).</t>
      </text>
    </comment>
    <comment ref="AY16" authorId="0" shapeId="0">
      <text>
        <t>Source: Alani Nu Modeling Call (post-closing)
Date: 2025-05-28
Workbook tab: 57 Acquiring Alani Nu
Digest label: “Adjusted EBITDA”</t>
      </text>
    </comment>
    <comment ref="AZ16" authorId="0" shapeId="0">
      <text>
        <t>Source: Q1 2025 Earnings Call
Date: 2025-05-06
Workbook tab: 55 2025Q1 Earnings
Digest label: “Adjusted EBITDA”</t>
      </text>
    </comment>
    <comment ref="BA16" authorId="0" shapeId="0">
      <text>
        <t>Source: CELH Q2 2025 Earnings Call
Date: 2025-08-07
Workbook tab: 60 2025Q2 Earnings
Digest label: “Adjusted EBITDA ($M)”</t>
      </text>
    </comment>
    <comment ref="BB16" authorId="0" shapeId="0">
      <text>
        <t>Source: CELH Q2 2025 Earnings Call
Date: 2025-08-07
Workbook tab: 60 2025Q2 Earnings
Digest label: “Adjusted EBITDA ($M)”</t>
      </text>
    </comment>
    <comment ref="BE16" authorId="0" shapeId="0">
      <text>
        <t>Reported in 2 transcripts (► = figure shown):
► 619.6  —  Q4 2025 / FY2025 Earnings Call (2026-02-26)
   tab: 67 2025Q4 Earnings  |  “Adjusted EBITDA”
• 619.6  —  Full-Year 2025 and Fourth Quarter Financial Results Press Release (2026-02-26)
   tab: 66 2025Q4 Earnings PR  |  “Adjusted EBITDA (non-GAAP)”</t>
      </text>
    </comment>
    <comment ref="BF16" authorId="0" shapeId="0">
      <text>
        <t>Source: CELH Q1 2026 Earnings Call
Date: 2026-05-07
Workbook tab: 69 2026Q1 Earnings
Digest label: “Adjusted EBITDA ($M)”</t>
      </text>
    </comment>
    <comment ref="F17" authorId="0" shapeId="0">
      <text>
        <t>Prior-year comparative — no transcript reported this period directly.
Figure as stated in Q1 2019 Earnings Call (2019-05-09),
STEP-5 KPI “Cash Used in Operations” (PriorYearValue field).</t>
      </text>
    </comment>
    <comment ref="H17" authorId="0" shapeId="0">
      <text>
        <t>Prior-year comparative — no transcript reported this period directly.
Figure as stated in Q2 2019 Earnings Call (2019-08-08),
STEP-5 KPI “Cash Used in Operations (First Half)” (PriorYearValue field).</t>
      </text>
    </comment>
    <comment ref="L17" authorId="0" shapeId="0">
      <text>
        <t>Source: Q4 &amp; Full-Year 2018 Earnings Call
Date: 2019-03-14
Workbook tab: 02 2018Q4 Earnings
Digest label: “Cash Used in Operations FY2018 ($M)”</t>
      </text>
    </comment>
    <comment ref="S17" authorId="0" shapeId="0">
      <text>
        <t>Source: Q4 &amp; Full-Year 2019 Earnings Call
Date: 2020-03-12
Workbook tab: 06 2019Q4 Earnings
Digest label: “Cash Provided by Operations FY2019 ($M)”</t>
      </text>
    </comment>
    <comment ref="Y17" authorId="0" shapeId="0">
      <text>
        <t>Prior-year comparative — no transcript reported this period directly.
Figure as stated in Q1 2022 Earnings Call (2022-05-10),
STEP-5 KPI “Cash Flow from Operating Activities” (PriorYearValue field).</t>
      </text>
    </comment>
    <comment ref="AC17" authorId="0" shapeId="0">
      <text>
        <t>Source: Q3 2021 Earnings Call
Date: 2021-11-11
Workbook tab: 16 2021Q3 Earnings
Digest label: “Operating Cash Flow (9M)”</t>
      </text>
    </comment>
    <comment ref="AE17" authorId="0" shapeId="0">
      <text>
        <t>Prior-year comparative — no transcript reported this period directly.
Figure as stated in Q4 2022 Earnings Call (2023-03-01),
STEP-5 KPI “FY Operating Cash Flow” (PriorYearValue field).</t>
      </text>
    </comment>
    <comment ref="AF17" authorId="0" shapeId="0">
      <text>
        <t>Reported in 2 transcripts (► = figure shown):
► 9.1  —  Q1 2022 Earnings Call (2022-05-10)
   tab: 20 2022Q1 Earnings  |  “Operating Cash Flow”
• 10  —  Credit Suisse HALO Investment Summit (2022-05-25)
   tab: 21 Credit Suisse Conf  |  “Operating Cash Flow ($M)”</t>
      </text>
    </comment>
    <comment ref="AH17" authorId="0" shapeId="0">
      <text>
        <t>Prior-year comparative — no transcript reported this period directly.
Figure as stated in Q2 2023 Earnings Call (2023-08-08),
STEP-5 KPI “Cash Flow from Operating Activities” (PriorYearValue field).</t>
      </text>
    </comment>
    <comment ref="AJ17" authorId="0" shapeId="0">
      <text>
        <t>Computed prior-year value: =AQ17/(1+20%).
The .md PriorYearValue conflicted with the line's stated YoY%, so it is reconstructed from the 9M 2023 figure.
YoY source: Q3 2023 Earnings Call (2023-11-07) — “Cash Flow from Operating Activities”.</t>
      </text>
    </comment>
    <comment ref="AL17" authorId="0" shapeId="0">
      <text>
        <t>Prior-year comparative — no transcript reported this period directly.
Figure as stated in Q4 2023 Earnings Call (2024-02-29),
STEP-5 KPI “Cash Flow from Operating Activities” (PriorYearValue field).</t>
      </text>
    </comment>
    <comment ref="AM17" authorId="0" shapeId="0">
      <text>
        <t>Source: Celsius Holdings Q1 2023 Earnings Call
Date: 2023-05-09
Workbook tab: 29 2023Q1 Earnings
Digest label: “Operating Cash Flow”</t>
      </text>
    </comment>
    <comment ref="AO17" authorId="0" shapeId="0">
      <text>
        <t>Source: Q2 2023 Earnings Call
Date: 2023-08-08
Workbook tab: 34 2023Q2 Earnings
Digest label: “H1 Cash from Operations”</t>
      </text>
    </comment>
    <comment ref="AQ17" authorId="0" shapeId="0">
      <text>
        <t>Source: Q3 2023 Earnings Call
Date: 2023-11-07
Workbook tab: 37 2023Q3 Earnings
Digest label: “9M Cash from Operations”</t>
      </text>
    </comment>
    <comment ref="AT17" authorId="0" shapeId="0">
      <text>
        <t>Source: Q1 2024 Earnings Call
Date: 2024-05-07
Workbook tab: 42 Q1 2024 Earnings
Digest label: “Cash Flow from Operating Activities”</t>
      </text>
    </comment>
    <comment ref="B18" authorId="0" shapeId="0">
      <text>
        <t>Prior-year comparative — no transcript reported this period directly.
Figure as stated in Q3 2018 Earnings Call (2018-11-09),
STEP-5 KPI “Cash” (PriorYearValue field).</t>
      </text>
    </comment>
    <comment ref="D18" authorId="0" shapeId="0">
      <text>
        <t>Prior-year comparative — no transcript reported this period directly.
Figure as stated in Q4 2018 Earnings Call (2019-03-14),
STEP-5 KPI “Cash” (PriorYearValue field).</t>
      </text>
    </comment>
    <comment ref="E18" authorId="0" shapeId="0">
      <text>
        <t>Source: Q3 2018 Earnings Call
Date: 2018-11-09
Workbook tab: 01 2018Q3 Earnings
Digest label: “Cash ($M)”</t>
      </text>
    </comment>
    <comment ref="F18" authorId="0" shapeId="0">
      <text>
        <t>Prior-year comparative — no transcript reported this period directly.
Figure as stated in Q1 2019 Earnings Call (2019-05-09),
STEP-5 KPI “Cash” (PriorYearValue field).</t>
      </text>
    </comment>
    <comment ref="G18" authorId="0" shapeId="0">
      <text>
        <t>Prior-year comparative — no transcript reported this period directly.
Figure as stated in Q2 2019 Earnings Call (2019-08-08),
STEP-5 KPI “Cash” (PriorYearValue field).</t>
      </text>
    </comment>
    <comment ref="I18" authorId="0" shapeId="0">
      <text>
        <t>Prior-year comparative — no transcript reported this period directly.
Figure as stated in Q3 2019 Earnings Call (2019-11-07),
STEP-5 KPI “Cash” (PriorYearValue field).</t>
      </text>
    </comment>
    <comment ref="L18" authorId="0" shapeId="0">
      <text>
        <t>Reported in 4 transcripts (► = figure shown):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t>
      </text>
    </comment>
    <comment ref="M18" authorId="0" shapeId="0">
      <text>
        <t>Prior-year comparative — no transcript reported this period directly.
Figure as stated in Q1 2020 Earnings Call (2020-05-12),
STEP-5 KPI “Cash” (PriorYearValue field).</t>
      </text>
    </comment>
    <comment ref="N18" authorId="0" shapeId="0">
      <text>
        <t>Prior-year comparative — no transcript reported this period directly.
Figure as stated in Q2 2020 Earnings Call (2020-08-06),
STEP-5 KPI “Cash” (PriorYearValue field).</t>
      </text>
    </comment>
    <comment ref="P18" authorId="0" shapeId="0">
      <text>
        <t>Prior-year comparative — no transcript reported this period directly.
Figure as stated in Q3 2020 Earnings Call (2020-11-12),
STEP-5 KPI “Cash” (PriorYearValue field).</t>
      </text>
    </comment>
    <comment ref="S18" authorId="0" shapeId="0">
      <text>
        <t>Reported in 4 transcripts (► = figure shown):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t>
      </text>
    </comment>
    <comment ref="T18" authorId="0" shapeId="0">
      <text>
        <t>Prior-year comparative — no transcript reported this period directly.
Figure as stated in Q1 2021 Earnings Call (2021-05-13),
STEP-5 KPI “Cash” (PriorYearValue field).</t>
      </text>
    </comment>
    <comment ref="U18" authorId="0" shapeId="0">
      <text>
        <t>Prior-year comparative — no transcript reported this period directly.
Figure as stated in Q2 2021 Earnings Call (2021-08-12),
STEP-5 KPI “Cash” (PriorYearValue field).</t>
      </text>
    </comment>
    <comment ref="V18" authorId="0" shapeId="0">
      <text>
        <t>Prior-year comparative — no transcript reported this period directly.
Figure as stated in Q3 2021 Earnings Call (2021-11-11),
STEP-5 KPI “Cash” (PriorYearValue field).</t>
      </text>
    </comment>
    <comment ref="X18" authorId="0" shapeId="0">
      <text>
        <t>Reported in 2 transcripts (► = figure shown):
► 43.2  —  Q4 &amp; Full-Year 2020 Earnings Call (2021-03-11)
   tab: 12 2020Q4 Earnings  |  “Cash ($M)”
• 43.2  —  Q1 2021 Earnings Call (2021-05-13)
   tab: 13 Q1 2021 Earnings  |  “Cash”</t>
      </text>
    </comment>
    <comment ref="Y18" authorId="0" shapeId="0">
      <text>
        <t>Prior-year comparative — no transcript reported this period directly.
Figure as stated in Q1 2022 Earnings Call (2022-05-10),
STEP-5 KPI “Cash Position” (PriorYearValue field).</t>
      </text>
    </comment>
    <comment ref="Z18" authorId="0" shapeId="0">
      <text>
        <t>Source: Q2 2021 Earnings Call
Date: 2021-08-12
Workbook tab: 14 2021Q2 Earnings
Digest label: “Cash”</t>
      </text>
    </comment>
    <comment ref="AB18" authorId="0" shapeId="0">
      <text>
        <t>Source: Q3 2021 Earnings Call
Date: 2021-11-11
Workbook tab: 16 2021Q3 Earnings
Digest label: “Cash”</t>
      </text>
    </comment>
    <comment ref="AE18" authorId="0" shapeId="0">
      <text>
        <t>Source: Q4 2021 Earnings Call
Date: 2022-03-01
Workbook tab: 19 Q4 2021 Earnings
Digest label: “Cash”</t>
      </text>
    </comment>
    <comment ref="AF18" authorId="0" shapeId="0">
      <text>
        <t>Source: Q1 2022 Earnings Call
Date: 2022-05-10
Workbook tab: 20 2022Q1 Earnings
Digest label: “Cash Position”</t>
      </text>
    </comment>
    <comment ref="AM18" authorId="0" shapeId="0">
      <text>
        <t>Source: Celsius Holdings Q1 2023 Earnings Call
Date: 2023-05-09
Workbook tab: 29 2023Q1 Earnings
Digest label: “Cash Balance”</t>
      </text>
    </comment>
    <comment ref="AZ18" authorId="0" shapeId="0">
      <text>
        <t>Source: Q1 2025 Earnings Call
Date: 2025-05-06
Workbook tab: 55 2025Q1 Earnings
Digest label: “Cash &amp; Cash Equivalents”</t>
      </text>
    </comment>
    <comment ref="BE18" authorId="0" shapeId="0">
      <text>
        <t>Source: Full-Year 2025 and Fourth Quarter Financial Results Press Release
Date: 2026-02-26
Workbook tab: 66 2025Q4 Earnings PR
Digest label: “Cash and cash equivalents”</t>
      </text>
    </comment>
    <comment ref="B19" authorId="0" shapeId="0">
      <text>
        <t>Prior-year comparative — no transcript reported this period directly.
Figure as stated in Q3 2018 Earnings Call (2018-11-09),
STEP-5 KPI “Working Capital” (PriorYearValue field).</t>
      </text>
    </comment>
    <comment ref="D19" authorId="0" shapeId="0">
      <text>
        <t>Prior-year comparative — no transcript reported this period directly.
Figure as stated in Q4 2018 Earnings Call (2019-03-14),
STEP-5 KPI “Working Capital” (PriorYearValue field).</t>
      </text>
    </comment>
    <comment ref="E19" authorId="0" shapeId="0">
      <text>
        <t>Source: Q3 2018 Earnings Call
Date: 2018-11-09
Workbook tab: 01 2018Q3 Earnings
Digest label: “Working Capital ($M)”</t>
      </text>
    </comment>
    <comment ref="F19" authorId="0" shapeId="0">
      <text>
        <t>Prior-year comparative — no transcript reported this period directly.
Figure as stated in Q1 2019 Earnings Call (2019-05-09),
STEP-5 KPI “Working Capital” (PriorYearValue field).</t>
      </text>
    </comment>
    <comment ref="G19" authorId="0" shapeId="0">
      <text>
        <t>Prior-year comparative — no transcript reported this period directly.
Figure as stated in Q2 2019 Earnings Call (2019-08-08),
STEP-5 KPI “Working Capital” (PriorYearValue field).</t>
      </text>
    </comment>
    <comment ref="I19" authorId="0" shapeId="0">
      <text>
        <t>Prior-year comparative — no transcript reported this period directly.
Figure as stated in Q3 2019 Earnings Call (2019-11-07),
STEP-5 KPI “Working Capital” (PriorYearValue field).</t>
      </text>
    </comment>
    <comment ref="L19" authorId="0" shapeId="0">
      <text>
        <t>Reported in 4 transcripts (► = figure shown):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t>
      </text>
    </comment>
    <comment ref="M19" authorId="0" shapeId="0">
      <text>
        <t>Prior-year comparative — no transcript reported this period directly.
Figure as stated in Q1 2020 Earnings Call (2020-05-12),
STEP-5 KPI “Working Capital” (PriorYearValue field).</t>
      </text>
    </comment>
    <comment ref="N19" authorId="0" shapeId="0">
      <text>
        <t>Prior-year comparative — no transcript reported this period directly.
Figure as stated in Q2 2020 Earnings Call (2020-08-06),
STEP-5 KPI “Working Capital” (PriorYearValue field).</t>
      </text>
    </comment>
    <comment ref="P19" authorId="0" shapeId="0">
      <text>
        <t>Prior-year comparative — no transcript reported this period directly.
Figure as stated in Q3 2020 Earnings Call (2020-11-12),
STEP-5 KPI “Working Capital” (PriorYearValue field).</t>
      </text>
    </comment>
    <comment ref="S19" authorId="0" shapeId="0">
      <text>
        <t>Reported in 4 transcripts (► = figure shown):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t>
      </text>
    </comment>
    <comment ref="T19" authorId="0" shapeId="0">
      <text>
        <t>Prior-year comparative — no transcript reported this period directly.
Figure as stated in Q1 2021 Earnings Call (2021-05-13),
STEP-5 KPI “Working Capital” (PriorYearValue field).</t>
      </text>
    </comment>
    <comment ref="U19" authorId="0" shapeId="0">
      <text>
        <t>Prior-year comparative — no transcript reported this period directly.
Figure as stated in Q2 2021 Earnings Call (2021-08-12),
STEP-5 KPI “Working Capital” (PriorYearValue field).</t>
      </text>
    </comment>
    <comment ref="V19" authorId="0" shapeId="0">
      <text>
        <t>Prior-year comparative — no transcript reported this period directly.
Figure as stated in Q3 2021 Earnings Call (2021-11-11),
STEP-5 KPI “Working Capital” (PriorYearValue field).</t>
      </text>
    </comment>
    <comment ref="X19" authorId="0" shapeId="0">
      <text>
        <t>Reported in 2 transcripts (► = figure shown):
► 64.9  —  Q4 &amp; Full-Year 2020 Earnings Call (2021-03-11)
   tab: 12 2020Q4 Earnings  |  “Working Capital ($M)”
• 64.9  —  Q1 2021 Earnings Call (2021-05-13)
   tab: 13 Q1 2021 Earnings  |  “Working Capital”</t>
      </text>
    </comment>
    <comment ref="Z19" authorId="0" shapeId="0">
      <text>
        <t>Source: Q2 2021 Earnings Call
Date: 2021-08-12
Workbook tab: 14 2021Q2 Earnings
Digest label: “Working Capital”</t>
      </text>
    </comment>
    <comment ref="AB19" authorId="0" shapeId="0">
      <text>
        <t>Source: Q3 2021 Earnings Call
Date: 2021-11-11
Workbook tab: 16 2021Q3 Earnings
Digest label: “Working Capital”</t>
      </text>
    </comment>
    <comment ref="AE19" authorId="0" shapeId="0">
      <text>
        <t>Source: Q4 2021 Earnings Call
Date: 2022-03-01
Workbook tab: 19 Q4 2021 Earnings
Digest label: “Working Capital”</t>
      </text>
    </comment>
    <comment ref="AF19" authorId="0" shapeId="0">
      <text>
        <t>Source: Q1 2022 Earnings Call
Date: 2022-05-10
Workbook tab: 20 2022Q1 Earnings
Digest label: “Working Capital”</t>
      </text>
    </comment>
    <comment ref="AM19" authorId="0" shapeId="0">
      <text>
        <t>Source: Celsius Holdings Q1 2023 Earnings Call
Date: 2023-05-09
Workbook tab: 29 2023Q1 Earnings
Digest label: “Net Working Capital”</t>
      </text>
    </comment>
    <comment ref="AE21" authorId="0" shapeId="0">
      <text>
        <t>Source: Q4 2021 Earnings Call
Date: 2022-03-01
Workbook tab: 19 Q4 2021 Earnings
Digest label: “% of MULO+C stores DSD-serviced”</t>
      </text>
    </comment>
    <comment ref="AG22" authorId="0" shapeId="0">
      <text>
        <t>Source: Q2 2022 Earnings Call
Date: 2022-08-09
Workbook tab: 26 2022Q2 Earnings
Digest label: “12-week growth”</t>
      </text>
    </comment>
    <comment ref="AK22" authorId="0" shapeId="0">
      <text>
        <t>Source: Q3 2022 Earnings Call
Date: 2022-11-09
Workbook tab: 27 2022Q3 Earnings
Digest label: “12-week growth”</t>
      </text>
    </comment>
    <comment ref="AK23" authorId="0" shapeId="0">
      <text>
        <t>Source: Q3 2022 Earnings Call
Date: 2022-11-09
Workbook tab: 27 2022Q3 Earnings
Digest label: “2-week growth”</t>
      </text>
    </comment>
    <comment ref="AG24" authorId="0" shapeId="0">
      <text>
        <t>Source: Q2 2022 Earnings Call
Date: 2022-08-09
Workbook tab: 26 2022Q2 Earnings
Digest label: “4-week growth”</t>
      </text>
    </comment>
    <comment ref="W25" authorId="0" shapeId="0">
      <text>
        <t>Source: Q4 &amp; Full-Year 2020 Earnings Call
Date: 2021-03-11
Workbook tab: 12 2020Q4 Earnings
Digest label: “7-Eleven DSD Transition”</t>
      </text>
    </comment>
    <comment ref="BE26" authorId="0" shapeId="0">
      <text>
        <t>Source: Full-Year 2025 and Fourth Quarter Financial Results Press Release
Date: 2026-02-26
Workbook tab: 66 2025Q4 Earnings PR
Digest label: “Accrued distributor termination fees”</t>
      </text>
    </comment>
    <comment ref="BE27" authorId="0" shapeId="0">
      <text>
        <t>Source: Q4 2025 / FY2025 Earnings Call
Date: 2026-02-26
Workbook tab: 67 2025Q4 Earnings
Digest label: “Acquisition &amp; integration adj”</t>
      </text>
    </comment>
    <comment ref="BA28" authorId="0" shapeId="0">
      <text>
        <t>Source: CELH Q2 2025 Earnings Call
Date: 2025-08-07
Workbook tab: 60 2025Q2 Earnings
Digest label: “Acquisition-related costs”</t>
      </text>
    </comment>
    <comment ref="BE28" authorId="0" shapeId="0">
      <text>
        <t>Source: Full-Year 2025 and Fourth Quarter Financial Results Press Release
Date: 2026-02-26
Workbook tab: 66 2025Q4 Earnings PR
Digest label: “Acquisition-related costs (FY)”</t>
      </text>
    </comment>
    <comment ref="AE29" authorId="0" shapeId="0">
      <text>
        <t>Source: Q4 2021 Earnings Call
Date: 2022-03-01
Workbook tab: 19 Q4 2021 Earnings
Digest label: “Active co-packers”</t>
      </text>
    </comment>
    <comment ref="AK30" authorId="0" shapeId="0">
      <text>
        <t>Source: Q4 2022 / FY2022 Earnings Call
Date: 2023-03-01
Workbook tab: 28 2022Q4 Earnings
Digest label: “ACV (all channels)”</t>
      </text>
    </comment>
    <comment ref="J31" authorId="0" shapeId="0">
      <text>
        <t>Source: Q3 2018 Earnings Call
Date: 2018-11-09
Workbook tab: 01 2018Q3 Earnings
Digest label: “Adj EBITDA ex Asia &amp; one-time 9M 2018 ($M)”</t>
      </text>
    </comment>
    <comment ref="L32" authorId="0" shapeId="0">
      <text>
        <t>Source: Q4 &amp; Full-Year 2018 Earnings Call
Date: 2019-03-14
Workbook tab: 02 2018Q4 Earnings
Digest label: “Adj EBITDA ex China/one-time FY2018 ($M)”</t>
      </text>
    </comment>
    <comment ref="Z33" authorId="0" shapeId="0">
      <text>
        <t>Source: Q2 2021 Earnings Call
Date: 2021-08-12
Workbook tab: 14 2021Q2 Earnings
Digest label: “Adj. Gross Margin (ex-freight)”</t>
      </text>
    </comment>
    <comment ref="AB33" authorId="0" shapeId="0">
      <text>
        <t>Source: Q3 2021 Earnings Call
Date: 2021-11-11
Workbook tab: 16 2021Q3 Earnings
Digest label: “Adj. Gross Margin (ex-freight)”</t>
      </text>
    </comment>
    <comment ref="AT34" authorId="0" shapeId="0">
      <text>
        <t>Prior-year comparative — no transcript reported this period directly.
Figure as stated in Q1 2025 Earnings Call (2025-05-06),
STEP-5 KPI “Non-GAAP Adjusted Diluted EPS” (PriorYearValue field).</t>
      </text>
    </comment>
    <comment ref="AU34" authorId="0" shapeId="0">
      <text>
        <t>Prior-year comparative — no transcript reported this period directly.
Figure as stated in Q2 2025 Earnings Call (2025-08-07),
STEP-5 KPI “Adjusted Diluted EPS” (PriorYearValue field).</t>
      </text>
    </comment>
    <comment ref="AV34" authorId="0" shapeId="0">
      <text>
        <t>Prior-year comparative — no transcript reported this period directly.
Figure as stated in Q2 2025 Earnings Call (2025-08-07),
STEP-5 KPI “H1 2025 Adjusted Diluted EPS” (PriorYearValue field).</t>
      </text>
    </comment>
    <comment ref="AX34" authorId="0" shapeId="0">
      <text>
        <t>Source: Q4 2024 Earnings Call
Date: 2025-02-20
Workbook tab: 51 2024Q4 Earnings
Digest label: “Adjusted Diluted EPS”</t>
      </text>
    </comment>
    <comment ref="AY34" authorId="0" shapeId="0">
      <text>
        <t>Source: Q4 2024 Earnings Call
Date: 2025-02-20
Workbook tab: 51 2024Q4 Earnings
Digest label: “Adjusted Diluted EPS”</t>
      </text>
    </comment>
    <comment ref="AZ34" authorId="0" shapeId="0">
      <text>
        <t>Source: Q1 2025 Earnings Call
Date: 2025-05-06
Workbook tab: 55 2025Q1 Earnings
Digest label: “Non-GAAP Adjusted Diluted EPS”</t>
      </text>
    </comment>
    <comment ref="BA34" authorId="0" shapeId="0">
      <text>
        <t>Source: CELH Q2 2025 Earnings Call
Date: 2025-08-07
Workbook tab: 60 2025Q2 Earnings
Digest label: “Adjusted Diluted EPS”</t>
      </text>
    </comment>
    <comment ref="BB34" authorId="0" shapeId="0">
      <text>
        <t>Source: CELH Q2 2025 Earnings Call
Date: 2025-08-07
Workbook tab: 60 2025Q2 Earnings
Digest label: “Adjusted Diluted EPS”</t>
      </text>
    </comment>
    <comment ref="BE34" authorId="0" shapeId="0">
      <text>
        <t>Source: Full-Year 2025 and Fourth Quarter Financial Results Press Release
Date: 2026-02-26
Workbook tab: 66 2025Q4 Earnings PR
Digest label: “Adjusted diluted EPS (non-GAAP)”</t>
      </text>
    </comment>
    <comment ref="AR35" authorId="0" shapeId="0">
      <text>
        <t>Prior-year comparative — no transcript reported this period directly.
Figure as stated in Q4 2024 Earnings Call (2025-02-20),
STEP-5 KPI “Adjusted EBITDA Margin (Q4)” (PriorYearValue field).</t>
      </text>
    </comment>
    <comment ref="AT35" authorId="0" shapeId="0">
      <text>
        <t>Prior-year comparative — no transcript reported this period directly.
Figure as stated in Q1 2025 Earnings Call (2025-05-06),
STEP-5 KPI “Adjusted EBITDA Margin” (PriorYearValue field).</t>
      </text>
    </comment>
    <comment ref="AX35" authorId="0" shapeId="0">
      <text>
        <t>Source: Q4 2024 Earnings Call
Date: 2025-02-20
Workbook tab: 51 2024Q4 Earnings
Digest label: “Adjusted EBITDA Margin”</t>
      </text>
    </comment>
    <comment ref="AY35" authorId="0" shapeId="0">
      <text>
        <t>Source: Alani Nu Modeling Call (post-closing)
Date: 2025-05-28
Workbook tab: 57 Acquiring Alani Nu
Digest label: “Adjusted EBITDA Margin”</t>
      </text>
    </comment>
    <comment ref="AZ35" authorId="0" shapeId="0">
      <text>
        <t>Source: Q1 2025 Earnings Call
Date: 2025-05-06
Workbook tab: 55 2025Q1 Earnings
Digest label: “Adjusted EBITDA Margin”</t>
      </text>
    </comment>
    <comment ref="BE35" authorId="0" shapeId="0">
      <text>
        <t>Reported in 2 transcripts (► = figure shown):
► 24.6%  —  Q4 2025 / FY2025 Earnings Call (2026-02-26)
   tab: 67 2025Q4 Earnings  |  “Adjusted EBITDA Margin”
• 24.6%  —  Full-Year 2025 and Fourth Quarter Financial Results Press Release (2026-02-26)
   tab: 66 2025Q4 Earnings PR  |  “Adjusted EBITDA margin (non-GAAP)”</t>
      </text>
    </comment>
    <comment ref="BF35" authorId="0" shapeId="0">
      <text>
        <t>Source: CELH Q1 2026 Earnings Call
Date: 2026-05-07
Workbook tab: 69 2026Q1 Earnings
Digest label: “Adjusted EBITDA Margin”</t>
      </text>
    </comment>
    <comment ref="AZ36" authorId="0" shapeId="0">
      <text>
        <t>Prior-year comparative — no transcript reported this period directly.
Figure as stated in Q1 2026 Earnings Call (2026-05-07),
STEP-5 KPI “Adjusted SG&amp;A as % of Revenue” (PriorYearValue field).</t>
      </text>
    </comment>
    <comment ref="BD36" authorId="0" shapeId="0">
      <text>
        <t>Source: Full-Year 2025 and Fourth Quarter Financial Results Press Release
Date: 2026-02-26
Workbook tab: 66 2025Q4 Earnings PR
Digest label: “Adjusted SG&amp;A as % of revenue (Q4)”</t>
      </text>
    </comment>
    <comment ref="BE36" authorId="0" shapeId="0">
      <text>
        <t>Source: Full-Year 2025 and Fourth Quarter Financial Results Press Release
Date: 2026-02-26
Workbook tab: 66 2025Q4 Earnings PR
Digest label: “Adjusted SG&amp;A as % of revenue (FY)”</t>
      </text>
    </comment>
    <comment ref="BF36" authorId="0" shapeId="0">
      <text>
        <t>Source: CELH Q1 2026 Earnings Call
Date: 2026-05-07
Workbook tab: 69 2026Q1 Earnings
Digest label: “Adjusted SG&amp;A % of revenue”</t>
      </text>
    </comment>
    <comment ref="BA37" authorId="0" shapeId="0">
      <text>
        <t>Source: CELH Q2 2025 Earnings Call
Date: 2025-08-07
Workbook tab: 60 2025Q2 Earnings
Digest label: “Alani Nu brand”</t>
      </text>
    </comment>
    <comment ref="AT38" authorId="0" shapeId="0">
      <text>
        <t>Prior-year comparative — no transcript reported this period directly.
Figure as stated in Q1 2025 Earnings Call (2025-05-06),
STEP-5 KPI “Alani Nu Dollar Share” (PriorYearValue field).</t>
      </text>
    </comment>
    <comment ref="AZ38" authorId="0" shapeId="0">
      <text>
        <t>Source: Q1 2025 Earnings Call
Date: 2025-05-06
Workbook tab: 55 2025Q1 Earnings
Digest label: “Alani Nu dollar share”</t>
      </text>
    </comment>
    <comment ref="AZ39" authorId="0" shapeId="0">
      <text>
        <t>Prior-year comparative — no transcript reported this period directly.
Figure as stated in Q1 2026 Earnings Call (2026-05-07),
STEP-5 KPI “Alani Nu Net Sales” (PriorYearValue field).</t>
      </text>
    </comment>
    <comment ref="BF39" authorId="0" shapeId="0">
      <text>
        <t>Source: CELH Q1 2026 Earnings Call
Date: 2026-05-07
Workbook tab: 69 2026Q1 Earnings
Digest label: “Alani Nu net sales”</t>
      </text>
    </comment>
    <comment ref="BE40" authorId="0" shapeId="0">
      <text>
        <t>Source: Full-Year 2025 and Fourth Quarter Financial Results Press Release
Date: 2026-02-26
Workbook tab: 66 2025Q4 Earnings PR
Digest label: “Alani Nu retail sales growth”</t>
      </text>
    </comment>
    <comment ref="AP41" authorId="0" shapeId="0">
      <text>
        <t>Source: Q3 2023 Earnings Call
Date: 2023-11-07
Workbook tab: 37 2023Q3 Earnings
Digest label: “Amazon Energy Category Share (#1)”</t>
      </text>
    </comment>
    <comment ref="AN42" authorId="0" shapeId="0">
      <text>
        <t>Source: Q2 2023 Earnings Call
Date: 2023-08-08
Workbook tab: 34 2023Q2 Earnings
Digest label: “Amazon Energy Category Share (#2)”</t>
      </text>
    </comment>
    <comment ref="AI43" authorId="0" shapeId="0">
      <text>
        <t>Source: Q3 2022 Earnings Call
Date: 2022-11-09
Workbook tab: 27 2022Q3 Earnings
Digest label: “Amazon sales YTD 2022 ($M)”</t>
      </text>
    </comment>
    <comment ref="AK44" authorId="0" shapeId="0">
      <text>
        <t>Source: Q4 2022 / FY2022 Earnings Call
Date: 2023-03-01
Workbook tab: 28 2022Q4 Earnings
Digest label: “Average Items Carried Per Store (MULOC)”</t>
      </text>
    </comment>
    <comment ref="W45" authorId="0" shapeId="0">
      <text>
        <t>Source: Q4 &amp; Full-Year 2020 Earnings Call
Date: 2021-03-11
Workbook tab: 12 2020Q4 Earnings
Digest label: “Q4 Basic Shares (M)”</t>
      </text>
    </comment>
    <comment ref="AY46" authorId="0" shapeId="0">
      <text>
        <t>Prior-year comparative — no transcript reported this period directly.
Figure as stated in Q4 2025 Earnings Call (2026-02-26),
STEP-5 KPI “Brand Celsius Net Sales (FY)” (PriorYearValue field).</t>
      </text>
    </comment>
    <comment ref="AZ46" authorId="0" shapeId="0">
      <text>
        <t>Prior-year comparative — no transcript reported this period directly.
Figure as stated in Q1 2026 Earnings Call (2026-05-07),
STEP-5 KPI “Brand Celsius Net Sales” (PriorYearValue field).</t>
      </text>
    </comment>
    <comment ref="BF46" authorId="0" shapeId="0">
      <text>
        <t>Source: CELH Q1 2026 Earnings Call
Date: 2026-05-07
Workbook tab: 69 2026Q1 Earnings
Digest label: “Brand Celsius net sales”</t>
      </text>
    </comment>
    <comment ref="AM47" authorId="0" shapeId="0">
      <text>
        <t>Source: Celsius Holdings 2023 Annual General Meeting
Date: 2023-06-01
Workbook tab: 31 Annual General Meeting
Digest label: “Cash (Mar 31, 2023)”</t>
      </text>
    </comment>
    <comment ref="AL48" authorId="0" shapeId="0">
      <text>
        <t>Source: Celsius Holdings 2023 Annual General Meeting
Date: 2023-06-01
Workbook tab: 31 Annual General Meeting
Digest label: “Cash (year-end)”</t>
      </text>
    </comment>
    <comment ref="AT49" authorId="0" shapeId="0">
      <text>
        <t>Source: Q1 2024 Earnings Call
Date: 2024-05-07
Workbook tab: 42 Q1 2024 Earnings
Digest label: “Cash on Hand (Mar 31, 2024)”</t>
      </text>
    </comment>
    <comment ref="BA50" authorId="0" shapeId="0">
      <text>
        <t>Source: CELH Q2 2025 Earnings Call
Date: 2025-08-07
Workbook tab: 60 2025Q2 Earnings
Digest label: “Celsius brand”</t>
      </text>
    </comment>
    <comment ref="BE51" authorId="0" shapeId="0">
      <text>
        <t>Source: Full-Year 2025 and Fourth Quarter Financial Results Press Release
Date: 2026-02-26
Workbook tab: 66 2025Q4 Earnings PR
Digest label: “CELSIUS brand retail sales growth”</t>
      </text>
    </comment>
    <comment ref="AU52" authorId="0" shapeId="0">
      <text>
        <t>Prior-year comparative — no transcript reported this period directly.
Figure as stated in Q2 2025 Earnings Call (2025-08-07),
STEP-5 KPI “Celsius Brand Revenue” (PriorYearValue field).</t>
      </text>
    </comment>
    <comment ref="AX52" authorId="0" shapeId="0">
      <text>
        <t>Prior-year comparative — no transcript reported this period directly.
Figure as stated in Full-Year 2025 and Fourth Quarter Financial Results Press Release (2026-02-26),
STEP-5 KPI “CELSIUS Brand Revenue” (PriorYearValue field).</t>
      </text>
    </comment>
    <comment ref="BE52" authorId="0" shapeId="0">
      <text>
        <t>Source: Full-Year 2025 and Fourth Quarter Financial Results Press Release
Date: 2026-02-26
Workbook tab: 66 2025Q4 Earnings PR
Digest label: “CELSIUS brand revenue”</t>
      </text>
    </comment>
    <comment ref="AZ53" authorId="0" shapeId="0">
      <text>
        <t>Source: Q1 2025 Earnings Call
Date: 2025-05-06
Workbook tab: 55 2025Q1 Earnings
Digest label: “Celsius US tracked-channel dollar share”</t>
      </text>
    </comment>
    <comment ref="M54" authorId="0" shapeId="0">
      <text>
        <t>Source: Q1 2019 Earnings Call
Date: 2019-05-09
Workbook tab: 03 2019Q1 Earnings
Digest label: “China Note Interest Income Q1 2019 ($000)”</t>
      </text>
    </comment>
    <comment ref="AG55" authorId="0" shapeId="0">
      <text>
        <t>Source: Q2 2022 Earnings Call
Date: 2022-08-09
Workbook tab: 26 2022Q2 Earnings
Digest label: “Club channel revenue ($M)”</t>
      </text>
    </comment>
    <comment ref="AE56" authorId="0" shapeId="0">
      <text>
        <t>Prior-year comparative — no transcript reported this period directly.
Figure as stated in Q4 2022 Earnings Call (2023-03-01),
STEP-5 KPI “Club Channel Sales (FY)” (PriorYearValue field).</t>
      </text>
    </comment>
    <comment ref="AF56" authorId="0" shapeId="0">
      <text>
        <t>Prior-year comparative — no transcript reported this period directly.
Figure as stated in Q1 2023 Earnings Call (2023-05-09),
STEP-5 KPI “Club Channel Sales” (PriorYearValue field).</t>
      </text>
    </comment>
    <comment ref="AG56" authorId="0" shapeId="0">
      <text>
        <t>Prior-year comparative — no transcript reported this period directly.
Figure as stated in Q2 2023 Earnings Call (2023-08-08),
STEP-5 KPI “Club Channel Sales” (PriorYearValue field).</t>
      </text>
    </comment>
    <comment ref="AI56" authorId="0" shapeId="0">
      <text>
        <t>Source: Q3 2022 Earnings Call
Date: 2022-11-09
Workbook tab: 27 2022Q3 Earnings
Digest label: “Club channel sales ($M)”</t>
      </text>
    </comment>
    <comment ref="AK56" authorId="0" shapeId="0">
      <text>
        <t>Prior-year comparative — no transcript reported this period directly.
Figure as stated in Q4 2023 Earnings Call (2024-02-29),
STEP-5 KPI “Club Channel Sales” (PriorYearValue field).</t>
      </text>
    </comment>
    <comment ref="AL56" authorId="0" shapeId="0">
      <text>
        <t>Source: Q4 2022 / FY2022 Earnings Call
Date: 2023-03-01
Workbook tab: 28 2022Q4 Earnings
Digest label: “Club Channel Sales”</t>
      </text>
    </comment>
    <comment ref="AM56" authorId="0" shapeId="0">
      <text>
        <t>Prior-year comparative — no transcript reported this period directly.
Figure as stated in Q1 2024 Earnings Call (2024-05-07),
STEP-5 KPI “Club Channel Sales” (PriorYearValue field).</t>
      </text>
    </comment>
    <comment ref="AN56" authorId="0" shapeId="0">
      <text>
        <t>Source: Q2 2023 Earnings Call
Date: 2023-08-08
Workbook tab: 34 2023Q2 Earnings
Digest label: “Club Channel Sales”</t>
      </text>
    </comment>
    <comment ref="AP56" authorId="0" shapeId="0">
      <text>
        <t>Source: Q3 2023 Earnings Call
Date: 2023-11-07
Workbook tab: 37 2023Q3 Earnings
Digest label: “Club Channel Sales”</t>
      </text>
    </comment>
    <comment ref="AT56" authorId="0" shapeId="0">
      <text>
        <t>Source: Q1 2024 Earnings Call
Date: 2024-05-07
Workbook tab: 42 Q1 2024 Earnings
Digest label: “Club Channel Sales”</t>
      </text>
    </comment>
    <comment ref="AY57" authorId="0" shapeId="0">
      <text>
        <t>Source: Alani Nu Modeling Call (post-closing)
Date: 2025-05-28
Workbook tab: 57 Acquiring Alani Nu
Digest label: “Combined business RTD energy mix”</t>
      </text>
    </comment>
    <comment ref="AZ58" authorId="0" shapeId="0">
      <text>
        <t>Source: Q1 2025 Earnings Call
Date: 2025-05-06
Workbook tab: 55 2025Q1 Earnings
Digest label: “Combined portfolio dollar share”</t>
      </text>
    </comment>
    <comment ref="BE59" authorId="0" shapeId="0">
      <text>
        <t>Source: Full-Year 2025 and Fourth Quarter Financial Results Press Release
Date: 2026-02-26
Workbook tab: 66 2025Q4 Earnings PR
Digest label: “Contingent consideration”</t>
      </text>
    </comment>
    <comment ref="P60" authorId="0" shapeId="0">
      <text>
        <t>Prior-year comparative — no transcript reported this period directly.
Figure as stated in Q3 2020 Earnings Call (2020-11-12),
STEP-5 KPI “Convenience Channel ACV” (PriorYearValue field).</t>
      </text>
    </comment>
    <comment ref="AE60" authorId="0" shapeId="0">
      <text>
        <t>Source: Q4 2021 Earnings Call
Date: 2022-03-01
Workbook tab: 19 Q4 2021 Earnings
Digest label: “Convenience channel ACV”</t>
      </text>
    </comment>
    <comment ref="AF60" authorId="0" shapeId="0">
      <text>
        <t>Prior-year comparative — no transcript reported this period directly.
Figure as stated in Q1 2023 Earnings Call (2023-05-09),
STEP-5 KPI “Convenience Channel ACV” (PriorYearValue field).</t>
      </text>
    </comment>
    <comment ref="AG60" authorId="0" shapeId="0">
      <text>
        <t>Prior-year comparative — no transcript reported this period directly.
Figure as stated in Q2 2023 Earnings Call (2023-08-08),
STEP-5 KPI “Convenience Channel ACV” (PriorYearValue field).</t>
      </text>
    </comment>
    <comment ref="AI60" authorId="0" shapeId="0">
      <text>
        <t>Prior-year comparative — no transcript reported this period directly.
Figure as stated in Q3 2023 Earnings Call (2023-11-07),
STEP-5 KPI “Convenience ACV” (PriorYearValue field).</t>
      </text>
    </comment>
    <comment ref="AK60" authorId="0" shapeId="0">
      <text>
        <t>Source: Q4 2022 / FY2022 Earnings Call
Date: 2023-03-01
Workbook tab: 28 2022Q4 Earnings
Digest label: “Convenience ACV”</t>
      </text>
    </comment>
    <comment ref="AN60" authorId="0" shapeId="0">
      <text>
        <t>Source: Q2 2023 Earnings Call
Date: 2023-08-08
Workbook tab: 34 2023Q2 Earnings
Digest label: “Convenience Channel ACV”</t>
      </text>
    </comment>
    <comment ref="AP60" authorId="0" shapeId="0">
      <text>
        <t>Source: Q3 2023 Earnings Call
Date: 2023-11-07
Workbook tab: 37 2023Q3 Earnings
Digest label: “Convenience ACV”</t>
      </text>
    </comment>
    <comment ref="AG61" authorId="0" shapeId="0">
      <text>
        <t>Source: Q2 2022 Earnings Call
Date: 2022-08-09
Workbook tab: 26 2022Q2 Earnings
Digest label: “Convenience channel sales growth”</t>
      </text>
    </comment>
    <comment ref="AI61" authorId="0" shapeId="0">
      <text>
        <t>Source: Q3 2022 Earnings Call
Date: 2022-11-09
Workbook tab: 27 2022Q3 Earnings
Digest label: “Convenience channel sales growth”</t>
      </text>
    </comment>
    <comment ref="Z62" authorId="0" shapeId="0">
      <text>
        <t>Prior-year comparative — no transcript reported this period directly.
Figure as stated in Q2 2022 Earnings Call (2022-08-09),
STEP-5 KPI “Convenience Channel Store Locations” (PriorYearValue field).</t>
      </text>
    </comment>
    <comment ref="AB62" authorId="0" shapeId="0">
      <text>
        <t>Prior-year comparative — no transcript reported this period directly.
Figure as stated in Q3 2022 Earnings Call (2022-11-09),
STEP-5 KPI “Convenience Store Locations” (PriorYearValue field).</t>
      </text>
    </comment>
    <comment ref="AG62" authorId="0" shapeId="0">
      <text>
        <t>Source: Q2 2022 Earnings Call
Date: 2022-08-09
Workbook tab: 26 2022Q2 Earnings
Digest label: “Convenience channel store locations”</t>
      </text>
    </comment>
    <comment ref="AI62" authorId="0" shapeId="0">
      <text>
        <t>Source: Q3 2022 Earnings Call
Date: 2022-11-09
Workbook tab: 27 2022Q3 Earnings
Digest label: “Convenience store locations”</t>
      </text>
    </comment>
    <comment ref="AE63" authorId="0" shapeId="0">
      <text>
        <t>Source: Q4 &amp; Full-Year 2020 Earnings Call
Date: 2021-03-11
Workbook tab: 12 2020Q4 Earnings
Digest label: “Cooler Rollout Phase 1”</t>
      </text>
    </comment>
    <comment ref="M64" authorId="0" shapeId="0">
      <text>
        <t>Prior-year comparative — no transcript reported this period directly.
Figure as stated in Q1 2020 Earnings Call (2020-05-12),
STEP-5 KPI “Diluted EPS” (PriorYearValue field).</t>
      </text>
    </comment>
    <comment ref="N64" authorId="0" shapeId="0">
      <text>
        <t>Prior-year comparative — no transcript reported this period directly.
Figure as stated in Q2 2020 Earnings Call (2020-08-06),
STEP-5 KPI “Diluted EPS” (PriorYearValue field).</t>
      </text>
    </comment>
    <comment ref="P64" authorId="0" shapeId="0">
      <text>
        <t>Prior-year comparative — no transcript reported this period directly.
Figure as stated in Q3 2020 Earnings Call (2020-11-12),
STEP-5 KPI “Diluted EPS” (PriorYearValue field).</t>
      </text>
    </comment>
    <comment ref="T64" authorId="0" shapeId="0">
      <text>
        <t>Prior-year comparative — no transcript reported this period directly.
Figure as stated in Q1 2021 Earnings Call (2021-05-13),
STEP-5 KPI “Diluted EPS” (PriorYearValue field).</t>
      </text>
    </comment>
    <comment ref="U64" authorId="0" shapeId="0">
      <text>
        <t>Prior-year comparative — no transcript reported this period directly.
Figure as stated in Q2 2021 Earnings Call (2021-08-12),
STEP-5 KPI “Diluted EPS” (PriorYearValue field).</t>
      </text>
    </comment>
    <comment ref="V64" authorId="0" shapeId="0">
      <text>
        <t>Prior-year comparative — no transcript reported this period directly.
Figure as stated in Q3 2021 Earnings Call (2021-11-11),
STEP-5 KPI “Diluted EPS” (PriorYearValue field).</t>
      </text>
    </comment>
    <comment ref="Y64" authorId="0" shapeId="0">
      <text>
        <t>Prior-year comparative — no transcript reported this period directly.
Figure as stated in Q1 2022 Earnings Call (2022-05-10),
STEP-5 KPI “Diluted EPS” (PriorYearValue field).</t>
      </text>
    </comment>
    <comment ref="Z64" authorId="0" shapeId="0">
      <text>
        <t>Source: Q2 2021 Earnings Call
Date: 2021-08-12
Workbook tab: 14 2021Q2 Earnings
Digest label: “Diluted EPS ($)”</t>
      </text>
    </comment>
    <comment ref="AB64" authorId="0" shapeId="0">
      <text>
        <t>Source: Q3 2021 Earnings Call
Date: 2021-11-11
Workbook tab: 16 2021Q3 Earnings
Digest label: “Diluted EPS ($)”</t>
      </text>
    </comment>
    <comment ref="AF64" authorId="0" shapeId="0">
      <text>
        <t>Reported in 2 transcripts (► = figure shown):
► 0.09  —  Q1 2022 Earnings Call (2022-05-10)
   tab: 20 2022Q1 Earnings  |  “Diluted EPS ($)”
• 0.09  —  2022 Annual General Meeting (Annual Meeting of Shareholders) (2022-06-02)
   tab: 22 Annual Shareholder Mtg  |  “Diluted EPS ($)”</t>
      </text>
    </comment>
    <comment ref="AG64" authorId="0" shapeId="0">
      <text>
        <t>Source: Q2 2022 Earnings Call
Date: 2022-08-09
Workbook tab: 26 2022Q2 Earnings
Digest label: “Diluted EPS ($)”</t>
      </text>
    </comment>
    <comment ref="AI64" authorId="0" shapeId="0">
      <text>
        <t>Prior-year comparative — no transcript reported this period directly.
Figure as stated in Q3 2023 Earnings Call (2023-11-07),
STEP-5 KPI “Diluted EPS” (PriorYearValue field).</t>
      </text>
    </comment>
    <comment ref="AM64" authorId="0" shapeId="0">
      <text>
        <t>Prior-year comparative — no transcript reported this period directly.
Figure as stated in Q1 2024 Earnings Call (2024-05-07),
STEP-5 KPI “Diluted EPS” (PriorYearValue field).</t>
      </text>
    </comment>
    <comment ref="AP64" authorId="0" shapeId="0">
      <text>
        <t>Source: Q3 2023 Earnings Call
Date: 2023-11-07
Workbook tab: 37 2023Q3 Earnings
Digest label: “Diluted EPS”</t>
      </text>
    </comment>
    <comment ref="AT64" authorId="0" shapeId="0">
      <text>
        <t>Source: Q1 2024 Earnings Call
Date: 2024-05-07
Workbook tab: 42 Q1 2024 Earnings
Digest label: “Diluted EPS”</t>
      </text>
    </comment>
    <comment ref="AU64" authorId="0" shapeId="0">
      <text>
        <t>Prior-year comparative — no transcript reported this period directly.
Figure as stated in Q2 2025 Earnings Call (2025-08-07),
STEP-5 KPI “GAAP Diluted EPS” (PriorYearValue field).</t>
      </text>
    </comment>
    <comment ref="AZ64" authorId="0" shapeId="0">
      <text>
        <t>Source: Q1 2025 Earnings Call
Date: 2025-05-06
Workbook tab: 55 2025Q1 Earnings
Digest label: “GAAP Diluted EPS”</t>
      </text>
    </comment>
    <comment ref="BA64" authorId="0" shapeId="0">
      <text>
        <t>Source: CELH Q2 2025 Earnings Call
Date: 2025-08-07
Workbook tab: 60 2025Q2 Earnings
Digest label: “GAAP Diluted EPS”</t>
      </text>
    </comment>
    <comment ref="BE64" authorId="0" shapeId="0">
      <text>
        <t>Source: Full-Year 2025 and Fourth Quarter Financial Results Press Release
Date: 2026-02-26
Workbook tab: 66 2025Q4 Earnings PR
Digest label: “Diluted EPS (GAAP)”</t>
      </text>
    </comment>
    <comment ref="AL65" authorId="0" shapeId="0">
      <text>
        <t>Source: Celsius Holdings 2023 Annual General Meeting
Date: 2023-06-01
Workbook tab: 31 Annual General Meeting
Digest label: “Distribution Termination Expenses”</t>
      </text>
    </comment>
    <comment ref="BE66" authorId="0" shapeId="0">
      <text>
        <t>Source: Q4 2025 / FY2025 Earnings Call
Date: 2026-02-26
Workbook tab: 67 2025Q4 Earnings
Digest label: “Distributor termination &amp; integration adj”</t>
      </text>
    </comment>
    <comment ref="AX67" authorId="0" shapeId="0">
      <text>
        <t>Prior-year comparative — no transcript reported this period directly.
Figure as stated in Full-Year 2025 and Fourth Quarter Financial Results Press Release (2026-02-26),
STEP-5 KPI “Distributor Termination Costs” (PriorYearValue field).</t>
      </text>
    </comment>
    <comment ref="BD67" authorId="0" shapeId="0">
      <text>
        <t>Source: Full-Year 2025 and Fourth Quarter Financial Results Press Release
Date: 2026-02-26
Workbook tab: 66 2025Q4 Earnings PR
Digest label: “Distributor termination costs (Q4)”</t>
      </text>
    </comment>
    <comment ref="Z68" authorId="0" shapeId="0">
      <text>
        <t>Source: Q2 2021 Earnings Call
Date: 2021-08-12
Workbook tab: 14 2021Q2 Earnings
Digest label: “DPO (days)”</t>
      </text>
    </comment>
    <comment ref="AF69" authorId="0" shapeId="0">
      <text>
        <t>Source: 2022 Annual General Meeting (Annual Meeting of Shareholders)
Date: 2022-06-02
Workbook tab: 22 Annual Shareholder Mtg
Digest label: “DSD distributor revenue growth”</t>
      </text>
    </comment>
    <comment ref="AG70" authorId="0" shapeId="0">
      <text>
        <t>Source: Q2 2022 Earnings Call
Date: 2022-08-09
Workbook tab: 26 2022Q2 Earnings
Digest label: “DSD incremental revenue ($M)”</t>
      </text>
    </comment>
    <comment ref="AG71" authorId="0" shapeId="0">
      <text>
        <t>Source: Q2 2022 Earnings Call
Date: 2022-08-09
Workbook tab: 26 2022Q2 Earnings
Digest label: “DSD network sales ($M)”</t>
      </text>
    </comment>
    <comment ref="AE72" authorId="0" shapeId="0">
      <text>
        <t>Source: Q4 2021 Earnings Call
Date: 2022-03-01
Workbook tab: 19 Q4 2021 Earnings
Digest label: “DSD population coverage”</t>
      </text>
    </comment>
    <comment ref="X73" authorId="0" shapeId="0">
      <text>
        <t>Prior-year comparative — no transcript reported this period directly.
Figure as stated in Q4 2021 Earnings Call (2022-03-01),
STEP-5 KPI “DSD Service Centers” (PriorYearValue field).</t>
      </text>
    </comment>
    <comment ref="AE73" authorId="0" shapeId="0">
      <text>
        <t>Source: Q4 2021 Earnings Call
Date: 2022-03-01
Workbook tab: 19 Q4 2021 Earnings
Digest label: “DSD service centers”</t>
      </text>
    </comment>
    <comment ref="Z74" authorId="0" shapeId="0">
      <text>
        <t>Source: Q2 2021 Earnings Call
Date: 2021-08-12
Workbook tab: 14 2021Q2 Earnings
Digest label: “DSO (days)”</t>
      </text>
    </comment>
    <comment ref="BA75" authorId="0" shapeId="0">
      <text>
        <t>Source: CELH Q2 2025 Earnings Call
Date: 2025-08-07
Workbook tab: 60 2025Q2 Earnings
Digest label: “Earn-out contingent consideration charge”</t>
      </text>
    </comment>
    <comment ref="AI76" authorId="0" shapeId="0">
      <text>
        <t>Source: Q3 2022 Earnings Call
Date: 2022-11-09
Workbook tab: 27 2022Q3 Earnings
Digest label: “Effective tax rate (9 months)”</t>
      </text>
    </comment>
    <comment ref="M77" authorId="0" shapeId="0">
      <text>
        <t>Source: Q1 2019 Earnings Call
Date: 2019-05-09
Workbook tab: 03 2019Q1 Earnings
Digest label: “EPS Q1 2019 ($)”</t>
      </text>
    </comment>
    <comment ref="O77" authorId="0" shapeId="0">
      <text>
        <t>Source: Q2 2019 Earnings Call
Date: 2019-08-08
Workbook tab: 04 2019Q2 Earnings
Digest label: “EPS H1 2019 ($)”</t>
      </text>
    </comment>
    <comment ref="S77" authorId="0" shapeId="0">
      <text>
        <t>Source: Q4 &amp; Full-Year 2019 Earnings Call
Date: 2020-03-12
Workbook tab: 06 2019Q4 Earnings
Digest label: “EPS FY2019 ($)”</t>
      </text>
    </comment>
    <comment ref="W77" authorId="0" shapeId="0">
      <text>
        <t>Source: Q4 &amp; Full-Year 2020 Earnings Call
Date: 2021-03-11
Workbook tab: 12 2020Q4 Earnings
Digest label: “EPS Q4 2020 ($)”</t>
      </text>
    </comment>
    <comment ref="P78" authorId="0" shapeId="0">
      <text>
        <t>Source: Q3 2019 Earnings Call
Date: 2019-11-07
Workbook tab: 05 2019Q3 Earnings
Digest label: “EPS Basic Q3 2019 ($)”</t>
      </text>
    </comment>
    <comment ref="Q78" authorId="0" shapeId="0">
      <text>
        <t>Source: Q3 2019 Earnings Call
Date: 2019-11-07
Workbook tab: 05 2019Q3 Earnings
Digest label: “YTD EPS Basic 9M 2019 ($)”</t>
      </text>
    </comment>
    <comment ref="AZ79" authorId="0" shapeId="0">
      <text>
        <t>Source: Q1 2025 Earnings Call
Date: 2025-05-06
Workbook tab: 55 2025Q1 Earnings
Digest label: “Foodservice as % of NA sales (via PepsiCo)”</t>
      </text>
    </comment>
    <comment ref="AP80" authorId="0" shapeId="0">
      <text>
        <t>Source: Q3 2023 Earnings Call
Date: 2023-11-07
Workbook tab: 37 2023Q3 Earnings
Digest label: “YTD Freight (% of net revenues)”</t>
      </text>
    </comment>
    <comment ref="BC81" authorId="0" shapeId="0">
      <text>
        <t>Source: CELH Q3 2025 Earnings Call
Date: 2025-11-06
Workbook tab: 63 2025Q3 Earnings
Digest label: “Freight cost (Celsius brand) % of sales”</t>
      </text>
    </comment>
    <comment ref="W82" authorId="0" shapeId="0">
      <text>
        <t>Source: Q4 &amp; Full-Year 2020 Earnings Call
Date: 2021-03-11
Workbook tab: 12 2020Q4 Earnings
Digest label: “Full-Year EBITDA 2020 ($M)”</t>
      </text>
    </comment>
    <comment ref="W83" authorId="0" shapeId="0">
      <text>
        <t>Source: Q4 &amp; Full-Year 2020 Earnings Call
Date: 2021-03-11
Workbook tab: 12 2020Q4 Earnings
Digest label: “Full-Year Income 2020 ($M)”</t>
      </text>
    </comment>
    <comment ref="W84" authorId="0" shapeId="0">
      <text>
        <t>Source: Q4 &amp; Full-Year 2020 Earnings Call
Date: 2021-03-11
Workbook tab: 12 2020Q4 Earnings
Digest label: “Q4 Fully Diluted Shares (M)”</t>
      </text>
    </comment>
    <comment ref="Z85" authorId="0" shapeId="0">
      <text>
        <t>Prior-year comparative — no transcript reported this period directly.
Figure as stated in Q2 2022 Earnings Call (2022-08-09),
STEP-5 KPI “G&amp;A (% of Revenue)” (PriorYearValue field).</t>
      </text>
    </comment>
    <comment ref="AB85" authorId="0" shapeId="0">
      <text>
        <t>Prior-year comparative — no transcript reported this period directly.
Figure as stated in Q3 2022 Earnings Call (2022-11-09),
STEP-5 KPI “G&amp;A (% of Revenue)” (PriorYearValue field).</t>
      </text>
    </comment>
    <comment ref="AF85" authorId="0" shapeId="0">
      <text>
        <t>Source: Q1 2022 Earnings Call
Date: 2022-05-10
Workbook tab: 20 2022Q1 Earnings
Digest label: “G&amp;A % of Revenue”</t>
      </text>
    </comment>
    <comment ref="AG85" authorId="0" shapeId="0">
      <text>
        <t>Source: Q2 2022 Earnings Call
Date: 2022-08-09
Workbook tab: 26 2022Q2 Earnings
Digest label: “G&amp;A (% of revenue)”</t>
      </text>
    </comment>
    <comment ref="AI85" authorId="0" shapeId="0">
      <text>
        <t>Source: Q3 2022 Earnings Call
Date: 2022-11-09
Workbook tab: 27 2022Q3 Earnings
Digest label: “G&amp;A (% of revenue)”</t>
      </text>
    </comment>
    <comment ref="AM85" authorId="0" shapeId="0">
      <text>
        <t>Source: Celsius Holdings Q1 2023 Earnings Call
Date: 2023-05-09
Workbook tab: 29 2023Q1 Earnings
Digest label: “G&amp;A % of Sales”</t>
      </text>
    </comment>
    <comment ref="AN85" authorId="0" shapeId="0">
      <text>
        <t>Source: Q2 2023 Earnings Call
Date: 2023-08-08
Workbook tab: 34 2023Q2 Earnings
Digest label: “G&amp;A (% of sales)”</t>
      </text>
    </comment>
    <comment ref="AP85" authorId="0" shapeId="0">
      <text>
        <t>Source: Q3 2023 Earnings Call
Date: 2023-11-07
Workbook tab: 37 2023Q3 Earnings
Digest label: “G&amp;A (% of sales)”</t>
      </text>
    </comment>
    <comment ref="AR85" authorId="0" shapeId="0">
      <text>
        <t>Source: Celsius Holdings Q4 2023 Earnings Call
Date: 2024-02-29
Workbook tab: 40 2023Q4 Earnings
Digest label: “G&amp;A % of Sales”</t>
      </text>
    </comment>
    <comment ref="AS85" authorId="0" shapeId="0">
      <text>
        <t>Source: Celsius Holdings Q4 2023 Earnings Call
Date: 2024-02-29
Workbook tab: 40 2023Q4 Earnings
Digest label: “G&amp;A % of Sales”</t>
      </text>
    </comment>
    <comment ref="AT85" authorId="0" shapeId="0">
      <text>
        <t>Source: Q1 2024 Earnings Call
Date: 2024-05-07
Workbook tab: 42 Q1 2024 Earnings
Digest label: “G&amp;A (% of Sales)”</t>
      </text>
    </comment>
    <comment ref="AY85" authorId="0" shapeId="0">
      <text>
        <t>Source: Q4 2024 Earnings Call
Date: 2025-02-20
Workbook tab: 51 2024Q4 Earnings
Digest label: “G&amp;A (% of sales)”</t>
      </text>
    </comment>
    <comment ref="BA85" authorId="0" shapeId="0">
      <text>
        <t>Source: CELH Q2 2025 Earnings Call
Date: 2025-08-07
Workbook tab: 60 2025Q2 Earnings
Digest label: “G&amp;A % of revenue”</t>
      </text>
    </comment>
    <comment ref="BC86" authorId="0" shapeId="0">
      <text>
        <t>Source: CELH Q3 2025 Earnings Call
Date: 2025-11-06
Workbook tab: 63 2025Q3 Earnings
Digest label: “G&amp;A % of sales (ex-acquisition costs)”</t>
      </text>
    </comment>
    <comment ref="AZ87" authorId="0" shapeId="0">
      <text>
        <t>Source: Q1 2025 Earnings Call
Date: 2025-05-06
Workbook tab: 55 2025Q1 Earnings
Digest label: “Gap (promos/incentives + non-DSD timing)”</t>
      </text>
    </comment>
    <comment ref="BA88" authorId="0" shapeId="0">
      <text>
        <t>Source: CELH Q2 2025 Earnings Call
Date: 2025-08-07
Workbook tab: 60 2025Q2 Earnings
Digest label: “Gross Margin ex inventory step-up”</t>
      </text>
    </comment>
    <comment ref="AI89" authorId="0" shapeId="0">
      <text>
        <t>Source: Q3 2022 Earnings Call
Date: 2022-11-09
Workbook tab: 27 2022Q3 Earnings
Digest label: “Gross margin sequential change (vs Q2)”</t>
      </text>
    </comment>
    <comment ref="AI90" authorId="0" shapeId="0">
      <text>
        <t>Prior-year comparative — no transcript reported this period directly.
Figure as stated in Q3 2023 Earnings Call (2023-11-07),
STEP-5 KPI “Household Penetration” (PriorYearValue field).</t>
      </text>
    </comment>
    <comment ref="AP90" authorId="0" shapeId="0">
      <text>
        <t>Source: Q3 2023 Earnings Call
Date: 2023-11-07
Workbook tab: 37 2023Q3 Earnings
Digest label: “Household Penetration”</t>
      </text>
    </comment>
    <comment ref="BE91" authorId="0" shapeId="0">
      <text>
        <t>Source: UBS Global Consumer and Retail Conference
Date: 2025-03-12
Workbook tab: 53 UBS Conf 2025-03-12
Digest label: “Incremental Cooler Placement”</t>
      </text>
    </comment>
    <comment ref="BE92" authorId="0" shapeId="0">
      <text>
        <t>Source: Full-Year 2025 and Fourth Quarter Financial Results Press Release
Date: 2026-02-26
Workbook tab: 66 2025Q4 Earnings PR
Digest label: “Interest expense”</t>
      </text>
    </comment>
    <comment ref="BE93" authorId="0" shapeId="0">
      <text>
        <t>Source: Full-Year 2025 and Fourth Quarter Financial Results Press Release
Date: 2026-02-26
Workbook tab: 66 2025Q4 Earnings PR
Digest label: “Interest income”</t>
      </text>
    </comment>
    <comment ref="AY94" authorId="0" shapeId="0">
      <text>
        <t>Source: Barclays Global Consumer Staples Conference
Date: 2023-09-07
Workbook tab: 35 Barclays Conf 2023-09
Digest label: “International Cadence”</t>
      </text>
    </comment>
    <comment ref="AF95" authorId="0" shapeId="0">
      <text>
        <t>Source: Q1 2022 Earnings Call
Date: 2022-05-10
Workbook tab: 20 2022Q1 Earnings
Digest label: “International cans on the books”</t>
      </text>
    </comment>
    <comment ref="AM96" authorId="0" shapeId="0">
      <text>
        <t>Prior-year comparative — no transcript reported this period directly.
Figure as stated in Q1 2024 Earnings Call (2024-05-07),
STEP-5 KPI “International Revenue (ex-Canada)” (PriorYearValue field).</t>
      </text>
    </comment>
    <comment ref="AT96" authorId="0" shapeId="0">
      <text>
        <t>Source: Q1 2024 Earnings Call
Date: 2024-05-07
Workbook tab: 42 Q1 2024 Earnings
Digest label: “International Revenue (ex-Canada)”</t>
      </text>
    </comment>
    <comment ref="Z97" authorId="0" shapeId="0">
      <text>
        <t>Source: Q2 2021 Earnings Call
Date: 2021-08-12
Workbook tab: 14 2021Q2 Earnings
Digest label: “Inventory Days on Hand”</t>
      </text>
    </comment>
    <comment ref="AC98" authorId="0" shapeId="0">
      <text>
        <t>Source: Q3 2021 Earnings Call
Date: 2021-11-11
Workbook tab: 16 2021Q3 Earnings
Digest label: “Inventory Increase (9M)”</t>
      </text>
    </comment>
    <comment ref="AF99" authorId="0" shapeId="0">
      <text>
        <t>Source: Q1 2022 Earnings Call
Date: 2022-05-10
Workbook tab: 20 2022Q1 Earnings
Digest label: “Inventory reduction in quarter”</t>
      </text>
    </comment>
    <comment ref="BD100" authorId="0" shapeId="0">
      <text>
        <t>Source: Full-Year 2025 and Fourth Quarter Financial Results Press Release
Date: 2026-02-26
Workbook tab: 66 2025Q4 Earnings PR
Digest label: “Inventory valuation step-up (non-cash, FY)”</t>
      </text>
    </comment>
    <comment ref="Z101" authorId="0" shapeId="0">
      <text>
        <t>Source: Q2 2021 Earnings Call
Date: 2021-08-12
Workbook tab: 14 2021Q2 Earnings
Digest label: “June 9 Offering Net Proceeds (to Company)”</t>
      </text>
    </comment>
    <comment ref="BE102" authorId="0" shapeId="0">
      <text>
        <t>Source: Full-Year 2025 and Fourth Quarter Financial Results Press Release
Date: 2026-02-26
Workbook tab: 66 2025Q4 Earnings PR
Digest label: “Long-term debt”</t>
      </text>
    </comment>
    <comment ref="AG103" authorId="0" shapeId="0">
      <text>
        <t>Prior-year comparative — no transcript reported this period directly.
Figure as stated in Q2 2023 Earnings Call (2023-08-08),
STEP-5 KPI “MULOC ACV” (PriorYearValue field).</t>
      </text>
    </comment>
    <comment ref="AI103" authorId="0" shapeId="0">
      <text>
        <t>Prior-year comparative — no transcript reported this period directly.
Figure as stated in Q3 2023 Earnings Call (2023-11-07),
STEP-5 KPI “MULOC ACV” (PriorYearValue field).</t>
      </text>
    </comment>
    <comment ref="AN103" authorId="0" shapeId="0">
      <text>
        <t>Source: Q2 2023 Earnings Call
Date: 2023-08-08
Workbook tab: 34 2023Q2 Earnings
Digest label: “MULOC ACV”</t>
      </text>
    </comment>
    <comment ref="AP103" authorId="0" shapeId="0">
      <text>
        <t>Source: Q3 2023 Earnings Call
Date: 2023-11-07
Workbook tab: 37 2023Q3 Earnings
Digest label: “MULOC ACV”</t>
      </text>
    </comment>
    <comment ref="AP104" authorId="0" shapeId="0">
      <text>
        <t>Source: Q3 2023 Earnings Call
Date: 2023-11-07
Workbook tab: 37 2023Q3 Earnings
Digest label: “MULOC Energy Market Share (#3)”</t>
      </text>
    </comment>
    <comment ref="AI105" authorId="0" shapeId="0">
      <text>
        <t>Source: Q3 2022 Earnings Call
Date: 2022-11-09
Workbook tab: 27 2022Q3 Earnings
Digest label: “MULOC locations serviced by DSD”</t>
      </text>
    </comment>
    <comment ref="AN106" authorId="0" shapeId="0">
      <text>
        <t>Source: Q2 2023 Earnings Call
Date: 2023-08-08
Workbook tab: 34 2023Q2 Earnings
Digest label: “MULOC Total Energy Share (#3 brand)”</t>
      </text>
    </comment>
    <comment ref="K107" authorId="0" shapeId="0">
      <text>
        <t>Source: Q4 &amp; Full-Year 2018 Earnings Call
Date: 2019-03-14
Workbook tab: 02 2018Q4 Earnings
Digest label: “Net Adj EBITDA ex one-time/China Q4 ($M)”</t>
      </text>
    </comment>
    <comment ref="BD108" authorId="0" shapeId="0">
      <text>
        <t>Source: Q4 2025 / FY2025 Earnings Call
Date: 2026-02-26
Workbook tab: 67 2025Q4 Earnings
Digest label: “Net benefit (Celsius + Alani load-in)”</t>
      </text>
    </comment>
    <comment ref="U109" authorId="0" shapeId="0">
      <text>
        <t>Prior-year comparative — no transcript reported this period directly.
Figure as stated in Q2 2021 Earnings Call (2021-08-12),
STEP-5 KPI “Net Inventory” (PriorYearValue field).</t>
      </text>
    </comment>
    <comment ref="X109" authorId="0" shapeId="0">
      <text>
        <t>Prior-year comparative — no transcript reported this period directly.
Figure as stated in Q4 2021 Earnings Call (2022-03-01),
STEP-5 KPI “Net Inventory” (PriorYearValue field).</t>
      </text>
    </comment>
    <comment ref="Z109" authorId="0" shapeId="0">
      <text>
        <t>Source: Q2 2021 Earnings Call
Date: 2021-08-12
Workbook tab: 14 2021Q2 Earnings
Digest label: “Net Inventory”</t>
      </text>
    </comment>
    <comment ref="AE109" authorId="0" shapeId="0">
      <text>
        <t>Source: Q4 2021 Earnings Call
Date: 2022-03-01
Workbook tab: 19 Q4 2021 Earnings
Digest label: “Net Inventory”</t>
      </text>
    </comment>
    <comment ref="B110" authorId="0" shapeId="0">
      <text>
        <t>Prior-year comparative — no transcript reported this period directly.
Figure as stated in Q3 2018 Earnings Call (2018-11-09),
STEP-5 KPI “Net Loss Per Share” (PriorYearValue field).</t>
      </text>
    </comment>
    <comment ref="D110" authorId="0" shapeId="0">
      <text>
        <t>Prior-year comparative — no transcript reported this period directly.
Figure as stated in Q4 2018 Earnings Call (2019-03-14),
STEP-5 KPI “Net Loss Per Share (Q4)” (PriorYearValue field).</t>
      </text>
    </comment>
    <comment ref="E110" authorId="0" shapeId="0">
      <text>
        <t>Prior-year comparative — no transcript reported this period directly.
Figure as stated in Q4 2018 Earnings Call (2019-03-14),
STEP-5 KPI “Net Loss Per Share (Full Year)” (PriorYearValue field).</t>
      </text>
    </comment>
    <comment ref="I110" authorId="0" shapeId="0">
      <text>
        <t>Source: Q3 2018 Earnings Call
Date: 2018-11-09
Workbook tab: 01 2018Q3 Earnings
Digest label: “Net Loss Per Share Q3 2018 ($)”</t>
      </text>
    </comment>
    <comment ref="J110" authorId="0" shapeId="0">
      <text>
        <t>Source: Q3 2018 Earnings Call
Date: 2018-11-09
Workbook tab: 01 2018Q3 Earnings
Digest label: “Net Loss Per Share 9M 2018 ($)”</t>
      </text>
    </comment>
    <comment ref="K110" authorId="0" shapeId="0">
      <text>
        <t>Source: Q4 &amp; Full-Year 2018 Earnings Call
Date: 2019-03-14
Workbook tab: 02 2018Q4 Earnings
Digest label: “Net Loss Per Share Q4 2018 ($)”</t>
      </text>
    </comment>
    <comment ref="L110" authorId="0" shapeId="0">
      <text>
        <t>Source: Q4 &amp; Full-Year 2018 Earnings Call
Date: 2019-03-14
Workbook tab: 02 2018Q4 Earnings
Digest label: “Net Loss Per Share FY2018 ($)”</t>
      </text>
    </comment>
    <comment ref="N110" authorId="0" shapeId="0">
      <text>
        <t>Source: Q2 2019 Earnings Call
Date: 2019-08-08
Workbook tab: 04 2019Q2 Earnings
Digest label: “Net Loss Per Share Q2 2019 ($)”</t>
      </text>
    </comment>
    <comment ref="R110" authorId="0" shapeId="0">
      <text>
        <t>Source: Q4 &amp; Full-Year 2019 Earnings Call
Date: 2020-03-12
Workbook tab: 06 2019Q4 Earnings
Digest label: “Net Loss Per Share Q4 2019 ($)”</t>
      </text>
    </comment>
    <comment ref="AM111" authorId="0" shapeId="0">
      <text>
        <t>Source: Celsius Holdings 2023 Annual General Meeting
Date: 2023-06-01
Workbook tab: 31 Annual General Meeting
Digest label: “Net Working Capital (Mar 31, 2023)”</t>
      </text>
    </comment>
    <comment ref="AB112" authorId="0" shapeId="0">
      <text>
        <t>Source: Q3 2021 Earnings Call
Date: 2021-11-11
Workbook tab: 16 2021Q3 Earnings
Digest label: “Normalized Gross Margin (ex one-time)”</t>
      </text>
    </comment>
    <comment ref="Z113" authorId="0" shapeId="0">
      <text>
        <t>Source: Q2 2021 Earnings Call
Date: 2021-08-12
Workbook tab: 14 2021Q2 Earnings
Digest label: “Op. Cash Flow ex-inventory build (6M)”</t>
      </text>
    </comment>
    <comment ref="Z114" authorId="0" shapeId="0">
      <text>
        <t>Source: Q2 2021 Earnings Call
Date: 2021-08-12
Workbook tab: 14 2021Q2 Earnings
Digest label: “Operating Cash Flow (6M)”</t>
      </text>
    </comment>
    <comment ref="X115" authorId="0" shapeId="0">
      <text>
        <t>Source: Q4 &amp; Full-Year 2020 Earnings Call
Date: 2021-03-11
Workbook tab: 12 2020Q4 Earnings
Digest label: “Operating Cash Flow FY ($M)”</t>
      </text>
    </comment>
    <comment ref="W116" authorId="0" shapeId="0">
      <text>
        <t>Source: Q4 &amp; Full-Year 2020 Earnings Call
Date: 2021-03-11
Workbook tab: 12 2020Q4 Earnings
Digest label: “Operational G&amp;A ex-stock-comp/D&amp;A (% of rev)”</t>
      </text>
    </comment>
    <comment ref="H117" authorId="0" shapeId="0">
      <text>
        <t>Prior-year comparative — no transcript reported this period directly.
Figure as stated in Q2 2019 Earnings Call (2019-08-08),
STEP-5 KPI “Other Income (First Half)” (PriorYearValue field).</t>
      </text>
    </comment>
    <comment ref="O117" authorId="0" shapeId="0">
      <text>
        <t>Source: Q2 2019 Earnings Call
Date: 2019-08-08
Workbook tab: 04 2019Q2 Earnings
Digest label: “Other Income H1 2019 ($M)”</t>
      </text>
    </comment>
    <comment ref="BE117" authorId="0" shapeId="0">
      <text>
        <t>Source: Q4 2025 / FY2025 Earnings Call
Date: 2026-02-26
Workbook tab: 67 2025Q4 Earnings
Digest label: “Other Income”</t>
      </text>
    </comment>
    <comment ref="Z118" authorId="0" shapeId="0">
      <text>
        <t>Source: Q2 2021 Earnings Call
Date: 2021-08-12
Workbook tab: 14 2021Q2 Earnings
Digest label: “Other International”</t>
      </text>
    </comment>
    <comment ref="AB118" authorId="0" shapeId="0">
      <text>
        <t>Source: Q3 2021 Earnings Call
Date: 2021-11-11
Workbook tab: 16 2021Q3 Earnings
Digest label: “Other International”</t>
      </text>
    </comment>
    <comment ref="AE118" authorId="0" shapeId="0">
      <text>
        <t>Source: Q4 2021 Earnings Call
Date: 2022-03-01
Workbook tab: 19 Q4 2021 Earnings
Digest label: “Other international markets”</t>
      </text>
    </comment>
    <comment ref="AF118" authorId="0" shapeId="0">
      <text>
        <t>Source: Q1 2022 Earnings Call
Date: 2022-05-10
Workbook tab: 20 2022Q1 Earnings
Digest label: “Other International Markets”</t>
      </text>
    </comment>
    <comment ref="BE119" authorId="0" shapeId="0">
      <text>
        <t>Source: Full-Year 2025 and Fourth Quarter Financial Results Press Release
Date: 2026-02-26
Workbook tab: 66 2025Q4 Earnings PR
Digest label: “Portfolio retail sales growth”</t>
      </text>
    </comment>
    <comment ref="AB120" authorId="0" shapeId="0">
      <text>
        <t>Source: Q3 2021 Earnings Call
Date: 2021-11-11
Workbook tab: 16 2021Q3 Earnings
Digest label: “Prepaids tied to raw materials”</t>
      </text>
    </comment>
    <comment ref="BA121" authorId="0" shapeId="0">
      <text>
        <t>Source: Q4 2024 Earnings Call
Date: 2025-02-20
Workbook tab: 51 2024Q4 Earnings
Digest label: “Pro-Forma Net Leverage”</t>
      </text>
    </comment>
    <comment ref="AY122" authorId="0" shapeId="0">
      <text>
        <t>Source: Alani Nu Modeling Call (post-closing)
Date: 2025-05-28
Workbook tab: 57 Acquiring Alani Nu
Digest label: “Protein shakes share of 2024 sales”</t>
      </text>
    </comment>
    <comment ref="BA123" authorId="0" shapeId="0">
      <text>
        <t>Source: CELH Q2 2025 Earnings Call
Date: 2025-08-07
Workbook tab: 60 2025Q2 Earnings
Digest label: “Purchase accounting inventory step-up”</t>
      </text>
    </comment>
    <comment ref="AG124" authorId="0" shapeId="0">
      <text>
        <t>Source: Q2 2022 Earnings Call
Date: 2022-08-09
Workbook tab: 26 2022Q2 Earnings
Digest label: “Quarter growth”</t>
      </text>
    </comment>
    <comment ref="AK124" authorId="0" shapeId="0">
      <text>
        <t>Source: Q3 2022 Earnings Call
Date: 2022-11-09
Workbook tab: 27 2022Q3 Earnings
Digest label: “Quarter growth”</t>
      </text>
    </comment>
    <comment ref="BE125" authorId="0" shapeId="0">
      <text>
        <t>Source: Full-Year 2025 and Fourth Quarter Financial Results Press Release
Date: 2026-02-26
Workbook tab: 66 2025Q4 Earnings PR
Digest label: “Restricted cash”</t>
      </text>
    </comment>
    <comment ref="AY126" authorId="0" shapeId="0">
      <text>
        <t>Source: Q4 2024 Earnings Call
Date: 2025-02-20
Workbook tab: 51 2024Q4 Earnings
Digest label: “Retail Sales Growth”</t>
      </text>
    </comment>
    <comment ref="AY127" authorId="0" shapeId="0">
      <text>
        <t>Source: Alani Nu Modeling Call (post-closing)
Date: 2025-05-28
Workbook tab: 57 Acquiring Alani Nu
Digest label: “Revenue CAGR (2022-2024)”</t>
      </text>
    </comment>
    <comment ref="BC128" authorId="0" shapeId="0">
      <text>
        <t>Source: CELH Q3 2025 Earnings Call
Date: 2025-11-06
Workbook tab: 63 2025Q3 Earnings
Digest label: “Rockstar combined Q3 impact ($M)”</t>
      </text>
    </comment>
    <comment ref="BE129" authorId="0" shapeId="0">
      <text>
        <t>Source: Full-Year 2025 and Fourth Quarter Financial Results Press Release
Date: 2026-02-26
Workbook tab: 66 2025Q4 Earnings PR
Digest label: “Rockstar Energy retail sales growth”</t>
      </text>
    </comment>
    <comment ref="AX130" authorId="0" shapeId="0">
      <text>
        <t>Prior-year comparative — no transcript reported this period directly.
Figure as stated in Full-Year 2025 and Fourth Quarter Financial Results Press Release (2026-02-26),
STEP-5 KPI “Rockstar Energy Revenue” (PriorYearValue field).</t>
      </text>
    </comment>
    <comment ref="BE130" authorId="0" shapeId="0">
      <text>
        <t>Source: Full-Year 2025 and Fourth Quarter Financial Results Press Release
Date: 2026-02-26
Workbook tab: 66 2025Q4 Earnings PR
Digest label: “Rockstar Energy revenue”</t>
      </text>
    </comment>
    <comment ref="BF131" authorId="0" shapeId="0">
      <text>
        <t>Source: CELH Q1 2026 Earnings Call
Date: 2026-05-07
Workbook tab: 69 2026Q1 Earnings
Digest label: “Rockstar net sales”</t>
      </text>
    </comment>
    <comment ref="BC132" authorId="0" shapeId="0">
      <text>
        <t>Source: CELH Q3 2025 Earnings Call
Date: 2025-11-06
Workbook tab: 63 2025Q3 Earnings
Digest label: “Rockstar other-income GAAP portion ($M)”</t>
      </text>
    </comment>
    <comment ref="BC133" authorId="0" shapeId="0">
      <text>
        <t>Source: CELH Q3 2025 Earnings Call
Date: 2025-11-06
Workbook tab: 63 2025Q3 Earnings
Digest label: “Rockstar revenue (first month under ownership, $M)”</t>
      </text>
    </comment>
    <comment ref="BG134" authorId="0" shapeId="0">
      <text>
        <t>Source: CELH Morgan Stanley Global Consumer &amp; Retail Conference
Date: 2025-12-03
Workbook tab: 64 Morgan Stanley 2025-12
Digest label: “Rockstar FY2026 run rate”</t>
      </text>
    </comment>
    <comment ref="AY135" authorId="0" shapeId="0">
      <text>
        <t>Source: Alani Nu Modeling Call (post-closing)
Date: 2025-05-28
Workbook tab: 57 Acquiring Alani Nu
Digest label: “RTD energy share of 2024 sales”</t>
      </text>
    </comment>
    <comment ref="Z136" authorId="0" shapeId="0">
      <text>
        <t>Source: Q2 2021 Earnings Call
Date: 2021-08-12
Workbook tab: 14 2021Q2 Earnings
Digest label: “S&amp;M % of Revenue”</t>
      </text>
    </comment>
    <comment ref="AB136" authorId="0" shapeId="0">
      <text>
        <t>Source: Q3 2021 Earnings Call
Date: 2021-11-11
Workbook tab: 16 2021Q3 Earnings
Digest label: “S&amp;M % of Revenue”</t>
      </text>
    </comment>
    <comment ref="AF136" authorId="0" shapeId="0">
      <text>
        <t>Source: Q1 2022 Earnings Call
Date: 2022-05-10
Workbook tab: 20 2022Q1 Earnings
Digest label: “S&amp;M % of Revenue”</t>
      </text>
    </comment>
    <comment ref="AG136" authorId="0" shapeId="0">
      <text>
        <t>Source: Q2 2022 Earnings Call
Date: 2022-08-09
Workbook tab: 26 2022Q2 Earnings
Digest label: “Sales &amp; marketing (% of revenue)”</t>
      </text>
    </comment>
    <comment ref="AM136" authorId="0" shapeId="0">
      <text>
        <t>Source: Celsius Holdings Q1 2023 Earnings Call
Date: 2023-05-09
Workbook tab: 29 2023Q1 Earnings
Digest label: “S&amp;M % of Sales”</t>
      </text>
    </comment>
    <comment ref="AN136" authorId="0" shapeId="0">
      <text>
        <t>Source: Q2 2023 Earnings Call
Date: 2023-08-08
Workbook tab: 34 2023Q2 Earnings
Digest label: “Sales &amp; Marketing (% of sales)”</t>
      </text>
    </comment>
    <comment ref="AP136" authorId="0" shapeId="0">
      <text>
        <t>Source: Q3 2023 Earnings Call
Date: 2023-11-07
Workbook tab: 37 2023Q3 Earnings
Digest label: “Sales &amp; Marketing (% of sales)”</t>
      </text>
    </comment>
    <comment ref="AR136" authorId="0" shapeId="0">
      <text>
        <t>Source: Celsius Holdings Q4 2023 Earnings Call
Date: 2024-02-29
Workbook tab: 40 2023Q4 Earnings
Digest label: “S&amp;M % of Sales”</t>
      </text>
    </comment>
    <comment ref="AS136" authorId="0" shapeId="0">
      <text>
        <t>Source: Celsius Holdings Q4 2023 Earnings Call
Date: 2024-02-29
Workbook tab: 40 2023Q4 Earnings
Digest label: “S&amp;M % of Sales”</t>
      </text>
    </comment>
    <comment ref="AT136" authorId="0" shapeId="0">
      <text>
        <t>Source: Q1 2024 Earnings Call
Date: 2024-05-07
Workbook tab: 42 Q1 2024 Earnings
Digest label: “Sales &amp; Marketing (% of Revenue)”</t>
      </text>
    </comment>
    <comment ref="AY136" authorId="0" shapeId="0">
      <text>
        <t>Reported in 2 transcripts (► = figure shown):
• 2024  —  Morgan Stanley Conference (2024-12-03)
   tab: 50 Morgan Stanley Conf  |  “Sales &amp; marketing as % of revenue”
► 25.9%  —  Q4 2024 Earnings Call (2025-02-20)
   tab: 51 2024Q4 Earnings  |  “Sales &amp; Marketing (% of sales)”</t>
      </text>
    </comment>
    <comment ref="BA136" authorId="0" shapeId="0">
      <text>
        <t>Source: CELH Q2 2025 Earnings Call
Date: 2025-08-07
Workbook tab: 60 2025Q2 Earnings
Digest label: “S&amp;M % of revenue”</t>
      </text>
    </comment>
    <comment ref="BC136" authorId="0" shapeId="0">
      <text>
        <t>Source: CELH Q3 2025 Earnings Call
Date: 2025-11-06
Workbook tab: 63 2025Q3 Earnings
Digest label: “S&amp;M Expense % of sales”</t>
      </text>
    </comment>
    <comment ref="AZ137" authorId="0" shapeId="0">
      <text>
        <t>Source: Q1 2025 Earnings Call
Date: 2025-05-06
Workbook tab: 55 2025Q1 Earnings
Digest label: “Scanner data trend”</t>
      </text>
    </comment>
    <comment ref="AP138" authorId="0" shapeId="0">
      <text>
        <t>Source: Q3 2023 Earnings Call
Date: 2023-11-07
Workbook tab: 37 2023Q3 Earnings
Digest label: “Sequential Gross Margin Improvement (vs Q2)”</t>
      </text>
    </comment>
    <comment ref="AF139" authorId="0" shapeId="0">
      <text>
        <t>Source: Q2 2022 Earnings Call
Date: 2022-08-09
Workbook tab: 26 2022Q2 Earnings
Digest label: “Sequential revenue growth (vs Q1 2022)”</t>
      </text>
    </comment>
    <comment ref="AP140" authorId="0" shapeId="0">
      <text>
        <t>Source: Q3 2023 Earnings Call
Date: 2023-11-07
Workbook tab: 37 2023Q3 Earnings
Digest label: “Sequential Revenue Growth (vs Q2)”</t>
      </text>
    </comment>
    <comment ref="BE141" authorId="0" shapeId="0">
      <text>
        <t>Source: Full-Year 2025 and Fourth Quarter Financial Results Press Release
Date: 2026-02-26
Workbook tab: 66 2025Q4 Earnings PR
Digest label: “Series B convertible preferred stock (newly issued)”</t>
      </text>
    </comment>
    <comment ref="AR142" authorId="0" shapeId="0">
      <text>
        <t>Prior-year comparative — no transcript reported this period directly.
Figure as stated in Q4 2024 Earnings Call (2025-02-20),
STEP-5 KPI “SG&amp;A (Q4)” (PriorYearValue field).</t>
      </text>
    </comment>
    <comment ref="AT142" authorId="0" shapeId="0">
      <text>
        <t>Prior-year comparative — no transcript reported this period directly.
Figure as stated in Q1 2025 Earnings Call (2025-05-06),
STEP-5 KPI “SG&amp;A Expense” (PriorYearValue field).</t>
      </text>
    </comment>
    <comment ref="AX142" authorId="0" shapeId="0">
      <text>
        <t>Source: Q4 2024 Earnings Call
Date: 2025-02-20
Workbook tab: 51 2024Q4 Earnings
Digest label: “SG&amp;A”</t>
      </text>
    </comment>
    <comment ref="AZ142" authorId="0" shapeId="0">
      <text>
        <t>Source: Q1 2025 Earnings Call
Date: 2025-05-06
Workbook tab: 55 2025Q1 Earnings
Digest label: “SG&amp;A Expense”</t>
      </text>
    </comment>
    <comment ref="AP143" authorId="0" shapeId="0">
      <text>
        <t>Source: Q3 2023 Earnings Call
Date: 2023-11-07
Workbook tab: 37 2023Q3 Earnings
Digest label: “South Florida Share”</t>
      </text>
    </comment>
    <comment ref="T144" authorId="0" shapeId="0">
      <text>
        <t>Prior-year comparative — no transcript reported this period directly.
Figure as stated in Q1 2021 Earnings Call (2021-05-13),
STEP-5 KPI “Stock Option Expense” (PriorYearValue field).</t>
      </text>
    </comment>
    <comment ref="U144" authorId="0" shapeId="0">
      <text>
        <t>Prior-year comparative — no transcript reported this period directly.
Figure as stated in Q2 2021 Earnings Call (2021-08-12),
STEP-5 KPI “Stock Option Expense” (PriorYearValue field).</t>
      </text>
    </comment>
    <comment ref="V144" authorId="0" shapeId="0">
      <text>
        <t>Prior-year comparative — no transcript reported this period directly.
Figure as stated in Q3 2021 Earnings Call (2021-11-11),
STEP-5 KPI “Stock Option Expense” (PriorYearValue field).</t>
      </text>
    </comment>
    <comment ref="Z144" authorId="0" shapeId="0">
      <text>
        <t>Source: Q2 2021 Earnings Call
Date: 2021-08-12
Workbook tab: 14 2021Q2 Earnings
Digest label: “Stock Option Expense”</t>
      </text>
    </comment>
    <comment ref="AB144" authorId="0" shapeId="0">
      <text>
        <t>Source: Q3 2021 Earnings Call
Date: 2021-11-11
Workbook tab: 16 2021Q3 Earnings
Digest label: “Stock Option Expense”</t>
      </text>
    </comment>
    <comment ref="BE145" authorId="0" shapeId="0">
      <text>
        <t>Source: UBS Global Consumer and Retail Conference
Date: 2025-03-12
Workbook tab: 53 UBS Conf 2025-03-12
Digest label: “Subway Distribution Opportunity”</t>
      </text>
    </comment>
    <comment ref="BE146" authorId="0" shapeId="0">
      <text>
        <t>Source: Full-Year 2025 and Fourth Quarter Financial Results Press Release
Date: 2026-02-26
Workbook tab: 66 2025Q4 Earnings PR
Digest label: “Total assets”</t>
      </text>
    </comment>
    <comment ref="AG147" authorId="0" shapeId="0">
      <text>
        <t>Prior-year comparative — no transcript reported this period directly.
Figure as stated in Q2 2023 Earnings Call (2023-08-08),
STEP-5 KPI “Total Inventory” (PriorYearValue field).</t>
      </text>
    </comment>
    <comment ref="AI147" authorId="0" shapeId="0">
      <text>
        <t>Prior-year comparative — no transcript reported this period directly.
Figure as stated in Q3 2023 Earnings Call (2023-11-07),
STEP-5 KPI “Total Inventory” (PriorYearValue field).</t>
      </text>
    </comment>
    <comment ref="AM147" authorId="0" shapeId="0">
      <text>
        <t>Source: Celsius Holdings Q1 2023 Earnings Call
Date: 2023-05-09
Workbook tab: 29 2023Q1 Earnings
Digest label: “Total Inventory”</t>
      </text>
    </comment>
    <comment ref="AB148" authorId="0" shapeId="0">
      <text>
        <t>Source: Q3 2021 Earnings Call
Date: 2021-11-11
Workbook tab: 16 2021Q3 Earnings
Digest label: “Total Net Other Expense”</t>
      </text>
    </comment>
    <comment ref="U149" authorId="0" shapeId="0">
      <text>
        <t>Prior-year comparative — no transcript reported this period directly.
Figure as stated in Q2 2021 Earnings Call (2021-08-12),
STEP-5 KPI “Total Net Other Income” (PriorYearValue field).</t>
      </text>
    </comment>
    <comment ref="Z149" authorId="0" shapeId="0">
      <text>
        <t>Source: Q2 2021 Earnings Call
Date: 2021-08-12
Workbook tab: 14 2021Q2 Earnings
Digest label: “Total Net Other Income”</t>
      </text>
    </comment>
    <comment ref="R150" authorId="0" shapeId="0">
      <text>
        <t>Prior-year comparative — no transcript reported this period directly.
Figure as stated in Q4 2020 Earnings Call (2021-03-11),
STEP-5 KPI “Q4 Total Other Income” (PriorYearValue field).</t>
      </text>
    </comment>
    <comment ref="W150" authorId="0" shapeId="0">
      <text>
        <t>Source: Q4 &amp; Full-Year 2020 Earnings Call
Date: 2021-03-11
Workbook tab: 12 2020Q4 Earnings
Digest label: “Total Other Income Q4 2020 ($M)”</t>
      </text>
    </comment>
    <comment ref="M151" authorId="0" shapeId="0">
      <text>
        <t>Source: Q1 2019 Earnings Call
Date: 2019-05-09
Workbook tab: 03 2019Q1 Earnings
Digest label: “Total Other Income Increase ($M)”</t>
      </text>
    </comment>
    <comment ref="BE152" authorId="0" shapeId="0">
      <text>
        <t>Source: William Blair 45th Annual Growth Stock Conference
Date: 2025-06-04
Workbook tab: 59 William Blair Conf
Digest label: “US energy category growth”</t>
      </text>
    </comment>
    <comment ref="AN153" authorId="0" shapeId="0">
      <text>
        <t>Source: Q2 2023 Earnings Call
Date: 2023-08-08
Workbook tab: 34 2023Q2 Earnings
Digest label: “US Spacings (MULOC, 4 wks)”</t>
      </text>
    </comment>
    <comment ref="U154" authorId="0" shapeId="0">
      <text>
        <t>Prior-year comparative — no transcript reported this period directly.
Figure as stated in 2021 Annual Meeting of Shareholders (2021-08-19),
STEP-5 KPI “US Store Count” (PriorYearValue field).</t>
      </text>
    </comment>
    <comment ref="X154" authorId="0" shapeId="0">
      <text>
        <t>Prior-year comparative — no transcript reported this period directly.
Figure as stated in Q4 2021 Earnings Call (2022-03-01),
STEP-5 KPI “US Store Count” (PriorYearValue field).</t>
      </text>
    </comment>
    <comment ref="AB154" authorId="0" shapeId="0">
      <text>
        <t>Prior-year comparative — no transcript reported this period directly.
Figure as stated in Q3 2022 Earnings Call (2022-11-09),
STEP-5 KPI “US Store Count” (PriorYearValue field).</t>
      </text>
    </comment>
    <comment ref="AE154" authorId="0" shapeId="0">
      <text>
        <t>Source: Q4 2021 Earnings Call
Date: 2022-03-01
Workbook tab: 19 Q4 2021 Earnings
Digest label: “US store count”</t>
      </text>
    </comment>
    <comment ref="AI154" authorId="0" shapeId="0">
      <text>
        <t>Source: Q3 2022 Earnings Call
Date: 2022-11-09
Workbook tab: 27 2022Q3 Earnings
Digest label: “US store count”</t>
      </text>
    </comment>
    <comment ref="AK154" authorId="0" shapeId="0">
      <text>
        <t>Source: Q4 2022 / FY2022 Earnings Call
Date: 2023-03-01
Workbook tab: 28 2022Q4 Earnings
Digest label: “US Store Count”</t>
      </text>
    </comment>
    <comment ref="S155" authorId="0" shapeId="0">
      <text>
        <t>Prior-year comparative — no transcript reported this period directly.
Figure as stated in Q4 2020 Earnings Call (2021-03-11),
STEP-5 KPI “US Total Door Count” (PriorYearValue field).</t>
      </text>
    </comment>
    <comment ref="Z155" authorId="0" shapeId="0">
      <text>
        <t>Prior-year comparative — no transcript reported this period directly.
Figure as stated in Q2 2022 Earnings Call (2022-08-09),
STEP-5 KPI “US Total Door Count” (PriorYearValue field).</t>
      </text>
    </comment>
    <comment ref="AG155" authorId="0" shapeId="0">
      <text>
        <t>Source: Q2 2022 Earnings Call
Date: 2022-08-09
Workbook tab: 26 2022Q2 Earnings
Digest label: “US total door count”</t>
      </text>
    </comment>
    <comment ref="AG156" authorId="0" shapeId="0">
      <text>
        <t>Source: Q2 2022 Earnings Call
Date: 2022-08-09
Workbook tab: 26 2022Q2 Earnings
Digest label: “Vending / foodservice revenue ($M)”</t>
      </text>
    </comment>
    <comment ref="AY157" authorId="0" shapeId="0">
      <text>
        <t>Source: Q4 2024 Earnings Call
Date: 2025-02-20
Workbook tab: 51 2024Q4 Earnings
Digest label: “Volume Growth”</t>
      </text>
    </comment>
    <comment ref="AG158" authorId="0" shapeId="0">
      <text>
        <t>Source: Q2 2022 Earnings Call
Date: 2022-08-09
Workbook tab: 26 2022Q2 Earnings
Digest label: “Walmart sales growth”</t>
      </text>
    </comment>
    <comment ref="M159" authorId="0" shapeId="0">
      <text>
        <t>Source: Q1 2019 Earnings Call
Date: 2019-05-09
Workbook tab: 03 2019Q1 Earnings
Digest label: “Weighted Avg Shares Outstanding (M)”</t>
      </text>
    </comment>
    <comment ref="N160" authorId="0" shapeId="0">
      <text>
        <t>Source: Q2 2019 Earnings Call
Date: 2019-08-08
Workbook tab: 04 2019Q2 Earnings
Digest label: “Weighted Avg Shares Outstanding Q2 (M)”</t>
      </text>
    </comment>
    <comment ref="P161" authorId="0" shapeId="0">
      <text>
        <t>Source: Q3 2019 Earnings Call
Date: 2019-11-07
Workbook tab: 05 2019Q3 Earnings
Digest label: “Weighted Avg Shares Q3 (M)”</t>
      </text>
    </comment>
    <comment ref="AL162" authorId="0" shapeId="0">
      <text>
        <t>Source: Celsius Holdings 2023 Annual General Meeting
Date: 2023-06-01
Workbook tab: 31 Annual General Meeting
Digest label: “Working Capital (year-end)”</t>
      </text>
    </comment>
  </commentList>
</comments>
</file>

<file path=xl/comments/comment2.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sidian://adv-uri?vault=Brain&amp;filepath=Sources/CELH/2018-Q3/transcripts/CELH_2018-11-09_2018Q3%20Earnings.md&amp;line=150" TargetMode="External" Id="rId1"/><Relationship Type="http://schemas.openxmlformats.org/officeDocument/2006/relationships/hyperlink" Target="obsidian://adv-uri?vault=Brain&amp;filepath=Sources/CELH/2018-Q3/transcripts/CELH_2018-11-09_2018Q3%20Earnings.md&amp;line=210" TargetMode="External" Id="rId2"/><Relationship Type="http://schemas.openxmlformats.org/officeDocument/2006/relationships/hyperlink" Target="obsidian://adv-uri?vault=Brain&amp;filepath=Sources/CELH/2018-FY/transcripts/CELH_2019-03-14_2018Q4%20Earnings.md&amp;line=181" TargetMode="External" Id="rId3"/><Relationship Type="http://schemas.openxmlformats.org/officeDocument/2006/relationships/hyperlink" Target="obsidian://adv-uri?vault=Brain&amp;filepath=Sources/CELH/2018-FY/transcripts/CELH_2019-03-14_2018Q4%20Earnings.md&amp;line=168" TargetMode="External" Id="rId4"/><Relationship Type="http://schemas.openxmlformats.org/officeDocument/2006/relationships/hyperlink" Target="obsidian://adv-uri?vault=Brain&amp;filepath=Sources/CELH/2019-Q1/transcripts/CELH_2019-05-09_2019Q1%20Earnings.md&amp;line=154" TargetMode="External" Id="rId5"/><Relationship Type="http://schemas.openxmlformats.org/officeDocument/2006/relationships/hyperlink" Target="obsidian://adv-uri?vault=Brain&amp;filepath=Sources/CELH/2019-Q2/transcripts/CELH_2019-08-08_2019Q2%20Earnings.md&amp;line=155" TargetMode="External" Id="rId6"/><Relationship Type="http://schemas.openxmlformats.org/officeDocument/2006/relationships/hyperlink" Target="obsidian://adv-uri?vault=Brain&amp;filepath=Sources/CELH/2019-Q2/transcripts/CELH_2019-08-08_2019Q2%20Earnings.md&amp;line=150" TargetMode="External" Id="rId7"/><Relationship Type="http://schemas.openxmlformats.org/officeDocument/2006/relationships/hyperlink" Target="obsidian://adv-uri?vault=Brain&amp;filepath=Sources/CELH/2018-Q3/transcripts/CELH_2018-11-09_2018Q3%20Earnings.md&amp;line=150" TargetMode="External" Id="rId8"/><Relationship Type="http://schemas.openxmlformats.org/officeDocument/2006/relationships/hyperlink" Target="obsidian://adv-uri?vault=Brain&amp;filepath=Sources/CELH/2018-Q3/transcripts/CELH_2018-11-09_2018Q3%20Earnings.md&amp;line=210" TargetMode="External" Id="rId9"/><Relationship Type="http://schemas.openxmlformats.org/officeDocument/2006/relationships/hyperlink" Target="obsidian://adv-uri?vault=Brain&amp;filepath=Sources/CELH/2018-FY/transcripts/CELH_2019-03-14_2018Q4%20Earnings.md&amp;line=181" TargetMode="External" Id="rId10"/><Relationship Type="http://schemas.openxmlformats.org/officeDocument/2006/relationships/hyperlink" Target="obsidian://adv-uri?vault=Brain&amp;filepath=Sources/CELH/2018-FY/transcripts/CELH_2019-03-14_2018Q4%20Earnings.md&amp;line=168" TargetMode="External" Id="rId11"/><Relationship Type="http://schemas.openxmlformats.org/officeDocument/2006/relationships/hyperlink" Target="obsidian://adv-uri?vault=Brain&amp;filepath=Sources/CELH/2019-Q1/transcripts/CELH_2019-05-09_2019Q1%20Earnings.md&amp;line=154" TargetMode="External" Id="rId12"/><Relationship Type="http://schemas.openxmlformats.org/officeDocument/2006/relationships/hyperlink" Target="obsidian://adv-uri?vault=Brain&amp;filepath=Sources/CELH/2019-Q2/transcripts/CELH_2019-08-08_2019Q2%20Earnings.md&amp;line=155" TargetMode="External" Id="rId13"/><Relationship Type="http://schemas.openxmlformats.org/officeDocument/2006/relationships/hyperlink" Target="obsidian://adv-uri?vault=Brain&amp;filepath=Sources/CELH/2019-Q2/transcripts/CELH_2019-08-08_2019Q2%20Earnings.md&amp;line=150" TargetMode="External" Id="rId14"/><Relationship Type="http://schemas.openxmlformats.org/officeDocument/2006/relationships/hyperlink" Target="obsidian://adv-uri?vault=Brain&amp;filepath=Sources/CELH/2019-Q3/transcripts/CELH_2019-11-07_2019Q3%20Earnings.md&amp;line=117" TargetMode="External" Id="rId15"/><Relationship Type="http://schemas.openxmlformats.org/officeDocument/2006/relationships/hyperlink" Target="obsidian://adv-uri?vault=Brain&amp;filepath=Sources/CELH/2019-Q3/transcripts/CELH_2019-11-07_2019Q3%20Earnings.md&amp;line=135" TargetMode="External" Id="rId16"/><Relationship Type="http://schemas.openxmlformats.org/officeDocument/2006/relationships/hyperlink" Target="obsidian://adv-uri?vault=Brain&amp;filepath=Sources/CELH/2019-FY/transcripts/CELH_2020-03-12_2019Q4%20Earnings.md&amp;line=123" TargetMode="External" Id="rId17"/><Relationship Type="http://schemas.openxmlformats.org/officeDocument/2006/relationships/hyperlink" Target="obsidian://adv-uri?vault=Brain&amp;filepath=Sources/CELH/2019-FY/transcripts/CELH_2020-03-12_2019Q4%20Earnings.md&amp;line=118" TargetMode="External" Id="rId18"/><Relationship Type="http://schemas.openxmlformats.org/officeDocument/2006/relationships/hyperlink" Target="obsidian://adv-uri?vault=Brain&amp;filepath=Sources/CELH/2021-Q1/transcripts/CELH_2021-05-13_2021Q1%20Earnings.md&amp;line=146" TargetMode="External" Id="rId19"/><Relationship Type="http://schemas.openxmlformats.org/officeDocument/2006/relationships/hyperlink" Target="obsidian://adv-uri?vault=Brain&amp;filepath=Sources/CELH/2021-Q2/transcripts/CELH_2021-08-12_2021Q2%20Earnings.md&amp;line=146" TargetMode="External" Id="rId20"/><Relationship Type="http://schemas.openxmlformats.org/officeDocument/2006/relationships/hyperlink" Target="obsidian://adv-uri?vault=Brain&amp;filepath=Sources/CELH/2021-Q3/transcripts/CELH_2021-11-11_2021Q3%20Earnings.md&amp;line=148" TargetMode="External" Id="rId21"/><Relationship Type="http://schemas.openxmlformats.org/officeDocument/2006/relationships/hyperlink" Target="obsidian://adv-uri?vault=Brain&amp;filepath=Sources/CELH/2020-FY/transcripts/CELH_2021-03-11_2020Q4%20Earnings.md&amp;line=123" TargetMode="External" Id="rId22"/><Relationship Type="http://schemas.openxmlformats.org/officeDocument/2006/relationships/hyperlink" Target="obsidian://adv-uri?vault=Brain&amp;filepath=Sources/CELH/2022-Q1/transcripts/CELH_2022-06-02_Annual%20Shareholder%20Meeting.md&amp;line=129" TargetMode="External" Id="rId23"/><Relationship Type="http://schemas.openxmlformats.org/officeDocument/2006/relationships/hyperlink" Target="obsidian://adv-uri?vault=Brain&amp;filepath=Sources/CELH/2022-Q1/transcripts/CELH_2022-05-10_2022Q1%20Earnings.md&amp;line=161" TargetMode="External" Id="rId24"/><Relationship Type="http://schemas.openxmlformats.org/officeDocument/2006/relationships/hyperlink" Target="obsidian://adv-uri?vault=Brain&amp;filepath=Sources/CELH/2021-Q2/transcripts/CELH_2021-08-12_2021Q2%20Earnings.md&amp;line=146" TargetMode="External" Id="rId25"/><Relationship Type="http://schemas.openxmlformats.org/officeDocument/2006/relationships/hyperlink" Target="obsidian://adv-uri?vault=Brain&amp;filepath=Sources/CELH/2021-Q2/transcripts/CELH_2021-08-19_Annual%20Shareholder%20Meeting.md&amp;line=123" TargetMode="External" Id="rId26"/><Relationship Type="http://schemas.openxmlformats.org/officeDocument/2006/relationships/hyperlink" Target="obsidian://adv-uri?vault=Brain&amp;filepath=Sources/CELH/2021-Q3/transcripts/CELH_2021-11-11_2021Q3%20Earnings.md&amp;line=148" TargetMode="External" Id="rId27"/><Relationship Type="http://schemas.openxmlformats.org/officeDocument/2006/relationships/hyperlink" Target="obsidian://adv-uri?vault=Brain&amp;filepath=Sources/CELH/2022-FY/transcripts/CELH_2023-03-01_2022Q4%20Earnings.md&amp;line=149" TargetMode="External" Id="rId28"/><Relationship Type="http://schemas.openxmlformats.org/officeDocument/2006/relationships/hyperlink" Target="obsidian://adv-uri?vault=Brain&amp;filepath=Sources/CELH/2022-Q1/transcripts/CELH_2022-06-02_Annual%20Shareholder%20Meeting.md&amp;line=129" TargetMode="External" Id="rId29"/><Relationship Type="http://schemas.openxmlformats.org/officeDocument/2006/relationships/hyperlink" Target="obsidian://adv-uri?vault=Brain&amp;filepath=Sources/CELH/2022-Q1/transcripts/CELH_2022-05-10_2022Q1%20Earnings.md&amp;line=161" TargetMode="External" Id="rId30"/><Relationship Type="http://schemas.openxmlformats.org/officeDocument/2006/relationships/hyperlink" Target="obsidian://adv-uri?vault=Brain&amp;filepath=Sources/CELH/2022-Q2/transcripts/CELH_2022-08-09_2022Q2%20Earnings.md&amp;line=146" TargetMode="External" Id="rId31"/><Relationship Type="http://schemas.openxmlformats.org/officeDocument/2006/relationships/hyperlink" Target="obsidian://adv-uri?vault=Brain&amp;filepath=Sources/CELH/2022-Q3/transcripts/CELH_2022-11-09_2022Q3%20Earnings.md&amp;line=144" TargetMode="External" Id="rId32"/><Relationship Type="http://schemas.openxmlformats.org/officeDocument/2006/relationships/hyperlink" Target="obsidian://adv-uri?vault=Brain&amp;filepath=Sources/CELH/2022-FY/transcripts/CELH_2023-03-01_2022Q4%20Earnings.md&amp;line=149" TargetMode="External" Id="rId33"/><Relationship Type="http://schemas.openxmlformats.org/officeDocument/2006/relationships/hyperlink" Target="obsidian://adv-uri?vault=Brain&amp;filepath=Sources/CELH/2022-FY/transcripts/CELH_2023-03-01_2022Q4%20Earnings.md&amp;line=154" TargetMode="External" Id="rId34"/><Relationship Type="http://schemas.openxmlformats.org/officeDocument/2006/relationships/hyperlink" Target="obsidian://adv-uri?vault=Brain&amp;filepath=Sources/CELH/2023-Q1/transcripts/CELH_2023-05-09_2023Q1%20Earnings.md&amp;line=148" TargetMode="External" Id="rId35"/><Relationship Type="http://schemas.openxmlformats.org/officeDocument/2006/relationships/hyperlink" Target="obsidian://adv-uri?vault=Brain&amp;filepath=Sources/CELH/2023-Q2/transcripts/CELH_2023-08-08_2023Q2%20Earnings.md&amp;line=163" TargetMode="External" Id="rId36"/><Relationship Type="http://schemas.openxmlformats.org/officeDocument/2006/relationships/hyperlink" Target="obsidian://adv-uri?vault=Brain&amp;filepath=Sources/CELH/2023-Q2/transcripts/CELH_2023-08-08_2023Q2%20Earnings.md&amp;line=236" TargetMode="External" Id="rId37"/><Relationship Type="http://schemas.openxmlformats.org/officeDocument/2006/relationships/hyperlink" Target="obsidian://adv-uri?vault=Brain&amp;filepath=Sources/CELH/2023-Q3/transcripts/CELH_2023-11-07_2023Q3%20Earnings.md&amp;line=165" TargetMode="External" Id="rId38"/><Relationship Type="http://schemas.openxmlformats.org/officeDocument/2006/relationships/hyperlink" Target="obsidian://adv-uri?vault=Brain&amp;filepath=Sources/CELH/2023-Q3/transcripts/CELH_2023-11-07_2023Q3%20Earnings.md&amp;line=254" TargetMode="External" Id="rId39"/><Relationship Type="http://schemas.openxmlformats.org/officeDocument/2006/relationships/hyperlink" Target="obsidian://adv-uri?vault=Brain&amp;filepath=Sources/CELH/2023-FY/transcripts/CELH_2024-02-29_2023Q4%20Earnings.md&amp;line=169" TargetMode="External" Id="rId40"/><Relationship Type="http://schemas.openxmlformats.org/officeDocument/2006/relationships/hyperlink" Target="obsidian://adv-uri?vault=Brain&amp;filepath=Sources/CELH/2023-FY/transcripts/CELH_2024-02-29_2023Q4%20Earnings.md&amp;line=164" TargetMode="External" Id="rId41"/><Relationship Type="http://schemas.openxmlformats.org/officeDocument/2006/relationships/hyperlink" Target="obsidian://adv-uri?vault=Brain&amp;filepath=Sources/CELH/2024-Q1/transcripts/CELH_2024-05-07_2024Q1%20Earnings.md&amp;line=157" TargetMode="External" Id="rId42"/><Relationship Type="http://schemas.openxmlformats.org/officeDocument/2006/relationships/hyperlink" Target="obsidian://adv-uri?vault=Brain&amp;filepath=Sources/CELH/2025-Q2/transcripts/CELH_2025-08-07_2025Q2%20Earnings.md&amp;line=150" TargetMode="External" Id="rId43"/><Relationship Type="http://schemas.openxmlformats.org/officeDocument/2006/relationships/hyperlink" Target="obsidian://adv-uri?vault=Brain&amp;filepath=Sources/CELH/2025-Q2/transcripts/CELH_2025-08-07_2025Q2%20Earnings.md&amp;line=242" TargetMode="External" Id="rId44"/><Relationship Type="http://schemas.openxmlformats.org/officeDocument/2006/relationships/hyperlink" Target="obsidian://adv-uri?vault=Brain&amp;filepath=Sources/CELH/2025-Q3/transcripts/CELH_2025-11-06_2025Q3%20Earnings.md&amp;line=151" TargetMode="External" Id="rId45"/><Relationship Type="http://schemas.openxmlformats.org/officeDocument/2006/relationships/hyperlink" Target="obsidian://adv-uri?vault=Brain&amp;filepath=Sources/CELH/2025-FY/transcripts/CELH_2026-02-26_2025Q4%20Earnings%20Press%20Release.md&amp;line=138" TargetMode="External" Id="rId46"/><Relationship Type="http://schemas.openxmlformats.org/officeDocument/2006/relationships/hyperlink" Target="obsidian://adv-uri?vault=Brain&amp;filepath=Sources/CELH/2024-FY/transcripts/CELH_2025-02-20_2024Q4%20Earnings.md&amp;line=167" TargetMode="External" Id="rId47"/><Relationship Type="http://schemas.openxmlformats.org/officeDocument/2006/relationships/hyperlink" Target="obsidian://adv-uri?vault=Brain&amp;filepath=Sources/CELH/2025-Q1/transcripts/CELH_2025-05-06_2025Q1%20Earnings.md&amp;line=164" TargetMode="External" Id="rId48"/><Relationship Type="http://schemas.openxmlformats.org/officeDocument/2006/relationships/hyperlink" Target="obsidian://adv-uri?vault=Brain&amp;filepath=Sources/CELH/2025-Q2/transcripts/CELH_2025-08-07_2025Q2%20Earnings.md&amp;line=150" TargetMode="External" Id="rId49"/><Relationship Type="http://schemas.openxmlformats.org/officeDocument/2006/relationships/hyperlink" Target="obsidian://adv-uri?vault=Brain&amp;filepath=Sources/CELH/2025-Q2/transcripts/CELH_2025-08-07_2025Q2%20Earnings.md&amp;line=242" TargetMode="External" Id="rId50"/><Relationship Type="http://schemas.openxmlformats.org/officeDocument/2006/relationships/hyperlink" Target="obsidian://adv-uri?vault=Brain&amp;filepath=Sources/CELH/2025-Q3/transcripts/CELH_2025-11-06_2025Q3%20Earnings.md&amp;line=151" TargetMode="External" Id="rId51"/><Relationship Type="http://schemas.openxmlformats.org/officeDocument/2006/relationships/hyperlink" Target="obsidian://adv-uri?vault=Brain&amp;filepath=Sources/CELH/2025-FY/transcripts/CELH_2026-02-26_2025Q4%20Earnings%20Press%20Release.md&amp;line=134" TargetMode="External" Id="rId52"/><Relationship Type="http://schemas.openxmlformats.org/officeDocument/2006/relationships/hyperlink" Target="obsidian://adv-uri?vault=Brain&amp;filepath=Sources/CELH/2026-Q1/transcripts/CELH_2026-05-07_2026Q1%20Earnings.md&amp;line=169" TargetMode="External" Id="rId53"/><Relationship Type="http://schemas.openxmlformats.org/officeDocument/2006/relationships/hyperlink" Target="obsidian://adv-uri?vault=Brain&amp;filepath=Sources/CELH/2018-Q3/transcripts/CELH_2018-11-09_2018Q3%20Earnings.md&amp;line=155" TargetMode="External" Id="rId54"/><Relationship Type="http://schemas.openxmlformats.org/officeDocument/2006/relationships/hyperlink" Target="obsidian://adv-uri?vault=Brain&amp;filepath=Sources/CELH/2018-FY/transcripts/CELH_2019-03-14_2018Q4%20Earnings.md&amp;line=185" TargetMode="External" Id="rId55"/><Relationship Type="http://schemas.openxmlformats.org/officeDocument/2006/relationships/hyperlink" Target="obsidian://adv-uri?vault=Brain&amp;filepath=Sources/CELH/2018-FY/transcripts/CELH_2019-03-14_2018Q4%20Earnings.md&amp;line=173" TargetMode="External" Id="rId56"/><Relationship Type="http://schemas.openxmlformats.org/officeDocument/2006/relationships/hyperlink" Target="obsidian://adv-uri?vault=Brain&amp;filepath=Sources/CELH/2018-Q3/transcripts/CELH_2018-11-09_2018Q3%20Earnings.md&amp;line=155" TargetMode="External" Id="rId57"/><Relationship Type="http://schemas.openxmlformats.org/officeDocument/2006/relationships/hyperlink" Target="obsidian://adv-uri?vault=Brain&amp;filepath=Sources/CELH/2018-FY/transcripts/CELH_2019-03-14_2018Q4%20Earnings.md&amp;line=185" TargetMode="External" Id="rId58"/><Relationship Type="http://schemas.openxmlformats.org/officeDocument/2006/relationships/hyperlink" Target="obsidian://adv-uri?vault=Brain&amp;filepath=Sources/CELH/2018-FY/transcripts/CELH_2019-03-14_2018Q4%20Earnings.md&amp;line=173" TargetMode="External" Id="rId59"/><Relationship Type="http://schemas.openxmlformats.org/officeDocument/2006/relationships/hyperlink" Target="obsidian://adv-uri?vault=Brain&amp;filepath=Sources/CELH/2019-Q1/transcripts/CELH_2019-05-09_2019Q1%20Earnings.md&amp;line=159" TargetMode="External" Id="rId60"/><Relationship Type="http://schemas.openxmlformats.org/officeDocument/2006/relationships/hyperlink" Target="obsidian://adv-uri?vault=Brain&amp;filepath=Sources/CELH/2020-Q2/transcripts/CELH_2020-08-06_2020Q2%20Earnings.md&amp;line=133" TargetMode="External" Id="rId61"/><Relationship Type="http://schemas.openxmlformats.org/officeDocument/2006/relationships/hyperlink" Target="obsidian://adv-uri?vault=Brain&amp;filepath=Sources/CELH/2019-Q3/transcripts/CELH_2019-11-07_2019Q3%20Earnings.md&amp;line=126" TargetMode="External" Id="rId62"/><Relationship Type="http://schemas.openxmlformats.org/officeDocument/2006/relationships/hyperlink" Target="obsidian://adv-uri?vault=Brain&amp;filepath=Sources/CELH/2019-FY/transcripts/CELH_2020-03-12_2019Q4%20Earnings.md&amp;line=128" TargetMode="External" Id="rId63"/><Relationship Type="http://schemas.openxmlformats.org/officeDocument/2006/relationships/hyperlink" Target="obsidian://adv-uri?vault=Brain&amp;filepath=Sources/CELH/2019-FY/transcripts/CELH_2020-03-12_2019Q4%20Earnings.md&amp;line=132" TargetMode="External" Id="rId64"/><Relationship Type="http://schemas.openxmlformats.org/officeDocument/2006/relationships/hyperlink" Target="obsidian://adv-uri?vault=Brain&amp;filepath=Sources/CELH/2021-Q1/transcripts/CELH_2021-05-13_2021Q1%20Earnings.md&amp;line=151" TargetMode="External" Id="rId65"/><Relationship Type="http://schemas.openxmlformats.org/officeDocument/2006/relationships/hyperlink" Target="obsidian://adv-uri?vault=Brain&amp;filepath=Sources/CELH/2021-Q2/transcripts/CELH_2021-08-12_2021Q2%20Earnings.md&amp;line=151" TargetMode="External" Id="rId66"/><Relationship Type="http://schemas.openxmlformats.org/officeDocument/2006/relationships/hyperlink" Target="obsidian://adv-uri?vault=Brain&amp;filepath=Sources/CELH/2021-Q3/transcripts/CELH_2021-11-11_2021Q3%20Earnings.md&amp;line=155" TargetMode="External" Id="rId67"/><Relationship Type="http://schemas.openxmlformats.org/officeDocument/2006/relationships/hyperlink" Target="obsidian://adv-uri?vault=Brain&amp;filepath=Sources/CELH/2020-FY/transcripts/CELH_2021-03-11_2020Q4%20Earnings.md&amp;line=128" TargetMode="External" Id="rId68"/><Relationship Type="http://schemas.openxmlformats.org/officeDocument/2006/relationships/hyperlink" Target="obsidian://adv-uri?vault=Brain&amp;filepath=Sources/CELH/2022-Q1/transcripts/CELH_2022-06-02_Annual%20Shareholder%20Meeting.md&amp;line=133" TargetMode="External" Id="rId69"/><Relationship Type="http://schemas.openxmlformats.org/officeDocument/2006/relationships/hyperlink" Target="obsidian://adv-uri?vault=Brain&amp;filepath=Sources/CELH/2022-Q1/transcripts/CELH_2022-05-10_2022Q1%20Earnings.md&amp;line=166" TargetMode="External" Id="rId70"/><Relationship Type="http://schemas.openxmlformats.org/officeDocument/2006/relationships/hyperlink" Target="obsidian://adv-uri?vault=Brain&amp;filepath=Sources/CELH/2021-Q2/transcripts/CELH_2021-08-12_2021Q2%20Earnings.md&amp;line=151" TargetMode="External" Id="rId71"/><Relationship Type="http://schemas.openxmlformats.org/officeDocument/2006/relationships/hyperlink" Target="obsidian://adv-uri?vault=Brain&amp;filepath=Sources/CELH/2021-Q2/transcripts/CELH_2021-08-19_Annual%20Shareholder%20Meeting.md&amp;line=127" TargetMode="External" Id="rId72"/><Relationship Type="http://schemas.openxmlformats.org/officeDocument/2006/relationships/hyperlink" Target="obsidian://adv-uri?vault=Brain&amp;filepath=Sources/CELH/2021-Q3/transcripts/CELH_2021-11-11_2021Q3%20Earnings.md&amp;line=155" TargetMode="External" Id="rId73"/><Relationship Type="http://schemas.openxmlformats.org/officeDocument/2006/relationships/hyperlink" Target="obsidian://adv-uri?vault=Brain&amp;filepath=Sources/CELH/2022-Q1/transcripts/CELH_2022-06-02_Annual%20Shareholder%20Meeting.md&amp;line=133" TargetMode="External" Id="rId74"/><Relationship Type="http://schemas.openxmlformats.org/officeDocument/2006/relationships/hyperlink" Target="obsidian://adv-uri?vault=Brain&amp;filepath=Sources/CELH/2022-Q1/transcripts/CELH_2022-05-10_2022Q1%20Earnings.md&amp;line=166" TargetMode="External" Id="rId75"/><Relationship Type="http://schemas.openxmlformats.org/officeDocument/2006/relationships/hyperlink" Target="obsidian://adv-uri?vault=Brain&amp;filepath=Sources/CELH/2022-Q2/transcripts/CELH_2022-08-09_2022Q2%20Earnings.md&amp;line=151" TargetMode="External" Id="rId76"/><Relationship Type="http://schemas.openxmlformats.org/officeDocument/2006/relationships/hyperlink" Target="obsidian://adv-uri?vault=Brain&amp;filepath=Sources/CELH/2022-Q3/transcripts/CELH_2022-11-09_2022Q3%20Earnings.md&amp;line=149" TargetMode="External" Id="rId77"/><Relationship Type="http://schemas.openxmlformats.org/officeDocument/2006/relationships/hyperlink" Target="obsidian://adv-uri?vault=Brain&amp;filepath=Sources/CELH/2022-FY/transcripts/CELH_2023-03-01_2022Q4%20Earnings.md&amp;line=158" TargetMode="External" Id="rId78"/><Relationship Type="http://schemas.openxmlformats.org/officeDocument/2006/relationships/hyperlink" Target="obsidian://adv-uri?vault=Brain&amp;filepath=Sources/CELH/2023-Q1/transcripts/CELH_2023-05-09_2023Q1%20Earnings.md&amp;line=153" TargetMode="External" Id="rId79"/><Relationship Type="http://schemas.openxmlformats.org/officeDocument/2006/relationships/hyperlink" Target="obsidian://adv-uri?vault=Brain&amp;filepath=Sources/CELH/2023-Q2/transcripts/CELH_2023-08-08_2023Q2%20Earnings.md&amp;line=168" TargetMode="External" Id="rId80"/><Relationship Type="http://schemas.openxmlformats.org/officeDocument/2006/relationships/hyperlink" Target="obsidian://adv-uri?vault=Brain&amp;filepath=Sources/CELH/2023-Q2/transcripts/CELH_2023-08-08_2023Q2%20Earnings.md&amp;line=240" TargetMode="External" Id="rId81"/><Relationship Type="http://schemas.openxmlformats.org/officeDocument/2006/relationships/hyperlink" Target="obsidian://adv-uri?vault=Brain&amp;filepath=Sources/CELH/2023-Q3/transcripts/CELH_2023-11-07_2023Q3%20Earnings.md&amp;line=170" TargetMode="External" Id="rId82"/><Relationship Type="http://schemas.openxmlformats.org/officeDocument/2006/relationships/hyperlink" Target="obsidian://adv-uri?vault=Brain&amp;filepath=Sources/CELH/2023-FY/transcripts/CELH_2024-02-29_2023Q4%20Earnings.md&amp;line=173" TargetMode="External" Id="rId83"/><Relationship Type="http://schemas.openxmlformats.org/officeDocument/2006/relationships/hyperlink" Target="obsidian://adv-uri?vault=Brain&amp;filepath=Sources/CELH/2023-FY/transcripts/CELH_2024-02-29_2023Q4%20Earnings.md&amp;line=177" TargetMode="External" Id="rId84"/><Relationship Type="http://schemas.openxmlformats.org/officeDocument/2006/relationships/hyperlink" Target="obsidian://adv-uri?vault=Brain&amp;filepath=Sources/CELH/2024-Q1/transcripts/CELH_2024-05-07_2024Q1%20Earnings.md&amp;line=162" TargetMode="External" Id="rId85"/><Relationship Type="http://schemas.openxmlformats.org/officeDocument/2006/relationships/hyperlink" Target="obsidian://adv-uri?vault=Brain&amp;filepath=Sources/CELH/2025-FY/transcripts/CELH_2026-02-26_2025Q4%20Earnings%20Press%20Release.md&amp;line=143" TargetMode="External" Id="rId86"/><Relationship Type="http://schemas.openxmlformats.org/officeDocument/2006/relationships/hyperlink" Target="obsidian://adv-uri?vault=Brain&amp;filepath=Sources/CELH/2025-Q2/transcripts/CELH_2025-08-07_2025Q2%20Earnings.md&amp;line=146" TargetMode="External" Id="rId87"/><Relationship Type="http://schemas.openxmlformats.org/officeDocument/2006/relationships/hyperlink" Target="obsidian://adv-uri?vault=Brain&amp;filepath=Sources/CELH/2025-FY/transcripts/CELH_2026-02-26_2025Q4%20Earnings%20Press%20Release.md&amp;line=134" TargetMode="External" Id="rId88"/><Relationship Type="http://schemas.openxmlformats.org/officeDocument/2006/relationships/hyperlink" Target="obsidian://adv-uri?vault=Brain&amp;filepath=Sources/CELH/2018-FY/transcripts/CELH_2019-03-14_2018Q4%20Earnings.md&amp;line=177" TargetMode="External" Id="rId89"/><Relationship Type="http://schemas.openxmlformats.org/officeDocument/2006/relationships/hyperlink" Target="obsidian://adv-uri?vault=Brain&amp;filepath=Sources/CELH/2019-Q1/transcripts/CELH_2019-05-09_2019Q1%20Earnings.md&amp;line=163" TargetMode="External" Id="rId90"/><Relationship Type="http://schemas.openxmlformats.org/officeDocument/2006/relationships/hyperlink" Target="obsidian://adv-uri?vault=Brain&amp;filepath=Sources/CELH/2018-FY/transcripts/CELH_2019-03-14_2018Q4%20Earnings.md&amp;line=177" TargetMode="External" Id="rId91"/><Relationship Type="http://schemas.openxmlformats.org/officeDocument/2006/relationships/hyperlink" Target="obsidian://adv-uri?vault=Brain&amp;filepath=Sources/CELH/2019-Q1/transcripts/CELH_2019-05-09_2019Q1%20Earnings.md&amp;line=163" TargetMode="External" Id="rId92"/><Relationship Type="http://schemas.openxmlformats.org/officeDocument/2006/relationships/hyperlink" Target="obsidian://adv-uri?vault=Brain&amp;filepath=Sources/CELH/2020-FY/transcripts/CELH_2021-03-11_2020Q4%20Earnings.md&amp;line=133" TargetMode="External" Id="rId93"/><Relationship Type="http://schemas.openxmlformats.org/officeDocument/2006/relationships/hyperlink" Target="obsidian://adv-uri?vault=Brain&amp;filepath=Sources/CELH/2021-Q2/transcripts/CELH_2021-08-12_2021Q2%20Earnings.md&amp;line=156" TargetMode="External" Id="rId94"/><Relationship Type="http://schemas.openxmlformats.org/officeDocument/2006/relationships/hyperlink" Target="obsidian://adv-uri?vault=Brain&amp;filepath=Sources/CELH/2021-Q3/transcripts/CELH_2021-11-11_2021Q3%20Earnings.md&amp;line=159" TargetMode="External" Id="rId95"/><Relationship Type="http://schemas.openxmlformats.org/officeDocument/2006/relationships/hyperlink" Target="obsidian://adv-uri?vault=Brain&amp;filepath=Sources/CELH/2020-FY/transcripts/CELH_2021-03-11_2020Q4%20Earnings.md&amp;line=133" TargetMode="External" Id="rId96"/><Relationship Type="http://schemas.openxmlformats.org/officeDocument/2006/relationships/hyperlink" Target="obsidian://adv-uri?vault=Brain&amp;filepath=Sources/CELH/2022-Q1/transcripts/CELH_2022-06-02_Annual%20Shareholder%20Meeting.md&amp;line=137" TargetMode="External" Id="rId97"/><Relationship Type="http://schemas.openxmlformats.org/officeDocument/2006/relationships/hyperlink" Target="obsidian://adv-uri?vault=Brain&amp;filepath=Sources/CELH/2022-Q1/transcripts/CELH_2022-05-10_2022Q1%20Earnings.md&amp;line=171" TargetMode="External" Id="rId98"/><Relationship Type="http://schemas.openxmlformats.org/officeDocument/2006/relationships/hyperlink" Target="obsidian://adv-uri?vault=Brain&amp;filepath=Sources/CELH/2021-Q2/transcripts/CELH_2021-08-12_2021Q2%20Earnings.md&amp;line=156" TargetMode="External" Id="rId99"/><Relationship Type="http://schemas.openxmlformats.org/officeDocument/2006/relationships/hyperlink" Target="obsidian://adv-uri?vault=Brain&amp;filepath=Sources/CELH/2021-Q2/transcripts/CELH_2021-08-19_Annual%20Shareholder%20Meeting.md&amp;line=131" TargetMode="External" Id="rId100"/><Relationship Type="http://schemas.openxmlformats.org/officeDocument/2006/relationships/hyperlink" Target="obsidian://adv-uri?vault=Brain&amp;filepath=Sources/CELH/2021-Q3/transcripts/CELH_2021-11-11_2021Q3%20Earnings.md&amp;line=159" TargetMode="External" Id="rId101"/><Relationship Type="http://schemas.openxmlformats.org/officeDocument/2006/relationships/hyperlink" Target="obsidian://adv-uri?vault=Brain&amp;filepath=Sources/CELH/2022-FY/transcripts/CELH_2023-03-01_2022Q4%20Earnings.md&amp;line=166" TargetMode="External" Id="rId102"/><Relationship Type="http://schemas.openxmlformats.org/officeDocument/2006/relationships/hyperlink" Target="obsidian://adv-uri?vault=Brain&amp;filepath=Sources/CELH/2022-Q1/transcripts/CELH_2022-06-02_Annual%20Shareholder%20Meeting.md&amp;line=137" TargetMode="External" Id="rId103"/><Relationship Type="http://schemas.openxmlformats.org/officeDocument/2006/relationships/hyperlink" Target="obsidian://adv-uri?vault=Brain&amp;filepath=Sources/CELH/2022-Q1/transcripts/CELH_2022-05-10_2022Q1%20Earnings.md&amp;line=171" TargetMode="External" Id="rId104"/><Relationship Type="http://schemas.openxmlformats.org/officeDocument/2006/relationships/hyperlink" Target="obsidian://adv-uri?vault=Brain&amp;filepath=Sources/CELH/2022-Q2/transcripts/CELH_2022-08-09_2022Q2%20Earnings.md&amp;line=155" TargetMode="External" Id="rId105"/><Relationship Type="http://schemas.openxmlformats.org/officeDocument/2006/relationships/hyperlink" Target="obsidian://adv-uri?vault=Brain&amp;filepath=Sources/CELH/2022-Q3/transcripts/CELH_2022-11-09_2022Q3%20Earnings.md&amp;line=153" TargetMode="External" Id="rId106"/><Relationship Type="http://schemas.openxmlformats.org/officeDocument/2006/relationships/hyperlink" Target="obsidian://adv-uri?vault=Brain&amp;filepath=Sources/CELH/2022-FY/transcripts/CELH_2023-03-01_2022Q4%20Earnings.md&amp;line=166" TargetMode="External" Id="rId107"/><Relationship Type="http://schemas.openxmlformats.org/officeDocument/2006/relationships/hyperlink" Target="obsidian://adv-uri?vault=Brain&amp;filepath=Sources/CELH/2023-Q1/transcripts/CELH_2023-05-09_2023Q1%20Earnings.md&amp;line=157" TargetMode="External" Id="rId108"/><Relationship Type="http://schemas.openxmlformats.org/officeDocument/2006/relationships/hyperlink" Target="obsidian://adv-uri?vault=Brain&amp;filepath=Sources/CELH/2023-Q2/transcripts/CELH_2023-08-08_2023Q2%20Earnings.md&amp;line=173" TargetMode="External" Id="rId109"/><Relationship Type="http://schemas.openxmlformats.org/officeDocument/2006/relationships/hyperlink" Target="obsidian://adv-uri?vault=Brain&amp;filepath=Sources/CELH/2023-Q2/transcripts/CELH_2023-08-08_2023Q2%20Earnings.md&amp;line=244" TargetMode="External" Id="rId110"/><Relationship Type="http://schemas.openxmlformats.org/officeDocument/2006/relationships/hyperlink" Target="obsidian://adv-uri?vault=Brain&amp;filepath=Sources/CELH/2023-Q3/transcripts/CELH_2023-11-07_2023Q3%20Earnings.md&amp;line=174" TargetMode="External" Id="rId111"/><Relationship Type="http://schemas.openxmlformats.org/officeDocument/2006/relationships/hyperlink" Target="obsidian://adv-uri?vault=Brain&amp;filepath=Sources/CELH/2023-FY/transcripts/CELH_2024-02-29_2023Q4%20Earnings.md&amp;line=181" TargetMode="External" Id="rId112"/><Relationship Type="http://schemas.openxmlformats.org/officeDocument/2006/relationships/hyperlink" Target="obsidian://adv-uri?vault=Brain&amp;filepath=Sources/CELH/2023-FY/transcripts/CELH_2024-02-29_2023Q4%20Earnings.md&amp;line=186" TargetMode="External" Id="rId113"/><Relationship Type="http://schemas.openxmlformats.org/officeDocument/2006/relationships/hyperlink" Target="obsidian://adv-uri?vault=Brain&amp;filepath=Sources/CELH/2025-Q1/transcripts/CELH_2025-05-06_2025Q1%20Earnings.md&amp;line=188" TargetMode="External" Id="rId114"/><Relationship Type="http://schemas.openxmlformats.org/officeDocument/2006/relationships/hyperlink" Target="obsidian://adv-uri?vault=Brain&amp;filepath=Sources/CELH/2025-FY/transcripts/CELH_2026-02-26_2025Q4%20Earnings%20Press%20Release.md&amp;line=147" TargetMode="External" Id="rId115"/><Relationship Type="http://schemas.openxmlformats.org/officeDocument/2006/relationships/hyperlink" Target="obsidian://adv-uri?vault=Brain&amp;filepath=Sources/CELH/2025-Q1/transcripts/CELH_2025-05-06_2025Q1%20Earnings.md&amp;line=188" TargetMode="External" Id="rId116"/><Relationship Type="http://schemas.openxmlformats.org/officeDocument/2006/relationships/hyperlink" Target="obsidian://adv-uri?vault=Brain&amp;filepath=Sources/CELH/2025-Q2/transcripts/CELH_2025-08-07_2025Q2%20Earnings.md&amp;line=146" TargetMode="External" Id="rId117"/><Relationship Type="http://schemas.openxmlformats.org/officeDocument/2006/relationships/hyperlink" Target="obsidian://adv-uri?vault=Brain&amp;filepath=Sources/CELH/2025-FY/transcripts/CELH_2026-02-26_2025Q4%20Earnings%20Press%20Release.md&amp;line=134" TargetMode="External" Id="rId118"/><Relationship Type="http://schemas.openxmlformats.org/officeDocument/2006/relationships/hyperlink" Target="obsidian://adv-uri?vault=Brain&amp;filepath=Sources/CELH/2018-FY/transcripts/CELH_2019-03-14_2018Q4%20Earnings.md&amp;line=193" TargetMode="External" Id="rId119"/><Relationship Type="http://schemas.openxmlformats.org/officeDocument/2006/relationships/hyperlink" Target="obsidian://adv-uri?vault=Brain&amp;filepath=Sources/CELH/2018-FY/transcripts/CELH_2019-03-14_2018Q4%20Earnings.md&amp;line=193" TargetMode="External" Id="rId120"/><Relationship Type="http://schemas.openxmlformats.org/officeDocument/2006/relationships/hyperlink" Target="obsidian://adv-uri?vault=Brain&amp;filepath=Sources/CELH/2020-Q1/transcripts/CELH_2020-05-12_2020Q1%20Earnings.md&amp;line=134" TargetMode="External" Id="rId121"/><Relationship Type="http://schemas.openxmlformats.org/officeDocument/2006/relationships/hyperlink" Target="obsidian://adv-uri?vault=Brain&amp;filepath=Sources/CELH/2020-Q2/transcripts/CELH_2020-08-06_2020Q2%20Earnings.md&amp;line=137" TargetMode="External" Id="rId122"/><Relationship Type="http://schemas.openxmlformats.org/officeDocument/2006/relationships/hyperlink" Target="obsidian://adv-uri?vault=Brain&amp;filepath=Sources/CELH/2019-Q3/transcripts/CELH_2019-11-07_2019Q3%20Earnings.md&amp;line=131" TargetMode="External" Id="rId123"/><Relationship Type="http://schemas.openxmlformats.org/officeDocument/2006/relationships/hyperlink" Target="obsidian://adv-uri?vault=Brain&amp;filepath=Sources/CELH/2020-FY/transcripts/CELH_2021-03-11_2020Q4%20Earnings.md&amp;line=137" TargetMode="External" Id="rId124"/><Relationship Type="http://schemas.openxmlformats.org/officeDocument/2006/relationships/hyperlink" Target="obsidian://adv-uri?vault=Brain&amp;filepath=Sources/CELH/2019-FY/transcripts/CELH_2020-03-12_2019Q4%20Earnings.md&amp;line=137" TargetMode="External" Id="rId125"/><Relationship Type="http://schemas.openxmlformats.org/officeDocument/2006/relationships/hyperlink" Target="obsidian://adv-uri?vault=Brain&amp;filepath=Sources/CELH/2021-Q1/transcripts/CELH_2021-05-13_2021Q1%20Earnings.md&amp;line=155" TargetMode="External" Id="rId126"/><Relationship Type="http://schemas.openxmlformats.org/officeDocument/2006/relationships/hyperlink" Target="obsidian://adv-uri?vault=Brain&amp;filepath=Sources/CELH/2021-Q2/transcripts/CELH_2021-08-12_2021Q2%20Earnings.md&amp;line=160" TargetMode="External" Id="rId127"/><Relationship Type="http://schemas.openxmlformats.org/officeDocument/2006/relationships/hyperlink" Target="obsidian://adv-uri?vault=Brain&amp;filepath=Sources/CELH/2020-FY/transcripts/CELH_2021-03-11_2020Q4%20Earnings.md&amp;line=137" TargetMode="External" Id="rId128"/><Relationship Type="http://schemas.openxmlformats.org/officeDocument/2006/relationships/hyperlink" Target="obsidian://adv-uri?vault=Brain&amp;filepath=Sources/CELH/2022-Q1/transcripts/CELH_2022-05-10_2022Q1%20Earnings.md&amp;line=175" TargetMode="External" Id="rId129"/><Relationship Type="http://schemas.openxmlformats.org/officeDocument/2006/relationships/hyperlink" Target="obsidian://adv-uri?vault=Brain&amp;filepath=Sources/CELH/2021-Q2/transcripts/CELH_2021-08-12_2021Q2%20Earnings.md&amp;line=160" TargetMode="External" Id="rId130"/><Relationship Type="http://schemas.openxmlformats.org/officeDocument/2006/relationships/hyperlink" Target="obsidian://adv-uri?vault=Brain&amp;filepath=Sources/CELH/2021-Q3/transcripts/CELH_2021-11-11_2021Q3%20Earnings.md&amp;line=163" TargetMode="External" Id="rId131"/><Relationship Type="http://schemas.openxmlformats.org/officeDocument/2006/relationships/hyperlink" Target="obsidian://adv-uri?vault=Brain&amp;filepath=Sources/CELH/2022-Q1/transcripts/CELH_2022-05-10_2022Q1%20Earnings.md&amp;line=175" TargetMode="External" Id="rId132"/><Relationship Type="http://schemas.openxmlformats.org/officeDocument/2006/relationships/hyperlink" Target="obsidian://adv-uri?vault=Brain&amp;filepath=Sources/CELH/2022-Q2/transcripts/CELH_2022-08-09_2022Q2%20Earnings.md&amp;line=159" TargetMode="External" Id="rId133"/><Relationship Type="http://schemas.openxmlformats.org/officeDocument/2006/relationships/hyperlink" Target="obsidian://adv-uri?vault=Brain&amp;filepath=Sources/CELH/2022-Q3/transcripts/CELH_2022-11-09_2022Q3%20Earnings.md&amp;line=157" TargetMode="External" Id="rId134"/><Relationship Type="http://schemas.openxmlformats.org/officeDocument/2006/relationships/hyperlink" Target="obsidian://adv-uri?vault=Brain&amp;filepath=Sources/CELH/2018-Q3/transcripts/CELH_2018-11-09_2018Q3%20Earnings.md&amp;line=161" TargetMode="External" Id="rId135"/><Relationship Type="http://schemas.openxmlformats.org/officeDocument/2006/relationships/hyperlink" Target="obsidian://adv-uri?vault=Brain&amp;filepath=Sources/CELH/2018-FY/transcripts/CELH_2019-03-14_2018Q4%20Earnings.md&amp;line=189" TargetMode="External" Id="rId136"/><Relationship Type="http://schemas.openxmlformats.org/officeDocument/2006/relationships/hyperlink" Target="obsidian://adv-uri?vault=Brain&amp;filepath=Sources/CELH/2018-FY/transcripts/CELH_2019-03-14_2018Q4%20Earnings.md&amp;line=159" TargetMode="External" Id="rId137"/><Relationship Type="http://schemas.openxmlformats.org/officeDocument/2006/relationships/hyperlink" Target="obsidian://adv-uri?vault=Brain&amp;filepath=Sources/CELH/2018-Q3/transcripts/CELH_2018-11-09_2018Q3%20Earnings.md&amp;line=161" TargetMode="External" Id="rId138"/><Relationship Type="http://schemas.openxmlformats.org/officeDocument/2006/relationships/hyperlink" Target="obsidian://adv-uri?vault=Brain&amp;filepath=Sources/CELH/2018-FY/transcripts/CELH_2019-03-14_2018Q4%20Earnings.md&amp;line=189" TargetMode="External" Id="rId139"/><Relationship Type="http://schemas.openxmlformats.org/officeDocument/2006/relationships/hyperlink" Target="obsidian://adv-uri?vault=Brain&amp;filepath=Sources/CELH/2018-FY/transcripts/CELH_2019-03-14_2018Q4%20Earnings.md&amp;line=159" TargetMode="External" Id="rId140"/><Relationship Type="http://schemas.openxmlformats.org/officeDocument/2006/relationships/hyperlink" Target="obsidian://adv-uri?vault=Brain&amp;filepath=Sources/CELH/2020-Q1/transcripts/CELH_2020-05-12_2020Q1%20Earnings.md&amp;line=138" TargetMode="External" Id="rId141"/><Relationship Type="http://schemas.openxmlformats.org/officeDocument/2006/relationships/hyperlink" Target="obsidian://adv-uri?vault=Brain&amp;filepath=Sources/CELH/2020-Q2/transcripts/CELH_2020-08-06_2020Q2%20Earnings.md&amp;line=141" TargetMode="External" Id="rId142"/><Relationship Type="http://schemas.openxmlformats.org/officeDocument/2006/relationships/hyperlink" Target="obsidian://adv-uri?vault=Brain&amp;filepath=Sources/CELH/2020-Q3/transcripts/CELH_2020-11-12_2020Q3%20Earnings.md&amp;line=140" TargetMode="External" Id="rId143"/><Relationship Type="http://schemas.openxmlformats.org/officeDocument/2006/relationships/hyperlink" Target="obsidian://adv-uri?vault=Brain&amp;filepath=Sources/CELH/2020-FY/transcripts/CELH_2021-03-11_2020Q4%20Earnings.md&amp;line=141" TargetMode="External" Id="rId144"/><Relationship Type="http://schemas.openxmlformats.org/officeDocument/2006/relationships/hyperlink" Target="obsidian://adv-uri?vault=Brain&amp;filepath=Sources/CELH/2019-FY/transcripts/CELH_2020-03-12_2019Q4%20Earnings.md&amp;line=141" TargetMode="External" Id="rId145"/><Relationship Type="http://schemas.openxmlformats.org/officeDocument/2006/relationships/hyperlink" Target="obsidian://adv-uri?vault=Brain&amp;filepath=Sources/CELH/2021-Q1/transcripts/CELH_2021-05-13_2021Q1%20Earnings.md&amp;line=160" TargetMode="External" Id="rId146"/><Relationship Type="http://schemas.openxmlformats.org/officeDocument/2006/relationships/hyperlink" Target="obsidian://adv-uri?vault=Brain&amp;filepath=Sources/CELH/2021-Q2/transcripts/CELH_2021-08-12_2021Q2%20Earnings.md&amp;line=164" TargetMode="External" Id="rId147"/><Relationship Type="http://schemas.openxmlformats.org/officeDocument/2006/relationships/hyperlink" Target="obsidian://adv-uri?vault=Brain&amp;filepath=Sources/CELH/2021-Q3/transcripts/CELH_2021-11-11_2021Q3%20Earnings.md&amp;line=167" TargetMode="External" Id="rId148"/><Relationship Type="http://schemas.openxmlformats.org/officeDocument/2006/relationships/hyperlink" Target="obsidian://adv-uri?vault=Brain&amp;filepath=Sources/CELH/2020-FY/transcripts/CELH_2021-03-11_2020Q4%20Earnings.md&amp;line=141" TargetMode="External" Id="rId149"/><Relationship Type="http://schemas.openxmlformats.org/officeDocument/2006/relationships/hyperlink" Target="obsidian://adv-uri?vault=Brain&amp;filepath=Sources/CELH/2021-Q2/transcripts/CELH_2021-08-12_2021Q2%20Earnings.md&amp;line=164" TargetMode="External" Id="rId150"/><Relationship Type="http://schemas.openxmlformats.org/officeDocument/2006/relationships/hyperlink" Target="obsidian://adv-uri?vault=Brain&amp;filepath=Sources/CELH/2021-Q3/transcripts/CELH_2021-11-11_2021Q3%20Earnings.md&amp;line=167" TargetMode="External" Id="rId151"/><Relationship Type="http://schemas.openxmlformats.org/officeDocument/2006/relationships/hyperlink" Target="obsidian://adv-uri?vault=Brain&amp;filepath=Sources/CELH/2022-Q1/transcripts/CELH_2022-05-10_2022Q1%20Earnings.md&amp;line=180" TargetMode="External" Id="rId152"/><Relationship Type="http://schemas.openxmlformats.org/officeDocument/2006/relationships/hyperlink" Target="obsidian://adv-uri?vault=Brain&amp;filepath=Sources/CELH/2022-Q1/transcripts/CELH_2022-05-10_2022Q1%20Earnings.md&amp;line=234" TargetMode="External" Id="rId153"/><Relationship Type="http://schemas.openxmlformats.org/officeDocument/2006/relationships/hyperlink" Target="obsidian://adv-uri?vault=Brain&amp;filepath=Sources/CELH/2022-FY/transcripts/CELH_2023-03-01_2022Q4%20Earnings.md&amp;line=223" TargetMode="External" Id="rId154"/><Relationship Type="http://schemas.openxmlformats.org/officeDocument/2006/relationships/hyperlink" Target="obsidian://adv-uri?vault=Brain&amp;filepath=Sources/CELH/2022-Q1/transcripts/CELH_2022-05-10_2022Q1%20Earnings.md&amp;line=234" TargetMode="External" Id="rId155"/><Relationship Type="http://schemas.openxmlformats.org/officeDocument/2006/relationships/hyperlink" Target="obsidian://adv-uri?vault=Brain&amp;filepath=Sources/CELH/2023-Q2/transcripts/CELH_2023-08-08_2023Q2%20Earnings.md&amp;line=182" TargetMode="External" Id="rId156"/><Relationship Type="http://schemas.openxmlformats.org/officeDocument/2006/relationships/hyperlink" Target="obsidian://adv-uri?vault=Brain&amp;filepath=Sources/CELH/2022-Q3/transcripts/CELH_2022-11-09_2022Q3%20Earnings.md&amp;line=214" TargetMode="External" Id="rId157"/><Relationship Type="http://schemas.openxmlformats.org/officeDocument/2006/relationships/hyperlink" Target="obsidian://adv-uri?vault=Brain&amp;filepath=Sources/CELH/2022-FY/transcripts/CELH_2023-03-01_2022Q4%20Earnings.md&amp;line=223" TargetMode="External" Id="rId158"/><Relationship Type="http://schemas.openxmlformats.org/officeDocument/2006/relationships/hyperlink" Target="obsidian://adv-uri?vault=Brain&amp;filepath=Sources/CELH/2024-Q1/transcripts/CELH_2024-05-07_2024Q1%20Earnings.md&amp;line=228" TargetMode="External" Id="rId159"/><Relationship Type="http://schemas.openxmlformats.org/officeDocument/2006/relationships/hyperlink" Target="obsidian://adv-uri?vault=Brain&amp;filepath=Sources/CELH/2023-Q3/transcripts/CELH_2023-11-07_2023Q3%20Earnings.md&amp;line=201" TargetMode="External" Id="rId160"/><Relationship Type="http://schemas.openxmlformats.org/officeDocument/2006/relationships/hyperlink" Target="obsidian://adv-uri?vault=Brain&amp;filepath=Sources/CELH/2024-Q1/transcripts/CELH_2024-05-07_2024Q1%20Earnings.md&amp;line=228" TargetMode="External" Id="rId161"/><Relationship Type="http://schemas.openxmlformats.org/officeDocument/2006/relationships/hyperlink" Target="obsidian://adv-uri?vault=Brain&amp;filepath=Sources/CELH/2018-FY/transcripts/CELH_2019-03-14_2018Q4%20Earnings.md&amp;line=197" TargetMode="External" Id="rId162"/><Relationship Type="http://schemas.openxmlformats.org/officeDocument/2006/relationships/hyperlink" Target="obsidian://adv-uri?vault=Brain&amp;filepath=Sources/CELH/2018-FY/transcripts/CELH_2019-03-14_2018Q4%20Earnings.md&amp;line=205" TargetMode="External" Id="rId163"/><Relationship Type="http://schemas.openxmlformats.org/officeDocument/2006/relationships/hyperlink" Target="obsidian://adv-uri?vault=Brain&amp;filepath=Sources/CELH/2019-Q1/transcripts/CELH_2019-05-09_2019Q1%20Earnings.md&amp;line=181" TargetMode="External" Id="rId164"/><Relationship Type="http://schemas.openxmlformats.org/officeDocument/2006/relationships/hyperlink" Target="obsidian://adv-uri?vault=Brain&amp;filepath=Sources/CELH/2019-Q2/transcripts/CELH_2019-08-08_2019Q2%20Earnings.md&amp;line=176" TargetMode="External" Id="rId165"/><Relationship Type="http://schemas.openxmlformats.org/officeDocument/2006/relationships/hyperlink" Target="obsidian://adv-uri?vault=Brain&amp;filepath=Sources/CELH/2019-Q2/transcripts/CELH_2019-08-08_2019Q2%20Earnings.md&amp;line=184" TargetMode="External" Id="rId166"/><Relationship Type="http://schemas.openxmlformats.org/officeDocument/2006/relationships/hyperlink" Target="obsidian://adv-uri?vault=Brain&amp;filepath=Sources/CELH/2018-Q3/transcripts/CELH_2018-11-09_2018Q3%20Earnings.md&amp;line=174" TargetMode="External" Id="rId167"/><Relationship Type="http://schemas.openxmlformats.org/officeDocument/2006/relationships/hyperlink" Target="obsidian://adv-uri?vault=Brain&amp;filepath=Sources/CELH/2018-Q3/transcripts/CELH_2018-11-09_2018Q3%20Earnings.md&amp;line=214" TargetMode="External" Id="rId168"/><Relationship Type="http://schemas.openxmlformats.org/officeDocument/2006/relationships/hyperlink" Target="obsidian://adv-uri?vault=Brain&amp;filepath=Sources/CELH/2018-FY/transcripts/CELH_2019-03-14_2018Q4%20Earnings.md&amp;line=197" TargetMode="External" Id="rId169"/><Relationship Type="http://schemas.openxmlformats.org/officeDocument/2006/relationships/hyperlink" Target="obsidian://adv-uri?vault=Brain&amp;filepath=Sources/CELH/2018-FY/transcripts/CELH_2019-03-14_2018Q4%20Earnings.md&amp;line=205" TargetMode="External" Id="rId170"/><Relationship Type="http://schemas.openxmlformats.org/officeDocument/2006/relationships/hyperlink" Target="obsidian://adv-uri?vault=Brain&amp;filepath=Sources/CELH/2019-Q1/transcripts/CELH_2019-05-09_2019Q1%20Earnings.md&amp;line=181" TargetMode="External" Id="rId171"/><Relationship Type="http://schemas.openxmlformats.org/officeDocument/2006/relationships/hyperlink" Target="obsidian://adv-uri?vault=Brain&amp;filepath=Sources/CELH/2019-Q2/transcripts/CELH_2019-08-08_2019Q2%20Earnings.md&amp;line=176" TargetMode="External" Id="rId172"/><Relationship Type="http://schemas.openxmlformats.org/officeDocument/2006/relationships/hyperlink" Target="obsidian://adv-uri?vault=Brain&amp;filepath=Sources/CELH/2019-Q2/transcripts/CELH_2019-08-08_2019Q2%20Earnings.md&amp;line=184" TargetMode="External" Id="rId173"/><Relationship Type="http://schemas.openxmlformats.org/officeDocument/2006/relationships/hyperlink" Target="obsidian://adv-uri?vault=Brain&amp;filepath=Sources/CELH/2019-Q3/transcripts/CELH_2019-11-07_2019Q3%20Earnings.md&amp;line=140" TargetMode="External" Id="rId174"/><Relationship Type="http://schemas.openxmlformats.org/officeDocument/2006/relationships/hyperlink" Target="obsidian://adv-uri?vault=Brain&amp;filepath=Sources/CELH/2019-FY/transcripts/CELH_2020-03-12_2019Q4%20Earnings.md&amp;line=145" TargetMode="External" Id="rId175"/><Relationship Type="http://schemas.openxmlformats.org/officeDocument/2006/relationships/hyperlink" Target="obsidian://adv-uri?vault=Brain&amp;filepath=Sources/CELH/2019-FY/transcripts/CELH_2020-03-12_2019Q4%20Earnings.md&amp;line=153" TargetMode="External" Id="rId176"/><Relationship Type="http://schemas.openxmlformats.org/officeDocument/2006/relationships/hyperlink" Target="obsidian://adv-uri?vault=Brain&amp;filepath=Sources/CELH/2021-Q1/transcripts/CELH_2021-05-13_2021Q1%20Earnings.md&amp;line=172" TargetMode="External" Id="rId177"/><Relationship Type="http://schemas.openxmlformats.org/officeDocument/2006/relationships/hyperlink" Target="obsidian://adv-uri?vault=Brain&amp;filepath=Sources/CELH/2021-Q2/transcripts/CELH_2021-08-12_2021Q2%20Earnings.md&amp;line=172" TargetMode="External" Id="rId178"/><Relationship Type="http://schemas.openxmlformats.org/officeDocument/2006/relationships/hyperlink" Target="obsidian://adv-uri?vault=Brain&amp;filepath=Sources/CELH/2021-Q3/transcripts/CELH_2021-11-11_2021Q3%20Earnings.md&amp;line=175" TargetMode="External" Id="rId179"/><Relationship Type="http://schemas.openxmlformats.org/officeDocument/2006/relationships/hyperlink" Target="obsidian://adv-uri?vault=Brain&amp;filepath=Sources/CELH/2020-FY/transcripts/CELH_2021-03-11_2020Q4%20Earnings.md&amp;line=145" TargetMode="External" Id="rId180"/><Relationship Type="http://schemas.openxmlformats.org/officeDocument/2006/relationships/hyperlink" Target="obsidian://adv-uri?vault=Brain&amp;filepath=Sources/CELH/2022-Q1/transcripts/CELH_2022-06-02_Annual%20Shareholder%20Meeting.md&amp;line=141" TargetMode="External" Id="rId181"/><Relationship Type="http://schemas.openxmlformats.org/officeDocument/2006/relationships/hyperlink" Target="obsidian://adv-uri?vault=Brain&amp;filepath=Sources/CELH/2022-Q1/transcripts/CELH_2022-05-10_2022Q1%20Earnings.md&amp;line=188" TargetMode="External" Id="rId182"/><Relationship Type="http://schemas.openxmlformats.org/officeDocument/2006/relationships/hyperlink" Target="obsidian://adv-uri?vault=Brain&amp;filepath=Sources/CELH/2021-Q2/transcripts/CELH_2021-08-12_2021Q2%20Earnings.md&amp;line=172" TargetMode="External" Id="rId183"/><Relationship Type="http://schemas.openxmlformats.org/officeDocument/2006/relationships/hyperlink" Target="obsidian://adv-uri?vault=Brain&amp;filepath=Sources/CELH/2021-Q2/transcripts/CELH_2021-08-19_Annual%20Shareholder%20Meeting.md&amp;line=135" TargetMode="External" Id="rId184"/><Relationship Type="http://schemas.openxmlformats.org/officeDocument/2006/relationships/hyperlink" Target="obsidian://adv-uri?vault=Brain&amp;filepath=Sources/CELH/2021-Q3/transcripts/CELH_2021-11-11_2021Q3%20Earnings.md&amp;line=175" TargetMode="External" Id="rId185"/><Relationship Type="http://schemas.openxmlformats.org/officeDocument/2006/relationships/hyperlink" Target="obsidian://adv-uri?vault=Brain&amp;filepath=Sources/CELH/2022-FY/transcripts/CELH_2023-03-01_2022Q4%20Earnings.md&amp;line=170" TargetMode="External" Id="rId186"/><Relationship Type="http://schemas.openxmlformats.org/officeDocument/2006/relationships/hyperlink" Target="obsidian://adv-uri?vault=Brain&amp;filepath=Sources/CELH/2022-Q1/transcripts/CELH_2022-06-02_Annual%20Shareholder%20Meeting.md&amp;line=141" TargetMode="External" Id="rId187"/><Relationship Type="http://schemas.openxmlformats.org/officeDocument/2006/relationships/hyperlink" Target="obsidian://adv-uri?vault=Brain&amp;filepath=Sources/CELH/2022-Q1/transcripts/CELH_2022-05-10_2022Q1%20Earnings.md&amp;line=188" TargetMode="External" Id="rId188"/><Relationship Type="http://schemas.openxmlformats.org/officeDocument/2006/relationships/hyperlink" Target="obsidian://adv-uri?vault=Brain&amp;filepath=Sources/CELH/2022-Q2/transcripts/CELH_2022-08-09_2022Q2%20Earnings.md&amp;line=163" TargetMode="External" Id="rId189"/><Relationship Type="http://schemas.openxmlformats.org/officeDocument/2006/relationships/hyperlink" Target="obsidian://adv-uri?vault=Brain&amp;filepath=Sources/CELH/2022-Q3/transcripts/CELH_2022-11-09_2022Q3%20Earnings.md&amp;line=161" TargetMode="External" Id="rId190"/><Relationship Type="http://schemas.openxmlformats.org/officeDocument/2006/relationships/hyperlink" Target="obsidian://adv-uri?vault=Brain&amp;filepath=Sources/CELH/2022-FY/transcripts/CELH_2023-03-01_2022Q4%20Earnings.md&amp;line=170" TargetMode="External" Id="rId191"/><Relationship Type="http://schemas.openxmlformats.org/officeDocument/2006/relationships/hyperlink" Target="obsidian://adv-uri?vault=Brain&amp;filepath=Sources/CELH/2022-FY/transcripts/CELH_2023-03-01_2022Q4%20Earnings.md&amp;line=179" TargetMode="External" Id="rId192"/><Relationship Type="http://schemas.openxmlformats.org/officeDocument/2006/relationships/hyperlink" Target="obsidian://adv-uri?vault=Brain&amp;filepath=Sources/CELH/2023-Q1/transcripts/CELH_2023-05-09_2023Q1%20Earnings.md&amp;line=161" TargetMode="External" Id="rId193"/><Relationship Type="http://schemas.openxmlformats.org/officeDocument/2006/relationships/hyperlink" Target="obsidian://adv-uri?vault=Brain&amp;filepath=Sources/CELH/2023-Q2/transcripts/CELH_2023-08-08_2023Q2%20Earnings.md&amp;line=211" TargetMode="External" Id="rId194"/><Relationship Type="http://schemas.openxmlformats.org/officeDocument/2006/relationships/hyperlink" Target="obsidian://adv-uri?vault=Brain&amp;filepath=Sources/CELH/2023-Q2/transcripts/CELH_2023-08-08_2023Q2%20Earnings.md&amp;line=248" TargetMode="External" Id="rId195"/><Relationship Type="http://schemas.openxmlformats.org/officeDocument/2006/relationships/hyperlink" Target="obsidian://adv-uri?vault=Brain&amp;filepath=Sources/CELH/2023-Q3/transcripts/CELH_2023-11-07_2023Q3%20Earnings.md&amp;line=222" TargetMode="External" Id="rId196"/><Relationship Type="http://schemas.openxmlformats.org/officeDocument/2006/relationships/hyperlink" Target="obsidian://adv-uri?vault=Brain&amp;filepath=Sources/CELH/2023-Q3/transcripts/CELH_2023-11-07_2023Q3%20Earnings.md&amp;line=258" TargetMode="External" Id="rId197"/><Relationship Type="http://schemas.openxmlformats.org/officeDocument/2006/relationships/hyperlink" Target="obsidian://adv-uri?vault=Brain&amp;filepath=Sources/CELH/2023-FY/transcripts/CELH_2024-02-29_2023Q4%20Earnings.md&amp;line=190" TargetMode="External" Id="rId198"/><Relationship Type="http://schemas.openxmlformats.org/officeDocument/2006/relationships/hyperlink" Target="obsidian://adv-uri?vault=Brain&amp;filepath=Sources/CELH/2023-FY/transcripts/CELH_2024-02-29_2023Q4%20Earnings.md&amp;line=198" TargetMode="External" Id="rId199"/><Relationship Type="http://schemas.openxmlformats.org/officeDocument/2006/relationships/hyperlink" Target="obsidian://adv-uri?vault=Brain&amp;filepath=Sources/CELH/2024-Q1/transcripts/CELH_2024-05-07_2024Q1%20Earnings.md&amp;line=171" TargetMode="External" Id="rId200"/><Relationship Type="http://schemas.openxmlformats.org/officeDocument/2006/relationships/hyperlink" Target="obsidian://adv-uri?vault=Brain&amp;filepath=Sources/CELH/2025-Q2/transcripts/CELH_2025-08-07_2025Q2%20Earnings.md&amp;line=170" TargetMode="External" Id="rId201"/><Relationship Type="http://schemas.openxmlformats.org/officeDocument/2006/relationships/hyperlink" Target="obsidian://adv-uri?vault=Brain&amp;filepath=Sources/CELH/2025-FY/transcripts/CELH_2026-02-26_2025Q4%20Earnings%20Press%20Release.md&amp;line=166" TargetMode="External" Id="rId202"/><Relationship Type="http://schemas.openxmlformats.org/officeDocument/2006/relationships/hyperlink" Target="obsidian://adv-uri?vault=Brain&amp;filepath=Sources/CELH/2024-FY/transcripts/CELH_2025-02-20_2024Q4%20Earnings.md&amp;line=224" TargetMode="External" Id="rId203"/><Relationship Type="http://schemas.openxmlformats.org/officeDocument/2006/relationships/hyperlink" Target="obsidian://adv-uri?vault=Brain&amp;filepath=Sources/CELH/2025-Q1/transcripts/CELH_2025-05-06_2025Q1%20Earnings.md&amp;line=184" TargetMode="External" Id="rId204"/><Relationship Type="http://schemas.openxmlformats.org/officeDocument/2006/relationships/hyperlink" Target="obsidian://adv-uri?vault=Brain&amp;filepath=Sources/CELH/2025-Q2/transcripts/CELH_2025-08-07_2025Q2%20Earnings.md&amp;line=170" TargetMode="External" Id="rId205"/><Relationship Type="http://schemas.openxmlformats.org/officeDocument/2006/relationships/hyperlink" Target="obsidian://adv-uri?vault=Brain&amp;filepath=Sources/CELH/2025-FY/transcripts/CELH_2026-02-26_2025Q4%20Earnings%20Press%20Release.md&amp;line=166" TargetMode="External" Id="rId206"/><Relationship Type="http://schemas.openxmlformats.org/officeDocument/2006/relationships/hyperlink" Target="obsidian://adv-uri?vault=Brain&amp;filepath=Sources/CELH/2025-FY/transcripts/CELH_2026-02-26_2025Q4%20Earnings%20Press%20Release.md&amp;line=134" TargetMode="External" Id="rId207"/><Relationship Type="http://schemas.openxmlformats.org/officeDocument/2006/relationships/hyperlink" Target="obsidian://adv-uri?vault=Brain&amp;filepath=Sources/CELH/2018-Q3/transcripts/CELH_2018-11-09_2018Q3%20Earnings.md&amp;line=178" TargetMode="External" Id="rId208"/><Relationship Type="http://schemas.openxmlformats.org/officeDocument/2006/relationships/hyperlink" Target="obsidian://adv-uri?vault=Brain&amp;filepath=Sources/CELH/2018-Q3/transcripts/CELH_2018-11-09_2018Q3%20Earnings.md&amp;line=218" TargetMode="External" Id="rId209"/><Relationship Type="http://schemas.openxmlformats.org/officeDocument/2006/relationships/hyperlink" Target="obsidian://adv-uri?vault=Brain&amp;filepath=Sources/CELH/2018-FY/transcripts/CELH_2019-03-14_2018Q4%20Earnings.md&amp;line=201" TargetMode="External" Id="rId210"/><Relationship Type="http://schemas.openxmlformats.org/officeDocument/2006/relationships/hyperlink" Target="obsidian://adv-uri?vault=Brain&amp;filepath=Sources/CELH/2018-FY/transcripts/CELH_2019-03-14_2018Q4%20Earnings.md&amp;line=209" TargetMode="External" Id="rId211"/><Relationship Type="http://schemas.openxmlformats.org/officeDocument/2006/relationships/hyperlink" Target="obsidian://adv-uri?vault=Brain&amp;filepath=Sources/CELH/2019-Q1/transcripts/CELH_2019-05-09_2019Q1%20Earnings.md&amp;line=185" TargetMode="External" Id="rId212"/><Relationship Type="http://schemas.openxmlformats.org/officeDocument/2006/relationships/hyperlink" Target="obsidian://adv-uri?vault=Brain&amp;filepath=Sources/CELH/2019-Q2/transcripts/CELH_2019-08-08_2019Q2%20Earnings.md&amp;line=180" TargetMode="External" Id="rId213"/><Relationship Type="http://schemas.openxmlformats.org/officeDocument/2006/relationships/hyperlink" Target="obsidian://adv-uri?vault=Brain&amp;filepath=Sources/CELH/2019-Q2/transcripts/CELH_2019-08-08_2019Q2%20Earnings.md&amp;line=188" TargetMode="External" Id="rId214"/><Relationship Type="http://schemas.openxmlformats.org/officeDocument/2006/relationships/hyperlink" Target="obsidian://adv-uri?vault=Brain&amp;filepath=Sources/CELH/2018-Q3/transcripts/CELH_2018-11-09_2018Q3%20Earnings.md&amp;line=178" TargetMode="External" Id="rId215"/><Relationship Type="http://schemas.openxmlformats.org/officeDocument/2006/relationships/hyperlink" Target="obsidian://adv-uri?vault=Brain&amp;filepath=Sources/CELH/2018-Q3/transcripts/CELH_2018-11-09_2018Q3%20Earnings.md&amp;line=218" TargetMode="External" Id="rId216"/><Relationship Type="http://schemas.openxmlformats.org/officeDocument/2006/relationships/hyperlink" Target="obsidian://adv-uri?vault=Brain&amp;filepath=Sources/CELH/2018-FY/transcripts/CELH_2019-03-14_2018Q4%20Earnings.md&amp;line=201" TargetMode="External" Id="rId217"/><Relationship Type="http://schemas.openxmlformats.org/officeDocument/2006/relationships/hyperlink" Target="obsidian://adv-uri?vault=Brain&amp;filepath=Sources/CELH/2018-FY/transcripts/CELH_2019-03-14_2018Q4%20Earnings.md&amp;line=209" TargetMode="External" Id="rId218"/><Relationship Type="http://schemas.openxmlformats.org/officeDocument/2006/relationships/hyperlink" Target="obsidian://adv-uri?vault=Brain&amp;filepath=Sources/CELH/2019-Q1/transcripts/CELH_2019-05-09_2019Q1%20Earnings.md&amp;line=185" TargetMode="External" Id="rId219"/><Relationship Type="http://schemas.openxmlformats.org/officeDocument/2006/relationships/hyperlink" Target="obsidian://adv-uri?vault=Brain&amp;filepath=Sources/CELH/2019-Q2/transcripts/CELH_2019-08-08_2019Q2%20Earnings.md&amp;line=180" TargetMode="External" Id="rId220"/><Relationship Type="http://schemas.openxmlformats.org/officeDocument/2006/relationships/hyperlink" Target="obsidian://adv-uri?vault=Brain&amp;filepath=Sources/CELH/2019-Q2/transcripts/CELH_2019-08-08_2019Q2%20Earnings.md&amp;line=188" TargetMode="External" Id="rId221"/><Relationship Type="http://schemas.openxmlformats.org/officeDocument/2006/relationships/hyperlink" Target="obsidian://adv-uri?vault=Brain&amp;filepath=Sources/CELH/2019-Q3/transcripts/CELH_2019-11-07_2019Q3%20Earnings.md&amp;line=144" TargetMode="External" Id="rId222"/><Relationship Type="http://schemas.openxmlformats.org/officeDocument/2006/relationships/hyperlink" Target="obsidian://adv-uri?vault=Brain&amp;filepath=Sources/CELH/2019-FY/transcripts/CELH_2020-03-12_2019Q4%20Earnings.md&amp;line=149" TargetMode="External" Id="rId223"/><Relationship Type="http://schemas.openxmlformats.org/officeDocument/2006/relationships/hyperlink" Target="obsidian://adv-uri?vault=Brain&amp;filepath=Sources/CELH/2019-FY/transcripts/CELH_2020-03-12_2019Q4%20Earnings.md&amp;line=157" TargetMode="External" Id="rId224"/><Relationship Type="http://schemas.openxmlformats.org/officeDocument/2006/relationships/hyperlink" Target="obsidian://adv-uri?vault=Brain&amp;filepath=Sources/CELH/2021-Q1/transcripts/CELH_2021-05-13_2021Q1%20Earnings.md&amp;line=176" TargetMode="External" Id="rId225"/><Relationship Type="http://schemas.openxmlformats.org/officeDocument/2006/relationships/hyperlink" Target="obsidian://adv-uri?vault=Brain&amp;filepath=Sources/CELH/2021-Q2/transcripts/CELH_2021-08-12_2021Q2%20Earnings.md&amp;line=176" TargetMode="External" Id="rId226"/><Relationship Type="http://schemas.openxmlformats.org/officeDocument/2006/relationships/hyperlink" Target="obsidian://adv-uri?vault=Brain&amp;filepath=Sources/CELH/2021-Q3/transcripts/CELH_2021-11-11_2021Q3%20Earnings.md&amp;line=181" TargetMode="External" Id="rId227"/><Relationship Type="http://schemas.openxmlformats.org/officeDocument/2006/relationships/hyperlink" Target="obsidian://adv-uri?vault=Brain&amp;filepath=Sources/CELH/2020-FY/transcripts/CELH_2021-03-11_2020Q4%20Earnings.md&amp;line=149" TargetMode="External" Id="rId228"/><Relationship Type="http://schemas.openxmlformats.org/officeDocument/2006/relationships/hyperlink" Target="obsidian://adv-uri?vault=Brain&amp;filepath=Sources/CELH/2022-Q1/transcripts/CELH_2022-05-10_2022Q1%20Earnings.md&amp;line=193" TargetMode="External" Id="rId229"/><Relationship Type="http://schemas.openxmlformats.org/officeDocument/2006/relationships/hyperlink" Target="obsidian://adv-uri?vault=Brain&amp;filepath=Sources/CELH/2021-Q2/transcripts/CELH_2021-08-12_2021Q2%20Earnings.md&amp;line=176" TargetMode="External" Id="rId230"/><Relationship Type="http://schemas.openxmlformats.org/officeDocument/2006/relationships/hyperlink" Target="obsidian://adv-uri?vault=Brain&amp;filepath=Sources/CELH/2021-Q3/transcripts/CELH_2021-11-11_2021Q3%20Earnings.md&amp;line=181" TargetMode="External" Id="rId231"/><Relationship Type="http://schemas.openxmlformats.org/officeDocument/2006/relationships/hyperlink" Target="obsidian://adv-uri?vault=Brain&amp;filepath=Sources/CELH/2022-Q1/transcripts/CELH_2022-05-10_2022Q1%20Earnings.md&amp;line=193" TargetMode="External" Id="rId232"/><Relationship Type="http://schemas.openxmlformats.org/officeDocument/2006/relationships/hyperlink" Target="obsidian://adv-uri?vault=Brain&amp;filepath=Sources/CELH/2022-Q2/transcripts/CELH_2022-08-09_2022Q2%20Earnings.md&amp;line=168" TargetMode="External" Id="rId233"/><Relationship Type="http://schemas.openxmlformats.org/officeDocument/2006/relationships/hyperlink" Target="obsidian://adv-uri?vault=Brain&amp;filepath=Sources/CELH/2022-Q3/transcripts/CELH_2022-11-09_2022Q3%20Earnings.md&amp;line=166" TargetMode="External" Id="rId234"/><Relationship Type="http://schemas.openxmlformats.org/officeDocument/2006/relationships/hyperlink" Target="obsidian://adv-uri?vault=Brain&amp;filepath=Sources/CELH/2022-FY/transcripts/CELH_2023-03-01_2022Q4%20Earnings.md&amp;line=174" TargetMode="External" Id="rId235"/><Relationship Type="http://schemas.openxmlformats.org/officeDocument/2006/relationships/hyperlink" Target="obsidian://adv-uri?vault=Brain&amp;filepath=Sources/CELH/2023-Q1/transcripts/CELH_2023-05-09_2023Q1%20Earnings.md&amp;line=165" TargetMode="External" Id="rId236"/><Relationship Type="http://schemas.openxmlformats.org/officeDocument/2006/relationships/hyperlink" Target="obsidian://adv-uri?vault=Brain&amp;filepath=Sources/CELH/2023-Q2/transcripts/CELH_2023-08-08_2023Q2%20Earnings.md&amp;line=206" TargetMode="External" Id="rId237"/><Relationship Type="http://schemas.openxmlformats.org/officeDocument/2006/relationships/hyperlink" Target="obsidian://adv-uri?vault=Brain&amp;filepath=Sources/CELH/2023-Q2/transcripts/CELH_2023-08-08_2023Q2%20Earnings.md&amp;line=252" TargetMode="External" Id="rId238"/><Relationship Type="http://schemas.openxmlformats.org/officeDocument/2006/relationships/hyperlink" Target="obsidian://adv-uri?vault=Brain&amp;filepath=Sources/CELH/2023-Q3/transcripts/CELH_2023-11-07_2023Q3%20Earnings.md&amp;line=217" TargetMode="External" Id="rId239"/><Relationship Type="http://schemas.openxmlformats.org/officeDocument/2006/relationships/hyperlink" Target="obsidian://adv-uri?vault=Brain&amp;filepath=Sources/CELH/2023-FY/transcripts/CELH_2024-02-29_2023Q4%20Earnings.md&amp;line=194" TargetMode="External" Id="rId240"/><Relationship Type="http://schemas.openxmlformats.org/officeDocument/2006/relationships/hyperlink" Target="obsidian://adv-uri?vault=Brain&amp;filepath=Sources/CELH/2023-FY/transcripts/CELH_2024-02-29_2023Q4%20Earnings.md&amp;line=202" TargetMode="External" Id="rId241"/><Relationship Type="http://schemas.openxmlformats.org/officeDocument/2006/relationships/hyperlink" Target="obsidian://adv-uri?vault=Brain&amp;filepath=Sources/CELH/2024-Q1/transcripts/CELH_2024-05-07_2024Q1%20Earnings.md&amp;line=175" TargetMode="External" Id="rId242"/><Relationship Type="http://schemas.openxmlformats.org/officeDocument/2006/relationships/hyperlink" Target="obsidian://adv-uri?vault=Brain&amp;filepath=Sources/CELH/2025-Q2/transcripts/CELH_2025-08-07_2025Q2%20Earnings.md&amp;line=165" TargetMode="External" Id="rId243"/><Relationship Type="http://schemas.openxmlformats.org/officeDocument/2006/relationships/hyperlink" Target="obsidian://adv-uri?vault=Brain&amp;filepath=Sources/CELH/2025-Q2/transcripts/CELH_2025-08-07_2025Q2%20Earnings.md&amp;line=246" TargetMode="External" Id="rId244"/><Relationship Type="http://schemas.openxmlformats.org/officeDocument/2006/relationships/hyperlink" Target="obsidian://adv-uri?vault=Brain&amp;filepath=Sources/CELH/2025-Q3/transcripts/CELH_2025-11-06_2025Q3%20Earnings.md&amp;line=177" TargetMode="External" Id="rId245"/><Relationship Type="http://schemas.openxmlformats.org/officeDocument/2006/relationships/hyperlink" Target="obsidian://adv-uri?vault=Brain&amp;filepath=Sources/CELH/2024-FY/transcripts/CELH_2025-02-20_2024Q4%20Earnings.md&amp;line=204" TargetMode="External" Id="rId246"/><Relationship Type="http://schemas.openxmlformats.org/officeDocument/2006/relationships/hyperlink" Target="obsidian://adv-uri?vault=Brain&amp;filepath=Sources/CELH/2024-FY/transcripts/CELH_2025-02-20_2024Q4%20Earnings.md&amp;line=228" TargetMode="External" Id="rId247"/><Relationship Type="http://schemas.openxmlformats.org/officeDocument/2006/relationships/hyperlink" Target="obsidian://adv-uri?vault=Brain&amp;filepath=Sources/CELH/2025-Q1/transcripts/CELH_2025-05-06_2025Q1%20Earnings.md&amp;line=179" TargetMode="External" Id="rId248"/><Relationship Type="http://schemas.openxmlformats.org/officeDocument/2006/relationships/hyperlink" Target="obsidian://adv-uri?vault=Brain&amp;filepath=Sources/CELH/2025-Q2/transcripts/CELH_2025-08-07_2025Q2%20Earnings.md&amp;line=165" TargetMode="External" Id="rId249"/><Relationship Type="http://schemas.openxmlformats.org/officeDocument/2006/relationships/hyperlink" Target="obsidian://adv-uri?vault=Brain&amp;filepath=Sources/CELH/2025-Q2/transcripts/CELH_2025-08-07_2025Q2%20Earnings.md&amp;line=246" TargetMode="External" Id="rId250"/><Relationship Type="http://schemas.openxmlformats.org/officeDocument/2006/relationships/hyperlink" Target="obsidian://adv-uri?vault=Brain&amp;filepath=Sources/CELH/2025-Q3/transcripts/CELH_2025-11-06_2025Q3%20Earnings.md&amp;line=177" TargetMode="External" Id="rId251"/><Relationship Type="http://schemas.openxmlformats.org/officeDocument/2006/relationships/hyperlink" Target="obsidian://adv-uri?vault=Brain&amp;filepath=Sources/CELH/2025-FY/transcripts/CELH_2026-02-26_2025Q4%20Earnings%20Press%20Release.md&amp;line=171" TargetMode="External" Id="rId252"/><Relationship Type="http://schemas.openxmlformats.org/officeDocument/2006/relationships/hyperlink" Target="obsidian://adv-uri?vault=Brain&amp;filepath=Sources/CELH/2025-FY/transcripts/CELH_2026-02-26_2025Q4%20Earnings%20Press%20Release.md&amp;line=134" TargetMode="External" Id="rId253"/><Relationship Type="http://schemas.openxmlformats.org/officeDocument/2006/relationships/hyperlink" Target="obsidian://adv-uri?vault=Brain&amp;filepath=Sources/CELH/2026-Q1/transcripts/CELH_2026-05-07_2026Q1%20Earnings.md&amp;line=205" TargetMode="External" Id="rId254"/><Relationship Type="http://schemas.openxmlformats.org/officeDocument/2006/relationships/hyperlink" Target="obsidian://adv-uri?vault=Brain&amp;filepath=Sources/CELH/2018-Q3/transcripts/CELH_2018-11-09_2018Q3%20Earnings.md&amp;line=182" TargetMode="External" Id="rId255"/><Relationship Type="http://schemas.openxmlformats.org/officeDocument/2006/relationships/hyperlink" Target="obsidian://adv-uri?vault=Brain&amp;filepath=Sources/CELH/2018-Q3/transcripts/CELH_2018-11-09_2018Q3%20Earnings.md&amp;line=222" TargetMode="External" Id="rId256"/><Relationship Type="http://schemas.openxmlformats.org/officeDocument/2006/relationships/hyperlink" Target="obsidian://adv-uri?vault=Brain&amp;filepath=Sources/CELH/2018-FY/transcripts/CELH_2019-03-14_2018Q4%20Earnings.md&amp;line=213" TargetMode="External" Id="rId257"/><Relationship Type="http://schemas.openxmlformats.org/officeDocument/2006/relationships/hyperlink" Target="obsidian://adv-uri?vault=Brain&amp;filepath=Sources/CELH/2018-FY/transcripts/CELH_2019-03-14_2018Q4%20Earnings.md&amp;line=217" TargetMode="External" Id="rId258"/><Relationship Type="http://schemas.openxmlformats.org/officeDocument/2006/relationships/hyperlink" Target="obsidian://adv-uri?vault=Brain&amp;filepath=Sources/CELH/2019-Q1/transcripts/CELH_2019-05-09_2019Q1%20Earnings.md&amp;line=189" TargetMode="External" Id="rId259"/><Relationship Type="http://schemas.openxmlformats.org/officeDocument/2006/relationships/hyperlink" Target="obsidian://adv-uri?vault=Brain&amp;filepath=Sources/CELH/2019-Q2/transcripts/CELH_2019-08-08_2019Q2%20Earnings.md&amp;line=192" TargetMode="External" Id="rId260"/><Relationship Type="http://schemas.openxmlformats.org/officeDocument/2006/relationships/hyperlink" Target="obsidian://adv-uri?vault=Brain&amp;filepath=Sources/CELH/2019-Q2/transcripts/CELH_2019-08-08_2019Q2%20Earnings.md&amp;line=196" TargetMode="External" Id="rId261"/><Relationship Type="http://schemas.openxmlformats.org/officeDocument/2006/relationships/hyperlink" Target="obsidian://adv-uri?vault=Brain&amp;filepath=Sources/CELH/2019-Q3/transcripts/CELH_2019-11-07_2019Q3%20Earnings.md&amp;line=148" TargetMode="External" Id="rId262"/><Relationship Type="http://schemas.openxmlformats.org/officeDocument/2006/relationships/hyperlink" Target="obsidian://adv-uri?vault=Brain&amp;filepath=Sources/CELH/2019-FY/transcripts/CELH_2020-03-12_2019Q4%20Earnings.md&amp;line=161" TargetMode="External" Id="rId263"/><Relationship Type="http://schemas.openxmlformats.org/officeDocument/2006/relationships/hyperlink" Target="obsidian://adv-uri?vault=Brain&amp;filepath=Sources/CELH/2019-FY/transcripts/CELH_2020-03-12_2019Q4%20Earnings.md&amp;line=169" TargetMode="External" Id="rId264"/><Relationship Type="http://schemas.openxmlformats.org/officeDocument/2006/relationships/hyperlink" Target="obsidian://adv-uri?vault=Brain&amp;filepath=Sources/CELH/2020-FY/transcripts/CELH_2021-03-11_2020Q4%20Earnings.md&amp;line=158" TargetMode="External" Id="rId265"/><Relationship Type="http://schemas.openxmlformats.org/officeDocument/2006/relationships/hyperlink" Target="obsidian://adv-uri?vault=Brain&amp;filepath=Sources/CELH/2021-Q2/transcripts/CELH_2021-08-12_2021Q2%20Earnings.md&amp;line=184" TargetMode="External" Id="rId266"/><Relationship Type="http://schemas.openxmlformats.org/officeDocument/2006/relationships/hyperlink" Target="obsidian://adv-uri?vault=Brain&amp;filepath=Sources/CELH/2021-Q3/transcripts/CELH_2021-11-11_2021Q3%20Earnings.md&amp;line=193" TargetMode="External" Id="rId267"/><Relationship Type="http://schemas.openxmlformats.org/officeDocument/2006/relationships/hyperlink" Target="obsidian://adv-uri?vault=Brain&amp;filepath=Sources/CELH/2022-FY/transcripts/CELH_2023-03-01_2022Q4%20Earnings.md&amp;line=187" TargetMode="External" Id="rId268"/><Relationship Type="http://schemas.openxmlformats.org/officeDocument/2006/relationships/hyperlink" Target="obsidian://adv-uri?vault=Brain&amp;filepath=Sources/CELH/2022-Q1/transcripts/CELH_2022-05-10_2022Q1%20Earnings.md&amp;line=202" TargetMode="External" Id="rId269"/><Relationship Type="http://schemas.openxmlformats.org/officeDocument/2006/relationships/hyperlink" Target="obsidian://adv-uri?vault=Brain&amp;filepath=Sources/CELH/2022-Q3/transcripts/CELH_2022-11-09_2022Q3%20Earnings.md&amp;line=174" TargetMode="External" Id="rId270"/><Relationship Type="http://schemas.openxmlformats.org/officeDocument/2006/relationships/hyperlink" Target="obsidian://adv-uri?vault=Brain&amp;filepath=Sources/CELH/2023-FY/transcripts/CELH_2024-02-29_2023Q4%20Earnings.md&amp;line=207" TargetMode="External" Id="rId271"/><Relationship Type="http://schemas.openxmlformats.org/officeDocument/2006/relationships/hyperlink" Target="obsidian://adv-uri?vault=Brain&amp;filepath=Sources/CELH/2023-Q1/transcripts/CELH_2023-06-01_Annual%20General%20Meeting.md&amp;line=151" TargetMode="External" Id="rId272"/><Relationship Type="http://schemas.openxmlformats.org/officeDocument/2006/relationships/hyperlink" Target="obsidian://adv-uri?vault=Brain&amp;filepath=Sources/CELH/2023-Q1/transcripts/CELH_2023-05-09_2023Q1%20Earnings.md&amp;line=173" TargetMode="External" Id="rId273"/><Relationship Type="http://schemas.openxmlformats.org/officeDocument/2006/relationships/hyperlink" Target="obsidian://adv-uri?vault=Brain&amp;filepath=Sources/CELH/2023-Q2/transcripts/CELH_2023-08-08_2023Q2%20Earnings.md&amp;line=220" TargetMode="External" Id="rId274"/><Relationship Type="http://schemas.openxmlformats.org/officeDocument/2006/relationships/hyperlink" Target="obsidian://adv-uri?vault=Brain&amp;filepath=Sources/CELH/2023-Q3/transcripts/CELH_2023-11-07_2023Q3%20Earnings.md&amp;line=230" TargetMode="External" Id="rId275"/><Relationship Type="http://schemas.openxmlformats.org/officeDocument/2006/relationships/hyperlink" Target="obsidian://adv-uri?vault=Brain&amp;filepath=Sources/CELH/2023-FY/transcripts/CELH_2024-02-29_2023Q4%20Earnings.md&amp;line=207" TargetMode="External" Id="rId276"/><Relationship Type="http://schemas.openxmlformats.org/officeDocument/2006/relationships/hyperlink" Target="obsidian://adv-uri?vault=Brain&amp;filepath=Sources/CELH/2025-Q2/transcripts/CELH_2025-08-07_2025Q2%20Earnings.md&amp;line=174" TargetMode="External" Id="rId277"/><Relationship Type="http://schemas.openxmlformats.org/officeDocument/2006/relationships/hyperlink" Target="obsidian://adv-uri?vault=Brain&amp;filepath=Sources/CELH/2018-Q3/transcripts/CELH_2018-11-09_2018Q3%20Earnings.md&amp;line=186" TargetMode="External" Id="rId278"/><Relationship Type="http://schemas.openxmlformats.org/officeDocument/2006/relationships/hyperlink" Target="obsidian://adv-uri?vault=Brain&amp;filepath=Sources/CELH/2018-Q3/transcripts/CELH_2018-11-09_2018Q3%20Earnings.md&amp;line=226" TargetMode="External" Id="rId279"/><Relationship Type="http://schemas.openxmlformats.org/officeDocument/2006/relationships/hyperlink" Target="obsidian://adv-uri?vault=Brain&amp;filepath=Sources/CELH/2018-FY/transcripts/CELH_2019-03-14_2018Q4%20Earnings.md&amp;line=221" TargetMode="External" Id="rId280"/><Relationship Type="http://schemas.openxmlformats.org/officeDocument/2006/relationships/hyperlink" Target="obsidian://adv-uri?vault=Brain&amp;filepath=Sources/CELH/2018-FY/transcripts/CELH_2019-03-14_2018Q4%20Earnings.md&amp;line=225" TargetMode="External" Id="rId281"/><Relationship Type="http://schemas.openxmlformats.org/officeDocument/2006/relationships/hyperlink" Target="obsidian://adv-uri?vault=Brain&amp;filepath=Sources/CELH/2019-Q1/transcripts/CELH_2019-05-09_2019Q1%20Earnings.md&amp;line=193" TargetMode="External" Id="rId282"/><Relationship Type="http://schemas.openxmlformats.org/officeDocument/2006/relationships/hyperlink" Target="obsidian://adv-uri?vault=Brain&amp;filepath=Sources/CELH/2019-Q2/transcripts/CELH_2019-08-08_2019Q2%20Earnings.md&amp;line=200" TargetMode="External" Id="rId283"/><Relationship Type="http://schemas.openxmlformats.org/officeDocument/2006/relationships/hyperlink" Target="obsidian://adv-uri?vault=Brain&amp;filepath=Sources/CELH/2019-Q2/transcripts/CELH_2019-08-08_2019Q2%20Earnings.md&amp;line=204" TargetMode="External" Id="rId284"/><Relationship Type="http://schemas.openxmlformats.org/officeDocument/2006/relationships/hyperlink" Target="obsidian://adv-uri?vault=Brain&amp;filepath=Sources/CELH/2019-Q3/transcripts/CELH_2019-11-07_2019Q3%20Earnings.md&amp;line=152" TargetMode="External" Id="rId285"/><Relationship Type="http://schemas.openxmlformats.org/officeDocument/2006/relationships/hyperlink" Target="obsidian://adv-uri?vault=Brain&amp;filepath=Sources/CELH/2019-FY/transcripts/CELH_2020-03-12_2019Q4%20Earnings.md&amp;line=165" TargetMode="External" Id="rId286"/><Relationship Type="http://schemas.openxmlformats.org/officeDocument/2006/relationships/hyperlink" Target="obsidian://adv-uri?vault=Brain&amp;filepath=Sources/CELH/2019-FY/transcripts/CELH_2020-03-12_2019Q4%20Earnings.md&amp;line=173" TargetMode="External" Id="rId287"/><Relationship Type="http://schemas.openxmlformats.org/officeDocument/2006/relationships/hyperlink" Target="obsidian://adv-uri?vault=Brain&amp;filepath=Sources/CELH/2020-FY/transcripts/CELH_2021-03-11_2020Q4%20Earnings.md&amp;line=162" TargetMode="External" Id="rId288"/><Relationship Type="http://schemas.openxmlformats.org/officeDocument/2006/relationships/hyperlink" Target="obsidian://adv-uri?vault=Brain&amp;filepath=Sources/CELH/2021-Q2/transcripts/CELH_2021-08-12_2021Q2%20Earnings.md&amp;line=192" TargetMode="External" Id="rId289"/><Relationship Type="http://schemas.openxmlformats.org/officeDocument/2006/relationships/hyperlink" Target="obsidian://adv-uri?vault=Brain&amp;filepath=Sources/CELH/2021-Q3/transcripts/CELH_2021-11-11_2021Q3%20Earnings.md&amp;line=201" TargetMode="External" Id="rId290"/><Relationship Type="http://schemas.openxmlformats.org/officeDocument/2006/relationships/hyperlink" Target="obsidian://adv-uri?vault=Brain&amp;filepath=Sources/CELH/2022-FY/transcripts/CELH_2023-03-01_2022Q4%20Earnings.md&amp;line=199" TargetMode="External" Id="rId291"/><Relationship Type="http://schemas.openxmlformats.org/officeDocument/2006/relationships/hyperlink" Target="obsidian://adv-uri?vault=Brain&amp;filepath=Sources/CELH/2022-Q1/transcripts/CELH_2022-05-10_2022Q1%20Earnings.md&amp;line=210" TargetMode="External" Id="rId292"/><Relationship Type="http://schemas.openxmlformats.org/officeDocument/2006/relationships/hyperlink" Target="obsidian://adv-uri?vault=Brain&amp;filepath=Sources/CELH/2022-Q2/transcripts/CELH_2022-08-09_2022Q2%20Earnings.md&amp;line=181" TargetMode="External" Id="rId293"/><Relationship Type="http://schemas.openxmlformats.org/officeDocument/2006/relationships/hyperlink" Target="obsidian://adv-uri?vault=Brain&amp;filepath=Sources/CELH/2022-Q3/transcripts/CELH_2022-11-09_2022Q3%20Earnings.md&amp;line=182" TargetMode="External" Id="rId294"/><Relationship Type="http://schemas.openxmlformats.org/officeDocument/2006/relationships/hyperlink" Target="obsidian://adv-uri?vault=Brain&amp;filepath=Sources/CELH/2023-FY/transcripts/CELH_2024-02-29_2023Q4%20Earnings.md&amp;line=219" TargetMode="External" Id="rId295"/><Relationship Type="http://schemas.openxmlformats.org/officeDocument/2006/relationships/hyperlink" Target="obsidian://adv-uri?vault=Brain&amp;filepath=Sources/CELH/2023-Q1/transcripts/CELH_2023-06-01_Annual%20General%20Meeting.md&amp;line=159" TargetMode="External" Id="rId296"/><Relationship Type="http://schemas.openxmlformats.org/officeDocument/2006/relationships/hyperlink" Target="obsidian://adv-uri?vault=Brain&amp;filepath=Sources/CELH/2023-Q1/transcripts/CELH_2023-05-09_2023Q1%20Earnings.md&amp;line=181" TargetMode="External" Id="rId297"/><Relationship Type="http://schemas.openxmlformats.org/officeDocument/2006/relationships/hyperlink" Target="obsidian://adv-uri?vault=Brain&amp;filepath=Sources/CELH/2023-Q2/transcripts/CELH_2023-08-08_2023Q2%20Earnings.md&amp;line=224" TargetMode="External" Id="rId298"/><Relationship Type="http://schemas.openxmlformats.org/officeDocument/2006/relationships/hyperlink" Target="obsidian://adv-uri?vault=Brain&amp;filepath=Sources/CELH/2023-Q3/transcripts/CELH_2023-11-07_2023Q3%20Earnings.md&amp;line=238" TargetMode="External" Id="rId299"/><Relationship Type="http://schemas.openxmlformats.org/officeDocument/2006/relationships/hyperlink" Target="obsidian://adv-uri?vault=Brain&amp;filepath=Sources/CELH/2023-FY/transcripts/CELH_2024-02-29_2023Q4%20Earnings.md&amp;line=219" TargetMode="External" Id="rId300"/><Relationship Type="http://schemas.openxmlformats.org/officeDocument/2006/relationships/hyperlink" Target="obsidian://adv-uri?vault=Brain&amp;filepath=Sources/CELH/2024-Q1/transcripts/CELH_2024-05-07_2024Q1%20Earnings.md&amp;line=184" TargetMode="External" Id="rId301"/><Relationship Type="http://schemas.openxmlformats.org/officeDocument/2006/relationships/hyperlink" Target="obsidian://adv-uri?vault=Brain&amp;filepath=Sources/CELH/2025-Q2/transcripts/CELH_2025-08-07_2025Q2%20Earnings.md&amp;line=178" TargetMode="External" Id="rId302"/><Relationship Type="http://schemas.openxmlformats.org/officeDocument/2006/relationships/hyperlink" Target="obsidian://adv-uri?vault=Brain&amp;filepath=Sources/CELH/2025-Q2/transcripts/CELH_2025-08-07_2025Q2%20Earnings.md&amp;line=178" TargetMode="External" Id="rId303"/><Relationship Type="http://schemas.openxmlformats.org/officeDocument/2006/relationships/hyperlink" Target="obsidian://adv-uri?vault=Brain&amp;filepath=Sources/CELH/2019-Q1/transcripts/CELH_2019-05-09_2019Q1%20Earnings.md&amp;line=205" TargetMode="External" Id="rId304"/><Relationship Type="http://schemas.openxmlformats.org/officeDocument/2006/relationships/hyperlink" Target="obsidian://adv-uri?vault=Brain&amp;filepath=Sources/CELH/2018-Q3/transcripts/CELH_2018-11-09_2018Q3%20Earnings.md&amp;line=190" TargetMode="External" Id="rId305"/><Relationship Type="http://schemas.openxmlformats.org/officeDocument/2006/relationships/hyperlink" Target="obsidian://adv-uri?vault=Brain&amp;filepath=Sources/CELH/2018-Q3/transcripts/CELH_2018-11-09_2018Q3%20Earnings.md&amp;line=230" TargetMode="External" Id="rId306"/><Relationship Type="http://schemas.openxmlformats.org/officeDocument/2006/relationships/hyperlink" Target="obsidian://adv-uri?vault=Brain&amp;filepath=Sources/CELH/2018-FY/transcripts/CELH_2019-03-14_2018Q4%20Earnings.md&amp;line=229" TargetMode="External" Id="rId307"/><Relationship Type="http://schemas.openxmlformats.org/officeDocument/2006/relationships/hyperlink" Target="obsidian://adv-uri?vault=Brain&amp;filepath=Sources/CELH/2018-FY/transcripts/CELH_2019-03-14_2018Q4%20Earnings.md&amp;line=237" TargetMode="External" Id="rId308"/><Relationship Type="http://schemas.openxmlformats.org/officeDocument/2006/relationships/hyperlink" Target="obsidian://adv-uri?vault=Brain&amp;filepath=Sources/CELH/2019-Q1/transcripts/CELH_2019-05-09_2019Q1%20Earnings.md&amp;line=205" TargetMode="External" Id="rId309"/><Relationship Type="http://schemas.openxmlformats.org/officeDocument/2006/relationships/hyperlink" Target="obsidian://adv-uri?vault=Brain&amp;filepath=Sources/CELH/2019-Q2/transcripts/CELH_2019-08-08_2019Q2%20Earnings.md&amp;line=208" TargetMode="External" Id="rId310"/><Relationship Type="http://schemas.openxmlformats.org/officeDocument/2006/relationships/hyperlink" Target="obsidian://adv-uri?vault=Brain&amp;filepath=Sources/CELH/2019-Q2/transcripts/CELH_2019-08-08_2019Q2%20Earnings.md&amp;line=218" TargetMode="External" Id="rId311"/><Relationship Type="http://schemas.openxmlformats.org/officeDocument/2006/relationships/hyperlink" Target="obsidian://adv-uri?vault=Brain&amp;filepath=Sources/CELH/2019-Q3/transcripts/CELH_2019-11-07_2019Q3%20Earnings.md&amp;line=156" TargetMode="External" Id="rId312"/><Relationship Type="http://schemas.openxmlformats.org/officeDocument/2006/relationships/hyperlink" Target="obsidian://adv-uri?vault=Brain&amp;filepath=Sources/CELH/2019-Q3/transcripts/CELH_2019-11-07_2019Q3%20Earnings.md&amp;line=193" TargetMode="External" Id="rId313"/><Relationship Type="http://schemas.openxmlformats.org/officeDocument/2006/relationships/hyperlink" Target="obsidian://adv-uri?vault=Brain&amp;filepath=Sources/CELH/2019-FY/transcripts/CELH_2020-03-12_2019Q4%20Earnings.md&amp;line=177" TargetMode="External" Id="rId314"/><Relationship Type="http://schemas.openxmlformats.org/officeDocument/2006/relationships/hyperlink" Target="obsidian://adv-uri?vault=Brain&amp;filepath=Sources/CELH/2019-FY/transcripts/CELH_2020-03-12_2019Q4%20Earnings.md&amp;line=181" TargetMode="External" Id="rId315"/><Relationship Type="http://schemas.openxmlformats.org/officeDocument/2006/relationships/hyperlink" Target="obsidian://adv-uri?vault=Brain&amp;filepath=Sources/CELH/2021-Q1/transcripts/CELH_2021-05-13_2021Q1%20Earnings.md&amp;line=196" TargetMode="External" Id="rId316"/><Relationship Type="http://schemas.openxmlformats.org/officeDocument/2006/relationships/hyperlink" Target="obsidian://adv-uri?vault=Brain&amp;filepath=Sources/CELH/2021-Q2/transcripts/CELH_2021-08-12_2021Q2%20Earnings.md&amp;line=204" TargetMode="External" Id="rId317"/><Relationship Type="http://schemas.openxmlformats.org/officeDocument/2006/relationships/hyperlink" Target="obsidian://adv-uri?vault=Brain&amp;filepath=Sources/CELH/2021-Q3/transcripts/CELH_2021-11-11_2021Q3%20Earnings.md&amp;line=213" TargetMode="External" Id="rId318"/><Relationship Type="http://schemas.openxmlformats.org/officeDocument/2006/relationships/hyperlink" Target="obsidian://adv-uri?vault=Brain&amp;filepath=Sources/CELH/2020-FY/transcripts/CELH_2021-03-11_2020Q4%20Earnings.md&amp;line=170" TargetMode="External" Id="rId319"/><Relationship Type="http://schemas.openxmlformats.org/officeDocument/2006/relationships/hyperlink" Target="obsidian://adv-uri?vault=Brain&amp;filepath=Sources/CELH/2022-Q1/transcripts/CELH_2022-05-10_2022Q1%20Earnings.md&amp;line=218" TargetMode="External" Id="rId320"/><Relationship Type="http://schemas.openxmlformats.org/officeDocument/2006/relationships/hyperlink" Target="obsidian://adv-uri?vault=Brain&amp;filepath=Sources/CELH/2021-Q2/transcripts/CELH_2021-08-12_2021Q2%20Earnings.md&amp;line=204" TargetMode="External" Id="rId321"/><Relationship Type="http://schemas.openxmlformats.org/officeDocument/2006/relationships/hyperlink" Target="obsidian://adv-uri?vault=Brain&amp;filepath=Sources/CELH/2021-Q2/transcripts/CELH_2021-08-19_Annual%20Shareholder%20Meeting.md&amp;line=139" TargetMode="External" Id="rId322"/><Relationship Type="http://schemas.openxmlformats.org/officeDocument/2006/relationships/hyperlink" Target="obsidian://adv-uri?vault=Brain&amp;filepath=Sources/CELH/2021-Q3/transcripts/CELH_2021-11-11_2021Q3%20Earnings.md&amp;line=213" TargetMode="External" Id="rId323"/><Relationship Type="http://schemas.openxmlformats.org/officeDocument/2006/relationships/hyperlink" Target="obsidian://adv-uri?vault=Brain&amp;filepath=Sources/CELH/2022-Q1/transcripts/CELH_2022-06-02_Annual%20Shareholder%20Meeting.md&amp;line=145" TargetMode="External" Id="rId324"/><Relationship Type="http://schemas.openxmlformats.org/officeDocument/2006/relationships/hyperlink" Target="obsidian://adv-uri?vault=Brain&amp;filepath=Sources/CELH/2022-Q1/transcripts/CELH_2022-05-10_2022Q1%20Earnings.md&amp;line=218" TargetMode="External" Id="rId325"/><Relationship Type="http://schemas.openxmlformats.org/officeDocument/2006/relationships/hyperlink" Target="obsidian://adv-uri?vault=Brain&amp;filepath=Sources/CELH/2022-Q2/transcripts/CELH_2022-08-09_2022Q2%20Earnings.md&amp;line=189" TargetMode="External" Id="rId326"/><Relationship Type="http://schemas.openxmlformats.org/officeDocument/2006/relationships/hyperlink" Target="obsidian://adv-uri?vault=Brain&amp;filepath=Sources/CELH/2023-Q3/transcripts/CELH_2023-11-07_2023Q3%20Earnings.md&amp;line=205" TargetMode="External" Id="rId327"/><Relationship Type="http://schemas.openxmlformats.org/officeDocument/2006/relationships/hyperlink" Target="obsidian://adv-uri?vault=Brain&amp;filepath=Sources/CELH/2024-FY/transcripts/CELH_2025-02-20_2024Q4%20Earnings.md&amp;line=216" TargetMode="External" Id="rId328"/><Relationship Type="http://schemas.openxmlformats.org/officeDocument/2006/relationships/hyperlink" Target="obsidian://adv-uri?vault=Brain&amp;filepath=Sources/CELH/2024-FY/transcripts/CELH_2025-02-20_2024Q4%20Earnings.md&amp;line=240" TargetMode="External" Id="rId329"/><Relationship Type="http://schemas.openxmlformats.org/officeDocument/2006/relationships/hyperlink" Target="obsidian://adv-uri?vault=Brain&amp;filepath=Sources/CELH/2024-Q1/transcripts/CELH_2024-05-07_2024Q1%20Earnings.md&amp;line=196" TargetMode="External" Id="rId330"/><Relationship Type="http://schemas.openxmlformats.org/officeDocument/2006/relationships/hyperlink" Target="obsidian://adv-uri?vault=Brain&amp;filepath=Sources/CELH/2025-Q2/transcripts/CELH_2025-08-07_2025Q2%20Earnings.md&amp;line=182" TargetMode="External" Id="rId331"/><Relationship Type="http://schemas.openxmlformats.org/officeDocument/2006/relationships/hyperlink" Target="obsidian://adv-uri?vault=Brain&amp;filepath=Sources/CELH/2024-FY/transcripts/CELH_2025-02-20_2024Q4%20Earnings.md&amp;line=216" TargetMode="External" Id="rId332"/><Relationship Type="http://schemas.openxmlformats.org/officeDocument/2006/relationships/hyperlink" Target="obsidian://adv-uri?vault=Brain&amp;filepath=Sources/CELH/2024-FY/transcripts/CELH_2025-02-20_2024Q4%20Earnings.md&amp;line=240" TargetMode="External" Id="rId333"/><Relationship Type="http://schemas.openxmlformats.org/officeDocument/2006/relationships/hyperlink" Target="obsidian://adv-uri?vault=Brain&amp;filepath=Sources/CELH/2025-Q1/transcripts/CELH_2025-05-06_2025Q1%20Earnings.md&amp;line=196" TargetMode="External" Id="rId334"/><Relationship Type="http://schemas.openxmlformats.org/officeDocument/2006/relationships/hyperlink" Target="obsidian://adv-uri?vault=Brain&amp;filepath=Sources/CELH/2025-Q2/transcripts/CELH_2025-08-07_2025Q2%20Earnings.md&amp;line=182" TargetMode="External" Id="rId335"/><Relationship Type="http://schemas.openxmlformats.org/officeDocument/2006/relationships/hyperlink" Target="obsidian://adv-uri?vault=Brain&amp;filepath=Sources/CELH/2025-FY/transcripts/CELH_2026-02-26_2025Q4%20Earnings%20Press%20Release.md&amp;line=134" TargetMode="External" Id="rId336"/><Relationship Type="http://schemas.openxmlformats.org/officeDocument/2006/relationships/hyperlink" Target="obsidian://adv-uri?vault=Brain&amp;filepath=Sources/CELH/2026-Q1/transcripts/CELH_2026-05-07_2026Q1%20Earnings.md&amp;line=214" TargetMode="External" Id="rId337"/><Relationship Type="http://schemas.openxmlformats.org/officeDocument/2006/relationships/hyperlink" Target="obsidian://adv-uri?vault=Brain&amp;filepath=Sources/CELH/2019-Q1/transcripts/CELH_2019-05-09_2019Q1%20Earnings.md&amp;line=213" TargetMode="External" Id="rId338"/><Relationship Type="http://schemas.openxmlformats.org/officeDocument/2006/relationships/hyperlink" Target="obsidian://adv-uri?vault=Brain&amp;filepath=Sources/CELH/2019-Q2/transcripts/CELH_2019-08-08_2019Q2%20Earnings.md&amp;line=213" TargetMode="External" Id="rId339"/><Relationship Type="http://schemas.openxmlformats.org/officeDocument/2006/relationships/hyperlink" Target="obsidian://adv-uri?vault=Brain&amp;filepath=Sources/CELH/2019-Q2/transcripts/CELH_2019-08-08_2019Q2%20Earnings.md&amp;line=222" TargetMode="External" Id="rId340"/><Relationship Type="http://schemas.openxmlformats.org/officeDocument/2006/relationships/hyperlink" Target="obsidian://adv-uri?vault=Brain&amp;filepath=Sources/CELH/2018-Q3/transcripts/CELH_2018-11-09_2018Q3%20Earnings.md&amp;line=198" TargetMode="External" Id="rId341"/><Relationship Type="http://schemas.openxmlformats.org/officeDocument/2006/relationships/hyperlink" Target="obsidian://adv-uri?vault=Brain&amp;filepath=Sources/CELH/2018-Q3/transcripts/CELH_2018-11-09_2018Q3%20Earnings.md&amp;line=234" TargetMode="External" Id="rId342"/><Relationship Type="http://schemas.openxmlformats.org/officeDocument/2006/relationships/hyperlink" Target="obsidian://adv-uri?vault=Brain&amp;filepath=Sources/CELH/2018-FY/transcripts/CELH_2019-03-14_2018Q4%20Earnings.md&amp;line=245" TargetMode="External" Id="rId343"/><Relationship Type="http://schemas.openxmlformats.org/officeDocument/2006/relationships/hyperlink" Target="obsidian://adv-uri?vault=Brain&amp;filepath=Sources/CELH/2018-FY/transcripts/CELH_2019-03-14_2018Q4%20Earnings.md&amp;line=253" TargetMode="External" Id="rId344"/><Relationship Type="http://schemas.openxmlformats.org/officeDocument/2006/relationships/hyperlink" Target="obsidian://adv-uri?vault=Brain&amp;filepath=Sources/CELH/2019-Q1/transcripts/CELH_2019-05-09_2019Q1%20Earnings.md&amp;line=213" TargetMode="External" Id="rId345"/><Relationship Type="http://schemas.openxmlformats.org/officeDocument/2006/relationships/hyperlink" Target="obsidian://adv-uri?vault=Brain&amp;filepath=Sources/CELH/2019-Q2/transcripts/CELH_2019-08-08_2019Q2%20Earnings.md&amp;line=213" TargetMode="External" Id="rId346"/><Relationship Type="http://schemas.openxmlformats.org/officeDocument/2006/relationships/hyperlink" Target="obsidian://adv-uri?vault=Brain&amp;filepath=Sources/CELH/2019-Q2/transcripts/CELH_2019-08-08_2019Q2%20Earnings.md&amp;line=222" TargetMode="External" Id="rId347"/><Relationship Type="http://schemas.openxmlformats.org/officeDocument/2006/relationships/hyperlink" Target="obsidian://adv-uri?vault=Brain&amp;filepath=Sources/CELH/2019-Q3/transcripts/CELH_2019-11-07_2019Q3%20Earnings.md&amp;line=165" TargetMode="External" Id="rId348"/><Relationship Type="http://schemas.openxmlformats.org/officeDocument/2006/relationships/hyperlink" Target="obsidian://adv-uri?vault=Brain&amp;filepath=Sources/CELH/2019-FY/transcripts/CELH_2020-03-12_2019Q4%20Earnings.md&amp;line=185" TargetMode="External" Id="rId349"/><Relationship Type="http://schemas.openxmlformats.org/officeDocument/2006/relationships/hyperlink" Target="obsidian://adv-uri?vault=Brain&amp;filepath=Sources/CELH/2019-FY/transcripts/CELH_2020-03-12_2019Q4%20Earnings.md&amp;line=189" TargetMode="External" Id="rId350"/><Relationship Type="http://schemas.openxmlformats.org/officeDocument/2006/relationships/hyperlink" Target="obsidian://adv-uri?vault=Brain&amp;filepath=Sources/CELH/2021-Q1/transcripts/CELH_2021-05-13_2021Q1%20Earnings.md&amp;line=204" TargetMode="External" Id="rId351"/><Relationship Type="http://schemas.openxmlformats.org/officeDocument/2006/relationships/hyperlink" Target="obsidian://adv-uri?vault=Brain&amp;filepath=Sources/CELH/2020-FY/transcripts/CELH_2021-03-11_2020Q4%20Earnings.md&amp;line=175" TargetMode="External" Id="rId352"/><Relationship Type="http://schemas.openxmlformats.org/officeDocument/2006/relationships/hyperlink" Target="obsidian://adv-uri?vault=Brain&amp;filepath=Sources/CELH/2021-Q2/transcripts/CELH_2021-08-12_2021Q2%20Earnings.md&amp;line=212" TargetMode="External" Id="rId353"/><Relationship Type="http://schemas.openxmlformats.org/officeDocument/2006/relationships/hyperlink" Target="obsidian://adv-uri?vault=Brain&amp;filepath=Sources/CELH/2021-Q2/transcripts/CELH_2021-08-19_Annual%20Shareholder%20Meeting.md&amp;line=143" TargetMode="External" Id="rId354"/><Relationship Type="http://schemas.openxmlformats.org/officeDocument/2006/relationships/hyperlink" Target="obsidian://adv-uri?vault=Brain&amp;filepath=Sources/CELH/2022-Q1/transcripts/CELH_2022-06-02_Annual%20Shareholder%20Meeting.md&amp;line=177" TargetMode="External" Id="rId355"/><Relationship Type="http://schemas.openxmlformats.org/officeDocument/2006/relationships/hyperlink" Target="obsidian://adv-uri?vault=Brain&amp;filepath=Sources/CELH/2023-Q3/transcripts/CELH_2023-11-07_2023Q3%20Earnings.md&amp;line=213" TargetMode="External" Id="rId356"/><Relationship Type="http://schemas.openxmlformats.org/officeDocument/2006/relationships/hyperlink" Target="obsidian://adv-uri?vault=Brain&amp;filepath=Sources/CELH/2023-Q1/transcripts/CELH_2023-05-09_2023Q1%20Earnings.md&amp;line=169" TargetMode="External" Id="rId357"/><Relationship Type="http://schemas.openxmlformats.org/officeDocument/2006/relationships/hyperlink" Target="obsidian://adv-uri?vault=Brain&amp;filepath=Sources/CELH/2024-Q3/transcripts/CELH_2024-11-06_2024Q3%20Earnings.md&amp;line=199" TargetMode="External" Id="rId358"/><Relationship Type="http://schemas.openxmlformats.org/officeDocument/2006/relationships/hyperlink" Target="obsidian://adv-uri?vault=Brain&amp;filepath=Sources/CELH/2024-Q1/transcripts/CELH_2024-05-07_2024Q1%20Earnings.md&amp;line=192" TargetMode="External" Id="rId359"/><Relationship Type="http://schemas.openxmlformats.org/officeDocument/2006/relationships/hyperlink" Target="obsidian://adv-uri?vault=Brain&amp;filepath=Sources/CELH/2025-Q2/transcripts/CELH_2025-08-07_2025Q2%20Earnings.md&amp;line=198" TargetMode="External" Id="rId360"/><Relationship Type="http://schemas.openxmlformats.org/officeDocument/2006/relationships/hyperlink" Target="obsidian://adv-uri?vault=Brain&amp;filepath=Sources/CELH/2025-Q2/transcripts/CELH_2025-08-07_2025Q2%20Earnings.md&amp;line=250" TargetMode="External" Id="rId361"/><Relationship Type="http://schemas.openxmlformats.org/officeDocument/2006/relationships/hyperlink" Target="obsidian://adv-uri?vault=Brain&amp;filepath=Sources/CELH/2025-FY/transcripts/CELH_2026-02-26_2025Q4%20Earnings%20Press%20Release.md&amp;line=191" TargetMode="External" Id="rId362"/><Relationship Type="http://schemas.openxmlformats.org/officeDocument/2006/relationships/hyperlink" Target="obsidian://adv-uri?vault=Brain&amp;filepath=Sources/CELH/2025-Q1/transcripts/CELH_2025-05-28_Acquiring%20Alani%20Nu.md&amp;line=164" TargetMode="External" Id="rId363"/><Relationship Type="http://schemas.openxmlformats.org/officeDocument/2006/relationships/hyperlink" Target="obsidian://adv-uri?vault=Brain&amp;filepath=Sources/CELH/2025-Q1/transcripts/CELH_2025-05-06_2025Q1%20Earnings.md&amp;line=169" TargetMode="External" Id="rId364"/><Relationship Type="http://schemas.openxmlformats.org/officeDocument/2006/relationships/hyperlink" Target="obsidian://adv-uri?vault=Brain&amp;filepath=Sources/CELH/2025-Q2/transcripts/CELH_2025-08-07_2025Q2%20Earnings.md&amp;line=198" TargetMode="External" Id="rId365"/><Relationship Type="http://schemas.openxmlformats.org/officeDocument/2006/relationships/hyperlink" Target="obsidian://adv-uri?vault=Brain&amp;filepath=Sources/CELH/2025-Q2/transcripts/CELH_2025-08-07_2025Q2%20Earnings.md&amp;line=250" TargetMode="External" Id="rId366"/><Relationship Type="http://schemas.openxmlformats.org/officeDocument/2006/relationships/hyperlink" Target="obsidian://adv-uri?vault=Brain&amp;filepath=Sources/CELH/2025-FY/transcripts/CELH_2026-02-26_2025Q4%20Earnings%20Press%20Release.md&amp;line=134" TargetMode="External" Id="rId367"/><Relationship Type="http://schemas.openxmlformats.org/officeDocument/2006/relationships/hyperlink" Target="obsidian://adv-uri?vault=Brain&amp;filepath=Sources/CELH/2026-Q1/transcripts/CELH_2026-05-07_2026Q1%20Earnings.md&amp;line=218" TargetMode="External" Id="rId368"/><Relationship Type="http://schemas.openxmlformats.org/officeDocument/2006/relationships/hyperlink" Target="obsidian://adv-uri?vault=Brain&amp;filepath=Sources/CELH/2019-Q1/transcripts/CELH_2019-05-09_2019Q1%20Earnings.md&amp;line=226" TargetMode="External" Id="rId369"/><Relationship Type="http://schemas.openxmlformats.org/officeDocument/2006/relationships/hyperlink" Target="obsidian://adv-uri?vault=Brain&amp;filepath=Sources/CELH/2019-Q2/transcripts/CELH_2019-08-08_2019Q2%20Earnings.md&amp;line=238" TargetMode="External" Id="rId370"/><Relationship Type="http://schemas.openxmlformats.org/officeDocument/2006/relationships/hyperlink" Target="obsidian://adv-uri?vault=Brain&amp;filepath=Sources/CELH/2018-FY/transcripts/CELH_2019-03-14_2018Q4%20Earnings.md&amp;line=270" TargetMode="External" Id="rId371"/><Relationship Type="http://schemas.openxmlformats.org/officeDocument/2006/relationships/hyperlink" Target="obsidian://adv-uri?vault=Brain&amp;filepath=Sources/CELH/2019-FY/transcripts/CELH_2020-03-12_2019Q4%20Earnings.md&amp;line=201" TargetMode="External" Id="rId372"/><Relationship Type="http://schemas.openxmlformats.org/officeDocument/2006/relationships/hyperlink" Target="obsidian://adv-uri?vault=Brain&amp;filepath=Sources/CELH/2022-Q1/transcripts/CELH_2022-05-10_2022Q1%20Earnings.md&amp;line=226" TargetMode="External" Id="rId373"/><Relationship Type="http://schemas.openxmlformats.org/officeDocument/2006/relationships/hyperlink" Target="obsidian://adv-uri?vault=Brain&amp;filepath=Sources/CELH/2021-Q3/transcripts/CELH_2021-11-11_2021Q3%20Earnings.md&amp;line=229" TargetMode="External" Id="rId374"/><Relationship Type="http://schemas.openxmlformats.org/officeDocument/2006/relationships/hyperlink" Target="obsidian://adv-uri?vault=Brain&amp;filepath=Sources/CELH/2022-FY/transcripts/CELH_2023-03-01_2022Q4%20Earnings.md&amp;line=211" TargetMode="External" Id="rId375"/><Relationship Type="http://schemas.openxmlformats.org/officeDocument/2006/relationships/hyperlink" Target="obsidian://adv-uri?vault=Brain&amp;filepath=Sources/CELH/2022-Q1/transcripts/CELH_2022-05-10_2022Q1%20Earnings.md&amp;line=226" TargetMode="External" Id="rId376"/><Relationship Type="http://schemas.openxmlformats.org/officeDocument/2006/relationships/hyperlink" Target="obsidian://adv-uri?vault=Brain&amp;filepath=Sources/CELH/2023-Q2/transcripts/CELH_2023-08-08_2023Q2%20Earnings.md&amp;line=260" TargetMode="External" Id="rId377"/><Relationship Type="http://schemas.openxmlformats.org/officeDocument/2006/relationships/hyperlink" Target="obsidian://adv-uri?vault=Brain&amp;filepath=Sources/CELH/2023-Q3/transcripts/CELH_2023-11-07_2023Q3%20Earnings.md&amp;line=266" TargetMode="External" Id="rId378"/><Relationship Type="http://schemas.openxmlformats.org/officeDocument/2006/relationships/hyperlink" Target="obsidian://adv-uri?vault=Brain&amp;filepath=Sources/CELH/2023-FY/transcripts/CELH_2024-02-29_2023Q4%20Earnings.md&amp;line=239" TargetMode="External" Id="rId379"/><Relationship Type="http://schemas.openxmlformats.org/officeDocument/2006/relationships/hyperlink" Target="obsidian://adv-uri?vault=Brain&amp;filepath=Sources/CELH/2023-Q1/transcripts/CELH_2023-05-09_2023Q1%20Earnings.md&amp;line=213" TargetMode="External" Id="rId380"/><Relationship Type="http://schemas.openxmlformats.org/officeDocument/2006/relationships/hyperlink" Target="obsidian://adv-uri?vault=Brain&amp;filepath=Sources/CELH/2023-Q2/transcripts/CELH_2023-08-08_2023Q2%20Earnings.md&amp;line=260" TargetMode="External" Id="rId381"/><Relationship Type="http://schemas.openxmlformats.org/officeDocument/2006/relationships/hyperlink" Target="obsidian://adv-uri?vault=Brain&amp;filepath=Sources/CELH/2023-Q3/transcripts/CELH_2023-11-07_2023Q3%20Earnings.md&amp;line=266" TargetMode="External" Id="rId382"/><Relationship Type="http://schemas.openxmlformats.org/officeDocument/2006/relationships/hyperlink" Target="obsidian://adv-uri?vault=Brain&amp;filepath=Sources/CELH/2024-Q1/transcripts/CELH_2024-05-07_2024Q1%20Earnings.md&amp;line=208" TargetMode="External" Id="rId383"/><Relationship Type="http://schemas.openxmlformats.org/officeDocument/2006/relationships/hyperlink" Target="obsidian://adv-uri?vault=Brain&amp;filepath=Sources/CELH/2018-Q3/transcripts/CELH_2018-11-09_2018Q3%20Earnings.md&amp;line=247" TargetMode="External" Id="rId384"/><Relationship Type="http://schemas.openxmlformats.org/officeDocument/2006/relationships/hyperlink" Target="obsidian://adv-uri?vault=Brain&amp;filepath=Sources/CELH/2018-FY/transcripts/CELH_2019-03-14_2018Q4%20Earnings.md&amp;line=262" TargetMode="External" Id="rId385"/><Relationship Type="http://schemas.openxmlformats.org/officeDocument/2006/relationships/hyperlink" Target="obsidian://adv-uri?vault=Brain&amp;filepath=Sources/CELH/2018-Q3/transcripts/CELH_2018-11-09_2018Q3%20Earnings.md&amp;line=146" TargetMode="External" Id="rId386"/><Relationship Type="http://schemas.openxmlformats.org/officeDocument/2006/relationships/hyperlink" Target="obsidian://adv-uri?vault=Brain&amp;filepath=Sources/CELH/2019-Q1/transcripts/CELH_2019-05-09_2019Q1%20Earnings.md&amp;line=218" TargetMode="External" Id="rId387"/><Relationship Type="http://schemas.openxmlformats.org/officeDocument/2006/relationships/hyperlink" Target="obsidian://adv-uri?vault=Brain&amp;filepath=Sources/CELH/2019-Q2/transcripts/CELH_2019-08-08_2019Q2%20Earnings.md&amp;line=230" TargetMode="External" Id="rId388"/><Relationship Type="http://schemas.openxmlformats.org/officeDocument/2006/relationships/hyperlink" Target="obsidian://adv-uri?vault=Brain&amp;filepath=Sources/CELH/2019-Q3/transcripts/CELH_2019-11-07_2019Q3%20Earnings.md&amp;line=173" TargetMode="External" Id="rId389"/><Relationship Type="http://schemas.openxmlformats.org/officeDocument/2006/relationships/hyperlink" Target="obsidian://adv-uri?vault=Brain&amp;filepath=Sources/CELH/2018-FY/transcripts/CELH_2019-03-14_2018Q4%20Earnings.md&amp;line=147" TargetMode="External" Id="rId390"/><Relationship Type="http://schemas.openxmlformats.org/officeDocument/2006/relationships/hyperlink" Target="obsidian://adv-uri?vault=Brain&amp;filepath=Sources/CELH/2020-Q1/transcripts/CELH_2020-05-12_2020Q1%20Earnings.md&amp;line=170" TargetMode="External" Id="rId391"/><Relationship Type="http://schemas.openxmlformats.org/officeDocument/2006/relationships/hyperlink" Target="obsidian://adv-uri?vault=Brain&amp;filepath=Sources/CELH/2020-Q2/transcripts/CELH_2020-08-06_2020Q2%20Earnings.md&amp;line=193" TargetMode="External" Id="rId392"/><Relationship Type="http://schemas.openxmlformats.org/officeDocument/2006/relationships/hyperlink" Target="obsidian://adv-uri?vault=Brain&amp;filepath=Sources/CELH/2020-Q3/transcripts/CELH_2020-11-12_2020Q3%20Earnings.md&amp;line=192" TargetMode="External" Id="rId393"/><Relationship Type="http://schemas.openxmlformats.org/officeDocument/2006/relationships/hyperlink" Target="obsidian://adv-uri?vault=Brain&amp;filepath=Sources/CELH/2019-FY/transcripts/CELH_2020-03-12_2019Q4%20Earnings.md&amp;line=193" TargetMode="External" Id="rId394"/><Relationship Type="http://schemas.openxmlformats.org/officeDocument/2006/relationships/hyperlink" Target="obsidian://adv-uri?vault=Brain&amp;filepath=Sources/CELH/2021-Q1/transcripts/CELH_2021-05-13_2021Q1%20Earnings.md&amp;line=210" TargetMode="External" Id="rId395"/><Relationship Type="http://schemas.openxmlformats.org/officeDocument/2006/relationships/hyperlink" Target="obsidian://adv-uri?vault=Brain&amp;filepath=Sources/CELH/2021-Q2/transcripts/CELH_2021-08-12_2021Q2%20Earnings.md&amp;line=216" TargetMode="External" Id="rId396"/><Relationship Type="http://schemas.openxmlformats.org/officeDocument/2006/relationships/hyperlink" Target="obsidian://adv-uri?vault=Brain&amp;filepath=Sources/CELH/2021-Q3/transcripts/CELH_2021-11-11_2021Q3%20Earnings.md&amp;line=221" TargetMode="External" Id="rId397"/><Relationship Type="http://schemas.openxmlformats.org/officeDocument/2006/relationships/hyperlink" Target="obsidian://adv-uri?vault=Brain&amp;filepath=Sources/CELH/2020-FY/transcripts/CELH_2021-03-11_2020Q4%20Earnings.md&amp;line=187" TargetMode="External" Id="rId398"/><Relationship Type="http://schemas.openxmlformats.org/officeDocument/2006/relationships/hyperlink" Target="obsidian://adv-uri?vault=Brain&amp;filepath=Sources/CELH/2022-Q1/transcripts/CELH_2022-05-10_2022Q1%20Earnings.md&amp;line=230" TargetMode="External" Id="rId399"/><Relationship Type="http://schemas.openxmlformats.org/officeDocument/2006/relationships/hyperlink" Target="obsidian://adv-uri?vault=Brain&amp;filepath=Sources/CELH/2021-Q2/transcripts/CELH_2021-08-12_2021Q2%20Earnings.md&amp;line=216" TargetMode="External" Id="rId400"/><Relationship Type="http://schemas.openxmlformats.org/officeDocument/2006/relationships/hyperlink" Target="obsidian://adv-uri?vault=Brain&amp;filepath=Sources/CELH/2021-Q3/transcripts/CELH_2021-11-11_2021Q3%20Earnings.md&amp;line=221" TargetMode="External" Id="rId401"/><Relationship Type="http://schemas.openxmlformats.org/officeDocument/2006/relationships/hyperlink" Target="obsidian://adv-uri?vault=Brain&amp;filepath=Sources/CELH/2021-FY/transcripts/CELH_2022-03-01_2021Q4%20Earnings.md&amp;line=182" TargetMode="External" Id="rId402"/><Relationship Type="http://schemas.openxmlformats.org/officeDocument/2006/relationships/hyperlink" Target="obsidian://adv-uri?vault=Brain&amp;filepath=Sources/CELH/2022-Q1/transcripts/CELH_2022-05-10_2022Q1%20Earnings.md&amp;line=230" TargetMode="External" Id="rId403"/><Relationship Type="http://schemas.openxmlformats.org/officeDocument/2006/relationships/hyperlink" Target="obsidian://adv-uri?vault=Brain&amp;filepath=Sources/CELH/2023-Q1/transcripts/CELH_2023-05-09_2023Q1%20Earnings.md&amp;line=209" TargetMode="External" Id="rId404"/><Relationship Type="http://schemas.openxmlformats.org/officeDocument/2006/relationships/hyperlink" Target="obsidian://adv-uri?vault=Brain&amp;filepath=Sources/CELH/2025-Q1/transcripts/CELH_2025-05-06_2025Q1%20Earnings.md&amp;line=208" TargetMode="External" Id="rId405"/><Relationship Type="http://schemas.openxmlformats.org/officeDocument/2006/relationships/hyperlink" Target="obsidian://adv-uri?vault=Brain&amp;filepath=Sources/CELH/2025-FY/transcripts/CELH_2026-02-26_2025Q4%20Earnings%20Press%20Release.md&amp;line=134" TargetMode="External" Id="rId406"/><Relationship Type="http://schemas.openxmlformats.org/officeDocument/2006/relationships/hyperlink" Target="obsidian://adv-uri?vault=Brain&amp;filepath=Sources/CELH/2018-Q3/transcripts/CELH_2018-11-09_2018Q3%20Earnings.md&amp;line=251" TargetMode="External" Id="rId407"/><Relationship Type="http://schemas.openxmlformats.org/officeDocument/2006/relationships/hyperlink" Target="obsidian://adv-uri?vault=Brain&amp;filepath=Sources/CELH/2018-FY/transcripts/CELH_2019-03-14_2018Q4%20Earnings.md&amp;line=266" TargetMode="External" Id="rId408"/><Relationship Type="http://schemas.openxmlformats.org/officeDocument/2006/relationships/hyperlink" Target="obsidian://adv-uri?vault=Brain&amp;filepath=Sources/CELH/2018-Q3/transcripts/CELH_2018-11-09_2018Q3%20Earnings.md&amp;line=146" TargetMode="External" Id="rId409"/><Relationship Type="http://schemas.openxmlformats.org/officeDocument/2006/relationships/hyperlink" Target="obsidian://adv-uri?vault=Brain&amp;filepath=Sources/CELH/2019-Q1/transcripts/CELH_2019-05-09_2019Q1%20Earnings.md&amp;line=222" TargetMode="External" Id="rId410"/><Relationship Type="http://schemas.openxmlformats.org/officeDocument/2006/relationships/hyperlink" Target="obsidian://adv-uri?vault=Brain&amp;filepath=Sources/CELH/2019-Q2/transcripts/CELH_2019-08-08_2019Q2%20Earnings.md&amp;line=234" TargetMode="External" Id="rId411"/><Relationship Type="http://schemas.openxmlformats.org/officeDocument/2006/relationships/hyperlink" Target="obsidian://adv-uri?vault=Brain&amp;filepath=Sources/CELH/2019-Q3/transcripts/CELH_2019-11-07_2019Q3%20Earnings.md&amp;line=177" TargetMode="External" Id="rId412"/><Relationship Type="http://schemas.openxmlformats.org/officeDocument/2006/relationships/hyperlink" Target="obsidian://adv-uri?vault=Brain&amp;filepath=Sources/CELH/2018-FY/transcripts/CELH_2019-03-14_2018Q4%20Earnings.md&amp;line=147" TargetMode="External" Id="rId413"/><Relationship Type="http://schemas.openxmlformats.org/officeDocument/2006/relationships/hyperlink" Target="obsidian://adv-uri?vault=Brain&amp;filepath=Sources/CELH/2020-Q1/transcripts/CELH_2020-05-12_2020Q1%20Earnings.md&amp;line=174" TargetMode="External" Id="rId414"/><Relationship Type="http://schemas.openxmlformats.org/officeDocument/2006/relationships/hyperlink" Target="obsidian://adv-uri?vault=Brain&amp;filepath=Sources/CELH/2020-Q2/transcripts/CELH_2020-08-06_2020Q2%20Earnings.md&amp;line=197" TargetMode="External" Id="rId415"/><Relationship Type="http://schemas.openxmlformats.org/officeDocument/2006/relationships/hyperlink" Target="obsidian://adv-uri?vault=Brain&amp;filepath=Sources/CELH/2020-Q3/transcripts/CELH_2020-11-12_2020Q3%20Earnings.md&amp;line=196" TargetMode="External" Id="rId416"/><Relationship Type="http://schemas.openxmlformats.org/officeDocument/2006/relationships/hyperlink" Target="obsidian://adv-uri?vault=Brain&amp;filepath=Sources/CELH/2019-FY/transcripts/CELH_2020-03-12_2019Q4%20Earnings.md&amp;line=197" TargetMode="External" Id="rId417"/><Relationship Type="http://schemas.openxmlformats.org/officeDocument/2006/relationships/hyperlink" Target="obsidian://adv-uri?vault=Brain&amp;filepath=Sources/CELH/2021-Q1/transcripts/CELH_2021-05-13_2021Q1%20Earnings.md&amp;line=214" TargetMode="External" Id="rId418"/><Relationship Type="http://schemas.openxmlformats.org/officeDocument/2006/relationships/hyperlink" Target="obsidian://adv-uri?vault=Brain&amp;filepath=Sources/CELH/2021-Q2/transcripts/CELH_2021-08-12_2021Q2%20Earnings.md&amp;line=220" TargetMode="External" Id="rId419"/><Relationship Type="http://schemas.openxmlformats.org/officeDocument/2006/relationships/hyperlink" Target="obsidian://adv-uri?vault=Brain&amp;filepath=Sources/CELH/2021-Q3/transcripts/CELH_2021-11-11_2021Q3%20Earnings.md&amp;line=225" TargetMode="External" Id="rId420"/><Relationship Type="http://schemas.openxmlformats.org/officeDocument/2006/relationships/hyperlink" Target="obsidian://adv-uri?vault=Brain&amp;filepath=Sources/CELH/2020-FY/transcripts/CELH_2021-03-11_2020Q4%20Earnings.md&amp;line=191" TargetMode="External" Id="rId421"/><Relationship Type="http://schemas.openxmlformats.org/officeDocument/2006/relationships/hyperlink" Target="obsidian://adv-uri?vault=Brain&amp;filepath=Sources/CELH/2021-Q2/transcripts/CELH_2021-08-12_2021Q2%20Earnings.md&amp;line=220" TargetMode="External" Id="rId422"/><Relationship Type="http://schemas.openxmlformats.org/officeDocument/2006/relationships/hyperlink" Target="obsidian://adv-uri?vault=Brain&amp;filepath=Sources/CELH/2021-Q3/transcripts/CELH_2021-11-11_2021Q3%20Earnings.md&amp;line=225" TargetMode="External" Id="rId423"/><Relationship Type="http://schemas.openxmlformats.org/officeDocument/2006/relationships/hyperlink" Target="obsidian://adv-uri?vault=Brain&amp;filepath=Sources/CELH/2021-FY/transcripts/CELH_2022-03-01_2021Q4%20Earnings.md&amp;line=186" TargetMode="External" Id="rId424"/><Relationship Type="http://schemas.openxmlformats.org/officeDocument/2006/relationships/hyperlink" Target="obsidian://adv-uri?vault=Brain&amp;filepath=Sources/CELH/2022-Q1/transcripts/CELH_2022-05-10_2022Q1%20Earnings.md&amp;line=157" TargetMode="External" Id="rId425"/><Relationship Type="http://schemas.openxmlformats.org/officeDocument/2006/relationships/hyperlink" Target="obsidian://adv-uri?vault=Brain&amp;filepath=Sources/CELH/2023-Q1/transcripts/CELH_2023-05-09_2023Q1%20Earnings.md&amp;line=144" TargetMode="External" Id="rId426"/><Relationship Type="http://schemas.openxmlformats.org/officeDocument/2006/relationships/hyperlink" Target="obsidian://adv-uri?vault=Brain&amp;filepath=Sources/CELH/2021-FY/transcripts/CELH_2022-03-01_2021Q4%20Earnings.md&amp;line=121" TargetMode="External" Id="rId427"/><Relationship Type="http://schemas.openxmlformats.org/officeDocument/2006/relationships/hyperlink" Target="obsidian://adv-uri?vault=Brain&amp;filepath=Sources/CELH/2022-Q2/transcripts/CELH_2022-08-09_2022Q2%20Earnings.md&amp;line=142" TargetMode="External" Id="rId428"/><Relationship Type="http://schemas.openxmlformats.org/officeDocument/2006/relationships/hyperlink" Target="obsidian://adv-uri?vault=Brain&amp;filepath=Sources/CELH/2022-Q3/transcripts/CELH_2022-11-09_2022Q3%20Earnings.md&amp;line=140" TargetMode="External" Id="rId429"/><Relationship Type="http://schemas.openxmlformats.org/officeDocument/2006/relationships/hyperlink" Target="obsidian://adv-uri?vault=Brain&amp;filepath=Sources/CELH/2022-Q3/transcripts/CELH_2022-11-09_2022Q3%20Earnings.md&amp;line=140" TargetMode="External" Id="rId430"/><Relationship Type="http://schemas.openxmlformats.org/officeDocument/2006/relationships/hyperlink" Target="obsidian://adv-uri?vault=Brain&amp;filepath=Sources/CELH/2022-Q2/transcripts/CELH_2022-08-09_2022Q2%20Earnings.md&amp;line=142" TargetMode="External" Id="rId431"/><Relationship Type="http://schemas.openxmlformats.org/officeDocument/2006/relationships/hyperlink" Target="obsidian://adv-uri?vault=Brain&amp;filepath=Sources/CELH/2020-FY/transcripts/CELH_2021-03-11_2020Q4%20Earnings.md&amp;line=115" TargetMode="External" Id="rId432"/><Relationship Type="http://schemas.openxmlformats.org/officeDocument/2006/relationships/hyperlink" Target="obsidian://adv-uri?vault=Brain&amp;filepath=Sources/CELH/2025-FY/transcripts/CELH_2026-02-26_2025Q4%20Earnings%20Press%20Release.md&amp;line=134" TargetMode="External" Id="rId433"/><Relationship Type="http://schemas.openxmlformats.org/officeDocument/2006/relationships/hyperlink" Target="obsidian://adv-uri?vault=Brain&amp;filepath=Sources/CELH/2025-FY/transcripts/CELH_2026-02-26_2025Q4%20Earnings%20Press%20Release.md&amp;line=134" TargetMode="External" Id="rId434"/><Relationship Type="http://schemas.openxmlformats.org/officeDocument/2006/relationships/hyperlink" Target="obsidian://adv-uri?vault=Brain&amp;filepath=Sources/CELH/2025-Q2/transcripts/CELH_2025-08-07_2025Q2%20Earnings.md&amp;line=146" TargetMode="External" Id="rId435"/><Relationship Type="http://schemas.openxmlformats.org/officeDocument/2006/relationships/hyperlink" Target="obsidian://adv-uri?vault=Brain&amp;filepath=Sources/CELH/2025-FY/transcripts/CELH_2026-02-26_2025Q4%20Earnings%20Press%20Release.md&amp;line=134" TargetMode="External" Id="rId436"/><Relationship Type="http://schemas.openxmlformats.org/officeDocument/2006/relationships/hyperlink" Target="obsidian://adv-uri?vault=Brain&amp;filepath=Sources/CELH/2021-FY/transcripts/CELH_2022-03-01_2021Q4%20Earnings.md&amp;line=121" TargetMode="External" Id="rId437"/><Relationship Type="http://schemas.openxmlformats.org/officeDocument/2006/relationships/hyperlink" Target="obsidian://adv-uri?vault=Brain&amp;filepath=Sources/CELH/2022-FY/transcripts/CELH_2023-03-01_2022Q4%20Earnings.md&amp;line=227" TargetMode="External" Id="rId438"/><Relationship Type="http://schemas.openxmlformats.org/officeDocument/2006/relationships/hyperlink" Target="obsidian://adv-uri?vault=Brain&amp;filepath=Sources/CELH/2018-Q3/transcripts/CELH_2018-11-09_2018Q3%20Earnings.md&amp;line=238" TargetMode="External" Id="rId439"/><Relationship Type="http://schemas.openxmlformats.org/officeDocument/2006/relationships/hyperlink" Target="obsidian://adv-uri?vault=Brain&amp;filepath=Sources/CELH/2018-FY/transcripts/CELH_2019-03-14_2018Q4%20Earnings.md&amp;line=257" TargetMode="External" Id="rId440"/><Relationship Type="http://schemas.openxmlformats.org/officeDocument/2006/relationships/hyperlink" Target="obsidian://adv-uri?vault=Brain&amp;filepath=Sources/CELH/2021-Q2/transcripts/CELH_2021-08-12_2021Q2%20Earnings.md&amp;line=180" TargetMode="External" Id="rId441"/><Relationship Type="http://schemas.openxmlformats.org/officeDocument/2006/relationships/hyperlink" Target="obsidian://adv-uri?vault=Brain&amp;filepath=Sources/CELH/2021-Q3/transcripts/CELH_2021-11-11_2021Q3%20Earnings.md&amp;line=185" TargetMode="External" Id="rId442"/><Relationship Type="http://schemas.openxmlformats.org/officeDocument/2006/relationships/hyperlink" Target="obsidian://adv-uri?vault=Brain&amp;filepath=Sources/CELH/2025-Q1/transcripts/CELH_2025-05-06_2025Q1%20Earnings.md&amp;line=204" TargetMode="External" Id="rId443"/><Relationship Type="http://schemas.openxmlformats.org/officeDocument/2006/relationships/hyperlink" Target="obsidian://adv-uri?vault=Brain&amp;filepath=Sources/CELH/2025-Q2/transcripts/CELH_2025-08-07_2025Q2%20Earnings.md&amp;line=194" TargetMode="External" Id="rId444"/><Relationship Type="http://schemas.openxmlformats.org/officeDocument/2006/relationships/hyperlink" Target="obsidian://adv-uri?vault=Brain&amp;filepath=Sources/CELH/2025-Q2/transcripts/CELH_2025-08-07_2025Q2%20Earnings.md&amp;line=254" TargetMode="External" Id="rId445"/><Relationship Type="http://schemas.openxmlformats.org/officeDocument/2006/relationships/hyperlink" Target="obsidian://adv-uri?vault=Brain&amp;filepath=Sources/CELH/2024-FY/transcripts/CELH_2025-02-20_2024Q4%20Earnings.md&amp;line=220" TargetMode="External" Id="rId446"/><Relationship Type="http://schemas.openxmlformats.org/officeDocument/2006/relationships/hyperlink" Target="obsidian://adv-uri?vault=Brain&amp;filepath=Sources/CELH/2024-FY/transcripts/CELH_2025-02-20_2024Q4%20Earnings.md&amp;line=244" TargetMode="External" Id="rId447"/><Relationship Type="http://schemas.openxmlformats.org/officeDocument/2006/relationships/hyperlink" Target="obsidian://adv-uri?vault=Brain&amp;filepath=Sources/CELH/2025-Q1/transcripts/CELH_2025-05-06_2025Q1%20Earnings.md&amp;line=204" TargetMode="External" Id="rId448"/><Relationship Type="http://schemas.openxmlformats.org/officeDocument/2006/relationships/hyperlink" Target="obsidian://adv-uri?vault=Brain&amp;filepath=Sources/CELH/2025-Q2/transcripts/CELH_2025-08-07_2025Q2%20Earnings.md&amp;line=194" TargetMode="External" Id="rId449"/><Relationship Type="http://schemas.openxmlformats.org/officeDocument/2006/relationships/hyperlink" Target="obsidian://adv-uri?vault=Brain&amp;filepath=Sources/CELH/2025-Q2/transcripts/CELH_2025-08-07_2025Q2%20Earnings.md&amp;line=254" TargetMode="External" Id="rId450"/><Relationship Type="http://schemas.openxmlformats.org/officeDocument/2006/relationships/hyperlink" Target="obsidian://adv-uri?vault=Brain&amp;filepath=Sources/CELH/2025-FY/transcripts/CELH_2026-02-26_2025Q4%20Earnings%20Press%20Release.md&amp;line=134" TargetMode="External" Id="rId451"/><Relationship Type="http://schemas.openxmlformats.org/officeDocument/2006/relationships/hyperlink" Target="obsidian://adv-uri?vault=Brain&amp;filepath=Sources/CELH/2024-FY/transcripts/CELH_2025-02-20_2024Q4%20Earnings.md&amp;line=208" TargetMode="External" Id="rId452"/><Relationship Type="http://schemas.openxmlformats.org/officeDocument/2006/relationships/hyperlink" Target="obsidian://adv-uri?vault=Brain&amp;filepath=Sources/CELH/2025-Q1/transcripts/CELH_2025-05-06_2025Q1%20Earnings.md&amp;line=174" TargetMode="External" Id="rId453"/><Relationship Type="http://schemas.openxmlformats.org/officeDocument/2006/relationships/hyperlink" Target="obsidian://adv-uri?vault=Brain&amp;filepath=Sources/CELH/2024-FY/transcripts/CELH_2025-02-20_2024Q4%20Earnings.md&amp;line=208" TargetMode="External" Id="rId454"/><Relationship Type="http://schemas.openxmlformats.org/officeDocument/2006/relationships/hyperlink" Target="obsidian://adv-uri?vault=Brain&amp;filepath=Sources/CELH/2025-Q1/transcripts/CELH_2025-05-28_Acquiring%20Alani%20Nu.md&amp;line=168" TargetMode="External" Id="rId455"/><Relationship Type="http://schemas.openxmlformats.org/officeDocument/2006/relationships/hyperlink" Target="obsidian://adv-uri?vault=Brain&amp;filepath=Sources/CELH/2025-Q1/transcripts/CELH_2025-05-06_2025Q1%20Earnings.md&amp;line=174" TargetMode="External" Id="rId456"/><Relationship Type="http://schemas.openxmlformats.org/officeDocument/2006/relationships/hyperlink" Target="obsidian://adv-uri?vault=Brain&amp;filepath=Sources/CELH/2025-FY/transcripts/CELH_2026-02-26_2025Q4%20Earnings%20Press%20Release.md&amp;line=134" TargetMode="External" Id="rId457"/><Relationship Type="http://schemas.openxmlformats.org/officeDocument/2006/relationships/hyperlink" Target="obsidian://adv-uri?vault=Brain&amp;filepath=Sources/CELH/2026-Q1/transcripts/CELH_2026-05-07_2026Q1%20Earnings.md&amp;line=222" TargetMode="External" Id="rId458"/><Relationship Type="http://schemas.openxmlformats.org/officeDocument/2006/relationships/hyperlink" Target="obsidian://adv-uri?vault=Brain&amp;filepath=Sources/CELH/2026-Q1/transcripts/CELH_2026-05-07_2026Q1%20Earnings.md&amp;line=210" TargetMode="External" Id="rId459"/><Relationship Type="http://schemas.openxmlformats.org/officeDocument/2006/relationships/hyperlink" Target="obsidian://adv-uri?vault=Brain&amp;filepath=Sources/CELH/2025-FY/transcripts/CELH_2026-02-26_2025Q4%20Earnings%20Press%20Release.md&amp;line=204" TargetMode="External" Id="rId460"/><Relationship Type="http://schemas.openxmlformats.org/officeDocument/2006/relationships/hyperlink" Target="obsidian://adv-uri?vault=Brain&amp;filepath=Sources/CELH/2025-FY/transcripts/CELH_2026-02-26_2025Q4%20Earnings%20Press%20Release.md&amp;line=134" TargetMode="External" Id="rId461"/><Relationship Type="http://schemas.openxmlformats.org/officeDocument/2006/relationships/hyperlink" Target="obsidian://adv-uri?vault=Brain&amp;filepath=Sources/CELH/2026-Q1/transcripts/CELH_2026-05-07_2026Q1%20Earnings.md&amp;line=210" TargetMode="External" Id="rId462"/><Relationship Type="http://schemas.openxmlformats.org/officeDocument/2006/relationships/hyperlink" Target="obsidian://adv-uri?vault=Brain&amp;filepath=Sources/CELH/2025-Q2/transcripts/CELH_2025-08-07_2025Q2%20Earnings.md&amp;line=155" TargetMode="External" Id="rId463"/><Relationship Type="http://schemas.openxmlformats.org/officeDocument/2006/relationships/hyperlink" Target="obsidian://adv-uri?vault=Brain&amp;filepath=Sources/CELH/2025-Q1/transcripts/CELH_2025-05-06_2025Q1%20Earnings.md&amp;line=220" TargetMode="External" Id="rId464"/><Relationship Type="http://schemas.openxmlformats.org/officeDocument/2006/relationships/hyperlink" Target="obsidian://adv-uri?vault=Brain&amp;filepath=Sources/CELH/2025-Q1/transcripts/CELH_2025-05-06_2025Q1%20Earnings.md&amp;line=220" TargetMode="External" Id="rId465"/><Relationship Type="http://schemas.openxmlformats.org/officeDocument/2006/relationships/hyperlink" Target="obsidian://adv-uri?vault=Brain&amp;filepath=Sources/CELH/2026-Q1/transcripts/CELH_2026-05-07_2026Q1%20Earnings.md&amp;line=184" TargetMode="External" Id="rId466"/><Relationship Type="http://schemas.openxmlformats.org/officeDocument/2006/relationships/hyperlink" Target="obsidian://adv-uri?vault=Brain&amp;filepath=Sources/CELH/2026-Q1/transcripts/CELH_2026-05-07_2026Q1%20Earnings.md&amp;line=184" TargetMode="External" Id="rId467"/><Relationship Type="http://schemas.openxmlformats.org/officeDocument/2006/relationships/hyperlink" Target="obsidian://adv-uri?vault=Brain&amp;filepath=Sources/CELH/2025-FY/transcripts/CELH_2026-02-26_2025Q4%20Earnings%20Press%20Release.md&amp;line=235" TargetMode="External" Id="rId468"/><Relationship Type="http://schemas.openxmlformats.org/officeDocument/2006/relationships/hyperlink" Target="obsidian://adv-uri?vault=Brain&amp;filepath=Sources/CELH/2023-Q3/transcripts/CELH_2023-11-07_2023Q3%20Earnings.md&amp;line=196" TargetMode="External" Id="rId469"/><Relationship Type="http://schemas.openxmlformats.org/officeDocument/2006/relationships/hyperlink" Target="obsidian://adv-uri?vault=Brain&amp;filepath=Sources/CELH/2023-Q2/transcripts/CELH_2023-08-08_2023Q2%20Earnings.md&amp;line=190" TargetMode="External" Id="rId470"/><Relationship Type="http://schemas.openxmlformats.org/officeDocument/2006/relationships/hyperlink" Target="obsidian://adv-uri?vault=Brain&amp;filepath=Sources/CELH/2022-Q3/transcripts/CELH_2022-11-09_2022Q3%20Earnings.md&amp;line=140" TargetMode="External" Id="rId471"/><Relationship Type="http://schemas.openxmlformats.org/officeDocument/2006/relationships/hyperlink" Target="obsidian://adv-uri?vault=Brain&amp;filepath=Sources/CELH/2022-FY/transcripts/CELH_2023-03-01_2022Q4%20Earnings.md&amp;line=239" TargetMode="External" Id="rId472"/><Relationship Type="http://schemas.openxmlformats.org/officeDocument/2006/relationships/hyperlink" Target="obsidian://adv-uri?vault=Brain&amp;filepath=Sources/CELH/2020-FY/transcripts/CELH_2021-03-11_2020Q4%20Earnings.md&amp;line=115" TargetMode="External" Id="rId473"/><Relationship Type="http://schemas.openxmlformats.org/officeDocument/2006/relationships/hyperlink" Target="obsidian://adv-uri?vault=Brain&amp;filepath=Sources/CELH/2025-FY/transcripts/CELH_2026-02-26_2025Q4%20Earnings.md&amp;line=182" TargetMode="External" Id="rId474"/><Relationship Type="http://schemas.openxmlformats.org/officeDocument/2006/relationships/hyperlink" Target="obsidian://adv-uri?vault=Brain&amp;filepath=Sources/CELH/2026-Q1/transcripts/CELH_2026-05-07_2026Q1%20Earnings.md&amp;line=180" TargetMode="External" Id="rId475"/><Relationship Type="http://schemas.openxmlformats.org/officeDocument/2006/relationships/hyperlink" Target="obsidian://adv-uri?vault=Brain&amp;filepath=Sources/CELH/2026-Q1/transcripts/CELH_2026-05-07_2026Q1%20Earnings.md&amp;line=180" TargetMode="External" Id="rId476"/><Relationship Type="http://schemas.openxmlformats.org/officeDocument/2006/relationships/hyperlink" Target="obsidian://adv-uri?vault=Brain&amp;filepath=Sources/CELH/2023-Q1/transcripts/CELH_2023-06-01_Annual%20General%20Meeting.md&amp;line=195" TargetMode="External" Id="rId477"/><Relationship Type="http://schemas.openxmlformats.org/officeDocument/2006/relationships/hyperlink" Target="obsidian://adv-uri?vault=Brain&amp;filepath=Sources/CELH/2023-Q1/transcripts/CELH_2023-06-01_Annual%20General%20Meeting.md&amp;line=163" TargetMode="External" Id="rId478"/><Relationship Type="http://schemas.openxmlformats.org/officeDocument/2006/relationships/hyperlink" Target="obsidian://adv-uri?vault=Brain&amp;filepath=Sources/CELH/2024-Q1/transcripts/CELH_2024-05-07_2024Q1%20Earnings.md&amp;line=204" TargetMode="External" Id="rId479"/><Relationship Type="http://schemas.openxmlformats.org/officeDocument/2006/relationships/hyperlink" Target="obsidian://adv-uri?vault=Brain&amp;filepath=Sources/CELH/2025-Q2/transcripts/CELH_2025-08-07_2025Q2%20Earnings.md&amp;line=160" TargetMode="External" Id="rId480"/><Relationship Type="http://schemas.openxmlformats.org/officeDocument/2006/relationships/hyperlink" Target="obsidian://adv-uri?vault=Brain&amp;filepath=Sources/CELH/2025-FY/transcripts/CELH_2026-02-26_2025Q4%20Earnings%20Press%20Release.md&amp;line=230" TargetMode="External" Id="rId481"/><Relationship Type="http://schemas.openxmlformats.org/officeDocument/2006/relationships/hyperlink" Target="obsidian://adv-uri?vault=Brain&amp;filepath=Sources/CELH/2025-Q2/transcripts/CELH_2025-08-07_2025Q2%20Earnings.md&amp;line=160" TargetMode="External" Id="rId482"/><Relationship Type="http://schemas.openxmlformats.org/officeDocument/2006/relationships/hyperlink" Target="obsidian://adv-uri?vault=Brain&amp;filepath=Sources/CELH/2025-FY/transcripts/CELH_2026-02-26_2025Q4%20Earnings%20Press%20Release.md&amp;line=161" TargetMode="External" Id="rId483"/><Relationship Type="http://schemas.openxmlformats.org/officeDocument/2006/relationships/hyperlink" Target="obsidian://adv-uri?vault=Brain&amp;filepath=Sources/CELH/2025-FY/transcripts/CELH_2026-02-26_2025Q4%20Earnings%20Press%20Release.md&amp;line=134" TargetMode="External" Id="rId484"/><Relationship Type="http://schemas.openxmlformats.org/officeDocument/2006/relationships/hyperlink" Target="obsidian://adv-uri?vault=Brain&amp;filepath=Sources/CELH/2025-Q1/transcripts/CELH_2025-05-06_2025Q1%20Earnings.md&amp;line=212" TargetMode="External" Id="rId485"/><Relationship Type="http://schemas.openxmlformats.org/officeDocument/2006/relationships/hyperlink" Target="obsidian://adv-uri?vault=Brain&amp;filepath=Sources/CELH/2019-Q1/transcripts/CELH_2019-05-09_2019Q1%20Earnings.md&amp;line=201" TargetMode="External" Id="rId486"/><Relationship Type="http://schemas.openxmlformats.org/officeDocument/2006/relationships/hyperlink" Target="obsidian://adv-uri?vault=Brain&amp;filepath=Sources/CELH/2022-Q2/transcripts/CELH_2022-08-09_2022Q2%20Earnings.md&amp;line=142" TargetMode="External" Id="rId487"/><Relationship Type="http://schemas.openxmlformats.org/officeDocument/2006/relationships/hyperlink" Target="obsidian://adv-uri?vault=Brain&amp;filepath=Sources/CELH/2022-FY/transcripts/CELH_2023-03-01_2022Q4%20Earnings.md&amp;line=219" TargetMode="External" Id="rId488"/><Relationship Type="http://schemas.openxmlformats.org/officeDocument/2006/relationships/hyperlink" Target="obsidian://adv-uri?vault=Brain&amp;filepath=Sources/CELH/2023-Q1/transcripts/CELH_2023-05-09_2023Q1%20Earnings.md&amp;line=189" TargetMode="External" Id="rId489"/><Relationship Type="http://schemas.openxmlformats.org/officeDocument/2006/relationships/hyperlink" Target="obsidian://adv-uri?vault=Brain&amp;filepath=Sources/CELH/2023-Q2/transcripts/CELH_2023-08-08_2023Q2%20Earnings.md&amp;line=178" TargetMode="External" Id="rId490"/><Relationship Type="http://schemas.openxmlformats.org/officeDocument/2006/relationships/hyperlink" Target="obsidian://adv-uri?vault=Brain&amp;filepath=Sources/CELH/2022-Q3/transcripts/CELH_2022-11-09_2022Q3%20Earnings.md&amp;line=210" TargetMode="External" Id="rId491"/><Relationship Type="http://schemas.openxmlformats.org/officeDocument/2006/relationships/hyperlink" Target="obsidian://adv-uri?vault=Brain&amp;filepath=Sources/CELH/2023-FY/transcripts/CELH_2024-02-29_2023Q4%20Earnings.md&amp;line=251" TargetMode="External" Id="rId492"/><Relationship Type="http://schemas.openxmlformats.org/officeDocument/2006/relationships/hyperlink" Target="obsidian://adv-uri?vault=Brain&amp;filepath=Sources/CELH/2022-FY/transcripts/CELH_2023-03-01_2022Q4%20Earnings.md&amp;line=219" TargetMode="External" Id="rId493"/><Relationship Type="http://schemas.openxmlformats.org/officeDocument/2006/relationships/hyperlink" Target="obsidian://adv-uri?vault=Brain&amp;filepath=Sources/CELH/2024-Q1/transcripts/CELH_2024-05-07_2024Q1%20Earnings.md&amp;line=224" TargetMode="External" Id="rId494"/><Relationship Type="http://schemas.openxmlformats.org/officeDocument/2006/relationships/hyperlink" Target="obsidian://adv-uri?vault=Brain&amp;filepath=Sources/CELH/2023-Q2/transcripts/CELH_2023-08-08_2023Q2%20Earnings.md&amp;line=178" TargetMode="External" Id="rId495"/><Relationship Type="http://schemas.openxmlformats.org/officeDocument/2006/relationships/hyperlink" Target="obsidian://adv-uri?vault=Brain&amp;filepath=Sources/CELH/2023-Q3/transcripts/CELH_2023-11-07_2023Q3%20Earnings.md&amp;line=192" TargetMode="External" Id="rId496"/><Relationship Type="http://schemas.openxmlformats.org/officeDocument/2006/relationships/hyperlink" Target="obsidian://adv-uri?vault=Brain&amp;filepath=Sources/CELH/2024-Q1/transcripts/CELH_2024-05-07_2024Q1%20Earnings.md&amp;line=224" TargetMode="External" Id="rId497"/><Relationship Type="http://schemas.openxmlformats.org/officeDocument/2006/relationships/hyperlink" Target="obsidian://adv-uri?vault=Brain&amp;filepath=Sources/CELH/2025-Q1/transcripts/CELH_2025-05-28_Acquiring%20Alani%20Nu.md&amp;line=184" TargetMode="External" Id="rId498"/><Relationship Type="http://schemas.openxmlformats.org/officeDocument/2006/relationships/hyperlink" Target="obsidian://adv-uri?vault=Brain&amp;filepath=Sources/CELH/2025-Q1/transcripts/CELH_2025-05-06_2025Q1%20Earnings.md&amp;line=228" TargetMode="External" Id="rId499"/><Relationship Type="http://schemas.openxmlformats.org/officeDocument/2006/relationships/hyperlink" Target="obsidian://adv-uri?vault=Brain&amp;filepath=Sources/CELH/2025-FY/transcripts/CELH_2026-02-26_2025Q4%20Earnings%20Press%20Release.md&amp;line=134" TargetMode="External" Id="rId500"/><Relationship Type="http://schemas.openxmlformats.org/officeDocument/2006/relationships/hyperlink" Target="obsidian://adv-uri?vault=Brain&amp;filepath=Sources/CELH/2020-Q3/transcripts/CELH_2020-11-12_2020Q3%20Earnings.md&amp;line=208" TargetMode="External" Id="rId501"/><Relationship Type="http://schemas.openxmlformats.org/officeDocument/2006/relationships/hyperlink" Target="obsidian://adv-uri?vault=Brain&amp;filepath=Sources/CELH/2021-FY/transcripts/CELH_2022-03-01_2021Q4%20Earnings.md&amp;line=121" TargetMode="External" Id="rId502"/><Relationship Type="http://schemas.openxmlformats.org/officeDocument/2006/relationships/hyperlink" Target="obsidian://adv-uri?vault=Brain&amp;filepath=Sources/CELH/2023-Q1/transcripts/CELH_2023-05-09_2023Q1%20Earnings.md&amp;line=197" TargetMode="External" Id="rId503"/><Relationship Type="http://schemas.openxmlformats.org/officeDocument/2006/relationships/hyperlink" Target="obsidian://adv-uri?vault=Brain&amp;filepath=Sources/CELH/2023-Q2/transcripts/CELH_2023-08-08_2023Q2%20Earnings.md&amp;line=198" TargetMode="External" Id="rId504"/><Relationship Type="http://schemas.openxmlformats.org/officeDocument/2006/relationships/hyperlink" Target="obsidian://adv-uri?vault=Brain&amp;filepath=Sources/CELH/2023-Q3/transcripts/CELH_2023-11-07_2023Q3%20Earnings.md&amp;line=278" TargetMode="External" Id="rId505"/><Relationship Type="http://schemas.openxmlformats.org/officeDocument/2006/relationships/hyperlink" Target="obsidian://adv-uri?vault=Brain&amp;filepath=Sources/CELH/2022-FY/transcripts/CELH_2023-03-01_2022Q4%20Earnings.md&amp;line=227" TargetMode="External" Id="rId506"/><Relationship Type="http://schemas.openxmlformats.org/officeDocument/2006/relationships/hyperlink" Target="obsidian://adv-uri?vault=Brain&amp;filepath=Sources/CELH/2023-Q2/transcripts/CELH_2023-08-08_2023Q2%20Earnings.md&amp;line=198" TargetMode="External" Id="rId507"/><Relationship Type="http://schemas.openxmlformats.org/officeDocument/2006/relationships/hyperlink" Target="obsidian://adv-uri?vault=Brain&amp;filepath=Sources/CELH/2023-Q3/transcripts/CELH_2023-11-07_2023Q3%20Earnings.md&amp;line=278" TargetMode="External" Id="rId508"/><Relationship Type="http://schemas.openxmlformats.org/officeDocument/2006/relationships/hyperlink" Target="obsidian://adv-uri?vault=Brain&amp;filepath=Sources/CELH/2022-Q2/transcripts/CELH_2022-08-09_2022Q2%20Earnings.md&amp;line=142" TargetMode="External" Id="rId509"/><Relationship Type="http://schemas.openxmlformats.org/officeDocument/2006/relationships/hyperlink" Target="obsidian://adv-uri?vault=Brain&amp;filepath=Sources/CELH/2022-Q3/transcripts/CELH_2022-11-09_2022Q3%20Earnings.md&amp;line=140" TargetMode="External" Id="rId510"/><Relationship Type="http://schemas.openxmlformats.org/officeDocument/2006/relationships/hyperlink" Target="obsidian://adv-uri?vault=Brain&amp;filepath=Sources/CELH/2022-Q2/transcripts/CELH_2022-08-09_2022Q2%20Earnings.md&amp;line=218" TargetMode="External" Id="rId511"/><Relationship Type="http://schemas.openxmlformats.org/officeDocument/2006/relationships/hyperlink" Target="obsidian://adv-uri?vault=Brain&amp;filepath=Sources/CELH/2022-Q3/transcripts/CELH_2022-11-09_2022Q3%20Earnings.md&amp;line=222" TargetMode="External" Id="rId512"/><Relationship Type="http://schemas.openxmlformats.org/officeDocument/2006/relationships/hyperlink" Target="obsidian://adv-uri?vault=Brain&amp;filepath=Sources/CELH/2022-Q2/transcripts/CELH_2022-08-09_2022Q2%20Earnings.md&amp;line=218" TargetMode="External" Id="rId513"/><Relationship Type="http://schemas.openxmlformats.org/officeDocument/2006/relationships/hyperlink" Target="obsidian://adv-uri?vault=Brain&amp;filepath=Sources/CELH/2022-Q3/transcripts/CELH_2022-11-09_2022Q3%20Earnings.md&amp;line=222" TargetMode="External" Id="rId514"/><Relationship Type="http://schemas.openxmlformats.org/officeDocument/2006/relationships/hyperlink" Target="obsidian://adv-uri?vault=Brain&amp;filepath=Sources/CELH/2020-FY/transcripts/CELH_2021-03-11_2020Q4%20Earnings.md&amp;line=115" TargetMode="External" Id="rId515"/><Relationship Type="http://schemas.openxmlformats.org/officeDocument/2006/relationships/hyperlink" Target="obsidian://adv-uri?vault=Brain&amp;filepath=Sources/CELH/2020-Q1/transcripts/CELH_2020-05-12_2020Q1%20Earnings.md&amp;line=162" TargetMode="External" Id="rId516"/><Relationship Type="http://schemas.openxmlformats.org/officeDocument/2006/relationships/hyperlink" Target="obsidian://adv-uri?vault=Brain&amp;filepath=Sources/CELH/2020-Q2/transcripts/CELH_2020-08-06_2020Q2%20Earnings.md&amp;line=165" TargetMode="External" Id="rId517"/><Relationship Type="http://schemas.openxmlformats.org/officeDocument/2006/relationships/hyperlink" Target="obsidian://adv-uri?vault=Brain&amp;filepath=Sources/CELH/2020-Q3/transcripts/CELH_2020-11-12_2020Q3%20Earnings.md&amp;line=168" TargetMode="External" Id="rId518"/><Relationship Type="http://schemas.openxmlformats.org/officeDocument/2006/relationships/hyperlink" Target="obsidian://adv-uri?vault=Brain&amp;filepath=Sources/CELH/2021-Q1/transcripts/CELH_2021-05-13_2021Q1%20Earnings.md&amp;line=200" TargetMode="External" Id="rId519"/><Relationship Type="http://schemas.openxmlformats.org/officeDocument/2006/relationships/hyperlink" Target="obsidian://adv-uri?vault=Brain&amp;filepath=Sources/CELH/2021-Q2/transcripts/CELH_2021-08-12_2021Q2%20Earnings.md&amp;line=208" TargetMode="External" Id="rId520"/><Relationship Type="http://schemas.openxmlformats.org/officeDocument/2006/relationships/hyperlink" Target="obsidian://adv-uri?vault=Brain&amp;filepath=Sources/CELH/2021-Q3/transcripts/CELH_2021-11-11_2021Q3%20Earnings.md&amp;line=217" TargetMode="External" Id="rId521"/><Relationship Type="http://schemas.openxmlformats.org/officeDocument/2006/relationships/hyperlink" Target="obsidian://adv-uri?vault=Brain&amp;filepath=Sources/CELH/2022-Q1/transcripts/CELH_2022-05-10_2022Q1%20Earnings.md&amp;line=222" TargetMode="External" Id="rId522"/><Relationship Type="http://schemas.openxmlformats.org/officeDocument/2006/relationships/hyperlink" Target="obsidian://adv-uri?vault=Brain&amp;filepath=Sources/CELH/2021-Q2/transcripts/CELH_2021-08-12_2021Q2%20Earnings.md&amp;line=208" TargetMode="External" Id="rId523"/><Relationship Type="http://schemas.openxmlformats.org/officeDocument/2006/relationships/hyperlink" Target="obsidian://adv-uri?vault=Brain&amp;filepath=Sources/CELH/2021-Q3/transcripts/CELH_2021-11-11_2021Q3%20Earnings.md&amp;line=217" TargetMode="External" Id="rId524"/><Relationship Type="http://schemas.openxmlformats.org/officeDocument/2006/relationships/hyperlink" Target="obsidian://adv-uri?vault=Brain&amp;filepath=Sources/CELH/2022-Q1/transcripts/CELH_2022-05-10_2022Q1%20Earnings.md&amp;line=222" TargetMode="External" Id="rId525"/><Relationship Type="http://schemas.openxmlformats.org/officeDocument/2006/relationships/hyperlink" Target="obsidian://adv-uri?vault=Brain&amp;filepath=Sources/CELH/2022-Q2/transcripts/CELH_2022-08-09_2022Q2%20Earnings.md&amp;line=194" TargetMode="External" Id="rId526"/><Relationship Type="http://schemas.openxmlformats.org/officeDocument/2006/relationships/hyperlink" Target="obsidian://adv-uri?vault=Brain&amp;filepath=Sources/CELH/2023-Q3/transcripts/CELH_2023-11-07_2023Q3%20Earnings.md&amp;line=209" TargetMode="External" Id="rId527"/><Relationship Type="http://schemas.openxmlformats.org/officeDocument/2006/relationships/hyperlink" Target="obsidian://adv-uri?vault=Brain&amp;filepath=Sources/CELH/2024-Q1/transcripts/CELH_2024-05-07_2024Q1%20Earnings.md&amp;line=200" TargetMode="External" Id="rId528"/><Relationship Type="http://schemas.openxmlformats.org/officeDocument/2006/relationships/hyperlink" Target="obsidian://adv-uri?vault=Brain&amp;filepath=Sources/CELH/2023-Q3/transcripts/CELH_2023-11-07_2023Q3%20Earnings.md&amp;line=209" TargetMode="External" Id="rId529"/><Relationship Type="http://schemas.openxmlformats.org/officeDocument/2006/relationships/hyperlink" Target="obsidian://adv-uri?vault=Brain&amp;filepath=Sources/CELH/2024-Q1/transcripts/CELH_2024-05-07_2024Q1%20Earnings.md&amp;line=200" TargetMode="External" Id="rId530"/><Relationship Type="http://schemas.openxmlformats.org/officeDocument/2006/relationships/hyperlink" Target="obsidian://adv-uri?vault=Brain&amp;filepath=Sources/CELH/2025-Q2/transcripts/CELH_2025-08-07_2025Q2%20Earnings.md&amp;line=190" TargetMode="External" Id="rId531"/><Relationship Type="http://schemas.openxmlformats.org/officeDocument/2006/relationships/hyperlink" Target="obsidian://adv-uri?vault=Brain&amp;filepath=Sources/CELH/2025-Q1/transcripts/CELH_2025-05-06_2025Q1%20Earnings.md&amp;line=200" TargetMode="External" Id="rId532"/><Relationship Type="http://schemas.openxmlformats.org/officeDocument/2006/relationships/hyperlink" Target="obsidian://adv-uri?vault=Brain&amp;filepath=Sources/CELH/2025-Q2/transcripts/CELH_2025-08-07_2025Q2%20Earnings.md&amp;line=190" TargetMode="External" Id="rId533"/><Relationship Type="http://schemas.openxmlformats.org/officeDocument/2006/relationships/hyperlink" Target="obsidian://adv-uri?vault=Brain&amp;filepath=Sources/CELH/2025-FY/transcripts/CELH_2026-02-26_2025Q4%20Earnings%20Press%20Release.md&amp;line=134" TargetMode="External" Id="rId534"/><Relationship Type="http://schemas.openxmlformats.org/officeDocument/2006/relationships/hyperlink" Target="obsidian://adv-uri?vault=Brain&amp;filepath=Sources/CELH/2023-Q1/transcripts/CELH_2023-06-01_Annual%20General%20Meeting.md&amp;line=155" TargetMode="External" Id="rId535"/><Relationship Type="http://schemas.openxmlformats.org/officeDocument/2006/relationships/hyperlink" Target="obsidian://adv-uri?vault=Brain&amp;filepath=Sources/CELH/2025-FY/transcripts/CELH_2026-02-26_2025Q4%20Earnings%20Press%20Release.md&amp;line=134" TargetMode="External" Id="rId536"/><Relationship Type="http://schemas.openxmlformats.org/officeDocument/2006/relationships/hyperlink" Target="obsidian://adv-uri?vault=Brain&amp;filepath=Sources/CELH/2025-FY/transcripts/CELH_2026-02-26_2025Q4%20Earnings%20Press%20Release.md&amp;line=209" TargetMode="External" Id="rId537"/><Relationship Type="http://schemas.openxmlformats.org/officeDocument/2006/relationships/hyperlink" Target="obsidian://adv-uri?vault=Brain&amp;filepath=Sources/CELH/2025-FY/transcripts/CELH_2026-02-26_2025Q4%20Earnings%20Press%20Release.md&amp;line=209" TargetMode="External" Id="rId538"/><Relationship Type="http://schemas.openxmlformats.org/officeDocument/2006/relationships/hyperlink" Target="obsidian://adv-uri?vault=Brain&amp;filepath=Sources/CELH/2021-Q2/transcripts/CELH_2021-08-12_2021Q2%20Earnings.md&amp;line=142" TargetMode="External" Id="rId539"/><Relationship Type="http://schemas.openxmlformats.org/officeDocument/2006/relationships/hyperlink" Target="obsidian://adv-uri?vault=Brain&amp;filepath=Sources/CELH/2022-Q1/transcripts/CELH_2022-06-02_Annual%20Shareholder%20Meeting.md&amp;line=190" TargetMode="External" Id="rId540"/><Relationship Type="http://schemas.openxmlformats.org/officeDocument/2006/relationships/hyperlink" Target="obsidian://adv-uri?vault=Brain&amp;filepath=Sources/CELH/2022-Q2/transcripts/CELH_2022-08-09_2022Q2%20Earnings.md&amp;line=142" TargetMode="External" Id="rId541"/><Relationship Type="http://schemas.openxmlformats.org/officeDocument/2006/relationships/hyperlink" Target="obsidian://adv-uri?vault=Brain&amp;filepath=Sources/CELH/2022-Q2/transcripts/CELH_2022-08-09_2022Q2%20Earnings.md&amp;line=198" TargetMode="External" Id="rId542"/><Relationship Type="http://schemas.openxmlformats.org/officeDocument/2006/relationships/hyperlink" Target="obsidian://adv-uri?vault=Brain&amp;filepath=Sources/CELH/2021-FY/transcripts/CELH_2022-03-01_2021Q4%20Earnings.md&amp;line=121" TargetMode="External" Id="rId543"/><Relationship Type="http://schemas.openxmlformats.org/officeDocument/2006/relationships/hyperlink" Target="obsidian://adv-uri?vault=Brain&amp;filepath=Sources/CELH/2021-FY/transcripts/CELH_2022-03-01_2021Q4%20Earnings.md&amp;line=206" TargetMode="External" Id="rId544"/><Relationship Type="http://schemas.openxmlformats.org/officeDocument/2006/relationships/hyperlink" Target="obsidian://adv-uri?vault=Brain&amp;filepath=Sources/CELH/2021-FY/transcripts/CELH_2022-03-01_2021Q4%20Earnings.md&amp;line=206" TargetMode="External" Id="rId545"/><Relationship Type="http://schemas.openxmlformats.org/officeDocument/2006/relationships/hyperlink" Target="obsidian://adv-uri?vault=Brain&amp;filepath=Sources/CELH/2021-Q2/transcripts/CELH_2021-08-12_2021Q2%20Earnings.md&amp;line=142" TargetMode="External" Id="rId546"/><Relationship Type="http://schemas.openxmlformats.org/officeDocument/2006/relationships/hyperlink" Target="obsidian://adv-uri?vault=Brain&amp;filepath=Sources/CELH/2025-Q2/transcripts/CELH_2025-08-07_2025Q2%20Earnings.md&amp;line=146" TargetMode="External" Id="rId547"/><Relationship Type="http://schemas.openxmlformats.org/officeDocument/2006/relationships/hyperlink" Target="obsidian://adv-uri?vault=Brain&amp;filepath=Sources/CELH/2022-Q3/transcripts/CELH_2022-11-09_2022Q3%20Earnings.md&amp;line=140" TargetMode="External" Id="rId548"/><Relationship Type="http://schemas.openxmlformats.org/officeDocument/2006/relationships/hyperlink" Target="obsidian://adv-uri?vault=Brain&amp;filepath=Sources/CELH/2019-Q1/transcripts/CELH_2019-05-09_2019Q1%20Earnings.md&amp;line=167" TargetMode="External" Id="rId549"/><Relationship Type="http://schemas.openxmlformats.org/officeDocument/2006/relationships/hyperlink" Target="obsidian://adv-uri?vault=Brain&amp;filepath=Sources/CELH/2019-Q2/transcripts/CELH_2019-08-08_2019Q2%20Earnings.md&amp;line=146" TargetMode="External" Id="rId550"/><Relationship Type="http://schemas.openxmlformats.org/officeDocument/2006/relationships/hyperlink" Target="obsidian://adv-uri?vault=Brain&amp;filepath=Sources/CELH/2019-FY/transcripts/CELH_2020-03-12_2019Q4%20Earnings.md&amp;line=114" TargetMode="External" Id="rId551"/><Relationship Type="http://schemas.openxmlformats.org/officeDocument/2006/relationships/hyperlink" Target="obsidian://adv-uri?vault=Brain&amp;filepath=Sources/CELH/2020-FY/transcripts/CELH_2021-03-11_2020Q4%20Earnings.md&amp;line=115" TargetMode="External" Id="rId552"/><Relationship Type="http://schemas.openxmlformats.org/officeDocument/2006/relationships/hyperlink" Target="obsidian://adv-uri?vault=Brain&amp;filepath=Sources/CELH/2019-Q3/transcripts/CELH_2019-11-07_2019Q3%20Earnings.md&amp;line=161" TargetMode="External" Id="rId553"/><Relationship Type="http://schemas.openxmlformats.org/officeDocument/2006/relationships/hyperlink" Target="obsidian://adv-uri?vault=Brain&amp;filepath=Sources/CELH/2019-Q3/transcripts/CELH_2019-11-07_2019Q3%20Earnings.md&amp;line=113" TargetMode="External" Id="rId554"/><Relationship Type="http://schemas.openxmlformats.org/officeDocument/2006/relationships/hyperlink" Target="obsidian://adv-uri?vault=Brain&amp;filepath=Sources/CELH/2025-Q1/transcripts/CELH_2025-05-06_2025Q1%20Earnings.md&amp;line=236" TargetMode="External" Id="rId555"/><Relationship Type="http://schemas.openxmlformats.org/officeDocument/2006/relationships/hyperlink" Target="obsidian://adv-uri?vault=Brain&amp;filepath=Sources/CELH/2023-Q3/transcripts/CELH_2023-11-07_2023Q3%20Earnings.md&amp;line=161" TargetMode="External" Id="rId556"/><Relationship Type="http://schemas.openxmlformats.org/officeDocument/2006/relationships/hyperlink" Target="obsidian://adv-uri?vault=Brain&amp;filepath=Sources/CELH/2025-Q3/transcripts/CELH_2025-11-06_2025Q3%20Earnings.md&amp;line=210" TargetMode="External" Id="rId557"/><Relationship Type="http://schemas.openxmlformats.org/officeDocument/2006/relationships/hyperlink" Target="obsidian://adv-uri?vault=Brain&amp;filepath=Sources/CELH/2020-FY/transcripts/CELH_2021-03-11_2020Q4%20Earnings.md&amp;line=115" TargetMode="External" Id="rId558"/><Relationship Type="http://schemas.openxmlformats.org/officeDocument/2006/relationships/hyperlink" Target="obsidian://adv-uri?vault=Brain&amp;filepath=Sources/CELH/2020-FY/transcripts/CELH_2021-03-11_2020Q4%20Earnings.md&amp;line=115" TargetMode="External" Id="rId559"/><Relationship Type="http://schemas.openxmlformats.org/officeDocument/2006/relationships/hyperlink" Target="obsidian://adv-uri?vault=Brain&amp;filepath=Sources/CELH/2020-FY/transcripts/CELH_2021-03-11_2020Q4%20Earnings.md&amp;line=115" TargetMode="External" Id="rId560"/><Relationship Type="http://schemas.openxmlformats.org/officeDocument/2006/relationships/hyperlink" Target="obsidian://adv-uri?vault=Brain&amp;filepath=Sources/CELH/2022-Q2/transcripts/CELH_2022-08-09_2022Q2%20Earnings.md&amp;line=185" TargetMode="External" Id="rId561"/><Relationship Type="http://schemas.openxmlformats.org/officeDocument/2006/relationships/hyperlink" Target="obsidian://adv-uri?vault=Brain&amp;filepath=Sources/CELH/2022-Q3/transcripts/CELH_2022-11-09_2022Q3%20Earnings.md&amp;line=186" TargetMode="External" Id="rId562"/><Relationship Type="http://schemas.openxmlformats.org/officeDocument/2006/relationships/hyperlink" Target="obsidian://adv-uri?vault=Brain&amp;filepath=Sources/CELH/2022-Q1/transcripts/CELH_2022-05-10_2022Q1%20Earnings.md&amp;line=214" TargetMode="External" Id="rId563"/><Relationship Type="http://schemas.openxmlformats.org/officeDocument/2006/relationships/hyperlink" Target="obsidian://adv-uri?vault=Brain&amp;filepath=Sources/CELH/2022-Q2/transcripts/CELH_2022-08-09_2022Q2%20Earnings.md&amp;line=185" TargetMode="External" Id="rId564"/><Relationship Type="http://schemas.openxmlformats.org/officeDocument/2006/relationships/hyperlink" Target="obsidian://adv-uri?vault=Brain&amp;filepath=Sources/CELH/2022-Q3/transcripts/CELH_2022-11-09_2022Q3%20Earnings.md&amp;line=186" TargetMode="External" Id="rId565"/><Relationship Type="http://schemas.openxmlformats.org/officeDocument/2006/relationships/hyperlink" Target="obsidian://adv-uri?vault=Brain&amp;filepath=Sources/CELH/2023-Q1/transcripts/CELH_2023-05-09_2023Q1%20Earnings.md&amp;line=185" TargetMode="External" Id="rId566"/><Relationship Type="http://schemas.openxmlformats.org/officeDocument/2006/relationships/hyperlink" Target="obsidian://adv-uri?vault=Brain&amp;filepath=Sources/CELH/2023-Q2/transcripts/CELH_2023-08-08_2023Q2%20Earnings.md&amp;line=228" TargetMode="External" Id="rId567"/><Relationship Type="http://schemas.openxmlformats.org/officeDocument/2006/relationships/hyperlink" Target="obsidian://adv-uri?vault=Brain&amp;filepath=Sources/CELH/2023-Q3/transcripts/CELH_2023-11-07_2023Q3%20Earnings.md&amp;line=234" TargetMode="External" Id="rId568"/><Relationship Type="http://schemas.openxmlformats.org/officeDocument/2006/relationships/hyperlink" Target="obsidian://adv-uri?vault=Brain&amp;filepath=Sources/CELH/2023-FY/transcripts/CELH_2024-02-29_2023Q4%20Earnings.md&amp;line=223" TargetMode="External" Id="rId569"/><Relationship Type="http://schemas.openxmlformats.org/officeDocument/2006/relationships/hyperlink" Target="obsidian://adv-uri?vault=Brain&amp;filepath=Sources/CELH/2023-FY/transcripts/CELH_2024-02-29_2023Q4%20Earnings.md&amp;line=227" TargetMode="External" Id="rId570"/><Relationship Type="http://schemas.openxmlformats.org/officeDocument/2006/relationships/hyperlink" Target="obsidian://adv-uri?vault=Brain&amp;filepath=Sources/CELH/2024-Q1/transcripts/CELH_2024-05-07_2024Q1%20Earnings.md&amp;line=188" TargetMode="External" Id="rId571"/><Relationship Type="http://schemas.openxmlformats.org/officeDocument/2006/relationships/hyperlink" Target="obsidian://adv-uri?vault=Brain&amp;filepath=Sources/CELH/2024-FY/transcripts/CELH_2025-02-20_2024Q4%20Earnings.md&amp;line=236" TargetMode="External" Id="rId572"/><Relationship Type="http://schemas.openxmlformats.org/officeDocument/2006/relationships/hyperlink" Target="obsidian://adv-uri?vault=Brain&amp;filepath=Sources/CELH/2025-Q2/transcripts/CELH_2025-08-07_2025Q2%20Earnings.md&amp;line=146" TargetMode="External" Id="rId573"/><Relationship Type="http://schemas.openxmlformats.org/officeDocument/2006/relationships/hyperlink" Target="obsidian://adv-uri?vault=Brain&amp;filepath=Sources/CELH/2025-Q3/transcripts/CELH_2025-11-06_2025Q3%20Earnings.md&amp;line=193" TargetMode="External" Id="rId574"/><Relationship Type="http://schemas.openxmlformats.org/officeDocument/2006/relationships/hyperlink" Target="obsidian://adv-uri?vault=Brain&amp;filepath=Sources/CELH/2025-Q1/transcripts/CELH_2025-05-06_2025Q1%20Earnings.md&amp;line=160" TargetMode="External" Id="rId575"/><Relationship Type="http://schemas.openxmlformats.org/officeDocument/2006/relationships/hyperlink" Target="obsidian://adv-uri?vault=Brain&amp;filepath=Sources/CELH/2025-Q2/transcripts/CELH_2025-08-07_2025Q2%20Earnings.md&amp;line=146" TargetMode="External" Id="rId576"/><Relationship Type="http://schemas.openxmlformats.org/officeDocument/2006/relationships/hyperlink" Target="obsidian://adv-uri?vault=Brain&amp;filepath=Sources/CELH/2022-Q3/transcripts/CELH_2022-11-09_2022Q3%20Earnings.md&amp;line=140" TargetMode="External" Id="rId577"/><Relationship Type="http://schemas.openxmlformats.org/officeDocument/2006/relationships/hyperlink" Target="obsidian://adv-uri?vault=Brain&amp;filepath=Sources/CELH/2023-Q3/transcripts/CELH_2023-11-07_2023Q3%20Earnings.md&amp;line=286" TargetMode="External" Id="rId578"/><Relationship Type="http://schemas.openxmlformats.org/officeDocument/2006/relationships/hyperlink" Target="obsidian://adv-uri?vault=Brain&amp;filepath=Sources/CELH/2023-Q3/transcripts/CELH_2023-11-07_2023Q3%20Earnings.md&amp;line=286" TargetMode="External" Id="rId579"/><Relationship Type="http://schemas.openxmlformats.org/officeDocument/2006/relationships/hyperlink" Target="obsidian://adv-uri?vault=Brain&amp;filepath=Sources/CELH/2024-FY/transcripts/CELH_2025-03-12_UBS%20Conference.md&amp;line=151" TargetMode="External" Id="rId580"/><Relationship Type="http://schemas.openxmlformats.org/officeDocument/2006/relationships/hyperlink" Target="obsidian://adv-uri?vault=Brain&amp;filepath=Sources/CELH/2025-FY/transcripts/CELH_2026-02-26_2025Q4%20Earnings%20Press%20Release.md&amp;line=134" TargetMode="External" Id="rId581"/><Relationship Type="http://schemas.openxmlformats.org/officeDocument/2006/relationships/hyperlink" Target="obsidian://adv-uri?vault=Brain&amp;filepath=Sources/CELH/2025-FY/transcripts/CELH_2026-02-26_2025Q4%20Earnings%20Press%20Release.md&amp;line=134" TargetMode="External" Id="rId582"/><Relationship Type="http://schemas.openxmlformats.org/officeDocument/2006/relationships/hyperlink" Target="obsidian://adv-uri?vault=Brain&amp;filepath=Sources/CELH/2023-Q2/transcripts/CELH_2023-09-07_Barclays%20Conference.md&amp;line=151" TargetMode="External" Id="rId583"/><Relationship Type="http://schemas.openxmlformats.org/officeDocument/2006/relationships/hyperlink" Target="obsidian://adv-uri?vault=Brain&amp;filepath=Sources/CELH/2022-Q1/transcripts/CELH_2022-05-10_2022Q1%20Earnings.md&amp;line=157" TargetMode="External" Id="rId584"/><Relationship Type="http://schemas.openxmlformats.org/officeDocument/2006/relationships/hyperlink" Target="obsidian://adv-uri?vault=Brain&amp;filepath=Sources/CELH/2024-Q1/transcripts/CELH_2024-05-07_2024Q1%20Earnings.md&amp;line=166" TargetMode="External" Id="rId585"/><Relationship Type="http://schemas.openxmlformats.org/officeDocument/2006/relationships/hyperlink" Target="obsidian://adv-uri?vault=Brain&amp;filepath=Sources/CELH/2024-Q1/transcripts/CELH_2024-05-07_2024Q1%20Earnings.md&amp;line=166" TargetMode="External" Id="rId586"/><Relationship Type="http://schemas.openxmlformats.org/officeDocument/2006/relationships/hyperlink" Target="obsidian://adv-uri?vault=Brain&amp;filepath=Sources/CELH/2021-Q2/transcripts/CELH_2021-08-12_2021Q2%20Earnings.md&amp;line=257" TargetMode="External" Id="rId587"/><Relationship Type="http://schemas.openxmlformats.org/officeDocument/2006/relationships/hyperlink" Target="obsidian://adv-uri?vault=Brain&amp;filepath=Sources/CELH/2021-Q3/transcripts/CELH_2021-11-11_2021Q3%20Earnings.md&amp;line=233" TargetMode="External" Id="rId588"/><Relationship Type="http://schemas.openxmlformats.org/officeDocument/2006/relationships/hyperlink" Target="obsidian://adv-uri?vault=Brain&amp;filepath=Sources/CELH/2022-Q1/transcripts/CELH_2022-05-10_2022Q1%20Earnings.md&amp;line=157" TargetMode="External" Id="rId589"/><Relationship Type="http://schemas.openxmlformats.org/officeDocument/2006/relationships/hyperlink" Target="obsidian://adv-uri?vault=Brain&amp;filepath=Sources/CELH/2025-FY/transcripts/CELH_2026-02-26_2025Q4%20Earnings%20Press%20Release.md&amp;line=147" TargetMode="External" Id="rId590"/><Relationship Type="http://schemas.openxmlformats.org/officeDocument/2006/relationships/hyperlink" Target="obsidian://adv-uri?vault=Brain&amp;filepath=Sources/CELH/2021-Q2/transcripts/CELH_2021-08-12_2021Q2%20Earnings.md&amp;line=261" TargetMode="External" Id="rId591"/><Relationship Type="http://schemas.openxmlformats.org/officeDocument/2006/relationships/hyperlink" Target="obsidian://adv-uri?vault=Brain&amp;filepath=Sources/CELH/2025-FY/transcripts/CELH_2026-02-26_2025Q4%20Earnings%20Press%20Release.md&amp;line=134" TargetMode="External" Id="rId592"/><Relationship Type="http://schemas.openxmlformats.org/officeDocument/2006/relationships/hyperlink" Target="obsidian://adv-uri?vault=Brain&amp;filepath=Sources/CELH/2023-Q2/transcripts/CELH_2023-08-08_2023Q2%20Earnings.md&amp;line=194" TargetMode="External" Id="rId593"/><Relationship Type="http://schemas.openxmlformats.org/officeDocument/2006/relationships/hyperlink" Target="obsidian://adv-uri?vault=Brain&amp;filepath=Sources/CELH/2023-Q3/transcripts/CELH_2023-11-07_2023Q3%20Earnings.md&amp;line=274" TargetMode="External" Id="rId594"/><Relationship Type="http://schemas.openxmlformats.org/officeDocument/2006/relationships/hyperlink" Target="obsidian://adv-uri?vault=Brain&amp;filepath=Sources/CELH/2023-Q2/transcripts/CELH_2023-08-08_2023Q2%20Earnings.md&amp;line=194" TargetMode="External" Id="rId595"/><Relationship Type="http://schemas.openxmlformats.org/officeDocument/2006/relationships/hyperlink" Target="obsidian://adv-uri?vault=Brain&amp;filepath=Sources/CELH/2023-Q3/transcripts/CELH_2023-11-07_2023Q3%20Earnings.md&amp;line=274" TargetMode="External" Id="rId596"/><Relationship Type="http://schemas.openxmlformats.org/officeDocument/2006/relationships/hyperlink" Target="obsidian://adv-uri?vault=Brain&amp;filepath=Sources/CELH/2023-Q3/transcripts/CELH_2023-11-07_2023Q3%20Earnings.md&amp;line=179" TargetMode="External" Id="rId597"/><Relationship Type="http://schemas.openxmlformats.org/officeDocument/2006/relationships/hyperlink" Target="obsidian://adv-uri?vault=Brain&amp;filepath=Sources/CELH/2022-Q3/transcripts/CELH_2022-11-09_2022Q3%20Earnings.md&amp;line=140" TargetMode="External" Id="rId598"/><Relationship Type="http://schemas.openxmlformats.org/officeDocument/2006/relationships/hyperlink" Target="obsidian://adv-uri?vault=Brain&amp;filepath=Sources/CELH/2023-Q2/transcripts/CELH_2023-08-08_2023Q2%20Earnings.md&amp;line=186" TargetMode="External" Id="rId599"/><Relationship Type="http://schemas.openxmlformats.org/officeDocument/2006/relationships/hyperlink" Target="obsidian://adv-uri?vault=Brain&amp;filepath=Sources/CELH/2018-FY/transcripts/CELH_2019-03-14_2018Q4%20Earnings.md&amp;line=249" TargetMode="External" Id="rId600"/><Relationship Type="http://schemas.openxmlformats.org/officeDocument/2006/relationships/hyperlink" Target="obsidian://adv-uri?vault=Brain&amp;filepath=Sources/CELH/2025-FY/transcripts/CELH_2026-02-26_2025Q4%20Earnings%20Press%20Release.md&amp;line=258" TargetMode="External" Id="rId601"/><Relationship Type="http://schemas.openxmlformats.org/officeDocument/2006/relationships/hyperlink" Target="obsidian://adv-uri?vault=Brain&amp;filepath=Sources/CELH/2021-Q2/transcripts/CELH_2021-08-12_2021Q2%20Earnings.md&amp;line=228" TargetMode="External" Id="rId602"/><Relationship Type="http://schemas.openxmlformats.org/officeDocument/2006/relationships/hyperlink" Target="obsidian://adv-uri?vault=Brain&amp;filepath=Sources/CELH/2021-FY/transcripts/CELH_2022-03-01_2021Q4%20Earnings.md&amp;line=190" TargetMode="External" Id="rId603"/><Relationship Type="http://schemas.openxmlformats.org/officeDocument/2006/relationships/hyperlink" Target="obsidian://adv-uri?vault=Brain&amp;filepath=Sources/CELH/2021-Q2/transcripts/CELH_2021-08-12_2021Q2%20Earnings.md&amp;line=228" TargetMode="External" Id="rId604"/><Relationship Type="http://schemas.openxmlformats.org/officeDocument/2006/relationships/hyperlink" Target="obsidian://adv-uri?vault=Brain&amp;filepath=Sources/CELH/2021-FY/transcripts/CELH_2022-03-01_2021Q4%20Earnings.md&amp;line=190" TargetMode="External" Id="rId605"/><Relationship Type="http://schemas.openxmlformats.org/officeDocument/2006/relationships/hyperlink" Target="obsidian://adv-uri?vault=Brain&amp;filepath=Sources/CELH/2018-Q3/transcripts/CELH_2018-11-09_2018Q3%20Earnings.md&amp;line=194" TargetMode="External" Id="rId606"/><Relationship Type="http://schemas.openxmlformats.org/officeDocument/2006/relationships/hyperlink" Target="obsidian://adv-uri?vault=Brain&amp;filepath=Sources/CELH/2018-FY/transcripts/CELH_2019-03-14_2018Q4%20Earnings.md&amp;line=233" TargetMode="External" Id="rId607"/><Relationship Type="http://schemas.openxmlformats.org/officeDocument/2006/relationships/hyperlink" Target="obsidian://adv-uri?vault=Brain&amp;filepath=Sources/CELH/2018-FY/transcripts/CELH_2019-03-14_2018Q4%20Earnings.md&amp;line=241" TargetMode="External" Id="rId608"/><Relationship Type="http://schemas.openxmlformats.org/officeDocument/2006/relationships/hyperlink" Target="obsidian://adv-uri?vault=Brain&amp;filepath=Sources/CELH/2018-Q3/transcripts/CELH_2018-11-09_2018Q3%20Earnings.md&amp;line=194" TargetMode="External" Id="rId609"/><Relationship Type="http://schemas.openxmlformats.org/officeDocument/2006/relationships/hyperlink" Target="obsidian://adv-uri?vault=Brain&amp;filepath=Sources/CELH/2018-Q3/transcripts/CELH_2018-11-09_2018Q3%20Earnings.md&amp;line=146" TargetMode="External" Id="rId610"/><Relationship Type="http://schemas.openxmlformats.org/officeDocument/2006/relationships/hyperlink" Target="obsidian://adv-uri?vault=Brain&amp;filepath=Sources/CELH/2018-FY/transcripts/CELH_2019-03-14_2018Q4%20Earnings.md&amp;line=233" TargetMode="External" Id="rId611"/><Relationship Type="http://schemas.openxmlformats.org/officeDocument/2006/relationships/hyperlink" Target="obsidian://adv-uri?vault=Brain&amp;filepath=Sources/CELH/2018-FY/transcripts/CELH_2019-03-14_2018Q4%20Earnings.md&amp;line=241" TargetMode="External" Id="rId612"/><Relationship Type="http://schemas.openxmlformats.org/officeDocument/2006/relationships/hyperlink" Target="obsidian://adv-uri?vault=Brain&amp;filepath=Sources/CELH/2019-Q2/transcripts/CELH_2019-08-08_2019Q2%20Earnings.md&amp;line=146" TargetMode="External" Id="rId613"/><Relationship Type="http://schemas.openxmlformats.org/officeDocument/2006/relationships/hyperlink" Target="obsidian://adv-uri?vault=Brain&amp;filepath=Sources/CELH/2019-FY/transcripts/CELH_2020-03-12_2019Q4%20Earnings.md&amp;line=114" TargetMode="External" Id="rId614"/><Relationship Type="http://schemas.openxmlformats.org/officeDocument/2006/relationships/hyperlink" Target="obsidian://adv-uri?vault=Brain&amp;filepath=Sources/CELH/2023-Q1/transcripts/CELH_2023-06-01_Annual%20General%20Meeting.md&amp;line=199" TargetMode="External" Id="rId615"/><Relationship Type="http://schemas.openxmlformats.org/officeDocument/2006/relationships/hyperlink" Target="obsidian://adv-uri?vault=Brain&amp;filepath=Sources/CELH/2021-Q3/transcripts/CELH_2021-11-11_2021Q3%20Earnings.md&amp;line=189" TargetMode="External" Id="rId616"/><Relationship Type="http://schemas.openxmlformats.org/officeDocument/2006/relationships/hyperlink" Target="obsidian://adv-uri?vault=Brain&amp;filepath=Sources/CELH/2021-Q2/transcripts/CELH_2021-08-12_2021Q2%20Earnings.md&amp;line=142" TargetMode="External" Id="rId617"/><Relationship Type="http://schemas.openxmlformats.org/officeDocument/2006/relationships/hyperlink" Target="obsidian://adv-uri?vault=Brain&amp;filepath=Sources/CELH/2021-Q2/transcripts/CELH_2021-08-12_2021Q2%20Earnings.md&amp;line=142" TargetMode="External" Id="rId618"/><Relationship Type="http://schemas.openxmlformats.org/officeDocument/2006/relationships/hyperlink" Target="obsidian://adv-uri?vault=Brain&amp;filepath=Sources/CELH/2020-FY/transcripts/CELH_2021-03-11_2020Q4%20Earnings.md&amp;line=195" TargetMode="External" Id="rId619"/><Relationship Type="http://schemas.openxmlformats.org/officeDocument/2006/relationships/hyperlink" Target="obsidian://adv-uri?vault=Brain&amp;filepath=Sources/CELH/2020-FY/transcripts/CELH_2021-03-11_2020Q4%20Earnings.md&amp;line=115" TargetMode="External" Id="rId620"/><Relationship Type="http://schemas.openxmlformats.org/officeDocument/2006/relationships/hyperlink" Target="obsidian://adv-uri?vault=Brain&amp;filepath=Sources/CELH/2019-Q2/transcripts/CELH_2019-08-08_2019Q2%20Earnings.md&amp;line=226" TargetMode="External" Id="rId621"/><Relationship Type="http://schemas.openxmlformats.org/officeDocument/2006/relationships/hyperlink" Target="obsidian://adv-uri?vault=Brain&amp;filepath=Sources/CELH/2019-Q2/transcripts/CELH_2019-08-08_2019Q2%20Earnings.md&amp;line=226" TargetMode="External" Id="rId622"/><Relationship Type="http://schemas.openxmlformats.org/officeDocument/2006/relationships/hyperlink" Target="obsidian://adv-uri?vault=Brain&amp;filepath=Sources/CELH/2025-FY/transcripts/CELH_2026-02-26_2025Q4%20Earnings%20Press%20Release.md&amp;line=134" TargetMode="External" Id="rId623"/><Relationship Type="http://schemas.openxmlformats.org/officeDocument/2006/relationships/hyperlink" Target="obsidian://adv-uri?vault=Brain&amp;filepath=Sources/CELH/2021-Q2/transcripts/CELH_2021-08-12_2021Q2%20Earnings.md&amp;line=168" TargetMode="External" Id="rId624"/><Relationship Type="http://schemas.openxmlformats.org/officeDocument/2006/relationships/hyperlink" Target="obsidian://adv-uri?vault=Brain&amp;filepath=Sources/CELH/2021-Q3/transcripts/CELH_2021-11-11_2021Q3%20Earnings.md&amp;line=171" TargetMode="External" Id="rId625"/><Relationship Type="http://schemas.openxmlformats.org/officeDocument/2006/relationships/hyperlink" Target="obsidian://adv-uri?vault=Brain&amp;filepath=Sources/CELH/2021-FY/transcripts/CELH_2022-03-01_2021Q4%20Earnings.md&amp;line=121" TargetMode="External" Id="rId626"/><Relationship Type="http://schemas.openxmlformats.org/officeDocument/2006/relationships/hyperlink" Target="obsidian://adv-uri?vault=Brain&amp;filepath=Sources/CELH/2022-Q1/transcripts/CELH_2022-05-10_2022Q1%20Earnings.md&amp;line=184" TargetMode="External" Id="rId627"/><Relationship Type="http://schemas.openxmlformats.org/officeDocument/2006/relationships/hyperlink" Target="obsidian://adv-uri?vault=Brain&amp;filepath=Sources/CELH/2025-FY/transcripts/CELH_2026-02-26_2025Q4%20Earnings%20Press%20Release.md&amp;line=221" TargetMode="External" Id="rId628"/><Relationship Type="http://schemas.openxmlformats.org/officeDocument/2006/relationships/hyperlink" Target="obsidian://adv-uri?vault=Brain&amp;filepath=Sources/CELH/2021-Q3/transcripts/CELH_2021-11-11_2021Q3%20Earnings.md&amp;line=144" TargetMode="External" Id="rId629"/><Relationship Type="http://schemas.openxmlformats.org/officeDocument/2006/relationships/hyperlink" Target="obsidian://adv-uri?vault=Brain&amp;filepath=Sources/CELH/2024-FY/transcripts/CELH_2025-02-20_2024Q4%20Earnings.md&amp;line=163" TargetMode="External" Id="rId630"/><Relationship Type="http://schemas.openxmlformats.org/officeDocument/2006/relationships/hyperlink" Target="obsidian://adv-uri?vault=Brain&amp;filepath=Sources/CELH/2025-Q1/transcripts/CELH_2025-05-28_Acquiring%20Alani%20Nu.md&amp;line=180" TargetMode="External" Id="rId631"/><Relationship Type="http://schemas.openxmlformats.org/officeDocument/2006/relationships/hyperlink" Target="obsidian://adv-uri?vault=Brain&amp;filepath=Sources/CELH/2025-Q2/transcripts/CELH_2025-08-07_2025Q2%20Earnings.md&amp;line=266" TargetMode="External" Id="rId632"/><Relationship Type="http://schemas.openxmlformats.org/officeDocument/2006/relationships/hyperlink" Target="obsidian://adv-uri?vault=Brain&amp;filepath=Sources/CELH/2022-Q2/transcripts/CELH_2022-08-09_2022Q2%20Earnings.md&amp;line=142" TargetMode="External" Id="rId633"/><Relationship Type="http://schemas.openxmlformats.org/officeDocument/2006/relationships/hyperlink" Target="obsidian://adv-uri?vault=Brain&amp;filepath=Sources/CELH/2022-Q3/transcripts/CELH_2022-11-09_2022Q3%20Earnings.md&amp;line=140" TargetMode="External" Id="rId634"/><Relationship Type="http://schemas.openxmlformats.org/officeDocument/2006/relationships/hyperlink" Target="obsidian://adv-uri?vault=Brain&amp;filepath=Sources/CELH/2025-FY/transcripts/CELH_2026-02-26_2025Q4%20Earnings%20Press%20Release.md&amp;line=134" TargetMode="External" Id="rId635"/><Relationship Type="http://schemas.openxmlformats.org/officeDocument/2006/relationships/hyperlink" Target="obsidian://adv-uri?vault=Brain&amp;filepath=Sources/CELH/2024-FY/transcripts/CELH_2025-02-20_2024Q4%20Earnings.md&amp;line=172" TargetMode="External" Id="rId636"/><Relationship Type="http://schemas.openxmlformats.org/officeDocument/2006/relationships/hyperlink" Target="obsidian://adv-uri?vault=Brain&amp;filepath=Sources/CELH/2025-Q1/transcripts/CELH_2025-05-28_Acquiring%20Alani%20Nu.md&amp;line=193" TargetMode="External" Id="rId637"/><Relationship Type="http://schemas.openxmlformats.org/officeDocument/2006/relationships/hyperlink" Target="obsidian://adv-uri?vault=Brain&amp;filepath=Sources/CELH/2025-Q3/transcripts/CELH_2025-11-06_2025Q3%20Earnings.md&amp;line=147" TargetMode="External" Id="rId638"/><Relationship Type="http://schemas.openxmlformats.org/officeDocument/2006/relationships/hyperlink" Target="obsidian://adv-uri?vault=Brain&amp;filepath=Sources/CELH/2025-FY/transcripts/CELH_2026-02-26_2025Q4%20Earnings%20Press%20Release.md&amp;line=240" TargetMode="External" Id="rId639"/><Relationship Type="http://schemas.openxmlformats.org/officeDocument/2006/relationships/hyperlink" Target="obsidian://adv-uri?vault=Brain&amp;filepath=Sources/CELH/2025-FY/transcripts/CELH_2026-02-26_2025Q4%20Earnings%20Press%20Release.md&amp;line=156" TargetMode="External" Id="rId640"/><Relationship Type="http://schemas.openxmlformats.org/officeDocument/2006/relationships/hyperlink" Target="obsidian://adv-uri?vault=Brain&amp;filepath=Sources/CELH/2025-FY/transcripts/CELH_2026-02-26_2025Q4%20Earnings%20Press%20Release.md&amp;line=134" TargetMode="External" Id="rId641"/><Relationship Type="http://schemas.openxmlformats.org/officeDocument/2006/relationships/hyperlink" Target="obsidian://adv-uri?vault=Brain&amp;filepath=Sources/CELH/2026-Q1/transcripts/CELH_2026-05-07_2026Q1%20Earnings.md&amp;line=201" TargetMode="External" Id="rId642"/><Relationship Type="http://schemas.openxmlformats.org/officeDocument/2006/relationships/hyperlink" Target="obsidian://adv-uri?vault=Brain&amp;filepath=Sources/CELH/2025-Q3/transcripts/CELH_2025-11-06_2025Q3%20Earnings.md&amp;line=147" TargetMode="External" Id="rId643"/><Relationship Type="http://schemas.openxmlformats.org/officeDocument/2006/relationships/hyperlink" Target="obsidian://adv-uri?vault=Brain&amp;filepath=Sources/CELH/2025-Q3/transcripts/CELH_2025-11-06_2025Q3%20Earnings.md&amp;line=169" TargetMode="External" Id="rId644"/><Relationship Type="http://schemas.openxmlformats.org/officeDocument/2006/relationships/hyperlink" Target="obsidian://adv-uri?vault=Brain&amp;filepath=Sources/CELH/2025-Q3/transcripts/CELH_2025-12-03_Morgan%20Stanley%20Conference.md&amp;line=168" TargetMode="External" Id="rId645"/><Relationship Type="http://schemas.openxmlformats.org/officeDocument/2006/relationships/hyperlink" Target="obsidian://adv-uri?vault=Brain&amp;filepath=Sources/CELH/2025-Q1/transcripts/CELH_2025-05-28_Acquiring%20Alani%20Nu.md&amp;line=176" TargetMode="External" Id="rId646"/><Relationship Type="http://schemas.openxmlformats.org/officeDocument/2006/relationships/hyperlink" Target="obsidian://adv-uri?vault=Brain&amp;filepath=Sources/CELH/2021-Q2/transcripts/CELH_2021-08-12_2021Q2%20Earnings.md&amp;line=188" TargetMode="External" Id="rId647"/><Relationship Type="http://schemas.openxmlformats.org/officeDocument/2006/relationships/hyperlink" Target="obsidian://adv-uri?vault=Brain&amp;filepath=Sources/CELH/2021-Q3/transcripts/CELH_2021-11-11_2021Q3%20Earnings.md&amp;line=197" TargetMode="External" Id="rId648"/><Relationship Type="http://schemas.openxmlformats.org/officeDocument/2006/relationships/hyperlink" Target="obsidian://adv-uri?vault=Brain&amp;filepath=Sources/CELH/2022-Q1/transcripts/CELH_2022-05-10_2022Q1%20Earnings.md&amp;line=206" TargetMode="External" Id="rId649"/><Relationship Type="http://schemas.openxmlformats.org/officeDocument/2006/relationships/hyperlink" Target="obsidian://adv-uri?vault=Brain&amp;filepath=Sources/CELH/2022-Q2/transcripts/CELH_2022-08-09_2022Q2%20Earnings.md&amp;line=177" TargetMode="External" Id="rId650"/><Relationship Type="http://schemas.openxmlformats.org/officeDocument/2006/relationships/hyperlink" Target="obsidian://adv-uri?vault=Brain&amp;filepath=Sources/CELH/2023-Q1/transcripts/CELH_2023-05-09_2023Q1%20Earnings.md&amp;line=177" TargetMode="External" Id="rId651"/><Relationship Type="http://schemas.openxmlformats.org/officeDocument/2006/relationships/hyperlink" Target="obsidian://adv-uri?vault=Brain&amp;filepath=Sources/CELH/2023-Q2/transcripts/CELH_2023-08-08_2023Q2%20Earnings.md&amp;line=215" TargetMode="External" Id="rId652"/><Relationship Type="http://schemas.openxmlformats.org/officeDocument/2006/relationships/hyperlink" Target="obsidian://adv-uri?vault=Brain&amp;filepath=Sources/CELH/2023-Q3/transcripts/CELH_2023-11-07_2023Q3%20Earnings.md&amp;line=226" TargetMode="External" Id="rId653"/><Relationship Type="http://schemas.openxmlformats.org/officeDocument/2006/relationships/hyperlink" Target="obsidian://adv-uri?vault=Brain&amp;filepath=Sources/CELH/2023-FY/transcripts/CELH_2024-02-29_2023Q4%20Earnings.md&amp;line=211" TargetMode="External" Id="rId654"/><Relationship Type="http://schemas.openxmlformats.org/officeDocument/2006/relationships/hyperlink" Target="obsidian://adv-uri?vault=Brain&amp;filepath=Sources/CELH/2023-FY/transcripts/CELH_2024-02-29_2023Q4%20Earnings.md&amp;line=215" TargetMode="External" Id="rId655"/><Relationship Type="http://schemas.openxmlformats.org/officeDocument/2006/relationships/hyperlink" Target="obsidian://adv-uri?vault=Brain&amp;filepath=Sources/CELH/2024-Q1/transcripts/CELH_2024-05-07_2024Q1%20Earnings.md&amp;line=180" TargetMode="External" Id="rId656"/><Relationship Type="http://schemas.openxmlformats.org/officeDocument/2006/relationships/hyperlink" Target="obsidian://adv-uri?vault=Brain&amp;filepath=Sources/CELH/2024-FY/transcripts/CELH_2025-02-20_2024Q4%20Earnings.md&amp;line=232" TargetMode="External" Id="rId657"/><Relationship Type="http://schemas.openxmlformats.org/officeDocument/2006/relationships/hyperlink" Target="obsidian://adv-uri?vault=Brain&amp;filepath=Sources/CELH/2025-Q2/transcripts/CELH_2025-08-07_2025Q2%20Earnings.md&amp;line=146" TargetMode="External" Id="rId658"/><Relationship Type="http://schemas.openxmlformats.org/officeDocument/2006/relationships/hyperlink" Target="obsidian://adv-uri?vault=Brain&amp;filepath=Sources/CELH/2025-Q3/transcripts/CELH_2025-11-06_2025Q3%20Earnings.md&amp;line=185" TargetMode="External" Id="rId659"/><Relationship Type="http://schemas.openxmlformats.org/officeDocument/2006/relationships/hyperlink" Target="obsidian://adv-uri?vault=Brain&amp;filepath=Sources/CELH/2025-Q1/transcripts/CELH_2025-05-06_2025Q1%20Earnings.md&amp;line=160" TargetMode="External" Id="rId660"/><Relationship Type="http://schemas.openxmlformats.org/officeDocument/2006/relationships/hyperlink" Target="obsidian://adv-uri?vault=Brain&amp;filepath=Sources/CELH/2023-Q3/transcripts/CELH_2023-11-07_2023Q3%20Earnings.md&amp;line=250" TargetMode="External" Id="rId661"/><Relationship Type="http://schemas.openxmlformats.org/officeDocument/2006/relationships/hyperlink" Target="obsidian://adv-uri?vault=Brain&amp;filepath=Sources/CELH/2022-Q2/transcripts/CELH_2022-08-09_2022Q2%20Earnings.md&amp;line=142" TargetMode="External" Id="rId662"/><Relationship Type="http://schemas.openxmlformats.org/officeDocument/2006/relationships/hyperlink" Target="obsidian://adv-uri?vault=Brain&amp;filepath=Sources/CELH/2023-Q3/transcripts/CELH_2023-11-07_2023Q3%20Earnings.md&amp;line=242" TargetMode="External" Id="rId663"/><Relationship Type="http://schemas.openxmlformats.org/officeDocument/2006/relationships/hyperlink" Target="obsidian://adv-uri?vault=Brain&amp;filepath=Sources/CELH/2025-FY/transcripts/CELH_2026-02-26_2025Q4%20Earnings%20Press%20Release.md&amp;line=134" TargetMode="External" Id="rId664"/><Relationship Type="http://schemas.openxmlformats.org/officeDocument/2006/relationships/hyperlink" Target="obsidian://adv-uri?vault=Brain&amp;filepath=Sources/CELH/2024-FY/transcripts/CELH_2025-02-20_2024Q4%20Earnings.md&amp;line=212" TargetMode="External" Id="rId665"/><Relationship Type="http://schemas.openxmlformats.org/officeDocument/2006/relationships/hyperlink" Target="obsidian://adv-uri?vault=Brain&amp;filepath=Sources/CELH/2025-Q1/transcripts/CELH_2025-05-06_2025Q1%20Earnings.md&amp;line=192" TargetMode="External" Id="rId666"/><Relationship Type="http://schemas.openxmlformats.org/officeDocument/2006/relationships/hyperlink" Target="obsidian://adv-uri?vault=Brain&amp;filepath=Sources/CELH/2024-FY/transcripts/CELH_2025-02-20_2024Q4%20Earnings.md&amp;line=212" TargetMode="External" Id="rId667"/><Relationship Type="http://schemas.openxmlformats.org/officeDocument/2006/relationships/hyperlink" Target="obsidian://adv-uri?vault=Brain&amp;filepath=Sources/CELH/2025-Q1/transcripts/CELH_2025-05-06_2025Q1%20Earnings.md&amp;line=192" TargetMode="External" Id="rId668"/><Relationship Type="http://schemas.openxmlformats.org/officeDocument/2006/relationships/hyperlink" Target="obsidian://adv-uri?vault=Brain&amp;filepath=Sources/CELH/2023-Q3/transcripts/CELH_2023-11-07_2023Q3%20Earnings.md&amp;line=282" TargetMode="External" Id="rId669"/><Relationship Type="http://schemas.openxmlformats.org/officeDocument/2006/relationships/hyperlink" Target="obsidian://adv-uri?vault=Brain&amp;filepath=Sources/CELH/2021-Q1/transcripts/CELH_2021-05-13_2021Q1%20Earnings.md&amp;line=188" TargetMode="External" Id="rId670"/><Relationship Type="http://schemas.openxmlformats.org/officeDocument/2006/relationships/hyperlink" Target="obsidian://adv-uri?vault=Brain&amp;filepath=Sources/CELH/2021-Q2/transcripts/CELH_2021-08-12_2021Q2%20Earnings.md&amp;line=196" TargetMode="External" Id="rId671"/><Relationship Type="http://schemas.openxmlformats.org/officeDocument/2006/relationships/hyperlink" Target="obsidian://adv-uri?vault=Brain&amp;filepath=Sources/CELH/2021-Q3/transcripts/CELH_2021-11-11_2021Q3%20Earnings.md&amp;line=205" TargetMode="External" Id="rId672"/><Relationship Type="http://schemas.openxmlformats.org/officeDocument/2006/relationships/hyperlink" Target="obsidian://adv-uri?vault=Brain&amp;filepath=Sources/CELH/2021-Q2/transcripts/CELH_2021-08-12_2021Q2%20Earnings.md&amp;line=196" TargetMode="External" Id="rId673"/><Relationship Type="http://schemas.openxmlformats.org/officeDocument/2006/relationships/hyperlink" Target="obsidian://adv-uri?vault=Brain&amp;filepath=Sources/CELH/2021-Q3/transcripts/CELH_2021-11-11_2021Q3%20Earnings.md&amp;line=205" TargetMode="External" Id="rId674"/><Relationship Type="http://schemas.openxmlformats.org/officeDocument/2006/relationships/hyperlink" Target="obsidian://adv-uri?vault=Brain&amp;filepath=Sources/CELH/2024-FY/transcripts/CELH_2025-03-12_UBS%20Conference.md&amp;line=151" TargetMode="External" Id="rId675"/><Relationship Type="http://schemas.openxmlformats.org/officeDocument/2006/relationships/hyperlink" Target="obsidian://adv-uri?vault=Brain&amp;filepath=Sources/CELH/2025-FY/transcripts/CELH_2026-02-26_2025Q4%20Earnings%20Press%20Release.md&amp;line=134" TargetMode="External" Id="rId676"/><Relationship Type="http://schemas.openxmlformats.org/officeDocument/2006/relationships/hyperlink" Target="obsidian://adv-uri?vault=Brain&amp;filepath=Sources/CELH/2023-Q2/transcripts/CELH_2023-08-08_2023Q2%20Earnings.md&amp;line=264" TargetMode="External" Id="rId677"/><Relationship Type="http://schemas.openxmlformats.org/officeDocument/2006/relationships/hyperlink" Target="obsidian://adv-uri?vault=Brain&amp;filepath=Sources/CELH/2023-Q3/transcripts/CELH_2023-11-07_2023Q3%20Earnings.md&amp;line=270" TargetMode="External" Id="rId678"/><Relationship Type="http://schemas.openxmlformats.org/officeDocument/2006/relationships/hyperlink" Target="obsidian://adv-uri?vault=Brain&amp;filepath=Sources/CELH/2023-Q1/transcripts/CELH_2023-05-09_2023Q1%20Earnings.md&amp;line=217" TargetMode="External" Id="rId679"/><Relationship Type="http://schemas.openxmlformats.org/officeDocument/2006/relationships/hyperlink" Target="obsidian://adv-uri?vault=Brain&amp;filepath=Sources/CELH/2021-Q3/transcripts/CELH_2021-11-11_2021Q3%20Earnings.md&amp;line=209" TargetMode="External" Id="rId680"/><Relationship Type="http://schemas.openxmlformats.org/officeDocument/2006/relationships/hyperlink" Target="obsidian://adv-uri?vault=Brain&amp;filepath=Sources/CELH/2021-Q2/transcripts/CELH_2021-08-12_2021Q2%20Earnings.md&amp;line=200" TargetMode="External" Id="rId681"/><Relationship Type="http://schemas.openxmlformats.org/officeDocument/2006/relationships/hyperlink" Target="obsidian://adv-uri?vault=Brain&amp;filepath=Sources/CELH/2021-Q2/transcripts/CELH_2021-08-12_2021Q2%20Earnings.md&amp;line=200" TargetMode="External" Id="rId682"/><Relationship Type="http://schemas.openxmlformats.org/officeDocument/2006/relationships/hyperlink" Target="obsidian://adv-uri?vault=Brain&amp;filepath=Sources/CELH/2020-FY/transcripts/CELH_2021-03-11_2020Q4%20Earnings.md&amp;line=166" TargetMode="External" Id="rId683"/><Relationship Type="http://schemas.openxmlformats.org/officeDocument/2006/relationships/hyperlink" Target="obsidian://adv-uri?vault=Brain&amp;filepath=Sources/CELH/2020-FY/transcripts/CELH_2021-03-11_2020Q4%20Earnings.md&amp;line=166" TargetMode="External" Id="rId684"/><Relationship Type="http://schemas.openxmlformats.org/officeDocument/2006/relationships/hyperlink" Target="obsidian://adv-uri?vault=Brain&amp;filepath=Sources/CELH/2019-Q1/transcripts/CELH_2019-05-09_2019Q1%20Earnings.md&amp;line=197" TargetMode="External" Id="rId685"/><Relationship Type="http://schemas.openxmlformats.org/officeDocument/2006/relationships/hyperlink" Target="obsidian://adv-uri?vault=Brain&amp;filepath=Sources/CELH/2025-Q1/transcripts/CELH_2025-06-04_William%20Blair%20Conference.md&amp;line=151" TargetMode="External" Id="rId686"/><Relationship Type="http://schemas.openxmlformats.org/officeDocument/2006/relationships/hyperlink" Target="obsidian://adv-uri?vault=Brain&amp;filepath=Sources/CELH/2023-Q2/transcripts/CELH_2023-08-08_2023Q2%20Earnings.md&amp;line=159" TargetMode="External" Id="rId687"/><Relationship Type="http://schemas.openxmlformats.org/officeDocument/2006/relationships/hyperlink" Target="obsidian://adv-uri?vault=Brain&amp;filepath=Sources/CELH/2021-Q2/transcripts/CELH_2021-08-19_Annual%20Shareholder%20Meeting.md&amp;line=189" TargetMode="External" Id="rId688"/><Relationship Type="http://schemas.openxmlformats.org/officeDocument/2006/relationships/hyperlink" Target="obsidian://adv-uri?vault=Brain&amp;filepath=Sources/CELH/2021-FY/transcripts/CELH_2022-03-01_2021Q4%20Earnings.md&amp;line=202" TargetMode="External" Id="rId689"/><Relationship Type="http://schemas.openxmlformats.org/officeDocument/2006/relationships/hyperlink" Target="obsidian://adv-uri?vault=Brain&amp;filepath=Sources/CELH/2022-Q3/transcripts/CELH_2022-11-09_2022Q3%20Earnings.md&amp;line=218" TargetMode="External" Id="rId690"/><Relationship Type="http://schemas.openxmlformats.org/officeDocument/2006/relationships/hyperlink" Target="obsidian://adv-uri?vault=Brain&amp;filepath=Sources/CELH/2021-FY/transcripts/CELH_2022-03-01_2021Q4%20Earnings.md&amp;line=202" TargetMode="External" Id="rId691"/><Relationship Type="http://schemas.openxmlformats.org/officeDocument/2006/relationships/hyperlink" Target="obsidian://adv-uri?vault=Brain&amp;filepath=Sources/CELH/2022-Q3/transcripts/CELH_2022-11-09_2022Q3%20Earnings.md&amp;line=218" TargetMode="External" Id="rId692"/><Relationship Type="http://schemas.openxmlformats.org/officeDocument/2006/relationships/hyperlink" Target="obsidian://adv-uri?vault=Brain&amp;filepath=Sources/CELH/2022-FY/transcripts/CELH_2023-03-01_2022Q4%20Earnings.md&amp;line=231" TargetMode="External" Id="rId693"/><Relationship Type="http://schemas.openxmlformats.org/officeDocument/2006/relationships/hyperlink" Target="obsidian://adv-uri?vault=Brain&amp;filepath=Sources/CELH/2020-FY/transcripts/CELH_2021-03-11_2020Q4%20Earnings.md&amp;line=207" TargetMode="External" Id="rId694"/><Relationship Type="http://schemas.openxmlformats.org/officeDocument/2006/relationships/hyperlink" Target="obsidian://adv-uri?vault=Brain&amp;filepath=Sources/CELH/2022-Q2/transcripts/CELH_2022-08-09_2022Q2%20Earnings.md&amp;line=214" TargetMode="External" Id="rId695"/><Relationship Type="http://schemas.openxmlformats.org/officeDocument/2006/relationships/hyperlink" Target="obsidian://adv-uri?vault=Brain&amp;filepath=Sources/CELH/2022-Q2/transcripts/CELH_2022-08-09_2022Q2%20Earnings.md&amp;line=214" TargetMode="External" Id="rId696"/><Relationship Type="http://schemas.openxmlformats.org/officeDocument/2006/relationships/hyperlink" Target="obsidian://adv-uri?vault=Brain&amp;filepath=Sources/CELH/2022-Q2/transcripts/CELH_2022-08-09_2022Q2%20Earnings.md&amp;line=142" TargetMode="External" Id="rId697"/><Relationship Type="http://schemas.openxmlformats.org/officeDocument/2006/relationships/hyperlink" Target="obsidian://adv-uri?vault=Brain&amp;filepath=Sources/CELH/2024-FY/transcripts/CELH_2025-02-20_2024Q4%20Earnings.md&amp;line=176" TargetMode="External" Id="rId698"/><Relationship Type="http://schemas.openxmlformats.org/officeDocument/2006/relationships/hyperlink" Target="obsidian://adv-uri?vault=Brain&amp;filepath=Sources/CELH/2022-Q2/transcripts/CELH_2022-08-09_2022Q2%20Earnings.md&amp;line=142" TargetMode="External" Id="rId699"/><Relationship Type="http://schemas.openxmlformats.org/officeDocument/2006/relationships/hyperlink" Target="obsidian://adv-uri?vault=Brain&amp;filepath=Sources/CELH/2019-Q1/transcripts/CELH_2019-05-09_2019Q1%20Earnings.md&amp;line=145" TargetMode="External" Id="rId700"/><Relationship Type="http://schemas.openxmlformats.org/officeDocument/2006/relationships/hyperlink" Target="obsidian://adv-uri?vault=Brain&amp;filepath=Sources/CELH/2019-Q2/transcripts/CELH_2019-08-08_2019Q2%20Earnings.md&amp;line=146" TargetMode="External" Id="rId701"/><Relationship Type="http://schemas.openxmlformats.org/officeDocument/2006/relationships/hyperlink" Target="obsidian://adv-uri?vault=Brain&amp;filepath=Sources/CELH/2019-Q3/transcripts/CELH_2019-11-07_2019Q3%20Earnings.md&amp;line=113" TargetMode="External" Id="rId702"/><Relationship Type="http://schemas.openxmlformats.org/officeDocument/2006/relationships/hyperlink" Target="obsidian://adv-uri?vault=Brain&amp;filepath=Sources/CELH/2023-Q1/transcripts/CELH_2023-06-01_Annual%20General%20Meeting.md&amp;line=167" TargetMode="External" Id="rId70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G16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s>
  <sheetData>
    <row r="1">
      <c r="A1" s="33" t="inlineStr">
        <is>
          <t>CELH Transcript KPI Consolidation — reported value per period</t>
        </is>
      </c>
    </row>
    <row r="2">
      <c r="A2" s="34" t="inlineStr">
        <is>
          <t>Every quantitative datapoint disclosed across 69 transcripts. Blue = directly reported; gray italic = prior-year comparative from .md; black italic = reconstructed formula; orange = manual correction. Shift+F2 note lists every source; cells deep-link to the source .md.</t>
        </is>
      </c>
    </row>
    <row r="4">
      <c r="A4" s="35" t="inlineStr">
        <is>
          <t>Metric</t>
        </is>
      </c>
      <c r="B4" s="35" t="inlineStr">
        <is>
          <t>Q3 2017</t>
        </is>
      </c>
      <c r="C4" s="35" t="inlineStr">
        <is>
          <t>9M 2017</t>
        </is>
      </c>
      <c r="D4" s="35" t="inlineStr">
        <is>
          <t>Q4 2017</t>
        </is>
      </c>
      <c r="E4" s="35" t="inlineStr">
        <is>
          <t>FY2017</t>
        </is>
      </c>
      <c r="F4" s="35" t="inlineStr">
        <is>
          <t>Q1 2018</t>
        </is>
      </c>
      <c r="G4" s="35" t="inlineStr">
        <is>
          <t>Q2 2018</t>
        </is>
      </c>
      <c r="H4" s="35" t="inlineStr">
        <is>
          <t>H1 2018</t>
        </is>
      </c>
      <c r="I4" s="35" t="inlineStr">
        <is>
          <t>Q3 2018</t>
        </is>
      </c>
      <c r="J4" s="35" t="inlineStr">
        <is>
          <t>9M 2018</t>
        </is>
      </c>
      <c r="K4" s="35" t="inlineStr">
        <is>
          <t>Q4 2018</t>
        </is>
      </c>
      <c r="L4" s="35" t="inlineStr">
        <is>
          <t>FY2018</t>
        </is>
      </c>
      <c r="M4" s="35" t="inlineStr">
        <is>
          <t>Q1 2019</t>
        </is>
      </c>
      <c r="N4" s="35" t="inlineStr">
        <is>
          <t>Q2 2019</t>
        </is>
      </c>
      <c r="O4" s="35" t="inlineStr">
        <is>
          <t>H1 2019</t>
        </is>
      </c>
      <c r="P4" s="35" t="inlineStr">
        <is>
          <t>Q3 2019</t>
        </is>
      </c>
      <c r="Q4" s="35" t="inlineStr">
        <is>
          <t>9M 2019</t>
        </is>
      </c>
      <c r="R4" s="35" t="inlineStr">
        <is>
          <t>Q4 2019</t>
        </is>
      </c>
      <c r="S4" s="35" t="inlineStr">
        <is>
          <t>FY2019</t>
        </is>
      </c>
      <c r="T4" s="35" t="inlineStr">
        <is>
          <t>Q1 2020</t>
        </is>
      </c>
      <c r="U4" s="35" t="inlineStr">
        <is>
          <t>Q2 2020</t>
        </is>
      </c>
      <c r="V4" s="35" t="inlineStr">
        <is>
          <t>Q3 2020</t>
        </is>
      </c>
      <c r="W4" s="35" t="inlineStr">
        <is>
          <t>Q4 2020</t>
        </is>
      </c>
      <c r="X4" s="35" t="inlineStr">
        <is>
          <t>FY2020</t>
        </is>
      </c>
      <c r="Y4" s="35" t="inlineStr">
        <is>
          <t>Q1 2021</t>
        </is>
      </c>
      <c r="Z4" s="35" t="inlineStr">
        <is>
          <t>Q2 2021</t>
        </is>
      </c>
      <c r="AA4" s="35" t="inlineStr">
        <is>
          <t>H1 2021</t>
        </is>
      </c>
      <c r="AB4" s="35" t="inlineStr">
        <is>
          <t>Q3 2021</t>
        </is>
      </c>
      <c r="AC4" s="35" t="inlineStr">
        <is>
          <t>9M 2021</t>
        </is>
      </c>
      <c r="AD4" s="35" t="inlineStr">
        <is>
          <t>Q4 2021</t>
        </is>
      </c>
      <c r="AE4" s="35" t="inlineStr">
        <is>
          <t>FY2021</t>
        </is>
      </c>
      <c r="AF4" s="35" t="inlineStr">
        <is>
          <t>Q1 2022</t>
        </is>
      </c>
      <c r="AG4" s="35" t="inlineStr">
        <is>
          <t>Q2 2022</t>
        </is>
      </c>
      <c r="AH4" s="35" t="inlineStr">
        <is>
          <t>H1 2022</t>
        </is>
      </c>
      <c r="AI4" s="35" t="inlineStr">
        <is>
          <t>Q3 2022</t>
        </is>
      </c>
      <c r="AJ4" s="35" t="inlineStr">
        <is>
          <t>9M 2022</t>
        </is>
      </c>
      <c r="AK4" s="35" t="inlineStr">
        <is>
          <t>Q4 2022</t>
        </is>
      </c>
      <c r="AL4" s="35" t="inlineStr">
        <is>
          <t>FY2022</t>
        </is>
      </c>
      <c r="AM4" s="35" t="inlineStr">
        <is>
          <t>Q1 2023</t>
        </is>
      </c>
      <c r="AN4" s="35" t="inlineStr">
        <is>
          <t>Q2 2023</t>
        </is>
      </c>
      <c r="AO4" s="35" t="inlineStr">
        <is>
          <t>H1 2023</t>
        </is>
      </c>
      <c r="AP4" s="35" t="inlineStr">
        <is>
          <t>Q3 2023</t>
        </is>
      </c>
      <c r="AQ4" s="35" t="inlineStr">
        <is>
          <t>9M 2023</t>
        </is>
      </c>
      <c r="AR4" s="35" t="inlineStr">
        <is>
          <t>Q4 2023</t>
        </is>
      </c>
      <c r="AS4" s="35" t="inlineStr">
        <is>
          <t>FY2023</t>
        </is>
      </c>
      <c r="AT4" s="35" t="inlineStr">
        <is>
          <t>Q1 2024</t>
        </is>
      </c>
      <c r="AU4" s="35" t="inlineStr">
        <is>
          <t>Q2 2024</t>
        </is>
      </c>
      <c r="AV4" s="35" t="inlineStr">
        <is>
          <t>H1 2024</t>
        </is>
      </c>
      <c r="AW4" s="35" t="inlineStr">
        <is>
          <t>Q3 2024</t>
        </is>
      </c>
      <c r="AX4" s="35" t="inlineStr">
        <is>
          <t>Q4 2024</t>
        </is>
      </c>
      <c r="AY4" s="35" t="inlineStr">
        <is>
          <t>FY2024</t>
        </is>
      </c>
      <c r="AZ4" s="35" t="inlineStr">
        <is>
          <t>Q1 2025</t>
        </is>
      </c>
      <c r="BA4" s="35" t="inlineStr">
        <is>
          <t>Q2 2025</t>
        </is>
      </c>
      <c r="BB4" s="35" t="inlineStr">
        <is>
          <t>H1 2025</t>
        </is>
      </c>
      <c r="BC4" s="35" t="inlineStr">
        <is>
          <t>Q3 2025</t>
        </is>
      </c>
      <c r="BD4" s="35" t="inlineStr">
        <is>
          <t>Q4 2025</t>
        </is>
      </c>
      <c r="BE4" s="35" t="inlineStr">
        <is>
          <t>FY2025</t>
        </is>
      </c>
      <c r="BF4" s="35" t="inlineStr">
        <is>
          <t>Q1 2026</t>
        </is>
      </c>
      <c r="BG4" s="35" t="inlineStr">
        <is>
          <t>FY2026</t>
        </is>
      </c>
    </row>
    <row r="5">
      <c r="A5" s="36" t="inlineStr">
        <is>
          <t>Total Revenue</t>
        </is>
      </c>
      <c r="B5" s="45" t="n">
        <v>10.8</v>
      </c>
      <c r="C5" s="45" t="n">
        <v>27</v>
      </c>
      <c r="D5" s="45" t="n">
        <v>9.1</v>
      </c>
      <c r="E5" s="45" t="n">
        <v>36.2</v>
      </c>
      <c r="F5" s="45" t="n">
        <v>12.1</v>
      </c>
      <c r="G5" s="45" t="n">
        <v>9.300000000000001</v>
      </c>
      <c r="H5" s="45" t="n">
        <v>21.4</v>
      </c>
      <c r="I5" s="48" t="n">
        <v>16.6</v>
      </c>
      <c r="J5" s="48" t="n">
        <v>37.9</v>
      </c>
      <c r="K5" s="48" t="n">
        <v>14.7</v>
      </c>
      <c r="L5" s="48" t="n">
        <v>52.6</v>
      </c>
      <c r="M5" s="48" t="n">
        <v>14.5</v>
      </c>
      <c r="N5" s="48" t="n">
        <v>16.1</v>
      </c>
      <c r="O5" s="48" t="n">
        <v>30.6</v>
      </c>
      <c r="P5" s="48" t="n">
        <v>20.4</v>
      </c>
      <c r="Q5" s="48" t="n">
        <v>51</v>
      </c>
      <c r="R5" s="48" t="n">
        <v>24.1</v>
      </c>
      <c r="S5" s="48" t="n">
        <v>75.09999999999999</v>
      </c>
      <c r="T5" s="45" t="n">
        <v>28.2</v>
      </c>
      <c r="U5" s="45" t="n">
        <v>30</v>
      </c>
      <c r="V5" s="45" t="n">
        <v>36.8</v>
      </c>
      <c r="W5" s="48" t="n">
        <v>35.7</v>
      </c>
      <c r="X5" s="45" t="n">
        <v>131</v>
      </c>
      <c r="Y5" s="45" t="n">
        <v>50</v>
      </c>
      <c r="Z5" s="48" t="n">
        <v>65.09999999999999</v>
      </c>
      <c r="AA5" s="48" t="n">
        <v>115</v>
      </c>
      <c r="AB5" s="48" t="n">
        <v>94.90000000000001</v>
      </c>
      <c r="AD5" s="45" t="n">
        <v>104</v>
      </c>
      <c r="AE5" s="48" t="n">
        <v>314</v>
      </c>
      <c r="AF5" s="48" t="n">
        <v>133.4</v>
      </c>
      <c r="AG5" s="48" t="n">
        <v>154</v>
      </c>
      <c r="AI5" s="48" t="n">
        <v>188.2</v>
      </c>
      <c r="AK5" s="48" t="n">
        <v>178</v>
      </c>
      <c r="AL5" s="48" t="n">
        <v>654</v>
      </c>
      <c r="AM5" s="48" t="n">
        <v>260</v>
      </c>
      <c r="AN5" s="48" t="n">
        <v>326</v>
      </c>
      <c r="AO5" s="48" t="n">
        <v>586</v>
      </c>
      <c r="AP5" s="48" t="n">
        <v>385</v>
      </c>
      <c r="AQ5" s="48" t="n">
        <v>971</v>
      </c>
      <c r="AR5" s="48" t="n">
        <v>347</v>
      </c>
      <c r="AS5" s="48" t="n">
        <v>1300</v>
      </c>
      <c r="AT5" s="48" t="n">
        <v>355.7</v>
      </c>
      <c r="AU5" s="45" t="n">
        <v>402</v>
      </c>
      <c r="AV5" s="45" t="n">
        <v>759</v>
      </c>
      <c r="AW5" s="45" t="n">
        <v>265</v>
      </c>
      <c r="AX5" s="45" t="n">
        <v>332.2</v>
      </c>
      <c r="AY5" s="48" t="n">
        <v>1360</v>
      </c>
      <c r="AZ5" s="48" t="n">
        <v>329.3</v>
      </c>
      <c r="BA5" s="48" t="n">
        <v>739.3</v>
      </c>
      <c r="BB5" s="48" t="n">
        <v>1070</v>
      </c>
      <c r="BC5" s="48" t="n">
        <v>725</v>
      </c>
      <c r="BE5" s="48" t="n">
        <v>1460</v>
      </c>
      <c r="BF5" s="48" t="n">
        <v>783</v>
      </c>
    </row>
    <row r="6">
      <c r="A6" s="36" t="inlineStr">
        <is>
          <t>North America Revenue</t>
        </is>
      </c>
      <c r="B6" s="45" t="n">
        <v>5.9</v>
      </c>
      <c r="D6" s="45" t="n">
        <v>6.7</v>
      </c>
      <c r="E6" s="45" t="n">
        <v>24</v>
      </c>
      <c r="I6" s="48" t="n">
        <v>11.4</v>
      </c>
      <c r="K6" s="48" t="n">
        <v>10.9</v>
      </c>
      <c r="L6" s="48" t="n">
        <v>38.9</v>
      </c>
      <c r="M6" s="48" t="n">
        <v>11.4</v>
      </c>
      <c r="N6" s="45" t="n">
        <v>14.4</v>
      </c>
      <c r="P6" s="48" t="n">
        <v>16.8</v>
      </c>
      <c r="R6" s="48" t="n">
        <v>17.1</v>
      </c>
      <c r="S6" s="48" t="n">
        <v>60</v>
      </c>
      <c r="T6" s="45" t="n">
        <v>19.4</v>
      </c>
      <c r="U6" s="45" t="n">
        <v>20.8</v>
      </c>
      <c r="V6" s="45" t="n">
        <v>26.9</v>
      </c>
      <c r="W6" s="48" t="n">
        <v>28.4</v>
      </c>
      <c r="X6" s="45" t="n">
        <v>95</v>
      </c>
      <c r="Y6" s="45" t="n">
        <v>39</v>
      </c>
      <c r="Z6" s="48" t="n">
        <v>53.7</v>
      </c>
      <c r="AA6" s="48" t="n">
        <v>92.59999999999999</v>
      </c>
      <c r="AB6" s="48" t="n">
        <v>84.5</v>
      </c>
      <c r="AE6" s="48" t="n">
        <v>273</v>
      </c>
      <c r="AF6" s="48" t="n">
        <v>123.5</v>
      </c>
      <c r="AG6" s="48" t="n">
        <v>145.4</v>
      </c>
      <c r="AI6" s="48" t="n">
        <v>179.5</v>
      </c>
      <c r="AK6" s="48" t="n">
        <v>160</v>
      </c>
      <c r="AM6" s="48" t="n">
        <v>249</v>
      </c>
      <c r="AN6" s="48" t="n">
        <v>311</v>
      </c>
      <c r="AO6" s="48" t="n">
        <v>559</v>
      </c>
      <c r="AP6" s="48" t="n">
        <v>371</v>
      </c>
      <c r="AR6" s="48" t="n">
        <v>333</v>
      </c>
      <c r="AS6" s="48" t="n">
        <v>1270</v>
      </c>
      <c r="AT6" s="48" t="n">
        <v>339.5</v>
      </c>
      <c r="AX6" s="45" t="n">
        <v>311.9</v>
      </c>
      <c r="BB6" s="48" t="n">
        <v>1020</v>
      </c>
      <c r="BE6" s="48" t="n">
        <v>2422.5</v>
      </c>
    </row>
    <row r="7">
      <c r="A7" s="36" t="inlineStr">
        <is>
          <t>International Revenue</t>
        </is>
      </c>
      <c r="E7" s="45" t="n">
        <v>12.1</v>
      </c>
      <c r="F7" s="45" t="n">
        <v>4</v>
      </c>
      <c r="L7" s="48" t="n">
        <v>13.7</v>
      </c>
      <c r="M7" s="48" t="n">
        <v>3.1</v>
      </c>
      <c r="R7" s="45" t="n">
        <v>7.1</v>
      </c>
      <c r="U7" s="45" t="n">
        <v>9.199999999999999</v>
      </c>
      <c r="V7" s="45" t="n">
        <v>9.9</v>
      </c>
      <c r="W7" s="48" t="n">
        <v>7.3</v>
      </c>
      <c r="X7" s="45" t="n">
        <v>35</v>
      </c>
      <c r="Y7" s="45" t="n">
        <v>11</v>
      </c>
      <c r="Z7" s="48" t="n">
        <v>11.5</v>
      </c>
      <c r="AA7" s="48" t="n">
        <v>22.5</v>
      </c>
      <c r="AB7" s="48" t="n">
        <v>10.4</v>
      </c>
      <c r="AD7" s="45" t="n">
        <v>8.300000000000001</v>
      </c>
      <c r="AE7" s="48" t="n">
        <v>41</v>
      </c>
      <c r="AF7" s="48" t="n">
        <v>9.9</v>
      </c>
      <c r="AG7" s="48" t="n">
        <v>8.6</v>
      </c>
      <c r="AI7" s="48" t="n">
        <v>8.699999999999999</v>
      </c>
      <c r="AK7" s="48" t="n">
        <v>11.5</v>
      </c>
      <c r="AM7" s="48" t="n">
        <v>11.4</v>
      </c>
      <c r="AN7" s="48" t="n">
        <v>15.1</v>
      </c>
      <c r="AO7" s="48" t="n">
        <v>27</v>
      </c>
      <c r="AP7" s="48" t="n">
        <v>13.6</v>
      </c>
      <c r="AR7" s="48" t="n">
        <v>15</v>
      </c>
      <c r="AS7" s="48" t="n">
        <v>54.7</v>
      </c>
      <c r="AT7" s="45" t="n">
        <v>16.2</v>
      </c>
      <c r="AX7" s="45" t="n">
        <v>20.3</v>
      </c>
      <c r="AZ7" s="48" t="n">
        <v>22.8</v>
      </c>
      <c r="BB7" s="48" t="n">
        <v>48</v>
      </c>
      <c r="BE7" s="48" t="n">
        <v>92.8</v>
      </c>
    </row>
    <row r="8">
      <c r="A8" s="36" t="inlineStr">
        <is>
          <t>Europe Revenue</t>
        </is>
      </c>
      <c r="D8" s="45" t="n">
        <v>1.9</v>
      </c>
      <c r="K8" s="48" t="n">
        <v>2.1</v>
      </c>
      <c r="M8" s="45" t="n">
        <v>3</v>
      </c>
      <c r="N8" s="45" t="n">
        <v>1.3</v>
      </c>
      <c r="P8" s="48" t="n">
        <v>3.4</v>
      </c>
      <c r="R8" s="45" t="n">
        <v>6.8</v>
      </c>
      <c r="S8" s="48" t="n">
        <v>14.5</v>
      </c>
      <c r="T8" s="45" t="n">
        <v>8.5</v>
      </c>
      <c r="U8" s="45" t="n">
        <v>8.800000000000001</v>
      </c>
      <c r="W8" s="48" t="n">
        <v>6.9</v>
      </c>
      <c r="Y8" s="45" t="n">
        <v>10.4</v>
      </c>
      <c r="Z8" s="48" t="n">
        <v>10.8</v>
      </c>
      <c r="AB8" s="48" t="n">
        <v>9.5</v>
      </c>
      <c r="AF8" s="48" t="n">
        <v>8.5</v>
      </c>
      <c r="AG8" s="48" t="n">
        <v>7.3</v>
      </c>
      <c r="AI8" s="48" t="n">
        <v>7.5</v>
      </c>
    </row>
    <row r="9">
      <c r="A9" s="36" t="inlineStr">
        <is>
          <t>Asia Revenue</t>
        </is>
      </c>
      <c r="B9" s="45" t="n">
        <v>0.362</v>
      </c>
      <c r="D9" s="45" t="n">
        <v>0.435</v>
      </c>
      <c r="E9" s="45" t="n">
        <v>0.8</v>
      </c>
      <c r="I9" s="48" t="n">
        <v>1.4</v>
      </c>
      <c r="K9" s="48" t="n">
        <v>1.6</v>
      </c>
      <c r="L9" s="48" t="n">
        <v>4.3</v>
      </c>
      <c r="M9" s="45" t="n">
        <v>0.053</v>
      </c>
      <c r="N9" s="45" t="n">
        <v>0.381</v>
      </c>
      <c r="P9" s="45" t="n">
        <v>0.195</v>
      </c>
      <c r="R9" s="45" t="n">
        <v>0.212</v>
      </c>
      <c r="S9" s="48" t="n">
        <v>0.841</v>
      </c>
      <c r="T9" s="45" t="n">
        <v>0.268</v>
      </c>
      <c r="U9" s="45" t="n">
        <v>0.326</v>
      </c>
      <c r="V9" s="45" t="n">
        <v>0.275</v>
      </c>
      <c r="W9" s="48" t="n">
        <v>0.224</v>
      </c>
      <c r="Z9" s="48" t="n">
        <v>0.619</v>
      </c>
      <c r="AB9" s="48" t="n">
        <v>0.706</v>
      </c>
      <c r="AF9" s="48" t="n">
        <v>1</v>
      </c>
    </row>
    <row r="10">
      <c r="A10" s="36" t="inlineStr">
        <is>
          <t>Amazon Revenue</t>
        </is>
      </c>
      <c r="Y10" s="45" t="n">
        <v>7.9</v>
      </c>
      <c r="AE10" s="45" t="n">
        <v>32</v>
      </c>
      <c r="AF10" s="48" t="n">
        <v>13.8</v>
      </c>
      <c r="AG10" s="45" t="n">
        <v>14</v>
      </c>
      <c r="AI10" s="48" t="n">
        <v>16</v>
      </c>
      <c r="AL10" s="48" t="n">
        <v>58</v>
      </c>
      <c r="AM10" s="45" t="n">
        <v>21.8</v>
      </c>
      <c r="AP10" s="48" t="n">
        <v>22.2</v>
      </c>
      <c r="AT10" s="48" t="n">
        <v>28</v>
      </c>
    </row>
    <row r="11">
      <c r="A11" s="36" t="inlineStr">
        <is>
          <t>Gross Profit</t>
        </is>
      </c>
      <c r="D11" s="45" t="n">
        <v>3.8</v>
      </c>
      <c r="E11" s="45" t="n">
        <v>15.4</v>
      </c>
      <c r="F11" s="45" t="n">
        <v>4.8</v>
      </c>
      <c r="G11" s="45" t="n">
        <v>4</v>
      </c>
      <c r="H11" s="45" t="n">
        <v>8.699999999999999</v>
      </c>
      <c r="I11" s="48" t="n">
        <v>6.9</v>
      </c>
      <c r="J11" s="48" t="n">
        <v>15.6</v>
      </c>
      <c r="K11" s="48" t="n">
        <v>5.5</v>
      </c>
      <c r="L11" s="48" t="n">
        <v>21.1</v>
      </c>
      <c r="M11" s="48" t="n">
        <v>5.7</v>
      </c>
      <c r="N11" s="48" t="n">
        <v>6.9</v>
      </c>
      <c r="O11" s="48" t="n">
        <v>12.6</v>
      </c>
      <c r="P11" s="48" t="n">
        <v>8.6</v>
      </c>
      <c r="R11" s="48" t="n">
        <v>10.1</v>
      </c>
      <c r="S11" s="48" t="n">
        <v>31.3</v>
      </c>
      <c r="T11" s="45" t="n">
        <v>13</v>
      </c>
      <c r="U11" s="45" t="n">
        <v>13</v>
      </c>
      <c r="V11" s="45" t="n">
        <v>17.5</v>
      </c>
      <c r="W11" s="48" t="n">
        <v>17.4</v>
      </c>
      <c r="X11" s="45" t="n">
        <v>61</v>
      </c>
      <c r="Y11" s="45" t="n">
        <v>20.6</v>
      </c>
      <c r="Z11" s="48" t="n">
        <v>28.2</v>
      </c>
      <c r="AA11" s="48" t="n">
        <v>48.8</v>
      </c>
      <c r="AB11" s="48" t="n">
        <v>37.7</v>
      </c>
      <c r="AD11" s="45" t="n">
        <v>42</v>
      </c>
      <c r="AE11" s="48" t="n">
        <v>128</v>
      </c>
      <c r="AF11" s="48" t="n">
        <v>53.9</v>
      </c>
      <c r="AG11" s="48" t="n">
        <v>59.3</v>
      </c>
      <c r="AI11" s="48" t="n">
        <v>78.7</v>
      </c>
      <c r="AK11" s="48" t="n">
        <v>79</v>
      </c>
      <c r="AL11" s="48" t="n">
        <v>271</v>
      </c>
      <c r="AM11" s="48" t="n">
        <v>114</v>
      </c>
      <c r="AN11" s="48" t="n">
        <v>159</v>
      </c>
      <c r="AO11" s="48" t="n">
        <v>273</v>
      </c>
      <c r="AP11" s="48" t="n">
        <v>194</v>
      </c>
      <c r="AQ11" s="48" t="n">
        <v>467</v>
      </c>
      <c r="AR11" s="48" t="n">
        <v>166</v>
      </c>
      <c r="AS11" s="48" t="n">
        <v>633</v>
      </c>
      <c r="AT11" s="48" t="n">
        <v>182.2</v>
      </c>
      <c r="AU11" s="45" t="n">
        <v>209</v>
      </c>
      <c r="AX11" s="45" t="n">
        <v>166.7</v>
      </c>
      <c r="AY11" s="48" t="n">
        <v>680</v>
      </c>
      <c r="AZ11" s="48" t="n">
        <v>172.4</v>
      </c>
      <c r="BA11" s="48" t="n">
        <v>381</v>
      </c>
      <c r="BD11" s="48" t="n">
        <v>341.8</v>
      </c>
      <c r="BE11" s="48" t="n">
        <v>1270</v>
      </c>
    </row>
    <row r="12">
      <c r="A12" s="36" t="inlineStr">
        <is>
          <t>Gross Margin</t>
        </is>
      </c>
      <c r="B12" s="46" t="n">
        <v>0.433</v>
      </c>
      <c r="C12" s="46" t="n">
        <v>0.43</v>
      </c>
      <c r="D12" s="46" t="n">
        <v>0.416</v>
      </c>
      <c r="E12" s="46" t="n">
        <v>0.427</v>
      </c>
      <c r="F12" s="46" t="n">
        <v>0.395</v>
      </c>
      <c r="G12" s="46" t="n">
        <v>0.428</v>
      </c>
      <c r="H12" s="46" t="n">
        <v>0.409</v>
      </c>
      <c r="I12" s="50" t="n">
        <v>0.415</v>
      </c>
      <c r="J12" s="50" t="n">
        <v>0.412</v>
      </c>
      <c r="K12" s="50" t="n">
        <v>0.371</v>
      </c>
      <c r="L12" s="50" t="n">
        <v>0.4</v>
      </c>
      <c r="M12" s="50" t="n">
        <v>0.395</v>
      </c>
      <c r="N12" s="50" t="n">
        <v>0.426</v>
      </c>
      <c r="O12" s="50" t="n">
        <v>0.411</v>
      </c>
      <c r="P12" s="50" t="n">
        <v>0.422</v>
      </c>
      <c r="R12" s="50" t="n">
        <v>0.419</v>
      </c>
      <c r="S12" s="50" t="n">
        <v>0.42</v>
      </c>
      <c r="T12" s="46" t="n">
        <v>0.461</v>
      </c>
      <c r="U12" s="46" t="n">
        <v>0.433</v>
      </c>
      <c r="V12" s="46" t="n">
        <v>0.476</v>
      </c>
      <c r="W12" s="50" t="n">
        <v>0.489</v>
      </c>
      <c r="Y12" s="46" t="n">
        <v>0.411</v>
      </c>
      <c r="Z12" s="50" t="n">
        <v>0.434</v>
      </c>
      <c r="AB12" s="50" t="n">
        <v>0.4</v>
      </c>
      <c r="AF12" s="50" t="n">
        <v>0.404</v>
      </c>
      <c r="AG12" s="50" t="n">
        <v>0.385</v>
      </c>
      <c r="AI12" s="50" t="n">
        <v>0.418</v>
      </c>
      <c r="AK12" s="50" t="n">
        <v>0.444</v>
      </c>
      <c r="AM12" s="50" t="n">
        <v>0.44</v>
      </c>
      <c r="AN12" s="50" t="n">
        <v>0.488</v>
      </c>
      <c r="AO12" s="50" t="n">
        <v>0.47</v>
      </c>
      <c r="AP12" s="50" t="n">
        <v>0.504</v>
      </c>
      <c r="AR12" s="50" t="n">
        <v>0.48</v>
      </c>
      <c r="AS12" s="50" t="n">
        <v>0.48</v>
      </c>
      <c r="AT12" s="50" t="n">
        <v>0.512</v>
      </c>
      <c r="AU12" s="46" t="n">
        <v>0.52</v>
      </c>
      <c r="AV12" s="46" t="n">
        <v>0.516</v>
      </c>
      <c r="AW12" s="46" t="n">
        <v>0.46</v>
      </c>
      <c r="AX12" s="50" t="n">
        <v>0.502</v>
      </c>
      <c r="AY12" s="50" t="n">
        <v>0.502</v>
      </c>
      <c r="AZ12" s="50" t="n">
        <v>0.523</v>
      </c>
      <c r="BA12" s="50" t="n">
        <v>0.515</v>
      </c>
      <c r="BB12" s="50" t="n">
        <v>0.518</v>
      </c>
      <c r="BC12" s="50" t="n">
        <v>0.513</v>
      </c>
      <c r="BD12" s="50" t="n">
        <v>0.474</v>
      </c>
      <c r="BE12" s="50" t="n">
        <v>0.504</v>
      </c>
      <c r="BF12" s="50" t="n">
        <v>0.483</v>
      </c>
    </row>
    <row r="13">
      <c r="A13" s="36" t="inlineStr">
        <is>
          <t>Selling &amp; Marketing</t>
        </is>
      </c>
      <c r="I13" s="48" t="n">
        <v>8.699999999999999</v>
      </c>
      <c r="J13" s="48" t="n">
        <v>18.4</v>
      </c>
      <c r="K13" s="48" t="n">
        <v>2.8</v>
      </c>
      <c r="L13" s="48" t="n">
        <v>21.2</v>
      </c>
      <c r="M13" s="48" t="n">
        <v>3.6</v>
      </c>
      <c r="N13" s="48" t="n">
        <v>5.6</v>
      </c>
      <c r="O13" s="48" t="n">
        <v>9.199999999999999</v>
      </c>
      <c r="P13" s="48" t="n">
        <v>4.9</v>
      </c>
      <c r="R13" s="48" t="n">
        <v>7</v>
      </c>
      <c r="S13" s="48" t="n">
        <v>21.1</v>
      </c>
      <c r="W13" s="48" t="n">
        <v>11.2</v>
      </c>
      <c r="Z13" s="48" t="n">
        <v>15.5</v>
      </c>
      <c r="AB13" s="48" t="n">
        <v>22.6</v>
      </c>
      <c r="AE13" s="45" t="n">
        <v>75</v>
      </c>
      <c r="AF13" s="48" t="n">
        <v>31.6</v>
      </c>
      <c r="AI13" s="48" t="n">
        <v>198.8</v>
      </c>
      <c r="AK13" s="45" t="n">
        <v>90</v>
      </c>
      <c r="AL13" s="48" t="n">
        <v>353</v>
      </c>
      <c r="AM13" s="48" t="n">
        <v>48</v>
      </c>
      <c r="AN13" s="48" t="n">
        <v>63</v>
      </c>
      <c r="AP13" s="48" t="n">
        <v>73</v>
      </c>
      <c r="AR13" s="48" t="n">
        <v>80</v>
      </c>
      <c r="BA13" s="48" t="n">
        <v>152</v>
      </c>
    </row>
    <row r="14">
      <c r="A14" s="36" t="inlineStr">
        <is>
          <t>General &amp; Administrative</t>
        </is>
      </c>
      <c r="I14" s="48" t="n">
        <v>2.3</v>
      </c>
      <c r="J14" s="48" t="n">
        <v>7.4</v>
      </c>
      <c r="K14" s="48" t="n">
        <v>3</v>
      </c>
      <c r="L14" s="48" t="n">
        <v>10.5</v>
      </c>
      <c r="M14" s="48" t="n">
        <v>2.6</v>
      </c>
      <c r="N14" s="48" t="n">
        <v>2.4</v>
      </c>
      <c r="O14" s="48" t="n">
        <v>5.1</v>
      </c>
      <c r="P14" s="48" t="n">
        <v>2.2</v>
      </c>
      <c r="R14" s="48" t="n">
        <v>4.4</v>
      </c>
      <c r="S14" s="48" t="n">
        <v>11.6</v>
      </c>
      <c r="W14" s="48" t="n">
        <v>5.7</v>
      </c>
      <c r="Z14" s="48" t="n">
        <v>9.1</v>
      </c>
      <c r="AB14" s="48" t="n">
        <v>11.1</v>
      </c>
      <c r="AE14" s="45" t="n">
        <v>58</v>
      </c>
      <c r="AF14" s="48" t="n">
        <v>12.2</v>
      </c>
      <c r="AG14" s="48" t="n">
        <v>14.4</v>
      </c>
      <c r="AI14" s="48" t="n">
        <v>27.5</v>
      </c>
      <c r="AK14" s="45" t="n">
        <v>22</v>
      </c>
      <c r="AL14" s="48" t="n">
        <v>76</v>
      </c>
      <c r="AM14" s="48" t="n">
        <v>21</v>
      </c>
      <c r="AN14" s="48" t="n">
        <v>32</v>
      </c>
      <c r="AP14" s="48" t="n">
        <v>23</v>
      </c>
      <c r="AR14" s="48" t="n">
        <v>27</v>
      </c>
      <c r="AT14" s="48" t="n">
        <v>23.2</v>
      </c>
      <c r="AU14" s="45" t="n">
        <v>0.06</v>
      </c>
      <c r="BA14" s="48" t="n">
        <v>86</v>
      </c>
    </row>
    <row r="15">
      <c r="A15" s="36" t="inlineStr">
        <is>
          <t>Net Income</t>
        </is>
      </c>
      <c r="F15" s="45" t="n">
        <v>-2.9</v>
      </c>
      <c r="I15" s="48" t="n">
        <v>-4.2</v>
      </c>
      <c r="J15" s="48" t="n">
        <v>-10.5</v>
      </c>
      <c r="K15" s="48" t="n">
        <v>-0.893</v>
      </c>
      <c r="L15" s="48" t="n">
        <v>-11.4</v>
      </c>
      <c r="M15" s="48" t="n">
        <v>11.7</v>
      </c>
      <c r="N15" s="48" t="n">
        <v>-1.5</v>
      </c>
      <c r="O15" s="48" t="n">
        <v>10.2</v>
      </c>
      <c r="P15" s="48" t="n">
        <v>0.961</v>
      </c>
      <c r="Q15" s="48" t="n">
        <v>11.1</v>
      </c>
      <c r="R15" s="48" t="n">
        <v>-1.1</v>
      </c>
      <c r="S15" s="48" t="n">
        <v>10</v>
      </c>
      <c r="T15" s="45" t="n">
        <v>0.546</v>
      </c>
      <c r="U15" s="45" t="n">
        <v>1.6</v>
      </c>
      <c r="V15" s="45" t="n">
        <v>4.8</v>
      </c>
      <c r="W15" s="48" t="n">
        <v>1.7</v>
      </c>
      <c r="Y15" s="45" t="n">
        <v>0.6</v>
      </c>
      <c r="Z15" s="48" t="n">
        <v>3.9</v>
      </c>
      <c r="AA15" s="48" t="n">
        <v>4.5</v>
      </c>
      <c r="AB15" s="48" t="n">
        <v>2.7</v>
      </c>
      <c r="AE15" s="48" t="n">
        <v>3.9</v>
      </c>
      <c r="AF15" s="48" t="n">
        <v>6.7</v>
      </c>
      <c r="AG15" s="48" t="n">
        <v>9.199999999999999</v>
      </c>
      <c r="AP15" s="48" t="n">
        <v>70.5</v>
      </c>
      <c r="AR15" s="45" t="n">
        <v>50.1</v>
      </c>
      <c r="AS15" s="45" t="n">
        <v>227</v>
      </c>
      <c r="AT15" s="48" t="n">
        <v>65</v>
      </c>
      <c r="AU15" s="45" t="n">
        <v>79.8</v>
      </c>
      <c r="AX15" s="48" t="n">
        <v>-18.9</v>
      </c>
      <c r="AY15" s="48" t="n">
        <v>145</v>
      </c>
      <c r="AZ15" s="48" t="n">
        <v>34.4</v>
      </c>
      <c r="BA15" s="48" t="n">
        <v>99.59999999999999</v>
      </c>
      <c r="BE15" s="48" t="n">
        <v>108</v>
      </c>
      <c r="BF15" s="48" t="n">
        <v>110</v>
      </c>
    </row>
    <row r="16">
      <c r="A16" s="36" t="inlineStr">
        <is>
          <t>Adjusted EBITDA</t>
        </is>
      </c>
      <c r="F16" s="45" t="n">
        <v>-2.1</v>
      </c>
      <c r="G16" s="45" t="n">
        <v>-0.261</v>
      </c>
      <c r="H16" s="45" t="n">
        <v>-0.12</v>
      </c>
      <c r="I16" s="48" t="n">
        <v>-2.9</v>
      </c>
      <c r="J16" s="48" t="n">
        <v>-6</v>
      </c>
      <c r="K16" s="48" t="n">
        <v>0.785</v>
      </c>
      <c r="L16" s="48" t="n">
        <v>-6.3</v>
      </c>
      <c r="M16" s="48" t="n">
        <v>0.878</v>
      </c>
      <c r="N16" s="48" t="n">
        <v>-0.015</v>
      </c>
      <c r="O16" s="48" t="n">
        <v>0.863</v>
      </c>
      <c r="P16" s="48" t="n">
        <v>2.4</v>
      </c>
      <c r="R16" s="48" t="n">
        <v>0.607</v>
      </c>
      <c r="S16" s="48" t="n">
        <v>4</v>
      </c>
      <c r="T16" s="45" t="n">
        <v>2.8</v>
      </c>
      <c r="W16" s="48" t="n">
        <v>3</v>
      </c>
      <c r="Z16" s="48" t="n">
        <v>7.9</v>
      </c>
      <c r="AA16" s="48" t="n">
        <v>12.9</v>
      </c>
      <c r="AF16" s="48" t="n">
        <v>14.8</v>
      </c>
      <c r="AI16" s="45" t="n">
        <v>25</v>
      </c>
      <c r="AM16" s="48" t="n">
        <v>48.7</v>
      </c>
      <c r="AP16" s="45" t="n">
        <v>103.6</v>
      </c>
      <c r="AT16" s="48" t="n">
        <v>88</v>
      </c>
      <c r="AU16" s="45" t="n">
        <v>100</v>
      </c>
      <c r="AV16" s="45" t="n">
        <v>188</v>
      </c>
      <c r="AX16" s="45" t="n">
        <v>62.9</v>
      </c>
      <c r="AY16" s="48" t="n">
        <v>88</v>
      </c>
      <c r="AZ16" s="48" t="n">
        <v>69.7</v>
      </c>
      <c r="BA16" s="48" t="n">
        <v>210</v>
      </c>
      <c r="BB16" s="48" t="n">
        <v>280</v>
      </c>
      <c r="BE16" s="48" t="n">
        <v>619.6</v>
      </c>
      <c r="BF16" s="48" t="n">
        <v>195</v>
      </c>
    </row>
    <row r="17">
      <c r="A17" s="36" t="inlineStr">
        <is>
          <t>Operating Cash Flow</t>
        </is>
      </c>
      <c r="F17" s="45" t="n">
        <v>4.3</v>
      </c>
      <c r="H17" s="45" t="n">
        <v>-5.8</v>
      </c>
      <c r="L17" s="48" t="n">
        <v>-11.6</v>
      </c>
      <c r="S17" s="48" t="n">
        <v>1</v>
      </c>
      <c r="Y17" s="45" t="n">
        <v>-13.3</v>
      </c>
      <c r="AC17" s="48" t="n">
        <v>-52</v>
      </c>
      <c r="AE17" s="45" t="n">
        <v>-97</v>
      </c>
      <c r="AF17" s="48" t="n">
        <v>9.1</v>
      </c>
      <c r="AH17" s="45" t="n">
        <v>42</v>
      </c>
      <c r="AJ17" s="49">
        <f>AQ17/(1+0.2)</f>
        <v/>
      </c>
      <c r="AL17" s="45" t="n">
        <v>108</v>
      </c>
      <c r="AM17" s="48" t="n">
        <v>-14</v>
      </c>
      <c r="AO17" s="48" t="n">
        <v>45</v>
      </c>
      <c r="AQ17" s="48" t="n">
        <v>136</v>
      </c>
      <c r="AT17" s="48" t="n">
        <v>135</v>
      </c>
    </row>
    <row r="18">
      <c r="A18" s="36" t="inlineStr">
        <is>
          <t>Cash</t>
        </is>
      </c>
      <c r="B18" s="45" t="n">
        <v>14.2</v>
      </c>
      <c r="D18" s="45" t="n">
        <v>14.2</v>
      </c>
      <c r="E18" s="48" t="n">
        <v>14.2</v>
      </c>
      <c r="F18" s="45" t="n">
        <v>7.7</v>
      </c>
      <c r="G18" s="45" t="n">
        <v>7.7</v>
      </c>
      <c r="I18" s="45" t="n">
        <v>7.7</v>
      </c>
      <c r="L18" s="48" t="n">
        <v>7.7</v>
      </c>
      <c r="M18" s="45" t="n">
        <v>23.1</v>
      </c>
      <c r="N18" s="45" t="n">
        <v>23.1</v>
      </c>
      <c r="P18" s="45" t="n">
        <v>23.1</v>
      </c>
      <c r="S18" s="48" t="n">
        <v>23.1</v>
      </c>
      <c r="T18" s="45" t="n">
        <v>43.2</v>
      </c>
      <c r="U18" s="45" t="n">
        <v>43.2</v>
      </c>
      <c r="V18" s="45" t="n">
        <v>43.2</v>
      </c>
      <c r="X18" s="48" t="n">
        <v>43.2</v>
      </c>
      <c r="Y18" s="45" t="n">
        <v>16.3</v>
      </c>
      <c r="Z18" s="48" t="n">
        <v>83.8</v>
      </c>
      <c r="AB18" s="48" t="n">
        <v>61.4</v>
      </c>
      <c r="AE18" s="48" t="n">
        <v>16.3</v>
      </c>
      <c r="AF18" s="48" t="n">
        <v>25.5</v>
      </c>
      <c r="AM18" s="48" t="n">
        <v>634</v>
      </c>
      <c r="AZ18" s="48" t="n">
        <v>977</v>
      </c>
      <c r="BE18" s="48" t="n">
        <v>398.9</v>
      </c>
    </row>
    <row r="19">
      <c r="A19" s="36" t="inlineStr">
        <is>
          <t>Working Capital</t>
        </is>
      </c>
      <c r="B19" s="45" t="n">
        <v>20.6</v>
      </c>
      <c r="D19" s="45" t="n">
        <v>20.5</v>
      </c>
      <c r="E19" s="48" t="n">
        <v>20.6</v>
      </c>
      <c r="F19" s="45" t="n">
        <v>19.6</v>
      </c>
      <c r="G19" s="45" t="n">
        <v>19.6</v>
      </c>
      <c r="I19" s="45" t="n">
        <v>19.6</v>
      </c>
      <c r="L19" s="48" t="n">
        <v>20.2</v>
      </c>
      <c r="M19" s="45" t="n">
        <v>24.8</v>
      </c>
      <c r="N19" s="45" t="n">
        <v>24.8</v>
      </c>
      <c r="P19" s="45" t="n">
        <v>24.8</v>
      </c>
      <c r="S19" s="48" t="n">
        <v>24.8</v>
      </c>
      <c r="T19" s="45" t="n">
        <v>64.90000000000001</v>
      </c>
      <c r="U19" s="45" t="n">
        <v>66.19999999999999</v>
      </c>
      <c r="V19" s="45" t="n">
        <v>65</v>
      </c>
      <c r="X19" s="48" t="n">
        <v>64.90000000000001</v>
      </c>
      <c r="Z19" s="48" t="n">
        <v>151</v>
      </c>
      <c r="AB19" s="48" t="n">
        <v>157</v>
      </c>
      <c r="AE19" s="48" t="n">
        <v>169</v>
      </c>
      <c r="AF19" s="48" t="n">
        <v>186.5</v>
      </c>
      <c r="AM19" s="48" t="n">
        <v>801</v>
      </c>
    </row>
    <row r="20">
      <c r="A20" s="39" t="inlineStr">
        <is>
          <t>— Other metrics —</t>
        </is>
      </c>
      <c r="B20" s="40" t="n"/>
      <c r="C20" s="40" t="n"/>
      <c r="D20" s="40" t="n"/>
      <c r="E20" s="40" t="n"/>
      <c r="F20" s="40" t="n"/>
      <c r="G20" s="40" t="n"/>
      <c r="H20" s="40" t="n"/>
      <c r="I20" s="40" t="n"/>
      <c r="J20" s="40" t="n"/>
      <c r="K20" s="40" t="n"/>
      <c r="L20" s="40" t="n"/>
      <c r="M20" s="40" t="n"/>
      <c r="N20" s="40" t="n"/>
      <c r="O20" s="40" t="n"/>
      <c r="P20" s="40" t="n"/>
      <c r="Q20" s="40" t="n"/>
      <c r="R20" s="40" t="n"/>
      <c r="S20" s="40" t="n"/>
      <c r="T20" s="40" t="n"/>
      <c r="U20" s="40" t="n"/>
      <c r="V20" s="40" t="n"/>
      <c r="W20" s="40" t="n"/>
      <c r="X20" s="40" t="n"/>
      <c r="Y20" s="40" t="n"/>
      <c r="Z20" s="40" t="n"/>
      <c r="AA20" s="40" t="n"/>
      <c r="AB20" s="40" t="n"/>
      <c r="AC20" s="40" t="n"/>
      <c r="AD20" s="40" t="n"/>
      <c r="AE20" s="40" t="n"/>
      <c r="AF20" s="40" t="n"/>
      <c r="AG20" s="40" t="n"/>
      <c r="AH20" s="40" t="n"/>
      <c r="AI20" s="40" t="n"/>
      <c r="AJ20" s="40" t="n"/>
      <c r="AK20" s="40" t="n"/>
      <c r="AL20" s="40" t="n"/>
      <c r="AM20" s="40" t="n"/>
      <c r="AN20" s="40" t="n"/>
      <c r="AO20" s="40" t="n"/>
      <c r="AP20" s="40" t="n"/>
      <c r="AQ20" s="40" t="n"/>
      <c r="AR20" s="40" t="n"/>
      <c r="AS20" s="40" t="n"/>
      <c r="AT20" s="40" t="n"/>
      <c r="AU20" s="40" t="n"/>
      <c r="AV20" s="40" t="n"/>
      <c r="AW20" s="40" t="n"/>
      <c r="AX20" s="40" t="n"/>
      <c r="AY20" s="40" t="n"/>
      <c r="AZ20" s="40" t="n"/>
      <c r="BA20" s="40" t="n"/>
      <c r="BB20" s="40" t="n"/>
      <c r="BC20" s="40" t="n"/>
      <c r="BD20" s="40" t="n"/>
      <c r="BE20" s="40" t="n"/>
      <c r="BF20" s="40" t="n"/>
      <c r="BG20" s="40" t="n"/>
    </row>
    <row r="21">
      <c r="A21" t="inlineStr">
        <is>
          <t>% of MULO+C stores DSD-serviced</t>
        </is>
      </c>
      <c r="AE21" s="50" t="n">
        <v>0.65</v>
      </c>
    </row>
    <row r="22">
      <c r="A22" t="inlineStr">
        <is>
          <t>12-week growth</t>
        </is>
      </c>
      <c r="AG22" s="50" t="n">
        <v>1.94</v>
      </c>
      <c r="AK22" s="50" t="n">
        <v>0.1</v>
      </c>
    </row>
    <row r="23">
      <c r="A23" t="inlineStr">
        <is>
          <t>2-week growth</t>
        </is>
      </c>
      <c r="AK23" s="50" t="n">
        <v>0.1</v>
      </c>
    </row>
    <row r="24">
      <c r="A24" t="inlineStr">
        <is>
          <t>4-week growth</t>
        </is>
      </c>
      <c r="AG24" s="50" t="n">
        <v>1.43</v>
      </c>
    </row>
    <row r="25">
      <c r="A25" t="inlineStr">
        <is>
          <t>7-Eleven DSD Transition</t>
        </is>
      </c>
      <c r="W25" s="48" t="n">
        <v>2021</v>
      </c>
    </row>
    <row r="26">
      <c r="A26" t="inlineStr">
        <is>
          <t>Accrued distributor termination fees</t>
        </is>
      </c>
      <c r="BE26" s="48" t="n">
        <v>264.1</v>
      </c>
    </row>
    <row r="27">
      <c r="A27" t="inlineStr">
        <is>
          <t>Acquisition &amp; integration adj</t>
        </is>
      </c>
      <c r="BE27" s="48" t="n">
        <v>-60.2</v>
      </c>
    </row>
    <row r="28">
      <c r="A28" t="inlineStr">
        <is>
          <t>Acquisition-related costs</t>
        </is>
      </c>
      <c r="BA28" s="48" t="n">
        <v>16</v>
      </c>
      <c r="BE28" s="48" t="n">
        <v>60</v>
      </c>
    </row>
    <row r="29">
      <c r="A29" t="inlineStr">
        <is>
          <t>Active co-packers</t>
        </is>
      </c>
      <c r="AE29" s="48" t="n">
        <v>13</v>
      </c>
    </row>
    <row r="30">
      <c r="A30" t="inlineStr">
        <is>
          <t>ACV (all channels)</t>
        </is>
      </c>
      <c r="AK30" s="50" t="n">
        <v>0.897</v>
      </c>
    </row>
    <row r="31">
      <c r="A31" t="inlineStr">
        <is>
          <t>Adj EBITDA &amp; one-time</t>
        </is>
      </c>
      <c r="J31" s="48" t="n">
        <v>2.1</v>
      </c>
    </row>
    <row r="32">
      <c r="A32" t="inlineStr">
        <is>
          <t>Adj EBITDA /one-time</t>
        </is>
      </c>
      <c r="L32" s="48" t="n">
        <v>2.2</v>
      </c>
    </row>
    <row r="33">
      <c r="A33" t="inlineStr">
        <is>
          <t>Adj. Gross Margin (ex-freight)</t>
        </is>
      </c>
      <c r="Z33" s="50" t="n">
        <v>0.518</v>
      </c>
      <c r="AB33" s="50" t="n">
        <v>0.498</v>
      </c>
    </row>
    <row r="34">
      <c r="A34" t="inlineStr">
        <is>
          <t>Adjusted Diluted EPS</t>
        </is>
      </c>
      <c r="AT34" s="45" t="n">
        <v>0.27</v>
      </c>
      <c r="AU34" s="45" t="n">
        <v>0.28</v>
      </c>
      <c r="AV34" s="45" t="n">
        <v>0.55</v>
      </c>
      <c r="AX34" s="48" t="n">
        <v>0.14</v>
      </c>
      <c r="AY34" s="48" t="n">
        <v>0.7</v>
      </c>
      <c r="AZ34" s="48" t="n">
        <v>0.18</v>
      </c>
      <c r="BA34" s="48" t="n">
        <v>0.47</v>
      </c>
      <c r="BB34" s="48" t="n">
        <v>0.65</v>
      </c>
      <c r="BE34" s="48" t="n">
        <v>1.34</v>
      </c>
    </row>
    <row r="35">
      <c r="A35" t="inlineStr">
        <is>
          <t>Adjusted EBITDA Margin</t>
        </is>
      </c>
      <c r="AR35" s="46" t="n">
        <v>0.189</v>
      </c>
      <c r="AT35" s="46" t="n">
        <v>0.247</v>
      </c>
      <c r="AX35" s="50" t="n">
        <v>0.189</v>
      </c>
      <c r="AY35" s="50" t="n">
        <v>0.15</v>
      </c>
      <c r="AZ35" s="50" t="n">
        <v>0.212</v>
      </c>
      <c r="BE35" s="50" t="n">
        <v>0.246</v>
      </c>
      <c r="BF35" s="50" t="n">
        <v>0.249</v>
      </c>
    </row>
    <row r="36">
      <c r="A36" t="inlineStr">
        <is>
          <t>Adjusted SG&amp;A % of Revenue</t>
        </is>
      </c>
      <c r="AZ36" s="46" t="n">
        <v>0.318</v>
      </c>
      <c r="BD36" s="50" t="n">
        <v>0.318</v>
      </c>
      <c r="BE36" s="50" t="n">
        <v>0.294</v>
      </c>
      <c r="BF36" s="50" t="n">
        <v>0.264</v>
      </c>
    </row>
    <row r="37">
      <c r="A37" t="inlineStr">
        <is>
          <t>Alani Nu brand</t>
        </is>
      </c>
      <c r="BA37" s="48" t="n">
        <v>301.2</v>
      </c>
    </row>
    <row r="38">
      <c r="A38" t="inlineStr">
        <is>
          <t>Alani Nu dollar share</t>
        </is>
      </c>
      <c r="AT38" s="46" t="n">
        <v>0.031</v>
      </c>
      <c r="AZ38" s="50" t="n">
        <v>0.053</v>
      </c>
    </row>
    <row r="39">
      <c r="A39" t="inlineStr">
        <is>
          <t>Alani Nu net sales</t>
        </is>
      </c>
      <c r="AZ39" s="45" t="n">
        <v>230</v>
      </c>
      <c r="BF39" s="48" t="n">
        <v>368</v>
      </c>
    </row>
    <row r="40">
      <c r="A40" t="inlineStr">
        <is>
          <t>Alani Nu retail sales growth</t>
        </is>
      </c>
      <c r="BE40" s="50" t="n">
        <v>1.01</v>
      </c>
    </row>
    <row r="41">
      <c r="A41" t="inlineStr">
        <is>
          <t>Amazon Energy Category Share (#1)</t>
        </is>
      </c>
      <c r="AP41" s="50" t="n">
        <v>0.214</v>
      </c>
    </row>
    <row r="42">
      <c r="A42" t="inlineStr">
        <is>
          <t>Amazon Energy Category Share (#2)</t>
        </is>
      </c>
      <c r="AN42" s="50" t="n">
        <v>0.186</v>
      </c>
    </row>
    <row r="43">
      <c r="A43" t="inlineStr">
        <is>
          <t>Amazon sales YTD 2022</t>
        </is>
      </c>
      <c r="AI43" s="48" t="n">
        <v>43</v>
      </c>
    </row>
    <row r="44">
      <c r="A44" t="inlineStr">
        <is>
          <t>Average Items Carried Per Store (MULOC)</t>
        </is>
      </c>
      <c r="AK44" s="48" t="n">
        <v>12.5</v>
      </c>
    </row>
    <row r="45">
      <c r="A45" t="inlineStr">
        <is>
          <t>Basic Shares</t>
        </is>
      </c>
      <c r="W45" s="48" t="n">
        <v>71.90000000000001</v>
      </c>
    </row>
    <row r="46">
      <c r="A46" t="inlineStr">
        <is>
          <t>Brand Celsius net sales</t>
        </is>
      </c>
      <c r="AY46" s="45" t="n">
        <v>1360</v>
      </c>
      <c r="AZ46" s="45" t="n">
        <v>328</v>
      </c>
      <c r="BF46" s="48" t="n">
        <v>348</v>
      </c>
    </row>
    <row r="47">
      <c r="A47" t="inlineStr">
        <is>
          <t>Cash (Mar 31, 2023)</t>
        </is>
      </c>
      <c r="AM47" s="48" t="n">
        <v>634</v>
      </c>
    </row>
    <row r="48">
      <c r="A48" t="inlineStr">
        <is>
          <t>Cash (year-end)</t>
        </is>
      </c>
      <c r="AL48" s="48" t="n">
        <v>653</v>
      </c>
    </row>
    <row r="49">
      <c r="A49" t="inlineStr">
        <is>
          <t>Cash on Hand (Mar 31, 2024)</t>
        </is>
      </c>
      <c r="AT49" s="48" t="n">
        <v>879.5</v>
      </c>
    </row>
    <row r="50">
      <c r="A50" t="inlineStr">
        <is>
          <t>Celsius brand</t>
        </is>
      </c>
      <c r="BA50" s="48" t="n">
        <v>438.1</v>
      </c>
    </row>
    <row r="51">
      <c r="A51" t="inlineStr">
        <is>
          <t>CELSIUS brand retail sales growth</t>
        </is>
      </c>
      <c r="BE51" s="50" t="n">
        <v>0.06</v>
      </c>
    </row>
    <row r="52">
      <c r="A52" t="inlineStr">
        <is>
          <t>CELSIUS brand revenue</t>
        </is>
      </c>
      <c r="AU52" s="45" t="n">
        <v>402</v>
      </c>
      <c r="AX52" s="46" t="n">
        <v>4</v>
      </c>
      <c r="BE52" s="48" t="n">
        <v>1457.7</v>
      </c>
    </row>
    <row r="53">
      <c r="A53" t="inlineStr">
        <is>
          <t>Celsius US tracked-channel dollar share</t>
        </is>
      </c>
      <c r="AZ53" s="50" t="n">
        <v>0.109</v>
      </c>
    </row>
    <row r="54">
      <c r="A54" t="inlineStr">
        <is>
          <t>China Note Interest Income</t>
        </is>
      </c>
      <c r="M54" s="48" t="n">
        <v>0.09</v>
      </c>
    </row>
    <row r="55">
      <c r="A55" t="inlineStr">
        <is>
          <t>Club channel revenue</t>
        </is>
      </c>
      <c r="AG55" s="48" t="n">
        <v>30.9</v>
      </c>
    </row>
    <row r="56">
      <c r="A56" t="inlineStr">
        <is>
          <t>Club Channel Sales</t>
        </is>
      </c>
      <c r="AE56" s="45" t="n">
        <v>40</v>
      </c>
      <c r="AF56" s="45" t="n">
        <v>26</v>
      </c>
      <c r="AG56" s="45" t="n">
        <v>31</v>
      </c>
      <c r="AI56" s="48" t="n">
        <v>34</v>
      </c>
      <c r="AK56" s="45" t="n">
        <v>47</v>
      </c>
      <c r="AL56" s="48" t="n">
        <v>138</v>
      </c>
      <c r="AM56" s="45" t="n">
        <v>46.5</v>
      </c>
      <c r="AN56" s="48" t="n">
        <v>68</v>
      </c>
      <c r="AP56" s="48" t="n">
        <v>63.2</v>
      </c>
      <c r="AT56" s="48" t="n">
        <v>63</v>
      </c>
    </row>
    <row r="57">
      <c r="A57" t="inlineStr">
        <is>
          <t>Combined business RTD energy mix</t>
        </is>
      </c>
      <c r="AY57" s="48" t="n">
        <v>2025</v>
      </c>
    </row>
    <row r="58">
      <c r="A58" t="inlineStr">
        <is>
          <t>Combined portfolio dollar share</t>
        </is>
      </c>
      <c r="AZ58" s="50" t="n">
        <v>0.162</v>
      </c>
    </row>
    <row r="59">
      <c r="A59" t="inlineStr">
        <is>
          <t>Contingent consideration</t>
        </is>
      </c>
      <c r="BE59" s="48" t="n">
        <v>25</v>
      </c>
    </row>
    <row r="60">
      <c r="A60" t="inlineStr">
        <is>
          <t>Convenience Channel ACV</t>
        </is>
      </c>
      <c r="P60" s="46" t="n">
        <v>0.138</v>
      </c>
      <c r="AE60" s="50" t="n">
        <v>0.44</v>
      </c>
      <c r="AF60" s="46" t="n">
        <v>0.5570000000000001</v>
      </c>
      <c r="AG60" s="46" t="n">
        <v>0.629</v>
      </c>
      <c r="AI60" s="46" t="n">
        <v>0.73</v>
      </c>
      <c r="AK60" s="50" t="n">
        <v>0.89</v>
      </c>
      <c r="AN60" s="50" t="n">
        <v>0.9490000000000001</v>
      </c>
      <c r="AP60" s="50" t="n">
        <v>0.956</v>
      </c>
    </row>
    <row r="61">
      <c r="A61" t="inlineStr">
        <is>
          <t>Convenience channel sales growth</t>
        </is>
      </c>
      <c r="AG61" s="50" t="n">
        <v>2.27</v>
      </c>
      <c r="AI61" s="50" t="n">
        <v>1.58</v>
      </c>
    </row>
    <row r="62">
      <c r="A62" t="inlineStr">
        <is>
          <t>Convenience Channel Store Locations</t>
        </is>
      </c>
      <c r="Z62" s="45" t="n">
        <v>42000</v>
      </c>
      <c r="AB62" s="45" t="n">
        <v>49000</v>
      </c>
      <c r="AG62" s="48" t="n">
        <v>82000</v>
      </c>
      <c r="AI62" s="48" t="n">
        <v>86000</v>
      </c>
    </row>
    <row r="63">
      <c r="A63" t="inlineStr">
        <is>
          <t>Cooler Rollout Phase 1</t>
        </is>
      </c>
      <c r="AE63" s="48" t="n">
        <v>2021</v>
      </c>
    </row>
    <row r="64">
      <c r="A64" t="inlineStr">
        <is>
          <t>Diluted EPS</t>
        </is>
      </c>
      <c r="M64" s="45" t="n">
        <v>0.19</v>
      </c>
      <c r="N64" s="45" t="n">
        <v>-0.03</v>
      </c>
      <c r="P64" s="45" t="n">
        <v>0.03</v>
      </c>
      <c r="T64" s="45" t="n">
        <v>0.01</v>
      </c>
      <c r="U64" s="45" t="n">
        <v>0.02</v>
      </c>
      <c r="V64" s="45" t="n">
        <v>0.06</v>
      </c>
      <c r="Y64" s="45" t="n">
        <v>0.01</v>
      </c>
      <c r="Z64" s="48" t="n">
        <v>0.05</v>
      </c>
      <c r="AB64" s="48" t="n">
        <v>0.04</v>
      </c>
      <c r="AF64" s="48" t="n">
        <v>0.09</v>
      </c>
      <c r="AG64" s="48" t="n">
        <v>0.12</v>
      </c>
      <c r="AI64" s="45" t="n">
        <v>-2.46</v>
      </c>
      <c r="AM64" s="45" t="n">
        <v>0.13</v>
      </c>
      <c r="AP64" s="48" t="n">
        <v>0.89</v>
      </c>
      <c r="AT64" s="48" t="n">
        <v>0.27</v>
      </c>
      <c r="AU64" s="45" t="n">
        <v>0.28</v>
      </c>
      <c r="AZ64" s="48" t="n">
        <v>0.15</v>
      </c>
      <c r="BA64" s="48" t="n">
        <v>0.33</v>
      </c>
      <c r="BE64" s="48" t="n">
        <v>0.25</v>
      </c>
    </row>
    <row r="65">
      <c r="A65" t="inlineStr">
        <is>
          <t>Distribution Termination Expenses</t>
        </is>
      </c>
      <c r="AL65" s="48" t="n">
        <v>194</v>
      </c>
    </row>
    <row r="66">
      <c r="A66" t="inlineStr">
        <is>
          <t>Distributor termination &amp; integration adj</t>
        </is>
      </c>
      <c r="BE66" s="48" t="n">
        <v>-327.5</v>
      </c>
    </row>
    <row r="67">
      <c r="A67" t="inlineStr">
        <is>
          <t>Distributor termination costs</t>
        </is>
      </c>
      <c r="AX67" s="45" t="n">
        <v>0</v>
      </c>
      <c r="BD67" s="48" t="n">
        <v>80.8</v>
      </c>
    </row>
    <row r="68">
      <c r="A68" t="inlineStr">
        <is>
          <t>DPO (days)</t>
        </is>
      </c>
      <c r="Z68" s="48" t="n">
        <v>31</v>
      </c>
    </row>
    <row r="69">
      <c r="A69" t="inlineStr">
        <is>
          <t>DSD distributor revenue growth</t>
        </is>
      </c>
      <c r="AF69" s="50" t="n">
        <v>3.95</v>
      </c>
    </row>
    <row r="70">
      <c r="A70" t="inlineStr">
        <is>
          <t>DSD incremental revenue</t>
        </is>
      </c>
      <c r="AG70" s="48" t="n">
        <v>41.8</v>
      </c>
    </row>
    <row r="71">
      <c r="A71" t="inlineStr">
        <is>
          <t>DSD network sales</t>
        </is>
      </c>
      <c r="AG71" s="48" t="n">
        <v>61.9</v>
      </c>
    </row>
    <row r="72">
      <c r="A72" t="inlineStr">
        <is>
          <t>DSD population coverage</t>
        </is>
      </c>
      <c r="AE72" s="50" t="n">
        <v>0.98</v>
      </c>
    </row>
    <row r="73">
      <c r="A73" t="inlineStr">
        <is>
          <t>DSD service centers</t>
        </is>
      </c>
      <c r="X73" s="45" t="n">
        <v>150</v>
      </c>
      <c r="AE73" s="48" t="n">
        <v>276</v>
      </c>
    </row>
    <row r="74">
      <c r="A74" t="inlineStr">
        <is>
          <t>DSO (days)</t>
        </is>
      </c>
      <c r="Z74" s="48" t="n">
        <v>45</v>
      </c>
    </row>
    <row r="75">
      <c r="A75" t="inlineStr">
        <is>
          <t>Earn-out contingent consideration charge</t>
        </is>
      </c>
      <c r="BA75" s="48" t="n">
        <v>13.8</v>
      </c>
    </row>
    <row r="76">
      <c r="A76" t="inlineStr">
        <is>
          <t>Effective tax rate (9 months)</t>
        </is>
      </c>
      <c r="AI76" s="50" t="n">
        <v>-0.335</v>
      </c>
    </row>
    <row r="77">
      <c r="A77" t="inlineStr">
        <is>
          <t>EPS</t>
        </is>
      </c>
      <c r="M77" s="48" t="n">
        <v>0.2</v>
      </c>
      <c r="O77" s="48" t="n">
        <v>0.18</v>
      </c>
      <c r="S77" s="48" t="n">
        <v>0.16</v>
      </c>
      <c r="W77" s="48" t="n">
        <v>0.02</v>
      </c>
    </row>
    <row r="78">
      <c r="A78" t="inlineStr">
        <is>
          <t>EPS Basic</t>
        </is>
      </c>
      <c r="P78" s="48" t="n">
        <v>0.02</v>
      </c>
      <c r="Q78" s="48" t="n">
        <v>0.19</v>
      </c>
    </row>
    <row r="79">
      <c r="A79" t="inlineStr">
        <is>
          <t>Foodservice as % of NA sales (via PepsiCo)</t>
        </is>
      </c>
      <c r="AZ79" s="50" t="n">
        <v>0.134</v>
      </c>
    </row>
    <row r="80">
      <c r="A80" t="inlineStr">
        <is>
          <t>Freight (% of net revenues)</t>
        </is>
      </c>
      <c r="AP80" s="50" t="n">
        <v>0.049</v>
      </c>
    </row>
    <row r="81">
      <c r="A81" t="inlineStr">
        <is>
          <t>Freight cost (Celsius brand) % of sales</t>
        </is>
      </c>
      <c r="BC81" s="50" t="n">
        <v>0.03</v>
      </c>
    </row>
    <row r="82">
      <c r="A82" t="inlineStr">
        <is>
          <t>Full-Year EBITDA 2020</t>
        </is>
      </c>
      <c r="W82" s="48" t="n">
        <v>15</v>
      </c>
    </row>
    <row r="83">
      <c r="A83" t="inlineStr">
        <is>
          <t>Full-Year Income 2020</t>
        </is>
      </c>
      <c r="W83" s="48" t="n">
        <v>8.5</v>
      </c>
    </row>
    <row r="84">
      <c r="A84" t="inlineStr">
        <is>
          <t>Fully Diluted Shares</t>
        </is>
      </c>
      <c r="W84" s="48" t="n">
        <v>76.5</v>
      </c>
    </row>
    <row r="85">
      <c r="A85" t="inlineStr">
        <is>
          <t>G&amp;A % of Revenue</t>
        </is>
      </c>
      <c r="Z85" s="46" t="n">
        <v>0.19</v>
      </c>
      <c r="AB85" s="46" t="n">
        <v>0.25</v>
      </c>
      <c r="AF85" s="50" t="n">
        <v>0.09</v>
      </c>
      <c r="AG85" s="50" t="n">
        <v>0.09</v>
      </c>
      <c r="AI85" s="50" t="n">
        <v>0.15</v>
      </c>
      <c r="AM85" s="50" t="n">
        <v>0.08</v>
      </c>
      <c r="AN85" s="50" t="n">
        <v>0.1</v>
      </c>
      <c r="AP85" s="50" t="n">
        <v>0.06</v>
      </c>
      <c r="AR85" s="50" t="n">
        <v>0.08</v>
      </c>
      <c r="AS85" s="50" t="n">
        <v>0.08</v>
      </c>
      <c r="AT85" s="50" t="n">
        <v>0.07000000000000001</v>
      </c>
      <c r="AY85" s="50" t="n">
        <v>0.128</v>
      </c>
      <c r="BA85" s="50" t="n">
        <v>0.117</v>
      </c>
    </row>
    <row r="86">
      <c r="A86" t="inlineStr">
        <is>
          <t>G&amp;A % of sales (ex-acquisition costs)</t>
        </is>
      </c>
      <c r="BC86" s="50" t="n">
        <v>0.06</v>
      </c>
    </row>
    <row r="87">
      <c r="A87" t="inlineStr">
        <is>
          <t>Gap (promos/incentives + non-DSD timing)</t>
        </is>
      </c>
      <c r="AZ87" s="48" t="n">
        <v>3</v>
      </c>
    </row>
    <row r="88">
      <c r="A88" t="inlineStr">
        <is>
          <t>Gross Margin ex inventory step-up</t>
        </is>
      </c>
      <c r="BA88" s="50" t="n">
        <v>0.54</v>
      </c>
    </row>
    <row r="89">
      <c r="A89" t="inlineStr">
        <is>
          <t>Gross margin sequential change (vs Q2)</t>
        </is>
      </c>
      <c r="AI89" s="48" t="n">
        <v>330</v>
      </c>
    </row>
    <row r="90">
      <c r="A90" t="inlineStr">
        <is>
          <t>Household Penetration</t>
        </is>
      </c>
      <c r="AI90" s="46" t="n">
        <v>0.111</v>
      </c>
      <c r="AP90" s="50" t="n">
        <v>0.25</v>
      </c>
    </row>
    <row r="91">
      <c r="A91" t="inlineStr">
        <is>
          <t>Incremental Cooler Placement</t>
        </is>
      </c>
      <c r="BE91" s="48" t="n">
        <v>2025</v>
      </c>
    </row>
    <row r="92">
      <c r="A92" t="inlineStr">
        <is>
          <t>Interest expense</t>
        </is>
      </c>
      <c r="BE92" s="48" t="n">
        <v>-49</v>
      </c>
    </row>
    <row r="93">
      <c r="A93" t="inlineStr">
        <is>
          <t>Interest income</t>
        </is>
      </c>
      <c r="BE93" s="48" t="n">
        <v>21.1</v>
      </c>
    </row>
    <row r="94">
      <c r="A94" t="inlineStr">
        <is>
          <t>International Cadence</t>
        </is>
      </c>
      <c r="AY94" s="48" t="n">
        <v>2025</v>
      </c>
    </row>
    <row r="95">
      <c r="A95" t="inlineStr">
        <is>
          <t>International cans on the books</t>
        </is>
      </c>
      <c r="AF95" s="48" t="n">
        <v>20</v>
      </c>
    </row>
    <row r="96">
      <c r="A96" t="inlineStr">
        <is>
          <t>International Revenue (ex-Canada)</t>
        </is>
      </c>
      <c r="AM96" s="45" t="n">
        <v>11.4</v>
      </c>
      <c r="AT96" s="48" t="n">
        <v>16.2</v>
      </c>
    </row>
    <row r="97">
      <c r="A97" t="inlineStr">
        <is>
          <t>Inventory Days on Hand</t>
        </is>
      </c>
      <c r="Z97" s="48" t="n">
        <v>155</v>
      </c>
    </row>
    <row r="98">
      <c r="A98" t="inlineStr">
        <is>
          <t>Inventory Increase</t>
        </is>
      </c>
      <c r="AC98" s="48" t="n">
        <v>104</v>
      </c>
    </row>
    <row r="99">
      <c r="A99" t="inlineStr">
        <is>
          <t>Inventory reduction in quarter</t>
        </is>
      </c>
      <c r="AF99" s="48" t="n">
        <v>-6</v>
      </c>
    </row>
    <row r="100">
      <c r="A100" t="inlineStr">
        <is>
          <t>Inventory valuation step-up (non-cash, FY)</t>
        </is>
      </c>
      <c r="BD100" s="48" t="n">
        <v>22.4</v>
      </c>
    </row>
    <row r="101">
      <c r="A101" t="inlineStr">
        <is>
          <t>June 9 Offering Net Proceeds (to Company)</t>
        </is>
      </c>
      <c r="Z101" s="48" t="n">
        <v>67.8</v>
      </c>
    </row>
    <row r="102">
      <c r="A102" t="inlineStr">
        <is>
          <t>Long-term debt</t>
        </is>
      </c>
      <c r="BE102" s="48" t="n">
        <v>669.9</v>
      </c>
    </row>
    <row r="103">
      <c r="A103" t="inlineStr">
        <is>
          <t>MULOC ACV</t>
        </is>
      </c>
      <c r="AG103" s="46" t="n">
        <v>0.7979999999999999</v>
      </c>
      <c r="AI103" s="46" t="n">
        <v>0.721</v>
      </c>
      <c r="AN103" s="50" t="n">
        <v>0.968</v>
      </c>
      <c r="AP103" s="50" t="n">
        <v>0.956</v>
      </c>
    </row>
    <row r="104">
      <c r="A104" t="inlineStr">
        <is>
          <t>MULOC Energy Market Share (#3)</t>
        </is>
      </c>
      <c r="AP104" s="50" t="n">
        <v>0.105</v>
      </c>
    </row>
    <row r="105">
      <c r="A105" t="inlineStr">
        <is>
          <t>MULOC locations serviced by DSD</t>
        </is>
      </c>
      <c r="AI105" s="50" t="n">
        <v>0.92</v>
      </c>
    </row>
    <row r="106">
      <c r="A106" t="inlineStr">
        <is>
          <t>MULOC Total Energy Share (#3 brand)</t>
        </is>
      </c>
      <c r="AN106" s="50" t="n">
        <v>0.08599999999999999</v>
      </c>
    </row>
    <row r="107">
      <c r="A107" t="inlineStr">
        <is>
          <t>Net Adj EBITDA /China Q4</t>
        </is>
      </c>
      <c r="K107" s="48" t="n">
        <v>0.135</v>
      </c>
    </row>
    <row r="108">
      <c r="A108" t="inlineStr">
        <is>
          <t>Net benefit (Celsius + Alani load-in)</t>
        </is>
      </c>
      <c r="BD108" s="48" t="n">
        <v>25</v>
      </c>
    </row>
    <row r="109">
      <c r="A109" t="inlineStr">
        <is>
          <t>Net Inventory</t>
        </is>
      </c>
      <c r="U109" s="45" t="n">
        <v>18.4</v>
      </c>
      <c r="X109" s="45" t="n">
        <v>18.4</v>
      </c>
      <c r="Z109" s="48" t="n">
        <v>63.8</v>
      </c>
      <c r="AE109" s="48" t="n">
        <v>191.2</v>
      </c>
    </row>
    <row r="110">
      <c r="A110" t="inlineStr">
        <is>
          <t>Net Loss Per Share</t>
        </is>
      </c>
      <c r="B110" s="45" t="n">
        <v>-0.04</v>
      </c>
      <c r="D110" s="45" t="n">
        <v>-0.12</v>
      </c>
      <c r="E110" s="45" t="n">
        <v>-0.19</v>
      </c>
      <c r="I110" s="48" t="n">
        <v>-0.08</v>
      </c>
      <c r="J110" s="48" t="n">
        <v>-0.21</v>
      </c>
      <c r="K110" s="48" t="n">
        <v>-0.02</v>
      </c>
      <c r="L110" s="48" t="n">
        <v>-0.23</v>
      </c>
      <c r="N110" s="48" t="n">
        <v>-0.03</v>
      </c>
      <c r="R110" s="48" t="n">
        <v>-0.02</v>
      </c>
    </row>
    <row r="111">
      <c r="A111" t="inlineStr">
        <is>
          <t>Net Working Capital (Mar 31, 2023)</t>
        </is>
      </c>
      <c r="AM111" s="48" t="n">
        <v>801</v>
      </c>
    </row>
    <row r="112">
      <c r="A112" t="inlineStr">
        <is>
          <t>Normalized Gross Margin ()</t>
        </is>
      </c>
      <c r="AB112" s="50" t="n">
        <v>0.472</v>
      </c>
    </row>
    <row r="113">
      <c r="A113" t="inlineStr">
        <is>
          <t>Op. Cash Flow ex-inventory build (6M)</t>
        </is>
      </c>
      <c r="Z113" s="48" t="n">
        <v>15.1</v>
      </c>
    </row>
    <row r="114">
      <c r="A114" t="inlineStr">
        <is>
          <t>Operating Cash Flow (6M)</t>
        </is>
      </c>
      <c r="Z114" s="48" t="n">
        <v>-30.3</v>
      </c>
    </row>
    <row r="115">
      <c r="A115" t="inlineStr">
        <is>
          <t>Operating Cash Flow FY</t>
        </is>
      </c>
      <c r="X115" s="48" t="n">
        <v>3.4</v>
      </c>
    </row>
    <row r="116">
      <c r="A116" t="inlineStr">
        <is>
          <t>Operational G&amp;A ex-stock-comp/D&amp;A (% of rev)</t>
        </is>
      </c>
      <c r="W116" s="50" t="n">
        <v>0.08800000000000001</v>
      </c>
    </row>
    <row r="117">
      <c r="A117" t="inlineStr">
        <is>
          <t>Other Income</t>
        </is>
      </c>
      <c r="H117" s="45" t="n">
        <v>-0.08</v>
      </c>
      <c r="O117" s="48" t="n">
        <v>11.9</v>
      </c>
      <c r="BE117" s="48" t="n">
        <v>13</v>
      </c>
    </row>
    <row r="118">
      <c r="A118" t="inlineStr">
        <is>
          <t>Other International Markets</t>
        </is>
      </c>
      <c r="Z118" s="48" t="n">
        <v>0.062</v>
      </c>
      <c r="AB118" s="48" t="n">
        <v>0.177</v>
      </c>
      <c r="AE118" s="48" t="n">
        <v>3.2</v>
      </c>
      <c r="AF118" s="48" t="n">
        <v>0.5</v>
      </c>
    </row>
    <row r="119">
      <c r="A119" t="inlineStr">
        <is>
          <t>Portfolio retail sales growth</t>
        </is>
      </c>
      <c r="BE119" s="50" t="n">
        <v>0.22</v>
      </c>
    </row>
    <row r="120">
      <c r="A120" t="inlineStr">
        <is>
          <t>Prepaids tied to raw materials</t>
        </is>
      </c>
      <c r="AB120" s="48" t="n">
        <v>40</v>
      </c>
    </row>
    <row r="121">
      <c r="A121" t="inlineStr">
        <is>
          <t>Pro-Forma Net Leverage</t>
        </is>
      </c>
      <c r="BA121" s="48" t="n">
        <v>1</v>
      </c>
    </row>
    <row r="122">
      <c r="A122" t="inlineStr">
        <is>
          <t>Protein shakes share of 2024 sales</t>
        </is>
      </c>
      <c r="AY122" s="50" t="n">
        <v>0.06</v>
      </c>
    </row>
    <row r="123">
      <c r="A123" t="inlineStr">
        <is>
          <t>Purchase accounting inventory step-up</t>
        </is>
      </c>
      <c r="BA123" s="48" t="n">
        <v>21.7</v>
      </c>
    </row>
    <row r="124">
      <c r="A124" t="inlineStr">
        <is>
          <t>Quarter growth</t>
        </is>
      </c>
      <c r="AG124" s="50" t="n">
        <v>1.85</v>
      </c>
      <c r="AK124" s="50" t="n">
        <v>0.1</v>
      </c>
    </row>
    <row r="125">
      <c r="A125" t="inlineStr">
        <is>
          <t>Restricted cash</t>
        </is>
      </c>
      <c r="BE125" s="48" t="n">
        <v>141.1</v>
      </c>
    </row>
    <row r="126">
      <c r="A126" t="inlineStr">
        <is>
          <t>Retail Sales Growth</t>
        </is>
      </c>
      <c r="AY126" s="50" t="n">
        <v>0.22</v>
      </c>
    </row>
    <row r="127">
      <c r="A127" t="inlineStr">
        <is>
          <t>Revenue CAGR (2022-2024)</t>
        </is>
      </c>
      <c r="AY127" s="50" t="n">
        <v>0.49</v>
      </c>
    </row>
    <row r="128">
      <c r="A128" t="inlineStr">
        <is>
          <t>Rockstar combined Q3 impact</t>
        </is>
      </c>
      <c r="BC128" s="48" t="n">
        <v>18</v>
      </c>
    </row>
    <row r="129">
      <c r="A129" t="inlineStr">
        <is>
          <t>Rockstar Energy retail sales growth</t>
        </is>
      </c>
      <c r="BE129" s="50" t="n">
        <v>-0.11</v>
      </c>
    </row>
    <row r="130">
      <c r="A130" t="inlineStr">
        <is>
          <t>Rockstar Energy revenue</t>
        </is>
      </c>
      <c r="AX130" s="45" t="n">
        <v>28</v>
      </c>
      <c r="BE130" s="48" t="n">
        <v>55.6</v>
      </c>
    </row>
    <row r="131">
      <c r="A131" t="inlineStr">
        <is>
          <t>Rockstar net sales</t>
        </is>
      </c>
      <c r="BF131" s="48" t="n">
        <v>67</v>
      </c>
    </row>
    <row r="132">
      <c r="A132" t="inlineStr">
        <is>
          <t>Rockstar other-income GAAP portion</t>
        </is>
      </c>
      <c r="BC132" s="48" t="n">
        <v>7</v>
      </c>
    </row>
    <row r="133">
      <c r="A133" t="inlineStr">
        <is>
          <t>Rockstar revenue (first month under ownership, $M)</t>
        </is>
      </c>
      <c r="BC133" s="48" t="n">
        <v>11</v>
      </c>
    </row>
    <row r="134">
      <c r="A134" t="inlineStr">
        <is>
          <t>Rockstar run rate</t>
        </is>
      </c>
      <c r="BG134" s="48" t="n">
        <v>250</v>
      </c>
    </row>
    <row r="135">
      <c r="A135" t="inlineStr">
        <is>
          <t>RTD energy share of 2024 sales</t>
        </is>
      </c>
      <c r="AY135" s="50" t="n">
        <v>0.83</v>
      </c>
    </row>
    <row r="136">
      <c r="A136" t="inlineStr">
        <is>
          <t>S&amp;M % of Revenue</t>
        </is>
      </c>
      <c r="Z136" s="50" t="n">
        <v>0.239</v>
      </c>
      <c r="AB136" s="50" t="n">
        <v>0.238</v>
      </c>
      <c r="AF136" s="50" t="n">
        <v>0.23</v>
      </c>
      <c r="AG136" s="50" t="n">
        <v>0.21</v>
      </c>
      <c r="AM136" s="50" t="n">
        <v>0.183</v>
      </c>
      <c r="AN136" s="50" t="n">
        <v>0.192</v>
      </c>
      <c r="AP136" s="50" t="n">
        <v>0.191</v>
      </c>
      <c r="AR136" s="50" t="n">
        <v>0.23</v>
      </c>
      <c r="AS136" s="50" t="n">
        <v>0.2</v>
      </c>
      <c r="AT136" s="50" t="n">
        <v>0.21</v>
      </c>
      <c r="AY136" s="50" t="n">
        <v>0.259</v>
      </c>
      <c r="BA136" s="50" t="n">
        <v>0.205</v>
      </c>
      <c r="BC136" s="50" t="n">
        <v>0.2</v>
      </c>
    </row>
    <row r="137">
      <c r="A137" t="inlineStr">
        <is>
          <t>Scanner data trend</t>
        </is>
      </c>
      <c r="AZ137" s="50" t="n">
        <v>-0.04</v>
      </c>
    </row>
    <row r="138">
      <c r="A138" t="inlineStr">
        <is>
          <t>Sequential Gross Margin Improvement (vs Q2)</t>
        </is>
      </c>
      <c r="AP138" s="48" t="n">
        <v>165</v>
      </c>
    </row>
    <row r="139">
      <c r="A139" t="inlineStr">
        <is>
          <t>Sequential revenue growth (vs )</t>
        </is>
      </c>
      <c r="AF139" s="50" t="n">
        <v>0.18</v>
      </c>
    </row>
    <row r="140">
      <c r="A140" t="inlineStr">
        <is>
          <t>Sequential Revenue Growth (vs Q2)</t>
        </is>
      </c>
      <c r="AP140" s="50" t="n">
        <v>0.18</v>
      </c>
    </row>
    <row r="141">
      <c r="A141" t="inlineStr">
        <is>
          <t>Series B convertible preferred stock (newly issued)</t>
        </is>
      </c>
      <c r="BE141" s="48" t="n">
        <v>907.6</v>
      </c>
    </row>
    <row r="142">
      <c r="A142" t="inlineStr">
        <is>
          <t>SG&amp;A</t>
        </is>
      </c>
      <c r="AR142" s="45" t="n">
        <v>107</v>
      </c>
      <c r="AT142" s="45" t="n">
        <v>99</v>
      </c>
      <c r="AX142" s="48" t="n">
        <v>185</v>
      </c>
      <c r="AZ142" s="48" t="n">
        <v>120.3</v>
      </c>
    </row>
    <row r="143">
      <c r="A143" t="inlineStr">
        <is>
          <t>South Florida Share</t>
        </is>
      </c>
      <c r="AP143" s="50" t="n">
        <v>0.241</v>
      </c>
    </row>
    <row r="144">
      <c r="A144" t="inlineStr">
        <is>
          <t>Stock Option Expense</t>
        </is>
      </c>
      <c r="T144" s="45" t="n">
        <v>1.4</v>
      </c>
      <c r="U144" s="45" t="n">
        <v>1.2</v>
      </c>
      <c r="V144" s="45" t="n">
        <v>2.1</v>
      </c>
      <c r="Z144" s="48" t="n">
        <v>4</v>
      </c>
      <c r="AB144" s="48" t="n">
        <v>5.8</v>
      </c>
    </row>
    <row r="145">
      <c r="A145" t="inlineStr">
        <is>
          <t>Subway Distribution Opportunity</t>
        </is>
      </c>
      <c r="BE145" s="48" t="n">
        <v>2025</v>
      </c>
    </row>
    <row r="146">
      <c r="A146" t="inlineStr">
        <is>
          <t>Total assets</t>
        </is>
      </c>
      <c r="BE146" s="48" t="n">
        <v>5119.6</v>
      </c>
    </row>
    <row r="147">
      <c r="A147" t="inlineStr">
        <is>
          <t>Total Inventory</t>
        </is>
      </c>
      <c r="AG147" s="45" t="n">
        <v>1</v>
      </c>
      <c r="AI147" s="45" t="n">
        <v>46</v>
      </c>
      <c r="AM147" s="48" t="n">
        <v>150</v>
      </c>
    </row>
    <row r="148">
      <c r="A148" t="inlineStr">
        <is>
          <t>Total Net Other Expense</t>
        </is>
      </c>
      <c r="AB148" s="48" t="n">
        <v>-0.353</v>
      </c>
    </row>
    <row r="149">
      <c r="A149" t="inlineStr">
        <is>
          <t>Total Net Other Income</t>
        </is>
      </c>
      <c r="U149" s="45" t="n">
        <v>0.31</v>
      </c>
      <c r="Z149" s="48" t="n">
        <v>0.3615</v>
      </c>
    </row>
    <row r="150">
      <c r="A150" t="inlineStr">
        <is>
          <t>Total Other Income</t>
        </is>
      </c>
      <c r="R150" s="45" t="n">
        <v>0.15</v>
      </c>
      <c r="W150" s="48" t="n">
        <v>1.3</v>
      </c>
    </row>
    <row r="151">
      <c r="A151" t="inlineStr">
        <is>
          <t>Total Other Income Increase</t>
        </is>
      </c>
      <c r="M151" s="48" t="n">
        <v>12.2</v>
      </c>
    </row>
    <row r="152">
      <c r="A152" t="inlineStr">
        <is>
          <t>US energy category growth</t>
        </is>
      </c>
      <c r="BE152" s="48" t="n">
        <v>2025</v>
      </c>
    </row>
    <row r="153">
      <c r="A153" t="inlineStr">
        <is>
          <t>US Spacings (MULOC, 4 wks)</t>
        </is>
      </c>
      <c r="AN153" s="48" t="n">
        <v>14.6</v>
      </c>
    </row>
    <row r="154">
      <c r="A154" t="inlineStr">
        <is>
          <t>US store count</t>
        </is>
      </c>
      <c r="U154" s="45" t="n">
        <v>80000</v>
      </c>
      <c r="X154" s="45" t="n">
        <v>82000</v>
      </c>
      <c r="AB154" s="45" t="n">
        <v>140000</v>
      </c>
      <c r="AE154" s="48" t="n">
        <v>135000</v>
      </c>
      <c r="AI154" s="48" t="n">
        <v>174000</v>
      </c>
      <c r="AK154" s="48" t="n">
        <v>210000</v>
      </c>
    </row>
    <row r="155">
      <c r="A155" t="inlineStr">
        <is>
          <t>US total door count</t>
        </is>
      </c>
      <c r="S155" s="45" t="n">
        <v>64000</v>
      </c>
      <c r="Z155" s="45" t="n">
        <v>109000</v>
      </c>
      <c r="AG155" s="48" t="n">
        <v>196000</v>
      </c>
    </row>
    <row r="156">
      <c r="A156" t="inlineStr">
        <is>
          <t>Vending / foodservice revenue</t>
        </is>
      </c>
      <c r="AG156" s="48" t="n">
        <v>4.4</v>
      </c>
    </row>
    <row r="157">
      <c r="A157" t="inlineStr">
        <is>
          <t>Volume Growth</t>
        </is>
      </c>
      <c r="AY157" s="50" t="n">
        <v>0.22</v>
      </c>
    </row>
    <row r="158">
      <c r="A158" t="inlineStr">
        <is>
          <t>Walmart sales growth</t>
        </is>
      </c>
      <c r="AG158" s="50" t="n">
        <v>7</v>
      </c>
    </row>
    <row r="159">
      <c r="A159" t="inlineStr">
        <is>
          <t>Weighted Avg Shares Outstanding</t>
        </is>
      </c>
      <c r="M159" s="48" t="n">
        <v>57.2</v>
      </c>
    </row>
    <row r="160">
      <c r="A160" t="inlineStr">
        <is>
          <t>Weighted Avg Shares Outstanding Q2</t>
        </is>
      </c>
      <c r="N160" s="48" t="n">
        <v>57.3</v>
      </c>
    </row>
    <row r="161">
      <c r="A161" t="inlineStr">
        <is>
          <t>Weighted Avg Shares Q3</t>
        </is>
      </c>
      <c r="P161" s="48" t="n">
        <v>59.3</v>
      </c>
    </row>
    <row r="162">
      <c r="A162" t="inlineStr">
        <is>
          <t>Working Capital (year-end)</t>
        </is>
      </c>
      <c r="AL162" s="48" t="n">
        <v>757</v>
      </c>
    </row>
  </sheetData>
  <hyperlinks>
    <hyperlink xmlns:r="http://schemas.openxmlformats.org/officeDocument/2006/relationships" ref="B5"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F5" r:id="rId5"/>
    <hyperlink xmlns:r="http://schemas.openxmlformats.org/officeDocument/2006/relationships" ref="G5" r:id="rId6"/>
    <hyperlink xmlns:r="http://schemas.openxmlformats.org/officeDocument/2006/relationships" ref="H5" r:id="rId7"/>
    <hyperlink xmlns:r="http://schemas.openxmlformats.org/officeDocument/2006/relationships" ref="I5" r:id="rId8"/>
    <hyperlink xmlns:r="http://schemas.openxmlformats.org/officeDocument/2006/relationships" ref="J5" r:id="rId9"/>
    <hyperlink xmlns:r="http://schemas.openxmlformats.org/officeDocument/2006/relationships" ref="K5" r:id="rId10"/>
    <hyperlink xmlns:r="http://schemas.openxmlformats.org/officeDocument/2006/relationships" ref="L5" r:id="rId11"/>
    <hyperlink xmlns:r="http://schemas.openxmlformats.org/officeDocument/2006/relationships" ref="M5" r:id="rId12"/>
    <hyperlink xmlns:r="http://schemas.openxmlformats.org/officeDocument/2006/relationships" ref="N5" r:id="rId13"/>
    <hyperlink xmlns:r="http://schemas.openxmlformats.org/officeDocument/2006/relationships" ref="O5" r:id="rId14"/>
    <hyperlink xmlns:r="http://schemas.openxmlformats.org/officeDocument/2006/relationships" ref="P5" r:id="rId15"/>
    <hyperlink xmlns:r="http://schemas.openxmlformats.org/officeDocument/2006/relationships" ref="Q5" r:id="rId16"/>
    <hyperlink xmlns:r="http://schemas.openxmlformats.org/officeDocument/2006/relationships" ref="R5" r:id="rId17"/>
    <hyperlink xmlns:r="http://schemas.openxmlformats.org/officeDocument/2006/relationships" ref="S5" r:id="rId18"/>
    <hyperlink xmlns:r="http://schemas.openxmlformats.org/officeDocument/2006/relationships" ref="T5" r:id="rId19"/>
    <hyperlink xmlns:r="http://schemas.openxmlformats.org/officeDocument/2006/relationships" ref="U5" r:id="rId20"/>
    <hyperlink xmlns:r="http://schemas.openxmlformats.org/officeDocument/2006/relationships" ref="V5" r:id="rId21"/>
    <hyperlink xmlns:r="http://schemas.openxmlformats.org/officeDocument/2006/relationships" ref="W5" r:id="rId22"/>
    <hyperlink xmlns:r="http://schemas.openxmlformats.org/officeDocument/2006/relationships" ref="X5" r:id="rId23"/>
    <hyperlink xmlns:r="http://schemas.openxmlformats.org/officeDocument/2006/relationships" ref="Y5" r:id="rId24"/>
    <hyperlink xmlns:r="http://schemas.openxmlformats.org/officeDocument/2006/relationships" ref="Z5" r:id="rId25"/>
    <hyperlink xmlns:r="http://schemas.openxmlformats.org/officeDocument/2006/relationships" ref="AA5" r:id="rId26"/>
    <hyperlink xmlns:r="http://schemas.openxmlformats.org/officeDocument/2006/relationships" ref="AB5" r:id="rId27"/>
    <hyperlink xmlns:r="http://schemas.openxmlformats.org/officeDocument/2006/relationships" ref="AD5" r:id="rId28"/>
    <hyperlink xmlns:r="http://schemas.openxmlformats.org/officeDocument/2006/relationships" ref="AE5" r:id="rId29"/>
    <hyperlink xmlns:r="http://schemas.openxmlformats.org/officeDocument/2006/relationships" ref="AF5" r:id="rId30"/>
    <hyperlink xmlns:r="http://schemas.openxmlformats.org/officeDocument/2006/relationships" ref="AG5" r:id="rId31"/>
    <hyperlink xmlns:r="http://schemas.openxmlformats.org/officeDocument/2006/relationships" ref="AI5" r:id="rId32"/>
    <hyperlink xmlns:r="http://schemas.openxmlformats.org/officeDocument/2006/relationships" ref="AK5" r:id="rId33"/>
    <hyperlink xmlns:r="http://schemas.openxmlformats.org/officeDocument/2006/relationships" ref="AL5" r:id="rId34"/>
    <hyperlink xmlns:r="http://schemas.openxmlformats.org/officeDocument/2006/relationships" ref="AM5" r:id="rId35"/>
    <hyperlink xmlns:r="http://schemas.openxmlformats.org/officeDocument/2006/relationships" ref="AN5" r:id="rId36"/>
    <hyperlink xmlns:r="http://schemas.openxmlformats.org/officeDocument/2006/relationships" ref="AO5" r:id="rId37"/>
    <hyperlink xmlns:r="http://schemas.openxmlformats.org/officeDocument/2006/relationships" ref="AP5" r:id="rId38"/>
    <hyperlink xmlns:r="http://schemas.openxmlformats.org/officeDocument/2006/relationships" ref="AQ5" r:id="rId39"/>
    <hyperlink xmlns:r="http://schemas.openxmlformats.org/officeDocument/2006/relationships" ref="AR5" r:id="rId40"/>
    <hyperlink xmlns:r="http://schemas.openxmlformats.org/officeDocument/2006/relationships" ref="AS5" r:id="rId41"/>
    <hyperlink xmlns:r="http://schemas.openxmlformats.org/officeDocument/2006/relationships" ref="AT5" r:id="rId42"/>
    <hyperlink xmlns:r="http://schemas.openxmlformats.org/officeDocument/2006/relationships" ref="AU5" r:id="rId43"/>
    <hyperlink xmlns:r="http://schemas.openxmlformats.org/officeDocument/2006/relationships" ref="AV5" r:id="rId44"/>
    <hyperlink xmlns:r="http://schemas.openxmlformats.org/officeDocument/2006/relationships" ref="AW5" r:id="rId45"/>
    <hyperlink xmlns:r="http://schemas.openxmlformats.org/officeDocument/2006/relationships" ref="AX5" r:id="rId46"/>
    <hyperlink xmlns:r="http://schemas.openxmlformats.org/officeDocument/2006/relationships" ref="AY5" r:id="rId47"/>
    <hyperlink xmlns:r="http://schemas.openxmlformats.org/officeDocument/2006/relationships" ref="AZ5" r:id="rId48"/>
    <hyperlink xmlns:r="http://schemas.openxmlformats.org/officeDocument/2006/relationships" ref="BA5" r:id="rId49"/>
    <hyperlink xmlns:r="http://schemas.openxmlformats.org/officeDocument/2006/relationships" ref="BB5" r:id="rId50"/>
    <hyperlink xmlns:r="http://schemas.openxmlformats.org/officeDocument/2006/relationships" ref="BC5" r:id="rId51"/>
    <hyperlink xmlns:r="http://schemas.openxmlformats.org/officeDocument/2006/relationships" ref="BE5" r:id="rId52"/>
    <hyperlink xmlns:r="http://schemas.openxmlformats.org/officeDocument/2006/relationships" ref="BF5" r:id="rId53"/>
    <hyperlink xmlns:r="http://schemas.openxmlformats.org/officeDocument/2006/relationships" ref="B6" r:id="rId54"/>
    <hyperlink xmlns:r="http://schemas.openxmlformats.org/officeDocument/2006/relationships" ref="D6" r:id="rId55"/>
    <hyperlink xmlns:r="http://schemas.openxmlformats.org/officeDocument/2006/relationships" ref="E6" r:id="rId56"/>
    <hyperlink xmlns:r="http://schemas.openxmlformats.org/officeDocument/2006/relationships" ref="I6" r:id="rId57"/>
    <hyperlink xmlns:r="http://schemas.openxmlformats.org/officeDocument/2006/relationships" ref="K6" r:id="rId58"/>
    <hyperlink xmlns:r="http://schemas.openxmlformats.org/officeDocument/2006/relationships" ref="L6" r:id="rId59"/>
    <hyperlink xmlns:r="http://schemas.openxmlformats.org/officeDocument/2006/relationships" ref="M6" r:id="rId60"/>
    <hyperlink xmlns:r="http://schemas.openxmlformats.org/officeDocument/2006/relationships" ref="N6" r:id="rId61"/>
    <hyperlink xmlns:r="http://schemas.openxmlformats.org/officeDocument/2006/relationships" ref="P6" r:id="rId62"/>
    <hyperlink xmlns:r="http://schemas.openxmlformats.org/officeDocument/2006/relationships" ref="R6" r:id="rId63"/>
    <hyperlink xmlns:r="http://schemas.openxmlformats.org/officeDocument/2006/relationships" ref="S6" r:id="rId64"/>
    <hyperlink xmlns:r="http://schemas.openxmlformats.org/officeDocument/2006/relationships" ref="T6" r:id="rId65"/>
    <hyperlink xmlns:r="http://schemas.openxmlformats.org/officeDocument/2006/relationships" ref="U6" r:id="rId66"/>
    <hyperlink xmlns:r="http://schemas.openxmlformats.org/officeDocument/2006/relationships" ref="V6" r:id="rId67"/>
    <hyperlink xmlns:r="http://schemas.openxmlformats.org/officeDocument/2006/relationships" ref="W6" r:id="rId68"/>
    <hyperlink xmlns:r="http://schemas.openxmlformats.org/officeDocument/2006/relationships" ref="X6" r:id="rId69"/>
    <hyperlink xmlns:r="http://schemas.openxmlformats.org/officeDocument/2006/relationships" ref="Y6" r:id="rId70"/>
    <hyperlink xmlns:r="http://schemas.openxmlformats.org/officeDocument/2006/relationships" ref="Z6" r:id="rId71"/>
    <hyperlink xmlns:r="http://schemas.openxmlformats.org/officeDocument/2006/relationships" ref="AA6" r:id="rId72"/>
    <hyperlink xmlns:r="http://schemas.openxmlformats.org/officeDocument/2006/relationships" ref="AB6" r:id="rId73"/>
    <hyperlink xmlns:r="http://schemas.openxmlformats.org/officeDocument/2006/relationships" ref="AE6" r:id="rId74"/>
    <hyperlink xmlns:r="http://schemas.openxmlformats.org/officeDocument/2006/relationships" ref="AF6" r:id="rId75"/>
    <hyperlink xmlns:r="http://schemas.openxmlformats.org/officeDocument/2006/relationships" ref="AG6" r:id="rId76"/>
    <hyperlink xmlns:r="http://schemas.openxmlformats.org/officeDocument/2006/relationships" ref="AI6" r:id="rId77"/>
    <hyperlink xmlns:r="http://schemas.openxmlformats.org/officeDocument/2006/relationships" ref="AK6" r:id="rId78"/>
    <hyperlink xmlns:r="http://schemas.openxmlformats.org/officeDocument/2006/relationships" ref="AM6" r:id="rId79"/>
    <hyperlink xmlns:r="http://schemas.openxmlformats.org/officeDocument/2006/relationships" ref="AN6" r:id="rId80"/>
    <hyperlink xmlns:r="http://schemas.openxmlformats.org/officeDocument/2006/relationships" ref="AO6" r:id="rId81"/>
    <hyperlink xmlns:r="http://schemas.openxmlformats.org/officeDocument/2006/relationships" ref="AP6" r:id="rId82"/>
    <hyperlink xmlns:r="http://schemas.openxmlformats.org/officeDocument/2006/relationships" ref="AR6" r:id="rId83"/>
    <hyperlink xmlns:r="http://schemas.openxmlformats.org/officeDocument/2006/relationships" ref="AS6" r:id="rId84"/>
    <hyperlink xmlns:r="http://schemas.openxmlformats.org/officeDocument/2006/relationships" ref="AT6" r:id="rId85"/>
    <hyperlink xmlns:r="http://schemas.openxmlformats.org/officeDocument/2006/relationships" ref="AX6" r:id="rId86"/>
    <hyperlink xmlns:r="http://schemas.openxmlformats.org/officeDocument/2006/relationships" ref="BB6" r:id="rId87"/>
    <hyperlink xmlns:r="http://schemas.openxmlformats.org/officeDocument/2006/relationships" ref="BE6" r:id="rId88"/>
    <hyperlink xmlns:r="http://schemas.openxmlformats.org/officeDocument/2006/relationships" ref="E7" r:id="rId89"/>
    <hyperlink xmlns:r="http://schemas.openxmlformats.org/officeDocument/2006/relationships" ref="F7" r:id="rId90"/>
    <hyperlink xmlns:r="http://schemas.openxmlformats.org/officeDocument/2006/relationships" ref="L7" r:id="rId91"/>
    <hyperlink xmlns:r="http://schemas.openxmlformats.org/officeDocument/2006/relationships" ref="M7" r:id="rId92"/>
    <hyperlink xmlns:r="http://schemas.openxmlformats.org/officeDocument/2006/relationships" ref="R7" r:id="rId93"/>
    <hyperlink xmlns:r="http://schemas.openxmlformats.org/officeDocument/2006/relationships" ref="U7" r:id="rId94"/>
    <hyperlink xmlns:r="http://schemas.openxmlformats.org/officeDocument/2006/relationships" ref="V7" r:id="rId95"/>
    <hyperlink xmlns:r="http://schemas.openxmlformats.org/officeDocument/2006/relationships" ref="W7" r:id="rId96"/>
    <hyperlink xmlns:r="http://schemas.openxmlformats.org/officeDocument/2006/relationships" ref="X7" r:id="rId97"/>
    <hyperlink xmlns:r="http://schemas.openxmlformats.org/officeDocument/2006/relationships" ref="Y7" r:id="rId98"/>
    <hyperlink xmlns:r="http://schemas.openxmlformats.org/officeDocument/2006/relationships" ref="Z7" r:id="rId99"/>
    <hyperlink xmlns:r="http://schemas.openxmlformats.org/officeDocument/2006/relationships" ref="AA7" r:id="rId100"/>
    <hyperlink xmlns:r="http://schemas.openxmlformats.org/officeDocument/2006/relationships" ref="AB7" r:id="rId101"/>
    <hyperlink xmlns:r="http://schemas.openxmlformats.org/officeDocument/2006/relationships" ref="AD7" r:id="rId102"/>
    <hyperlink xmlns:r="http://schemas.openxmlformats.org/officeDocument/2006/relationships" ref="AE7" r:id="rId103"/>
    <hyperlink xmlns:r="http://schemas.openxmlformats.org/officeDocument/2006/relationships" ref="AF7" r:id="rId104"/>
    <hyperlink xmlns:r="http://schemas.openxmlformats.org/officeDocument/2006/relationships" ref="AG7" r:id="rId105"/>
    <hyperlink xmlns:r="http://schemas.openxmlformats.org/officeDocument/2006/relationships" ref="AI7" r:id="rId106"/>
    <hyperlink xmlns:r="http://schemas.openxmlformats.org/officeDocument/2006/relationships" ref="AK7" r:id="rId107"/>
    <hyperlink xmlns:r="http://schemas.openxmlformats.org/officeDocument/2006/relationships" ref="AM7" r:id="rId108"/>
    <hyperlink xmlns:r="http://schemas.openxmlformats.org/officeDocument/2006/relationships" ref="AN7" r:id="rId109"/>
    <hyperlink xmlns:r="http://schemas.openxmlformats.org/officeDocument/2006/relationships" ref="AO7" r:id="rId110"/>
    <hyperlink xmlns:r="http://schemas.openxmlformats.org/officeDocument/2006/relationships" ref="AP7" r:id="rId111"/>
    <hyperlink xmlns:r="http://schemas.openxmlformats.org/officeDocument/2006/relationships" ref="AR7" r:id="rId112"/>
    <hyperlink xmlns:r="http://schemas.openxmlformats.org/officeDocument/2006/relationships" ref="AS7" r:id="rId113"/>
    <hyperlink xmlns:r="http://schemas.openxmlformats.org/officeDocument/2006/relationships" ref="AT7" r:id="rId114"/>
    <hyperlink xmlns:r="http://schemas.openxmlformats.org/officeDocument/2006/relationships" ref="AX7" r:id="rId115"/>
    <hyperlink xmlns:r="http://schemas.openxmlformats.org/officeDocument/2006/relationships" ref="AZ7" r:id="rId116"/>
    <hyperlink xmlns:r="http://schemas.openxmlformats.org/officeDocument/2006/relationships" ref="BB7" r:id="rId117"/>
    <hyperlink xmlns:r="http://schemas.openxmlformats.org/officeDocument/2006/relationships" ref="BE7" r:id="rId118"/>
    <hyperlink xmlns:r="http://schemas.openxmlformats.org/officeDocument/2006/relationships" ref="D8" r:id="rId119"/>
    <hyperlink xmlns:r="http://schemas.openxmlformats.org/officeDocument/2006/relationships" ref="K8" r:id="rId120"/>
    <hyperlink xmlns:r="http://schemas.openxmlformats.org/officeDocument/2006/relationships" ref="M8" r:id="rId121"/>
    <hyperlink xmlns:r="http://schemas.openxmlformats.org/officeDocument/2006/relationships" ref="N8" r:id="rId122"/>
    <hyperlink xmlns:r="http://schemas.openxmlformats.org/officeDocument/2006/relationships" ref="P8" r:id="rId123"/>
    <hyperlink xmlns:r="http://schemas.openxmlformats.org/officeDocument/2006/relationships" ref="R8" r:id="rId124"/>
    <hyperlink xmlns:r="http://schemas.openxmlformats.org/officeDocument/2006/relationships" ref="S8" r:id="rId125"/>
    <hyperlink xmlns:r="http://schemas.openxmlformats.org/officeDocument/2006/relationships" ref="T8" r:id="rId126"/>
    <hyperlink xmlns:r="http://schemas.openxmlformats.org/officeDocument/2006/relationships" ref="U8" r:id="rId127"/>
    <hyperlink xmlns:r="http://schemas.openxmlformats.org/officeDocument/2006/relationships" ref="W8" r:id="rId128"/>
    <hyperlink xmlns:r="http://schemas.openxmlformats.org/officeDocument/2006/relationships" ref="Y8" r:id="rId129"/>
    <hyperlink xmlns:r="http://schemas.openxmlformats.org/officeDocument/2006/relationships" ref="Z8" r:id="rId130"/>
    <hyperlink xmlns:r="http://schemas.openxmlformats.org/officeDocument/2006/relationships" ref="AB8" r:id="rId131"/>
    <hyperlink xmlns:r="http://schemas.openxmlformats.org/officeDocument/2006/relationships" ref="AF8" r:id="rId132"/>
    <hyperlink xmlns:r="http://schemas.openxmlformats.org/officeDocument/2006/relationships" ref="AG8" r:id="rId133"/>
    <hyperlink xmlns:r="http://schemas.openxmlformats.org/officeDocument/2006/relationships" ref="AI8" r:id="rId134"/>
    <hyperlink xmlns:r="http://schemas.openxmlformats.org/officeDocument/2006/relationships" ref="B9" r:id="rId135"/>
    <hyperlink xmlns:r="http://schemas.openxmlformats.org/officeDocument/2006/relationships" ref="D9" r:id="rId136"/>
    <hyperlink xmlns:r="http://schemas.openxmlformats.org/officeDocument/2006/relationships" ref="E9" r:id="rId137"/>
    <hyperlink xmlns:r="http://schemas.openxmlformats.org/officeDocument/2006/relationships" ref="I9" r:id="rId138"/>
    <hyperlink xmlns:r="http://schemas.openxmlformats.org/officeDocument/2006/relationships" ref="K9" r:id="rId139"/>
    <hyperlink xmlns:r="http://schemas.openxmlformats.org/officeDocument/2006/relationships" ref="L9" r:id="rId140"/>
    <hyperlink xmlns:r="http://schemas.openxmlformats.org/officeDocument/2006/relationships" ref="M9" r:id="rId141"/>
    <hyperlink xmlns:r="http://schemas.openxmlformats.org/officeDocument/2006/relationships" ref="N9" r:id="rId142"/>
    <hyperlink xmlns:r="http://schemas.openxmlformats.org/officeDocument/2006/relationships" ref="P9" r:id="rId143"/>
    <hyperlink xmlns:r="http://schemas.openxmlformats.org/officeDocument/2006/relationships" ref="R9" r:id="rId144"/>
    <hyperlink xmlns:r="http://schemas.openxmlformats.org/officeDocument/2006/relationships" ref="S9" r:id="rId145"/>
    <hyperlink xmlns:r="http://schemas.openxmlformats.org/officeDocument/2006/relationships" ref="T9" r:id="rId146"/>
    <hyperlink xmlns:r="http://schemas.openxmlformats.org/officeDocument/2006/relationships" ref="U9" r:id="rId147"/>
    <hyperlink xmlns:r="http://schemas.openxmlformats.org/officeDocument/2006/relationships" ref="V9" r:id="rId148"/>
    <hyperlink xmlns:r="http://schemas.openxmlformats.org/officeDocument/2006/relationships" ref="W9" r:id="rId149"/>
    <hyperlink xmlns:r="http://schemas.openxmlformats.org/officeDocument/2006/relationships" ref="Z9" r:id="rId150"/>
    <hyperlink xmlns:r="http://schemas.openxmlformats.org/officeDocument/2006/relationships" ref="AB9" r:id="rId151"/>
    <hyperlink xmlns:r="http://schemas.openxmlformats.org/officeDocument/2006/relationships" ref="AF9" r:id="rId152"/>
    <hyperlink xmlns:r="http://schemas.openxmlformats.org/officeDocument/2006/relationships" ref="Y10" r:id="rId153"/>
    <hyperlink xmlns:r="http://schemas.openxmlformats.org/officeDocument/2006/relationships" ref="AE10" r:id="rId154"/>
    <hyperlink xmlns:r="http://schemas.openxmlformats.org/officeDocument/2006/relationships" ref="AF10" r:id="rId155"/>
    <hyperlink xmlns:r="http://schemas.openxmlformats.org/officeDocument/2006/relationships" ref="AG10" r:id="rId156"/>
    <hyperlink xmlns:r="http://schemas.openxmlformats.org/officeDocument/2006/relationships" ref="AI10" r:id="rId157"/>
    <hyperlink xmlns:r="http://schemas.openxmlformats.org/officeDocument/2006/relationships" ref="AL10" r:id="rId158"/>
    <hyperlink xmlns:r="http://schemas.openxmlformats.org/officeDocument/2006/relationships" ref="AM10" r:id="rId159"/>
    <hyperlink xmlns:r="http://schemas.openxmlformats.org/officeDocument/2006/relationships" ref="AP10" r:id="rId160"/>
    <hyperlink xmlns:r="http://schemas.openxmlformats.org/officeDocument/2006/relationships" ref="AT10" r:id="rId161"/>
    <hyperlink xmlns:r="http://schemas.openxmlformats.org/officeDocument/2006/relationships" ref="D11" r:id="rId162"/>
    <hyperlink xmlns:r="http://schemas.openxmlformats.org/officeDocument/2006/relationships" ref="E11" r:id="rId163"/>
    <hyperlink xmlns:r="http://schemas.openxmlformats.org/officeDocument/2006/relationships" ref="F11" r:id="rId164"/>
    <hyperlink xmlns:r="http://schemas.openxmlformats.org/officeDocument/2006/relationships" ref="G11" r:id="rId165"/>
    <hyperlink xmlns:r="http://schemas.openxmlformats.org/officeDocument/2006/relationships" ref="H11" r:id="rId166"/>
    <hyperlink xmlns:r="http://schemas.openxmlformats.org/officeDocument/2006/relationships" ref="I11" r:id="rId167"/>
    <hyperlink xmlns:r="http://schemas.openxmlformats.org/officeDocument/2006/relationships" ref="J11" r:id="rId168"/>
    <hyperlink xmlns:r="http://schemas.openxmlformats.org/officeDocument/2006/relationships" ref="K11" r:id="rId169"/>
    <hyperlink xmlns:r="http://schemas.openxmlformats.org/officeDocument/2006/relationships" ref="L11" r:id="rId170"/>
    <hyperlink xmlns:r="http://schemas.openxmlformats.org/officeDocument/2006/relationships" ref="M11" r:id="rId171"/>
    <hyperlink xmlns:r="http://schemas.openxmlformats.org/officeDocument/2006/relationships" ref="N11" r:id="rId172"/>
    <hyperlink xmlns:r="http://schemas.openxmlformats.org/officeDocument/2006/relationships" ref="O11" r:id="rId173"/>
    <hyperlink xmlns:r="http://schemas.openxmlformats.org/officeDocument/2006/relationships" ref="P11" r:id="rId174"/>
    <hyperlink xmlns:r="http://schemas.openxmlformats.org/officeDocument/2006/relationships" ref="R11" r:id="rId175"/>
    <hyperlink xmlns:r="http://schemas.openxmlformats.org/officeDocument/2006/relationships" ref="S11" r:id="rId176"/>
    <hyperlink xmlns:r="http://schemas.openxmlformats.org/officeDocument/2006/relationships" ref="T11" r:id="rId177"/>
    <hyperlink xmlns:r="http://schemas.openxmlformats.org/officeDocument/2006/relationships" ref="U11" r:id="rId178"/>
    <hyperlink xmlns:r="http://schemas.openxmlformats.org/officeDocument/2006/relationships" ref="V11" r:id="rId179"/>
    <hyperlink xmlns:r="http://schemas.openxmlformats.org/officeDocument/2006/relationships" ref="W11" r:id="rId180"/>
    <hyperlink xmlns:r="http://schemas.openxmlformats.org/officeDocument/2006/relationships" ref="X11" r:id="rId181"/>
    <hyperlink xmlns:r="http://schemas.openxmlformats.org/officeDocument/2006/relationships" ref="Y11" r:id="rId182"/>
    <hyperlink xmlns:r="http://schemas.openxmlformats.org/officeDocument/2006/relationships" ref="Z11" r:id="rId183"/>
    <hyperlink xmlns:r="http://schemas.openxmlformats.org/officeDocument/2006/relationships" ref="AA11" r:id="rId184"/>
    <hyperlink xmlns:r="http://schemas.openxmlformats.org/officeDocument/2006/relationships" ref="AB11" r:id="rId185"/>
    <hyperlink xmlns:r="http://schemas.openxmlformats.org/officeDocument/2006/relationships" ref="AD11" r:id="rId186"/>
    <hyperlink xmlns:r="http://schemas.openxmlformats.org/officeDocument/2006/relationships" ref="AE11" r:id="rId187"/>
    <hyperlink xmlns:r="http://schemas.openxmlformats.org/officeDocument/2006/relationships" ref="AF11" r:id="rId188"/>
    <hyperlink xmlns:r="http://schemas.openxmlformats.org/officeDocument/2006/relationships" ref="AG11" r:id="rId189"/>
    <hyperlink xmlns:r="http://schemas.openxmlformats.org/officeDocument/2006/relationships" ref="AI11" r:id="rId190"/>
    <hyperlink xmlns:r="http://schemas.openxmlformats.org/officeDocument/2006/relationships" ref="AK11" r:id="rId191"/>
    <hyperlink xmlns:r="http://schemas.openxmlformats.org/officeDocument/2006/relationships" ref="AL11" r:id="rId192"/>
    <hyperlink xmlns:r="http://schemas.openxmlformats.org/officeDocument/2006/relationships" ref="AM11" r:id="rId193"/>
    <hyperlink xmlns:r="http://schemas.openxmlformats.org/officeDocument/2006/relationships" ref="AN11" r:id="rId194"/>
    <hyperlink xmlns:r="http://schemas.openxmlformats.org/officeDocument/2006/relationships" ref="AO11" r:id="rId195"/>
    <hyperlink xmlns:r="http://schemas.openxmlformats.org/officeDocument/2006/relationships" ref="AP11" r:id="rId196"/>
    <hyperlink xmlns:r="http://schemas.openxmlformats.org/officeDocument/2006/relationships" ref="AQ11" r:id="rId197"/>
    <hyperlink xmlns:r="http://schemas.openxmlformats.org/officeDocument/2006/relationships" ref="AR11" r:id="rId198"/>
    <hyperlink xmlns:r="http://schemas.openxmlformats.org/officeDocument/2006/relationships" ref="AS11" r:id="rId199"/>
    <hyperlink xmlns:r="http://schemas.openxmlformats.org/officeDocument/2006/relationships" ref="AT11" r:id="rId200"/>
    <hyperlink xmlns:r="http://schemas.openxmlformats.org/officeDocument/2006/relationships" ref="AU11" r:id="rId201"/>
    <hyperlink xmlns:r="http://schemas.openxmlformats.org/officeDocument/2006/relationships" ref="AX11" r:id="rId202"/>
    <hyperlink xmlns:r="http://schemas.openxmlformats.org/officeDocument/2006/relationships" ref="AY11" r:id="rId203"/>
    <hyperlink xmlns:r="http://schemas.openxmlformats.org/officeDocument/2006/relationships" ref="AZ11" r:id="rId204"/>
    <hyperlink xmlns:r="http://schemas.openxmlformats.org/officeDocument/2006/relationships" ref="BA11" r:id="rId205"/>
    <hyperlink xmlns:r="http://schemas.openxmlformats.org/officeDocument/2006/relationships" ref="BD11" r:id="rId206"/>
    <hyperlink xmlns:r="http://schemas.openxmlformats.org/officeDocument/2006/relationships" ref="BE11" r:id="rId207"/>
    <hyperlink xmlns:r="http://schemas.openxmlformats.org/officeDocument/2006/relationships" ref="B12" r:id="rId208"/>
    <hyperlink xmlns:r="http://schemas.openxmlformats.org/officeDocument/2006/relationships" ref="C12" r:id="rId209"/>
    <hyperlink xmlns:r="http://schemas.openxmlformats.org/officeDocument/2006/relationships" ref="D12" r:id="rId210"/>
    <hyperlink xmlns:r="http://schemas.openxmlformats.org/officeDocument/2006/relationships" ref="E12" r:id="rId211"/>
    <hyperlink xmlns:r="http://schemas.openxmlformats.org/officeDocument/2006/relationships" ref="F12" r:id="rId212"/>
    <hyperlink xmlns:r="http://schemas.openxmlformats.org/officeDocument/2006/relationships" ref="G12" r:id="rId213"/>
    <hyperlink xmlns:r="http://schemas.openxmlformats.org/officeDocument/2006/relationships" ref="H12" r:id="rId214"/>
    <hyperlink xmlns:r="http://schemas.openxmlformats.org/officeDocument/2006/relationships" ref="I12" r:id="rId215"/>
    <hyperlink xmlns:r="http://schemas.openxmlformats.org/officeDocument/2006/relationships" ref="J12" r:id="rId216"/>
    <hyperlink xmlns:r="http://schemas.openxmlformats.org/officeDocument/2006/relationships" ref="K12" r:id="rId217"/>
    <hyperlink xmlns:r="http://schemas.openxmlformats.org/officeDocument/2006/relationships" ref="L12" r:id="rId218"/>
    <hyperlink xmlns:r="http://schemas.openxmlformats.org/officeDocument/2006/relationships" ref="M12" r:id="rId219"/>
    <hyperlink xmlns:r="http://schemas.openxmlformats.org/officeDocument/2006/relationships" ref="N12" r:id="rId220"/>
    <hyperlink xmlns:r="http://schemas.openxmlformats.org/officeDocument/2006/relationships" ref="O12" r:id="rId221"/>
    <hyperlink xmlns:r="http://schemas.openxmlformats.org/officeDocument/2006/relationships" ref="P12" r:id="rId222"/>
    <hyperlink xmlns:r="http://schemas.openxmlformats.org/officeDocument/2006/relationships" ref="R12" r:id="rId223"/>
    <hyperlink xmlns:r="http://schemas.openxmlformats.org/officeDocument/2006/relationships" ref="S12" r:id="rId224"/>
    <hyperlink xmlns:r="http://schemas.openxmlformats.org/officeDocument/2006/relationships" ref="T12" r:id="rId225"/>
    <hyperlink xmlns:r="http://schemas.openxmlformats.org/officeDocument/2006/relationships" ref="U12" r:id="rId226"/>
    <hyperlink xmlns:r="http://schemas.openxmlformats.org/officeDocument/2006/relationships" ref="V12" r:id="rId227"/>
    <hyperlink xmlns:r="http://schemas.openxmlformats.org/officeDocument/2006/relationships" ref="W12" r:id="rId228"/>
    <hyperlink xmlns:r="http://schemas.openxmlformats.org/officeDocument/2006/relationships" ref="Y12" r:id="rId229"/>
    <hyperlink xmlns:r="http://schemas.openxmlformats.org/officeDocument/2006/relationships" ref="Z12" r:id="rId230"/>
    <hyperlink xmlns:r="http://schemas.openxmlformats.org/officeDocument/2006/relationships" ref="AB12" r:id="rId231"/>
    <hyperlink xmlns:r="http://schemas.openxmlformats.org/officeDocument/2006/relationships" ref="AF12" r:id="rId232"/>
    <hyperlink xmlns:r="http://schemas.openxmlformats.org/officeDocument/2006/relationships" ref="AG12" r:id="rId233"/>
    <hyperlink xmlns:r="http://schemas.openxmlformats.org/officeDocument/2006/relationships" ref="AI12" r:id="rId234"/>
    <hyperlink xmlns:r="http://schemas.openxmlformats.org/officeDocument/2006/relationships" ref="AK12" r:id="rId235"/>
    <hyperlink xmlns:r="http://schemas.openxmlformats.org/officeDocument/2006/relationships" ref="AM12" r:id="rId236"/>
    <hyperlink xmlns:r="http://schemas.openxmlformats.org/officeDocument/2006/relationships" ref="AN12" r:id="rId237"/>
    <hyperlink xmlns:r="http://schemas.openxmlformats.org/officeDocument/2006/relationships" ref="AO12" r:id="rId238"/>
    <hyperlink xmlns:r="http://schemas.openxmlformats.org/officeDocument/2006/relationships" ref="AP12" r:id="rId239"/>
    <hyperlink xmlns:r="http://schemas.openxmlformats.org/officeDocument/2006/relationships" ref="AR12" r:id="rId240"/>
    <hyperlink xmlns:r="http://schemas.openxmlformats.org/officeDocument/2006/relationships" ref="AS12" r:id="rId241"/>
    <hyperlink xmlns:r="http://schemas.openxmlformats.org/officeDocument/2006/relationships" ref="AT12" r:id="rId242"/>
    <hyperlink xmlns:r="http://schemas.openxmlformats.org/officeDocument/2006/relationships" ref="AU12" r:id="rId243"/>
    <hyperlink xmlns:r="http://schemas.openxmlformats.org/officeDocument/2006/relationships" ref="AV12" r:id="rId244"/>
    <hyperlink xmlns:r="http://schemas.openxmlformats.org/officeDocument/2006/relationships" ref="AW12" r:id="rId245"/>
    <hyperlink xmlns:r="http://schemas.openxmlformats.org/officeDocument/2006/relationships" ref="AX12" r:id="rId246"/>
    <hyperlink xmlns:r="http://schemas.openxmlformats.org/officeDocument/2006/relationships" ref="AY12" r:id="rId247"/>
    <hyperlink xmlns:r="http://schemas.openxmlformats.org/officeDocument/2006/relationships" ref="AZ12" r:id="rId248"/>
    <hyperlink xmlns:r="http://schemas.openxmlformats.org/officeDocument/2006/relationships" ref="BA12" r:id="rId249"/>
    <hyperlink xmlns:r="http://schemas.openxmlformats.org/officeDocument/2006/relationships" ref="BB12" r:id="rId250"/>
    <hyperlink xmlns:r="http://schemas.openxmlformats.org/officeDocument/2006/relationships" ref="BC12" r:id="rId251"/>
    <hyperlink xmlns:r="http://schemas.openxmlformats.org/officeDocument/2006/relationships" ref="BD12" r:id="rId252"/>
    <hyperlink xmlns:r="http://schemas.openxmlformats.org/officeDocument/2006/relationships" ref="BE12" r:id="rId253"/>
    <hyperlink xmlns:r="http://schemas.openxmlformats.org/officeDocument/2006/relationships" ref="BF12" r:id="rId254"/>
    <hyperlink xmlns:r="http://schemas.openxmlformats.org/officeDocument/2006/relationships" ref="I13" r:id="rId255"/>
    <hyperlink xmlns:r="http://schemas.openxmlformats.org/officeDocument/2006/relationships" ref="J13" r:id="rId256"/>
    <hyperlink xmlns:r="http://schemas.openxmlformats.org/officeDocument/2006/relationships" ref="K13" r:id="rId257"/>
    <hyperlink xmlns:r="http://schemas.openxmlformats.org/officeDocument/2006/relationships" ref="L13" r:id="rId258"/>
    <hyperlink xmlns:r="http://schemas.openxmlformats.org/officeDocument/2006/relationships" ref="M13" r:id="rId259"/>
    <hyperlink xmlns:r="http://schemas.openxmlformats.org/officeDocument/2006/relationships" ref="N13" r:id="rId260"/>
    <hyperlink xmlns:r="http://schemas.openxmlformats.org/officeDocument/2006/relationships" ref="O13" r:id="rId261"/>
    <hyperlink xmlns:r="http://schemas.openxmlformats.org/officeDocument/2006/relationships" ref="P13" r:id="rId262"/>
    <hyperlink xmlns:r="http://schemas.openxmlformats.org/officeDocument/2006/relationships" ref="R13" r:id="rId263"/>
    <hyperlink xmlns:r="http://schemas.openxmlformats.org/officeDocument/2006/relationships" ref="S13" r:id="rId264"/>
    <hyperlink xmlns:r="http://schemas.openxmlformats.org/officeDocument/2006/relationships" ref="W13" r:id="rId265"/>
    <hyperlink xmlns:r="http://schemas.openxmlformats.org/officeDocument/2006/relationships" ref="Z13" r:id="rId266"/>
    <hyperlink xmlns:r="http://schemas.openxmlformats.org/officeDocument/2006/relationships" ref="AB13" r:id="rId267"/>
    <hyperlink xmlns:r="http://schemas.openxmlformats.org/officeDocument/2006/relationships" ref="AE13" r:id="rId268"/>
    <hyperlink xmlns:r="http://schemas.openxmlformats.org/officeDocument/2006/relationships" ref="AF13" r:id="rId269"/>
    <hyperlink xmlns:r="http://schemas.openxmlformats.org/officeDocument/2006/relationships" ref="AI13" r:id="rId270"/>
    <hyperlink xmlns:r="http://schemas.openxmlformats.org/officeDocument/2006/relationships" ref="AK13" r:id="rId271"/>
    <hyperlink xmlns:r="http://schemas.openxmlformats.org/officeDocument/2006/relationships" ref="AL13" r:id="rId272"/>
    <hyperlink xmlns:r="http://schemas.openxmlformats.org/officeDocument/2006/relationships" ref="AM13" r:id="rId273"/>
    <hyperlink xmlns:r="http://schemas.openxmlformats.org/officeDocument/2006/relationships" ref="AN13" r:id="rId274"/>
    <hyperlink xmlns:r="http://schemas.openxmlformats.org/officeDocument/2006/relationships" ref="AP13" r:id="rId275"/>
    <hyperlink xmlns:r="http://schemas.openxmlformats.org/officeDocument/2006/relationships" ref="AR13" r:id="rId276"/>
    <hyperlink xmlns:r="http://schemas.openxmlformats.org/officeDocument/2006/relationships" ref="BA13" r:id="rId277"/>
    <hyperlink xmlns:r="http://schemas.openxmlformats.org/officeDocument/2006/relationships" ref="I14" r:id="rId278"/>
    <hyperlink xmlns:r="http://schemas.openxmlformats.org/officeDocument/2006/relationships" ref="J14" r:id="rId279"/>
    <hyperlink xmlns:r="http://schemas.openxmlformats.org/officeDocument/2006/relationships" ref="K14" r:id="rId280"/>
    <hyperlink xmlns:r="http://schemas.openxmlformats.org/officeDocument/2006/relationships" ref="L14" r:id="rId281"/>
    <hyperlink xmlns:r="http://schemas.openxmlformats.org/officeDocument/2006/relationships" ref="M14" r:id="rId282"/>
    <hyperlink xmlns:r="http://schemas.openxmlformats.org/officeDocument/2006/relationships" ref="N14" r:id="rId283"/>
    <hyperlink xmlns:r="http://schemas.openxmlformats.org/officeDocument/2006/relationships" ref="O14" r:id="rId284"/>
    <hyperlink xmlns:r="http://schemas.openxmlformats.org/officeDocument/2006/relationships" ref="P14" r:id="rId285"/>
    <hyperlink xmlns:r="http://schemas.openxmlformats.org/officeDocument/2006/relationships" ref="R14" r:id="rId286"/>
    <hyperlink xmlns:r="http://schemas.openxmlformats.org/officeDocument/2006/relationships" ref="S14" r:id="rId287"/>
    <hyperlink xmlns:r="http://schemas.openxmlformats.org/officeDocument/2006/relationships" ref="W14" r:id="rId288"/>
    <hyperlink xmlns:r="http://schemas.openxmlformats.org/officeDocument/2006/relationships" ref="Z14" r:id="rId289"/>
    <hyperlink xmlns:r="http://schemas.openxmlformats.org/officeDocument/2006/relationships" ref="AB14" r:id="rId290"/>
    <hyperlink xmlns:r="http://schemas.openxmlformats.org/officeDocument/2006/relationships" ref="AE14" r:id="rId291"/>
    <hyperlink xmlns:r="http://schemas.openxmlformats.org/officeDocument/2006/relationships" ref="AF14" r:id="rId292"/>
    <hyperlink xmlns:r="http://schemas.openxmlformats.org/officeDocument/2006/relationships" ref="AG14" r:id="rId293"/>
    <hyperlink xmlns:r="http://schemas.openxmlformats.org/officeDocument/2006/relationships" ref="AI14" r:id="rId294"/>
    <hyperlink xmlns:r="http://schemas.openxmlformats.org/officeDocument/2006/relationships" ref="AK14" r:id="rId295"/>
    <hyperlink xmlns:r="http://schemas.openxmlformats.org/officeDocument/2006/relationships" ref="AL14" r:id="rId296"/>
    <hyperlink xmlns:r="http://schemas.openxmlformats.org/officeDocument/2006/relationships" ref="AM14" r:id="rId297"/>
    <hyperlink xmlns:r="http://schemas.openxmlformats.org/officeDocument/2006/relationships" ref="AN14" r:id="rId298"/>
    <hyperlink xmlns:r="http://schemas.openxmlformats.org/officeDocument/2006/relationships" ref="AP14" r:id="rId299"/>
    <hyperlink xmlns:r="http://schemas.openxmlformats.org/officeDocument/2006/relationships" ref="AR14" r:id="rId300"/>
    <hyperlink xmlns:r="http://schemas.openxmlformats.org/officeDocument/2006/relationships" ref="AT14" r:id="rId301"/>
    <hyperlink xmlns:r="http://schemas.openxmlformats.org/officeDocument/2006/relationships" ref="AU14" r:id="rId302"/>
    <hyperlink xmlns:r="http://schemas.openxmlformats.org/officeDocument/2006/relationships" ref="BA14" r:id="rId303"/>
    <hyperlink xmlns:r="http://schemas.openxmlformats.org/officeDocument/2006/relationships" ref="F15" r:id="rId304"/>
    <hyperlink xmlns:r="http://schemas.openxmlformats.org/officeDocument/2006/relationships" ref="I15" r:id="rId305"/>
    <hyperlink xmlns:r="http://schemas.openxmlformats.org/officeDocument/2006/relationships" ref="J15" r:id="rId306"/>
    <hyperlink xmlns:r="http://schemas.openxmlformats.org/officeDocument/2006/relationships" ref="K15" r:id="rId307"/>
    <hyperlink xmlns:r="http://schemas.openxmlformats.org/officeDocument/2006/relationships" ref="L15" r:id="rId308"/>
    <hyperlink xmlns:r="http://schemas.openxmlformats.org/officeDocument/2006/relationships" ref="M15" r:id="rId309"/>
    <hyperlink xmlns:r="http://schemas.openxmlformats.org/officeDocument/2006/relationships" ref="N15" r:id="rId310"/>
    <hyperlink xmlns:r="http://schemas.openxmlformats.org/officeDocument/2006/relationships" ref="O15" r:id="rId311"/>
    <hyperlink xmlns:r="http://schemas.openxmlformats.org/officeDocument/2006/relationships" ref="P15" r:id="rId312"/>
    <hyperlink xmlns:r="http://schemas.openxmlformats.org/officeDocument/2006/relationships" ref="Q15" r:id="rId313"/>
    <hyperlink xmlns:r="http://schemas.openxmlformats.org/officeDocument/2006/relationships" ref="R15" r:id="rId314"/>
    <hyperlink xmlns:r="http://schemas.openxmlformats.org/officeDocument/2006/relationships" ref="S15" r:id="rId315"/>
    <hyperlink xmlns:r="http://schemas.openxmlformats.org/officeDocument/2006/relationships" ref="T15" r:id="rId316"/>
    <hyperlink xmlns:r="http://schemas.openxmlformats.org/officeDocument/2006/relationships" ref="U15" r:id="rId317"/>
    <hyperlink xmlns:r="http://schemas.openxmlformats.org/officeDocument/2006/relationships" ref="V15" r:id="rId318"/>
    <hyperlink xmlns:r="http://schemas.openxmlformats.org/officeDocument/2006/relationships" ref="W15" r:id="rId319"/>
    <hyperlink xmlns:r="http://schemas.openxmlformats.org/officeDocument/2006/relationships" ref="Y15" r:id="rId320"/>
    <hyperlink xmlns:r="http://schemas.openxmlformats.org/officeDocument/2006/relationships" ref="Z15" r:id="rId321"/>
    <hyperlink xmlns:r="http://schemas.openxmlformats.org/officeDocument/2006/relationships" ref="AA15" r:id="rId322"/>
    <hyperlink xmlns:r="http://schemas.openxmlformats.org/officeDocument/2006/relationships" ref="AB15" r:id="rId323"/>
    <hyperlink xmlns:r="http://schemas.openxmlformats.org/officeDocument/2006/relationships" ref="AE15" r:id="rId324"/>
    <hyperlink xmlns:r="http://schemas.openxmlformats.org/officeDocument/2006/relationships" ref="AF15" r:id="rId325"/>
    <hyperlink xmlns:r="http://schemas.openxmlformats.org/officeDocument/2006/relationships" ref="AG15" r:id="rId326"/>
    <hyperlink xmlns:r="http://schemas.openxmlformats.org/officeDocument/2006/relationships" ref="AP15" r:id="rId327"/>
    <hyperlink xmlns:r="http://schemas.openxmlformats.org/officeDocument/2006/relationships" ref="AR15" r:id="rId328"/>
    <hyperlink xmlns:r="http://schemas.openxmlformats.org/officeDocument/2006/relationships" ref="AS15" r:id="rId329"/>
    <hyperlink xmlns:r="http://schemas.openxmlformats.org/officeDocument/2006/relationships" ref="AT15" r:id="rId330"/>
    <hyperlink xmlns:r="http://schemas.openxmlformats.org/officeDocument/2006/relationships" ref="AU15" r:id="rId331"/>
    <hyperlink xmlns:r="http://schemas.openxmlformats.org/officeDocument/2006/relationships" ref="AX15" r:id="rId332"/>
    <hyperlink xmlns:r="http://schemas.openxmlformats.org/officeDocument/2006/relationships" ref="AY15" r:id="rId333"/>
    <hyperlink xmlns:r="http://schemas.openxmlformats.org/officeDocument/2006/relationships" ref="AZ15" r:id="rId334"/>
    <hyperlink xmlns:r="http://schemas.openxmlformats.org/officeDocument/2006/relationships" ref="BA15" r:id="rId335"/>
    <hyperlink xmlns:r="http://schemas.openxmlformats.org/officeDocument/2006/relationships" ref="BE15" r:id="rId336"/>
    <hyperlink xmlns:r="http://schemas.openxmlformats.org/officeDocument/2006/relationships" ref="BF15" r:id="rId337"/>
    <hyperlink xmlns:r="http://schemas.openxmlformats.org/officeDocument/2006/relationships" ref="F16" r:id="rId338"/>
    <hyperlink xmlns:r="http://schemas.openxmlformats.org/officeDocument/2006/relationships" ref="G16" r:id="rId339"/>
    <hyperlink xmlns:r="http://schemas.openxmlformats.org/officeDocument/2006/relationships" ref="H16" r:id="rId340"/>
    <hyperlink xmlns:r="http://schemas.openxmlformats.org/officeDocument/2006/relationships" ref="I16" r:id="rId341"/>
    <hyperlink xmlns:r="http://schemas.openxmlformats.org/officeDocument/2006/relationships" ref="J16" r:id="rId342"/>
    <hyperlink xmlns:r="http://schemas.openxmlformats.org/officeDocument/2006/relationships" ref="K16" r:id="rId343"/>
    <hyperlink xmlns:r="http://schemas.openxmlformats.org/officeDocument/2006/relationships" ref="L16" r:id="rId344"/>
    <hyperlink xmlns:r="http://schemas.openxmlformats.org/officeDocument/2006/relationships" ref="M16" r:id="rId345"/>
    <hyperlink xmlns:r="http://schemas.openxmlformats.org/officeDocument/2006/relationships" ref="N16" r:id="rId346"/>
    <hyperlink xmlns:r="http://schemas.openxmlformats.org/officeDocument/2006/relationships" ref="O16" r:id="rId347"/>
    <hyperlink xmlns:r="http://schemas.openxmlformats.org/officeDocument/2006/relationships" ref="P16" r:id="rId348"/>
    <hyperlink xmlns:r="http://schemas.openxmlformats.org/officeDocument/2006/relationships" ref="R16" r:id="rId349"/>
    <hyperlink xmlns:r="http://schemas.openxmlformats.org/officeDocument/2006/relationships" ref="S16" r:id="rId350"/>
    <hyperlink xmlns:r="http://schemas.openxmlformats.org/officeDocument/2006/relationships" ref="T16" r:id="rId351"/>
    <hyperlink xmlns:r="http://schemas.openxmlformats.org/officeDocument/2006/relationships" ref="W16" r:id="rId352"/>
    <hyperlink xmlns:r="http://schemas.openxmlformats.org/officeDocument/2006/relationships" ref="Z16" r:id="rId353"/>
    <hyperlink xmlns:r="http://schemas.openxmlformats.org/officeDocument/2006/relationships" ref="AA16" r:id="rId354"/>
    <hyperlink xmlns:r="http://schemas.openxmlformats.org/officeDocument/2006/relationships" ref="AF16" r:id="rId355"/>
    <hyperlink xmlns:r="http://schemas.openxmlformats.org/officeDocument/2006/relationships" ref="AI16" r:id="rId356"/>
    <hyperlink xmlns:r="http://schemas.openxmlformats.org/officeDocument/2006/relationships" ref="AM16" r:id="rId357"/>
    <hyperlink xmlns:r="http://schemas.openxmlformats.org/officeDocument/2006/relationships" ref="AP16" r:id="rId358"/>
    <hyperlink xmlns:r="http://schemas.openxmlformats.org/officeDocument/2006/relationships" ref="AT16" r:id="rId359"/>
    <hyperlink xmlns:r="http://schemas.openxmlformats.org/officeDocument/2006/relationships" ref="AU16" r:id="rId360"/>
    <hyperlink xmlns:r="http://schemas.openxmlformats.org/officeDocument/2006/relationships" ref="AV16" r:id="rId361"/>
    <hyperlink xmlns:r="http://schemas.openxmlformats.org/officeDocument/2006/relationships" ref="AX16" r:id="rId362"/>
    <hyperlink xmlns:r="http://schemas.openxmlformats.org/officeDocument/2006/relationships" ref="AY16" r:id="rId363"/>
    <hyperlink xmlns:r="http://schemas.openxmlformats.org/officeDocument/2006/relationships" ref="AZ16" r:id="rId364"/>
    <hyperlink xmlns:r="http://schemas.openxmlformats.org/officeDocument/2006/relationships" ref="BA16" r:id="rId365"/>
    <hyperlink xmlns:r="http://schemas.openxmlformats.org/officeDocument/2006/relationships" ref="BB16" r:id="rId366"/>
    <hyperlink xmlns:r="http://schemas.openxmlformats.org/officeDocument/2006/relationships" ref="BE16" r:id="rId367"/>
    <hyperlink xmlns:r="http://schemas.openxmlformats.org/officeDocument/2006/relationships" ref="BF16" r:id="rId368"/>
    <hyperlink xmlns:r="http://schemas.openxmlformats.org/officeDocument/2006/relationships" ref="F17" r:id="rId369"/>
    <hyperlink xmlns:r="http://schemas.openxmlformats.org/officeDocument/2006/relationships" ref="H17" r:id="rId370"/>
    <hyperlink xmlns:r="http://schemas.openxmlformats.org/officeDocument/2006/relationships" ref="L17" r:id="rId371"/>
    <hyperlink xmlns:r="http://schemas.openxmlformats.org/officeDocument/2006/relationships" ref="S17" r:id="rId372"/>
    <hyperlink xmlns:r="http://schemas.openxmlformats.org/officeDocument/2006/relationships" ref="Y17" r:id="rId373"/>
    <hyperlink xmlns:r="http://schemas.openxmlformats.org/officeDocument/2006/relationships" ref="AC17" r:id="rId374"/>
    <hyperlink xmlns:r="http://schemas.openxmlformats.org/officeDocument/2006/relationships" ref="AE17" r:id="rId375"/>
    <hyperlink xmlns:r="http://schemas.openxmlformats.org/officeDocument/2006/relationships" ref="AF17" r:id="rId376"/>
    <hyperlink xmlns:r="http://schemas.openxmlformats.org/officeDocument/2006/relationships" ref="AH17" r:id="rId377"/>
    <hyperlink xmlns:r="http://schemas.openxmlformats.org/officeDocument/2006/relationships" ref="AJ17" r:id="rId378"/>
    <hyperlink xmlns:r="http://schemas.openxmlformats.org/officeDocument/2006/relationships" ref="AL17" r:id="rId379"/>
    <hyperlink xmlns:r="http://schemas.openxmlformats.org/officeDocument/2006/relationships" ref="AM17" r:id="rId380"/>
    <hyperlink xmlns:r="http://schemas.openxmlformats.org/officeDocument/2006/relationships" ref="AO17" r:id="rId381"/>
    <hyperlink xmlns:r="http://schemas.openxmlformats.org/officeDocument/2006/relationships" ref="AQ17" r:id="rId382"/>
    <hyperlink xmlns:r="http://schemas.openxmlformats.org/officeDocument/2006/relationships" ref="AT17" r:id="rId383"/>
    <hyperlink xmlns:r="http://schemas.openxmlformats.org/officeDocument/2006/relationships" ref="B18" r:id="rId384"/>
    <hyperlink xmlns:r="http://schemas.openxmlformats.org/officeDocument/2006/relationships" ref="D18" r:id="rId385"/>
    <hyperlink xmlns:r="http://schemas.openxmlformats.org/officeDocument/2006/relationships" ref="E18" r:id="rId386"/>
    <hyperlink xmlns:r="http://schemas.openxmlformats.org/officeDocument/2006/relationships" ref="F18" r:id="rId387"/>
    <hyperlink xmlns:r="http://schemas.openxmlformats.org/officeDocument/2006/relationships" ref="G18" r:id="rId388"/>
    <hyperlink xmlns:r="http://schemas.openxmlformats.org/officeDocument/2006/relationships" ref="I18" r:id="rId389"/>
    <hyperlink xmlns:r="http://schemas.openxmlformats.org/officeDocument/2006/relationships" ref="L18" r:id="rId390"/>
    <hyperlink xmlns:r="http://schemas.openxmlformats.org/officeDocument/2006/relationships" ref="M18" r:id="rId391"/>
    <hyperlink xmlns:r="http://schemas.openxmlformats.org/officeDocument/2006/relationships" ref="N18" r:id="rId392"/>
    <hyperlink xmlns:r="http://schemas.openxmlformats.org/officeDocument/2006/relationships" ref="P18" r:id="rId393"/>
    <hyperlink xmlns:r="http://schemas.openxmlformats.org/officeDocument/2006/relationships" ref="S18" r:id="rId394"/>
    <hyperlink xmlns:r="http://schemas.openxmlformats.org/officeDocument/2006/relationships" ref="T18" r:id="rId395"/>
    <hyperlink xmlns:r="http://schemas.openxmlformats.org/officeDocument/2006/relationships" ref="U18" r:id="rId396"/>
    <hyperlink xmlns:r="http://schemas.openxmlformats.org/officeDocument/2006/relationships" ref="V18" r:id="rId397"/>
    <hyperlink xmlns:r="http://schemas.openxmlformats.org/officeDocument/2006/relationships" ref="X18" r:id="rId398"/>
    <hyperlink xmlns:r="http://schemas.openxmlformats.org/officeDocument/2006/relationships" ref="Y18" r:id="rId399"/>
    <hyperlink xmlns:r="http://schemas.openxmlformats.org/officeDocument/2006/relationships" ref="Z18" r:id="rId400"/>
    <hyperlink xmlns:r="http://schemas.openxmlformats.org/officeDocument/2006/relationships" ref="AB18" r:id="rId401"/>
    <hyperlink xmlns:r="http://schemas.openxmlformats.org/officeDocument/2006/relationships" ref="AE18" r:id="rId402"/>
    <hyperlink xmlns:r="http://schemas.openxmlformats.org/officeDocument/2006/relationships" ref="AF18" r:id="rId403"/>
    <hyperlink xmlns:r="http://schemas.openxmlformats.org/officeDocument/2006/relationships" ref="AM18" r:id="rId404"/>
    <hyperlink xmlns:r="http://schemas.openxmlformats.org/officeDocument/2006/relationships" ref="AZ18" r:id="rId405"/>
    <hyperlink xmlns:r="http://schemas.openxmlformats.org/officeDocument/2006/relationships" ref="BE18" r:id="rId406"/>
    <hyperlink xmlns:r="http://schemas.openxmlformats.org/officeDocument/2006/relationships" ref="B19" r:id="rId407"/>
    <hyperlink xmlns:r="http://schemas.openxmlformats.org/officeDocument/2006/relationships" ref="D19" r:id="rId408"/>
    <hyperlink xmlns:r="http://schemas.openxmlformats.org/officeDocument/2006/relationships" ref="E19" r:id="rId409"/>
    <hyperlink xmlns:r="http://schemas.openxmlformats.org/officeDocument/2006/relationships" ref="F19" r:id="rId410"/>
    <hyperlink xmlns:r="http://schemas.openxmlformats.org/officeDocument/2006/relationships" ref="G19" r:id="rId411"/>
    <hyperlink xmlns:r="http://schemas.openxmlformats.org/officeDocument/2006/relationships" ref="I19" r:id="rId412"/>
    <hyperlink xmlns:r="http://schemas.openxmlformats.org/officeDocument/2006/relationships" ref="L19" r:id="rId413"/>
    <hyperlink xmlns:r="http://schemas.openxmlformats.org/officeDocument/2006/relationships" ref="M19" r:id="rId414"/>
    <hyperlink xmlns:r="http://schemas.openxmlformats.org/officeDocument/2006/relationships" ref="N19" r:id="rId415"/>
    <hyperlink xmlns:r="http://schemas.openxmlformats.org/officeDocument/2006/relationships" ref="P19" r:id="rId416"/>
    <hyperlink xmlns:r="http://schemas.openxmlformats.org/officeDocument/2006/relationships" ref="S19" r:id="rId417"/>
    <hyperlink xmlns:r="http://schemas.openxmlformats.org/officeDocument/2006/relationships" ref="T19" r:id="rId418"/>
    <hyperlink xmlns:r="http://schemas.openxmlformats.org/officeDocument/2006/relationships" ref="U19" r:id="rId419"/>
    <hyperlink xmlns:r="http://schemas.openxmlformats.org/officeDocument/2006/relationships" ref="V19" r:id="rId420"/>
    <hyperlink xmlns:r="http://schemas.openxmlformats.org/officeDocument/2006/relationships" ref="X19" r:id="rId421"/>
    <hyperlink xmlns:r="http://schemas.openxmlformats.org/officeDocument/2006/relationships" ref="Z19" r:id="rId422"/>
    <hyperlink xmlns:r="http://schemas.openxmlformats.org/officeDocument/2006/relationships" ref="AB19" r:id="rId423"/>
    <hyperlink xmlns:r="http://schemas.openxmlformats.org/officeDocument/2006/relationships" ref="AE19" r:id="rId424"/>
    <hyperlink xmlns:r="http://schemas.openxmlformats.org/officeDocument/2006/relationships" ref="AF19" r:id="rId425"/>
    <hyperlink xmlns:r="http://schemas.openxmlformats.org/officeDocument/2006/relationships" ref="AM19" r:id="rId426"/>
    <hyperlink xmlns:r="http://schemas.openxmlformats.org/officeDocument/2006/relationships" ref="AE21" r:id="rId427"/>
    <hyperlink xmlns:r="http://schemas.openxmlformats.org/officeDocument/2006/relationships" ref="AG22" r:id="rId428"/>
    <hyperlink xmlns:r="http://schemas.openxmlformats.org/officeDocument/2006/relationships" ref="AK22" r:id="rId429"/>
    <hyperlink xmlns:r="http://schemas.openxmlformats.org/officeDocument/2006/relationships" ref="AK23" r:id="rId430"/>
    <hyperlink xmlns:r="http://schemas.openxmlformats.org/officeDocument/2006/relationships" ref="AG24" r:id="rId431"/>
    <hyperlink xmlns:r="http://schemas.openxmlformats.org/officeDocument/2006/relationships" ref="W25" r:id="rId432"/>
    <hyperlink xmlns:r="http://schemas.openxmlformats.org/officeDocument/2006/relationships" ref="BE26" r:id="rId433"/>
    <hyperlink xmlns:r="http://schemas.openxmlformats.org/officeDocument/2006/relationships" ref="BE27" r:id="rId434"/>
    <hyperlink xmlns:r="http://schemas.openxmlformats.org/officeDocument/2006/relationships" ref="BA28" r:id="rId435"/>
    <hyperlink xmlns:r="http://schemas.openxmlformats.org/officeDocument/2006/relationships" ref="BE28" r:id="rId436"/>
    <hyperlink xmlns:r="http://schemas.openxmlformats.org/officeDocument/2006/relationships" ref="AE29" r:id="rId437"/>
    <hyperlink xmlns:r="http://schemas.openxmlformats.org/officeDocument/2006/relationships" ref="AK30" r:id="rId438"/>
    <hyperlink xmlns:r="http://schemas.openxmlformats.org/officeDocument/2006/relationships" ref="J31" r:id="rId439"/>
    <hyperlink xmlns:r="http://schemas.openxmlformats.org/officeDocument/2006/relationships" ref="L32" r:id="rId440"/>
    <hyperlink xmlns:r="http://schemas.openxmlformats.org/officeDocument/2006/relationships" ref="Z33" r:id="rId441"/>
    <hyperlink xmlns:r="http://schemas.openxmlformats.org/officeDocument/2006/relationships" ref="AB33" r:id="rId442"/>
    <hyperlink xmlns:r="http://schemas.openxmlformats.org/officeDocument/2006/relationships" ref="AT34" r:id="rId443"/>
    <hyperlink xmlns:r="http://schemas.openxmlformats.org/officeDocument/2006/relationships" ref="AU34" r:id="rId444"/>
    <hyperlink xmlns:r="http://schemas.openxmlformats.org/officeDocument/2006/relationships" ref="AV34" r:id="rId445"/>
    <hyperlink xmlns:r="http://schemas.openxmlformats.org/officeDocument/2006/relationships" ref="AX34" r:id="rId446"/>
    <hyperlink xmlns:r="http://schemas.openxmlformats.org/officeDocument/2006/relationships" ref="AY34" r:id="rId447"/>
    <hyperlink xmlns:r="http://schemas.openxmlformats.org/officeDocument/2006/relationships" ref="AZ34" r:id="rId448"/>
    <hyperlink xmlns:r="http://schemas.openxmlformats.org/officeDocument/2006/relationships" ref="BA34" r:id="rId449"/>
    <hyperlink xmlns:r="http://schemas.openxmlformats.org/officeDocument/2006/relationships" ref="BB34" r:id="rId450"/>
    <hyperlink xmlns:r="http://schemas.openxmlformats.org/officeDocument/2006/relationships" ref="BE34" r:id="rId451"/>
    <hyperlink xmlns:r="http://schemas.openxmlformats.org/officeDocument/2006/relationships" ref="AR35" r:id="rId452"/>
    <hyperlink xmlns:r="http://schemas.openxmlformats.org/officeDocument/2006/relationships" ref="AT35" r:id="rId453"/>
    <hyperlink xmlns:r="http://schemas.openxmlformats.org/officeDocument/2006/relationships" ref="AX35" r:id="rId454"/>
    <hyperlink xmlns:r="http://schemas.openxmlformats.org/officeDocument/2006/relationships" ref="AY35" r:id="rId455"/>
    <hyperlink xmlns:r="http://schemas.openxmlformats.org/officeDocument/2006/relationships" ref="AZ35" r:id="rId456"/>
    <hyperlink xmlns:r="http://schemas.openxmlformats.org/officeDocument/2006/relationships" ref="BE35" r:id="rId457"/>
    <hyperlink xmlns:r="http://schemas.openxmlformats.org/officeDocument/2006/relationships" ref="BF35" r:id="rId458"/>
    <hyperlink xmlns:r="http://schemas.openxmlformats.org/officeDocument/2006/relationships" ref="AZ36" r:id="rId459"/>
    <hyperlink xmlns:r="http://schemas.openxmlformats.org/officeDocument/2006/relationships" ref="BD36" r:id="rId460"/>
    <hyperlink xmlns:r="http://schemas.openxmlformats.org/officeDocument/2006/relationships" ref="BE36" r:id="rId461"/>
    <hyperlink xmlns:r="http://schemas.openxmlformats.org/officeDocument/2006/relationships" ref="BF36" r:id="rId462"/>
    <hyperlink xmlns:r="http://schemas.openxmlformats.org/officeDocument/2006/relationships" ref="BA37" r:id="rId463"/>
    <hyperlink xmlns:r="http://schemas.openxmlformats.org/officeDocument/2006/relationships" ref="AT38" r:id="rId464"/>
    <hyperlink xmlns:r="http://schemas.openxmlformats.org/officeDocument/2006/relationships" ref="AZ38" r:id="rId465"/>
    <hyperlink xmlns:r="http://schemas.openxmlformats.org/officeDocument/2006/relationships" ref="AZ39" r:id="rId466"/>
    <hyperlink xmlns:r="http://schemas.openxmlformats.org/officeDocument/2006/relationships" ref="BF39" r:id="rId467"/>
    <hyperlink xmlns:r="http://schemas.openxmlformats.org/officeDocument/2006/relationships" ref="BE40" r:id="rId468"/>
    <hyperlink xmlns:r="http://schemas.openxmlformats.org/officeDocument/2006/relationships" ref="AP41" r:id="rId469"/>
    <hyperlink xmlns:r="http://schemas.openxmlformats.org/officeDocument/2006/relationships" ref="AN42" r:id="rId470"/>
    <hyperlink xmlns:r="http://schemas.openxmlformats.org/officeDocument/2006/relationships" ref="AI43" r:id="rId471"/>
    <hyperlink xmlns:r="http://schemas.openxmlformats.org/officeDocument/2006/relationships" ref="AK44" r:id="rId472"/>
    <hyperlink xmlns:r="http://schemas.openxmlformats.org/officeDocument/2006/relationships" ref="W45" r:id="rId473"/>
    <hyperlink xmlns:r="http://schemas.openxmlformats.org/officeDocument/2006/relationships" ref="AY46" r:id="rId474"/>
    <hyperlink xmlns:r="http://schemas.openxmlformats.org/officeDocument/2006/relationships" ref="AZ46" r:id="rId475"/>
    <hyperlink xmlns:r="http://schemas.openxmlformats.org/officeDocument/2006/relationships" ref="BF46" r:id="rId476"/>
    <hyperlink xmlns:r="http://schemas.openxmlformats.org/officeDocument/2006/relationships" ref="AM47" r:id="rId477"/>
    <hyperlink xmlns:r="http://schemas.openxmlformats.org/officeDocument/2006/relationships" ref="AL48" r:id="rId478"/>
    <hyperlink xmlns:r="http://schemas.openxmlformats.org/officeDocument/2006/relationships" ref="AT49" r:id="rId479"/>
    <hyperlink xmlns:r="http://schemas.openxmlformats.org/officeDocument/2006/relationships" ref="BA50" r:id="rId480"/>
    <hyperlink xmlns:r="http://schemas.openxmlformats.org/officeDocument/2006/relationships" ref="BE51" r:id="rId481"/>
    <hyperlink xmlns:r="http://schemas.openxmlformats.org/officeDocument/2006/relationships" ref="AU52" r:id="rId482"/>
    <hyperlink xmlns:r="http://schemas.openxmlformats.org/officeDocument/2006/relationships" ref="AX52" r:id="rId483"/>
    <hyperlink xmlns:r="http://schemas.openxmlformats.org/officeDocument/2006/relationships" ref="BE52" r:id="rId484"/>
    <hyperlink xmlns:r="http://schemas.openxmlformats.org/officeDocument/2006/relationships" ref="AZ53" r:id="rId485"/>
    <hyperlink xmlns:r="http://schemas.openxmlformats.org/officeDocument/2006/relationships" ref="M54" r:id="rId486"/>
    <hyperlink xmlns:r="http://schemas.openxmlformats.org/officeDocument/2006/relationships" ref="AG55" r:id="rId487"/>
    <hyperlink xmlns:r="http://schemas.openxmlformats.org/officeDocument/2006/relationships" ref="AE56" r:id="rId488"/>
    <hyperlink xmlns:r="http://schemas.openxmlformats.org/officeDocument/2006/relationships" ref="AF56" r:id="rId489"/>
    <hyperlink xmlns:r="http://schemas.openxmlformats.org/officeDocument/2006/relationships" ref="AG56" r:id="rId490"/>
    <hyperlink xmlns:r="http://schemas.openxmlformats.org/officeDocument/2006/relationships" ref="AI56" r:id="rId491"/>
    <hyperlink xmlns:r="http://schemas.openxmlformats.org/officeDocument/2006/relationships" ref="AK56" r:id="rId492"/>
    <hyperlink xmlns:r="http://schemas.openxmlformats.org/officeDocument/2006/relationships" ref="AL56" r:id="rId493"/>
    <hyperlink xmlns:r="http://schemas.openxmlformats.org/officeDocument/2006/relationships" ref="AM56" r:id="rId494"/>
    <hyperlink xmlns:r="http://schemas.openxmlformats.org/officeDocument/2006/relationships" ref="AN56" r:id="rId495"/>
    <hyperlink xmlns:r="http://schemas.openxmlformats.org/officeDocument/2006/relationships" ref="AP56" r:id="rId496"/>
    <hyperlink xmlns:r="http://schemas.openxmlformats.org/officeDocument/2006/relationships" ref="AT56" r:id="rId497"/>
    <hyperlink xmlns:r="http://schemas.openxmlformats.org/officeDocument/2006/relationships" ref="AY57" r:id="rId498"/>
    <hyperlink xmlns:r="http://schemas.openxmlformats.org/officeDocument/2006/relationships" ref="AZ58" r:id="rId499"/>
    <hyperlink xmlns:r="http://schemas.openxmlformats.org/officeDocument/2006/relationships" ref="BE59" r:id="rId500"/>
    <hyperlink xmlns:r="http://schemas.openxmlformats.org/officeDocument/2006/relationships" ref="P60" r:id="rId501"/>
    <hyperlink xmlns:r="http://schemas.openxmlformats.org/officeDocument/2006/relationships" ref="AE60" r:id="rId502"/>
    <hyperlink xmlns:r="http://schemas.openxmlformats.org/officeDocument/2006/relationships" ref="AF60" r:id="rId503"/>
    <hyperlink xmlns:r="http://schemas.openxmlformats.org/officeDocument/2006/relationships" ref="AG60" r:id="rId504"/>
    <hyperlink xmlns:r="http://schemas.openxmlformats.org/officeDocument/2006/relationships" ref="AI60" r:id="rId505"/>
    <hyperlink xmlns:r="http://schemas.openxmlformats.org/officeDocument/2006/relationships" ref="AK60" r:id="rId506"/>
    <hyperlink xmlns:r="http://schemas.openxmlformats.org/officeDocument/2006/relationships" ref="AN60" r:id="rId507"/>
    <hyperlink xmlns:r="http://schemas.openxmlformats.org/officeDocument/2006/relationships" ref="AP60" r:id="rId508"/>
    <hyperlink xmlns:r="http://schemas.openxmlformats.org/officeDocument/2006/relationships" ref="AG61" r:id="rId509"/>
    <hyperlink xmlns:r="http://schemas.openxmlformats.org/officeDocument/2006/relationships" ref="AI61" r:id="rId510"/>
    <hyperlink xmlns:r="http://schemas.openxmlformats.org/officeDocument/2006/relationships" ref="Z62" r:id="rId511"/>
    <hyperlink xmlns:r="http://schemas.openxmlformats.org/officeDocument/2006/relationships" ref="AB62" r:id="rId512"/>
    <hyperlink xmlns:r="http://schemas.openxmlformats.org/officeDocument/2006/relationships" ref="AG62" r:id="rId513"/>
    <hyperlink xmlns:r="http://schemas.openxmlformats.org/officeDocument/2006/relationships" ref="AI62" r:id="rId514"/>
    <hyperlink xmlns:r="http://schemas.openxmlformats.org/officeDocument/2006/relationships" ref="AE63" r:id="rId515"/>
    <hyperlink xmlns:r="http://schemas.openxmlformats.org/officeDocument/2006/relationships" ref="M64" r:id="rId516"/>
    <hyperlink xmlns:r="http://schemas.openxmlformats.org/officeDocument/2006/relationships" ref="N64" r:id="rId517"/>
    <hyperlink xmlns:r="http://schemas.openxmlformats.org/officeDocument/2006/relationships" ref="P64" r:id="rId518"/>
    <hyperlink xmlns:r="http://schemas.openxmlformats.org/officeDocument/2006/relationships" ref="T64" r:id="rId519"/>
    <hyperlink xmlns:r="http://schemas.openxmlformats.org/officeDocument/2006/relationships" ref="U64" r:id="rId520"/>
    <hyperlink xmlns:r="http://schemas.openxmlformats.org/officeDocument/2006/relationships" ref="V64" r:id="rId521"/>
    <hyperlink xmlns:r="http://schemas.openxmlformats.org/officeDocument/2006/relationships" ref="Y64" r:id="rId522"/>
    <hyperlink xmlns:r="http://schemas.openxmlformats.org/officeDocument/2006/relationships" ref="Z64" r:id="rId523"/>
    <hyperlink xmlns:r="http://schemas.openxmlformats.org/officeDocument/2006/relationships" ref="AB64" r:id="rId524"/>
    <hyperlink xmlns:r="http://schemas.openxmlformats.org/officeDocument/2006/relationships" ref="AF64" r:id="rId525"/>
    <hyperlink xmlns:r="http://schemas.openxmlformats.org/officeDocument/2006/relationships" ref="AG64" r:id="rId526"/>
    <hyperlink xmlns:r="http://schemas.openxmlformats.org/officeDocument/2006/relationships" ref="AI64" r:id="rId527"/>
    <hyperlink xmlns:r="http://schemas.openxmlformats.org/officeDocument/2006/relationships" ref="AM64" r:id="rId528"/>
    <hyperlink xmlns:r="http://schemas.openxmlformats.org/officeDocument/2006/relationships" ref="AP64" r:id="rId529"/>
    <hyperlink xmlns:r="http://schemas.openxmlformats.org/officeDocument/2006/relationships" ref="AT64" r:id="rId530"/>
    <hyperlink xmlns:r="http://schemas.openxmlformats.org/officeDocument/2006/relationships" ref="AU64" r:id="rId531"/>
    <hyperlink xmlns:r="http://schemas.openxmlformats.org/officeDocument/2006/relationships" ref="AZ64" r:id="rId532"/>
    <hyperlink xmlns:r="http://schemas.openxmlformats.org/officeDocument/2006/relationships" ref="BA64" r:id="rId533"/>
    <hyperlink xmlns:r="http://schemas.openxmlformats.org/officeDocument/2006/relationships" ref="BE64" r:id="rId534"/>
    <hyperlink xmlns:r="http://schemas.openxmlformats.org/officeDocument/2006/relationships" ref="AL65" r:id="rId535"/>
    <hyperlink xmlns:r="http://schemas.openxmlformats.org/officeDocument/2006/relationships" ref="BE66" r:id="rId536"/>
    <hyperlink xmlns:r="http://schemas.openxmlformats.org/officeDocument/2006/relationships" ref="AX67" r:id="rId537"/>
    <hyperlink xmlns:r="http://schemas.openxmlformats.org/officeDocument/2006/relationships" ref="BD67" r:id="rId538"/>
    <hyperlink xmlns:r="http://schemas.openxmlformats.org/officeDocument/2006/relationships" ref="Z68" r:id="rId539"/>
    <hyperlink xmlns:r="http://schemas.openxmlformats.org/officeDocument/2006/relationships" ref="AF69" r:id="rId540"/>
    <hyperlink xmlns:r="http://schemas.openxmlformats.org/officeDocument/2006/relationships" ref="AG70" r:id="rId541"/>
    <hyperlink xmlns:r="http://schemas.openxmlformats.org/officeDocument/2006/relationships" ref="AG71" r:id="rId542"/>
    <hyperlink xmlns:r="http://schemas.openxmlformats.org/officeDocument/2006/relationships" ref="AE72" r:id="rId543"/>
    <hyperlink xmlns:r="http://schemas.openxmlformats.org/officeDocument/2006/relationships" ref="X73" r:id="rId544"/>
    <hyperlink xmlns:r="http://schemas.openxmlformats.org/officeDocument/2006/relationships" ref="AE73" r:id="rId545"/>
    <hyperlink xmlns:r="http://schemas.openxmlformats.org/officeDocument/2006/relationships" ref="Z74" r:id="rId546"/>
    <hyperlink xmlns:r="http://schemas.openxmlformats.org/officeDocument/2006/relationships" ref="BA75" r:id="rId547"/>
    <hyperlink xmlns:r="http://schemas.openxmlformats.org/officeDocument/2006/relationships" ref="AI76" r:id="rId548"/>
    <hyperlink xmlns:r="http://schemas.openxmlformats.org/officeDocument/2006/relationships" ref="M77" r:id="rId549"/>
    <hyperlink xmlns:r="http://schemas.openxmlformats.org/officeDocument/2006/relationships" ref="O77" r:id="rId550"/>
    <hyperlink xmlns:r="http://schemas.openxmlformats.org/officeDocument/2006/relationships" ref="S77" r:id="rId551"/>
    <hyperlink xmlns:r="http://schemas.openxmlformats.org/officeDocument/2006/relationships" ref="W77" r:id="rId552"/>
    <hyperlink xmlns:r="http://schemas.openxmlformats.org/officeDocument/2006/relationships" ref="P78" r:id="rId553"/>
    <hyperlink xmlns:r="http://schemas.openxmlformats.org/officeDocument/2006/relationships" ref="Q78" r:id="rId554"/>
    <hyperlink xmlns:r="http://schemas.openxmlformats.org/officeDocument/2006/relationships" ref="AZ79" r:id="rId555"/>
    <hyperlink xmlns:r="http://schemas.openxmlformats.org/officeDocument/2006/relationships" ref="AP80" r:id="rId556"/>
    <hyperlink xmlns:r="http://schemas.openxmlformats.org/officeDocument/2006/relationships" ref="BC81" r:id="rId557"/>
    <hyperlink xmlns:r="http://schemas.openxmlformats.org/officeDocument/2006/relationships" ref="W82" r:id="rId558"/>
    <hyperlink xmlns:r="http://schemas.openxmlformats.org/officeDocument/2006/relationships" ref="W83" r:id="rId559"/>
    <hyperlink xmlns:r="http://schemas.openxmlformats.org/officeDocument/2006/relationships" ref="W84" r:id="rId560"/>
    <hyperlink xmlns:r="http://schemas.openxmlformats.org/officeDocument/2006/relationships" ref="Z85" r:id="rId561"/>
    <hyperlink xmlns:r="http://schemas.openxmlformats.org/officeDocument/2006/relationships" ref="AB85" r:id="rId562"/>
    <hyperlink xmlns:r="http://schemas.openxmlformats.org/officeDocument/2006/relationships" ref="AF85" r:id="rId563"/>
    <hyperlink xmlns:r="http://schemas.openxmlformats.org/officeDocument/2006/relationships" ref="AG85" r:id="rId564"/>
    <hyperlink xmlns:r="http://schemas.openxmlformats.org/officeDocument/2006/relationships" ref="AI85" r:id="rId565"/>
    <hyperlink xmlns:r="http://schemas.openxmlformats.org/officeDocument/2006/relationships" ref="AM85" r:id="rId566"/>
    <hyperlink xmlns:r="http://schemas.openxmlformats.org/officeDocument/2006/relationships" ref="AN85" r:id="rId567"/>
    <hyperlink xmlns:r="http://schemas.openxmlformats.org/officeDocument/2006/relationships" ref="AP85" r:id="rId568"/>
    <hyperlink xmlns:r="http://schemas.openxmlformats.org/officeDocument/2006/relationships" ref="AR85" r:id="rId569"/>
    <hyperlink xmlns:r="http://schemas.openxmlformats.org/officeDocument/2006/relationships" ref="AS85" r:id="rId570"/>
    <hyperlink xmlns:r="http://schemas.openxmlformats.org/officeDocument/2006/relationships" ref="AT85" r:id="rId571"/>
    <hyperlink xmlns:r="http://schemas.openxmlformats.org/officeDocument/2006/relationships" ref="AY85" r:id="rId572"/>
    <hyperlink xmlns:r="http://schemas.openxmlformats.org/officeDocument/2006/relationships" ref="BA85" r:id="rId573"/>
    <hyperlink xmlns:r="http://schemas.openxmlformats.org/officeDocument/2006/relationships" ref="BC86" r:id="rId574"/>
    <hyperlink xmlns:r="http://schemas.openxmlformats.org/officeDocument/2006/relationships" ref="AZ87" r:id="rId575"/>
    <hyperlink xmlns:r="http://schemas.openxmlformats.org/officeDocument/2006/relationships" ref="BA88" r:id="rId576"/>
    <hyperlink xmlns:r="http://schemas.openxmlformats.org/officeDocument/2006/relationships" ref="AI89" r:id="rId577"/>
    <hyperlink xmlns:r="http://schemas.openxmlformats.org/officeDocument/2006/relationships" ref="AI90" r:id="rId578"/>
    <hyperlink xmlns:r="http://schemas.openxmlformats.org/officeDocument/2006/relationships" ref="AP90" r:id="rId579"/>
    <hyperlink xmlns:r="http://schemas.openxmlformats.org/officeDocument/2006/relationships" ref="BE91" r:id="rId580"/>
    <hyperlink xmlns:r="http://schemas.openxmlformats.org/officeDocument/2006/relationships" ref="BE92" r:id="rId581"/>
    <hyperlink xmlns:r="http://schemas.openxmlformats.org/officeDocument/2006/relationships" ref="BE93" r:id="rId582"/>
    <hyperlink xmlns:r="http://schemas.openxmlformats.org/officeDocument/2006/relationships" ref="AY94" r:id="rId583"/>
    <hyperlink xmlns:r="http://schemas.openxmlformats.org/officeDocument/2006/relationships" ref="AF95" r:id="rId584"/>
    <hyperlink xmlns:r="http://schemas.openxmlformats.org/officeDocument/2006/relationships" ref="AM96" r:id="rId585"/>
    <hyperlink xmlns:r="http://schemas.openxmlformats.org/officeDocument/2006/relationships" ref="AT96" r:id="rId586"/>
    <hyperlink xmlns:r="http://schemas.openxmlformats.org/officeDocument/2006/relationships" ref="Z97" r:id="rId587"/>
    <hyperlink xmlns:r="http://schemas.openxmlformats.org/officeDocument/2006/relationships" ref="AC98" r:id="rId588"/>
    <hyperlink xmlns:r="http://schemas.openxmlformats.org/officeDocument/2006/relationships" ref="AF99" r:id="rId589"/>
    <hyperlink xmlns:r="http://schemas.openxmlformats.org/officeDocument/2006/relationships" ref="BD100" r:id="rId590"/>
    <hyperlink xmlns:r="http://schemas.openxmlformats.org/officeDocument/2006/relationships" ref="Z101" r:id="rId591"/>
    <hyperlink xmlns:r="http://schemas.openxmlformats.org/officeDocument/2006/relationships" ref="BE102" r:id="rId592"/>
    <hyperlink xmlns:r="http://schemas.openxmlformats.org/officeDocument/2006/relationships" ref="AG103" r:id="rId593"/>
    <hyperlink xmlns:r="http://schemas.openxmlformats.org/officeDocument/2006/relationships" ref="AI103" r:id="rId594"/>
    <hyperlink xmlns:r="http://schemas.openxmlformats.org/officeDocument/2006/relationships" ref="AN103" r:id="rId595"/>
    <hyperlink xmlns:r="http://schemas.openxmlformats.org/officeDocument/2006/relationships" ref="AP103" r:id="rId596"/>
    <hyperlink xmlns:r="http://schemas.openxmlformats.org/officeDocument/2006/relationships" ref="AP104" r:id="rId597"/>
    <hyperlink xmlns:r="http://schemas.openxmlformats.org/officeDocument/2006/relationships" ref="AI105" r:id="rId598"/>
    <hyperlink xmlns:r="http://schemas.openxmlformats.org/officeDocument/2006/relationships" ref="AN106" r:id="rId599"/>
    <hyperlink xmlns:r="http://schemas.openxmlformats.org/officeDocument/2006/relationships" ref="K107" r:id="rId600"/>
    <hyperlink xmlns:r="http://schemas.openxmlformats.org/officeDocument/2006/relationships" ref="BD108" r:id="rId601"/>
    <hyperlink xmlns:r="http://schemas.openxmlformats.org/officeDocument/2006/relationships" ref="U109" r:id="rId602"/>
    <hyperlink xmlns:r="http://schemas.openxmlformats.org/officeDocument/2006/relationships" ref="X109" r:id="rId603"/>
    <hyperlink xmlns:r="http://schemas.openxmlformats.org/officeDocument/2006/relationships" ref="Z109" r:id="rId604"/>
    <hyperlink xmlns:r="http://schemas.openxmlformats.org/officeDocument/2006/relationships" ref="AE109" r:id="rId605"/>
    <hyperlink xmlns:r="http://schemas.openxmlformats.org/officeDocument/2006/relationships" ref="B110" r:id="rId606"/>
    <hyperlink xmlns:r="http://schemas.openxmlformats.org/officeDocument/2006/relationships" ref="D110" r:id="rId607"/>
    <hyperlink xmlns:r="http://schemas.openxmlformats.org/officeDocument/2006/relationships" ref="E110" r:id="rId608"/>
    <hyperlink xmlns:r="http://schemas.openxmlformats.org/officeDocument/2006/relationships" ref="I110" r:id="rId609"/>
    <hyperlink xmlns:r="http://schemas.openxmlformats.org/officeDocument/2006/relationships" ref="J110" r:id="rId610"/>
    <hyperlink xmlns:r="http://schemas.openxmlformats.org/officeDocument/2006/relationships" ref="K110" r:id="rId611"/>
    <hyperlink xmlns:r="http://schemas.openxmlformats.org/officeDocument/2006/relationships" ref="L110" r:id="rId612"/>
    <hyperlink xmlns:r="http://schemas.openxmlformats.org/officeDocument/2006/relationships" ref="N110" r:id="rId613"/>
    <hyperlink xmlns:r="http://schemas.openxmlformats.org/officeDocument/2006/relationships" ref="R110" r:id="rId614"/>
    <hyperlink xmlns:r="http://schemas.openxmlformats.org/officeDocument/2006/relationships" ref="AM111" r:id="rId615"/>
    <hyperlink xmlns:r="http://schemas.openxmlformats.org/officeDocument/2006/relationships" ref="AB112" r:id="rId616"/>
    <hyperlink xmlns:r="http://schemas.openxmlformats.org/officeDocument/2006/relationships" ref="Z113" r:id="rId617"/>
    <hyperlink xmlns:r="http://schemas.openxmlformats.org/officeDocument/2006/relationships" ref="Z114" r:id="rId618"/>
    <hyperlink xmlns:r="http://schemas.openxmlformats.org/officeDocument/2006/relationships" ref="X115" r:id="rId619"/>
    <hyperlink xmlns:r="http://schemas.openxmlformats.org/officeDocument/2006/relationships" ref="W116" r:id="rId620"/>
    <hyperlink xmlns:r="http://schemas.openxmlformats.org/officeDocument/2006/relationships" ref="H117" r:id="rId621"/>
    <hyperlink xmlns:r="http://schemas.openxmlformats.org/officeDocument/2006/relationships" ref="O117" r:id="rId622"/>
    <hyperlink xmlns:r="http://schemas.openxmlformats.org/officeDocument/2006/relationships" ref="BE117" r:id="rId623"/>
    <hyperlink xmlns:r="http://schemas.openxmlformats.org/officeDocument/2006/relationships" ref="Z118" r:id="rId624"/>
    <hyperlink xmlns:r="http://schemas.openxmlformats.org/officeDocument/2006/relationships" ref="AB118" r:id="rId625"/>
    <hyperlink xmlns:r="http://schemas.openxmlformats.org/officeDocument/2006/relationships" ref="AE118" r:id="rId626"/>
    <hyperlink xmlns:r="http://schemas.openxmlformats.org/officeDocument/2006/relationships" ref="AF118" r:id="rId627"/>
    <hyperlink xmlns:r="http://schemas.openxmlformats.org/officeDocument/2006/relationships" ref="BE119" r:id="rId628"/>
    <hyperlink xmlns:r="http://schemas.openxmlformats.org/officeDocument/2006/relationships" ref="AB120" r:id="rId629"/>
    <hyperlink xmlns:r="http://schemas.openxmlformats.org/officeDocument/2006/relationships" ref="BA121" r:id="rId630"/>
    <hyperlink xmlns:r="http://schemas.openxmlformats.org/officeDocument/2006/relationships" ref="AY122" r:id="rId631"/>
    <hyperlink xmlns:r="http://schemas.openxmlformats.org/officeDocument/2006/relationships" ref="BA123" r:id="rId632"/>
    <hyperlink xmlns:r="http://schemas.openxmlformats.org/officeDocument/2006/relationships" ref="AG124" r:id="rId633"/>
    <hyperlink xmlns:r="http://schemas.openxmlformats.org/officeDocument/2006/relationships" ref="AK124" r:id="rId634"/>
    <hyperlink xmlns:r="http://schemas.openxmlformats.org/officeDocument/2006/relationships" ref="BE125" r:id="rId635"/>
    <hyperlink xmlns:r="http://schemas.openxmlformats.org/officeDocument/2006/relationships" ref="AY126" r:id="rId636"/>
    <hyperlink xmlns:r="http://schemas.openxmlformats.org/officeDocument/2006/relationships" ref="AY127" r:id="rId637"/>
    <hyperlink xmlns:r="http://schemas.openxmlformats.org/officeDocument/2006/relationships" ref="BC128" r:id="rId638"/>
    <hyperlink xmlns:r="http://schemas.openxmlformats.org/officeDocument/2006/relationships" ref="BE129" r:id="rId639"/>
    <hyperlink xmlns:r="http://schemas.openxmlformats.org/officeDocument/2006/relationships" ref="AX130" r:id="rId640"/>
    <hyperlink xmlns:r="http://schemas.openxmlformats.org/officeDocument/2006/relationships" ref="BE130" r:id="rId641"/>
    <hyperlink xmlns:r="http://schemas.openxmlformats.org/officeDocument/2006/relationships" ref="BF131" r:id="rId642"/>
    <hyperlink xmlns:r="http://schemas.openxmlformats.org/officeDocument/2006/relationships" ref="BC132" r:id="rId643"/>
    <hyperlink xmlns:r="http://schemas.openxmlformats.org/officeDocument/2006/relationships" ref="BC133" r:id="rId644"/>
    <hyperlink xmlns:r="http://schemas.openxmlformats.org/officeDocument/2006/relationships" ref="BG134" r:id="rId645"/>
    <hyperlink xmlns:r="http://schemas.openxmlformats.org/officeDocument/2006/relationships" ref="AY135" r:id="rId646"/>
    <hyperlink xmlns:r="http://schemas.openxmlformats.org/officeDocument/2006/relationships" ref="Z136" r:id="rId647"/>
    <hyperlink xmlns:r="http://schemas.openxmlformats.org/officeDocument/2006/relationships" ref="AB136" r:id="rId648"/>
    <hyperlink xmlns:r="http://schemas.openxmlformats.org/officeDocument/2006/relationships" ref="AF136" r:id="rId649"/>
    <hyperlink xmlns:r="http://schemas.openxmlformats.org/officeDocument/2006/relationships" ref="AG136" r:id="rId650"/>
    <hyperlink xmlns:r="http://schemas.openxmlformats.org/officeDocument/2006/relationships" ref="AM136" r:id="rId651"/>
    <hyperlink xmlns:r="http://schemas.openxmlformats.org/officeDocument/2006/relationships" ref="AN136" r:id="rId652"/>
    <hyperlink xmlns:r="http://schemas.openxmlformats.org/officeDocument/2006/relationships" ref="AP136" r:id="rId653"/>
    <hyperlink xmlns:r="http://schemas.openxmlformats.org/officeDocument/2006/relationships" ref="AR136" r:id="rId654"/>
    <hyperlink xmlns:r="http://schemas.openxmlformats.org/officeDocument/2006/relationships" ref="AS136" r:id="rId655"/>
    <hyperlink xmlns:r="http://schemas.openxmlformats.org/officeDocument/2006/relationships" ref="AT136" r:id="rId656"/>
    <hyperlink xmlns:r="http://schemas.openxmlformats.org/officeDocument/2006/relationships" ref="AY136" r:id="rId657"/>
    <hyperlink xmlns:r="http://schemas.openxmlformats.org/officeDocument/2006/relationships" ref="BA136" r:id="rId658"/>
    <hyperlink xmlns:r="http://schemas.openxmlformats.org/officeDocument/2006/relationships" ref="BC136" r:id="rId659"/>
    <hyperlink xmlns:r="http://schemas.openxmlformats.org/officeDocument/2006/relationships" ref="AZ137" r:id="rId660"/>
    <hyperlink xmlns:r="http://schemas.openxmlformats.org/officeDocument/2006/relationships" ref="AP138" r:id="rId661"/>
    <hyperlink xmlns:r="http://schemas.openxmlformats.org/officeDocument/2006/relationships" ref="AF139" r:id="rId662"/>
    <hyperlink xmlns:r="http://schemas.openxmlformats.org/officeDocument/2006/relationships" ref="AP140" r:id="rId663"/>
    <hyperlink xmlns:r="http://schemas.openxmlformats.org/officeDocument/2006/relationships" ref="BE141" r:id="rId664"/>
    <hyperlink xmlns:r="http://schemas.openxmlformats.org/officeDocument/2006/relationships" ref="AR142" r:id="rId665"/>
    <hyperlink xmlns:r="http://schemas.openxmlformats.org/officeDocument/2006/relationships" ref="AT142" r:id="rId666"/>
    <hyperlink xmlns:r="http://schemas.openxmlformats.org/officeDocument/2006/relationships" ref="AX142" r:id="rId667"/>
    <hyperlink xmlns:r="http://schemas.openxmlformats.org/officeDocument/2006/relationships" ref="AZ142" r:id="rId668"/>
    <hyperlink xmlns:r="http://schemas.openxmlformats.org/officeDocument/2006/relationships" ref="AP143" r:id="rId669"/>
    <hyperlink xmlns:r="http://schemas.openxmlformats.org/officeDocument/2006/relationships" ref="T144" r:id="rId670"/>
    <hyperlink xmlns:r="http://schemas.openxmlformats.org/officeDocument/2006/relationships" ref="U144" r:id="rId671"/>
    <hyperlink xmlns:r="http://schemas.openxmlformats.org/officeDocument/2006/relationships" ref="V144" r:id="rId672"/>
    <hyperlink xmlns:r="http://schemas.openxmlformats.org/officeDocument/2006/relationships" ref="Z144" r:id="rId673"/>
    <hyperlink xmlns:r="http://schemas.openxmlformats.org/officeDocument/2006/relationships" ref="AB144" r:id="rId674"/>
    <hyperlink xmlns:r="http://schemas.openxmlformats.org/officeDocument/2006/relationships" ref="BE145" r:id="rId675"/>
    <hyperlink xmlns:r="http://schemas.openxmlformats.org/officeDocument/2006/relationships" ref="BE146" r:id="rId676"/>
    <hyperlink xmlns:r="http://schemas.openxmlformats.org/officeDocument/2006/relationships" ref="AG147" r:id="rId677"/>
    <hyperlink xmlns:r="http://schemas.openxmlformats.org/officeDocument/2006/relationships" ref="AI147" r:id="rId678"/>
    <hyperlink xmlns:r="http://schemas.openxmlformats.org/officeDocument/2006/relationships" ref="AM147" r:id="rId679"/>
    <hyperlink xmlns:r="http://schemas.openxmlformats.org/officeDocument/2006/relationships" ref="AB148" r:id="rId680"/>
    <hyperlink xmlns:r="http://schemas.openxmlformats.org/officeDocument/2006/relationships" ref="U149" r:id="rId681"/>
    <hyperlink xmlns:r="http://schemas.openxmlformats.org/officeDocument/2006/relationships" ref="Z149" r:id="rId682"/>
    <hyperlink xmlns:r="http://schemas.openxmlformats.org/officeDocument/2006/relationships" ref="R150" r:id="rId683"/>
    <hyperlink xmlns:r="http://schemas.openxmlformats.org/officeDocument/2006/relationships" ref="W150" r:id="rId684"/>
    <hyperlink xmlns:r="http://schemas.openxmlformats.org/officeDocument/2006/relationships" ref="M151" r:id="rId685"/>
    <hyperlink xmlns:r="http://schemas.openxmlformats.org/officeDocument/2006/relationships" ref="BE152" r:id="rId686"/>
    <hyperlink xmlns:r="http://schemas.openxmlformats.org/officeDocument/2006/relationships" ref="AN153" r:id="rId687"/>
    <hyperlink xmlns:r="http://schemas.openxmlformats.org/officeDocument/2006/relationships" ref="U154" r:id="rId688"/>
    <hyperlink xmlns:r="http://schemas.openxmlformats.org/officeDocument/2006/relationships" ref="X154" r:id="rId689"/>
    <hyperlink xmlns:r="http://schemas.openxmlformats.org/officeDocument/2006/relationships" ref="AB154" r:id="rId690"/>
    <hyperlink xmlns:r="http://schemas.openxmlformats.org/officeDocument/2006/relationships" ref="AE154" r:id="rId691"/>
    <hyperlink xmlns:r="http://schemas.openxmlformats.org/officeDocument/2006/relationships" ref="AI154" r:id="rId692"/>
    <hyperlink xmlns:r="http://schemas.openxmlformats.org/officeDocument/2006/relationships" ref="AK154" r:id="rId693"/>
    <hyperlink xmlns:r="http://schemas.openxmlformats.org/officeDocument/2006/relationships" ref="S155" r:id="rId694"/>
    <hyperlink xmlns:r="http://schemas.openxmlformats.org/officeDocument/2006/relationships" ref="Z155" r:id="rId695"/>
    <hyperlink xmlns:r="http://schemas.openxmlformats.org/officeDocument/2006/relationships" ref="AG155" r:id="rId696"/>
    <hyperlink xmlns:r="http://schemas.openxmlformats.org/officeDocument/2006/relationships" ref="AG156" r:id="rId697"/>
    <hyperlink xmlns:r="http://schemas.openxmlformats.org/officeDocument/2006/relationships" ref="AY157" r:id="rId698"/>
    <hyperlink xmlns:r="http://schemas.openxmlformats.org/officeDocument/2006/relationships" ref="AG158" r:id="rId699"/>
    <hyperlink xmlns:r="http://schemas.openxmlformats.org/officeDocument/2006/relationships" ref="M159" r:id="rId700"/>
    <hyperlink xmlns:r="http://schemas.openxmlformats.org/officeDocument/2006/relationships" ref="N160" r:id="rId701"/>
    <hyperlink xmlns:r="http://schemas.openxmlformats.org/officeDocument/2006/relationships" ref="P161" r:id="rId702"/>
    <hyperlink xmlns:r="http://schemas.openxmlformats.org/officeDocument/2006/relationships" ref="AL162" r:id="rId703"/>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Q1 2026 Earnings Call</t>
        </is>
      </c>
    </row>
    <row r="2">
      <c r="A2" s="36" t="inlineStr">
        <is>
          <t>Date</t>
        </is>
      </c>
      <c r="B2" t="inlineStr">
        <is>
          <t>2026-05-07</t>
        </is>
      </c>
    </row>
    <row r="4">
      <c r="A4" s="51" t="inlineStr">
        <is>
          <t>QUANTITATIVE</t>
        </is>
      </c>
      <c r="B4" s="51" t="n"/>
      <c r="C4" s="51" t="n"/>
      <c r="D4" s="51"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51" t="inlineStr">
        <is>
          <t>QUALITATIVE TAKEAWAYS</t>
        </is>
      </c>
      <c r="B45" s="51" t="n"/>
      <c r="C45" s="51" t="n"/>
      <c r="D45" s="51"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51" t="inlineStr">
        <is>
          <t>Q&amp;A SUMMARY</t>
        </is>
      </c>
      <c r="B66" s="51" t="n"/>
      <c r="C66" s="51" t="n"/>
      <c r="D66" s="51"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UBS Global Consumer and Retail Conference</t>
        </is>
      </c>
    </row>
    <row r="2">
      <c r="A2" s="36" t="inlineStr">
        <is>
          <t>Date</t>
        </is>
      </c>
      <c r="B2" t="inlineStr">
        <is>
          <t>2026-03-11</t>
        </is>
      </c>
    </row>
    <row r="4">
      <c r="A4" s="51" t="inlineStr">
        <is>
          <t>QUANTITATIVE</t>
        </is>
      </c>
      <c r="B4" s="51" t="n"/>
      <c r="C4" s="51"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s="51" t="inlineStr">
        <is>
          <t>Quantitative Guidance</t>
        </is>
      </c>
      <c r="B45" s="51" t="inlineStr">
        <is>
          <t>Value</t>
        </is>
      </c>
      <c r="C45" s="51"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51" t="inlineStr">
        <is>
          <t>QUALITATIVE TAKEAWAYS</t>
        </is>
      </c>
      <c r="B55" s="51" t="n"/>
      <c r="C55" s="51"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51" t="inlineStr">
        <is>
          <t>Q&amp;A SUMMARY</t>
        </is>
      </c>
      <c r="B81" s="51" t="n"/>
      <c r="C81" s="51"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2025 / FY2025 Earnings Call</t>
        </is>
      </c>
    </row>
    <row r="2">
      <c r="A2" s="36" t="inlineStr">
        <is>
          <t>Date</t>
        </is>
      </c>
      <c r="B2" t="inlineStr">
        <is>
          <t>2026-02-26</t>
        </is>
      </c>
    </row>
    <row r="4">
      <c r="A4" s="51" t="inlineStr">
        <is>
          <t>QUANTITATIVE</t>
        </is>
      </c>
      <c r="B4" s="51" t="n"/>
      <c r="C4" s="51" t="n"/>
      <c r="D4" s="51"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51" t="inlineStr">
        <is>
          <t>QUALITATIVE TAKEAWAYS</t>
        </is>
      </c>
      <c r="B79" s="51" t="n"/>
      <c r="C79" s="51" t="n"/>
      <c r="D79" s="51"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51" t="inlineStr">
        <is>
          <t>Q&amp;A SUMMARY</t>
        </is>
      </c>
      <c r="B98" s="51" t="n"/>
      <c r="C98" s="51" t="n"/>
      <c r="D98" s="51"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Full-Year 2025 and Fourth Quarter Financial Results Press Release</t>
        </is>
      </c>
    </row>
    <row r="2">
      <c r="A2" s="36" t="inlineStr">
        <is>
          <t>Date</t>
        </is>
      </c>
      <c r="B2" t="inlineStr">
        <is>
          <t>2026-02-26</t>
        </is>
      </c>
    </row>
    <row r="4">
      <c r="A4" s="51" t="inlineStr">
        <is>
          <t>QUANTITATIVE</t>
        </is>
      </c>
      <c r="B4" s="51" t="n"/>
      <c r="C4" s="51" t="n"/>
      <c r="D4" s="51"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51" t="inlineStr">
        <is>
          <t>QUALITATIVE TAKEAWAYS</t>
        </is>
      </c>
      <c r="B91" s="51" t="n"/>
      <c r="C91" s="51" t="n"/>
      <c r="D91" s="51"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51" t="inlineStr">
        <is>
          <t>Q&amp;A SUMMARY</t>
        </is>
      </c>
      <c r="B107" s="51" t="n"/>
      <c r="C107" s="51" t="n"/>
      <c r="D107" s="51"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Consumer Analyst Group of New York (CAGNY) Conference</t>
        </is>
      </c>
    </row>
    <row r="2">
      <c r="A2" s="36" t="inlineStr">
        <is>
          <t>Date</t>
        </is>
      </c>
      <c r="B2" t="inlineStr">
        <is>
          <t>2026-02-19</t>
        </is>
      </c>
    </row>
    <row r="4">
      <c r="A4" s="51" t="inlineStr">
        <is>
          <t>QUANTITATIVE</t>
        </is>
      </c>
      <c r="B4" s="51" t="n"/>
      <c r="C4" s="51"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51" t="inlineStr">
        <is>
          <t>QUALITATIVE TAKEAWAYS</t>
        </is>
      </c>
      <c r="B42" s="51" t="n"/>
      <c r="C42" s="51"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51" t="inlineStr">
        <is>
          <t>Q&amp;A SUMMARY</t>
        </is>
      </c>
      <c r="B62" s="51" t="n"/>
      <c r="C62" s="51"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Morgan Stanley Global Consumer &amp; Retail Conference</t>
        </is>
      </c>
    </row>
    <row r="2">
      <c r="A2" s="36" t="inlineStr">
        <is>
          <t>Date</t>
        </is>
      </c>
      <c r="B2" t="inlineStr">
        <is>
          <t>2025-12-03</t>
        </is>
      </c>
    </row>
    <row r="4">
      <c r="A4" s="51" t="inlineStr">
        <is>
          <t>QUANTITATIVE</t>
        </is>
      </c>
      <c r="B4" s="51" t="n"/>
      <c r="C4" s="51"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51" t="inlineStr">
        <is>
          <t>QUALITATIVE TAKEAWAYS</t>
        </is>
      </c>
      <c r="B38" s="51" t="n"/>
      <c r="C38" s="51"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51" t="inlineStr">
        <is>
          <t>Q&amp;A SUMMARY</t>
        </is>
      </c>
      <c r="B57" s="51" t="n"/>
      <c r="C57" s="51"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Q3 2025 Earnings Call</t>
        </is>
      </c>
    </row>
    <row r="2">
      <c r="A2" s="36" t="inlineStr">
        <is>
          <t>Date</t>
        </is>
      </c>
      <c r="B2" t="inlineStr">
        <is>
          <t>2025-11-06</t>
        </is>
      </c>
    </row>
    <row r="4">
      <c r="A4" s="51" t="inlineStr">
        <is>
          <t>QUANTITATIVE</t>
        </is>
      </c>
      <c r="B4" s="51" t="n"/>
      <c r="C4" s="51" t="n"/>
      <c r="D4" s="51"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51" t="inlineStr">
        <is>
          <t>QUALITATIVE TAKEAWAYS</t>
        </is>
      </c>
      <c r="B49" s="51" t="n"/>
      <c r="C49" s="51" t="n"/>
      <c r="D49" s="51"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51" t="inlineStr">
        <is>
          <t>Q&amp;A SUMMARY</t>
        </is>
      </c>
      <c r="B69" s="51" t="n"/>
      <c r="C69" s="51" t="n"/>
      <c r="D69" s="51"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Piper Sandler 4th Annual Growth Frontiers Conference</t>
        </is>
      </c>
    </row>
    <row r="2">
      <c r="A2" s="36" t="inlineStr">
        <is>
          <t>Date</t>
        </is>
      </c>
      <c r="B2" t="inlineStr">
        <is>
          <t>2025-09-10</t>
        </is>
      </c>
    </row>
    <row r="4">
      <c r="A4" s="51" t="inlineStr">
        <is>
          <t>QUANTITATIVE</t>
        </is>
      </c>
      <c r="B4" s="51" t="n"/>
      <c r="C4" s="51"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51" t="inlineStr">
        <is>
          <t>QUALITATIVE TAKEAWAYS</t>
        </is>
      </c>
      <c r="B29" s="51" t="n"/>
      <c r="C29" s="51"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51" t="inlineStr">
        <is>
          <t>Q&amp;A SUMMARY</t>
        </is>
      </c>
      <c r="B49" s="51" t="n"/>
      <c r="C49" s="51"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Barclays Global Consumer Staples Conference</t>
        </is>
      </c>
    </row>
    <row r="2">
      <c r="A2" s="36" t="inlineStr">
        <is>
          <t>Date</t>
        </is>
      </c>
      <c r="B2" t="inlineStr">
        <is>
          <t>2025-09-02</t>
        </is>
      </c>
    </row>
    <row r="4">
      <c r="A4" s="51" t="inlineStr">
        <is>
          <t>QUANTITATIVE</t>
        </is>
      </c>
      <c r="B4" s="51" t="n"/>
      <c r="C4" s="51"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51" t="inlineStr">
        <is>
          <t>QUALITATIVE TAKEAWAYS</t>
        </is>
      </c>
      <c r="B28" s="51" t="n"/>
      <c r="C28" s="51"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51" t="inlineStr">
        <is>
          <t>Q&amp;A SUMMARY</t>
        </is>
      </c>
      <c r="B45" s="51" t="n"/>
      <c r="C45" s="51"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Q2 2025 Earnings Call</t>
        </is>
      </c>
    </row>
    <row r="2">
      <c r="A2" s="36" t="inlineStr">
        <is>
          <t>Date</t>
        </is>
      </c>
      <c r="B2" t="inlineStr">
        <is>
          <t>2025-08-07</t>
        </is>
      </c>
    </row>
    <row r="4">
      <c r="A4" s="51" t="inlineStr">
        <is>
          <t>QUANTITATIVE</t>
        </is>
      </c>
      <c r="B4" s="51" t="n"/>
      <c r="C4" s="51" t="n"/>
      <c r="D4" s="51"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51" t="inlineStr">
        <is>
          <t>QUALITATIVE TAKEAWAYS</t>
        </is>
      </c>
      <c r="B72" s="51" t="n"/>
      <c r="C72" s="51" t="n"/>
      <c r="D72" s="51"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51" t="inlineStr">
        <is>
          <t>Q&amp;A SUMMARY</t>
        </is>
      </c>
      <c r="B90" s="51" t="n"/>
      <c r="C90" s="51" t="n"/>
      <c r="D90" s="51"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William Blair 45th Annual Growth Stock Conference</t>
        </is>
      </c>
    </row>
    <row r="2">
      <c r="A2" s="36" t="inlineStr">
        <is>
          <t>Date</t>
        </is>
      </c>
      <c r="B2" t="inlineStr">
        <is>
          <t>2025-06-04</t>
        </is>
      </c>
    </row>
    <row r="4">
      <c r="A4" s="51" t="inlineStr">
        <is>
          <t>QUANTITATIVE</t>
        </is>
      </c>
      <c r="B4" s="51" t="n"/>
      <c r="C4" s="51"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s="51" t="inlineStr">
        <is>
          <t>Quantitative Guidance</t>
        </is>
      </c>
      <c r="B38" s="51" t="inlineStr">
        <is>
          <t>Value</t>
        </is>
      </c>
      <c r="C38" s="51"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51" t="inlineStr">
        <is>
          <t>QUALITATIVE TAKEAWAYS</t>
        </is>
      </c>
      <c r="B45" s="51" t="n"/>
      <c r="C45" s="51"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51" t="inlineStr">
        <is>
          <t>Q&amp;A SUMMARY</t>
        </is>
      </c>
      <c r="B69" s="51" t="n"/>
      <c r="C69" s="51"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dbAccess Global Consumer Conference (Deutsche Bank, Paris)</t>
        </is>
      </c>
    </row>
    <row r="2">
      <c r="A2" s="36" t="inlineStr">
        <is>
          <t>Date</t>
        </is>
      </c>
      <c r="B2" t="inlineStr">
        <is>
          <t>2025-06-03</t>
        </is>
      </c>
    </row>
    <row r="4">
      <c r="A4" s="51" t="inlineStr">
        <is>
          <t>QUANTITATIVE</t>
        </is>
      </c>
      <c r="B4" s="51" t="n"/>
      <c r="C4" s="51"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s="51" t="inlineStr">
        <is>
          <t>Quantitative Guidance</t>
        </is>
      </c>
      <c r="B27" s="51" t="inlineStr">
        <is>
          <t>Value</t>
        </is>
      </c>
      <c r="C27" s="51"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51" t="inlineStr">
        <is>
          <t>QUALITATIVE TAKEAWAYS</t>
        </is>
      </c>
      <c r="B37" s="51" t="n"/>
      <c r="C37" s="51"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51" t="inlineStr">
        <is>
          <t>Q&amp;A SUMMARY</t>
        </is>
      </c>
      <c r="B56" s="51" t="n"/>
      <c r="C56" s="51"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Alani Nu Modeling Call (post-closing)</t>
        </is>
      </c>
    </row>
    <row r="2">
      <c r="A2" s="36" t="inlineStr">
        <is>
          <t>Date</t>
        </is>
      </c>
      <c r="B2" t="inlineStr">
        <is>
          <t>2025-05-28</t>
        </is>
      </c>
    </row>
    <row r="4">
      <c r="A4" s="51" t="inlineStr">
        <is>
          <t>QUANTITATIVE</t>
        </is>
      </c>
      <c r="B4" s="51" t="n"/>
      <c r="C4" s="51"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51" t="inlineStr">
        <is>
          <t>QUALITATIVE TAKEAWAYS</t>
        </is>
      </c>
      <c r="B52" s="51" t="n"/>
      <c r="C52" s="51"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51" t="inlineStr">
        <is>
          <t>Q&amp;A SUMMARY</t>
        </is>
      </c>
      <c r="B70" s="51" t="n"/>
      <c r="C70" s="51"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Goldman Sachs Global Staples Forum</t>
        </is>
      </c>
    </row>
    <row r="2">
      <c r="A2" s="36" t="inlineStr">
        <is>
          <t>Date</t>
        </is>
      </c>
      <c r="B2" t="inlineStr">
        <is>
          <t>2025-05-13</t>
        </is>
      </c>
    </row>
    <row r="4">
      <c r="A4" s="51" t="inlineStr">
        <is>
          <t>QUANTITATIVE</t>
        </is>
      </c>
      <c r="B4" s="51" t="n"/>
      <c r="C4" s="51"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s="51" t="inlineStr">
        <is>
          <t>Quantitative Guidance</t>
        </is>
      </c>
      <c r="B21" s="51" t="inlineStr">
        <is>
          <t>Value</t>
        </is>
      </c>
      <c r="C21" s="5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51" t="inlineStr">
        <is>
          <t>QUALITATIVE TAKEAWAYS</t>
        </is>
      </c>
      <c r="B29" s="51" t="n"/>
      <c r="C29" s="51"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51" t="inlineStr">
        <is>
          <t>Q&amp;A SUMMARY</t>
        </is>
      </c>
      <c r="B51" s="51" t="n"/>
      <c r="C51" s="51"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2025 Earnings Call</t>
        </is>
      </c>
    </row>
    <row r="2">
      <c r="A2" s="36" t="inlineStr">
        <is>
          <t>Date</t>
        </is>
      </c>
      <c r="B2" t="inlineStr">
        <is>
          <t>2025-05-06</t>
        </is>
      </c>
    </row>
    <row r="4">
      <c r="A4" s="51" t="inlineStr">
        <is>
          <t>QUANTITATIVE</t>
        </is>
      </c>
      <c r="B4" s="51" t="n"/>
      <c r="C4" s="51" t="n"/>
      <c r="D4" s="51"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c r="B40" t="inlineStr">
        <is>
          <t>Value</t>
        </is>
      </c>
    </row>
    <row r="41">
      <c r="A41" t="inlineStr">
        <is>
          <t>Debt</t>
        </is>
      </c>
      <c r="B41" t="inlineStr">
        <is>
          <t>$900M</t>
        </is>
      </c>
    </row>
    <row r="42">
      <c r="A42" t="inlineStr">
        <is>
          <t>Cash</t>
        </is>
      </c>
      <c r="B42" t="inlineStr">
        <is>
          <t>~$400M</t>
        </is>
      </c>
    </row>
    <row r="43">
      <c r="A43" t="inlineStr">
        <is>
          <t>Remainder</t>
        </is>
      </c>
      <c r="B43" t="inlineStr">
        <is>
          <t>stock</t>
        </is>
      </c>
    </row>
    <row r="45">
      <c r="A45" s="51" t="inlineStr">
        <is>
          <t>Quantitative Guidance</t>
        </is>
      </c>
      <c r="B45" s="51" t="inlineStr">
        <is>
          <t>Value</t>
        </is>
      </c>
      <c r="C45" s="51" t="inlineStr">
        <is>
          <t>Period</t>
        </is>
      </c>
      <c r="D45" s="51" t="n"/>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51" t="inlineStr">
        <is>
          <t>QUALITATIVE TAKEAWAYS</t>
        </is>
      </c>
      <c r="B51" s="51" t="n"/>
      <c r="C51" s="51" t="n"/>
      <c r="D51" s="51"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51" t="inlineStr">
        <is>
          <t>Q&amp;A SUMMARY</t>
        </is>
      </c>
      <c r="B71" s="51" t="n"/>
      <c r="C71" s="51" t="n"/>
      <c r="D71" s="51"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37th Annual ROTH Conference</t>
        </is>
      </c>
    </row>
    <row r="2">
      <c r="A2" s="36" t="inlineStr">
        <is>
          <t>Date</t>
        </is>
      </c>
      <c r="B2" t="inlineStr">
        <is>
          <t>2025-03-18</t>
        </is>
      </c>
    </row>
    <row r="4">
      <c r="A4" s="51" t="inlineStr">
        <is>
          <t>QUANTITATIVE</t>
        </is>
      </c>
      <c r="B4" s="51" t="n"/>
      <c r="C4" s="51"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51" t="inlineStr">
        <is>
          <t>QUALITATIVE TAKEAWAYS</t>
        </is>
      </c>
      <c r="B36" s="51" t="n"/>
      <c r="C36" s="51"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51" t="inlineStr">
        <is>
          <t>Q&amp;A SUMMARY</t>
        </is>
      </c>
      <c r="B51" s="51" t="n"/>
      <c r="C51" s="51"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UBS Global Consumer and Retail Conference</t>
        </is>
      </c>
    </row>
    <row r="2">
      <c r="A2" s="36" t="inlineStr">
        <is>
          <t>Date</t>
        </is>
      </c>
      <c r="B2" t="inlineStr">
        <is>
          <t>2025-03-12</t>
        </is>
      </c>
    </row>
    <row r="4">
      <c r="A4" s="51" t="inlineStr">
        <is>
          <t>QUANTITATIVE</t>
        </is>
      </c>
      <c r="B4" s="51" t="n"/>
      <c r="C4" s="51"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51" t="inlineStr">
        <is>
          <t>QUALITATIVE TAKEAWAYS</t>
        </is>
      </c>
      <c r="B35" s="51" t="n"/>
      <c r="C35" s="51"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51" t="inlineStr">
        <is>
          <t>Q&amp;A SUMMARY</t>
        </is>
      </c>
      <c r="B48" s="51" t="n"/>
      <c r="C48" s="51"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2025 Consumer Analyst Group of New York (CAGNY) Conference</t>
        </is>
      </c>
    </row>
    <row r="2">
      <c r="A2" s="36" t="inlineStr">
        <is>
          <t>Date</t>
        </is>
      </c>
      <c r="B2" t="inlineStr">
        <is>
          <t>2025-02-21</t>
        </is>
      </c>
    </row>
    <row r="4">
      <c r="A4" s="51" t="inlineStr">
        <is>
          <t>QUANTITATIVE</t>
        </is>
      </c>
      <c r="B4" s="51" t="n"/>
      <c r="C4" s="51"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51" t="inlineStr">
        <is>
          <t>QUALITATIVE TAKEAWAYS</t>
        </is>
      </c>
      <c r="B49" s="51" t="n"/>
      <c r="C49" s="51"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51" t="inlineStr">
        <is>
          <t>Q&amp;A SUMMARY</t>
        </is>
      </c>
      <c r="B62" s="51" t="n"/>
      <c r="C62" s="51"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2024 Earnings Call</t>
        </is>
      </c>
    </row>
    <row r="2">
      <c r="A2" s="36" t="inlineStr">
        <is>
          <t>Date</t>
        </is>
      </c>
      <c r="B2" t="inlineStr">
        <is>
          <t>2025-02-20</t>
        </is>
      </c>
    </row>
    <row r="4">
      <c r="A4" s="51" t="inlineStr">
        <is>
          <t>QUANTITATIVE</t>
        </is>
      </c>
      <c r="B4" s="51" t="n"/>
      <c r="C4" s="51" t="n"/>
      <c r="D4" s="51"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51" t="inlineStr">
        <is>
          <t>QUALITATIVE TAKEAWAYS</t>
        </is>
      </c>
      <c r="B63" s="51" t="n"/>
      <c r="C63" s="51" t="n"/>
      <c r="D63" s="51"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51" t="inlineStr">
        <is>
          <t>Q&amp;A SUMMARY</t>
        </is>
      </c>
      <c r="B88" s="51" t="n"/>
      <c r="C88" s="51" t="n"/>
      <c r="D88" s="51"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Morgan Stanley Conference</t>
        </is>
      </c>
    </row>
    <row r="2">
      <c r="A2" s="36" t="inlineStr">
        <is>
          <t>Date</t>
        </is>
      </c>
      <c r="B2" t="inlineStr">
        <is>
          <t>2024-12-03</t>
        </is>
      </c>
    </row>
    <row r="4">
      <c r="A4" s="51" t="inlineStr">
        <is>
          <t>QUANTITATIVE</t>
        </is>
      </c>
      <c r="B4" s="51" t="n"/>
      <c r="C4" s="51"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51" t="inlineStr">
        <is>
          <t>QUALITATIVE TAKEAWAYS</t>
        </is>
      </c>
      <c r="B34" s="51" t="n"/>
      <c r="C34" s="51"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51" t="inlineStr">
        <is>
          <t>Q&amp;A SUMMARY</t>
        </is>
      </c>
      <c r="B51" s="51" t="n"/>
      <c r="C51" s="51"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2024 Earnings Call</t>
        </is>
      </c>
    </row>
    <row r="2">
      <c r="A2" s="36" t="inlineStr">
        <is>
          <t>Date</t>
        </is>
      </c>
      <c r="B2" t="inlineStr">
        <is>
          <t>2024-11-06</t>
        </is>
      </c>
    </row>
    <row r="4">
      <c r="A4" s="51" t="inlineStr">
        <is>
          <t>QUANTITATIVE</t>
        </is>
      </c>
      <c r="B4" s="51" t="n"/>
      <c r="C4" s="51" t="n"/>
      <c r="D4" s="51"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51" t="inlineStr">
        <is>
          <t>QUALITATIVE TAKEAWAYS</t>
        </is>
      </c>
      <c r="B54" s="51" t="n"/>
      <c r="C54" s="51" t="n"/>
      <c r="D54" s="51"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51" t="inlineStr">
        <is>
          <t>Q&amp;A SUMMARY</t>
        </is>
      </c>
      <c r="B71" s="51" t="n"/>
      <c r="C71" s="51" t="n"/>
      <c r="D71" s="51"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Piper Sandler Conference</t>
        </is>
      </c>
    </row>
    <row r="2">
      <c r="A2" s="36" t="inlineStr">
        <is>
          <t>Date</t>
        </is>
      </c>
      <c r="B2" t="inlineStr">
        <is>
          <t>2024-09-10</t>
        </is>
      </c>
    </row>
    <row r="4">
      <c r="A4" s="51" t="inlineStr">
        <is>
          <t>QUANTITATIVE</t>
        </is>
      </c>
      <c r="B4" s="51" t="n"/>
      <c r="C4" s="51"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51" t="inlineStr">
        <is>
          <t>QUALITATIVE TAKEAWAYS</t>
        </is>
      </c>
      <c r="B40" s="51" t="n"/>
      <c r="C40" s="51"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51" t="inlineStr">
        <is>
          <t>Q&amp;A SUMMARY</t>
        </is>
      </c>
      <c r="B57" s="51" t="n"/>
      <c r="C57" s="51"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Barclays Annual Global Consumer Staples Conference</t>
        </is>
      </c>
    </row>
    <row r="2">
      <c r="A2" s="36" t="inlineStr">
        <is>
          <t>Date</t>
        </is>
      </c>
      <c r="B2" t="inlineStr">
        <is>
          <t>2024-09-04</t>
        </is>
      </c>
    </row>
    <row r="4">
      <c r="A4" s="51" t="inlineStr">
        <is>
          <t>QUANTITATIVE</t>
        </is>
      </c>
      <c r="B4" s="51" t="n"/>
      <c r="C4" s="51"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51" t="inlineStr">
        <is>
          <t>QUALITATIVE TAKEAWAYS</t>
        </is>
      </c>
      <c r="B43" s="51" t="n"/>
      <c r="C43" s="51"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51" t="inlineStr">
        <is>
          <t>Q&amp;A SUMMARY</t>
        </is>
      </c>
      <c r="B58" s="51" t="n"/>
      <c r="C58" s="51"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2024 Earnings Call</t>
        </is>
      </c>
    </row>
    <row r="2">
      <c r="A2" s="36" t="inlineStr">
        <is>
          <t>Date</t>
        </is>
      </c>
      <c r="B2" t="inlineStr">
        <is>
          <t>2024-08-06</t>
        </is>
      </c>
    </row>
    <row r="4">
      <c r="A4" s="51" t="inlineStr">
        <is>
          <t>QUANTITATIVE</t>
        </is>
      </c>
      <c r="B4" s="51" t="n"/>
      <c r="C4" s="51" t="n"/>
      <c r="D4" s="51"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51" t="inlineStr">
        <is>
          <t>QUALITATIVE TAKEAWAYS</t>
        </is>
      </c>
      <c r="B72" s="51" t="n"/>
      <c r="C72" s="51" t="n"/>
      <c r="D72" s="51"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51" t="inlineStr">
        <is>
          <t>Q&amp;A SUMMARY</t>
        </is>
      </c>
      <c r="B86" s="51" t="n"/>
      <c r="C86" s="51" t="n"/>
      <c r="D86" s="51"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4th Annual Evercore ISI Consumer and Retail Conference</t>
        </is>
      </c>
    </row>
    <row r="2">
      <c r="A2" s="36" t="inlineStr">
        <is>
          <t>Date</t>
        </is>
      </c>
      <c r="B2" t="inlineStr">
        <is>
          <t>2024-06-11</t>
        </is>
      </c>
    </row>
    <row r="4">
      <c r="A4" s="51" t="inlineStr">
        <is>
          <t>QUANTITATIVE</t>
        </is>
      </c>
      <c r="B4" s="51" t="n"/>
      <c r="C4" s="51"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51" t="inlineStr">
        <is>
          <t>QUALITATIVE TAKEAWAYS</t>
        </is>
      </c>
      <c r="B28" s="51" t="n"/>
      <c r="C28" s="51"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51" t="inlineStr">
        <is>
          <t>Q&amp;A SUMMARY</t>
        </is>
      </c>
      <c r="B42" s="51" t="n"/>
      <c r="C42" s="51"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William Blair 44th Annual Growth Stock Conference</t>
        </is>
      </c>
    </row>
    <row r="2">
      <c r="A2" s="36" t="inlineStr">
        <is>
          <t>Date</t>
        </is>
      </c>
      <c r="B2" t="inlineStr">
        <is>
          <t>2024-06-04</t>
        </is>
      </c>
    </row>
    <row r="4">
      <c r="A4" s="51" t="inlineStr">
        <is>
          <t>QUANTITATIVE</t>
        </is>
      </c>
      <c r="B4" s="51" t="n"/>
      <c r="C4" s="51"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51" t="inlineStr">
        <is>
          <t>QUALITATIVE TAKEAWAYS</t>
        </is>
      </c>
      <c r="B37" s="51" t="n"/>
      <c r="C37" s="51"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51" t="inlineStr">
        <is>
          <t>Q&amp;A SUMMARY</t>
        </is>
      </c>
      <c r="B51" s="51" t="n"/>
      <c r="C51" s="51"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Goldman Sachs Global Staples Forum</t>
        </is>
      </c>
    </row>
    <row r="2">
      <c r="A2" s="36" t="inlineStr">
        <is>
          <t>Date</t>
        </is>
      </c>
      <c r="B2" t="inlineStr">
        <is>
          <t>2024-05-14</t>
        </is>
      </c>
    </row>
    <row r="4">
      <c r="A4" s="51" t="inlineStr">
        <is>
          <t>QUANTITATIVE</t>
        </is>
      </c>
      <c r="B4" s="51" t="n"/>
      <c r="C4" s="51"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51" t="inlineStr">
        <is>
          <t>QUALITATIVE TAKEAWAYS</t>
        </is>
      </c>
      <c r="B35" s="51" t="n"/>
      <c r="C35" s="51"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51" t="inlineStr">
        <is>
          <t>Q&amp;A SUMMARY</t>
        </is>
      </c>
      <c r="B49" s="51" t="n"/>
      <c r="C49" s="51"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2024 Earnings Call</t>
        </is>
      </c>
    </row>
    <row r="2">
      <c r="A2" s="36" t="inlineStr">
        <is>
          <t>Date</t>
        </is>
      </c>
      <c r="B2" t="inlineStr">
        <is>
          <t>2024-05-07</t>
        </is>
      </c>
    </row>
    <row r="4">
      <c r="A4" s="51" t="inlineStr">
        <is>
          <t>QUANTITATIVE</t>
        </is>
      </c>
      <c r="B4" s="51" t="n"/>
      <c r="C4" s="51" t="n"/>
      <c r="D4" s="51"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51" t="inlineStr">
        <is>
          <t>QUALITATIVE TAKEAWAYS</t>
        </is>
      </c>
      <c r="B53" s="51" t="n"/>
      <c r="C53" s="51" t="n"/>
      <c r="D53" s="51"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51" t="inlineStr">
        <is>
          <t>Q&amp;A SUMMARY</t>
        </is>
      </c>
      <c r="B67" s="51" t="n"/>
      <c r="C67" s="51" t="n"/>
      <c r="D67" s="51"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UBS Global Consumer and Retail Conference 2024</t>
        </is>
      </c>
    </row>
    <row r="2">
      <c r="A2" s="36" t="inlineStr">
        <is>
          <t>Date</t>
        </is>
      </c>
      <c r="B2" t="inlineStr">
        <is>
          <t>2024-03-14</t>
        </is>
      </c>
    </row>
    <row r="4">
      <c r="A4" s="51" t="inlineStr">
        <is>
          <t>QUANTITATIVE</t>
        </is>
      </c>
      <c r="B4" s="51" t="n"/>
      <c r="C4" s="51"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51" t="inlineStr">
        <is>
          <t>QUALITATIVE TAKEAWAYS</t>
        </is>
      </c>
      <c r="B35" s="51" t="n"/>
      <c r="C35" s="51"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51" t="inlineStr">
        <is>
          <t>Q&amp;A SUMMARY</t>
        </is>
      </c>
      <c r="B52" s="51" t="n"/>
      <c r="C52" s="51"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Celsius Holdings Q4 2023 Earnings Call</t>
        </is>
      </c>
    </row>
    <row r="2">
      <c r="A2" s="36" t="inlineStr">
        <is>
          <t>Date</t>
        </is>
      </c>
      <c r="B2" t="inlineStr">
        <is>
          <t>2024-02-29</t>
        </is>
      </c>
    </row>
    <row r="4">
      <c r="A4" s="51" t="inlineStr">
        <is>
          <t>QUANTITATIVE</t>
        </is>
      </c>
      <c r="B4" s="51" t="n"/>
      <c r="C4" s="51" t="n"/>
      <c r="D4" s="51"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51" t="inlineStr">
        <is>
          <t>QUALITATIVE TAKEAWAYS</t>
        </is>
      </c>
      <c r="B58" s="51" t="n"/>
      <c r="C58" s="51" t="n"/>
      <c r="D58" s="51"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51" t="inlineStr">
        <is>
          <t>Q&amp;A SUMMARY</t>
        </is>
      </c>
      <c r="B74" s="51" t="n"/>
      <c r="C74" s="51" t="n"/>
      <c r="D74" s="51"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Morgan Stanley Global Consumer &amp; Retail Conference</t>
        </is>
      </c>
    </row>
    <row r="2">
      <c r="A2" s="36" t="inlineStr">
        <is>
          <t>Date</t>
        </is>
      </c>
      <c r="B2" t="inlineStr">
        <is>
          <t>2023-12-06</t>
        </is>
      </c>
    </row>
    <row r="4">
      <c r="A4" s="51" t="inlineStr">
        <is>
          <t>QUANTITATIVE</t>
        </is>
      </c>
      <c r="B4" s="51" t="n"/>
      <c r="C4" s="51" t="n"/>
      <c r="D4" s="51"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51" t="inlineStr">
        <is>
          <t>QUALITATIVE TAKEAWAYS</t>
        </is>
      </c>
      <c r="B33" s="51" t="n"/>
      <c r="C33" s="51" t="n"/>
      <c r="D33" s="51"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51" t="inlineStr">
        <is>
          <t>Q&amp;A SUMMARY</t>
        </is>
      </c>
      <c r="B57" s="51" t="n"/>
      <c r="C57" s="51" t="n"/>
      <c r="D57" s="51"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Stephens Annual Investment Conference</t>
        </is>
      </c>
    </row>
    <row r="2">
      <c r="A2" s="36" t="inlineStr">
        <is>
          <t>Date</t>
        </is>
      </c>
      <c r="B2" t="inlineStr">
        <is>
          <t>2023-11-15</t>
        </is>
      </c>
    </row>
    <row r="4">
      <c r="A4" s="51" t="inlineStr">
        <is>
          <t>QUANTITATIVE</t>
        </is>
      </c>
      <c r="B4" s="51" t="n"/>
      <c r="C4" s="51" t="n"/>
      <c r="D4" s="51"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51" t="inlineStr">
        <is>
          <t>QUALITATIVE TAKEAWAYS</t>
        </is>
      </c>
      <c r="B42" s="51" t="n"/>
      <c r="C42" s="51" t="n"/>
      <c r="D42" s="51"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51" t="inlineStr">
        <is>
          <t>Q&amp;A SUMMARY</t>
        </is>
      </c>
      <c r="B68" s="51" t="n"/>
      <c r="C68" s="51" t="n"/>
      <c r="D68" s="51"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2023 Earnings Call</t>
        </is>
      </c>
    </row>
    <row r="2">
      <c r="A2" s="36" t="inlineStr">
        <is>
          <t>Date</t>
        </is>
      </c>
      <c r="B2" t="inlineStr">
        <is>
          <t>2023-11-07</t>
        </is>
      </c>
    </row>
    <row r="4">
      <c r="A4" s="51" t="inlineStr">
        <is>
          <t>QUANTITATIVE</t>
        </is>
      </c>
      <c r="B4" s="51" t="n"/>
      <c r="C4" s="51" t="n"/>
      <c r="D4" s="51"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51" t="inlineStr">
        <is>
          <t>QUALITATIVE TAKEAWAYS</t>
        </is>
      </c>
      <c r="B64" s="51" t="n"/>
      <c r="C64" s="51" t="n"/>
      <c r="D64" s="51"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51" t="inlineStr">
        <is>
          <t>Q&amp;A SUMMARY</t>
        </is>
      </c>
      <c r="B87" s="51" t="n"/>
      <c r="C87" s="51" t="n"/>
      <c r="D87" s="51"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Piper Sandler Growth Frontiers Conference</t>
        </is>
      </c>
    </row>
    <row r="2">
      <c r="A2" s="36" t="inlineStr">
        <is>
          <t>Date</t>
        </is>
      </c>
      <c r="B2" t="inlineStr">
        <is>
          <t>2023-09-13</t>
        </is>
      </c>
    </row>
    <row r="4">
      <c r="A4" s="51" t="inlineStr">
        <is>
          <t>QUANTITATIVE</t>
        </is>
      </c>
      <c r="B4" s="51" t="n"/>
      <c r="C4" s="51" t="n"/>
      <c r="D4" s="51"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51" t="inlineStr">
        <is>
          <t>QUALITATIVE TAKEAWAYS</t>
        </is>
      </c>
      <c r="B34" s="51" t="n"/>
      <c r="C34" s="51" t="n"/>
      <c r="D34" s="51"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51" t="inlineStr">
        <is>
          <t>Q&amp;A SUMMARY</t>
        </is>
      </c>
      <c r="B55" s="51" t="n"/>
      <c r="C55" s="51" t="n"/>
      <c r="D55" s="51"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Barclays Global Consumer Staples Conference</t>
        </is>
      </c>
    </row>
    <row r="2">
      <c r="A2" s="36" t="inlineStr">
        <is>
          <t>Date</t>
        </is>
      </c>
      <c r="B2" t="inlineStr">
        <is>
          <t>2023-09-07</t>
        </is>
      </c>
    </row>
    <row r="4">
      <c r="A4" s="51" t="inlineStr">
        <is>
          <t>QUANTITATIVE</t>
        </is>
      </c>
      <c r="B4" s="51" t="n"/>
      <c r="C4" s="51" t="n"/>
      <c r="D4" s="51"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51" t="inlineStr">
        <is>
          <t>QUALITATIVE TAKEAWAYS</t>
        </is>
      </c>
      <c r="B40" s="51" t="n"/>
      <c r="C40" s="51" t="n"/>
      <c r="D40" s="51"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51" t="inlineStr">
        <is>
          <t>Q&amp;A SUMMARY</t>
        </is>
      </c>
      <c r="B60" s="51" t="n"/>
      <c r="C60" s="51" t="n"/>
      <c r="D60" s="51"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2023 Earnings Call</t>
        </is>
      </c>
    </row>
    <row r="2">
      <c r="A2" s="36" t="inlineStr">
        <is>
          <t>Date</t>
        </is>
      </c>
      <c r="B2" t="inlineStr">
        <is>
          <t>2023-08-08</t>
        </is>
      </c>
    </row>
    <row r="4">
      <c r="A4" s="51" t="inlineStr">
        <is>
          <t>QUANTITATIVE</t>
        </is>
      </c>
      <c r="B4" s="51" t="n"/>
      <c r="C4" s="51" t="n"/>
      <c r="D4" s="51"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51" t="inlineStr">
        <is>
          <t>QUALITATIVE TAKEAWAYS</t>
        </is>
      </c>
      <c r="B63" s="51" t="n"/>
      <c r="C63" s="51" t="n"/>
      <c r="D63" s="51"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51" t="inlineStr">
        <is>
          <t>Q&amp;A SUMMARY</t>
        </is>
      </c>
      <c r="B82" s="51" t="n"/>
      <c r="C82" s="51" t="n"/>
      <c r="D82" s="51"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Evercore ISI 3rd Annual Consumer and Retail Conference</t>
        </is>
      </c>
    </row>
    <row r="2">
      <c r="A2" s="36" t="inlineStr">
        <is>
          <t>Date</t>
        </is>
      </c>
      <c r="B2" t="inlineStr">
        <is>
          <t>2023-06-14</t>
        </is>
      </c>
    </row>
    <row r="4">
      <c r="A4" s="51" t="inlineStr">
        <is>
          <t>QUANTITATIVE</t>
        </is>
      </c>
      <c r="B4" s="51" t="n"/>
      <c r="C4" s="51"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51" t="inlineStr">
        <is>
          <t>QUALITATIVE TAKEAWAYS</t>
        </is>
      </c>
      <c r="B29" s="51" t="n"/>
      <c r="C29" s="51"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51" t="inlineStr">
        <is>
          <t>Q&amp;A SUMMARY</t>
        </is>
      </c>
      <c r="B46" s="51" t="n"/>
      <c r="C46" s="51"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Stifel Cross Sector Insight Conference 2023</t>
        </is>
      </c>
    </row>
    <row r="2">
      <c r="A2" s="36" t="inlineStr">
        <is>
          <t>Date</t>
        </is>
      </c>
      <c r="B2" t="inlineStr">
        <is>
          <t>2023-06-06</t>
        </is>
      </c>
    </row>
    <row r="4">
      <c r="A4" s="51" t="inlineStr">
        <is>
          <t>QUANTITATIVE</t>
        </is>
      </c>
      <c r="B4" s="51" t="n"/>
      <c r="C4" s="51" t="n"/>
      <c r="D4" s="51"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51" t="inlineStr">
        <is>
          <t>QUALITATIVE TAKEAWAYS</t>
        </is>
      </c>
      <c r="B35" s="51" t="n"/>
      <c r="C35" s="51" t="n"/>
      <c r="D35" s="51"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51" t="inlineStr">
        <is>
          <t>Q&amp;A SUMMARY</t>
        </is>
      </c>
      <c r="B52" s="51" t="n"/>
      <c r="C52" s="51" t="n"/>
      <c r="D52" s="51"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Celsius Holdings 2023 Annual General Meeting</t>
        </is>
      </c>
    </row>
    <row r="2">
      <c r="A2" s="36" t="inlineStr">
        <is>
          <t>Date</t>
        </is>
      </c>
      <c r="B2" t="inlineStr">
        <is>
          <t>2023-06-01</t>
        </is>
      </c>
    </row>
    <row r="4">
      <c r="A4" s="51" t="inlineStr">
        <is>
          <t>QUANTITATIVE</t>
        </is>
      </c>
      <c r="B4" s="51" t="n"/>
      <c r="C4" s="51" t="n"/>
      <c r="D4" s="51"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51" t="inlineStr">
        <is>
          <t>QUALITATIVE TAKEAWAYS</t>
        </is>
      </c>
      <c r="B42" s="51" t="n"/>
      <c r="C42" s="51" t="n"/>
      <c r="D42" s="51"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51" t="inlineStr">
        <is>
          <t>Q&amp;A SUMMARY</t>
        </is>
      </c>
      <c r="B58" s="51" t="n"/>
      <c r="C58" s="51" t="n"/>
      <c r="D58" s="51"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Goldman Sachs Global Staples Forum</t>
        </is>
      </c>
    </row>
    <row r="2">
      <c r="A2" s="36" t="inlineStr">
        <is>
          <t>Date</t>
        </is>
      </c>
      <c r="B2" t="inlineStr">
        <is>
          <t>2023-05-16</t>
        </is>
      </c>
    </row>
    <row r="4">
      <c r="A4" s="51" t="inlineStr">
        <is>
          <t>QUANTITATIVE</t>
        </is>
      </c>
      <c r="B4" s="51" t="n"/>
      <c r="C4" s="51" t="n"/>
      <c r="D4" s="51"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51" t="inlineStr">
        <is>
          <t>QUALITATIVE TAKEAWAYS</t>
        </is>
      </c>
      <c r="B35" s="51" t="n"/>
      <c r="C35" s="51" t="n"/>
      <c r="D35" s="51"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51" t="inlineStr">
        <is>
          <t>Q&amp;A SUMMARY</t>
        </is>
      </c>
      <c r="B52" s="51" t="n"/>
      <c r="C52" s="51" t="n"/>
      <c r="D52" s="51"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Celsius Holdings Q1 2023 Earnings Call</t>
        </is>
      </c>
    </row>
    <row r="2">
      <c r="A2" s="36" t="inlineStr">
        <is>
          <t>Date</t>
        </is>
      </c>
      <c r="B2" t="inlineStr">
        <is>
          <t>2023-05-09</t>
        </is>
      </c>
    </row>
    <row r="4">
      <c r="A4" s="51" t="inlineStr">
        <is>
          <t>QUANTITATIVE</t>
        </is>
      </c>
      <c r="B4" s="51" t="n"/>
      <c r="C4" s="51" t="n"/>
      <c r="D4" s="51"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51" t="inlineStr">
        <is>
          <t>QUALITATIVE TAKEAWAYS</t>
        </is>
      </c>
      <c r="B44" s="51" t="n"/>
      <c r="C44" s="51" t="n"/>
      <c r="D44" s="51"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51" t="inlineStr">
        <is>
          <t>Q&amp;A SUMMARY</t>
        </is>
      </c>
      <c r="B60" s="51" t="n"/>
      <c r="C60" s="51" t="n"/>
      <c r="D60" s="51"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2022 / FY2022 Earnings Call</t>
        </is>
      </c>
    </row>
    <row r="2">
      <c r="A2" s="36" t="inlineStr">
        <is>
          <t>Date</t>
        </is>
      </c>
      <c r="B2" t="inlineStr">
        <is>
          <t>2023-03-01</t>
        </is>
      </c>
    </row>
    <row r="4">
      <c r="A4" s="51" t="inlineStr">
        <is>
          <t>QUANTITATIVE</t>
        </is>
      </c>
      <c r="B4" s="51" t="n"/>
      <c r="C4" s="51" t="n"/>
      <c r="D4" s="51"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51" t="inlineStr">
        <is>
          <t>QUALITATIVE TAKEAWAYS</t>
        </is>
      </c>
      <c r="B60" s="51" t="n"/>
      <c r="C60" s="51" t="n"/>
      <c r="D60" s="51"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51" t="inlineStr">
        <is>
          <t>Q&amp;A SUMMARY</t>
        </is>
      </c>
      <c r="B80" s="51" t="n"/>
      <c r="C80" s="51" t="n"/>
      <c r="D80" s="51"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2022 Earnings Call</t>
        </is>
      </c>
    </row>
    <row r="2">
      <c r="A2" s="36" t="inlineStr">
        <is>
          <t>Date</t>
        </is>
      </c>
      <c r="B2" t="inlineStr">
        <is>
          <t>2022-11-09</t>
        </is>
      </c>
    </row>
    <row r="4">
      <c r="A4" s="51" t="inlineStr">
        <is>
          <t>QUANTITATIVE</t>
        </is>
      </c>
      <c r="B4" s="51" t="n"/>
      <c r="C4" s="51" t="n"/>
      <c r="D4" s="51"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51" t="inlineStr">
        <is>
          <t>QUALITATIVE TAKEAWAYS</t>
        </is>
      </c>
      <c r="B67" s="51" t="n"/>
      <c r="C67" s="51" t="n"/>
      <c r="D67" s="51"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51" t="inlineStr">
        <is>
          <t>Q&amp;A SUMMARY</t>
        </is>
      </c>
      <c r="B85" s="51" t="n"/>
      <c r="C85" s="51" t="n"/>
      <c r="D85" s="51"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2022 Earnings Call</t>
        </is>
      </c>
    </row>
    <row r="2">
      <c r="A2" s="36" t="inlineStr">
        <is>
          <t>Date</t>
        </is>
      </c>
      <c r="B2" t="inlineStr">
        <is>
          <t>2022-08-09</t>
        </is>
      </c>
    </row>
    <row r="4">
      <c r="A4" s="51" t="inlineStr">
        <is>
          <t>QUANTITATIVE</t>
        </is>
      </c>
      <c r="B4" s="51" t="n"/>
      <c r="C4" s="51" t="n"/>
      <c r="D4" s="51"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51" t="inlineStr">
        <is>
          <t>QUALITATIVE TAKEAWAYS</t>
        </is>
      </c>
      <c r="B59" s="51" t="n"/>
      <c r="C59" s="51" t="n"/>
      <c r="D59" s="51"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51" t="inlineStr">
        <is>
          <t>Q&amp;A SUMMARY</t>
        </is>
      </c>
      <c r="B77" s="51" t="n"/>
      <c r="C77" s="51" t="n"/>
      <c r="D77" s="51"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Celsius Holdings / PepsiCo Distribution Partnership Conference Call ($550M PepsiCo Investment)</t>
        </is>
      </c>
    </row>
    <row r="2">
      <c r="A2" s="36" t="inlineStr">
        <is>
          <t>Date</t>
        </is>
      </c>
      <c r="B2" t="inlineStr">
        <is>
          <t>2022-08-01</t>
        </is>
      </c>
    </row>
    <row r="4">
      <c r="A4" s="51" t="inlineStr">
        <is>
          <t>QUANTITATIVE</t>
        </is>
      </c>
      <c r="B4" s="51" t="n"/>
      <c r="C4" s="51"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51" t="inlineStr">
        <is>
          <t>QUALITATIVE TAKEAWAYS</t>
        </is>
      </c>
      <c r="B31" s="51" t="n"/>
      <c r="C31" s="51"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51" t="inlineStr">
        <is>
          <t>Q&amp;A SUMMARY</t>
        </is>
      </c>
      <c r="B49" s="51" t="n"/>
      <c r="C49" s="51"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Stifel 2022 Cross Sector Insight Conference</t>
        </is>
      </c>
    </row>
    <row r="2">
      <c r="A2" s="36" t="inlineStr">
        <is>
          <t>Date</t>
        </is>
      </c>
      <c r="B2" t="inlineStr">
        <is>
          <t>2022-06-09</t>
        </is>
      </c>
    </row>
    <row r="4">
      <c r="A4" s="51" t="inlineStr">
        <is>
          <t>QUANTITATIVE</t>
        </is>
      </c>
      <c r="B4" s="51" t="n"/>
      <c r="C4" s="51" t="n"/>
      <c r="D4" s="51"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51" t="inlineStr">
        <is>
          <t>QUALITATIVE TAKEAWAYS</t>
        </is>
      </c>
      <c r="B40" s="51" t="n"/>
      <c r="C40" s="51" t="n"/>
      <c r="D40" s="51"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51" t="inlineStr">
        <is>
          <t>Q&amp;A SUMMARY</t>
        </is>
      </c>
      <c r="B57" s="51" t="n"/>
      <c r="C57" s="51" t="n"/>
      <c r="D57" s="51"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Evercore ISI Consumer &amp; Retail Conference</t>
        </is>
      </c>
    </row>
    <row r="2">
      <c r="A2" s="36" t="inlineStr">
        <is>
          <t>Date</t>
        </is>
      </c>
      <c r="B2" t="inlineStr">
        <is>
          <t>2022-06-07</t>
        </is>
      </c>
    </row>
    <row r="4">
      <c r="A4" s="51" t="inlineStr">
        <is>
          <t>QUANTITATIVE</t>
        </is>
      </c>
      <c r="B4" s="51" t="n"/>
      <c r="C4" s="51"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51" t="inlineStr">
        <is>
          <t>QUALITATIVE TAKEAWAYS</t>
        </is>
      </c>
      <c r="B38" s="51" t="n"/>
      <c r="C38" s="51"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51" t="inlineStr">
        <is>
          <t>Q&amp;A SUMMARY</t>
        </is>
      </c>
      <c r="B54" s="51" t="n"/>
      <c r="C54" s="51"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2022 Annual General Meeting (Annual Meeting of Shareholders)</t>
        </is>
      </c>
    </row>
    <row r="2">
      <c r="A2" s="36" t="inlineStr">
        <is>
          <t>Date</t>
        </is>
      </c>
      <c r="B2" t="inlineStr">
        <is>
          <t>2022-06-02</t>
        </is>
      </c>
    </row>
    <row r="4">
      <c r="A4" s="51" t="inlineStr">
        <is>
          <t>QUANTITATIVE</t>
        </is>
      </c>
      <c r="B4" s="51" t="n"/>
      <c r="C4" s="51" t="n"/>
      <c r="D4" s="51"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51" t="inlineStr">
        <is>
          <t>QUALITATIVE TAKEAWAYS</t>
        </is>
      </c>
      <c r="B49" s="51" t="n"/>
      <c r="C49" s="51" t="n"/>
      <c r="D49" s="51"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51" t="inlineStr">
        <is>
          <t>Q&amp;A SUMMARY</t>
        </is>
      </c>
      <c r="B65" s="51" t="n"/>
      <c r="C65" s="51" t="n"/>
      <c r="D65" s="51"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Credit Suisse HALO Investment Summit</t>
        </is>
      </c>
    </row>
    <row r="2">
      <c r="A2" s="36" t="inlineStr">
        <is>
          <t>Date</t>
        </is>
      </c>
      <c r="B2" t="inlineStr">
        <is>
          <t>2022-05-25</t>
        </is>
      </c>
    </row>
    <row r="4">
      <c r="A4" s="51" t="inlineStr">
        <is>
          <t>QUANTITATIVE</t>
        </is>
      </c>
      <c r="B4" s="51" t="n"/>
      <c r="C4" s="51" t="n"/>
      <c r="D4" s="51"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51" t="inlineStr">
        <is>
          <t>QUALITATIVE TAKEAWAYS</t>
        </is>
      </c>
      <c r="B41" s="51" t="n"/>
      <c r="C41" s="51" t="n"/>
      <c r="D41" s="51"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51" t="inlineStr">
        <is>
          <t>Q&amp;A SUMMARY</t>
        </is>
      </c>
      <c r="B57" s="51" t="n"/>
      <c r="C57" s="51" t="n"/>
      <c r="D57" s="51"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2022 Earnings Call</t>
        </is>
      </c>
    </row>
    <row r="2">
      <c r="A2" s="36" t="inlineStr">
        <is>
          <t>Date</t>
        </is>
      </c>
      <c r="B2" t="inlineStr">
        <is>
          <t>2022-05-10</t>
        </is>
      </c>
    </row>
    <row r="4">
      <c r="A4" s="51" t="inlineStr">
        <is>
          <t>QUANTITATIVE</t>
        </is>
      </c>
      <c r="B4" s="51" t="n"/>
      <c r="C4" s="51" t="n"/>
      <c r="D4" s="51"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51" t="inlineStr">
        <is>
          <t>QUALITATIVE TAKEAWAYS</t>
        </is>
      </c>
      <c r="B55" s="51" t="n"/>
      <c r="C55" s="51" t="n"/>
      <c r="D55" s="51"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51" t="inlineStr">
        <is>
          <t>Q&amp;A SUMMARY</t>
        </is>
      </c>
      <c r="B72" s="51" t="n"/>
      <c r="C72" s="51" t="n"/>
      <c r="D72" s="51"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2021 Earnings Call</t>
        </is>
      </c>
    </row>
    <row r="2">
      <c r="A2" s="36" t="inlineStr">
        <is>
          <t>Date</t>
        </is>
      </c>
      <c r="B2" t="inlineStr">
        <is>
          <t>2022-03-01</t>
        </is>
      </c>
    </row>
    <row r="4">
      <c r="A4" s="51" t="inlineStr">
        <is>
          <t>QUANTITATIVE</t>
        </is>
      </c>
      <c r="B4" s="51" t="n"/>
      <c r="C4" s="51" t="n"/>
      <c r="D4" s="51"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51" t="inlineStr">
        <is>
          <t>QUALITATIVE TAKEAWAYS</t>
        </is>
      </c>
      <c r="B75" s="51" t="n"/>
      <c r="C75" s="51" t="n"/>
      <c r="D75" s="51"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51" t="inlineStr">
        <is>
          <t>Q&amp;A SUMMARY</t>
        </is>
      </c>
      <c r="B91" s="51" t="n"/>
      <c r="C91" s="51" t="n"/>
      <c r="D91" s="51"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Morgan Stanley Global Consumer &amp; Retail Conference 2021</t>
        </is>
      </c>
    </row>
    <row r="2">
      <c r="A2" s="36" t="inlineStr">
        <is>
          <t>Date</t>
        </is>
      </c>
      <c r="B2" t="inlineStr">
        <is>
          <t>2021-11-30</t>
        </is>
      </c>
    </row>
    <row r="4">
      <c r="A4" s="51" t="inlineStr">
        <is>
          <t>QUANTITATIVE</t>
        </is>
      </c>
      <c r="B4" s="51" t="n"/>
      <c r="C4" s="51"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51" t="inlineStr">
        <is>
          <t>QUALITATIVE TAKEAWAYS</t>
        </is>
      </c>
      <c r="B30" s="51" t="n"/>
      <c r="C30" s="51"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51" t="inlineStr">
        <is>
          <t>Q&amp;A SUMMARY</t>
        </is>
      </c>
      <c r="B46" s="51" t="n"/>
      <c r="C46" s="51"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Jefferies West Coast Consumer Conference</t>
        </is>
      </c>
    </row>
    <row r="2">
      <c r="A2" s="36" t="inlineStr">
        <is>
          <t>Date</t>
        </is>
      </c>
      <c r="B2" t="inlineStr">
        <is>
          <t>2021-11-17</t>
        </is>
      </c>
    </row>
    <row r="4">
      <c r="A4" s="51" t="inlineStr">
        <is>
          <t>QUANTITATIVE</t>
        </is>
      </c>
      <c r="B4" s="51" t="n"/>
      <c r="C4" s="51"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51" t="inlineStr">
        <is>
          <t>QUALITATIVE TAKEAWAYS</t>
        </is>
      </c>
      <c r="B29" s="51" t="n"/>
      <c r="C29" s="51"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51" t="inlineStr">
        <is>
          <t>Q&amp;A SUMMARY</t>
        </is>
      </c>
      <c r="B46" s="51" t="n"/>
      <c r="C46" s="51"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2021 Earnings Call</t>
        </is>
      </c>
    </row>
    <row r="2">
      <c r="A2" s="36" t="inlineStr">
        <is>
          <t>Date</t>
        </is>
      </c>
      <c r="B2" t="inlineStr">
        <is>
          <t>2021-11-11</t>
        </is>
      </c>
    </row>
    <row r="4">
      <c r="A4" s="51" t="inlineStr">
        <is>
          <t>QUANTITATIVE</t>
        </is>
      </c>
      <c r="B4" s="51" t="n"/>
      <c r="C4" s="51" t="n"/>
      <c r="D4" s="51"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51" t="inlineStr">
        <is>
          <t>QUALITATIVE TAKEAWAYS</t>
        </is>
      </c>
      <c r="B56" s="51" t="n"/>
      <c r="C56" s="51" t="n"/>
      <c r="D56" s="51"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51" t="inlineStr">
        <is>
          <t>Q&amp;A SUMMARY</t>
        </is>
      </c>
      <c r="B74" s="51" t="n"/>
      <c r="C74" s="51" t="n"/>
      <c r="D74" s="51"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2021 Annual Meeting of Shareholders</t>
        </is>
      </c>
    </row>
    <row r="2">
      <c r="A2" s="36" t="inlineStr">
        <is>
          <t>Date</t>
        </is>
      </c>
      <c r="B2" t="inlineStr">
        <is>
          <t>2021-08-19</t>
        </is>
      </c>
    </row>
    <row r="4">
      <c r="A4" s="51" t="inlineStr">
        <is>
          <t>QUANTITATIVE</t>
        </is>
      </c>
      <c r="B4" s="51" t="n"/>
      <c r="C4" s="51" t="n"/>
      <c r="D4" s="51"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51" t="inlineStr">
        <is>
          <t>QUALITATIVE TAKEAWAYS</t>
        </is>
      </c>
      <c r="B47" s="51" t="n"/>
      <c r="C47" s="51" t="n"/>
      <c r="D47" s="51"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51" t="inlineStr">
        <is>
          <t>Q&amp;A SUMMARY</t>
        </is>
      </c>
      <c r="B63" s="51" t="n"/>
      <c r="C63" s="51" t="n"/>
      <c r="D63" s="51"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2021 Earnings Call</t>
        </is>
      </c>
    </row>
    <row r="2">
      <c r="A2" s="36" t="inlineStr">
        <is>
          <t>Date</t>
        </is>
      </c>
      <c r="B2" t="inlineStr">
        <is>
          <t>2021-08-12</t>
        </is>
      </c>
    </row>
    <row r="4">
      <c r="A4" s="51" t="inlineStr">
        <is>
          <t>QUANTITATIVE</t>
        </is>
      </c>
      <c r="B4" s="51" t="n"/>
      <c r="C4" s="51" t="n"/>
      <c r="D4" s="51"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51" t="inlineStr">
        <is>
          <t>QUALITATIVE TAKEAWAYS</t>
        </is>
      </c>
      <c r="B58" s="51" t="n"/>
      <c r="C58" s="51" t="n"/>
      <c r="D58" s="51"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51" t="inlineStr">
        <is>
          <t>Q&amp;A SUMMARY</t>
        </is>
      </c>
      <c r="B76" s="51" t="n"/>
      <c r="C76" s="51" t="n"/>
      <c r="D76" s="51"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2021 Earnings Call</t>
        </is>
      </c>
    </row>
    <row r="2">
      <c r="A2" s="36" t="inlineStr">
        <is>
          <t>Date</t>
        </is>
      </c>
      <c r="B2" t="inlineStr">
        <is>
          <t>2021-05-13</t>
        </is>
      </c>
    </row>
    <row r="4">
      <c r="A4" s="51" t="inlineStr">
        <is>
          <t>QUANTITATIVE</t>
        </is>
      </c>
      <c r="B4" s="51" t="n"/>
      <c r="C4" s="51" t="n"/>
      <c r="D4" s="51"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51" t="inlineStr">
        <is>
          <t>QUALITATIVE TAKEAWAYS</t>
        </is>
      </c>
      <c r="B67" s="51" t="n"/>
      <c r="C67" s="51" t="n"/>
      <c r="D67" s="51"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51" t="inlineStr">
        <is>
          <t>Q&amp;A SUMMARY</t>
        </is>
      </c>
      <c r="B81" s="51" t="n"/>
      <c r="C81" s="51" t="n"/>
      <c r="D81" s="51"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&amp; Full-Year 2020 Earnings Call</t>
        </is>
      </c>
    </row>
    <row r="2">
      <c r="A2" s="36" t="inlineStr">
        <is>
          <t>Date</t>
        </is>
      </c>
      <c r="B2" t="inlineStr">
        <is>
          <t>2021-03-11</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51" t="inlineStr">
        <is>
          <t>QUALITATIVE TAKEAWAYS</t>
        </is>
      </c>
      <c r="B63" s="51" t="n"/>
      <c r="C63" s="51" t="n"/>
      <c r="D63" s="51"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51" t="inlineStr">
        <is>
          <t>Q&amp;A SUMMARY</t>
        </is>
      </c>
      <c r="B78" s="51" t="n"/>
      <c r="C78" s="51" t="n"/>
      <c r="D78" s="51"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UBS Global Consumer and Retail Virtual Conference</t>
        </is>
      </c>
    </row>
    <row r="2">
      <c r="A2" s="36" t="inlineStr">
        <is>
          <t>Date</t>
        </is>
      </c>
      <c r="B2" t="inlineStr">
        <is>
          <t>2021-03-09</t>
        </is>
      </c>
    </row>
    <row r="4">
      <c r="A4" s="51" t="inlineStr">
        <is>
          <t>QUANTITATIVE</t>
        </is>
      </c>
      <c r="B4" s="51" t="n"/>
      <c r="C4" s="51"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51" t="inlineStr">
        <is>
          <t>QUALITATIVE TAKEAWAYS</t>
        </is>
      </c>
      <c r="B29" s="51" t="n"/>
      <c r="C29" s="51"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51" t="inlineStr">
        <is>
          <t>Q&amp;A SUMMARY</t>
        </is>
      </c>
      <c r="B43" s="51" t="n"/>
      <c r="C43" s="51"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2020 Earnings Call</t>
        </is>
      </c>
    </row>
    <row r="2">
      <c r="A2" s="36" t="inlineStr">
        <is>
          <t>Date</t>
        </is>
      </c>
      <c r="B2" t="inlineStr">
        <is>
          <t>2020-11-12</t>
        </is>
      </c>
    </row>
    <row r="4">
      <c r="A4" s="51" t="inlineStr">
        <is>
          <t>QUANTITATIVE</t>
        </is>
      </c>
      <c r="B4" s="51" t="n"/>
      <c r="C4" s="51" t="n"/>
      <c r="D4" s="51"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51" t="inlineStr">
        <is>
          <t>QUALITATIVE TAKEAWAYS</t>
        </is>
      </c>
      <c r="B61" s="51" t="n"/>
      <c r="C61" s="51" t="n"/>
      <c r="D61" s="51"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51" t="inlineStr">
        <is>
          <t>Q&amp;A SUMMARY</t>
        </is>
      </c>
      <c r="B75" s="51" t="n"/>
      <c r="C75" s="51" t="n"/>
      <c r="D75" s="51"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LD Micro 500 Investor Conference</t>
        </is>
      </c>
    </row>
    <row r="2">
      <c r="A2" s="36" t="inlineStr">
        <is>
          <t>Date</t>
        </is>
      </c>
      <c r="B2" t="inlineStr">
        <is>
          <t>2020-09-02</t>
        </is>
      </c>
    </row>
    <row r="4">
      <c r="A4" s="51" t="inlineStr">
        <is>
          <t>QUANTITATIVE</t>
        </is>
      </c>
      <c r="B4" s="51" t="n"/>
      <c r="C4" s="51" t="n"/>
      <c r="D4" s="51"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51" t="inlineStr">
        <is>
          <t>QUALITATIVE TAKEAWAYS</t>
        </is>
      </c>
      <c r="B42" s="51" t="n"/>
      <c r="C42" s="51" t="n"/>
      <c r="D42" s="51"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51" t="inlineStr">
        <is>
          <t>Q&amp;A SUMMARY</t>
        </is>
      </c>
      <c r="B56" s="51" t="n"/>
      <c r="C56" s="51" t="n"/>
      <c r="D56" s="51"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2020 Earnings Call</t>
        </is>
      </c>
    </row>
    <row r="2">
      <c r="A2" s="36" t="inlineStr">
        <is>
          <t>Date</t>
        </is>
      </c>
      <c r="B2" t="inlineStr">
        <is>
          <t>2020-08-06</t>
        </is>
      </c>
    </row>
    <row r="4">
      <c r="A4" s="51" t="inlineStr">
        <is>
          <t>QUANTITATIVE</t>
        </is>
      </c>
      <c r="B4" s="51" t="n"/>
      <c r="C4" s="51" t="n"/>
      <c r="D4" s="51"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51" t="inlineStr">
        <is>
          <t>QUALITATIVE TAKEAWAYS</t>
        </is>
      </c>
      <c r="B60" s="51" t="n"/>
      <c r="C60" s="51" t="n"/>
      <c r="D60" s="51"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51" t="inlineStr">
        <is>
          <t>Q&amp;A SUMMARY</t>
        </is>
      </c>
      <c r="B74" s="51" t="n"/>
      <c r="C74" s="51" t="n"/>
      <c r="D74" s="51"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2020 Earnings Call</t>
        </is>
      </c>
    </row>
    <row r="2">
      <c r="A2" s="36" t="inlineStr">
        <is>
          <t>Date</t>
        </is>
      </c>
      <c r="B2" t="inlineStr">
        <is>
          <t>2020-05-12</t>
        </is>
      </c>
    </row>
    <row r="4">
      <c r="A4" s="51" t="inlineStr">
        <is>
          <t>QUANTITATIVE</t>
        </is>
      </c>
      <c r="B4" s="51" t="n"/>
      <c r="C4" s="51" t="n"/>
      <c r="D4" s="51"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51" t="inlineStr">
        <is>
          <t>QUALITATIVE TAKEAWAYS</t>
        </is>
      </c>
      <c r="B52" s="51" t="n"/>
      <c r="C52" s="51" t="n"/>
      <c r="D52" s="51"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51" t="inlineStr">
        <is>
          <t>Q&amp;A SUMMARY</t>
        </is>
      </c>
      <c r="B66" s="51" t="n"/>
      <c r="C66" s="51" t="n"/>
      <c r="D66" s="51"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&amp; Full-Year 2019 Earnings Call</t>
        </is>
      </c>
    </row>
    <row r="2">
      <c r="A2" s="36" t="inlineStr">
        <is>
          <t>Date</t>
        </is>
      </c>
      <c r="B2" t="inlineStr">
        <is>
          <t>2020-03-12</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51" t="inlineStr">
        <is>
          <t>QUALITATIVE TAKEAWAYS</t>
        </is>
      </c>
      <c r="B63" s="51" t="n"/>
      <c r="C63" s="51" t="n"/>
      <c r="D63" s="51"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51" t="inlineStr">
        <is>
          <t>Q&amp;A SUMMARY</t>
        </is>
      </c>
      <c r="B79" s="51" t="n"/>
      <c r="C79" s="51" t="n"/>
      <c r="D79" s="51"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2019 Earnings Call</t>
        </is>
      </c>
    </row>
    <row r="2">
      <c r="A2" s="36" t="inlineStr">
        <is>
          <t>Date</t>
        </is>
      </c>
      <c r="B2" t="inlineStr">
        <is>
          <t>2019-11-07</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51" t="inlineStr">
        <is>
          <t>QUALITATIVE TAKEAWAYS</t>
        </is>
      </c>
      <c r="B61" s="51" t="n"/>
      <c r="C61" s="51" t="n"/>
      <c r="D61" s="51"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51" t="inlineStr">
        <is>
          <t>Q&amp;A SUMMARY</t>
        </is>
      </c>
      <c r="B76" s="51" t="n"/>
      <c r="C76" s="51" t="n"/>
      <c r="D76" s="51"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2019 Earnings Call</t>
        </is>
      </c>
    </row>
    <row r="2">
      <c r="A2" s="36" t="inlineStr">
        <is>
          <t>Date</t>
        </is>
      </c>
      <c r="B2" t="inlineStr">
        <is>
          <t>2019-08-08</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51" t="inlineStr">
        <is>
          <t>QUALITATIVE TAKEAWAYS</t>
        </is>
      </c>
      <c r="B66" s="51" t="n"/>
      <c r="C66" s="51" t="n"/>
      <c r="D66" s="51"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51" t="inlineStr">
        <is>
          <t>Q&amp;A SUMMARY</t>
        </is>
      </c>
      <c r="B81" s="51" t="n"/>
      <c r="C81" s="51" t="n"/>
      <c r="D81" s="51"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2019 Earnings Call</t>
        </is>
      </c>
    </row>
    <row r="2">
      <c r="A2" s="36" t="inlineStr">
        <is>
          <t>Date</t>
        </is>
      </c>
      <c r="B2" t="inlineStr">
        <is>
          <t>2019-05-09</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51" t="inlineStr">
        <is>
          <t>QUALITATIVE TAKEAWAYS</t>
        </is>
      </c>
      <c r="B59" s="51" t="n"/>
      <c r="C59" s="51" t="n"/>
      <c r="D59" s="51"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51" t="inlineStr">
        <is>
          <t>Q&amp;A SUMMARY</t>
        </is>
      </c>
      <c r="B75" s="51" t="n"/>
      <c r="C75" s="51" t="n"/>
      <c r="D75" s="51"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&amp; Full-Year 2018 Earnings Call</t>
        </is>
      </c>
    </row>
    <row r="2">
      <c r="A2" s="36" t="inlineStr">
        <is>
          <t>Date</t>
        </is>
      </c>
      <c r="B2" t="inlineStr">
        <is>
          <t>2019-03-14</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51" t="inlineStr">
        <is>
          <t>QUALITATIVE TAKEAWAYS</t>
        </is>
      </c>
      <c r="B74" s="51" t="n"/>
      <c r="C74" s="51" t="n"/>
      <c r="D74" s="51"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51" t="inlineStr">
        <is>
          <t>Q&amp;A SUMMARY</t>
        </is>
      </c>
      <c r="B89" s="51" t="n"/>
      <c r="C89" s="51" t="n"/>
      <c r="D89" s="51"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2018 Earnings Call</t>
        </is>
      </c>
    </row>
    <row r="2">
      <c r="A2" s="36" t="inlineStr">
        <is>
          <t>Date</t>
        </is>
      </c>
      <c r="B2" t="inlineStr">
        <is>
          <t>2018-11-09</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s="51" t="inlineStr">
        <is>
          <t>Quantitative Financial Guidance</t>
        </is>
      </c>
      <c r="B59" s="51" t="inlineStr">
        <is>
          <t>None issued</t>
        </is>
      </c>
      <c r="C59" s="51" t="inlineStr">
        <is>
          <t>-</t>
        </is>
      </c>
      <c r="D59" s="51" t="n"/>
    </row>
    <row r="60">
      <c r="A60" t="inlineStr">
        <is>
          <t>China Investment Run-Rate</t>
        </is>
      </c>
      <c r="B60" t="inlineStr">
        <is>
          <t>Normalizes in Q4 / 2019</t>
        </is>
      </c>
      <c r="C60" t="inlineStr">
        <is>
          <t>2018Q4-FY2019</t>
        </is>
      </c>
    </row>
    <row r="62">
      <c r="A62" s="51" t="inlineStr">
        <is>
          <t>QUALITATIVE TAKEAWAYS</t>
        </is>
      </c>
      <c r="B62" s="51" t="n"/>
      <c r="C62" s="51" t="n"/>
      <c r="D62" s="51"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51" t="inlineStr">
        <is>
          <t>Q&amp;A SUMMARY</t>
        </is>
      </c>
      <c r="B77" s="51" t="n"/>
      <c r="C77" s="51" t="n"/>
      <c r="D77" s="51"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S109"/>
  <sheetViews>
    <sheetView topLeftCell="A70" zoomScale="85" zoomScaleNormal="85" workbookViewId="0">
      <selection activeCell="A15" sqref="A15"/>
    </sheetView>
  </sheetViews>
  <sheetFormatPr baseColWidth="8" defaultRowHeight="14.4"/>
  <cols>
    <col width="35.44140625" bestFit="1" customWidth="1" min="3" max="3"/>
  </cols>
  <sheetData>
    <row r="1"/>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41" t="n">
        <v>-81</v>
      </c>
      <c r="E60" s="41" t="n">
        <v>-327.5</v>
      </c>
    </row>
    <row r="61">
      <c r="C61" t="inlineStr">
        <is>
          <t>Sales &amp; Marketing</t>
        </is>
      </c>
      <c r="D61" s="42">
        <f>SUM(D59:D60)</f>
        <v/>
      </c>
      <c r="E61" s="42">
        <f>SUM(E59:E60)</f>
        <v/>
      </c>
      <c r="F61" s="43" t="n"/>
    </row>
    <row r="62">
      <c r="D62" s="44" t="n"/>
    </row>
    <row r="63">
      <c r="C63" t="inlineStr">
        <is>
          <t>Administrative</t>
        </is>
      </c>
      <c r="D63" s="15" t="n">
        <v>81</v>
      </c>
      <c r="E63" t="n">
        <v>250</v>
      </c>
    </row>
    <row r="64">
      <c r="C64" t="inlineStr">
        <is>
          <t>Acquisition Cost Adjustment</t>
        </is>
      </c>
      <c r="D64" s="41" t="n">
        <v>-5</v>
      </c>
      <c r="E64" s="41"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2026-05-17T21:14:24Z</dcterms:modified>
  <cp:lastModifiedBy>Gabriel Rodino</cp:lastModifiedBy>
</cp:coreProperties>
</file>