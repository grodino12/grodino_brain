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KPI Consolidated" sheetId="1" state="visible" r:id="rId1"/>
    <sheet xmlns:r="http://schemas.openxmlformats.org/officeDocument/2006/relationships" name="69 2026Q1 Earnings" sheetId="2" state="visible" r:id="rId2"/>
    <sheet xmlns:r="http://schemas.openxmlformats.org/officeDocument/2006/relationships" name="68 UBS Conference" sheetId="3" state="visible" r:id="rId3"/>
    <sheet xmlns:r="http://schemas.openxmlformats.org/officeDocument/2006/relationships" name="67 2025Q4 Earnings" sheetId="4" state="visible" r:id="rId4"/>
    <sheet xmlns:r="http://schemas.openxmlformats.org/officeDocument/2006/relationships" name="66 2025Q4 Earnings PR" sheetId="5" state="visible" r:id="rId5"/>
    <sheet xmlns:r="http://schemas.openxmlformats.org/officeDocument/2006/relationships" name="65 CAGNY Conf 2026-02" sheetId="6" state="visible" r:id="rId6"/>
    <sheet xmlns:r="http://schemas.openxmlformats.org/officeDocument/2006/relationships" name="64 Morgan Stanley 2025-12" sheetId="7" state="visible" r:id="rId7"/>
    <sheet xmlns:r="http://schemas.openxmlformats.org/officeDocument/2006/relationships" name="63 2025Q3 Earnings" sheetId="8" state="visible" r:id="rId8"/>
    <sheet xmlns:r="http://schemas.openxmlformats.org/officeDocument/2006/relationships" name="62 Piper Sandler 2025-09" sheetId="9" state="visible" r:id="rId9"/>
    <sheet xmlns:r="http://schemas.openxmlformats.org/officeDocument/2006/relationships" name="61 Barclays Conf 2025-09" sheetId="10" state="visible" r:id="rId10"/>
    <sheet xmlns:r="http://schemas.openxmlformats.org/officeDocument/2006/relationships" name="60 2025Q2 Earnings" sheetId="11" state="visible" r:id="rId11"/>
    <sheet xmlns:r="http://schemas.openxmlformats.org/officeDocument/2006/relationships" name="59 William Blair Conf" sheetId="12" state="visible" r:id="rId12"/>
    <sheet xmlns:r="http://schemas.openxmlformats.org/officeDocument/2006/relationships" name="58 Deutsche Bank Conf" sheetId="13" state="visible" r:id="rId13"/>
    <sheet xmlns:r="http://schemas.openxmlformats.org/officeDocument/2006/relationships" name="57 Acquiring Alani Nu" sheetId="14" state="visible" r:id="rId14"/>
    <sheet xmlns:r="http://schemas.openxmlformats.org/officeDocument/2006/relationships" name="56 Goldman Sachs Conf" sheetId="15" state="visible" r:id="rId15"/>
    <sheet xmlns:r="http://schemas.openxmlformats.org/officeDocument/2006/relationships" name="55 2025Q1 Earnings" sheetId="16" state="visible" r:id="rId16"/>
    <sheet xmlns:r="http://schemas.openxmlformats.org/officeDocument/2006/relationships" name="54 ROTH Conf 2025-03-18" sheetId="17" state="visible" r:id="rId17"/>
    <sheet xmlns:r="http://schemas.openxmlformats.org/officeDocument/2006/relationships" name="53 UBS Conf 2025-03-12" sheetId="18" state="visible" r:id="rId18"/>
    <sheet xmlns:r="http://schemas.openxmlformats.org/officeDocument/2006/relationships" name="52 CAGNY Conf 2025-02-21" sheetId="19" state="visible" r:id="rId19"/>
    <sheet xmlns:r="http://schemas.openxmlformats.org/officeDocument/2006/relationships" name="51 2024Q4 Earnings" sheetId="20" state="visible" r:id="rId20"/>
    <sheet xmlns:r="http://schemas.openxmlformats.org/officeDocument/2006/relationships" name="50 Morgan Stanley Conf" sheetId="21" state="visible" r:id="rId21"/>
    <sheet xmlns:r="http://schemas.openxmlformats.org/officeDocument/2006/relationships" name="49 2024Q3 Earnings" sheetId="22" state="visible" r:id="rId22"/>
    <sheet xmlns:r="http://schemas.openxmlformats.org/officeDocument/2006/relationships" name="48 Piper Sandler Conf" sheetId="23" state="visible" r:id="rId23"/>
    <sheet xmlns:r="http://schemas.openxmlformats.org/officeDocument/2006/relationships" name="47 Barclays Conf 2024-09" sheetId="24" state="visible" r:id="rId24"/>
    <sheet xmlns:r="http://schemas.openxmlformats.org/officeDocument/2006/relationships" name="46 2024Q2 Earnings" sheetId="25" state="visible" r:id="rId25"/>
    <sheet xmlns:r="http://schemas.openxmlformats.org/officeDocument/2006/relationships" name="45 Evercore ISI 2024-06-11" sheetId="26" state="visible" r:id="rId26"/>
    <sheet xmlns:r="http://schemas.openxmlformats.org/officeDocument/2006/relationships" name="44 William Blair 2024-06-04" sheetId="27" state="visible" r:id="rId27"/>
    <sheet xmlns:r="http://schemas.openxmlformats.org/officeDocument/2006/relationships" name="43 Goldman Sachs 2024-05-14" sheetId="28" state="visible" r:id="rId28"/>
    <sheet xmlns:r="http://schemas.openxmlformats.org/officeDocument/2006/relationships" name="42 Q1 2024 Earnings" sheetId="29" state="visible" r:id="rId29"/>
    <sheet xmlns:r="http://schemas.openxmlformats.org/officeDocument/2006/relationships" name="41 UBS Conference" sheetId="30" state="visible" r:id="rId30"/>
    <sheet xmlns:r="http://schemas.openxmlformats.org/officeDocument/2006/relationships" name="40 2023Q4 Earnings" sheetId="31" state="visible" r:id="rId31"/>
    <sheet xmlns:r="http://schemas.openxmlformats.org/officeDocument/2006/relationships" name="39 Morgan Stanley Conf 12-06" sheetId="32" state="visible" r:id="rId32"/>
    <sheet xmlns:r="http://schemas.openxmlformats.org/officeDocument/2006/relationships" name="38 Stephens Conf 2023-11" sheetId="33" state="visible" r:id="rId33"/>
    <sheet xmlns:r="http://schemas.openxmlformats.org/officeDocument/2006/relationships" name="37 2023Q3 Earnings" sheetId="34" state="visible" r:id="rId34"/>
    <sheet xmlns:r="http://schemas.openxmlformats.org/officeDocument/2006/relationships" name="36 Piper Sandler Conf 09-13" sheetId="35" state="visible" r:id="rId35"/>
    <sheet xmlns:r="http://schemas.openxmlformats.org/officeDocument/2006/relationships" name="35 Barclays Conf 2023-09" sheetId="36" state="visible" r:id="rId36"/>
    <sheet xmlns:r="http://schemas.openxmlformats.org/officeDocument/2006/relationships" name="34 2023Q2 Earnings" sheetId="37" state="visible" r:id="rId37"/>
    <sheet xmlns:r="http://schemas.openxmlformats.org/officeDocument/2006/relationships" name="33 Evercore Conference" sheetId="38" state="visible" r:id="rId38"/>
    <sheet xmlns:r="http://schemas.openxmlformats.org/officeDocument/2006/relationships" name="32 Stifel Conference" sheetId="39" state="visible" r:id="rId39"/>
    <sheet xmlns:r="http://schemas.openxmlformats.org/officeDocument/2006/relationships" name="31 Annual General Meeting" sheetId="40" state="visible" r:id="rId40"/>
    <sheet xmlns:r="http://schemas.openxmlformats.org/officeDocument/2006/relationships" name="30 Goldman Sachs Conference" sheetId="41" state="visible" r:id="rId41"/>
    <sheet xmlns:r="http://schemas.openxmlformats.org/officeDocument/2006/relationships" name="29 2023Q1 Earnings" sheetId="42" state="visible" r:id="rId42"/>
    <sheet xmlns:r="http://schemas.openxmlformats.org/officeDocument/2006/relationships" name="28 2022Q4 Earnings" sheetId="43" state="visible" r:id="rId43"/>
    <sheet xmlns:r="http://schemas.openxmlformats.org/officeDocument/2006/relationships" name="27 2022Q3 Earnings" sheetId="44" state="visible" r:id="rId44"/>
    <sheet xmlns:r="http://schemas.openxmlformats.org/officeDocument/2006/relationships" name="26 2022Q2 Earnings" sheetId="45" state="visible" r:id="rId45"/>
    <sheet xmlns:r="http://schemas.openxmlformats.org/officeDocument/2006/relationships" name="25 PepsiCo Distribution" sheetId="46" state="visible" r:id="rId46"/>
    <sheet xmlns:r="http://schemas.openxmlformats.org/officeDocument/2006/relationships" name="24 Stifel Conference" sheetId="47" state="visible" r:id="rId47"/>
    <sheet xmlns:r="http://schemas.openxmlformats.org/officeDocument/2006/relationships" name="23 Evercore Conference" sheetId="48" state="visible" r:id="rId48"/>
    <sheet xmlns:r="http://schemas.openxmlformats.org/officeDocument/2006/relationships" name="22 Annual Shareholder Mtg" sheetId="49" state="visible" r:id="rId49"/>
    <sheet xmlns:r="http://schemas.openxmlformats.org/officeDocument/2006/relationships" name="21 Credit Suisse Conf" sheetId="50" state="visible" r:id="rId50"/>
    <sheet xmlns:r="http://schemas.openxmlformats.org/officeDocument/2006/relationships" name="20 2022Q1 Earnings" sheetId="51" state="visible" r:id="rId51"/>
    <sheet xmlns:r="http://schemas.openxmlformats.org/officeDocument/2006/relationships" name="19 Q4 2021 Earnings" sheetId="52" state="visible" r:id="rId52"/>
    <sheet xmlns:r="http://schemas.openxmlformats.org/officeDocument/2006/relationships" name="18 Morgan Stanley Conf" sheetId="53" state="visible" r:id="rId53"/>
    <sheet xmlns:r="http://schemas.openxmlformats.org/officeDocument/2006/relationships" name="17 Jefferies Conference" sheetId="54" state="visible" r:id="rId54"/>
    <sheet xmlns:r="http://schemas.openxmlformats.org/officeDocument/2006/relationships" name="16 2021Q3 Earnings" sheetId="55" state="visible" r:id="rId55"/>
    <sheet xmlns:r="http://schemas.openxmlformats.org/officeDocument/2006/relationships" name="15 Annual Shareholder Mtg" sheetId="56" state="visible" r:id="rId56"/>
    <sheet xmlns:r="http://schemas.openxmlformats.org/officeDocument/2006/relationships" name="14 2021Q2 Earnings" sheetId="57" state="visible" r:id="rId57"/>
    <sheet xmlns:r="http://schemas.openxmlformats.org/officeDocument/2006/relationships" name="13 Q1 2021 Earnings" sheetId="58" state="visible" r:id="rId58"/>
    <sheet xmlns:r="http://schemas.openxmlformats.org/officeDocument/2006/relationships" name="12 2020Q4 Earnings" sheetId="59" state="visible" r:id="rId59"/>
    <sheet xmlns:r="http://schemas.openxmlformats.org/officeDocument/2006/relationships" name="11 UBS Conference" sheetId="60" state="visible" r:id="rId60"/>
    <sheet xmlns:r="http://schemas.openxmlformats.org/officeDocument/2006/relationships" name="10 Q3 2020 Earnings" sheetId="61" state="visible" r:id="rId61"/>
    <sheet xmlns:r="http://schemas.openxmlformats.org/officeDocument/2006/relationships" name="09 LD Micro Conf" sheetId="62" state="visible" r:id="rId62"/>
    <sheet xmlns:r="http://schemas.openxmlformats.org/officeDocument/2006/relationships" name="08 Q2 2020 Earnings" sheetId="63" state="visible" r:id="rId63"/>
    <sheet xmlns:r="http://schemas.openxmlformats.org/officeDocument/2006/relationships" name="07 Q1 2020 Earnings" sheetId="64" state="visible" r:id="rId64"/>
    <sheet xmlns:r="http://schemas.openxmlformats.org/officeDocument/2006/relationships" name="06 2019Q4 Earnings" sheetId="65" state="visible" r:id="rId65"/>
    <sheet xmlns:r="http://schemas.openxmlformats.org/officeDocument/2006/relationships" name="05 2019Q3 Earnings" sheetId="66" state="visible" r:id="rId66"/>
    <sheet xmlns:r="http://schemas.openxmlformats.org/officeDocument/2006/relationships" name="04 2019Q2 Earnings" sheetId="67" state="visible" r:id="rId67"/>
    <sheet xmlns:r="http://schemas.openxmlformats.org/officeDocument/2006/relationships" name="03 2019Q1 Earnings" sheetId="68" state="visible" r:id="rId68"/>
    <sheet xmlns:r="http://schemas.openxmlformats.org/officeDocument/2006/relationships" name="02 2018Q4 Earnings" sheetId="69" state="visible" r:id="rId69"/>
    <sheet xmlns:r="http://schemas.openxmlformats.org/officeDocument/2006/relationships" name="01 2018Q3 Earnings" sheetId="70" state="visible" r:id="rId70"/>
    <sheet xmlns:r="http://schemas.openxmlformats.org/officeDocument/2006/relationships" name=" Transcript Reports" sheetId="71" state="visible" r:id="rId71"/>
    <sheet xmlns:r="http://schemas.openxmlformats.org/officeDocument/2006/relationships" name="Disclosures" sheetId="72" state="visible" r:id="rId72"/>
  </sheets>
  <definedNames/>
  <calcPr calcId="191029" fullCalcOnLoad="1" iterate="1" iterateCount="20" iterateDelta="0.0001"/>
</workbook>
</file>

<file path=xl/styles.xml><?xml version="1.0" encoding="utf-8"?>
<styleSheet xmlns="http://schemas.openxmlformats.org/spreadsheetml/2006/main">
  <numFmts count="8">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 numFmtId="171" formatCode="0.0%"/>
  </numFmts>
  <fonts count="24">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name val="Calibri"/>
      <b val="1"/>
      <sz val="12"/>
    </font>
    <font>
      <name val="Calibri"/>
      <i val="1"/>
      <color rgb="FF808080"/>
      <sz val="9"/>
    </font>
    <font>
      <name val="Calibri"/>
      <b val="1"/>
      <color rgb="FFFFFFFF"/>
      <sz val="11"/>
    </font>
    <font>
      <name val="Calibri"/>
      <b val="1"/>
      <sz val="11"/>
    </font>
    <font>
      <name val="Calibri"/>
      <b val="1"/>
      <i val="1"/>
      <sz val="9"/>
    </font>
    <font>
      <b val="1"/>
      <sz val="12"/>
    </font>
    <font>
      <i val="1"/>
      <color rgb="00808080"/>
      <sz val="9"/>
    </font>
    <font>
      <b val="1"/>
      <color rgb="00FFFFFF"/>
    </font>
    <font>
      <b val="1"/>
    </font>
    <font>
      <color rgb="000563C1"/>
      <u val="single"/>
    </font>
    <font>
      <b val="1"/>
      <i val="1"/>
      <sz val="9"/>
    </font>
  </fonts>
  <fills count="7">
    <fill>
      <patternFill/>
    </fill>
    <fill>
      <patternFill patternType="gray125"/>
    </fill>
    <fill>
      <patternFill patternType="solid">
        <fgColor rgb="FFD9D9D9"/>
      </patternFill>
    </fill>
    <fill>
      <patternFill patternType="solid">
        <fgColor rgb="FF1F4E78"/>
      </patternFill>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0" fontId="17" fillId="4" borderId="0" pivotButton="0" quotePrefix="0" xfId="0"/>
    <xf numFmtId="0" fontId="0" fillId="4" borderId="0" pivotButton="0" quotePrefix="0" xfId="0"/>
    <xf numFmtId="171" fontId="0" fillId="0" borderId="0" pivotButton="0" quotePrefix="0" xfId="0"/>
    <xf numFmtId="0" fontId="18" fillId="0" borderId="0" pivotButton="0" quotePrefix="0" xfId="0"/>
    <xf numFmtId="0" fontId="19" fillId="0" borderId="0" pivotButton="0" quotePrefix="0" xfId="0"/>
    <xf numFmtId="0" fontId="20" fillId="5" borderId="0" applyAlignment="1" pivotButton="0" quotePrefix="0" xfId="0">
      <alignment horizontal="center"/>
    </xf>
    <xf numFmtId="0" fontId="21" fillId="0" borderId="0" pivotButton="0" quotePrefix="0" xfId="0"/>
    <xf numFmtId="0" fontId="22" fillId="0" borderId="0" pivotButton="0" quotePrefix="0" xfId="0"/>
    <xf numFmtId="171" fontId="22" fillId="0" borderId="0" pivotButton="0" quotePrefix="0" xfId="0"/>
    <xf numFmtId="0" fontId="23" fillId="6" borderId="0" pivotButton="0" quotePrefix="0" xfId="0"/>
    <xf numFmtId="0" fontId="0" fillId="6"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transcript consolidation</author>
  </authors>
  <commentList>
    <comment ref="C5" authorId="0" shapeId="0">
      <text>
        <t>Source: Q3 2018 Earnings Call
Date: 2018-11-09
Workbook tab: 01 2018Q3 Earnings
Digest label: “Total Revenue Q3 2018”</t>
      </text>
    </comment>
    <comment ref="D5" authorId="0" shapeId="0">
      <text>
        <t>Source: Q3 2018 Earnings Call
Date: 2018-11-09
Workbook tab: 01 2018Q3 Earnings
Digest label: “Total Revenue 9M 2018”</t>
      </text>
    </comment>
    <comment ref="E5" authorId="0" shapeId="0">
      <text>
        <t>Source: Q4 &amp; Full-Year 2018 Earnings Call
Date: 2019-03-14
Workbook tab: 02 2018Q4 Earnings
Digest label: “Total Revenue Q4 2018”</t>
      </text>
    </comment>
    <comment ref="F5" authorId="0" shapeId="0">
      <text>
        <t>Source: Q4 &amp; Full-Year 2018 Earnings Call
Date: 2019-03-14
Workbook tab: 02 2018Q4 Earnings
Digest label: “Total Revenue FY2018”</t>
      </text>
    </comment>
    <comment ref="G5" authorId="0" shapeId="0">
      <text>
        <t>Source: Q1 2019 Earnings Call
Date: 2019-05-09
Workbook tab: 03 2019Q1 Earnings
Digest label: “Total Revenue Q1 2019”</t>
      </text>
    </comment>
    <comment ref="H5" authorId="0" shapeId="0">
      <text>
        <t>Source: Q2 2019 Earnings Call
Date: 2019-08-08
Workbook tab: 04 2019Q2 Earnings
Digest label: “Total Revenue Q2 2019”</t>
      </text>
    </comment>
    <comment ref="I5" authorId="0" shapeId="0">
      <text>
        <t>Source: Q2 2019 Earnings Call
Date: 2019-08-08
Workbook tab: 04 2019Q2 Earnings
Digest label: “Total Revenue H1 2019”</t>
      </text>
    </comment>
    <comment ref="J5" authorId="0" shapeId="0">
      <text>
        <t>Source: Q3 2019 Earnings Call
Date: 2019-11-07
Workbook tab: 05 2019Q3 Earnings
Digest label: “Total Revenue Q3 2019”</t>
      </text>
    </comment>
    <comment ref="K5" authorId="0" shapeId="0">
      <text>
        <t>Source: Q3 2019 Earnings Call
Date: 2019-11-07
Workbook tab: 05 2019Q3 Earnings
Digest label: “YTD Revenue 9M 2019”</t>
      </text>
    </comment>
    <comment ref="L5" authorId="0" shapeId="0">
      <text>
        <t>Source: Q4 &amp; Full-Year 2019 Earnings Call
Date: 2020-03-12
Workbook tab: 06 2019Q4 Earnings
Digest label: “Total Revenue Q4 2019”</t>
      </text>
    </comment>
    <comment ref="M5" authorId="0" shapeId="0">
      <text>
        <t>Source: Q4 &amp; Full-Year 2019 Earnings Call
Date: 2020-03-12
Workbook tab: 06 2019Q4 Earnings
Digest label: “Total Revenue FY2019”</t>
      </text>
    </comment>
    <comment ref="N5" authorId="0" shapeId="0">
      <text>
        <t>Source: Q4 &amp; Full-Year 2020 Earnings Call
Date: 2021-03-11
Workbook tab: 12 2020Q4 Earnings
Digest label: “Total Revenue Q4 2020”</t>
      </text>
    </comment>
    <comment ref="Q5" authorId="0" shapeId="0">
      <text>
        <t>Reported in 2 transcripts (► = figure shown in cell):
► 65.1  —  Q2 2021 Earnings Call (2021-08-12)
   tab: 14 2021Q2 Earnings  |  “Total Revenue”
• 65.1  —  2021 Annual Meeting of Shareholders (2021-08-19)
   tab: 15 Annual Shareholder Mtg  |  “Q2 Revenue”</t>
      </text>
    </comment>
    <comment ref="R5" authorId="0" shapeId="0">
      <text>
        <t>Source: 2021 Annual Meeting of Shareholders
Date: 2021-08-19
Workbook tab: 15 Annual Shareholder Mtg
Digest label: “Total Revenue”</t>
      </text>
    </comment>
    <comment ref="S5" authorId="0" shapeId="0">
      <text>
        <t>Source: Q3 2021 Earnings Call
Date: 2021-11-11
Workbook tab: 16 2021Q3 Earnings
Digest label: “Total Revenue”</t>
      </text>
    </comment>
    <comment ref="T5" authorId="0" shapeId="0">
      <text>
        <t>Source: 2022 Annual General Meeting (Annual Meeting of Shareholders)
Date: 2022-06-02
Workbook tab: 22 Annual Shareholder Mtg
Digest label: “Total revenue ($M)”</t>
      </text>
    </comment>
    <comment ref="U5" authorId="0" shapeId="0">
      <text>
        <t>Reported in 3 transcripts (► = figure shown in cell):
► 133.4  —  Q1 2022 Earnings Call (2022-05-10)
   tab: 20 2022Q1 Earnings  |  “Total Revenue”
• 133  —  Credit Suisse HALO Investment Summit (2022-05-25)
   tab: 21 Credit Suisse Conf  |  “Revenue ($M)”
• 133  —  2022 Annual General Meeting (Annual Meeting of Shareholders) (2022-06-02)
   tab: 22 Annual Shareholder Mtg  |  “Total revenue ($M)”</t>
      </text>
    </comment>
    <comment ref="V5" authorId="0" shapeId="0">
      <text>
        <t>Source: Q2 2022 Earnings Call
Date: 2022-08-09
Workbook tab: 26 2022Q2 Earnings
Digest label: “Total revenue”</t>
      </text>
    </comment>
    <comment ref="W5" authorId="0" shapeId="0">
      <text>
        <t>Source: Q3 2022 Earnings Call
Date: 2022-11-09
Workbook tab: 27 2022Q3 Earnings
Digest label: “Total revenue”</t>
      </text>
    </comment>
    <comment ref="X5" authorId="0" shapeId="0">
      <text>
        <t>Source: Q4 2022 / FY2022 Earnings Call
Date: 2023-03-01
Workbook tab: 28 2022Q4 Earnings
Digest label: “Total Revenue”</t>
      </text>
    </comment>
    <comment ref="Y5" authorId="0" shapeId="0">
      <text>
        <t>Reported in 2 transcripts (► = figure shown in cell):
► 654  —  Q4 2022 / FY2022 Earnings Call (2023-03-01)
   tab: 28 2022Q4 Earnings  |  “Total Revenue”
• 654  —  Celsius Holdings 2023 Annual General Meeting (2023-06-01)
   tab: 31 Annual General Meeting  |  “Revenue”</t>
      </text>
    </comment>
    <comment ref="Z5" authorId="0" shapeId="0">
      <text>
        <t>Reported in 2 transcripts (► = figure shown in cell):
► 260  —  Celsius Holdings Q1 2023 Earnings Call (2023-05-09)
   tab: 29 2023Q1 Earnings  |  “Total Revenue”
• 260  —  Celsius Holdings 2023 Annual General Meeting (2023-06-01)
   tab: 31 Annual General Meeting  |  “Revenue”</t>
      </text>
    </comment>
    <comment ref="AA5" authorId="0" shapeId="0">
      <text>
        <t>Source: Q2 2023 Earnings Call
Date: 2023-08-08
Workbook tab: 34 2023Q2 Earnings
Digest label: “Total Revenue”</t>
      </text>
    </comment>
    <comment ref="AB5" authorId="0" shapeId="0">
      <text>
        <t>Source: Q2 2023 Earnings Call
Date: 2023-08-08
Workbook tab: 34 2023Q2 Earnings
Digest label: “H1 Revenue”</t>
      </text>
    </comment>
    <comment ref="AC5" authorId="0" shapeId="0">
      <text>
        <t>Source: Q3 2023 Earnings Call
Date: 2023-11-07
Workbook tab: 37 2023Q3 Earnings
Digest label: “Total Revenue”</t>
      </text>
    </comment>
    <comment ref="AD5" authorId="0" shapeId="0">
      <text>
        <t>Source: Q3 2023 Earnings Call
Date: 2023-11-07
Workbook tab: 37 2023Q3 Earnings
Digest label: “9M Revenue”</t>
      </text>
    </comment>
    <comment ref="AE5" authorId="0" shapeId="0">
      <text>
        <t>Source: Celsius Holdings Q4 2023 Earnings Call
Date: 2024-02-29
Workbook tab: 40 2023Q4 Earnings
Digest label: “Total Revenue”</t>
      </text>
    </comment>
    <comment ref="AF5" authorId="0" shapeId="0">
      <text>
        <t>Source: Celsius Holdings Q4 2023 Earnings Call
Date: 2024-02-29
Workbook tab: 40 2023Q4 Earnings
Digest label: “Total Revenue”</t>
      </text>
    </comment>
    <comment ref="AG5" authorId="0" shapeId="0">
      <text>
        <t>Source: Q1 2024 Earnings Call
Date: 2024-05-07
Workbook tab: 42 Q1 2024 Earnings
Digest label: “Total Revenue”</t>
      </text>
    </comment>
    <comment ref="AI5" authorId="0" shapeId="0">
      <text>
        <t>Reported in 2 transcripts (► = figure shown in cell):
► 1360  —  Q4 2024 Earnings Call (2025-02-20)
   tab: 51 2024Q4 Earnings  |  “Revenue”
• 605  —  Alani Nu Modeling Call (post-closing) (2025-05-28)
   tab: 57 Acquiring Alani Nu  |  “Net Revenues”</t>
      </text>
    </comment>
    <comment ref="AJ5" authorId="0" shapeId="0">
      <text>
        <t>Reported in 2 transcripts (► = figure shown in cell):
► 329.3  —  Q1 2025 Earnings Call (2025-05-06)
   tab: 55 2025Q1 Earnings  |  “Total Revenue”
• -7.0%  —  Q1 2025 Earnings Call (2025-05-06)
   tab: 55 2025Q1 Earnings  |  “Reported revenue (books &amp; records)”</t>
      </text>
    </comment>
    <comment ref="AK5" authorId="0" shapeId="0">
      <text>
        <t>Source: CELH Q2 2025 Earnings Call
Date: 2025-08-07
Workbook tab: 60 2025Q2 Earnings
Digest label: “Total Revenue”</t>
      </text>
    </comment>
    <comment ref="AL5" authorId="0" shapeId="0">
      <text>
        <t>Source: CELH Q2 2025 Earnings Call
Date: 2025-08-07
Workbook tab: 60 2025Q2 Earnings
Digest label: “Total Revenue ($B)”</t>
      </text>
    </comment>
    <comment ref="AM5" authorId="0" shapeId="0">
      <text>
        <t>Source: CELH Q3 2025 Earnings Call
Date: 2025-11-06
Workbook tab: 63 2025Q3 Earnings
Digest label: “Consolidated Revenue ($M)”</t>
      </text>
    </comment>
    <comment ref="AO5" authorId="0" shapeId="0">
      <text>
        <t>Reported in 3 transcripts (► = figure shown in cell):
• 2515.3  —  Full-Year 2025 and Fourth Quarter Financial Results Press Release (2026-02-26)
   tab: 66 2025Q4 Earnings PR  |  “Total revenue”
► 1460  —  Q4 2025 / FY2025 Earnings Call (2026-02-26)
   tab: 67 2025Q4 Earnings  |  “Net Sales”
• 56  —  Q4 2025 / FY2025 Earnings Call (2026-02-26)
   tab: 67 2025Q4 Earnings  |  “Net Sales”</t>
      </text>
    </comment>
    <comment ref="AP5" authorId="0" shapeId="0">
      <text>
        <t>Source: CELH Q1 2026 Earnings Call
Date: 2026-05-07
Workbook tab: 69 2026Q1 Earnings
Digest label: “Total Revenue”</t>
      </text>
    </comment>
    <comment ref="C6" authorId="0" shapeId="0">
      <text>
        <t>Source: Q3 2018 Earnings Call
Date: 2018-11-09
Workbook tab: 01 2018Q3 Earnings
Digest label: “North America Revenue Q3 2018”</t>
      </text>
    </comment>
    <comment ref="E6" authorId="0" shapeId="0">
      <text>
        <t>Source: Q4 &amp; Full-Year 2018 Earnings Call
Date: 2019-03-14
Workbook tab: 02 2018Q4 Earnings
Digest label: “North America Revenue Q4 2018”</t>
      </text>
    </comment>
    <comment ref="F6" authorId="0" shapeId="0">
      <text>
        <t>Source: Q4 &amp; Full-Year 2018 Earnings Call
Date: 2019-03-14
Workbook tab: 02 2018Q4 Earnings
Digest label: “North America Revenue FY2018”</t>
      </text>
    </comment>
    <comment ref="G6" authorId="0" shapeId="0">
      <text>
        <t>Source: Q1 2019 Earnings Call
Date: 2019-05-09
Workbook tab: 03 2019Q1 Earnings
Digest label: “North America Revenue Q1 2019”</t>
      </text>
    </comment>
    <comment ref="J6" authorId="0" shapeId="0">
      <text>
        <t>Source: Q3 2019 Earnings Call
Date: 2019-11-07
Workbook tab: 05 2019Q3 Earnings
Digest label: “North America Revenue Q3 2019”</t>
      </text>
    </comment>
    <comment ref="L6" authorId="0" shapeId="0">
      <text>
        <t>Source: Q4 &amp; Full-Year 2019 Earnings Call
Date: 2020-03-12
Workbook tab: 06 2019Q4 Earnings
Digest label: “North America Revenue Q4 2019”</t>
      </text>
    </comment>
    <comment ref="M6" authorId="0" shapeId="0">
      <text>
        <t>Source: Q4 &amp; Full-Year 2019 Earnings Call
Date: 2020-03-12
Workbook tab: 06 2019Q4 Earnings
Digest label: “North America Revenue FY2019”</t>
      </text>
    </comment>
    <comment ref="N6" authorId="0" shapeId="0">
      <text>
        <t>Source: Q4 &amp; Full-Year 2020 Earnings Call
Date: 2021-03-11
Workbook tab: 12 2020Q4 Earnings
Digest label: “North America / Domestic Revenue Q4 2020”</t>
      </text>
    </comment>
    <comment ref="Q6" authorId="0" shapeId="0">
      <text>
        <t>Source: Q2 2021 Earnings Call
Date: 2021-08-12
Workbook tab: 14 2021Q2 Earnings
Digest label: “North America / Domestic”</t>
      </text>
    </comment>
    <comment ref="R6" authorId="0" shapeId="0">
      <text>
        <t>Source: 2021 Annual Meeting of Shareholders
Date: 2021-08-19
Workbook tab: 15 Annual Shareholder Mtg
Digest label: “North America Revenue”</t>
      </text>
    </comment>
    <comment ref="S6" authorId="0" shapeId="0">
      <text>
        <t>Source: Q3 2021 Earnings Call
Date: 2021-11-11
Workbook tab: 16 2021Q3 Earnings
Digest label: “North America / Domestic”</t>
      </text>
    </comment>
    <comment ref="T6" authorId="0" shapeId="0">
      <text>
        <t>Source: 2022 Annual General Meeting (Annual Meeting of Shareholders)
Date: 2022-06-02
Workbook tab: 22 Annual Shareholder Mtg
Digest label: “North American revenue ($M)”</t>
      </text>
    </comment>
    <comment ref="U6" authorId="0" shapeId="0">
      <text>
        <t>Source: Q1 2022 Earnings Call
Date: 2022-05-10
Workbook tab: 20 2022Q1 Earnings
Digest label: “Domestic / North American Revenue”</t>
      </text>
    </comment>
    <comment ref="V6" authorId="0" shapeId="0">
      <text>
        <t>Source: Q2 2022 Earnings Call
Date: 2022-08-09
Workbook tab: 26 2022Q2 Earnings
Digest label: “US / North America revenue”</t>
      </text>
    </comment>
    <comment ref="W6" authorId="0" shapeId="0">
      <text>
        <t>Source: Q3 2022 Earnings Call
Date: 2022-11-09
Workbook tab: 27 2022Q3 Earnings
Digest label: “US / North America revenue”</t>
      </text>
    </comment>
    <comment ref="X6" authorId="0" shapeId="0">
      <text>
        <t>Source: Q4 2022 / FY2022 Earnings Call
Date: 2023-03-01
Workbook tab: 28 2022Q4 Earnings
Digest label: “North America Revenue”</t>
      </text>
    </comment>
    <comment ref="Z6" authorId="0" shapeId="0">
      <text>
        <t>Reported in 2 transcripts (► = figure shown in cell):
► 249  —  Celsius Holdings Q1 2023 Earnings Call (2023-05-09)
   tab: 29 2023Q1 Earnings  |  “North America”
• 249  —  Celsius Holdings 2023 Annual General Meeting (2023-06-01)
   tab: 31 Annual General Meeting  |  “North America Revenue”</t>
      </text>
    </comment>
    <comment ref="AA6" authorId="0" shapeId="0">
      <text>
        <t>Source: Q2 2023 Earnings Call
Date: 2023-08-08
Workbook tab: 34 2023Q2 Earnings
Digest label: “North America Revenue”</t>
      </text>
    </comment>
    <comment ref="AB6" authorId="0" shapeId="0">
      <text>
        <t>Source: Q2 2023 Earnings Call
Date: 2023-08-08
Workbook tab: 34 2023Q2 Earnings
Digest label: “H1 North America Revenue”</t>
      </text>
    </comment>
    <comment ref="AC6" authorId="0" shapeId="0">
      <text>
        <t>Source: Q3 2023 Earnings Call
Date: 2023-11-07
Workbook tab: 37 2023Q3 Earnings
Digest label: “North America Revenue”</t>
      </text>
    </comment>
    <comment ref="AE6" authorId="0" shapeId="0">
      <text>
        <t>Source: Celsius Holdings Q4 2023 Earnings Call
Date: 2024-02-29
Workbook tab: 40 2023Q4 Earnings
Digest label: “North America”</t>
      </text>
    </comment>
    <comment ref="AF6" authorId="0" shapeId="0">
      <text>
        <t>Source: Celsius Holdings Q4 2023 Earnings Call
Date: 2024-02-29
Workbook tab: 40 2023Q4 Earnings
Digest label: “North America”</t>
      </text>
    </comment>
    <comment ref="AG6" authorId="0" shapeId="0">
      <text>
        <t>Source: Q1 2024 Earnings Call
Date: 2024-05-07
Workbook tab: 42 Q1 2024 Earnings
Digest label: “North America Revenue”</t>
      </text>
    </comment>
    <comment ref="AK6" authorId="0" shapeId="0">
      <text>
        <t>Source: CELH Q2 2025 Earnings Call
Date: 2025-08-07
Workbook tab: 60 2025Q2 Earnings
Digest label: “North America (H1)”</t>
      </text>
    </comment>
    <comment ref="AO6" authorId="0" shapeId="0">
      <text>
        <t>Source: Full-Year 2025 and Fourth Quarter Financial Results Press Release
Date: 2026-02-26
Workbook tab: 66 2025Q4 Earnings PR
Digest label: “North America revenue”</t>
      </text>
    </comment>
    <comment ref="F7" authorId="0" shapeId="0">
      <text>
        <t>Source: Q4 &amp; Full-Year 2018 Earnings Call
Date: 2019-03-14
Workbook tab: 02 2018Q4 Earnings
Digest label: “International Revenue FY2018”</t>
      </text>
    </comment>
    <comment ref="G7" authorId="0" shapeId="0">
      <text>
        <t>Source: Q1 2019 Earnings Call
Date: 2019-05-09
Workbook tab: 03 2019Q1 Earnings
Digest label: “International Revenue Q1 2019”</t>
      </text>
    </comment>
    <comment ref="N7" authorId="0" shapeId="0">
      <text>
        <t>Source: Q4 &amp; Full-Year 2020 Earnings Call
Date: 2021-03-11
Workbook tab: 12 2020Q4 Earnings
Digest label: “International Revenue Q4 2020”</t>
      </text>
    </comment>
    <comment ref="Q7" authorId="0" shapeId="0">
      <text>
        <t>Source: Q2 2021 Earnings Call
Date: 2021-08-12
Workbook tab: 14 2021Q2 Earnings
Digest label: “International”</t>
      </text>
    </comment>
    <comment ref="R7" authorId="0" shapeId="0">
      <text>
        <t>Source: 2021 Annual Meeting of Shareholders
Date: 2021-08-19
Workbook tab: 15 Annual Shareholder Mtg
Digest label: “International Revenue”</t>
      </text>
    </comment>
    <comment ref="S7" authorId="0" shapeId="0">
      <text>
        <t>Source: Q3 2021 Earnings Call
Date: 2021-11-11
Workbook tab: 16 2021Q3 Earnings
Digest label: “International”</t>
      </text>
    </comment>
    <comment ref="T7" authorId="0" shapeId="0">
      <text>
        <t>Source: 2022 Annual General Meeting (Annual Meeting of Shareholders)
Date: 2022-06-02
Workbook tab: 22 Annual Shareholder Mtg
Digest label: “International revenue ($M)”</t>
      </text>
    </comment>
    <comment ref="U7" authorId="0" shapeId="0">
      <text>
        <t>Reported in 2 transcripts (► = figure shown in cell):
► 9.9  —  Q1 2022 Earnings Call (2022-05-10)
   tab: 20 2022Q1 Earnings  |  “International Revenue (total)”
• 10  —  2022 Annual General Meeting (Annual Meeting of Shareholders) (2022-06-02)
   tab: 22 Annual Shareholder Mtg  |  “International revenue ($M)”</t>
      </text>
    </comment>
    <comment ref="V7" authorId="0" shapeId="0">
      <text>
        <t>Source: Q2 2022 Earnings Call
Date: 2022-08-09
Workbook tab: 26 2022Q2 Earnings
Digest label: “International sales”</t>
      </text>
    </comment>
    <comment ref="W7" authorId="0" shapeId="0">
      <text>
        <t>Source: Q3 2022 Earnings Call
Date: 2022-11-09
Workbook tab: 27 2022Q3 Earnings
Digest label: “International sales”</t>
      </text>
    </comment>
    <comment ref="X7" authorId="0" shapeId="0">
      <text>
        <t>Source: Q4 2022 / FY2022 Earnings Call
Date: 2023-03-01
Workbook tab: 28 2022Q4 Earnings
Digest label: “International Sales”</t>
      </text>
    </comment>
    <comment ref="Z7" authorId="0" shapeId="0">
      <text>
        <t>Source: Celsius Holdings Q1 2023 Earnings Call
Date: 2023-05-09
Workbook tab: 29 2023Q1 Earnings
Digest label: “International”</t>
      </text>
    </comment>
    <comment ref="AA7" authorId="0" shapeId="0">
      <text>
        <t>Source: Q2 2023 Earnings Call
Date: 2023-08-08
Workbook tab: 34 2023Q2 Earnings
Digest label: “International Revenue”</t>
      </text>
    </comment>
    <comment ref="AB7" authorId="0" shapeId="0">
      <text>
        <t>Source: Q2 2023 Earnings Call
Date: 2023-08-08
Workbook tab: 34 2023Q2 Earnings
Digest label: “H1 International Revenue”</t>
      </text>
    </comment>
    <comment ref="AC7" authorId="0" shapeId="0">
      <text>
        <t>Source: Q3 2023 Earnings Call
Date: 2023-11-07
Workbook tab: 37 2023Q3 Earnings
Digest label: “International Revenue”</t>
      </text>
    </comment>
    <comment ref="AE7" authorId="0" shapeId="0">
      <text>
        <t>Source: Celsius Holdings Q4 2023 Earnings Call
Date: 2024-02-29
Workbook tab: 40 2023Q4 Earnings
Digest label: “International”</t>
      </text>
    </comment>
    <comment ref="AF7" authorId="0" shapeId="0">
      <text>
        <t>Source: Celsius Holdings Q4 2023 Earnings Call
Date: 2024-02-29
Workbook tab: 40 2023Q4 Earnings
Digest label: “International”</t>
      </text>
    </comment>
    <comment ref="AJ7" authorId="0" shapeId="0">
      <text>
        <t>Source: Q1 2025 Earnings Call
Date: 2025-05-06
Workbook tab: 55 2025Q1 Earnings
Digest label: “International Revenue”</t>
      </text>
    </comment>
    <comment ref="AK7" authorId="0" shapeId="0">
      <text>
        <t>Source: CELH Q2 2025 Earnings Call
Date: 2025-08-07
Workbook tab: 60 2025Q2 Earnings
Digest label: “International (H1)”</t>
      </text>
    </comment>
    <comment ref="AO7" authorId="0" shapeId="0">
      <text>
        <t>Source: Full-Year 2025 and Fourth Quarter Financial Results Press Release
Date: 2026-02-26
Workbook tab: 66 2025Q4 Earnings PR
Digest label: “International revenue”</t>
      </text>
    </comment>
    <comment ref="E8" authorId="0" shapeId="0">
      <text>
        <t>Source: Q4 &amp; Full-Year 2018 Earnings Call
Date: 2019-03-14
Workbook tab: 02 2018Q4 Earnings
Digest label: “Europe Revenue Q4 2018”</t>
      </text>
    </comment>
    <comment ref="J8" authorId="0" shapeId="0">
      <text>
        <t>Source: Q3 2019 Earnings Call
Date: 2019-11-07
Workbook tab: 05 2019Q3 Earnings
Digest label: “Europe Revenue Q3 2019”</t>
      </text>
    </comment>
    <comment ref="M8" authorId="0" shapeId="0">
      <text>
        <t>Source: Q4 &amp; Full-Year 2019 Earnings Call
Date: 2020-03-12
Workbook tab: 06 2019Q4 Earnings
Digest label: “Europe Revenue FY2019”</t>
      </text>
    </comment>
    <comment ref="N8" authorId="0" shapeId="0">
      <text>
        <t>Source: Q4 &amp; Full-Year 2020 Earnings Call
Date: 2021-03-11
Workbook tab: 12 2020Q4 Earnings
Digest label: “Europe Revenue Q4 2020”</t>
      </text>
    </comment>
    <comment ref="Q8" authorId="0" shapeId="0">
      <text>
        <t>Source: Q2 2021 Earnings Call
Date: 2021-08-12
Workbook tab: 14 2021Q2 Earnings
Digest label: “Europe (Nordic)”</t>
      </text>
    </comment>
    <comment ref="S8" authorId="0" shapeId="0">
      <text>
        <t>Source: Q3 2021 Earnings Call
Date: 2021-11-11
Workbook tab: 16 2021Q3 Earnings
Digest label: “Europe / Nordic”</t>
      </text>
    </comment>
    <comment ref="U8" authorId="0" shapeId="0">
      <text>
        <t>Source: Q1 2022 Earnings Call
Date: 2022-05-10
Workbook tab: 20 2022Q1 Earnings
Digest label: “Europe / Nordics”</t>
      </text>
    </comment>
    <comment ref="V8" authorId="0" shapeId="0">
      <text>
        <t>Source: Q2 2022 Earnings Call
Date: 2022-08-09
Workbook tab: 26 2022Q2 Earnings
Digest label: “Nordic revenue”</t>
      </text>
    </comment>
    <comment ref="W8" authorId="0" shapeId="0">
      <text>
        <t>Source: Q3 2022 Earnings Call
Date: 2022-11-09
Workbook tab: 27 2022Q3 Earnings
Digest label: “European revenue”</t>
      </text>
    </comment>
    <comment ref="C9" authorId="0" shapeId="0">
      <text>
        <t>Source: Q3 2018 Earnings Call
Date: 2018-11-09
Workbook tab: 01 2018Q3 Earnings
Digest label: “Asia Revenue Q3 2018”</t>
      </text>
    </comment>
    <comment ref="E9" authorId="0" shapeId="0">
      <text>
        <t>Source: Q4 &amp; Full-Year 2018 Earnings Call
Date: 2019-03-14
Workbook tab: 02 2018Q4 Earnings
Digest label: “Asia Revenue Q4 2018”</t>
      </text>
    </comment>
    <comment ref="F9" authorId="0" shapeId="0">
      <text>
        <t>Source: Q4 &amp; Full-Year 2018 Earnings Call
Date: 2019-03-14
Workbook tab: 02 2018Q4 Earnings
Digest label: “Asia Revenue FY2018”</t>
      </text>
    </comment>
    <comment ref="M9" authorId="0" shapeId="0">
      <text>
        <t>Source: Q4 &amp; Full-Year 2019 Earnings Call
Date: 2020-03-12
Workbook tab: 06 2019Q4 Earnings
Digest label: “Asia Revenue FY2019”</t>
      </text>
    </comment>
    <comment ref="N9" authorId="0" shapeId="0">
      <text>
        <t>Source: Q4 &amp; Full-Year 2020 Earnings Call
Date: 2021-03-11
Workbook tab: 12 2020Q4 Earnings
Digest label: “Asia Revenue Q4 2020 ($000)”</t>
      </text>
    </comment>
    <comment ref="Q9" authorId="0" shapeId="0">
      <text>
        <t>Source: Q2 2021 Earnings Call
Date: 2021-08-12
Workbook tab: 14 2021Q2 Earnings
Digest label: “Asia (China royalty)”</t>
      </text>
    </comment>
    <comment ref="S9" authorId="0" shapeId="0">
      <text>
        <t>Source: Q3 2021 Earnings Call
Date: 2021-11-11
Workbook tab: 16 2021Q3 Earnings
Digest label: “Asia (China royalty)”</t>
      </text>
    </comment>
    <comment ref="U9" authorId="0" shapeId="0">
      <text>
        <t>Source: Q1 2022 Earnings Call
Date: 2022-05-10
Workbook tab: 20 2022Q1 Earnings
Digest label: “Asia (incl. China royalties)”</t>
      </text>
    </comment>
    <comment ref="U10" authorId="0" shapeId="0">
      <text>
        <t>Source: Q1 2022 Earnings Call
Date: 2022-05-10
Workbook tab: 20 2022Q1 Earnings
Digest label: “Amazon Revenue”</t>
      </text>
    </comment>
    <comment ref="W10" authorId="0" shapeId="0">
      <text>
        <t>Reported in 2 transcripts (► = figure shown in cell):
► 16  —  Q3 2022 Earnings Call (2022-11-09)
   tab: 27 2022Q3 Earnings  |  “Amazon sales ($M)”
• 43  —  Q3 2022 Earnings Call (2022-11-09)
   tab: 27 2022Q3 Earnings  |  “Amazon sales YTD 2022 ($M)”</t>
      </text>
    </comment>
    <comment ref="Y10" authorId="0" shapeId="0">
      <text>
        <t>Source: Q4 2022 / FY2022 Earnings Call
Date: 2023-03-01
Workbook tab: 28 2022Q4 Earnings
Digest label: “Amazon Sales”</t>
      </text>
    </comment>
    <comment ref="AC10" authorId="0" shapeId="0">
      <text>
        <t>Source: Q3 2023 Earnings Call
Date: 2023-11-07
Workbook tab: 37 2023Q3 Earnings
Digest label: “Amazon Sales”</t>
      </text>
    </comment>
    <comment ref="AG10" authorId="0" shapeId="0">
      <text>
        <t>Source: Q1 2024 Earnings Call
Date: 2024-05-07
Workbook tab: 42 Q1 2024 Earnings
Digest label: “Amazon Revenue”</t>
      </text>
    </comment>
    <comment ref="C11" authorId="0" shapeId="0">
      <text>
        <t>Source: Q3 2018 Earnings Call
Date: 2018-11-09
Workbook tab: 01 2018Q3 Earnings
Digest label: “Gross Profit Q3 2018 ($M)”</t>
      </text>
    </comment>
    <comment ref="D11" authorId="0" shapeId="0">
      <text>
        <t>Source: Q3 2018 Earnings Call
Date: 2018-11-09
Workbook tab: 01 2018Q3 Earnings
Digest label: “Gross Profit 9M 2018 ($M)”</t>
      </text>
    </comment>
    <comment ref="E11" authorId="0" shapeId="0">
      <text>
        <t>Source: Q4 &amp; Full-Year 2018 Earnings Call
Date: 2019-03-14
Workbook tab: 02 2018Q4 Earnings
Digest label: “Gross Profit Q4 2018 ($M)”</t>
      </text>
    </comment>
    <comment ref="F11" authorId="0" shapeId="0">
      <text>
        <t>Source: Q4 &amp; Full-Year 2018 Earnings Call
Date: 2019-03-14
Workbook tab: 02 2018Q4 Earnings
Digest label: “Gross Profit FY2018 ($M)”</t>
      </text>
    </comment>
    <comment ref="G11" authorId="0" shapeId="0">
      <text>
        <t>Source: Q1 2019 Earnings Call
Date: 2019-05-09
Workbook tab: 03 2019Q1 Earnings
Digest label: “Gross Profit Q1 2019 ($M)”</t>
      </text>
    </comment>
    <comment ref="H11" authorId="0" shapeId="0">
      <text>
        <t>Source: Q2 2019 Earnings Call
Date: 2019-08-08
Workbook tab: 04 2019Q2 Earnings
Digest label: “Gross Profit Q2 2019 ($M)”</t>
      </text>
    </comment>
    <comment ref="I11" authorId="0" shapeId="0">
      <text>
        <t>Source: Q2 2019 Earnings Call
Date: 2019-08-08
Workbook tab: 04 2019Q2 Earnings
Digest label: “Gross Profit H1 2019 ($M)”</t>
      </text>
    </comment>
    <comment ref="J11" authorId="0" shapeId="0">
      <text>
        <t>Source: Q3 2019 Earnings Call
Date: 2019-11-07
Workbook tab: 05 2019Q3 Earnings
Digest label: “Gross Profit Q3 2019 ($M)”</t>
      </text>
    </comment>
    <comment ref="L11" authorId="0" shapeId="0">
      <text>
        <t>Source: Q4 &amp; Full-Year 2019 Earnings Call
Date: 2020-03-12
Workbook tab: 06 2019Q4 Earnings
Digest label: “Gross Profit Q4 2019 ($M)”</t>
      </text>
    </comment>
    <comment ref="M11" authorId="0" shapeId="0">
      <text>
        <t>Source: Q4 &amp; Full-Year 2019 Earnings Call
Date: 2020-03-12
Workbook tab: 06 2019Q4 Earnings
Digest label: “Gross Profit FY2019 ($M)”</t>
      </text>
    </comment>
    <comment ref="N11" authorId="0" shapeId="0">
      <text>
        <t>Source: Q4 &amp; Full-Year 2020 Earnings Call
Date: 2021-03-11
Workbook tab: 12 2020Q4 Earnings
Digest label: “Gross Profit Q4 2020 ($M)”</t>
      </text>
    </comment>
    <comment ref="Q11" authorId="0" shapeId="0">
      <text>
        <t>Source: Q2 2021 Earnings Call
Date: 2021-08-12
Workbook tab: 14 2021Q2 Earnings
Digest label: “Gross Profit”</t>
      </text>
    </comment>
    <comment ref="R11" authorId="0" shapeId="0">
      <text>
        <t>Source: 2021 Annual Meeting of Shareholders
Date: 2021-08-19
Workbook tab: 15 Annual Shareholder Mtg
Digest label: “Gross Profit”</t>
      </text>
    </comment>
    <comment ref="S11" authorId="0" shapeId="0">
      <text>
        <t>Source: Q3 2021 Earnings Call
Date: 2021-11-11
Workbook tab: 16 2021Q3 Earnings
Digest label: “Gross Profit”</t>
      </text>
    </comment>
    <comment ref="T11" authorId="0" shapeId="0">
      <text>
        <t>Source: 2022 Annual General Meeting (Annual Meeting of Shareholders)
Date: 2022-06-02
Workbook tab: 22 Annual Shareholder Mtg
Digest label: “Gross profit ($M)”</t>
      </text>
    </comment>
    <comment ref="U11" authorId="0" shapeId="0">
      <text>
        <t>Reported in 2 transcripts (► = figure shown in cell):
► 53.9  —  Q1 2022 Earnings Call (2022-05-10)
   tab: 20 2022Q1 Earnings  |  “Gross Profit”
• 53.9  —  2022 Annual General Meeting (Annual Meeting of Shareholders) (2022-06-02)
   tab: 22 Annual Shareholder Mtg  |  “Gross profit ($M)”</t>
      </text>
    </comment>
    <comment ref="V11" authorId="0" shapeId="0">
      <text>
        <t>Source: Q2 2022 Earnings Call
Date: 2022-08-09
Workbook tab: 26 2022Q2 Earnings
Digest label: “Gross profit”</t>
      </text>
    </comment>
    <comment ref="W11" authorId="0" shapeId="0">
      <text>
        <t>Source: Q3 2022 Earnings Call
Date: 2022-11-09
Workbook tab: 27 2022Q3 Earnings
Digest label: “Gross profit”</t>
      </text>
    </comment>
    <comment ref="X11" authorId="0" shapeId="0">
      <text>
        <t>Source: Q4 2022 / FY2022 Earnings Call
Date: 2023-03-01
Workbook tab: 28 2022Q4 Earnings
Digest label: “Gross Profit”</t>
      </text>
    </comment>
    <comment ref="Y11" authorId="0" shapeId="0">
      <text>
        <t>Reported in 2 transcripts (► = figure shown in cell):
► 271  —  Q4 2022 / FY2022 Earnings Call (2023-03-01)
   tab: 28 2022Q4 Earnings  |  “Gross Profit”
• 271  —  Celsius Holdings 2023 Annual General Meeting (2023-06-01)
   tab: 31 Annual General Meeting  |  “Gross Profit”</t>
      </text>
    </comment>
    <comment ref="Z11" authorId="0" shapeId="0">
      <text>
        <t>Reported in 2 transcripts (► = figure shown in cell):
► 114  —  Celsius Holdings Q1 2023 Earnings Call (2023-05-09)
   tab: 29 2023Q1 Earnings  |  “Gross Profit ($M)”
• 114  —  Celsius Holdings 2023 Annual General Meeting (2023-06-01)
   tab: 31 Annual General Meeting  |  “Gross Profit”</t>
      </text>
    </comment>
    <comment ref="AA11" authorId="0" shapeId="0">
      <text>
        <t>Source: Q2 2023 Earnings Call
Date: 2023-08-08
Workbook tab: 34 2023Q2 Earnings
Digest label: “Gross Profit”</t>
      </text>
    </comment>
    <comment ref="AB11" authorId="0" shapeId="0">
      <text>
        <t>Source: Q2 2023 Earnings Call
Date: 2023-08-08
Workbook tab: 34 2023Q2 Earnings
Digest label: “H1 Gross Profit”</t>
      </text>
    </comment>
    <comment ref="AC11" authorId="0" shapeId="0">
      <text>
        <t>Source: Q3 2023 Earnings Call
Date: 2023-11-07
Workbook tab: 37 2023Q3 Earnings
Digest label: “Gross Profit”</t>
      </text>
    </comment>
    <comment ref="AD11" authorId="0" shapeId="0">
      <text>
        <t>Source: Q3 2023 Earnings Call
Date: 2023-11-07
Workbook tab: 37 2023Q3 Earnings
Digest label: “9M Gross Profit”</t>
      </text>
    </comment>
    <comment ref="AE11" authorId="0" shapeId="0">
      <text>
        <t>Source: Celsius Holdings Q4 2023 Earnings Call
Date: 2024-02-29
Workbook tab: 40 2023Q4 Earnings
Digest label: “Gross Profit ($M)”</t>
      </text>
    </comment>
    <comment ref="AF11" authorId="0" shapeId="0">
      <text>
        <t>Source: Celsius Holdings Q4 2023 Earnings Call
Date: 2024-02-29
Workbook tab: 40 2023Q4 Earnings
Digest label: “Gross Profit ($M)”</t>
      </text>
    </comment>
    <comment ref="AG11" authorId="0" shapeId="0">
      <text>
        <t>Source: Q1 2024 Earnings Call
Date: 2024-05-07
Workbook tab: 42 Q1 2024 Earnings
Digest label: “Gross Profit”</t>
      </text>
    </comment>
    <comment ref="AI11" authorId="0" shapeId="0">
      <text>
        <t>Source: Q4 2024 Earnings Call
Date: 2025-02-20
Workbook tab: 51 2024Q4 Earnings
Digest label: “Gross Profit”</t>
      </text>
    </comment>
    <comment ref="AJ11" authorId="0" shapeId="0">
      <text>
        <t>Source: Q1 2025 Earnings Call
Date: 2025-05-06
Workbook tab: 55 2025Q1 Earnings
Digest label: “Gross Profit”</t>
      </text>
    </comment>
    <comment ref="AK11" authorId="0" shapeId="0">
      <text>
        <t>Source: CELH Q2 2025 Earnings Call
Date: 2025-08-07
Workbook tab: 60 2025Q2 Earnings
Digest label: “Gross Profit ($M)”</t>
      </text>
    </comment>
    <comment ref="AN11" authorId="0" shapeId="0">
      <text>
        <t>Source: Q4 2025 / FY2025 Earnings Call
Date: 2026-02-26
Workbook tab: 67 2025Q4 Earnings
Digest label: “Gross Profit”</t>
      </text>
    </comment>
    <comment ref="AO11" authorId="0" shapeId="0">
      <text>
        <t>Reported in 2 transcripts (► = figure shown in cell):
• 1267.3  —  Full-Year 2025 and Fourth Quarter Financial Results Press Release (2026-02-26)
   tab: 66 2025Q4 Earnings PR  |  “Gross profit”
► 1270  —  Q4 2025 / FY2025 Earnings Call (2026-02-26)
   tab: 67 2025Q4 Earnings  |  “Gross Profit”</t>
      </text>
    </comment>
    <comment ref="C12" authorId="0" shapeId="0">
      <text>
        <t>Source: Q3 2018 Earnings Call
Date: 2018-11-09
Workbook tab: 01 2018Q3 Earnings
Digest label: “Gross Margin Q3 2018”</t>
      </text>
    </comment>
    <comment ref="D12" authorId="0" shapeId="0">
      <text>
        <t>Source: Q3 2018 Earnings Call
Date: 2018-11-09
Workbook tab: 01 2018Q3 Earnings
Digest label: “Gross Margin 9M 2018”</t>
      </text>
    </comment>
    <comment ref="E12" authorId="0" shapeId="0">
      <text>
        <t>Source: Q4 &amp; Full-Year 2018 Earnings Call
Date: 2019-03-14
Workbook tab: 02 2018Q4 Earnings
Digest label: “Gross Margin Q4 2018”</t>
      </text>
    </comment>
    <comment ref="F12" authorId="0" shapeId="0">
      <text>
        <t>Source: Q4 &amp; Full-Year 2018 Earnings Call
Date: 2019-03-14
Workbook tab: 02 2018Q4 Earnings
Digest label: “Gross Margin FY2018”</t>
      </text>
    </comment>
    <comment ref="G12" authorId="0" shapeId="0">
      <text>
        <t>Source: Q1 2019 Earnings Call
Date: 2019-05-09
Workbook tab: 03 2019Q1 Earnings
Digest label: “Gross Margin Q1 2019”</t>
      </text>
    </comment>
    <comment ref="H12" authorId="0" shapeId="0">
      <text>
        <t>Source: Q2 2019 Earnings Call
Date: 2019-08-08
Workbook tab: 04 2019Q2 Earnings
Digest label: “Gross Margin Q2 2019”</t>
      </text>
    </comment>
    <comment ref="I12" authorId="0" shapeId="0">
      <text>
        <t>Source: Q2 2019 Earnings Call
Date: 2019-08-08
Workbook tab: 04 2019Q2 Earnings
Digest label: “Gross Margin H1 2019”</t>
      </text>
    </comment>
    <comment ref="J12" authorId="0" shapeId="0">
      <text>
        <t>Source: Q3 2019 Earnings Call
Date: 2019-11-07
Workbook tab: 05 2019Q3 Earnings
Digest label: “Gross Margin Q3 2019”</t>
      </text>
    </comment>
    <comment ref="L12" authorId="0" shapeId="0">
      <text>
        <t>Source: Q4 &amp; Full-Year 2019 Earnings Call
Date: 2020-03-12
Workbook tab: 06 2019Q4 Earnings
Digest label: “Gross Margin Q4 2019”</t>
      </text>
    </comment>
    <comment ref="M12" authorId="0" shapeId="0">
      <text>
        <t>Source: Q4 &amp; Full-Year 2019 Earnings Call
Date: 2020-03-12
Workbook tab: 06 2019Q4 Earnings
Digest label: “Gross Margin FY2019”</t>
      </text>
    </comment>
    <comment ref="N12" authorId="0" shapeId="0">
      <text>
        <t>Source: Q4 &amp; Full-Year 2020 Earnings Call
Date: 2021-03-11
Workbook tab: 12 2020Q4 Earnings
Digest label: “Gross Margin Q4 2020”</t>
      </text>
    </comment>
    <comment ref="Q12" authorId="0" shapeId="0">
      <text>
        <t>Reported in 2 transcripts (► = figure shown in cell):
► 43.4%  —  Q2 2021 Earnings Call (2021-08-12)
   tab: 14 2021Q2 Earnings  |  “Gross Margin”
• 43.4%  —  2021 Annual Meeting of Shareholders (2021-08-19)
   tab: 15 Annual Shareholder Mtg  |  “GAAP Gross Margin”</t>
      </text>
    </comment>
    <comment ref="S12" authorId="0" shapeId="0">
      <text>
        <t>Source: Q3 2021 Earnings Call
Date: 2021-11-11
Workbook tab: 16 2021Q3 Earnings
Digest label: “Gross Margin”</t>
      </text>
    </comment>
    <comment ref="U12" authorId="0" shapeId="0">
      <text>
        <t>Reported in 3 transcripts (► = figure shown in cell):
► 40.4%  —  Q1 2022 Earnings Call (2022-05-10)
   tab: 20 2022Q1 Earnings  |  “Gross Margin”
• 42.8%  —  Q1 2022 Earnings Call (2022-05-10)
   tab: 20 2022Q1 Earnings  |  “Gross Margin ex-Outbound Freight”
• 40.4%  —  2022 Annual General Meeting (Annual Meeting of Shareholders) (2022-06-02)
   tab: 22 Annual Shareholder Mtg  |  “Gross margin”</t>
      </text>
    </comment>
    <comment ref="V12" authorId="0" shapeId="0">
      <text>
        <t>Reported in 2 transcripts (► = figure shown in cell):
► 38.5%  —  Q2 2022 Earnings Call (2022-08-09)
   tab: 26 2022Q2 Earnings  |  “Gross margin”
• 44.0%  —  Q2 2022 Earnings Call (2022-08-09)
   tab: 26 2022Q2 Earnings  |  “Gross margin ex-outbound freight”</t>
      </text>
    </comment>
    <comment ref="W12" authorId="0" shapeId="0">
      <text>
        <t>Reported in 2 transcripts (► = figure shown in cell):
► 41.8%  —  Q3 2022 Earnings Call (2022-11-09)
   tab: 27 2022Q3 Earnings  |  “Gross margin”
• 49.6%  —  Q3 2022 Earnings Call (2022-11-09)
   tab: 27 2022Q3 Earnings  |  “Gross margin ex-outbound freight”</t>
      </text>
    </comment>
    <comment ref="X12" authorId="0" shapeId="0">
      <text>
        <t>Source: Q4 2022 / FY2022 Earnings Call
Date: 2023-03-01
Workbook tab: 28 2022Q4 Earnings
Digest label: “Gross Margin”</t>
      </text>
    </comment>
    <comment ref="Z12" authorId="0" shapeId="0">
      <text>
        <t>Reported in 2 transcripts (► = figure shown in cell):
► 44.0%  —  Celsius Holdings Q1 2023 Earnings Call (2023-05-09)
   tab: 29 2023Q1 Earnings  |  “Gross Margin”
• 44.0%  —  Celsius Holdings 2023 Annual General Meeting (2023-06-01)
   tab: 31 Annual General Meeting  |  “Gross Profit Margin”</t>
      </text>
    </comment>
    <comment ref="AA12" authorId="0" shapeId="0">
      <text>
        <t>Source: Q2 2023 Earnings Call
Date: 2023-08-08
Workbook tab: 34 2023Q2 Earnings
Digest label: “Gross Margin”</t>
      </text>
    </comment>
    <comment ref="AB12" authorId="0" shapeId="0">
      <text>
        <t>Source: Q2 2023 Earnings Call
Date: 2023-08-08
Workbook tab: 34 2023Q2 Earnings
Digest label: “H1 Gross Margin”</t>
      </text>
    </comment>
    <comment ref="AC12" authorId="0" shapeId="0">
      <text>
        <t>Source: Q3 2023 Earnings Call
Date: 2023-11-07
Workbook tab: 37 2023Q3 Earnings
Digest label: “Gross Margin”</t>
      </text>
    </comment>
    <comment ref="AE12" authorId="0" shapeId="0">
      <text>
        <t>Source: Celsius Holdings Q4 2023 Earnings Call
Date: 2024-02-29
Workbook tab: 40 2023Q4 Earnings
Digest label: “Gross Margin”</t>
      </text>
    </comment>
    <comment ref="AF12" authorId="0" shapeId="0">
      <text>
        <t>Source: Celsius Holdings Q4 2023 Earnings Call
Date: 2024-02-29
Workbook tab: 40 2023Q4 Earnings
Digest label: “Gross Margin”</t>
      </text>
    </comment>
    <comment ref="AG12" authorId="0" shapeId="0">
      <text>
        <t>Source: Q1 2024 Earnings Call
Date: 2024-05-07
Workbook tab: 42 Q1 2024 Earnings
Digest label: “Gross Profit Margin”</t>
      </text>
    </comment>
    <comment ref="AH12" authorId="0" shapeId="0">
      <text>
        <t>Source: Q4 2024 Earnings Call
Date: 2025-02-20
Workbook tab: 51 2024Q4 Earnings
Digest label: “Gross Margin”</t>
      </text>
    </comment>
    <comment ref="AI12" authorId="0" shapeId="0">
      <text>
        <t>Source: Q4 2024 Earnings Call
Date: 2025-02-20
Workbook tab: 51 2024Q4 Earnings
Digest label: “Gross Profit Margin”</t>
      </text>
    </comment>
    <comment ref="AJ12" authorId="0" shapeId="0">
      <text>
        <t>Source: Q1 2025 Earnings Call
Date: 2025-05-06
Workbook tab: 55 2025Q1 Earnings
Digest label: “Gross Margin”</t>
      </text>
    </comment>
    <comment ref="AK12" authorId="0" shapeId="0">
      <text>
        <t>Source: CELH Q2 2025 Earnings Call
Date: 2025-08-07
Workbook tab: 60 2025Q2 Earnings
Digest label: “Consolidated Gross Margin”</t>
      </text>
    </comment>
    <comment ref="AL12" authorId="0" shapeId="0">
      <text>
        <t>Source: CELH Q2 2025 Earnings Call
Date: 2025-08-07
Workbook tab: 60 2025Q2 Earnings
Digest label: “Gross Margin”</t>
      </text>
    </comment>
    <comment ref="AM12" authorId="0" shapeId="0">
      <text>
        <t>Reported in 2 transcripts (► = figure shown in cell):
► 51.3%  —  CELH Q3 2025 Earnings Call (2025-11-06)
   tab: 63 2025Q3 Earnings  |  “Gross Margin”
• 51.6%  —  CELH Q3 2025 Earnings Call (2025-11-06)
   tab: 63 2025Q3 Earnings  |  “YTD Gross Margin”</t>
      </text>
    </comment>
    <comment ref="AN12" authorId="0" shapeId="0">
      <text>
        <t>Source: Q4 2025 / FY2025 Earnings Call
Date: 2026-02-26
Workbook tab: 67 2025Q4 Earnings
Digest label: “Gross Margin”</t>
      </text>
    </comment>
    <comment ref="AO12" authorId="0" shapeId="0">
      <text>
        <t>Reported in 2 transcripts (► = figure shown in cell):
• 50.4%  —  Full-Year 2025 and Fourth Quarter Financial Results Press Release (2026-02-26)
   tab: 66 2025Q4 Earnings PR  |  “Gross margin”
► 50.4%  —  Q4 2025 / FY2025 Earnings Call (2026-02-26)
   tab: 67 2025Q4 Earnings  |  “Gross Margin”</t>
      </text>
    </comment>
    <comment ref="AP12" authorId="0" shapeId="0">
      <text>
        <t>Source: CELH Q1 2026 Earnings Call
Date: 2026-05-07
Workbook tab: 69 2026Q1 Earnings
Digest label: “Gross Margin”</t>
      </text>
    </comment>
    <comment ref="C13" authorId="0" shapeId="0">
      <text>
        <t>Source: Q3 2018 Earnings Call
Date: 2018-11-09
Workbook tab: 01 2018Q3 Earnings
Digest label: “Selling &amp; Marketing Q3 2018”</t>
      </text>
    </comment>
    <comment ref="D13" authorId="0" shapeId="0">
      <text>
        <t>Source: Q3 2018 Earnings Call
Date: 2018-11-09
Workbook tab: 01 2018Q3 Earnings
Digest label: “Selling &amp; Marketing 9M 2018”</t>
      </text>
    </comment>
    <comment ref="E13" authorId="0" shapeId="0">
      <text>
        <t>Source: Q4 &amp; Full-Year 2018 Earnings Call
Date: 2019-03-14
Workbook tab: 02 2018Q4 Earnings
Digest label: “Selling &amp; Marketing Q4 2018”</t>
      </text>
    </comment>
    <comment ref="F13" authorId="0" shapeId="0">
      <text>
        <t>Source: Q4 &amp; Full-Year 2018 Earnings Call
Date: 2019-03-14
Workbook tab: 02 2018Q4 Earnings
Digest label: “Selling &amp; Marketing FY2018”</t>
      </text>
    </comment>
    <comment ref="G13" authorId="0" shapeId="0">
      <text>
        <t>Source: Q1 2019 Earnings Call
Date: 2019-05-09
Workbook tab: 03 2019Q1 Earnings
Digest label: “Selling &amp; Marketing Q1 2019”</t>
      </text>
    </comment>
    <comment ref="H13" authorId="0" shapeId="0">
      <text>
        <t>Source: Q2 2019 Earnings Call
Date: 2019-08-08
Workbook tab: 04 2019Q2 Earnings
Digest label: “Selling &amp; Marketing Q2 2019”</t>
      </text>
    </comment>
    <comment ref="I13" authorId="0" shapeId="0">
      <text>
        <t>Source: Q2 2019 Earnings Call
Date: 2019-08-08
Workbook tab: 04 2019Q2 Earnings
Digest label: “Selling &amp; Marketing H1 2019”</t>
      </text>
    </comment>
    <comment ref="J13" authorId="0" shapeId="0">
      <text>
        <t>Source: Q3 2019 Earnings Call
Date: 2019-11-07
Workbook tab: 05 2019Q3 Earnings
Digest label: “Sales &amp; Marketing Q3 2019”</t>
      </text>
    </comment>
    <comment ref="L13" authorId="0" shapeId="0">
      <text>
        <t>Source: Q4 &amp; Full-Year 2019 Earnings Call
Date: 2020-03-12
Workbook tab: 06 2019Q4 Earnings
Digest label: “Selling &amp; Marketing Q4 2019”</t>
      </text>
    </comment>
    <comment ref="M13" authorId="0" shapeId="0">
      <text>
        <t>Source: Q4 &amp; Full-Year 2019 Earnings Call
Date: 2020-03-12
Workbook tab: 06 2019Q4 Earnings
Digest label: “Selling &amp; Marketing FY2019”</t>
      </text>
    </comment>
    <comment ref="N13" authorId="0" shapeId="0">
      <text>
        <t>Source: Q4 &amp; Full-Year 2020 Earnings Call
Date: 2021-03-11
Workbook tab: 12 2020Q4 Earnings
Digest label: “Selling &amp; Marketing Q4 2020”</t>
      </text>
    </comment>
    <comment ref="Q13" authorId="0" shapeId="0">
      <text>
        <t>Source: Q2 2021 Earnings Call
Date: 2021-08-12
Workbook tab: 14 2021Q2 Earnings
Digest label: “Sales &amp; Marketing”</t>
      </text>
    </comment>
    <comment ref="S13" authorId="0" shapeId="0">
      <text>
        <t>Source: Q3 2021 Earnings Call
Date: 2021-11-11
Workbook tab: 16 2021Q3 Earnings
Digest label: “Sales &amp; Marketing”</t>
      </text>
    </comment>
    <comment ref="U13" authorId="0" shapeId="0">
      <text>
        <t>Source: Q1 2022 Earnings Call
Date: 2022-05-10
Workbook tab: 20 2022Q1 Earnings
Digest label: “Sales &amp; Marketing”</t>
      </text>
    </comment>
    <comment ref="W13" authorId="0" shapeId="0">
      <text>
        <t>Source: Q3 2022 Earnings Call
Date: 2022-11-09
Workbook tab: 27 2022Q3 Earnings
Digest label: “Sales &amp; marketing expenses”</t>
      </text>
    </comment>
    <comment ref="Y13" authorId="0" shapeId="0">
      <text>
        <t>Source: Celsius Holdings 2023 Annual General Meeting
Date: 2023-06-01
Workbook tab: 31 Annual General Meeting
Digest label: “Sales &amp; Marketing Expense”</t>
      </text>
    </comment>
    <comment ref="Z13" authorId="0" shapeId="0">
      <text>
        <t>Reported in 2 transcripts (► = figure shown in cell):
► 48  —  Celsius Holdings Q1 2023 Earnings Call (2023-05-09)
   tab: 29 2023Q1 Earnings  |  “S&amp;M Expense ($M)”
• 48  —  Celsius Holdings 2023 Annual General Meeting (2023-06-01)
   tab: 31 Annual General Meeting  |  “Sales &amp; Marketing Expense”</t>
      </text>
    </comment>
    <comment ref="AA13" authorId="0" shapeId="0">
      <text>
        <t>Source: Q2 2023 Earnings Call
Date: 2023-08-08
Workbook tab: 34 2023Q2 Earnings
Digest label: “Sales &amp; Marketing ($)”</t>
      </text>
    </comment>
    <comment ref="AC13" authorId="0" shapeId="0">
      <text>
        <t>Source: Q3 2023 Earnings Call
Date: 2023-11-07
Workbook tab: 37 2023Q3 Earnings
Digest label: “Sales &amp; Marketing ($)”</t>
      </text>
    </comment>
    <comment ref="AE13" authorId="0" shapeId="0">
      <text>
        <t>Source: Celsius Holdings Q4 2023 Earnings Call
Date: 2024-02-29
Workbook tab: 40 2023Q4 Earnings
Digest label: “S&amp;M Expense ($M)”</t>
      </text>
    </comment>
    <comment ref="AK13" authorId="0" shapeId="0">
      <text>
        <t>Source: CELH Q2 2025 Earnings Call
Date: 2025-08-07
Workbook tab: 60 2025Q2 Earnings
Digest label: “S&amp;M Expense ($M)”</t>
      </text>
    </comment>
    <comment ref="C14" authorId="0" shapeId="0">
      <text>
        <t>Source: Q3 2018 Earnings Call
Date: 2018-11-09
Workbook tab: 01 2018Q3 Earnings
Digest label: “G&amp;A Q3 2018”</t>
      </text>
    </comment>
    <comment ref="D14" authorId="0" shapeId="0">
      <text>
        <t>Source: Q3 2018 Earnings Call
Date: 2018-11-09
Workbook tab: 01 2018Q3 Earnings
Digest label: “G&amp;A 9M 2018”</t>
      </text>
    </comment>
    <comment ref="E14" authorId="0" shapeId="0">
      <text>
        <t>Source: Q4 &amp; Full-Year 2018 Earnings Call
Date: 2019-03-14
Workbook tab: 02 2018Q4 Earnings
Digest label: “G&amp;A Q4 2018”</t>
      </text>
    </comment>
    <comment ref="F14" authorId="0" shapeId="0">
      <text>
        <t>Source: Q4 &amp; Full-Year 2018 Earnings Call
Date: 2019-03-14
Workbook tab: 02 2018Q4 Earnings
Digest label: “G&amp;A FY2018”</t>
      </text>
    </comment>
    <comment ref="G14" authorId="0" shapeId="0">
      <text>
        <t>Source: Q1 2019 Earnings Call
Date: 2019-05-09
Workbook tab: 03 2019Q1 Earnings
Digest label: “G&amp;A Q1 2019”</t>
      </text>
    </comment>
    <comment ref="H14" authorId="0" shapeId="0">
      <text>
        <t>Source: Q2 2019 Earnings Call
Date: 2019-08-08
Workbook tab: 04 2019Q2 Earnings
Digest label: “G&amp;A Q2 2019”</t>
      </text>
    </comment>
    <comment ref="I14" authorId="0" shapeId="0">
      <text>
        <t>Source: Q2 2019 Earnings Call
Date: 2019-08-08
Workbook tab: 04 2019Q2 Earnings
Digest label: “G&amp;A H1 2019”</t>
      </text>
    </comment>
    <comment ref="J14" authorId="0" shapeId="0">
      <text>
        <t>Source: Q3 2019 Earnings Call
Date: 2019-11-07
Workbook tab: 05 2019Q3 Earnings
Digest label: “G&amp;A Q3 2019”</t>
      </text>
    </comment>
    <comment ref="L14" authorId="0" shapeId="0">
      <text>
        <t>Source: Q4 &amp; Full-Year 2019 Earnings Call
Date: 2020-03-12
Workbook tab: 06 2019Q4 Earnings
Digest label: “G&amp;A Q4 2019”</t>
      </text>
    </comment>
    <comment ref="M14" authorId="0" shapeId="0">
      <text>
        <t>Source: Q4 &amp; Full-Year 2019 Earnings Call
Date: 2020-03-12
Workbook tab: 06 2019Q4 Earnings
Digest label: “G&amp;A FY2019”</t>
      </text>
    </comment>
    <comment ref="N14" authorId="0" shapeId="0">
      <text>
        <t>Source: Q4 &amp; Full-Year 2020 Earnings Call
Date: 2021-03-11
Workbook tab: 12 2020Q4 Earnings
Digest label: “G&amp;A Q4 2020”</t>
      </text>
    </comment>
    <comment ref="Q14" authorId="0" shapeId="0">
      <text>
        <t>Source: Q2 2021 Earnings Call
Date: 2021-08-12
Workbook tab: 14 2021Q2 Earnings
Digest label: “General &amp; Administrative”</t>
      </text>
    </comment>
    <comment ref="S14" authorId="0" shapeId="0">
      <text>
        <t>Source: Q3 2021 Earnings Call
Date: 2021-11-11
Workbook tab: 16 2021Q3 Earnings
Digest label: “General &amp; Administrative”</t>
      </text>
    </comment>
    <comment ref="U14" authorId="0" shapeId="0">
      <text>
        <t>Source: Q1 2022 Earnings Call
Date: 2022-05-10
Workbook tab: 20 2022Q1 Earnings
Digest label: “General &amp; Administrative”</t>
      </text>
    </comment>
    <comment ref="V14" authorId="0" shapeId="0">
      <text>
        <t>Source: Q2 2022 Earnings Call
Date: 2022-08-09
Workbook tab: 26 2022Q2 Earnings
Digest label: “G&amp;A expenses”</t>
      </text>
    </comment>
    <comment ref="W14" authorId="0" shapeId="0">
      <text>
        <t>Source: Q3 2022 Earnings Call
Date: 2022-11-09
Workbook tab: 27 2022Q3 Earnings
Digest label: “G&amp;A expenses”</t>
      </text>
    </comment>
    <comment ref="Y14" authorId="0" shapeId="0">
      <text>
        <t>Source: Celsius Holdings 2023 Annual General Meeting
Date: 2023-06-01
Workbook tab: 31 Annual General Meeting
Digest label: “G&amp;A Expense”</t>
      </text>
    </comment>
    <comment ref="Z14" authorId="0" shapeId="0">
      <text>
        <t>Reported in 2 transcripts (► = figure shown in cell):
► 21  —  Celsius Holdings Q1 2023 Earnings Call (2023-05-09)
   tab: 29 2023Q1 Earnings  |  “G&amp;A Expense ($M)”
• 21  —  Celsius Holdings 2023 Annual General Meeting (2023-06-01)
   tab: 31 Annual General Meeting  |  “G&amp;A Expense”</t>
      </text>
    </comment>
    <comment ref="AA14" authorId="0" shapeId="0">
      <text>
        <t>Source: Q2 2023 Earnings Call
Date: 2023-08-08
Workbook tab: 34 2023Q2 Earnings
Digest label: “G&amp;A Expense ($)”</t>
      </text>
    </comment>
    <comment ref="AC14" authorId="0" shapeId="0">
      <text>
        <t>Source: Q3 2023 Earnings Call
Date: 2023-11-07
Workbook tab: 37 2023Q3 Earnings
Digest label: “G&amp;A Expense ($)”</t>
      </text>
    </comment>
    <comment ref="AE14" authorId="0" shapeId="0">
      <text>
        <t>Source: Celsius Holdings Q4 2023 Earnings Call
Date: 2024-02-29
Workbook tab: 40 2023Q4 Earnings
Digest label: “G&amp;A Expense ($M)”</t>
      </text>
    </comment>
    <comment ref="AG14" authorId="0" shapeId="0">
      <text>
        <t>Source: Q1 2024 Earnings Call
Date: 2024-05-07
Workbook tab: 42 Q1 2024 Earnings
Digest label: “G&amp;A Expense”</t>
      </text>
    </comment>
    <comment ref="AK14" authorId="0" shapeId="0">
      <text>
        <t>Source: CELH Q2 2025 Earnings Call
Date: 2025-08-07
Workbook tab: 60 2025Q2 Earnings
Digest label: “G&amp;A Expense ($M)”</t>
      </text>
    </comment>
    <comment ref="C15" authorId="0" shapeId="0">
      <text>
        <t>Source: Q3 2018 Earnings Call
Date: 2018-11-09
Workbook tab: 01 2018Q3 Earnings
Digest label: “Net Loss to Common Q3 2018 ($M)”</t>
      </text>
    </comment>
    <comment ref="D15" authorId="0" shapeId="0">
      <text>
        <t>Source: Q3 2018 Earnings Call
Date: 2018-11-09
Workbook tab: 01 2018Q3 Earnings
Digest label: “Net Loss to Common 9M 2018 ($M)”</t>
      </text>
    </comment>
    <comment ref="E15" authorId="0" shapeId="0">
      <text>
        <t>Source: Q4 &amp; Full-Year 2018 Earnings Call
Date: 2019-03-14
Workbook tab: 02 2018Q4 Earnings
Digest label: “Net Loss to Common Q4 2018 ($M)”</t>
      </text>
    </comment>
    <comment ref="F15" authorId="0" shapeId="0">
      <text>
        <t>Source: Q4 &amp; Full-Year 2018 Earnings Call
Date: 2019-03-14
Workbook tab: 02 2018Q4 Earnings
Digest label: “Net Loss to Common FY2018 ($M)”</t>
      </text>
    </comment>
    <comment ref="G15" authorId="0" shapeId="0">
      <text>
        <t>Source: Q1 2019 Earnings Call
Date: 2019-05-09
Workbook tab: 03 2019Q1 Earnings
Digest label: “Net Income to Common Q1 2019 ($M)”</t>
      </text>
    </comment>
    <comment ref="H15" authorId="0" shapeId="0">
      <text>
        <t>Source: Q2 2019 Earnings Call
Date: 2019-08-08
Workbook tab: 04 2019Q2 Earnings
Digest label: “Net Loss to Common Q2 2019 ($M)”</t>
      </text>
    </comment>
    <comment ref="I15" authorId="0" shapeId="0">
      <text>
        <t>Source: Q2 2019 Earnings Call
Date: 2019-08-08
Workbook tab: 04 2019Q2 Earnings
Digest label: “Net Income to Common H1 2019 ($M)”</t>
      </text>
    </comment>
    <comment ref="J15" authorId="0" shapeId="0">
      <text>
        <t>Source: Q3 2019 Earnings Call
Date: 2019-11-07
Workbook tab: 05 2019Q3 Earnings
Digest label: “Net Income to Common Q3 2019 ($000)”</t>
      </text>
    </comment>
    <comment ref="K15" authorId="0" shapeId="0">
      <text>
        <t>Source: Q3 2019 Earnings Call
Date: 2019-11-07
Workbook tab: 05 2019Q3 Earnings
Digest label: “YTD Net Income to Common 9M 2019 ($M)”</t>
      </text>
    </comment>
    <comment ref="L15" authorId="0" shapeId="0">
      <text>
        <t>Source: Q4 &amp; Full-Year 2019 Earnings Call
Date: 2020-03-12
Workbook tab: 06 2019Q4 Earnings
Digest label: “Net Loss to Common Q4 2019 ($M)”</t>
      </text>
    </comment>
    <comment ref="M15" authorId="0" shapeId="0">
      <text>
        <t>Source: Q4 &amp; Full-Year 2019 Earnings Call
Date: 2020-03-12
Workbook tab: 06 2019Q4 Earnings
Digest label: “Net Income to Common FY2019 ($M)”</t>
      </text>
    </comment>
    <comment ref="N15" authorId="0" shapeId="0">
      <text>
        <t>Source: Q4 &amp; Full-Year 2020 Earnings Call
Date: 2021-03-11
Workbook tab: 12 2020Q4 Earnings
Digest label: “Net Income Q4 2020 ($M)”</t>
      </text>
    </comment>
    <comment ref="Q15" authorId="0" shapeId="0">
      <text>
        <t>Source: Q2 2021 Earnings Call
Date: 2021-08-12
Workbook tab: 14 2021Q2 Earnings
Digest label: “Net Income”</t>
      </text>
    </comment>
    <comment ref="R15" authorId="0" shapeId="0">
      <text>
        <t>Source: 2021 Annual Meeting of Shareholders
Date: 2021-08-19
Workbook tab: 15 Annual Shareholder Mtg
Digest label: “Net Income”</t>
      </text>
    </comment>
    <comment ref="S15" authorId="0" shapeId="0">
      <text>
        <t>Source: Q3 2021 Earnings Call
Date: 2021-11-11
Workbook tab: 16 2021Q3 Earnings
Digest label: “Net Income”</t>
      </text>
    </comment>
    <comment ref="T15" authorId="0" shapeId="0">
      <text>
        <t>Source: 2022 Annual General Meeting (Annual Meeting of Shareholders)
Date: 2022-06-02
Workbook tab: 22 Annual Shareholder Mtg
Digest label: “Net income ($M)”</t>
      </text>
    </comment>
    <comment ref="U15" authorId="0" shapeId="0">
      <text>
        <t>Reported in 2 transcripts (► = figure shown in cell):
► 6.7  —  Q1 2022 Earnings Call (2022-05-10)
   tab: 20 2022Q1 Earnings  |  “Net Income”
• 6.7  —  2022 Annual General Meeting (Annual Meeting of Shareholders) (2022-06-02)
   tab: 22 Annual Shareholder Mtg  |  “Net income ($M)”</t>
      </text>
    </comment>
    <comment ref="V15" authorId="0" shapeId="0">
      <text>
        <t>Source: Q2 2022 Earnings Call
Date: 2022-08-09
Workbook tab: 26 2022Q2 Earnings
Digest label: “Net income”</t>
      </text>
    </comment>
    <comment ref="AC15" authorId="0" shapeId="0">
      <text>
        <t>Source: Q3 2023 Earnings Call
Date: 2023-11-07
Workbook tab: 37 2023Q3 Earnings
Digest label: “Net Income (common shareholders)”</t>
      </text>
    </comment>
    <comment ref="AG15" authorId="0" shapeId="0">
      <text>
        <t>Source: Q1 2024 Earnings Call
Date: 2024-05-07
Workbook tab: 42 Q1 2024 Earnings
Digest label: “Net Income to Common Shareholders”</t>
      </text>
    </comment>
    <comment ref="AH15" authorId="0" shapeId="0">
      <text>
        <t>Source: Q4 2024 Earnings Call
Date: 2025-02-20
Workbook tab: 51 2024Q4 Earnings
Digest label: “Net Income / (Loss)”</t>
      </text>
    </comment>
    <comment ref="AI15" authorId="0" shapeId="0">
      <text>
        <t>Source: Q4 2024 Earnings Call
Date: 2025-02-20
Workbook tab: 51 2024Q4 Earnings
Digest label: “Net Income”</t>
      </text>
    </comment>
    <comment ref="AJ15" authorId="0" shapeId="0">
      <text>
        <t>Source: Q1 2025 Earnings Call
Date: 2025-05-06
Workbook tab: 55 2025Q1 Earnings
Digest label: “Net Income (to common)”</t>
      </text>
    </comment>
    <comment ref="AK15" authorId="0" shapeId="0">
      <text>
        <t>Reported in 2 transcripts (► = figure shown in cell):
► 85.7  —  CELH Q2 2025 Earnings Call (2025-08-07)
   tab: 60 2025Q2 Earnings  |  “Net Income to Common ($M)”
• 99.6  —  CELH Q2 2025 Earnings Call (2025-08-07)
   tab: 60 2025Q2 Earnings  |  “Net Income ($M)”</t>
      </text>
    </comment>
    <comment ref="AO15" authorId="0" shapeId="0">
      <text>
        <t>Reported in 3 transcripts (► = figure shown in cell):
• 108  —  Full-Year 2025 and Fourth Quarter Financial Results Press Release (2026-02-26)
   tab: 66 2025Q4 Earnings PR  |  “Net income (GAAP)”
• 63.8  —  Full-Year 2025 and Fourth Quarter Financial Results Press Release (2026-02-26)
   tab: 66 2025Q4 Earnings PR  |  “Net income to common shareholders”
► 108  —  Q4 2025 / FY2025 Earnings Call (2026-02-26)
   tab: 67 2025Q4 Earnings  |  “Net Income (GAAP)”</t>
      </text>
    </comment>
    <comment ref="AP15" authorId="0" shapeId="0">
      <text>
        <t>Source: CELH Q1 2026 Earnings Call
Date: 2026-05-07
Workbook tab: 69 2026Q1 Earnings
Digest label: “GAAP Net Income ($M)”</t>
      </text>
    </comment>
    <comment ref="C16" authorId="0" shapeId="0">
      <text>
        <t>Reported in 2 transcripts (► = figure shown in cell):
► -2.9  —  Q3 2018 Earnings Call (2018-11-09)
   tab: 01 2018Q3 Earnings  |  “Adjusted EBITDA Q3 2018 ($M)”
• 2.2  —  Q3 2018 Earnings Call (2018-11-09)
   tab: 01 2018Q3 Earnings  |  “Adj EBITDA ex Asia Q3 2018 ($M)”</t>
      </text>
    </comment>
    <comment ref="D16" authorId="0" shapeId="0">
      <text>
        <t>Source: Q3 2018 Earnings Call
Date: 2018-11-09
Workbook tab: 01 2018Q3 Earnings
Digest label: “Adjusted EBITDA 9M 2018 ($M)”</t>
      </text>
    </comment>
    <comment ref="E16" authorId="0" shapeId="0">
      <text>
        <t>Source: Q4 &amp; Full-Year 2018 Earnings Call
Date: 2019-03-14
Workbook tab: 02 2018Q4 Earnings
Digest label: “Adjusted EBITDA Q4 2018 ($M)”</t>
      </text>
    </comment>
    <comment ref="F16" authorId="0" shapeId="0">
      <text>
        <t>Source: Q4 &amp; Full-Year 2018 Earnings Call
Date: 2019-03-14
Workbook tab: 02 2018Q4 Earnings
Digest label: “Adjusted EBITDA FY2018 ($M)”</t>
      </text>
    </comment>
    <comment ref="G16" authorId="0" shapeId="0">
      <text>
        <t>Source: Q1 2019 Earnings Call
Date: 2019-05-09
Workbook tab: 03 2019Q1 Earnings
Digest label: “Adjusted EBITDA Q1 2019 ($000)”</t>
      </text>
    </comment>
    <comment ref="H16" authorId="0" shapeId="0">
      <text>
        <t>Source: Q2 2019 Earnings Call
Date: 2019-08-08
Workbook tab: 04 2019Q2 Earnings
Digest label: “Adjusted EBITDA Q2 2019 ($000)”</t>
      </text>
    </comment>
    <comment ref="I16" authorId="0" shapeId="0">
      <text>
        <t>Source: Q2 2019 Earnings Call
Date: 2019-08-08
Workbook tab: 04 2019Q2 Earnings
Digest label: “Adjusted EBITDA H1 2019 ($000)”</t>
      </text>
    </comment>
    <comment ref="J16" authorId="0" shapeId="0">
      <text>
        <t>Reported in 2 transcripts (► = figure shown in cell):
► 2.4  —  Q3 2019 Earnings Call (2019-11-07)
   tab: 05 2019Q3 Earnings  |  “Adjusted EBITDA Q3 2019 ($M)”
• 2.6  —  Q3 2019 Earnings Call (2019-11-07)
   tab: 05 2019Q3 Earnings  |  “Net Non-GAAP Adjusted EBITDA Q3 2019 ($M)”</t>
      </text>
    </comment>
    <comment ref="L16" authorId="0" shapeId="0">
      <text>
        <t>Source: Q4 &amp; Full-Year 2019 Earnings Call
Date: 2020-03-12
Workbook tab: 06 2019Q4 Earnings
Digest label: “Adj EBITDA ex-Asia Q4 2019 ($000)”</t>
      </text>
    </comment>
    <comment ref="M16" authorId="0" shapeId="0">
      <text>
        <t>Source: Q4 &amp; Full-Year 2019 Earnings Call
Date: 2020-03-12
Workbook tab: 06 2019Q4 Earnings
Digest label: “Adj EBITDA ex-Asia FY2019 ($M)”</t>
      </text>
    </comment>
    <comment ref="N16" authorId="0" shapeId="0">
      <text>
        <t>Source: Q4 &amp; Full-Year 2020 Earnings Call
Date: 2021-03-11
Workbook tab: 12 2020Q4 Earnings
Digest label: “Adjusted EBITDA Q4 2020 ($M)”</t>
      </text>
    </comment>
    <comment ref="Q16" authorId="0" shapeId="0">
      <text>
        <t>Reported in 2 transcripts (► = figure shown in cell):
► 7.9  —  Q2 2021 Earnings Call (2021-08-12)
   tab: 14 2021Q2 Earnings  |  “Adjusted EBITDA”
• 8  —  2021 Annual Meeting of Shareholders (2021-08-19)
   tab: 15 Annual Shareholder Mtg  |  “Q2 Adjusted EBITDA”</t>
      </text>
    </comment>
    <comment ref="R16" authorId="0" shapeId="0">
      <text>
        <t>Source: 2021 Annual Meeting of Shareholders
Date: 2021-08-19
Workbook tab: 15 Annual Shareholder Mtg
Digest label: “Adjusted EBITDA”</t>
      </text>
    </comment>
    <comment ref="U16" authorId="0" shapeId="0">
      <text>
        <t>Source: 2022 Annual General Meeting (Annual Meeting of Shareholders)
Date: 2022-06-02
Workbook tab: 22 Annual Shareholder Mtg
Digest label: “Adjusted EBITDA ($M)”</t>
      </text>
    </comment>
    <comment ref="Z16" authorId="0" shapeId="0">
      <text>
        <t>Source: Celsius Holdings Q1 2023 Earnings Call
Date: 2023-05-09
Workbook tab: 29 2023Q1 Earnings
Digest label: “Adjusted EBITDA ($M, non-GAAP)”</t>
      </text>
    </comment>
    <comment ref="AG16" authorId="0" shapeId="0">
      <text>
        <t>Source: Q1 2024 Earnings Call
Date: 2024-05-07
Workbook tab: 42 Q1 2024 Earnings
Digest label: “Non-GAAP Adjusted EBITDA”</t>
      </text>
    </comment>
    <comment ref="AI16" authorId="0" shapeId="0">
      <text>
        <t>Source: Alani Nu Modeling Call (post-closing)
Date: 2025-05-28
Workbook tab: 57 Acquiring Alani Nu
Digest label: “Adjusted EBITDA”</t>
      </text>
    </comment>
    <comment ref="AJ16" authorId="0" shapeId="0">
      <text>
        <t>Source: Q1 2025 Earnings Call
Date: 2025-05-06
Workbook tab: 55 2025Q1 Earnings
Digest label: “Adjusted EBITDA”</t>
      </text>
    </comment>
    <comment ref="AK16" authorId="0" shapeId="0">
      <text>
        <t>Source: CELH Q2 2025 Earnings Call
Date: 2025-08-07
Workbook tab: 60 2025Q2 Earnings
Digest label: “Adjusted EBITDA ($M)”</t>
      </text>
    </comment>
    <comment ref="AL16" authorId="0" shapeId="0">
      <text>
        <t>Source: CELH Q2 2025 Earnings Call
Date: 2025-08-07
Workbook tab: 60 2025Q2 Earnings
Digest label: “Adjusted EBITDA ($M)”</t>
      </text>
    </comment>
    <comment ref="AO16" authorId="0" shapeId="0">
      <text>
        <t>Reported in 2 transcripts (► = figure shown in cell):
► 619.6  —  Q4 2025 / FY2025 Earnings Call (2026-02-26)
   tab: 67 2025Q4 Earnings  |  “Adjusted EBITDA”
• 619.6  —  Full-Year 2025 and Fourth Quarter Financial Results Press Release (2026-02-26)
   tab: 66 2025Q4 Earnings PR  |  “Adjusted EBITDA (non-GAAP)”</t>
      </text>
    </comment>
    <comment ref="AP16" authorId="0" shapeId="0">
      <text>
        <t>Source: CELH Q1 2026 Earnings Call
Date: 2026-05-07
Workbook tab: 69 2026Q1 Earnings
Digest label: “Adjusted EBITDA ($M)”</t>
      </text>
    </comment>
    <comment ref="F17" authorId="0" shapeId="0">
      <text>
        <t>Source: Q4 &amp; Full-Year 2018 Earnings Call
Date: 2019-03-14
Workbook tab: 02 2018Q4 Earnings
Digest label: “Cash Used in Operations FY2018 ($M)”</t>
      </text>
    </comment>
    <comment ref="M17" authorId="0" shapeId="0">
      <text>
        <t>Source: Q4 &amp; Full-Year 2019 Earnings Call
Date: 2020-03-12
Workbook tab: 06 2019Q4 Earnings
Digest label: “Cash Provided by Operations FY2019 ($M)”</t>
      </text>
    </comment>
    <comment ref="O17" authorId="0" shapeId="0">
      <text>
        <t>Source: Q4 &amp; Full-Year 2020 Earnings Call
Date: 2021-03-11
Workbook tab: 12 2020Q4 Earnings
Digest label: “Operating Cash Flow FY ($M)”</t>
      </text>
    </comment>
    <comment ref="Q17" authorId="0" shapeId="0">
      <text>
        <t>Source: Q2 2021 Earnings Call
Date: 2021-08-12
Workbook tab: 14 2021Q2 Earnings
Digest label: “Operating Cash Flow (6M)”</t>
      </text>
    </comment>
    <comment ref="S17" authorId="0" shapeId="0">
      <text>
        <t>Source: Q3 2021 Earnings Call
Date: 2021-11-11
Workbook tab: 16 2021Q3 Earnings
Digest label: “Operating Cash Flow (9M)”</t>
      </text>
    </comment>
    <comment ref="U17" authorId="0" shapeId="0">
      <text>
        <t>Source: Credit Suisse HALO Investment Summit
Date: 2022-05-25
Workbook tab: 21 Credit Suisse Conf
Digest label: “Operating Cash Flow ($M)”</t>
      </text>
    </comment>
    <comment ref="AB17" authorId="0" shapeId="0">
      <text>
        <t>Source: Q2 2023 Earnings Call
Date: 2023-08-08
Workbook tab: 34 2023Q2 Earnings
Digest label: “H1 Cash from Operations”</t>
      </text>
    </comment>
    <comment ref="AD17" authorId="0" shapeId="0">
      <text>
        <t>Source: Q3 2023 Earnings Call
Date: 2023-11-07
Workbook tab: 37 2023Q3 Earnings
Digest label: “9M Cash from Operations”</t>
      </text>
    </comment>
    <comment ref="AG17" authorId="0" shapeId="0">
      <text>
        <t>Source: Q1 2024 Earnings Call
Date: 2024-05-07
Workbook tab: 42 Q1 2024 Earnings
Digest label: “Cash Flow from Operating Activities”</t>
      </text>
    </comment>
    <comment ref="B18" authorId="0" shapeId="0">
      <text>
        <t>Source: Q3 2018 Earnings Call
Date: 2018-11-09
Workbook tab: 01 2018Q3 Earnings
Digest label: “Cash ($M)”</t>
      </text>
    </comment>
    <comment ref="F18" authorId="0" shapeId="0">
      <text>
        <t>Reported in 4 transcripts (► = figure shown in cell):
► 7.7  —  Q4 &amp; Full-Year 2018 Earnings Call (2019-03-14)
   tab: 02 2018Q4 Earnings  |  “Cash ($M)”
• 7.7  —  Q1 2019 Earnings Call (2019-05-09)
   tab: 03 2019Q1 Earnings  |  “Cash ($M)”
• 7.7  —  Q2 2019 Earnings Call (2019-08-08)
   tab: 04 2019Q2 Earnings  |  “Cash ($M)”
• 7.7  —  Q3 2019 Earnings Call (2019-11-07)
   tab: 05 2019Q3 Earnings  |  “Cash ($M)”</t>
      </text>
    </comment>
    <comment ref="M18" authorId="0" shapeId="0">
      <text>
        <t>Reported in 4 transcripts (► = figure shown in cell):
► 23.1  —  Q4 &amp; Full-Year 2019 Earnings Call (2020-03-12)
   tab: 06 2019Q4 Earnings  |  “Cash ($M)”
• 23.1  —  Q1 2020 Earnings Call (2020-05-12)
   tab: 07 Q1 2020 Earnings  |  “Cash”
• 23.1  —  Q2 2020 Earnings Call (2020-08-06)
   tab: 08 Q2 2020 Earnings  |  “Cash”
• 23.1  —  Q3 2020 Earnings Call (2020-11-12)
   tab: 10 Q3 2020 Earnings  |  “Cash”</t>
      </text>
    </comment>
    <comment ref="O18" authorId="0" shapeId="0">
      <text>
        <t>Reported in 2 transcripts (► = figure shown in cell):
► 43.2  —  Q4 &amp; Full-Year 2020 Earnings Call (2021-03-11)
   tab: 12 2020Q4 Earnings  |  “Cash ($M)”
• 43.2  —  Q1 2021 Earnings Call (2021-05-13)
   tab: 13 Q1 2021 Earnings  |  “Cash”</t>
      </text>
    </comment>
    <comment ref="Q18" authorId="0" shapeId="0">
      <text>
        <t>Source: Q2 2021 Earnings Call
Date: 2021-08-12
Workbook tab: 14 2021Q2 Earnings
Digest label: “Cash”</t>
      </text>
    </comment>
    <comment ref="S18" authorId="0" shapeId="0">
      <text>
        <t>Source: Q3 2021 Earnings Call
Date: 2021-11-11
Workbook tab: 16 2021Q3 Earnings
Digest label: “Cash”</t>
      </text>
    </comment>
    <comment ref="T18" authorId="0" shapeId="0">
      <text>
        <t>Source: Q4 2021 Earnings Call
Date: 2022-03-01
Workbook tab: 19 Q4 2021 Earnings
Digest label: “Cash”</t>
      </text>
    </comment>
    <comment ref="Y18" authorId="0" shapeId="0">
      <text>
        <t>Source: Celsius Holdings 2023 Annual General Meeting
Date: 2023-06-01
Workbook tab: 31 Annual General Meeting
Digest label: “Cash (year-end)”</t>
      </text>
    </comment>
    <comment ref="Z18" authorId="0" shapeId="0">
      <text>
        <t>Reported in 2 transcripts (► = figure shown in cell):
► 634  —  Celsius Holdings Q1 2023 Earnings Call (2023-05-09)
   tab: 29 2023Q1 Earnings  |  “Cash Balance”
• 634  —  Celsius Holdings 2023 Annual General Meeting (2023-06-01)
   tab: 31 Annual General Meeting  |  “Cash (Mar 31, 2023)”</t>
      </text>
    </comment>
    <comment ref="AG18" authorId="0" shapeId="0">
      <text>
        <t>Source: Q1 2024 Earnings Call
Date: 2024-05-07
Workbook tab: 42 Q1 2024 Earnings
Digest label: “Cash on Hand (Mar 31, 2024)”</t>
      </text>
    </comment>
    <comment ref="AJ18" authorId="0" shapeId="0">
      <text>
        <t>Source: Q1 2025 Earnings Call
Date: 2025-05-06
Workbook tab: 55 2025Q1 Earnings
Digest label: “Cash”</t>
      </text>
    </comment>
    <comment ref="AO18" authorId="0" shapeId="0">
      <text>
        <t>Source: Full-Year 2025 and Fourth Quarter Financial Results Press Release
Date: 2026-02-26
Workbook tab: 66 2025Q4 Earnings PR
Digest label: “Cash and cash equivalents”</t>
      </text>
    </comment>
    <comment ref="B19" authorId="0" shapeId="0">
      <text>
        <t>Source: Q3 2018 Earnings Call
Date: 2018-11-09
Workbook tab: 01 2018Q3 Earnings
Digest label: “Working Capital ($M)”</t>
      </text>
    </comment>
    <comment ref="F19" authorId="0" shapeId="0">
      <text>
        <t>Reported in 4 transcripts (► = figure shown in cell):
► 20.2  —  Q4 &amp; Full-Year 2018 Earnings Call (2019-03-14)
   tab: 02 2018Q4 Earnings  |  “Working Capital ($M)”
• 19.6  —  Q1 2019 Earnings Call (2019-05-09)
   tab: 03 2019Q1 Earnings  |  “Working Capital ($M)”
• 19.6  —  Q2 2019 Earnings Call (2019-08-08)
   tab: 04 2019Q2 Earnings  |  “Working Capital ($M)”
• 19.6  —  Q3 2019 Earnings Call (2019-11-07)
   tab: 05 2019Q3 Earnings  |  “Working Capital ($M)”</t>
      </text>
    </comment>
    <comment ref="M19" authorId="0" shapeId="0">
      <text>
        <t>Reported in 4 transcripts (► = figure shown in cell):
► 24.8  —  Q4 &amp; Full-Year 2019 Earnings Call (2020-03-12)
   tab: 06 2019Q4 Earnings  |  “Working Capital ($M)”
• 24.8  —  Q1 2020 Earnings Call (2020-05-12)
   tab: 07 Q1 2020 Earnings  |  “Working Capital”
• 24.8  —  Q2 2020 Earnings Call (2020-08-06)
   tab: 08 Q2 2020 Earnings  |  “Working Capital”
• 24.8  —  Q3 2020 Earnings Call (2020-11-12)
   tab: 10 Q3 2020 Earnings  |  “Working Capital”</t>
      </text>
    </comment>
    <comment ref="O19" authorId="0" shapeId="0">
      <text>
        <t>Reported in 2 transcripts (► = figure shown in cell):
► 64.9  —  Q4 &amp; Full-Year 2020 Earnings Call (2021-03-11)
   tab: 12 2020Q4 Earnings  |  “Working Capital ($M)”
• 64.9  —  Q1 2021 Earnings Call (2021-05-13)
   tab: 13 Q1 2021 Earnings  |  “Working Capital”</t>
      </text>
    </comment>
    <comment ref="Q19" authorId="0" shapeId="0">
      <text>
        <t>Source: Q2 2021 Earnings Call
Date: 2021-08-12
Workbook tab: 14 2021Q2 Earnings
Digest label: “Working Capital”</t>
      </text>
    </comment>
    <comment ref="S19" authorId="0" shapeId="0">
      <text>
        <t>Source: Q3 2021 Earnings Call
Date: 2021-11-11
Workbook tab: 16 2021Q3 Earnings
Digest label: “Working Capital”</t>
      </text>
    </comment>
    <comment ref="T19" authorId="0" shapeId="0">
      <text>
        <t>Source: Q4 2021 Earnings Call
Date: 2022-03-01
Workbook tab: 19 Q4 2021 Earnings
Digest label: “Working Capital”</t>
      </text>
    </comment>
    <comment ref="Y19" authorId="0" shapeId="0">
      <text>
        <t>Source: Celsius Holdings 2023 Annual General Meeting
Date: 2023-06-01
Workbook tab: 31 Annual General Meeting
Digest label: “Working Capital (year-end)”</t>
      </text>
    </comment>
    <comment ref="Z19" authorId="0" shapeId="0">
      <text>
        <t>Reported in 2 transcripts (► = figure shown in cell):
► 801  —  Celsius Holdings Q1 2023 Earnings Call (2023-05-09)
   tab: 29 2023Q1 Earnings  |  “Net Working Capital”
• 801  —  Celsius Holdings 2023 Annual General Meeting (2023-06-01)
   tab: 31 Annual General Meeting  |  “Net Working Capital (Mar 31, 2023)”</t>
      </text>
    </comment>
    <comment ref="T21" authorId="0" shapeId="0">
      <text>
        <t>Source: Q4 2021 Earnings Call
Date: 2022-03-01
Workbook tab: 19 Q4 2021 Earnings
Digest label: “% of MULO+C stores DSD-serviced”</t>
      </text>
    </comment>
    <comment ref="V22" authorId="0" shapeId="0">
      <text>
        <t>Source: Q2 2022 Earnings Call
Date: 2022-08-09
Workbook tab: 26 2022Q2 Earnings
Digest label: “12-week growth”</t>
      </text>
    </comment>
    <comment ref="X22" authorId="0" shapeId="0">
      <text>
        <t>Source: Q3 2022 Earnings Call
Date: 2022-11-09
Workbook tab: 27 2022Q3 Earnings
Digest label: “12-week growth”</t>
      </text>
    </comment>
    <comment ref="X23" authorId="0" shapeId="0">
      <text>
        <t>Source: Q3 2022 Earnings Call
Date: 2022-11-09
Workbook tab: 27 2022Q3 Earnings
Digest label: “2-week growth”</t>
      </text>
    </comment>
    <comment ref="V24" authorId="0" shapeId="0">
      <text>
        <t>Source: Q2 2022 Earnings Call
Date: 2022-08-09
Workbook tab: 26 2022Q2 Earnings
Digest label: “4-week growth”</t>
      </text>
    </comment>
    <comment ref="N25" authorId="0" shapeId="0">
      <text>
        <t>Source: Q4 &amp; Full-Year 2020 Earnings Call
Date: 2021-03-11
Workbook tab: 12 2020Q4 Earnings
Digest label: “7-Eleven DSD Transition”</t>
      </text>
    </comment>
    <comment ref="AO26" authorId="0" shapeId="0">
      <text>
        <t>Source: Full-Year 2025 and Fourth Quarter Financial Results Press Release
Date: 2026-02-26
Workbook tab: 66 2025Q4 Earnings PR
Digest label: “Accrued distributor termination fees”</t>
      </text>
    </comment>
    <comment ref="AO27" authorId="0" shapeId="0">
      <text>
        <t>Source: Q4 2025 / FY2025 Earnings Call
Date: 2026-02-26
Workbook tab: 67 2025Q4 Earnings
Digest label: “Acquisition &amp; integration adj”</t>
      </text>
    </comment>
    <comment ref="AK28" authorId="0" shapeId="0">
      <text>
        <t>Source: CELH Q2 2025 Earnings Call
Date: 2025-08-07
Workbook tab: 60 2025Q2 Earnings
Digest label: “Acquisition-related costs”</t>
      </text>
    </comment>
    <comment ref="AN29" authorId="0" shapeId="0">
      <text>
        <t>Source: Full-Year 2025 and Fourth Quarter Financial Results Press Release
Date: 2026-02-26
Workbook tab: 66 2025Q4 Earnings PR
Digest label: “Acquisition-related costs (FY)”</t>
      </text>
    </comment>
    <comment ref="X30" authorId="0" shapeId="0">
      <text>
        <t>Source: Q4 2022 / FY2022 Earnings Call
Date: 2023-03-01
Workbook tab: 28 2022Q4 Earnings
Digest label: “ACV (all channels)”</t>
      </text>
    </comment>
    <comment ref="D31" authorId="0" shapeId="0">
      <text>
        <t>Source: Q3 2018 Earnings Call
Date: 2018-11-09
Workbook tab: 01 2018Q3 Earnings
Digest label: “Adj EBITDA ex Asia &amp; one-time 9M 2018 ($M)”</t>
      </text>
    </comment>
    <comment ref="F32" authorId="0" shapeId="0">
      <text>
        <t>Source: Q4 &amp; Full-Year 2018 Earnings Call
Date: 2019-03-14
Workbook tab: 02 2018Q4 Earnings
Digest label: “Adj EBITDA ex China/one-time FY2018 ($M)”</t>
      </text>
    </comment>
    <comment ref="Q33" authorId="0" shapeId="0">
      <text>
        <t>Source: Q2 2021 Earnings Call
Date: 2021-08-12
Workbook tab: 14 2021Q2 Earnings
Digest label: “Adj. Gross Margin (ex-freight)”</t>
      </text>
    </comment>
    <comment ref="S33" authorId="0" shapeId="0">
      <text>
        <t>Source: Q3 2021 Earnings Call
Date: 2021-11-11
Workbook tab: 16 2021Q3 Earnings
Digest label: “Adj. Gross Margin (ex-freight)”</t>
      </text>
    </comment>
    <comment ref="AH34" authorId="0" shapeId="0">
      <text>
        <t>Source: Q4 2024 Earnings Call
Date: 2025-02-20
Workbook tab: 51 2024Q4 Earnings
Digest label: “Adjusted Diluted EPS”</t>
      </text>
    </comment>
    <comment ref="AI34" authorId="0" shapeId="0">
      <text>
        <t>Source: Q4 2024 Earnings Call
Date: 2025-02-20
Workbook tab: 51 2024Q4 Earnings
Digest label: “Adjusted Diluted EPS”</t>
      </text>
    </comment>
    <comment ref="AJ34" authorId="0" shapeId="0">
      <text>
        <t>Source: Q1 2025 Earnings Call
Date: 2025-05-06
Workbook tab: 55 2025Q1 Earnings
Digest label: “Non-GAAP Adjusted Diluted EPS”</t>
      </text>
    </comment>
    <comment ref="AK34" authorId="0" shapeId="0">
      <text>
        <t>Source: CELH Q2 2025 Earnings Call
Date: 2025-08-07
Workbook tab: 60 2025Q2 Earnings
Digest label: “Adjusted Diluted EPS”</t>
      </text>
    </comment>
    <comment ref="AL34" authorId="0" shapeId="0">
      <text>
        <t>Source: CELH Q2 2025 Earnings Call
Date: 2025-08-07
Workbook tab: 60 2025Q2 Earnings
Digest label: “Adjusted Diluted EPS”</t>
      </text>
    </comment>
    <comment ref="AO34" authorId="0" shapeId="0">
      <text>
        <t>Source: Full-Year 2025 and Fourth Quarter Financial Results Press Release
Date: 2026-02-26
Workbook tab: 66 2025Q4 Earnings PR
Digest label: “Adjusted diluted EPS (non-GAAP)”</t>
      </text>
    </comment>
    <comment ref="AH35" authorId="0" shapeId="0">
      <text>
        <t>Source: Q4 2024 Earnings Call
Date: 2025-02-20
Workbook tab: 51 2024Q4 Earnings
Digest label: “Adjusted EBITDA Margin”</t>
      </text>
    </comment>
    <comment ref="AI35" authorId="0" shapeId="0">
      <text>
        <t>Source: Alani Nu Modeling Call (post-closing)
Date: 2025-05-28
Workbook tab: 57 Acquiring Alani Nu
Digest label: “Adjusted EBITDA Margin”</t>
      </text>
    </comment>
    <comment ref="AJ35" authorId="0" shapeId="0">
      <text>
        <t>Source: Q1 2025 Earnings Call
Date: 2025-05-06
Workbook tab: 55 2025Q1 Earnings
Digest label: “Adjusted EBITDA Margin”</t>
      </text>
    </comment>
    <comment ref="AO35" authorId="0" shapeId="0">
      <text>
        <t>Reported in 2 transcripts (► = figure shown in cell):
► 24.6%  —  Q4 2025 / FY2025 Earnings Call (2026-02-26)
   tab: 67 2025Q4 Earnings  |  “Adjusted EBITDA Margin”
• 24.6%  —  Full-Year 2025 and Fourth Quarter Financial Results Press Release (2026-02-26)
   tab: 66 2025Q4 Earnings PR  |  “Adjusted EBITDA margin (non-GAAP)”</t>
      </text>
    </comment>
    <comment ref="AP35" authorId="0" shapeId="0">
      <text>
        <t>Source: CELH Q1 2026 Earnings Call
Date: 2026-05-07
Workbook tab: 69 2026Q1 Earnings
Digest label: “Adjusted EBITDA Margin”</t>
      </text>
    </comment>
    <comment ref="AP36" authorId="0" shapeId="0">
      <text>
        <t>Source: CELH Q1 2026 Earnings Call
Date: 2026-05-07
Workbook tab: 69 2026Q1 Earnings
Digest label: “Adjusted SG&amp;A % of revenue”</t>
      </text>
    </comment>
    <comment ref="AN37" authorId="0" shapeId="0">
      <text>
        <t>Source: Full-Year 2025 and Fourth Quarter Financial Results Press Release
Date: 2026-02-26
Workbook tab: 66 2025Q4 Earnings PR
Digest label: “Adjusted SG&amp;A as % of revenue (FY)”</t>
      </text>
    </comment>
    <comment ref="AN38" authorId="0" shapeId="0">
      <text>
        <t>Source: Full-Year 2025 and Fourth Quarter Financial Results Press Release
Date: 2026-02-26
Workbook tab: 66 2025Q4 Earnings PR
Digest label: “Adjusted SG&amp;A as % of revenue (Q4)”</t>
      </text>
    </comment>
    <comment ref="AK39" authorId="0" shapeId="0">
      <text>
        <t>Source: CELH Q2 2025 Earnings Call
Date: 2025-08-07
Workbook tab: 60 2025Q2 Earnings
Digest label: “Alani Nu brand”</t>
      </text>
    </comment>
    <comment ref="AJ40" authorId="0" shapeId="0">
      <text>
        <t>Source: Q1 2025 Earnings Call
Date: 2025-05-06
Workbook tab: 55 2025Q1 Earnings
Digest label: “Alani Nu dollar share”</t>
      </text>
    </comment>
    <comment ref="AP41" authorId="0" shapeId="0">
      <text>
        <t>Source: CELH Q1 2026 Earnings Call
Date: 2026-05-07
Workbook tab: 69 2026Q1 Earnings
Digest label: “Alani Nu net sales”</t>
      </text>
    </comment>
    <comment ref="AO42" authorId="0" shapeId="0">
      <text>
        <t>Source: Full-Year 2025 and Fourth Quarter Financial Results Press Release
Date: 2026-02-26
Workbook tab: 66 2025Q4 Earnings PR
Digest label: “Alani Nu retail sales growth”</t>
      </text>
    </comment>
    <comment ref="AA43" authorId="0" shapeId="0">
      <text>
        <t>Source: Q2 2023 Earnings Call
Date: 2023-08-08
Workbook tab: 34 2023Q2 Earnings
Digest label: “Amazon Energy Category Share (#2)”</t>
      </text>
    </comment>
    <comment ref="X44" authorId="0" shapeId="0">
      <text>
        <t>Source: Q4 2022 / FY2022 Earnings Call
Date: 2023-03-01
Workbook tab: 28 2022Q4 Earnings
Digest label: “Average Items Carried Per Store (MULOC)”</t>
      </text>
    </comment>
    <comment ref="N45" authorId="0" shapeId="0">
      <text>
        <t>Source: Q4 &amp; Full-Year 2020 Earnings Call
Date: 2021-03-11
Workbook tab: 12 2020Q4 Earnings
Digest label: “Q4 Basic Shares (M)”</t>
      </text>
    </comment>
    <comment ref="AP46" authorId="0" shapeId="0">
      <text>
        <t>Source: CELH Q1 2026 Earnings Call
Date: 2026-05-07
Workbook tab: 69 2026Q1 Earnings
Digest label: “Brand Celsius net sales”</t>
      </text>
    </comment>
    <comment ref="AK47" authorId="0" shapeId="0">
      <text>
        <t>Source: CELH Q2 2025 Earnings Call
Date: 2025-08-07
Workbook tab: 60 2025Q2 Earnings
Digest label: “Celsius brand”</t>
      </text>
    </comment>
    <comment ref="AO48" authorId="0" shapeId="0">
      <text>
        <t>Source: Full-Year 2025 and Fourth Quarter Financial Results Press Release
Date: 2026-02-26
Workbook tab: 66 2025Q4 Earnings PR
Digest label: “CELSIUS brand retail sales growth”</t>
      </text>
    </comment>
    <comment ref="AO49" authorId="0" shapeId="0">
      <text>
        <t>Source: Full-Year 2025 and Fourth Quarter Financial Results Press Release
Date: 2026-02-26
Workbook tab: 66 2025Q4 Earnings PR
Digest label: “CELSIUS brand revenue”</t>
      </text>
    </comment>
    <comment ref="AJ50" authorId="0" shapeId="0">
      <text>
        <t>Source: Q1 2025 Earnings Call
Date: 2025-05-06
Workbook tab: 55 2025Q1 Earnings
Digest label: “Celsius US tracked-channel dollar share”</t>
      </text>
    </comment>
    <comment ref="G51" authorId="0" shapeId="0">
      <text>
        <t>Source: Q1 2019 Earnings Call
Date: 2019-05-09
Workbook tab: 03 2019Q1 Earnings
Digest label: “China Note Interest Income Q1 2019 ($000)”</t>
      </text>
    </comment>
    <comment ref="V52" authorId="0" shapeId="0">
      <text>
        <t>Source: Q2 2022 Earnings Call
Date: 2022-08-09
Workbook tab: 26 2022Q2 Earnings
Digest label: “Club channel revenue ($M)”</t>
      </text>
    </comment>
    <comment ref="W53" authorId="0" shapeId="0">
      <text>
        <t>Source: Q3 2022 Earnings Call
Date: 2022-11-09
Workbook tab: 27 2022Q3 Earnings
Digest label: “Club channel sales ($M)”</t>
      </text>
    </comment>
    <comment ref="Y53" authorId="0" shapeId="0">
      <text>
        <t>Source: Q4 2022 / FY2022 Earnings Call
Date: 2023-03-01
Workbook tab: 28 2022Q4 Earnings
Digest label: “Club Channel Sales”</t>
      </text>
    </comment>
    <comment ref="AA53" authorId="0" shapeId="0">
      <text>
        <t>Source: Q2 2023 Earnings Call
Date: 2023-08-08
Workbook tab: 34 2023Q2 Earnings
Digest label: “Club Channel Sales”</t>
      </text>
    </comment>
    <comment ref="AC53" authorId="0" shapeId="0">
      <text>
        <t>Source: Q3 2023 Earnings Call
Date: 2023-11-07
Workbook tab: 37 2023Q3 Earnings
Digest label: “Club Channel Sales”</t>
      </text>
    </comment>
    <comment ref="AG53" authorId="0" shapeId="0">
      <text>
        <t>Source: Q1 2024 Earnings Call
Date: 2024-05-07
Workbook tab: 42 Q1 2024 Earnings
Digest label: “Club Channel Sales”</t>
      </text>
    </comment>
    <comment ref="AI54" authorId="0" shapeId="0">
      <text>
        <t>Source: Alani Nu Modeling Call (post-closing)
Date: 2025-05-28
Workbook tab: 57 Acquiring Alani Nu
Digest label: “Combined business RTD energy mix”</t>
      </text>
    </comment>
    <comment ref="AJ55" authorId="0" shapeId="0">
      <text>
        <t>Source: Q1 2025 Earnings Call
Date: 2025-05-06
Workbook tab: 55 2025Q1 Earnings
Digest label: “Combined portfolio dollar share”</t>
      </text>
    </comment>
    <comment ref="AO56" authorId="0" shapeId="0">
      <text>
        <t>Source: Full-Year 2025 and Fourth Quarter Financial Results Press Release
Date: 2026-02-26
Workbook tab: 66 2025Q4 Earnings PR
Digest label: “Contingent consideration”</t>
      </text>
    </comment>
    <comment ref="T57" authorId="0" shapeId="0">
      <text>
        <t>Source: Q4 2021 Earnings Call
Date: 2022-03-01
Workbook tab: 19 Q4 2021 Earnings
Digest label: “Convenience channel ACV”</t>
      </text>
    </comment>
    <comment ref="X57" authorId="0" shapeId="0">
      <text>
        <t>Source: Q4 2022 / FY2022 Earnings Call
Date: 2023-03-01
Workbook tab: 28 2022Q4 Earnings
Digest label: “Convenience ACV”</t>
      </text>
    </comment>
    <comment ref="AA57" authorId="0" shapeId="0">
      <text>
        <t>Reported in 2 transcripts (► = figure shown in cell):
► 94.9%  —  Q2 2023 Earnings Call (2023-08-08)
   tab: 34 2023Q2 Earnings  |  “Convenience Channel ACV”
• 73.0%  —  Q3 2023 Earnings Call (2023-11-07)
   tab: 37 2023Q3 Earnings  |  “Convenience ACV”</t>
      </text>
    </comment>
    <comment ref="V58" authorId="0" shapeId="0">
      <text>
        <t>Source: Q2 2022 Earnings Call
Date: 2022-08-09
Workbook tab: 26 2022Q2 Earnings
Digest label: “Convenience channel sales growth”</t>
      </text>
    </comment>
    <comment ref="W58" authorId="0" shapeId="0">
      <text>
        <t>Source: Q3 2022 Earnings Call
Date: 2022-11-09
Workbook tab: 27 2022Q3 Earnings
Digest label: “Convenience channel sales growth”</t>
      </text>
    </comment>
    <comment ref="V59" authorId="0" shapeId="0">
      <text>
        <t>Source: Q2 2022 Earnings Call
Date: 2022-08-09
Workbook tab: 26 2022Q2 Earnings
Digest label: “Convenience channel store locations”</t>
      </text>
    </comment>
    <comment ref="W59" authorId="0" shapeId="0">
      <text>
        <t>Source: Q3 2022 Earnings Call
Date: 2022-11-09
Workbook tab: 27 2022Q3 Earnings
Digest label: “Convenience store locations”</t>
      </text>
    </comment>
    <comment ref="T60" authorId="0" shapeId="0">
      <text>
        <t>Source: Q4 &amp; Full-Year 2020 Earnings Call
Date: 2021-03-11
Workbook tab: 12 2020Q4 Earnings
Digest label: “Cooler Rollout Phase 1”</t>
      </text>
    </comment>
    <comment ref="AJ61" authorId="0" shapeId="0">
      <text>
        <t>Source: Q1 2025 Earnings Call
Date: 2025-05-06
Workbook tab: 55 2025Q1 Earnings
Digest label: “Debt”</t>
      </text>
    </comment>
    <comment ref="Q62" authorId="0" shapeId="0">
      <text>
        <t>Source: Q2 2021 Earnings Call
Date: 2021-08-12
Workbook tab: 14 2021Q2 Earnings
Digest label: “Diluted EPS ($)”</t>
      </text>
    </comment>
    <comment ref="S62" authorId="0" shapeId="0">
      <text>
        <t>Source: Q3 2021 Earnings Call
Date: 2021-11-11
Workbook tab: 16 2021Q3 Earnings
Digest label: “Diluted EPS ($)”</t>
      </text>
    </comment>
    <comment ref="U62" authorId="0" shapeId="0">
      <text>
        <t>Reported in 2 transcripts (► = figure shown in cell):
► 0.09  —  Q1 2022 Earnings Call (2022-05-10)
   tab: 20 2022Q1 Earnings  |  “Diluted EPS ($)”
• 0.09  —  2022 Annual General Meeting (Annual Meeting of Shareholders) (2022-06-02)
   tab: 22 Annual Shareholder Mtg  |  “Diluted EPS ($)”</t>
      </text>
    </comment>
    <comment ref="V62" authorId="0" shapeId="0">
      <text>
        <t>Source: Q2 2022 Earnings Call
Date: 2022-08-09
Workbook tab: 26 2022Q2 Earnings
Digest label: “Diluted EPS ($)”</t>
      </text>
    </comment>
    <comment ref="AC62" authorId="0" shapeId="0">
      <text>
        <t>Source: Q3 2023 Earnings Call
Date: 2023-11-07
Workbook tab: 37 2023Q3 Earnings
Digest label: “Diluted EPS”</t>
      </text>
    </comment>
    <comment ref="AG62" authorId="0" shapeId="0">
      <text>
        <t>Source: Q1 2024 Earnings Call
Date: 2024-05-07
Workbook tab: 42 Q1 2024 Earnings
Digest label: “Diluted EPS”</t>
      </text>
    </comment>
    <comment ref="AJ62" authorId="0" shapeId="0">
      <text>
        <t>Source: Q1 2025 Earnings Call
Date: 2025-05-06
Workbook tab: 55 2025Q1 Earnings
Digest label: “GAAP Diluted EPS”</t>
      </text>
    </comment>
    <comment ref="AK62" authorId="0" shapeId="0">
      <text>
        <t>Source: CELH Q2 2025 Earnings Call
Date: 2025-08-07
Workbook tab: 60 2025Q2 Earnings
Digest label: “GAAP Diluted EPS”</t>
      </text>
    </comment>
    <comment ref="AO62" authorId="0" shapeId="0">
      <text>
        <t>Source: Full-Year 2025 and Fourth Quarter Financial Results Press Release
Date: 2026-02-26
Workbook tab: 66 2025Q4 Earnings PR
Digest label: “Diluted EPS (GAAP)”</t>
      </text>
    </comment>
    <comment ref="Y63" authorId="0" shapeId="0">
      <text>
        <t>Source: Celsius Holdings 2023 Annual General Meeting
Date: 2023-06-01
Workbook tab: 31 Annual General Meeting
Digest label: “Distribution Termination Expenses”</t>
      </text>
    </comment>
    <comment ref="AO64" authorId="0" shapeId="0">
      <text>
        <t>Source: Q4 2025 / FY2025 Earnings Call
Date: 2026-02-26
Workbook tab: 67 2025Q4 Earnings
Digest label: “Distributor termination &amp; integration adj”</t>
      </text>
    </comment>
    <comment ref="AN65" authorId="0" shapeId="0">
      <text>
        <t>Source: Full-Year 2025 and Fourth Quarter Financial Results Press Release
Date: 2026-02-26
Workbook tab: 66 2025Q4 Earnings PR
Digest label: “Distributor termination costs (Q4)”</t>
      </text>
    </comment>
    <comment ref="Q66" authorId="0" shapeId="0">
      <text>
        <t>Source: Q2 2021 Earnings Call
Date: 2021-08-12
Workbook tab: 14 2021Q2 Earnings
Digest label: “DPO (days)”</t>
      </text>
    </comment>
    <comment ref="U67" authorId="0" shapeId="0">
      <text>
        <t>Source: 2022 Annual General Meeting (Annual Meeting of Shareholders)
Date: 2022-06-02
Workbook tab: 22 Annual Shareholder Mtg
Digest label: “DSD distributor revenue growth”</t>
      </text>
    </comment>
    <comment ref="V68" authorId="0" shapeId="0">
      <text>
        <t>Source: Q2 2022 Earnings Call
Date: 2022-08-09
Workbook tab: 26 2022Q2 Earnings
Digest label: “DSD incremental revenue ($M)”</t>
      </text>
    </comment>
    <comment ref="V69" authorId="0" shapeId="0">
      <text>
        <t>Source: Q2 2022 Earnings Call
Date: 2022-08-09
Workbook tab: 26 2022Q2 Earnings
Digest label: “DSD network sales ($M)”</t>
      </text>
    </comment>
    <comment ref="T70" authorId="0" shapeId="0">
      <text>
        <t>Source: Q4 2021 Earnings Call
Date: 2022-03-01
Workbook tab: 19 Q4 2021 Earnings
Digest label: “DSD population coverage”</t>
      </text>
    </comment>
    <comment ref="T71" authorId="0" shapeId="0">
      <text>
        <t>Source: Q4 2021 Earnings Call
Date: 2022-03-01
Workbook tab: 19 Q4 2021 Earnings
Digest label: “DSD service centers”</t>
      </text>
    </comment>
    <comment ref="Q72" authorId="0" shapeId="0">
      <text>
        <t>Source: Q2 2021 Earnings Call
Date: 2021-08-12
Workbook tab: 14 2021Q2 Earnings
Digest label: “DSO (days)”</t>
      </text>
    </comment>
    <comment ref="AK73" authorId="0" shapeId="0">
      <text>
        <t>Source: CELH Q2 2025 Earnings Call
Date: 2025-08-07
Workbook tab: 60 2025Q2 Earnings
Digest label: “Earn-out contingent consideration charge”</t>
      </text>
    </comment>
    <comment ref="W74" authorId="0" shapeId="0">
      <text>
        <t>Source: Q3 2022 Earnings Call
Date: 2022-11-09
Workbook tab: 27 2022Q3 Earnings
Digest label: “Effective tax rate (9 months)”</t>
      </text>
    </comment>
    <comment ref="G75" authorId="0" shapeId="0">
      <text>
        <t>Source: Q1 2019 Earnings Call
Date: 2019-05-09
Workbook tab: 03 2019Q1 Earnings
Digest label: “EPS Q1 2019 ($)”</t>
      </text>
    </comment>
    <comment ref="I75" authorId="0" shapeId="0">
      <text>
        <t>Source: Q2 2019 Earnings Call
Date: 2019-08-08
Workbook tab: 04 2019Q2 Earnings
Digest label: “EPS H1 2019 ($)”</t>
      </text>
    </comment>
    <comment ref="M75" authorId="0" shapeId="0">
      <text>
        <t>Source: Q4 &amp; Full-Year 2019 Earnings Call
Date: 2020-03-12
Workbook tab: 06 2019Q4 Earnings
Digest label: “EPS FY2019 ($)”</t>
      </text>
    </comment>
    <comment ref="N75" authorId="0" shapeId="0">
      <text>
        <t>Source: Q4 &amp; Full-Year 2020 Earnings Call
Date: 2021-03-11
Workbook tab: 12 2020Q4 Earnings
Digest label: “EPS Q4 2020 ($)”</t>
      </text>
    </comment>
    <comment ref="J76" authorId="0" shapeId="0">
      <text>
        <t>Source: Q3 2019 Earnings Call
Date: 2019-11-07
Workbook tab: 05 2019Q3 Earnings
Digest label: “EPS Basic Q3 2019 ($)”</t>
      </text>
    </comment>
    <comment ref="K76" authorId="0" shapeId="0">
      <text>
        <t>Source: Q3 2019 Earnings Call
Date: 2019-11-07
Workbook tab: 05 2019Q3 Earnings
Digest label: “YTD EPS Basic 9M 2019 ($)”</t>
      </text>
    </comment>
    <comment ref="P77" authorId="0" shapeId="0">
      <text>
        <t>Source: Q1 2022 Earnings Call
Date: 2022-05-10
Workbook tab: 20 2022Q1 Earnings
Digest label: “Q1 Fill Rate”</t>
      </text>
    </comment>
    <comment ref="AJ78" authorId="0" shapeId="0">
      <text>
        <t>Source: Q1 2025 Earnings Call
Date: 2025-05-06
Workbook tab: 55 2025Q1 Earnings
Digest label: “Foodservice as % of NA sales (via PepsiCo)”</t>
      </text>
    </comment>
    <comment ref="AC79" authorId="0" shapeId="0">
      <text>
        <t>Source: Q3 2023 Earnings Call
Date: 2023-11-07
Workbook tab: 37 2023Q3 Earnings
Digest label: “YTD Freight (% of net revenues)”</t>
      </text>
    </comment>
    <comment ref="AM80" authorId="0" shapeId="0">
      <text>
        <t>Source: CELH Q3 2025 Earnings Call
Date: 2025-11-06
Workbook tab: 63 2025Q3 Earnings
Digest label: “Freight cost (Celsius brand) % of sales”</t>
      </text>
    </comment>
    <comment ref="N81" authorId="0" shapeId="0">
      <text>
        <t>Source: Q4 &amp; Full-Year 2020 Earnings Call
Date: 2021-03-11
Workbook tab: 12 2020Q4 Earnings
Digest label: “Full-Year EBITDA 2020 ($M)”</t>
      </text>
    </comment>
    <comment ref="N82" authorId="0" shapeId="0">
      <text>
        <t>Source: Q4 &amp; Full-Year 2020 Earnings Call
Date: 2021-03-11
Workbook tab: 12 2020Q4 Earnings
Digest label: “Full-Year Income 2020 ($M)”</t>
      </text>
    </comment>
    <comment ref="N83" authorId="0" shapeId="0">
      <text>
        <t>Source: Q4 &amp; Full-Year 2020 Earnings Call
Date: 2021-03-11
Workbook tab: 12 2020Q4 Earnings
Digest label: “Q4 Fully Diluted Shares (M)”</t>
      </text>
    </comment>
    <comment ref="U84" authorId="0" shapeId="0">
      <text>
        <t>Source: Q1 2022 Earnings Call
Date: 2022-05-10
Workbook tab: 20 2022Q1 Earnings
Digest label: “G&amp;A % of Revenue”</t>
      </text>
    </comment>
    <comment ref="V84" authorId="0" shapeId="0">
      <text>
        <t>Source: Q2 2022 Earnings Call
Date: 2022-08-09
Workbook tab: 26 2022Q2 Earnings
Digest label: “G&amp;A (% of revenue)”</t>
      </text>
    </comment>
    <comment ref="W84" authorId="0" shapeId="0">
      <text>
        <t>Source: Q3 2022 Earnings Call
Date: 2022-11-09
Workbook tab: 27 2022Q3 Earnings
Digest label: “G&amp;A (% of revenue)”</t>
      </text>
    </comment>
    <comment ref="Z84" authorId="0" shapeId="0">
      <text>
        <t>Source: Celsius Holdings Q1 2023 Earnings Call
Date: 2023-05-09
Workbook tab: 29 2023Q1 Earnings
Digest label: “G&amp;A % of Sales”</t>
      </text>
    </comment>
    <comment ref="AA84" authorId="0" shapeId="0">
      <text>
        <t>Source: Q2 2023 Earnings Call
Date: 2023-08-08
Workbook tab: 34 2023Q2 Earnings
Digest label: “G&amp;A (% of sales)”</t>
      </text>
    </comment>
    <comment ref="AC84" authorId="0" shapeId="0">
      <text>
        <t>Source: Q3 2023 Earnings Call
Date: 2023-11-07
Workbook tab: 37 2023Q3 Earnings
Digest label: “G&amp;A (% of sales)”</t>
      </text>
    </comment>
    <comment ref="AE84" authorId="0" shapeId="0">
      <text>
        <t>Source: Celsius Holdings Q4 2023 Earnings Call
Date: 2024-02-29
Workbook tab: 40 2023Q4 Earnings
Digest label: “G&amp;A % of Sales”</t>
      </text>
    </comment>
    <comment ref="AF84" authorId="0" shapeId="0">
      <text>
        <t>Source: Celsius Holdings Q4 2023 Earnings Call
Date: 2024-02-29
Workbook tab: 40 2023Q4 Earnings
Digest label: “G&amp;A % of Sales”</t>
      </text>
    </comment>
    <comment ref="AG84" authorId="0" shapeId="0">
      <text>
        <t>Source: Q1 2024 Earnings Call
Date: 2024-05-07
Workbook tab: 42 Q1 2024 Earnings
Digest label: “G&amp;A (% of Sales)”</t>
      </text>
    </comment>
    <comment ref="AI84" authorId="0" shapeId="0">
      <text>
        <t>Source: Q4 2024 Earnings Call
Date: 2025-02-20
Workbook tab: 51 2024Q4 Earnings
Digest label: “G&amp;A (% of sales)”</t>
      </text>
    </comment>
    <comment ref="AK84" authorId="0" shapeId="0">
      <text>
        <t>Source: CELH Q2 2025 Earnings Call
Date: 2025-08-07
Workbook tab: 60 2025Q2 Earnings
Digest label: “G&amp;A % of revenue”</t>
      </text>
    </comment>
    <comment ref="AM85" authorId="0" shapeId="0">
      <text>
        <t>Source: CELH Q3 2025 Earnings Call
Date: 2025-11-06
Workbook tab: 63 2025Q3 Earnings
Digest label: “G&amp;A % of sales (ex-acquisition costs)”</t>
      </text>
    </comment>
    <comment ref="AJ86" authorId="0" shapeId="0">
      <text>
        <t>Source: Q1 2025 Earnings Call
Date: 2025-05-06
Workbook tab: 55 2025Q1 Earnings
Digest label: “Gap (promos/incentives + non-DSD timing)”</t>
      </text>
    </comment>
    <comment ref="AA87" authorId="0" shapeId="0">
      <text>
        <t>Source: Stephens Annual Investment Conference
Date: 2023-11-15
Workbook tab: 38 Stephens Conf 2023-11
Digest label: “Gross Margin Aspiration”</t>
      </text>
    </comment>
    <comment ref="AK88" authorId="0" shapeId="0">
      <text>
        <t>Source: CELH Q2 2025 Earnings Call
Date: 2025-08-07
Workbook tab: 60 2025Q2 Earnings
Digest label: “Gross Margin ex inventory step-up”</t>
      </text>
    </comment>
    <comment ref="W89" authorId="0" shapeId="0">
      <text>
        <t>Source: Q3 2022 Earnings Call
Date: 2022-11-09
Workbook tab: 27 2022Q3 Earnings
Digest label: “Gross margin sequential change (vs Q2)”</t>
      </text>
    </comment>
    <comment ref="AA90" authorId="0" shapeId="0">
      <text>
        <t>Source: Q3 2023 Earnings Call
Date: 2023-11-07
Workbook tab: 37 2023Q3 Earnings
Digest label: “Household Penetration”</t>
      </text>
    </comment>
    <comment ref="AO91" authorId="0" shapeId="0">
      <text>
        <t>Source: UBS Global Consumer and Retail Conference
Date: 2025-03-12
Workbook tab: 53 UBS Conf 2025-03-12
Digest label: “Incremental Cooler Placement”</t>
      </text>
    </comment>
    <comment ref="AI92" authorId="0" shapeId="0">
      <text>
        <t>Source: Barclays Global Consumer Staples Conference
Date: 2023-09-07
Workbook tab: 35 Barclays Conf 2023-09
Digest label: “International Cadence”</t>
      </text>
    </comment>
    <comment ref="AG93" authorId="0" shapeId="0">
      <text>
        <t>Source: Q1 2024 Earnings Call
Date: 2024-05-07
Workbook tab: 42 Q1 2024 Earnings
Digest label: “International Revenue (ex-Canada)”</t>
      </text>
    </comment>
    <comment ref="Q94" authorId="0" shapeId="0">
      <text>
        <t>Source: Q2 2021 Earnings Call
Date: 2021-08-12
Workbook tab: 14 2021Q2 Earnings
Digest label: “Inventory Days on Hand”</t>
      </text>
    </comment>
    <comment ref="S95" authorId="0" shapeId="0">
      <text>
        <t>Source: Q3 2021 Earnings Call
Date: 2021-11-11
Workbook tab: 16 2021Q3 Earnings
Digest label: “Inventory Increase (9M)”</t>
      </text>
    </comment>
    <comment ref="AN96" authorId="0" shapeId="0">
      <text>
        <t>Source: Full-Year 2025 and Fourth Quarter Financial Results Press Release
Date: 2026-02-26
Workbook tab: 66 2025Q4 Earnings PR
Digest label: “Inventory valuation step-up (non-cash, FY)”</t>
      </text>
    </comment>
    <comment ref="Q97" authorId="0" shapeId="0">
      <text>
        <t>Source: Q2 2021 Earnings Call
Date: 2021-08-12
Workbook tab: 14 2021Q2 Earnings
Digest label: “June 9 Offering Net Proceeds (to Company)”</t>
      </text>
    </comment>
    <comment ref="AO98" authorId="0" shapeId="0">
      <text>
        <t>Source: Full-Year 2025 and Fourth Quarter Financial Results Press Release
Date: 2026-02-26
Workbook tab: 66 2025Q4 Earnings PR
Digest label: “Long-term debt”</t>
      </text>
    </comment>
    <comment ref="AA99" authorId="0" shapeId="0">
      <text>
        <t>Reported in 2 transcripts (► = figure shown in cell):
► 96.8%  —  Q2 2023 Earnings Call (2023-08-08)
   tab: 34 2023Q2 Earnings  |  “MULOC ACV”
• 72.1%  —  Q3 2023 Earnings Call (2023-11-07)
   tab: 37 2023Q3 Earnings  |  “MULOC ACV”</t>
      </text>
    </comment>
    <comment ref="AC100" authorId="0" shapeId="0">
      <text>
        <t>Source: Q3 2023 Earnings Call
Date: 2023-11-07
Workbook tab: 37 2023Q3 Earnings
Digest label: “MULOC Energy Market Share (#3)”</t>
      </text>
    </comment>
    <comment ref="W101" authorId="0" shapeId="0">
      <text>
        <t>Source: Q3 2022 Earnings Call
Date: 2022-11-09
Workbook tab: 27 2022Q3 Earnings
Digest label: “MULOC locations serviced by DSD”</t>
      </text>
    </comment>
    <comment ref="AA102" authorId="0" shapeId="0">
      <text>
        <t>Source: Q2 2023 Earnings Call
Date: 2023-08-08
Workbook tab: 34 2023Q2 Earnings
Digest label: “MULOC Total Energy Share (#3 brand)”</t>
      </text>
    </comment>
    <comment ref="E103" authorId="0" shapeId="0">
      <text>
        <t>Source: Q4 &amp; Full-Year 2018 Earnings Call
Date: 2019-03-14
Workbook tab: 02 2018Q4 Earnings
Digest label: “Net Adj EBITDA ex one-time/China Q4 ($M)”</t>
      </text>
    </comment>
    <comment ref="AN104" authorId="0" shapeId="0">
      <text>
        <t>Source: Q4 2025 / FY2025 Earnings Call
Date: 2026-02-26
Workbook tab: 67 2025Q4 Earnings
Digest label: “Net benefit (Celsius + Alani load-in)”</t>
      </text>
    </comment>
    <comment ref="Q105" authorId="0" shapeId="0">
      <text>
        <t>Source: Q2 2021 Earnings Call
Date: 2021-08-12
Workbook tab: 14 2021Q2 Earnings
Digest label: “Net Inventory”</t>
      </text>
    </comment>
    <comment ref="T105" authorId="0" shapeId="0">
      <text>
        <t>Source: Q4 2021 Earnings Call
Date: 2022-03-01
Workbook tab: 19 Q4 2021 Earnings
Digest label: “Net Inventory”</t>
      </text>
    </comment>
    <comment ref="C106" authorId="0" shapeId="0">
      <text>
        <t>Source: Q3 2018 Earnings Call
Date: 2018-11-09
Workbook tab: 01 2018Q3 Earnings
Digest label: “Net Loss Per Share Q3 2018 ($)”</t>
      </text>
    </comment>
    <comment ref="D106" authorId="0" shapeId="0">
      <text>
        <t>Source: Q3 2018 Earnings Call
Date: 2018-11-09
Workbook tab: 01 2018Q3 Earnings
Digest label: “Net Loss Per Share 9M 2018 ($)”</t>
      </text>
    </comment>
    <comment ref="E106" authorId="0" shapeId="0">
      <text>
        <t>Source: Q4 &amp; Full-Year 2018 Earnings Call
Date: 2019-03-14
Workbook tab: 02 2018Q4 Earnings
Digest label: “Net Loss Per Share Q4 2018 ($)”</t>
      </text>
    </comment>
    <comment ref="F106" authorId="0" shapeId="0">
      <text>
        <t>Source: Q4 &amp; Full-Year 2018 Earnings Call
Date: 2019-03-14
Workbook tab: 02 2018Q4 Earnings
Digest label: “Net Loss Per Share FY2018 ($)”</t>
      </text>
    </comment>
    <comment ref="H106" authorId="0" shapeId="0">
      <text>
        <t>Source: Q2 2019 Earnings Call
Date: 2019-08-08
Workbook tab: 04 2019Q2 Earnings
Digest label: “Net Loss Per Share Q2 2019 ($)”</t>
      </text>
    </comment>
    <comment ref="L106" authorId="0" shapeId="0">
      <text>
        <t>Source: Q4 &amp; Full-Year 2019 Earnings Call
Date: 2020-03-12
Workbook tab: 06 2019Q4 Earnings
Digest label: “Net Loss Per Share Q4 2019 ($)”</t>
      </text>
    </comment>
    <comment ref="S107" authorId="0" shapeId="0">
      <text>
        <t>Source: Q3 2021 Earnings Call
Date: 2021-11-11
Workbook tab: 16 2021Q3 Earnings
Digest label: “Normalized Gross Margin (ex one-time)”</t>
      </text>
    </comment>
    <comment ref="Q108" authorId="0" shapeId="0">
      <text>
        <t>Source: Q2 2021 Earnings Call
Date: 2021-08-12
Workbook tab: 14 2021Q2 Earnings
Digest label: “Op. Cash Flow ex-inventory build (6M)”</t>
      </text>
    </comment>
    <comment ref="N109" authorId="0" shapeId="0">
      <text>
        <t>Source: Q4 &amp; Full-Year 2020 Earnings Call
Date: 2021-03-11
Workbook tab: 12 2020Q4 Earnings
Digest label: “Operational G&amp;A ex-stock-comp/D&amp;A (% of rev)”</t>
      </text>
    </comment>
    <comment ref="I110" authorId="0" shapeId="0">
      <text>
        <t>Source: Q2 2019 Earnings Call
Date: 2019-08-08
Workbook tab: 04 2019Q2 Earnings
Digest label: “Other Income H1 2019 ($M)”</t>
      </text>
    </comment>
    <comment ref="AO110" authorId="0" shapeId="0">
      <text>
        <t>Source: Q4 2025 / FY2025 Earnings Call
Date: 2026-02-26
Workbook tab: 67 2025Q4 Earnings
Digest label: “Other Income”</t>
      </text>
    </comment>
    <comment ref="Q111" authorId="0" shapeId="0">
      <text>
        <t>Source: Q2 2021 Earnings Call
Date: 2021-08-12
Workbook tab: 14 2021Q2 Earnings
Digest label: “Other International”</t>
      </text>
    </comment>
    <comment ref="S111" authorId="0" shapeId="0">
      <text>
        <t>Source: Q3 2021 Earnings Call
Date: 2021-11-11
Workbook tab: 16 2021Q3 Earnings
Digest label: “Other International”</t>
      </text>
    </comment>
    <comment ref="T111" authorId="0" shapeId="0">
      <text>
        <t>Source: Q4 2021 Earnings Call
Date: 2022-03-01
Workbook tab: 19 Q4 2021 Earnings
Digest label: “Other international markets”</t>
      </text>
    </comment>
    <comment ref="U111" authorId="0" shapeId="0">
      <text>
        <t>Source: Q1 2022 Earnings Call
Date: 2022-05-10
Workbook tab: 20 2022Q1 Earnings
Digest label: “Other International Markets”</t>
      </text>
    </comment>
    <comment ref="AO112" authorId="0" shapeId="0">
      <text>
        <t>Source: Full-Year 2025 and Fourth Quarter Financial Results Press Release
Date: 2026-02-26
Workbook tab: 66 2025Q4 Earnings PR
Digest label: “Portfolio retail sales growth”</t>
      </text>
    </comment>
    <comment ref="S113" authorId="0" shapeId="0">
      <text>
        <t>Source: Q3 2021 Earnings Call
Date: 2021-11-11
Workbook tab: 16 2021Q3 Earnings
Digest label: “Prepaids tied to raw materials”</t>
      </text>
    </comment>
    <comment ref="AK114" authorId="0" shapeId="0">
      <text>
        <t>Source: Q4 2024 Earnings Call
Date: 2025-02-20
Workbook tab: 51 2024Q4 Earnings
Digest label: “Pro-Forma Net Leverage”</t>
      </text>
    </comment>
    <comment ref="AI115" authorId="0" shapeId="0">
      <text>
        <t>Source: Alani Nu Modeling Call (post-closing)
Date: 2025-05-28
Workbook tab: 57 Acquiring Alani Nu
Digest label: “Protein shakes share of 2024 sales”</t>
      </text>
    </comment>
    <comment ref="AK116" authorId="0" shapeId="0">
      <text>
        <t>Source: CELH Q2 2025 Earnings Call
Date: 2025-08-07
Workbook tab: 60 2025Q2 Earnings
Digest label: “Purchase accounting inventory step-up”</t>
      </text>
    </comment>
    <comment ref="V117" authorId="0" shapeId="0">
      <text>
        <t>Source: Q2 2022 Earnings Call
Date: 2022-08-09
Workbook tab: 26 2022Q2 Earnings
Digest label: “Quarter growth”</t>
      </text>
    </comment>
    <comment ref="X117" authorId="0" shapeId="0">
      <text>
        <t>Source: Q3 2022 Earnings Call
Date: 2022-11-09
Workbook tab: 27 2022Q3 Earnings
Digest label: “Quarter growth”</t>
      </text>
    </comment>
    <comment ref="AO118" authorId="0" shapeId="0">
      <text>
        <t>Source: Full-Year 2025 and Fourth Quarter Financial Results Press Release
Date: 2026-02-26
Workbook tab: 66 2025Q4 Earnings PR
Digest label: “Restricted cash”</t>
      </text>
    </comment>
    <comment ref="AI119" authorId="0" shapeId="0">
      <text>
        <t>Source: Q4 2024 Earnings Call
Date: 2025-02-20
Workbook tab: 51 2024Q4 Earnings
Digest label: “Retail Sales Growth”</t>
      </text>
    </comment>
    <comment ref="AI120" authorId="0" shapeId="0">
      <text>
        <t>Source: Alani Nu Modeling Call (post-closing)
Date: 2025-05-28
Workbook tab: 57 Acquiring Alani Nu
Digest label: “Revenue CAGR (2022-2024)”</t>
      </text>
    </comment>
    <comment ref="AM121" authorId="0" shapeId="0">
      <text>
        <t>Source: CELH Q3 2025 Earnings Call
Date: 2025-11-06
Workbook tab: 63 2025Q3 Earnings
Digest label: “Rockstar combined Q3 impact ($M)”</t>
      </text>
    </comment>
    <comment ref="AO122" authorId="0" shapeId="0">
      <text>
        <t>Source: Full-Year 2025 and Fourth Quarter Financial Results Press Release
Date: 2026-02-26
Workbook tab: 66 2025Q4 Earnings PR
Digest label: “Rockstar Energy retail sales growth”</t>
      </text>
    </comment>
    <comment ref="AO123" authorId="0" shapeId="0">
      <text>
        <t>Source: Full-Year 2025 and Fourth Quarter Financial Results Press Release
Date: 2026-02-26
Workbook tab: 66 2025Q4 Earnings PR
Digest label: “Rockstar Energy revenue”</t>
      </text>
    </comment>
    <comment ref="AP124" authorId="0" shapeId="0">
      <text>
        <t>Source: CELH Q1 2026 Earnings Call
Date: 2026-05-07
Workbook tab: 69 2026Q1 Earnings
Digest label: “Rockstar net sales”</t>
      </text>
    </comment>
    <comment ref="AM125" authorId="0" shapeId="0">
      <text>
        <t>Source: CELH Q3 2025 Earnings Call
Date: 2025-11-06
Workbook tab: 63 2025Q3 Earnings
Digest label: “Rockstar other-income GAAP portion ($M)”</t>
      </text>
    </comment>
    <comment ref="AM126" authorId="0" shapeId="0">
      <text>
        <t>Source: CELH Q3 2025 Earnings Call
Date: 2025-11-06
Workbook tab: 63 2025Q3 Earnings
Digest label: “Rockstar revenue (first month under ownership, $M)”</t>
      </text>
    </comment>
    <comment ref="AQ127" authorId="0" shapeId="0">
      <text>
        <t>Source: CELH Morgan Stanley Global Consumer &amp; Retail Conference
Date: 2025-12-03
Workbook tab: 64 Morgan Stanley 2025-12
Digest label: “Rockstar FY2026 run rate”</t>
      </text>
    </comment>
    <comment ref="AI128" authorId="0" shapeId="0">
      <text>
        <t>Source: Alani Nu Modeling Call (post-closing)
Date: 2025-05-28
Workbook tab: 57 Acquiring Alani Nu
Digest label: “RTD energy share of 2024 sales”</t>
      </text>
    </comment>
    <comment ref="Q129" authorId="0" shapeId="0">
      <text>
        <t>Source: Q2 2021 Earnings Call
Date: 2021-08-12
Workbook tab: 14 2021Q2 Earnings
Digest label: “S&amp;M % of Revenue”</t>
      </text>
    </comment>
    <comment ref="S129" authorId="0" shapeId="0">
      <text>
        <t>Source: Q3 2021 Earnings Call
Date: 2021-11-11
Workbook tab: 16 2021Q3 Earnings
Digest label: “S&amp;M % of Revenue”</t>
      </text>
    </comment>
    <comment ref="U129" authorId="0" shapeId="0">
      <text>
        <t>Source: Q1 2022 Earnings Call
Date: 2022-05-10
Workbook tab: 20 2022Q1 Earnings
Digest label: “S&amp;M % of Revenue”</t>
      </text>
    </comment>
    <comment ref="V129" authorId="0" shapeId="0">
      <text>
        <t>Source: Q2 2022 Earnings Call
Date: 2022-08-09
Workbook tab: 26 2022Q2 Earnings
Digest label: “Sales &amp; marketing (% of revenue)”</t>
      </text>
    </comment>
    <comment ref="Z129" authorId="0" shapeId="0">
      <text>
        <t>Source: Celsius Holdings Q1 2023 Earnings Call
Date: 2023-05-09
Workbook tab: 29 2023Q1 Earnings
Digest label: “S&amp;M % of Sales”</t>
      </text>
    </comment>
    <comment ref="AA129" authorId="0" shapeId="0">
      <text>
        <t>Source: Q2 2023 Earnings Call
Date: 2023-08-08
Workbook tab: 34 2023Q2 Earnings
Digest label: “Sales &amp; Marketing (% of sales)”</t>
      </text>
    </comment>
    <comment ref="AC129" authorId="0" shapeId="0">
      <text>
        <t>Source: Q3 2023 Earnings Call
Date: 2023-11-07
Workbook tab: 37 2023Q3 Earnings
Digest label: “Sales &amp; Marketing (% of sales)”</t>
      </text>
    </comment>
    <comment ref="AE129" authorId="0" shapeId="0">
      <text>
        <t>Source: Celsius Holdings Q4 2023 Earnings Call
Date: 2024-02-29
Workbook tab: 40 2023Q4 Earnings
Digest label: “S&amp;M % of Sales”</t>
      </text>
    </comment>
    <comment ref="AF129" authorId="0" shapeId="0">
      <text>
        <t>Source: Celsius Holdings Q4 2023 Earnings Call
Date: 2024-02-29
Workbook tab: 40 2023Q4 Earnings
Digest label: “S&amp;M % of Sales”</t>
      </text>
    </comment>
    <comment ref="AG129" authorId="0" shapeId="0">
      <text>
        <t>Source: Q1 2024 Earnings Call
Date: 2024-05-07
Workbook tab: 42 Q1 2024 Earnings
Digest label: “Sales &amp; Marketing (% of Revenue)”</t>
      </text>
    </comment>
    <comment ref="AI129" authorId="0" shapeId="0">
      <text>
        <t>Reported in 2 transcripts (► = figure shown in cell):
• 2024  —  Morgan Stanley Conference (2024-12-03)
   tab: 50 Morgan Stanley Conf  |  “Sales &amp; marketing as % of revenue”
► 25.9%  —  Q4 2024 Earnings Call (2025-02-20)
   tab: 51 2024Q4 Earnings  |  “Sales &amp; Marketing (% of sales)”</t>
      </text>
    </comment>
    <comment ref="AK129" authorId="0" shapeId="0">
      <text>
        <t>Source: CELH Q2 2025 Earnings Call
Date: 2025-08-07
Workbook tab: 60 2025Q2 Earnings
Digest label: “S&amp;M % of revenue”</t>
      </text>
    </comment>
    <comment ref="AM129" authorId="0" shapeId="0">
      <text>
        <t>Source: CELH Q3 2025 Earnings Call
Date: 2025-11-06
Workbook tab: 63 2025Q3 Earnings
Digest label: “S&amp;M Expense % of sales”</t>
      </text>
    </comment>
    <comment ref="AJ130" authorId="0" shapeId="0">
      <text>
        <t>Source: Q1 2025 Earnings Call
Date: 2025-05-06
Workbook tab: 55 2025Q1 Earnings
Digest label: “Scanner data trend”</t>
      </text>
    </comment>
    <comment ref="AC131" authorId="0" shapeId="0">
      <text>
        <t>Source: Q3 2023 Earnings Call
Date: 2023-11-07
Workbook tab: 37 2023Q3 Earnings
Digest label: “Sequential Gross Margin Improvement (vs Q2)”</t>
      </text>
    </comment>
    <comment ref="U132" authorId="0" shapeId="0">
      <text>
        <t>Source: Q2 2022 Earnings Call
Date: 2022-08-09
Workbook tab: 26 2022Q2 Earnings
Digest label: “Sequential revenue growth (vs Q1 2022)”</t>
      </text>
    </comment>
    <comment ref="AC133" authorId="0" shapeId="0">
      <text>
        <t>Source: Q3 2023 Earnings Call
Date: 2023-11-07
Workbook tab: 37 2023Q3 Earnings
Digest label: “Sequential Revenue Growth (vs Q2)”</t>
      </text>
    </comment>
    <comment ref="AO134" authorId="0" shapeId="0">
      <text>
        <t>Source: Full-Year 2025 and Fourth Quarter Financial Results Press Release
Date: 2026-02-26
Workbook tab: 66 2025Q4 Earnings PR
Digest label: “Series B convertible preferred stock (newly issued)”</t>
      </text>
    </comment>
    <comment ref="AH135" authorId="0" shapeId="0">
      <text>
        <t>Source: Q4 2024 Earnings Call
Date: 2025-02-20
Workbook tab: 51 2024Q4 Earnings
Digest label: “SG&amp;A”</t>
      </text>
    </comment>
    <comment ref="AJ135" authorId="0" shapeId="0">
      <text>
        <t>Source: Q1 2025 Earnings Call
Date: 2025-05-06
Workbook tab: 55 2025Q1 Earnings
Digest label: “SG&amp;A Expense”</t>
      </text>
    </comment>
    <comment ref="Q136" authorId="0" shapeId="0">
      <text>
        <t>Source: Q2 2021 Earnings Call
Date: 2021-08-12
Workbook tab: 14 2021Q2 Earnings
Digest label: “Stock Option Expense”</t>
      </text>
    </comment>
    <comment ref="S136" authorId="0" shapeId="0">
      <text>
        <t>Source: Q3 2021 Earnings Call
Date: 2021-11-11
Workbook tab: 16 2021Q3 Earnings
Digest label: “Stock Option Expense”</t>
      </text>
    </comment>
    <comment ref="AO137" authorId="0" shapeId="0">
      <text>
        <t>Source: UBS Global Consumer and Retail Conference
Date: 2025-03-12
Workbook tab: 53 UBS Conf 2025-03-12
Digest label: “Subway Distribution Opportunity”</t>
      </text>
    </comment>
    <comment ref="AO138" authorId="0" shapeId="0">
      <text>
        <t>Source: Full-Year 2025 and Fourth Quarter Financial Results Press Release
Date: 2026-02-26
Workbook tab: 66 2025Q4 Earnings PR
Digest label: “Total assets”</t>
      </text>
    </comment>
    <comment ref="S139" authorId="0" shapeId="0">
      <text>
        <t>Source: Q3 2021 Earnings Call
Date: 2021-11-11
Workbook tab: 16 2021Q3 Earnings
Digest label: “Total Net Other Expense”</t>
      </text>
    </comment>
    <comment ref="Q140" authorId="0" shapeId="0">
      <text>
        <t>Source: Q2 2021 Earnings Call
Date: 2021-08-12
Workbook tab: 14 2021Q2 Earnings
Digest label: “Total Net Other Income”</t>
      </text>
    </comment>
    <comment ref="N141" authorId="0" shapeId="0">
      <text>
        <t>Source: Q4 &amp; Full-Year 2020 Earnings Call
Date: 2021-03-11
Workbook tab: 12 2020Q4 Earnings
Digest label: “Total Other Income Q4 2020 ($M)”</t>
      </text>
    </comment>
    <comment ref="G142" authorId="0" shapeId="0">
      <text>
        <t>Source: Q1 2019 Earnings Call
Date: 2019-05-09
Workbook tab: 03 2019Q1 Earnings
Digest label: “Total Other Income Increase ($M)”</t>
      </text>
    </comment>
    <comment ref="AA143" authorId="0" shapeId="0">
      <text>
        <t>Source: Q2 2023 Earnings Call
Date: 2023-08-08
Workbook tab: 34 2023Q2 Earnings
Digest label: “US Spacings (MULOC, 4 wks)”</t>
      </text>
    </comment>
    <comment ref="T144" authorId="0" shapeId="0">
      <text>
        <t>Source: Q4 2021 Earnings Call
Date: 2022-03-01
Workbook tab: 19 Q4 2021 Earnings
Digest label: “US store count”</t>
      </text>
    </comment>
    <comment ref="W144" authorId="0" shapeId="0">
      <text>
        <t>Source: Q3 2022 Earnings Call
Date: 2022-11-09
Workbook tab: 27 2022Q3 Earnings
Digest label: “US store count”</t>
      </text>
    </comment>
    <comment ref="X144" authorId="0" shapeId="0">
      <text>
        <t>Source: Q4 2022 / FY2022 Earnings Call
Date: 2023-03-01
Workbook tab: 28 2022Q4 Earnings
Digest label: “US Store Count”</t>
      </text>
    </comment>
    <comment ref="V145" authorId="0" shapeId="0">
      <text>
        <t>Source: Q2 2022 Earnings Call
Date: 2022-08-09
Workbook tab: 26 2022Q2 Earnings
Digest label: “US total door count”</t>
      </text>
    </comment>
    <comment ref="V146" authorId="0" shapeId="0">
      <text>
        <t>Source: Q2 2022 Earnings Call
Date: 2022-08-09
Workbook tab: 26 2022Q2 Earnings
Digest label: “Vending / foodservice revenue ($M)”</t>
      </text>
    </comment>
    <comment ref="AI147" authorId="0" shapeId="0">
      <text>
        <t>Source: Q4 2024 Earnings Call
Date: 2025-02-20
Workbook tab: 51 2024Q4 Earnings
Digest label: “Volume Growth”</t>
      </text>
    </comment>
    <comment ref="V148" authorId="0" shapeId="0">
      <text>
        <t>Source: Q2 2022 Earnings Call
Date: 2022-08-09
Workbook tab: 26 2022Q2 Earnings
Digest label: “Walmart sales growth”</t>
      </text>
    </comment>
    <comment ref="G149" authorId="0" shapeId="0">
      <text>
        <t>Source: Q1 2019 Earnings Call
Date: 2019-05-09
Workbook tab: 03 2019Q1 Earnings
Digest label: “Weighted Avg Shares Outstanding (M)”</t>
      </text>
    </comment>
    <comment ref="H150" authorId="0" shapeId="0">
      <text>
        <t>Source: Q2 2019 Earnings Call
Date: 2019-08-08
Workbook tab: 04 2019Q2 Earnings
Digest label: “Weighted Avg Shares Outstanding Q2 (M)”</t>
      </text>
    </comment>
    <comment ref="J151" authorId="0" shapeId="0">
      <text>
        <t>Source: Q3 2019 Earnings Call
Date: 2019-11-07
Workbook tab: 05 2019Q3 Earnings
Digest label: “Weighted Avg Shares Q3 (M)”</t>
      </text>
    </comment>
  </commentList>
</comments>
</file>

<file path=xl/comments/comment2.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sidian://adv-uri?vault=Brain&amp;filepath=Sources/CELH/2018-Q3/transcripts/CELH_2018-11-09_2018Q3%20Earnings.md&amp;line=150" TargetMode="External" Id="rId1"/><Relationship Type="http://schemas.openxmlformats.org/officeDocument/2006/relationships/hyperlink" Target="obsidian://adv-uri?vault=Brain&amp;filepath=Sources/CELH/2018-Q3/transcripts/CELH_2018-11-09_2018Q3%20Earnings.md&amp;line=210" TargetMode="External" Id="rId2"/><Relationship Type="http://schemas.openxmlformats.org/officeDocument/2006/relationships/hyperlink" Target="obsidian://adv-uri?vault=Brain&amp;filepath=Sources/CELH/2018-FY/transcripts/CELH_2019-03-14_2018Q4%20Earnings.md&amp;line=181" TargetMode="External" Id="rId3"/><Relationship Type="http://schemas.openxmlformats.org/officeDocument/2006/relationships/hyperlink" Target="obsidian://adv-uri?vault=Brain&amp;filepath=Sources/CELH/2018-FY/transcripts/CELH_2019-03-14_2018Q4%20Earnings.md&amp;line=168" TargetMode="External" Id="rId4"/><Relationship Type="http://schemas.openxmlformats.org/officeDocument/2006/relationships/hyperlink" Target="obsidian://adv-uri?vault=Brain&amp;filepath=Sources/CELH/2019-Q1/transcripts/CELH_2019-05-09_2019Q1%20Earnings.md&amp;line=154" TargetMode="External" Id="rId5"/><Relationship Type="http://schemas.openxmlformats.org/officeDocument/2006/relationships/hyperlink" Target="obsidian://adv-uri?vault=Brain&amp;filepath=Sources/CELH/2019-Q2/transcripts/CELH_2019-08-08_2019Q2%20Earnings.md&amp;line=155" TargetMode="External" Id="rId6"/><Relationship Type="http://schemas.openxmlformats.org/officeDocument/2006/relationships/hyperlink" Target="obsidian://adv-uri?vault=Brain&amp;filepath=Sources/CELH/2019-Q2/transcripts/CELH_2019-08-08_2019Q2%20Earnings.md&amp;line=150" TargetMode="External" Id="rId7"/><Relationship Type="http://schemas.openxmlformats.org/officeDocument/2006/relationships/hyperlink" Target="obsidian://adv-uri?vault=Brain&amp;filepath=Sources/CELH/2019-Q3/transcripts/CELH_2019-11-07_2019Q3%20Earnings.md&amp;line=117" TargetMode="External" Id="rId8"/><Relationship Type="http://schemas.openxmlformats.org/officeDocument/2006/relationships/hyperlink" Target="obsidian://adv-uri?vault=Brain&amp;filepath=Sources/CELH/2019-Q3/transcripts/CELH_2019-11-07_2019Q3%20Earnings.md&amp;line=135" TargetMode="External" Id="rId9"/><Relationship Type="http://schemas.openxmlformats.org/officeDocument/2006/relationships/hyperlink" Target="obsidian://adv-uri?vault=Brain&amp;filepath=Sources/CELH/2019-FY/transcripts/CELH_2020-03-12_2019Q4%20Earnings.md&amp;line=123" TargetMode="External" Id="rId10"/><Relationship Type="http://schemas.openxmlformats.org/officeDocument/2006/relationships/hyperlink" Target="obsidian://adv-uri?vault=Brain&amp;filepath=Sources/CELH/2019-FY/transcripts/CELH_2020-03-12_2019Q4%20Earnings.md&amp;line=118" TargetMode="External" Id="rId11"/><Relationship Type="http://schemas.openxmlformats.org/officeDocument/2006/relationships/hyperlink" Target="obsidian://adv-uri?vault=Brain&amp;filepath=Sources/CELH/2020-FY/transcripts/CELH_2021-03-11_2020Q4%20Earnings.md&amp;line=123" TargetMode="External" Id="rId12"/><Relationship Type="http://schemas.openxmlformats.org/officeDocument/2006/relationships/hyperlink" Target="obsidian://adv-uri?vault=Brain&amp;filepath=Sources/CELH/2021-Q2/transcripts/CELH_2021-08-12_2021Q2%20Earnings.md&amp;line=146" TargetMode="External" Id="rId13"/><Relationship Type="http://schemas.openxmlformats.org/officeDocument/2006/relationships/hyperlink" Target="obsidian://adv-uri?vault=Brain&amp;filepath=Sources/CELH/2021-Q2/transcripts/CELH_2021-08-19_Annual%20Shareholder%20Meeting.md&amp;line=119" TargetMode="External" Id="rId14"/><Relationship Type="http://schemas.openxmlformats.org/officeDocument/2006/relationships/hyperlink" Target="obsidian://adv-uri?vault=Brain&amp;filepath=Sources/CELH/2021-Q3/transcripts/CELH_2021-11-11_2021Q3%20Earnings.md&amp;line=148" TargetMode="External" Id="rId15"/><Relationship Type="http://schemas.openxmlformats.org/officeDocument/2006/relationships/hyperlink" Target="obsidian://adv-uri?vault=Brain&amp;filepath=Sources/CELH/2022-Q1/transcripts/CELH_2022-06-02_Annual%20Shareholder%20Meeting.md&amp;line=129" TargetMode="External" Id="rId16"/><Relationship Type="http://schemas.openxmlformats.org/officeDocument/2006/relationships/hyperlink" Target="obsidian://adv-uri?vault=Brain&amp;filepath=Sources/CELH/2022-Q1/transcripts/CELH_2022-05-10_2022Q1%20Earnings.md&amp;line=161" TargetMode="External" Id="rId17"/><Relationship Type="http://schemas.openxmlformats.org/officeDocument/2006/relationships/hyperlink" Target="obsidian://adv-uri?vault=Brain&amp;filepath=Sources/CELH/2022-Q2/transcripts/CELH_2022-08-09_2022Q2%20Earnings.md&amp;line=146" TargetMode="External" Id="rId18"/><Relationship Type="http://schemas.openxmlformats.org/officeDocument/2006/relationships/hyperlink" Target="obsidian://adv-uri?vault=Brain&amp;filepath=Sources/CELH/2022-Q3/transcripts/CELH_2022-11-09_2022Q3%20Earnings.md&amp;line=144" TargetMode="External" Id="rId19"/><Relationship Type="http://schemas.openxmlformats.org/officeDocument/2006/relationships/hyperlink" Target="obsidian://adv-uri?vault=Brain&amp;filepath=Sources/CELH/2022-FY/transcripts/CELH_2023-03-01_2022Q4%20Earnings.md&amp;line=149" TargetMode="External" Id="rId20"/><Relationship Type="http://schemas.openxmlformats.org/officeDocument/2006/relationships/hyperlink" Target="obsidian://adv-uri?vault=Brain&amp;filepath=Sources/CELH/2022-FY/transcripts/CELH_2023-03-01_2022Q4%20Earnings.md&amp;line=145" TargetMode="External" Id="rId21"/><Relationship Type="http://schemas.openxmlformats.org/officeDocument/2006/relationships/hyperlink" Target="obsidian://adv-uri?vault=Brain&amp;filepath=Sources/CELH/2023-Q1/transcripts/CELH_2023-05-09_2023Q1%20Earnings.md&amp;line=148" TargetMode="External" Id="rId22"/><Relationship Type="http://schemas.openxmlformats.org/officeDocument/2006/relationships/hyperlink" Target="obsidian://adv-uri?vault=Brain&amp;filepath=Sources/CELH/2023-Q2/transcripts/CELH_2023-08-08_2023Q2%20Earnings.md&amp;line=163" TargetMode="External" Id="rId23"/><Relationship Type="http://schemas.openxmlformats.org/officeDocument/2006/relationships/hyperlink" Target="obsidian://adv-uri?vault=Brain&amp;filepath=Sources/CELH/2023-Q2/transcripts/CELH_2023-08-08_2023Q2%20Earnings.md&amp;line=236" TargetMode="External" Id="rId24"/><Relationship Type="http://schemas.openxmlformats.org/officeDocument/2006/relationships/hyperlink" Target="obsidian://adv-uri?vault=Brain&amp;filepath=Sources/CELH/2023-Q3/transcripts/CELH_2023-11-07_2023Q3%20Earnings.md&amp;line=165" TargetMode="External" Id="rId25"/><Relationship Type="http://schemas.openxmlformats.org/officeDocument/2006/relationships/hyperlink" Target="obsidian://adv-uri?vault=Brain&amp;filepath=Sources/CELH/2023-Q3/transcripts/CELH_2023-11-07_2023Q3%20Earnings.md&amp;line=254" TargetMode="External" Id="rId26"/><Relationship Type="http://schemas.openxmlformats.org/officeDocument/2006/relationships/hyperlink" Target="obsidian://adv-uri?vault=Brain&amp;filepath=Sources/CELH/2023-FY/transcripts/CELH_2024-02-29_2023Q4%20Earnings.md&amp;line=169" TargetMode="External" Id="rId27"/><Relationship Type="http://schemas.openxmlformats.org/officeDocument/2006/relationships/hyperlink" Target="obsidian://adv-uri?vault=Brain&amp;filepath=Sources/CELH/2023-FY/transcripts/CELH_2024-02-29_2023Q4%20Earnings.md&amp;line=164" TargetMode="External" Id="rId28"/><Relationship Type="http://schemas.openxmlformats.org/officeDocument/2006/relationships/hyperlink" Target="obsidian://adv-uri?vault=Brain&amp;filepath=Sources/CELH/2024-Q1/transcripts/CELH_2024-05-07_2024Q1%20Earnings.md&amp;line=157" TargetMode="External" Id="rId29"/><Relationship Type="http://schemas.openxmlformats.org/officeDocument/2006/relationships/hyperlink" Target="obsidian://adv-uri?vault=Brain&amp;filepath=Sources/CELH/2024-FY/transcripts/CELH_2025-02-20_2024Q4%20Earnings.md&amp;line=167" TargetMode="External" Id="rId30"/><Relationship Type="http://schemas.openxmlformats.org/officeDocument/2006/relationships/hyperlink" Target="obsidian://adv-uri?vault=Brain&amp;filepath=Sources/CELH/2025-Q1/transcripts/CELH_2025-05-06_2025Q1%20Earnings.md&amp;line=164" TargetMode="External" Id="rId31"/><Relationship Type="http://schemas.openxmlformats.org/officeDocument/2006/relationships/hyperlink" Target="obsidian://adv-uri?vault=Brain&amp;filepath=Sources/CELH/2025-Q2/transcripts/CELH_2025-08-07_2025Q2%20Earnings.md&amp;line=150" TargetMode="External" Id="rId32"/><Relationship Type="http://schemas.openxmlformats.org/officeDocument/2006/relationships/hyperlink" Target="obsidian://adv-uri?vault=Brain&amp;filepath=Sources/CELH/2025-Q2/transcripts/CELH_2025-08-07_2025Q2%20Earnings.md&amp;line=242" TargetMode="External" Id="rId33"/><Relationship Type="http://schemas.openxmlformats.org/officeDocument/2006/relationships/hyperlink" Target="obsidian://adv-uri?vault=Brain&amp;filepath=Sources/CELH/2025-Q3/transcripts/CELH_2025-11-06_2025Q3%20Earnings.md&amp;line=151" TargetMode="External" Id="rId34"/><Relationship Type="http://schemas.openxmlformats.org/officeDocument/2006/relationships/hyperlink" Target="obsidian://adv-uri?vault=Brain&amp;filepath=Sources/CELH/2025-FY/transcripts/CELH_2026-02-26_2025Q4%20Earnings%20Press%20Release.md&amp;line=134" TargetMode="External" Id="rId35"/><Relationship Type="http://schemas.openxmlformats.org/officeDocument/2006/relationships/hyperlink" Target="obsidian://adv-uri?vault=Brain&amp;filepath=Sources/CELH/2026-Q1/transcripts/CELH_2026-05-07_2026Q1%20Earnings.md&amp;line=169" TargetMode="External" Id="rId36"/><Relationship Type="http://schemas.openxmlformats.org/officeDocument/2006/relationships/hyperlink" Target="obsidian://adv-uri?vault=Brain&amp;filepath=Sources/CELH/2018-Q3/transcripts/CELH_2018-11-09_2018Q3%20Earnings.md&amp;line=155" TargetMode="External" Id="rId37"/><Relationship Type="http://schemas.openxmlformats.org/officeDocument/2006/relationships/hyperlink" Target="obsidian://adv-uri?vault=Brain&amp;filepath=Sources/CELH/2018-FY/transcripts/CELH_2019-03-14_2018Q4%20Earnings.md&amp;line=185" TargetMode="External" Id="rId38"/><Relationship Type="http://schemas.openxmlformats.org/officeDocument/2006/relationships/hyperlink" Target="obsidian://adv-uri?vault=Brain&amp;filepath=Sources/CELH/2018-FY/transcripts/CELH_2019-03-14_2018Q4%20Earnings.md&amp;line=173" TargetMode="External" Id="rId39"/><Relationship Type="http://schemas.openxmlformats.org/officeDocument/2006/relationships/hyperlink" Target="obsidian://adv-uri?vault=Brain&amp;filepath=Sources/CELH/2019-Q1/transcripts/CELH_2019-05-09_2019Q1%20Earnings.md&amp;line=159" TargetMode="External" Id="rId40"/><Relationship Type="http://schemas.openxmlformats.org/officeDocument/2006/relationships/hyperlink" Target="obsidian://adv-uri?vault=Brain&amp;filepath=Sources/CELH/2019-Q3/transcripts/CELH_2019-11-07_2019Q3%20Earnings.md&amp;line=126" TargetMode="External" Id="rId41"/><Relationship Type="http://schemas.openxmlformats.org/officeDocument/2006/relationships/hyperlink" Target="obsidian://adv-uri?vault=Brain&amp;filepath=Sources/CELH/2019-FY/transcripts/CELH_2020-03-12_2019Q4%20Earnings.md&amp;line=128" TargetMode="External" Id="rId42"/><Relationship Type="http://schemas.openxmlformats.org/officeDocument/2006/relationships/hyperlink" Target="obsidian://adv-uri?vault=Brain&amp;filepath=Sources/CELH/2019-FY/transcripts/CELH_2020-03-12_2019Q4%20Earnings.md&amp;line=132" TargetMode="External" Id="rId43"/><Relationship Type="http://schemas.openxmlformats.org/officeDocument/2006/relationships/hyperlink" Target="obsidian://adv-uri?vault=Brain&amp;filepath=Sources/CELH/2020-FY/transcripts/CELH_2021-03-11_2020Q4%20Earnings.md&amp;line=128" TargetMode="External" Id="rId44"/><Relationship Type="http://schemas.openxmlformats.org/officeDocument/2006/relationships/hyperlink" Target="obsidian://adv-uri?vault=Brain&amp;filepath=Sources/CELH/2021-Q2/transcripts/CELH_2021-08-12_2021Q2%20Earnings.md&amp;line=151" TargetMode="External" Id="rId45"/><Relationship Type="http://schemas.openxmlformats.org/officeDocument/2006/relationships/hyperlink" Target="obsidian://adv-uri?vault=Brain&amp;filepath=Sources/CELH/2021-Q2/transcripts/CELH_2021-08-19_Annual%20Shareholder%20Meeting.md&amp;line=119" TargetMode="External" Id="rId46"/><Relationship Type="http://schemas.openxmlformats.org/officeDocument/2006/relationships/hyperlink" Target="obsidian://adv-uri?vault=Brain&amp;filepath=Sources/CELH/2021-Q3/transcripts/CELH_2021-11-11_2021Q3%20Earnings.md&amp;line=155" TargetMode="External" Id="rId47"/><Relationship Type="http://schemas.openxmlformats.org/officeDocument/2006/relationships/hyperlink" Target="obsidian://adv-uri?vault=Brain&amp;filepath=Sources/CELH/2022-Q1/transcripts/CELH_2022-06-02_Annual%20Shareholder%20Meeting.md&amp;line=133" TargetMode="External" Id="rId48"/><Relationship Type="http://schemas.openxmlformats.org/officeDocument/2006/relationships/hyperlink" Target="obsidian://adv-uri?vault=Brain&amp;filepath=Sources/CELH/2022-Q1/transcripts/CELH_2022-05-10_2022Q1%20Earnings.md&amp;line=166" TargetMode="External" Id="rId49"/><Relationship Type="http://schemas.openxmlformats.org/officeDocument/2006/relationships/hyperlink" Target="obsidian://adv-uri?vault=Brain&amp;filepath=Sources/CELH/2022-Q2/transcripts/CELH_2022-08-09_2022Q2%20Earnings.md&amp;line=151" TargetMode="External" Id="rId50"/><Relationship Type="http://schemas.openxmlformats.org/officeDocument/2006/relationships/hyperlink" Target="obsidian://adv-uri?vault=Brain&amp;filepath=Sources/CELH/2022-Q3/transcripts/CELH_2022-11-09_2022Q3%20Earnings.md&amp;line=149" TargetMode="External" Id="rId51"/><Relationship Type="http://schemas.openxmlformats.org/officeDocument/2006/relationships/hyperlink" Target="obsidian://adv-uri?vault=Brain&amp;filepath=Sources/CELH/2022-FY/transcripts/CELH_2023-03-01_2022Q4%20Earnings.md&amp;line=158" TargetMode="External" Id="rId52"/><Relationship Type="http://schemas.openxmlformats.org/officeDocument/2006/relationships/hyperlink" Target="obsidian://adv-uri?vault=Brain&amp;filepath=Sources/CELH/2023-Q1/transcripts/CELH_2023-05-09_2023Q1%20Earnings.md&amp;line=153" TargetMode="External" Id="rId53"/><Relationship Type="http://schemas.openxmlformats.org/officeDocument/2006/relationships/hyperlink" Target="obsidian://adv-uri?vault=Brain&amp;filepath=Sources/CELH/2023-Q2/transcripts/CELH_2023-08-08_2023Q2%20Earnings.md&amp;line=168" TargetMode="External" Id="rId54"/><Relationship Type="http://schemas.openxmlformats.org/officeDocument/2006/relationships/hyperlink" Target="obsidian://adv-uri?vault=Brain&amp;filepath=Sources/CELH/2023-Q2/transcripts/CELH_2023-08-08_2023Q2%20Earnings.md&amp;line=240" TargetMode="External" Id="rId55"/><Relationship Type="http://schemas.openxmlformats.org/officeDocument/2006/relationships/hyperlink" Target="obsidian://adv-uri?vault=Brain&amp;filepath=Sources/CELH/2023-Q3/transcripts/CELH_2023-11-07_2023Q3%20Earnings.md&amp;line=170" TargetMode="External" Id="rId56"/><Relationship Type="http://schemas.openxmlformats.org/officeDocument/2006/relationships/hyperlink" Target="obsidian://adv-uri?vault=Brain&amp;filepath=Sources/CELH/2023-FY/transcripts/CELH_2024-02-29_2023Q4%20Earnings.md&amp;line=173" TargetMode="External" Id="rId57"/><Relationship Type="http://schemas.openxmlformats.org/officeDocument/2006/relationships/hyperlink" Target="obsidian://adv-uri?vault=Brain&amp;filepath=Sources/CELH/2023-FY/transcripts/CELH_2024-02-29_2023Q4%20Earnings.md&amp;line=177" TargetMode="External" Id="rId58"/><Relationship Type="http://schemas.openxmlformats.org/officeDocument/2006/relationships/hyperlink" Target="obsidian://adv-uri?vault=Brain&amp;filepath=Sources/CELH/2024-Q1/transcripts/CELH_2024-05-07_2024Q1%20Earnings.md&amp;line=162" TargetMode="External" Id="rId59"/><Relationship Type="http://schemas.openxmlformats.org/officeDocument/2006/relationships/hyperlink" Target="obsidian://adv-uri?vault=Brain&amp;filepath=Sources/CELH/2025-Q2/transcripts/CELH_2025-08-07_2025Q2%20Earnings.md&amp;line=146" TargetMode="External" Id="rId60"/><Relationship Type="http://schemas.openxmlformats.org/officeDocument/2006/relationships/hyperlink" Target="obsidian://adv-uri?vault=Brain&amp;filepath=Sources/CELH/2025-FY/transcripts/CELH_2026-02-26_2025Q4%20Earnings%20Press%20Release.md&amp;line=134" TargetMode="External" Id="rId61"/><Relationship Type="http://schemas.openxmlformats.org/officeDocument/2006/relationships/hyperlink" Target="obsidian://adv-uri?vault=Brain&amp;filepath=Sources/CELH/2018-FY/transcripts/CELH_2019-03-14_2018Q4%20Earnings.md&amp;line=177" TargetMode="External" Id="rId62"/><Relationship Type="http://schemas.openxmlformats.org/officeDocument/2006/relationships/hyperlink" Target="obsidian://adv-uri?vault=Brain&amp;filepath=Sources/CELH/2019-Q1/transcripts/CELH_2019-05-09_2019Q1%20Earnings.md&amp;line=163" TargetMode="External" Id="rId63"/><Relationship Type="http://schemas.openxmlformats.org/officeDocument/2006/relationships/hyperlink" Target="obsidian://adv-uri?vault=Brain&amp;filepath=Sources/CELH/2020-FY/transcripts/CELH_2021-03-11_2020Q4%20Earnings.md&amp;line=133" TargetMode="External" Id="rId64"/><Relationship Type="http://schemas.openxmlformats.org/officeDocument/2006/relationships/hyperlink" Target="obsidian://adv-uri?vault=Brain&amp;filepath=Sources/CELH/2021-Q2/transcripts/CELH_2021-08-12_2021Q2%20Earnings.md&amp;line=156" TargetMode="External" Id="rId65"/><Relationship Type="http://schemas.openxmlformats.org/officeDocument/2006/relationships/hyperlink" Target="obsidian://adv-uri?vault=Brain&amp;filepath=Sources/CELH/2021-Q2/transcripts/CELH_2021-08-19_Annual%20Shareholder%20Meeting.md&amp;line=119" TargetMode="External" Id="rId66"/><Relationship Type="http://schemas.openxmlformats.org/officeDocument/2006/relationships/hyperlink" Target="obsidian://adv-uri?vault=Brain&amp;filepath=Sources/CELH/2021-Q3/transcripts/CELH_2021-11-11_2021Q3%20Earnings.md&amp;line=159" TargetMode="External" Id="rId67"/><Relationship Type="http://schemas.openxmlformats.org/officeDocument/2006/relationships/hyperlink" Target="obsidian://adv-uri?vault=Brain&amp;filepath=Sources/CELH/2022-Q1/transcripts/CELH_2022-06-02_Annual%20Shareholder%20Meeting.md&amp;line=137" TargetMode="External" Id="rId68"/><Relationship Type="http://schemas.openxmlformats.org/officeDocument/2006/relationships/hyperlink" Target="obsidian://adv-uri?vault=Brain&amp;filepath=Sources/CELH/2022-Q1/transcripts/CELH_2022-05-10_2022Q1%20Earnings.md&amp;line=171" TargetMode="External" Id="rId69"/><Relationship Type="http://schemas.openxmlformats.org/officeDocument/2006/relationships/hyperlink" Target="obsidian://adv-uri?vault=Brain&amp;filepath=Sources/CELH/2022-Q2/transcripts/CELH_2022-08-09_2022Q2%20Earnings.md&amp;line=155" TargetMode="External" Id="rId70"/><Relationship Type="http://schemas.openxmlformats.org/officeDocument/2006/relationships/hyperlink" Target="obsidian://adv-uri?vault=Brain&amp;filepath=Sources/CELH/2022-Q3/transcripts/CELH_2022-11-09_2022Q3%20Earnings.md&amp;line=153" TargetMode="External" Id="rId71"/><Relationship Type="http://schemas.openxmlformats.org/officeDocument/2006/relationships/hyperlink" Target="obsidian://adv-uri?vault=Brain&amp;filepath=Sources/CELH/2022-FY/transcripts/CELH_2023-03-01_2022Q4%20Earnings.md&amp;line=166" TargetMode="External" Id="rId72"/><Relationship Type="http://schemas.openxmlformats.org/officeDocument/2006/relationships/hyperlink" Target="obsidian://adv-uri?vault=Brain&amp;filepath=Sources/CELH/2023-Q1/transcripts/CELH_2023-05-09_2023Q1%20Earnings.md&amp;line=157" TargetMode="External" Id="rId73"/><Relationship Type="http://schemas.openxmlformats.org/officeDocument/2006/relationships/hyperlink" Target="obsidian://adv-uri?vault=Brain&amp;filepath=Sources/CELH/2023-Q2/transcripts/CELH_2023-08-08_2023Q2%20Earnings.md&amp;line=173" TargetMode="External" Id="rId74"/><Relationship Type="http://schemas.openxmlformats.org/officeDocument/2006/relationships/hyperlink" Target="obsidian://adv-uri?vault=Brain&amp;filepath=Sources/CELH/2023-Q2/transcripts/CELH_2023-08-08_2023Q2%20Earnings.md&amp;line=244" TargetMode="External" Id="rId75"/><Relationship Type="http://schemas.openxmlformats.org/officeDocument/2006/relationships/hyperlink" Target="obsidian://adv-uri?vault=Brain&amp;filepath=Sources/CELH/2023-Q3/transcripts/CELH_2023-11-07_2023Q3%20Earnings.md&amp;line=174" TargetMode="External" Id="rId76"/><Relationship Type="http://schemas.openxmlformats.org/officeDocument/2006/relationships/hyperlink" Target="obsidian://adv-uri?vault=Brain&amp;filepath=Sources/CELH/2023-FY/transcripts/CELH_2024-02-29_2023Q4%20Earnings.md&amp;line=181" TargetMode="External" Id="rId77"/><Relationship Type="http://schemas.openxmlformats.org/officeDocument/2006/relationships/hyperlink" Target="obsidian://adv-uri?vault=Brain&amp;filepath=Sources/CELH/2023-FY/transcripts/CELH_2024-02-29_2023Q4%20Earnings.md&amp;line=186" TargetMode="External" Id="rId78"/><Relationship Type="http://schemas.openxmlformats.org/officeDocument/2006/relationships/hyperlink" Target="obsidian://adv-uri?vault=Brain&amp;filepath=Sources/CELH/2025-Q1/transcripts/CELH_2025-05-06_2025Q1%20Earnings.md&amp;line=188" TargetMode="External" Id="rId79"/><Relationship Type="http://schemas.openxmlformats.org/officeDocument/2006/relationships/hyperlink" Target="obsidian://adv-uri?vault=Brain&amp;filepath=Sources/CELH/2025-Q2/transcripts/CELH_2025-08-07_2025Q2%20Earnings.md&amp;line=232" TargetMode="External" Id="rId80"/><Relationship Type="http://schemas.openxmlformats.org/officeDocument/2006/relationships/hyperlink" Target="obsidian://adv-uri?vault=Brain&amp;filepath=Sources/CELH/2025-FY/transcripts/CELH_2026-02-26_2025Q4%20Earnings%20Press%20Release.md&amp;line=134" TargetMode="External" Id="rId81"/><Relationship Type="http://schemas.openxmlformats.org/officeDocument/2006/relationships/hyperlink" Target="obsidian://adv-uri?vault=Brain&amp;filepath=Sources/CELH/2018-FY/transcripts/CELH_2019-03-14_2018Q4%20Earnings.md&amp;line=193" TargetMode="External" Id="rId82"/><Relationship Type="http://schemas.openxmlformats.org/officeDocument/2006/relationships/hyperlink" Target="obsidian://adv-uri?vault=Brain&amp;filepath=Sources/CELH/2019-Q3/transcripts/CELH_2019-11-07_2019Q3%20Earnings.md&amp;line=131" TargetMode="External" Id="rId83"/><Relationship Type="http://schemas.openxmlformats.org/officeDocument/2006/relationships/hyperlink" Target="obsidian://adv-uri?vault=Brain&amp;filepath=Sources/CELH/2019-FY/transcripts/CELH_2020-03-12_2019Q4%20Earnings.md&amp;line=137" TargetMode="External" Id="rId84"/><Relationship Type="http://schemas.openxmlformats.org/officeDocument/2006/relationships/hyperlink" Target="obsidian://adv-uri?vault=Brain&amp;filepath=Sources/CELH/2020-FY/transcripts/CELH_2021-03-11_2020Q4%20Earnings.md&amp;line=137" TargetMode="External" Id="rId85"/><Relationship Type="http://schemas.openxmlformats.org/officeDocument/2006/relationships/hyperlink" Target="obsidian://adv-uri?vault=Brain&amp;filepath=Sources/CELH/2021-Q2/transcripts/CELH_2021-08-12_2021Q2%20Earnings.md&amp;line=160" TargetMode="External" Id="rId86"/><Relationship Type="http://schemas.openxmlformats.org/officeDocument/2006/relationships/hyperlink" Target="obsidian://adv-uri?vault=Brain&amp;filepath=Sources/CELH/2021-Q3/transcripts/CELH_2021-11-11_2021Q3%20Earnings.md&amp;line=144" TargetMode="External" Id="rId87"/><Relationship Type="http://schemas.openxmlformats.org/officeDocument/2006/relationships/hyperlink" Target="obsidian://adv-uri?vault=Brain&amp;filepath=Sources/CELH/2022-Q1/transcripts/CELH_2022-05-10_2022Q1%20Earnings.md&amp;line=175" TargetMode="External" Id="rId88"/><Relationship Type="http://schemas.openxmlformats.org/officeDocument/2006/relationships/hyperlink" Target="obsidian://adv-uri?vault=Brain&amp;filepath=Sources/CELH/2022-Q2/transcripts/CELH_2022-08-09_2022Q2%20Earnings.md&amp;line=159" TargetMode="External" Id="rId89"/><Relationship Type="http://schemas.openxmlformats.org/officeDocument/2006/relationships/hyperlink" Target="obsidian://adv-uri?vault=Brain&amp;filepath=Sources/CELH/2022-Q3/transcripts/CELH_2022-11-09_2022Q3%20Earnings.md&amp;line=157" TargetMode="External" Id="rId90"/><Relationship Type="http://schemas.openxmlformats.org/officeDocument/2006/relationships/hyperlink" Target="obsidian://adv-uri?vault=Brain&amp;filepath=Sources/CELH/2018-Q3/transcripts/CELH_2018-11-09_2018Q3%20Earnings.md&amp;line=161" TargetMode="External" Id="rId91"/><Relationship Type="http://schemas.openxmlformats.org/officeDocument/2006/relationships/hyperlink" Target="obsidian://adv-uri?vault=Brain&amp;filepath=Sources/CELH/2018-FY/transcripts/CELH_2019-03-14_2018Q4%20Earnings.md&amp;line=189" TargetMode="External" Id="rId92"/><Relationship Type="http://schemas.openxmlformats.org/officeDocument/2006/relationships/hyperlink" Target="obsidian://adv-uri?vault=Brain&amp;filepath=Sources/CELH/2018-FY/transcripts/CELH_2019-03-14_2018Q4%20Earnings.md&amp;line=159" TargetMode="External" Id="rId93"/><Relationship Type="http://schemas.openxmlformats.org/officeDocument/2006/relationships/hyperlink" Target="obsidian://adv-uri?vault=Brain&amp;filepath=Sources/CELH/2019-FY/transcripts/CELH_2020-03-12_2019Q4%20Earnings.md&amp;line=114" TargetMode="External" Id="rId94"/><Relationship Type="http://schemas.openxmlformats.org/officeDocument/2006/relationships/hyperlink" Target="obsidian://adv-uri?vault=Brain&amp;filepath=Sources/CELH/2020-FY/transcripts/CELH_2021-03-11_2020Q4%20Earnings.md&amp;line=141" TargetMode="External" Id="rId95"/><Relationship Type="http://schemas.openxmlformats.org/officeDocument/2006/relationships/hyperlink" Target="obsidian://adv-uri?vault=Brain&amp;filepath=Sources/CELH/2021-Q2/transcripts/CELH_2021-08-12_2021Q2%20Earnings.md&amp;line=164" TargetMode="External" Id="rId96"/><Relationship Type="http://schemas.openxmlformats.org/officeDocument/2006/relationships/hyperlink" Target="obsidian://adv-uri?vault=Brain&amp;filepath=Sources/CELH/2021-Q3/transcripts/CELH_2021-11-11_2021Q3%20Earnings.md&amp;line=167" TargetMode="External" Id="rId97"/><Relationship Type="http://schemas.openxmlformats.org/officeDocument/2006/relationships/hyperlink" Target="obsidian://adv-uri?vault=Brain&amp;filepath=Sources/CELH/2022-Q1/transcripts/CELH_2022-05-10_2022Q1%20Earnings.md&amp;line=157" TargetMode="External" Id="rId98"/><Relationship Type="http://schemas.openxmlformats.org/officeDocument/2006/relationships/hyperlink" Target="obsidian://adv-uri?vault=Brain&amp;filepath=Sources/CELH/2022-Q1/transcripts/CELH_2022-05-10_2022Q1%20Earnings.md&amp;line=234" TargetMode="External" Id="rId99"/><Relationship Type="http://schemas.openxmlformats.org/officeDocument/2006/relationships/hyperlink" Target="obsidian://adv-uri?vault=Brain&amp;filepath=Sources/CELH/2022-Q3/transcripts/CELH_2022-11-09_2022Q3%20Earnings.md&amp;line=214" TargetMode="External" Id="rId100"/><Relationship Type="http://schemas.openxmlformats.org/officeDocument/2006/relationships/hyperlink" Target="obsidian://adv-uri?vault=Brain&amp;filepath=Sources/CELH/2022-FY/transcripts/CELH_2023-03-01_2022Q4%20Earnings.md&amp;line=223" TargetMode="External" Id="rId101"/><Relationship Type="http://schemas.openxmlformats.org/officeDocument/2006/relationships/hyperlink" Target="obsidian://adv-uri?vault=Brain&amp;filepath=Sources/CELH/2023-Q3/transcripts/CELH_2023-11-07_2023Q3%20Earnings.md&amp;line=201" TargetMode="External" Id="rId102"/><Relationship Type="http://schemas.openxmlformats.org/officeDocument/2006/relationships/hyperlink" Target="obsidian://adv-uri?vault=Brain&amp;filepath=Sources/CELH/2024-Q1/transcripts/CELH_2024-05-07_2024Q1%20Earnings.md&amp;line=228" TargetMode="External" Id="rId103"/><Relationship Type="http://schemas.openxmlformats.org/officeDocument/2006/relationships/hyperlink" Target="obsidian://adv-uri?vault=Brain&amp;filepath=Sources/CELH/2018-Q3/transcripts/CELH_2018-11-09_2018Q3%20Earnings.md&amp;line=174" TargetMode="External" Id="rId104"/><Relationship Type="http://schemas.openxmlformats.org/officeDocument/2006/relationships/hyperlink" Target="obsidian://adv-uri?vault=Brain&amp;filepath=Sources/CELH/2018-Q3/transcripts/CELH_2018-11-09_2018Q3%20Earnings.md&amp;line=214" TargetMode="External" Id="rId105"/><Relationship Type="http://schemas.openxmlformats.org/officeDocument/2006/relationships/hyperlink" Target="obsidian://adv-uri?vault=Brain&amp;filepath=Sources/CELH/2018-FY/transcripts/CELH_2019-03-14_2018Q4%20Earnings.md&amp;line=197" TargetMode="External" Id="rId106"/><Relationship Type="http://schemas.openxmlformats.org/officeDocument/2006/relationships/hyperlink" Target="obsidian://adv-uri?vault=Brain&amp;filepath=Sources/CELH/2018-FY/transcripts/CELH_2019-03-14_2018Q4%20Earnings.md&amp;line=205" TargetMode="External" Id="rId107"/><Relationship Type="http://schemas.openxmlformats.org/officeDocument/2006/relationships/hyperlink" Target="obsidian://adv-uri?vault=Brain&amp;filepath=Sources/CELH/2019-Q1/transcripts/CELH_2019-05-09_2019Q1%20Earnings.md&amp;line=181" TargetMode="External" Id="rId108"/><Relationship Type="http://schemas.openxmlformats.org/officeDocument/2006/relationships/hyperlink" Target="obsidian://adv-uri?vault=Brain&amp;filepath=Sources/CELH/2019-Q2/transcripts/CELH_2019-08-08_2019Q2%20Earnings.md&amp;line=176" TargetMode="External" Id="rId109"/><Relationship Type="http://schemas.openxmlformats.org/officeDocument/2006/relationships/hyperlink" Target="obsidian://adv-uri?vault=Brain&amp;filepath=Sources/CELH/2019-Q2/transcripts/CELH_2019-08-08_2019Q2%20Earnings.md&amp;line=184" TargetMode="External" Id="rId110"/><Relationship Type="http://schemas.openxmlformats.org/officeDocument/2006/relationships/hyperlink" Target="obsidian://adv-uri?vault=Brain&amp;filepath=Sources/CELH/2019-Q3/transcripts/CELH_2019-11-07_2019Q3%20Earnings.md&amp;line=140" TargetMode="External" Id="rId111"/><Relationship Type="http://schemas.openxmlformats.org/officeDocument/2006/relationships/hyperlink" Target="obsidian://adv-uri?vault=Brain&amp;filepath=Sources/CELH/2019-FY/transcripts/CELH_2020-03-12_2019Q4%20Earnings.md&amp;line=145" TargetMode="External" Id="rId112"/><Relationship Type="http://schemas.openxmlformats.org/officeDocument/2006/relationships/hyperlink" Target="obsidian://adv-uri?vault=Brain&amp;filepath=Sources/CELH/2019-FY/transcripts/CELH_2020-03-12_2019Q4%20Earnings.md&amp;line=153" TargetMode="External" Id="rId113"/><Relationship Type="http://schemas.openxmlformats.org/officeDocument/2006/relationships/hyperlink" Target="obsidian://adv-uri?vault=Brain&amp;filepath=Sources/CELH/2020-FY/transcripts/CELH_2021-03-11_2020Q4%20Earnings.md&amp;line=145" TargetMode="External" Id="rId114"/><Relationship Type="http://schemas.openxmlformats.org/officeDocument/2006/relationships/hyperlink" Target="obsidian://adv-uri?vault=Brain&amp;filepath=Sources/CELH/2021-Q2/transcripts/CELH_2021-08-12_2021Q2%20Earnings.md&amp;line=172" TargetMode="External" Id="rId115"/><Relationship Type="http://schemas.openxmlformats.org/officeDocument/2006/relationships/hyperlink" Target="obsidian://adv-uri?vault=Brain&amp;filepath=Sources/CELH/2021-Q2/transcripts/CELH_2021-08-19_Annual%20Shareholder%20Meeting.md&amp;line=119" TargetMode="External" Id="rId116"/><Relationship Type="http://schemas.openxmlformats.org/officeDocument/2006/relationships/hyperlink" Target="obsidian://adv-uri?vault=Brain&amp;filepath=Sources/CELH/2021-Q3/transcripts/CELH_2021-11-11_2021Q3%20Earnings.md&amp;line=175" TargetMode="External" Id="rId117"/><Relationship Type="http://schemas.openxmlformats.org/officeDocument/2006/relationships/hyperlink" Target="obsidian://adv-uri?vault=Brain&amp;filepath=Sources/CELH/2022-Q1/transcripts/CELH_2022-06-02_Annual%20Shareholder%20Meeting.md&amp;line=141" TargetMode="External" Id="rId118"/><Relationship Type="http://schemas.openxmlformats.org/officeDocument/2006/relationships/hyperlink" Target="obsidian://adv-uri?vault=Brain&amp;filepath=Sources/CELH/2022-Q1/transcripts/CELH_2022-05-10_2022Q1%20Earnings.md&amp;line=188" TargetMode="External" Id="rId119"/><Relationship Type="http://schemas.openxmlformats.org/officeDocument/2006/relationships/hyperlink" Target="obsidian://adv-uri?vault=Brain&amp;filepath=Sources/CELH/2022-Q2/transcripts/CELH_2022-08-09_2022Q2%20Earnings.md&amp;line=163" TargetMode="External" Id="rId120"/><Relationship Type="http://schemas.openxmlformats.org/officeDocument/2006/relationships/hyperlink" Target="obsidian://adv-uri?vault=Brain&amp;filepath=Sources/CELH/2022-Q3/transcripts/CELH_2022-11-09_2022Q3%20Earnings.md&amp;line=161" TargetMode="External" Id="rId121"/><Relationship Type="http://schemas.openxmlformats.org/officeDocument/2006/relationships/hyperlink" Target="obsidian://adv-uri?vault=Brain&amp;filepath=Sources/CELH/2022-FY/transcripts/CELH_2023-03-01_2022Q4%20Earnings.md&amp;line=170" TargetMode="External" Id="rId122"/><Relationship Type="http://schemas.openxmlformats.org/officeDocument/2006/relationships/hyperlink" Target="obsidian://adv-uri?vault=Brain&amp;filepath=Sources/CELH/2022-FY/transcripts/CELH_2023-03-01_2022Q4%20Earnings.md&amp;line=179" TargetMode="External" Id="rId123"/><Relationship Type="http://schemas.openxmlformats.org/officeDocument/2006/relationships/hyperlink" Target="obsidian://adv-uri?vault=Brain&amp;filepath=Sources/CELH/2023-Q1/transcripts/CELH_2023-05-09_2023Q1%20Earnings.md&amp;line=161" TargetMode="External" Id="rId124"/><Relationship Type="http://schemas.openxmlformats.org/officeDocument/2006/relationships/hyperlink" Target="obsidian://adv-uri?vault=Brain&amp;filepath=Sources/CELH/2023-Q2/transcripts/CELH_2023-08-08_2023Q2%20Earnings.md&amp;line=211" TargetMode="External" Id="rId125"/><Relationship Type="http://schemas.openxmlformats.org/officeDocument/2006/relationships/hyperlink" Target="obsidian://adv-uri?vault=Brain&amp;filepath=Sources/CELH/2023-Q2/transcripts/CELH_2023-08-08_2023Q2%20Earnings.md&amp;line=248" TargetMode="External" Id="rId126"/><Relationship Type="http://schemas.openxmlformats.org/officeDocument/2006/relationships/hyperlink" Target="obsidian://adv-uri?vault=Brain&amp;filepath=Sources/CELH/2023-Q3/transcripts/CELH_2023-11-07_2023Q3%20Earnings.md&amp;line=222" TargetMode="External" Id="rId127"/><Relationship Type="http://schemas.openxmlformats.org/officeDocument/2006/relationships/hyperlink" Target="obsidian://adv-uri?vault=Brain&amp;filepath=Sources/CELH/2023-Q3/transcripts/CELH_2023-11-07_2023Q3%20Earnings.md&amp;line=258" TargetMode="External" Id="rId128"/><Relationship Type="http://schemas.openxmlformats.org/officeDocument/2006/relationships/hyperlink" Target="obsidian://adv-uri?vault=Brain&amp;filepath=Sources/CELH/2023-FY/transcripts/CELH_2024-02-29_2023Q4%20Earnings.md&amp;line=190" TargetMode="External" Id="rId129"/><Relationship Type="http://schemas.openxmlformats.org/officeDocument/2006/relationships/hyperlink" Target="obsidian://adv-uri?vault=Brain&amp;filepath=Sources/CELH/2023-FY/transcripts/CELH_2024-02-29_2023Q4%20Earnings.md&amp;line=198" TargetMode="External" Id="rId130"/><Relationship Type="http://schemas.openxmlformats.org/officeDocument/2006/relationships/hyperlink" Target="obsidian://adv-uri?vault=Brain&amp;filepath=Sources/CELH/2024-Q1/transcripts/CELH_2024-05-07_2024Q1%20Earnings.md&amp;line=171" TargetMode="External" Id="rId131"/><Relationship Type="http://schemas.openxmlformats.org/officeDocument/2006/relationships/hyperlink" Target="obsidian://adv-uri?vault=Brain&amp;filepath=Sources/CELH/2024-FY/transcripts/CELH_2025-02-20_2024Q4%20Earnings.md&amp;line=224" TargetMode="External" Id="rId132"/><Relationship Type="http://schemas.openxmlformats.org/officeDocument/2006/relationships/hyperlink" Target="obsidian://adv-uri?vault=Brain&amp;filepath=Sources/CELH/2025-Q1/transcripts/CELH_2025-05-06_2025Q1%20Earnings.md&amp;line=184" TargetMode="External" Id="rId133"/><Relationship Type="http://schemas.openxmlformats.org/officeDocument/2006/relationships/hyperlink" Target="obsidian://adv-uri?vault=Brain&amp;filepath=Sources/CELH/2025-Q2/transcripts/CELH_2025-08-07_2025Q2%20Earnings.md&amp;line=170" TargetMode="External" Id="rId134"/><Relationship Type="http://schemas.openxmlformats.org/officeDocument/2006/relationships/hyperlink" Target="obsidian://adv-uri?vault=Brain&amp;filepath=Sources/CELH/2025-FY/transcripts/CELH_2026-02-26_2025Q4%20Earnings%20Press%20Release.md&amp;line=166" TargetMode="External" Id="rId135"/><Relationship Type="http://schemas.openxmlformats.org/officeDocument/2006/relationships/hyperlink" Target="obsidian://adv-uri?vault=Brain&amp;filepath=Sources/CELH/2025-FY/transcripts/CELH_2026-02-26_2025Q4%20Earnings%20Press%20Release.md&amp;line=134" TargetMode="External" Id="rId136"/><Relationship Type="http://schemas.openxmlformats.org/officeDocument/2006/relationships/hyperlink" Target="obsidian://adv-uri?vault=Brain&amp;filepath=Sources/CELH/2018-Q3/transcripts/CELH_2018-11-09_2018Q3%20Earnings.md&amp;line=178" TargetMode="External" Id="rId137"/><Relationship Type="http://schemas.openxmlformats.org/officeDocument/2006/relationships/hyperlink" Target="obsidian://adv-uri?vault=Brain&amp;filepath=Sources/CELH/2018-Q3/transcripts/CELH_2018-11-09_2018Q3%20Earnings.md&amp;line=218" TargetMode="External" Id="rId138"/><Relationship Type="http://schemas.openxmlformats.org/officeDocument/2006/relationships/hyperlink" Target="obsidian://adv-uri?vault=Brain&amp;filepath=Sources/CELH/2018-FY/transcripts/CELH_2019-03-14_2018Q4%20Earnings.md&amp;line=201" TargetMode="External" Id="rId139"/><Relationship Type="http://schemas.openxmlformats.org/officeDocument/2006/relationships/hyperlink" Target="obsidian://adv-uri?vault=Brain&amp;filepath=Sources/CELH/2018-FY/transcripts/CELH_2019-03-14_2018Q4%20Earnings.md&amp;line=209" TargetMode="External" Id="rId140"/><Relationship Type="http://schemas.openxmlformats.org/officeDocument/2006/relationships/hyperlink" Target="obsidian://adv-uri?vault=Brain&amp;filepath=Sources/CELH/2019-Q1/transcripts/CELH_2019-05-09_2019Q1%20Earnings.md&amp;line=185" TargetMode="External" Id="rId141"/><Relationship Type="http://schemas.openxmlformats.org/officeDocument/2006/relationships/hyperlink" Target="obsidian://adv-uri?vault=Brain&amp;filepath=Sources/CELH/2019-Q2/transcripts/CELH_2019-08-08_2019Q2%20Earnings.md&amp;line=180" TargetMode="External" Id="rId142"/><Relationship Type="http://schemas.openxmlformats.org/officeDocument/2006/relationships/hyperlink" Target="obsidian://adv-uri?vault=Brain&amp;filepath=Sources/CELH/2019-Q2/transcripts/CELH_2019-08-08_2019Q2%20Earnings.md&amp;line=188" TargetMode="External" Id="rId143"/><Relationship Type="http://schemas.openxmlformats.org/officeDocument/2006/relationships/hyperlink" Target="obsidian://adv-uri?vault=Brain&amp;filepath=Sources/CELH/2019-Q3/transcripts/CELH_2019-11-07_2019Q3%20Earnings.md&amp;line=144" TargetMode="External" Id="rId144"/><Relationship Type="http://schemas.openxmlformats.org/officeDocument/2006/relationships/hyperlink" Target="obsidian://adv-uri?vault=Brain&amp;filepath=Sources/CELH/2019-FY/transcripts/CELH_2020-03-12_2019Q4%20Earnings.md&amp;line=149" TargetMode="External" Id="rId145"/><Relationship Type="http://schemas.openxmlformats.org/officeDocument/2006/relationships/hyperlink" Target="obsidian://adv-uri?vault=Brain&amp;filepath=Sources/CELH/2019-FY/transcripts/CELH_2020-03-12_2019Q4%20Earnings.md&amp;line=157" TargetMode="External" Id="rId146"/><Relationship Type="http://schemas.openxmlformats.org/officeDocument/2006/relationships/hyperlink" Target="obsidian://adv-uri?vault=Brain&amp;filepath=Sources/CELH/2020-FY/transcripts/CELH_2021-03-11_2020Q4%20Earnings.md&amp;line=149" TargetMode="External" Id="rId147"/><Relationship Type="http://schemas.openxmlformats.org/officeDocument/2006/relationships/hyperlink" Target="obsidian://adv-uri?vault=Brain&amp;filepath=Sources/CELH/2021-Q2/transcripts/CELH_2021-08-12_2021Q2%20Earnings.md&amp;line=176" TargetMode="External" Id="rId148"/><Relationship Type="http://schemas.openxmlformats.org/officeDocument/2006/relationships/hyperlink" Target="obsidian://adv-uri?vault=Brain&amp;filepath=Sources/CELH/2021-Q3/transcripts/CELH_2021-11-11_2021Q3%20Earnings.md&amp;line=181" TargetMode="External" Id="rId149"/><Relationship Type="http://schemas.openxmlformats.org/officeDocument/2006/relationships/hyperlink" Target="obsidian://adv-uri?vault=Brain&amp;filepath=Sources/CELH/2022-Q1/transcripts/CELH_2022-05-10_2022Q1%20Earnings.md&amp;line=193" TargetMode="External" Id="rId150"/><Relationship Type="http://schemas.openxmlformats.org/officeDocument/2006/relationships/hyperlink" Target="obsidian://adv-uri?vault=Brain&amp;filepath=Sources/CELH/2022-Q2/transcripts/CELH_2022-08-09_2022Q2%20Earnings.md&amp;line=168" TargetMode="External" Id="rId151"/><Relationship Type="http://schemas.openxmlformats.org/officeDocument/2006/relationships/hyperlink" Target="obsidian://adv-uri?vault=Brain&amp;filepath=Sources/CELH/2022-Q3/transcripts/CELH_2022-11-09_2022Q3%20Earnings.md&amp;line=166" TargetMode="External" Id="rId152"/><Relationship Type="http://schemas.openxmlformats.org/officeDocument/2006/relationships/hyperlink" Target="obsidian://adv-uri?vault=Brain&amp;filepath=Sources/CELH/2022-FY/transcripts/CELH_2023-03-01_2022Q4%20Earnings.md&amp;line=174" TargetMode="External" Id="rId153"/><Relationship Type="http://schemas.openxmlformats.org/officeDocument/2006/relationships/hyperlink" Target="obsidian://adv-uri?vault=Brain&amp;filepath=Sources/CELH/2023-Q1/transcripts/CELH_2023-05-09_2023Q1%20Earnings.md&amp;line=165" TargetMode="External" Id="rId154"/><Relationship Type="http://schemas.openxmlformats.org/officeDocument/2006/relationships/hyperlink" Target="obsidian://adv-uri?vault=Brain&amp;filepath=Sources/CELH/2023-Q2/transcripts/CELH_2023-08-08_2023Q2%20Earnings.md&amp;line=206" TargetMode="External" Id="rId155"/><Relationship Type="http://schemas.openxmlformats.org/officeDocument/2006/relationships/hyperlink" Target="obsidian://adv-uri?vault=Brain&amp;filepath=Sources/CELH/2023-Q2/transcripts/CELH_2023-08-08_2023Q2%20Earnings.md&amp;line=252" TargetMode="External" Id="rId156"/><Relationship Type="http://schemas.openxmlformats.org/officeDocument/2006/relationships/hyperlink" Target="obsidian://adv-uri?vault=Brain&amp;filepath=Sources/CELH/2023-Q3/transcripts/CELH_2023-11-07_2023Q3%20Earnings.md&amp;line=217" TargetMode="External" Id="rId157"/><Relationship Type="http://schemas.openxmlformats.org/officeDocument/2006/relationships/hyperlink" Target="obsidian://adv-uri?vault=Brain&amp;filepath=Sources/CELH/2023-FY/transcripts/CELH_2024-02-29_2023Q4%20Earnings.md&amp;line=194" TargetMode="External" Id="rId158"/><Relationship Type="http://schemas.openxmlformats.org/officeDocument/2006/relationships/hyperlink" Target="obsidian://adv-uri?vault=Brain&amp;filepath=Sources/CELH/2023-FY/transcripts/CELH_2024-02-29_2023Q4%20Earnings.md&amp;line=202" TargetMode="External" Id="rId159"/><Relationship Type="http://schemas.openxmlformats.org/officeDocument/2006/relationships/hyperlink" Target="obsidian://adv-uri?vault=Brain&amp;filepath=Sources/CELH/2024-Q1/transcripts/CELH_2024-05-07_2024Q1%20Earnings.md&amp;line=175" TargetMode="External" Id="rId160"/><Relationship Type="http://schemas.openxmlformats.org/officeDocument/2006/relationships/hyperlink" Target="obsidian://adv-uri?vault=Brain&amp;filepath=Sources/CELH/2024-FY/transcripts/CELH_2025-02-20_2024Q4%20Earnings.md&amp;line=204" TargetMode="External" Id="rId161"/><Relationship Type="http://schemas.openxmlformats.org/officeDocument/2006/relationships/hyperlink" Target="obsidian://adv-uri?vault=Brain&amp;filepath=Sources/CELH/2024-FY/transcripts/CELH_2025-02-20_2024Q4%20Earnings.md&amp;line=228" TargetMode="External" Id="rId162"/><Relationship Type="http://schemas.openxmlformats.org/officeDocument/2006/relationships/hyperlink" Target="obsidian://adv-uri?vault=Brain&amp;filepath=Sources/CELH/2025-Q1/transcripts/CELH_2025-05-06_2025Q1%20Earnings.md&amp;line=179" TargetMode="External" Id="rId163"/><Relationship Type="http://schemas.openxmlformats.org/officeDocument/2006/relationships/hyperlink" Target="obsidian://adv-uri?vault=Brain&amp;filepath=Sources/CELH/2025-Q2/transcripts/CELH_2025-08-07_2025Q2%20Earnings.md&amp;line=165" TargetMode="External" Id="rId164"/><Relationship Type="http://schemas.openxmlformats.org/officeDocument/2006/relationships/hyperlink" Target="obsidian://adv-uri?vault=Brain&amp;filepath=Sources/CELH/2025-Q2/transcripts/CELH_2025-08-07_2025Q2%20Earnings.md&amp;line=246" TargetMode="External" Id="rId165"/><Relationship Type="http://schemas.openxmlformats.org/officeDocument/2006/relationships/hyperlink" Target="obsidian://adv-uri?vault=Brain&amp;filepath=Sources/CELH/2025-Q3/transcripts/CELH_2025-11-06_2025Q3%20Earnings.md&amp;line=177" TargetMode="External" Id="rId166"/><Relationship Type="http://schemas.openxmlformats.org/officeDocument/2006/relationships/hyperlink" Target="obsidian://adv-uri?vault=Brain&amp;filepath=Sources/CELH/2025-FY/transcripts/CELH_2026-02-26_2025Q4%20Earnings%20Press%20Release.md&amp;line=171" TargetMode="External" Id="rId167"/><Relationship Type="http://schemas.openxmlformats.org/officeDocument/2006/relationships/hyperlink" Target="obsidian://adv-uri?vault=Brain&amp;filepath=Sources/CELH/2025-FY/transcripts/CELH_2026-02-26_2025Q4%20Earnings%20Press%20Release.md&amp;line=134" TargetMode="External" Id="rId168"/><Relationship Type="http://schemas.openxmlformats.org/officeDocument/2006/relationships/hyperlink" Target="obsidian://adv-uri?vault=Brain&amp;filepath=Sources/CELH/2026-Q1/transcripts/CELH_2026-05-07_2026Q1%20Earnings.md&amp;line=205" TargetMode="External" Id="rId169"/><Relationship Type="http://schemas.openxmlformats.org/officeDocument/2006/relationships/hyperlink" Target="obsidian://adv-uri?vault=Brain&amp;filepath=Sources/CELH/2018-Q3/transcripts/CELH_2018-11-09_2018Q3%20Earnings.md&amp;line=182" TargetMode="External" Id="rId170"/><Relationship Type="http://schemas.openxmlformats.org/officeDocument/2006/relationships/hyperlink" Target="obsidian://adv-uri?vault=Brain&amp;filepath=Sources/CELH/2018-Q3/transcripts/CELH_2018-11-09_2018Q3%20Earnings.md&amp;line=222" TargetMode="External" Id="rId171"/><Relationship Type="http://schemas.openxmlformats.org/officeDocument/2006/relationships/hyperlink" Target="obsidian://adv-uri?vault=Brain&amp;filepath=Sources/CELH/2018-FY/transcripts/CELH_2019-03-14_2018Q4%20Earnings.md&amp;line=213" TargetMode="External" Id="rId172"/><Relationship Type="http://schemas.openxmlformats.org/officeDocument/2006/relationships/hyperlink" Target="obsidian://adv-uri?vault=Brain&amp;filepath=Sources/CELH/2018-FY/transcripts/CELH_2019-03-14_2018Q4%20Earnings.md&amp;line=217" TargetMode="External" Id="rId173"/><Relationship Type="http://schemas.openxmlformats.org/officeDocument/2006/relationships/hyperlink" Target="obsidian://adv-uri?vault=Brain&amp;filepath=Sources/CELH/2019-Q1/transcripts/CELH_2019-05-09_2019Q1%20Earnings.md&amp;line=189" TargetMode="External" Id="rId174"/><Relationship Type="http://schemas.openxmlformats.org/officeDocument/2006/relationships/hyperlink" Target="obsidian://adv-uri?vault=Brain&amp;filepath=Sources/CELH/2019-Q2/transcripts/CELH_2019-08-08_2019Q2%20Earnings.md&amp;line=192" TargetMode="External" Id="rId175"/><Relationship Type="http://schemas.openxmlformats.org/officeDocument/2006/relationships/hyperlink" Target="obsidian://adv-uri?vault=Brain&amp;filepath=Sources/CELH/2019-Q2/transcripts/CELH_2019-08-08_2019Q2%20Earnings.md&amp;line=196" TargetMode="External" Id="rId176"/><Relationship Type="http://schemas.openxmlformats.org/officeDocument/2006/relationships/hyperlink" Target="obsidian://adv-uri?vault=Brain&amp;filepath=Sources/CELH/2019-Q3/transcripts/CELH_2019-11-07_2019Q3%20Earnings.md&amp;line=148" TargetMode="External" Id="rId177"/><Relationship Type="http://schemas.openxmlformats.org/officeDocument/2006/relationships/hyperlink" Target="obsidian://adv-uri?vault=Brain&amp;filepath=Sources/CELH/2019-FY/transcripts/CELH_2020-03-12_2019Q4%20Earnings.md&amp;line=161" TargetMode="External" Id="rId178"/><Relationship Type="http://schemas.openxmlformats.org/officeDocument/2006/relationships/hyperlink" Target="obsidian://adv-uri?vault=Brain&amp;filepath=Sources/CELH/2019-FY/transcripts/CELH_2020-03-12_2019Q4%20Earnings.md&amp;line=169" TargetMode="External" Id="rId179"/><Relationship Type="http://schemas.openxmlformats.org/officeDocument/2006/relationships/hyperlink" Target="obsidian://adv-uri?vault=Brain&amp;filepath=Sources/CELH/2020-FY/transcripts/CELH_2021-03-11_2020Q4%20Earnings.md&amp;line=158" TargetMode="External" Id="rId180"/><Relationship Type="http://schemas.openxmlformats.org/officeDocument/2006/relationships/hyperlink" Target="obsidian://adv-uri?vault=Brain&amp;filepath=Sources/CELH/2021-Q2/transcripts/CELH_2021-08-12_2021Q2%20Earnings.md&amp;line=142" TargetMode="External" Id="rId181"/><Relationship Type="http://schemas.openxmlformats.org/officeDocument/2006/relationships/hyperlink" Target="obsidian://adv-uri?vault=Brain&amp;filepath=Sources/CELH/2021-Q3/transcripts/CELH_2021-11-11_2021Q3%20Earnings.md&amp;line=144" TargetMode="External" Id="rId182"/><Relationship Type="http://schemas.openxmlformats.org/officeDocument/2006/relationships/hyperlink" Target="obsidian://adv-uri?vault=Brain&amp;filepath=Sources/CELH/2022-Q1/transcripts/CELH_2022-05-10_2022Q1%20Earnings.md&amp;line=157" TargetMode="External" Id="rId183"/><Relationship Type="http://schemas.openxmlformats.org/officeDocument/2006/relationships/hyperlink" Target="obsidian://adv-uri?vault=Brain&amp;filepath=Sources/CELH/2022-Q3/transcripts/CELH_2022-11-09_2022Q3%20Earnings.md&amp;line=174" TargetMode="External" Id="rId184"/><Relationship Type="http://schemas.openxmlformats.org/officeDocument/2006/relationships/hyperlink" Target="obsidian://adv-uri?vault=Brain&amp;filepath=Sources/CELH/2023-Q1/transcripts/CELH_2023-06-01_Annual%20General%20Meeting.md&amp;line=151" TargetMode="External" Id="rId185"/><Relationship Type="http://schemas.openxmlformats.org/officeDocument/2006/relationships/hyperlink" Target="obsidian://adv-uri?vault=Brain&amp;filepath=Sources/CELH/2023-Q1/transcripts/CELH_2023-05-09_2023Q1%20Earnings.md&amp;line=173" TargetMode="External" Id="rId186"/><Relationship Type="http://schemas.openxmlformats.org/officeDocument/2006/relationships/hyperlink" Target="obsidian://adv-uri?vault=Brain&amp;filepath=Sources/CELH/2023-Q2/transcripts/CELH_2023-08-08_2023Q2%20Earnings.md&amp;line=220" TargetMode="External" Id="rId187"/><Relationship Type="http://schemas.openxmlformats.org/officeDocument/2006/relationships/hyperlink" Target="obsidian://adv-uri?vault=Brain&amp;filepath=Sources/CELH/2023-Q3/transcripts/CELH_2023-11-07_2023Q3%20Earnings.md&amp;line=230" TargetMode="External" Id="rId188"/><Relationship Type="http://schemas.openxmlformats.org/officeDocument/2006/relationships/hyperlink" Target="obsidian://adv-uri?vault=Brain&amp;filepath=Sources/CELH/2023-FY/transcripts/CELH_2024-02-29_2023Q4%20Earnings.md&amp;line=207" TargetMode="External" Id="rId189"/><Relationship Type="http://schemas.openxmlformats.org/officeDocument/2006/relationships/hyperlink" Target="obsidian://adv-uri?vault=Brain&amp;filepath=Sources/CELH/2025-Q2/transcripts/CELH_2025-08-07_2025Q2%20Earnings.md&amp;line=174" TargetMode="External" Id="rId190"/><Relationship Type="http://schemas.openxmlformats.org/officeDocument/2006/relationships/hyperlink" Target="obsidian://adv-uri?vault=Brain&amp;filepath=Sources/CELH/2018-Q3/transcripts/CELH_2018-11-09_2018Q3%20Earnings.md&amp;line=186" TargetMode="External" Id="rId191"/><Relationship Type="http://schemas.openxmlformats.org/officeDocument/2006/relationships/hyperlink" Target="obsidian://adv-uri?vault=Brain&amp;filepath=Sources/CELH/2018-Q3/transcripts/CELH_2018-11-09_2018Q3%20Earnings.md&amp;line=226" TargetMode="External" Id="rId192"/><Relationship Type="http://schemas.openxmlformats.org/officeDocument/2006/relationships/hyperlink" Target="obsidian://adv-uri?vault=Brain&amp;filepath=Sources/CELH/2018-FY/transcripts/CELH_2019-03-14_2018Q4%20Earnings.md&amp;line=221" TargetMode="External" Id="rId193"/><Relationship Type="http://schemas.openxmlformats.org/officeDocument/2006/relationships/hyperlink" Target="obsidian://adv-uri?vault=Brain&amp;filepath=Sources/CELH/2018-FY/transcripts/CELH_2019-03-14_2018Q4%20Earnings.md&amp;line=225" TargetMode="External" Id="rId194"/><Relationship Type="http://schemas.openxmlformats.org/officeDocument/2006/relationships/hyperlink" Target="obsidian://adv-uri?vault=Brain&amp;filepath=Sources/CELH/2019-Q1/transcripts/CELH_2019-05-09_2019Q1%20Earnings.md&amp;line=193" TargetMode="External" Id="rId195"/><Relationship Type="http://schemas.openxmlformats.org/officeDocument/2006/relationships/hyperlink" Target="obsidian://adv-uri?vault=Brain&amp;filepath=Sources/CELH/2019-Q2/transcripts/CELH_2019-08-08_2019Q2%20Earnings.md&amp;line=200" TargetMode="External" Id="rId196"/><Relationship Type="http://schemas.openxmlformats.org/officeDocument/2006/relationships/hyperlink" Target="obsidian://adv-uri?vault=Brain&amp;filepath=Sources/CELH/2019-Q2/transcripts/CELH_2019-08-08_2019Q2%20Earnings.md&amp;line=204" TargetMode="External" Id="rId197"/><Relationship Type="http://schemas.openxmlformats.org/officeDocument/2006/relationships/hyperlink" Target="obsidian://adv-uri?vault=Brain&amp;filepath=Sources/CELH/2019-Q3/transcripts/CELH_2019-11-07_2019Q3%20Earnings.md&amp;line=152" TargetMode="External" Id="rId198"/><Relationship Type="http://schemas.openxmlformats.org/officeDocument/2006/relationships/hyperlink" Target="obsidian://adv-uri?vault=Brain&amp;filepath=Sources/CELH/2019-FY/transcripts/CELH_2020-03-12_2019Q4%20Earnings.md&amp;line=165" TargetMode="External" Id="rId199"/><Relationship Type="http://schemas.openxmlformats.org/officeDocument/2006/relationships/hyperlink" Target="obsidian://adv-uri?vault=Brain&amp;filepath=Sources/CELH/2019-FY/transcripts/CELH_2020-03-12_2019Q4%20Earnings.md&amp;line=173" TargetMode="External" Id="rId200"/><Relationship Type="http://schemas.openxmlformats.org/officeDocument/2006/relationships/hyperlink" Target="obsidian://adv-uri?vault=Brain&amp;filepath=Sources/CELH/2020-FY/transcripts/CELH_2021-03-11_2020Q4%20Earnings.md&amp;line=162" TargetMode="External" Id="rId201"/><Relationship Type="http://schemas.openxmlformats.org/officeDocument/2006/relationships/hyperlink" Target="obsidian://adv-uri?vault=Brain&amp;filepath=Sources/CELH/2021-Q2/transcripts/CELH_2021-08-12_2021Q2%20Earnings.md&amp;line=142" TargetMode="External" Id="rId202"/><Relationship Type="http://schemas.openxmlformats.org/officeDocument/2006/relationships/hyperlink" Target="obsidian://adv-uri?vault=Brain&amp;filepath=Sources/CELH/2021-Q3/transcripts/CELH_2021-11-11_2021Q3%20Earnings.md&amp;line=144" TargetMode="External" Id="rId203"/><Relationship Type="http://schemas.openxmlformats.org/officeDocument/2006/relationships/hyperlink" Target="obsidian://adv-uri?vault=Brain&amp;filepath=Sources/CELH/2022-Q1/transcripts/CELH_2022-05-10_2022Q1%20Earnings.md&amp;line=157" TargetMode="External" Id="rId204"/><Relationship Type="http://schemas.openxmlformats.org/officeDocument/2006/relationships/hyperlink" Target="obsidian://adv-uri?vault=Brain&amp;filepath=Sources/CELH/2022-Q2/transcripts/CELH_2022-08-09_2022Q2%20Earnings.md&amp;line=142" TargetMode="External" Id="rId205"/><Relationship Type="http://schemas.openxmlformats.org/officeDocument/2006/relationships/hyperlink" Target="obsidian://adv-uri?vault=Brain&amp;filepath=Sources/CELH/2022-Q3/transcripts/CELH_2022-11-09_2022Q3%20Earnings.md&amp;line=140" TargetMode="External" Id="rId206"/><Relationship Type="http://schemas.openxmlformats.org/officeDocument/2006/relationships/hyperlink" Target="obsidian://adv-uri?vault=Brain&amp;filepath=Sources/CELH/2023-Q1/transcripts/CELH_2023-06-01_Annual%20General%20Meeting.md&amp;line=159" TargetMode="External" Id="rId207"/><Relationship Type="http://schemas.openxmlformats.org/officeDocument/2006/relationships/hyperlink" Target="obsidian://adv-uri?vault=Brain&amp;filepath=Sources/CELH/2023-Q1/transcripts/CELH_2023-05-09_2023Q1%20Earnings.md&amp;line=144" TargetMode="External" Id="rId208"/><Relationship Type="http://schemas.openxmlformats.org/officeDocument/2006/relationships/hyperlink" Target="obsidian://adv-uri?vault=Brain&amp;filepath=Sources/CELH/2023-Q2/transcripts/CELH_2023-08-08_2023Q2%20Earnings.md&amp;line=224" TargetMode="External" Id="rId209"/><Relationship Type="http://schemas.openxmlformats.org/officeDocument/2006/relationships/hyperlink" Target="obsidian://adv-uri?vault=Brain&amp;filepath=Sources/CELH/2023-Q3/transcripts/CELH_2023-11-07_2023Q3%20Earnings.md&amp;line=238" TargetMode="External" Id="rId210"/><Relationship Type="http://schemas.openxmlformats.org/officeDocument/2006/relationships/hyperlink" Target="obsidian://adv-uri?vault=Brain&amp;filepath=Sources/CELH/2023-FY/transcripts/CELH_2024-02-29_2023Q4%20Earnings.md&amp;line=219" TargetMode="External" Id="rId211"/><Relationship Type="http://schemas.openxmlformats.org/officeDocument/2006/relationships/hyperlink" Target="obsidian://adv-uri?vault=Brain&amp;filepath=Sources/CELH/2024-Q1/transcripts/CELH_2024-05-07_2024Q1%20Earnings.md&amp;line=184" TargetMode="External" Id="rId212"/><Relationship Type="http://schemas.openxmlformats.org/officeDocument/2006/relationships/hyperlink" Target="obsidian://adv-uri?vault=Brain&amp;filepath=Sources/CELH/2025-Q2/transcripts/CELH_2025-08-07_2025Q2%20Earnings.md&amp;line=178" TargetMode="External" Id="rId213"/><Relationship Type="http://schemas.openxmlformats.org/officeDocument/2006/relationships/hyperlink" Target="obsidian://adv-uri?vault=Brain&amp;filepath=Sources/CELH/2018-Q3/transcripts/CELH_2018-11-09_2018Q3%20Earnings.md&amp;line=190" TargetMode="External" Id="rId214"/><Relationship Type="http://schemas.openxmlformats.org/officeDocument/2006/relationships/hyperlink" Target="obsidian://adv-uri?vault=Brain&amp;filepath=Sources/CELH/2018-Q3/transcripts/CELH_2018-11-09_2018Q3%20Earnings.md&amp;line=230" TargetMode="External" Id="rId215"/><Relationship Type="http://schemas.openxmlformats.org/officeDocument/2006/relationships/hyperlink" Target="obsidian://adv-uri?vault=Brain&amp;filepath=Sources/CELH/2018-FY/transcripts/CELH_2019-03-14_2018Q4%20Earnings.md&amp;line=229" TargetMode="External" Id="rId216"/><Relationship Type="http://schemas.openxmlformats.org/officeDocument/2006/relationships/hyperlink" Target="obsidian://adv-uri?vault=Brain&amp;filepath=Sources/CELH/2018-FY/transcripts/CELH_2019-03-14_2018Q4%20Earnings.md&amp;line=237" TargetMode="External" Id="rId217"/><Relationship Type="http://schemas.openxmlformats.org/officeDocument/2006/relationships/hyperlink" Target="obsidian://adv-uri?vault=Brain&amp;filepath=Sources/CELH/2019-Q1/transcripts/CELH_2019-05-09_2019Q1%20Earnings.md&amp;line=205" TargetMode="External" Id="rId218"/><Relationship Type="http://schemas.openxmlformats.org/officeDocument/2006/relationships/hyperlink" Target="obsidian://adv-uri?vault=Brain&amp;filepath=Sources/CELH/2019-Q2/transcripts/CELH_2019-08-08_2019Q2%20Earnings.md&amp;line=208" TargetMode="External" Id="rId219"/><Relationship Type="http://schemas.openxmlformats.org/officeDocument/2006/relationships/hyperlink" Target="obsidian://adv-uri?vault=Brain&amp;filepath=Sources/CELH/2019-Q2/transcripts/CELH_2019-08-08_2019Q2%20Earnings.md&amp;line=218" TargetMode="External" Id="rId220"/><Relationship Type="http://schemas.openxmlformats.org/officeDocument/2006/relationships/hyperlink" Target="obsidian://adv-uri?vault=Brain&amp;filepath=Sources/CELH/2019-Q3/transcripts/CELH_2019-11-07_2019Q3%20Earnings.md&amp;line=156" TargetMode="External" Id="rId221"/><Relationship Type="http://schemas.openxmlformats.org/officeDocument/2006/relationships/hyperlink" Target="obsidian://adv-uri?vault=Brain&amp;filepath=Sources/CELH/2019-Q3/transcripts/CELH_2019-11-07_2019Q3%20Earnings.md&amp;line=193" TargetMode="External" Id="rId222"/><Relationship Type="http://schemas.openxmlformats.org/officeDocument/2006/relationships/hyperlink" Target="obsidian://adv-uri?vault=Brain&amp;filepath=Sources/CELH/2019-FY/transcripts/CELH_2020-03-12_2019Q4%20Earnings.md&amp;line=177" TargetMode="External" Id="rId223"/><Relationship Type="http://schemas.openxmlformats.org/officeDocument/2006/relationships/hyperlink" Target="obsidian://adv-uri?vault=Brain&amp;filepath=Sources/CELH/2019-FY/transcripts/CELH_2020-03-12_2019Q4%20Earnings.md&amp;line=181" TargetMode="External" Id="rId224"/><Relationship Type="http://schemas.openxmlformats.org/officeDocument/2006/relationships/hyperlink" Target="obsidian://adv-uri?vault=Brain&amp;filepath=Sources/CELH/2020-FY/transcripts/CELH_2021-03-11_2020Q4%20Earnings.md&amp;line=170" TargetMode="External" Id="rId225"/><Relationship Type="http://schemas.openxmlformats.org/officeDocument/2006/relationships/hyperlink" Target="obsidian://adv-uri?vault=Brain&amp;filepath=Sources/CELH/2021-Q2/transcripts/CELH_2021-08-12_2021Q2%20Earnings.md&amp;line=204" TargetMode="External" Id="rId226"/><Relationship Type="http://schemas.openxmlformats.org/officeDocument/2006/relationships/hyperlink" Target="obsidian://adv-uri?vault=Brain&amp;filepath=Sources/CELH/2021-Q2/transcripts/CELH_2021-08-19_Annual%20Shareholder%20Meeting.md&amp;line=119" TargetMode="External" Id="rId227"/><Relationship Type="http://schemas.openxmlformats.org/officeDocument/2006/relationships/hyperlink" Target="obsidian://adv-uri?vault=Brain&amp;filepath=Sources/CELH/2021-Q3/transcripts/CELH_2021-11-11_2021Q3%20Earnings.md&amp;line=213" TargetMode="External" Id="rId228"/><Relationship Type="http://schemas.openxmlformats.org/officeDocument/2006/relationships/hyperlink" Target="obsidian://adv-uri?vault=Brain&amp;filepath=Sources/CELH/2022-Q1/transcripts/CELH_2022-06-02_Annual%20Shareholder%20Meeting.md&amp;line=145" TargetMode="External" Id="rId229"/><Relationship Type="http://schemas.openxmlformats.org/officeDocument/2006/relationships/hyperlink" Target="obsidian://adv-uri?vault=Brain&amp;filepath=Sources/CELH/2022-Q1/transcripts/CELH_2022-05-10_2022Q1%20Earnings.md&amp;line=218" TargetMode="External" Id="rId230"/><Relationship Type="http://schemas.openxmlformats.org/officeDocument/2006/relationships/hyperlink" Target="obsidian://adv-uri?vault=Brain&amp;filepath=Sources/CELH/2022-Q2/transcripts/CELH_2022-08-09_2022Q2%20Earnings.md&amp;line=189" TargetMode="External" Id="rId231"/><Relationship Type="http://schemas.openxmlformats.org/officeDocument/2006/relationships/hyperlink" Target="obsidian://adv-uri?vault=Brain&amp;filepath=Sources/CELH/2023-Q3/transcripts/CELH_2023-11-07_2023Q3%20Earnings.md&amp;line=205" TargetMode="External" Id="rId232"/><Relationship Type="http://schemas.openxmlformats.org/officeDocument/2006/relationships/hyperlink" Target="obsidian://adv-uri?vault=Brain&amp;filepath=Sources/CELH/2024-Q1/transcripts/CELH_2024-05-07_2024Q1%20Earnings.md&amp;line=196" TargetMode="External" Id="rId233"/><Relationship Type="http://schemas.openxmlformats.org/officeDocument/2006/relationships/hyperlink" Target="obsidian://adv-uri?vault=Brain&amp;filepath=Sources/CELH/2024-FY/transcripts/CELH_2025-02-20_2024Q4%20Earnings.md&amp;line=216" TargetMode="External" Id="rId234"/><Relationship Type="http://schemas.openxmlformats.org/officeDocument/2006/relationships/hyperlink" Target="obsidian://adv-uri?vault=Brain&amp;filepath=Sources/CELH/2024-FY/transcripts/CELH_2025-02-20_2024Q4%20Earnings.md&amp;line=240" TargetMode="External" Id="rId235"/><Relationship Type="http://schemas.openxmlformats.org/officeDocument/2006/relationships/hyperlink" Target="obsidian://adv-uri?vault=Brain&amp;filepath=Sources/CELH/2025-Q1/transcripts/CELH_2025-05-06_2025Q1%20Earnings.md&amp;line=196" TargetMode="External" Id="rId236"/><Relationship Type="http://schemas.openxmlformats.org/officeDocument/2006/relationships/hyperlink" Target="obsidian://adv-uri?vault=Brain&amp;filepath=Sources/CELH/2025-Q2/transcripts/CELH_2025-08-07_2025Q2%20Earnings.md&amp;line=182" TargetMode="External" Id="rId237"/><Relationship Type="http://schemas.openxmlformats.org/officeDocument/2006/relationships/hyperlink" Target="obsidian://adv-uri?vault=Brain&amp;filepath=Sources/CELH/2025-FY/transcripts/CELH_2026-02-26_2025Q4%20Earnings%20Press%20Release.md&amp;line=134" TargetMode="External" Id="rId238"/><Relationship Type="http://schemas.openxmlformats.org/officeDocument/2006/relationships/hyperlink" Target="obsidian://adv-uri?vault=Brain&amp;filepath=Sources/CELH/2026-Q1/transcripts/CELH_2026-05-07_2026Q1%20Earnings.md&amp;line=214" TargetMode="External" Id="rId239"/><Relationship Type="http://schemas.openxmlformats.org/officeDocument/2006/relationships/hyperlink" Target="obsidian://adv-uri?vault=Brain&amp;filepath=Sources/CELH/2018-Q3/transcripts/CELH_2018-11-09_2018Q3%20Earnings.md&amp;line=198" TargetMode="External" Id="rId240"/><Relationship Type="http://schemas.openxmlformats.org/officeDocument/2006/relationships/hyperlink" Target="obsidian://adv-uri?vault=Brain&amp;filepath=Sources/CELH/2018-Q3/transcripts/CELH_2018-11-09_2018Q3%20Earnings.md&amp;line=234" TargetMode="External" Id="rId241"/><Relationship Type="http://schemas.openxmlformats.org/officeDocument/2006/relationships/hyperlink" Target="obsidian://adv-uri?vault=Brain&amp;filepath=Sources/CELH/2018-FY/transcripts/CELH_2019-03-14_2018Q4%20Earnings.md&amp;line=245" TargetMode="External" Id="rId242"/><Relationship Type="http://schemas.openxmlformats.org/officeDocument/2006/relationships/hyperlink" Target="obsidian://adv-uri?vault=Brain&amp;filepath=Sources/CELH/2018-FY/transcripts/CELH_2019-03-14_2018Q4%20Earnings.md&amp;line=253" TargetMode="External" Id="rId243"/><Relationship Type="http://schemas.openxmlformats.org/officeDocument/2006/relationships/hyperlink" Target="obsidian://adv-uri?vault=Brain&amp;filepath=Sources/CELH/2019-Q1/transcripts/CELH_2019-05-09_2019Q1%20Earnings.md&amp;line=213" TargetMode="External" Id="rId244"/><Relationship Type="http://schemas.openxmlformats.org/officeDocument/2006/relationships/hyperlink" Target="obsidian://adv-uri?vault=Brain&amp;filepath=Sources/CELH/2019-Q2/transcripts/CELH_2019-08-08_2019Q2%20Earnings.md&amp;line=213" TargetMode="External" Id="rId245"/><Relationship Type="http://schemas.openxmlformats.org/officeDocument/2006/relationships/hyperlink" Target="obsidian://adv-uri?vault=Brain&amp;filepath=Sources/CELH/2019-Q2/transcripts/CELH_2019-08-08_2019Q2%20Earnings.md&amp;line=222" TargetMode="External" Id="rId246"/><Relationship Type="http://schemas.openxmlformats.org/officeDocument/2006/relationships/hyperlink" Target="obsidian://adv-uri?vault=Brain&amp;filepath=Sources/CELH/2019-Q3/transcripts/CELH_2019-11-07_2019Q3%20Earnings.md&amp;line=165" TargetMode="External" Id="rId247"/><Relationship Type="http://schemas.openxmlformats.org/officeDocument/2006/relationships/hyperlink" Target="obsidian://adv-uri?vault=Brain&amp;filepath=Sources/CELH/2019-FY/transcripts/CELH_2020-03-12_2019Q4%20Earnings.md&amp;line=114" TargetMode="External" Id="rId248"/><Relationship Type="http://schemas.openxmlformats.org/officeDocument/2006/relationships/hyperlink" Target="obsidian://adv-uri?vault=Brain&amp;filepath=Sources/CELH/2019-FY/transcripts/CELH_2020-03-12_2019Q4%20Earnings.md&amp;line=189" TargetMode="External" Id="rId249"/><Relationship Type="http://schemas.openxmlformats.org/officeDocument/2006/relationships/hyperlink" Target="obsidian://adv-uri?vault=Brain&amp;filepath=Sources/CELH/2020-FY/transcripts/CELH_2021-03-11_2020Q4%20Earnings.md&amp;line=175" TargetMode="External" Id="rId250"/><Relationship Type="http://schemas.openxmlformats.org/officeDocument/2006/relationships/hyperlink" Target="obsidian://adv-uri?vault=Brain&amp;filepath=Sources/CELH/2021-Q2/transcripts/CELH_2021-08-12_2021Q2%20Earnings.md&amp;line=212" TargetMode="External" Id="rId251"/><Relationship Type="http://schemas.openxmlformats.org/officeDocument/2006/relationships/hyperlink" Target="obsidian://adv-uri?vault=Brain&amp;filepath=Sources/CELH/2021-Q2/transcripts/CELH_2021-08-19_Annual%20Shareholder%20Meeting.md&amp;line=119" TargetMode="External" Id="rId252"/><Relationship Type="http://schemas.openxmlformats.org/officeDocument/2006/relationships/hyperlink" Target="obsidian://adv-uri?vault=Brain&amp;filepath=Sources/CELH/2022-Q1/transcripts/CELH_2022-06-02_Annual%20Shareholder%20Meeting.md&amp;line=177" TargetMode="External" Id="rId253"/><Relationship Type="http://schemas.openxmlformats.org/officeDocument/2006/relationships/hyperlink" Target="obsidian://adv-uri?vault=Brain&amp;filepath=Sources/CELH/2023-Q1/transcripts/CELH_2023-05-09_2023Q1%20Earnings.md&amp;line=169" TargetMode="External" Id="rId254"/><Relationship Type="http://schemas.openxmlformats.org/officeDocument/2006/relationships/hyperlink" Target="obsidian://adv-uri?vault=Brain&amp;filepath=Sources/CELH/2024-Q1/transcripts/CELH_2024-05-07_2024Q1%20Earnings.md&amp;line=192" TargetMode="External" Id="rId255"/><Relationship Type="http://schemas.openxmlformats.org/officeDocument/2006/relationships/hyperlink" Target="obsidian://adv-uri?vault=Brain&amp;filepath=Sources/CELH/2025-Q1/transcripts/CELH_2025-05-28_Acquiring%20Alani%20Nu.md&amp;line=164" TargetMode="External" Id="rId256"/><Relationship Type="http://schemas.openxmlformats.org/officeDocument/2006/relationships/hyperlink" Target="obsidian://adv-uri?vault=Brain&amp;filepath=Sources/CELH/2025-Q1/transcripts/CELH_2025-05-06_2025Q1%20Earnings.md&amp;line=169" TargetMode="External" Id="rId257"/><Relationship Type="http://schemas.openxmlformats.org/officeDocument/2006/relationships/hyperlink" Target="obsidian://adv-uri?vault=Brain&amp;filepath=Sources/CELH/2025-Q2/transcripts/CELH_2025-08-07_2025Q2%20Earnings.md&amp;line=198" TargetMode="External" Id="rId258"/><Relationship Type="http://schemas.openxmlformats.org/officeDocument/2006/relationships/hyperlink" Target="obsidian://adv-uri?vault=Brain&amp;filepath=Sources/CELH/2025-Q2/transcripts/CELH_2025-08-07_2025Q2%20Earnings.md&amp;line=250" TargetMode="External" Id="rId259"/><Relationship Type="http://schemas.openxmlformats.org/officeDocument/2006/relationships/hyperlink" Target="obsidian://adv-uri?vault=Brain&amp;filepath=Sources/CELH/2025-FY/transcripts/CELH_2026-02-26_2025Q4%20Earnings%20Press%20Release.md&amp;line=134" TargetMode="External" Id="rId260"/><Relationship Type="http://schemas.openxmlformats.org/officeDocument/2006/relationships/hyperlink" Target="obsidian://adv-uri?vault=Brain&amp;filepath=Sources/CELH/2026-Q1/transcripts/CELH_2026-05-07_2026Q1%20Earnings.md&amp;line=218" TargetMode="External" Id="rId261"/><Relationship Type="http://schemas.openxmlformats.org/officeDocument/2006/relationships/hyperlink" Target="obsidian://adv-uri?vault=Brain&amp;filepath=Sources/CELH/2018-FY/transcripts/CELH_2019-03-14_2018Q4%20Earnings.md&amp;line=270" TargetMode="External" Id="rId262"/><Relationship Type="http://schemas.openxmlformats.org/officeDocument/2006/relationships/hyperlink" Target="obsidian://adv-uri?vault=Brain&amp;filepath=Sources/CELH/2019-FY/transcripts/CELH_2020-03-12_2019Q4%20Earnings.md&amp;line=201" TargetMode="External" Id="rId263"/><Relationship Type="http://schemas.openxmlformats.org/officeDocument/2006/relationships/hyperlink" Target="obsidian://adv-uri?vault=Brain&amp;filepath=Sources/CELH/2020-FY/transcripts/CELH_2021-03-11_2020Q4%20Earnings.md&amp;line=195" TargetMode="External" Id="rId264"/><Relationship Type="http://schemas.openxmlformats.org/officeDocument/2006/relationships/hyperlink" Target="obsidian://adv-uri?vault=Brain&amp;filepath=Sources/CELH/2021-Q2/transcripts/CELH_2021-08-12_2021Q2%20Earnings.md&amp;line=142" TargetMode="External" Id="rId265"/><Relationship Type="http://schemas.openxmlformats.org/officeDocument/2006/relationships/hyperlink" Target="obsidian://adv-uri?vault=Brain&amp;filepath=Sources/CELH/2021-Q3/transcripts/CELH_2021-11-11_2021Q3%20Earnings.md&amp;line=144" TargetMode="External" Id="rId266"/><Relationship Type="http://schemas.openxmlformats.org/officeDocument/2006/relationships/hyperlink" Target="obsidian://adv-uri?vault=Brain&amp;filepath=Sources/CELH/2022-Q1/transcripts/CELH_2022-05-25_Credit%20Suisse%20Conference.md&amp;line=150" TargetMode="External" Id="rId267"/><Relationship Type="http://schemas.openxmlformats.org/officeDocument/2006/relationships/hyperlink" Target="obsidian://adv-uri?vault=Brain&amp;filepath=Sources/CELH/2023-Q2/transcripts/CELH_2023-08-08_2023Q2%20Earnings.md&amp;line=260" TargetMode="External" Id="rId268"/><Relationship Type="http://schemas.openxmlformats.org/officeDocument/2006/relationships/hyperlink" Target="obsidian://adv-uri?vault=Brain&amp;filepath=Sources/CELH/2023-Q3/transcripts/CELH_2023-11-07_2023Q3%20Earnings.md&amp;line=266" TargetMode="External" Id="rId269"/><Relationship Type="http://schemas.openxmlformats.org/officeDocument/2006/relationships/hyperlink" Target="obsidian://adv-uri?vault=Brain&amp;filepath=Sources/CELH/2024-Q1/transcripts/CELH_2024-05-07_2024Q1%20Earnings.md&amp;line=208" TargetMode="External" Id="rId270"/><Relationship Type="http://schemas.openxmlformats.org/officeDocument/2006/relationships/hyperlink" Target="obsidian://adv-uri?vault=Brain&amp;filepath=Sources/CELH/2018-Q3/transcripts/CELH_2018-11-09_2018Q3%20Earnings.md&amp;line=146" TargetMode="External" Id="rId271"/><Relationship Type="http://schemas.openxmlformats.org/officeDocument/2006/relationships/hyperlink" Target="obsidian://adv-uri?vault=Brain&amp;filepath=Sources/CELH/2018-FY/transcripts/CELH_2019-03-14_2018Q4%20Earnings.md&amp;line=147" TargetMode="External" Id="rId272"/><Relationship Type="http://schemas.openxmlformats.org/officeDocument/2006/relationships/hyperlink" Target="obsidian://adv-uri?vault=Brain&amp;filepath=Sources/CELH/2019-FY/transcripts/CELH_2020-03-12_2019Q4%20Earnings.md&amp;line=193" TargetMode="External" Id="rId273"/><Relationship Type="http://schemas.openxmlformats.org/officeDocument/2006/relationships/hyperlink" Target="obsidian://adv-uri?vault=Brain&amp;filepath=Sources/CELH/2020-FY/transcripts/CELH_2021-03-11_2020Q4%20Earnings.md&amp;line=187" TargetMode="External" Id="rId274"/><Relationship Type="http://schemas.openxmlformats.org/officeDocument/2006/relationships/hyperlink" Target="obsidian://adv-uri?vault=Brain&amp;filepath=Sources/CELH/2021-Q2/transcripts/CELH_2021-08-12_2021Q2%20Earnings.md&amp;line=216" TargetMode="External" Id="rId275"/><Relationship Type="http://schemas.openxmlformats.org/officeDocument/2006/relationships/hyperlink" Target="obsidian://adv-uri?vault=Brain&amp;filepath=Sources/CELH/2021-Q3/transcripts/CELH_2021-11-11_2021Q3%20Earnings.md&amp;line=221" TargetMode="External" Id="rId276"/><Relationship Type="http://schemas.openxmlformats.org/officeDocument/2006/relationships/hyperlink" Target="obsidian://adv-uri?vault=Brain&amp;filepath=Sources/CELH/2021-FY/transcripts/CELH_2022-03-01_2021Q4%20Earnings.md&amp;line=182" TargetMode="External" Id="rId277"/><Relationship Type="http://schemas.openxmlformats.org/officeDocument/2006/relationships/hyperlink" Target="obsidian://adv-uri?vault=Brain&amp;filepath=Sources/CELH/2023-Q1/transcripts/CELH_2023-06-01_Annual%20General%20Meeting.md&amp;line=163" TargetMode="External" Id="rId278"/><Relationship Type="http://schemas.openxmlformats.org/officeDocument/2006/relationships/hyperlink" Target="obsidian://adv-uri?vault=Brain&amp;filepath=Sources/CELH/2023-Q1/transcripts/CELH_2023-05-09_2023Q1%20Earnings.md&amp;line=209" TargetMode="External" Id="rId279"/><Relationship Type="http://schemas.openxmlformats.org/officeDocument/2006/relationships/hyperlink" Target="obsidian://adv-uri?vault=Brain&amp;filepath=Sources/CELH/2024-Q1/transcripts/CELH_2024-05-07_2024Q1%20Earnings.md&amp;line=204" TargetMode="External" Id="rId280"/><Relationship Type="http://schemas.openxmlformats.org/officeDocument/2006/relationships/hyperlink" Target="obsidian://adv-uri?vault=Brain&amp;filepath=Sources/CELH/2025-Q1/transcripts/CELH_2025-05-06_2025Q1%20Earnings.md&amp;line=208" TargetMode="External" Id="rId281"/><Relationship Type="http://schemas.openxmlformats.org/officeDocument/2006/relationships/hyperlink" Target="obsidian://adv-uri?vault=Brain&amp;filepath=Sources/CELH/2025-FY/transcripts/CELH_2026-02-26_2025Q4%20Earnings%20Press%20Release.md&amp;line=134" TargetMode="External" Id="rId282"/><Relationship Type="http://schemas.openxmlformats.org/officeDocument/2006/relationships/hyperlink" Target="obsidian://adv-uri?vault=Brain&amp;filepath=Sources/CELH/2018-Q3/transcripts/CELH_2018-11-09_2018Q3%20Earnings.md&amp;line=146" TargetMode="External" Id="rId283"/><Relationship Type="http://schemas.openxmlformats.org/officeDocument/2006/relationships/hyperlink" Target="obsidian://adv-uri?vault=Brain&amp;filepath=Sources/CELH/2018-FY/transcripts/CELH_2019-03-14_2018Q4%20Earnings.md&amp;line=147" TargetMode="External" Id="rId284"/><Relationship Type="http://schemas.openxmlformats.org/officeDocument/2006/relationships/hyperlink" Target="obsidian://adv-uri?vault=Brain&amp;filepath=Sources/CELH/2019-FY/transcripts/CELH_2020-03-12_2019Q4%20Earnings.md&amp;line=197" TargetMode="External" Id="rId285"/><Relationship Type="http://schemas.openxmlformats.org/officeDocument/2006/relationships/hyperlink" Target="obsidian://adv-uri?vault=Brain&amp;filepath=Sources/CELH/2020-FY/transcripts/CELH_2021-03-11_2020Q4%20Earnings.md&amp;line=191" TargetMode="External" Id="rId286"/><Relationship Type="http://schemas.openxmlformats.org/officeDocument/2006/relationships/hyperlink" Target="obsidian://adv-uri?vault=Brain&amp;filepath=Sources/CELH/2021-Q2/transcripts/CELH_2021-08-12_2021Q2%20Earnings.md&amp;line=220" TargetMode="External" Id="rId287"/><Relationship Type="http://schemas.openxmlformats.org/officeDocument/2006/relationships/hyperlink" Target="obsidian://adv-uri?vault=Brain&amp;filepath=Sources/CELH/2021-Q3/transcripts/CELH_2021-11-11_2021Q3%20Earnings.md&amp;line=225" TargetMode="External" Id="rId288"/><Relationship Type="http://schemas.openxmlformats.org/officeDocument/2006/relationships/hyperlink" Target="obsidian://adv-uri?vault=Brain&amp;filepath=Sources/CELH/2021-FY/transcripts/CELH_2022-03-01_2021Q4%20Earnings.md&amp;line=186" TargetMode="External" Id="rId289"/><Relationship Type="http://schemas.openxmlformats.org/officeDocument/2006/relationships/hyperlink" Target="obsidian://adv-uri?vault=Brain&amp;filepath=Sources/CELH/2023-Q1/transcripts/CELH_2023-06-01_Annual%20General%20Meeting.md&amp;line=167" TargetMode="External" Id="rId290"/><Relationship Type="http://schemas.openxmlformats.org/officeDocument/2006/relationships/hyperlink" Target="obsidian://adv-uri?vault=Brain&amp;filepath=Sources/CELH/2023-Q1/transcripts/CELH_2023-05-09_2023Q1%20Earnings.md&amp;line=144" TargetMode="External" Id="rId291"/><Relationship Type="http://schemas.openxmlformats.org/officeDocument/2006/relationships/hyperlink" Target="obsidian://adv-uri?vault=Brain&amp;filepath=Sources/CELH/2021-FY/transcripts/CELH_2022-03-01_2021Q4%20Earnings.md&amp;line=121" TargetMode="External" Id="rId292"/><Relationship Type="http://schemas.openxmlformats.org/officeDocument/2006/relationships/hyperlink" Target="obsidian://adv-uri?vault=Brain&amp;filepath=Sources/CELH/2022-Q2/transcripts/CELH_2022-08-09_2022Q2%20Earnings.md&amp;line=142" TargetMode="External" Id="rId293"/><Relationship Type="http://schemas.openxmlformats.org/officeDocument/2006/relationships/hyperlink" Target="obsidian://adv-uri?vault=Brain&amp;filepath=Sources/CELH/2022-Q3/transcripts/CELH_2022-11-09_2022Q3%20Earnings.md&amp;line=140" TargetMode="External" Id="rId294"/><Relationship Type="http://schemas.openxmlformats.org/officeDocument/2006/relationships/hyperlink" Target="obsidian://adv-uri?vault=Brain&amp;filepath=Sources/CELH/2022-Q3/transcripts/CELH_2022-11-09_2022Q3%20Earnings.md&amp;line=140" TargetMode="External" Id="rId295"/><Relationship Type="http://schemas.openxmlformats.org/officeDocument/2006/relationships/hyperlink" Target="obsidian://adv-uri?vault=Brain&amp;filepath=Sources/CELH/2022-Q2/transcripts/CELH_2022-08-09_2022Q2%20Earnings.md&amp;line=142" TargetMode="External" Id="rId296"/><Relationship Type="http://schemas.openxmlformats.org/officeDocument/2006/relationships/hyperlink" Target="obsidian://adv-uri?vault=Brain&amp;filepath=Sources/CELH/2020-FY/transcripts/CELH_2021-03-11_2020Q4%20Earnings.md&amp;line=115" TargetMode="External" Id="rId297"/><Relationship Type="http://schemas.openxmlformats.org/officeDocument/2006/relationships/hyperlink" Target="obsidian://adv-uri?vault=Brain&amp;filepath=Sources/CELH/2025-FY/transcripts/CELH_2026-02-26_2025Q4%20Earnings%20Press%20Release.md&amp;line=134" TargetMode="External" Id="rId298"/><Relationship Type="http://schemas.openxmlformats.org/officeDocument/2006/relationships/hyperlink" Target="obsidian://adv-uri?vault=Brain&amp;filepath=Sources/CELH/2025-FY/transcripts/CELH_2026-02-26_2025Q4%20Earnings%20Press%20Release.md&amp;line=134" TargetMode="External" Id="rId299"/><Relationship Type="http://schemas.openxmlformats.org/officeDocument/2006/relationships/hyperlink" Target="obsidian://adv-uri?vault=Brain&amp;filepath=Sources/CELH/2025-Q2/transcripts/CELH_2025-08-07_2025Q2%20Earnings.md&amp;line=146" TargetMode="External" Id="rId300"/><Relationship Type="http://schemas.openxmlformats.org/officeDocument/2006/relationships/hyperlink" Target="obsidian://adv-uri?vault=Brain&amp;filepath=Sources/CELH/2025-FY/transcripts/CELH_2026-02-26_2025Q4%20Earnings%20Press%20Release.md&amp;line=134" TargetMode="External" Id="rId301"/><Relationship Type="http://schemas.openxmlformats.org/officeDocument/2006/relationships/hyperlink" Target="obsidian://adv-uri?vault=Brain&amp;filepath=Sources/CELH/2022-FY/transcripts/CELH_2023-03-01_2022Q4%20Earnings.md&amp;line=227" TargetMode="External" Id="rId302"/><Relationship Type="http://schemas.openxmlformats.org/officeDocument/2006/relationships/hyperlink" Target="obsidian://adv-uri?vault=Brain&amp;filepath=Sources/CELH/2018-Q3/transcripts/CELH_2018-11-09_2018Q3%20Earnings.md&amp;line=238" TargetMode="External" Id="rId303"/><Relationship Type="http://schemas.openxmlformats.org/officeDocument/2006/relationships/hyperlink" Target="obsidian://adv-uri?vault=Brain&amp;filepath=Sources/CELH/2018-FY/transcripts/CELH_2019-03-14_2018Q4%20Earnings.md&amp;line=257" TargetMode="External" Id="rId304"/><Relationship Type="http://schemas.openxmlformats.org/officeDocument/2006/relationships/hyperlink" Target="obsidian://adv-uri?vault=Brain&amp;filepath=Sources/CELH/2021-Q2/transcripts/CELH_2021-08-12_2021Q2%20Earnings.md&amp;line=180" TargetMode="External" Id="rId305"/><Relationship Type="http://schemas.openxmlformats.org/officeDocument/2006/relationships/hyperlink" Target="obsidian://adv-uri?vault=Brain&amp;filepath=Sources/CELH/2021-Q3/transcripts/CELH_2021-11-11_2021Q3%20Earnings.md&amp;line=185" TargetMode="External" Id="rId306"/><Relationship Type="http://schemas.openxmlformats.org/officeDocument/2006/relationships/hyperlink" Target="obsidian://adv-uri?vault=Brain&amp;filepath=Sources/CELH/2024-FY/transcripts/CELH_2025-02-20_2024Q4%20Earnings.md&amp;line=220" TargetMode="External" Id="rId307"/><Relationship Type="http://schemas.openxmlformats.org/officeDocument/2006/relationships/hyperlink" Target="obsidian://adv-uri?vault=Brain&amp;filepath=Sources/CELH/2024-FY/transcripts/CELH_2025-02-20_2024Q4%20Earnings.md&amp;line=244" TargetMode="External" Id="rId308"/><Relationship Type="http://schemas.openxmlformats.org/officeDocument/2006/relationships/hyperlink" Target="obsidian://adv-uri?vault=Brain&amp;filepath=Sources/CELH/2025-Q1/transcripts/CELH_2025-05-06_2025Q1%20Earnings.md&amp;line=204" TargetMode="External" Id="rId309"/><Relationship Type="http://schemas.openxmlformats.org/officeDocument/2006/relationships/hyperlink" Target="obsidian://adv-uri?vault=Brain&amp;filepath=Sources/CELH/2025-Q2/transcripts/CELH_2025-08-07_2025Q2%20Earnings.md&amp;line=194" TargetMode="External" Id="rId310"/><Relationship Type="http://schemas.openxmlformats.org/officeDocument/2006/relationships/hyperlink" Target="obsidian://adv-uri?vault=Brain&amp;filepath=Sources/CELH/2025-Q2/transcripts/CELH_2025-08-07_2025Q2%20Earnings.md&amp;line=254" TargetMode="External" Id="rId311"/><Relationship Type="http://schemas.openxmlformats.org/officeDocument/2006/relationships/hyperlink" Target="obsidian://adv-uri?vault=Brain&amp;filepath=Sources/CELH/2025-FY/transcripts/CELH_2026-02-26_2025Q4%20Earnings%20Press%20Release.md&amp;line=134" TargetMode="External" Id="rId312"/><Relationship Type="http://schemas.openxmlformats.org/officeDocument/2006/relationships/hyperlink" Target="obsidian://adv-uri?vault=Brain&amp;filepath=Sources/CELH/2024-FY/transcripts/CELH_2025-02-20_2024Q4%20Earnings.md&amp;line=208" TargetMode="External" Id="rId313"/><Relationship Type="http://schemas.openxmlformats.org/officeDocument/2006/relationships/hyperlink" Target="obsidian://adv-uri?vault=Brain&amp;filepath=Sources/CELH/2025-Q1/transcripts/CELH_2025-05-28_Acquiring%20Alani%20Nu.md&amp;line=168" TargetMode="External" Id="rId314"/><Relationship Type="http://schemas.openxmlformats.org/officeDocument/2006/relationships/hyperlink" Target="obsidian://adv-uri?vault=Brain&amp;filepath=Sources/CELH/2025-Q1/transcripts/CELH_2025-05-06_2025Q1%20Earnings.md&amp;line=174" TargetMode="External" Id="rId315"/><Relationship Type="http://schemas.openxmlformats.org/officeDocument/2006/relationships/hyperlink" Target="obsidian://adv-uri?vault=Brain&amp;filepath=Sources/CELH/2025-FY/transcripts/CELH_2026-02-26_2025Q4%20Earnings%20Press%20Release.md&amp;line=134" TargetMode="External" Id="rId316"/><Relationship Type="http://schemas.openxmlformats.org/officeDocument/2006/relationships/hyperlink" Target="obsidian://adv-uri?vault=Brain&amp;filepath=Sources/CELH/2026-Q1/transcripts/CELH_2026-05-07_2026Q1%20Earnings.md&amp;line=222" TargetMode="External" Id="rId317"/><Relationship Type="http://schemas.openxmlformats.org/officeDocument/2006/relationships/hyperlink" Target="obsidian://adv-uri?vault=Brain&amp;filepath=Sources/CELH/2026-Q1/transcripts/CELH_2026-05-07_2026Q1%20Earnings.md&amp;line=210" TargetMode="External" Id="rId318"/><Relationship Type="http://schemas.openxmlformats.org/officeDocument/2006/relationships/hyperlink" Target="obsidian://adv-uri?vault=Brain&amp;filepath=Sources/CELH/2025-FY/transcripts/CELH_2026-02-26_2025Q4%20Earnings%20Press%20Release.md&amp;line=134" TargetMode="External" Id="rId319"/><Relationship Type="http://schemas.openxmlformats.org/officeDocument/2006/relationships/hyperlink" Target="obsidian://adv-uri?vault=Brain&amp;filepath=Sources/CELH/2025-FY/transcripts/CELH_2026-02-26_2025Q4%20Earnings%20Press%20Release.md&amp;line=204" TargetMode="External" Id="rId320"/><Relationship Type="http://schemas.openxmlformats.org/officeDocument/2006/relationships/hyperlink" Target="obsidian://adv-uri?vault=Brain&amp;filepath=Sources/CELH/2025-Q2/transcripts/CELH_2025-08-07_2025Q2%20Earnings.md&amp;line=146" TargetMode="External" Id="rId321"/><Relationship Type="http://schemas.openxmlformats.org/officeDocument/2006/relationships/hyperlink" Target="obsidian://adv-uri?vault=Brain&amp;filepath=Sources/CELH/2025-Q1/transcripts/CELH_2025-05-06_2025Q1%20Earnings.md&amp;line=220" TargetMode="External" Id="rId322"/><Relationship Type="http://schemas.openxmlformats.org/officeDocument/2006/relationships/hyperlink" Target="obsidian://adv-uri?vault=Brain&amp;filepath=Sources/CELH/2026-Q1/transcripts/CELH_2026-05-07_2026Q1%20Earnings.md&amp;line=184" TargetMode="External" Id="rId323"/><Relationship Type="http://schemas.openxmlformats.org/officeDocument/2006/relationships/hyperlink" Target="obsidian://adv-uri?vault=Brain&amp;filepath=Sources/CELH/2025-FY/transcripts/CELH_2026-02-26_2025Q4%20Earnings%20Press%20Release.md&amp;line=235" TargetMode="External" Id="rId324"/><Relationship Type="http://schemas.openxmlformats.org/officeDocument/2006/relationships/hyperlink" Target="obsidian://adv-uri?vault=Brain&amp;filepath=Sources/CELH/2023-Q2/transcripts/CELH_2023-08-08_2023Q2%20Earnings.md&amp;line=190" TargetMode="External" Id="rId325"/><Relationship Type="http://schemas.openxmlformats.org/officeDocument/2006/relationships/hyperlink" Target="obsidian://adv-uri?vault=Brain&amp;filepath=Sources/CELH/2022-FY/transcripts/CELH_2023-03-01_2022Q4%20Earnings.md&amp;line=239" TargetMode="External" Id="rId326"/><Relationship Type="http://schemas.openxmlformats.org/officeDocument/2006/relationships/hyperlink" Target="obsidian://adv-uri?vault=Brain&amp;filepath=Sources/CELH/2020-FY/transcripts/CELH_2021-03-11_2020Q4%20Earnings.md&amp;line=115" TargetMode="External" Id="rId327"/><Relationship Type="http://schemas.openxmlformats.org/officeDocument/2006/relationships/hyperlink" Target="obsidian://adv-uri?vault=Brain&amp;filepath=Sources/CELH/2026-Q1/transcripts/CELH_2026-05-07_2026Q1%20Earnings.md&amp;line=180" TargetMode="External" Id="rId328"/><Relationship Type="http://schemas.openxmlformats.org/officeDocument/2006/relationships/hyperlink" Target="obsidian://adv-uri?vault=Brain&amp;filepath=Sources/CELH/2025-Q2/transcripts/CELH_2025-08-07_2025Q2%20Earnings.md&amp;line=146" TargetMode="External" Id="rId329"/><Relationship Type="http://schemas.openxmlformats.org/officeDocument/2006/relationships/hyperlink" Target="obsidian://adv-uri?vault=Brain&amp;filepath=Sources/CELH/2025-FY/transcripts/CELH_2026-02-26_2025Q4%20Earnings%20Press%20Release.md&amp;line=230" TargetMode="External" Id="rId330"/><Relationship Type="http://schemas.openxmlformats.org/officeDocument/2006/relationships/hyperlink" Target="obsidian://adv-uri?vault=Brain&amp;filepath=Sources/CELH/2025-FY/transcripts/CELH_2026-02-26_2025Q4%20Earnings%20Press%20Release.md&amp;line=134" TargetMode="External" Id="rId331"/><Relationship Type="http://schemas.openxmlformats.org/officeDocument/2006/relationships/hyperlink" Target="obsidian://adv-uri?vault=Brain&amp;filepath=Sources/CELH/2025-Q1/transcripts/CELH_2025-05-06_2025Q1%20Earnings.md&amp;line=212" TargetMode="External" Id="rId332"/><Relationship Type="http://schemas.openxmlformats.org/officeDocument/2006/relationships/hyperlink" Target="obsidian://adv-uri?vault=Brain&amp;filepath=Sources/CELH/2019-Q1/transcripts/CELH_2019-05-09_2019Q1%20Earnings.md&amp;line=145" TargetMode="External" Id="rId333"/><Relationship Type="http://schemas.openxmlformats.org/officeDocument/2006/relationships/hyperlink" Target="obsidian://adv-uri?vault=Brain&amp;filepath=Sources/CELH/2022-Q2/transcripts/CELH_2022-08-09_2022Q2%20Earnings.md&amp;line=142" TargetMode="External" Id="rId334"/><Relationship Type="http://schemas.openxmlformats.org/officeDocument/2006/relationships/hyperlink" Target="obsidian://adv-uri?vault=Brain&amp;filepath=Sources/CELH/2022-Q3/transcripts/CELH_2022-11-09_2022Q3%20Earnings.md&amp;line=210" TargetMode="External" Id="rId335"/><Relationship Type="http://schemas.openxmlformats.org/officeDocument/2006/relationships/hyperlink" Target="obsidian://adv-uri?vault=Brain&amp;filepath=Sources/CELH/2022-FY/transcripts/CELH_2023-03-01_2022Q4%20Earnings.md&amp;line=219" TargetMode="External" Id="rId336"/><Relationship Type="http://schemas.openxmlformats.org/officeDocument/2006/relationships/hyperlink" Target="obsidian://adv-uri?vault=Brain&amp;filepath=Sources/CELH/2023-Q2/transcripts/CELH_2023-08-08_2023Q2%20Earnings.md&amp;line=178" TargetMode="External" Id="rId337"/><Relationship Type="http://schemas.openxmlformats.org/officeDocument/2006/relationships/hyperlink" Target="obsidian://adv-uri?vault=Brain&amp;filepath=Sources/CELH/2023-Q3/transcripts/CELH_2023-11-07_2023Q3%20Earnings.md&amp;line=192" TargetMode="External" Id="rId338"/><Relationship Type="http://schemas.openxmlformats.org/officeDocument/2006/relationships/hyperlink" Target="obsidian://adv-uri?vault=Brain&amp;filepath=Sources/CELH/2024-Q1/transcripts/CELH_2024-05-07_2024Q1%20Earnings.md&amp;line=224" TargetMode="External" Id="rId339"/><Relationship Type="http://schemas.openxmlformats.org/officeDocument/2006/relationships/hyperlink" Target="obsidian://adv-uri?vault=Brain&amp;filepath=Sources/CELH/2025-Q1/transcripts/CELH_2025-05-28_Acquiring%20Alani%20Nu.md&amp;line=184" TargetMode="External" Id="rId340"/><Relationship Type="http://schemas.openxmlformats.org/officeDocument/2006/relationships/hyperlink" Target="obsidian://adv-uri?vault=Brain&amp;filepath=Sources/CELH/2025-Q1/transcripts/CELH_2025-05-06_2025Q1%20Earnings.md&amp;line=228" TargetMode="External" Id="rId341"/><Relationship Type="http://schemas.openxmlformats.org/officeDocument/2006/relationships/hyperlink" Target="obsidian://adv-uri?vault=Brain&amp;filepath=Sources/CELH/2025-FY/transcripts/CELH_2026-02-26_2025Q4%20Earnings%20Press%20Release.md&amp;line=134" TargetMode="External" Id="rId342"/><Relationship Type="http://schemas.openxmlformats.org/officeDocument/2006/relationships/hyperlink" Target="obsidian://adv-uri?vault=Brain&amp;filepath=Sources/CELH/2021-FY/transcripts/CELH_2022-03-01_2021Q4%20Earnings.md&amp;line=121" TargetMode="External" Id="rId343"/><Relationship Type="http://schemas.openxmlformats.org/officeDocument/2006/relationships/hyperlink" Target="obsidian://adv-uri?vault=Brain&amp;filepath=Sources/CELH/2022-FY/transcripts/CELH_2023-03-01_2022Q4%20Earnings.md&amp;line=227" TargetMode="External" Id="rId344"/><Relationship Type="http://schemas.openxmlformats.org/officeDocument/2006/relationships/hyperlink" Target="obsidian://adv-uri?vault=Brain&amp;filepath=Sources/CELH/2023-Q2/transcripts/CELH_2023-08-08_2023Q2%20Earnings.md&amp;line=198" TargetMode="External" Id="rId345"/><Relationship Type="http://schemas.openxmlformats.org/officeDocument/2006/relationships/hyperlink" Target="obsidian://adv-uri?vault=Brain&amp;filepath=Sources/CELH/2022-Q2/transcripts/CELH_2022-08-09_2022Q2%20Earnings.md&amp;line=142" TargetMode="External" Id="rId346"/><Relationship Type="http://schemas.openxmlformats.org/officeDocument/2006/relationships/hyperlink" Target="obsidian://adv-uri?vault=Brain&amp;filepath=Sources/CELH/2022-Q3/transcripts/CELH_2022-11-09_2022Q3%20Earnings.md&amp;line=140" TargetMode="External" Id="rId347"/><Relationship Type="http://schemas.openxmlformats.org/officeDocument/2006/relationships/hyperlink" Target="obsidian://adv-uri?vault=Brain&amp;filepath=Sources/CELH/2022-Q2/transcripts/CELH_2022-08-09_2022Q2%20Earnings.md&amp;line=218" TargetMode="External" Id="rId348"/><Relationship Type="http://schemas.openxmlformats.org/officeDocument/2006/relationships/hyperlink" Target="obsidian://adv-uri?vault=Brain&amp;filepath=Sources/CELH/2022-Q3/transcripts/CELH_2022-11-09_2022Q3%20Earnings.md&amp;line=222" TargetMode="External" Id="rId349"/><Relationship Type="http://schemas.openxmlformats.org/officeDocument/2006/relationships/hyperlink" Target="obsidian://adv-uri?vault=Brain&amp;filepath=Sources/CELH/2020-FY/transcripts/CELH_2021-03-11_2020Q4%20Earnings.md&amp;line=115" TargetMode="External" Id="rId350"/><Relationship Type="http://schemas.openxmlformats.org/officeDocument/2006/relationships/hyperlink" Target="obsidian://adv-uri?vault=Brain&amp;filepath=Sources/CELH/2025-Q1/transcripts/CELH_2025-05-06_2025Q1%20Earnings.md&amp;line=160" TargetMode="External" Id="rId351"/><Relationship Type="http://schemas.openxmlformats.org/officeDocument/2006/relationships/hyperlink" Target="obsidian://adv-uri?vault=Brain&amp;filepath=Sources/CELH/2021-Q2/transcripts/CELH_2021-08-12_2021Q2%20Earnings.md&amp;line=208" TargetMode="External" Id="rId352"/><Relationship Type="http://schemas.openxmlformats.org/officeDocument/2006/relationships/hyperlink" Target="obsidian://adv-uri?vault=Brain&amp;filepath=Sources/CELH/2021-Q3/transcripts/CELH_2021-11-11_2021Q3%20Earnings.md&amp;line=217" TargetMode="External" Id="rId353"/><Relationship Type="http://schemas.openxmlformats.org/officeDocument/2006/relationships/hyperlink" Target="obsidian://adv-uri?vault=Brain&amp;filepath=Sources/CELH/2022-Q1/transcripts/CELH_2022-05-10_2022Q1%20Earnings.md&amp;line=214" TargetMode="External" Id="rId354"/><Relationship Type="http://schemas.openxmlformats.org/officeDocument/2006/relationships/hyperlink" Target="obsidian://adv-uri?vault=Brain&amp;filepath=Sources/CELH/2022-Q2/transcripts/CELH_2022-08-09_2022Q2%20Earnings.md&amp;line=194" TargetMode="External" Id="rId355"/><Relationship Type="http://schemas.openxmlformats.org/officeDocument/2006/relationships/hyperlink" Target="obsidian://adv-uri?vault=Brain&amp;filepath=Sources/CELH/2023-Q3/transcripts/CELH_2023-11-07_2023Q3%20Earnings.md&amp;line=209" TargetMode="External" Id="rId356"/><Relationship Type="http://schemas.openxmlformats.org/officeDocument/2006/relationships/hyperlink" Target="obsidian://adv-uri?vault=Brain&amp;filepath=Sources/CELH/2024-Q1/transcripts/CELH_2024-05-07_2024Q1%20Earnings.md&amp;line=200" TargetMode="External" Id="rId357"/><Relationship Type="http://schemas.openxmlformats.org/officeDocument/2006/relationships/hyperlink" Target="obsidian://adv-uri?vault=Brain&amp;filepath=Sources/CELH/2025-Q1/transcripts/CELH_2025-05-06_2025Q1%20Earnings.md&amp;line=200" TargetMode="External" Id="rId358"/><Relationship Type="http://schemas.openxmlformats.org/officeDocument/2006/relationships/hyperlink" Target="obsidian://adv-uri?vault=Brain&amp;filepath=Sources/CELH/2025-Q2/transcripts/CELH_2025-08-07_2025Q2%20Earnings.md&amp;line=190" TargetMode="External" Id="rId359"/><Relationship Type="http://schemas.openxmlformats.org/officeDocument/2006/relationships/hyperlink" Target="obsidian://adv-uri?vault=Brain&amp;filepath=Sources/CELH/2025-FY/transcripts/CELH_2026-02-26_2025Q4%20Earnings%20Press%20Release.md&amp;line=134" TargetMode="External" Id="rId360"/><Relationship Type="http://schemas.openxmlformats.org/officeDocument/2006/relationships/hyperlink" Target="obsidian://adv-uri?vault=Brain&amp;filepath=Sources/CELH/2023-Q1/transcripts/CELH_2023-06-01_Annual%20General%20Meeting.md&amp;line=155" TargetMode="External" Id="rId361"/><Relationship Type="http://schemas.openxmlformats.org/officeDocument/2006/relationships/hyperlink" Target="obsidian://adv-uri?vault=Brain&amp;filepath=Sources/CELH/2025-FY/transcripts/CELH_2026-02-26_2025Q4%20Earnings%20Press%20Release.md&amp;line=134" TargetMode="External" Id="rId362"/><Relationship Type="http://schemas.openxmlformats.org/officeDocument/2006/relationships/hyperlink" Target="obsidian://adv-uri?vault=Brain&amp;filepath=Sources/CELH/2025-FY/transcripts/CELH_2026-02-26_2025Q4%20Earnings%20Press%20Release.md&amp;line=209" TargetMode="External" Id="rId363"/><Relationship Type="http://schemas.openxmlformats.org/officeDocument/2006/relationships/hyperlink" Target="obsidian://adv-uri?vault=Brain&amp;filepath=Sources/CELH/2021-Q2/transcripts/CELH_2021-08-12_2021Q2%20Earnings.md&amp;line=142" TargetMode="External" Id="rId364"/><Relationship Type="http://schemas.openxmlformats.org/officeDocument/2006/relationships/hyperlink" Target="obsidian://adv-uri?vault=Brain&amp;filepath=Sources/CELH/2022-Q1/transcripts/CELH_2022-06-02_Annual%20Shareholder%20Meeting.md&amp;line=190" TargetMode="External" Id="rId365"/><Relationship Type="http://schemas.openxmlformats.org/officeDocument/2006/relationships/hyperlink" Target="obsidian://adv-uri?vault=Brain&amp;filepath=Sources/CELH/2022-Q2/transcripts/CELH_2022-08-09_2022Q2%20Earnings.md&amp;line=142" TargetMode="External" Id="rId366"/><Relationship Type="http://schemas.openxmlformats.org/officeDocument/2006/relationships/hyperlink" Target="obsidian://adv-uri?vault=Brain&amp;filepath=Sources/CELH/2022-Q2/transcripts/CELH_2022-08-09_2022Q2%20Earnings.md&amp;line=198" TargetMode="External" Id="rId367"/><Relationship Type="http://schemas.openxmlformats.org/officeDocument/2006/relationships/hyperlink" Target="obsidian://adv-uri?vault=Brain&amp;filepath=Sources/CELH/2021-FY/transcripts/CELH_2022-03-01_2021Q4%20Earnings.md&amp;line=121" TargetMode="External" Id="rId368"/><Relationship Type="http://schemas.openxmlformats.org/officeDocument/2006/relationships/hyperlink" Target="obsidian://adv-uri?vault=Brain&amp;filepath=Sources/CELH/2021-FY/transcripts/CELH_2022-03-01_2021Q4%20Earnings.md&amp;line=206" TargetMode="External" Id="rId369"/><Relationship Type="http://schemas.openxmlformats.org/officeDocument/2006/relationships/hyperlink" Target="obsidian://adv-uri?vault=Brain&amp;filepath=Sources/CELH/2021-Q2/transcripts/CELH_2021-08-12_2021Q2%20Earnings.md&amp;line=142" TargetMode="External" Id="rId370"/><Relationship Type="http://schemas.openxmlformats.org/officeDocument/2006/relationships/hyperlink" Target="obsidian://adv-uri?vault=Brain&amp;filepath=Sources/CELH/2025-Q2/transcripts/CELH_2025-08-07_2025Q2%20Earnings.md&amp;line=146" TargetMode="External" Id="rId371"/><Relationship Type="http://schemas.openxmlformats.org/officeDocument/2006/relationships/hyperlink" Target="obsidian://adv-uri?vault=Brain&amp;filepath=Sources/CELH/2022-Q3/transcripts/CELH_2022-11-09_2022Q3%20Earnings.md&amp;line=140" TargetMode="External" Id="rId372"/><Relationship Type="http://schemas.openxmlformats.org/officeDocument/2006/relationships/hyperlink" Target="obsidian://adv-uri?vault=Brain&amp;filepath=Sources/CELH/2019-Q1/transcripts/CELH_2019-05-09_2019Q1%20Earnings.md&amp;line=167" TargetMode="External" Id="rId373"/><Relationship Type="http://schemas.openxmlformats.org/officeDocument/2006/relationships/hyperlink" Target="obsidian://adv-uri?vault=Brain&amp;filepath=Sources/CELH/2019-Q2/transcripts/CELH_2019-08-08_2019Q2%20Earnings.md&amp;line=146" TargetMode="External" Id="rId374"/><Relationship Type="http://schemas.openxmlformats.org/officeDocument/2006/relationships/hyperlink" Target="obsidian://adv-uri?vault=Brain&amp;filepath=Sources/CELH/2019-FY/transcripts/CELH_2020-03-12_2019Q4%20Earnings.md&amp;line=114" TargetMode="External" Id="rId375"/><Relationship Type="http://schemas.openxmlformats.org/officeDocument/2006/relationships/hyperlink" Target="obsidian://adv-uri?vault=Brain&amp;filepath=Sources/CELH/2020-FY/transcripts/CELH_2021-03-11_2020Q4%20Earnings.md&amp;line=115" TargetMode="External" Id="rId376"/><Relationship Type="http://schemas.openxmlformats.org/officeDocument/2006/relationships/hyperlink" Target="obsidian://adv-uri?vault=Brain&amp;filepath=Sources/CELH/2019-Q3/transcripts/CELH_2019-11-07_2019Q3%20Earnings.md&amp;line=161" TargetMode="External" Id="rId377"/><Relationship Type="http://schemas.openxmlformats.org/officeDocument/2006/relationships/hyperlink" Target="obsidian://adv-uri?vault=Brain&amp;filepath=Sources/CELH/2019-Q3/transcripts/CELH_2019-11-07_2019Q3%20Earnings.md&amp;line=113" TargetMode="External" Id="rId378"/><Relationship Type="http://schemas.openxmlformats.org/officeDocument/2006/relationships/hyperlink" Target="obsidian://adv-uri?vault=Brain&amp;filepath=Sources/CELH/2022-Q1/transcripts/CELH_2022-05-10_2022Q1%20Earnings.md&amp;line=157" TargetMode="External" Id="rId379"/><Relationship Type="http://schemas.openxmlformats.org/officeDocument/2006/relationships/hyperlink" Target="obsidian://adv-uri?vault=Brain&amp;filepath=Sources/CELH/2025-Q1/transcripts/CELH_2025-05-06_2025Q1%20Earnings.md&amp;line=236" TargetMode="External" Id="rId380"/><Relationship Type="http://schemas.openxmlformats.org/officeDocument/2006/relationships/hyperlink" Target="obsidian://adv-uri?vault=Brain&amp;filepath=Sources/CELH/2023-Q3/transcripts/CELH_2023-11-07_2023Q3%20Earnings.md&amp;line=161" TargetMode="External" Id="rId381"/><Relationship Type="http://schemas.openxmlformats.org/officeDocument/2006/relationships/hyperlink" Target="obsidian://adv-uri?vault=Brain&amp;filepath=Sources/CELH/2025-Q3/transcripts/CELH_2025-11-06_2025Q3%20Earnings.md&amp;line=210" TargetMode="External" Id="rId382"/><Relationship Type="http://schemas.openxmlformats.org/officeDocument/2006/relationships/hyperlink" Target="obsidian://adv-uri?vault=Brain&amp;filepath=Sources/CELH/2020-FY/transcripts/CELH_2021-03-11_2020Q4%20Earnings.md&amp;line=115" TargetMode="External" Id="rId383"/><Relationship Type="http://schemas.openxmlformats.org/officeDocument/2006/relationships/hyperlink" Target="obsidian://adv-uri?vault=Brain&amp;filepath=Sources/CELH/2020-FY/transcripts/CELH_2021-03-11_2020Q4%20Earnings.md&amp;line=115" TargetMode="External" Id="rId384"/><Relationship Type="http://schemas.openxmlformats.org/officeDocument/2006/relationships/hyperlink" Target="obsidian://adv-uri?vault=Brain&amp;filepath=Sources/CELH/2020-FY/transcripts/CELH_2021-03-11_2020Q4%20Earnings.md&amp;line=115" TargetMode="External" Id="rId385"/><Relationship Type="http://schemas.openxmlformats.org/officeDocument/2006/relationships/hyperlink" Target="obsidian://adv-uri?vault=Brain&amp;filepath=Sources/CELH/2022-Q1/transcripts/CELH_2022-05-10_2022Q1%20Earnings.md&amp;line=214" TargetMode="External" Id="rId386"/><Relationship Type="http://schemas.openxmlformats.org/officeDocument/2006/relationships/hyperlink" Target="obsidian://adv-uri?vault=Brain&amp;filepath=Sources/CELH/2022-Q2/transcripts/CELH_2022-08-09_2022Q2%20Earnings.md&amp;line=185" TargetMode="External" Id="rId387"/><Relationship Type="http://schemas.openxmlformats.org/officeDocument/2006/relationships/hyperlink" Target="obsidian://adv-uri?vault=Brain&amp;filepath=Sources/CELH/2022-Q3/transcripts/CELH_2022-11-09_2022Q3%20Earnings.md&amp;line=186" TargetMode="External" Id="rId388"/><Relationship Type="http://schemas.openxmlformats.org/officeDocument/2006/relationships/hyperlink" Target="obsidian://adv-uri?vault=Brain&amp;filepath=Sources/CELH/2023-Q1/transcripts/CELH_2023-05-09_2023Q1%20Earnings.md&amp;line=185" TargetMode="External" Id="rId389"/><Relationship Type="http://schemas.openxmlformats.org/officeDocument/2006/relationships/hyperlink" Target="obsidian://adv-uri?vault=Brain&amp;filepath=Sources/CELH/2023-Q2/transcripts/CELH_2023-08-08_2023Q2%20Earnings.md&amp;line=228" TargetMode="External" Id="rId390"/><Relationship Type="http://schemas.openxmlformats.org/officeDocument/2006/relationships/hyperlink" Target="obsidian://adv-uri?vault=Brain&amp;filepath=Sources/CELH/2023-Q3/transcripts/CELH_2023-11-07_2023Q3%20Earnings.md&amp;line=234" TargetMode="External" Id="rId391"/><Relationship Type="http://schemas.openxmlformats.org/officeDocument/2006/relationships/hyperlink" Target="obsidian://adv-uri?vault=Brain&amp;filepath=Sources/CELH/2023-FY/transcripts/CELH_2024-02-29_2023Q4%20Earnings.md&amp;line=223" TargetMode="External" Id="rId392"/><Relationship Type="http://schemas.openxmlformats.org/officeDocument/2006/relationships/hyperlink" Target="obsidian://adv-uri?vault=Brain&amp;filepath=Sources/CELH/2023-FY/transcripts/CELH_2024-02-29_2023Q4%20Earnings.md&amp;line=227" TargetMode="External" Id="rId393"/><Relationship Type="http://schemas.openxmlformats.org/officeDocument/2006/relationships/hyperlink" Target="obsidian://adv-uri?vault=Brain&amp;filepath=Sources/CELH/2024-Q1/transcripts/CELH_2024-05-07_2024Q1%20Earnings.md&amp;line=188" TargetMode="External" Id="rId394"/><Relationship Type="http://schemas.openxmlformats.org/officeDocument/2006/relationships/hyperlink" Target="obsidian://adv-uri?vault=Brain&amp;filepath=Sources/CELH/2024-FY/transcripts/CELH_2025-02-20_2024Q4%20Earnings.md&amp;line=236" TargetMode="External" Id="rId395"/><Relationship Type="http://schemas.openxmlformats.org/officeDocument/2006/relationships/hyperlink" Target="obsidian://adv-uri?vault=Brain&amp;filepath=Sources/CELH/2025-Q2/transcripts/CELH_2025-08-07_2025Q2%20Earnings.md&amp;line=146" TargetMode="External" Id="rId396"/><Relationship Type="http://schemas.openxmlformats.org/officeDocument/2006/relationships/hyperlink" Target="obsidian://adv-uri?vault=Brain&amp;filepath=Sources/CELH/2025-Q3/transcripts/CELH_2025-11-06_2025Q3%20Earnings.md&amp;line=193" TargetMode="External" Id="rId397"/><Relationship Type="http://schemas.openxmlformats.org/officeDocument/2006/relationships/hyperlink" Target="obsidian://adv-uri?vault=Brain&amp;filepath=Sources/CELH/2025-Q1/transcripts/CELH_2025-05-06_2025Q1%20Earnings.md&amp;line=160" TargetMode="External" Id="rId398"/><Relationship Type="http://schemas.openxmlformats.org/officeDocument/2006/relationships/hyperlink" Target="obsidian://adv-uri?vault=Brain&amp;filepath=Sources/CELH/2023-Q3/transcripts/CELH_2023-11-15_Stephens%20Conference.md&amp;line=151" TargetMode="External" Id="rId399"/><Relationship Type="http://schemas.openxmlformats.org/officeDocument/2006/relationships/hyperlink" Target="obsidian://adv-uri?vault=Brain&amp;filepath=Sources/CELH/2025-Q2/transcripts/CELH_2025-08-07_2025Q2%20Earnings.md&amp;line=146" TargetMode="External" Id="rId400"/><Relationship Type="http://schemas.openxmlformats.org/officeDocument/2006/relationships/hyperlink" Target="obsidian://adv-uri?vault=Brain&amp;filepath=Sources/CELH/2022-Q3/transcripts/CELH_2022-11-09_2022Q3%20Earnings.md&amp;line=140" TargetMode="External" Id="rId401"/><Relationship Type="http://schemas.openxmlformats.org/officeDocument/2006/relationships/hyperlink" Target="obsidian://adv-uri?vault=Brain&amp;filepath=Sources/CELH/2023-Q3/transcripts/CELH_2023-11-07_2023Q3%20Earnings.md&amp;line=161" TargetMode="External" Id="rId402"/><Relationship Type="http://schemas.openxmlformats.org/officeDocument/2006/relationships/hyperlink" Target="obsidian://adv-uri?vault=Brain&amp;filepath=Sources/CELH/2024-FY/transcripts/CELH_2025-03-12_UBS%20Conference.md&amp;line=151" TargetMode="External" Id="rId403"/><Relationship Type="http://schemas.openxmlformats.org/officeDocument/2006/relationships/hyperlink" Target="obsidian://adv-uri?vault=Brain&amp;filepath=Sources/CELH/2023-Q2/transcripts/CELH_2023-09-07_Barclays%20Conference.md&amp;line=151" TargetMode="External" Id="rId404"/><Relationship Type="http://schemas.openxmlformats.org/officeDocument/2006/relationships/hyperlink" Target="obsidian://adv-uri?vault=Brain&amp;filepath=Sources/CELH/2024-Q1/transcripts/CELH_2024-05-07_2024Q1%20Earnings.md&amp;line=166" TargetMode="External" Id="rId405"/><Relationship Type="http://schemas.openxmlformats.org/officeDocument/2006/relationships/hyperlink" Target="obsidian://adv-uri?vault=Brain&amp;filepath=Sources/CELH/2021-Q2/transcripts/CELH_2021-08-12_2021Q2%20Earnings.md&amp;line=257" TargetMode="External" Id="rId406"/><Relationship Type="http://schemas.openxmlformats.org/officeDocument/2006/relationships/hyperlink" Target="obsidian://adv-uri?vault=Brain&amp;filepath=Sources/CELH/2021-Q3/transcripts/CELH_2021-11-11_2021Q3%20Earnings.md&amp;line=144" TargetMode="External" Id="rId407"/><Relationship Type="http://schemas.openxmlformats.org/officeDocument/2006/relationships/hyperlink" Target="obsidian://adv-uri?vault=Brain&amp;filepath=Sources/CELH/2025-FY/transcripts/CELH_2026-02-26_2025Q4%20Earnings%20Press%20Release.md&amp;line=147" TargetMode="External" Id="rId408"/><Relationship Type="http://schemas.openxmlformats.org/officeDocument/2006/relationships/hyperlink" Target="obsidian://adv-uri?vault=Brain&amp;filepath=Sources/CELH/2021-Q2/transcripts/CELH_2021-08-12_2021Q2%20Earnings.md&amp;line=261" TargetMode="External" Id="rId409"/><Relationship Type="http://schemas.openxmlformats.org/officeDocument/2006/relationships/hyperlink" Target="obsidian://adv-uri?vault=Brain&amp;filepath=Sources/CELH/2025-FY/transcripts/CELH_2026-02-26_2025Q4%20Earnings%20Press%20Release.md&amp;line=134" TargetMode="External" Id="rId410"/><Relationship Type="http://schemas.openxmlformats.org/officeDocument/2006/relationships/hyperlink" Target="obsidian://adv-uri?vault=Brain&amp;filepath=Sources/CELH/2023-Q2/transcripts/CELH_2023-08-08_2023Q2%20Earnings.md&amp;line=194" TargetMode="External" Id="rId411"/><Relationship Type="http://schemas.openxmlformats.org/officeDocument/2006/relationships/hyperlink" Target="obsidian://adv-uri?vault=Brain&amp;filepath=Sources/CELH/2023-Q3/transcripts/CELH_2023-11-07_2023Q3%20Earnings.md&amp;line=179" TargetMode="External" Id="rId412"/><Relationship Type="http://schemas.openxmlformats.org/officeDocument/2006/relationships/hyperlink" Target="obsidian://adv-uri?vault=Brain&amp;filepath=Sources/CELH/2022-Q3/transcripts/CELH_2022-11-09_2022Q3%20Earnings.md&amp;line=140" TargetMode="External" Id="rId413"/><Relationship Type="http://schemas.openxmlformats.org/officeDocument/2006/relationships/hyperlink" Target="obsidian://adv-uri?vault=Brain&amp;filepath=Sources/CELH/2023-Q2/transcripts/CELH_2023-08-08_2023Q2%20Earnings.md&amp;line=186" TargetMode="External" Id="rId414"/><Relationship Type="http://schemas.openxmlformats.org/officeDocument/2006/relationships/hyperlink" Target="obsidian://adv-uri?vault=Brain&amp;filepath=Sources/CELH/2018-FY/transcripts/CELH_2019-03-14_2018Q4%20Earnings.md&amp;line=249" TargetMode="External" Id="rId415"/><Relationship Type="http://schemas.openxmlformats.org/officeDocument/2006/relationships/hyperlink" Target="obsidian://adv-uri?vault=Brain&amp;filepath=Sources/CELH/2025-FY/transcripts/CELH_2026-02-26_2025Q4%20Earnings%20Press%20Release.md&amp;line=258" TargetMode="External" Id="rId416"/><Relationship Type="http://schemas.openxmlformats.org/officeDocument/2006/relationships/hyperlink" Target="obsidian://adv-uri?vault=Brain&amp;filepath=Sources/CELH/2021-Q2/transcripts/CELH_2021-08-12_2021Q2%20Earnings.md&amp;line=228" TargetMode="External" Id="rId417"/><Relationship Type="http://schemas.openxmlformats.org/officeDocument/2006/relationships/hyperlink" Target="obsidian://adv-uri?vault=Brain&amp;filepath=Sources/CELH/2021-FY/transcripts/CELH_2022-03-01_2021Q4%20Earnings.md&amp;line=190" TargetMode="External" Id="rId418"/><Relationship Type="http://schemas.openxmlformats.org/officeDocument/2006/relationships/hyperlink" Target="obsidian://adv-uri?vault=Brain&amp;filepath=Sources/CELH/2018-Q3/transcripts/CELH_2018-11-09_2018Q3%20Earnings.md&amp;line=194" TargetMode="External" Id="rId419"/><Relationship Type="http://schemas.openxmlformats.org/officeDocument/2006/relationships/hyperlink" Target="obsidian://adv-uri?vault=Brain&amp;filepath=Sources/CELH/2018-Q3/transcripts/CELH_2018-11-09_2018Q3%20Earnings.md&amp;line=146" TargetMode="External" Id="rId420"/><Relationship Type="http://schemas.openxmlformats.org/officeDocument/2006/relationships/hyperlink" Target="obsidian://adv-uri?vault=Brain&amp;filepath=Sources/CELH/2018-FY/transcripts/CELH_2019-03-14_2018Q4%20Earnings.md&amp;line=233" TargetMode="External" Id="rId421"/><Relationship Type="http://schemas.openxmlformats.org/officeDocument/2006/relationships/hyperlink" Target="obsidian://adv-uri?vault=Brain&amp;filepath=Sources/CELH/2018-FY/transcripts/CELH_2019-03-14_2018Q4%20Earnings.md&amp;line=241" TargetMode="External" Id="rId422"/><Relationship Type="http://schemas.openxmlformats.org/officeDocument/2006/relationships/hyperlink" Target="obsidian://adv-uri?vault=Brain&amp;filepath=Sources/CELH/2019-Q2/transcripts/CELH_2019-08-08_2019Q2%20Earnings.md&amp;line=146" TargetMode="External" Id="rId423"/><Relationship Type="http://schemas.openxmlformats.org/officeDocument/2006/relationships/hyperlink" Target="obsidian://adv-uri?vault=Brain&amp;filepath=Sources/CELH/2019-FY/transcripts/CELH_2020-03-12_2019Q4%20Earnings.md&amp;line=114" TargetMode="External" Id="rId424"/><Relationship Type="http://schemas.openxmlformats.org/officeDocument/2006/relationships/hyperlink" Target="obsidian://adv-uri?vault=Brain&amp;filepath=Sources/CELH/2021-Q3/transcripts/CELH_2021-11-11_2021Q3%20Earnings.md&amp;line=189" TargetMode="External" Id="rId425"/><Relationship Type="http://schemas.openxmlformats.org/officeDocument/2006/relationships/hyperlink" Target="obsidian://adv-uri?vault=Brain&amp;filepath=Sources/CELH/2021-Q2/transcripts/CELH_2021-08-12_2021Q2%20Earnings.md&amp;line=142" TargetMode="External" Id="rId426"/><Relationship Type="http://schemas.openxmlformats.org/officeDocument/2006/relationships/hyperlink" Target="obsidian://adv-uri?vault=Brain&amp;filepath=Sources/CELH/2020-FY/transcripts/CELH_2021-03-11_2020Q4%20Earnings.md&amp;line=115" TargetMode="External" Id="rId427"/><Relationship Type="http://schemas.openxmlformats.org/officeDocument/2006/relationships/hyperlink" Target="obsidian://adv-uri?vault=Brain&amp;filepath=Sources/CELH/2019-Q2/transcripts/CELH_2019-08-08_2019Q2%20Earnings.md&amp;line=226" TargetMode="External" Id="rId428"/><Relationship Type="http://schemas.openxmlformats.org/officeDocument/2006/relationships/hyperlink" Target="obsidian://adv-uri?vault=Brain&amp;filepath=Sources/CELH/2025-FY/transcripts/CELH_2026-02-26_2025Q4%20Earnings%20Press%20Release.md&amp;line=134" TargetMode="External" Id="rId429"/><Relationship Type="http://schemas.openxmlformats.org/officeDocument/2006/relationships/hyperlink" Target="obsidian://adv-uri?vault=Brain&amp;filepath=Sources/CELH/2021-Q2/transcripts/CELH_2021-08-12_2021Q2%20Earnings.md&amp;line=142" TargetMode="External" Id="rId430"/><Relationship Type="http://schemas.openxmlformats.org/officeDocument/2006/relationships/hyperlink" Target="obsidian://adv-uri?vault=Brain&amp;filepath=Sources/CELH/2021-Q3/transcripts/CELH_2021-11-11_2021Q3%20Earnings.md&amp;line=144" TargetMode="External" Id="rId431"/><Relationship Type="http://schemas.openxmlformats.org/officeDocument/2006/relationships/hyperlink" Target="obsidian://adv-uri?vault=Brain&amp;filepath=Sources/CELH/2021-FY/transcripts/CELH_2022-03-01_2021Q4%20Earnings.md&amp;line=121" TargetMode="External" Id="rId432"/><Relationship Type="http://schemas.openxmlformats.org/officeDocument/2006/relationships/hyperlink" Target="obsidian://adv-uri?vault=Brain&amp;filepath=Sources/CELH/2022-Q1/transcripts/CELH_2022-05-10_2022Q1%20Earnings.md&amp;line=157" TargetMode="External" Id="rId433"/><Relationship Type="http://schemas.openxmlformats.org/officeDocument/2006/relationships/hyperlink" Target="obsidian://adv-uri?vault=Brain&amp;filepath=Sources/CELH/2025-FY/transcripts/CELH_2026-02-26_2025Q4%20Earnings%20Press%20Release.md&amp;line=221" TargetMode="External" Id="rId434"/><Relationship Type="http://schemas.openxmlformats.org/officeDocument/2006/relationships/hyperlink" Target="obsidian://adv-uri?vault=Brain&amp;filepath=Sources/CELH/2021-Q3/transcripts/CELH_2021-11-11_2021Q3%20Earnings.md&amp;line=144" TargetMode="External" Id="rId435"/><Relationship Type="http://schemas.openxmlformats.org/officeDocument/2006/relationships/hyperlink" Target="obsidian://adv-uri?vault=Brain&amp;filepath=Sources/CELH/2024-FY/transcripts/CELH_2025-02-20_2024Q4%20Earnings.md&amp;line=163" TargetMode="External" Id="rId436"/><Relationship Type="http://schemas.openxmlformats.org/officeDocument/2006/relationships/hyperlink" Target="obsidian://adv-uri?vault=Brain&amp;filepath=Sources/CELH/2025-Q1/transcripts/CELH_2025-05-28_Acquiring%20Alani%20Nu.md&amp;line=180" TargetMode="External" Id="rId437"/><Relationship Type="http://schemas.openxmlformats.org/officeDocument/2006/relationships/hyperlink" Target="obsidian://adv-uri?vault=Brain&amp;filepath=Sources/CELH/2025-Q2/transcripts/CELH_2025-08-07_2025Q2%20Earnings.md&amp;line=266" TargetMode="External" Id="rId438"/><Relationship Type="http://schemas.openxmlformats.org/officeDocument/2006/relationships/hyperlink" Target="obsidian://adv-uri?vault=Brain&amp;filepath=Sources/CELH/2022-Q2/transcripts/CELH_2022-08-09_2022Q2%20Earnings.md&amp;line=142" TargetMode="External" Id="rId439"/><Relationship Type="http://schemas.openxmlformats.org/officeDocument/2006/relationships/hyperlink" Target="obsidian://adv-uri?vault=Brain&amp;filepath=Sources/CELH/2022-Q3/transcripts/CELH_2022-11-09_2022Q3%20Earnings.md&amp;line=140" TargetMode="External" Id="rId440"/><Relationship Type="http://schemas.openxmlformats.org/officeDocument/2006/relationships/hyperlink" Target="obsidian://adv-uri?vault=Brain&amp;filepath=Sources/CELH/2025-FY/transcripts/CELH_2026-02-26_2025Q4%20Earnings%20Press%20Release.md&amp;line=134" TargetMode="External" Id="rId441"/><Relationship Type="http://schemas.openxmlformats.org/officeDocument/2006/relationships/hyperlink" Target="obsidian://adv-uri?vault=Brain&amp;filepath=Sources/CELH/2024-FY/transcripts/CELH_2025-02-20_2024Q4%20Earnings.md&amp;line=172" TargetMode="External" Id="rId442"/><Relationship Type="http://schemas.openxmlformats.org/officeDocument/2006/relationships/hyperlink" Target="obsidian://adv-uri?vault=Brain&amp;filepath=Sources/CELH/2025-Q1/transcripts/CELH_2025-05-28_Acquiring%20Alani%20Nu.md&amp;line=193" TargetMode="External" Id="rId443"/><Relationship Type="http://schemas.openxmlformats.org/officeDocument/2006/relationships/hyperlink" Target="obsidian://adv-uri?vault=Brain&amp;filepath=Sources/CELH/2025-Q3/transcripts/CELH_2025-11-06_2025Q3%20Earnings.md&amp;line=147" TargetMode="External" Id="rId444"/><Relationship Type="http://schemas.openxmlformats.org/officeDocument/2006/relationships/hyperlink" Target="obsidian://adv-uri?vault=Brain&amp;filepath=Sources/CELH/2025-FY/transcripts/CELH_2026-02-26_2025Q4%20Earnings%20Press%20Release.md&amp;line=240" TargetMode="External" Id="rId445"/><Relationship Type="http://schemas.openxmlformats.org/officeDocument/2006/relationships/hyperlink" Target="obsidian://adv-uri?vault=Brain&amp;filepath=Sources/CELH/2025-FY/transcripts/CELH_2026-02-26_2025Q4%20Earnings%20Press%20Release.md&amp;line=134" TargetMode="External" Id="rId446"/><Relationship Type="http://schemas.openxmlformats.org/officeDocument/2006/relationships/hyperlink" Target="obsidian://adv-uri?vault=Brain&amp;filepath=Sources/CELH/2026-Q1/transcripts/CELH_2026-05-07_2026Q1%20Earnings.md&amp;line=201" TargetMode="External" Id="rId447"/><Relationship Type="http://schemas.openxmlformats.org/officeDocument/2006/relationships/hyperlink" Target="obsidian://adv-uri?vault=Brain&amp;filepath=Sources/CELH/2025-Q3/transcripts/CELH_2025-11-06_2025Q3%20Earnings.md&amp;line=147" TargetMode="External" Id="rId448"/><Relationship Type="http://schemas.openxmlformats.org/officeDocument/2006/relationships/hyperlink" Target="obsidian://adv-uri?vault=Brain&amp;filepath=Sources/CELH/2025-Q3/transcripts/CELH_2025-11-06_2025Q3%20Earnings.md&amp;line=169" TargetMode="External" Id="rId449"/><Relationship Type="http://schemas.openxmlformats.org/officeDocument/2006/relationships/hyperlink" Target="obsidian://adv-uri?vault=Brain&amp;filepath=Sources/CELH/2025-Q3/transcripts/CELH_2025-12-03_Morgan%20Stanley%20Conference.md&amp;line=168" TargetMode="External" Id="rId450"/><Relationship Type="http://schemas.openxmlformats.org/officeDocument/2006/relationships/hyperlink" Target="obsidian://adv-uri?vault=Brain&amp;filepath=Sources/CELH/2025-Q1/transcripts/CELH_2025-05-28_Acquiring%20Alani%20Nu.md&amp;line=176" TargetMode="External" Id="rId451"/><Relationship Type="http://schemas.openxmlformats.org/officeDocument/2006/relationships/hyperlink" Target="obsidian://adv-uri?vault=Brain&amp;filepath=Sources/CELH/2021-Q2/transcripts/CELH_2021-08-12_2021Q2%20Earnings.md&amp;line=188" TargetMode="External" Id="rId452"/><Relationship Type="http://schemas.openxmlformats.org/officeDocument/2006/relationships/hyperlink" Target="obsidian://adv-uri?vault=Brain&amp;filepath=Sources/CELH/2021-Q3/transcripts/CELH_2021-11-11_2021Q3%20Earnings.md&amp;line=197" TargetMode="External" Id="rId453"/><Relationship Type="http://schemas.openxmlformats.org/officeDocument/2006/relationships/hyperlink" Target="obsidian://adv-uri?vault=Brain&amp;filepath=Sources/CELH/2022-Q1/transcripts/CELH_2022-05-10_2022Q1%20Earnings.md&amp;line=206" TargetMode="External" Id="rId454"/><Relationship Type="http://schemas.openxmlformats.org/officeDocument/2006/relationships/hyperlink" Target="obsidian://adv-uri?vault=Brain&amp;filepath=Sources/CELH/2022-Q2/transcripts/CELH_2022-08-09_2022Q2%20Earnings.md&amp;line=177" TargetMode="External" Id="rId455"/><Relationship Type="http://schemas.openxmlformats.org/officeDocument/2006/relationships/hyperlink" Target="obsidian://adv-uri?vault=Brain&amp;filepath=Sources/CELH/2023-Q1/transcripts/CELH_2023-05-09_2023Q1%20Earnings.md&amp;line=177" TargetMode="External" Id="rId456"/><Relationship Type="http://schemas.openxmlformats.org/officeDocument/2006/relationships/hyperlink" Target="obsidian://adv-uri?vault=Brain&amp;filepath=Sources/CELH/2023-Q2/transcripts/CELH_2023-08-08_2023Q2%20Earnings.md&amp;line=215" TargetMode="External" Id="rId457"/><Relationship Type="http://schemas.openxmlformats.org/officeDocument/2006/relationships/hyperlink" Target="obsidian://adv-uri?vault=Brain&amp;filepath=Sources/CELH/2023-Q3/transcripts/CELH_2023-11-07_2023Q3%20Earnings.md&amp;line=226" TargetMode="External" Id="rId458"/><Relationship Type="http://schemas.openxmlformats.org/officeDocument/2006/relationships/hyperlink" Target="obsidian://adv-uri?vault=Brain&amp;filepath=Sources/CELH/2023-FY/transcripts/CELH_2024-02-29_2023Q4%20Earnings.md&amp;line=211" TargetMode="External" Id="rId459"/><Relationship Type="http://schemas.openxmlformats.org/officeDocument/2006/relationships/hyperlink" Target="obsidian://adv-uri?vault=Brain&amp;filepath=Sources/CELH/2023-FY/transcripts/CELH_2024-02-29_2023Q4%20Earnings.md&amp;line=215" TargetMode="External" Id="rId460"/><Relationship Type="http://schemas.openxmlformats.org/officeDocument/2006/relationships/hyperlink" Target="obsidian://adv-uri?vault=Brain&amp;filepath=Sources/CELH/2024-Q1/transcripts/CELH_2024-05-07_2024Q1%20Earnings.md&amp;line=180" TargetMode="External" Id="rId461"/><Relationship Type="http://schemas.openxmlformats.org/officeDocument/2006/relationships/hyperlink" Target="obsidian://adv-uri?vault=Brain&amp;filepath=Sources/CELH/2024-FY/transcripts/CELH_2025-02-20_2024Q4%20Earnings.md&amp;line=232" TargetMode="External" Id="rId462"/><Relationship Type="http://schemas.openxmlformats.org/officeDocument/2006/relationships/hyperlink" Target="obsidian://adv-uri?vault=Brain&amp;filepath=Sources/CELH/2025-Q2/transcripts/CELH_2025-08-07_2025Q2%20Earnings.md&amp;line=146" TargetMode="External" Id="rId463"/><Relationship Type="http://schemas.openxmlformats.org/officeDocument/2006/relationships/hyperlink" Target="obsidian://adv-uri?vault=Brain&amp;filepath=Sources/CELH/2025-Q3/transcripts/CELH_2025-11-06_2025Q3%20Earnings.md&amp;line=185" TargetMode="External" Id="rId464"/><Relationship Type="http://schemas.openxmlformats.org/officeDocument/2006/relationships/hyperlink" Target="obsidian://adv-uri?vault=Brain&amp;filepath=Sources/CELH/2025-Q1/transcripts/CELH_2025-05-06_2025Q1%20Earnings.md&amp;line=160" TargetMode="External" Id="rId465"/><Relationship Type="http://schemas.openxmlformats.org/officeDocument/2006/relationships/hyperlink" Target="obsidian://adv-uri?vault=Brain&amp;filepath=Sources/CELH/2023-Q3/transcripts/CELH_2023-11-07_2023Q3%20Earnings.md&amp;line=250" TargetMode="External" Id="rId466"/><Relationship Type="http://schemas.openxmlformats.org/officeDocument/2006/relationships/hyperlink" Target="obsidian://adv-uri?vault=Brain&amp;filepath=Sources/CELH/2022-Q2/transcripts/CELH_2022-08-09_2022Q2%20Earnings.md&amp;line=142" TargetMode="External" Id="rId467"/><Relationship Type="http://schemas.openxmlformats.org/officeDocument/2006/relationships/hyperlink" Target="obsidian://adv-uri?vault=Brain&amp;filepath=Sources/CELH/2023-Q3/transcripts/CELH_2023-11-07_2023Q3%20Earnings.md&amp;line=242" TargetMode="External" Id="rId468"/><Relationship Type="http://schemas.openxmlformats.org/officeDocument/2006/relationships/hyperlink" Target="obsidian://adv-uri?vault=Brain&amp;filepath=Sources/CELH/2025-FY/transcripts/CELH_2026-02-26_2025Q4%20Earnings%20Press%20Release.md&amp;line=134" TargetMode="External" Id="rId469"/><Relationship Type="http://schemas.openxmlformats.org/officeDocument/2006/relationships/hyperlink" Target="obsidian://adv-uri?vault=Brain&amp;filepath=Sources/CELH/2024-FY/transcripts/CELH_2025-02-20_2024Q4%20Earnings.md&amp;line=212" TargetMode="External" Id="rId470"/><Relationship Type="http://schemas.openxmlformats.org/officeDocument/2006/relationships/hyperlink" Target="obsidian://adv-uri?vault=Brain&amp;filepath=Sources/CELH/2025-Q1/transcripts/CELH_2025-05-06_2025Q1%20Earnings.md&amp;line=192" TargetMode="External" Id="rId471"/><Relationship Type="http://schemas.openxmlformats.org/officeDocument/2006/relationships/hyperlink" Target="obsidian://adv-uri?vault=Brain&amp;filepath=Sources/CELH/2021-Q2/transcripts/CELH_2021-08-12_2021Q2%20Earnings.md&amp;line=196" TargetMode="External" Id="rId472"/><Relationship Type="http://schemas.openxmlformats.org/officeDocument/2006/relationships/hyperlink" Target="obsidian://adv-uri?vault=Brain&amp;filepath=Sources/CELH/2021-Q3/transcripts/CELH_2021-11-11_2021Q3%20Earnings.md&amp;line=205" TargetMode="External" Id="rId473"/><Relationship Type="http://schemas.openxmlformats.org/officeDocument/2006/relationships/hyperlink" Target="obsidian://adv-uri?vault=Brain&amp;filepath=Sources/CELH/2024-FY/transcripts/CELH_2025-03-12_UBS%20Conference.md&amp;line=151" TargetMode="External" Id="rId474"/><Relationship Type="http://schemas.openxmlformats.org/officeDocument/2006/relationships/hyperlink" Target="obsidian://adv-uri?vault=Brain&amp;filepath=Sources/CELH/2025-FY/transcripts/CELH_2026-02-26_2025Q4%20Earnings%20Press%20Release.md&amp;line=134" TargetMode="External" Id="rId475"/><Relationship Type="http://schemas.openxmlformats.org/officeDocument/2006/relationships/hyperlink" Target="obsidian://adv-uri?vault=Brain&amp;filepath=Sources/CELH/2021-Q3/transcripts/CELH_2021-11-11_2021Q3%20Earnings.md&amp;line=144" TargetMode="External" Id="rId476"/><Relationship Type="http://schemas.openxmlformats.org/officeDocument/2006/relationships/hyperlink" Target="obsidian://adv-uri?vault=Brain&amp;filepath=Sources/CELH/2021-Q2/transcripts/CELH_2021-08-12_2021Q2%20Earnings.md&amp;line=200" TargetMode="External" Id="rId477"/><Relationship Type="http://schemas.openxmlformats.org/officeDocument/2006/relationships/hyperlink" Target="obsidian://adv-uri?vault=Brain&amp;filepath=Sources/CELH/2020-FY/transcripts/CELH_2021-03-11_2020Q4%20Earnings.md&amp;line=166" TargetMode="External" Id="rId478"/><Relationship Type="http://schemas.openxmlformats.org/officeDocument/2006/relationships/hyperlink" Target="obsidian://adv-uri?vault=Brain&amp;filepath=Sources/CELH/2019-Q1/transcripts/CELH_2019-05-09_2019Q1%20Earnings.md&amp;line=197" TargetMode="External" Id="rId479"/><Relationship Type="http://schemas.openxmlformats.org/officeDocument/2006/relationships/hyperlink" Target="obsidian://adv-uri?vault=Brain&amp;filepath=Sources/CELH/2023-Q2/transcripts/CELH_2023-08-08_2023Q2%20Earnings.md&amp;line=159" TargetMode="External" Id="rId480"/><Relationship Type="http://schemas.openxmlformats.org/officeDocument/2006/relationships/hyperlink" Target="obsidian://adv-uri?vault=Brain&amp;filepath=Sources/CELH/2021-FY/transcripts/CELH_2022-03-01_2021Q4%20Earnings.md&amp;line=202" TargetMode="External" Id="rId481"/><Relationship Type="http://schemas.openxmlformats.org/officeDocument/2006/relationships/hyperlink" Target="obsidian://adv-uri?vault=Brain&amp;filepath=Sources/CELH/2022-Q3/transcripts/CELH_2022-11-09_2022Q3%20Earnings.md&amp;line=218" TargetMode="External" Id="rId482"/><Relationship Type="http://schemas.openxmlformats.org/officeDocument/2006/relationships/hyperlink" Target="obsidian://adv-uri?vault=Brain&amp;filepath=Sources/CELH/2022-FY/transcripts/CELH_2023-03-01_2022Q4%20Earnings.md&amp;line=231" TargetMode="External" Id="rId483"/><Relationship Type="http://schemas.openxmlformats.org/officeDocument/2006/relationships/hyperlink" Target="obsidian://adv-uri?vault=Brain&amp;filepath=Sources/CELH/2022-Q2/transcripts/CELH_2022-08-09_2022Q2%20Earnings.md&amp;line=214" TargetMode="External" Id="rId484"/><Relationship Type="http://schemas.openxmlformats.org/officeDocument/2006/relationships/hyperlink" Target="obsidian://adv-uri?vault=Brain&amp;filepath=Sources/CELH/2022-Q2/transcripts/CELH_2022-08-09_2022Q2%20Earnings.md&amp;line=142" TargetMode="External" Id="rId485"/><Relationship Type="http://schemas.openxmlformats.org/officeDocument/2006/relationships/hyperlink" Target="obsidian://adv-uri?vault=Brain&amp;filepath=Sources/CELH/2024-FY/transcripts/CELH_2025-02-20_2024Q4%20Earnings.md&amp;line=176" TargetMode="External" Id="rId486"/><Relationship Type="http://schemas.openxmlformats.org/officeDocument/2006/relationships/hyperlink" Target="obsidian://adv-uri?vault=Brain&amp;filepath=Sources/CELH/2022-Q2/transcripts/CELH_2022-08-09_2022Q2%20Earnings.md&amp;line=142" TargetMode="External" Id="rId487"/><Relationship Type="http://schemas.openxmlformats.org/officeDocument/2006/relationships/hyperlink" Target="obsidian://adv-uri?vault=Brain&amp;filepath=Sources/CELH/2019-Q1/transcripts/CELH_2019-05-09_2019Q1%20Earnings.md&amp;line=145" TargetMode="External" Id="rId488"/><Relationship Type="http://schemas.openxmlformats.org/officeDocument/2006/relationships/hyperlink" Target="obsidian://adv-uri?vault=Brain&amp;filepath=Sources/CELH/2019-Q2/transcripts/CELH_2019-08-08_2019Q2%20Earnings.md&amp;line=146" TargetMode="External" Id="rId489"/><Relationship Type="http://schemas.openxmlformats.org/officeDocument/2006/relationships/hyperlink" Target="obsidian://adv-uri?vault=Brain&amp;filepath=Sources/CELH/2019-Q3/transcripts/CELH_2019-11-07_2019Q3%20Earnings.md&amp;line=113" TargetMode="External" Id="rId49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Q15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33" t="inlineStr">
        <is>
          <t>CELH Transcript KPI Consolidation — reported value per period</t>
        </is>
      </c>
    </row>
    <row r="2">
      <c r="A2" s="34" t="inlineStr">
        <is>
          <t>Every quantitative datapoint disclosed across the 69 transcripts — including items also in SEC filings, and metrics reported by more than one transcript. Cell shows the earnings-call figure (else earliest source); Shift+F2 note lists every source with its value. Values normalized to $M; period read from row label or column header.</t>
        </is>
      </c>
    </row>
    <row r="4">
      <c r="A4" s="35" t="inlineStr">
        <is>
          <t>Metric</t>
        </is>
      </c>
      <c r="B4" s="35" t="inlineStr">
        <is>
          <t>FY2017</t>
        </is>
      </c>
      <c r="C4" s="35" t="inlineStr">
        <is>
          <t>Q3 2018</t>
        </is>
      </c>
      <c r="D4" s="35" t="inlineStr">
        <is>
          <t>9M 2018</t>
        </is>
      </c>
      <c r="E4" s="35" t="inlineStr">
        <is>
          <t>Q4 2018</t>
        </is>
      </c>
      <c r="F4" s="35" t="inlineStr">
        <is>
          <t>FY2018</t>
        </is>
      </c>
      <c r="G4" s="35" t="inlineStr">
        <is>
          <t>Q1 2019</t>
        </is>
      </c>
      <c r="H4" s="35" t="inlineStr">
        <is>
          <t>Q2 2019</t>
        </is>
      </c>
      <c r="I4" s="35" t="inlineStr">
        <is>
          <t>H1 2019</t>
        </is>
      </c>
      <c r="J4" s="35" t="inlineStr">
        <is>
          <t>Q3 2019</t>
        </is>
      </c>
      <c r="K4" s="35" t="inlineStr">
        <is>
          <t>9M 2019</t>
        </is>
      </c>
      <c r="L4" s="35" t="inlineStr">
        <is>
          <t>Q4 2019</t>
        </is>
      </c>
      <c r="M4" s="35" t="inlineStr">
        <is>
          <t>FY2019</t>
        </is>
      </c>
      <c r="N4" s="35" t="inlineStr">
        <is>
          <t>Q4 2020</t>
        </is>
      </c>
      <c r="O4" s="35" t="inlineStr">
        <is>
          <t>FY2020</t>
        </is>
      </c>
      <c r="P4" s="35" t="inlineStr">
        <is>
          <t>Q1 2021</t>
        </is>
      </c>
      <c r="Q4" s="35" t="inlineStr">
        <is>
          <t>Q2 2021</t>
        </is>
      </c>
      <c r="R4" s="35" t="inlineStr">
        <is>
          <t>H1 2021</t>
        </is>
      </c>
      <c r="S4" s="35" t="inlineStr">
        <is>
          <t>Q3 2021</t>
        </is>
      </c>
      <c r="T4" s="35" t="inlineStr">
        <is>
          <t>FY2021</t>
        </is>
      </c>
      <c r="U4" s="35" t="inlineStr">
        <is>
          <t>Q1 2022</t>
        </is>
      </c>
      <c r="V4" s="35" t="inlineStr">
        <is>
          <t>Q2 2022</t>
        </is>
      </c>
      <c r="W4" s="35" t="inlineStr">
        <is>
          <t>Q3 2022</t>
        </is>
      </c>
      <c r="X4" s="35" t="inlineStr">
        <is>
          <t>Q4 2022</t>
        </is>
      </c>
      <c r="Y4" s="35" t="inlineStr">
        <is>
          <t>FY2022</t>
        </is>
      </c>
      <c r="Z4" s="35" t="inlineStr">
        <is>
          <t>Q1 2023</t>
        </is>
      </c>
      <c r="AA4" s="35" t="inlineStr">
        <is>
          <t>Q2 2023</t>
        </is>
      </c>
      <c r="AB4" s="35" t="inlineStr">
        <is>
          <t>H1 2023</t>
        </is>
      </c>
      <c r="AC4" s="35" t="inlineStr">
        <is>
          <t>Q3 2023</t>
        </is>
      </c>
      <c r="AD4" s="35" t="inlineStr">
        <is>
          <t>9M 2023</t>
        </is>
      </c>
      <c r="AE4" s="35" t="inlineStr">
        <is>
          <t>Q4 2023</t>
        </is>
      </c>
      <c r="AF4" s="35" t="inlineStr">
        <is>
          <t>FY2023</t>
        </is>
      </c>
      <c r="AG4" s="35" t="inlineStr">
        <is>
          <t>Q1 2024</t>
        </is>
      </c>
      <c r="AH4" s="35" t="inlineStr">
        <is>
          <t>Q4 2024</t>
        </is>
      </c>
      <c r="AI4" s="35" t="inlineStr">
        <is>
          <t>FY2024</t>
        </is>
      </c>
      <c r="AJ4" s="35" t="inlineStr">
        <is>
          <t>Q1 2025</t>
        </is>
      </c>
      <c r="AK4" s="35" t="inlineStr">
        <is>
          <t>Q2 2025</t>
        </is>
      </c>
      <c r="AL4" s="35" t="inlineStr">
        <is>
          <t>H1 2025</t>
        </is>
      </c>
      <c r="AM4" s="35" t="inlineStr">
        <is>
          <t>Q3 2025</t>
        </is>
      </c>
      <c r="AN4" s="35" t="inlineStr">
        <is>
          <t>Q4 2025</t>
        </is>
      </c>
      <c r="AO4" s="35" t="inlineStr">
        <is>
          <t>FY2025</t>
        </is>
      </c>
      <c r="AP4" s="35" t="inlineStr">
        <is>
          <t>Q1 2026</t>
        </is>
      </c>
      <c r="AQ4" s="35" t="inlineStr">
        <is>
          <t>FY2026</t>
        </is>
      </c>
    </row>
    <row r="5">
      <c r="A5" s="36" t="inlineStr">
        <is>
          <t>Total Revenue</t>
        </is>
      </c>
      <c r="C5" t="n">
        <v>16.6</v>
      </c>
      <c r="D5" t="n">
        <v>37.9</v>
      </c>
      <c r="E5" t="n">
        <v>14.7</v>
      </c>
      <c r="F5" t="n">
        <v>52.6</v>
      </c>
      <c r="G5" t="n">
        <v>14.5</v>
      </c>
      <c r="H5" t="n">
        <v>16.1</v>
      </c>
      <c r="I5" t="n">
        <v>30.6</v>
      </c>
      <c r="J5" t="n">
        <v>20.4</v>
      </c>
      <c r="K5" t="n">
        <v>51</v>
      </c>
      <c r="L5" t="n">
        <v>24.1</v>
      </c>
      <c r="M5" t="n">
        <v>75.09999999999999</v>
      </c>
      <c r="N5" t="n">
        <v>35.7</v>
      </c>
      <c r="Q5" t="n">
        <v>65.09999999999999</v>
      </c>
      <c r="R5" t="n">
        <v>115</v>
      </c>
      <c r="S5" t="n">
        <v>94.90000000000001</v>
      </c>
      <c r="T5" t="n">
        <v>314</v>
      </c>
      <c r="U5" t="n">
        <v>133.4</v>
      </c>
      <c r="V5" t="n">
        <v>154</v>
      </c>
      <c r="W5" t="n">
        <v>188.2</v>
      </c>
      <c r="X5" t="n">
        <v>178</v>
      </c>
      <c r="Y5" t="n">
        <v>654</v>
      </c>
      <c r="Z5" t="n">
        <v>260</v>
      </c>
      <c r="AA5" t="n">
        <v>326</v>
      </c>
      <c r="AB5" t="n">
        <v>586</v>
      </c>
      <c r="AC5" t="n">
        <v>385</v>
      </c>
      <c r="AD5" t="n">
        <v>971</v>
      </c>
      <c r="AE5" t="n">
        <v>347</v>
      </c>
      <c r="AF5" t="n">
        <v>1300</v>
      </c>
      <c r="AG5" t="n">
        <v>355.7</v>
      </c>
      <c r="AI5" t="n">
        <v>1360</v>
      </c>
      <c r="AJ5" t="n">
        <v>329.3</v>
      </c>
      <c r="AK5" t="n">
        <v>739.3</v>
      </c>
      <c r="AL5" t="n">
        <v>1070</v>
      </c>
      <c r="AM5" t="n">
        <v>725</v>
      </c>
      <c r="AO5" t="n">
        <v>1460</v>
      </c>
      <c r="AP5" t="n">
        <v>783</v>
      </c>
    </row>
    <row r="6">
      <c r="A6" s="36" t="inlineStr">
        <is>
          <t>North America Revenue</t>
        </is>
      </c>
      <c r="C6" t="n">
        <v>11.4</v>
      </c>
      <c r="E6" t="n">
        <v>10.9</v>
      </c>
      <c r="F6" t="n">
        <v>38.9</v>
      </c>
      <c r="G6" t="n">
        <v>11.4</v>
      </c>
      <c r="J6" t="n">
        <v>16.8</v>
      </c>
      <c r="L6" t="n">
        <v>17.1</v>
      </c>
      <c r="M6" t="n">
        <v>60</v>
      </c>
      <c r="N6" t="n">
        <v>28.4</v>
      </c>
      <c r="Q6" t="n">
        <v>53.7</v>
      </c>
      <c r="R6" t="n">
        <v>92.59999999999999</v>
      </c>
      <c r="S6" t="n">
        <v>84.5</v>
      </c>
      <c r="T6" t="n">
        <v>273</v>
      </c>
      <c r="U6" t="n">
        <v>123.5</v>
      </c>
      <c r="V6" t="n">
        <v>145.4</v>
      </c>
      <c r="W6" t="n">
        <v>179.5</v>
      </c>
      <c r="X6" t="n">
        <v>160</v>
      </c>
      <c r="Z6" t="n">
        <v>249</v>
      </c>
      <c r="AA6" t="n">
        <v>311</v>
      </c>
      <c r="AB6" t="n">
        <v>559</v>
      </c>
      <c r="AC6" t="n">
        <v>371</v>
      </c>
      <c r="AE6" t="n">
        <v>333</v>
      </c>
      <c r="AF6" t="n">
        <v>1270</v>
      </c>
      <c r="AG6" t="n">
        <v>339.5</v>
      </c>
      <c r="AK6" t="n">
        <v>1020</v>
      </c>
      <c r="AO6" t="n">
        <v>2422.5</v>
      </c>
    </row>
    <row r="7">
      <c r="A7" s="36" t="inlineStr">
        <is>
          <t>International Revenue</t>
        </is>
      </c>
      <c r="F7" t="n">
        <v>13.7</v>
      </c>
      <c r="G7" t="n">
        <v>3.1</v>
      </c>
      <c r="N7" t="n">
        <v>7.3</v>
      </c>
      <c r="Q7" t="n">
        <v>11.5</v>
      </c>
      <c r="R7" t="n">
        <v>22.5</v>
      </c>
      <c r="S7" t="n">
        <v>10.4</v>
      </c>
      <c r="T7" t="n">
        <v>41</v>
      </c>
      <c r="U7" t="n">
        <v>9.9</v>
      </c>
      <c r="V7" t="n">
        <v>8.6</v>
      </c>
      <c r="W7" t="n">
        <v>8.699999999999999</v>
      </c>
      <c r="X7" t="n">
        <v>11.5</v>
      </c>
      <c r="Z7" t="n">
        <v>11.4</v>
      </c>
      <c r="AA7" t="n">
        <v>15.1</v>
      </c>
      <c r="AB7" t="n">
        <v>27</v>
      </c>
      <c r="AC7" t="n">
        <v>13.6</v>
      </c>
      <c r="AE7" t="n">
        <v>15</v>
      </c>
      <c r="AF7" t="n">
        <v>54.7</v>
      </c>
      <c r="AJ7" t="n">
        <v>22.8</v>
      </c>
      <c r="AK7" t="n">
        <v>48</v>
      </c>
      <c r="AO7" t="n">
        <v>92.8</v>
      </c>
    </row>
    <row r="8">
      <c r="A8" s="36" t="inlineStr">
        <is>
          <t>Europe Revenue</t>
        </is>
      </c>
      <c r="E8" t="n">
        <v>2.1</v>
      </c>
      <c r="J8" t="n">
        <v>3.4</v>
      </c>
      <c r="M8" t="n">
        <v>14.5</v>
      </c>
      <c r="N8" t="n">
        <v>6.9</v>
      </c>
      <c r="Q8" t="n">
        <v>10.8</v>
      </c>
      <c r="S8" t="n">
        <v>9.5</v>
      </c>
      <c r="U8" t="n">
        <v>8.5</v>
      </c>
      <c r="V8" t="n">
        <v>7.3</v>
      </c>
      <c r="W8" t="n">
        <v>7.5</v>
      </c>
    </row>
    <row r="9">
      <c r="A9" s="36" t="inlineStr">
        <is>
          <t>Asia Revenue</t>
        </is>
      </c>
      <c r="C9" t="n">
        <v>1.4</v>
      </c>
      <c r="E9" t="n">
        <v>1.6</v>
      </c>
      <c r="F9" t="n">
        <v>4.3</v>
      </c>
      <c r="M9" t="n">
        <v>0.841</v>
      </c>
      <c r="N9" t="n">
        <v>0.224</v>
      </c>
      <c r="Q9" t="n">
        <v>0.619</v>
      </c>
      <c r="S9" t="n">
        <v>0.706</v>
      </c>
      <c r="U9" t="n">
        <v>1</v>
      </c>
    </row>
    <row r="10">
      <c r="A10" s="36" t="inlineStr">
        <is>
          <t>Amazon Revenue</t>
        </is>
      </c>
      <c r="U10" t="n">
        <v>13.8</v>
      </c>
      <c r="W10" t="n">
        <v>16</v>
      </c>
      <c r="Y10" t="n">
        <v>58</v>
      </c>
      <c r="AC10" t="n">
        <v>22.2</v>
      </c>
      <c r="AG10" t="n">
        <v>28</v>
      </c>
    </row>
    <row r="11">
      <c r="A11" s="36" t="inlineStr">
        <is>
          <t>Gross Profit</t>
        </is>
      </c>
      <c r="C11" t="n">
        <v>6.9</v>
      </c>
      <c r="D11" t="n">
        <v>15.6</v>
      </c>
      <c r="E11" t="n">
        <v>5.5</v>
      </c>
      <c r="F11" t="n">
        <v>21.1</v>
      </c>
      <c r="G11" t="n">
        <v>5.7</v>
      </c>
      <c r="H11" t="n">
        <v>6.9</v>
      </c>
      <c r="I11" t="n">
        <v>12.6</v>
      </c>
      <c r="J11" t="n">
        <v>8.6</v>
      </c>
      <c r="L11" t="n">
        <v>10.1</v>
      </c>
      <c r="M11" t="n">
        <v>31.3</v>
      </c>
      <c r="N11" t="n">
        <v>17.4</v>
      </c>
      <c r="Q11" t="n">
        <v>28.2</v>
      </c>
      <c r="R11" t="n">
        <v>48.8</v>
      </c>
      <c r="S11" t="n">
        <v>37.7</v>
      </c>
      <c r="T11" t="n">
        <v>128</v>
      </c>
      <c r="U11" t="n">
        <v>53.9</v>
      </c>
      <c r="V11" t="n">
        <v>59.3</v>
      </c>
      <c r="W11" t="n">
        <v>78.7</v>
      </c>
      <c r="X11" t="n">
        <v>79</v>
      </c>
      <c r="Y11" t="n">
        <v>271</v>
      </c>
      <c r="Z11" t="n">
        <v>114</v>
      </c>
      <c r="AA11" t="n">
        <v>159</v>
      </c>
      <c r="AB11" t="n">
        <v>273</v>
      </c>
      <c r="AC11" t="n">
        <v>194</v>
      </c>
      <c r="AD11" t="n">
        <v>467</v>
      </c>
      <c r="AE11" t="n">
        <v>166</v>
      </c>
      <c r="AF11" t="n">
        <v>633</v>
      </c>
      <c r="AG11" t="n">
        <v>182.2</v>
      </c>
      <c r="AI11" t="n">
        <v>680</v>
      </c>
      <c r="AJ11" t="n">
        <v>172.4</v>
      </c>
      <c r="AK11" t="n">
        <v>381</v>
      </c>
      <c r="AN11" t="n">
        <v>341.8</v>
      </c>
      <c r="AO11" t="n">
        <v>1270</v>
      </c>
    </row>
    <row r="12">
      <c r="A12" s="36" t="inlineStr">
        <is>
          <t>Gross Margin</t>
        </is>
      </c>
      <c r="C12" s="32" t="n">
        <v>0.415</v>
      </c>
      <c r="D12" s="32" t="n">
        <v>0.412</v>
      </c>
      <c r="E12" s="32" t="n">
        <v>0.371</v>
      </c>
      <c r="F12" s="32" t="n">
        <v>0.4</v>
      </c>
      <c r="G12" s="32" t="n">
        <v>0.395</v>
      </c>
      <c r="H12" s="32" t="n">
        <v>0.426</v>
      </c>
      <c r="I12" s="32" t="n">
        <v>0.411</v>
      </c>
      <c r="J12" s="32" t="n">
        <v>0.422</v>
      </c>
      <c r="L12" s="32" t="n">
        <v>0.419</v>
      </c>
      <c r="M12" s="32" t="n">
        <v>0.42</v>
      </c>
      <c r="N12" s="32" t="n">
        <v>0.489</v>
      </c>
      <c r="Q12" s="32" t="n">
        <v>0.434</v>
      </c>
      <c r="S12" s="32" t="n">
        <v>0.4</v>
      </c>
      <c r="U12" s="32" t="n">
        <v>0.404</v>
      </c>
      <c r="V12" s="32" t="n">
        <v>0.385</v>
      </c>
      <c r="W12" s="32" t="n">
        <v>0.418</v>
      </c>
      <c r="X12" s="32" t="n">
        <v>0.444</v>
      </c>
      <c r="Z12" s="32" t="n">
        <v>0.44</v>
      </c>
      <c r="AA12" s="32" t="n">
        <v>0.488</v>
      </c>
      <c r="AB12" s="32" t="n">
        <v>0.47</v>
      </c>
      <c r="AC12" s="32" t="n">
        <v>0.504</v>
      </c>
      <c r="AE12" s="32" t="n">
        <v>0.48</v>
      </c>
      <c r="AF12" s="32" t="n">
        <v>0.48</v>
      </c>
      <c r="AG12" s="32" t="n">
        <v>0.512</v>
      </c>
      <c r="AH12" s="32" t="n">
        <v>0.502</v>
      </c>
      <c r="AI12" s="32" t="n">
        <v>0.502</v>
      </c>
      <c r="AJ12" s="32" t="n">
        <v>0.523</v>
      </c>
      <c r="AK12" s="32" t="n">
        <v>0.515</v>
      </c>
      <c r="AL12" s="32" t="n">
        <v>0.518</v>
      </c>
      <c r="AM12" s="32" t="n">
        <v>0.513</v>
      </c>
      <c r="AN12" s="32" t="n">
        <v>0.474</v>
      </c>
      <c r="AO12" s="32" t="n">
        <v>0.504</v>
      </c>
      <c r="AP12" s="32" t="n">
        <v>0.483</v>
      </c>
    </row>
    <row r="13">
      <c r="A13" s="36" t="inlineStr">
        <is>
          <t>Selling &amp; Marketing</t>
        </is>
      </c>
      <c r="C13" t="n">
        <v>8.699999999999999</v>
      </c>
      <c r="D13" t="n">
        <v>18.4</v>
      </c>
      <c r="E13" t="n">
        <v>2.8</v>
      </c>
      <c r="F13" t="n">
        <v>21.2</v>
      </c>
      <c r="G13" t="n">
        <v>3.6</v>
      </c>
      <c r="H13" t="n">
        <v>5.6</v>
      </c>
      <c r="I13" t="n">
        <v>9.199999999999999</v>
      </c>
      <c r="J13" t="n">
        <v>4.9</v>
      </c>
      <c r="L13" t="n">
        <v>7</v>
      </c>
      <c r="M13" t="n">
        <v>21.1</v>
      </c>
      <c r="N13" t="n">
        <v>11.2</v>
      </c>
      <c r="Q13" t="n">
        <v>15.5</v>
      </c>
      <c r="S13" t="n">
        <v>22.6</v>
      </c>
      <c r="U13" t="n">
        <v>31.6</v>
      </c>
      <c r="W13" t="n">
        <v>198.8</v>
      </c>
      <c r="Y13" t="n">
        <v>353</v>
      </c>
      <c r="Z13" t="n">
        <v>48</v>
      </c>
      <c r="AA13" t="n">
        <v>63</v>
      </c>
      <c r="AC13" t="n">
        <v>73</v>
      </c>
      <c r="AE13" t="n">
        <v>80</v>
      </c>
      <c r="AK13" t="n">
        <v>152</v>
      </c>
    </row>
    <row r="14">
      <c r="A14" s="36" t="inlineStr">
        <is>
          <t>General &amp; Administrative</t>
        </is>
      </c>
      <c r="C14" t="n">
        <v>2.3</v>
      </c>
      <c r="D14" t="n">
        <v>7.4</v>
      </c>
      <c r="E14" t="n">
        <v>3</v>
      </c>
      <c r="F14" t="n">
        <v>10.5</v>
      </c>
      <c r="G14" t="n">
        <v>2.6</v>
      </c>
      <c r="H14" t="n">
        <v>2.4</v>
      </c>
      <c r="I14" t="n">
        <v>5.1</v>
      </c>
      <c r="J14" t="n">
        <v>2.2</v>
      </c>
      <c r="L14" t="n">
        <v>4.4</v>
      </c>
      <c r="M14" t="n">
        <v>11.6</v>
      </c>
      <c r="N14" t="n">
        <v>5.7</v>
      </c>
      <c r="Q14" t="n">
        <v>9.1</v>
      </c>
      <c r="S14" t="n">
        <v>11.1</v>
      </c>
      <c r="U14" t="n">
        <v>12.2</v>
      </c>
      <c r="V14" t="n">
        <v>14.4</v>
      </c>
      <c r="W14" t="n">
        <v>27.5</v>
      </c>
      <c r="Y14" t="n">
        <v>76</v>
      </c>
      <c r="Z14" t="n">
        <v>21</v>
      </c>
      <c r="AA14" t="n">
        <v>32</v>
      </c>
      <c r="AC14" t="n">
        <v>23</v>
      </c>
      <c r="AE14" t="n">
        <v>27</v>
      </c>
      <c r="AG14" t="n">
        <v>23.2</v>
      </c>
      <c r="AK14" t="n">
        <v>86</v>
      </c>
    </row>
    <row r="15">
      <c r="A15" s="36" t="inlineStr">
        <is>
          <t>Net Income</t>
        </is>
      </c>
      <c r="C15" t="n">
        <v>-4.2</v>
      </c>
      <c r="D15" t="n">
        <v>-10.5</v>
      </c>
      <c r="E15" t="n">
        <v>-0.893</v>
      </c>
      <c r="F15" t="n">
        <v>-11.4</v>
      </c>
      <c r="G15" t="n">
        <v>11.7</v>
      </c>
      <c r="H15" t="n">
        <v>-1.5</v>
      </c>
      <c r="I15" t="n">
        <v>10.2</v>
      </c>
      <c r="J15" t="n">
        <v>0.961</v>
      </c>
      <c r="K15" t="n">
        <v>11.1</v>
      </c>
      <c r="L15" t="n">
        <v>-1.1</v>
      </c>
      <c r="M15" t="n">
        <v>10</v>
      </c>
      <c r="N15" t="n">
        <v>1.7</v>
      </c>
      <c r="Q15" t="n">
        <v>3.9</v>
      </c>
      <c r="R15" t="n">
        <v>4.5</v>
      </c>
      <c r="S15" t="n">
        <v>2.7</v>
      </c>
      <c r="T15" t="n">
        <v>3.9</v>
      </c>
      <c r="U15" t="n">
        <v>6.7</v>
      </c>
      <c r="V15" t="n">
        <v>9.199999999999999</v>
      </c>
      <c r="AC15" t="n">
        <v>70.5</v>
      </c>
      <c r="AG15" t="n">
        <v>65</v>
      </c>
      <c r="AH15" t="n">
        <v>-18.9</v>
      </c>
      <c r="AI15" t="n">
        <v>145</v>
      </c>
      <c r="AJ15" t="n">
        <v>34.4</v>
      </c>
      <c r="AK15" t="n">
        <v>85.7</v>
      </c>
      <c r="AO15" t="n">
        <v>108</v>
      </c>
      <c r="AP15" t="n">
        <v>110</v>
      </c>
    </row>
    <row r="16">
      <c r="A16" s="36" t="inlineStr">
        <is>
          <t>Adjusted EBITDA</t>
        </is>
      </c>
      <c r="C16" t="n">
        <v>-2.9</v>
      </c>
      <c r="D16" t="n">
        <v>-6</v>
      </c>
      <c r="E16" t="n">
        <v>0.785</v>
      </c>
      <c r="F16" t="n">
        <v>-6.3</v>
      </c>
      <c r="G16" t="n">
        <v>0.878</v>
      </c>
      <c r="H16" t="n">
        <v>-0.015</v>
      </c>
      <c r="I16" t="n">
        <v>0.863</v>
      </c>
      <c r="J16" t="n">
        <v>2.4</v>
      </c>
      <c r="L16" t="n">
        <v>0.607</v>
      </c>
      <c r="M16" t="n">
        <v>4</v>
      </c>
      <c r="N16" t="n">
        <v>3</v>
      </c>
      <c r="Q16" t="n">
        <v>7.9</v>
      </c>
      <c r="R16" t="n">
        <v>12.9</v>
      </c>
      <c r="U16" t="n">
        <v>14.8</v>
      </c>
      <c r="Z16" t="n">
        <v>48.7</v>
      </c>
      <c r="AG16" t="n">
        <v>88</v>
      </c>
      <c r="AI16" t="n">
        <v>88</v>
      </c>
      <c r="AJ16" t="n">
        <v>69.7</v>
      </c>
      <c r="AK16" t="n">
        <v>210</v>
      </c>
      <c r="AL16" t="n">
        <v>280</v>
      </c>
      <c r="AO16" t="n">
        <v>619.6</v>
      </c>
      <c r="AP16" t="n">
        <v>195</v>
      </c>
    </row>
    <row r="17">
      <c r="A17" s="36" t="inlineStr">
        <is>
          <t>Operating Cash Flow</t>
        </is>
      </c>
      <c r="F17" t="n">
        <v>-11.6</v>
      </c>
      <c r="M17" t="n">
        <v>1</v>
      </c>
      <c r="O17" t="n">
        <v>3.4</v>
      </c>
      <c r="Q17" t="n">
        <v>-30.3</v>
      </c>
      <c r="S17" t="n">
        <v>-52</v>
      </c>
      <c r="U17" t="n">
        <v>10</v>
      </c>
      <c r="AB17" t="n">
        <v>45</v>
      </c>
      <c r="AD17" t="n">
        <v>136</v>
      </c>
      <c r="AG17" t="n">
        <v>135</v>
      </c>
    </row>
    <row r="18">
      <c r="A18" s="36" t="inlineStr">
        <is>
          <t>Cash</t>
        </is>
      </c>
      <c r="B18" t="n">
        <v>14.2</v>
      </c>
      <c r="F18" t="n">
        <v>7.7</v>
      </c>
      <c r="M18" t="n">
        <v>23.1</v>
      </c>
      <c r="O18" t="n">
        <v>43.2</v>
      </c>
      <c r="Q18" t="n">
        <v>83.8</v>
      </c>
      <c r="S18" t="n">
        <v>61.4</v>
      </c>
      <c r="T18" t="n">
        <v>16.3</v>
      </c>
      <c r="Y18" t="n">
        <v>653</v>
      </c>
      <c r="Z18" t="n">
        <v>634</v>
      </c>
      <c r="AG18" t="n">
        <v>879.5</v>
      </c>
      <c r="AJ18" t="n">
        <v>400</v>
      </c>
      <c r="AO18" t="n">
        <v>398.9</v>
      </c>
    </row>
    <row r="19">
      <c r="A19" s="36" t="inlineStr">
        <is>
          <t>Working Capital</t>
        </is>
      </c>
      <c r="B19" t="n">
        <v>20.6</v>
      </c>
      <c r="F19" t="n">
        <v>20.2</v>
      </c>
      <c r="M19" t="n">
        <v>24.8</v>
      </c>
      <c r="O19" t="n">
        <v>64.90000000000001</v>
      </c>
      <c r="Q19" t="n">
        <v>151</v>
      </c>
      <c r="S19" t="n">
        <v>157</v>
      </c>
      <c r="T19" t="n">
        <v>169</v>
      </c>
      <c r="Y19" t="n">
        <v>757</v>
      </c>
      <c r="Z19" t="n">
        <v>801</v>
      </c>
    </row>
    <row r="20">
      <c r="A20" s="39" t="inlineStr">
        <is>
          <t>— Other metrics —</t>
        </is>
      </c>
      <c r="B20" s="40" t="n"/>
      <c r="C20" s="40" t="n"/>
      <c r="D20" s="40" t="n"/>
      <c r="E20" s="40" t="n"/>
      <c r="F20" s="40" t="n"/>
      <c r="G20" s="40" t="n"/>
      <c r="H20" s="40" t="n"/>
      <c r="I20" s="40" t="n"/>
      <c r="J20" s="40" t="n"/>
      <c r="K20" s="40" t="n"/>
      <c r="L20" s="40" t="n"/>
      <c r="M20" s="40" t="n"/>
      <c r="N20" s="40" t="n"/>
      <c r="O20" s="40" t="n"/>
      <c r="P20" s="40" t="n"/>
      <c r="Q20" s="40" t="n"/>
      <c r="R20" s="40" t="n"/>
      <c r="S20" s="40" t="n"/>
      <c r="T20" s="40" t="n"/>
      <c r="U20" s="40" t="n"/>
      <c r="V20" s="40" t="n"/>
      <c r="W20" s="40" t="n"/>
      <c r="X20" s="40" t="n"/>
      <c r="Y20" s="40" t="n"/>
      <c r="Z20" s="40" t="n"/>
      <c r="AA20" s="40" t="n"/>
      <c r="AB20" s="40" t="n"/>
      <c r="AC20" s="40" t="n"/>
      <c r="AD20" s="40" t="n"/>
      <c r="AE20" s="40" t="n"/>
      <c r="AF20" s="40" t="n"/>
      <c r="AG20" s="40" t="n"/>
      <c r="AH20" s="40" t="n"/>
      <c r="AI20" s="40" t="n"/>
      <c r="AJ20" s="40" t="n"/>
      <c r="AK20" s="40" t="n"/>
      <c r="AL20" s="40" t="n"/>
      <c r="AM20" s="40" t="n"/>
      <c r="AN20" s="40" t="n"/>
      <c r="AO20" s="40" t="n"/>
      <c r="AP20" s="40" t="n"/>
      <c r="AQ20" s="40" t="n"/>
    </row>
    <row r="21">
      <c r="A21" t="inlineStr">
        <is>
          <t>% of MULO+C stores DSD-serviced</t>
        </is>
      </c>
      <c r="T21" s="32" t="n">
        <v>0.65</v>
      </c>
    </row>
    <row r="22">
      <c r="A22" t="inlineStr">
        <is>
          <t>12-week growth</t>
        </is>
      </c>
      <c r="V22" s="32" t="n">
        <v>1.94</v>
      </c>
      <c r="X22" s="32" t="n">
        <v>0.1</v>
      </c>
    </row>
    <row r="23">
      <c r="A23" t="inlineStr">
        <is>
          <t>2-week growth</t>
        </is>
      </c>
      <c r="X23" s="32" t="n">
        <v>0.1</v>
      </c>
    </row>
    <row r="24">
      <c r="A24" t="inlineStr">
        <is>
          <t>4-week growth</t>
        </is>
      </c>
      <c r="V24" s="32" t="n">
        <v>1.43</v>
      </c>
    </row>
    <row r="25">
      <c r="A25" t="inlineStr">
        <is>
          <t>7-Eleven DSD Transition</t>
        </is>
      </c>
      <c r="N25" t="n">
        <v>2021</v>
      </c>
    </row>
    <row r="26">
      <c r="A26" t="inlineStr">
        <is>
          <t>Accrued distributor termination fees</t>
        </is>
      </c>
      <c r="AO26" t="n">
        <v>264.1</v>
      </c>
    </row>
    <row r="27">
      <c r="A27" t="inlineStr">
        <is>
          <t>Acquisition &amp; integration adj</t>
        </is>
      </c>
      <c r="AO27" t="n">
        <v>-60.2</v>
      </c>
    </row>
    <row r="28">
      <c r="A28" t="inlineStr">
        <is>
          <t>Acquisition-related costs</t>
        </is>
      </c>
      <c r="AK28" t="n">
        <v>16</v>
      </c>
    </row>
    <row r="29">
      <c r="A29" t="inlineStr">
        <is>
          <t>Acquisition-related costs (FY)</t>
        </is>
      </c>
      <c r="AN29" t="n">
        <v>60</v>
      </c>
    </row>
    <row r="30">
      <c r="A30" t="inlineStr">
        <is>
          <t>ACV (all channels)</t>
        </is>
      </c>
      <c r="X30" s="32" t="n">
        <v>0.897</v>
      </c>
    </row>
    <row r="31">
      <c r="A31" t="inlineStr">
        <is>
          <t>Adj EBITDA &amp; one-time</t>
        </is>
      </c>
      <c r="D31" t="n">
        <v>2.1</v>
      </c>
    </row>
    <row r="32">
      <c r="A32" t="inlineStr">
        <is>
          <t>Adj EBITDA /one-time</t>
        </is>
      </c>
      <c r="F32" t="n">
        <v>2.2</v>
      </c>
    </row>
    <row r="33">
      <c r="A33" t="inlineStr">
        <is>
          <t>Adj. Gross Margin (ex-freight)</t>
        </is>
      </c>
      <c r="Q33" s="32" t="n">
        <v>0.518</v>
      </c>
      <c r="S33" s="32" t="n">
        <v>0.498</v>
      </c>
    </row>
    <row r="34">
      <c r="A34" t="inlineStr">
        <is>
          <t>Adjusted Diluted EPS</t>
        </is>
      </c>
      <c r="AH34" t="n">
        <v>0.14</v>
      </c>
      <c r="AI34" t="n">
        <v>0.7</v>
      </c>
      <c r="AJ34" t="n">
        <v>0.18</v>
      </c>
      <c r="AK34" t="n">
        <v>0.47</v>
      </c>
      <c r="AL34" t="n">
        <v>0.65</v>
      </c>
      <c r="AO34" t="n">
        <v>1.34</v>
      </c>
    </row>
    <row r="35">
      <c r="A35" t="inlineStr">
        <is>
          <t>Adjusted EBITDA Margin</t>
        </is>
      </c>
      <c r="AH35" s="32" t="n">
        <v>0.189</v>
      </c>
      <c r="AI35" s="32" t="n">
        <v>0.15</v>
      </c>
      <c r="AJ35" s="32" t="n">
        <v>0.212</v>
      </c>
      <c r="AO35" s="32" t="n">
        <v>0.246</v>
      </c>
      <c r="AP35" s="32" t="n">
        <v>0.249</v>
      </c>
    </row>
    <row r="36">
      <c r="A36" t="inlineStr">
        <is>
          <t>Adjusted SG&amp;A % of revenue</t>
        </is>
      </c>
      <c r="AP36" s="32" t="n">
        <v>0.264</v>
      </c>
    </row>
    <row r="37">
      <c r="A37" t="inlineStr">
        <is>
          <t>Adjusted SG&amp;A as % of revenue (FY)</t>
        </is>
      </c>
      <c r="AN37" s="32" t="n">
        <v>0.294</v>
      </c>
    </row>
    <row r="38">
      <c r="A38" t="inlineStr">
        <is>
          <t>Adjusted SG&amp;A as % of revenue (Q4)</t>
        </is>
      </c>
      <c r="AN38" s="32" t="n">
        <v>0.318</v>
      </c>
    </row>
    <row r="39">
      <c r="A39" t="inlineStr">
        <is>
          <t>Alani Nu brand</t>
        </is>
      </c>
      <c r="AK39" t="n">
        <v>301.2</v>
      </c>
    </row>
    <row r="40">
      <c r="A40" t="inlineStr">
        <is>
          <t>Alani Nu dollar share</t>
        </is>
      </c>
      <c r="AJ40" s="32" t="n">
        <v>0.053</v>
      </c>
    </row>
    <row r="41">
      <c r="A41" t="inlineStr">
        <is>
          <t>Alani Nu net sales</t>
        </is>
      </c>
      <c r="AP41" t="n">
        <v>368</v>
      </c>
    </row>
    <row r="42">
      <c r="A42" t="inlineStr">
        <is>
          <t>Alani Nu retail sales growth</t>
        </is>
      </c>
      <c r="AO42" s="32" t="n">
        <v>1.01</v>
      </c>
    </row>
    <row r="43">
      <c r="A43" t="inlineStr">
        <is>
          <t>Amazon Energy Category Share (#2)</t>
        </is>
      </c>
      <c r="AA43" s="32" t="n">
        <v>0.186</v>
      </c>
    </row>
    <row r="44">
      <c r="A44" t="inlineStr">
        <is>
          <t>Average Items Carried Per Store (MULOC)</t>
        </is>
      </c>
      <c r="X44" t="n">
        <v>12.5</v>
      </c>
    </row>
    <row r="45">
      <c r="A45" t="inlineStr">
        <is>
          <t>Basic Shares</t>
        </is>
      </c>
      <c r="N45" t="n">
        <v>71.90000000000001</v>
      </c>
    </row>
    <row r="46">
      <c r="A46" t="inlineStr">
        <is>
          <t>Brand Celsius net sales</t>
        </is>
      </c>
      <c r="AP46" t="n">
        <v>348</v>
      </c>
    </row>
    <row r="47">
      <c r="A47" t="inlineStr">
        <is>
          <t>Celsius brand</t>
        </is>
      </c>
      <c r="AK47" t="n">
        <v>438.1</v>
      </c>
    </row>
    <row r="48">
      <c r="A48" t="inlineStr">
        <is>
          <t>CELSIUS brand retail sales growth</t>
        </is>
      </c>
      <c r="AO48" s="32" t="n">
        <v>0.06</v>
      </c>
    </row>
    <row r="49">
      <c r="A49" t="inlineStr">
        <is>
          <t>CELSIUS brand revenue</t>
        </is>
      </c>
      <c r="AO49" t="n">
        <v>1457.7</v>
      </c>
    </row>
    <row r="50">
      <c r="A50" t="inlineStr">
        <is>
          <t>Celsius US tracked-channel dollar share</t>
        </is>
      </c>
      <c r="AJ50" s="32" t="n">
        <v>0.109</v>
      </c>
    </row>
    <row r="51">
      <c r="A51" t="inlineStr">
        <is>
          <t>China Note Interest Income</t>
        </is>
      </c>
      <c r="G51" t="n">
        <v>0.09</v>
      </c>
    </row>
    <row r="52">
      <c r="A52" t="inlineStr">
        <is>
          <t>Club channel revenue</t>
        </is>
      </c>
      <c r="V52" t="n">
        <v>30.9</v>
      </c>
    </row>
    <row r="53">
      <c r="A53" t="inlineStr">
        <is>
          <t>Club Channel Sales</t>
        </is>
      </c>
      <c r="W53" t="n">
        <v>34</v>
      </c>
      <c r="Y53" t="n">
        <v>138</v>
      </c>
      <c r="AA53" t="n">
        <v>68</v>
      </c>
      <c r="AC53" t="n">
        <v>63.2</v>
      </c>
      <c r="AG53" t="n">
        <v>63</v>
      </c>
    </row>
    <row r="54">
      <c r="A54" t="inlineStr">
        <is>
          <t>Combined business RTD energy mix</t>
        </is>
      </c>
      <c r="AI54" t="n">
        <v>2025</v>
      </c>
    </row>
    <row r="55">
      <c r="A55" t="inlineStr">
        <is>
          <t>Combined portfolio dollar share</t>
        </is>
      </c>
      <c r="AJ55" s="32" t="n">
        <v>0.162</v>
      </c>
    </row>
    <row r="56">
      <c r="A56" t="inlineStr">
        <is>
          <t>Contingent consideration</t>
        </is>
      </c>
      <c r="AO56" t="n">
        <v>25</v>
      </c>
    </row>
    <row r="57">
      <c r="A57" t="inlineStr">
        <is>
          <t>Convenience Channel ACV</t>
        </is>
      </c>
      <c r="T57" s="32" t="n">
        <v>0.44</v>
      </c>
      <c r="X57" s="32" t="n">
        <v>0.89</v>
      </c>
      <c r="AA57" s="32" t="n">
        <v>0.9490000000000001</v>
      </c>
    </row>
    <row r="58">
      <c r="A58" t="inlineStr">
        <is>
          <t>Convenience channel sales growth</t>
        </is>
      </c>
      <c r="V58" s="32" t="n">
        <v>2.27</v>
      </c>
      <c r="W58" s="32" t="n">
        <v>1.58</v>
      </c>
    </row>
    <row r="59">
      <c r="A59" t="inlineStr">
        <is>
          <t>Convenience Channel Store Locations</t>
        </is>
      </c>
      <c r="V59" t="n">
        <v>82000</v>
      </c>
      <c r="W59" t="n">
        <v>86000</v>
      </c>
    </row>
    <row r="60">
      <c r="A60" t="inlineStr">
        <is>
          <t>Cooler Rollout Phase 1</t>
        </is>
      </c>
      <c r="T60" t="n">
        <v>2021</v>
      </c>
    </row>
    <row r="61">
      <c r="A61" t="inlineStr">
        <is>
          <t>Debt</t>
        </is>
      </c>
      <c r="AJ61" t="n">
        <v>900</v>
      </c>
    </row>
    <row r="62">
      <c r="A62" t="inlineStr">
        <is>
          <t>Diluted EPS</t>
        </is>
      </c>
      <c r="Q62" t="n">
        <v>0.05</v>
      </c>
      <c r="S62" t="n">
        <v>0.04</v>
      </c>
      <c r="U62" t="n">
        <v>0.09</v>
      </c>
      <c r="V62" t="n">
        <v>0.12</v>
      </c>
      <c r="AC62" t="n">
        <v>0.89</v>
      </c>
      <c r="AG62" t="n">
        <v>0.27</v>
      </c>
      <c r="AJ62" t="n">
        <v>0.15</v>
      </c>
      <c r="AK62" t="n">
        <v>0.33</v>
      </c>
      <c r="AO62" t="n">
        <v>0.25</v>
      </c>
    </row>
    <row r="63">
      <c r="A63" t="inlineStr">
        <is>
          <t>Distribution Termination Expenses</t>
        </is>
      </c>
      <c r="Y63" t="n">
        <v>194</v>
      </c>
    </row>
    <row r="64">
      <c r="A64" t="inlineStr">
        <is>
          <t>Distributor termination &amp; integration adj</t>
        </is>
      </c>
      <c r="AO64" t="n">
        <v>-327.5</v>
      </c>
    </row>
    <row r="65">
      <c r="A65" t="inlineStr">
        <is>
          <t>Distributor termination costs (Q4)</t>
        </is>
      </c>
      <c r="AN65" t="n">
        <v>80.8</v>
      </c>
    </row>
    <row r="66">
      <c r="A66" t="inlineStr">
        <is>
          <t>DPO (days)</t>
        </is>
      </c>
      <c r="Q66" t="n">
        <v>31</v>
      </c>
    </row>
    <row r="67">
      <c r="A67" t="inlineStr">
        <is>
          <t>DSD distributor revenue growth</t>
        </is>
      </c>
      <c r="U67" s="32" t="n">
        <v>3.95</v>
      </c>
    </row>
    <row r="68">
      <c r="A68" t="inlineStr">
        <is>
          <t>DSD incremental revenue</t>
        </is>
      </c>
      <c r="V68" t="n">
        <v>41.8</v>
      </c>
    </row>
    <row r="69">
      <c r="A69" t="inlineStr">
        <is>
          <t>DSD network sales</t>
        </is>
      </c>
      <c r="V69" t="n">
        <v>61.9</v>
      </c>
    </row>
    <row r="70">
      <c r="A70" t="inlineStr">
        <is>
          <t>DSD population coverage</t>
        </is>
      </c>
      <c r="T70" s="32" t="n">
        <v>0.98</v>
      </c>
    </row>
    <row r="71">
      <c r="A71" t="inlineStr">
        <is>
          <t>DSD service centers</t>
        </is>
      </c>
      <c r="T71" t="n">
        <v>276</v>
      </c>
    </row>
    <row r="72">
      <c r="A72" t="inlineStr">
        <is>
          <t>DSO (days)</t>
        </is>
      </c>
      <c r="Q72" t="n">
        <v>45</v>
      </c>
    </row>
    <row r="73">
      <c r="A73" t="inlineStr">
        <is>
          <t>Earn-out contingent consideration charge</t>
        </is>
      </c>
      <c r="AK73" t="n">
        <v>13.8</v>
      </c>
    </row>
    <row r="74">
      <c r="A74" t="inlineStr">
        <is>
          <t>Effective tax rate (9 months)</t>
        </is>
      </c>
      <c r="W74" s="32" t="n">
        <v>-0.335</v>
      </c>
    </row>
    <row r="75">
      <c r="A75" t="inlineStr">
        <is>
          <t>EPS</t>
        </is>
      </c>
      <c r="G75" t="n">
        <v>0.2</v>
      </c>
      <c r="I75" t="n">
        <v>0.18</v>
      </c>
      <c r="M75" t="n">
        <v>0.16</v>
      </c>
      <c r="N75" t="n">
        <v>0.02</v>
      </c>
    </row>
    <row r="76">
      <c r="A76" t="inlineStr">
        <is>
          <t>EPS Basic</t>
        </is>
      </c>
      <c r="J76" t="n">
        <v>0.02</v>
      </c>
      <c r="K76" t="n">
        <v>0.19</v>
      </c>
    </row>
    <row r="77">
      <c r="A77" t="inlineStr">
        <is>
          <t>Fill Rate</t>
        </is>
      </c>
      <c r="P77" s="32" t="n">
        <v>0.97</v>
      </c>
    </row>
    <row r="78">
      <c r="A78" t="inlineStr">
        <is>
          <t>Foodservice as % of NA sales (via PepsiCo)</t>
        </is>
      </c>
      <c r="AJ78" s="32" t="n">
        <v>0.134</v>
      </c>
    </row>
    <row r="79">
      <c r="A79" t="inlineStr">
        <is>
          <t>Freight (% of net revenues)</t>
        </is>
      </c>
      <c r="AC79" s="32" t="n">
        <v>0.049</v>
      </c>
    </row>
    <row r="80">
      <c r="A80" t="inlineStr">
        <is>
          <t>Freight cost (Celsius brand) % of sales</t>
        </is>
      </c>
      <c r="AM80" s="32" t="n">
        <v>0.03</v>
      </c>
    </row>
    <row r="81">
      <c r="A81" t="inlineStr">
        <is>
          <t>Full-Year EBITDA 2020</t>
        </is>
      </c>
      <c r="N81" t="n">
        <v>15</v>
      </c>
    </row>
    <row r="82">
      <c r="A82" t="inlineStr">
        <is>
          <t>Full-Year Income 2020</t>
        </is>
      </c>
      <c r="N82" t="n">
        <v>8.5</v>
      </c>
    </row>
    <row r="83">
      <c r="A83" t="inlineStr">
        <is>
          <t>Fully Diluted Shares</t>
        </is>
      </c>
      <c r="N83" t="n">
        <v>76.5</v>
      </c>
    </row>
    <row r="84">
      <c r="A84" t="inlineStr">
        <is>
          <t>G&amp;A % of Revenue</t>
        </is>
      </c>
      <c r="U84" s="32" t="n">
        <v>0.09</v>
      </c>
      <c r="V84" s="32" t="n">
        <v>0.09</v>
      </c>
      <c r="W84" s="32" t="n">
        <v>0.15</v>
      </c>
      <c r="Z84" s="32" t="n">
        <v>0.08</v>
      </c>
      <c r="AA84" s="32" t="n">
        <v>0.1</v>
      </c>
      <c r="AC84" s="32" t="n">
        <v>0.06</v>
      </c>
      <c r="AE84" s="32" t="n">
        <v>0.08</v>
      </c>
      <c r="AF84" s="32" t="n">
        <v>0.08</v>
      </c>
      <c r="AG84" s="32" t="n">
        <v>0.07000000000000001</v>
      </c>
      <c r="AI84" s="32" t="n">
        <v>0.128</v>
      </c>
      <c r="AK84" s="32" t="n">
        <v>0.117</v>
      </c>
    </row>
    <row r="85">
      <c r="A85" t="inlineStr">
        <is>
          <t>G&amp;A % of sales (ex-acquisition costs)</t>
        </is>
      </c>
      <c r="AM85" s="32" t="n">
        <v>0.06</v>
      </c>
    </row>
    <row r="86">
      <c r="A86" t="inlineStr">
        <is>
          <t>Gap (promos/incentives + non-DSD timing)</t>
        </is>
      </c>
      <c r="AJ86" t="n">
        <v>3</v>
      </c>
    </row>
    <row r="87">
      <c r="A87" t="inlineStr">
        <is>
          <t>Gross Margin Aspiration</t>
        </is>
      </c>
      <c r="AA87" s="32" t="n">
        <v>0.55</v>
      </c>
    </row>
    <row r="88">
      <c r="A88" t="inlineStr">
        <is>
          <t>Gross Margin ex inventory step-up</t>
        </is>
      </c>
      <c r="AK88" s="32" t="n">
        <v>0.54</v>
      </c>
    </row>
    <row r="89">
      <c r="A89" t="inlineStr">
        <is>
          <t>Gross margin sequential change (vs Q2)</t>
        </is>
      </c>
      <c r="W89" t="n">
        <v>330</v>
      </c>
    </row>
    <row r="90">
      <c r="A90" t="inlineStr">
        <is>
          <t>Household Penetration</t>
        </is>
      </c>
      <c r="AA90" s="32" t="n">
        <v>0.111</v>
      </c>
    </row>
    <row r="91">
      <c r="A91" t="inlineStr">
        <is>
          <t>Incremental Cooler Placement</t>
        </is>
      </c>
      <c r="AO91" t="n">
        <v>2025</v>
      </c>
    </row>
    <row r="92">
      <c r="A92" t="inlineStr">
        <is>
          <t>International Cadence</t>
        </is>
      </c>
      <c r="AI92" t="n">
        <v>2025</v>
      </c>
    </row>
    <row r="93">
      <c r="A93" t="inlineStr">
        <is>
          <t>International Revenue (ex-Canada)</t>
        </is>
      </c>
      <c r="AG93" t="n">
        <v>16.2</v>
      </c>
    </row>
    <row r="94">
      <c r="A94" t="inlineStr">
        <is>
          <t>Inventory Days on Hand</t>
        </is>
      </c>
      <c r="Q94" t="n">
        <v>155</v>
      </c>
    </row>
    <row r="95">
      <c r="A95" t="inlineStr">
        <is>
          <t>Inventory Increase (9M)</t>
        </is>
      </c>
      <c r="S95" t="n">
        <v>104</v>
      </c>
    </row>
    <row r="96">
      <c r="A96" t="inlineStr">
        <is>
          <t>Inventory valuation step-up (non-cash, FY)</t>
        </is>
      </c>
      <c r="AN96" t="n">
        <v>22.4</v>
      </c>
    </row>
    <row r="97">
      <c r="A97" t="inlineStr">
        <is>
          <t>June 9 Offering Net Proceeds (to Company)</t>
        </is>
      </c>
      <c r="Q97" t="n">
        <v>67.8</v>
      </c>
    </row>
    <row r="98">
      <c r="A98" t="inlineStr">
        <is>
          <t>Long-term debt</t>
        </is>
      </c>
      <c r="AO98" t="n">
        <v>669.9</v>
      </c>
    </row>
    <row r="99">
      <c r="A99" t="inlineStr">
        <is>
          <t>MULOC ACV</t>
        </is>
      </c>
      <c r="AA99" s="32" t="n">
        <v>0.968</v>
      </c>
    </row>
    <row r="100">
      <c r="A100" t="inlineStr">
        <is>
          <t>MULOC Energy Market Share (#3)</t>
        </is>
      </c>
      <c r="AC100" s="32" t="n">
        <v>0.105</v>
      </c>
    </row>
    <row r="101">
      <c r="A101" t="inlineStr">
        <is>
          <t>MULOC locations serviced by DSD</t>
        </is>
      </c>
      <c r="W101" s="32" t="n">
        <v>0.92</v>
      </c>
    </row>
    <row r="102">
      <c r="A102" t="inlineStr">
        <is>
          <t>MULOC Total Energy Share (#3 brand)</t>
        </is>
      </c>
      <c r="AA102" s="32" t="n">
        <v>0.08599999999999999</v>
      </c>
    </row>
    <row r="103">
      <c r="A103" t="inlineStr">
        <is>
          <t>Net Adj EBITDA /China Q4</t>
        </is>
      </c>
      <c r="E103" t="n">
        <v>0.135</v>
      </c>
    </row>
    <row r="104">
      <c r="A104" t="inlineStr">
        <is>
          <t>Net benefit (Celsius + Alani load-in)</t>
        </is>
      </c>
      <c r="AN104" t="n">
        <v>25</v>
      </c>
    </row>
    <row r="105">
      <c r="A105" t="inlineStr">
        <is>
          <t>Net Inventory</t>
        </is>
      </c>
      <c r="Q105" t="n">
        <v>63.8</v>
      </c>
      <c r="T105" t="n">
        <v>191.2</v>
      </c>
    </row>
    <row r="106">
      <c r="A106" t="inlineStr">
        <is>
          <t>Net Loss Per Share</t>
        </is>
      </c>
      <c r="C106" t="n">
        <v>-0.08</v>
      </c>
      <c r="D106" t="n">
        <v>-0.21</v>
      </c>
      <c r="E106" t="n">
        <v>-0.02</v>
      </c>
      <c r="F106" t="n">
        <v>-0.23</v>
      </c>
      <c r="H106" t="n">
        <v>-0.03</v>
      </c>
      <c r="L106" t="n">
        <v>-0.02</v>
      </c>
    </row>
    <row r="107">
      <c r="A107" t="inlineStr">
        <is>
          <t>Normalized Gross Margin ()</t>
        </is>
      </c>
      <c r="S107" s="32" t="n">
        <v>0.472</v>
      </c>
    </row>
    <row r="108">
      <c r="A108" t="inlineStr">
        <is>
          <t>Op. Cash Flow ex-inventory build (6M)</t>
        </is>
      </c>
      <c r="Q108" t="n">
        <v>15.1</v>
      </c>
    </row>
    <row r="109">
      <c r="A109" t="inlineStr">
        <is>
          <t>Operational G&amp;A ex-stock-comp/D&amp;A (% of rev)</t>
        </is>
      </c>
      <c r="N109" s="32" t="n">
        <v>0.08800000000000001</v>
      </c>
    </row>
    <row r="110">
      <c r="A110" t="inlineStr">
        <is>
          <t>Other Income</t>
        </is>
      </c>
      <c r="I110" t="n">
        <v>11.9</v>
      </c>
      <c r="AO110" t="n">
        <v>13</v>
      </c>
    </row>
    <row r="111">
      <c r="A111" t="inlineStr">
        <is>
          <t>Other International Markets</t>
        </is>
      </c>
      <c r="Q111" t="n">
        <v>0.062</v>
      </c>
      <c r="S111" t="n">
        <v>0.177</v>
      </c>
      <c r="T111" t="n">
        <v>3.2</v>
      </c>
      <c r="U111" t="n">
        <v>0.5</v>
      </c>
    </row>
    <row r="112">
      <c r="A112" t="inlineStr">
        <is>
          <t>Portfolio retail sales growth</t>
        </is>
      </c>
      <c r="AO112" s="32" t="n">
        <v>0.22</v>
      </c>
    </row>
    <row r="113">
      <c r="A113" t="inlineStr">
        <is>
          <t>Prepaids tied to raw materials</t>
        </is>
      </c>
      <c r="S113" t="n">
        <v>40</v>
      </c>
    </row>
    <row r="114">
      <c r="A114" t="inlineStr">
        <is>
          <t>Pro-Forma Net Leverage</t>
        </is>
      </c>
      <c r="AK114" t="n">
        <v>1</v>
      </c>
    </row>
    <row r="115">
      <c r="A115" t="inlineStr">
        <is>
          <t>Protein shakes share of 2024 sales</t>
        </is>
      </c>
      <c r="AI115" s="32" t="n">
        <v>0.06</v>
      </c>
    </row>
    <row r="116">
      <c r="A116" t="inlineStr">
        <is>
          <t>Purchase accounting inventory step-up</t>
        </is>
      </c>
      <c r="AK116" t="n">
        <v>21.7</v>
      </c>
    </row>
    <row r="117">
      <c r="A117" t="inlineStr">
        <is>
          <t>Quarter growth</t>
        </is>
      </c>
      <c r="V117" s="32" t="n">
        <v>1.85</v>
      </c>
      <c r="X117" s="32" t="n">
        <v>0.1</v>
      </c>
    </row>
    <row r="118">
      <c r="A118" t="inlineStr">
        <is>
          <t>Restricted cash</t>
        </is>
      </c>
      <c r="AO118" t="n">
        <v>141.1</v>
      </c>
    </row>
    <row r="119">
      <c r="A119" t="inlineStr">
        <is>
          <t>Retail Sales Growth</t>
        </is>
      </c>
      <c r="AI119" s="32" t="n">
        <v>0.22</v>
      </c>
    </row>
    <row r="120">
      <c r="A120" t="inlineStr">
        <is>
          <t>Revenue CAGR (2022-2024)</t>
        </is>
      </c>
      <c r="AI120" s="32" t="n">
        <v>0.49</v>
      </c>
    </row>
    <row r="121">
      <c r="A121" t="inlineStr">
        <is>
          <t>Rockstar combined Q3 impact</t>
        </is>
      </c>
      <c r="AM121" t="n">
        <v>18</v>
      </c>
    </row>
    <row r="122">
      <c r="A122" t="inlineStr">
        <is>
          <t>Rockstar Energy retail sales growth</t>
        </is>
      </c>
      <c r="AO122" s="32" t="n">
        <v>-0.11</v>
      </c>
    </row>
    <row r="123">
      <c r="A123" t="inlineStr">
        <is>
          <t>Rockstar Energy revenue</t>
        </is>
      </c>
      <c r="AO123" t="n">
        <v>55.6</v>
      </c>
    </row>
    <row r="124">
      <c r="A124" t="inlineStr">
        <is>
          <t>Rockstar net sales</t>
        </is>
      </c>
      <c r="AP124" t="n">
        <v>67</v>
      </c>
    </row>
    <row r="125">
      <c r="A125" t="inlineStr">
        <is>
          <t>Rockstar other-income GAAP portion</t>
        </is>
      </c>
      <c r="AM125" t="n">
        <v>7</v>
      </c>
    </row>
    <row r="126">
      <c r="A126" t="inlineStr">
        <is>
          <t>Rockstar revenue (first month under ownership, $M)</t>
        </is>
      </c>
      <c r="AM126" t="n">
        <v>11</v>
      </c>
    </row>
    <row r="127">
      <c r="A127" t="inlineStr">
        <is>
          <t>Rockstar run rate</t>
        </is>
      </c>
      <c r="AQ127" t="n">
        <v>250</v>
      </c>
    </row>
    <row r="128">
      <c r="A128" t="inlineStr">
        <is>
          <t>RTD energy share of 2024 sales</t>
        </is>
      </c>
      <c r="AI128" s="32" t="n">
        <v>0.83</v>
      </c>
    </row>
    <row r="129">
      <c r="A129" t="inlineStr">
        <is>
          <t>S&amp;M % of Revenue</t>
        </is>
      </c>
      <c r="Q129" s="32" t="n">
        <v>0.239</v>
      </c>
      <c r="S129" s="32" t="n">
        <v>0.238</v>
      </c>
      <c r="U129" s="32" t="n">
        <v>0.23</v>
      </c>
      <c r="V129" s="32" t="n">
        <v>0.21</v>
      </c>
      <c r="Z129" s="32" t="n">
        <v>0.183</v>
      </c>
      <c r="AA129" s="32" t="n">
        <v>0.192</v>
      </c>
      <c r="AC129" s="32" t="n">
        <v>0.191</v>
      </c>
      <c r="AE129" s="32" t="n">
        <v>0.23</v>
      </c>
      <c r="AF129" s="32" t="n">
        <v>0.2</v>
      </c>
      <c r="AG129" s="32" t="n">
        <v>0.21</v>
      </c>
      <c r="AI129" s="32" t="n">
        <v>0.259</v>
      </c>
      <c r="AK129" s="32" t="n">
        <v>0.205</v>
      </c>
      <c r="AM129" s="32" t="n">
        <v>0.2</v>
      </c>
    </row>
    <row r="130">
      <c r="A130" t="inlineStr">
        <is>
          <t>Scanner data trend</t>
        </is>
      </c>
      <c r="AJ130" s="32" t="n">
        <v>-0.04</v>
      </c>
    </row>
    <row r="131">
      <c r="A131" t="inlineStr">
        <is>
          <t>Sequential Gross Margin Improvement (vs Q2)</t>
        </is>
      </c>
      <c r="AC131" t="n">
        <v>165</v>
      </c>
    </row>
    <row r="132">
      <c r="A132" t="inlineStr">
        <is>
          <t>Sequential revenue growth (vs )</t>
        </is>
      </c>
      <c r="U132" s="32" t="n">
        <v>0.18</v>
      </c>
    </row>
    <row r="133">
      <c r="A133" t="inlineStr">
        <is>
          <t>Sequential Revenue Growth (vs Q2)</t>
        </is>
      </c>
      <c r="AC133" s="32" t="n">
        <v>0.18</v>
      </c>
    </row>
    <row r="134">
      <c r="A134" t="inlineStr">
        <is>
          <t>Series B convertible preferred stock (newly issued)</t>
        </is>
      </c>
      <c r="AO134" t="n">
        <v>907.6</v>
      </c>
    </row>
    <row r="135">
      <c r="A135" t="inlineStr">
        <is>
          <t>SG&amp;A</t>
        </is>
      </c>
      <c r="AH135" t="n">
        <v>185</v>
      </c>
      <c r="AJ135" t="n">
        <v>120.3</v>
      </c>
    </row>
    <row r="136">
      <c r="A136" t="inlineStr">
        <is>
          <t>Stock Option Expense</t>
        </is>
      </c>
      <c r="Q136" t="n">
        <v>4</v>
      </c>
      <c r="S136" t="n">
        <v>5.8</v>
      </c>
    </row>
    <row r="137">
      <c r="A137" t="inlineStr">
        <is>
          <t>Subway Distribution Opportunity</t>
        </is>
      </c>
      <c r="AO137" t="n">
        <v>2025</v>
      </c>
    </row>
    <row r="138">
      <c r="A138" t="inlineStr">
        <is>
          <t>Total assets</t>
        </is>
      </c>
      <c r="AO138" t="n">
        <v>5119.6</v>
      </c>
    </row>
    <row r="139">
      <c r="A139" t="inlineStr">
        <is>
          <t>Total Net Other Expense</t>
        </is>
      </c>
      <c r="S139" t="n">
        <v>-0.353</v>
      </c>
    </row>
    <row r="140">
      <c r="A140" t="inlineStr">
        <is>
          <t>Total Net Other Income</t>
        </is>
      </c>
      <c r="Q140" t="n">
        <v>0.3615</v>
      </c>
    </row>
    <row r="141">
      <c r="A141" t="inlineStr">
        <is>
          <t>Total Other Income</t>
        </is>
      </c>
      <c r="N141" t="n">
        <v>1.3</v>
      </c>
    </row>
    <row r="142">
      <c r="A142" t="inlineStr">
        <is>
          <t>Total Other Income Increase</t>
        </is>
      </c>
      <c r="G142" t="n">
        <v>12.2</v>
      </c>
    </row>
    <row r="143">
      <c r="A143" t="inlineStr">
        <is>
          <t>US Spacings (MULOC, 4 wks)</t>
        </is>
      </c>
      <c r="AA143" t="n">
        <v>14.6</v>
      </c>
    </row>
    <row r="144">
      <c r="A144" t="inlineStr">
        <is>
          <t>US store count</t>
        </is>
      </c>
      <c r="T144" t="n">
        <v>135000</v>
      </c>
      <c r="W144" t="n">
        <v>174000</v>
      </c>
      <c r="X144" t="n">
        <v>210000</v>
      </c>
    </row>
    <row r="145">
      <c r="A145" t="inlineStr">
        <is>
          <t>US total door count</t>
        </is>
      </c>
      <c r="V145" t="n">
        <v>196000</v>
      </c>
    </row>
    <row r="146">
      <c r="A146" t="inlineStr">
        <is>
          <t>Vending / foodservice revenue</t>
        </is>
      </c>
      <c r="V146" t="n">
        <v>4.4</v>
      </c>
    </row>
    <row r="147">
      <c r="A147" t="inlineStr">
        <is>
          <t>Volume Growth</t>
        </is>
      </c>
      <c r="AI147" s="32" t="n">
        <v>0.22</v>
      </c>
    </row>
    <row r="148">
      <c r="A148" t="inlineStr">
        <is>
          <t>Walmart sales growth</t>
        </is>
      </c>
      <c r="V148" s="32" t="n">
        <v>7</v>
      </c>
    </row>
    <row r="149">
      <c r="A149" t="inlineStr">
        <is>
          <t>Weighted Avg Shares Outstanding</t>
        </is>
      </c>
      <c r="G149" t="n">
        <v>57.2</v>
      </c>
    </row>
    <row r="150">
      <c r="A150" t="inlineStr">
        <is>
          <t>Weighted Avg Shares Outstanding Q2</t>
        </is>
      </c>
      <c r="H150" t="n">
        <v>57.3</v>
      </c>
    </row>
    <row r="151">
      <c r="A151" t="inlineStr">
        <is>
          <t>Weighted Avg Shares Q3</t>
        </is>
      </c>
      <c r="J151" t="n">
        <v>59.3</v>
      </c>
    </row>
  </sheetData>
  <hyperlinks>
    <hyperlink xmlns:r="http://schemas.openxmlformats.org/officeDocument/2006/relationships" ref="C5" r:id="rId1"/>
    <hyperlink xmlns:r="http://schemas.openxmlformats.org/officeDocument/2006/relationships" ref="D5" r:id="rId2"/>
    <hyperlink xmlns:r="http://schemas.openxmlformats.org/officeDocument/2006/relationships" ref="E5" r:id="rId3"/>
    <hyperlink xmlns:r="http://schemas.openxmlformats.org/officeDocument/2006/relationships" ref="F5" r:id="rId4"/>
    <hyperlink xmlns:r="http://schemas.openxmlformats.org/officeDocument/2006/relationships" ref="G5" r:id="rId5"/>
    <hyperlink xmlns:r="http://schemas.openxmlformats.org/officeDocument/2006/relationships" ref="H5" r:id="rId6"/>
    <hyperlink xmlns:r="http://schemas.openxmlformats.org/officeDocument/2006/relationships" ref="I5" r:id="rId7"/>
    <hyperlink xmlns:r="http://schemas.openxmlformats.org/officeDocument/2006/relationships" ref="J5" r:id="rId8"/>
    <hyperlink xmlns:r="http://schemas.openxmlformats.org/officeDocument/2006/relationships" ref="K5" r:id="rId9"/>
    <hyperlink xmlns:r="http://schemas.openxmlformats.org/officeDocument/2006/relationships" ref="L5" r:id="rId10"/>
    <hyperlink xmlns:r="http://schemas.openxmlformats.org/officeDocument/2006/relationships" ref="M5" r:id="rId11"/>
    <hyperlink xmlns:r="http://schemas.openxmlformats.org/officeDocument/2006/relationships" ref="N5" r:id="rId12"/>
    <hyperlink xmlns:r="http://schemas.openxmlformats.org/officeDocument/2006/relationships" ref="Q5" r:id="rId13"/>
    <hyperlink xmlns:r="http://schemas.openxmlformats.org/officeDocument/2006/relationships" ref="R5" r:id="rId14"/>
    <hyperlink xmlns:r="http://schemas.openxmlformats.org/officeDocument/2006/relationships" ref="S5" r:id="rId15"/>
    <hyperlink xmlns:r="http://schemas.openxmlformats.org/officeDocument/2006/relationships" ref="T5" r:id="rId16"/>
    <hyperlink xmlns:r="http://schemas.openxmlformats.org/officeDocument/2006/relationships" ref="U5" r:id="rId17"/>
    <hyperlink xmlns:r="http://schemas.openxmlformats.org/officeDocument/2006/relationships" ref="V5" r:id="rId18"/>
    <hyperlink xmlns:r="http://schemas.openxmlformats.org/officeDocument/2006/relationships" ref="W5" r:id="rId19"/>
    <hyperlink xmlns:r="http://schemas.openxmlformats.org/officeDocument/2006/relationships" ref="X5" r:id="rId20"/>
    <hyperlink xmlns:r="http://schemas.openxmlformats.org/officeDocument/2006/relationships" ref="Y5" r:id="rId21"/>
    <hyperlink xmlns:r="http://schemas.openxmlformats.org/officeDocument/2006/relationships" ref="Z5" r:id="rId22"/>
    <hyperlink xmlns:r="http://schemas.openxmlformats.org/officeDocument/2006/relationships" ref="AA5" r:id="rId23"/>
    <hyperlink xmlns:r="http://schemas.openxmlformats.org/officeDocument/2006/relationships" ref="AB5" r:id="rId24"/>
    <hyperlink xmlns:r="http://schemas.openxmlformats.org/officeDocument/2006/relationships" ref="AC5" r:id="rId25"/>
    <hyperlink xmlns:r="http://schemas.openxmlformats.org/officeDocument/2006/relationships" ref="AD5" r:id="rId26"/>
    <hyperlink xmlns:r="http://schemas.openxmlformats.org/officeDocument/2006/relationships" ref="AE5" r:id="rId27"/>
    <hyperlink xmlns:r="http://schemas.openxmlformats.org/officeDocument/2006/relationships" ref="AF5" r:id="rId28"/>
    <hyperlink xmlns:r="http://schemas.openxmlformats.org/officeDocument/2006/relationships" ref="AG5" r:id="rId29"/>
    <hyperlink xmlns:r="http://schemas.openxmlformats.org/officeDocument/2006/relationships" ref="AI5" r:id="rId30"/>
    <hyperlink xmlns:r="http://schemas.openxmlformats.org/officeDocument/2006/relationships" ref="AJ5" r:id="rId31"/>
    <hyperlink xmlns:r="http://schemas.openxmlformats.org/officeDocument/2006/relationships" ref="AK5" r:id="rId32"/>
    <hyperlink xmlns:r="http://schemas.openxmlformats.org/officeDocument/2006/relationships" ref="AL5" r:id="rId33"/>
    <hyperlink xmlns:r="http://schemas.openxmlformats.org/officeDocument/2006/relationships" ref="AM5" r:id="rId34"/>
    <hyperlink xmlns:r="http://schemas.openxmlformats.org/officeDocument/2006/relationships" ref="AO5" r:id="rId35"/>
    <hyperlink xmlns:r="http://schemas.openxmlformats.org/officeDocument/2006/relationships" ref="AP5" r:id="rId36"/>
    <hyperlink xmlns:r="http://schemas.openxmlformats.org/officeDocument/2006/relationships" ref="C6" r:id="rId37"/>
    <hyperlink xmlns:r="http://schemas.openxmlformats.org/officeDocument/2006/relationships" ref="E6" r:id="rId38"/>
    <hyperlink xmlns:r="http://schemas.openxmlformats.org/officeDocument/2006/relationships" ref="F6" r:id="rId39"/>
    <hyperlink xmlns:r="http://schemas.openxmlformats.org/officeDocument/2006/relationships" ref="G6" r:id="rId40"/>
    <hyperlink xmlns:r="http://schemas.openxmlformats.org/officeDocument/2006/relationships" ref="J6" r:id="rId41"/>
    <hyperlink xmlns:r="http://schemas.openxmlformats.org/officeDocument/2006/relationships" ref="L6" r:id="rId42"/>
    <hyperlink xmlns:r="http://schemas.openxmlformats.org/officeDocument/2006/relationships" ref="M6" r:id="rId43"/>
    <hyperlink xmlns:r="http://schemas.openxmlformats.org/officeDocument/2006/relationships" ref="N6" r:id="rId44"/>
    <hyperlink xmlns:r="http://schemas.openxmlformats.org/officeDocument/2006/relationships" ref="Q6" r:id="rId45"/>
    <hyperlink xmlns:r="http://schemas.openxmlformats.org/officeDocument/2006/relationships" ref="R6" r:id="rId46"/>
    <hyperlink xmlns:r="http://schemas.openxmlformats.org/officeDocument/2006/relationships" ref="S6" r:id="rId47"/>
    <hyperlink xmlns:r="http://schemas.openxmlformats.org/officeDocument/2006/relationships" ref="T6" r:id="rId48"/>
    <hyperlink xmlns:r="http://schemas.openxmlformats.org/officeDocument/2006/relationships" ref="U6" r:id="rId49"/>
    <hyperlink xmlns:r="http://schemas.openxmlformats.org/officeDocument/2006/relationships" ref="V6" r:id="rId50"/>
    <hyperlink xmlns:r="http://schemas.openxmlformats.org/officeDocument/2006/relationships" ref="W6" r:id="rId51"/>
    <hyperlink xmlns:r="http://schemas.openxmlformats.org/officeDocument/2006/relationships" ref="X6" r:id="rId52"/>
    <hyperlink xmlns:r="http://schemas.openxmlformats.org/officeDocument/2006/relationships" ref="Z6" r:id="rId53"/>
    <hyperlink xmlns:r="http://schemas.openxmlformats.org/officeDocument/2006/relationships" ref="AA6" r:id="rId54"/>
    <hyperlink xmlns:r="http://schemas.openxmlformats.org/officeDocument/2006/relationships" ref="AB6" r:id="rId55"/>
    <hyperlink xmlns:r="http://schemas.openxmlformats.org/officeDocument/2006/relationships" ref="AC6" r:id="rId56"/>
    <hyperlink xmlns:r="http://schemas.openxmlformats.org/officeDocument/2006/relationships" ref="AE6" r:id="rId57"/>
    <hyperlink xmlns:r="http://schemas.openxmlformats.org/officeDocument/2006/relationships" ref="AF6" r:id="rId58"/>
    <hyperlink xmlns:r="http://schemas.openxmlformats.org/officeDocument/2006/relationships" ref="AG6" r:id="rId59"/>
    <hyperlink xmlns:r="http://schemas.openxmlformats.org/officeDocument/2006/relationships" ref="AK6" r:id="rId60"/>
    <hyperlink xmlns:r="http://schemas.openxmlformats.org/officeDocument/2006/relationships" ref="AO6" r:id="rId61"/>
    <hyperlink xmlns:r="http://schemas.openxmlformats.org/officeDocument/2006/relationships" ref="F7" r:id="rId62"/>
    <hyperlink xmlns:r="http://schemas.openxmlformats.org/officeDocument/2006/relationships" ref="G7" r:id="rId63"/>
    <hyperlink xmlns:r="http://schemas.openxmlformats.org/officeDocument/2006/relationships" ref="N7" r:id="rId64"/>
    <hyperlink xmlns:r="http://schemas.openxmlformats.org/officeDocument/2006/relationships" ref="Q7" r:id="rId65"/>
    <hyperlink xmlns:r="http://schemas.openxmlformats.org/officeDocument/2006/relationships" ref="R7" r:id="rId66"/>
    <hyperlink xmlns:r="http://schemas.openxmlformats.org/officeDocument/2006/relationships" ref="S7" r:id="rId67"/>
    <hyperlink xmlns:r="http://schemas.openxmlformats.org/officeDocument/2006/relationships" ref="T7" r:id="rId68"/>
    <hyperlink xmlns:r="http://schemas.openxmlformats.org/officeDocument/2006/relationships" ref="U7" r:id="rId69"/>
    <hyperlink xmlns:r="http://schemas.openxmlformats.org/officeDocument/2006/relationships" ref="V7" r:id="rId70"/>
    <hyperlink xmlns:r="http://schemas.openxmlformats.org/officeDocument/2006/relationships" ref="W7" r:id="rId71"/>
    <hyperlink xmlns:r="http://schemas.openxmlformats.org/officeDocument/2006/relationships" ref="X7" r:id="rId72"/>
    <hyperlink xmlns:r="http://schemas.openxmlformats.org/officeDocument/2006/relationships" ref="Z7" r:id="rId73"/>
    <hyperlink xmlns:r="http://schemas.openxmlformats.org/officeDocument/2006/relationships" ref="AA7" r:id="rId74"/>
    <hyperlink xmlns:r="http://schemas.openxmlformats.org/officeDocument/2006/relationships" ref="AB7" r:id="rId75"/>
    <hyperlink xmlns:r="http://schemas.openxmlformats.org/officeDocument/2006/relationships" ref="AC7" r:id="rId76"/>
    <hyperlink xmlns:r="http://schemas.openxmlformats.org/officeDocument/2006/relationships" ref="AE7" r:id="rId77"/>
    <hyperlink xmlns:r="http://schemas.openxmlformats.org/officeDocument/2006/relationships" ref="AF7" r:id="rId78"/>
    <hyperlink xmlns:r="http://schemas.openxmlformats.org/officeDocument/2006/relationships" ref="AJ7" r:id="rId79"/>
    <hyperlink xmlns:r="http://schemas.openxmlformats.org/officeDocument/2006/relationships" ref="AK7" r:id="rId80"/>
    <hyperlink xmlns:r="http://schemas.openxmlformats.org/officeDocument/2006/relationships" ref="AO7" r:id="rId81"/>
    <hyperlink xmlns:r="http://schemas.openxmlformats.org/officeDocument/2006/relationships" ref="E8" r:id="rId82"/>
    <hyperlink xmlns:r="http://schemas.openxmlformats.org/officeDocument/2006/relationships" ref="J8" r:id="rId83"/>
    <hyperlink xmlns:r="http://schemas.openxmlformats.org/officeDocument/2006/relationships" ref="M8" r:id="rId84"/>
    <hyperlink xmlns:r="http://schemas.openxmlformats.org/officeDocument/2006/relationships" ref="N8" r:id="rId85"/>
    <hyperlink xmlns:r="http://schemas.openxmlformats.org/officeDocument/2006/relationships" ref="Q8" r:id="rId86"/>
    <hyperlink xmlns:r="http://schemas.openxmlformats.org/officeDocument/2006/relationships" ref="S8" r:id="rId87"/>
    <hyperlink xmlns:r="http://schemas.openxmlformats.org/officeDocument/2006/relationships" ref="U8" r:id="rId88"/>
    <hyperlink xmlns:r="http://schemas.openxmlformats.org/officeDocument/2006/relationships" ref="V8" r:id="rId89"/>
    <hyperlink xmlns:r="http://schemas.openxmlformats.org/officeDocument/2006/relationships" ref="W8" r:id="rId90"/>
    <hyperlink xmlns:r="http://schemas.openxmlformats.org/officeDocument/2006/relationships" ref="C9" r:id="rId91"/>
    <hyperlink xmlns:r="http://schemas.openxmlformats.org/officeDocument/2006/relationships" ref="E9" r:id="rId92"/>
    <hyperlink xmlns:r="http://schemas.openxmlformats.org/officeDocument/2006/relationships" ref="F9" r:id="rId93"/>
    <hyperlink xmlns:r="http://schemas.openxmlformats.org/officeDocument/2006/relationships" ref="M9" r:id="rId94"/>
    <hyperlink xmlns:r="http://schemas.openxmlformats.org/officeDocument/2006/relationships" ref="N9" r:id="rId95"/>
    <hyperlink xmlns:r="http://schemas.openxmlformats.org/officeDocument/2006/relationships" ref="Q9" r:id="rId96"/>
    <hyperlink xmlns:r="http://schemas.openxmlformats.org/officeDocument/2006/relationships" ref="S9" r:id="rId97"/>
    <hyperlink xmlns:r="http://schemas.openxmlformats.org/officeDocument/2006/relationships" ref="U9" r:id="rId98"/>
    <hyperlink xmlns:r="http://schemas.openxmlformats.org/officeDocument/2006/relationships" ref="U10" r:id="rId99"/>
    <hyperlink xmlns:r="http://schemas.openxmlformats.org/officeDocument/2006/relationships" ref="W10" r:id="rId100"/>
    <hyperlink xmlns:r="http://schemas.openxmlformats.org/officeDocument/2006/relationships" ref="Y10" r:id="rId101"/>
    <hyperlink xmlns:r="http://schemas.openxmlformats.org/officeDocument/2006/relationships" ref="AC10" r:id="rId102"/>
    <hyperlink xmlns:r="http://schemas.openxmlformats.org/officeDocument/2006/relationships" ref="AG10" r:id="rId103"/>
    <hyperlink xmlns:r="http://schemas.openxmlformats.org/officeDocument/2006/relationships" ref="C11" r:id="rId104"/>
    <hyperlink xmlns:r="http://schemas.openxmlformats.org/officeDocument/2006/relationships" ref="D11" r:id="rId105"/>
    <hyperlink xmlns:r="http://schemas.openxmlformats.org/officeDocument/2006/relationships" ref="E11" r:id="rId106"/>
    <hyperlink xmlns:r="http://schemas.openxmlformats.org/officeDocument/2006/relationships" ref="F11" r:id="rId107"/>
    <hyperlink xmlns:r="http://schemas.openxmlformats.org/officeDocument/2006/relationships" ref="G11" r:id="rId108"/>
    <hyperlink xmlns:r="http://schemas.openxmlformats.org/officeDocument/2006/relationships" ref="H11" r:id="rId109"/>
    <hyperlink xmlns:r="http://schemas.openxmlformats.org/officeDocument/2006/relationships" ref="I11" r:id="rId110"/>
    <hyperlink xmlns:r="http://schemas.openxmlformats.org/officeDocument/2006/relationships" ref="J11" r:id="rId111"/>
    <hyperlink xmlns:r="http://schemas.openxmlformats.org/officeDocument/2006/relationships" ref="L11" r:id="rId112"/>
    <hyperlink xmlns:r="http://schemas.openxmlformats.org/officeDocument/2006/relationships" ref="M11" r:id="rId113"/>
    <hyperlink xmlns:r="http://schemas.openxmlformats.org/officeDocument/2006/relationships" ref="N11" r:id="rId114"/>
    <hyperlink xmlns:r="http://schemas.openxmlformats.org/officeDocument/2006/relationships" ref="Q11" r:id="rId115"/>
    <hyperlink xmlns:r="http://schemas.openxmlformats.org/officeDocument/2006/relationships" ref="R11" r:id="rId116"/>
    <hyperlink xmlns:r="http://schemas.openxmlformats.org/officeDocument/2006/relationships" ref="S11" r:id="rId117"/>
    <hyperlink xmlns:r="http://schemas.openxmlformats.org/officeDocument/2006/relationships" ref="T11" r:id="rId118"/>
    <hyperlink xmlns:r="http://schemas.openxmlformats.org/officeDocument/2006/relationships" ref="U11" r:id="rId119"/>
    <hyperlink xmlns:r="http://schemas.openxmlformats.org/officeDocument/2006/relationships" ref="V11" r:id="rId120"/>
    <hyperlink xmlns:r="http://schemas.openxmlformats.org/officeDocument/2006/relationships" ref="W11" r:id="rId121"/>
    <hyperlink xmlns:r="http://schemas.openxmlformats.org/officeDocument/2006/relationships" ref="X11" r:id="rId122"/>
    <hyperlink xmlns:r="http://schemas.openxmlformats.org/officeDocument/2006/relationships" ref="Y11" r:id="rId123"/>
    <hyperlink xmlns:r="http://schemas.openxmlformats.org/officeDocument/2006/relationships" ref="Z11" r:id="rId124"/>
    <hyperlink xmlns:r="http://schemas.openxmlformats.org/officeDocument/2006/relationships" ref="AA11" r:id="rId125"/>
    <hyperlink xmlns:r="http://schemas.openxmlformats.org/officeDocument/2006/relationships" ref="AB11" r:id="rId126"/>
    <hyperlink xmlns:r="http://schemas.openxmlformats.org/officeDocument/2006/relationships" ref="AC11" r:id="rId127"/>
    <hyperlink xmlns:r="http://schemas.openxmlformats.org/officeDocument/2006/relationships" ref="AD11" r:id="rId128"/>
    <hyperlink xmlns:r="http://schemas.openxmlformats.org/officeDocument/2006/relationships" ref="AE11" r:id="rId129"/>
    <hyperlink xmlns:r="http://schemas.openxmlformats.org/officeDocument/2006/relationships" ref="AF11" r:id="rId130"/>
    <hyperlink xmlns:r="http://schemas.openxmlformats.org/officeDocument/2006/relationships" ref="AG11" r:id="rId131"/>
    <hyperlink xmlns:r="http://schemas.openxmlformats.org/officeDocument/2006/relationships" ref="AI11" r:id="rId132"/>
    <hyperlink xmlns:r="http://schemas.openxmlformats.org/officeDocument/2006/relationships" ref="AJ11" r:id="rId133"/>
    <hyperlink xmlns:r="http://schemas.openxmlformats.org/officeDocument/2006/relationships" ref="AK11" r:id="rId134"/>
    <hyperlink xmlns:r="http://schemas.openxmlformats.org/officeDocument/2006/relationships" ref="AN11" r:id="rId135"/>
    <hyperlink xmlns:r="http://schemas.openxmlformats.org/officeDocument/2006/relationships" ref="AO11" r:id="rId136"/>
    <hyperlink xmlns:r="http://schemas.openxmlformats.org/officeDocument/2006/relationships" ref="C12" r:id="rId137"/>
    <hyperlink xmlns:r="http://schemas.openxmlformats.org/officeDocument/2006/relationships" ref="D12" r:id="rId138"/>
    <hyperlink xmlns:r="http://schemas.openxmlformats.org/officeDocument/2006/relationships" ref="E12" r:id="rId139"/>
    <hyperlink xmlns:r="http://schemas.openxmlformats.org/officeDocument/2006/relationships" ref="F12" r:id="rId140"/>
    <hyperlink xmlns:r="http://schemas.openxmlformats.org/officeDocument/2006/relationships" ref="G12" r:id="rId141"/>
    <hyperlink xmlns:r="http://schemas.openxmlformats.org/officeDocument/2006/relationships" ref="H12" r:id="rId142"/>
    <hyperlink xmlns:r="http://schemas.openxmlformats.org/officeDocument/2006/relationships" ref="I12" r:id="rId143"/>
    <hyperlink xmlns:r="http://schemas.openxmlformats.org/officeDocument/2006/relationships" ref="J12" r:id="rId144"/>
    <hyperlink xmlns:r="http://schemas.openxmlformats.org/officeDocument/2006/relationships" ref="L12" r:id="rId145"/>
    <hyperlink xmlns:r="http://schemas.openxmlformats.org/officeDocument/2006/relationships" ref="M12" r:id="rId146"/>
    <hyperlink xmlns:r="http://schemas.openxmlformats.org/officeDocument/2006/relationships" ref="N12" r:id="rId147"/>
    <hyperlink xmlns:r="http://schemas.openxmlformats.org/officeDocument/2006/relationships" ref="Q12" r:id="rId148"/>
    <hyperlink xmlns:r="http://schemas.openxmlformats.org/officeDocument/2006/relationships" ref="S12" r:id="rId149"/>
    <hyperlink xmlns:r="http://schemas.openxmlformats.org/officeDocument/2006/relationships" ref="U12" r:id="rId150"/>
    <hyperlink xmlns:r="http://schemas.openxmlformats.org/officeDocument/2006/relationships" ref="V12" r:id="rId151"/>
    <hyperlink xmlns:r="http://schemas.openxmlformats.org/officeDocument/2006/relationships" ref="W12" r:id="rId152"/>
    <hyperlink xmlns:r="http://schemas.openxmlformats.org/officeDocument/2006/relationships" ref="X12" r:id="rId153"/>
    <hyperlink xmlns:r="http://schemas.openxmlformats.org/officeDocument/2006/relationships" ref="Z12" r:id="rId154"/>
    <hyperlink xmlns:r="http://schemas.openxmlformats.org/officeDocument/2006/relationships" ref="AA12" r:id="rId155"/>
    <hyperlink xmlns:r="http://schemas.openxmlformats.org/officeDocument/2006/relationships" ref="AB12" r:id="rId156"/>
    <hyperlink xmlns:r="http://schemas.openxmlformats.org/officeDocument/2006/relationships" ref="AC12" r:id="rId157"/>
    <hyperlink xmlns:r="http://schemas.openxmlformats.org/officeDocument/2006/relationships" ref="AE12" r:id="rId158"/>
    <hyperlink xmlns:r="http://schemas.openxmlformats.org/officeDocument/2006/relationships" ref="AF12" r:id="rId159"/>
    <hyperlink xmlns:r="http://schemas.openxmlformats.org/officeDocument/2006/relationships" ref="AG12" r:id="rId160"/>
    <hyperlink xmlns:r="http://schemas.openxmlformats.org/officeDocument/2006/relationships" ref="AH12" r:id="rId161"/>
    <hyperlink xmlns:r="http://schemas.openxmlformats.org/officeDocument/2006/relationships" ref="AI12" r:id="rId162"/>
    <hyperlink xmlns:r="http://schemas.openxmlformats.org/officeDocument/2006/relationships" ref="AJ12" r:id="rId163"/>
    <hyperlink xmlns:r="http://schemas.openxmlformats.org/officeDocument/2006/relationships" ref="AK12" r:id="rId164"/>
    <hyperlink xmlns:r="http://schemas.openxmlformats.org/officeDocument/2006/relationships" ref="AL12" r:id="rId165"/>
    <hyperlink xmlns:r="http://schemas.openxmlformats.org/officeDocument/2006/relationships" ref="AM12" r:id="rId166"/>
    <hyperlink xmlns:r="http://schemas.openxmlformats.org/officeDocument/2006/relationships" ref="AN12" r:id="rId167"/>
    <hyperlink xmlns:r="http://schemas.openxmlformats.org/officeDocument/2006/relationships" ref="AO12" r:id="rId168"/>
    <hyperlink xmlns:r="http://schemas.openxmlformats.org/officeDocument/2006/relationships" ref="AP12" r:id="rId169"/>
    <hyperlink xmlns:r="http://schemas.openxmlformats.org/officeDocument/2006/relationships" ref="C13" r:id="rId170"/>
    <hyperlink xmlns:r="http://schemas.openxmlformats.org/officeDocument/2006/relationships" ref="D13" r:id="rId171"/>
    <hyperlink xmlns:r="http://schemas.openxmlformats.org/officeDocument/2006/relationships" ref="E13" r:id="rId172"/>
    <hyperlink xmlns:r="http://schemas.openxmlformats.org/officeDocument/2006/relationships" ref="F13" r:id="rId173"/>
    <hyperlink xmlns:r="http://schemas.openxmlformats.org/officeDocument/2006/relationships" ref="G13" r:id="rId174"/>
    <hyperlink xmlns:r="http://schemas.openxmlformats.org/officeDocument/2006/relationships" ref="H13" r:id="rId175"/>
    <hyperlink xmlns:r="http://schemas.openxmlformats.org/officeDocument/2006/relationships" ref="I13" r:id="rId176"/>
    <hyperlink xmlns:r="http://schemas.openxmlformats.org/officeDocument/2006/relationships" ref="J13" r:id="rId177"/>
    <hyperlink xmlns:r="http://schemas.openxmlformats.org/officeDocument/2006/relationships" ref="L13" r:id="rId178"/>
    <hyperlink xmlns:r="http://schemas.openxmlformats.org/officeDocument/2006/relationships" ref="M13" r:id="rId179"/>
    <hyperlink xmlns:r="http://schemas.openxmlformats.org/officeDocument/2006/relationships" ref="N13" r:id="rId180"/>
    <hyperlink xmlns:r="http://schemas.openxmlformats.org/officeDocument/2006/relationships" ref="Q13" r:id="rId181"/>
    <hyperlink xmlns:r="http://schemas.openxmlformats.org/officeDocument/2006/relationships" ref="S13" r:id="rId182"/>
    <hyperlink xmlns:r="http://schemas.openxmlformats.org/officeDocument/2006/relationships" ref="U13" r:id="rId183"/>
    <hyperlink xmlns:r="http://schemas.openxmlformats.org/officeDocument/2006/relationships" ref="W13" r:id="rId184"/>
    <hyperlink xmlns:r="http://schemas.openxmlformats.org/officeDocument/2006/relationships" ref="Y13" r:id="rId185"/>
    <hyperlink xmlns:r="http://schemas.openxmlformats.org/officeDocument/2006/relationships" ref="Z13" r:id="rId186"/>
    <hyperlink xmlns:r="http://schemas.openxmlformats.org/officeDocument/2006/relationships" ref="AA13" r:id="rId187"/>
    <hyperlink xmlns:r="http://schemas.openxmlformats.org/officeDocument/2006/relationships" ref="AC13" r:id="rId188"/>
    <hyperlink xmlns:r="http://schemas.openxmlformats.org/officeDocument/2006/relationships" ref="AE13" r:id="rId189"/>
    <hyperlink xmlns:r="http://schemas.openxmlformats.org/officeDocument/2006/relationships" ref="AK13" r:id="rId190"/>
    <hyperlink xmlns:r="http://schemas.openxmlformats.org/officeDocument/2006/relationships" ref="C14" r:id="rId191"/>
    <hyperlink xmlns:r="http://schemas.openxmlformats.org/officeDocument/2006/relationships" ref="D14" r:id="rId192"/>
    <hyperlink xmlns:r="http://schemas.openxmlformats.org/officeDocument/2006/relationships" ref="E14" r:id="rId193"/>
    <hyperlink xmlns:r="http://schemas.openxmlformats.org/officeDocument/2006/relationships" ref="F14" r:id="rId194"/>
    <hyperlink xmlns:r="http://schemas.openxmlformats.org/officeDocument/2006/relationships" ref="G14" r:id="rId195"/>
    <hyperlink xmlns:r="http://schemas.openxmlformats.org/officeDocument/2006/relationships" ref="H14" r:id="rId196"/>
    <hyperlink xmlns:r="http://schemas.openxmlformats.org/officeDocument/2006/relationships" ref="I14" r:id="rId197"/>
    <hyperlink xmlns:r="http://schemas.openxmlformats.org/officeDocument/2006/relationships" ref="J14" r:id="rId198"/>
    <hyperlink xmlns:r="http://schemas.openxmlformats.org/officeDocument/2006/relationships" ref="L14" r:id="rId199"/>
    <hyperlink xmlns:r="http://schemas.openxmlformats.org/officeDocument/2006/relationships" ref="M14" r:id="rId200"/>
    <hyperlink xmlns:r="http://schemas.openxmlformats.org/officeDocument/2006/relationships" ref="N14" r:id="rId201"/>
    <hyperlink xmlns:r="http://schemas.openxmlformats.org/officeDocument/2006/relationships" ref="Q14" r:id="rId202"/>
    <hyperlink xmlns:r="http://schemas.openxmlformats.org/officeDocument/2006/relationships" ref="S14" r:id="rId203"/>
    <hyperlink xmlns:r="http://schemas.openxmlformats.org/officeDocument/2006/relationships" ref="U14" r:id="rId204"/>
    <hyperlink xmlns:r="http://schemas.openxmlformats.org/officeDocument/2006/relationships" ref="V14" r:id="rId205"/>
    <hyperlink xmlns:r="http://schemas.openxmlformats.org/officeDocument/2006/relationships" ref="W14" r:id="rId206"/>
    <hyperlink xmlns:r="http://schemas.openxmlformats.org/officeDocument/2006/relationships" ref="Y14" r:id="rId207"/>
    <hyperlink xmlns:r="http://schemas.openxmlformats.org/officeDocument/2006/relationships" ref="Z14" r:id="rId208"/>
    <hyperlink xmlns:r="http://schemas.openxmlformats.org/officeDocument/2006/relationships" ref="AA14" r:id="rId209"/>
    <hyperlink xmlns:r="http://schemas.openxmlformats.org/officeDocument/2006/relationships" ref="AC14" r:id="rId210"/>
    <hyperlink xmlns:r="http://schemas.openxmlformats.org/officeDocument/2006/relationships" ref="AE14" r:id="rId211"/>
    <hyperlink xmlns:r="http://schemas.openxmlformats.org/officeDocument/2006/relationships" ref="AG14" r:id="rId212"/>
    <hyperlink xmlns:r="http://schemas.openxmlformats.org/officeDocument/2006/relationships" ref="AK14" r:id="rId213"/>
    <hyperlink xmlns:r="http://schemas.openxmlformats.org/officeDocument/2006/relationships" ref="C15" r:id="rId214"/>
    <hyperlink xmlns:r="http://schemas.openxmlformats.org/officeDocument/2006/relationships" ref="D15" r:id="rId215"/>
    <hyperlink xmlns:r="http://schemas.openxmlformats.org/officeDocument/2006/relationships" ref="E15" r:id="rId216"/>
    <hyperlink xmlns:r="http://schemas.openxmlformats.org/officeDocument/2006/relationships" ref="F15" r:id="rId217"/>
    <hyperlink xmlns:r="http://schemas.openxmlformats.org/officeDocument/2006/relationships" ref="G15" r:id="rId218"/>
    <hyperlink xmlns:r="http://schemas.openxmlformats.org/officeDocument/2006/relationships" ref="H15" r:id="rId219"/>
    <hyperlink xmlns:r="http://schemas.openxmlformats.org/officeDocument/2006/relationships" ref="I15" r:id="rId220"/>
    <hyperlink xmlns:r="http://schemas.openxmlformats.org/officeDocument/2006/relationships" ref="J15" r:id="rId221"/>
    <hyperlink xmlns:r="http://schemas.openxmlformats.org/officeDocument/2006/relationships" ref="K15" r:id="rId222"/>
    <hyperlink xmlns:r="http://schemas.openxmlformats.org/officeDocument/2006/relationships" ref="L15" r:id="rId223"/>
    <hyperlink xmlns:r="http://schemas.openxmlformats.org/officeDocument/2006/relationships" ref="M15" r:id="rId224"/>
    <hyperlink xmlns:r="http://schemas.openxmlformats.org/officeDocument/2006/relationships" ref="N15" r:id="rId225"/>
    <hyperlink xmlns:r="http://schemas.openxmlformats.org/officeDocument/2006/relationships" ref="Q15" r:id="rId226"/>
    <hyperlink xmlns:r="http://schemas.openxmlformats.org/officeDocument/2006/relationships" ref="R15" r:id="rId227"/>
    <hyperlink xmlns:r="http://schemas.openxmlformats.org/officeDocument/2006/relationships" ref="S15" r:id="rId228"/>
    <hyperlink xmlns:r="http://schemas.openxmlformats.org/officeDocument/2006/relationships" ref="T15" r:id="rId229"/>
    <hyperlink xmlns:r="http://schemas.openxmlformats.org/officeDocument/2006/relationships" ref="U15" r:id="rId230"/>
    <hyperlink xmlns:r="http://schemas.openxmlformats.org/officeDocument/2006/relationships" ref="V15" r:id="rId231"/>
    <hyperlink xmlns:r="http://schemas.openxmlformats.org/officeDocument/2006/relationships" ref="AC15" r:id="rId232"/>
    <hyperlink xmlns:r="http://schemas.openxmlformats.org/officeDocument/2006/relationships" ref="AG15" r:id="rId233"/>
    <hyperlink xmlns:r="http://schemas.openxmlformats.org/officeDocument/2006/relationships" ref="AH15" r:id="rId234"/>
    <hyperlink xmlns:r="http://schemas.openxmlformats.org/officeDocument/2006/relationships" ref="AI15" r:id="rId235"/>
    <hyperlink xmlns:r="http://schemas.openxmlformats.org/officeDocument/2006/relationships" ref="AJ15" r:id="rId236"/>
    <hyperlink xmlns:r="http://schemas.openxmlformats.org/officeDocument/2006/relationships" ref="AK15" r:id="rId237"/>
    <hyperlink xmlns:r="http://schemas.openxmlformats.org/officeDocument/2006/relationships" ref="AO15" r:id="rId238"/>
    <hyperlink xmlns:r="http://schemas.openxmlformats.org/officeDocument/2006/relationships" ref="AP15" r:id="rId239"/>
    <hyperlink xmlns:r="http://schemas.openxmlformats.org/officeDocument/2006/relationships" ref="C16" r:id="rId240"/>
    <hyperlink xmlns:r="http://schemas.openxmlformats.org/officeDocument/2006/relationships" ref="D16" r:id="rId241"/>
    <hyperlink xmlns:r="http://schemas.openxmlformats.org/officeDocument/2006/relationships" ref="E16" r:id="rId242"/>
    <hyperlink xmlns:r="http://schemas.openxmlformats.org/officeDocument/2006/relationships" ref="F16" r:id="rId243"/>
    <hyperlink xmlns:r="http://schemas.openxmlformats.org/officeDocument/2006/relationships" ref="G16" r:id="rId244"/>
    <hyperlink xmlns:r="http://schemas.openxmlformats.org/officeDocument/2006/relationships" ref="H16" r:id="rId245"/>
    <hyperlink xmlns:r="http://schemas.openxmlformats.org/officeDocument/2006/relationships" ref="I16" r:id="rId246"/>
    <hyperlink xmlns:r="http://schemas.openxmlformats.org/officeDocument/2006/relationships" ref="J16" r:id="rId247"/>
    <hyperlink xmlns:r="http://schemas.openxmlformats.org/officeDocument/2006/relationships" ref="L16" r:id="rId248"/>
    <hyperlink xmlns:r="http://schemas.openxmlformats.org/officeDocument/2006/relationships" ref="M16" r:id="rId249"/>
    <hyperlink xmlns:r="http://schemas.openxmlformats.org/officeDocument/2006/relationships" ref="N16" r:id="rId250"/>
    <hyperlink xmlns:r="http://schemas.openxmlformats.org/officeDocument/2006/relationships" ref="Q16" r:id="rId251"/>
    <hyperlink xmlns:r="http://schemas.openxmlformats.org/officeDocument/2006/relationships" ref="R16" r:id="rId252"/>
    <hyperlink xmlns:r="http://schemas.openxmlformats.org/officeDocument/2006/relationships" ref="U16" r:id="rId253"/>
    <hyperlink xmlns:r="http://schemas.openxmlformats.org/officeDocument/2006/relationships" ref="Z16" r:id="rId254"/>
    <hyperlink xmlns:r="http://schemas.openxmlformats.org/officeDocument/2006/relationships" ref="AG16" r:id="rId255"/>
    <hyperlink xmlns:r="http://schemas.openxmlformats.org/officeDocument/2006/relationships" ref="AI16" r:id="rId256"/>
    <hyperlink xmlns:r="http://schemas.openxmlformats.org/officeDocument/2006/relationships" ref="AJ16" r:id="rId257"/>
    <hyperlink xmlns:r="http://schemas.openxmlformats.org/officeDocument/2006/relationships" ref="AK16" r:id="rId258"/>
    <hyperlink xmlns:r="http://schemas.openxmlformats.org/officeDocument/2006/relationships" ref="AL16" r:id="rId259"/>
    <hyperlink xmlns:r="http://schemas.openxmlformats.org/officeDocument/2006/relationships" ref="AO16" r:id="rId260"/>
    <hyperlink xmlns:r="http://schemas.openxmlformats.org/officeDocument/2006/relationships" ref="AP16" r:id="rId261"/>
    <hyperlink xmlns:r="http://schemas.openxmlformats.org/officeDocument/2006/relationships" ref="F17" r:id="rId262"/>
    <hyperlink xmlns:r="http://schemas.openxmlformats.org/officeDocument/2006/relationships" ref="M17" r:id="rId263"/>
    <hyperlink xmlns:r="http://schemas.openxmlformats.org/officeDocument/2006/relationships" ref="O17" r:id="rId264"/>
    <hyperlink xmlns:r="http://schemas.openxmlformats.org/officeDocument/2006/relationships" ref="Q17" r:id="rId265"/>
    <hyperlink xmlns:r="http://schemas.openxmlformats.org/officeDocument/2006/relationships" ref="S17" r:id="rId266"/>
    <hyperlink xmlns:r="http://schemas.openxmlformats.org/officeDocument/2006/relationships" ref="U17" r:id="rId267"/>
    <hyperlink xmlns:r="http://schemas.openxmlformats.org/officeDocument/2006/relationships" ref="AB17" r:id="rId268"/>
    <hyperlink xmlns:r="http://schemas.openxmlformats.org/officeDocument/2006/relationships" ref="AD17" r:id="rId269"/>
    <hyperlink xmlns:r="http://schemas.openxmlformats.org/officeDocument/2006/relationships" ref="AG17" r:id="rId270"/>
    <hyperlink xmlns:r="http://schemas.openxmlformats.org/officeDocument/2006/relationships" ref="B18" r:id="rId271"/>
    <hyperlink xmlns:r="http://schemas.openxmlformats.org/officeDocument/2006/relationships" ref="F18" r:id="rId272"/>
    <hyperlink xmlns:r="http://schemas.openxmlformats.org/officeDocument/2006/relationships" ref="M18" r:id="rId273"/>
    <hyperlink xmlns:r="http://schemas.openxmlformats.org/officeDocument/2006/relationships" ref="O18" r:id="rId274"/>
    <hyperlink xmlns:r="http://schemas.openxmlformats.org/officeDocument/2006/relationships" ref="Q18" r:id="rId275"/>
    <hyperlink xmlns:r="http://schemas.openxmlformats.org/officeDocument/2006/relationships" ref="S18" r:id="rId276"/>
    <hyperlink xmlns:r="http://schemas.openxmlformats.org/officeDocument/2006/relationships" ref="T18" r:id="rId277"/>
    <hyperlink xmlns:r="http://schemas.openxmlformats.org/officeDocument/2006/relationships" ref="Y18" r:id="rId278"/>
    <hyperlink xmlns:r="http://schemas.openxmlformats.org/officeDocument/2006/relationships" ref="Z18" r:id="rId279"/>
    <hyperlink xmlns:r="http://schemas.openxmlformats.org/officeDocument/2006/relationships" ref="AG18" r:id="rId280"/>
    <hyperlink xmlns:r="http://schemas.openxmlformats.org/officeDocument/2006/relationships" ref="AJ18" r:id="rId281"/>
    <hyperlink xmlns:r="http://schemas.openxmlformats.org/officeDocument/2006/relationships" ref="AO18" r:id="rId282"/>
    <hyperlink xmlns:r="http://schemas.openxmlformats.org/officeDocument/2006/relationships" ref="B19" r:id="rId283"/>
    <hyperlink xmlns:r="http://schemas.openxmlformats.org/officeDocument/2006/relationships" ref="F19" r:id="rId284"/>
    <hyperlink xmlns:r="http://schemas.openxmlformats.org/officeDocument/2006/relationships" ref="M19" r:id="rId285"/>
    <hyperlink xmlns:r="http://schemas.openxmlformats.org/officeDocument/2006/relationships" ref="O19" r:id="rId286"/>
    <hyperlink xmlns:r="http://schemas.openxmlformats.org/officeDocument/2006/relationships" ref="Q19" r:id="rId287"/>
    <hyperlink xmlns:r="http://schemas.openxmlformats.org/officeDocument/2006/relationships" ref="S19" r:id="rId288"/>
    <hyperlink xmlns:r="http://schemas.openxmlformats.org/officeDocument/2006/relationships" ref="T19" r:id="rId289"/>
    <hyperlink xmlns:r="http://schemas.openxmlformats.org/officeDocument/2006/relationships" ref="Y19" r:id="rId290"/>
    <hyperlink xmlns:r="http://schemas.openxmlformats.org/officeDocument/2006/relationships" ref="Z19" r:id="rId291"/>
    <hyperlink xmlns:r="http://schemas.openxmlformats.org/officeDocument/2006/relationships" ref="T21" r:id="rId292"/>
    <hyperlink xmlns:r="http://schemas.openxmlformats.org/officeDocument/2006/relationships" ref="V22" r:id="rId293"/>
    <hyperlink xmlns:r="http://schemas.openxmlformats.org/officeDocument/2006/relationships" ref="X22" r:id="rId294"/>
    <hyperlink xmlns:r="http://schemas.openxmlformats.org/officeDocument/2006/relationships" ref="X23" r:id="rId295"/>
    <hyperlink xmlns:r="http://schemas.openxmlformats.org/officeDocument/2006/relationships" ref="V24" r:id="rId296"/>
    <hyperlink xmlns:r="http://schemas.openxmlformats.org/officeDocument/2006/relationships" ref="N25" r:id="rId297"/>
    <hyperlink xmlns:r="http://schemas.openxmlformats.org/officeDocument/2006/relationships" ref="AO26" r:id="rId298"/>
    <hyperlink xmlns:r="http://schemas.openxmlformats.org/officeDocument/2006/relationships" ref="AO27" r:id="rId299"/>
    <hyperlink xmlns:r="http://schemas.openxmlformats.org/officeDocument/2006/relationships" ref="AK28" r:id="rId300"/>
    <hyperlink xmlns:r="http://schemas.openxmlformats.org/officeDocument/2006/relationships" ref="AN29" r:id="rId301"/>
    <hyperlink xmlns:r="http://schemas.openxmlformats.org/officeDocument/2006/relationships" ref="X30" r:id="rId302"/>
    <hyperlink xmlns:r="http://schemas.openxmlformats.org/officeDocument/2006/relationships" ref="D31" r:id="rId303"/>
    <hyperlink xmlns:r="http://schemas.openxmlformats.org/officeDocument/2006/relationships" ref="F32" r:id="rId304"/>
    <hyperlink xmlns:r="http://schemas.openxmlformats.org/officeDocument/2006/relationships" ref="Q33" r:id="rId305"/>
    <hyperlink xmlns:r="http://schemas.openxmlformats.org/officeDocument/2006/relationships" ref="S33" r:id="rId306"/>
    <hyperlink xmlns:r="http://schemas.openxmlformats.org/officeDocument/2006/relationships" ref="AH34" r:id="rId307"/>
    <hyperlink xmlns:r="http://schemas.openxmlformats.org/officeDocument/2006/relationships" ref="AI34" r:id="rId308"/>
    <hyperlink xmlns:r="http://schemas.openxmlformats.org/officeDocument/2006/relationships" ref="AJ34" r:id="rId309"/>
    <hyperlink xmlns:r="http://schemas.openxmlformats.org/officeDocument/2006/relationships" ref="AK34" r:id="rId310"/>
    <hyperlink xmlns:r="http://schemas.openxmlformats.org/officeDocument/2006/relationships" ref="AL34" r:id="rId311"/>
    <hyperlink xmlns:r="http://schemas.openxmlformats.org/officeDocument/2006/relationships" ref="AO34" r:id="rId312"/>
    <hyperlink xmlns:r="http://schemas.openxmlformats.org/officeDocument/2006/relationships" ref="AH35" r:id="rId313"/>
    <hyperlink xmlns:r="http://schemas.openxmlformats.org/officeDocument/2006/relationships" ref="AI35" r:id="rId314"/>
    <hyperlink xmlns:r="http://schemas.openxmlformats.org/officeDocument/2006/relationships" ref="AJ35" r:id="rId315"/>
    <hyperlink xmlns:r="http://schemas.openxmlformats.org/officeDocument/2006/relationships" ref="AO35" r:id="rId316"/>
    <hyperlink xmlns:r="http://schemas.openxmlformats.org/officeDocument/2006/relationships" ref="AP35" r:id="rId317"/>
    <hyperlink xmlns:r="http://schemas.openxmlformats.org/officeDocument/2006/relationships" ref="AP36" r:id="rId318"/>
    <hyperlink xmlns:r="http://schemas.openxmlformats.org/officeDocument/2006/relationships" ref="AN37" r:id="rId319"/>
    <hyperlink xmlns:r="http://schemas.openxmlformats.org/officeDocument/2006/relationships" ref="AN38" r:id="rId320"/>
    <hyperlink xmlns:r="http://schemas.openxmlformats.org/officeDocument/2006/relationships" ref="AK39" r:id="rId321"/>
    <hyperlink xmlns:r="http://schemas.openxmlformats.org/officeDocument/2006/relationships" ref="AJ40" r:id="rId322"/>
    <hyperlink xmlns:r="http://schemas.openxmlformats.org/officeDocument/2006/relationships" ref="AP41" r:id="rId323"/>
    <hyperlink xmlns:r="http://schemas.openxmlformats.org/officeDocument/2006/relationships" ref="AO42" r:id="rId324"/>
    <hyperlink xmlns:r="http://schemas.openxmlformats.org/officeDocument/2006/relationships" ref="AA43" r:id="rId325"/>
    <hyperlink xmlns:r="http://schemas.openxmlformats.org/officeDocument/2006/relationships" ref="X44" r:id="rId326"/>
    <hyperlink xmlns:r="http://schemas.openxmlformats.org/officeDocument/2006/relationships" ref="N45" r:id="rId327"/>
    <hyperlink xmlns:r="http://schemas.openxmlformats.org/officeDocument/2006/relationships" ref="AP46" r:id="rId328"/>
    <hyperlink xmlns:r="http://schemas.openxmlformats.org/officeDocument/2006/relationships" ref="AK47" r:id="rId329"/>
    <hyperlink xmlns:r="http://schemas.openxmlformats.org/officeDocument/2006/relationships" ref="AO48" r:id="rId330"/>
    <hyperlink xmlns:r="http://schemas.openxmlformats.org/officeDocument/2006/relationships" ref="AO49" r:id="rId331"/>
    <hyperlink xmlns:r="http://schemas.openxmlformats.org/officeDocument/2006/relationships" ref="AJ50" r:id="rId332"/>
    <hyperlink xmlns:r="http://schemas.openxmlformats.org/officeDocument/2006/relationships" ref="G51" r:id="rId333"/>
    <hyperlink xmlns:r="http://schemas.openxmlformats.org/officeDocument/2006/relationships" ref="V52" r:id="rId334"/>
    <hyperlink xmlns:r="http://schemas.openxmlformats.org/officeDocument/2006/relationships" ref="W53" r:id="rId335"/>
    <hyperlink xmlns:r="http://schemas.openxmlformats.org/officeDocument/2006/relationships" ref="Y53" r:id="rId336"/>
    <hyperlink xmlns:r="http://schemas.openxmlformats.org/officeDocument/2006/relationships" ref="AA53" r:id="rId337"/>
    <hyperlink xmlns:r="http://schemas.openxmlformats.org/officeDocument/2006/relationships" ref="AC53" r:id="rId338"/>
    <hyperlink xmlns:r="http://schemas.openxmlformats.org/officeDocument/2006/relationships" ref="AG53" r:id="rId339"/>
    <hyperlink xmlns:r="http://schemas.openxmlformats.org/officeDocument/2006/relationships" ref="AI54" r:id="rId340"/>
    <hyperlink xmlns:r="http://schemas.openxmlformats.org/officeDocument/2006/relationships" ref="AJ55" r:id="rId341"/>
    <hyperlink xmlns:r="http://schemas.openxmlformats.org/officeDocument/2006/relationships" ref="AO56" r:id="rId342"/>
    <hyperlink xmlns:r="http://schemas.openxmlformats.org/officeDocument/2006/relationships" ref="T57" r:id="rId343"/>
    <hyperlink xmlns:r="http://schemas.openxmlformats.org/officeDocument/2006/relationships" ref="X57" r:id="rId344"/>
    <hyperlink xmlns:r="http://schemas.openxmlformats.org/officeDocument/2006/relationships" ref="AA57" r:id="rId345"/>
    <hyperlink xmlns:r="http://schemas.openxmlformats.org/officeDocument/2006/relationships" ref="V58" r:id="rId346"/>
    <hyperlink xmlns:r="http://schemas.openxmlformats.org/officeDocument/2006/relationships" ref="W58" r:id="rId347"/>
    <hyperlink xmlns:r="http://schemas.openxmlformats.org/officeDocument/2006/relationships" ref="V59" r:id="rId348"/>
    <hyperlink xmlns:r="http://schemas.openxmlformats.org/officeDocument/2006/relationships" ref="W59" r:id="rId349"/>
    <hyperlink xmlns:r="http://schemas.openxmlformats.org/officeDocument/2006/relationships" ref="T60" r:id="rId350"/>
    <hyperlink xmlns:r="http://schemas.openxmlformats.org/officeDocument/2006/relationships" ref="AJ61" r:id="rId351"/>
    <hyperlink xmlns:r="http://schemas.openxmlformats.org/officeDocument/2006/relationships" ref="Q62" r:id="rId352"/>
    <hyperlink xmlns:r="http://schemas.openxmlformats.org/officeDocument/2006/relationships" ref="S62" r:id="rId353"/>
    <hyperlink xmlns:r="http://schemas.openxmlformats.org/officeDocument/2006/relationships" ref="U62" r:id="rId354"/>
    <hyperlink xmlns:r="http://schemas.openxmlformats.org/officeDocument/2006/relationships" ref="V62" r:id="rId355"/>
    <hyperlink xmlns:r="http://schemas.openxmlformats.org/officeDocument/2006/relationships" ref="AC62" r:id="rId356"/>
    <hyperlink xmlns:r="http://schemas.openxmlformats.org/officeDocument/2006/relationships" ref="AG62" r:id="rId357"/>
    <hyperlink xmlns:r="http://schemas.openxmlformats.org/officeDocument/2006/relationships" ref="AJ62" r:id="rId358"/>
    <hyperlink xmlns:r="http://schemas.openxmlformats.org/officeDocument/2006/relationships" ref="AK62" r:id="rId359"/>
    <hyperlink xmlns:r="http://schemas.openxmlformats.org/officeDocument/2006/relationships" ref="AO62" r:id="rId360"/>
    <hyperlink xmlns:r="http://schemas.openxmlformats.org/officeDocument/2006/relationships" ref="Y63" r:id="rId361"/>
    <hyperlink xmlns:r="http://schemas.openxmlformats.org/officeDocument/2006/relationships" ref="AO64" r:id="rId362"/>
    <hyperlink xmlns:r="http://schemas.openxmlformats.org/officeDocument/2006/relationships" ref="AN65" r:id="rId363"/>
    <hyperlink xmlns:r="http://schemas.openxmlformats.org/officeDocument/2006/relationships" ref="Q66" r:id="rId364"/>
    <hyperlink xmlns:r="http://schemas.openxmlformats.org/officeDocument/2006/relationships" ref="U67" r:id="rId365"/>
    <hyperlink xmlns:r="http://schemas.openxmlformats.org/officeDocument/2006/relationships" ref="V68" r:id="rId366"/>
    <hyperlink xmlns:r="http://schemas.openxmlformats.org/officeDocument/2006/relationships" ref="V69" r:id="rId367"/>
    <hyperlink xmlns:r="http://schemas.openxmlformats.org/officeDocument/2006/relationships" ref="T70" r:id="rId368"/>
    <hyperlink xmlns:r="http://schemas.openxmlformats.org/officeDocument/2006/relationships" ref="T71" r:id="rId369"/>
    <hyperlink xmlns:r="http://schemas.openxmlformats.org/officeDocument/2006/relationships" ref="Q72" r:id="rId370"/>
    <hyperlink xmlns:r="http://schemas.openxmlformats.org/officeDocument/2006/relationships" ref="AK73" r:id="rId371"/>
    <hyperlink xmlns:r="http://schemas.openxmlformats.org/officeDocument/2006/relationships" ref="W74" r:id="rId372"/>
    <hyperlink xmlns:r="http://schemas.openxmlformats.org/officeDocument/2006/relationships" ref="G75" r:id="rId373"/>
    <hyperlink xmlns:r="http://schemas.openxmlformats.org/officeDocument/2006/relationships" ref="I75" r:id="rId374"/>
    <hyperlink xmlns:r="http://schemas.openxmlformats.org/officeDocument/2006/relationships" ref="M75" r:id="rId375"/>
    <hyperlink xmlns:r="http://schemas.openxmlformats.org/officeDocument/2006/relationships" ref="N75" r:id="rId376"/>
    <hyperlink xmlns:r="http://schemas.openxmlformats.org/officeDocument/2006/relationships" ref="J76" r:id="rId377"/>
    <hyperlink xmlns:r="http://schemas.openxmlformats.org/officeDocument/2006/relationships" ref="K76" r:id="rId378"/>
    <hyperlink xmlns:r="http://schemas.openxmlformats.org/officeDocument/2006/relationships" ref="P77" r:id="rId379"/>
    <hyperlink xmlns:r="http://schemas.openxmlformats.org/officeDocument/2006/relationships" ref="AJ78" r:id="rId380"/>
    <hyperlink xmlns:r="http://schemas.openxmlformats.org/officeDocument/2006/relationships" ref="AC79" r:id="rId381"/>
    <hyperlink xmlns:r="http://schemas.openxmlformats.org/officeDocument/2006/relationships" ref="AM80" r:id="rId382"/>
    <hyperlink xmlns:r="http://schemas.openxmlformats.org/officeDocument/2006/relationships" ref="N81" r:id="rId383"/>
    <hyperlink xmlns:r="http://schemas.openxmlformats.org/officeDocument/2006/relationships" ref="N82" r:id="rId384"/>
    <hyperlink xmlns:r="http://schemas.openxmlformats.org/officeDocument/2006/relationships" ref="N83" r:id="rId385"/>
    <hyperlink xmlns:r="http://schemas.openxmlformats.org/officeDocument/2006/relationships" ref="U84" r:id="rId386"/>
    <hyperlink xmlns:r="http://schemas.openxmlformats.org/officeDocument/2006/relationships" ref="V84" r:id="rId387"/>
    <hyperlink xmlns:r="http://schemas.openxmlformats.org/officeDocument/2006/relationships" ref="W84" r:id="rId388"/>
    <hyperlink xmlns:r="http://schemas.openxmlformats.org/officeDocument/2006/relationships" ref="Z84" r:id="rId389"/>
    <hyperlink xmlns:r="http://schemas.openxmlformats.org/officeDocument/2006/relationships" ref="AA84" r:id="rId390"/>
    <hyperlink xmlns:r="http://schemas.openxmlformats.org/officeDocument/2006/relationships" ref="AC84" r:id="rId391"/>
    <hyperlink xmlns:r="http://schemas.openxmlformats.org/officeDocument/2006/relationships" ref="AE84" r:id="rId392"/>
    <hyperlink xmlns:r="http://schemas.openxmlformats.org/officeDocument/2006/relationships" ref="AF84" r:id="rId393"/>
    <hyperlink xmlns:r="http://schemas.openxmlformats.org/officeDocument/2006/relationships" ref="AG84" r:id="rId394"/>
    <hyperlink xmlns:r="http://schemas.openxmlformats.org/officeDocument/2006/relationships" ref="AI84" r:id="rId395"/>
    <hyperlink xmlns:r="http://schemas.openxmlformats.org/officeDocument/2006/relationships" ref="AK84" r:id="rId396"/>
    <hyperlink xmlns:r="http://schemas.openxmlformats.org/officeDocument/2006/relationships" ref="AM85" r:id="rId397"/>
    <hyperlink xmlns:r="http://schemas.openxmlformats.org/officeDocument/2006/relationships" ref="AJ86" r:id="rId398"/>
    <hyperlink xmlns:r="http://schemas.openxmlformats.org/officeDocument/2006/relationships" ref="AA87" r:id="rId399"/>
    <hyperlink xmlns:r="http://schemas.openxmlformats.org/officeDocument/2006/relationships" ref="AK88" r:id="rId400"/>
    <hyperlink xmlns:r="http://schemas.openxmlformats.org/officeDocument/2006/relationships" ref="W89" r:id="rId401"/>
    <hyperlink xmlns:r="http://schemas.openxmlformats.org/officeDocument/2006/relationships" ref="AA90" r:id="rId402"/>
    <hyperlink xmlns:r="http://schemas.openxmlformats.org/officeDocument/2006/relationships" ref="AO91" r:id="rId403"/>
    <hyperlink xmlns:r="http://schemas.openxmlformats.org/officeDocument/2006/relationships" ref="AI92" r:id="rId404"/>
    <hyperlink xmlns:r="http://schemas.openxmlformats.org/officeDocument/2006/relationships" ref="AG93" r:id="rId405"/>
    <hyperlink xmlns:r="http://schemas.openxmlformats.org/officeDocument/2006/relationships" ref="Q94" r:id="rId406"/>
    <hyperlink xmlns:r="http://schemas.openxmlformats.org/officeDocument/2006/relationships" ref="S95" r:id="rId407"/>
    <hyperlink xmlns:r="http://schemas.openxmlformats.org/officeDocument/2006/relationships" ref="AN96" r:id="rId408"/>
    <hyperlink xmlns:r="http://schemas.openxmlformats.org/officeDocument/2006/relationships" ref="Q97" r:id="rId409"/>
    <hyperlink xmlns:r="http://schemas.openxmlformats.org/officeDocument/2006/relationships" ref="AO98" r:id="rId410"/>
    <hyperlink xmlns:r="http://schemas.openxmlformats.org/officeDocument/2006/relationships" ref="AA99" r:id="rId411"/>
    <hyperlink xmlns:r="http://schemas.openxmlformats.org/officeDocument/2006/relationships" ref="AC100" r:id="rId412"/>
    <hyperlink xmlns:r="http://schemas.openxmlformats.org/officeDocument/2006/relationships" ref="W101" r:id="rId413"/>
    <hyperlink xmlns:r="http://schemas.openxmlformats.org/officeDocument/2006/relationships" ref="AA102" r:id="rId414"/>
    <hyperlink xmlns:r="http://schemas.openxmlformats.org/officeDocument/2006/relationships" ref="E103" r:id="rId415"/>
    <hyperlink xmlns:r="http://schemas.openxmlformats.org/officeDocument/2006/relationships" ref="AN104" r:id="rId416"/>
    <hyperlink xmlns:r="http://schemas.openxmlformats.org/officeDocument/2006/relationships" ref="Q105" r:id="rId417"/>
    <hyperlink xmlns:r="http://schemas.openxmlformats.org/officeDocument/2006/relationships" ref="T105" r:id="rId418"/>
    <hyperlink xmlns:r="http://schemas.openxmlformats.org/officeDocument/2006/relationships" ref="C106" r:id="rId419"/>
    <hyperlink xmlns:r="http://schemas.openxmlformats.org/officeDocument/2006/relationships" ref="D106" r:id="rId420"/>
    <hyperlink xmlns:r="http://schemas.openxmlformats.org/officeDocument/2006/relationships" ref="E106" r:id="rId421"/>
    <hyperlink xmlns:r="http://schemas.openxmlformats.org/officeDocument/2006/relationships" ref="F106" r:id="rId422"/>
    <hyperlink xmlns:r="http://schemas.openxmlformats.org/officeDocument/2006/relationships" ref="H106" r:id="rId423"/>
    <hyperlink xmlns:r="http://schemas.openxmlformats.org/officeDocument/2006/relationships" ref="L106" r:id="rId424"/>
    <hyperlink xmlns:r="http://schemas.openxmlformats.org/officeDocument/2006/relationships" ref="S107" r:id="rId425"/>
    <hyperlink xmlns:r="http://schemas.openxmlformats.org/officeDocument/2006/relationships" ref="Q108" r:id="rId426"/>
    <hyperlink xmlns:r="http://schemas.openxmlformats.org/officeDocument/2006/relationships" ref="N109" r:id="rId427"/>
    <hyperlink xmlns:r="http://schemas.openxmlformats.org/officeDocument/2006/relationships" ref="I110" r:id="rId428"/>
    <hyperlink xmlns:r="http://schemas.openxmlformats.org/officeDocument/2006/relationships" ref="AO110" r:id="rId429"/>
    <hyperlink xmlns:r="http://schemas.openxmlformats.org/officeDocument/2006/relationships" ref="Q111" r:id="rId430"/>
    <hyperlink xmlns:r="http://schemas.openxmlformats.org/officeDocument/2006/relationships" ref="S111" r:id="rId431"/>
    <hyperlink xmlns:r="http://schemas.openxmlformats.org/officeDocument/2006/relationships" ref="T111" r:id="rId432"/>
    <hyperlink xmlns:r="http://schemas.openxmlformats.org/officeDocument/2006/relationships" ref="U111" r:id="rId433"/>
    <hyperlink xmlns:r="http://schemas.openxmlformats.org/officeDocument/2006/relationships" ref="AO112" r:id="rId434"/>
    <hyperlink xmlns:r="http://schemas.openxmlformats.org/officeDocument/2006/relationships" ref="S113" r:id="rId435"/>
    <hyperlink xmlns:r="http://schemas.openxmlformats.org/officeDocument/2006/relationships" ref="AK114" r:id="rId436"/>
    <hyperlink xmlns:r="http://schemas.openxmlformats.org/officeDocument/2006/relationships" ref="AI115" r:id="rId437"/>
    <hyperlink xmlns:r="http://schemas.openxmlformats.org/officeDocument/2006/relationships" ref="AK116" r:id="rId438"/>
    <hyperlink xmlns:r="http://schemas.openxmlformats.org/officeDocument/2006/relationships" ref="V117" r:id="rId439"/>
    <hyperlink xmlns:r="http://schemas.openxmlformats.org/officeDocument/2006/relationships" ref="X117" r:id="rId440"/>
    <hyperlink xmlns:r="http://schemas.openxmlformats.org/officeDocument/2006/relationships" ref="AO118" r:id="rId441"/>
    <hyperlink xmlns:r="http://schemas.openxmlformats.org/officeDocument/2006/relationships" ref="AI119" r:id="rId442"/>
    <hyperlink xmlns:r="http://schemas.openxmlformats.org/officeDocument/2006/relationships" ref="AI120" r:id="rId443"/>
    <hyperlink xmlns:r="http://schemas.openxmlformats.org/officeDocument/2006/relationships" ref="AM121" r:id="rId444"/>
    <hyperlink xmlns:r="http://schemas.openxmlformats.org/officeDocument/2006/relationships" ref="AO122" r:id="rId445"/>
    <hyperlink xmlns:r="http://schemas.openxmlformats.org/officeDocument/2006/relationships" ref="AO123" r:id="rId446"/>
    <hyperlink xmlns:r="http://schemas.openxmlformats.org/officeDocument/2006/relationships" ref="AP124" r:id="rId447"/>
    <hyperlink xmlns:r="http://schemas.openxmlformats.org/officeDocument/2006/relationships" ref="AM125" r:id="rId448"/>
    <hyperlink xmlns:r="http://schemas.openxmlformats.org/officeDocument/2006/relationships" ref="AM126" r:id="rId449"/>
    <hyperlink xmlns:r="http://schemas.openxmlformats.org/officeDocument/2006/relationships" ref="AQ127" r:id="rId450"/>
    <hyperlink xmlns:r="http://schemas.openxmlformats.org/officeDocument/2006/relationships" ref="AI128" r:id="rId451"/>
    <hyperlink xmlns:r="http://schemas.openxmlformats.org/officeDocument/2006/relationships" ref="Q129" r:id="rId452"/>
    <hyperlink xmlns:r="http://schemas.openxmlformats.org/officeDocument/2006/relationships" ref="S129" r:id="rId453"/>
    <hyperlink xmlns:r="http://schemas.openxmlformats.org/officeDocument/2006/relationships" ref="U129" r:id="rId454"/>
    <hyperlink xmlns:r="http://schemas.openxmlformats.org/officeDocument/2006/relationships" ref="V129" r:id="rId455"/>
    <hyperlink xmlns:r="http://schemas.openxmlformats.org/officeDocument/2006/relationships" ref="Z129" r:id="rId456"/>
    <hyperlink xmlns:r="http://schemas.openxmlformats.org/officeDocument/2006/relationships" ref="AA129" r:id="rId457"/>
    <hyperlink xmlns:r="http://schemas.openxmlformats.org/officeDocument/2006/relationships" ref="AC129" r:id="rId458"/>
    <hyperlink xmlns:r="http://schemas.openxmlformats.org/officeDocument/2006/relationships" ref="AE129" r:id="rId459"/>
    <hyperlink xmlns:r="http://schemas.openxmlformats.org/officeDocument/2006/relationships" ref="AF129" r:id="rId460"/>
    <hyperlink xmlns:r="http://schemas.openxmlformats.org/officeDocument/2006/relationships" ref="AG129" r:id="rId461"/>
    <hyperlink xmlns:r="http://schemas.openxmlformats.org/officeDocument/2006/relationships" ref="AI129" r:id="rId462"/>
    <hyperlink xmlns:r="http://schemas.openxmlformats.org/officeDocument/2006/relationships" ref="AK129" r:id="rId463"/>
    <hyperlink xmlns:r="http://schemas.openxmlformats.org/officeDocument/2006/relationships" ref="AM129" r:id="rId464"/>
    <hyperlink xmlns:r="http://schemas.openxmlformats.org/officeDocument/2006/relationships" ref="AJ130" r:id="rId465"/>
    <hyperlink xmlns:r="http://schemas.openxmlformats.org/officeDocument/2006/relationships" ref="AC131" r:id="rId466"/>
    <hyperlink xmlns:r="http://schemas.openxmlformats.org/officeDocument/2006/relationships" ref="U132" r:id="rId467"/>
    <hyperlink xmlns:r="http://schemas.openxmlformats.org/officeDocument/2006/relationships" ref="AC133" r:id="rId468"/>
    <hyperlink xmlns:r="http://schemas.openxmlformats.org/officeDocument/2006/relationships" ref="AO134" r:id="rId469"/>
    <hyperlink xmlns:r="http://schemas.openxmlformats.org/officeDocument/2006/relationships" ref="AH135" r:id="rId470"/>
    <hyperlink xmlns:r="http://schemas.openxmlformats.org/officeDocument/2006/relationships" ref="AJ135" r:id="rId471"/>
    <hyperlink xmlns:r="http://schemas.openxmlformats.org/officeDocument/2006/relationships" ref="Q136" r:id="rId472"/>
    <hyperlink xmlns:r="http://schemas.openxmlformats.org/officeDocument/2006/relationships" ref="S136" r:id="rId473"/>
    <hyperlink xmlns:r="http://schemas.openxmlformats.org/officeDocument/2006/relationships" ref="AO137" r:id="rId474"/>
    <hyperlink xmlns:r="http://schemas.openxmlformats.org/officeDocument/2006/relationships" ref="AO138" r:id="rId475"/>
    <hyperlink xmlns:r="http://schemas.openxmlformats.org/officeDocument/2006/relationships" ref="S139" r:id="rId476"/>
    <hyperlink xmlns:r="http://schemas.openxmlformats.org/officeDocument/2006/relationships" ref="Q140" r:id="rId477"/>
    <hyperlink xmlns:r="http://schemas.openxmlformats.org/officeDocument/2006/relationships" ref="N141" r:id="rId478"/>
    <hyperlink xmlns:r="http://schemas.openxmlformats.org/officeDocument/2006/relationships" ref="G142" r:id="rId479"/>
    <hyperlink xmlns:r="http://schemas.openxmlformats.org/officeDocument/2006/relationships" ref="AA143" r:id="rId480"/>
    <hyperlink xmlns:r="http://schemas.openxmlformats.org/officeDocument/2006/relationships" ref="T144" r:id="rId481"/>
    <hyperlink xmlns:r="http://schemas.openxmlformats.org/officeDocument/2006/relationships" ref="W144" r:id="rId482"/>
    <hyperlink xmlns:r="http://schemas.openxmlformats.org/officeDocument/2006/relationships" ref="X144" r:id="rId483"/>
    <hyperlink xmlns:r="http://schemas.openxmlformats.org/officeDocument/2006/relationships" ref="V145" r:id="rId484"/>
    <hyperlink xmlns:r="http://schemas.openxmlformats.org/officeDocument/2006/relationships" ref="V146" r:id="rId485"/>
    <hyperlink xmlns:r="http://schemas.openxmlformats.org/officeDocument/2006/relationships" ref="AI147" r:id="rId486"/>
    <hyperlink xmlns:r="http://schemas.openxmlformats.org/officeDocument/2006/relationships" ref="V148" r:id="rId487"/>
    <hyperlink xmlns:r="http://schemas.openxmlformats.org/officeDocument/2006/relationships" ref="G149" r:id="rId488"/>
    <hyperlink xmlns:r="http://schemas.openxmlformats.org/officeDocument/2006/relationships" ref="H150" r:id="rId489"/>
    <hyperlink xmlns:r="http://schemas.openxmlformats.org/officeDocument/2006/relationships" ref="J151" r:id="rId490"/>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84"/>
  <sheetViews>
    <sheetView workbookViewId="0">
      <selection activeCell="B6" sqref="B6"/>
    </sheetView>
  </sheetViews>
  <sheetFormatPr baseColWidth="8" defaultRowHeight="14.4"/>
  <cols>
    <col width="46" customWidth="1" min="1" max="1"/>
    <col width="15" customWidth="1" min="2" max="8"/>
  </cols>
  <sheetData>
    <row r="1">
      <c r="A1" s="24" t="inlineStr">
        <is>
          <t>Event</t>
        </is>
      </c>
      <c r="B1" t="inlineStr">
        <is>
          <t>CELH Q1 2026 Earnings Call</t>
        </is>
      </c>
    </row>
    <row r="2">
      <c r="A2" s="24" t="inlineStr">
        <is>
          <t>Date</t>
        </is>
      </c>
      <c r="B2" t="inlineStr">
        <is>
          <t>2026-05-07</t>
        </is>
      </c>
    </row>
    <row r="4">
      <c r="A4" s="25" t="inlineStr">
        <is>
          <t>QUANTITATIVE</t>
        </is>
      </c>
      <c r="B4" s="25" t="n"/>
      <c r="C4" s="25" t="n"/>
      <c r="D4" s="25"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5">
      <c r="A45" s="25" t="inlineStr">
        <is>
          <t>QUALITATIVE TAKEAWAYS</t>
        </is>
      </c>
      <c r="B45" s="25" t="n"/>
      <c r="C45" s="25" t="n"/>
      <c r="D45" s="25"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6">
      <c r="A66" s="25" t="inlineStr">
        <is>
          <t>Q&amp;A SUMMARY</t>
        </is>
      </c>
      <c r="B66" s="25" t="n"/>
      <c r="C66" s="25" t="n"/>
      <c r="D66" s="25"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2026-03-11</t>
        </is>
      </c>
    </row>
    <row r="4">
      <c r="A4" s="25" t="inlineStr">
        <is>
          <t>QUANTITATIVE</t>
        </is>
      </c>
      <c r="B4" s="25" t="n"/>
      <c r="C4" s="25" t="n"/>
    </row>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5">
      <c r="A45" t="inlineStr">
        <is>
          <t>Quantitative Guidance</t>
        </is>
      </c>
      <c r="B45" t="inlineStr">
        <is>
          <t>Value</t>
        </is>
      </c>
      <c r="C45"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5">
      <c r="A55" s="25" t="inlineStr">
        <is>
          <t>QUALITATIVE TAKEAWAYS</t>
        </is>
      </c>
      <c r="B55" s="25" t="n"/>
      <c r="C55" s="25"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1">
      <c r="A81" s="25" t="inlineStr">
        <is>
          <t>Q&amp;A SUMMARY</t>
        </is>
      </c>
      <c r="B81" s="25" t="n"/>
      <c r="C81" s="25"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2025 / FY2025 Earnings Call</t>
        </is>
      </c>
    </row>
    <row r="2">
      <c r="A2" s="24" t="inlineStr">
        <is>
          <t>Date</t>
        </is>
      </c>
      <c r="B2" t="inlineStr">
        <is>
          <t>2026-02-26</t>
        </is>
      </c>
    </row>
    <row r="4">
      <c r="A4" s="25" t="inlineStr">
        <is>
          <t>QUANTITATIVE</t>
        </is>
      </c>
      <c r="B4" s="25" t="n"/>
      <c r="C4" s="25" t="n"/>
      <c r="D4" s="25" t="n"/>
    </row>
    <row r="6">
      <c r="A6" t="inlineStr">
        <is>
          <t>Consolidated Revenue</t>
        </is>
      </c>
      <c r="B6" t="inlineStr">
        <is>
          <t>Q4 2025</t>
        </is>
      </c>
      <c r="C6" t="inlineStr">
        <is>
          <t>FY2025</t>
        </is>
      </c>
    </row>
    <row r="7">
      <c r="A7" t="inlineStr">
        <is>
          <t>Net Revenue</t>
        </is>
      </c>
      <c r="B7" t="inlineStr">
        <is>
          <t>~$722M</t>
        </is>
      </c>
      <c r="C7" t="inlineStr">
        <is>
          <t>$2.5B (record; two $2B brands)</t>
        </is>
      </c>
    </row>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2">
      <c r="A22" t="inlineStr">
        <is>
          <t>Net Portfolio Inventory Benefit</t>
        </is>
      </c>
      <c r="B22" t="inlineStr">
        <is>
          <t>Q4 2025</t>
        </is>
      </c>
    </row>
    <row r="23">
      <c r="A23" t="inlineStr">
        <is>
          <t>Net benefit (Celsius + Alani load-in)</t>
        </is>
      </c>
      <c r="B23" t="inlineStr">
        <is>
          <t>~$25M</t>
        </is>
      </c>
    </row>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9">
      <c r="A79" s="25" t="inlineStr">
        <is>
          <t>QUALITATIVE TAKEAWAYS</t>
        </is>
      </c>
      <c r="B79" s="25" t="n"/>
      <c r="C79" s="25" t="n"/>
      <c r="D79" s="25"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8">
      <c r="A98" s="25" t="inlineStr">
        <is>
          <t>Q&amp;A SUMMARY</t>
        </is>
      </c>
      <c r="B98" s="25" t="n"/>
      <c r="C98" s="25" t="n"/>
      <c r="D98" s="25"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Full-Year 2025 and Fourth Quarter Financial Results Press Release</t>
        </is>
      </c>
    </row>
    <row r="2">
      <c r="A2" s="24" t="inlineStr">
        <is>
          <t>Date</t>
        </is>
      </c>
      <c r="B2" t="inlineStr">
        <is>
          <t>2026-02-26</t>
        </is>
      </c>
    </row>
    <row r="4">
      <c r="A4" s="25" t="inlineStr">
        <is>
          <t>QUANTITATIVE</t>
        </is>
      </c>
      <c r="B4" s="25" t="n"/>
      <c r="C4" s="25" t="n"/>
      <c r="D4" s="25"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5">
      <c r="A55" t="inlineStr">
        <is>
          <t>Capital Allocation (Q4)</t>
        </is>
      </c>
      <c r="B55" t="inlineStr">
        <is>
          <t>Value</t>
        </is>
      </c>
    </row>
    <row r="56">
      <c r="A56" t="inlineStr">
        <is>
          <t>Debt repayment</t>
        </is>
      </c>
      <c r="B56" t="inlineStr">
        <is>
          <t>$197.8M</t>
        </is>
      </c>
    </row>
    <row r="57">
      <c r="A57" t="inlineStr">
        <is>
          <t>Share repurchases</t>
        </is>
      </c>
      <c r="B57" t="inlineStr">
        <is>
          <t>$39.8M</t>
        </is>
      </c>
    </row>
    <row r="59">
      <c r="A59" t="inlineStr">
        <is>
          <t>Balance Sheet</t>
        </is>
      </c>
      <c r="B59" t="inlineStr">
        <is>
          <t>Dec 31 2025</t>
        </is>
      </c>
      <c r="C59" t="inlineStr">
        <is>
          <t>Dec 31 2024</t>
        </is>
      </c>
    </row>
    <row r="60">
      <c r="A60" t="inlineStr">
        <is>
          <t>Cash and cash equivalents</t>
        </is>
      </c>
      <c r="B60" t="inlineStr">
        <is>
          <t>$398.9M</t>
        </is>
      </c>
      <c r="C60" t="inlineStr">
        <is>
          <t>$890.2M</t>
        </is>
      </c>
    </row>
    <row r="61">
      <c r="A61" t="inlineStr">
        <is>
          <t>Restricted cash</t>
        </is>
      </c>
      <c r="B61" t="inlineStr">
        <is>
          <t>$141.1M</t>
        </is>
      </c>
      <c r="C61" t="inlineStr">
        <is>
          <t>$0</t>
        </is>
      </c>
    </row>
    <row r="62">
      <c r="A62" t="inlineStr">
        <is>
          <t>Long-term debt</t>
        </is>
      </c>
      <c r="B62" t="inlineStr">
        <is>
          <t>$669.9M</t>
        </is>
      </c>
      <c r="C62" t="inlineStr">
        <is>
          <t>$0</t>
        </is>
      </c>
    </row>
    <row r="63">
      <c r="A63" t="inlineStr">
        <is>
          <t>Total assets</t>
        </is>
      </c>
      <c r="B63" t="inlineStr">
        <is>
          <t>$5,119.6M</t>
        </is>
      </c>
      <c r="C63" t="inlineStr">
        <is>
          <t>$1,766.9M</t>
        </is>
      </c>
    </row>
    <row r="64">
      <c r="A64" t="inlineStr">
        <is>
          <t>Accrued distributor termination fees</t>
        </is>
      </c>
      <c r="B64" t="inlineStr">
        <is>
          <t>$264.1M</t>
        </is>
      </c>
      <c r="C64" t="inlineStr">
        <is>
          <t>n/a</t>
        </is>
      </c>
    </row>
    <row r="65">
      <c r="A65" t="inlineStr">
        <is>
          <t>Contingent consideration</t>
        </is>
      </c>
      <c r="B65" t="inlineStr">
        <is>
          <t>$25.0M</t>
        </is>
      </c>
      <c r="C65" t="inlineStr">
        <is>
          <t>n/a</t>
        </is>
      </c>
    </row>
    <row r="66">
      <c r="A66" t="inlineStr">
        <is>
          <t>Series B convertible preferred stock (newly issued)</t>
        </is>
      </c>
      <c r="B66" t="inlineStr">
        <is>
          <t>$907.6M</t>
        </is>
      </c>
      <c r="C66" t="inlineStr">
        <is>
          <t>$0</t>
        </is>
      </c>
    </row>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80">
      <c r="A80" t="inlineStr">
        <is>
          <t>Other Category / Timing Metrics</t>
        </is>
      </c>
      <c r="B80" t="inlineStr">
        <is>
          <t>Value</t>
        </is>
      </c>
      <c r="C80" t="inlineStr">
        <is>
          <t>Period</t>
        </is>
      </c>
    </row>
    <row r="81">
      <c r="A81" t="inlineStr">
        <is>
          <t>US energy drink category dollar share (portfolio)</t>
        </is>
      </c>
      <c r="B81" t="inlineStr">
        <is>
          <t>~20%</t>
        </is>
      </c>
      <c r="C81" t="inlineStr">
        <is>
          <t>Q4 2025</t>
        </is>
      </c>
    </row>
    <row r="82">
      <c r="A82" t="inlineStr">
        <is>
          <t>Zero-sugar US energy category growth contribution</t>
        </is>
      </c>
      <c r="B82" t="inlineStr">
        <is>
          <t>33% of the category's $3.3B growth</t>
        </is>
      </c>
      <c r="C82" t="inlineStr">
        <is>
          <t>FY2025</t>
        </is>
      </c>
    </row>
    <row r="83">
      <c r="A83" t="inlineStr">
        <is>
          <t>Alani Nu ACV ramp (post Dec 1 2025 PepsiCo transition)</t>
        </is>
      </c>
      <c r="B83" t="inlineStr">
        <is>
          <t>~87% (start Q4 2025) to 94.2% (wk ended Feb 1 2026)</t>
        </is>
      </c>
      <c r="C83" t="inlineStr">
        <is>
          <t>Q4 2025 to Feb 2026</t>
        </is>
      </c>
    </row>
    <row r="84">
      <c r="A84" t="inlineStr">
        <is>
          <t>Net portfolio inventory benefit (Q4)</t>
        </is>
      </c>
      <c r="B84" t="inlineStr">
        <is>
          <t>~$25M net positive (Alani load-in vs CELSIUS timing)</t>
        </is>
      </c>
      <c r="C84" t="inlineStr">
        <is>
          <t>Q4 2025</t>
        </is>
      </c>
    </row>
    <row r="86">
      <c r="A86" t="inlineStr">
        <is>
          <t>Guidance</t>
        </is>
      </c>
      <c r="B86" t="inlineStr">
        <is>
          <t>Value/Range</t>
        </is>
      </c>
      <c r="C86" t="inlineStr">
        <is>
          <t>Period</t>
        </is>
      </c>
    </row>
    <row r="87">
      <c r="A87" t="inlineStr">
        <is>
          <t>Alani Nu integration completion</t>
        </is>
      </c>
      <c r="B87" t="inlineStr">
        <is>
          <t>By end of Q1 2026</t>
        </is>
      </c>
      <c r="C87" t="inlineStr">
        <is>
          <t>Q1 2026</t>
        </is>
      </c>
    </row>
    <row r="88">
      <c r="A88" t="inlineStr">
        <is>
          <t>Rockstar Energy integration completion</t>
        </is>
      </c>
      <c r="B88" t="inlineStr">
        <is>
          <t>By end of Q2 2026</t>
        </is>
      </c>
      <c r="C88" t="inlineStr">
        <is>
          <t>Q2 2026</t>
        </is>
      </c>
    </row>
    <row r="89">
      <c r="A89" t="inlineStr">
        <is>
          <t>Gross margin (normalized profile)</t>
        </is>
      </c>
      <c r="B89" t="inlineStr">
        <is>
          <t>Low 50s; margins expand across 2026</t>
        </is>
      </c>
      <c r="C89" t="inlineStr">
        <is>
          <t>FY2026</t>
        </is>
      </c>
    </row>
    <row r="91">
      <c r="A91" s="25" t="inlineStr">
        <is>
          <t>QUALITATIVE TAKEAWAYS</t>
        </is>
      </c>
      <c r="B91" s="25" t="n"/>
      <c r="C91" s="25" t="n"/>
      <c r="D91" s="25"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7">
      <c r="A107" s="25" t="inlineStr">
        <is>
          <t>Q&amp;A SUMMARY</t>
        </is>
      </c>
      <c r="B107" s="25" t="n"/>
      <c r="C107" s="25" t="n"/>
      <c r="D107" s="25"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Consumer Analyst Group of New York (CAGNY) Conference</t>
        </is>
      </c>
    </row>
    <row r="2">
      <c r="A2" s="24" t="inlineStr">
        <is>
          <t>Date</t>
        </is>
      </c>
      <c r="B2" t="inlineStr">
        <is>
          <t>2026-02-19</t>
        </is>
      </c>
    </row>
    <row r="4">
      <c r="A4" s="25" t="inlineStr">
        <is>
          <t>QUANTITATIVE</t>
        </is>
      </c>
      <c r="B4" s="25" t="n"/>
      <c r="C4" s="25"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2">
      <c r="A42" s="25" t="inlineStr">
        <is>
          <t>QUALITATIVE TAKEAWAYS</t>
        </is>
      </c>
      <c r="B42" s="25" t="n"/>
      <c r="C42" s="25"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2">
      <c r="A62" s="25" t="inlineStr">
        <is>
          <t>Q&amp;A SUMMARY</t>
        </is>
      </c>
      <c r="B62" s="25" t="n"/>
      <c r="C62" s="25" t="n"/>
    </row>
    <row r="63">
      <c r="A63" t="inlineStr">
        <is>
          <t>Note</t>
        </is>
      </c>
      <c r="B63" t="inlineStr">
        <is>
          <t>No Q&amp;A captured - the Q&amp;A session was explicitly moved to a separate breakout room and is not included in this transcript. All content is from prepared remarks.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Morgan Stanley Global Consumer &amp; Retail Conference</t>
        </is>
      </c>
    </row>
    <row r="2">
      <c r="A2" s="24" t="inlineStr">
        <is>
          <t>Date</t>
        </is>
      </c>
      <c r="B2" t="inlineStr">
        <is>
          <t>2025-12-03</t>
        </is>
      </c>
    </row>
    <row r="4">
      <c r="A4" s="25" t="inlineStr">
        <is>
          <t>QUANTITATIVE</t>
        </is>
      </c>
      <c r="B4" s="25" t="n"/>
      <c r="C4" s="25"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8">
      <c r="A38" s="25" t="inlineStr">
        <is>
          <t>QUALITATIVE TAKEAWAYS</t>
        </is>
      </c>
      <c r="B38" s="25" t="n"/>
      <c r="C38" s="25"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7">
      <c r="A57" s="25" t="inlineStr">
        <is>
          <t>Q&amp;A SUMMARY</t>
        </is>
      </c>
      <c r="B57" s="25" t="n"/>
      <c r="C57" s="25"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Q3 2025 Earnings Call</t>
        </is>
      </c>
    </row>
    <row r="2">
      <c r="A2" s="24" t="inlineStr">
        <is>
          <t>Date</t>
        </is>
      </c>
      <c r="B2" t="inlineStr">
        <is>
          <t>2025-11-06</t>
        </is>
      </c>
    </row>
    <row r="4">
      <c r="A4" s="25" t="inlineStr">
        <is>
          <t>QUANTITATIVE</t>
        </is>
      </c>
      <c r="B4" s="25" t="n"/>
      <c r="C4" s="25" t="n"/>
      <c r="D4" s="25"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9">
      <c r="A49" s="25" t="inlineStr">
        <is>
          <t>QUALITATIVE TAKEAWAYS</t>
        </is>
      </c>
      <c r="B49" s="25" t="n"/>
      <c r="C49" s="25" t="n"/>
      <c r="D49" s="25"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9">
      <c r="A69" s="25" t="inlineStr">
        <is>
          <t>Q&amp;A SUMMARY</t>
        </is>
      </c>
      <c r="B69" s="25" t="n"/>
      <c r="C69" s="25" t="n"/>
      <c r="D69" s="25"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Piper Sandler 4th Annual Growth Frontiers Conference</t>
        </is>
      </c>
    </row>
    <row r="2">
      <c r="A2" s="24" t="inlineStr">
        <is>
          <t>Date</t>
        </is>
      </c>
      <c r="B2" t="inlineStr">
        <is>
          <t>2025-09-10</t>
        </is>
      </c>
    </row>
    <row r="4">
      <c r="A4" s="25" t="inlineStr">
        <is>
          <t>QUANTITATIVE</t>
        </is>
      </c>
      <c r="B4" s="25" t="n"/>
      <c r="C4" s="25"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9">
      <c r="A29" s="25" t="inlineStr">
        <is>
          <t>QUALITATIVE TAKEAWAYS</t>
        </is>
      </c>
      <c r="B29" s="25" t="n"/>
      <c r="C29" s="25"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9">
      <c r="A49" s="25" t="inlineStr">
        <is>
          <t>Q&amp;A SUMMARY</t>
        </is>
      </c>
      <c r="B49" s="25" t="n"/>
      <c r="C49" s="25"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Barclays Global Consumer Staples Conference</t>
        </is>
      </c>
    </row>
    <row r="2">
      <c r="A2" s="24" t="inlineStr">
        <is>
          <t>Date</t>
        </is>
      </c>
      <c r="B2" t="inlineStr">
        <is>
          <t>2025-09-02</t>
        </is>
      </c>
    </row>
    <row r="4">
      <c r="A4" s="25" t="inlineStr">
        <is>
          <t>QUANTITATIVE</t>
        </is>
      </c>
      <c r="B4" s="25" t="n"/>
      <c r="C4" s="25"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8">
      <c r="A28" s="25" t="inlineStr">
        <is>
          <t>QUALITATIVE TAKEAWAYS</t>
        </is>
      </c>
      <c r="B28" s="25" t="n"/>
      <c r="C28" s="25"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5">
      <c r="A45" s="25" t="inlineStr">
        <is>
          <t>Q&amp;A SUMMARY</t>
        </is>
      </c>
      <c r="B45" s="25" t="n"/>
      <c r="C45" s="25"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Q2 2025 Earnings Call</t>
        </is>
      </c>
    </row>
    <row r="2">
      <c r="A2" s="24" t="inlineStr">
        <is>
          <t>Date</t>
        </is>
      </c>
      <c r="B2" t="inlineStr">
        <is>
          <t>2025-08-07</t>
        </is>
      </c>
    </row>
    <row r="4">
      <c r="A4" s="25" t="inlineStr">
        <is>
          <t>QUANTITATIVE</t>
        </is>
      </c>
      <c r="B4" s="25" t="n"/>
      <c r="C4" s="25" t="n"/>
      <c r="D4" s="25"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2">
      <c r="A72" s="25" t="inlineStr">
        <is>
          <t>QUALITATIVE TAKEAWAYS</t>
        </is>
      </c>
      <c r="B72" s="25" t="n"/>
      <c r="C72" s="25" t="n"/>
      <c r="D72" s="25"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90">
      <c r="A90" s="25" t="inlineStr">
        <is>
          <t>Q&amp;A SUMMARY</t>
        </is>
      </c>
      <c r="B90" s="25" t="n"/>
      <c r="C90" s="25" t="n"/>
      <c r="D90" s="25"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45th Annual Growth Stock Conference</t>
        </is>
      </c>
    </row>
    <row r="2">
      <c r="A2" s="24" t="inlineStr">
        <is>
          <t>Date</t>
        </is>
      </c>
      <c r="B2" t="inlineStr">
        <is>
          <t>2025-06-04</t>
        </is>
      </c>
    </row>
    <row r="4">
      <c r="A4" s="25" t="inlineStr">
        <is>
          <t>QUANTITATIVE</t>
        </is>
      </c>
      <c r="B4" s="25" t="n"/>
      <c r="C4" s="25" t="n"/>
    </row>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20">
      <c r="A20" t="inlineStr">
        <is>
          <t>Competitor Share (US energy MULO+)</t>
        </is>
      </c>
      <c r="B20" t="inlineStr">
        <is>
          <t>Value</t>
        </is>
      </c>
    </row>
    <row r="21">
      <c r="A21" t="inlineStr">
        <is>
          <t>Red Bull</t>
        </is>
      </c>
      <c r="B21" t="inlineStr">
        <is>
          <t>37%</t>
        </is>
      </c>
    </row>
    <row r="22">
      <c r="A22" t="inlineStr">
        <is>
          <t>Monster</t>
        </is>
      </c>
      <c r="B22" t="inlineStr">
        <is>
          <t>27.5%</t>
        </is>
      </c>
    </row>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8">
      <c r="A38" t="inlineStr">
        <is>
          <t>Quantitative Guidance</t>
        </is>
      </c>
      <c r="B38" t="inlineStr">
        <is>
          <t>Value</t>
        </is>
      </c>
      <c r="C38"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5">
      <c r="A45" s="25" t="inlineStr">
        <is>
          <t>QUALITATIVE TAKEAWAYS</t>
        </is>
      </c>
      <c r="B45" s="25" t="n"/>
      <c r="C45" s="25"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9">
      <c r="A69" s="25" t="inlineStr">
        <is>
          <t>Q&amp;A SUMMARY</t>
        </is>
      </c>
      <c r="B69" s="25" t="n"/>
      <c r="C69" s="25"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dbAccess Global Consumer Conference (Deutsche Bank, Paris)</t>
        </is>
      </c>
    </row>
    <row r="2">
      <c r="A2" s="24" t="inlineStr">
        <is>
          <t>Date</t>
        </is>
      </c>
      <c r="B2" t="inlineStr">
        <is>
          <t>2025-06-03</t>
        </is>
      </c>
    </row>
    <row r="4">
      <c r="A4" s="25" t="inlineStr">
        <is>
          <t>QUANTITATIVE</t>
        </is>
      </c>
      <c r="B4" s="25" t="n"/>
      <c r="C4" s="25" t="n"/>
    </row>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7">
      <c r="A27" t="inlineStr">
        <is>
          <t>Quantitative Guidance</t>
        </is>
      </c>
      <c r="B27" t="inlineStr">
        <is>
          <t>Value</t>
        </is>
      </c>
      <c r="C27"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7">
      <c r="A37" s="25" t="inlineStr">
        <is>
          <t>QUALITATIVE TAKEAWAYS</t>
        </is>
      </c>
      <c r="B37" s="25" t="n"/>
      <c r="C37" s="25"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6">
      <c r="A56" s="25" t="inlineStr">
        <is>
          <t>Q&amp;A SUMMARY</t>
        </is>
      </c>
      <c r="B56" s="25" t="n"/>
      <c r="C56" s="25"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Alani Nu Modeling Call (post-closing)</t>
        </is>
      </c>
    </row>
    <row r="2">
      <c r="A2" s="24" t="inlineStr">
        <is>
          <t>Date</t>
        </is>
      </c>
      <c r="B2" t="inlineStr">
        <is>
          <t>2025-05-28</t>
        </is>
      </c>
    </row>
    <row r="4">
      <c r="A4" s="25" t="inlineStr">
        <is>
          <t>QUANTITATIVE</t>
        </is>
      </c>
      <c r="B4" s="25" t="n"/>
      <c r="C4" s="25" t="n"/>
    </row>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2">
      <c r="A52" s="25" t="inlineStr">
        <is>
          <t>QUALITATIVE TAKEAWAYS</t>
        </is>
      </c>
      <c r="B52" s="25" t="n"/>
      <c r="C52" s="25"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70">
      <c r="A70" s="25" t="inlineStr">
        <is>
          <t>Q&amp;A SUMMARY</t>
        </is>
      </c>
      <c r="B70" s="25" t="n"/>
      <c r="C70" s="25"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2025-05-13</t>
        </is>
      </c>
    </row>
    <row r="4">
      <c r="A4" s="25" t="inlineStr">
        <is>
          <t>QUANTITATIVE</t>
        </is>
      </c>
      <c r="B4" s="25" t="n"/>
      <c r="C4" s="25" t="n"/>
    </row>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1">
      <c r="A21" t="inlineStr">
        <is>
          <t>Quantitative Guidance</t>
        </is>
      </c>
      <c r="B21" t="inlineStr">
        <is>
          <t>Value</t>
        </is>
      </c>
      <c r="C2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9">
      <c r="A29" s="25" t="inlineStr">
        <is>
          <t>QUALITATIVE TAKEAWAYS</t>
        </is>
      </c>
      <c r="B29" s="25" t="n"/>
      <c r="C29" s="25"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1">
      <c r="A51" s="25" t="inlineStr">
        <is>
          <t>Q&amp;A SUMMARY</t>
        </is>
      </c>
      <c r="B51" s="25" t="n"/>
      <c r="C51" s="25"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2025 Earnings Call</t>
        </is>
      </c>
    </row>
    <row r="2">
      <c r="A2" s="24" t="inlineStr">
        <is>
          <t>Date</t>
        </is>
      </c>
      <c r="B2" t="inlineStr">
        <is>
          <t>2025-05-06</t>
        </is>
      </c>
    </row>
    <row r="4">
      <c r="A4" s="25" t="inlineStr">
        <is>
          <t>QUANTITATIVE</t>
        </is>
      </c>
      <c r="B4" s="25" t="n"/>
      <c r="C4" s="25" t="n"/>
      <c r="D4" s="25" t="n"/>
    </row>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20">
      <c r="A20" t="inlineStr">
        <is>
          <t>Balance Sheet</t>
        </is>
      </c>
      <c r="B20" t="inlineStr">
        <is>
          <t>As of Mar 31, 2025</t>
        </is>
      </c>
    </row>
    <row r="21">
      <c r="A21" t="inlineStr">
        <is>
          <t>Cash &amp; Cash Equivalents</t>
        </is>
      </c>
      <c r="B21" t="inlineStr">
        <is>
          <t>$977M (pre-Alani close; no debt)</t>
        </is>
      </c>
    </row>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40">
      <c r="A40" t="inlineStr">
        <is>
          <t>Alani Nu Acquisition Funding (closed Apr 1, 2025)</t>
        </is>
      </c>
    </row>
    <row r="41">
      <c r="A41" t="inlineStr">
        <is>
          <t>Debt</t>
        </is>
      </c>
      <c r="B41" t="inlineStr">
        <is>
          <t>$900M</t>
        </is>
      </c>
    </row>
    <row r="42">
      <c r="A42" t="inlineStr">
        <is>
          <t>Cash</t>
        </is>
      </c>
      <c r="B42" t="inlineStr">
        <is>
          <t>~$400M</t>
        </is>
      </c>
    </row>
    <row r="43">
      <c r="A43" t="inlineStr">
        <is>
          <t>Remainder</t>
        </is>
      </c>
      <c r="B43" t="inlineStr">
        <is>
          <t>stock</t>
        </is>
      </c>
    </row>
    <row r="45">
      <c r="A45" t="inlineStr">
        <is>
          <t>Quantitative Guidance</t>
        </is>
      </c>
      <c r="B45" t="inlineStr">
        <is>
          <t>Value</t>
        </is>
      </c>
      <c r="C45" t="inlineStr">
        <is>
          <t>Period</t>
        </is>
      </c>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1">
      <c r="A51" s="25" t="inlineStr">
        <is>
          <t>QUALITATIVE TAKEAWAYS</t>
        </is>
      </c>
      <c r="B51" s="25" t="n"/>
      <c r="C51" s="25" t="n"/>
      <c r="D51" s="25"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1">
      <c r="A71" s="25" t="inlineStr">
        <is>
          <t>Q&amp;A SUMMARY</t>
        </is>
      </c>
      <c r="B71" s="25" t="n"/>
      <c r="C71" s="25" t="n"/>
      <c r="D71" s="25"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37th Annual ROTH Conference</t>
        </is>
      </c>
    </row>
    <row r="2">
      <c r="A2" s="24" t="inlineStr">
        <is>
          <t>Date</t>
        </is>
      </c>
      <c r="B2" t="inlineStr">
        <is>
          <t>2025-03-18</t>
        </is>
      </c>
    </row>
    <row r="4">
      <c r="A4" s="25" t="inlineStr">
        <is>
          <t>QUANTITATIVE</t>
        </is>
      </c>
      <c r="B4" s="25" t="n"/>
      <c r="C4" s="25" t="n"/>
    </row>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6">
      <c r="A36" s="25" t="inlineStr">
        <is>
          <t>QUALITATIVE TAKEAWAYS</t>
        </is>
      </c>
      <c r="B36" s="25" t="n"/>
      <c r="C36" s="25"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1">
      <c r="A51" s="25" t="inlineStr">
        <is>
          <t>Q&amp;A SUMMARY</t>
        </is>
      </c>
      <c r="B51" s="25" t="n"/>
      <c r="C51" s="25"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2025-03-12</t>
        </is>
      </c>
    </row>
    <row r="4">
      <c r="A4" s="25" t="inlineStr">
        <is>
          <t>QUANTITATIVE</t>
        </is>
      </c>
      <c r="B4" s="25" t="n"/>
      <c r="C4" s="25" t="n"/>
    </row>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5">
      <c r="A35" s="25" t="inlineStr">
        <is>
          <t>QUALITATIVE TAKEAWAYS</t>
        </is>
      </c>
      <c r="B35" s="25" t="n"/>
      <c r="C35" s="25"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8">
      <c r="A48" s="25" t="inlineStr">
        <is>
          <t>Q&amp;A SUMMARY</t>
        </is>
      </c>
      <c r="B48" s="25" t="n"/>
      <c r="C48" s="25"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2025 Consumer Analyst Group of New York (CAGNY) Conference</t>
        </is>
      </c>
    </row>
    <row r="2">
      <c r="A2" s="24" t="inlineStr">
        <is>
          <t>Date</t>
        </is>
      </c>
      <c r="B2" t="inlineStr">
        <is>
          <t>2025-02-21</t>
        </is>
      </c>
    </row>
    <row r="4">
      <c r="A4" s="25" t="inlineStr">
        <is>
          <t>QUANTITATIVE</t>
        </is>
      </c>
      <c r="B4" s="25" t="n"/>
      <c r="C4" s="25" t="n"/>
    </row>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9">
      <c r="A49" s="25" t="inlineStr">
        <is>
          <t>QUALITATIVE TAKEAWAYS</t>
        </is>
      </c>
      <c r="B49" s="25" t="n"/>
      <c r="C49" s="25"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2">
      <c r="A62" s="25" t="inlineStr">
        <is>
          <t>Q&amp;A SUMMARY</t>
        </is>
      </c>
      <c r="B62" s="25" t="n"/>
      <c r="C62" s="25"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2024 Earnings Call</t>
        </is>
      </c>
    </row>
    <row r="2">
      <c r="A2" s="24" t="inlineStr">
        <is>
          <t>Date</t>
        </is>
      </c>
      <c r="B2" t="inlineStr">
        <is>
          <t>2025-02-20</t>
        </is>
      </c>
    </row>
    <row r="4">
      <c r="A4" s="25" t="inlineStr">
        <is>
          <t>QUANTITATIVE</t>
        </is>
      </c>
      <c r="B4" s="25" t="n"/>
      <c r="C4" s="25" t="n"/>
      <c r="D4" s="25"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7">
      <c r="A27" t="inlineStr">
        <is>
          <t>Distribution / Category</t>
        </is>
      </c>
      <c r="B27" t="inlineStr">
        <is>
          <t>Value</t>
        </is>
      </c>
    </row>
    <row r="28">
      <c r="A28" t="inlineStr">
        <is>
          <t>Points of Distribution Growth (FY2024)</t>
        </is>
      </c>
      <c r="B28" t="inlineStr">
        <is>
          <t>37%</t>
        </is>
      </c>
    </row>
    <row r="29">
      <c r="A29" t="inlineStr">
        <is>
          <t>ACV</t>
        </is>
      </c>
      <c r="B29" t="inlineStr">
        <is>
          <t>98.7%</t>
        </is>
      </c>
    </row>
    <row r="30">
      <c r="A30" t="inlineStr">
        <is>
          <t>U.S. Retail Outlets</t>
        </is>
      </c>
      <c r="B30" t="inlineStr">
        <is>
          <t>241,000+</t>
        </is>
      </c>
    </row>
    <row r="31">
      <c r="A31" t="inlineStr">
        <is>
          <t>Contribution to Category Growth (2024)</t>
        </is>
      </c>
      <c r="B31" t="inlineStr">
        <is>
          <t>30%</t>
        </is>
      </c>
    </row>
    <row r="32">
      <c r="A32" t="inlineStr">
        <is>
          <t>Sugar-Free Share of Category (2024)</t>
        </is>
      </c>
      <c r="B32" t="inlineStr">
        <is>
          <t>&gt;50%</t>
        </is>
      </c>
    </row>
    <row r="33">
      <c r="A33" t="inlineStr">
        <is>
          <t>Energy Category Size (2024)</t>
        </is>
      </c>
      <c r="B33" t="inlineStr">
        <is>
          <t>~$90B</t>
        </is>
      </c>
    </row>
    <row r="35">
      <c r="A35" t="inlineStr">
        <is>
          <t>Balance Sheet / Other</t>
        </is>
      </c>
      <c r="B35" t="inlineStr">
        <is>
          <t>Value</t>
        </is>
      </c>
    </row>
    <row r="36">
      <c r="A36" t="inlineStr">
        <is>
          <t>Cash Balance</t>
        </is>
      </c>
      <c r="B36" t="inlineStr">
        <is>
          <t>~$890M</t>
        </is>
      </c>
    </row>
    <row r="37">
      <c r="A37" t="inlineStr">
        <is>
          <t>Pepsi Inventory Change Impact (Q4)</t>
        </is>
      </c>
      <c r="B37" t="inlineStr">
        <is>
          <t>$8M-$10M</t>
        </is>
      </c>
    </row>
    <row r="39">
      <c r="A39" t="inlineStr">
        <is>
          <t>Alani Nu Acquisition</t>
        </is>
      </c>
      <c r="B39" t="inlineStr">
        <is>
          <t>Value</t>
        </is>
      </c>
    </row>
    <row r="40">
      <c r="A40" t="inlineStr">
        <is>
          <t>Acquisition Price</t>
        </is>
      </c>
      <c r="B40" t="inlineStr">
        <is>
          <t>$1.8B (cash + stock)</t>
        </is>
      </c>
    </row>
    <row r="41">
      <c r="A41" t="inlineStr">
        <is>
          <t>Funding - Cash + Earn-out + Restricted Stock</t>
        </is>
      </c>
      <c r="B41" t="inlineStr">
        <is>
          <t>$1.275B cash + $25M earn-out + $500M stock</t>
        </is>
      </c>
    </row>
    <row r="42">
      <c r="A42" t="inlineStr">
        <is>
          <t>Financing</t>
        </is>
      </c>
      <c r="B42" t="inlineStr">
        <is>
          <t>$900M committed debt + ~$375M cash on hand</t>
        </is>
      </c>
    </row>
    <row r="43">
      <c r="A43" t="inlineStr">
        <is>
          <t>Pro-Forma Ownership (Alani Nu sellers)</t>
        </is>
      </c>
      <c r="B43" t="inlineStr">
        <is>
          <t>~8.6%</t>
        </is>
      </c>
    </row>
    <row r="44">
      <c r="A44" t="inlineStr">
        <is>
          <t>Alani Nu 2024 Revenue</t>
        </is>
      </c>
      <c r="B44" t="inlineStr">
        <is>
          <t>$595M</t>
        </is>
      </c>
    </row>
    <row r="45">
      <c r="A45" t="inlineStr">
        <is>
          <t>Alani Nu 2024 Fully Synergized Adj. EBITDA</t>
        </is>
      </c>
      <c r="B45" t="inlineStr">
        <is>
          <t>$137M</t>
        </is>
      </c>
    </row>
    <row r="46">
      <c r="A46" t="inlineStr">
        <is>
          <t>Valuation Multiple</t>
        </is>
      </c>
      <c r="B46" t="inlineStr">
        <is>
          <t>&lt;3x 2024 revenue; ~12x synergized EBITDA</t>
        </is>
      </c>
    </row>
    <row r="47">
      <c r="A47" t="inlineStr">
        <is>
          <t>Run-Rate Cost Synergies</t>
        </is>
      </c>
      <c r="B47" t="inlineStr">
        <is>
          <t>$50M over 2 years post-close</t>
        </is>
      </c>
    </row>
    <row r="48">
      <c r="A48" t="inlineStr">
        <is>
          <t>Pro-Forma Combined Sales (2024)</t>
        </is>
      </c>
      <c r="B48" t="inlineStr">
        <is>
          <t>~$2B</t>
        </is>
      </c>
    </row>
    <row r="49">
      <c r="A49" t="inlineStr">
        <is>
          <t>Combined Energy Category Share</t>
        </is>
      </c>
      <c r="B49" t="inlineStr">
        <is>
          <t>~16%</t>
        </is>
      </c>
    </row>
    <row r="50">
      <c r="A50" t="inlineStr">
        <is>
          <t>Alani Nu Female Social Media Following</t>
        </is>
      </c>
      <c r="B50" t="inlineStr">
        <is>
          <t>~92%</t>
        </is>
      </c>
    </row>
    <row r="51">
      <c r="A51" t="inlineStr">
        <is>
          <t>Alani Nu Life-Cycle Position</t>
        </is>
      </c>
      <c r="B51" t="inlineStr">
        <is>
          <t>18-24 months behind Celsius</t>
        </is>
      </c>
    </row>
    <row r="53">
      <c r="A53" t="inlineStr">
        <is>
          <t>Guidance / Forward</t>
        </is>
      </c>
      <c r="B53" t="inlineStr">
        <is>
          <t>Value</t>
        </is>
      </c>
      <c r="C53" t="inlineStr">
        <is>
          <t>Period</t>
        </is>
      </c>
    </row>
    <row r="54">
      <c r="A54" t="inlineStr">
        <is>
          <t>Energy Category Growth</t>
        </is>
      </c>
      <c r="B54" t="inlineStr">
        <is>
          <t>10% CAGR</t>
        </is>
      </c>
      <c r="C54" t="inlineStr">
        <is>
          <t>2024-2029</t>
        </is>
      </c>
    </row>
    <row r="55">
      <c r="A55" t="inlineStr">
        <is>
          <t>Alani Nu Acquisition Close</t>
        </is>
      </c>
      <c r="B55" t="inlineStr">
        <is>
          <t>Q2 2025</t>
        </is>
      </c>
      <c r="C55" t="inlineStr">
        <is>
          <t>Q2 2025</t>
        </is>
      </c>
    </row>
    <row r="56">
      <c r="A56" t="inlineStr">
        <is>
          <t>Cash EPS Accretion</t>
        </is>
      </c>
      <c r="B56" t="inlineStr">
        <is>
          <t>Accretive in year one</t>
        </is>
      </c>
      <c r="C56" t="inlineStr">
        <is>
          <t>Year 1 post-close</t>
        </is>
      </c>
    </row>
    <row r="57">
      <c r="A57" t="inlineStr">
        <is>
          <t>Pro-Forma Net Leverage</t>
        </is>
      </c>
      <c r="B57" t="inlineStr">
        <is>
          <t>~1x</t>
        </is>
      </c>
      <c r="C57" t="inlineStr">
        <is>
          <t>Post-close</t>
        </is>
      </c>
    </row>
    <row r="58">
      <c r="A58" t="inlineStr">
        <is>
          <t>Celsius Distribution Expansion (retail sets)</t>
        </is>
      </c>
      <c r="B58" t="inlineStr">
        <is>
          <t>~15%-20%</t>
        </is>
      </c>
      <c r="C58" t="inlineStr">
        <is>
          <t>Spring 2025 resets</t>
        </is>
      </c>
    </row>
    <row r="59">
      <c r="A59" t="inlineStr">
        <is>
          <t>Alani Nu Distribution Gains</t>
        </is>
      </c>
      <c r="B59" t="inlineStr">
        <is>
          <t>Pretty sizable, esp. convenience</t>
        </is>
      </c>
      <c r="C59" t="inlineStr">
        <is>
          <t>Spring 2025 resets</t>
        </is>
      </c>
    </row>
    <row r="60">
      <c r="A60" t="inlineStr">
        <is>
          <t>Subway Distribution Opportunity</t>
        </is>
      </c>
      <c r="B60" t="inlineStr">
        <is>
          <t>18,000 locations</t>
        </is>
      </c>
      <c r="C60" t="inlineStr">
        <is>
          <t>Starting Mar 2025</t>
        </is>
      </c>
    </row>
    <row r="61">
      <c r="A61" t="inlineStr">
        <is>
          <t>Full-Year Gross Margin</t>
        </is>
      </c>
      <c r="B61" t="inlineStr">
        <is>
          <t>~50% (potentially high 40s with tariffs)</t>
        </is>
      </c>
      <c r="C61" t="inlineStr">
        <is>
          <t>FY2025</t>
        </is>
      </c>
    </row>
    <row r="63">
      <c r="A63" s="25" t="inlineStr">
        <is>
          <t>QUALITATIVE TAKEAWAYS</t>
        </is>
      </c>
      <c r="B63" s="25" t="n"/>
      <c r="C63" s="25" t="n"/>
      <c r="D63" s="25"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8">
      <c r="A88" s="25" t="inlineStr">
        <is>
          <t>Q&amp;A SUMMARY</t>
        </is>
      </c>
      <c r="B88" s="25" t="n"/>
      <c r="C88" s="25" t="n"/>
      <c r="D88" s="25"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Conference</t>
        </is>
      </c>
    </row>
    <row r="2">
      <c r="A2" s="24" t="inlineStr">
        <is>
          <t>Date</t>
        </is>
      </c>
      <c r="B2" t="inlineStr">
        <is>
          <t>2024-12-03</t>
        </is>
      </c>
    </row>
    <row r="4">
      <c r="A4" s="25" t="inlineStr">
        <is>
          <t>QUANTITATIVE</t>
        </is>
      </c>
      <c r="B4" s="25" t="n"/>
      <c r="C4" s="25"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4">
      <c r="A34" s="25" t="inlineStr">
        <is>
          <t>QUALITATIVE TAKEAWAYS</t>
        </is>
      </c>
      <c r="B34" s="25" t="n"/>
      <c r="C34" s="25"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1">
      <c r="A51" s="25" t="inlineStr">
        <is>
          <t>Q&amp;A SUMMARY</t>
        </is>
      </c>
      <c r="B51" s="25" t="n"/>
      <c r="C51" s="25"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2024 Earnings Call</t>
        </is>
      </c>
    </row>
    <row r="2">
      <c r="A2" s="24" t="inlineStr">
        <is>
          <t>Date</t>
        </is>
      </c>
      <c r="B2" t="inlineStr">
        <is>
          <t>2024-11-06</t>
        </is>
      </c>
    </row>
    <row r="4">
      <c r="A4" s="25" t="inlineStr">
        <is>
          <t>QUANTITATIVE</t>
        </is>
      </c>
      <c r="B4" s="25" t="n"/>
      <c r="C4" s="25" t="n"/>
      <c r="D4" s="25"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9">
      <c r="A29" t="inlineStr">
        <is>
          <t>Balance Sheet</t>
        </is>
      </c>
      <c r="B29" t="inlineStr">
        <is>
          <t>2024Q3</t>
        </is>
      </c>
    </row>
    <row r="30">
      <c r="A30" t="inlineStr">
        <is>
          <t>Cash balance</t>
        </is>
      </c>
      <c r="B30" t="inlineStr">
        <is>
          <t>above $900M</t>
        </is>
      </c>
    </row>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row>
    <row r="40">
      <c r="A40" t="inlineStr">
        <is>
          <t>Celsius contribution to category growth</t>
        </is>
      </c>
      <c r="B40" t="inlineStr">
        <is>
          <t>&gt;16% of all growth</t>
        </is>
      </c>
      <c r="C40" t="inlineStr">
        <is>
          <t>2024Q3</t>
        </is>
      </c>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row>
    <row r="43">
      <c r="A43" t="inlineStr">
        <is>
          <t>Foodservice share of NA PepsiCo sales</t>
        </is>
      </c>
      <c r="B43" t="inlineStr">
        <is>
          <t>~12.3%</t>
        </is>
      </c>
      <c r="C43" t="inlineStr">
        <is>
          <t>2024Q3</t>
        </is>
      </c>
    </row>
    <row r="44">
      <c r="A44" t="inlineStr">
        <is>
          <t>Lodging points of distribution growth</t>
        </is>
      </c>
      <c r="B44" t="inlineStr">
        <is>
          <t>+46%</t>
        </is>
      </c>
      <c r="C44" t="inlineStr">
        <is>
          <t>2024Q3</t>
        </is>
      </c>
    </row>
    <row r="45">
      <c r="A45" t="inlineStr">
        <is>
          <t>Restaurant points of distribution growth</t>
        </is>
      </c>
      <c r="B45" t="inlineStr">
        <is>
          <t>+27%</t>
        </is>
      </c>
      <c r="C45" t="inlineStr">
        <is>
          <t>2024Q3</t>
        </is>
      </c>
    </row>
    <row r="46">
      <c r="A46" t="inlineStr">
        <is>
          <t>Sugar-free as % of category</t>
        </is>
      </c>
      <c r="B46" t="inlineStr">
        <is>
          <t>&gt;50%</t>
        </is>
      </c>
      <c r="C46" t="inlineStr">
        <is>
          <t>2024Q3</t>
        </is>
      </c>
      <c r="D46" t="inlineStr">
        <is>
          <t>first time</t>
        </is>
      </c>
    </row>
    <row r="48">
      <c r="A48" t="inlineStr">
        <is>
          <t>Guidance</t>
        </is>
      </c>
      <c r="B48" t="inlineStr">
        <is>
          <t>Value/Range</t>
        </is>
      </c>
      <c r="C48" t="inlineStr">
        <is>
          <t>Period</t>
        </is>
      </c>
    </row>
    <row r="49">
      <c r="A49" t="inlineStr">
        <is>
          <t>Q4 inventory impact</t>
        </is>
      </c>
      <c r="B49" t="inlineStr">
        <is>
          <t>Slight positive benefit up to ~$15M of pressure</t>
        </is>
      </c>
      <c r="C49" t="inlineStr">
        <is>
          <t>2024Q4</t>
        </is>
      </c>
    </row>
    <row r="50">
      <c r="A50" t="inlineStr">
        <is>
          <t>Sell-in / sell-through alignment</t>
        </is>
      </c>
      <c r="B50" t="inlineStr">
        <is>
          <t>Expected before Q4 ends</t>
        </is>
      </c>
      <c r="C50" t="inlineStr">
        <is>
          <t>2024Q4</t>
        </is>
      </c>
    </row>
    <row r="51">
      <c r="A51" t="inlineStr">
        <is>
          <t>Q4 North America modeling</t>
        </is>
      </c>
      <c r="B51" t="inlineStr">
        <is>
          <t>Low-to-mid single-digit scanner data minus ~$15M conservative inventory assumption</t>
        </is>
      </c>
      <c r="C51" t="inlineStr">
        <is>
          <t>2024Q4</t>
        </is>
      </c>
    </row>
    <row r="52">
      <c r="A52" t="inlineStr">
        <is>
          <t>Formal forward guidance</t>
        </is>
      </c>
      <c r="B52" t="inlineStr">
        <is>
          <t>Not providing forward guidance</t>
        </is>
      </c>
      <c r="C52" t="inlineStr">
        <is>
          <t>n/a</t>
        </is>
      </c>
    </row>
    <row r="54">
      <c r="A54" s="25" t="inlineStr">
        <is>
          <t>QUALITATIVE TAKEAWAYS</t>
        </is>
      </c>
      <c r="B54" s="25" t="n"/>
      <c r="C54" s="25" t="n"/>
      <c r="D54" s="25"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1">
      <c r="A71" s="25" t="inlineStr">
        <is>
          <t>Q&amp;A SUMMARY</t>
        </is>
      </c>
      <c r="B71" s="25" t="n"/>
      <c r="C71" s="25" t="n"/>
      <c r="D71" s="25"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Conference</t>
        </is>
      </c>
    </row>
    <row r="2">
      <c r="A2" s="24" t="inlineStr">
        <is>
          <t>Date</t>
        </is>
      </c>
      <c r="B2" t="inlineStr">
        <is>
          <t>2024-09-10</t>
        </is>
      </c>
    </row>
    <row r="4">
      <c r="A4" s="25" t="inlineStr">
        <is>
          <t>QUANTITATIVE</t>
        </is>
      </c>
      <c r="B4" s="25" t="n"/>
      <c r="C4" s="25"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40">
      <c r="A40" s="25" t="inlineStr">
        <is>
          <t>QUALITATIVE TAKEAWAYS</t>
        </is>
      </c>
      <c r="B40" s="25" t="n"/>
      <c r="C40" s="25"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7">
      <c r="A57" s="25" t="inlineStr">
        <is>
          <t>Q&amp;A SUMMARY</t>
        </is>
      </c>
      <c r="B57" s="25" t="n"/>
      <c r="C57" s="25"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Annual Global Consumer Staples Conference</t>
        </is>
      </c>
    </row>
    <row r="2">
      <c r="A2" s="24" t="inlineStr">
        <is>
          <t>Date</t>
        </is>
      </c>
      <c r="B2" t="inlineStr">
        <is>
          <t>2024-09-04</t>
        </is>
      </c>
    </row>
    <row r="4">
      <c r="A4" s="25" t="inlineStr">
        <is>
          <t>QUANTITATIVE</t>
        </is>
      </c>
      <c r="B4" s="25" t="n"/>
      <c r="C4" s="25"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3">
      <c r="A43" s="25" t="inlineStr">
        <is>
          <t>QUALITATIVE TAKEAWAYS</t>
        </is>
      </c>
      <c r="B43" s="25" t="n"/>
      <c r="C43" s="25"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8">
      <c r="A58" s="25" t="inlineStr">
        <is>
          <t>Q&amp;A SUMMARY</t>
        </is>
      </c>
      <c r="B58" s="25" t="n"/>
      <c r="C58" s="25"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2024 Earnings Call</t>
        </is>
      </c>
    </row>
    <row r="2">
      <c r="A2" s="24" t="inlineStr">
        <is>
          <t>Date</t>
        </is>
      </c>
      <c r="B2" t="inlineStr">
        <is>
          <t>2024-08-06</t>
        </is>
      </c>
    </row>
    <row r="4">
      <c r="A4" s="25" t="inlineStr">
        <is>
          <t>QUANTITATIVE</t>
        </is>
      </c>
      <c r="B4" s="25" t="n"/>
      <c r="C4" s="25" t="n"/>
      <c r="D4" s="25"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40">
      <c r="A40" t="inlineStr">
        <is>
          <t>Balance Sheet</t>
        </is>
      </c>
      <c r="B40" t="inlineStr">
        <is>
          <t>2024Q2</t>
        </is>
      </c>
    </row>
    <row r="41">
      <c r="A41" t="inlineStr">
        <is>
          <t>Cash on hand</t>
        </is>
      </c>
      <c r="B41" t="inlineStr">
        <is>
          <t>~$903M</t>
        </is>
      </c>
    </row>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3">
      <c r="A63" t="inlineStr">
        <is>
          <t>Distributor Inventory Drag</t>
        </is>
      </c>
      <c r="B63" t="inlineStr">
        <is>
          <t>Value</t>
        </is>
      </c>
      <c r="C63" t="inlineStr">
        <is>
          <t>Period</t>
        </is>
      </c>
    </row>
    <row r="64">
      <c r="A64" t="inlineStr">
        <is>
          <t>Q2 distributor days-on-hand headwind</t>
        </is>
      </c>
      <c r="B64" t="inlineStr">
        <is>
          <t>~$20M-$25M (low end of $20-30M)</t>
        </is>
      </c>
      <c r="C64" t="inlineStr">
        <is>
          <t>2024Q2</t>
        </is>
      </c>
    </row>
    <row r="65">
      <c r="A65" t="inlineStr">
        <is>
          <t>Carryover continuing YoY drag</t>
        </is>
      </c>
      <c r="B65" t="inlineStr">
        <is>
          <t>~$20M (uncommitted)</t>
        </is>
      </c>
      <c r="C65" t="inlineStr">
        <is>
          <t>2024 Q3 &amp; Q4</t>
        </is>
      </c>
    </row>
    <row r="67">
      <c r="A67" t="inlineStr">
        <is>
          <t>Guidance</t>
        </is>
      </c>
      <c r="B67" t="inlineStr">
        <is>
          <t>Value/Range</t>
        </is>
      </c>
      <c r="C67" t="inlineStr">
        <is>
          <t>Period</t>
        </is>
      </c>
    </row>
    <row r="68">
      <c r="A68" t="inlineStr">
        <is>
          <t>Back-half gross margin</t>
        </is>
      </c>
      <c r="B68" t="inlineStr">
        <is>
          <t>High 40s to 50%</t>
        </is>
      </c>
      <c r="C68" t="inlineStr">
        <is>
          <t>2024 H2</t>
        </is>
      </c>
    </row>
    <row r="69">
      <c r="A69" t="inlineStr">
        <is>
          <t>Q3 sales &amp; marketing spend</t>
        </is>
      </c>
      <c r="B69" t="inlineStr">
        <is>
          <t>Above high end of 20-23% range</t>
        </is>
      </c>
      <c r="C69" t="inlineStr">
        <is>
          <t>2024Q3</t>
        </is>
      </c>
    </row>
    <row r="70">
      <c r="A70" t="inlineStr">
        <is>
          <t>2025 pricing</t>
        </is>
      </c>
      <c r="B70" t="inlineStr">
        <is>
          <t>Room for further pricing; benefits 2025</t>
        </is>
      </c>
      <c r="C70" t="inlineStr">
        <is>
          <t>2025</t>
        </is>
      </c>
    </row>
    <row r="72">
      <c r="A72" s="25" t="inlineStr">
        <is>
          <t>QUALITATIVE TAKEAWAYS</t>
        </is>
      </c>
      <c r="B72" s="25" t="n"/>
      <c r="C72" s="25" t="n"/>
      <c r="D72" s="25"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6">
      <c r="A86" s="25" t="inlineStr">
        <is>
          <t>Q&amp;A SUMMARY</t>
        </is>
      </c>
      <c r="B86" s="25" t="n"/>
      <c r="C86" s="25" t="n"/>
      <c r="D86" s="25"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4th Annual Evercore ISI Consumer and Retail Conference</t>
        </is>
      </c>
    </row>
    <row r="2">
      <c r="A2" s="24" t="inlineStr">
        <is>
          <t>Date</t>
        </is>
      </c>
      <c r="B2" t="inlineStr">
        <is>
          <t>2024-06-11</t>
        </is>
      </c>
    </row>
    <row r="4">
      <c r="A4" s="25" t="inlineStr">
        <is>
          <t>QUANTITATIVE</t>
        </is>
      </c>
      <c r="B4" s="25" t="n"/>
      <c r="C4" s="25" t="n"/>
    </row>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8">
      <c r="A28" s="25" t="inlineStr">
        <is>
          <t>QUALITATIVE TAKEAWAYS</t>
        </is>
      </c>
      <c r="B28" s="25" t="n"/>
      <c r="C28" s="25"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2">
      <c r="A42" s="25" t="inlineStr">
        <is>
          <t>Q&amp;A SUMMARY</t>
        </is>
      </c>
      <c r="B42" s="25" t="n"/>
      <c r="C42" s="25"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44th Annual Growth Stock Conference</t>
        </is>
      </c>
    </row>
    <row r="2">
      <c r="A2" s="24" t="inlineStr">
        <is>
          <t>Date</t>
        </is>
      </c>
      <c r="B2" t="inlineStr">
        <is>
          <t>2024-06-04</t>
        </is>
      </c>
    </row>
    <row r="4">
      <c r="A4" s="25" t="inlineStr">
        <is>
          <t>QUANTITATIVE</t>
        </is>
      </c>
      <c r="B4" s="25" t="n"/>
      <c r="C4" s="25" t="n"/>
    </row>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7">
      <c r="A37" s="25" t="inlineStr">
        <is>
          <t>QUALITATIVE TAKEAWAYS</t>
        </is>
      </c>
      <c r="B37" s="25" t="n"/>
      <c r="C37" s="25"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1">
      <c r="A51" s="25" t="inlineStr">
        <is>
          <t>Q&amp;A SUMMARY</t>
        </is>
      </c>
      <c r="B51" s="25" t="n"/>
      <c r="C51" s="25"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2024-05-14</t>
        </is>
      </c>
    </row>
    <row r="4">
      <c r="A4" s="25" t="inlineStr">
        <is>
          <t>QUANTITATIVE</t>
        </is>
      </c>
      <c r="B4" s="25" t="n"/>
      <c r="C4" s="25" t="n"/>
    </row>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5">
      <c r="A35" s="25" t="inlineStr">
        <is>
          <t>QUALITATIVE TAKEAWAYS</t>
        </is>
      </c>
      <c r="B35" s="25" t="n"/>
      <c r="C35" s="25"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9">
      <c r="A49" s="25" t="inlineStr">
        <is>
          <t>Q&amp;A SUMMARY</t>
        </is>
      </c>
      <c r="B49" s="25" t="n"/>
      <c r="C49" s="25"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2024 Earnings Call</t>
        </is>
      </c>
    </row>
    <row r="2">
      <c r="A2" s="24" t="inlineStr">
        <is>
          <t>Date</t>
        </is>
      </c>
      <c r="B2" t="inlineStr">
        <is>
          <t>2024-05-07</t>
        </is>
      </c>
    </row>
    <row r="4">
      <c r="A4" s="25" t="inlineStr">
        <is>
          <t>QUANTITATIVE</t>
        </is>
      </c>
      <c r="B4" s="25" t="n"/>
      <c r="C4" s="25" t="n"/>
      <c r="D4" s="25" t="n"/>
    </row>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3">
      <c r="A53" s="25" t="inlineStr">
        <is>
          <t>QUALITATIVE TAKEAWAYS</t>
        </is>
      </c>
      <c r="B53" s="25" t="n"/>
      <c r="C53" s="25" t="n"/>
      <c r="D53" s="25"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7">
      <c r="A67" s="25" t="inlineStr">
        <is>
          <t>Q&amp;A SUMMARY</t>
        </is>
      </c>
      <c r="B67" s="25" t="n"/>
      <c r="C67" s="25" t="n"/>
      <c r="D67" s="25"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 2024</t>
        </is>
      </c>
    </row>
    <row r="2">
      <c r="A2" s="24" t="inlineStr">
        <is>
          <t>Date</t>
        </is>
      </c>
      <c r="B2" t="inlineStr">
        <is>
          <t>2024-03-14</t>
        </is>
      </c>
    </row>
    <row r="4">
      <c r="A4" s="25" t="inlineStr">
        <is>
          <t>QUANTITATIVE</t>
        </is>
      </c>
      <c r="B4" s="25" t="n"/>
      <c r="C4" s="25" t="n"/>
    </row>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5">
      <c r="A35" s="25" t="inlineStr">
        <is>
          <t>QUALITATIVE TAKEAWAYS</t>
        </is>
      </c>
      <c r="B35" s="25" t="n"/>
      <c r="C35" s="25"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2">
      <c r="A52" s="25" t="inlineStr">
        <is>
          <t>Q&amp;A SUMMARY</t>
        </is>
      </c>
      <c r="B52" s="25" t="n"/>
      <c r="C52" s="25"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Q4 2023 Earnings Call</t>
        </is>
      </c>
    </row>
    <row r="2">
      <c r="A2" s="24" t="inlineStr">
        <is>
          <t>Date</t>
        </is>
      </c>
      <c r="B2" t="inlineStr">
        <is>
          <t>2024-02-29</t>
        </is>
      </c>
    </row>
    <row r="4">
      <c r="A4" s="25" t="inlineStr">
        <is>
          <t>QUANTITATIVE</t>
        </is>
      </c>
      <c r="B4" s="25" t="n"/>
      <c r="C4" s="25" t="n"/>
      <c r="D4" s="25" t="n"/>
    </row>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8">
      <c r="A58" s="25" t="inlineStr">
        <is>
          <t>QUALITATIVE TAKEAWAYS</t>
        </is>
      </c>
      <c r="B58" s="25" t="n"/>
      <c r="C58" s="25" t="n"/>
      <c r="D58" s="25"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4">
      <c r="A74" s="25" t="inlineStr">
        <is>
          <t>Q&amp;A SUMMARY</t>
        </is>
      </c>
      <c r="B74" s="25" t="n"/>
      <c r="C74" s="25" t="n"/>
      <c r="D74" s="25"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t>
        </is>
      </c>
    </row>
    <row r="2">
      <c r="A2" s="24" t="inlineStr">
        <is>
          <t>Date</t>
        </is>
      </c>
      <c r="B2" t="inlineStr">
        <is>
          <t>2023-12-06</t>
        </is>
      </c>
    </row>
    <row r="4">
      <c r="A4" s="25" t="inlineStr">
        <is>
          <t>QUANTITATIVE</t>
        </is>
      </c>
      <c r="B4" s="25" t="n"/>
      <c r="C4" s="25" t="n"/>
      <c r="D4" s="25"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row>
    <row r="10">
      <c r="A10" t="inlineStr">
        <is>
          <t>Channel / Foodservice</t>
        </is>
      </c>
      <c r="B10" t="inlineStr">
        <is>
          <t>Value</t>
        </is>
      </c>
      <c r="C10" t="inlineStr">
        <is>
          <t>Prior</t>
        </is>
      </c>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4">
      <c r="A14" t="inlineStr">
        <is>
          <t>Drill-Deep Markets</t>
        </is>
      </c>
      <c r="B14" t="inlineStr">
        <is>
          <t>Count</t>
        </is>
      </c>
    </row>
    <row r="15">
      <c r="A15" t="inlineStr">
        <is>
          <t>Drill-Deep Markets (2020)</t>
        </is>
      </c>
      <c r="B15" t="n">
        <v>6</v>
      </c>
    </row>
    <row r="16">
      <c r="A16" t="inlineStr">
        <is>
          <t>Drill-Deep Markets (2022)</t>
        </is>
      </c>
      <c r="B16" t="n">
        <v>18</v>
      </c>
    </row>
    <row r="17">
      <c r="A17" t="inlineStr">
        <is>
          <t>Drill-Deep Markets (2023)</t>
        </is>
      </c>
      <c r="B17" t="n">
        <v>23</v>
      </c>
    </row>
    <row r="18">
      <c r="A18" t="inlineStr">
        <is>
          <t>Drill-Deep Markets (2024 plan)</t>
        </is>
      </c>
      <c r="B18" t="n">
        <v>30</v>
      </c>
    </row>
    <row r="20">
      <c r="A20" t="inlineStr">
        <is>
          <t>Consumer / Benchmark</t>
        </is>
      </c>
      <c r="B20" t="inlineStr">
        <is>
          <t>Value</t>
        </is>
      </c>
    </row>
    <row r="21">
      <c r="A21" t="inlineStr">
        <is>
          <t>Incremental Growth (% incremental to brand)</t>
        </is>
      </c>
      <c r="B21" t="inlineStr">
        <is>
          <t>75%-80%</t>
        </is>
      </c>
    </row>
    <row r="22">
      <c r="A22" t="inlineStr">
        <is>
          <t>Male/Female Split</t>
        </is>
      </c>
      <c r="B22" t="inlineStr">
        <is>
          <t>50/50</t>
        </is>
      </c>
    </row>
    <row r="23">
      <c r="A23" t="inlineStr">
        <is>
          <t>Monster International Revenue Mix (benchmark)</t>
        </is>
      </c>
      <c r="B23" t="inlineStr">
        <is>
          <t>~35%-37%</t>
        </is>
      </c>
    </row>
    <row r="25">
      <c r="A25" t="inlineStr">
        <is>
          <t>Guidance / Forward</t>
        </is>
      </c>
      <c r="B25" t="inlineStr">
        <is>
          <t>Value</t>
        </is>
      </c>
      <c r="C25" t="inlineStr">
        <is>
          <t>Period</t>
        </is>
      </c>
    </row>
    <row r="26">
      <c r="A26" t="inlineStr">
        <is>
          <t>Spring Resets Timing</t>
        </is>
      </c>
      <c r="B26" t="inlineStr">
        <is>
          <t>January through May</t>
        </is>
      </c>
      <c r="C26" t="inlineStr">
        <is>
          <t>2024</t>
        </is>
      </c>
    </row>
    <row r="27">
      <c r="A27" t="inlineStr">
        <is>
          <t>Drill-Deep Markets</t>
        </is>
      </c>
      <c r="B27" t="inlineStr">
        <is>
          <t>30 markets</t>
        </is>
      </c>
      <c r="C27" t="inlineStr">
        <is>
          <t>FY2024</t>
        </is>
      </c>
    </row>
    <row r="28">
      <c r="A28" t="inlineStr">
        <is>
          <t>ESSENTIALS Line</t>
        </is>
      </c>
      <c r="B28" t="inlineStr">
        <is>
          <t>4 SKUs (adding a fifth), nationwide</t>
        </is>
      </c>
      <c r="C28" t="inlineStr">
        <is>
          <t>Jan 2024</t>
        </is>
      </c>
    </row>
    <row r="29">
      <c r="A29" t="inlineStr">
        <is>
          <t>International Rollout</t>
        </is>
      </c>
      <c r="B29" t="inlineStr">
        <is>
          <t>Handful of markets in 2024; sizable rollout over 3-5 yrs</t>
        </is>
      </c>
      <c r="C29" t="inlineStr">
        <is>
          <t>2024-2028</t>
        </is>
      </c>
    </row>
    <row r="30">
      <c r="A30" t="inlineStr">
        <is>
          <t>2024 Gross Margin</t>
        </is>
      </c>
      <c r="B30" t="inlineStr">
        <is>
          <t>Modest opportunity, no quantified target</t>
        </is>
      </c>
      <c r="C30" t="inlineStr">
        <is>
          <t>FY2024</t>
        </is>
      </c>
    </row>
    <row r="31">
      <c r="A31" t="inlineStr">
        <is>
          <t>Long-Term Gross Margin Goal</t>
        </is>
      </c>
      <c r="B31" t="inlineStr">
        <is>
          <t>Monster-like (takes time)</t>
        </is>
      </c>
      <c r="C31" t="inlineStr">
        <is>
          <t>Long-term</t>
        </is>
      </c>
    </row>
    <row r="33">
      <c r="A33" s="25" t="inlineStr">
        <is>
          <t>QUALITATIVE TAKEAWAYS</t>
        </is>
      </c>
      <c r="B33" s="25" t="n"/>
      <c r="C33" s="25" t="n"/>
      <c r="D33" s="25"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7">
      <c r="A57" s="25" t="inlineStr">
        <is>
          <t>Q&amp;A SUMMARY</t>
        </is>
      </c>
      <c r="B57" s="25" t="n"/>
      <c r="C57" s="25" t="n"/>
      <c r="D57" s="25"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Stephens Annual Investment Conference</t>
        </is>
      </c>
    </row>
    <row r="2">
      <c r="A2" s="24" t="inlineStr">
        <is>
          <t>Date</t>
        </is>
      </c>
      <c r="B2" t="inlineStr">
        <is>
          <t>2023-11-15</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1">
      <c r="A11" t="inlineStr">
        <is>
          <t>Market Share / Consumption</t>
        </is>
      </c>
      <c r="B11" t="inlineStr">
        <is>
          <t>Value</t>
        </is>
      </c>
      <c r="C11" t="inlineStr">
        <is>
          <t>Prior</t>
        </is>
      </c>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row>
    <row r="15">
      <c r="A15" t="inlineStr">
        <is>
          <t>User Intensification Consumption</t>
        </is>
      </c>
      <c r="B15" t="inlineStr">
        <is>
          <t>~40%</t>
        </is>
      </c>
      <c r="C15" t="inlineStr">
        <is>
          <t>n/a</t>
        </is>
      </c>
    </row>
    <row r="16">
      <c r="A16" t="inlineStr">
        <is>
          <t>Incremental Consumption Mix</t>
        </is>
      </c>
      <c r="B16" t="inlineStr">
        <is>
          <t>Over 80%</t>
        </is>
      </c>
      <c r="C16" t="inlineStr">
        <is>
          <t>n/a</t>
        </is>
      </c>
    </row>
    <row r="18">
      <c r="A18" t="inlineStr">
        <is>
          <t>Profitability (Q3 2023)</t>
        </is>
      </c>
      <c r="B18" t="inlineStr">
        <is>
          <t>Value</t>
        </is>
      </c>
      <c r="C18" t="inlineStr">
        <is>
          <t>Target</t>
        </is>
      </c>
    </row>
    <row r="19">
      <c r="A19" t="inlineStr">
        <is>
          <t>Gross Margin (Q3 2023)</t>
        </is>
      </c>
      <c r="B19" t="inlineStr">
        <is>
          <t>Just over 50% (~49% normalized)</t>
        </is>
      </c>
      <c r="C19" t="inlineStr">
        <is>
          <t>~55% aspirational</t>
        </is>
      </c>
    </row>
    <row r="20">
      <c r="A20" t="inlineStr">
        <is>
          <t>EBITDA Margin (Q3 2023)</t>
        </is>
      </c>
      <c r="B20" t="inlineStr">
        <is>
          <t>~27%</t>
        </is>
      </c>
      <c r="C20" t="inlineStr">
        <is>
          <t>30%-35% target</t>
        </is>
      </c>
    </row>
    <row r="21">
      <c r="A21" t="inlineStr">
        <is>
          <t>Sales &amp; Marketing (% of revenue)</t>
        </is>
      </c>
      <c r="B21" t="inlineStr">
        <is>
          <t>~19-22%</t>
        </is>
      </c>
      <c r="C21" t="inlineStr">
        <is>
          <t>n/a</t>
        </is>
      </c>
    </row>
    <row r="23">
      <c r="A23" t="inlineStr">
        <is>
          <t>Operations / Balance Sheet</t>
        </is>
      </c>
      <c r="B23" t="inlineStr">
        <is>
          <t>Value</t>
        </is>
      </c>
    </row>
    <row r="24">
      <c r="A24" t="inlineStr">
        <is>
          <t>Co-Packers</t>
        </is>
      </c>
      <c r="B24" t="inlineStr">
        <is>
          <t>~13 (6-7 predominant)</t>
        </is>
      </c>
    </row>
    <row r="25">
      <c r="A25" t="inlineStr">
        <is>
          <t>Cans Sold (FY2023 est.)</t>
        </is>
      </c>
      <c r="B25" t="inlineStr">
        <is>
          <t>~2 billion</t>
        </is>
      </c>
    </row>
    <row r="26">
      <c r="A26" t="inlineStr">
        <is>
          <t>Branded Coolers Placed (2023 goal)</t>
        </is>
      </c>
      <c r="B26" t="inlineStr">
        <is>
          <t>~20,000</t>
        </is>
      </c>
    </row>
    <row r="27">
      <c r="A27" t="inlineStr">
        <is>
          <t>Cash Balance</t>
        </is>
      </c>
      <c r="B27" t="inlineStr">
        <is>
          <t>~$750M</t>
        </is>
      </c>
    </row>
    <row r="28">
      <c r="A28" t="inlineStr">
        <is>
          <t>Untracked Run Rate (Costco + Amazon)</t>
        </is>
      </c>
      <c r="B28" t="inlineStr">
        <is>
          <t>~$250M (~$500M retail)</t>
        </is>
      </c>
    </row>
    <row r="29">
      <c r="A29" t="inlineStr">
        <is>
          <t>PepsiCo Ownership Stake</t>
        </is>
      </c>
      <c r="B29" t="inlineStr">
        <is>
          <t>8.5%</t>
        </is>
      </c>
    </row>
    <row r="30">
      <c r="A30" t="inlineStr">
        <is>
          <t>Promotional Weeks/Year (category)</t>
        </is>
      </c>
      <c r="B30" t="inlineStr">
        <is>
          <t>~25 weeks</t>
        </is>
      </c>
    </row>
    <row r="31">
      <c r="A31" t="inlineStr">
        <is>
          <t>Monster International Revenue Mix (benchmark)</t>
        </is>
      </c>
      <c r="B31" t="inlineStr">
        <is>
          <t>~37%</t>
        </is>
      </c>
    </row>
    <row r="33">
      <c r="A33" t="inlineStr">
        <is>
          <t>Guidance</t>
        </is>
      </c>
      <c r="B33" t="inlineStr">
        <is>
          <t>Value</t>
        </is>
      </c>
      <c r="C33" t="inlineStr">
        <is>
          <t>Period</t>
        </is>
      </c>
    </row>
    <row r="34">
      <c r="A34" t="inlineStr">
        <is>
          <t>Drill-Deep Market Expansion</t>
        </is>
      </c>
      <c r="B34" t="inlineStr">
        <is>
          <t>30 markets</t>
        </is>
      </c>
      <c r="C34" t="inlineStr">
        <is>
          <t>FY2024</t>
        </is>
      </c>
    </row>
    <row r="35">
      <c r="A35" t="inlineStr">
        <is>
          <t>Gross Margin Baseline</t>
        </is>
      </c>
      <c r="B35" t="inlineStr">
        <is>
          <t>Q2 2023 profile (~49% normalized)</t>
        </is>
      </c>
      <c r="C35" t="inlineStr">
        <is>
          <t>Near-term</t>
        </is>
      </c>
    </row>
    <row r="36">
      <c r="A36" t="inlineStr">
        <is>
          <t>Gross Margin Aspiration</t>
        </is>
      </c>
      <c r="B36" t="inlineStr">
        <is>
          <t>~55%</t>
        </is>
      </c>
      <c r="C36" t="inlineStr">
        <is>
          <t>Long-term</t>
        </is>
      </c>
    </row>
    <row r="37">
      <c r="A37" t="inlineStr">
        <is>
          <t>EBITDA Margin Target</t>
        </is>
      </c>
      <c r="B37" t="inlineStr">
        <is>
          <t>30%-35%</t>
        </is>
      </c>
      <c r="C37" t="inlineStr">
        <is>
          <t>Forward</t>
        </is>
      </c>
    </row>
    <row r="38">
      <c r="A38" t="inlineStr">
        <is>
          <t>Canada Market Entry</t>
        </is>
      </c>
      <c r="B38" t="inlineStr">
        <is>
          <t>Q1 2024 with Pepsi Canada</t>
        </is>
      </c>
      <c r="C38" t="inlineStr">
        <is>
          <t>Q1 2024</t>
        </is>
      </c>
    </row>
    <row r="39">
      <c r="A39" t="inlineStr">
        <is>
          <t>Essentials 16oz National Rollout</t>
        </is>
      </c>
      <c r="B39" t="inlineStr">
        <is>
          <t>January 2024</t>
        </is>
      </c>
      <c r="C39" t="inlineStr">
        <is>
          <t>Jan 2024</t>
        </is>
      </c>
    </row>
    <row r="40">
      <c r="A40" t="inlineStr">
        <is>
          <t>7-Eleven Green Apple Cherry National Rollout</t>
        </is>
      </c>
      <c r="B40" t="inlineStr">
        <is>
          <t>January 2024</t>
        </is>
      </c>
      <c r="C40" t="inlineStr">
        <is>
          <t>Jan 2024</t>
        </is>
      </c>
    </row>
    <row r="42">
      <c r="A42" s="25" t="inlineStr">
        <is>
          <t>QUALITATIVE TAKEAWAYS</t>
        </is>
      </c>
      <c r="B42" s="25" t="n"/>
      <c r="C42" s="25" t="n"/>
      <c r="D42" s="25"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8">
      <c r="A68" s="25" t="inlineStr">
        <is>
          <t>Q&amp;A SUMMARY</t>
        </is>
      </c>
      <c r="B68" s="25" t="n"/>
      <c r="C68" s="25" t="n"/>
      <c r="D68" s="25"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2023 Earnings Call</t>
        </is>
      </c>
    </row>
    <row r="2">
      <c r="A2" s="24" t="inlineStr">
        <is>
          <t>Date</t>
        </is>
      </c>
      <c r="B2" t="inlineStr">
        <is>
          <t>2023-11-07</t>
        </is>
      </c>
    </row>
    <row r="4">
      <c r="A4" s="25" t="inlineStr">
        <is>
          <t>QUANTITATIVE</t>
        </is>
      </c>
      <c r="B4" s="25" t="n"/>
      <c r="C4" s="25" t="n"/>
      <c r="D4" s="25"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3">
      <c r="A43" t="inlineStr">
        <is>
          <t>Category Contribution (trailing 52 wks)</t>
        </is>
      </c>
      <c r="B43" t="inlineStr">
        <is>
          <t>Value</t>
        </is>
      </c>
    </row>
    <row r="44">
      <c r="A44" t="inlineStr">
        <is>
          <t>Incremental Category Dollar Growth</t>
        </is>
      </c>
      <c r="B44" t="inlineStr">
        <is>
          <t>~$950M (28% of cat. growth, +144%)</t>
        </is>
      </c>
    </row>
    <row r="45">
      <c r="A45" t="inlineStr">
        <is>
          <t>Incremental Category Unit Growth</t>
        </is>
      </c>
      <c r="B45" t="inlineStr">
        <is>
          <t>289.2M units (39% of cat. growth, +114%)</t>
        </is>
      </c>
    </row>
    <row r="47">
      <c r="A47" t="inlineStr">
        <is>
          <t>Balance Sheet / Other</t>
        </is>
      </c>
      <c r="B47" t="inlineStr">
        <is>
          <t>Value</t>
        </is>
      </c>
      <c r="C47" t="inlineStr">
        <is>
          <t>Period</t>
        </is>
      </c>
    </row>
    <row r="48">
      <c r="A48" t="inlineStr">
        <is>
          <t>Cash &amp; Cash Equivalents</t>
        </is>
      </c>
      <c r="B48" t="inlineStr">
        <is>
          <t>&gt;$760M</t>
        </is>
      </c>
      <c r="C48" t="inlineStr">
        <is>
          <t>Sep 30, 2023</t>
        </is>
      </c>
    </row>
    <row r="49">
      <c r="A49" t="inlineStr">
        <is>
          <t>Net Working Capital</t>
        </is>
      </c>
      <c r="B49" t="inlineStr">
        <is>
          <t>&gt;$879M</t>
        </is>
      </c>
      <c r="C49" t="inlineStr">
        <is>
          <t>Sep 30, 2023</t>
        </is>
      </c>
    </row>
    <row r="50">
      <c r="A50" t="inlineStr">
        <is>
          <t>Total Inventory</t>
        </is>
      </c>
      <c r="B50" t="inlineStr">
        <is>
          <t>$199M (up ~$46M vs Q2)</t>
        </is>
      </c>
      <c r="C50" t="inlineStr">
        <is>
          <t>Sep 30, 2023</t>
        </is>
      </c>
    </row>
    <row r="51">
      <c r="A51" t="inlineStr">
        <is>
          <t>New Employees Added</t>
        </is>
      </c>
      <c r="B51" t="inlineStr">
        <is>
          <t>200+ full/part-time</t>
        </is>
      </c>
      <c r="C51" t="inlineStr">
        <is>
          <t>Q3 2023</t>
        </is>
      </c>
    </row>
    <row r="52">
      <c r="A52" t="inlineStr">
        <is>
          <t>Inventory/Promo/SKU-Mix Impact (Q2 to Q3)</t>
        </is>
      </c>
      <c r="B52" t="inlineStr">
        <is>
          <t>~$20M</t>
        </is>
      </c>
      <c r="C52" t="inlineStr">
        <is>
          <t>Q3 2023 sequential</t>
        </is>
      </c>
    </row>
    <row r="53">
      <c r="A53" t="inlineStr">
        <is>
          <t>Q3 2023 Distributor Pipe Fill</t>
        </is>
      </c>
      <c r="B53" t="inlineStr">
        <is>
          <t>~$10M-$15M</t>
        </is>
      </c>
      <c r="C53" t="inlineStr">
        <is>
          <t>Q3 2023</t>
        </is>
      </c>
    </row>
    <row r="54">
      <c r="A54" t="inlineStr">
        <is>
          <t>Three-for-One Forward Stock Split</t>
        </is>
      </c>
      <c r="B54" t="inlineStr">
        <is>
          <t>Effective Nov 15, 2023</t>
        </is>
      </c>
    </row>
    <row r="56">
      <c r="A56" t="inlineStr">
        <is>
          <t>Guidance</t>
        </is>
      </c>
      <c r="B56" t="inlineStr">
        <is>
          <t>Value</t>
        </is>
      </c>
      <c r="C56" t="inlineStr">
        <is>
          <t>Period</t>
        </is>
      </c>
    </row>
    <row r="57">
      <c r="A57" t="inlineStr">
        <is>
          <t>Q4 Gross Margin</t>
        </is>
      </c>
      <c r="B57" t="inlineStr">
        <is>
          <t>Consistent with Q2 and full-year profile</t>
        </is>
      </c>
      <c r="C57" t="inlineStr">
        <is>
          <t>2023 Q4</t>
        </is>
      </c>
    </row>
    <row r="58">
      <c r="A58" t="inlineStr">
        <is>
          <t>G&amp;A Expense (% of sales)</t>
        </is>
      </c>
      <c r="B58" t="inlineStr">
        <is>
          <t>7%-8%</t>
        </is>
      </c>
      <c r="C58" t="inlineStr">
        <is>
          <t>FY2024</t>
        </is>
      </c>
    </row>
    <row r="59">
      <c r="A59" t="inlineStr">
        <is>
          <t>Drill-Deep Markets</t>
        </is>
      </c>
      <c r="B59" t="inlineStr">
        <is>
          <t>23 expanding to over 30</t>
        </is>
      </c>
      <c r="C59" t="inlineStr">
        <is>
          <t>FY2024</t>
        </is>
      </c>
    </row>
    <row r="60">
      <c r="A60" t="inlineStr">
        <is>
          <t>Celsius Branded Cooler Placement</t>
        </is>
      </c>
      <c r="B60" t="inlineStr">
        <is>
          <t>~15,000 coolers (working toward)</t>
        </is>
      </c>
      <c r="C60" t="inlineStr">
        <is>
          <t>FY2023</t>
        </is>
      </c>
    </row>
    <row r="61">
      <c r="A61" t="inlineStr">
        <is>
          <t>Canada Launch</t>
        </is>
      </c>
      <c r="B61" t="inlineStr">
        <is>
          <t>Q1 2024 (inconsequential 2024 impact)</t>
        </is>
      </c>
      <c r="C61" t="inlineStr">
        <is>
          <t>Q1 2024</t>
        </is>
      </c>
    </row>
    <row r="62">
      <c r="A62" t="inlineStr">
        <is>
          <t>Q4 Outlook</t>
        </is>
      </c>
      <c r="B62" t="inlineStr">
        <is>
          <t>Seasonal pullback + possible distributor destock</t>
        </is>
      </c>
      <c r="C62" t="inlineStr">
        <is>
          <t>2023 Q4</t>
        </is>
      </c>
    </row>
    <row r="64">
      <c r="A64" s="25" t="inlineStr">
        <is>
          <t>QUALITATIVE TAKEAWAYS</t>
        </is>
      </c>
      <c r="B64" s="25" t="n"/>
      <c r="C64" s="25" t="n"/>
      <c r="D64" s="25"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7">
      <c r="A87" s="25" t="inlineStr">
        <is>
          <t>Q&amp;A SUMMARY</t>
        </is>
      </c>
      <c r="B87" s="25" t="n"/>
      <c r="C87" s="25" t="n"/>
      <c r="D87" s="25"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Growth Frontiers Conference</t>
        </is>
      </c>
    </row>
    <row r="2">
      <c r="A2" s="24" t="inlineStr">
        <is>
          <t>Date</t>
        </is>
      </c>
      <c r="B2" t="inlineStr">
        <is>
          <t>2023-09-13</t>
        </is>
      </c>
    </row>
    <row r="4">
      <c r="A4" s="25" t="inlineStr">
        <is>
          <t>QUANTITATIVE</t>
        </is>
      </c>
      <c r="B4" s="25" t="n"/>
      <c r="C4" s="25" t="n"/>
      <c r="D4" s="25"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5">
      <c r="A15" t="inlineStr">
        <is>
          <t>Market Share</t>
        </is>
      </c>
      <c r="B15" t="inlineStr">
        <is>
          <t>Current</t>
        </is>
      </c>
      <c r="C15" t="inlineStr">
        <is>
          <t>Prior</t>
        </is>
      </c>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row>
    <row r="20">
      <c r="A20" t="inlineStr">
        <is>
          <t>Finland Share</t>
        </is>
      </c>
      <c r="B20" t="inlineStr">
        <is>
          <t>High single-digit</t>
        </is>
      </c>
      <c r="C20" t="inlineStr">
        <is>
          <t>n/d</t>
        </is>
      </c>
    </row>
    <row r="22">
      <c r="A22" t="inlineStr">
        <is>
          <t>Consumer / Portfolio</t>
        </is>
      </c>
      <c r="B22" t="inlineStr">
        <is>
          <t>Value</t>
        </is>
      </c>
    </row>
    <row r="23">
      <c r="A23" t="inlineStr">
        <is>
          <t>New-to-Category Consumption</t>
        </is>
      </c>
      <c r="B23" t="inlineStr">
        <is>
          <t>~44% (per Mintel)</t>
        </is>
      </c>
    </row>
    <row r="24">
      <c r="A24" t="inlineStr">
        <is>
          <t>On-The-Go Stick / Powder Business</t>
        </is>
      </c>
      <c r="B24" t="inlineStr">
        <is>
          <t>Over $100M, growing rapidly</t>
        </is>
      </c>
    </row>
    <row r="25">
      <c r="A25" t="inlineStr">
        <is>
          <t>PepsiCo College Population Reach</t>
        </is>
      </c>
      <c r="B25" t="inlineStr">
        <is>
          <t>~60% of college population</t>
        </is>
      </c>
    </row>
    <row r="27">
      <c r="A27" t="inlineStr">
        <is>
          <t>Guidance / Forward</t>
        </is>
      </c>
      <c r="B27" t="inlineStr">
        <is>
          <t>Value</t>
        </is>
      </c>
      <c r="C27" t="inlineStr">
        <is>
          <t>Period</t>
        </is>
      </c>
    </row>
    <row r="28">
      <c r="A28" t="inlineStr">
        <is>
          <t>MULOC Energy Market Share</t>
        </is>
      </c>
      <c r="B28" t="inlineStr">
        <is>
          <t>Trajectory to a 10 share</t>
        </is>
      </c>
      <c r="C28" t="inlineStr">
        <is>
          <t>Near-term</t>
        </is>
      </c>
    </row>
    <row r="29">
      <c r="A29" t="inlineStr">
        <is>
          <t>Within-Store Distribution</t>
        </is>
      </c>
      <c r="B29" t="inlineStr">
        <is>
          <t>1-3 shelves per line via 2024 resets</t>
        </is>
      </c>
      <c r="C29" t="inlineStr">
        <is>
          <t>FY2024</t>
        </is>
      </c>
    </row>
    <row r="30">
      <c r="A30" t="inlineStr">
        <is>
          <t>International Expansion</t>
        </is>
      </c>
      <c r="B30" t="inlineStr">
        <is>
          <t>2024 blueprint, 2025-2026 scale</t>
        </is>
      </c>
      <c r="C30" t="inlineStr">
        <is>
          <t>2024-2026</t>
        </is>
      </c>
    </row>
    <row r="31">
      <c r="A31" t="inlineStr">
        <is>
          <t>Q3 Margin</t>
        </is>
      </c>
      <c r="B31" t="inlineStr">
        <is>
          <t>Sequential pullback from elevated promo/marketing spend</t>
        </is>
      </c>
      <c r="C31" t="inlineStr">
        <is>
          <t>2023 Q3</t>
        </is>
      </c>
    </row>
    <row r="32">
      <c r="A32" t="inlineStr">
        <is>
          <t>EBITDA Margin Aspiration</t>
        </is>
      </c>
      <c r="B32" t="inlineStr">
        <is>
          <t>Monster historical margins as 'gold standard'</t>
        </is>
      </c>
      <c r="C32" t="inlineStr">
        <is>
          <t>Long-term</t>
        </is>
      </c>
    </row>
    <row r="34">
      <c r="A34" s="25" t="inlineStr">
        <is>
          <t>QUALITATIVE TAKEAWAYS</t>
        </is>
      </c>
      <c r="B34" s="25" t="n"/>
      <c r="C34" s="25" t="n"/>
      <c r="D34" s="25"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5">
      <c r="A55" s="25" t="inlineStr">
        <is>
          <t>Q&amp;A SUMMARY</t>
        </is>
      </c>
      <c r="B55" s="25" t="n"/>
      <c r="C55" s="25" t="n"/>
      <c r="D55" s="25"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Global Consumer Staples Conference</t>
        </is>
      </c>
    </row>
    <row r="2">
      <c r="A2" s="24" t="inlineStr">
        <is>
          <t>Date</t>
        </is>
      </c>
      <c r="B2" t="inlineStr">
        <is>
          <t>2023-09-07</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10">
      <c r="A10" t="inlineStr">
        <is>
          <t>Market Share by Geography</t>
        </is>
      </c>
      <c r="B10" t="inlineStr">
        <is>
          <t>Current</t>
        </is>
      </c>
      <c r="C10" t="inlineStr">
        <is>
          <t>Prior</t>
        </is>
      </c>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row>
    <row r="14">
      <c r="A14" t="inlineStr">
        <is>
          <t>Consumer / Incrementality</t>
        </is>
      </c>
      <c r="B14" t="inlineStr">
        <is>
          <t>Value</t>
        </is>
      </c>
    </row>
    <row r="15">
      <c r="A15" t="inlineStr">
        <is>
          <t>New-to-Category Consumption</t>
        </is>
      </c>
      <c r="B15" t="inlineStr">
        <is>
          <t>44% (per numerator; also cited 34%)</t>
        </is>
      </c>
    </row>
    <row r="16">
      <c r="A16" t="inlineStr">
        <is>
          <t>User Intensification Consumption</t>
        </is>
      </c>
      <c r="B16" t="inlineStr">
        <is>
          <t>~40%</t>
        </is>
      </c>
    </row>
    <row r="17">
      <c r="A17" t="inlineStr">
        <is>
          <t>Consumer Gender Mix (convenience)</t>
        </is>
      </c>
      <c r="B17" t="inlineStr">
        <is>
          <t>~60% male / 40% female (vs ~70/30 norm)</t>
        </is>
      </c>
    </row>
    <row r="19">
      <c r="A19" t="inlineStr">
        <is>
          <t>Channel Run Rate</t>
        </is>
      </c>
      <c r="B19" t="inlineStr">
        <is>
          <t>Value</t>
        </is>
      </c>
    </row>
    <row r="20">
      <c r="A20" t="inlineStr">
        <is>
          <t>Club / Costco / Amazon Run Rate</t>
        </is>
      </c>
      <c r="B20" t="inlineStr">
        <is>
          <t>~$250M</t>
        </is>
      </c>
    </row>
    <row r="21">
      <c r="A21" t="inlineStr">
        <is>
          <t>Amazon Sales Growth (Q2)</t>
        </is>
      </c>
      <c r="B21" t="inlineStr">
        <is>
          <t>Up over 100% (#2 brand)</t>
        </is>
      </c>
    </row>
    <row r="22">
      <c r="A22" t="inlineStr">
        <is>
          <t>Foodservice Share of Pepsi Sales</t>
        </is>
      </c>
      <c r="B22" t="inlineStr">
        <is>
          <t>~11%</t>
        </is>
      </c>
    </row>
    <row r="24">
      <c r="A24" t="inlineStr">
        <is>
          <t>Profitability (Q2 2023 referenced)</t>
        </is>
      </c>
      <c r="B24" t="inlineStr">
        <is>
          <t>Value</t>
        </is>
      </c>
      <c r="C24" t="inlineStr">
        <is>
          <t>Prior/Preferred</t>
        </is>
      </c>
    </row>
    <row r="25">
      <c r="A25" t="inlineStr">
        <is>
          <t>Q2 Adjusted EBITDA Margin</t>
        </is>
      </c>
      <c r="B25" t="inlineStr">
        <is>
          <t>Just under 24%</t>
        </is>
      </c>
      <c r="C25" t="inlineStr">
        <is>
          <t>n/d</t>
        </is>
      </c>
    </row>
    <row r="26">
      <c r="A26" t="inlineStr">
        <is>
          <t>Q2 Gross Margin Increase</t>
        </is>
      </c>
      <c r="B26" t="inlineStr">
        <is>
          <t>+1,000 bps</t>
        </is>
      </c>
      <c r="C26" t="inlineStr">
        <is>
          <t>n/d</t>
        </is>
      </c>
    </row>
    <row r="27">
      <c r="A27" t="inlineStr">
        <is>
          <t>Q2 Sales &amp; Marketing (% of revenue)</t>
        </is>
      </c>
      <c r="B27" t="inlineStr">
        <is>
          <t>A little over 19%</t>
        </is>
      </c>
      <c r="C27" t="inlineStr">
        <is>
          <t>21%-22% preferred</t>
        </is>
      </c>
    </row>
    <row r="29">
      <c r="A29" t="inlineStr">
        <is>
          <t>Operations</t>
        </is>
      </c>
      <c r="B29" t="inlineStr">
        <is>
          <t>Value</t>
        </is>
      </c>
    </row>
    <row r="30">
      <c r="A30" t="inlineStr">
        <is>
          <t>Co-Packers</t>
        </is>
      </c>
      <c r="B30" t="inlineStr">
        <is>
          <t>17 (~22 with flex capacity)</t>
        </is>
      </c>
    </row>
    <row r="31">
      <c r="A31" t="inlineStr">
        <is>
          <t>Celsius University Graduates</t>
        </is>
      </c>
      <c r="B31" t="inlineStr">
        <is>
          <t>~170 students</t>
        </is>
      </c>
    </row>
    <row r="32">
      <c r="A32" t="inlineStr">
        <is>
          <t>Energy Category Growth Rate</t>
        </is>
      </c>
      <c r="B32" t="inlineStr">
        <is>
          <t>10%-15%</t>
        </is>
      </c>
    </row>
    <row r="34">
      <c r="A34" t="inlineStr">
        <is>
          <t>Guidance</t>
        </is>
      </c>
      <c r="B34" t="inlineStr">
        <is>
          <t>Value</t>
        </is>
      </c>
      <c r="C34" t="inlineStr">
        <is>
          <t>Period</t>
        </is>
      </c>
    </row>
    <row r="35">
      <c r="A35" t="inlineStr">
        <is>
          <t>Sales &amp; Marketing (% of revenue)</t>
        </is>
      </c>
      <c r="B35" t="inlineStr">
        <is>
          <t>~20%-22% (possibly 20-21%)</t>
        </is>
      </c>
      <c r="C35" t="inlineStr">
        <is>
          <t>FY2024</t>
        </is>
      </c>
    </row>
    <row r="36">
      <c r="A36" t="inlineStr">
        <is>
          <t>Long-Term Operating Margin</t>
        </is>
      </c>
      <c r="B36" t="inlineStr">
        <is>
          <t>Close to / similar to peer comp</t>
        </is>
      </c>
      <c r="C36" t="inlineStr">
        <is>
          <t>Long-term</t>
        </is>
      </c>
    </row>
    <row r="37">
      <c r="A37" t="inlineStr">
        <is>
          <t>International Expansion</t>
        </is>
      </c>
      <c r="B37" t="inlineStr">
        <is>
          <t>Two countries (Canada priority)</t>
        </is>
      </c>
      <c r="C37" t="inlineStr">
        <is>
          <t>FY2024</t>
        </is>
      </c>
    </row>
    <row r="38">
      <c r="A38" t="inlineStr">
        <is>
          <t>International Cadence</t>
        </is>
      </c>
      <c r="B38" t="inlineStr">
        <is>
          <t>Larger rollout in 2025</t>
        </is>
      </c>
      <c r="C38" t="inlineStr">
        <is>
          <t>2025</t>
        </is>
      </c>
    </row>
    <row r="40">
      <c r="A40" s="25" t="inlineStr">
        <is>
          <t>QUALITATIVE TAKEAWAYS</t>
        </is>
      </c>
      <c r="B40" s="25" t="n"/>
      <c r="C40" s="25" t="n"/>
      <c r="D40" s="25"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60">
      <c r="A60" s="25" t="inlineStr">
        <is>
          <t>Q&amp;A SUMMARY</t>
        </is>
      </c>
      <c r="B60" s="25" t="n"/>
      <c r="C60" s="25" t="n"/>
      <c r="D60" s="25"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2023 Earnings Call</t>
        </is>
      </c>
    </row>
    <row r="2">
      <c r="A2" s="24" t="inlineStr">
        <is>
          <t>Date</t>
        </is>
      </c>
      <c r="B2" t="inlineStr">
        <is>
          <t>2023-08-08</t>
        </is>
      </c>
    </row>
    <row r="4">
      <c r="A4" s="25" t="inlineStr">
        <is>
          <t>QUANTITATIVE</t>
        </is>
      </c>
      <c r="B4" s="25" t="n"/>
      <c r="C4" s="25" t="n"/>
      <c r="D4" s="25"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1">
      <c r="A41" t="inlineStr">
        <is>
          <t>Balance Sheet / Other</t>
        </is>
      </c>
      <c r="B41" t="inlineStr">
        <is>
          <t>Value</t>
        </is>
      </c>
      <c r="C41" t="inlineStr">
        <is>
          <t>Period</t>
        </is>
      </c>
    </row>
    <row r="42">
      <c r="A42" t="inlineStr">
        <is>
          <t>Cash &amp; Cash Equivalents</t>
        </is>
      </c>
      <c r="B42" t="inlineStr">
        <is>
          <t>&gt;$680M</t>
        </is>
      </c>
      <c r="C42" t="inlineStr">
        <is>
          <t>Jun 30, 2023</t>
        </is>
      </c>
    </row>
    <row r="43">
      <c r="A43" t="inlineStr">
        <is>
          <t>Net Working Capital</t>
        </is>
      </c>
      <c r="B43" t="inlineStr">
        <is>
          <t>&gt;$800M</t>
        </is>
      </c>
      <c r="C43" t="inlineStr">
        <is>
          <t>Jun 30, 2023</t>
        </is>
      </c>
    </row>
    <row r="44">
      <c r="A44" t="inlineStr">
        <is>
          <t>Total Inventory</t>
        </is>
      </c>
      <c r="B44" t="inlineStr">
        <is>
          <t>~$150M (flat vs Q1)</t>
        </is>
      </c>
      <c r="C44" t="inlineStr">
        <is>
          <t>Jun 30, 2023</t>
        </is>
      </c>
    </row>
    <row r="45">
      <c r="A45" t="inlineStr">
        <is>
          <t>Securities Class Action Settlement</t>
        </is>
      </c>
      <c r="B45" t="inlineStr">
        <is>
          <t>$7.9M cash payment</t>
        </is>
      </c>
      <c r="C45" t="inlineStr">
        <is>
          <t>Q2 2023 accrual</t>
        </is>
      </c>
    </row>
    <row r="46">
      <c r="A46" t="inlineStr">
        <is>
          <t>Pepsi Revenue (% of total)</t>
        </is>
      </c>
      <c r="B46" t="inlineStr">
        <is>
          <t>~56.7%</t>
        </is>
      </c>
      <c r="C46" t="inlineStr">
        <is>
          <t>Q2 2023</t>
        </is>
      </c>
    </row>
    <row r="47">
      <c r="A47" t="inlineStr">
        <is>
          <t>Foodservice (% of Pepsi revenue)</t>
        </is>
      </c>
      <c r="B47" t="inlineStr">
        <is>
          <t>~11%</t>
        </is>
      </c>
      <c r="C47" t="inlineStr">
        <is>
          <t>Q2 2023</t>
        </is>
      </c>
    </row>
    <row r="48">
      <c r="A48" t="inlineStr">
        <is>
          <t>Shipping Rate</t>
        </is>
      </c>
      <c r="B48" t="inlineStr">
        <is>
          <t>95%+</t>
        </is>
      </c>
      <c r="C48" t="inlineStr">
        <is>
          <t>Q2 2023</t>
        </is>
      </c>
    </row>
    <row r="49">
      <c r="A49" t="inlineStr">
        <is>
          <t>Co-Packer Count</t>
        </is>
      </c>
      <c r="B49" t="inlineStr">
        <is>
          <t>~17</t>
        </is>
      </c>
      <c r="C49" t="inlineStr">
        <is>
          <t>Q2 2023</t>
        </is>
      </c>
    </row>
    <row r="50">
      <c r="A50" t="inlineStr">
        <is>
          <t>Celsius University Students Added</t>
        </is>
      </c>
      <c r="B50" t="inlineStr">
        <is>
          <t>170</t>
        </is>
      </c>
      <c r="C50" t="inlineStr">
        <is>
          <t>Q3 2023 deploy</t>
        </is>
      </c>
    </row>
    <row r="52">
      <c r="A52" t="inlineStr">
        <is>
          <t>Category Contribution (trailing 52 wks)</t>
        </is>
      </c>
      <c r="B52" t="inlineStr">
        <is>
          <t>Value</t>
        </is>
      </c>
    </row>
    <row r="53">
      <c r="A53" t="inlineStr">
        <is>
          <t>Incremental Retail Sales (MULOC energy)</t>
        </is>
      </c>
      <c r="B53" t="inlineStr">
        <is>
          <t>&gt;$665M (23% of cat. growth)</t>
        </is>
      </c>
    </row>
    <row r="54">
      <c r="A54" t="inlineStr">
        <is>
          <t>Incremental Units</t>
        </is>
      </c>
      <c r="B54" t="inlineStr">
        <is>
          <t>$204M (35% of cat. growth)</t>
        </is>
      </c>
    </row>
    <row r="56">
      <c r="A56" t="inlineStr">
        <is>
          <t>Guidance</t>
        </is>
      </c>
      <c r="B56" t="inlineStr">
        <is>
          <t>Value</t>
        </is>
      </c>
      <c r="C56" t="inlineStr">
        <is>
          <t>Period</t>
        </is>
      </c>
    </row>
    <row r="57">
      <c r="A57" t="inlineStr">
        <is>
          <t>Gross Margin (H2)</t>
        </is>
      </c>
      <c r="B57" t="inlineStr">
        <is>
          <t>Mid-to-high 40s / high-end of mid-40s</t>
        </is>
      </c>
      <c r="C57" t="inlineStr">
        <is>
          <t>2023 H2</t>
        </is>
      </c>
    </row>
    <row r="58">
      <c r="A58" t="inlineStr">
        <is>
          <t>Sales &amp; Marketing (% of sales)</t>
        </is>
      </c>
      <c r="B58" t="inlineStr">
        <is>
          <t>Close to 22%</t>
        </is>
      </c>
      <c r="C58" t="inlineStr">
        <is>
          <t>2023 H2</t>
        </is>
      </c>
    </row>
    <row r="59">
      <c r="A59" t="inlineStr">
        <is>
          <t>Promotional Allowance (% of gross sales)</t>
        </is>
      </c>
      <c r="B59" t="inlineStr">
        <is>
          <t>~20%, up a bit in Q3</t>
        </is>
      </c>
      <c r="C59" t="inlineStr">
        <is>
          <t>2023 Q3</t>
        </is>
      </c>
    </row>
    <row r="60">
      <c r="A60" t="inlineStr">
        <is>
          <t>International Revenue Mix (size of prize)</t>
        </is>
      </c>
      <c r="B60" t="inlineStr">
        <is>
          <t>~35%-40% (competitor proxy)</t>
        </is>
      </c>
      <c r="C60" t="inlineStr">
        <is>
          <t>Long-term 3-5 yrs</t>
        </is>
      </c>
    </row>
    <row r="61">
      <c r="A61" t="inlineStr">
        <is>
          <t>International Launch Timing</t>
        </is>
      </c>
      <c r="B61" t="inlineStr">
        <is>
          <t>Early 2024</t>
        </is>
      </c>
      <c r="C61" t="inlineStr">
        <is>
          <t>2024-2026</t>
        </is>
      </c>
    </row>
    <row r="63">
      <c r="A63" s="25" t="inlineStr">
        <is>
          <t>QUALITATIVE TAKEAWAYS</t>
        </is>
      </c>
      <c r="B63" s="25" t="n"/>
      <c r="C63" s="25" t="n"/>
      <c r="D63" s="25"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2">
      <c r="A82" s="25" t="inlineStr">
        <is>
          <t>Q&amp;A SUMMARY</t>
        </is>
      </c>
      <c r="B82" s="25" t="n"/>
      <c r="C82" s="25" t="n"/>
      <c r="D82" s="25"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3rd Annual Consumer and Retail Conference</t>
        </is>
      </c>
    </row>
    <row r="2">
      <c r="A2" s="24" t="inlineStr">
        <is>
          <t>Date</t>
        </is>
      </c>
      <c r="B2" t="inlineStr">
        <is>
          <t>2023-06-14</t>
        </is>
      </c>
    </row>
    <row r="4">
      <c r="A4" s="25" t="inlineStr">
        <is>
          <t>QUANTITATIVE</t>
        </is>
      </c>
      <c r="B4" s="25" t="n"/>
      <c r="C4" s="25" t="n"/>
    </row>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9">
      <c r="A29" s="25" t="inlineStr">
        <is>
          <t>QUALITATIVE TAKEAWAYS</t>
        </is>
      </c>
      <c r="B29" s="25" t="n"/>
      <c r="C29" s="25"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6">
      <c r="A46" s="25" t="inlineStr">
        <is>
          <t>Q&amp;A SUMMARY</t>
        </is>
      </c>
      <c r="B46" s="25" t="n"/>
      <c r="C46" s="25"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Cross Sector Insight Conference 2023</t>
        </is>
      </c>
    </row>
    <row r="2">
      <c r="A2" s="24" t="inlineStr">
        <is>
          <t>Date</t>
        </is>
      </c>
      <c r="B2" t="inlineStr">
        <is>
          <t>2023-06-06</t>
        </is>
      </c>
    </row>
    <row r="4">
      <c r="A4" s="25" t="inlineStr">
        <is>
          <t>QUANTITATIVE</t>
        </is>
      </c>
      <c r="B4" s="25" t="n"/>
      <c r="C4" s="25" t="n"/>
      <c r="D4" s="25" t="n"/>
    </row>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5">
      <c r="A35" s="25" t="inlineStr">
        <is>
          <t>QUALITATIVE TAKEAWAYS</t>
        </is>
      </c>
      <c r="B35" s="25" t="n"/>
      <c r="C35" s="25" t="n"/>
      <c r="D35" s="25"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2">
      <c r="A52" s="25" t="inlineStr">
        <is>
          <t>Q&amp;A SUMMARY</t>
        </is>
      </c>
      <c r="B52" s="25" t="n"/>
      <c r="C52" s="25" t="n"/>
      <c r="D52" s="25"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2023 Annual General Meeting</t>
        </is>
      </c>
    </row>
    <row r="2">
      <c r="A2" s="24" t="inlineStr">
        <is>
          <t>Date</t>
        </is>
      </c>
      <c r="B2" t="inlineStr">
        <is>
          <t>2023-06-01</t>
        </is>
      </c>
    </row>
    <row r="4">
      <c r="A4" s="25" t="inlineStr">
        <is>
          <t>QUANTITATIVE</t>
        </is>
      </c>
      <c r="B4" s="25" t="n"/>
      <c r="C4" s="25" t="n"/>
      <c r="D4" s="25" t="n"/>
    </row>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9">
      <c r="A39" t="inlineStr">
        <is>
          <t>Guidance</t>
        </is>
      </c>
      <c r="B39" t="inlineStr">
        <is>
          <t>Value</t>
        </is>
      </c>
      <c r="C39" t="inlineStr">
        <is>
          <t>Period</t>
        </is>
      </c>
    </row>
    <row r="40">
      <c r="A40" t="inlineStr">
        <is>
          <t>(No quantitative forward-looking guidance provided)</t>
        </is>
      </c>
      <c r="B40" t="inlineStr">
        <is>
          <t>N/A</t>
        </is>
      </c>
      <c r="C40" t="inlineStr">
        <is>
          <t>N/A</t>
        </is>
      </c>
    </row>
    <row r="42">
      <c r="A42" s="25" t="inlineStr">
        <is>
          <t>QUALITATIVE TAKEAWAYS</t>
        </is>
      </c>
      <c r="B42" s="25" t="n"/>
      <c r="C42" s="25" t="n"/>
      <c r="D42" s="25"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8">
      <c r="A58" s="25" t="inlineStr">
        <is>
          <t>Q&amp;A SUMMARY</t>
        </is>
      </c>
      <c r="B58" s="25" t="n"/>
      <c r="C58" s="25" t="n"/>
      <c r="D58" s="25"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2023-05-16</t>
        </is>
      </c>
    </row>
    <row r="4">
      <c r="A4" s="25" t="inlineStr">
        <is>
          <t>QUANTITATIVE</t>
        </is>
      </c>
      <c r="B4" s="25" t="n"/>
      <c r="C4" s="25" t="n"/>
      <c r="D4" s="25" t="n"/>
    </row>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5">
      <c r="A35" s="25" t="inlineStr">
        <is>
          <t>QUALITATIVE TAKEAWAYS</t>
        </is>
      </c>
      <c r="B35" s="25" t="n"/>
      <c r="C35" s="25" t="n"/>
      <c r="D35" s="25"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2">
      <c r="A52" s="25" t="inlineStr">
        <is>
          <t>Q&amp;A SUMMARY</t>
        </is>
      </c>
      <c r="B52" s="25" t="n"/>
      <c r="C52" s="25" t="n"/>
      <c r="D52" s="25"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Q1 2023 Earnings Call</t>
        </is>
      </c>
    </row>
    <row r="2">
      <c r="A2" s="24" t="inlineStr">
        <is>
          <t>Date</t>
        </is>
      </c>
      <c r="B2" t="inlineStr">
        <is>
          <t>2023-05-09</t>
        </is>
      </c>
    </row>
    <row r="4">
      <c r="A4" s="25" t="inlineStr">
        <is>
          <t>QUANTITATIVE</t>
        </is>
      </c>
      <c r="B4" s="25" t="n"/>
      <c r="C4" s="25" t="n"/>
      <c r="D4" s="25" t="n"/>
    </row>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4">
      <c r="A44" s="25" t="inlineStr">
        <is>
          <t>QUALITATIVE TAKEAWAYS</t>
        </is>
      </c>
      <c r="B44" s="25" t="n"/>
      <c r="C44" s="25" t="n"/>
      <c r="D44" s="25"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60">
      <c r="A60" s="25" t="inlineStr">
        <is>
          <t>Q&amp;A SUMMARY</t>
        </is>
      </c>
      <c r="B60" s="25" t="n"/>
      <c r="C60" s="25" t="n"/>
      <c r="D60" s="25"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2022 / FY2022 Earnings Call</t>
        </is>
      </c>
    </row>
    <row r="2">
      <c r="A2" s="24" t="inlineStr">
        <is>
          <t>Date</t>
        </is>
      </c>
      <c r="B2" t="inlineStr">
        <is>
          <t>2023-03-01</t>
        </is>
      </c>
    </row>
    <row r="4">
      <c r="A4" s="25" t="inlineStr">
        <is>
          <t>QUANTITATIVE</t>
        </is>
      </c>
      <c r="B4" s="25" t="n"/>
      <c r="C4" s="25" t="n"/>
      <c r="D4" s="25" t="n"/>
    </row>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60">
      <c r="A60" s="25" t="inlineStr">
        <is>
          <t>QUALITATIVE TAKEAWAYS</t>
        </is>
      </c>
      <c r="B60" s="25" t="n"/>
      <c r="C60" s="25" t="n"/>
      <c r="D60" s="25"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80">
      <c r="A80" s="25" t="inlineStr">
        <is>
          <t>Q&amp;A SUMMARY</t>
        </is>
      </c>
      <c r="B80" s="25" t="n"/>
      <c r="C80" s="25" t="n"/>
      <c r="D80" s="25"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2022 Earnings Call</t>
        </is>
      </c>
    </row>
    <row r="2">
      <c r="A2" s="24" t="inlineStr">
        <is>
          <t>Date</t>
        </is>
      </c>
      <c r="B2" t="inlineStr">
        <is>
          <t>2022-11-09</t>
        </is>
      </c>
    </row>
    <row r="4">
      <c r="A4" s="25" t="inlineStr">
        <is>
          <t>QUANTITATIVE</t>
        </is>
      </c>
      <c r="B4" s="25" t="n"/>
      <c r="C4" s="25" t="n"/>
      <c r="D4" s="25" t="n"/>
    </row>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7">
      <c r="A67" s="25" t="inlineStr">
        <is>
          <t>QUALITATIVE TAKEAWAYS</t>
        </is>
      </c>
      <c r="B67" s="25" t="n"/>
      <c r="C67" s="25" t="n"/>
      <c r="D67" s="25"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5">
      <c r="A85" s="25" t="inlineStr">
        <is>
          <t>Q&amp;A SUMMARY</t>
        </is>
      </c>
      <c r="B85" s="25" t="n"/>
      <c r="C85" s="25" t="n"/>
      <c r="D85" s="25"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2022 Earnings Call</t>
        </is>
      </c>
    </row>
    <row r="2">
      <c r="A2" s="24" t="inlineStr">
        <is>
          <t>Date</t>
        </is>
      </c>
      <c r="B2" t="inlineStr">
        <is>
          <t>2022-08-09</t>
        </is>
      </c>
    </row>
    <row r="4">
      <c r="A4" s="25" t="inlineStr">
        <is>
          <t>QUANTITATIVE</t>
        </is>
      </c>
      <c r="B4" s="25" t="n"/>
      <c r="C4" s="25" t="n"/>
      <c r="D4" s="25" t="n"/>
    </row>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9">
      <c r="A59" s="25" t="inlineStr">
        <is>
          <t>QUALITATIVE TAKEAWAYS</t>
        </is>
      </c>
      <c r="B59" s="25" t="n"/>
      <c r="C59" s="25" t="n"/>
      <c r="D59" s="25"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7">
      <c r="A77" s="25" t="inlineStr">
        <is>
          <t>Q&amp;A SUMMARY</t>
        </is>
      </c>
      <c r="B77" s="25" t="n"/>
      <c r="C77" s="25" t="n"/>
      <c r="D77" s="25"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 PepsiCo Distribution Partnership Conference Call ($550M PepsiCo Investment)</t>
        </is>
      </c>
    </row>
    <row r="2">
      <c r="A2" s="24" t="inlineStr">
        <is>
          <t>Date</t>
        </is>
      </c>
      <c r="B2" t="inlineStr">
        <is>
          <t>2022-08-01</t>
        </is>
      </c>
    </row>
    <row r="4">
      <c r="A4" s="25" t="inlineStr">
        <is>
          <t>QUANTITATIVE</t>
        </is>
      </c>
      <c r="B4" s="25" t="n"/>
      <c r="C4" s="25" t="n"/>
    </row>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1">
      <c r="A31" s="25" t="inlineStr">
        <is>
          <t>QUALITATIVE TAKEAWAYS</t>
        </is>
      </c>
      <c r="B31" s="25" t="n"/>
      <c r="C31" s="25"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9">
      <c r="A49" s="25" t="inlineStr">
        <is>
          <t>Q&amp;A SUMMARY</t>
        </is>
      </c>
      <c r="B49" s="25" t="n"/>
      <c r="C49" s="25"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2022 Cross Sector Insight Conference</t>
        </is>
      </c>
    </row>
    <row r="2">
      <c r="A2" s="24" t="inlineStr">
        <is>
          <t>Date</t>
        </is>
      </c>
      <c r="B2" t="inlineStr">
        <is>
          <t>2022-06-09</t>
        </is>
      </c>
    </row>
    <row r="4">
      <c r="A4" s="25" t="inlineStr">
        <is>
          <t>QUANTITATIVE</t>
        </is>
      </c>
      <c r="B4" s="25" t="n"/>
      <c r="C4" s="25" t="n"/>
      <c r="D4" s="25" t="n"/>
    </row>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40">
      <c r="A40" s="25" t="inlineStr">
        <is>
          <t>QUALITATIVE TAKEAWAYS</t>
        </is>
      </c>
      <c r="B40" s="25" t="n"/>
      <c r="C40" s="25" t="n"/>
      <c r="D40" s="25"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7">
      <c r="A57" s="25" t="inlineStr">
        <is>
          <t>Q&amp;A SUMMARY</t>
        </is>
      </c>
      <c r="B57" s="25" t="n"/>
      <c r="C57" s="25" t="n"/>
      <c r="D57" s="25"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Consumer &amp; Retail Conference</t>
        </is>
      </c>
    </row>
    <row r="2">
      <c r="A2" s="24" t="inlineStr">
        <is>
          <t>Date</t>
        </is>
      </c>
      <c r="B2" t="inlineStr">
        <is>
          <t>2022-06-07</t>
        </is>
      </c>
    </row>
    <row r="4">
      <c r="A4" s="25" t="inlineStr">
        <is>
          <t>QUANTITATIVE</t>
        </is>
      </c>
      <c r="B4" s="25" t="n"/>
      <c r="C4" s="25" t="n"/>
    </row>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8">
      <c r="A38" s="25" t="inlineStr">
        <is>
          <t>QUALITATIVE TAKEAWAYS</t>
        </is>
      </c>
      <c r="B38" s="25" t="n"/>
      <c r="C38" s="25"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4">
      <c r="A54" s="25" t="inlineStr">
        <is>
          <t>Q&amp;A SUMMARY</t>
        </is>
      </c>
      <c r="B54" s="25" t="n"/>
      <c r="C54" s="25"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2022 Annual General Meeting (Annual Meeting of Shareholders)</t>
        </is>
      </c>
    </row>
    <row r="2">
      <c r="A2" s="24" t="inlineStr">
        <is>
          <t>Date</t>
        </is>
      </c>
      <c r="B2" t="inlineStr">
        <is>
          <t>2022-06-02</t>
        </is>
      </c>
    </row>
    <row r="4">
      <c r="A4" s="25" t="inlineStr">
        <is>
          <t>QUANTITATIVE</t>
        </is>
      </c>
      <c r="B4" s="25" t="n"/>
      <c r="C4" s="25" t="n"/>
      <c r="D4" s="25" t="n"/>
    </row>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9">
      <c r="A49" s="25" t="inlineStr">
        <is>
          <t>QUALITATIVE TAKEAWAYS</t>
        </is>
      </c>
      <c r="B49" s="25" t="n"/>
      <c r="C49" s="25" t="n"/>
      <c r="D49" s="25"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5">
      <c r="A65" s="25" t="inlineStr">
        <is>
          <t>Q&amp;A SUMMARY</t>
        </is>
      </c>
      <c r="B65" s="25" t="n"/>
      <c r="C65" s="25" t="n"/>
      <c r="D65" s="25"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Credit Suisse HALO Investment Summit</t>
        </is>
      </c>
    </row>
    <row r="2">
      <c r="A2" s="24" t="inlineStr">
        <is>
          <t>Date</t>
        </is>
      </c>
      <c r="B2" t="inlineStr">
        <is>
          <t>2022-05-25</t>
        </is>
      </c>
    </row>
    <row r="4">
      <c r="A4" s="25" t="inlineStr">
        <is>
          <t>QUANTITATIVE</t>
        </is>
      </c>
      <c r="B4" s="25" t="n"/>
      <c r="C4" s="25" t="n"/>
      <c r="D4" s="25" t="n"/>
    </row>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9">
      <c r="A29" t="inlineStr">
        <is>
          <t>Balance Sheet</t>
        </is>
      </c>
      <c r="B29" t="inlineStr">
        <is>
          <t>Value</t>
        </is>
      </c>
      <c r="C29" t="inlineStr">
        <is>
          <t>Period</t>
        </is>
      </c>
    </row>
    <row r="30">
      <c r="A30" t="inlineStr">
        <is>
          <t>Capital on balance sheet</t>
        </is>
      </c>
      <c r="B30" t="inlineStr">
        <is>
          <t>$80M</t>
        </is>
      </c>
      <c r="C30" t="inlineStr">
        <is>
          <t>Oct 2021</t>
        </is>
      </c>
    </row>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1">
      <c r="A41" s="25" t="inlineStr">
        <is>
          <t>QUALITATIVE TAKEAWAYS</t>
        </is>
      </c>
      <c r="B41" s="25" t="n"/>
      <c r="C41" s="25" t="n"/>
      <c r="D41" s="25"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7">
      <c r="A57" s="25" t="inlineStr">
        <is>
          <t>Q&amp;A SUMMARY</t>
        </is>
      </c>
      <c r="B57" s="25" t="n"/>
      <c r="C57" s="25" t="n"/>
      <c r="D57" s="25"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2022 Earnings Call</t>
        </is>
      </c>
    </row>
    <row r="2">
      <c r="A2" s="24" t="inlineStr">
        <is>
          <t>Date</t>
        </is>
      </c>
      <c r="B2" t="inlineStr">
        <is>
          <t>2022-05-10</t>
        </is>
      </c>
    </row>
    <row r="4">
      <c r="A4" s="25" t="inlineStr">
        <is>
          <t>QUANTITATIVE</t>
        </is>
      </c>
      <c r="B4" s="25" t="n"/>
      <c r="C4" s="25" t="n"/>
      <c r="D4" s="25" t="n"/>
    </row>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5">
      <c r="A55" s="25" t="inlineStr">
        <is>
          <t>QUALITATIVE TAKEAWAYS</t>
        </is>
      </c>
      <c r="B55" s="25" t="n"/>
      <c r="C55" s="25" t="n"/>
      <c r="D55" s="25"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2">
      <c r="A72" s="25" t="inlineStr">
        <is>
          <t>Q&amp;A SUMMARY</t>
        </is>
      </c>
      <c r="B72" s="25" t="n"/>
      <c r="C72" s="25" t="n"/>
      <c r="D72" s="25"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2021 Earnings Call</t>
        </is>
      </c>
    </row>
    <row r="2">
      <c r="A2" s="24" t="inlineStr">
        <is>
          <t>Date</t>
        </is>
      </c>
      <c r="B2" t="inlineStr">
        <is>
          <t>2022-03-01</t>
        </is>
      </c>
    </row>
    <row r="4">
      <c r="A4" s="25" t="inlineStr">
        <is>
          <t>QUANTITATIVE</t>
        </is>
      </c>
      <c r="B4" s="25" t="n"/>
      <c r="C4" s="25" t="n"/>
      <c r="D4" s="25" t="n"/>
    </row>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row>
    <row r="40">
      <c r="A40" t="inlineStr">
        <is>
          <t>Prepaid cans/raw materials in inventory build</t>
        </is>
      </c>
      <c r="B40" t="inlineStr">
        <is>
          <t>~$60-70M</t>
        </is>
      </c>
    </row>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row>
    <row r="46">
      <c r="A46" t="inlineStr">
        <is>
          <t>US store count</t>
        </is>
      </c>
      <c r="B46" t="inlineStr">
        <is>
          <t>135,000+</t>
        </is>
      </c>
      <c r="C46" t="inlineStr">
        <is>
          <t>82,000</t>
        </is>
      </c>
    </row>
    <row r="47">
      <c r="A47" t="inlineStr">
        <is>
          <t>Convenience doors</t>
        </is>
      </c>
      <c r="B47" t="inlineStr">
        <is>
          <t>~60,000 (up 95%)</t>
        </is>
      </c>
    </row>
    <row r="48">
      <c r="A48" t="inlineStr">
        <is>
          <t>Convenience channel ACV</t>
        </is>
      </c>
      <c r="B48" t="inlineStr">
        <is>
          <t>~44%</t>
        </is>
      </c>
    </row>
    <row r="49">
      <c r="A49" t="inlineStr">
        <is>
          <t>Costco stores</t>
        </is>
      </c>
      <c r="B49" t="inlineStr">
        <is>
          <t>561 (Q4 revenue +1,100%)</t>
        </is>
      </c>
    </row>
    <row r="50">
      <c r="A50" t="inlineStr">
        <is>
          <t>Circle K national contract</t>
        </is>
      </c>
      <c r="B50" t="inlineStr">
        <is>
          <t>~6,000 doors, ~4 flavors avg</t>
        </is>
      </c>
    </row>
    <row r="51">
      <c r="A51" t="inlineStr">
        <is>
          <t>Order fill rate</t>
        </is>
      </c>
      <c r="B51" t="inlineStr">
        <is>
          <t>97% (Q4)</t>
        </is>
      </c>
      <c r="C51" t="inlineStr">
        <is>
          <t>80% (end Q1 2021)</t>
        </is>
      </c>
    </row>
    <row r="52">
      <c r="A52" t="inlineStr">
        <is>
          <t>Active co-packers</t>
        </is>
      </c>
      <c r="B52" t="inlineStr">
        <is>
          <t>13+</t>
        </is>
      </c>
    </row>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5">
      <c r="A75" s="25" t="inlineStr">
        <is>
          <t>QUALITATIVE TAKEAWAYS</t>
        </is>
      </c>
      <c r="B75" s="25" t="n"/>
      <c r="C75" s="25" t="n"/>
      <c r="D75" s="25"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1">
      <c r="A91" s="25" t="inlineStr">
        <is>
          <t>Q&amp;A SUMMARY</t>
        </is>
      </c>
      <c r="B91" s="25" t="n"/>
      <c r="C91" s="25" t="n"/>
      <c r="D91" s="25"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 2021</t>
        </is>
      </c>
    </row>
    <row r="2">
      <c r="A2" s="24" t="inlineStr">
        <is>
          <t>Date</t>
        </is>
      </c>
      <c r="B2" t="inlineStr">
        <is>
          <t>2021-11-30</t>
        </is>
      </c>
    </row>
    <row r="4">
      <c r="A4" s="25" t="inlineStr">
        <is>
          <t>QUANTITATIVE</t>
        </is>
      </c>
      <c r="B4" s="25" t="n"/>
      <c r="C4" s="25" t="n"/>
    </row>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30">
      <c r="A30" s="25" t="inlineStr">
        <is>
          <t>QUALITATIVE TAKEAWAYS</t>
        </is>
      </c>
      <c r="B30" s="25" t="n"/>
      <c r="C30" s="25"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6">
      <c r="A46" s="25" t="inlineStr">
        <is>
          <t>Q&amp;A SUMMARY</t>
        </is>
      </c>
      <c r="B46" s="25" t="n"/>
      <c r="C46" s="25"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Jefferies West Coast Consumer Conference</t>
        </is>
      </c>
    </row>
    <row r="2">
      <c r="A2" s="24" t="inlineStr">
        <is>
          <t>Date</t>
        </is>
      </c>
      <c r="B2" t="inlineStr">
        <is>
          <t>2021-11-17</t>
        </is>
      </c>
    </row>
    <row r="4">
      <c r="A4" s="25" t="inlineStr">
        <is>
          <t>QUANTITATIVE</t>
        </is>
      </c>
      <c r="B4" s="25" t="n"/>
      <c r="C4" s="25" t="n"/>
    </row>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9">
      <c r="A29" s="25" t="inlineStr">
        <is>
          <t>QUALITATIVE TAKEAWAYS</t>
        </is>
      </c>
      <c r="B29" s="25" t="n"/>
      <c r="C29" s="25"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6">
      <c r="A46" s="25" t="inlineStr">
        <is>
          <t>Q&amp;A SUMMARY</t>
        </is>
      </c>
      <c r="B46" s="25" t="n"/>
      <c r="C46" s="25"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2021 Earnings Call</t>
        </is>
      </c>
    </row>
    <row r="2">
      <c r="A2" s="24" t="inlineStr">
        <is>
          <t>Date</t>
        </is>
      </c>
      <c r="B2" t="inlineStr">
        <is>
          <t>2021-11-11</t>
        </is>
      </c>
    </row>
    <row r="4">
      <c r="A4" s="25" t="inlineStr">
        <is>
          <t>QUANTITATIVE</t>
        </is>
      </c>
      <c r="B4" s="25" t="n"/>
      <c r="C4" s="25" t="n"/>
      <c r="D4" s="25" t="n"/>
    </row>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6">
      <c r="A56" s="25" t="inlineStr">
        <is>
          <t>QUALITATIVE TAKEAWAYS</t>
        </is>
      </c>
      <c r="B56" s="25" t="n"/>
      <c r="C56" s="25" t="n"/>
      <c r="D56" s="25"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4">
      <c r="A74" s="25" t="inlineStr">
        <is>
          <t>Q&amp;A SUMMARY</t>
        </is>
      </c>
      <c r="B74" s="25" t="n"/>
      <c r="C74" s="25" t="n"/>
      <c r="D74" s="25"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2021 Annual Meeting of Shareholders</t>
        </is>
      </c>
    </row>
    <row r="2">
      <c r="A2" s="24" t="inlineStr">
        <is>
          <t>Date</t>
        </is>
      </c>
      <c r="B2" t="inlineStr">
        <is>
          <t>2021-08-19</t>
        </is>
      </c>
    </row>
    <row r="4">
      <c r="A4" s="25" t="inlineStr">
        <is>
          <t>QUANTITATIVE</t>
        </is>
      </c>
      <c r="B4" s="25" t="n"/>
      <c r="C4" s="25" t="n"/>
      <c r="D4" s="25" t="n"/>
    </row>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7">
      <c r="A47" s="25" t="inlineStr">
        <is>
          <t>QUALITATIVE TAKEAWAYS</t>
        </is>
      </c>
      <c r="B47" s="25" t="n"/>
      <c r="C47" s="25" t="n"/>
      <c r="D47" s="25"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3">
      <c r="A63" s="25" t="inlineStr">
        <is>
          <t>Q&amp;A SUMMARY</t>
        </is>
      </c>
      <c r="B63" s="25" t="n"/>
      <c r="C63" s="25" t="n"/>
      <c r="D63" s="25"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2021 Earnings Call</t>
        </is>
      </c>
    </row>
    <row r="2">
      <c r="A2" s="24" t="inlineStr">
        <is>
          <t>Date</t>
        </is>
      </c>
      <c r="B2" t="inlineStr">
        <is>
          <t>2021-08-12</t>
        </is>
      </c>
    </row>
    <row r="4">
      <c r="A4" s="25" t="inlineStr">
        <is>
          <t>QUANTITATIVE</t>
        </is>
      </c>
      <c r="B4" s="25" t="n"/>
      <c r="C4" s="25" t="n"/>
      <c r="D4" s="25" t="n"/>
    </row>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8">
      <c r="A58" s="25" t="inlineStr">
        <is>
          <t>QUALITATIVE TAKEAWAYS</t>
        </is>
      </c>
      <c r="B58" s="25" t="n"/>
      <c r="C58" s="25" t="n"/>
      <c r="D58" s="25"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6">
      <c r="A76" s="25" t="inlineStr">
        <is>
          <t>Q&amp;A SUMMARY</t>
        </is>
      </c>
      <c r="B76" s="25" t="n"/>
      <c r="C76" s="25" t="n"/>
      <c r="D76" s="25"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2021 Earnings Call</t>
        </is>
      </c>
    </row>
    <row r="2">
      <c r="A2" s="24" t="inlineStr">
        <is>
          <t>Date</t>
        </is>
      </c>
      <c r="B2" t="inlineStr">
        <is>
          <t>2021-05-13</t>
        </is>
      </c>
    </row>
    <row r="4">
      <c r="A4" s="25" t="inlineStr">
        <is>
          <t>QUANTITATIVE</t>
        </is>
      </c>
      <c r="B4" s="25" t="n"/>
      <c r="C4" s="25" t="n"/>
      <c r="D4" s="25" t="n"/>
    </row>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4">
      <c r="A14" t="inlineStr">
        <is>
          <t>Europe sequential growth (Q1 2021 vs Q4 2020 $6.9M)</t>
        </is>
      </c>
      <c r="B14" t="inlineStr">
        <is>
          <t>+50-51%</t>
        </is>
      </c>
    </row>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row>
    <row r="36">
      <c r="A36" t="inlineStr">
        <is>
          <t>Prepaid expenses increase</t>
        </is>
      </c>
      <c r="B36" t="inlineStr">
        <is>
          <t>$2.6M</t>
        </is>
      </c>
    </row>
    <row r="37">
      <c r="A37" t="inlineStr">
        <is>
          <t>Operating cash flow ex-inventory/prepaid</t>
        </is>
      </c>
      <c r="B37" t="inlineStr">
        <is>
          <t>+$8M+</t>
        </is>
      </c>
    </row>
    <row r="38">
      <c r="A38" t="inlineStr">
        <is>
          <t>Long-term debt</t>
        </is>
      </c>
      <c r="B38" t="inlineStr">
        <is>
          <t>None</t>
        </is>
      </c>
    </row>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7">
      <c r="A67" s="25" t="inlineStr">
        <is>
          <t>QUALITATIVE TAKEAWAYS</t>
        </is>
      </c>
      <c r="B67" s="25" t="n"/>
      <c r="C67" s="25" t="n"/>
      <c r="D67" s="25"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1">
      <c r="A81" s="25" t="inlineStr">
        <is>
          <t>Q&amp;A SUMMARY</t>
        </is>
      </c>
      <c r="B81" s="25" t="n"/>
      <c r="C81" s="25" t="n"/>
      <c r="D81" s="25"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2020 Earnings Call</t>
        </is>
      </c>
    </row>
    <row r="2">
      <c r="A2" s="24" t="inlineStr">
        <is>
          <t>Date</t>
        </is>
      </c>
      <c r="B2" t="inlineStr">
        <is>
          <t>2021-03-11</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3">
      <c r="A63" s="25" t="inlineStr">
        <is>
          <t>QUALITATIVE TAKEAWAYS</t>
        </is>
      </c>
      <c r="B63" s="25" t="n"/>
      <c r="C63" s="25" t="n"/>
      <c r="D63" s="25"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8">
      <c r="A78" s="25" t="inlineStr">
        <is>
          <t>Q&amp;A SUMMARY</t>
        </is>
      </c>
      <c r="B78" s="25" t="n"/>
      <c r="C78" s="25" t="n"/>
      <c r="D78" s="25"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Virtual Conference</t>
        </is>
      </c>
    </row>
    <row r="2">
      <c r="A2" s="24" t="inlineStr">
        <is>
          <t>Date</t>
        </is>
      </c>
      <c r="B2" t="inlineStr">
        <is>
          <t>2021-03-09</t>
        </is>
      </c>
    </row>
    <row r="4">
      <c r="A4" s="25" t="inlineStr">
        <is>
          <t>QUANTITATIVE</t>
        </is>
      </c>
      <c r="B4" s="25" t="n"/>
      <c r="C4" s="25" t="n"/>
    </row>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9">
      <c r="A29" s="25" t="inlineStr">
        <is>
          <t>QUALITATIVE TAKEAWAYS</t>
        </is>
      </c>
      <c r="B29" s="25" t="n"/>
      <c r="C29" s="25"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3">
      <c r="A43" s="25" t="inlineStr">
        <is>
          <t>Q&amp;A SUMMARY</t>
        </is>
      </c>
      <c r="B43" s="25" t="n"/>
      <c r="C43" s="25"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2020 Earnings Call</t>
        </is>
      </c>
    </row>
    <row r="2">
      <c r="A2" s="24" t="inlineStr">
        <is>
          <t>Date</t>
        </is>
      </c>
      <c r="B2" t="inlineStr">
        <is>
          <t>2020-11-12</t>
        </is>
      </c>
    </row>
    <row r="4">
      <c r="A4" s="25" t="inlineStr">
        <is>
          <t>QUANTITATIVE</t>
        </is>
      </c>
      <c r="B4" s="25" t="n"/>
      <c r="C4" s="25" t="n"/>
      <c r="D4" s="25" t="n"/>
    </row>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row>
    <row r="37">
      <c r="A37" t="inlineStr">
        <is>
          <t>Func acquisition bonds paid off (Oct 30, now debt-free)</t>
        </is>
      </c>
      <c r="B37" t="inlineStr">
        <is>
          <t>~$10M</t>
        </is>
      </c>
    </row>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row>
    <row r="42">
      <c r="A42" t="inlineStr">
        <is>
          <t>% of doors DSD-serviced</t>
        </is>
      </c>
      <c r="B42" t="inlineStr">
        <is>
          <t>~30%</t>
        </is>
      </c>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1">
      <c r="A61" s="25" t="inlineStr">
        <is>
          <t>QUALITATIVE TAKEAWAYS</t>
        </is>
      </c>
      <c r="B61" s="25" t="n"/>
      <c r="C61" s="25" t="n"/>
      <c r="D61" s="25"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5">
      <c r="A75" s="25" t="inlineStr">
        <is>
          <t>Q&amp;A SUMMARY</t>
        </is>
      </c>
      <c r="B75" s="25" t="n"/>
      <c r="C75" s="25" t="n"/>
      <c r="D75" s="25"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LD Micro 500 Investor Conference</t>
        </is>
      </c>
    </row>
    <row r="2">
      <c r="A2" s="24" t="inlineStr">
        <is>
          <t>Date</t>
        </is>
      </c>
      <c r="B2" t="inlineStr">
        <is>
          <t>2020-09-02</t>
        </is>
      </c>
    </row>
    <row r="4">
      <c r="A4" s="25" t="inlineStr">
        <is>
          <t>QUANTITATIVE</t>
        </is>
      </c>
      <c r="B4" s="25" t="n"/>
      <c r="C4" s="25" t="n"/>
      <c r="D4" s="25" t="n"/>
    </row>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2">
      <c r="A42" s="25" t="inlineStr">
        <is>
          <t>QUALITATIVE TAKEAWAYS</t>
        </is>
      </c>
      <c r="B42" s="25" t="n"/>
      <c r="C42" s="25" t="n"/>
      <c r="D42" s="25"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6">
      <c r="A56" s="25" t="inlineStr">
        <is>
          <t>Q&amp;A SUMMARY</t>
        </is>
      </c>
      <c r="B56" s="25" t="n"/>
      <c r="C56" s="25" t="n"/>
      <c r="D56" s="25"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2020 Earnings Call</t>
        </is>
      </c>
    </row>
    <row r="2">
      <c r="A2" s="24" t="inlineStr">
        <is>
          <t>Date</t>
        </is>
      </c>
      <c r="B2" t="inlineStr">
        <is>
          <t>2020-08-06</t>
        </is>
      </c>
    </row>
    <row r="4">
      <c r="A4" s="25" t="inlineStr">
        <is>
          <t>QUANTITATIVE</t>
        </is>
      </c>
      <c r="B4" s="25" t="n"/>
      <c r="C4" s="25" t="n"/>
      <c r="D4" s="25" t="n"/>
    </row>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row>
    <row r="43">
      <c r="A43" t="inlineStr">
        <is>
          <t>Health club/specialty channel % of US revenue</t>
        </is>
      </c>
      <c r="B43" t="inlineStr">
        <is>
          <t>~20-28%</t>
        </is>
      </c>
    </row>
    <row r="44">
      <c r="A44" t="inlineStr">
        <is>
          <t>DSD metro market coverage</t>
        </is>
      </c>
      <c r="B44" t="inlineStr">
        <is>
          <t>~70%</t>
        </is>
      </c>
    </row>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60">
      <c r="A60" s="25" t="inlineStr">
        <is>
          <t>QUALITATIVE TAKEAWAYS</t>
        </is>
      </c>
      <c r="B60" s="25" t="n"/>
      <c r="C60" s="25" t="n"/>
      <c r="D60" s="25"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4">
      <c r="A74" s="25" t="inlineStr">
        <is>
          <t>Q&amp;A SUMMARY</t>
        </is>
      </c>
      <c r="B74" s="25" t="n"/>
      <c r="C74" s="25" t="n"/>
      <c r="D74" s="25"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2020 Earnings Call</t>
        </is>
      </c>
    </row>
    <row r="2">
      <c r="A2" s="24" t="inlineStr">
        <is>
          <t>Date</t>
        </is>
      </c>
      <c r="B2" t="inlineStr">
        <is>
          <t>2020-05-12</t>
        </is>
      </c>
    </row>
    <row r="4">
      <c r="A4" s="25" t="inlineStr">
        <is>
          <t>QUANTITATIVE</t>
        </is>
      </c>
      <c r="B4" s="25" t="n"/>
      <c r="C4" s="25" t="n"/>
      <c r="D4" s="25" t="n"/>
    </row>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row>
    <row r="31">
      <c r="A31" t="inlineStr">
        <is>
          <t>US days of inventory</t>
        </is>
      </c>
      <c r="B31" t="inlineStr">
        <is>
          <t>~130 days</t>
        </is>
      </c>
    </row>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row>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2">
      <c r="A52" s="25" t="inlineStr">
        <is>
          <t>QUALITATIVE TAKEAWAYS</t>
        </is>
      </c>
      <c r="B52" s="25" t="n"/>
      <c r="C52" s="25" t="n"/>
      <c r="D52" s="25"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6">
      <c r="A66" s="25" t="inlineStr">
        <is>
          <t>Q&amp;A SUMMARY</t>
        </is>
      </c>
      <c r="B66" s="25" t="n"/>
      <c r="C66" s="25" t="n"/>
      <c r="D66" s="25"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2019 Earnings Call</t>
        </is>
      </c>
    </row>
    <row r="2">
      <c r="A2" s="24" t="inlineStr">
        <is>
          <t>Date</t>
        </is>
      </c>
      <c r="B2" t="inlineStr">
        <is>
          <t>2020-03-12</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3">
      <c r="A63" s="25" t="inlineStr">
        <is>
          <t>QUALITATIVE TAKEAWAYS</t>
        </is>
      </c>
      <c r="B63" s="25" t="n"/>
      <c r="C63" s="25" t="n"/>
      <c r="D63" s="25"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9">
      <c r="A79" s="25" t="inlineStr">
        <is>
          <t>Q&amp;A SUMMARY</t>
        </is>
      </c>
      <c r="B79" s="25" t="n"/>
      <c r="C79" s="25" t="n"/>
      <c r="D79" s="25"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2019 Earnings Call</t>
        </is>
      </c>
    </row>
    <row r="2">
      <c r="A2" s="24" t="inlineStr">
        <is>
          <t>Date</t>
        </is>
      </c>
      <c r="B2" t="inlineStr">
        <is>
          <t>2019-11-07</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1">
      <c r="A61" s="25" t="inlineStr">
        <is>
          <t>QUALITATIVE TAKEAWAYS</t>
        </is>
      </c>
      <c r="B61" s="25" t="n"/>
      <c r="C61" s="25" t="n"/>
      <c r="D61" s="25"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6">
      <c r="A76" s="25" t="inlineStr">
        <is>
          <t>Q&amp;A SUMMARY</t>
        </is>
      </c>
      <c r="B76" s="25" t="n"/>
      <c r="C76" s="25" t="n"/>
      <c r="D76" s="25"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2019 Earnings Call</t>
        </is>
      </c>
    </row>
    <row r="2">
      <c r="A2" s="24" t="inlineStr">
        <is>
          <t>Date</t>
        </is>
      </c>
      <c r="B2" t="inlineStr">
        <is>
          <t>2019-08-08</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6">
      <c r="A66" s="25" t="inlineStr">
        <is>
          <t>QUALITATIVE TAKEAWAYS</t>
        </is>
      </c>
      <c r="B66" s="25" t="n"/>
      <c r="C66" s="25" t="n"/>
      <c r="D66" s="25"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1">
      <c r="A81" s="25" t="inlineStr">
        <is>
          <t>Q&amp;A SUMMARY</t>
        </is>
      </c>
      <c r="B81" s="25" t="n"/>
      <c r="C81" s="25" t="n"/>
      <c r="D81" s="25"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2019 Earnings Call</t>
        </is>
      </c>
    </row>
    <row r="2">
      <c r="A2" s="24" t="inlineStr">
        <is>
          <t>Date</t>
        </is>
      </c>
      <c r="B2" t="inlineStr">
        <is>
          <t>2019-05-09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9">
      <c r="A59" s="25" t="inlineStr">
        <is>
          <t>QUALITATIVE TAKEAWAYS</t>
        </is>
      </c>
      <c r="B59" s="25" t="n"/>
      <c r="C59" s="25" t="n"/>
      <c r="D59" s="25"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5">
      <c r="A75" s="25" t="inlineStr">
        <is>
          <t>Q&amp;A SUMMARY</t>
        </is>
      </c>
      <c r="B75" s="25" t="n"/>
      <c r="C75" s="25" t="n"/>
      <c r="D75" s="25"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2018 Earnings Call</t>
        </is>
      </c>
    </row>
    <row r="2">
      <c r="A2" s="24" t="inlineStr">
        <is>
          <t>Date</t>
        </is>
      </c>
      <c r="B2" t="inlineStr">
        <is>
          <t>2019-03-14</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4">
      <c r="A74" s="25" t="inlineStr">
        <is>
          <t>QUALITATIVE TAKEAWAYS</t>
        </is>
      </c>
      <c r="B74" s="25" t="n"/>
      <c r="C74" s="25" t="n"/>
      <c r="D74" s="25"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9">
      <c r="A89" s="25" t="inlineStr">
        <is>
          <t>Q&amp;A SUMMARY</t>
        </is>
      </c>
      <c r="B89" s="25" t="n"/>
      <c r="C89" s="25" t="n"/>
      <c r="D89" s="25"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3"/>
  <sheetViews>
    <sheetView workbookViewId="0">
      <selection activeCell="A13" sqref="A13"/>
    </sheetView>
  </sheetViews>
  <sheetFormatPr baseColWidth="8" defaultRowHeight="14.4"/>
  <cols>
    <col width="46" customWidth="1" min="1" max="1"/>
    <col width="15" customWidth="1" min="2" max="8"/>
  </cols>
  <sheetData>
    <row r="1">
      <c r="A1" s="24" t="inlineStr">
        <is>
          <t>Event</t>
        </is>
      </c>
      <c r="B1" t="inlineStr">
        <is>
          <t>Q3 2018 Earnings Call</t>
        </is>
      </c>
    </row>
    <row r="2">
      <c r="A2" s="24" t="inlineStr">
        <is>
          <t>Date</t>
        </is>
      </c>
      <c r="B2" t="inlineStr">
        <is>
          <t>2018-11-09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8">
      <c r="A58" t="inlineStr">
        <is>
          <t>Guidance</t>
        </is>
      </c>
      <c r="B58" t="inlineStr">
        <is>
          <t>Value</t>
        </is>
      </c>
      <c r="C58" t="inlineStr">
        <is>
          <t>Period</t>
        </is>
      </c>
    </row>
    <row r="59">
      <c r="A59" t="inlineStr">
        <is>
          <t>Quantitative Financial Guidance</t>
        </is>
      </c>
      <c r="B59" t="inlineStr">
        <is>
          <t>None issued</t>
        </is>
      </c>
      <c r="C59" t="inlineStr">
        <is>
          <t>-</t>
        </is>
      </c>
    </row>
    <row r="60">
      <c r="A60" t="inlineStr">
        <is>
          <t>China Investment Run-Rate</t>
        </is>
      </c>
      <c r="B60" t="inlineStr">
        <is>
          <t>Normalizes in Q4 / 2019</t>
        </is>
      </c>
      <c r="C60" t="inlineStr">
        <is>
          <t>2018Q4-FY2019</t>
        </is>
      </c>
    </row>
    <row r="62">
      <c r="A62" s="25" t="inlineStr">
        <is>
          <t>QUALITATIVE TAKEAWAYS</t>
        </is>
      </c>
      <c r="B62" s="25" t="n"/>
      <c r="C62" s="25" t="n"/>
      <c r="D62" s="25"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7">
      <c r="A77" s="25" t="inlineStr">
        <is>
          <t>Q&amp;A SUMMARY</t>
        </is>
      </c>
      <c r="B77" s="25" t="n"/>
      <c r="C77" s="25" t="n"/>
      <c r="D77" s="25"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S109"/>
  <sheetViews>
    <sheetView topLeftCell="A70" zoomScale="85" zoomScaleNormal="85" workbookViewId="0">
      <selection activeCell="A15" sqref="A15"/>
    </sheetView>
  </sheetViews>
  <sheetFormatPr baseColWidth="8" defaultRowHeight="14.4"/>
  <cols>
    <col width="35.44140625" bestFit="1" customWidth="1" min="3" max="3"/>
  </cols>
  <sheetData>
    <row r="1"/>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41" t="n">
        <v>-81</v>
      </c>
      <c r="E60" s="41" t="n">
        <v>-327.5</v>
      </c>
    </row>
    <row r="61">
      <c r="C61" t="inlineStr">
        <is>
          <t>Sales &amp; Marketing</t>
        </is>
      </c>
      <c r="D61" s="42">
        <f>SUM(D59:D60)</f>
        <v/>
      </c>
      <c r="E61" s="42">
        <f>SUM(E59:E60)</f>
        <v/>
      </c>
      <c r="F61" s="43" t="n"/>
    </row>
    <row r="62">
      <c r="D62" s="44" t="n"/>
    </row>
    <row r="63">
      <c r="C63" t="inlineStr">
        <is>
          <t>Administrative</t>
        </is>
      </c>
      <c r="D63" s="15" t="n">
        <v>81</v>
      </c>
      <c r="E63" t="n">
        <v>250</v>
      </c>
    </row>
    <row r="64">
      <c r="C64" t="inlineStr">
        <is>
          <t>Acquisition Cost Adjustment</t>
        </is>
      </c>
      <c r="D64" s="41" t="n">
        <v>-5</v>
      </c>
      <c r="E64" s="41"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2026-05-17T16:59:27Z</dcterms:modified>
  <cp:lastModifiedBy>Gabriel Rodino</cp:lastModifiedBy>
</cp:coreProperties>
</file>