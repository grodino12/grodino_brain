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9016" windowHeight="15696" tabRatio="600" firstSheet="0" activeTab="0" autoFilterDateGrouping="1"/>
  </bookViews>
  <sheets>
    <sheet xmlns:r="http://schemas.openxmlformats.org/officeDocument/2006/relationships" name="KPI Consolidated" sheetId="1" state="visible" r:id="rId1"/>
    <sheet xmlns:r="http://schemas.openxmlformats.org/officeDocument/2006/relationships" name="01 2018Q3 Earnings" sheetId="2" state="visible" r:id="rId2"/>
    <sheet xmlns:r="http://schemas.openxmlformats.org/officeDocument/2006/relationships" name="02 2018Q4 Earnings" sheetId="3" state="visible" r:id="rId3"/>
    <sheet xmlns:r="http://schemas.openxmlformats.org/officeDocument/2006/relationships" name="03 2019Q1 Earnings" sheetId="4" state="visible" r:id="rId4"/>
    <sheet xmlns:r="http://schemas.openxmlformats.org/officeDocument/2006/relationships" name="04 2019Q2 Earnings" sheetId="5" state="visible" r:id="rId5"/>
    <sheet xmlns:r="http://schemas.openxmlformats.org/officeDocument/2006/relationships" name="05 2019Q3 Earnings" sheetId="6" state="visible" r:id="rId6"/>
    <sheet xmlns:r="http://schemas.openxmlformats.org/officeDocument/2006/relationships" name="06 2019Q4 Earnings" sheetId="7" state="visible" r:id="rId7"/>
    <sheet xmlns:r="http://schemas.openxmlformats.org/officeDocument/2006/relationships" name="07 Q1 2020 Earnings" sheetId="8" state="visible" r:id="rId8"/>
    <sheet xmlns:r="http://schemas.openxmlformats.org/officeDocument/2006/relationships" name="08 Q2 2020 Earnings" sheetId="9" state="visible" r:id="rId9"/>
    <sheet xmlns:r="http://schemas.openxmlformats.org/officeDocument/2006/relationships" name="09 LD Micro Conf" sheetId="10" state="visible" r:id="rId10"/>
    <sheet xmlns:r="http://schemas.openxmlformats.org/officeDocument/2006/relationships" name="10 Q3 2020 Earnings" sheetId="11" state="visible" r:id="rId11"/>
    <sheet xmlns:r="http://schemas.openxmlformats.org/officeDocument/2006/relationships" name="11 UBS Conference" sheetId="12" state="visible" r:id="rId12"/>
    <sheet xmlns:r="http://schemas.openxmlformats.org/officeDocument/2006/relationships" name="12 2020Q4 Earnings" sheetId="13" state="visible" r:id="rId13"/>
    <sheet xmlns:r="http://schemas.openxmlformats.org/officeDocument/2006/relationships" name="13 Q1 2021 Earnings" sheetId="14" state="visible" r:id="rId14"/>
    <sheet xmlns:r="http://schemas.openxmlformats.org/officeDocument/2006/relationships" name="14 2021Q2 Earnings" sheetId="15" state="visible" r:id="rId15"/>
    <sheet xmlns:r="http://schemas.openxmlformats.org/officeDocument/2006/relationships" name="15 Annual Shareholder Mtg" sheetId="16" state="visible" r:id="rId16"/>
    <sheet xmlns:r="http://schemas.openxmlformats.org/officeDocument/2006/relationships" name="16 2021Q3 Earnings" sheetId="17" state="visible" r:id="rId17"/>
    <sheet xmlns:r="http://schemas.openxmlformats.org/officeDocument/2006/relationships" name="17 Jefferies Conference" sheetId="18" state="visible" r:id="rId18"/>
    <sheet xmlns:r="http://schemas.openxmlformats.org/officeDocument/2006/relationships" name="18 Morgan Stanley Conf" sheetId="19" state="visible" r:id="rId19"/>
    <sheet xmlns:r="http://schemas.openxmlformats.org/officeDocument/2006/relationships" name="19 Q4 2021 Earnings" sheetId="20" state="visible" r:id="rId20"/>
    <sheet xmlns:r="http://schemas.openxmlformats.org/officeDocument/2006/relationships" name="20 2022Q1 Earnings" sheetId="21" state="visible" r:id="rId21"/>
    <sheet xmlns:r="http://schemas.openxmlformats.org/officeDocument/2006/relationships" name="21 Credit Suisse Conf" sheetId="22" state="visible" r:id="rId22"/>
    <sheet xmlns:r="http://schemas.openxmlformats.org/officeDocument/2006/relationships" name="22 Annual Shareholder Mtg" sheetId="23" state="visible" r:id="rId23"/>
    <sheet xmlns:r="http://schemas.openxmlformats.org/officeDocument/2006/relationships" name="23 Evercore Conference" sheetId="24" state="visible" r:id="rId24"/>
    <sheet xmlns:r="http://schemas.openxmlformats.org/officeDocument/2006/relationships" name="24 Stifel Conference" sheetId="25" state="visible" r:id="rId25"/>
    <sheet xmlns:r="http://schemas.openxmlformats.org/officeDocument/2006/relationships" name="25 PepsiCo Distribution" sheetId="26" state="visible" r:id="rId26"/>
    <sheet xmlns:r="http://schemas.openxmlformats.org/officeDocument/2006/relationships" name="26 2022Q2 Earnings" sheetId="27" state="visible" r:id="rId27"/>
    <sheet xmlns:r="http://schemas.openxmlformats.org/officeDocument/2006/relationships" name="27 2022Q3 Earnings" sheetId="28" state="visible" r:id="rId28"/>
    <sheet xmlns:r="http://schemas.openxmlformats.org/officeDocument/2006/relationships" name="28 2022Q4 Earnings" sheetId="29" state="visible" r:id="rId29"/>
    <sheet xmlns:r="http://schemas.openxmlformats.org/officeDocument/2006/relationships" name="29 2023Q1 Earnings" sheetId="30" state="visible" r:id="rId30"/>
    <sheet xmlns:r="http://schemas.openxmlformats.org/officeDocument/2006/relationships" name="30 Goldman Sachs Conference" sheetId="31" state="visible" r:id="rId31"/>
    <sheet xmlns:r="http://schemas.openxmlformats.org/officeDocument/2006/relationships" name="31 Annual General Meeting" sheetId="32" state="visible" r:id="rId32"/>
    <sheet xmlns:r="http://schemas.openxmlformats.org/officeDocument/2006/relationships" name="32 Stifel Conference" sheetId="33" state="visible" r:id="rId33"/>
    <sheet xmlns:r="http://schemas.openxmlformats.org/officeDocument/2006/relationships" name="33 Evercore Conference" sheetId="34" state="visible" r:id="rId34"/>
    <sheet xmlns:r="http://schemas.openxmlformats.org/officeDocument/2006/relationships" name="34 2023Q2 Earnings" sheetId="35" state="visible" r:id="rId35"/>
    <sheet xmlns:r="http://schemas.openxmlformats.org/officeDocument/2006/relationships" name="35 Barclays Conf 2023-09" sheetId="36" state="visible" r:id="rId36"/>
    <sheet xmlns:r="http://schemas.openxmlformats.org/officeDocument/2006/relationships" name="36 Piper Sandler Conf 09-13" sheetId="37" state="visible" r:id="rId37"/>
    <sheet xmlns:r="http://schemas.openxmlformats.org/officeDocument/2006/relationships" name="37 2023Q3 Earnings" sheetId="38" state="visible" r:id="rId38"/>
    <sheet xmlns:r="http://schemas.openxmlformats.org/officeDocument/2006/relationships" name="38 Stephens Conf 2023-11" sheetId="39" state="visible" r:id="rId39"/>
    <sheet xmlns:r="http://schemas.openxmlformats.org/officeDocument/2006/relationships" name="39 Morgan Stanley Conf 12-06" sheetId="40" state="visible" r:id="rId40"/>
    <sheet xmlns:r="http://schemas.openxmlformats.org/officeDocument/2006/relationships" name="40 2023Q4 Earnings" sheetId="41" state="visible" r:id="rId41"/>
    <sheet xmlns:r="http://schemas.openxmlformats.org/officeDocument/2006/relationships" name="41 UBS Conference" sheetId="42" state="visible" r:id="rId42"/>
    <sheet xmlns:r="http://schemas.openxmlformats.org/officeDocument/2006/relationships" name="42 Q1 2024 Earnings" sheetId="43" state="visible" r:id="rId43"/>
    <sheet xmlns:r="http://schemas.openxmlformats.org/officeDocument/2006/relationships" name="43 Goldman Sachs 2024-05-14" sheetId="44" state="visible" r:id="rId44"/>
    <sheet xmlns:r="http://schemas.openxmlformats.org/officeDocument/2006/relationships" name="44 William Blair 2024-06-04" sheetId="45" state="visible" r:id="rId45"/>
    <sheet xmlns:r="http://schemas.openxmlformats.org/officeDocument/2006/relationships" name="45 Evercore ISI 2024-06-11" sheetId="46" state="visible" r:id="rId46"/>
    <sheet xmlns:r="http://schemas.openxmlformats.org/officeDocument/2006/relationships" name="46 2024Q2 Earnings" sheetId="47" state="visible" r:id="rId47"/>
    <sheet xmlns:r="http://schemas.openxmlformats.org/officeDocument/2006/relationships" name="47 Barclays Conf 2024-09" sheetId="48" state="visible" r:id="rId48"/>
    <sheet xmlns:r="http://schemas.openxmlformats.org/officeDocument/2006/relationships" name="48 Piper Sandler Conf" sheetId="49" state="visible" r:id="rId49"/>
    <sheet xmlns:r="http://schemas.openxmlformats.org/officeDocument/2006/relationships" name="49 2024Q3 Earnings" sheetId="50" state="visible" r:id="rId50"/>
    <sheet xmlns:r="http://schemas.openxmlformats.org/officeDocument/2006/relationships" name="50 Morgan Stanley Conf" sheetId="51" state="visible" r:id="rId51"/>
    <sheet xmlns:r="http://schemas.openxmlformats.org/officeDocument/2006/relationships" name="51 2024Q4 Earnings" sheetId="52" state="visible" r:id="rId52"/>
    <sheet xmlns:r="http://schemas.openxmlformats.org/officeDocument/2006/relationships" name="52 CAGNY Conf 2025-02-21" sheetId="53" state="visible" r:id="rId53"/>
    <sheet xmlns:r="http://schemas.openxmlformats.org/officeDocument/2006/relationships" name="53 UBS Conf 2025-03-12" sheetId="54" state="visible" r:id="rId54"/>
    <sheet xmlns:r="http://schemas.openxmlformats.org/officeDocument/2006/relationships" name="54 ROTH Conf 2025-03-18" sheetId="55" state="visible" r:id="rId55"/>
    <sheet xmlns:r="http://schemas.openxmlformats.org/officeDocument/2006/relationships" name="55 2025Q1 Earnings" sheetId="56" state="visible" r:id="rId56"/>
    <sheet xmlns:r="http://schemas.openxmlformats.org/officeDocument/2006/relationships" name="56 Goldman Sachs Conf" sheetId="57" state="visible" r:id="rId57"/>
    <sheet xmlns:r="http://schemas.openxmlformats.org/officeDocument/2006/relationships" name="57 Acquiring Alani Nu" sheetId="58" state="visible" r:id="rId58"/>
    <sheet xmlns:r="http://schemas.openxmlformats.org/officeDocument/2006/relationships" name="58 Deutsche Bank Conf" sheetId="59" state="visible" r:id="rId59"/>
    <sheet xmlns:r="http://schemas.openxmlformats.org/officeDocument/2006/relationships" name="59 William Blair Conf" sheetId="60" state="visible" r:id="rId60"/>
    <sheet xmlns:r="http://schemas.openxmlformats.org/officeDocument/2006/relationships" name="60 2025Q2 Earnings" sheetId="61" state="visible" r:id="rId61"/>
    <sheet xmlns:r="http://schemas.openxmlformats.org/officeDocument/2006/relationships" name="61 Barclays Conf 2025-09" sheetId="62" state="visible" r:id="rId62"/>
    <sheet xmlns:r="http://schemas.openxmlformats.org/officeDocument/2006/relationships" name="62 Piper Sandler 2025-09" sheetId="63" state="visible" r:id="rId63"/>
    <sheet xmlns:r="http://schemas.openxmlformats.org/officeDocument/2006/relationships" name="63 2025Q3 Earnings" sheetId="64" state="visible" r:id="rId64"/>
    <sheet xmlns:r="http://schemas.openxmlformats.org/officeDocument/2006/relationships" name="64 Morgan Stanley 2025-12" sheetId="65" state="visible" r:id="rId65"/>
    <sheet xmlns:r="http://schemas.openxmlformats.org/officeDocument/2006/relationships" name="65 CAGNY Conf 2026-02" sheetId="66" state="visible" r:id="rId66"/>
    <sheet xmlns:r="http://schemas.openxmlformats.org/officeDocument/2006/relationships" name="66 2025Q4 Earnings PR" sheetId="67" state="visible" r:id="rId67"/>
    <sheet xmlns:r="http://schemas.openxmlformats.org/officeDocument/2006/relationships" name="67 2025Q4 Earnings" sheetId="68" state="visible" r:id="rId68"/>
    <sheet xmlns:r="http://schemas.openxmlformats.org/officeDocument/2006/relationships" name="68 UBS Conference" sheetId="69" state="visible" r:id="rId69"/>
    <sheet xmlns:r="http://schemas.openxmlformats.org/officeDocument/2006/relationships" name="69 2026Q1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7">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s>
  <fonts count="23">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b val="1"/>
      <i val="1"/>
      <sz val="9"/>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C5" authorId="0" shapeId="0">
      <text>
        <t>Source: Q3 2018 Earnings Call
Date: 2018-11-09
Workbook tab: 01 2018Q3 Earnings
Digest label: “Total Revenue Q3 2018”</t>
      </text>
    </comment>
    <comment ref="D5" authorId="0" shapeId="0">
      <text>
        <t>Source: Q3 2018 Earnings Call
Date: 2018-11-09
Workbook tab: 01 2018Q3 Earnings
Digest label: “Total Revenue 9M 2018”</t>
      </text>
    </comment>
    <comment ref="E5" authorId="0" shapeId="0">
      <text>
        <t>Source: Q4 &amp; Full-Year 2018 Earnings Call
Date: 2019-03-14
Workbook tab: 02 2018Q4 Earnings
Digest label: “Total Revenue Q4 2018”</t>
      </text>
    </comment>
    <comment ref="F5" authorId="0" shapeId="0">
      <text>
        <t>Source: Q4 &amp; Full-Year 2018 Earnings Call
Date: 2019-03-14
Workbook tab: 02 2018Q4 Earnings
Digest label: “Total Revenue FY2018”</t>
      </text>
    </comment>
    <comment ref="G5" authorId="0" shapeId="0">
      <text>
        <t>Source: Q1 2019 Earnings Call
Date: 2019-05-09
Workbook tab: 03 2019Q1 Earnings
Digest label: “Total Revenue Q1 2019”</t>
      </text>
    </comment>
    <comment ref="H5" authorId="0" shapeId="0">
      <text>
        <t>Source: Q2 2019 Earnings Call
Date: 2019-08-08
Workbook tab: 04 2019Q2 Earnings
Digest label: “Total Revenue Q2 2019”</t>
      </text>
    </comment>
    <comment ref="I5" authorId="0" shapeId="0">
      <text>
        <t>Source: Q2 2019 Earnings Call
Date: 2019-08-08
Workbook tab: 04 2019Q2 Earnings
Digest label: “Total Revenue H1 2019”</t>
      </text>
    </comment>
    <comment ref="J5" authorId="0" shapeId="0">
      <text>
        <t>Source: Q3 2019 Earnings Call
Date: 2019-11-07
Workbook tab: 05 2019Q3 Earnings
Digest label: “Total Revenue Q3 2019”</t>
      </text>
    </comment>
    <comment ref="K5" authorId="0" shapeId="0">
      <text>
        <t>Source: Q3 2019 Earnings Call
Date: 2019-11-07
Workbook tab: 05 2019Q3 Earnings
Digest label: “YTD Revenue 9M 2019”</t>
      </text>
    </comment>
    <comment ref="L5" authorId="0" shapeId="0">
      <text>
        <t>Source: Q4 &amp; Full-Year 2019 Earnings Call
Date: 2020-03-12
Workbook tab: 06 2019Q4 Earnings
Digest label: “Total Revenue Q4 2019”</t>
      </text>
    </comment>
    <comment ref="M5" authorId="0" shapeId="0">
      <text>
        <t>Source: Q4 &amp; Full-Year 2019 Earnings Call
Date: 2020-03-12
Workbook tab: 06 2019Q4 Earnings
Digest label: “Total Revenue FY2019”</t>
      </text>
    </comment>
    <comment ref="O5" authorId="0" shapeId="0">
      <text>
        <t>Source: Q4 &amp; Full-Year 2020 Earnings Call
Date: 2021-03-11
Workbook tab: 12 2020Q4 Earnings
Digest label: “Total Revenue Q4 2020”</t>
      </text>
    </comment>
    <comment ref="R5" authorId="0" shapeId="0">
      <text>
        <t>Reported in 2 transcripts (► = figure shown in cell):
► 65.1  —  Q2 2021 Earnings Call (2021-08-12)
   tab: 14 2021Q2 Earnings  |  “Total Revenue”
• 65.1  —  2021 Annual Meeting of Shareholders (2021-08-19)
   tab: 15 Annual Shareholder Mtg  |  “Q2 Revenue”</t>
      </text>
    </comment>
    <comment ref="S5" authorId="0" shapeId="0">
      <text>
        <t>Source: 2021 Annual Meeting of Shareholders
Date: 2021-08-19
Workbook tab: 15 Annual Shareholder Mtg
Digest label: “Total Revenue”</t>
      </text>
    </comment>
    <comment ref="T5" authorId="0" shapeId="0">
      <text>
        <t>Source: Q3 2021 Earnings Call
Date: 2021-11-11
Workbook tab: 16 2021Q3 Earnings
Digest label: “Total Revenue”</t>
      </text>
    </comment>
    <comment ref="V5" authorId="0" shapeId="0">
      <text>
        <t>Reported in 2 transcripts (► = figure shown in cell):
► Over 300  —  Q4 2021 Earnings Call (2022-03-01)
   tab: 19 Q4 2021 Earnings  |  “Total Revenue”
• 314.0  —  2022 Annual General Meeting (Annual Meeting of Shareholders) (2022-06-02)
   tab: 22 Annual Shareholder Mtg  |  “Total revenue ($M)”</t>
      </text>
    </comment>
    <comment ref="W5" authorId="0" shapeId="0">
      <text>
        <t>Reported in 3 transcripts (► = figure shown in cell):
► 133.4  —  Q1 2022 Earnings Call (2022-05-10)
   tab: 20 2022Q1 Earnings  |  “Total Revenue”
• 133.0  —  Credit Suisse HALO Investment Summit (2022-05-25)
   tab: 21 Credit Suisse Conf  |  “Revenue ($M)”
• 133.0  —  2022 Annual General Meeting (Annual Meeting of Shareholders) (2022-06-02)
   tab: 22 Annual Shareholder Mtg  |  “Total revenue ($M)”</t>
      </text>
    </comment>
    <comment ref="X5" authorId="0" shapeId="0">
      <text>
        <t>Source: Q2 2022 Earnings Call
Date: 2022-08-09
Workbook tab: 26 2022Q2 Earnings
Digest label: “Total revenue”</t>
      </text>
    </comment>
    <comment ref="Y5" authorId="0" shapeId="0">
      <text>
        <t>Source: Q3 2022 Earnings Call
Date: 2022-11-09
Workbook tab: 27 2022Q3 Earnings
Digest label: “Total revenue”</t>
      </text>
    </comment>
    <comment ref="Z5" authorId="0" shapeId="0">
      <text>
        <t>Source: Q4 2022 / FY2022 Earnings Call
Date: 2023-03-01
Workbook tab: 28 2022Q4 Earnings
Digest label: “Total Revenue”</t>
      </text>
    </comment>
    <comment ref="AA5" authorId="0" shapeId="0">
      <text>
        <t>Reported in 2 transcripts (► = figure shown in cell):
► 654.0  —  Q4 2022 / FY2022 Earnings Call (2023-03-01)
   tab: 28 2022Q4 Earnings  |  “Total Revenue”
• 654.0  —  Celsius Holdings 2023 Annual General Meeting (2023-06-01)
   tab: 31 Annual General Meeting  |  “Revenue”</t>
      </text>
    </comment>
    <comment ref="AB5" authorId="0" shapeId="0">
      <text>
        <t>Reported in 2 transcripts (► = figure shown in cell):
► 260.0  —  Celsius Holdings Q1 2023 Earnings Call (2023-05-09)
   tab: 29 2023Q1 Earnings  |  “Total Revenue”
• 260.0  —  Celsius Holdings 2023 Annual General Meeting (2023-06-01)
   tab: 31 Annual General Meeting  |  “Revenue”</t>
      </text>
    </comment>
    <comment ref="AC5" authorId="0" shapeId="0">
      <text>
        <t>Source: Q2 2023 Earnings Call
Date: 2023-08-08
Workbook tab: 34 2023Q2 Earnings
Digest label: “Total Revenue”</t>
      </text>
    </comment>
    <comment ref="AD5" authorId="0" shapeId="0">
      <text>
        <t>Source: Q2 2023 Earnings Call
Date: 2023-08-08
Workbook tab: 34 2023Q2 Earnings
Digest label: “H1 Revenue”</t>
      </text>
    </comment>
    <comment ref="AE5" authorId="0" shapeId="0">
      <text>
        <t>Source: Q3 2023 Earnings Call
Date: 2023-11-07
Workbook tab: 37 2023Q3 Earnings
Digest label: “Total Revenue”</t>
      </text>
    </comment>
    <comment ref="AF5" authorId="0" shapeId="0">
      <text>
        <t>Source: Q3 2023 Earnings Call
Date: 2023-11-07
Workbook tab: 37 2023Q3 Earnings
Digest label: “9M Revenue”</t>
      </text>
    </comment>
    <comment ref="AG5" authorId="0" shapeId="0">
      <text>
        <t>Source: Celsius Holdings Q4 2023 Earnings Call
Date: 2024-02-29
Workbook tab: 40 2023Q4 Earnings
Digest label: “Total Revenue”</t>
      </text>
    </comment>
    <comment ref="AH5" authorId="0" shapeId="0">
      <text>
        <t>Source: Celsius Holdings Q4 2023 Earnings Call
Date: 2024-02-29
Workbook tab: 40 2023Q4 Earnings
Digest label: “Total Revenue”</t>
      </text>
    </comment>
    <comment ref="AI5" authorId="0" shapeId="0">
      <text>
        <t>Source: Q1 2024 Earnings Call
Date: 2024-05-07
Workbook tab: 42 Q1 2024 Earnings
Digest label: “Total Revenue”</t>
      </text>
    </comment>
    <comment ref="AJ5" authorId="0" shapeId="0">
      <text>
        <t>Source: Q4 2024 Earnings Call
Date: 2025-02-20
Workbook tab: 51 2024Q4 Earnings
Digest label: “Revenue”</t>
      </text>
    </comment>
    <comment ref="AK5" authorId="0" shapeId="0">
      <text>
        <t>Reported in 2 transcripts (► = figure shown in cell):
► 1360.0  —  Q4 2024 Earnings Call (2025-02-20)
   tab: 51 2024Q4 Earnings  |  “Revenue”
• 605.0  —  Alani Nu Modeling Call (post-closing) (2025-05-28)
   tab: 57 Acquiring Alani Nu  |  “Net Revenues”</t>
      </text>
    </comment>
    <comment ref="AL5" authorId="0" shapeId="0">
      <text>
        <t>Reported in 2 transcripts (► = figure shown in cell):
► 329.3  —  Q1 2025 Earnings Call (2025-05-06)
   tab: 55 2025Q1 Earnings  |  “Total Revenue”
• -7%  —  Q1 2025 Earnings Call (2025-05-06)
   tab: 55 2025Q1 Earnings  |  “Reported revenue (books &amp; records)”</t>
      </text>
    </comment>
    <comment ref="AM5" authorId="0" shapeId="0">
      <text>
        <t>Source: CELH Q2 2025 Earnings Call
Date: 2025-08-07
Workbook tab: 60 2025Q2 Earnings
Digest label: “Total Revenue”</t>
      </text>
    </comment>
    <comment ref="AN5" authorId="0" shapeId="0">
      <text>
        <t>Source: CELH Q2 2025 Earnings Call
Date: 2025-08-07
Workbook tab: 60 2025Q2 Earnings
Digest label: “Total Revenue ($B)”</t>
      </text>
    </comment>
    <comment ref="AO5" authorId="0" shapeId="0">
      <text>
        <t>Source: CELH Q3 2025 Earnings Call
Date: 2025-11-06
Workbook tab: 63 2025Q3 Earnings
Digest label: “Consolidated Revenue ($M)”</t>
      </text>
    </comment>
    <comment ref="AP5" authorId="0" shapeId="0">
      <text>
        <t>Source: Q4 2025 / FY2025 Earnings Call
Date: 2026-02-26
Workbook tab: 67 2025Q4 Earnings
Digest label: “Net Sales”</t>
      </text>
    </comment>
    <comment ref="AQ5" authorId="0" shapeId="0">
      <text>
        <t>Reported in 4 transcripts (► = figure shown in cell):
• 2515.3  —  Full-Year 2025 and Fourth Quarter Financial Results Press Release (2026-02-26)
   tab: 66 2025Q4 Earnings PR  |  “Total revenue”
► $2.5B (record; two $2B brands)  —  Q4 2025 / FY2025 Earnings Call (2026-02-26)
   tab: 67 2025Q4 Earnings  |  “Net Revenue”
• 1460.0  —  Q4 2025 / FY2025 Earnings Call (2026-02-26)
   tab: 67 2025Q4 Earnings  |  “Net Sales”
• 56.0  —  Q4 2025 / FY2025 Earnings Call (2026-02-26)
   tab: 67 2025Q4 Earnings  |  “Net Sales”</t>
      </text>
    </comment>
    <comment ref="AR5" authorId="0" shapeId="0">
      <text>
        <t>Source: CELH Q1 2026 Earnings Call
Date: 2026-05-07
Workbook tab: 69 2026Q1 Earnings
Digest label: “Total Revenue”</t>
      </text>
    </comment>
    <comment ref="C6" authorId="0" shapeId="0">
      <text>
        <t>Source: Q3 2018 Earnings Call
Date: 2018-11-09
Workbook tab: 01 2018Q3 Earnings
Digest label: “North America Revenue Q3 2018”</t>
      </text>
    </comment>
    <comment ref="E6" authorId="0" shapeId="0">
      <text>
        <t>Source: Q4 &amp; Full-Year 2018 Earnings Call
Date: 2019-03-14
Workbook tab: 02 2018Q4 Earnings
Digest label: “North America Revenue Q4 2018”</t>
      </text>
    </comment>
    <comment ref="F6" authorId="0" shapeId="0">
      <text>
        <t>Source: Q4 &amp; Full-Year 2018 Earnings Call
Date: 2019-03-14
Workbook tab: 02 2018Q4 Earnings
Digest label: “North America Revenue FY2018”</t>
      </text>
    </comment>
    <comment ref="G6" authorId="0" shapeId="0">
      <text>
        <t>Source: Q1 2019 Earnings Call
Date: 2019-05-09
Workbook tab: 03 2019Q1 Earnings
Digest label: “North America Revenue Q1 2019”</t>
      </text>
    </comment>
    <comment ref="J6" authorId="0" shapeId="0">
      <text>
        <t>Source: Q3 2019 Earnings Call
Date: 2019-11-07
Workbook tab: 05 2019Q3 Earnings
Digest label: “North America Revenue Q3 2019”</t>
      </text>
    </comment>
    <comment ref="L6" authorId="0" shapeId="0">
      <text>
        <t>Source: Q4 &amp; Full-Year 2019 Earnings Call
Date: 2020-03-12
Workbook tab: 06 2019Q4 Earnings
Digest label: “North America Revenue Q4 2019”</t>
      </text>
    </comment>
    <comment ref="M6" authorId="0" shapeId="0">
      <text>
        <t>Source: Q4 &amp; Full-Year 2019 Earnings Call
Date: 2020-03-12
Workbook tab: 06 2019Q4 Earnings
Digest label: “North America Revenue FY2019”</t>
      </text>
    </comment>
    <comment ref="O6" authorId="0" shapeId="0">
      <text>
        <t>Source: Q4 &amp; Full-Year 2020 Earnings Call
Date: 2021-03-11
Workbook tab: 12 2020Q4 Earnings
Digest label: “North America / Domestic Revenue Q4 2020”</t>
      </text>
    </comment>
    <comment ref="R6" authorId="0" shapeId="0">
      <text>
        <t>Source: Q2 2021 Earnings Call
Date: 2021-08-12
Workbook tab: 14 2021Q2 Earnings
Digest label: “North America / Domestic”</t>
      </text>
    </comment>
    <comment ref="S6" authorId="0" shapeId="0">
      <text>
        <t>Source: 2021 Annual Meeting of Shareholders
Date: 2021-08-19
Workbook tab: 15 Annual Shareholder Mtg
Digest label: “North America Revenue”</t>
      </text>
    </comment>
    <comment ref="T6" authorId="0" shapeId="0">
      <text>
        <t>Source: Q3 2021 Earnings Call
Date: 2021-11-11
Workbook tab: 16 2021Q3 Earnings
Digest label: “North America / Domestic”</t>
      </text>
    </comment>
    <comment ref="V6" authorId="0" shapeId="0">
      <text>
        <t>Source: 2022 Annual General Meeting (Annual Meeting of Shareholders)
Date: 2022-06-02
Workbook tab: 22 Annual Shareholder Mtg
Digest label: “North American revenue ($M)”</t>
      </text>
    </comment>
    <comment ref="W6" authorId="0" shapeId="0">
      <text>
        <t>Reported in 2 transcripts (► = figure shown in cell):
► 123.5  —  Q1 2022 Earnings Call (2022-05-10)
   tab: 20 2022Q1 Earnings  |  “Domestic / North American Revenue”
• ~123-124  —  2022 Annual General Meeting (Annual Meeting of Shareholders) (2022-06-02)
   tab: 22 Annual Shareholder Mtg  |  “North American / domestic revenue ($M)”</t>
      </text>
    </comment>
    <comment ref="X6" authorId="0" shapeId="0">
      <text>
        <t>Source: Q2 2022 Earnings Call
Date: 2022-08-09
Workbook tab: 26 2022Q2 Earnings
Digest label: “US / North America revenue”</t>
      </text>
    </comment>
    <comment ref="Y6" authorId="0" shapeId="0">
      <text>
        <t>Source: Q3 2022 Earnings Call
Date: 2022-11-09
Workbook tab: 27 2022Q3 Earnings
Digest label: “US / North America revenue”</t>
      </text>
    </comment>
    <comment ref="Z6" authorId="0" shapeId="0">
      <text>
        <t>Source: Q4 2022 / FY2022 Earnings Call
Date: 2023-03-01
Workbook tab: 28 2022Q4 Earnings
Digest label: “North America Revenue”</t>
      </text>
    </comment>
    <comment ref="AB6" authorId="0" shapeId="0">
      <text>
        <t>Reported in 2 transcripts (► = figure shown in cell):
► 249.0  —  Celsius Holdings Q1 2023 Earnings Call (2023-05-09)
   tab: 29 2023Q1 Earnings  |  “North America”
• 249.0  —  Celsius Holdings 2023 Annual General Meeting (2023-06-01)
   tab: 31 Annual General Meeting  |  “North America Revenue”</t>
      </text>
    </comment>
    <comment ref="AC6" authorId="0" shapeId="0">
      <text>
        <t>Source: Q2 2023 Earnings Call
Date: 2023-08-08
Workbook tab: 34 2023Q2 Earnings
Digest label: “North America Revenue”</t>
      </text>
    </comment>
    <comment ref="AD6" authorId="0" shapeId="0">
      <text>
        <t>Source: Q2 2023 Earnings Call
Date: 2023-08-08
Workbook tab: 34 2023Q2 Earnings
Digest label: “H1 North America Revenue”</t>
      </text>
    </comment>
    <comment ref="AE6" authorId="0" shapeId="0">
      <text>
        <t>Source: Q3 2023 Earnings Call
Date: 2023-11-07
Workbook tab: 37 2023Q3 Earnings
Digest label: “North America Revenue”</t>
      </text>
    </comment>
    <comment ref="AG6" authorId="0" shapeId="0">
      <text>
        <t>Source: Celsius Holdings Q4 2023 Earnings Call
Date: 2024-02-29
Workbook tab: 40 2023Q4 Earnings
Digest label: “North America”</t>
      </text>
    </comment>
    <comment ref="AH6" authorId="0" shapeId="0">
      <text>
        <t>Source: Celsius Holdings Q4 2023 Earnings Call
Date: 2024-02-29
Workbook tab: 40 2023Q4 Earnings
Digest label: “North America”</t>
      </text>
    </comment>
    <comment ref="AI6" authorId="0" shapeId="0">
      <text>
        <t>Source: Q1 2024 Earnings Call
Date: 2024-05-07
Workbook tab: 42 Q1 2024 Earnings
Digest label: “North America Revenue”</t>
      </text>
    </comment>
    <comment ref="AM6" authorId="0" shapeId="0">
      <text>
        <t>Source: CELH Q2 2025 Earnings Call
Date: 2025-08-07
Workbook tab: 60 2025Q2 Earnings
Digest label: “North America (H1)”</t>
      </text>
    </comment>
    <comment ref="AQ6" authorId="0" shapeId="0">
      <text>
        <t>Source: Full-Year 2025 and Fourth Quarter Financial Results Press Release
Date: 2026-02-26
Workbook tab: 66 2025Q4 Earnings PR
Digest label: “North America revenue”</t>
      </text>
    </comment>
    <comment ref="F7" authorId="0" shapeId="0">
      <text>
        <t>Source: Q4 &amp; Full-Year 2018 Earnings Call
Date: 2019-03-14
Workbook tab: 02 2018Q4 Earnings
Digest label: “International Revenue FY2018”</t>
      </text>
    </comment>
    <comment ref="G7" authorId="0" shapeId="0">
      <text>
        <t>Source: Q1 2019 Earnings Call
Date: 2019-05-09
Workbook tab: 03 2019Q1 Earnings
Digest label: “International Revenue Q1 2019”</t>
      </text>
    </comment>
    <comment ref="O7" authorId="0" shapeId="0">
      <text>
        <t>Source: Q4 &amp; Full-Year 2020 Earnings Call
Date: 2021-03-11
Workbook tab: 12 2020Q4 Earnings
Digest label: “International Revenue Q4 2020”</t>
      </text>
    </comment>
    <comment ref="R7" authorId="0" shapeId="0">
      <text>
        <t>Source: Q2 2021 Earnings Call
Date: 2021-08-12
Workbook tab: 14 2021Q2 Earnings
Digest label: “International”</t>
      </text>
    </comment>
    <comment ref="S7" authorId="0" shapeId="0">
      <text>
        <t>Source: 2021 Annual Meeting of Shareholders
Date: 2021-08-19
Workbook tab: 15 Annual Shareholder Mtg
Digest label: “International Revenue”</t>
      </text>
    </comment>
    <comment ref="T7" authorId="0" shapeId="0">
      <text>
        <t>Source: Q3 2021 Earnings Call
Date: 2021-11-11
Workbook tab: 16 2021Q3 Earnings
Digest label: “International”</t>
      </text>
    </comment>
    <comment ref="V7" authorId="0" shapeId="0">
      <text>
        <t>Source: 2022 Annual General Meeting (Annual Meeting of Shareholders)
Date: 2022-06-02
Workbook tab: 22 Annual Shareholder Mtg
Digest label: “International revenue ($M)”</t>
      </text>
    </comment>
    <comment ref="W7" authorId="0" shapeId="0">
      <text>
        <t>Reported in 2 transcripts (► = figure shown in cell):
► 9.9  —  Q1 2022 Earnings Call (2022-05-10)
   tab: 20 2022Q1 Earnings  |  “International Revenue (total)”
• 10.0  —  2022 Annual General Meeting (Annual Meeting of Shareholders) (2022-06-02)
   tab: 22 Annual Shareholder Mtg  |  “International revenue ($M)”</t>
      </text>
    </comment>
    <comment ref="X7" authorId="0" shapeId="0">
      <text>
        <t>Source: Q2 2022 Earnings Call
Date: 2022-08-09
Workbook tab: 26 2022Q2 Earnings
Digest label: “International sales”</t>
      </text>
    </comment>
    <comment ref="Y7" authorId="0" shapeId="0">
      <text>
        <t>Source: Q3 2022 Earnings Call
Date: 2022-11-09
Workbook tab: 27 2022Q3 Earnings
Digest label: “International sales”</t>
      </text>
    </comment>
    <comment ref="Z7" authorId="0" shapeId="0">
      <text>
        <t>Source: Q4 2022 / FY2022 Earnings Call
Date: 2023-03-01
Workbook tab: 28 2022Q4 Earnings
Digest label: “International Sales”</t>
      </text>
    </comment>
    <comment ref="AB7" authorId="0" shapeId="0">
      <text>
        <t>Source: Celsius Holdings Q1 2023 Earnings Call
Date: 2023-05-09
Workbook tab: 29 2023Q1 Earnings
Digest label: “International”</t>
      </text>
    </comment>
    <comment ref="AC7" authorId="0" shapeId="0">
      <text>
        <t>Source: Q2 2023 Earnings Call
Date: 2023-08-08
Workbook tab: 34 2023Q2 Earnings
Digest label: “International Revenue”</t>
      </text>
    </comment>
    <comment ref="AD7" authorId="0" shapeId="0">
      <text>
        <t>Source: Q2 2023 Earnings Call
Date: 2023-08-08
Workbook tab: 34 2023Q2 Earnings
Digest label: “H1 International Revenue”</t>
      </text>
    </comment>
    <comment ref="AE7" authorId="0" shapeId="0">
      <text>
        <t>Source: Q3 2023 Earnings Call
Date: 2023-11-07
Workbook tab: 37 2023Q3 Earnings
Digest label: “International Revenue”</t>
      </text>
    </comment>
    <comment ref="AG7" authorId="0" shapeId="0">
      <text>
        <t>Source: Celsius Holdings Q4 2023 Earnings Call
Date: 2024-02-29
Workbook tab: 40 2023Q4 Earnings
Digest label: “International”</t>
      </text>
    </comment>
    <comment ref="AH7" authorId="0" shapeId="0">
      <text>
        <t>Source: Celsius Holdings Q4 2023 Earnings Call
Date: 2024-02-29
Workbook tab: 40 2023Q4 Earnings
Digest label: “International”</t>
      </text>
    </comment>
    <comment ref="AL7" authorId="0" shapeId="0">
      <text>
        <t>Source: Q1 2025 Earnings Call
Date: 2025-05-06
Workbook tab: 55 2025Q1 Earnings
Digest label: “International Revenue”</t>
      </text>
    </comment>
    <comment ref="AM7" authorId="0" shapeId="0">
      <text>
        <t>Source: CELH Q2 2025 Earnings Call
Date: 2025-08-07
Workbook tab: 60 2025Q2 Earnings
Digest label: “International (H1)”</t>
      </text>
    </comment>
    <comment ref="AQ7" authorId="0" shapeId="0">
      <text>
        <t>Source: Full-Year 2025 and Fourth Quarter Financial Results Press Release
Date: 2026-02-26
Workbook tab: 66 2025Q4 Earnings PR
Digest label: “International revenue”</t>
      </text>
    </comment>
    <comment ref="E8" authorId="0" shapeId="0">
      <text>
        <t>Source: Q4 &amp; Full-Year 2018 Earnings Call
Date: 2019-03-14
Workbook tab: 02 2018Q4 Earnings
Digest label: “Europe Revenue Q4 2018”</t>
      </text>
    </comment>
    <comment ref="J8" authorId="0" shapeId="0">
      <text>
        <t>Source: Q3 2019 Earnings Call
Date: 2019-11-07
Workbook tab: 05 2019Q3 Earnings
Digest label: “Europe Revenue Q3 2019”</t>
      </text>
    </comment>
    <comment ref="M8" authorId="0" shapeId="0">
      <text>
        <t>Source: Q4 &amp; Full-Year 2019 Earnings Call
Date: 2020-03-12
Workbook tab: 06 2019Q4 Earnings
Digest label: “Europe Revenue FY2019”</t>
      </text>
    </comment>
    <comment ref="O8" authorId="0" shapeId="0">
      <text>
        <t>Source: Q4 &amp; Full-Year 2020 Earnings Call
Date: 2021-03-11
Workbook tab: 12 2020Q4 Earnings
Digest label: “Europe Revenue Q4 2020”</t>
      </text>
    </comment>
    <comment ref="R8" authorId="0" shapeId="0">
      <text>
        <t>Source: Q2 2021 Earnings Call
Date: 2021-08-12
Workbook tab: 14 2021Q2 Earnings
Digest label: “Europe (Nordic)”</t>
      </text>
    </comment>
    <comment ref="T8" authorId="0" shapeId="0">
      <text>
        <t>Source: Q3 2021 Earnings Call
Date: 2021-11-11
Workbook tab: 16 2021Q3 Earnings
Digest label: “Europe / Nordic”</t>
      </text>
    </comment>
    <comment ref="W8" authorId="0" shapeId="0">
      <text>
        <t>Source: Q1 2022 Earnings Call
Date: 2022-05-10
Workbook tab: 20 2022Q1 Earnings
Digest label: “Europe / Nordics”</t>
      </text>
    </comment>
    <comment ref="X8" authorId="0" shapeId="0">
      <text>
        <t>Source: Q2 2022 Earnings Call
Date: 2022-08-09
Workbook tab: 26 2022Q2 Earnings
Digest label: “Nordic revenue”</t>
      </text>
    </comment>
    <comment ref="Y8" authorId="0" shapeId="0">
      <text>
        <t>Source: Q3 2022 Earnings Call
Date: 2022-11-09
Workbook tab: 27 2022Q3 Earnings
Digest label: “European revenue”</t>
      </text>
    </comment>
    <comment ref="C9" authorId="0" shapeId="0">
      <text>
        <t>Source: Q3 2018 Earnings Call
Date: 2018-11-09
Workbook tab: 01 2018Q3 Earnings
Digest label: “Asia Revenue Q3 2018”</t>
      </text>
    </comment>
    <comment ref="E9" authorId="0" shapeId="0">
      <text>
        <t>Source: Q4 &amp; Full-Year 2018 Earnings Call
Date: 2019-03-14
Workbook tab: 02 2018Q4 Earnings
Digest label: “Asia Revenue Q4 2018”</t>
      </text>
    </comment>
    <comment ref="F9" authorId="0" shapeId="0">
      <text>
        <t>Source: Q4 &amp; Full-Year 2018 Earnings Call
Date: 2019-03-14
Workbook tab: 02 2018Q4 Earnings
Digest label: “Asia Revenue FY2018”</t>
      </text>
    </comment>
    <comment ref="M9" authorId="0" shapeId="0">
      <text>
        <t>Source: Q4 &amp; Full-Year 2019 Earnings Call
Date: 2020-03-12
Workbook tab: 06 2019Q4 Earnings
Digest label: “Asia Revenue FY2019”</t>
      </text>
    </comment>
    <comment ref="O9" authorId="0" shapeId="0">
      <text>
        <t>Source: Q4 &amp; Full-Year 2020 Earnings Call
Date: 2021-03-11
Workbook tab: 12 2020Q4 Earnings
Digest label: “Asia Revenue Q4 2020 ($000)”</t>
      </text>
    </comment>
    <comment ref="W9" authorId="0" shapeId="0">
      <text>
        <t>Source: Q1 2022 Earnings Call
Date: 2022-05-10
Workbook tab: 20 2022Q1 Earnings
Digest label: “Asia (incl. China royalties)”</t>
      </text>
    </comment>
    <comment ref="W10" authorId="0" shapeId="0">
      <text>
        <t>Source: Q1 2022 Earnings Call
Date: 2022-05-10
Workbook tab: 20 2022Q1 Earnings
Digest label: “Amazon Revenue”</t>
      </text>
    </comment>
    <comment ref="Y10" authorId="0" shapeId="0">
      <text>
        <t>Reported in 2 transcripts (► = figure shown in cell):
► 16.0  —  Q3 2022 Earnings Call (2022-11-09)
   tab: 27 2022Q3 Earnings  |  “Amazon sales ($M)”
• 43.0  —  Q3 2022 Earnings Call (2022-11-09)
   tab: 27 2022Q3 Earnings  |  “Amazon sales YTD 2022 ($M)”</t>
      </text>
    </comment>
    <comment ref="AA10" authorId="0" shapeId="0">
      <text>
        <t>Source: Q4 2022 / FY2022 Earnings Call
Date: 2023-03-01
Workbook tab: 28 2022Q4 Earnings
Digest label: “Amazon Sales”</t>
      </text>
    </comment>
    <comment ref="AC10" authorId="0" shapeId="0">
      <text>
        <t>Source: Q2 2023 Earnings Call
Date: 2023-08-08
Workbook tab: 34 2023Q2 Earnings
Digest label: “Amazon Sales”</t>
      </text>
    </comment>
    <comment ref="AE10" authorId="0" shapeId="0">
      <text>
        <t>Source: Q3 2023 Earnings Call
Date: 2023-11-07
Workbook tab: 37 2023Q3 Earnings
Digest label: “Amazon Sales”</t>
      </text>
    </comment>
    <comment ref="AI10" authorId="0" shapeId="0">
      <text>
        <t>Source: Q1 2024 Earnings Call
Date: 2024-05-07
Workbook tab: 42 Q1 2024 Earnings
Digest label: “Amazon Revenue”</t>
      </text>
    </comment>
    <comment ref="C11" authorId="0" shapeId="0">
      <text>
        <t>Source: Q3 2018 Earnings Call
Date: 2018-11-09
Workbook tab: 01 2018Q3 Earnings
Digest label: “Gross Profit Q3 2018 ($M)”</t>
      </text>
    </comment>
    <comment ref="D11" authorId="0" shapeId="0">
      <text>
        <t>Source: Q3 2018 Earnings Call
Date: 2018-11-09
Workbook tab: 01 2018Q3 Earnings
Digest label: “Gross Profit 9M 2018 ($M)”</t>
      </text>
    </comment>
    <comment ref="E11" authorId="0" shapeId="0">
      <text>
        <t>Source: Q4 &amp; Full-Year 2018 Earnings Call
Date: 2019-03-14
Workbook tab: 02 2018Q4 Earnings
Digest label: “Gross Profit Q4 2018 ($M)”</t>
      </text>
    </comment>
    <comment ref="F11" authorId="0" shapeId="0">
      <text>
        <t>Source: Q4 &amp; Full-Year 2018 Earnings Call
Date: 2019-03-14
Workbook tab: 02 2018Q4 Earnings
Digest label: “Gross Profit FY2018 ($M)”</t>
      </text>
    </comment>
    <comment ref="G11" authorId="0" shapeId="0">
      <text>
        <t>Source: Q1 2019 Earnings Call
Date: 2019-05-09
Workbook tab: 03 2019Q1 Earnings
Digest label: “Gross Profit Q1 2019 ($M)”</t>
      </text>
    </comment>
    <comment ref="H11" authorId="0" shapeId="0">
      <text>
        <t>Source: Q2 2019 Earnings Call
Date: 2019-08-08
Workbook tab: 04 2019Q2 Earnings
Digest label: “Gross Profit Q2 2019 ($M)”</t>
      </text>
    </comment>
    <comment ref="I11" authorId="0" shapeId="0">
      <text>
        <t>Source: Q2 2019 Earnings Call
Date: 2019-08-08
Workbook tab: 04 2019Q2 Earnings
Digest label: “Gross Profit H1 2019 ($M)”</t>
      </text>
    </comment>
    <comment ref="J11" authorId="0" shapeId="0">
      <text>
        <t>Source: Q3 2019 Earnings Call
Date: 2019-11-07
Workbook tab: 05 2019Q3 Earnings
Digest label: “Gross Profit Q3 2019 ($M)”</t>
      </text>
    </comment>
    <comment ref="L11" authorId="0" shapeId="0">
      <text>
        <t>Source: Q4 &amp; Full-Year 2019 Earnings Call
Date: 2020-03-12
Workbook tab: 06 2019Q4 Earnings
Digest label: “Gross Profit Q4 2019 ($M)”</t>
      </text>
    </comment>
    <comment ref="M11" authorId="0" shapeId="0">
      <text>
        <t>Source: Q4 &amp; Full-Year 2019 Earnings Call
Date: 2020-03-12
Workbook tab: 06 2019Q4 Earnings
Digest label: “Gross Profit FY2019 ($M)”</t>
      </text>
    </comment>
    <comment ref="O11" authorId="0" shapeId="0">
      <text>
        <t>Source: Q4 &amp; Full-Year 2020 Earnings Call
Date: 2021-03-11
Workbook tab: 12 2020Q4 Earnings
Digest label: “Gross Profit Q4 2020 ($M)”</t>
      </text>
    </comment>
    <comment ref="R11" authorId="0" shapeId="0">
      <text>
        <t>Source: Q2 2021 Earnings Call
Date: 2021-08-12
Workbook tab: 14 2021Q2 Earnings
Digest label: “Gross Profit”</t>
      </text>
    </comment>
    <comment ref="S11" authorId="0" shapeId="0">
      <text>
        <t>Source: 2021 Annual Meeting of Shareholders
Date: 2021-08-19
Workbook tab: 15 Annual Shareholder Mtg
Digest label: “Gross Profit”</t>
      </text>
    </comment>
    <comment ref="T11" authorId="0" shapeId="0">
      <text>
        <t>Source: Q3 2021 Earnings Call
Date: 2021-11-11
Workbook tab: 16 2021Q3 Earnings
Digest label: “Gross Profit”</t>
      </text>
    </comment>
    <comment ref="V11" authorId="0" shapeId="0">
      <text>
        <t>Source: 2022 Annual General Meeting (Annual Meeting of Shareholders)
Date: 2022-06-02
Workbook tab: 22 Annual Shareholder Mtg
Digest label: “Gross profit ($M)”</t>
      </text>
    </comment>
    <comment ref="W11" authorId="0" shapeId="0">
      <text>
        <t>Reported in 2 transcripts (► = figure shown in cell):
► 53.9  —  Q1 2022 Earnings Call (2022-05-10)
   tab: 20 2022Q1 Earnings  |  “Gross Profit”
• 53.9  —  2022 Annual General Meeting (Annual Meeting of Shareholders) (2022-06-02)
   tab: 22 Annual Shareholder Mtg  |  “Gross profit ($M)”</t>
      </text>
    </comment>
    <comment ref="X11" authorId="0" shapeId="0">
      <text>
        <t>Source: Q2 2022 Earnings Call
Date: 2022-08-09
Workbook tab: 26 2022Q2 Earnings
Digest label: “Gross profit”</t>
      </text>
    </comment>
    <comment ref="Y11" authorId="0" shapeId="0">
      <text>
        <t>Source: Q3 2022 Earnings Call
Date: 2022-11-09
Workbook tab: 27 2022Q3 Earnings
Digest label: “Gross profit”</t>
      </text>
    </comment>
    <comment ref="Z11" authorId="0" shapeId="0">
      <text>
        <t>Source: Q4 2022 / FY2022 Earnings Call
Date: 2023-03-01
Workbook tab: 28 2022Q4 Earnings
Digest label: “Gross Profit”</t>
      </text>
    </comment>
    <comment ref="AA11" authorId="0" shapeId="0">
      <text>
        <t>Reported in 2 transcripts (► = figure shown in cell):
► 271.0  —  Q4 2022 / FY2022 Earnings Call (2023-03-01)
   tab: 28 2022Q4 Earnings  |  “Gross Profit”
• 271.0  —  Celsius Holdings 2023 Annual General Meeting (2023-06-01)
   tab: 31 Annual General Meeting  |  “Gross Profit”</t>
      </text>
    </comment>
    <comment ref="AB11" authorId="0" shapeId="0">
      <text>
        <t>Reported in 2 transcripts (► = figure shown in cell):
► 114.0  —  Celsius Holdings Q1 2023 Earnings Call (2023-05-09)
   tab: 29 2023Q1 Earnings  |  “Gross Profit ($M)”
• 114.0  —  Celsius Holdings 2023 Annual General Meeting (2023-06-01)
   tab: 31 Annual General Meeting  |  “Gross Profit”</t>
      </text>
    </comment>
    <comment ref="AC11" authorId="0" shapeId="0">
      <text>
        <t>Source: Q2 2023 Earnings Call
Date: 2023-08-08
Workbook tab: 34 2023Q2 Earnings
Digest label: “Gross Profit”</t>
      </text>
    </comment>
    <comment ref="AD11" authorId="0" shapeId="0">
      <text>
        <t>Source: Q2 2023 Earnings Call
Date: 2023-08-08
Workbook tab: 34 2023Q2 Earnings
Digest label: “H1 Gross Profit”</t>
      </text>
    </comment>
    <comment ref="AE11" authorId="0" shapeId="0">
      <text>
        <t>Source: Q3 2023 Earnings Call
Date: 2023-11-07
Workbook tab: 37 2023Q3 Earnings
Digest label: “Gross Profit”</t>
      </text>
    </comment>
    <comment ref="AF11" authorId="0" shapeId="0">
      <text>
        <t>Source: Q3 2023 Earnings Call
Date: 2023-11-07
Workbook tab: 37 2023Q3 Earnings
Digest label: “9M Gross Profit”</t>
      </text>
    </comment>
    <comment ref="AG11" authorId="0" shapeId="0">
      <text>
        <t>Source: Celsius Holdings Q4 2023 Earnings Call
Date: 2024-02-29
Workbook tab: 40 2023Q4 Earnings
Digest label: “Gross Profit ($M)”</t>
      </text>
    </comment>
    <comment ref="AH11" authorId="0" shapeId="0">
      <text>
        <t>Source: Celsius Holdings Q4 2023 Earnings Call
Date: 2024-02-29
Workbook tab: 40 2023Q4 Earnings
Digest label: “Gross Profit ($M)”</t>
      </text>
    </comment>
    <comment ref="AI11" authorId="0" shapeId="0">
      <text>
        <t>Source: Q1 2024 Earnings Call
Date: 2024-05-07
Workbook tab: 42 Q1 2024 Earnings
Digest label: “Gross Profit”</t>
      </text>
    </comment>
    <comment ref="AK11" authorId="0" shapeId="0">
      <text>
        <t>Source: Q4 2024 Earnings Call
Date: 2025-02-20
Workbook tab: 51 2024Q4 Earnings
Digest label: “Gross Profit”</t>
      </text>
    </comment>
    <comment ref="AL11" authorId="0" shapeId="0">
      <text>
        <t>Source: Q1 2025 Earnings Call
Date: 2025-05-06
Workbook tab: 55 2025Q1 Earnings
Digest label: “Gross Profit”</t>
      </text>
    </comment>
    <comment ref="AM11" authorId="0" shapeId="0">
      <text>
        <t>Source: CELH Q2 2025 Earnings Call
Date: 2025-08-07
Workbook tab: 60 2025Q2 Earnings
Digest label: “Gross Profit ($M)”</t>
      </text>
    </comment>
    <comment ref="AP11" authorId="0" shapeId="0">
      <text>
        <t>Source: Q4 2025 / FY2025 Earnings Call
Date: 2026-02-26
Workbook tab: 67 2025Q4 Earnings
Digest label: “Gross Profit”</t>
      </text>
    </comment>
    <comment ref="AQ11" authorId="0" shapeId="0">
      <text>
        <t>Reported in 2 transcripts (► = figure shown in cell):
• 1267.3  —  Full-Year 2025 and Fourth Quarter Financial Results Press Release (2026-02-26)
   tab: 66 2025Q4 Earnings PR  |  “Gross profit”
► 1270.0  —  Q4 2025 / FY2025 Earnings Call (2026-02-26)
   tab: 67 2025Q4 Earnings  |  “Gross Profit”</t>
      </text>
    </comment>
    <comment ref="C12" authorId="0" shapeId="0">
      <text>
        <t>Source: Q3 2018 Earnings Call
Date: 2018-11-09
Workbook tab: 01 2018Q3 Earnings
Digest label: “Gross Margin Q3 2018”</t>
      </text>
    </comment>
    <comment ref="D12" authorId="0" shapeId="0">
      <text>
        <t>Source: Q3 2018 Earnings Call
Date: 2018-11-09
Workbook tab: 01 2018Q3 Earnings
Digest label: “Gross Margin 9M 2018”</t>
      </text>
    </comment>
    <comment ref="E12" authorId="0" shapeId="0">
      <text>
        <t>Source: Q4 &amp; Full-Year 2018 Earnings Call
Date: 2019-03-14
Workbook tab: 02 2018Q4 Earnings
Digest label: “Gross Margin Q4 2018”</t>
      </text>
    </comment>
    <comment ref="F12" authorId="0" shapeId="0">
      <text>
        <t>Source: Q4 &amp; Full-Year 2018 Earnings Call
Date: 2019-03-14
Workbook tab: 02 2018Q4 Earnings
Digest label: “Gross Margin FY2018”</t>
      </text>
    </comment>
    <comment ref="G12" authorId="0" shapeId="0">
      <text>
        <t>Source: Q1 2019 Earnings Call
Date: 2019-05-09
Workbook tab: 03 2019Q1 Earnings
Digest label: “Gross Margin Q1 2019”</t>
      </text>
    </comment>
    <comment ref="H12" authorId="0" shapeId="0">
      <text>
        <t>Source: Q2 2019 Earnings Call
Date: 2019-08-08
Workbook tab: 04 2019Q2 Earnings
Digest label: “Gross Margin Q2 2019”</t>
      </text>
    </comment>
    <comment ref="I12" authorId="0" shapeId="0">
      <text>
        <t>Source: Q2 2019 Earnings Call
Date: 2019-08-08
Workbook tab: 04 2019Q2 Earnings
Digest label: “Gross Margin H1 2019”</t>
      </text>
    </comment>
    <comment ref="J12" authorId="0" shapeId="0">
      <text>
        <t>Source: Q3 2019 Earnings Call
Date: 2019-11-07
Workbook tab: 05 2019Q3 Earnings
Digest label: “Gross Margin Q3 2019”</t>
      </text>
    </comment>
    <comment ref="L12" authorId="0" shapeId="0">
      <text>
        <t>Source: Q4 &amp; Full-Year 2019 Earnings Call
Date: 2020-03-12
Workbook tab: 06 2019Q4 Earnings
Digest label: “Gross Margin Q4 2019”</t>
      </text>
    </comment>
    <comment ref="M12" authorId="0" shapeId="0">
      <text>
        <t>Source: Q4 &amp; Full-Year 2019 Earnings Call
Date: 2020-03-12
Workbook tab: 06 2019Q4 Earnings
Digest label: “Gross Margin FY2019”</t>
      </text>
    </comment>
    <comment ref="O12" authorId="0" shapeId="0">
      <text>
        <t>Reported in 2 transcripts (► = figure shown in cell):
► 48.9%  —  Q4 &amp; Full-Year 2020 Earnings Call (2021-03-11)
   tab: 12 2020Q4 Earnings  |  “Gross Margin Q4 2020”
• 57.2% (CFO); 54.7% (CEO)  —  Q4 &amp; Full-Year 2020 Earnings Call (2021-03-11)
   tab: 12 2020Q4 Earnings  |  “Gross Margin ex-Outbound Freight Q4 2020”</t>
      </text>
    </comment>
    <comment ref="R12" authorId="0" shapeId="0">
      <text>
        <t>Reported in 2 transcripts (► = figure shown in cell):
► 43.4%  —  Q2 2021 Earnings Call (2021-08-12)
   tab: 14 2021Q2 Earnings  |  “Gross Margin”
• 43.4%  —  2021 Annual Meeting of Shareholders (2021-08-19)
   tab: 15 Annual Shareholder Mtg  |  “GAAP Gross Margin”</t>
      </text>
    </comment>
    <comment ref="T12" authorId="0" shapeId="0">
      <text>
        <t>Source: Q3 2021 Earnings Call
Date: 2021-11-11
Workbook tab: 16 2021Q3 Earnings
Digest label: “Gross Margin”</t>
      </text>
    </comment>
    <comment ref="W12" authorId="0" shapeId="0">
      <text>
        <t>Reported in 3 transcripts (► = figure shown in cell):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text>
    </comment>
    <comment ref="X12" authorId="0" shapeId="0">
      <text>
        <t>Reported in 2 transcripts (► = figure shown in cell):
► 38.5%  —  Q2 2022 Earnings Call (2022-08-09)
   tab: 26 2022Q2 Earnings  |  “Gross margin”
• 44%  —  Q2 2022 Earnings Call (2022-08-09)
   tab: 26 2022Q2 Earnings  |  “Gross margin ex-outbound freight”</t>
      </text>
    </comment>
    <comment ref="Y12" authorId="0" shapeId="0">
      <text>
        <t>Reported in 2 transcripts (► = figure shown in cell):
► 41.8%  —  Q3 2022 Earnings Call (2022-11-09)
   tab: 27 2022Q3 Earnings  |  “Gross margin”
• 49.6%  —  Q3 2022 Earnings Call (2022-11-09)
   tab: 27 2022Q3 Earnings  |  “Gross margin ex-outbound freight”</t>
      </text>
    </comment>
    <comment ref="Z12" authorId="0" shapeId="0">
      <text>
        <t>Source: Q4 2022 / FY2022 Earnings Call
Date: 2023-03-01
Workbook tab: 28 2022Q4 Earnings
Digest label: “Gross Margin”</t>
      </text>
    </comment>
    <comment ref="AB12" authorId="0" shapeId="0">
      <text>
        <t>Reported in 2 transcripts (► = figure shown in cell):
► ~44%  —  Celsius Holdings Q1 2023 Earnings Call (2023-05-09)
   tab: 29 2023Q1 Earnings  |  “Gross Margin”
• ~44%  —  Celsius Holdings 2023 Annual General Meeting (2023-06-01)
   tab: 31 Annual General Meeting  |  “Gross Profit Margin”</t>
      </text>
    </comment>
    <comment ref="AC12" authorId="0" shapeId="0">
      <text>
        <t>Source: Q2 2023 Earnings Call
Date: 2023-08-08
Workbook tab: 34 2023Q2 Earnings
Digest label: “Gross Margin”</t>
      </text>
    </comment>
    <comment ref="AD12" authorId="0" shapeId="0">
      <text>
        <t>Source: Q2 2023 Earnings Call
Date: 2023-08-08
Workbook tab: 34 2023Q2 Earnings
Digest label: “H1 Gross Margin”</t>
      </text>
    </comment>
    <comment ref="AE12" authorId="0" shapeId="0">
      <text>
        <t>Source: Q3 2023 Earnings Call
Date: 2023-11-07
Workbook tab: 37 2023Q3 Earnings
Digest label: “Gross Margin”</t>
      </text>
    </comment>
    <comment ref="AG12" authorId="0" shapeId="0">
      <text>
        <t>Source: Celsius Holdings Q4 2023 Earnings Call
Date: 2024-02-29
Workbook tab: 40 2023Q4 Earnings
Digest label: “Gross Margin”</t>
      </text>
    </comment>
    <comment ref="AH12" authorId="0" shapeId="0">
      <text>
        <t>Source: Celsius Holdings Q4 2023 Earnings Call
Date: 2024-02-29
Workbook tab: 40 2023Q4 Earnings
Digest label: “Gross Margin”</t>
      </text>
    </comment>
    <comment ref="AI12" authorId="0" shapeId="0">
      <text>
        <t>Source: Q1 2024 Earnings Call
Date: 2024-05-07
Workbook tab: 42 Q1 2024 Earnings
Digest label: “Gross Profit Margin”</t>
      </text>
    </comment>
    <comment ref="AJ12" authorId="0" shapeId="0">
      <text>
        <t>Source: Q4 2024 Earnings Call
Date: 2025-02-20
Workbook tab: 51 2024Q4 Earnings
Digest label: “Gross Margin”</t>
      </text>
    </comment>
    <comment ref="AK12" authorId="0" shapeId="0">
      <text>
        <t>Reported in 2 transcripts (► = figure shown in cell):
► 50.2%  —  Q4 2024 Earnings Call (2025-02-20)
   tab: 51 2024Q4 Earnings  |  “Gross Profit Margin”
• 40% -&gt; low 40s  —  Alani Nu Modeling Call (post-closing) (2025-05-28)
   tab: 57 Acquiring Alani Nu  |  “Standalone gross margin”</t>
      </text>
    </comment>
    <comment ref="AL12" authorId="0" shapeId="0">
      <text>
        <t>Source: Q1 2025 Earnings Call
Date: 2025-05-06
Workbook tab: 55 2025Q1 Earnings
Digest label: “Gross Margin”</t>
      </text>
    </comment>
    <comment ref="AM12" authorId="0" shapeId="0">
      <text>
        <t>Source: CELH Q2 2025 Earnings Call
Date: 2025-08-07
Workbook tab: 60 2025Q2 Earnings
Digest label: “Consolidated Gross Margin”</t>
      </text>
    </comment>
    <comment ref="AN12" authorId="0" shapeId="0">
      <text>
        <t>Source: CELH Q2 2025 Earnings Call
Date: 2025-08-07
Workbook tab: 60 2025Q2 Earnings
Digest label: “Gross Margin”</t>
      </text>
    </comment>
    <comment ref="AO12" authorId="0" shapeId="0">
      <text>
        <t>Reported in 2 transcripts (► = figure shown in cell):
► 51.3%  —  CELH Q3 2025 Earnings Call (2025-11-06)
   tab: 63 2025Q3 Earnings  |  “Gross Margin”
• 51.6%  —  CELH Q3 2025 Earnings Call (2025-11-06)
   tab: 63 2025Q3 Earnings  |  “YTD Gross Margin”</t>
      </text>
    </comment>
    <comment ref="AP12" authorId="0" shapeId="0">
      <text>
        <t>Source: Q4 2025 / FY2025 Earnings Call
Date: 2026-02-26
Workbook tab: 67 2025Q4 Earnings
Digest label: “Gross Margin”</t>
      </text>
    </comment>
    <comment ref="AQ12" authorId="0" shapeId="0">
      <text>
        <t>Reported in 2 transcripts (► = figure shown in cell):
• 50.4%  —  Full-Year 2025 and Fourth Quarter Financial Results Press Release (2026-02-26)
   tab: 66 2025Q4 Earnings PR  |  “Gross margin”
► 50.4%  —  Q4 2025 / FY2025 Earnings Call (2026-02-26)
   tab: 67 2025Q4 Earnings  |  “Gross Margin”</t>
      </text>
    </comment>
    <comment ref="AR12" authorId="0" shapeId="0">
      <text>
        <t>Source: CELH Q1 2026 Earnings Call
Date: 2026-05-07
Workbook tab: 69 2026Q1 Earnings
Digest label: “Gross Margin”</t>
      </text>
    </comment>
    <comment ref="C13" authorId="0" shapeId="0">
      <text>
        <t>Source: Q3 2018 Earnings Call
Date: 2018-11-09
Workbook tab: 01 2018Q3 Earnings
Digest label: “Selling &amp; Marketing Q3 2018”</t>
      </text>
    </comment>
    <comment ref="D13" authorId="0" shapeId="0">
      <text>
        <t>Source: Q3 2018 Earnings Call
Date: 2018-11-09
Workbook tab: 01 2018Q3 Earnings
Digest label: “Selling &amp; Marketing 9M 2018”</t>
      </text>
    </comment>
    <comment ref="E13" authorId="0" shapeId="0">
      <text>
        <t>Source: Q4 &amp; Full-Year 2018 Earnings Call
Date: 2019-03-14
Workbook tab: 02 2018Q4 Earnings
Digest label: “Selling &amp; Marketing Q4 2018”</t>
      </text>
    </comment>
    <comment ref="F13" authorId="0" shapeId="0">
      <text>
        <t>Source: Q4 &amp; Full-Year 2018 Earnings Call
Date: 2019-03-14
Workbook tab: 02 2018Q4 Earnings
Digest label: “Selling &amp; Marketing FY2018”</t>
      </text>
    </comment>
    <comment ref="G13" authorId="0" shapeId="0">
      <text>
        <t>Source: Q1 2019 Earnings Call
Date: 2019-05-09
Workbook tab: 03 2019Q1 Earnings
Digest label: “Selling &amp; Marketing Q1 2019”</t>
      </text>
    </comment>
    <comment ref="H13" authorId="0" shapeId="0">
      <text>
        <t>Source: Q2 2019 Earnings Call
Date: 2019-08-08
Workbook tab: 04 2019Q2 Earnings
Digest label: “Selling &amp; Marketing Q2 2019”</t>
      </text>
    </comment>
    <comment ref="I13" authorId="0" shapeId="0">
      <text>
        <t>Source: Q2 2019 Earnings Call
Date: 2019-08-08
Workbook tab: 04 2019Q2 Earnings
Digest label: “Selling &amp; Marketing H1 2019”</t>
      </text>
    </comment>
    <comment ref="J13" authorId="0" shapeId="0">
      <text>
        <t>Source: Q3 2019 Earnings Call
Date: 2019-11-07
Workbook tab: 05 2019Q3 Earnings
Digest label: “Sales &amp; Marketing Q3 2019”</t>
      </text>
    </comment>
    <comment ref="L13" authorId="0" shapeId="0">
      <text>
        <t>Source: Q4 &amp; Full-Year 2019 Earnings Call
Date: 2020-03-12
Workbook tab: 06 2019Q4 Earnings
Digest label: “Selling &amp; Marketing Q4 2019”</t>
      </text>
    </comment>
    <comment ref="M13" authorId="0" shapeId="0">
      <text>
        <t>Source: Q4 &amp; Full-Year 2019 Earnings Call
Date: 2020-03-12
Workbook tab: 06 2019Q4 Earnings
Digest label: “Selling &amp; Marketing FY2019”</t>
      </text>
    </comment>
    <comment ref="O13" authorId="0" shapeId="0">
      <text>
        <t>Source: Q4 &amp; Full-Year 2020 Earnings Call
Date: 2021-03-11
Workbook tab: 12 2020Q4 Earnings
Digest label: “Selling &amp; Marketing Q4 2020”</t>
      </text>
    </comment>
    <comment ref="R13" authorId="0" shapeId="0">
      <text>
        <t>Source: Q2 2021 Earnings Call
Date: 2021-08-12
Workbook tab: 14 2021Q2 Earnings
Digest label: “Sales &amp; Marketing”</t>
      </text>
    </comment>
    <comment ref="T13" authorId="0" shapeId="0">
      <text>
        <t>Source: Q3 2021 Earnings Call
Date: 2021-11-11
Workbook tab: 16 2021Q3 Earnings
Digest label: “Sales &amp; Marketing”</t>
      </text>
    </comment>
    <comment ref="W13" authorId="0" shapeId="0">
      <text>
        <t>Source: Q1 2022 Earnings Call
Date: 2022-05-10
Workbook tab: 20 2022Q1 Earnings
Digest label: “Sales &amp; Marketing”</t>
      </text>
    </comment>
    <comment ref="Y13" authorId="0" shapeId="0">
      <text>
        <t>Source: Q3 2022 Earnings Call
Date: 2022-11-09
Workbook tab: 27 2022Q3 Earnings
Digest label: “Sales &amp; marketing expenses”</t>
      </text>
    </comment>
    <comment ref="AA13" authorId="0" shapeId="0">
      <text>
        <t>Source: Celsius Holdings 2023 Annual General Meeting
Date: 2023-06-01
Workbook tab: 31 Annual General Meeting
Digest label: “Sales &amp; Marketing Expense”</t>
      </text>
    </comment>
    <comment ref="AB13" authorId="0" shapeId="0">
      <text>
        <t>Reported in 2 transcripts (► = figure shown in cell):
► 48.0  —  Celsius Holdings Q1 2023 Earnings Call (2023-05-09)
   tab: 29 2023Q1 Earnings  |  “S&amp;M Expense ($M)”
• 48.0  —  Celsius Holdings 2023 Annual General Meeting (2023-06-01)
   tab: 31 Annual General Meeting  |  “Sales &amp; Marketing Expense”</t>
      </text>
    </comment>
    <comment ref="AC13" authorId="0" shapeId="0">
      <text>
        <t>Source: Q2 2023 Earnings Call
Date: 2023-08-08
Workbook tab: 34 2023Q2 Earnings
Digest label: “Sales &amp; Marketing ($)”</t>
      </text>
    </comment>
    <comment ref="AE13" authorId="0" shapeId="0">
      <text>
        <t>Source: Q3 2023 Earnings Call
Date: 2023-11-07
Workbook tab: 37 2023Q3 Earnings
Digest label: “Sales &amp; Marketing ($)”</t>
      </text>
    </comment>
    <comment ref="AG13" authorId="0" shapeId="0">
      <text>
        <t>Source: Celsius Holdings Q4 2023 Earnings Call
Date: 2024-02-29
Workbook tab: 40 2023Q4 Earnings
Digest label: “S&amp;M Expense ($M)”</t>
      </text>
    </comment>
    <comment ref="AM13" authorId="0" shapeId="0">
      <text>
        <t>Source: CELH Q2 2025 Earnings Call
Date: 2025-08-07
Workbook tab: 60 2025Q2 Earnings
Digest label: “S&amp;M Expense ($M)”</t>
      </text>
    </comment>
    <comment ref="C14" authorId="0" shapeId="0">
      <text>
        <t>Source: Q3 2018 Earnings Call
Date: 2018-11-09
Workbook tab: 01 2018Q3 Earnings
Digest label: “G&amp;A Q3 2018”</t>
      </text>
    </comment>
    <comment ref="D14" authorId="0" shapeId="0">
      <text>
        <t>Source: Q3 2018 Earnings Call
Date: 2018-11-09
Workbook tab: 01 2018Q3 Earnings
Digest label: “G&amp;A 9M 2018”</t>
      </text>
    </comment>
    <comment ref="E14" authorId="0" shapeId="0">
      <text>
        <t>Source: Q4 &amp; Full-Year 2018 Earnings Call
Date: 2019-03-14
Workbook tab: 02 2018Q4 Earnings
Digest label: “G&amp;A Q4 2018”</t>
      </text>
    </comment>
    <comment ref="F14" authorId="0" shapeId="0">
      <text>
        <t>Source: Q4 &amp; Full-Year 2018 Earnings Call
Date: 2019-03-14
Workbook tab: 02 2018Q4 Earnings
Digest label: “G&amp;A FY2018”</t>
      </text>
    </comment>
    <comment ref="G14" authorId="0" shapeId="0">
      <text>
        <t>Source: Q1 2019 Earnings Call
Date: 2019-05-09
Workbook tab: 03 2019Q1 Earnings
Digest label: “G&amp;A Q1 2019”</t>
      </text>
    </comment>
    <comment ref="H14" authorId="0" shapeId="0">
      <text>
        <t>Source: Q2 2019 Earnings Call
Date: 2019-08-08
Workbook tab: 04 2019Q2 Earnings
Digest label: “G&amp;A Q2 2019”</t>
      </text>
    </comment>
    <comment ref="I14" authorId="0" shapeId="0">
      <text>
        <t>Source: Q2 2019 Earnings Call
Date: 2019-08-08
Workbook tab: 04 2019Q2 Earnings
Digest label: “G&amp;A H1 2019”</t>
      </text>
    </comment>
    <comment ref="J14" authorId="0" shapeId="0">
      <text>
        <t>Source: Q3 2019 Earnings Call
Date: 2019-11-07
Workbook tab: 05 2019Q3 Earnings
Digest label: “G&amp;A Q3 2019”</t>
      </text>
    </comment>
    <comment ref="L14" authorId="0" shapeId="0">
      <text>
        <t>Source: Q4 &amp; Full-Year 2019 Earnings Call
Date: 2020-03-12
Workbook tab: 06 2019Q4 Earnings
Digest label: “G&amp;A Q4 2019”</t>
      </text>
    </comment>
    <comment ref="M14" authorId="0" shapeId="0">
      <text>
        <t>Source: Q4 &amp; Full-Year 2019 Earnings Call
Date: 2020-03-12
Workbook tab: 06 2019Q4 Earnings
Digest label: “G&amp;A FY2019”</t>
      </text>
    </comment>
    <comment ref="O14" authorId="0" shapeId="0">
      <text>
        <t>Source: Q4 &amp; Full-Year 2020 Earnings Call
Date: 2021-03-11
Workbook tab: 12 2020Q4 Earnings
Digest label: “G&amp;A Q4 2020”</t>
      </text>
    </comment>
    <comment ref="R14" authorId="0" shapeId="0">
      <text>
        <t>Source: Q2 2021 Earnings Call
Date: 2021-08-12
Workbook tab: 14 2021Q2 Earnings
Digest label: “General &amp; Administrative”</t>
      </text>
    </comment>
    <comment ref="T14" authorId="0" shapeId="0">
      <text>
        <t>Source: Q3 2021 Earnings Call
Date: 2021-11-11
Workbook tab: 16 2021Q3 Earnings
Digest label: “General &amp; Administrative”</t>
      </text>
    </comment>
    <comment ref="W14" authorId="0" shapeId="0">
      <text>
        <t>Source: Q1 2022 Earnings Call
Date: 2022-05-10
Workbook tab: 20 2022Q1 Earnings
Digest label: “General &amp; Administrative”</t>
      </text>
    </comment>
    <comment ref="X14" authorId="0" shapeId="0">
      <text>
        <t>Source: Q2 2022 Earnings Call
Date: 2022-08-09
Workbook tab: 26 2022Q2 Earnings
Digest label: “G&amp;A expenses”</t>
      </text>
    </comment>
    <comment ref="Y14" authorId="0" shapeId="0">
      <text>
        <t>Source: Q3 2022 Earnings Call
Date: 2022-11-09
Workbook tab: 27 2022Q3 Earnings
Digest label: “G&amp;A expenses”</t>
      </text>
    </comment>
    <comment ref="AA14" authorId="0" shapeId="0">
      <text>
        <t>Source: Celsius Holdings 2023 Annual General Meeting
Date: 2023-06-01
Workbook tab: 31 Annual General Meeting
Digest label: “G&amp;A Expense”</t>
      </text>
    </comment>
    <comment ref="AB14" authorId="0" shapeId="0">
      <text>
        <t>Reported in 2 transcripts (► = figure shown in cell):
► 21.0  —  Celsius Holdings Q1 2023 Earnings Call (2023-05-09)
   tab: 29 2023Q1 Earnings  |  “G&amp;A Expense ($M)”
• 21.0  —  Celsius Holdings 2023 Annual General Meeting (2023-06-01)
   tab: 31 Annual General Meeting  |  “G&amp;A Expense”</t>
      </text>
    </comment>
    <comment ref="AC14" authorId="0" shapeId="0">
      <text>
        <t>Source: Q2 2023 Earnings Call
Date: 2023-08-08
Workbook tab: 34 2023Q2 Earnings
Digest label: “G&amp;A Expense ($)”</t>
      </text>
    </comment>
    <comment ref="AE14" authorId="0" shapeId="0">
      <text>
        <t>Source: Q3 2023 Earnings Call
Date: 2023-11-07
Workbook tab: 37 2023Q3 Earnings
Digest label: “G&amp;A Expense ($)”</t>
      </text>
    </comment>
    <comment ref="AG14" authorId="0" shapeId="0">
      <text>
        <t>Source: Celsius Holdings Q4 2023 Earnings Call
Date: 2024-02-29
Workbook tab: 40 2023Q4 Earnings
Digest label: “G&amp;A Expense ($M)”</t>
      </text>
    </comment>
    <comment ref="AI14" authorId="0" shapeId="0">
      <text>
        <t>Source: Q1 2024 Earnings Call
Date: 2024-05-07
Workbook tab: 42 Q1 2024 Earnings
Digest label: “G&amp;A Expense”</t>
      </text>
    </comment>
    <comment ref="AM14" authorId="0" shapeId="0">
      <text>
        <t>Source: CELH Q2 2025 Earnings Call
Date: 2025-08-07
Workbook tab: 60 2025Q2 Earnings
Digest label: “G&amp;A Expense ($M)”</t>
      </text>
    </comment>
    <comment ref="C15" authorId="0" shapeId="0">
      <text>
        <t>Source: Q3 2018 Earnings Call
Date: 2018-11-09
Workbook tab: 01 2018Q3 Earnings
Digest label: “Net Loss to Common Q3 2018 ($M)”</t>
      </text>
    </comment>
    <comment ref="D15" authorId="0" shapeId="0">
      <text>
        <t>Source: Q3 2018 Earnings Call
Date: 2018-11-09
Workbook tab: 01 2018Q3 Earnings
Digest label: “Net Loss to Common 9M 2018 ($M)”</t>
      </text>
    </comment>
    <comment ref="E15" authorId="0" shapeId="0">
      <text>
        <t>Source: Q4 &amp; Full-Year 2018 Earnings Call
Date: 2019-03-14
Workbook tab: 02 2018Q4 Earnings
Digest label: “Net Loss to Common Q4 2018 ($M)”</t>
      </text>
    </comment>
    <comment ref="F15" authorId="0" shapeId="0">
      <text>
        <t>Source: Q4 &amp; Full-Year 2018 Earnings Call
Date: 2019-03-14
Workbook tab: 02 2018Q4 Earnings
Digest label: “Net Loss to Common FY2018 ($M)”</t>
      </text>
    </comment>
    <comment ref="G15" authorId="0" shapeId="0">
      <text>
        <t>Source: Q1 2019 Earnings Call
Date: 2019-05-09
Workbook tab: 03 2019Q1 Earnings
Digest label: “Net Income to Common Q1 2019 ($M)”</t>
      </text>
    </comment>
    <comment ref="H15" authorId="0" shapeId="0">
      <text>
        <t>Source: Q2 2019 Earnings Call
Date: 2019-08-08
Workbook tab: 04 2019Q2 Earnings
Digest label: “Net Loss to Common Q2 2019 ($M)”</t>
      </text>
    </comment>
    <comment ref="I15" authorId="0" shapeId="0">
      <text>
        <t>Source: Q2 2019 Earnings Call
Date: 2019-08-08
Workbook tab: 04 2019Q2 Earnings
Digest label: “Net Income to Common H1 2019 ($M)”</t>
      </text>
    </comment>
    <comment ref="J15" authorId="0" shapeId="0">
      <text>
        <t>Source: Q3 2019 Earnings Call
Date: 2019-11-07
Workbook tab: 05 2019Q3 Earnings
Digest label: “Net Income to Common Q3 2019 ($000)”</t>
      </text>
    </comment>
    <comment ref="K15" authorId="0" shapeId="0">
      <text>
        <t>Source: Q3 2019 Earnings Call
Date: 2019-11-07
Workbook tab: 05 2019Q3 Earnings
Digest label: “YTD Net Income to Common 9M 2019 ($M)”</t>
      </text>
    </comment>
    <comment ref="L15" authorId="0" shapeId="0">
      <text>
        <t>Source: Q4 &amp; Full-Year 2019 Earnings Call
Date: 2020-03-12
Workbook tab: 06 2019Q4 Earnings
Digest label: “Net Loss to Common Q4 2019 ($M)”</t>
      </text>
    </comment>
    <comment ref="M15" authorId="0" shapeId="0">
      <text>
        <t>Source: Q4 &amp; Full-Year 2019 Earnings Call
Date: 2020-03-12
Workbook tab: 06 2019Q4 Earnings
Digest label: “Net Income to Common FY2019 ($M)”</t>
      </text>
    </comment>
    <comment ref="O15" authorId="0" shapeId="0">
      <text>
        <t>Source: Q4 &amp; Full-Year 2020 Earnings Call
Date: 2021-03-11
Workbook tab: 12 2020Q4 Earnings
Digest label: “Net Income Q4 2020 ($M)”</t>
      </text>
    </comment>
    <comment ref="R15" authorId="0" shapeId="0">
      <text>
        <t>Source: Q2 2021 Earnings Call
Date: 2021-08-12
Workbook tab: 14 2021Q2 Earnings
Digest label: “Net Income”</t>
      </text>
    </comment>
    <comment ref="S15" authorId="0" shapeId="0">
      <text>
        <t>Source: 2021 Annual Meeting of Shareholders
Date: 2021-08-19
Workbook tab: 15 Annual Shareholder Mtg
Digest label: “Net Income”</t>
      </text>
    </comment>
    <comment ref="T15" authorId="0" shapeId="0">
      <text>
        <t>Source: Q3 2021 Earnings Call
Date: 2021-11-11
Workbook tab: 16 2021Q3 Earnings
Digest label: “Net Income”</t>
      </text>
    </comment>
    <comment ref="V15" authorId="0" shapeId="0">
      <text>
        <t>Source: 2022 Annual General Meeting (Annual Meeting of Shareholders)
Date: 2022-06-02
Workbook tab: 22 Annual Shareholder Mtg
Digest label: “Net income ($M)”</t>
      </text>
    </comment>
    <comment ref="W15" authorId="0" shapeId="0">
      <text>
        <t>Reported in 2 transcripts (► = figure shown in cell):
► 6.7  —  Q1 2022 Earnings Call (2022-05-10)
   tab: 20 2022Q1 Earnings  |  “Net Income”
• 6.7  —  2022 Annual General Meeting (Annual Meeting of Shareholders) (2022-06-02)
   tab: 22 Annual Shareholder Mtg  |  “Net income ($M)”</t>
      </text>
    </comment>
    <comment ref="X15" authorId="0" shapeId="0">
      <text>
        <t>Source: Q2 2022 Earnings Call
Date: 2022-08-09
Workbook tab: 26 2022Q2 Earnings
Digest label: “Net income”</t>
      </text>
    </comment>
    <comment ref="AE15" authorId="0" shapeId="0">
      <text>
        <t>Source: Q3 2023 Earnings Call
Date: 2023-11-07
Workbook tab: 37 2023Q3 Earnings
Digest label: “Net Income (common shareholders)”</t>
      </text>
    </comment>
    <comment ref="AI15" authorId="0" shapeId="0">
      <text>
        <t>Source: Q1 2024 Earnings Call
Date: 2024-05-07
Workbook tab: 42 Q1 2024 Earnings
Digest label: “Net Income to Common Shareholders”</t>
      </text>
    </comment>
    <comment ref="AJ15" authorId="0" shapeId="0">
      <text>
        <t>Source: Q4 2024 Earnings Call
Date: 2025-02-20
Workbook tab: 51 2024Q4 Earnings
Digest label: “Net Income / (Loss)”</t>
      </text>
    </comment>
    <comment ref="AK15" authorId="0" shapeId="0">
      <text>
        <t>Source: Q4 2024 Earnings Call
Date: 2025-02-20
Workbook tab: 51 2024Q4 Earnings
Digest label: “Net Income”</t>
      </text>
    </comment>
    <comment ref="AL15" authorId="0" shapeId="0">
      <text>
        <t>Source: Q1 2025 Earnings Call
Date: 2025-05-06
Workbook tab: 55 2025Q1 Earnings
Digest label: “Net Income (to common)”</t>
      </text>
    </comment>
    <comment ref="AM15" authorId="0" shapeId="0">
      <text>
        <t>Reported in 2 transcripts (► = figure shown in cell):
► 85.7  —  CELH Q2 2025 Earnings Call (2025-08-07)
   tab: 60 2025Q2 Earnings  |  “Net Income to Common ($M)”
• 99.6  —  CELH Q2 2025 Earnings Call (2025-08-07)
   tab: 60 2025Q2 Earnings  |  “Net Income ($M)”</t>
      </text>
    </comment>
    <comment ref="AQ15" authorId="0" shapeId="0">
      <text>
        <t>Reported in 3 transcripts (► = figure shown in cell):
• 108.0  —  Full-Year 2025 and Fourth Quarter Financial Results Press Release (2026-02-26)
   tab: 66 2025Q4 Earnings PR  |  “Net income (GAAP)”
• 63.8  —  Full-Year 2025 and Fourth Quarter Financial Results Press Release (2026-02-26)
   tab: 66 2025Q4 Earnings PR  |  “Net income to common shareholders”
► 108.0  —  Q4 2025 / FY2025 Earnings Call (2026-02-26)
   tab: 67 2025Q4 Earnings  |  “Net Income (GAAP)”</t>
      </text>
    </comment>
    <comment ref="AR15" authorId="0" shapeId="0">
      <text>
        <t>Source: CELH Q1 2026 Earnings Call
Date: 2026-05-07
Workbook tab: 69 2026Q1 Earnings
Digest label: “GAAP Net Income ($M)”</t>
      </text>
    </comment>
    <comment ref="B16" authorId="0" shapeId="0">
      <text>
        <t>Source: Q4 &amp; Full-Year 2018 Earnings Call
Date: 2019-03-14
Workbook tab: 02 2018Q4 Earnings
Digest label: “Adj EBITDA ex Asia FY2017 ($M)”</t>
      </text>
    </comment>
    <comment ref="C16" authorId="0" shapeId="0">
      <text>
        <t>Reported in 2 transcripts (► = figure shown in cell):
► -2.9  —  Q3 2018 Earnings Call (2018-11-09)
   tab: 01 2018Q3 Earnings  |  “Adjusted EBITDA Q3 2018 ($M)”
• 2.2  —  Q3 2018 Earnings Call (2018-11-09)
   tab: 01 2018Q3 Earnings  |  “Adj EBITDA ex Asia Q3 2018 ($M)”</t>
      </text>
    </comment>
    <comment ref="D16" authorId="0" shapeId="0">
      <text>
        <t>Source: Q3 2018 Earnings Call
Date: 2018-11-09
Workbook tab: 01 2018Q3 Earnings
Digest label: “Adjusted EBITDA 9M 2018 ($M)”</t>
      </text>
    </comment>
    <comment ref="E16" authorId="0" shapeId="0">
      <text>
        <t>Source: Q4 &amp; Full-Year 2018 Earnings Call
Date: 2019-03-14
Workbook tab: 02 2018Q4 Earnings
Digest label: “Adjusted EBITDA Q4 2018 ($M)”</t>
      </text>
    </comment>
    <comment ref="F16" authorId="0" shapeId="0">
      <text>
        <t>Source: Q4 &amp; Full-Year 2018 Earnings Call
Date: 2019-03-14
Workbook tab: 02 2018Q4 Earnings
Digest label: “Adjusted EBITDA FY2018 ($M)”</t>
      </text>
    </comment>
    <comment ref="G16" authorId="0" shapeId="0">
      <text>
        <t>Source: Q1 2019 Earnings Call
Date: 2019-05-09
Workbook tab: 03 2019Q1 Earnings
Digest label: “Adjusted EBITDA Q1 2019 ($000)”</t>
      </text>
    </comment>
    <comment ref="H16" authorId="0" shapeId="0">
      <text>
        <t>Source: Q2 2019 Earnings Call
Date: 2019-08-08
Workbook tab: 04 2019Q2 Earnings
Digest label: “Adjusted EBITDA Q2 2019 ($000)”</t>
      </text>
    </comment>
    <comment ref="I16" authorId="0" shapeId="0">
      <text>
        <t>Source: Q2 2019 Earnings Call
Date: 2019-08-08
Workbook tab: 04 2019Q2 Earnings
Digest label: “Adjusted EBITDA H1 2019 ($000)”</t>
      </text>
    </comment>
    <comment ref="J16" authorId="0" shapeId="0">
      <text>
        <t>Reported in 2 transcripts (► = figure shown in cell):
► 2.4  —  Q3 2019 Earnings Call (2019-11-07)
   tab: 05 2019Q3 Earnings  |  “Adjusted EBITDA Q3 2019 ($M)”
• 2.6  —  Q3 2019 Earnings Call (2019-11-07)
   tab: 05 2019Q3 Earnings  |  “Net Non-GAAP Adjusted EBITDA Q3 2019 ($M)”</t>
      </text>
    </comment>
    <comment ref="L16" authorId="0" shapeId="0">
      <text>
        <t>Source: Q4 &amp; Full-Year 2019 Earnings Call
Date: 2020-03-12
Workbook tab: 06 2019Q4 Earnings
Digest label: “Adj EBITDA ex-Asia Q4 2019 ($000)”</t>
      </text>
    </comment>
    <comment ref="M16" authorId="0" shapeId="0">
      <text>
        <t>Source: Q4 &amp; Full-Year 2019 Earnings Call
Date: 2020-03-12
Workbook tab: 06 2019Q4 Earnings
Digest label: “Adj EBITDA ex-Asia FY2019 ($M)”</t>
      </text>
    </comment>
    <comment ref="O16" authorId="0" shapeId="0">
      <text>
        <t>Source: Q4 &amp; Full-Year 2020 Earnings Call
Date: 2021-03-11
Workbook tab: 12 2020Q4 Earnings
Digest label: “Adjusted EBITDA Q4 2020 ($M)”</t>
      </text>
    </comment>
    <comment ref="R16" authorId="0" shapeId="0">
      <text>
        <t>Reported in 2 transcripts (► = figure shown in cell):
► 7.9  —  Q2 2021 Earnings Call (2021-08-12)
   tab: 14 2021Q2 Earnings  |  “Adjusted EBITDA”
• 8.0  —  2021 Annual Meeting of Shareholders (2021-08-19)
   tab: 15 Annual Shareholder Mtg  |  “Q2 Adjusted EBITDA”</t>
      </text>
    </comment>
    <comment ref="S16" authorId="0" shapeId="0">
      <text>
        <t>Source: 2021 Annual Meeting of Shareholders
Date: 2021-08-19
Workbook tab: 15 Annual Shareholder Mtg
Digest label: “Adjusted EBITDA”</t>
      </text>
    </comment>
    <comment ref="W16" authorId="0" shapeId="0">
      <text>
        <t>Source: 2022 Annual General Meeting (Annual Meeting of Shareholders)
Date: 2022-06-02
Workbook tab: 22 Annual Shareholder Mtg
Digest label: “Adjusted EBITDA ($M)”</t>
      </text>
    </comment>
    <comment ref="AB16" authorId="0" shapeId="0">
      <text>
        <t>Source: Celsius Holdings Q1 2023 Earnings Call
Date: 2023-05-09
Workbook tab: 29 2023Q1 Earnings
Digest label: “Adjusted EBITDA ($M, non-GAAP)”</t>
      </text>
    </comment>
    <comment ref="AC16" authorId="0" shapeId="0">
      <text>
        <t>Source: Q2 2023 Earnings Call
Date: 2023-08-08
Workbook tab: 34 2023Q2 Earnings
Digest label: “Non-GAAP Adjusted EBITDA”</t>
      </text>
    </comment>
    <comment ref="AE16" authorId="0" shapeId="0">
      <text>
        <t>Source: Q3 2023 Earnings Call
Date: 2023-11-07
Workbook tab: 37 2023Q3 Earnings
Digest label: “Non-GAAP Adjusted EBITDA”</t>
      </text>
    </comment>
    <comment ref="AI16" authorId="0" shapeId="0">
      <text>
        <t>Source: Q1 2024 Earnings Call
Date: 2024-05-07
Workbook tab: 42 Q1 2024 Earnings
Digest label: “Non-GAAP Adjusted EBITDA”</t>
      </text>
    </comment>
    <comment ref="AJ16" authorId="0" shapeId="0">
      <text>
        <t>Source: Q4 2024 Earnings Call
Date: 2025-02-20
Workbook tab: 51 2024Q4 Earnings
Digest label: “Adjusted EBITDA”</t>
      </text>
    </comment>
    <comment ref="AK16" authorId="0" shapeId="0">
      <text>
        <t>Source: Alani Nu Modeling Call (post-closing)
Date: 2025-05-28
Workbook tab: 57 Acquiring Alani Nu
Digest label: “Adjusted EBITDA”</t>
      </text>
    </comment>
    <comment ref="AL16" authorId="0" shapeId="0">
      <text>
        <t>Source: Q1 2025 Earnings Call
Date: 2025-05-06
Workbook tab: 55 2025Q1 Earnings
Digest label: “Adjusted EBITDA”</t>
      </text>
    </comment>
    <comment ref="AM16" authorId="0" shapeId="0">
      <text>
        <t>Source: CELH Q2 2025 Earnings Call
Date: 2025-08-07
Workbook tab: 60 2025Q2 Earnings
Digest label: “Adjusted EBITDA ($M)”</t>
      </text>
    </comment>
    <comment ref="AN16" authorId="0" shapeId="0">
      <text>
        <t>Source: CELH Q2 2025 Earnings Call
Date: 2025-08-07
Workbook tab: 60 2025Q2 Earnings
Digest label: “Adjusted EBITDA ($M)”</t>
      </text>
    </comment>
    <comment ref="AQ16" authorId="0" shapeId="0">
      <text>
        <t>Reported in 2 transcripts (► = figure shown in cell):
► 619.6  —  Q4 2025 / FY2025 Earnings Call (2026-02-26)
   tab: 67 2025Q4 Earnings  |  “Adjusted EBITDA”
• 619.6  —  Full-Year 2025 and Fourth Quarter Financial Results Press Release (2026-02-26)
   tab: 66 2025Q4 Earnings PR  |  “Adjusted EBITDA (non-GAAP)”</t>
      </text>
    </comment>
    <comment ref="AR16" authorId="0" shapeId="0">
      <text>
        <t>Source: CELH Q1 2026 Earnings Call
Date: 2026-05-07
Workbook tab: 69 2026Q1 Earnings
Digest label: “Adjusted EBITDA ($M)”</t>
      </text>
    </comment>
    <comment ref="F17" authorId="0" shapeId="0">
      <text>
        <t>Source: Q4 &amp; Full-Year 2018 Earnings Call
Date: 2019-03-14
Workbook tab: 02 2018Q4 Earnings
Digest label: “Cash Used in Operations FY2018 ($M)”</t>
      </text>
    </comment>
    <comment ref="M17" authorId="0" shapeId="0">
      <text>
        <t>Source: Q4 &amp; Full-Year 2019 Earnings Call
Date: 2020-03-12
Workbook tab: 06 2019Q4 Earnings
Digest label: “Cash Provided by Operations FY2019 ($M)”</t>
      </text>
    </comment>
    <comment ref="P17" authorId="0" shapeId="0">
      <text>
        <t>Source: Q4 &amp; Full-Year 2020 Earnings Call
Date: 2021-03-11
Workbook tab: 12 2020Q4 Earnings
Digest label: “Operating Cash Flow FY ($M)”</t>
      </text>
    </comment>
    <comment ref="R17" authorId="0" shapeId="0">
      <text>
        <t>Source: Q2 2021 Earnings Call
Date: 2021-08-12
Workbook tab: 14 2021Q2 Earnings
Digest label: “Operating Cash Flow (6M)”</t>
      </text>
    </comment>
    <comment ref="T17" authorId="0" shapeId="0">
      <text>
        <t>Source: Q3 2021 Earnings Call
Date: 2021-11-11
Workbook tab: 16 2021Q3 Earnings
Digest label: “Operating Cash Flow (9M)”</t>
      </text>
    </comment>
    <comment ref="W17" authorId="0" shapeId="0">
      <text>
        <t>Source: Credit Suisse HALO Investment Summit
Date: 2022-05-25
Workbook tab: 21 Credit Suisse Conf
Digest label: “Operating Cash Flow ($M)”</t>
      </text>
    </comment>
    <comment ref="AD17" authorId="0" shapeId="0">
      <text>
        <t>Source: Q2 2023 Earnings Call
Date: 2023-08-08
Workbook tab: 34 2023Q2 Earnings
Digest label: “H1 Cash from Operations”</t>
      </text>
    </comment>
    <comment ref="AF17" authorId="0" shapeId="0">
      <text>
        <t>Source: Q3 2023 Earnings Call
Date: 2023-11-07
Workbook tab: 37 2023Q3 Earnings
Digest label: “9M Cash from Operations”</t>
      </text>
    </comment>
    <comment ref="AH17" authorId="0" shapeId="0">
      <text>
        <t>Source: Celsius Holdings Q4 2023 Earnings Call
Date: 2024-02-29
Workbook tab: 40 2023Q4 Earnings
Digest label: “Operating Cash Flow”</t>
      </text>
    </comment>
    <comment ref="AI17" authorId="0" shapeId="0">
      <text>
        <t>Source: Q1 2024 Earnings Call
Date: 2024-05-07
Workbook tab: 42 Q1 2024 Earnings
Digest label: “Cash Flow from Operating Activities”</t>
      </text>
    </comment>
    <comment ref="B18" authorId="0" shapeId="0">
      <text>
        <t>Source: Q3 2018 Earnings Call
Date: 2018-11-09
Workbook tab: 01 2018Q3 Earnings
Digest label: “Cash ($M)”</t>
      </text>
    </comment>
    <comment ref="F18" authorId="0" shapeId="0">
      <text>
        <t>Reported in 4 transcripts (► = figure shown in cell):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text>
    </comment>
    <comment ref="M18" authorId="0" shapeId="0">
      <text>
        <t>Reported in 4 transcripts (► = figure shown in cell):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text>
    </comment>
    <comment ref="P18" authorId="0" shapeId="0">
      <text>
        <t>Reported in 2 transcripts (► = figure shown in cell):
► 43.2  —  Q4 &amp; Full-Year 2020 Earnings Call (2021-03-11)
   tab: 12 2020Q4 Earnings  |  “Cash ($M)”
• 43.2  —  Q1 2021 Earnings Call (2021-05-13)
   tab: 13 Q1 2021 Earnings  |  “Cash”</t>
      </text>
    </comment>
    <comment ref="Q18" authorId="0" shapeId="0">
      <text>
        <t>Source: Q1 2022 Earnings Call
Date: 2022-05-10
Workbook tab: 20 2022Q1 Earnings
Digest label: “Cash Position”</t>
      </text>
    </comment>
    <comment ref="R18" authorId="0" shapeId="0">
      <text>
        <t>Source: Q2 2021 Earnings Call
Date: 2021-08-12
Workbook tab: 14 2021Q2 Earnings
Digest label: “Cash”</t>
      </text>
    </comment>
    <comment ref="T18" authorId="0" shapeId="0">
      <text>
        <t>Source: Q3 2021 Earnings Call
Date: 2021-11-11
Workbook tab: 16 2021Q3 Earnings
Digest label: “Cash”</t>
      </text>
    </comment>
    <comment ref="V18" authorId="0" shapeId="0">
      <text>
        <t>Source: Q4 2021 Earnings Call
Date: 2022-03-01
Workbook tab: 19 Q4 2021 Earnings
Digest label: “Cash”</t>
      </text>
    </comment>
    <comment ref="AA18" authorId="0" shapeId="0">
      <text>
        <t>Source: Celsius Holdings 2023 Annual General Meeting
Date: 2023-06-01
Workbook tab: 31 Annual General Meeting
Digest label: “Cash (year-end)”</t>
      </text>
    </comment>
    <comment ref="AB18" authorId="0" shapeId="0">
      <text>
        <t>Reported in 2 transcripts (► = figure shown in cell):
► 634.0  —  Celsius Holdings Q1 2023 Earnings Call (2023-05-09)
   tab: 29 2023Q1 Earnings  |  “Cash Balance”
• 634.0  —  Celsius Holdings 2023 Annual General Meeting (2023-06-01)
   tab: 31 Annual General Meeting  |  “Cash (Mar 31, 2023)”</t>
      </text>
    </comment>
    <comment ref="AH18" authorId="0" shapeId="0">
      <text>
        <t>Source: Celsius Holdings Q4 2023 Earnings Call
Date: 2024-02-29
Workbook tab: 40 2023Q4 Earnings
Digest label: “Cash &amp; Equivalents”</t>
      </text>
    </comment>
    <comment ref="AI18" authorId="0" shapeId="0">
      <text>
        <t>Source: Q1 2024 Earnings Call
Date: 2024-05-07
Workbook tab: 42 Q1 2024 Earnings
Digest label: “Cash on Hand (Mar 31, 2024)”</t>
      </text>
    </comment>
    <comment ref="AL18" authorId="0" shapeId="0">
      <text>
        <t>Reported in 2 transcripts (► = figure shown in cell):
► 400.0  —  Q1 2025 Earnings Call (2025-05-06)
   tab: 55 2025Q1 Earnings  |  “Cash”
• $977M (pre-Alani close; no debt)  —  Q1 2025 Earnings Call (2025-05-06)
   tab: 55 2025Q1 Earnings  |  “Cash &amp; Cash Equivalents”</t>
      </text>
    </comment>
    <comment ref="AQ18" authorId="0" shapeId="0">
      <text>
        <t>Source: Full-Year 2025 and Fourth Quarter Financial Results Press Release
Date: 2026-02-26
Workbook tab: 66 2025Q4 Earnings PR
Digest label: “Cash and cash equivalents”</t>
      </text>
    </comment>
    <comment ref="B19" authorId="0" shapeId="0">
      <text>
        <t>Source: Q3 2018 Earnings Call
Date: 2018-11-09
Workbook tab: 01 2018Q3 Earnings
Digest label: “Working Capital ($M)”</t>
      </text>
    </comment>
    <comment ref="F19" authorId="0" shapeId="0">
      <text>
        <t>Reported in 4 transcripts (► = figure shown in cell):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text>
    </comment>
    <comment ref="M19" authorId="0" shapeId="0">
      <text>
        <t>Reported in 4 transcripts (► = figure shown in cell):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text>
    </comment>
    <comment ref="P19" authorId="0" shapeId="0">
      <text>
        <t>Reported in 2 transcripts (► = figure shown in cell):
► 64.9  —  Q4 &amp; Full-Year 2020 Earnings Call (2021-03-11)
   tab: 12 2020Q4 Earnings  |  “Working Capital ($M)”
• 64.9  —  Q1 2021 Earnings Call (2021-05-13)
   tab: 13 Q1 2021 Earnings  |  “Working Capital”</t>
      </text>
    </comment>
    <comment ref="Q19" authorId="0" shapeId="0">
      <text>
        <t>Source: Q1 2022 Earnings Call
Date: 2022-05-10
Workbook tab: 20 2022Q1 Earnings
Digest label: “Working Capital”</t>
      </text>
    </comment>
    <comment ref="R19" authorId="0" shapeId="0">
      <text>
        <t>Source: Q2 2021 Earnings Call
Date: 2021-08-12
Workbook tab: 14 2021Q2 Earnings
Digest label: “Working Capital”</t>
      </text>
    </comment>
    <comment ref="T19" authorId="0" shapeId="0">
      <text>
        <t>Source: Q3 2021 Earnings Call
Date: 2021-11-11
Workbook tab: 16 2021Q3 Earnings
Digest label: “Working Capital”</t>
      </text>
    </comment>
    <comment ref="V19" authorId="0" shapeId="0">
      <text>
        <t>Source: Q4 2021 Earnings Call
Date: 2022-03-01
Workbook tab: 19 Q4 2021 Earnings
Digest label: “Working Capital”</t>
      </text>
    </comment>
    <comment ref="AA19" authorId="0" shapeId="0">
      <text>
        <t>Source: Celsius Holdings 2023 Annual General Meeting
Date: 2023-06-01
Workbook tab: 31 Annual General Meeting
Digest label: “Working Capital (year-end)”</t>
      </text>
    </comment>
    <comment ref="AB19" authorId="0" shapeId="0">
      <text>
        <t>Reported in 2 transcripts (► = figure shown in cell):
► 801.0  —  Celsius Holdings Q1 2023 Earnings Call (2023-05-09)
   tab: 29 2023Q1 Earnings  |  “Net Working Capital”
• 801.0  —  Celsius Holdings 2023 Annual General Meeting (2023-06-01)
   tab: 31 Annual General Meeting  |  “Net Working Capital (Mar 31, 2023)”</t>
      </text>
    </comment>
    <comment ref="AH19" authorId="0" shapeId="0">
      <text>
        <t>Source: Celsius Holdings Q4 2023 Earnings Call
Date: 2024-02-29
Workbook tab: 40 2023Q4 Earnings
Digest label: “Net Working Capital”</t>
      </text>
    </comment>
    <comment ref="V21" authorId="0" shapeId="0">
      <text>
        <t>Source: Q4 2021 Earnings Call
Date: 2022-03-01
Workbook tab: 19 Q4 2021 Earnings
Digest label: “% of MULO+C stores DSD-serviced”</t>
      </text>
    </comment>
    <comment ref="X22" authorId="0" shapeId="0">
      <text>
        <t>Source: Q2 2022 Earnings Call
Date: 2022-08-09
Workbook tab: 26 2022Q2 Earnings
Digest label: “12-week growth”</t>
      </text>
    </comment>
    <comment ref="Z22" authorId="0" shapeId="0">
      <text>
        <t>Source: Q3 2022 Earnings Call
Date: 2022-11-09
Workbook tab: 27 2022Q3 Earnings
Digest label: “12-week growth”</t>
      </text>
    </comment>
    <comment ref="Z23" authorId="0" shapeId="0">
      <text>
        <t>Source: Q3 2022 Earnings Call
Date: 2022-11-09
Workbook tab: 27 2022Q3 Earnings
Digest label: “2-week growth”</t>
      </text>
    </comment>
    <comment ref="X24" authorId="0" shapeId="0">
      <text>
        <t>Source: Q2 2022 Earnings Call
Date: 2022-08-09
Workbook tab: 26 2022Q2 Earnings
Digest label: “4-week growth”</t>
      </text>
    </comment>
    <comment ref="AI25" authorId="0" shapeId="0">
      <text>
        <t>Source: Stephens Annual Investment Conference
Date: 2023-11-15
Workbook tab: 38 Stephens Conf 2023-11
Digest label: “7-Eleven Green Apple Cherry National Rollout”</t>
      </text>
    </comment>
    <comment ref="AQ26" authorId="0" shapeId="0">
      <text>
        <t>Source: Full-Year 2025 and Fourth Quarter Financial Results Press Release
Date: 2026-02-26
Workbook tab: 66 2025Q4 Earnings PR
Digest label: “Accrued distributor termination fees”</t>
      </text>
    </comment>
    <comment ref="AQ27" authorId="0" shapeId="0">
      <text>
        <t>Source: Q4 2025 / FY2025 Earnings Call
Date: 2026-02-26
Workbook tab: 67 2025Q4 Earnings
Digest label: “Acquisition &amp; integration adj”</t>
      </text>
    </comment>
    <comment ref="AL28" authorId="0" shapeId="0">
      <text>
        <t>Source: Alani Nu Modeling Call (post-closing)
Date: 2025-05-28
Workbook tab: 57 Acquiring Alani Nu
Digest label: “Acquisition funding (per prior calls)”</t>
      </text>
    </comment>
    <comment ref="AM29" authorId="0" shapeId="0">
      <text>
        <t>Source: CELH Q2 2025 Earnings Call
Date: 2025-08-07
Workbook tab: 60 2025Q2 Earnings
Digest label: “Acquisition-related costs”</t>
      </text>
    </comment>
    <comment ref="AP30" authorId="0" shapeId="0">
      <text>
        <t>Source: Full-Year 2025 and Fourth Quarter Financial Results Press Release
Date: 2026-02-26
Workbook tab: 66 2025Q4 Earnings PR
Digest label: “Acquisition-related costs (FY)”</t>
      </text>
    </comment>
    <comment ref="Z31" authorId="0" shapeId="0">
      <text>
        <t>Source: Q4 2022 / FY2022 Earnings Call
Date: 2023-03-01
Workbook tab: 28 2022Q4 Earnings
Digest label: “ACV (all channels)”</t>
      </text>
    </comment>
    <comment ref="Y32" authorId="0" shapeId="0">
      <text>
        <t>Source: Q3 2022 Earnings Call
Date: 2022-11-09
Workbook tab: 27 2022Q3 Earnings
Digest label: “ACV increase in convenience”</t>
      </text>
    </comment>
    <comment ref="Y33" authorId="0" shapeId="0">
      <text>
        <t>Source: Q3 2022 Earnings Call
Date: 2022-11-09
Workbook tab: 27 2022Q3 Earnings
Digest label: “ACV increase since PepsiCo launch (all channels)”</t>
      </text>
    </comment>
    <comment ref="Z34" authorId="0" shapeId="0">
      <text>
        <t>Source: Stifel 2022 Cross Sector Insight Conference
Date: 2022-06-09
Workbook tab: 24 Stifel Conference
Digest label: “ACV sweet spot”</t>
      </text>
    </comment>
    <comment ref="D35" authorId="0" shapeId="0">
      <text>
        <t>Source: Q3 2018 Earnings Call
Date: 2018-11-09
Workbook tab: 01 2018Q3 Earnings
Digest label: “Adj EBITDA ex Asia &amp; one-time 9M 2018 ($M)”</t>
      </text>
    </comment>
    <comment ref="F36" authorId="0" shapeId="0">
      <text>
        <t>Source: Q4 &amp; Full-Year 2018 Earnings Call
Date: 2019-03-14
Workbook tab: 02 2018Q4 Earnings
Digest label: “Adj EBITDA ex China/one-time FY2018 ($M)”</t>
      </text>
    </comment>
    <comment ref="R37" authorId="0" shapeId="0">
      <text>
        <t>Source: Q2 2021 Earnings Call
Date: 2021-08-12
Workbook tab: 14 2021Q2 Earnings
Digest label: “Adj. Gross Margin (ex-freight)”</t>
      </text>
    </comment>
    <comment ref="T37" authorId="0" shapeId="0">
      <text>
        <t>Source: Q3 2021 Earnings Call
Date: 2021-11-11
Workbook tab: 16 2021Q3 Earnings
Digest label: “Adj. Gross Margin (ex-freight)”</t>
      </text>
    </comment>
    <comment ref="AJ38" authorId="0" shapeId="0">
      <text>
        <t>Source: Q4 2024 Earnings Call
Date: 2025-02-20
Workbook tab: 51 2024Q4 Earnings
Digest label: “Adjusted Diluted EPS”</t>
      </text>
    </comment>
    <comment ref="AK38" authorId="0" shapeId="0">
      <text>
        <t>Source: Q4 2024 Earnings Call
Date: 2025-02-20
Workbook tab: 51 2024Q4 Earnings
Digest label: “Adjusted Diluted EPS”</t>
      </text>
    </comment>
    <comment ref="AL38" authorId="0" shapeId="0">
      <text>
        <t>Source: Q1 2025 Earnings Call
Date: 2025-05-06
Workbook tab: 55 2025Q1 Earnings
Digest label: “Non-GAAP Adjusted Diluted EPS”</t>
      </text>
    </comment>
    <comment ref="AM38" authorId="0" shapeId="0">
      <text>
        <t>Source: CELH Q2 2025 Earnings Call
Date: 2025-08-07
Workbook tab: 60 2025Q2 Earnings
Digest label: “Adjusted Diluted EPS”</t>
      </text>
    </comment>
    <comment ref="AN38" authorId="0" shapeId="0">
      <text>
        <t>Source: CELH Q2 2025 Earnings Call
Date: 2025-08-07
Workbook tab: 60 2025Q2 Earnings
Digest label: “Adjusted Diluted EPS”</t>
      </text>
    </comment>
    <comment ref="AQ38" authorId="0" shapeId="0">
      <text>
        <t>Source: Full-Year 2025 and Fourth Quarter Financial Results Press Release
Date: 2026-02-26
Workbook tab: 66 2025Q4 Earnings PR
Digest label: “Adjusted diluted EPS (non-GAAP)”</t>
      </text>
    </comment>
    <comment ref="V39" authorId="0" shapeId="0">
      <text>
        <t>Source: 2022 Annual General Meeting (Annual Meeting of Shareholders)
Date: 2022-06-02
Workbook tab: 22 Annual Shareholder Mtg
Digest label: “Adjusted EBITDA growth”</t>
      </text>
    </comment>
    <comment ref="W40" authorId="0" shapeId="0">
      <text>
        <t>Source: Credit Suisse HALO Investment Summit
Date: 2022-05-25
Workbook tab: 21 Credit Suisse Conf
Digest label: “EBITDA Margin”</t>
      </text>
    </comment>
    <comment ref="AJ40" authorId="0" shapeId="0">
      <text>
        <t>Source: Q4 2024 Earnings Call
Date: 2025-02-20
Workbook tab: 51 2024Q4 Earnings
Digest label: “Adjusted EBITDA Margin”</t>
      </text>
    </comment>
    <comment ref="AK40" authorId="0" shapeId="0">
      <text>
        <t>Source: Alani Nu Modeling Call (post-closing)
Date: 2025-05-28
Workbook tab: 57 Acquiring Alani Nu
Digest label: “Adjusted EBITDA Margin”</t>
      </text>
    </comment>
    <comment ref="AL40" authorId="0" shapeId="0">
      <text>
        <t>Source: Q1 2025 Earnings Call
Date: 2025-05-06
Workbook tab: 55 2025Q1 Earnings
Digest label: “Adjusted EBITDA Margin”</t>
      </text>
    </comment>
    <comment ref="AQ40" authorId="0" shapeId="0">
      <text>
        <t>Reported in 2 transcripts (► = figure shown in cell):
► ~24.6%  —  Q4 2025 / FY2025 Earnings Call (2026-02-26)
   tab: 67 2025Q4 Earnings  |  “Adjusted EBITDA Margin”
• 24.6%  —  Full-Year 2025 and Fourth Quarter Financial Results Press Release (2026-02-26)
   tab: 66 2025Q4 Earnings PR  |  “Adjusted EBITDA margin (non-GAAP)”</t>
      </text>
    </comment>
    <comment ref="AR40" authorId="0" shapeId="0">
      <text>
        <t>Source: CELH Q1 2026 Earnings Call
Date: 2026-05-07
Workbook tab: 69 2026Q1 Earnings
Digest label: “Adjusted EBITDA Margin”</t>
      </text>
    </comment>
    <comment ref="AQ41" authorId="0" shapeId="0">
      <text>
        <t>Source: Q4 2025 / FY2025 Earnings Call
Date: 2026-02-26
Workbook tab: 67 2025Q4 Earnings
Digest label: “Adjusted SG&amp;A”</t>
      </text>
    </comment>
    <comment ref="AR42" authorId="0" shapeId="0">
      <text>
        <t>Source: CELH Q1 2026 Earnings Call
Date: 2026-05-07
Workbook tab: 69 2026Q1 Earnings
Digest label: “Adjusted SG&amp;A % of revenue”</t>
      </text>
    </comment>
    <comment ref="AP43" authorId="0" shapeId="0">
      <text>
        <t>Source: Full-Year 2025 and Fourth Quarter Financial Results Press Release
Date: 2026-02-26
Workbook tab: 66 2025Q4 Earnings PR
Digest label: “Adjusted SG&amp;A as % of revenue (FY)”</t>
      </text>
    </comment>
    <comment ref="AP44" authorId="0" shapeId="0">
      <text>
        <t>Source: Full-Year 2025 and Fourth Quarter Financial Results Press Release
Date: 2026-02-26
Workbook tab: 66 2025Q4 Earnings PR
Digest label: “Adjusted SG&amp;A as % of revenue (Q4)”</t>
      </text>
    </comment>
    <comment ref="AQ45" authorId="0" shapeId="0">
      <text>
        <t>Source: UBS Global Consumer and Retail Conference
Date: 2025-03-12
Workbook tab: 53 UBS Conf 2025-03-12
Digest label: “Alani Nu Accretion”</t>
      </text>
    </comment>
    <comment ref="AM46" authorId="0" shapeId="0">
      <text>
        <t>Source: CELH Q2 2025 Earnings Call
Date: 2025-08-07
Workbook tab: 60 2025Q2 Earnings
Digest label: “Alani Nu brand”</t>
      </text>
    </comment>
    <comment ref="AQ47" authorId="0" shapeId="0">
      <text>
        <t>Source: 37th Annual ROTH Conference
Date: 2025-03-18
Workbook tab: 54 ROTH Conf 2025-03-18
Digest label: “Alani Nu Cost Synergies”</t>
      </text>
    </comment>
    <comment ref="AM48" authorId="0" shapeId="0">
      <text>
        <t>Source: Q4 2024 Earnings Call
Date: 2025-02-20
Workbook tab: 51 2024Q4 Earnings
Digest label: “Alani Nu Distribution Gains”</t>
      </text>
    </comment>
    <comment ref="AL49" authorId="0" shapeId="0">
      <text>
        <t>Source: Q1 2025 Earnings Call
Date: 2025-05-06
Workbook tab: 55 2025Q1 Earnings
Digest label: “Alani Nu dollar share”</t>
      </text>
    </comment>
    <comment ref="AQ50" authorId="0" shapeId="0">
      <text>
        <t>Source: 37th Annual ROTH Conference
Date: 2025-03-18
Workbook tab: 54 ROTH Conf 2025-03-18
Digest label: “Alani Nu Founder Lock-Up”</t>
      </text>
    </comment>
    <comment ref="AQ51" authorId="0" shapeId="0">
      <text>
        <t>Source: Alani Nu Modeling Call (post-closing)
Date: 2025-05-28
Workbook tab: 57 Acquiring Alani Nu
Digest label: “Alani Nu market-share-expansion lag vs. Celsius”</t>
      </text>
    </comment>
    <comment ref="AR52" authorId="0" shapeId="0">
      <text>
        <t>Source: CELH Q1 2026 Earnings Call
Date: 2026-05-07
Workbook tab: 69 2026Q1 Earnings
Digest label: “Alani Nu net sales”</t>
      </text>
    </comment>
    <comment ref="AQ53" authorId="0" shapeId="0">
      <text>
        <t>Source: Q1 2025 Earnings Call
Date: 2025-05-06
Workbook tab: 55 2025Q1 Earnings
Digest label: “Alani Nu P&amp;L profile lag vs. Celsius”</t>
      </text>
    </comment>
    <comment ref="AL54" authorId="0" shapeId="0">
      <text>
        <t>Source: Q1 2025 Earnings Call
Date: 2025-05-06
Workbook tab: 55 2025Q1 Earnings
Digest label: “Alani Nu retail sales growth”</t>
      </text>
    </comment>
    <comment ref="AQ54" authorId="0" shapeId="0">
      <text>
        <t>Source: Full-Year 2025 and Fourth Quarter Financial Results Press Release
Date: 2026-02-26
Workbook tab: 66 2025Q4 Earnings PR
Digest label: “Alani Nu retail sales growth”</t>
      </text>
    </comment>
    <comment ref="AQ55" authorId="0" shapeId="0">
      <text>
        <t>Source: Full-Year 2025 and Fourth Quarter Financial Results Press Release
Date: 2026-02-26
Workbook tab: 66 2025Q4 Earnings PR
Digest label: “Alani Nu revenue”</t>
      </text>
    </comment>
    <comment ref="AQ56" authorId="0" shapeId="0">
      <text>
        <t>Source: Goldman Sachs Global Staples Forum
Date: 2025-05-13
Workbook tab: 56 Goldman Sachs Conf
Digest label: “Alani Nu synergies (identified)”</t>
      </text>
    </comment>
    <comment ref="AL57" authorId="0" shapeId="0">
      <text>
        <t>Source: Q1 2025 Earnings Call
Date: 2025-05-06
Workbook tab: 55 2025Q1 Earnings
Digest label: “Alani Nu trailing 52-wk retail sales”</t>
      </text>
    </comment>
    <comment ref="AS58" authorId="0" shapeId="0">
      <text>
        <t>Source: CELH Morgan Stanley Global Consumer &amp; Retail Conference
Date: 2025-12-03
Workbook tab: 64 Morgan Stanley 2025-12
Digest label: “Alani target ACV”</t>
      </text>
    </comment>
    <comment ref="AB59" authorId="0" shapeId="0">
      <text>
        <t>Source: Stifel Cross Sector Insight Conference 2023
Date: 2023-06-06
Workbook tab: 32 Stifel Conference
Digest label: “Amazon / E-Commerce Share”</t>
      </text>
    </comment>
    <comment ref="X60" authorId="0" shapeId="0">
      <text>
        <t>Source: Q2 2022 Earnings Call
Date: 2022-08-09
Workbook tab: 26 2022Q2 Earnings
Digest label: “Amazon energy category share”</t>
      </text>
    </comment>
    <comment ref="R61" authorId="0" shapeId="0">
      <text>
        <t>Source: Q2 2021 Earnings Call
Date: 2021-08-12
Workbook tab: 14 2021Q2 Earnings
Digest label: “Asia (China royalty)”</t>
      </text>
    </comment>
    <comment ref="T61" authorId="0" shapeId="0">
      <text>
        <t>Source: Q3 2021 Earnings Call
Date: 2021-11-11
Workbook tab: 16 2021Q3 Earnings
Digest label: “Asia (China royalty)”</t>
      </text>
    </comment>
    <comment ref="Z62" authorId="0" shapeId="0">
      <text>
        <t>Source: Q4 2022 / FY2022 Earnings Call
Date: 2023-03-01
Workbook tab: 28 2022Q4 Earnings
Digest label: “Average Items Carried Per Store (MULOC)”</t>
      </text>
    </comment>
    <comment ref="Q63" authorId="0" shapeId="0">
      <text>
        <t>Source: Q1 2022 Earnings Call
Date: 2022-05-10
Workbook tab: 20 2022Q1 Earnings
Digest label: “Average price increase (52-wk Nielsen)”</t>
      </text>
    </comment>
    <comment ref="AL64" authorId="0" shapeId="0">
      <text>
        <t>Source: Q1 2025 Earnings Call
Date: 2025-05-06
Workbook tab: 55 2025Q1 Earnings
Digest label: “Avg items selling per store (Celsius family)”</t>
      </text>
    </comment>
    <comment ref="AL65" authorId="0" shapeId="0">
      <text>
        <t>Source: Q1 2025 Earnings Call
Date: 2025-05-06
Workbook tab: 55 2025Q1 Earnings
Digest label: “Balance Sheet”</t>
      </text>
    </comment>
    <comment ref="AL66" authorId="0" shapeId="0">
      <text>
        <t>Source: Goldman Sachs Global Staples Forum
Date: 2025-05-13
Workbook tab: 56 Goldman Sachs Conf
Digest label: “Big Beverage capacity - potential Alani volume share (2 lines)”</t>
      </text>
    </comment>
    <comment ref="AQ67" authorId="0" shapeId="0">
      <text>
        <t>Source: Goldman Sachs Global Staples Forum
Date: 2025-05-13
Workbook tab: 56 Goldman Sachs Conf
Digest label: “Big Beverage potential Alani volume capacity”</t>
      </text>
    </comment>
    <comment ref="AQ68" authorId="0" shapeId="0">
      <text>
        <t>Reported in 2 transcripts (► = figure shown in cell):
► forward  —  William Blair 45th Annual Growth Stock Conference (2025-06-04)
   tab: 59 William Blair Conf  |  “Big Beverage production opportunity”
• forward  —  William Blair 45th Annual Growth Stock Conference (2025-06-04)
   tab: 59 William Blair Conf  |  “Big Beverage production opportunity”</t>
      </text>
    </comment>
    <comment ref="AT69" authorId="0" shapeId="0">
      <text>
        <t>Source: CELH Morgan Stanley Global Consumer &amp; Retail Conference
Date: 2025-12-03
Workbook tab: 64 Morgan Stanley 2025-12
Digest label: “Blue-sky market share runway (Celsius brand)”</t>
      </text>
    </comment>
    <comment ref="AR70" authorId="0" shapeId="0">
      <text>
        <t>Source: CELH Q1 2026 Earnings Call
Date: 2026-05-07
Workbook tab: 69 2026Q1 Earnings
Digest label: “Brand Celsius net sales”</t>
      </text>
    </comment>
    <comment ref="R71" authorId="0" shapeId="0">
      <text>
        <t>Source: Q1 2021 Earnings Call
Date: 2021-05-13
Workbook tab: 13 Q1 2021 Earnings
Digest label: “Can shortage resolution”</t>
      </text>
    </comment>
    <comment ref="AM72" authorId="0" shapeId="0">
      <text>
        <t>Source: Q4 2024 Earnings Call
Date: 2025-02-20
Workbook tab: 51 2024Q4 Earnings
Digest label: “Cash EPS Accretion”</t>
      </text>
    </comment>
    <comment ref="AQ72" authorId="0" shapeId="0">
      <text>
        <t>Source: Alani Nu Modeling Call (post-closing)
Date: 2025-05-28
Workbook tab: 57 Acquiring Alani Nu
Digest label: “Cash EPS accretion”</t>
      </text>
    </comment>
    <comment ref="Z73" authorId="0" shapeId="0">
      <text>
        <t>Source: Stifel 2022 Cross Sector Insight Conference
Date: 2022-06-09
Workbook tab: 24 Stifel Conference
Digest label: “Category pricing level”</t>
      </text>
    </comment>
    <comment ref="AM74" authorId="0" shapeId="0">
      <text>
        <t>Source: CELH Q2 2025 Earnings Call
Date: 2025-08-07
Workbook tab: 60 2025Q2 Earnings
Digest label: “Celsius brand”</t>
      </text>
    </comment>
    <comment ref="AQ75" authorId="0" shapeId="0">
      <text>
        <t>Source: Full-Year 2025 and Fourth Quarter Financial Results Press Release
Date: 2026-02-26
Workbook tab: 66 2025Q4 Earnings PR
Digest label: “CELSIUS brand retail sales growth”</t>
      </text>
    </comment>
    <comment ref="AQ76" authorId="0" shapeId="0">
      <text>
        <t>Source: Full-Year 2025 and Fourth Quarter Financial Results Press Release
Date: 2026-02-26
Workbook tab: 66 2025Q4 Earnings PR
Digest label: “CELSIUS brand revenue”</t>
      </text>
    </comment>
    <comment ref="W77" authorId="0" shapeId="0">
      <text>
        <t>Source: Evercore ISI Consumer &amp; Retail Conference
Date: 2022-06-07
Workbook tab: 23 Evercore Conference
Digest label: “Celsius contribution to category growth”</t>
      </text>
    </comment>
    <comment ref="AM78" authorId="0" shapeId="0">
      <text>
        <t>Source: Q4 2024 Earnings Call
Date: 2025-02-20
Workbook tab: 51 2024Q4 Earnings
Digest label: “Celsius Distribution Expansion (retail sets)”</t>
      </text>
    </comment>
    <comment ref="AL79" authorId="0" shapeId="0">
      <text>
        <t>Source: William Blair 45th Annual Growth Stock Conference
Date: 2025-06-04
Workbook tab: 59 William Blair Conf
Digest label: “Celsius Holdings net leverage”</t>
      </text>
    </comment>
    <comment ref="AL80" authorId="0" shapeId="0">
      <text>
        <t>Source: Q1 2025 Earnings Call
Date: 2025-05-06
Workbook tab: 55 2025Q1 Earnings
Digest label: “Celsius US tracked-channel dollar share”</t>
      </text>
    </comment>
    <comment ref="G81" authorId="0" shapeId="0">
      <text>
        <t>Source: Q1 2019 Earnings Call
Date: 2019-05-09
Workbook tab: 03 2019Q1 Earnings
Digest label: “China Note Interest Income Q1 2019 ($000)”</t>
      </text>
    </comment>
    <comment ref="Y82" authorId="0" shapeId="0">
      <text>
        <t>Source: Q4 2021 Earnings Call
Date: 2022-03-01
Workbook tab: 19 Q4 2021 Earnings
Digest label: “China royalty minimum”</t>
      </text>
    </comment>
    <comment ref="AA83" authorId="0" shapeId="0">
      <text>
        <t>Source: Q1 2022 Earnings Call
Date: 2022-05-10
Workbook tab: 20 2022Q1 Earnings
Digest label: “China Royalty Revenue (minimum floor)”</t>
      </text>
    </comment>
    <comment ref="V84" authorId="0" shapeId="0">
      <text>
        <t>Source: Q4 2021 Earnings Call
Date: 2022-03-01
Workbook tab: 19 Q4 2021 Earnings
Digest label: “Circle K national contract”</t>
      </text>
    </comment>
    <comment ref="W85" authorId="0" shapeId="0">
      <text>
        <t>Source: Evercore ISI Consumer &amp; Retail Conference
Date: 2022-06-07
Workbook tab: 23 Evercore Conference
Digest label: “Circle K stores recently added”</t>
      </text>
    </comment>
    <comment ref="X86" authorId="0" shapeId="0">
      <text>
        <t>Source: Q2 2022 Earnings Call
Date: 2022-08-09
Workbook tab: 26 2022Q2 Earnings
Digest label: “Club channel locations”</t>
      </text>
    </comment>
    <comment ref="X87" authorId="0" shapeId="0">
      <text>
        <t>Source: Q2 2022 Earnings Call
Date: 2022-08-09
Workbook tab: 26 2022Q2 Earnings
Digest label: “Club channel revenue ($M)”</t>
      </text>
    </comment>
    <comment ref="Q88" authorId="0" shapeId="0">
      <text>
        <t>Source: Q1 2022 Earnings Call
Date: 2022-05-10
Workbook tab: 20 2022Q1 Earnings
Digest label: “Club Channel Revenue Contribution”</t>
      </text>
    </comment>
    <comment ref="Y89" authorId="0" shapeId="0">
      <text>
        <t>Source: Q3 2022 Earnings Call
Date: 2022-11-09
Workbook tab: 27 2022Q3 Earnings
Digest label: “Club channel sales ($M)”</t>
      </text>
    </comment>
    <comment ref="AA89" authorId="0" shapeId="0">
      <text>
        <t>Source: Q4 2022 / FY2022 Earnings Call
Date: 2023-03-01
Workbook tab: 28 2022Q4 Earnings
Digest label: “Club Channel Sales”</t>
      </text>
    </comment>
    <comment ref="AC89" authorId="0" shapeId="0">
      <text>
        <t>Source: Q2 2023 Earnings Call
Date: 2023-08-08
Workbook tab: 34 2023Q2 Earnings
Digest label: “Club Channel Sales”</t>
      </text>
    </comment>
    <comment ref="AE89" authorId="0" shapeId="0">
      <text>
        <t>Source: Q3 2023 Earnings Call
Date: 2023-11-07
Workbook tab: 37 2023Q3 Earnings
Digest label: “Club Channel Sales”</t>
      </text>
    </comment>
    <comment ref="AI89" authorId="0" shapeId="0">
      <text>
        <t>Source: Q1 2024 Earnings Call
Date: 2024-05-07
Workbook tab: 42 Q1 2024 Earnings
Digest label: “Club Channel Sales”</t>
      </text>
    </comment>
    <comment ref="AK90" authorId="0" shapeId="0">
      <text>
        <t>Source: Alani Nu Modeling Call (post-closing)
Date: 2025-05-28
Workbook tab: 57 Acquiring Alani Nu
Digest label: “Combined business RTD energy mix”</t>
      </text>
    </comment>
    <comment ref="AL91" authorId="0" shapeId="0">
      <text>
        <t>Source: Q1 2025 Earnings Call
Date: 2025-05-06
Workbook tab: 55 2025Q1 Earnings
Digest label: “Combined portfolio dollar share”</t>
      </text>
    </comment>
    <comment ref="AK92" authorId="0" shapeId="0">
      <text>
        <t>Source: Alani Nu Modeling Call (post-closing)
Date: 2025-05-28
Workbook tab: 57 Acquiring Alani Nu
Digest label: “Combined US energy category dollar share”</t>
      </text>
    </comment>
    <comment ref="AQ93" authorId="0" shapeId="0">
      <text>
        <t>Source: Full-Year 2025 and Fourth Quarter Financial Results Press Release
Date: 2026-02-26
Workbook tab: 66 2025Q4 Earnings PR
Digest label: “Contingent consideration”</t>
      </text>
    </comment>
    <comment ref="AB94" authorId="0" shapeId="0">
      <text>
        <t>Source: Stifel Cross Sector Insight Conference 2023
Date: 2023-06-06
Workbook tab: 32 Stifel Conference
Digest label: “Convenience / Sea Source Revenue Share”</t>
      </text>
    </comment>
    <comment ref="Z95" authorId="0" shapeId="0">
      <text>
        <t>Source: Q4 2022 / FY2022 Earnings Call
Date: 2023-03-01
Workbook tab: 28 2022Q4 Earnings
Digest label: “Convenience ACV”</t>
      </text>
    </comment>
    <comment ref="AC95" authorId="0" shapeId="0">
      <text>
        <t>Source: Q3 2023 Earnings Call
Date: 2023-11-07
Workbook tab: 37 2023Q3 Earnings
Digest label: “Convenience ACV”</t>
      </text>
    </comment>
    <comment ref="J96" authorId="0" shapeId="0">
      <text>
        <t>Source: Q3 2020 Earnings Call
Date: 2020-11-12
Workbook tab: 10 Q3 2020 Earnings
Digest label: “Convenience channel ACV”</t>
      </text>
    </comment>
    <comment ref="V96" authorId="0" shapeId="0">
      <text>
        <t>Source: Q4 2021 Earnings Call
Date: 2022-03-01
Workbook tab: 19 Q4 2021 Earnings
Digest label: “Convenience channel ACV”</t>
      </text>
    </comment>
    <comment ref="W97" authorId="0" shapeId="0">
      <text>
        <t>Source: Evercore ISI Consumer &amp; Retail Conference
Date: 2022-06-07
Workbook tab: 23 Evercore Conference
Digest label: “Convenience channel as % of revenue (historical)”</t>
      </text>
    </comment>
    <comment ref="Y98" authorId="0" shapeId="0">
      <text>
        <t>Source: Evercore ISI Consumer &amp; Retail Conference
Date: 2022-06-07
Workbook tab: 23 Evercore Conference
Digest label: “Convenience channel revenue target”</t>
      </text>
    </comment>
    <comment ref="X99" authorId="0" shapeId="0">
      <text>
        <t>Source: Q2 2022 Earnings Call
Date: 2022-08-09
Workbook tab: 26 2022Q2 Earnings
Digest label: “Convenience channel sales growth”</t>
      </text>
    </comment>
    <comment ref="Y99" authorId="0" shapeId="0">
      <text>
        <t>Source: Q3 2022 Earnings Call
Date: 2022-11-09
Workbook tab: 27 2022Q3 Earnings
Digest label: “Convenience channel sales growth”</t>
      </text>
    </comment>
    <comment ref="X100" authorId="0" shapeId="0">
      <text>
        <t>Source: Q2 2022 Earnings Call
Date: 2022-08-09
Workbook tab: 26 2022Q2 Earnings
Digest label: “Convenience channel store locations”</t>
      </text>
    </comment>
    <comment ref="V101" authorId="0" shapeId="0">
      <text>
        <t>Source: Q4 2021 Earnings Call
Date: 2022-03-01
Workbook tab: 19 Q4 2021 Earnings
Digest label: “Convenience doors”</t>
      </text>
    </comment>
    <comment ref="AP102" authorId="0" shapeId="0">
      <text>
        <t>Source: UBS Global Consumer and Retail Conference
Date: 2026-03-11
Workbook tab: 68 UBS Conference
Digest label: “Convenience growth”</t>
      </text>
    </comment>
    <comment ref="Q103" authorId="0" shapeId="0">
      <text>
        <t>Source: Q1 2022 Earnings Call
Date: 2022-05-10
Workbook tab: 20 2022Q1 Earnings
Digest label: “Convenience Store Locations”</t>
      </text>
    </comment>
    <comment ref="Y103" authorId="0" shapeId="0">
      <text>
        <t>Source: Q3 2022 Earnings Call
Date: 2022-11-09
Workbook tab: 27 2022Q3 Earnings
Digest label: “Convenience store locations”</t>
      </text>
    </comment>
    <comment ref="V104" authorId="0" shapeId="0">
      <text>
        <t>Source: Q4 &amp; Full-Year 2020 Earnings Call
Date: 2021-03-11
Workbook tab: 12 2020Q4 Earnings
Digest label: “Cooler Rollout Phase 1”</t>
      </text>
    </comment>
    <comment ref="V105" authorId="0" shapeId="0">
      <text>
        <t>Source: Q4 &amp; Full-Year 2020 Earnings Call
Date: 2021-03-11
Workbook tab: 12 2020Q4 Earnings
Digest label: “Cooler Rollout Potential”</t>
      </text>
    </comment>
    <comment ref="W106" authorId="0" shapeId="0">
      <text>
        <t>Source: 2022 Annual General Meeting (Annual Meeting of Shareholders)
Date: 2022-06-02
Workbook tab: 22 Annual Shareholder Mtg
Digest label: “Coolers on order”</t>
      </text>
    </comment>
    <comment ref="X107" authorId="0" shapeId="0">
      <text>
        <t>Source: Q2 2022 Earnings Call
Date: 2022-08-09
Workbook tab: 26 2022Q2 Earnings
Digest label: “Coolers placed Q2 (YTD)”</t>
      </text>
    </comment>
    <comment ref="Q108" authorId="0" shapeId="0">
      <text>
        <t>Source: Q1 2022 Earnings Call
Date: 2022-05-10
Workbook tab: 20 2022Q1 Earnings
Digest label: “Costco Q1 Revenue Growth”</t>
      </text>
    </comment>
    <comment ref="V109" authorId="0" shapeId="0">
      <text>
        <t>Source: Q4 2021 Earnings Call
Date: 2022-03-01
Workbook tab: 19 Q4 2021 Earnings
Digest label: “Costco stores”</t>
      </text>
    </comment>
    <comment ref="P110" authorId="0" shapeId="0">
      <text>
        <t>Source: Q4 &amp; Full-Year 2020 Earnings Call
Date: 2021-03-11
Workbook tab: 12 2020Q4 Earnings
Digest label: “Debt”</t>
      </text>
    </comment>
    <comment ref="AL110" authorId="0" shapeId="0">
      <text>
        <t>Source: Q1 2025 Earnings Call
Date: 2025-05-06
Workbook tab: 55 2025Q1 Earnings
Digest label: “Debt”</t>
      </text>
    </comment>
    <comment ref="R111" authorId="0" shapeId="0">
      <text>
        <t>Source: Q2 2021 Earnings Call
Date: 2021-08-12
Workbook tab: 14 2021Q2 Earnings
Digest label: “Diluted EPS ($)”</t>
      </text>
    </comment>
    <comment ref="T111" authorId="0" shapeId="0">
      <text>
        <t>Source: Q3 2021 Earnings Call
Date: 2021-11-11
Workbook tab: 16 2021Q3 Earnings
Digest label: “Diluted EPS ($)”</t>
      </text>
    </comment>
    <comment ref="W111" authorId="0" shapeId="0">
      <text>
        <t>Reported in 2 transcripts (► = figure shown in cell):
► 0.09  —  Q1 2022 Earnings Call (2022-05-10)
   tab: 20 2022Q1 Earnings  |  “Diluted EPS ($)”
• 0.09  —  2022 Annual General Meeting (Annual Meeting of Shareholders) (2022-06-02)
   tab: 22 Annual Shareholder Mtg  |  “Diluted EPS ($)”</t>
      </text>
    </comment>
    <comment ref="X111" authorId="0" shapeId="0">
      <text>
        <t>Source: Q2 2022 Earnings Call
Date: 2022-08-09
Workbook tab: 26 2022Q2 Earnings
Digest label: “Diluted EPS ($)”</t>
      </text>
    </comment>
    <comment ref="AE111" authorId="0" shapeId="0">
      <text>
        <t>Source: Q3 2023 Earnings Call
Date: 2023-11-07
Workbook tab: 37 2023Q3 Earnings
Digest label: “Diluted EPS”</t>
      </text>
    </comment>
    <comment ref="AI111" authorId="0" shapeId="0">
      <text>
        <t>Source: Q1 2024 Earnings Call
Date: 2024-05-07
Workbook tab: 42 Q1 2024 Earnings
Digest label: “Diluted EPS”</t>
      </text>
    </comment>
    <comment ref="AL111" authorId="0" shapeId="0">
      <text>
        <t>Source: Q1 2025 Earnings Call
Date: 2025-05-06
Workbook tab: 55 2025Q1 Earnings
Digest label: “GAAP Diluted EPS”</t>
      </text>
    </comment>
    <comment ref="AM111" authorId="0" shapeId="0">
      <text>
        <t>Source: CELH Q2 2025 Earnings Call
Date: 2025-08-07
Workbook tab: 60 2025Q2 Earnings
Digest label: “GAAP Diluted EPS”</t>
      </text>
    </comment>
    <comment ref="AQ111" authorId="0" shapeId="0">
      <text>
        <t>Source: Full-Year 2025 and Fourth Quarter Financial Results Press Release
Date: 2026-02-26
Workbook tab: 66 2025Q4 Earnings PR
Digest label: “Diluted EPS (GAAP)”</t>
      </text>
    </comment>
    <comment ref="M112" authorId="0" shapeId="0">
      <text>
        <t>Reported in 2 transcripts (► = figure shown in cell):
► Prior  —  Q2 2020 Earnings Call (2020-08-06)
   tab: 08 Q2 2020 Earnings  |  “Distribution / Channel Stats”
• Prior  —  Q3 2020 Earnings Call (2020-11-12)
   tab: 10 Q3 2020 Earnings  |  “Distribution / Channel Stats”</t>
      </text>
    </comment>
    <comment ref="AA113" authorId="0" shapeId="0">
      <text>
        <t>Source: Celsius Holdings 2023 Annual General Meeting
Date: 2023-06-01
Workbook tab: 31 Annual General Meeting
Digest label: “Distribution Termination Expenses”</t>
      </text>
    </comment>
    <comment ref="AQ114" authorId="0" shapeId="0">
      <text>
        <t>Source: Q4 2025 / FY2025 Earnings Call
Date: 2026-02-26
Workbook tab: 67 2025Q4 Earnings
Digest label: “Distributor termination &amp; integration adj”</t>
      </text>
    </comment>
    <comment ref="AP115" authorId="0" shapeId="0">
      <text>
        <t>Source: Full-Year 2025 and Fourth Quarter Financial Results Press Release
Date: 2026-02-26
Workbook tab: 66 2025Q4 Earnings PR
Digest label: “Distributor termination costs (Q4)”</t>
      </text>
    </comment>
    <comment ref="R116" authorId="0" shapeId="0">
      <text>
        <t>Source: Q2 2021 Earnings Call
Date: 2021-08-12
Workbook tab: 14 2021Q2 Earnings
Digest label: “DPO (days)”</t>
      </text>
    </comment>
    <comment ref="N117" authorId="0" shapeId="0">
      <text>
        <t>Source: Q4 &amp; Full-Year 2019 Earnings Call
Date: 2020-03-12
Workbook tab: 06 2019Q4 Earnings
Digest label: “DSD Coverage”</t>
      </text>
    </comment>
    <comment ref="W118" authorId="0" shapeId="0">
      <text>
        <t>Source: 2022 Annual General Meeting (Annual Meeting of Shareholders)
Date: 2022-06-02
Workbook tab: 22 Annual Shareholder Mtg
Digest label: “DSD distributor revenue growth”</t>
      </text>
    </comment>
    <comment ref="X119" authorId="0" shapeId="0">
      <text>
        <t>Source: Q2 2022 Earnings Call
Date: 2022-08-09
Workbook tab: 26 2022Q2 Earnings
Digest label: “DSD incremental revenue ($M)”</t>
      </text>
    </comment>
    <comment ref="Q120" authorId="0" shapeId="0">
      <text>
        <t>Source: Q1 2022 Earnings Call
Date: 2022-05-10
Workbook tab: 20 2022Q1 Earnings
Digest label: “DSD Network Reach”</t>
      </text>
    </comment>
    <comment ref="X121" authorId="0" shapeId="0">
      <text>
        <t>Source: Q2 2022 Earnings Call
Date: 2022-08-09
Workbook tab: 26 2022Q2 Earnings
Digest label: “DSD network sales ($M)”</t>
      </text>
    </comment>
    <comment ref="M122" authorId="0" shapeId="0">
      <text>
        <t>Source: Q3 2020 Earnings Call
Date: 2020-11-12
Workbook tab: 10 Q3 2020 Earnings
Digest label: “DSD partners”</t>
      </text>
    </comment>
    <comment ref="M123" authorId="0" shapeId="0">
      <text>
        <t>Source: Q2 2020 Earnings Call
Date: 2020-08-06
Workbook tab: 08 Q2 2020 Earnings
Digest label: “DSD penetration of stores”</t>
      </text>
    </comment>
    <comment ref="V124" authorId="0" shapeId="0">
      <text>
        <t>Source: Q4 2021 Earnings Call
Date: 2022-03-01
Workbook tab: 19 Q4 2021 Earnings
Digest label: “DSD population coverage”</t>
      </text>
    </comment>
    <comment ref="W124" authorId="0" shapeId="0">
      <text>
        <t>Source: 2022 Annual General Meeting (Annual Meeting of Shareholders)
Date: 2022-06-02
Workbook tab: 22 Annual Shareholder Mtg
Digest label: “DSD population coverage”</t>
      </text>
    </comment>
    <comment ref="M125" authorId="0" shapeId="0">
      <text>
        <t>Source: Q2 2020 Earnings Call
Date: 2020-08-06
Workbook tab: 08 Q2 2020 Earnings
Digest label: “DSD regional partners”</t>
      </text>
    </comment>
    <comment ref="V126" authorId="0" shapeId="0">
      <text>
        <t>Source: Q4 2021 Earnings Call
Date: 2022-03-01
Workbook tab: 19 Q4 2021 Earnings
Digest label: “DSD service centers”</t>
      </text>
    </comment>
    <comment ref="R127" authorId="0" shapeId="0">
      <text>
        <t>Source: Q2 2021 Earnings Call
Date: 2021-08-12
Workbook tab: 14 2021Q2 Earnings
Digest label: “DSO (days)”</t>
      </text>
    </comment>
    <comment ref="AM128" authorId="0" shapeId="0">
      <text>
        <t>Source: CELH Q2 2025 Earnings Call
Date: 2025-08-07
Workbook tab: 60 2025Q2 Earnings
Digest label: “Earn-out contingent consideration charge”</t>
      </text>
    </comment>
    <comment ref="AP129" authorId="0" shapeId="0">
      <text>
        <t>Source: CELH Q2 2025 Earnings Call
Date: 2025-08-07
Workbook tab: 60 2025Q2 Earnings
Digest label: “Earn-out maximum payout”</t>
      </text>
    </comment>
    <comment ref="X130" authorId="0" shapeId="0">
      <text>
        <t>Source: Credit Suisse HALO Investment Summit
Date: 2022-05-25
Workbook tab: 21 Credit Suisse Conf
Digest label: “EBITDA margin (long-term framework)”</t>
      </text>
    </comment>
    <comment ref="AK131" authorId="0" shapeId="0">
      <text>
        <t>Source: Piper Sandler Growth Frontiers Conference
Date: 2023-09-13
Workbook tab: 36 Piper Sandler Conf 09-13
Digest label: “EBITDA Margin Aspiration”</t>
      </text>
    </comment>
    <comment ref="AC132" authorId="0" shapeId="0">
      <text>
        <t>Source: Stephens Annual Investment Conference
Date: 2023-11-15
Workbook tab: 38 Stephens Conf 2023-11
Digest label: “EBITDA Margin Target”</t>
      </text>
    </comment>
    <comment ref="Y133" authorId="0" shapeId="0">
      <text>
        <t>Source: Q3 2022 Earnings Call
Date: 2022-11-09
Workbook tab: 27 2022Q3 Earnings
Digest label: “Effective tax rate (9 months)”</t>
      </text>
    </comment>
    <comment ref="Z134" authorId="0" shapeId="0">
      <text>
        <t>Source: Q3 2022 Earnings Call
Date: 2022-11-09
Workbook tab: 27 2022Q3 Earnings
Digest label: “Effective tax rate (go-forward)”</t>
      </text>
    </comment>
    <comment ref="W135" authorId="0" shapeId="0">
      <text>
        <t>Source: Evercore ISI Consumer &amp; Retail Conference
Date: 2022-06-07
Workbook tab: 23 Evercore Conference
Digest label: “Energy category dollar growth (period)”</t>
      </text>
    </comment>
    <comment ref="W136" authorId="0" shapeId="0">
      <text>
        <t>Source: Evercore ISI Consumer &amp; Retail Conference
Date: 2022-06-07
Workbook tab: 23 Evercore Conference
Digest label: “Energy category growth rate”</t>
      </text>
    </comment>
    <comment ref="Z137" authorId="0" shapeId="0">
      <text>
        <t>Source: Credit Suisse HALO Investment Summit
Date: 2022-05-25
Workbook tab: 21 Credit Suisse Conf
Digest label: “Energy category long-term growth”</t>
      </text>
    </comment>
    <comment ref="G138" authorId="0" shapeId="0">
      <text>
        <t>Source: Q1 2019 Earnings Call
Date: 2019-05-09
Workbook tab: 03 2019Q1 Earnings
Digest label: “EPS Q1 2019 ($)”</t>
      </text>
    </comment>
    <comment ref="I138" authorId="0" shapeId="0">
      <text>
        <t>Source: Q2 2019 Earnings Call
Date: 2019-08-08
Workbook tab: 04 2019Q2 Earnings
Digest label: “EPS H1 2019 ($)”</t>
      </text>
    </comment>
    <comment ref="M138" authorId="0" shapeId="0">
      <text>
        <t>Source: Q4 &amp; Full-Year 2019 Earnings Call
Date: 2020-03-12
Workbook tab: 06 2019Q4 Earnings
Digest label: “EPS FY2019 ($)”</t>
      </text>
    </comment>
    <comment ref="O138" authorId="0" shapeId="0">
      <text>
        <t>Source: Q4 &amp; Full-Year 2020 Earnings Call
Date: 2021-03-11
Workbook tab: 12 2020Q4 Earnings
Digest label: “EPS Q4 2020 ($)”</t>
      </text>
    </comment>
    <comment ref="J139" authorId="0" shapeId="0">
      <text>
        <t>Source: Q3 2019 Earnings Call
Date: 2019-11-07
Workbook tab: 05 2019Q3 Earnings
Digest label: “EPS Basic Q3 2019 ($)”</t>
      </text>
    </comment>
    <comment ref="K139" authorId="0" shapeId="0">
      <text>
        <t>Source: Q3 2019 Earnings Call
Date: 2019-11-07
Workbook tab: 05 2019Q3 Earnings
Digest label: “YTD EPS Basic 9M 2019 ($)”</t>
      </text>
    </comment>
    <comment ref="AL140" authorId="0" shapeId="0">
      <text>
        <t>Source: Goldman Sachs Global Staples Forum
Date: 2025-05-13
Workbook tab: 56 Goldman Sachs Conf
Digest label: “Eric Hansen tenure”</t>
      </text>
    </comment>
    <comment ref="AI141" authorId="0" shapeId="0">
      <text>
        <t>Source: Stephens Annual Investment Conference
Date: 2023-11-15
Workbook tab: 38 Stephens Conf 2023-11
Digest label: “Essentials 16oz National Rollout”</t>
      </text>
    </comment>
    <comment ref="AK142" authorId="0" shapeId="0">
      <text>
        <t>Source: Morgan Stanley Global Consumer &amp; Retail Conference
Date: 2023-12-06
Workbook tab: 39 Morgan Stanley Conf 12-06
Digest label: “ESSENTIALS Line”</t>
      </text>
    </comment>
    <comment ref="AB143" authorId="0" shapeId="0">
      <text>
        <t>Source: Stifel Cross Sector Insight Conference 2023
Date: 2023-06-06
Workbook tab: 32 Stifel Conference
Digest label: “Q1 Excess Order Timing”</t>
      </text>
    </comment>
    <comment ref="X144" authorId="0" shapeId="0">
      <text>
        <t>Source: Celsius Holdings / PepsiCo Distribution Partnership Conference Call ($550M PepsiCo Investment)
Date: 2022-08-01
Workbook tab: 25 PepsiCo Distribution
Digest label: “Expected distribution expansion”</t>
      </text>
    </comment>
    <comment ref="Q145" authorId="0" shapeId="0">
      <text>
        <t>Source: Q1 2022 Earnings Call
Date: 2022-05-10
Workbook tab: 20 2022Q1 Earnings
Digest label: “Q1 Fill Rate”</t>
      </text>
    </comment>
    <comment ref="R146" authorId="0" shapeId="0">
      <text>
        <t>Source: Q1 2021 Earnings Call
Date: 2021-05-13
Workbook tab: 13 Q1 2021 Earnings
Digest label: “Fill-rate recovery to full”</t>
      </text>
    </comment>
    <comment ref="AL147" authorId="0" shapeId="0">
      <text>
        <t>Source: Q1 2025 Earnings Call
Date: 2025-05-06
Workbook tab: 55 2025Q1 Earnings
Digest label: “Foodservice as % of NA sales (via PepsiCo)”</t>
      </text>
    </comment>
    <comment ref="AE148" authorId="0" shapeId="0">
      <text>
        <t>Source: Q3 2023 Earnings Call
Date: 2023-11-07
Workbook tab: 37 2023Q3 Earnings
Digest label: “YTD Freight (% of net revenues)”</t>
      </text>
    </comment>
    <comment ref="AH149" authorId="0" shapeId="0">
      <text>
        <t>Source: Q4 2022 / FY2022 Earnings Call
Date: 2023-03-01
Workbook tab: 28 2022Q4 Earnings
Digest label: “Freight (% of Revenue) trend”</t>
      </text>
    </comment>
    <comment ref="AO150" authorId="0" shapeId="0">
      <text>
        <t>Source: CELH Q3 2025 Earnings Call
Date: 2025-11-06
Workbook tab: 63 2025Q3 Earnings
Digest label: “Freight cost (Celsius brand) % of sales”</t>
      </text>
    </comment>
    <comment ref="T151" authorId="0" shapeId="0">
      <text>
        <t>Source: Morgan Stanley Global Consumer &amp; Retail Conference 2021
Date: 2021-11-30
Workbook tab: 18 Morgan Stanley Conf
Digest label: “Freight Reduction Opportunity”</t>
      </text>
    </comment>
    <comment ref="W152" authorId="0" shapeId="0">
      <text>
        <t>Source: Q1 2022 Earnings Call
Date: 2022-05-10
Workbook tab: 20 2022Q1 Earnings
Digest label: “G&amp;A % of Revenue”</t>
      </text>
    </comment>
    <comment ref="X152" authorId="0" shapeId="0">
      <text>
        <t>Source: Q2 2022 Earnings Call
Date: 2022-08-09
Workbook tab: 26 2022Q2 Earnings
Digest label: “G&amp;A (% of revenue)”</t>
      </text>
    </comment>
    <comment ref="Y152" authorId="0" shapeId="0">
      <text>
        <t>Source: Q3 2022 Earnings Call
Date: 2022-11-09
Workbook tab: 27 2022Q3 Earnings
Digest label: “G&amp;A (% of revenue)”</t>
      </text>
    </comment>
    <comment ref="AB152" authorId="0" shapeId="0">
      <text>
        <t>Source: Celsius Holdings Q1 2023 Earnings Call
Date: 2023-05-09
Workbook tab: 29 2023Q1 Earnings
Digest label: “G&amp;A % of Sales”</t>
      </text>
    </comment>
    <comment ref="AC152" authorId="0" shapeId="0">
      <text>
        <t>Source: Q2 2023 Earnings Call
Date: 2023-08-08
Workbook tab: 34 2023Q2 Earnings
Digest label: “G&amp;A (% of sales)”</t>
      </text>
    </comment>
    <comment ref="AE152" authorId="0" shapeId="0">
      <text>
        <t>Source: Q3 2023 Earnings Call
Date: 2023-11-07
Workbook tab: 37 2023Q3 Earnings
Digest label: “G&amp;A (% of sales)”</t>
      </text>
    </comment>
    <comment ref="AG152" authorId="0" shapeId="0">
      <text>
        <t>Source: Celsius Holdings Q4 2023 Earnings Call
Date: 2024-02-29
Workbook tab: 40 2023Q4 Earnings
Digest label: “G&amp;A % of Sales”</t>
      </text>
    </comment>
    <comment ref="AH152" authorId="0" shapeId="0">
      <text>
        <t>Source: Celsius Holdings Q4 2023 Earnings Call
Date: 2024-02-29
Workbook tab: 40 2023Q4 Earnings
Digest label: “G&amp;A % of Sales”</t>
      </text>
    </comment>
    <comment ref="AI152" authorId="0" shapeId="0">
      <text>
        <t>Source: Q1 2024 Earnings Call
Date: 2024-05-07
Workbook tab: 42 Q1 2024 Earnings
Digest label: “G&amp;A (% of Sales)”</t>
      </text>
    </comment>
    <comment ref="AK152" authorId="0" shapeId="0">
      <text>
        <t>Source: Q4 2024 Earnings Call
Date: 2025-02-20
Workbook tab: 51 2024Q4 Earnings
Digest label: “G&amp;A (% of sales)”</t>
      </text>
    </comment>
    <comment ref="AM152" authorId="0" shapeId="0">
      <text>
        <t>Source: CELH Q2 2025 Earnings Call
Date: 2025-08-07
Workbook tab: 60 2025Q2 Earnings
Digest label: “G&amp;A % of revenue”</t>
      </text>
    </comment>
    <comment ref="AO153" authorId="0" shapeId="0">
      <text>
        <t>Source: CELH Q3 2025 Earnings Call
Date: 2025-11-06
Workbook tab: 63 2025Q3 Earnings
Digest label: “G&amp;A % of sales (ex-acquisition costs)”</t>
      </text>
    </comment>
    <comment ref="AQ154" authorId="0" shapeId="0">
      <text>
        <t>Source: Q4 2025 / FY2025 Earnings Call
Date: 2026-02-26
Workbook tab: 67 2025Q4 Earnings
Digest label: “G&amp;A (Adjusted)”</t>
      </text>
    </comment>
    <comment ref="AQ155" authorId="0" shapeId="0">
      <text>
        <t>Source: Q4 2025 / FY2025 Earnings Call
Date: 2026-02-26
Workbook tab: 67 2025Q4 Earnings
Digest label: “G&amp;A (GAAP)”</t>
      </text>
    </comment>
    <comment ref="AL156" authorId="0" shapeId="0">
      <text>
        <t>Source: Q1 2025 Earnings Call
Date: 2025-05-06
Workbook tab: 55 2025Q1 Earnings
Digest label: “Gap (promos/incentives + non-DSD timing)”</t>
      </text>
    </comment>
    <comment ref="AQ157" authorId="0" shapeId="0">
      <text>
        <t>Source: Alani Nu Modeling Call (post-closing)
Date: 2025-05-28
Workbook tab: 57 Acquiring Alani Nu
Digest label: “Global energy category growth”</t>
      </text>
    </comment>
    <comment ref="AC158" authorId="0" shapeId="0">
      <text>
        <t>Source: Stephens Annual Investment Conference
Date: 2023-11-15
Workbook tab: 38 Stephens Conf 2023-11
Digest label: “Gross Margin Aspiration”</t>
      </text>
    </comment>
    <comment ref="AM159" authorId="0" shapeId="0">
      <text>
        <t>Source: CELH Q2 2025 Earnings Call
Date: 2025-08-07
Workbook tab: 60 2025Q2 Earnings
Digest label: “Gross Margin ex inventory step-up”</t>
      </text>
    </comment>
    <comment ref="Y160" authorId="0" shapeId="0">
      <text>
        <t>Source: Q3 2022 Earnings Call
Date: 2022-11-09
Workbook tab: 27 2022Q3 Earnings
Digest label: “Gross margin sequential change (vs Q2)”</t>
      </text>
    </comment>
    <comment ref="AI161" authorId="0" shapeId="0">
      <text>
        <t>Source: UBS Global Consumer and Retail Conference 2024
Date: 2024-03-14
Workbook tab: 41 UBS Conference
Digest label: “Gross Profit Margin (long term)”</t>
      </text>
    </comment>
    <comment ref="AA162" authorId="0" shapeId="0">
      <text>
        <t>Source: Q2 2021 Earnings Call
Date: 2021-08-12
Workbook tab: 14 2021Q2 Earnings
Digest label: “Gross Profit Margin Floor”</t>
      </text>
    </comment>
    <comment ref="AL163" authorId="0" shapeId="0">
      <text>
        <t>Source: UBS Global Consumer and Retail Conference
Date: 2026-03-11
Workbook tab: 68 UBS Conference
Digest label: “Growth current”</t>
      </text>
    </comment>
    <comment ref="J164" authorId="0" shapeId="0">
      <text>
        <t>Source: Q3 2020 Earnings Call
Date: 2020-11-12
Workbook tab: 10 Q3 2020 Earnings
Digest label: “Health club/specialty channel revenue”</t>
      </text>
    </comment>
    <comment ref="Z165" authorId="0" shapeId="0">
      <text>
        <t>Source: Celsius Holdings / PepsiCo Distribution Partnership Conference Call ($550M PepsiCo Investment)
Date: 2022-08-01
Workbook tab: 25 PepsiCo Distribution
Digest label: “Healthy-functional-energy exclusivity”</t>
      </text>
    </comment>
    <comment ref="AC166" authorId="0" shapeId="0">
      <text>
        <t>Source: Q3 2023 Earnings Call
Date: 2023-11-07
Workbook tab: 37 2023Q3 Earnings
Digest label: “Household Penetration”</t>
      </text>
    </comment>
    <comment ref="T167" authorId="0" shapeId="0">
      <text>
        <t>Source: Morgan Stanley Global Consumer &amp; Retail Conference 2021
Date: 2021-11-30
Workbook tab: 18 Morgan Stanley Conf
Digest label: “Imported Can Cycle-Through”</t>
      </text>
    </comment>
    <comment ref="AQ168" authorId="0" shapeId="0">
      <text>
        <t>Source: UBS Global Consumer and Retail Conference
Date: 2025-03-12
Workbook tab: 53 UBS Conf 2025-03-12
Digest label: “Incremental Cooler Placement”</t>
      </text>
    </comment>
    <comment ref="AK169" authorId="0" shapeId="0">
      <text>
        <t>Source: Barclays Global Consumer Staples Conference
Date: 2023-09-07
Workbook tab: 35 Barclays Conf 2023-09
Digest label: “International Cadence”</t>
      </text>
    </comment>
    <comment ref="Q170" authorId="0" shapeId="0">
      <text>
        <t>Source: Q1 2022 Earnings Call
Date: 2022-05-10
Workbook tab: 20 2022Q1 Earnings
Digest label: “International cans on the books”</t>
      </text>
    </comment>
    <comment ref="AH171" authorId="0" shapeId="0">
      <text>
        <t>Source: Celsius Holdings Q1 2023 Earnings Call
Date: 2023-05-09
Workbook tab: 29 2023Q1 Earnings
Digest label: “International Expansion”</t>
      </text>
    </comment>
    <comment ref="AK171" authorId="0" shapeId="0">
      <text>
        <t>Source: Piper Sandler Growth Frontiers Conference
Date: 2023-09-13
Workbook tab: 36 Piper Sandler Conf 09-13
Digest label: “International Expansion”</t>
      </text>
    </comment>
    <comment ref="Z172" authorId="0" shapeId="0">
      <text>
        <t>Source: Celsius Holdings / PepsiCo Distribution Partnership Conference Call ($550M PepsiCo Investment)
Date: 2022-08-01
Workbook tab: 25 PepsiCo Distribution
Digest label: “International market entry (UK, Germany, Canada, W. Europe)”</t>
      </text>
    </comment>
    <comment ref="AI173" authorId="0" shapeId="0">
      <text>
        <t>Source: Q1 2024 Earnings Call
Date: 2024-05-07
Workbook tab: 42 Q1 2024 Earnings
Digest label: “International Revenue (ex-Canada)”</t>
      </text>
    </comment>
    <comment ref="AK174" authorId="0" shapeId="0">
      <text>
        <t>Source: Morgan Stanley Global Consumer &amp; Retail Conference
Date: 2023-12-06
Workbook tab: 39 Morgan Stanley Conf 12-06
Digest label: “International Rollout”</t>
      </text>
    </comment>
    <comment ref="AQ175" authorId="0" shapeId="0">
      <text>
        <t>Source: dbAccess Global Consumer Conference (Deutsche Bank, Paris)
Date: 2025-06-03
Workbook tab: 58 Deutsche Bank Conf
Digest label: “International share aspiration”</t>
      </text>
    </comment>
    <comment ref="AL176" authorId="0" shapeId="0">
      <text>
        <t>Source: Goldman Sachs Global Staples Forum
Date: 2025-05-13
Workbook tab: 56 Goldman Sachs Conf
Digest label: “International share of sales (incl. Alani)”</t>
      </text>
    </comment>
    <comment ref="R177" authorId="0" shapeId="0">
      <text>
        <t>Source: Q2 2021 Earnings Call
Date: 2021-08-12
Workbook tab: 14 2021Q2 Earnings
Digest label: “Inventory Days on Hand”</t>
      </text>
    </comment>
    <comment ref="T178" authorId="0" shapeId="0">
      <text>
        <t>Source: Q3 2021 Earnings Call
Date: 2021-11-11
Workbook tab: 16 2021Q3 Earnings
Digest label: “Inventory Increase (9M)”</t>
      </text>
    </comment>
    <comment ref="U179" authorId="0" shapeId="0">
      <text>
        <t>Source: Q4 2021 Earnings Call
Date: 2022-03-01
Workbook tab: 19 Q4 2021 Earnings
Digest label: “Inventory normalization cash release”</t>
      </text>
    </comment>
    <comment ref="AQ180" authorId="0" shapeId="0">
      <text>
        <t>Source: Alani Nu Modeling Call (post-closing)
Date: 2025-05-28
Workbook tab: 57 Acquiring Alani Nu
Digest label: “Inventory step-up”</t>
      </text>
    </comment>
    <comment ref="AP181" authorId="0" shapeId="0">
      <text>
        <t>Source: Full-Year 2025 and Fourth Quarter Financial Results Press Release
Date: 2026-02-26
Workbook tab: 66 2025Q4 Earnings PR
Digest label: “Inventory valuation step-up (non-cash, FY)”</t>
      </text>
    </comment>
    <comment ref="Y182" authorId="0" shapeId="0">
      <text>
        <t>Source: Q3 2022 Earnings Call
Date: 2022-11-09
Workbook tab: 27 2022Q3 Earnings
Digest label: “Items carried per store”</t>
      </text>
    </comment>
    <comment ref="AB183" authorId="0" shapeId="0">
      <text>
        <t>Source: Evercore ISI 3rd Annual Consumer and Retail Conference
Date: 2023-06-14
Workbook tab: 33 Evercore Conference
Digest label: “Items per Store”</t>
      </text>
    </comment>
    <comment ref="R184" authorId="0" shapeId="0">
      <text>
        <t>Source: Q2 2021 Earnings Call
Date: 2021-08-12
Workbook tab: 14 2021Q2 Earnings
Digest label: “June 9 Offering Net Proceeds (to Company)”</t>
      </text>
    </comment>
    <comment ref="AB185" authorId="0" shapeId="0">
      <text>
        <t>Source: Evercore ISI 3rd Annual Consumer and Retail Conference
Date: 2023-06-14
Workbook tab: 33 Evercore Conference
Digest label: “Key Markets”</t>
      </text>
    </comment>
    <comment ref="V186" authorId="0" shapeId="0">
      <text>
        <t>Source: Q4 2021 Earnings Call
Date: 2022-03-01
Workbook tab: 19 Q4 2021 Earnings
Digest label: “Long-term debt”</t>
      </text>
    </comment>
    <comment ref="AQ186" authorId="0" shapeId="0">
      <text>
        <t>Source: Full-Year 2025 and Fourth Quarter Financial Results Press Release
Date: 2026-02-26
Workbook tab: 66 2025Q4 Earnings PR
Digest label: “Long-term debt”</t>
      </text>
    </comment>
    <comment ref="AM187" authorId="0" shapeId="0">
      <text>
        <t>Source: CELH Piper Sandler 4th Annual Growth Frontiers Conference
Date: 2025-09-10
Workbook tab: 62 Piper Sandler 2025-09
Digest label: “Long-term EBITDA margin aspiration”</t>
      </text>
    </comment>
    <comment ref="AM188" authorId="0" shapeId="0">
      <text>
        <t>Source: CELH Piper Sandler 4th Annual Growth Frontiers Conference
Date: 2025-09-10
Workbook tab: 62 Piper Sandler 2025-09
Digest label: “Long-term gross margin aspiration (apples-to-apples vs Monster)”</t>
      </text>
    </comment>
    <comment ref="AK189" authorId="0" shapeId="0">
      <text>
        <t>Source: Morgan Stanley Global Consumer &amp; Retail Conference
Date: 2023-12-06
Workbook tab: 39 Morgan Stanley Conf 12-06
Digest label: “Long-Term Gross Margin Goal”</t>
      </text>
    </comment>
    <comment ref="AK190" authorId="0" shapeId="0">
      <text>
        <t>Source: Barclays Global Consumer Staples Conference
Date: 2023-09-07
Workbook tab: 35 Barclays Conf 2023-09
Digest label: “Long-Term Operating Margin”</t>
      </text>
    </comment>
    <comment ref="AK191" authorId="0" shapeId="0">
      <text>
        <t>Source: Piper Sandler Growth Frontiers Conference
Date: 2023-09-13
Workbook tab: 36 Piper Sandler Conf 09-13
Digest label: “Q3 Margin”</t>
      </text>
    </comment>
    <comment ref="AQ192" authorId="0" shapeId="0">
      <text>
        <t>Source: Alani Nu Modeling Call (post-closing)
Date: 2025-05-28
Workbook tab: 57 Acquiring Alani Nu
Digest label: “Marketing uplift share of synergies (per analyst, Slide 19)”</t>
      </text>
    </comment>
    <comment ref="AB193" authorId="0" shapeId="0">
      <text>
        <t>Source: Stifel Cross Sector Insight Conference 2023
Date: 2023-06-06
Workbook tab: 32 Stifel Conference
Digest label: “Markets Expanded Into”</t>
      </text>
    </comment>
    <comment ref="W194" authorId="0" shapeId="0">
      <text>
        <t>Source: Evercore ISI Consumer &amp; Retail Conference
Date: 2022-06-07
Workbook tab: 23 Evercore Conference
Digest label: “Micro-market placements”</t>
      </text>
    </comment>
    <comment ref="AC195" authorId="0" shapeId="0">
      <text>
        <t>Source: Q3 2023 Earnings Call
Date: 2023-11-07
Workbook tab: 37 2023Q3 Earnings
Digest label: “MULOC ACV”</t>
      </text>
    </comment>
    <comment ref="Y196" authorId="0" shapeId="0">
      <text>
        <t>Source: Q3 2022 Earnings Call
Date: 2022-11-09
Workbook tab: 27 2022Q3 Earnings
Digest label: “MULOC locations serviced by DSD”</t>
      </text>
    </comment>
    <comment ref="AL197" authorId="0" shapeId="0">
      <text>
        <t>Source: Q1 2025 Earnings Call
Date: 2025-05-06
Workbook tab: 55 2025Q1 Earnings
Digest label: “Multipack share of retail sales mix”</t>
      </text>
    </comment>
    <comment ref="AP198" authorId="0" shapeId="0">
      <text>
        <t>Source: Q4 2025 / FY2025 Earnings Call
Date: 2026-02-26
Workbook tab: 67 2025Q4 Earnings
Digest label: “Net benefit (Celsius + Alani load-in)”</t>
      </text>
    </comment>
    <comment ref="R199" authorId="0" shapeId="0">
      <text>
        <t>Source: Q2 2021 Earnings Call
Date: 2021-08-12
Workbook tab: 14 2021Q2 Earnings
Digest label: “Net Inventory”</t>
      </text>
    </comment>
    <comment ref="V199" authorId="0" shapeId="0">
      <text>
        <t>Source: Q4 2021 Earnings Call
Date: 2022-03-01
Workbook tab: 19 Q4 2021 Earnings
Digest label: “Net Inventory”</t>
      </text>
    </comment>
    <comment ref="C200" authorId="0" shapeId="0">
      <text>
        <t>Source: Q3 2018 Earnings Call
Date: 2018-11-09
Workbook tab: 01 2018Q3 Earnings
Digest label: “Net Loss Per Share Q3 2018 ($)”</t>
      </text>
    </comment>
    <comment ref="D200" authorId="0" shapeId="0">
      <text>
        <t>Source: Q3 2018 Earnings Call
Date: 2018-11-09
Workbook tab: 01 2018Q3 Earnings
Digest label: “Net Loss Per Share 9M 2018 ($)”</t>
      </text>
    </comment>
    <comment ref="E200" authorId="0" shapeId="0">
      <text>
        <t>Source: Q4 &amp; Full-Year 2018 Earnings Call
Date: 2019-03-14
Workbook tab: 02 2018Q4 Earnings
Digest label: “Net Loss Per Share Q4 2018 ($)”</t>
      </text>
    </comment>
    <comment ref="F200" authorId="0" shapeId="0">
      <text>
        <t>Source: Q4 &amp; Full-Year 2018 Earnings Call
Date: 2019-03-14
Workbook tab: 02 2018Q4 Earnings
Digest label: “Net Loss Per Share FY2018 ($)”</t>
      </text>
    </comment>
    <comment ref="H200" authorId="0" shapeId="0">
      <text>
        <t>Source: Q2 2019 Earnings Call
Date: 2019-08-08
Workbook tab: 04 2019Q2 Earnings
Digest label: “Net Loss Per Share Q2 2019 ($)”</t>
      </text>
    </comment>
    <comment ref="L200" authorId="0" shapeId="0">
      <text>
        <t>Source: Q4 &amp; Full-Year 2019 Earnings Call
Date: 2020-03-12
Workbook tab: 06 2019Q4 Earnings
Digest label: “Net Loss Per Share Q4 2019 ($)”</t>
      </text>
    </comment>
    <comment ref="Z201" authorId="0" shapeId="0">
      <text>
        <t>Source: Credit Suisse HALO Investment Summit
Date: 2022-05-25
Workbook tab: 21 Credit Suisse Conf
Digest label: “Nielsen scan growth”</t>
      </text>
    </comment>
    <comment ref="T202" authorId="0" shapeId="0">
      <text>
        <t>Source: Q3 2021 Earnings Call
Date: 2021-11-11
Workbook tab: 16 2021Q3 Earnings
Digest label: “Normalized Gross Margin (ex one-time)”</t>
      </text>
    </comment>
    <comment ref="R203" authorId="0" shapeId="0">
      <text>
        <t>Source: Q2 2021 Earnings Call
Date: 2021-08-12
Workbook tab: 14 2021Q2 Earnings
Digest label: “Op. Cash Flow ex-inventory build (6M)”</t>
      </text>
    </comment>
    <comment ref="AC204" authorId="0" shapeId="0">
      <text>
        <t>Source: Q2 2023 Earnings Call
Date: 2023-08-08
Workbook tab: 34 2023Q2 Earnings
Digest label: “Operating Income Growth”</t>
      </text>
    </comment>
    <comment ref="AI205" authorId="0" shapeId="0">
      <text>
        <t>Source: UBS Global Consumer and Retail Conference 2024
Date: 2024-03-14
Workbook tab: 41 UBS Conference
Digest label: “Operating Margin (long term)”</t>
      </text>
    </comment>
    <comment ref="Z206" authorId="0" shapeId="0">
      <text>
        <t>Source: Credit Suisse HALO Investment Summit
Date: 2022-05-25
Workbook tab: 21 Credit Suisse Conf
Digest label: “Orbit model expansion”</t>
      </text>
    </comment>
    <comment ref="I207" authorId="0" shapeId="0">
      <text>
        <t>Source: Q2 2019 Earnings Call
Date: 2019-08-08
Workbook tab: 04 2019Q2 Earnings
Digest label: “Other Income H1 2019 ($M)”</t>
      </text>
    </comment>
    <comment ref="AQ207" authorId="0" shapeId="0">
      <text>
        <t>Source: Q4 2025 / FY2025 Earnings Call
Date: 2026-02-26
Workbook tab: 67 2025Q4 Earnings
Digest label: “Other Income”</t>
      </text>
    </comment>
    <comment ref="R208" authorId="0" shapeId="0">
      <text>
        <t>Source: Q2 2021 Earnings Call
Date: 2021-08-12
Workbook tab: 14 2021Q2 Earnings
Digest label: “Other International”</t>
      </text>
    </comment>
    <comment ref="T208" authorId="0" shapeId="0">
      <text>
        <t>Source: Q3 2021 Earnings Call
Date: 2021-11-11
Workbook tab: 16 2021Q3 Earnings
Digest label: “Other International”</t>
      </text>
    </comment>
    <comment ref="V209" authorId="0" shapeId="0">
      <text>
        <t>Source: Q4 2021 Earnings Call
Date: 2022-03-01
Workbook tab: 19 Q4 2021 Earnings
Digest label: “Other international markets”</t>
      </text>
    </comment>
    <comment ref="W209" authorId="0" shapeId="0">
      <text>
        <t>Source: Q1 2022 Earnings Call
Date: 2022-05-10
Workbook tab: 20 2022Q1 Earnings
Digest label: “Other International Markets”</t>
      </text>
    </comment>
    <comment ref="Y210" authorId="0" shapeId="0">
      <text>
        <t>Source: Q4 2021 Earnings Call
Date: 2022-03-01
Workbook tab: 19 Q4 2021 Earnings
Digest label: “Outbound freight gross-profit gap (historical)”</t>
      </text>
    </comment>
    <comment ref="AI211" authorId="0" shapeId="0">
      <text>
        <t>Source: Q3 2023 Earnings Call
Date: 2023-11-07
Workbook tab: 37 2023Q3 Earnings
Digest label: “Q4 Outlook”</t>
      </text>
    </comment>
    <comment ref="AT212" authorId="0" shapeId="0">
      <text>
        <t>Source: CELH Morgan Stanley Global Consumer &amp; Retail Conference
Date: 2025-12-03
Workbook tab: 64 Morgan Stanley 2025-12
Digest label: “Pepsi year-end inventory timing impact”</t>
      </text>
    </comment>
    <comment ref="AQ213" authorId="0" shapeId="0">
      <text>
        <t>Source: Full-Year 2025 and Fourth Quarter Financial Results Press Release
Date: 2026-02-26
Workbook tab: 66 2025Q4 Earnings PR
Digest label: “Portfolio retail sales growth”</t>
      </text>
    </comment>
    <comment ref="V214" authorId="0" shapeId="0">
      <text>
        <t>Source: Q4 2021 Earnings Call
Date: 2022-03-01
Workbook tab: 19 Q4 2021 Earnings
Digest label: “Prepaid cans/raw materials in inventory build”</t>
      </text>
    </comment>
    <comment ref="T215" authorId="0" shapeId="0">
      <text>
        <t>Source: Q3 2021 Earnings Call
Date: 2021-11-11
Workbook tab: 16 2021Q3 Earnings
Digest label: “Prepaids tied to raw materials”</t>
      </text>
    </comment>
    <comment ref="AB216" authorId="0" shapeId="0">
      <text>
        <t>Source: Evercore ISI 3rd Annual Consumer and Retail Conference
Date: 2023-06-14
Workbook tab: 33 Evercore Conference
Digest label: “Prior Independent Distributor Count”</t>
      </text>
    </comment>
    <comment ref="AM217" authorId="0" shapeId="0">
      <text>
        <t>Source: Q4 2024 Earnings Call
Date: 2025-02-20
Workbook tab: 51 2024Q4 Earnings
Digest label: “Pro-Forma Net Leverage”</t>
      </text>
    </comment>
    <comment ref="AK218" authorId="0" shapeId="0">
      <text>
        <t>Source: Alani Nu Modeling Call (post-closing)
Date: 2025-05-28
Workbook tab: 57 Acquiring Alani Nu
Digest label: “Protein shakes share of 2024 sales”</t>
      </text>
    </comment>
    <comment ref="AM219" authorId="0" shapeId="0">
      <text>
        <t>Source: CELH Q2 2025 Earnings Call
Date: 2025-08-07
Workbook tab: 60 2025Q2 Earnings
Digest label: “Purchase accounting inventory step-up”</t>
      </text>
    </comment>
    <comment ref="X220" authorId="0" shapeId="0">
      <text>
        <t>Source: Q2 2022 Earnings Call
Date: 2022-08-09
Workbook tab: 26 2022Q2 Earnings
Digest label: “Quarter growth”</t>
      </text>
    </comment>
    <comment ref="Z220" authorId="0" shapeId="0">
      <text>
        <t>Source: Q3 2022 Earnings Call
Date: 2022-11-09
Workbook tab: 27 2022Q3 Earnings
Digest label: “Quarter growth”</t>
      </text>
    </comment>
    <comment ref="AL221" authorId="0" shapeId="0">
      <text>
        <t>Source: Q1 2025 Earnings Call
Date: 2025-05-06
Workbook tab: 55 2025Q1 Earnings
Digest label: “Remainder”</t>
      </text>
    </comment>
    <comment ref="AQ222" authorId="0" shapeId="0">
      <text>
        <t>Source: Full-Year 2025 and Fourth Quarter Financial Results Press Release
Date: 2026-02-26
Workbook tab: 66 2025Q4 Earnings PR
Digest label: “Restricted cash”</t>
      </text>
    </comment>
    <comment ref="AK223" authorId="0" shapeId="0">
      <text>
        <t>Source: Q4 2024 Earnings Call
Date: 2025-02-20
Workbook tab: 51 2024Q4 Earnings
Digest label: “Retail Sales Growth”</t>
      </text>
    </comment>
    <comment ref="AK224" authorId="0" shapeId="0">
      <text>
        <t>Source: Alani Nu Modeling Call (post-closing)
Date: 2025-05-28
Workbook tab: 57 Acquiring Alani Nu
Digest label: “Revenue CAGR (2022-2024)”</t>
      </text>
    </comment>
    <comment ref="AO225" authorId="0" shapeId="0">
      <text>
        <t>Source: CELH Q3 2025 Earnings Call
Date: 2025-11-06
Workbook tab: 63 2025Q3 Earnings
Digest label: “Rockstar combined Q3 impact ($M)”</t>
      </text>
    </comment>
    <comment ref="AQ226" authorId="0" shapeId="0">
      <text>
        <t>Source: Full-Year 2025 and Fourth Quarter Financial Results Press Release
Date: 2026-02-26
Workbook tab: 66 2025Q4 Earnings PR
Digest label: “Rockstar Energy retail sales growth”</t>
      </text>
    </comment>
    <comment ref="AQ227" authorId="0" shapeId="0">
      <text>
        <t>Source: Full-Year 2025 and Fourth Quarter Financial Results Press Release
Date: 2026-02-26
Workbook tab: 66 2025Q4 Earnings PR
Digest label: “Rockstar Energy revenue”</t>
      </text>
    </comment>
    <comment ref="AR228" authorId="0" shapeId="0">
      <text>
        <t>Source: CELH Q1 2026 Earnings Call
Date: 2026-05-07
Workbook tab: 69 2026Q1 Earnings
Digest label: “Rockstar net sales”</t>
      </text>
    </comment>
    <comment ref="AO229" authorId="0" shapeId="0">
      <text>
        <t>Source: CELH Q3 2025 Earnings Call
Date: 2025-11-06
Workbook tab: 63 2025Q3 Earnings
Digest label: “Rockstar other-income GAAP portion ($M)”</t>
      </text>
    </comment>
    <comment ref="AO230" authorId="0" shapeId="0">
      <text>
        <t>Source: CELH Q3 2025 Earnings Call
Date: 2025-11-06
Workbook tab: 63 2025Q3 Earnings
Digest label: “Rockstar revenue (first month under ownership, $M)”</t>
      </text>
    </comment>
    <comment ref="AU231" authorId="0" shapeId="0">
      <text>
        <t>Source: CELH Morgan Stanley Global Consumer &amp; Retail Conference
Date: 2025-12-03
Workbook tab: 64 Morgan Stanley 2025-12
Digest label: “Rockstar FY2026 run rate”</t>
      </text>
    </comment>
    <comment ref="AK232" authorId="0" shapeId="0">
      <text>
        <t>Source: Alani Nu Modeling Call (post-closing)
Date: 2025-05-28
Workbook tab: 57 Acquiring Alani Nu
Digest label: “RTD energy share of 2024 sales”</t>
      </text>
    </comment>
    <comment ref="AQ233" authorId="0" shapeId="0">
      <text>
        <t>Source: Alani Nu Modeling Call (post-closing)
Date: 2025-05-28
Workbook tab: 57 Acquiring Alani Nu
Digest label: “Run-rate cost synergies”</t>
      </text>
    </comment>
    <comment ref="R234" authorId="0" shapeId="0">
      <text>
        <t>Source: Q2 2021 Earnings Call
Date: 2021-08-12
Workbook tab: 14 2021Q2 Earnings
Digest label: “S&amp;M % of Revenue”</t>
      </text>
    </comment>
    <comment ref="T234" authorId="0" shapeId="0">
      <text>
        <t>Source: Q3 2021 Earnings Call
Date: 2021-11-11
Workbook tab: 16 2021Q3 Earnings
Digest label: “S&amp;M % of Revenue”</t>
      </text>
    </comment>
    <comment ref="W234" authorId="0" shapeId="0">
      <text>
        <t>Source: Q1 2022 Earnings Call
Date: 2022-05-10
Workbook tab: 20 2022Q1 Earnings
Digest label: “S&amp;M % of Revenue”</t>
      </text>
    </comment>
    <comment ref="X234" authorId="0" shapeId="0">
      <text>
        <t>Source: Q2 2022 Earnings Call
Date: 2022-08-09
Workbook tab: 26 2022Q2 Earnings
Digest label: “Sales &amp; marketing (% of revenue)”</t>
      </text>
    </comment>
    <comment ref="AB234" authorId="0" shapeId="0">
      <text>
        <t>Source: Celsius Holdings Q1 2023 Earnings Call
Date: 2023-05-09
Workbook tab: 29 2023Q1 Earnings
Digest label: “S&amp;M % of Sales”</t>
      </text>
    </comment>
    <comment ref="AC234" authorId="0" shapeId="0">
      <text>
        <t>Source: Q2 2023 Earnings Call
Date: 2023-08-08
Workbook tab: 34 2023Q2 Earnings
Digest label: “Sales &amp; Marketing (% of sales)”</t>
      </text>
    </comment>
    <comment ref="AE234" authorId="0" shapeId="0">
      <text>
        <t>Source: Q3 2023 Earnings Call
Date: 2023-11-07
Workbook tab: 37 2023Q3 Earnings
Digest label: “Sales &amp; Marketing (% of sales)”</t>
      </text>
    </comment>
    <comment ref="AG234" authorId="0" shapeId="0">
      <text>
        <t>Source: Celsius Holdings Q4 2023 Earnings Call
Date: 2024-02-29
Workbook tab: 40 2023Q4 Earnings
Digest label: “S&amp;M % of Sales”</t>
      </text>
    </comment>
    <comment ref="AH234" authorId="0" shapeId="0">
      <text>
        <t>Reported in 2 transcripts (► = figure shown in cell):
► 2023Q1  —  Q4 2022 / FY2022 Earnings Call (2023-03-01)
   tab: 28 2022Q4 Earnings  |  “Sales &amp; Marketing (% of Revenue)”
• 20%  —  Celsius Holdings Q4 2023 Earnings Call (2024-02-29)
   tab: 40 2023Q4 Earnings  |  “S&amp;M % of Sales”</t>
      </text>
    </comment>
    <comment ref="AI234" authorId="0" shapeId="0">
      <text>
        <t>Source: Q1 2024 Earnings Call
Date: 2024-05-07
Workbook tab: 42 Q1 2024 Earnings
Digest label: “Sales &amp; Marketing (% of Revenue)”</t>
      </text>
    </comment>
    <comment ref="AK234" authorId="0" shapeId="0">
      <text>
        <t>Reported in 2 transcripts (► = figure shown in cell):
• 2024.0  —  Morgan Stanley Conference (2024-12-03)
   tab: 50 Morgan Stanley Conf  |  “Sales &amp; marketing as % of revenue”
► 25.9%  —  Q4 2024 Earnings Call (2025-02-20)
   tab: 51 2024Q4 Earnings  |  “Sales &amp; Marketing (% of sales)”</t>
      </text>
    </comment>
    <comment ref="AM234" authorId="0" shapeId="0">
      <text>
        <t>Source: CELH Q2 2025 Earnings Call
Date: 2025-08-07
Workbook tab: 60 2025Q2 Earnings
Digest label: “S&amp;M % of revenue”</t>
      </text>
    </comment>
    <comment ref="AO234" authorId="0" shapeId="0">
      <text>
        <t>Source: CELH Q3 2025 Earnings Call
Date: 2025-11-06
Workbook tab: 63 2025Q3 Earnings
Digest label: “S&amp;M Expense % of sales”</t>
      </text>
    </comment>
    <comment ref="AI235" authorId="0" shapeId="0">
      <text>
        <t>Source: UBS Global Consumer and Retail Conference 2024
Date: 2024-03-14
Workbook tab: 41 UBS Conference
Digest label: “S&amp;M % of Sales (long term)”</t>
      </text>
    </comment>
    <comment ref="AQ236" authorId="0" shapeId="0">
      <text>
        <t>Source: Q4 2025 / FY2025 Earnings Call
Date: 2026-02-26
Workbook tab: 67 2025Q4 Earnings
Digest label: “S&amp;M (Adjusted)”</t>
      </text>
    </comment>
    <comment ref="AQ237" authorId="0" shapeId="0">
      <text>
        <t>Source: Q4 2025 / FY2025 Earnings Call
Date: 2026-02-26
Workbook tab: 67 2025Q4 Earnings
Digest label: “S&amp;M (GAAP)”</t>
      </text>
    </comment>
    <comment ref="Q238" authorId="0" shapeId="0">
      <text>
        <t>Source: Q1 2022 Earnings Call
Date: 2022-05-10
Workbook tab: 20 2022Q1 Earnings
Digest label: “Sam's Club nationwide rollout added”</t>
      </text>
    </comment>
    <comment ref="O239" authorId="0" shapeId="0">
      <text>
        <t>Source: Q3 2020 Earnings Call
Date: 2020-11-12
Workbook tab: 10 Q3 2020 Earnings
Digest label: “Same-store sales growth”</t>
      </text>
    </comment>
    <comment ref="AA240" authorId="0" shapeId="0">
      <text>
        <t>Source: 2022 Annual General Meeting (Annual Meeting of Shareholders)
Date: 2022-06-02
Workbook tab: 22 Annual Shareholder Mtg
Digest label: “Say-on-pay advisory vote”</t>
      </text>
    </comment>
    <comment ref="AL241" authorId="0" shapeId="0">
      <text>
        <t>Source: Q1 2025 Earnings Call
Date: 2025-05-06
Workbook tab: 55 2025Q1 Earnings
Digest label: “Scanner data trend”</t>
      </text>
    </comment>
    <comment ref="AE242" authorId="0" shapeId="0">
      <text>
        <t>Source: Q3 2023 Earnings Call
Date: 2023-11-07
Workbook tab: 37 2023Q3 Earnings
Digest label: “Sequential Gross Margin Improvement (vs Q2)”</t>
      </text>
    </comment>
    <comment ref="W243" authorId="0" shapeId="0">
      <text>
        <t>Source: Q2 2022 Earnings Call
Date: 2022-08-09
Workbook tab: 26 2022Q2 Earnings
Digest label: “Sequential revenue growth (vs Q1 2022)”</t>
      </text>
    </comment>
    <comment ref="AE244" authorId="0" shapeId="0">
      <text>
        <t>Source: Q3 2023 Earnings Call
Date: 2023-11-07
Workbook tab: 37 2023Q3 Earnings
Digest label: “Sequential Revenue Growth (vs Q2)”</t>
      </text>
    </comment>
    <comment ref="AQ245" authorId="0" shapeId="0">
      <text>
        <t>Source: Full-Year 2025 and Fourth Quarter Financial Results Press Release
Date: 2026-02-26
Workbook tab: 66 2025Q4 Earnings PR
Digest label: “Series B convertible preferred stock (newly issued)”</t>
      </text>
    </comment>
    <comment ref="AJ246" authorId="0" shapeId="0">
      <text>
        <t>Source: Q4 2024 Earnings Call
Date: 2025-02-20
Workbook tab: 51 2024Q4 Earnings
Digest label: “SG&amp;A”</t>
      </text>
    </comment>
    <comment ref="AL246" authorId="0" shapeId="0">
      <text>
        <t>Source: Q1 2025 Earnings Call
Date: 2025-05-06
Workbook tab: 55 2025Q1 Earnings
Digest label: “SG&amp;A Expense”</t>
      </text>
    </comment>
    <comment ref="AP247" authorId="0" shapeId="0">
      <text>
        <t>Source: Full-Year 2025 and Fourth Quarter Financial Results Press Release
Date: 2026-02-26
Workbook tab: 66 2025Q4 Earnings PR
Digest label: “SG&amp;A expense (GAAP, FY)”</t>
      </text>
    </comment>
    <comment ref="AP248" authorId="0" shapeId="0">
      <text>
        <t>Source: Full-Year 2025 and Fourth Quarter Financial Results Press Release
Date: 2026-02-26
Workbook tab: 66 2025Q4 Earnings PR
Digest label: “SG&amp;A expense (GAAP, Q4)”</t>
      </text>
    </comment>
    <comment ref="AC249" authorId="0" shapeId="0">
      <text>
        <t>Source: Q3 2023 Earnings Call
Date: 2023-11-07
Workbook tab: 37 2023Q3 Earnings
Digest label: “South Florida Share”</t>
      </text>
    </comment>
    <comment ref="AQ250" authorId="0" shapeId="0">
      <text>
        <t>Source: UBS Global Consumer and Retail Conference
Date: 2025-03-12
Workbook tab: 53 UBS Conf 2025-03-12
Digest label: “Spring-Reset Shelf-Space Gain”</t>
      </text>
    </comment>
    <comment ref="R251" authorId="0" shapeId="0">
      <text>
        <t>Source: Q2 2021 Earnings Call
Date: 2021-08-12
Workbook tab: 14 2021Q2 Earnings
Digest label: “Stock Option Expense”</t>
      </text>
    </comment>
    <comment ref="T251" authorId="0" shapeId="0">
      <text>
        <t>Source: Q3 2021 Earnings Call
Date: 2021-11-11
Workbook tab: 16 2021Q3 Earnings
Digest label: “Stock Option Expense”</t>
      </text>
    </comment>
    <comment ref="AM252" authorId="0" shapeId="0">
      <text>
        <t>Source: Q4 2024 Earnings Call
Date: 2025-02-20
Workbook tab: 51 2024Q4 Earnings
Digest label: “Subway Distribution Opportunity”</t>
      </text>
    </comment>
    <comment ref="AQ252" authorId="0" shapeId="0">
      <text>
        <t>Source: UBS Global Consumer and Retail Conference
Date: 2025-03-12
Workbook tab: 53 UBS Conf 2025-03-12
Digest label: “Subway Distribution Opportunity”</t>
      </text>
    </comment>
    <comment ref="AB253" authorId="0" shapeId="0">
      <text>
        <t>Source: Stifel Cross Sector Insight Conference 2023
Date: 2023-06-06
Workbook tab: 32 Stifel Conference
Digest label: “Sweden Market Share”</t>
      </text>
    </comment>
    <comment ref="Z254" authorId="0" shapeId="0">
      <text>
        <t>Source: Stifel 2022 Cross Sector Insight Conference
Date: 2022-06-09
Workbook tab: 24 Stifel Conference
Digest label: “Target convenience price point”</t>
      </text>
    </comment>
    <comment ref="Y255" authorId="0" shapeId="0">
      <text>
        <t>Source: Q4 2021 Earnings Call
Date: 2022-03-01
Workbook tab: 19 Q4 2021 Earnings
Digest label: “Target inventory days on hand”</t>
      </text>
    </comment>
    <comment ref="U256" authorId="0" shapeId="0">
      <text>
        <t>Source: Q4 2021 Earnings Call
Date: 2022-03-01
Workbook tab: 19 Q4 2021 Earnings
Digest label: “Tax rate going forward”</t>
      </text>
    </comment>
    <comment ref="Z257" authorId="0" shapeId="0">
      <text>
        <t>Source: Q3 2022 Earnings Call
Date: 2022-11-09
Workbook tab: 27 2022Q3 Earnings
Digest label: “Third-Party Scan Data (Nielsen, as of Oct 22)”</t>
      </text>
    </comment>
    <comment ref="X258" authorId="0" shapeId="0">
      <text>
        <t>Source: Q2 2022 Earnings Call
Date: 2022-08-09
Workbook tab: 26 2022Q2 Earnings
Digest label: “Third-Party Scan Data (Nielsen, ending Jul 16)”</t>
      </text>
    </comment>
    <comment ref="AQ259" authorId="0" shapeId="0">
      <text>
        <t>Source: Full-Year 2025 and Fourth Quarter Financial Results Press Release
Date: 2026-02-26
Workbook tab: 66 2025Q4 Earnings PR
Digest label: “Total assets”</t>
      </text>
    </comment>
    <comment ref="AP260" authorId="0" shapeId="0">
      <text>
        <t>Source: Full-Year 2025 and Fourth Quarter Financial Results Press Release
Date: 2026-02-26
Workbook tab: 66 2025Q4 Earnings PR
Digest label: “Total distributor buyout obligation (year-end)”</t>
      </text>
    </comment>
    <comment ref="W261" authorId="0" shapeId="0">
      <text>
        <t>Source: Celsius Holdings Q1 2023 Earnings Call
Date: 2023-05-09
Workbook tab: 29 2023Q1 Earnings
Digest label: “Total Inventory”</t>
      </text>
    </comment>
    <comment ref="T262" authorId="0" shapeId="0">
      <text>
        <t>Source: Q3 2021 Earnings Call
Date: 2021-11-11
Workbook tab: 16 2021Q3 Earnings
Digest label: “Total Net Other Expense”</t>
      </text>
    </comment>
    <comment ref="R263" authorId="0" shapeId="0">
      <text>
        <t>Source: Q2 2021 Earnings Call
Date: 2021-08-12
Workbook tab: 14 2021Q2 Earnings
Digest label: “Total Net Other Income”</t>
      </text>
    </comment>
    <comment ref="O264" authorId="0" shapeId="0">
      <text>
        <t>Source: Q4 &amp; Full-Year 2020 Earnings Call
Date: 2021-03-11
Workbook tab: 12 2020Q4 Earnings
Digest label: “Total Other Income Q4 2020 ($M)”</t>
      </text>
    </comment>
    <comment ref="X265" authorId="0" shapeId="0">
      <text>
        <t>Source: Q2 2022 Earnings Call
Date: 2022-08-09
Workbook tab: 26 2022Q2 Earnings
Digest label: “US co-packer footprint”</t>
      </text>
    </comment>
    <comment ref="M266" authorId="0" shapeId="0">
      <text>
        <t>Source: Q2 2020 Earnings Call
Date: 2020-08-06
Workbook tab: 08 Q2 2020 Earnings
Digest label: “US door count”</t>
      </text>
    </comment>
    <comment ref="V266" authorId="0" shapeId="0">
      <text>
        <t>Source: Q1 2021 Earnings Call
Date: 2021-05-13
Workbook tab: 13 Q1 2021 Earnings
Digest label: “US door count”</t>
      </text>
    </comment>
    <comment ref="AQ267" authorId="0" shapeId="0">
      <text>
        <t>Source: dbAccess Global Consumer Conference (Deutsche Bank, Paris)
Date: 2025-06-03
Workbook tab: 58 Deutsche Bank Conf
Digest label: “US energy category growth”</t>
      </text>
    </comment>
    <comment ref="Z268" authorId="0" shapeId="0">
      <text>
        <t>Source: Q4 2022 / FY2022 Earnings Call
Date: 2023-03-01
Workbook tab: 28 2022Q4 Earnings
Digest label: “US Energy Drink Market Share”</t>
      </text>
    </comment>
    <comment ref="V269" authorId="0" shapeId="0">
      <text>
        <t>Source: Q4 2021 Earnings Call
Date: 2022-03-01
Workbook tab: 19 Q4 2021 Earnings
Digest label: “US store count”</t>
      </text>
    </comment>
    <comment ref="Y269" authorId="0" shapeId="0">
      <text>
        <t>Source: Q3 2022 Earnings Call
Date: 2022-11-09
Workbook tab: 27 2022Q3 Earnings
Digest label: “US store count”</t>
      </text>
    </comment>
    <comment ref="Z269" authorId="0" shapeId="0">
      <text>
        <t>Source: Q4 2022 / FY2022 Earnings Call
Date: 2023-03-01
Workbook tab: 28 2022Q4 Earnings
Digest label: “US Store Count”</t>
      </text>
    </comment>
    <comment ref="X270" authorId="0" shapeId="0">
      <text>
        <t>Source: Q2 2022 Earnings Call
Date: 2022-08-09
Workbook tab: 26 2022Q2 Earnings
Digest label: “US total door count”</t>
      </text>
    </comment>
    <comment ref="Q271" authorId="0" shapeId="0">
      <text>
        <t>Source: Q1 2022 Earnings Call
Date: 2022-05-10
Workbook tab: 20 2022Q1 Earnings
Digest label: “Vending &amp; Micro-Market Placements”</t>
      </text>
    </comment>
    <comment ref="X272" authorId="0" shapeId="0">
      <text>
        <t>Source: Q2 2022 Earnings Call
Date: 2022-08-09
Workbook tab: 26 2022Q2 Earnings
Digest label: “Vending / foodservice revenue ($M)”</t>
      </text>
    </comment>
    <comment ref="AK273" authorId="0" shapeId="0">
      <text>
        <t>Source: Q4 2024 Earnings Call
Date: 2025-02-20
Workbook tab: 51 2024Q4 Earnings
Digest label: “Volume Growth”</t>
      </text>
    </comment>
    <comment ref="X274" authorId="0" shapeId="0">
      <text>
        <t>Source: Q2 2022 Earnings Call
Date: 2022-08-09
Workbook tab: 26 2022Q2 Earnings
Digest label: “Walmart sales growth”</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U27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s>
  <sheetData>
    <row r="1">
      <c r="A1" s="32" t="inlineStr">
        <is>
          <t>CELH Transcript KPI Consolidation — reported value per period</t>
        </is>
      </c>
    </row>
    <row r="2">
      <c r="A2" s="33" t="inlineStr">
        <is>
          <t>Every quantitative datapoint disclosed across the 69 transcripts — including items also in SEC filings, and metrics reported by more than one transcript. Cell shows the earnings-call figure (else earliest source); Shift+F2 note lists every source with its value. Values normalized to $M; period read from row label or column header.</t>
        </is>
      </c>
    </row>
    <row r="4">
      <c r="A4" s="34" t="inlineStr">
        <is>
          <t>Metric</t>
        </is>
      </c>
      <c r="B4" s="34" t="inlineStr">
        <is>
          <t>FY2017</t>
        </is>
      </c>
      <c r="C4" s="34" t="inlineStr">
        <is>
          <t>Q3 2018</t>
        </is>
      </c>
      <c r="D4" s="34" t="inlineStr">
        <is>
          <t>9M 2018</t>
        </is>
      </c>
      <c r="E4" s="34" t="inlineStr">
        <is>
          <t>Q4 2018</t>
        </is>
      </c>
      <c r="F4" s="34" t="inlineStr">
        <is>
          <t>FY2018</t>
        </is>
      </c>
      <c r="G4" s="34" t="inlineStr">
        <is>
          <t>Q1 2019</t>
        </is>
      </c>
      <c r="H4" s="34" t="inlineStr">
        <is>
          <t>Q2 2019</t>
        </is>
      </c>
      <c r="I4" s="34" t="inlineStr">
        <is>
          <t>H1 2019</t>
        </is>
      </c>
      <c r="J4" s="34" t="inlineStr">
        <is>
          <t>Q3 2019</t>
        </is>
      </c>
      <c r="K4" s="34" t="inlineStr">
        <is>
          <t>9M 2019</t>
        </is>
      </c>
      <c r="L4" s="34" t="inlineStr">
        <is>
          <t>Q4 2019</t>
        </is>
      </c>
      <c r="M4" s="34" t="inlineStr">
        <is>
          <t>FY2019</t>
        </is>
      </c>
      <c r="N4" s="34" t="inlineStr">
        <is>
          <t>Q1 2020</t>
        </is>
      </c>
      <c r="O4" s="34" t="inlineStr">
        <is>
          <t>Q4 2020</t>
        </is>
      </c>
      <c r="P4" s="34" t="inlineStr">
        <is>
          <t>FY2020</t>
        </is>
      </c>
      <c r="Q4" s="34" t="inlineStr">
        <is>
          <t>Q1 2021</t>
        </is>
      </c>
      <c r="R4" s="34" t="inlineStr">
        <is>
          <t>Q2 2021</t>
        </is>
      </c>
      <c r="S4" s="34" t="inlineStr">
        <is>
          <t>H1 2021</t>
        </is>
      </c>
      <c r="T4" s="34" t="inlineStr">
        <is>
          <t>Q3 2021</t>
        </is>
      </c>
      <c r="U4" s="34" t="inlineStr">
        <is>
          <t>Q4 2021</t>
        </is>
      </c>
      <c r="V4" s="34" t="inlineStr">
        <is>
          <t>FY2021</t>
        </is>
      </c>
      <c r="W4" s="34" t="inlineStr">
        <is>
          <t>Q1 2022</t>
        </is>
      </c>
      <c r="X4" s="34" t="inlineStr">
        <is>
          <t>Q2 2022</t>
        </is>
      </c>
      <c r="Y4" s="34" t="inlineStr">
        <is>
          <t>Q3 2022</t>
        </is>
      </c>
      <c r="Z4" s="34" t="inlineStr">
        <is>
          <t>Q4 2022</t>
        </is>
      </c>
      <c r="AA4" s="34" t="inlineStr">
        <is>
          <t>FY2022</t>
        </is>
      </c>
      <c r="AB4" s="34" t="inlineStr">
        <is>
          <t>Q1 2023</t>
        </is>
      </c>
      <c r="AC4" s="34" t="inlineStr">
        <is>
          <t>Q2 2023</t>
        </is>
      </c>
      <c r="AD4" s="34" t="inlineStr">
        <is>
          <t>H1 2023</t>
        </is>
      </c>
      <c r="AE4" s="34" t="inlineStr">
        <is>
          <t>Q3 2023</t>
        </is>
      </c>
      <c r="AF4" s="34" t="inlineStr">
        <is>
          <t>9M 2023</t>
        </is>
      </c>
      <c r="AG4" s="34" t="inlineStr">
        <is>
          <t>Q4 2023</t>
        </is>
      </c>
      <c r="AH4" s="34" t="inlineStr">
        <is>
          <t>FY2023</t>
        </is>
      </c>
      <c r="AI4" s="34" t="inlineStr">
        <is>
          <t>Q1 2024</t>
        </is>
      </c>
      <c r="AJ4" s="34" t="inlineStr">
        <is>
          <t>Q4 2024</t>
        </is>
      </c>
      <c r="AK4" s="34" t="inlineStr">
        <is>
          <t>FY2024</t>
        </is>
      </c>
      <c r="AL4" s="34" t="inlineStr">
        <is>
          <t>Q1 2025</t>
        </is>
      </c>
      <c r="AM4" s="34" t="inlineStr">
        <is>
          <t>Q2 2025</t>
        </is>
      </c>
      <c r="AN4" s="34" t="inlineStr">
        <is>
          <t>H1 2025</t>
        </is>
      </c>
      <c r="AO4" s="34" t="inlineStr">
        <is>
          <t>Q3 2025</t>
        </is>
      </c>
      <c r="AP4" s="34" t="inlineStr">
        <is>
          <t>Q4 2025</t>
        </is>
      </c>
      <c r="AQ4" s="34" t="inlineStr">
        <is>
          <t>FY2025</t>
        </is>
      </c>
      <c r="AR4" s="34" t="inlineStr">
        <is>
          <t>Q1 2026</t>
        </is>
      </c>
      <c r="AS4" s="34" t="inlineStr">
        <is>
          <t>H1 2026</t>
        </is>
      </c>
      <c r="AT4" s="34" t="inlineStr">
        <is>
          <t>Q3 2026</t>
        </is>
      </c>
      <c r="AU4" s="34" t="inlineStr">
        <is>
          <t>FY2026</t>
        </is>
      </c>
    </row>
    <row r="5">
      <c r="A5" s="35" t="inlineStr">
        <is>
          <t>Total Revenue</t>
        </is>
      </c>
      <c r="C5" t="n">
        <v>16.6</v>
      </c>
      <c r="D5" t="n">
        <v>37.9</v>
      </c>
      <c r="E5" t="n">
        <v>14.7</v>
      </c>
      <c r="F5" t="n">
        <v>52.6</v>
      </c>
      <c r="G5" t="n">
        <v>14.5</v>
      </c>
      <c r="H5" t="n">
        <v>16.1</v>
      </c>
      <c r="I5" t="n">
        <v>30.6</v>
      </c>
      <c r="J5" t="n">
        <v>20.4</v>
      </c>
      <c r="K5" t="n">
        <v>51</v>
      </c>
      <c r="L5" t="n">
        <v>24.1</v>
      </c>
      <c r="M5" t="n">
        <v>75.09999999999999</v>
      </c>
      <c r="O5" t="n">
        <v>35.7</v>
      </c>
      <c r="R5" t="n">
        <v>65.09999999999999</v>
      </c>
      <c r="S5" t="n">
        <v>115</v>
      </c>
      <c r="T5" t="n">
        <v>94.90000000000001</v>
      </c>
      <c r="V5" t="inlineStr">
        <is>
          <t>Over 300</t>
        </is>
      </c>
      <c r="W5" t="n">
        <v>133.4</v>
      </c>
      <c r="X5" t="n">
        <v>154</v>
      </c>
      <c r="Y5" t="n">
        <v>188.2</v>
      </c>
      <c r="Z5" t="n">
        <v>178</v>
      </c>
      <c r="AA5" t="n">
        <v>654</v>
      </c>
      <c r="AB5" t="n">
        <v>260</v>
      </c>
      <c r="AC5" t="n">
        <v>326</v>
      </c>
      <c r="AD5" t="n">
        <v>586</v>
      </c>
      <c r="AE5" t="n">
        <v>385</v>
      </c>
      <c r="AF5" t="n">
        <v>971</v>
      </c>
      <c r="AG5" t="n">
        <v>347</v>
      </c>
      <c r="AH5" t="n">
        <v>1300</v>
      </c>
      <c r="AI5" t="n">
        <v>355.7</v>
      </c>
      <c r="AJ5" t="inlineStr">
        <is>
          <t>declined 4%</t>
        </is>
      </c>
      <c r="AK5" t="n">
        <v>1360</v>
      </c>
      <c r="AL5" t="n">
        <v>329.3</v>
      </c>
      <c r="AM5" t="n">
        <v>739.3</v>
      </c>
      <c r="AN5" t="n">
        <v>1070</v>
      </c>
      <c r="AO5" t="n">
        <v>725</v>
      </c>
      <c r="AP5" t="inlineStr">
        <is>
          <t>$370M (record)</t>
        </is>
      </c>
      <c r="AQ5" t="inlineStr">
        <is>
          <t>$2.5B (record; two $2B brands)</t>
        </is>
      </c>
      <c r="AR5" t="n">
        <v>783</v>
      </c>
    </row>
    <row r="6">
      <c r="A6" s="35" t="inlineStr">
        <is>
          <t>North America Revenue</t>
        </is>
      </c>
      <c r="C6" t="n">
        <v>11.4</v>
      </c>
      <c r="E6" t="n">
        <v>10.9</v>
      </c>
      <c r="F6" t="n">
        <v>38.9</v>
      </c>
      <c r="G6" t="n">
        <v>11.4</v>
      </c>
      <c r="J6" t="n">
        <v>16.8</v>
      </c>
      <c r="L6" t="n">
        <v>17.1</v>
      </c>
      <c r="M6" t="n">
        <v>60</v>
      </c>
      <c r="O6" t="n">
        <v>28.4</v>
      </c>
      <c r="R6" t="n">
        <v>53.7</v>
      </c>
      <c r="S6" t="n">
        <v>92.59999999999999</v>
      </c>
      <c r="T6" t="n">
        <v>84.5</v>
      </c>
      <c r="V6" t="n">
        <v>273</v>
      </c>
      <c r="W6" t="n">
        <v>123.5</v>
      </c>
      <c r="X6" t="n">
        <v>145.4</v>
      </c>
      <c r="Y6" t="n">
        <v>179.5</v>
      </c>
      <c r="Z6" t="n">
        <v>160</v>
      </c>
      <c r="AB6" t="n">
        <v>249</v>
      </c>
      <c r="AC6" t="n">
        <v>311</v>
      </c>
      <c r="AD6" t="n">
        <v>559</v>
      </c>
      <c r="AE6" t="n">
        <v>371</v>
      </c>
      <c r="AG6" t="n">
        <v>333</v>
      </c>
      <c r="AH6" t="n">
        <v>1270</v>
      </c>
      <c r="AI6" t="n">
        <v>339.5</v>
      </c>
      <c r="AM6" t="n">
        <v>1020</v>
      </c>
      <c r="AQ6" t="n">
        <v>2422.5</v>
      </c>
    </row>
    <row r="7">
      <c r="A7" s="35" t="inlineStr">
        <is>
          <t>International Revenue</t>
        </is>
      </c>
      <c r="F7" t="n">
        <v>13.7</v>
      </c>
      <c r="G7" t="n">
        <v>3.1</v>
      </c>
      <c r="O7" t="n">
        <v>7.3</v>
      </c>
      <c r="R7" t="n">
        <v>11.5</v>
      </c>
      <c r="S7" t="n">
        <v>22.5</v>
      </c>
      <c r="T7" t="n">
        <v>10.4</v>
      </c>
      <c r="V7" t="n">
        <v>41</v>
      </c>
      <c r="W7" t="n">
        <v>9.9</v>
      </c>
      <c r="X7" t="n">
        <v>8.6</v>
      </c>
      <c r="Y7" t="n">
        <v>8.699999999999999</v>
      </c>
      <c r="Z7" t="n">
        <v>11.5</v>
      </c>
      <c r="AB7" t="n">
        <v>11.4</v>
      </c>
      <c r="AC7" t="n">
        <v>15.1</v>
      </c>
      <c r="AD7" t="n">
        <v>27</v>
      </c>
      <c r="AE7" t="n">
        <v>13.6</v>
      </c>
      <c r="AG7" t="n">
        <v>15</v>
      </c>
      <c r="AH7" t="n">
        <v>54.7</v>
      </c>
      <c r="AL7" t="n">
        <v>22.8</v>
      </c>
      <c r="AM7" t="n">
        <v>48</v>
      </c>
      <c r="AQ7" t="n">
        <v>92.8</v>
      </c>
    </row>
    <row r="8">
      <c r="A8" s="35" t="inlineStr">
        <is>
          <t>Europe Revenue</t>
        </is>
      </c>
      <c r="E8" t="n">
        <v>2.1</v>
      </c>
      <c r="J8" t="n">
        <v>3.4</v>
      </c>
      <c r="M8" t="n">
        <v>14.5</v>
      </c>
      <c r="O8" t="n">
        <v>6.9</v>
      </c>
      <c r="R8" t="n">
        <v>10.8</v>
      </c>
      <c r="T8" t="n">
        <v>9.5</v>
      </c>
      <c r="W8" t="n">
        <v>8.5</v>
      </c>
      <c r="X8" t="n">
        <v>7.3</v>
      </c>
      <c r="Y8" t="n">
        <v>7.5</v>
      </c>
    </row>
    <row r="9">
      <c r="A9" s="35" t="inlineStr">
        <is>
          <t>Asia Revenue</t>
        </is>
      </c>
      <c r="C9" t="n">
        <v>1.4</v>
      </c>
      <c r="E9" t="n">
        <v>1.6</v>
      </c>
      <c r="F9" t="n">
        <v>4.3</v>
      </c>
      <c r="M9" t="n">
        <v>0.841</v>
      </c>
      <c r="O9" t="n">
        <v>0.224</v>
      </c>
      <c r="W9" t="n">
        <v>1</v>
      </c>
    </row>
    <row r="10">
      <c r="A10" s="35" t="inlineStr">
        <is>
          <t>Amazon Revenue</t>
        </is>
      </c>
      <c r="W10" t="n">
        <v>13.8</v>
      </c>
      <c r="Y10" t="n">
        <v>16</v>
      </c>
      <c r="AA10" t="n">
        <v>58</v>
      </c>
      <c r="AC10" t="inlineStr">
        <is>
          <t>&gt;$28M</t>
        </is>
      </c>
      <c r="AE10" t="n">
        <v>22.2</v>
      </c>
      <c r="AI10" t="n">
        <v>28</v>
      </c>
    </row>
    <row r="11">
      <c r="A11" s="35" t="inlineStr">
        <is>
          <t>Gross Profit</t>
        </is>
      </c>
      <c r="C11" t="n">
        <v>6.9</v>
      </c>
      <c r="D11" t="n">
        <v>15.6</v>
      </c>
      <c r="E11" t="n">
        <v>5.5</v>
      </c>
      <c r="F11" t="n">
        <v>21.1</v>
      </c>
      <c r="G11" t="n">
        <v>5.7</v>
      </c>
      <c r="H11" t="n">
        <v>6.9</v>
      </c>
      <c r="I11" t="n">
        <v>12.6</v>
      </c>
      <c r="J11" t="n">
        <v>8.6</v>
      </c>
      <c r="L11" t="n">
        <v>10.1</v>
      </c>
      <c r="M11" t="n">
        <v>31.3</v>
      </c>
      <c r="O11" t="n">
        <v>17.4</v>
      </c>
      <c r="R11" t="n">
        <v>28.2</v>
      </c>
      <c r="S11" t="n">
        <v>48.8</v>
      </c>
      <c r="T11" t="n">
        <v>37.7</v>
      </c>
      <c r="V11" t="n">
        <v>128</v>
      </c>
      <c r="W11" t="n">
        <v>53.9</v>
      </c>
      <c r="X11" t="n">
        <v>59.3</v>
      </c>
      <c r="Y11" t="n">
        <v>78.7</v>
      </c>
      <c r="Z11" t="n">
        <v>79</v>
      </c>
      <c r="AA11" t="n">
        <v>271</v>
      </c>
      <c r="AB11" t="n">
        <v>114</v>
      </c>
      <c r="AC11" t="n">
        <v>159</v>
      </c>
      <c r="AD11" t="n">
        <v>273</v>
      </c>
      <c r="AE11" t="n">
        <v>194</v>
      </c>
      <c r="AF11" t="n">
        <v>467</v>
      </c>
      <c r="AG11" t="n">
        <v>166</v>
      </c>
      <c r="AH11" t="n">
        <v>633</v>
      </c>
      <c r="AI11" t="n">
        <v>182.2</v>
      </c>
      <c r="AK11" t="n">
        <v>680</v>
      </c>
      <c r="AL11" t="n">
        <v>172.4</v>
      </c>
      <c r="AM11" t="n">
        <v>381</v>
      </c>
      <c r="AP11" t="n">
        <v>341.8</v>
      </c>
      <c r="AQ11" t="n">
        <v>1270</v>
      </c>
    </row>
    <row r="12">
      <c r="A12" s="35" t="inlineStr">
        <is>
          <t>Gross Margin</t>
        </is>
      </c>
      <c r="C12" t="inlineStr">
        <is>
          <t>41.5%</t>
        </is>
      </c>
      <c r="D12" t="inlineStr">
        <is>
          <t>41.2%</t>
        </is>
      </c>
      <c r="E12" t="inlineStr">
        <is>
          <t>37.1%</t>
        </is>
      </c>
      <c r="F12" t="inlineStr">
        <is>
          <t>40.0%</t>
        </is>
      </c>
      <c r="G12" t="inlineStr">
        <is>
          <t>39.5%</t>
        </is>
      </c>
      <c r="H12" t="inlineStr">
        <is>
          <t>42.6%</t>
        </is>
      </c>
      <c r="I12" t="inlineStr">
        <is>
          <t>41.1%</t>
        </is>
      </c>
      <c r="J12" t="inlineStr">
        <is>
          <t>42.2%</t>
        </is>
      </c>
      <c r="L12" t="inlineStr">
        <is>
          <t>41.9%</t>
        </is>
      </c>
      <c r="M12" t="inlineStr">
        <is>
          <t>42%</t>
        </is>
      </c>
      <c r="O12" t="inlineStr">
        <is>
          <t>48.9%</t>
        </is>
      </c>
      <c r="R12" t="inlineStr">
        <is>
          <t>43.4%</t>
        </is>
      </c>
      <c r="T12" t="inlineStr">
        <is>
          <t>40.0%</t>
        </is>
      </c>
      <c r="W12" t="inlineStr">
        <is>
          <t>40.4%</t>
        </is>
      </c>
      <c r="X12" t="inlineStr">
        <is>
          <t>38.5%</t>
        </is>
      </c>
      <c r="Y12" t="inlineStr">
        <is>
          <t>41.8%</t>
        </is>
      </c>
      <c r="Z12" t="inlineStr">
        <is>
          <t>44.4%</t>
        </is>
      </c>
      <c r="AB12" t="inlineStr">
        <is>
          <t>~44%</t>
        </is>
      </c>
      <c r="AC12" t="inlineStr">
        <is>
          <t>48.8%</t>
        </is>
      </c>
      <c r="AD12" t="inlineStr">
        <is>
          <t>~47%</t>
        </is>
      </c>
      <c r="AE12" t="inlineStr">
        <is>
          <t>~50.4%</t>
        </is>
      </c>
      <c r="AG12" t="inlineStr">
        <is>
          <t>~48%</t>
        </is>
      </c>
      <c r="AH12" t="inlineStr">
        <is>
          <t>~48%</t>
        </is>
      </c>
      <c r="AI12" t="inlineStr">
        <is>
          <t>51.2%</t>
        </is>
      </c>
      <c r="AJ12" t="inlineStr">
        <is>
          <t>50.2%</t>
        </is>
      </c>
      <c r="AK12" t="inlineStr">
        <is>
          <t>50.2%</t>
        </is>
      </c>
      <c r="AL12" t="inlineStr">
        <is>
          <t>52.3%</t>
        </is>
      </c>
      <c r="AM12" t="inlineStr">
        <is>
          <t>51.5%</t>
        </is>
      </c>
      <c r="AN12" t="inlineStr">
        <is>
          <t>51.8%</t>
        </is>
      </c>
      <c r="AO12" t="inlineStr">
        <is>
          <t>51.3%</t>
        </is>
      </c>
      <c r="AP12" t="inlineStr">
        <is>
          <t>47.4%</t>
        </is>
      </c>
      <c r="AQ12" t="inlineStr">
        <is>
          <t>50.4%</t>
        </is>
      </c>
      <c r="AR12" t="inlineStr">
        <is>
          <t>~48.3%</t>
        </is>
      </c>
    </row>
    <row r="13">
      <c r="A13" s="35" t="inlineStr">
        <is>
          <t>Selling &amp; Marketing</t>
        </is>
      </c>
      <c r="C13" t="n">
        <v>8.699999999999999</v>
      </c>
      <c r="D13" t="n">
        <v>18.4</v>
      </c>
      <c r="E13" t="n">
        <v>2.8</v>
      </c>
      <c r="F13" t="n">
        <v>21.2</v>
      </c>
      <c r="G13" t="n">
        <v>3.6</v>
      </c>
      <c r="H13" t="n">
        <v>5.6</v>
      </c>
      <c r="I13" t="n">
        <v>9.199999999999999</v>
      </c>
      <c r="J13" t="n">
        <v>4.9</v>
      </c>
      <c r="L13" t="n">
        <v>7</v>
      </c>
      <c r="M13" t="n">
        <v>21.1</v>
      </c>
      <c r="O13" t="n">
        <v>11.2</v>
      </c>
      <c r="R13" t="n">
        <v>15.5</v>
      </c>
      <c r="T13" t="n">
        <v>22.6</v>
      </c>
      <c r="W13" t="n">
        <v>31.6</v>
      </c>
      <c r="Y13" t="n">
        <v>198.8</v>
      </c>
      <c r="AA13" t="n">
        <v>353</v>
      </c>
      <c r="AB13" t="n">
        <v>48</v>
      </c>
      <c r="AC13" t="n">
        <v>63</v>
      </c>
      <c r="AE13" t="n">
        <v>73</v>
      </c>
      <c r="AG13" t="n">
        <v>80</v>
      </c>
      <c r="AM13" t="n">
        <v>152</v>
      </c>
    </row>
    <row r="14">
      <c r="A14" s="35" t="inlineStr">
        <is>
          <t>General &amp; Administrative</t>
        </is>
      </c>
      <c r="C14" t="n">
        <v>2.3</v>
      </c>
      <c r="D14" t="n">
        <v>7.4</v>
      </c>
      <c r="E14" t="n">
        <v>3</v>
      </c>
      <c r="F14" t="n">
        <v>10.5</v>
      </c>
      <c r="G14" t="n">
        <v>2.6</v>
      </c>
      <c r="H14" t="n">
        <v>2.4</v>
      </c>
      <c r="I14" t="n">
        <v>5.1</v>
      </c>
      <c r="J14" t="n">
        <v>2.2</v>
      </c>
      <c r="L14" t="n">
        <v>4.4</v>
      </c>
      <c r="M14" t="n">
        <v>11.6</v>
      </c>
      <c r="O14" t="n">
        <v>5.7</v>
      </c>
      <c r="R14" t="n">
        <v>9.1</v>
      </c>
      <c r="T14" t="n">
        <v>11.1</v>
      </c>
      <c r="W14" t="n">
        <v>12.2</v>
      </c>
      <c r="X14" t="n">
        <v>14.4</v>
      </c>
      <c r="Y14" t="n">
        <v>27.5</v>
      </c>
      <c r="AA14" t="n">
        <v>76</v>
      </c>
      <c r="AB14" t="n">
        <v>21</v>
      </c>
      <c r="AC14" t="n">
        <v>32</v>
      </c>
      <c r="AE14" t="n">
        <v>23</v>
      </c>
      <c r="AG14" t="n">
        <v>27</v>
      </c>
      <c r="AI14" t="n">
        <v>23.2</v>
      </c>
      <c r="AM14" t="n">
        <v>86</v>
      </c>
    </row>
    <row r="15">
      <c r="A15" s="35" t="inlineStr">
        <is>
          <t>Net Income</t>
        </is>
      </c>
      <c r="C15" t="n">
        <v>-4.2</v>
      </c>
      <c r="D15" t="n">
        <v>-10.5</v>
      </c>
      <c r="E15" t="n">
        <v>-0.893</v>
      </c>
      <c r="F15" t="n">
        <v>-11.4</v>
      </c>
      <c r="G15" t="n">
        <v>11.7</v>
      </c>
      <c r="H15" t="n">
        <v>-1.5</v>
      </c>
      <c r="I15" t="n">
        <v>10.2</v>
      </c>
      <c r="J15" t="n">
        <v>0.961</v>
      </c>
      <c r="K15" t="n">
        <v>11.1</v>
      </c>
      <c r="L15" t="n">
        <v>-1.1</v>
      </c>
      <c r="M15" t="n">
        <v>10</v>
      </c>
      <c r="O15" t="n">
        <v>1.7</v>
      </c>
      <c r="R15" t="n">
        <v>3.9</v>
      </c>
      <c r="S15" t="n">
        <v>4.5</v>
      </c>
      <c r="T15" t="n">
        <v>2.7</v>
      </c>
      <c r="V15" t="n">
        <v>3.9</v>
      </c>
      <c r="W15" t="n">
        <v>6.7</v>
      </c>
      <c r="X15" t="n">
        <v>9.199999999999999</v>
      </c>
      <c r="AE15" t="n">
        <v>70.5</v>
      </c>
      <c r="AI15" t="n">
        <v>65</v>
      </c>
      <c r="AJ15" t="n">
        <v>-18.9</v>
      </c>
      <c r="AK15" t="n">
        <v>145</v>
      </c>
      <c r="AL15" t="n">
        <v>34.4</v>
      </c>
      <c r="AM15" t="n">
        <v>85.7</v>
      </c>
      <c r="AQ15" t="n">
        <v>108</v>
      </c>
      <c r="AR15" t="n">
        <v>110</v>
      </c>
    </row>
    <row r="16">
      <c r="A16" s="35" t="inlineStr">
        <is>
          <t>Adjusted EBITDA</t>
        </is>
      </c>
      <c r="B16" t="inlineStr">
        <is>
          <t>~2.6-2.7</t>
        </is>
      </c>
      <c r="C16" t="n">
        <v>-2.9</v>
      </c>
      <c r="D16" t="n">
        <v>-6</v>
      </c>
      <c r="E16" t="n">
        <v>0.785</v>
      </c>
      <c r="F16" t="n">
        <v>-6.3</v>
      </c>
      <c r="G16" t="n">
        <v>0.878</v>
      </c>
      <c r="H16" t="n">
        <v>-0.015</v>
      </c>
      <c r="I16" t="n">
        <v>0.863</v>
      </c>
      <c r="J16" t="n">
        <v>2.4</v>
      </c>
      <c r="L16" t="n">
        <v>0.607</v>
      </c>
      <c r="M16" t="n">
        <v>4</v>
      </c>
      <c r="O16" t="n">
        <v>3</v>
      </c>
      <c r="R16" t="n">
        <v>7.9</v>
      </c>
      <c r="S16" t="n">
        <v>12.9</v>
      </c>
      <c r="W16" t="n">
        <v>14.8</v>
      </c>
      <c r="AB16" t="n">
        <v>48.7</v>
      </c>
      <c r="AC16" t="inlineStr">
        <is>
          <t>$78.1M (~24% of sales)</t>
        </is>
      </c>
      <c r="AE16" t="inlineStr">
        <is>
          <t>~$104M (~27% of sales)</t>
        </is>
      </c>
      <c r="AI16" t="n">
        <v>88</v>
      </c>
      <c r="AJ16" t="inlineStr">
        <is>
          <t>declined 4%</t>
        </is>
      </c>
      <c r="AK16" t="n">
        <v>88</v>
      </c>
      <c r="AL16" t="n">
        <v>69.7</v>
      </c>
      <c r="AM16" t="n">
        <v>210</v>
      </c>
      <c r="AN16" t="n">
        <v>280</v>
      </c>
      <c r="AQ16" t="n">
        <v>619.6</v>
      </c>
      <c r="AR16" t="n">
        <v>195</v>
      </c>
    </row>
    <row r="17">
      <c r="A17" s="35" t="inlineStr">
        <is>
          <t>Operating Cash Flow</t>
        </is>
      </c>
      <c r="F17" t="n">
        <v>-11.6</v>
      </c>
      <c r="M17" t="n">
        <v>1</v>
      </c>
      <c r="P17" t="n">
        <v>3.4</v>
      </c>
      <c r="R17" t="n">
        <v>-30.3</v>
      </c>
      <c r="T17" t="n">
        <v>-52</v>
      </c>
      <c r="W17" t="n">
        <v>10</v>
      </c>
      <c r="AD17" t="n">
        <v>45</v>
      </c>
      <c r="AF17" t="n">
        <v>136</v>
      </c>
      <c r="AH17" t="inlineStr">
        <is>
          <t>&gt;$140M</t>
        </is>
      </c>
      <c r="AI17" t="n">
        <v>135</v>
      </c>
    </row>
    <row r="18">
      <c r="A18" s="35" t="inlineStr">
        <is>
          <t>Cash</t>
        </is>
      </c>
      <c r="B18" t="n">
        <v>14.2</v>
      </c>
      <c r="F18" t="n">
        <v>7.7</v>
      </c>
      <c r="M18" t="n">
        <v>23.1</v>
      </c>
      <c r="P18" t="n">
        <v>43.2</v>
      </c>
      <c r="Q18" t="inlineStr">
        <is>
          <t>+9.2 (vs Dec-2021)</t>
        </is>
      </c>
      <c r="R18" t="n">
        <v>83.8</v>
      </c>
      <c r="T18" t="n">
        <v>61.4</v>
      </c>
      <c r="V18" t="n">
        <v>16.3</v>
      </c>
      <c r="AA18" t="n">
        <v>653</v>
      </c>
      <c r="AB18" t="n">
        <v>634</v>
      </c>
      <c r="AH18" t="inlineStr">
        <is>
          <t>&gt;$755M</t>
        </is>
      </c>
      <c r="AI18" t="n">
        <v>879.5</v>
      </c>
      <c r="AL18" t="n">
        <v>400</v>
      </c>
      <c r="AQ18" t="n">
        <v>398.9</v>
      </c>
    </row>
    <row r="19">
      <c r="A19" s="35" t="inlineStr">
        <is>
          <t>Working Capital</t>
        </is>
      </c>
      <c r="B19" t="n">
        <v>20.6</v>
      </c>
      <c r="F19" t="n">
        <v>20.2</v>
      </c>
      <c r="M19" t="n">
        <v>24.8</v>
      </c>
      <c r="P19" t="n">
        <v>64.90000000000001</v>
      </c>
      <c r="Q19" t="inlineStr">
        <is>
          <t>+17.3 (vs Dec-2021)</t>
        </is>
      </c>
      <c r="R19" t="n">
        <v>151</v>
      </c>
      <c r="T19" t="n">
        <v>157</v>
      </c>
      <c r="V19" t="n">
        <v>169</v>
      </c>
      <c r="AA19" t="n">
        <v>757</v>
      </c>
      <c r="AB19" t="n">
        <v>801</v>
      </c>
      <c r="AH19" t="inlineStr">
        <is>
          <t>&gt;$928M</t>
        </is>
      </c>
    </row>
    <row r="20">
      <c r="A20" s="36" t="inlineStr">
        <is>
          <t>— Other metrics —</t>
        </is>
      </c>
      <c r="B20" s="37" t="n"/>
      <c r="C20" s="37" t="n"/>
      <c r="D20" s="37" t="n"/>
      <c r="E20" s="37" t="n"/>
      <c r="F20" s="37" t="n"/>
      <c r="G20" s="37" t="n"/>
      <c r="H20" s="37" t="n"/>
      <c r="I20" s="37" t="n"/>
      <c r="J20" s="37" t="n"/>
      <c r="K20" s="37" t="n"/>
      <c r="L20" s="37" t="n"/>
      <c r="M20" s="37" t="n"/>
      <c r="N20" s="37" t="n"/>
      <c r="O20" s="37" t="n"/>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c r="AR20" s="37" t="n"/>
      <c r="AS20" s="37" t="n"/>
      <c r="AT20" s="37" t="n"/>
      <c r="AU20" s="37" t="n"/>
    </row>
    <row r="21">
      <c r="A21" t="inlineStr">
        <is>
          <t>% of MULO+C stores DSD-serviced</t>
        </is>
      </c>
      <c r="V21" t="inlineStr">
        <is>
          <t>~65%</t>
        </is>
      </c>
    </row>
    <row r="22">
      <c r="A22" t="inlineStr">
        <is>
          <t>12-week growth</t>
        </is>
      </c>
      <c r="X22" t="inlineStr">
        <is>
          <t>194%</t>
        </is>
      </c>
      <c r="Z22" t="inlineStr">
        <is>
          <t>10%</t>
        </is>
      </c>
    </row>
    <row r="23">
      <c r="A23" t="inlineStr">
        <is>
          <t>2-week growth</t>
        </is>
      </c>
      <c r="Z23" t="inlineStr">
        <is>
          <t>10%</t>
        </is>
      </c>
    </row>
    <row r="24">
      <c r="A24" t="inlineStr">
        <is>
          <t>4-week growth</t>
        </is>
      </c>
      <c r="X24" t="inlineStr">
        <is>
          <t>143%</t>
        </is>
      </c>
    </row>
    <row r="25">
      <c r="A25" t="inlineStr">
        <is>
          <t>7-Eleven Green Apple Cherry National Rollout</t>
        </is>
      </c>
      <c r="AI25" t="inlineStr">
        <is>
          <t>January 2024</t>
        </is>
      </c>
    </row>
    <row r="26">
      <c r="A26" t="inlineStr">
        <is>
          <t>Accrued distributor termination fees</t>
        </is>
      </c>
      <c r="AQ26" t="n">
        <v>264.1</v>
      </c>
    </row>
    <row r="27">
      <c r="A27" t="inlineStr">
        <is>
          <t>Acquisition &amp; integration adj</t>
        </is>
      </c>
      <c r="AQ27" t="n">
        <v>-60.2</v>
      </c>
    </row>
    <row r="28">
      <c r="A28" t="inlineStr">
        <is>
          <t>Acquisition funding (per prior calls)</t>
        </is>
      </c>
      <c r="AL28" t="inlineStr">
        <is>
          <t>$900M debt, ~$400M cash, remainder stock</t>
        </is>
      </c>
    </row>
    <row r="29">
      <c r="A29" t="inlineStr">
        <is>
          <t>Acquisition-related costs</t>
        </is>
      </c>
      <c r="AM29" t="n">
        <v>16</v>
      </c>
    </row>
    <row r="30">
      <c r="A30" t="inlineStr">
        <is>
          <t>Acquisition-related costs (FY)</t>
        </is>
      </c>
      <c r="AP30" t="n">
        <v>60</v>
      </c>
    </row>
    <row r="31">
      <c r="A31" t="inlineStr">
        <is>
          <t>ACV (all channels)</t>
        </is>
      </c>
      <c r="Z31" t="inlineStr">
        <is>
          <t>~89.7%</t>
        </is>
      </c>
    </row>
    <row r="32">
      <c r="A32" t="inlineStr">
        <is>
          <t>ACV increase in convenience</t>
        </is>
      </c>
      <c r="Y32" t="inlineStr">
        <is>
          <t>Oct 1-23, 2022</t>
        </is>
      </c>
    </row>
    <row r="33">
      <c r="A33" t="inlineStr">
        <is>
          <t>ACV increase since PepsiCo launch (all channels)</t>
        </is>
      </c>
      <c r="Y33" t="inlineStr">
        <is>
          <t>Oct 1-23, 2022</t>
        </is>
      </c>
    </row>
    <row r="34">
      <c r="A34" t="inlineStr">
        <is>
          <t>ACV sweet spot</t>
        </is>
      </c>
      <c r="Z34" t="inlineStr">
        <is>
          <t>Forward</t>
        </is>
      </c>
    </row>
    <row r="35">
      <c r="A35" t="inlineStr">
        <is>
          <t>Adj EBITDA &amp; one-time</t>
        </is>
      </c>
      <c r="D35" t="n">
        <v>2.1</v>
      </c>
    </row>
    <row r="36">
      <c r="A36" t="inlineStr">
        <is>
          <t>Adj EBITDA /one-time</t>
        </is>
      </c>
      <c r="F36" t="n">
        <v>2.2</v>
      </c>
    </row>
    <row r="37">
      <c r="A37" t="inlineStr">
        <is>
          <t>Adj. Gross Margin (ex-freight)</t>
        </is>
      </c>
      <c r="R37" t="inlineStr">
        <is>
          <t>51.8%</t>
        </is>
      </c>
      <c r="T37" t="inlineStr">
        <is>
          <t>49.8%</t>
        </is>
      </c>
    </row>
    <row r="38">
      <c r="A38" t="inlineStr">
        <is>
          <t>Adjusted Diluted EPS</t>
        </is>
      </c>
      <c r="AJ38" t="n">
        <v>0.14</v>
      </c>
      <c r="AK38" t="n">
        <v>0.7</v>
      </c>
      <c r="AL38" t="n">
        <v>0.18</v>
      </c>
      <c r="AM38" t="n">
        <v>0.47</v>
      </c>
      <c r="AN38" t="n">
        <v>0.65</v>
      </c>
      <c r="AQ38" t="n">
        <v>1.34</v>
      </c>
    </row>
    <row r="39">
      <c r="A39" t="inlineStr">
        <is>
          <t>Adjusted EBITDA growth</t>
        </is>
      </c>
      <c r="V39" t="inlineStr">
        <is>
          <t>+~112%</t>
        </is>
      </c>
    </row>
    <row r="40">
      <c r="A40" t="inlineStr">
        <is>
          <t>Adjusted EBITDA Margin</t>
        </is>
      </c>
      <c r="W40" t="inlineStr">
        <is>
          <t>~11%-13%</t>
        </is>
      </c>
      <c r="AJ40" t="inlineStr">
        <is>
          <t>18.9%</t>
        </is>
      </c>
      <c r="AK40" t="inlineStr">
        <is>
          <t>~15%</t>
        </is>
      </c>
      <c r="AL40" t="inlineStr">
        <is>
          <t>21.2%</t>
        </is>
      </c>
      <c r="AQ40" t="inlineStr">
        <is>
          <t>~24.6%</t>
        </is>
      </c>
      <c r="AR40" t="inlineStr">
        <is>
          <t>24.9%</t>
        </is>
      </c>
    </row>
    <row r="41">
      <c r="A41" t="inlineStr">
        <is>
          <t>Adjusted SG&amp;A</t>
        </is>
      </c>
      <c r="AQ41" t="inlineStr">
        <is>
          <t>29.4% of sales</t>
        </is>
      </c>
    </row>
    <row r="42">
      <c r="A42" t="inlineStr">
        <is>
          <t>Adjusted SG&amp;A % of revenue</t>
        </is>
      </c>
      <c r="AR42" t="inlineStr">
        <is>
          <t>~26.4%</t>
        </is>
      </c>
    </row>
    <row r="43">
      <c r="A43" t="inlineStr">
        <is>
          <t>Adjusted SG&amp;A as % of revenue (FY)</t>
        </is>
      </c>
      <c r="AP43" t="inlineStr">
        <is>
          <t>29.4%</t>
        </is>
      </c>
    </row>
    <row r="44">
      <c r="A44" t="inlineStr">
        <is>
          <t>Adjusted SG&amp;A as % of revenue (Q4)</t>
        </is>
      </c>
      <c r="AP44" t="inlineStr">
        <is>
          <t>31.8%</t>
        </is>
      </c>
    </row>
    <row r="45">
      <c r="A45" t="inlineStr">
        <is>
          <t>Alani Nu Accretion</t>
        </is>
      </c>
      <c r="AQ45" t="inlineStr">
        <is>
          <t>Year 1 post-close</t>
        </is>
      </c>
    </row>
    <row r="46">
      <c r="A46" t="inlineStr">
        <is>
          <t>Alani Nu brand</t>
        </is>
      </c>
      <c r="AM46" t="n">
        <v>301.2</v>
      </c>
    </row>
    <row r="47">
      <c r="A47" t="inlineStr">
        <is>
          <t>Alani Nu Cost Synergies</t>
        </is>
      </c>
      <c r="AQ47" t="inlineStr">
        <is>
          <t>Over next 2 years</t>
        </is>
      </c>
    </row>
    <row r="48">
      <c r="A48" t="inlineStr">
        <is>
          <t>Alani Nu Distribution Gains</t>
        </is>
      </c>
      <c r="AM48" t="inlineStr">
        <is>
          <t>Pretty sizable, esp. convenience</t>
        </is>
      </c>
    </row>
    <row r="49">
      <c r="A49" t="inlineStr">
        <is>
          <t>Alani Nu dollar share</t>
        </is>
      </c>
      <c r="AL49" t="inlineStr">
        <is>
          <t>5.3%</t>
        </is>
      </c>
    </row>
    <row r="50">
      <c r="A50" t="inlineStr">
        <is>
          <t>Alani Nu Founder Lock-Up</t>
        </is>
      </c>
      <c r="AQ50" t="inlineStr">
        <is>
          <t>Post-close</t>
        </is>
      </c>
    </row>
    <row r="51">
      <c r="A51" t="inlineStr">
        <is>
          <t>Alani Nu market-share-expansion lag vs. Celsius</t>
        </is>
      </c>
      <c r="AQ51" t="inlineStr">
        <is>
          <t>forward</t>
        </is>
      </c>
    </row>
    <row r="52">
      <c r="A52" t="inlineStr">
        <is>
          <t>Alani Nu net sales</t>
        </is>
      </c>
      <c r="AR52" t="n">
        <v>368</v>
      </c>
    </row>
    <row r="53">
      <c r="A53" t="inlineStr">
        <is>
          <t>Alani Nu P&amp;L profile lag vs. Celsius</t>
        </is>
      </c>
      <c r="AQ53" t="inlineStr">
        <is>
          <t>multi-year</t>
        </is>
      </c>
    </row>
    <row r="54">
      <c r="A54" t="inlineStr">
        <is>
          <t>Alani Nu retail sales growth</t>
        </is>
      </c>
      <c r="AL54" t="inlineStr">
        <is>
          <t>+88% YoY</t>
        </is>
      </c>
      <c r="AQ54" t="inlineStr">
        <is>
          <t>+101%</t>
        </is>
      </c>
    </row>
    <row r="55">
      <c r="A55" t="inlineStr">
        <is>
          <t>Alani Nu revenue</t>
        </is>
      </c>
      <c r="AQ55" t="inlineStr">
        <is>
          <t>$1,001.9M (Q2-Q4)</t>
        </is>
      </c>
    </row>
    <row r="56">
      <c r="A56" t="inlineStr">
        <is>
          <t>Alani Nu synergies (identified)</t>
        </is>
      </c>
      <c r="AQ56" t="inlineStr">
        <is>
          <t>over next ~18 months</t>
        </is>
      </c>
    </row>
    <row r="57">
      <c r="A57" t="inlineStr">
        <is>
          <t>Alani Nu trailing 52-wk retail sales</t>
        </is>
      </c>
      <c r="AL57" t="inlineStr">
        <is>
          <t>&gt;$1B</t>
        </is>
      </c>
    </row>
    <row r="58">
      <c r="A58" t="inlineStr">
        <is>
          <t>Alani target ACV</t>
        </is>
      </c>
      <c r="AS58" t="inlineStr">
        <is>
          <t>mid-90 level</t>
        </is>
      </c>
    </row>
    <row r="59">
      <c r="A59" t="inlineStr">
        <is>
          <t>Amazon / E-Commerce Share</t>
        </is>
      </c>
      <c r="AB59" t="inlineStr">
        <is>
          <t>#2 energy drink on Amazon</t>
        </is>
      </c>
    </row>
    <row r="60">
      <c r="A60" t="inlineStr">
        <is>
          <t>Amazon energy category share</t>
        </is>
      </c>
      <c r="X60" t="inlineStr">
        <is>
          <t>22.6% (#2 brand)</t>
        </is>
      </c>
    </row>
    <row r="61">
      <c r="A61" t="inlineStr">
        <is>
          <t>Asia (China royalty)</t>
        </is>
      </c>
      <c r="R61" t="n">
        <v>0.619</v>
      </c>
      <c r="T61" t="n">
        <v>0.706</v>
      </c>
    </row>
    <row r="62">
      <c r="A62" t="inlineStr">
        <is>
          <t>Average Items Carried Per Store (MULOC)</t>
        </is>
      </c>
      <c r="Z62" t="n">
        <v>12.5</v>
      </c>
    </row>
    <row r="63">
      <c r="A63" t="inlineStr">
        <is>
          <t>Average price increase (52-wk Nielsen)</t>
        </is>
      </c>
      <c r="Q63" t="inlineStr">
        <is>
          <t>17.4 (units unspecified)</t>
        </is>
      </c>
    </row>
    <row r="64">
      <c r="A64" t="inlineStr">
        <is>
          <t>Avg items selling per store (Celsius family)</t>
        </is>
      </c>
      <c r="AL64" t="inlineStr">
        <is>
          <t>+4.1 items</t>
        </is>
      </c>
    </row>
    <row r="65">
      <c r="A65" t="inlineStr">
        <is>
          <t>Balance Sheet</t>
        </is>
      </c>
      <c r="AL65" t="inlineStr">
        <is>
          <t>As of Mar 31, 2025</t>
        </is>
      </c>
    </row>
    <row r="66">
      <c r="A66" t="inlineStr">
        <is>
          <t>Big Beverage capacity - potential Alani volume share (2 lines)</t>
        </is>
      </c>
      <c r="AL66" t="inlineStr">
        <is>
          <t>next ~18 months</t>
        </is>
      </c>
    </row>
    <row r="67">
      <c r="A67" t="inlineStr">
        <is>
          <t>Big Beverage potential Alani volume capacity</t>
        </is>
      </c>
      <c r="AQ67" t="inlineStr">
        <is>
          <t>next ~18 months</t>
        </is>
      </c>
    </row>
    <row r="68">
      <c r="A68" t="inlineStr">
        <is>
          <t>Big Beverage production opportunity</t>
        </is>
      </c>
      <c r="AQ68" t="inlineStr">
        <is>
          <t>forward</t>
        </is>
      </c>
    </row>
    <row r="69">
      <c r="A69" t="inlineStr">
        <is>
          <t>Blue-sky market share runway (Celsius brand)</t>
        </is>
      </c>
      <c r="AT69" t="inlineStr">
        <is>
          <t>mid-teens to upper-teens</t>
        </is>
      </c>
    </row>
    <row r="70">
      <c r="A70" t="inlineStr">
        <is>
          <t>Brand Celsius net sales</t>
        </is>
      </c>
      <c r="AR70" t="n">
        <v>348</v>
      </c>
    </row>
    <row r="71">
      <c r="A71" t="inlineStr">
        <is>
          <t>Can shortage resolution</t>
        </is>
      </c>
      <c r="R71" t="inlineStr">
        <is>
          <t>2021H2+</t>
        </is>
      </c>
    </row>
    <row r="72">
      <c r="A72" t="inlineStr">
        <is>
          <t>Cash EPS Accretion</t>
        </is>
      </c>
      <c r="AM72" t="inlineStr">
        <is>
          <t>Accretive in year one</t>
        </is>
      </c>
      <c r="AQ72" t="inlineStr">
        <is>
          <t>year one post-close</t>
        </is>
      </c>
    </row>
    <row r="73">
      <c r="A73" t="inlineStr">
        <is>
          <t>Category pricing level</t>
        </is>
      </c>
      <c r="Z73" t="inlineStr">
        <is>
          <t>Forward / category</t>
        </is>
      </c>
    </row>
    <row r="74">
      <c r="A74" t="inlineStr">
        <is>
          <t>Celsius brand</t>
        </is>
      </c>
      <c r="AM74" t="n">
        <v>438.1</v>
      </c>
    </row>
    <row r="75">
      <c r="A75" t="inlineStr">
        <is>
          <t>CELSIUS brand retail sales growth</t>
        </is>
      </c>
      <c r="AQ75" t="inlineStr">
        <is>
          <t>+6%</t>
        </is>
      </c>
    </row>
    <row r="76">
      <c r="A76" t="inlineStr">
        <is>
          <t>CELSIUS brand revenue</t>
        </is>
      </c>
      <c r="AQ76" t="n">
        <v>1457.7</v>
      </c>
    </row>
    <row r="77">
      <c r="A77" t="inlineStr">
        <is>
          <t>Celsius contribution to category growth</t>
        </is>
      </c>
      <c r="W77" t="inlineStr">
        <is>
          <t>IRI data ~Feb 9</t>
        </is>
      </c>
    </row>
    <row r="78">
      <c r="A78" t="inlineStr">
        <is>
          <t>Celsius Distribution Expansion (retail sets)</t>
        </is>
      </c>
      <c r="AM78" t="inlineStr">
        <is>
          <t>~15%-20%</t>
        </is>
      </c>
    </row>
    <row r="79">
      <c r="A79" t="inlineStr">
        <is>
          <t>Celsius Holdings net leverage</t>
        </is>
      </c>
      <c r="AL79" t="inlineStr">
        <is>
          <t>post-Alani Nu</t>
        </is>
      </c>
    </row>
    <row r="80">
      <c r="A80" t="inlineStr">
        <is>
          <t>Celsius US tracked-channel dollar share</t>
        </is>
      </c>
      <c r="AL80" t="inlineStr">
        <is>
          <t>10.9%</t>
        </is>
      </c>
    </row>
    <row r="81">
      <c r="A81" t="inlineStr">
        <is>
          <t>China Note Interest Income</t>
        </is>
      </c>
      <c r="G81" t="n">
        <v>0.09</v>
      </c>
    </row>
    <row r="82">
      <c r="A82" t="inlineStr">
        <is>
          <t>China royalty minimum</t>
        </is>
      </c>
      <c r="Y82" t="inlineStr">
        <is>
          <t>Annually</t>
        </is>
      </c>
    </row>
    <row r="83">
      <c r="A83" t="inlineStr">
        <is>
          <t>China Royalty Revenue (minimum floor)</t>
        </is>
      </c>
      <c r="AA83" t="inlineStr">
        <is>
          <t>Post-2024</t>
        </is>
      </c>
    </row>
    <row r="84">
      <c r="A84" t="inlineStr">
        <is>
          <t>Circle K national contract</t>
        </is>
      </c>
      <c r="V84" t="inlineStr">
        <is>
          <t>~6,000 doors, ~4 flavors avg</t>
        </is>
      </c>
    </row>
    <row r="85">
      <c r="A85" t="inlineStr">
        <is>
          <t>Circle K stores recently added</t>
        </is>
      </c>
      <c r="W85" t="inlineStr">
        <is>
          <t>As of conference</t>
        </is>
      </c>
    </row>
    <row r="86">
      <c r="A86" t="inlineStr">
        <is>
          <t>Club channel locations</t>
        </is>
      </c>
      <c r="X86" t="inlineStr">
        <is>
          <t>1,337 (incl. ~175 new BJ's)</t>
        </is>
      </c>
    </row>
    <row r="87">
      <c r="A87" t="inlineStr">
        <is>
          <t>Club channel revenue</t>
        </is>
      </c>
      <c r="X87" t="n">
        <v>30.9</v>
      </c>
    </row>
    <row r="88">
      <c r="A88" t="inlineStr">
        <is>
          <t>Club Channel Revenue Contribution</t>
        </is>
      </c>
      <c r="Q88" t="inlineStr">
        <is>
          <t>$26M+</t>
        </is>
      </c>
    </row>
    <row r="89">
      <c r="A89" t="inlineStr">
        <is>
          <t>Club Channel Sales</t>
        </is>
      </c>
      <c r="Y89" t="n">
        <v>34</v>
      </c>
      <c r="AA89" t="n">
        <v>138</v>
      </c>
      <c r="AC89" t="n">
        <v>68</v>
      </c>
      <c r="AE89" t="n">
        <v>63.2</v>
      </c>
      <c r="AI89" t="n">
        <v>63</v>
      </c>
    </row>
    <row r="90">
      <c r="A90" t="inlineStr">
        <is>
          <t>Combined business RTD energy mix</t>
        </is>
      </c>
      <c r="AK90" t="n">
        <v>2025</v>
      </c>
    </row>
    <row r="91">
      <c r="A91" t="inlineStr">
        <is>
          <t>Combined portfolio dollar share</t>
        </is>
      </c>
      <c r="AL91" t="inlineStr">
        <is>
          <t>16.2%</t>
        </is>
      </c>
    </row>
    <row r="92">
      <c r="A92" t="inlineStr">
        <is>
          <t>Combined US energy category dollar share</t>
        </is>
      </c>
      <c r="AK92" t="inlineStr">
        <is>
          <t>2024/2025</t>
        </is>
      </c>
    </row>
    <row r="93">
      <c r="A93" t="inlineStr">
        <is>
          <t>Contingent consideration</t>
        </is>
      </c>
      <c r="AQ93" t="n">
        <v>25</v>
      </c>
    </row>
    <row r="94">
      <c r="A94" t="inlineStr">
        <is>
          <t>Convenience / Sea Source Revenue Share</t>
        </is>
      </c>
      <c r="AB94" t="inlineStr">
        <is>
          <t>+4-5 pts</t>
        </is>
      </c>
    </row>
    <row r="95">
      <c r="A95" t="inlineStr">
        <is>
          <t>Convenience ACV</t>
        </is>
      </c>
      <c r="Z95" t="inlineStr">
        <is>
          <t>89%</t>
        </is>
      </c>
      <c r="AC95" t="inlineStr">
        <is>
          <t>~73%</t>
        </is>
      </c>
    </row>
    <row r="96">
      <c r="A96" t="inlineStr">
        <is>
          <t>Convenience channel ACV</t>
        </is>
      </c>
      <c r="J96" t="inlineStr">
        <is>
          <t>~13.8% (Q2)</t>
        </is>
      </c>
      <c r="V96" t="inlineStr">
        <is>
          <t>~44%</t>
        </is>
      </c>
    </row>
    <row r="97">
      <c r="A97" t="inlineStr">
        <is>
          <t>Convenience channel as % of revenue (historical)</t>
        </is>
      </c>
      <c r="W97" t="inlineStr">
        <is>
          <t>Historical</t>
        </is>
      </c>
    </row>
    <row r="98">
      <c r="A98" t="inlineStr">
        <is>
          <t>Convenience channel revenue target</t>
        </is>
      </c>
      <c r="Y98" t="inlineStr">
        <is>
          <t>~70% of revenue</t>
        </is>
      </c>
    </row>
    <row r="99">
      <c r="A99" t="inlineStr">
        <is>
          <t>Convenience channel sales growth</t>
        </is>
      </c>
      <c r="X99" t="inlineStr">
        <is>
          <t>+227%</t>
        </is>
      </c>
      <c r="Y99" t="inlineStr">
        <is>
          <t>+158%</t>
        </is>
      </c>
    </row>
    <row r="100">
      <c r="A100" t="inlineStr">
        <is>
          <t>Convenience channel store locations</t>
        </is>
      </c>
      <c r="X100" t="n">
        <v>82000</v>
      </c>
    </row>
    <row r="101">
      <c r="A101" t="inlineStr">
        <is>
          <t>Convenience doors</t>
        </is>
      </c>
      <c r="V101" t="inlineStr">
        <is>
          <t>~60,000 (up 95%)</t>
        </is>
      </c>
    </row>
    <row r="102">
      <c r="A102" t="inlineStr">
        <is>
          <t>Convenience growth</t>
        </is>
      </c>
      <c r="AP102" t="inlineStr">
        <is>
          <t>recent months</t>
        </is>
      </c>
    </row>
    <row r="103">
      <c r="A103" t="inlineStr">
        <is>
          <t>Convenience Store Locations</t>
        </is>
      </c>
      <c r="Q103" t="inlineStr">
        <is>
          <t>~64,000 (+88% YoY)</t>
        </is>
      </c>
      <c r="Y103" t="n">
        <v>86000</v>
      </c>
    </row>
    <row r="104">
      <c r="A104" t="inlineStr">
        <is>
          <t>Cooler Rollout Phase 1</t>
        </is>
      </c>
      <c r="V104" t="n">
        <v>2021</v>
      </c>
    </row>
    <row r="105">
      <c r="A105" t="inlineStr">
        <is>
          <t>Cooler Rollout Potential</t>
        </is>
      </c>
      <c r="V105" t="inlineStr">
        <is>
          <t>By end of 2021</t>
        </is>
      </c>
    </row>
    <row r="106">
      <c r="A106" t="inlineStr">
        <is>
          <t>Coolers on order</t>
        </is>
      </c>
      <c r="W106" t="inlineStr">
        <is>
          <t>As of meeting</t>
        </is>
      </c>
    </row>
    <row r="107">
      <c r="A107" t="inlineStr">
        <is>
          <t>Coolers placed Q2 (YTD)</t>
        </is>
      </c>
      <c r="X107" t="inlineStr">
        <is>
          <t>800 (2,700+ YTD)</t>
        </is>
      </c>
    </row>
    <row r="108">
      <c r="A108" t="inlineStr">
        <is>
          <t>Costco Q1 Revenue Growth</t>
        </is>
      </c>
      <c r="Q108" t="inlineStr">
        <is>
          <t>Over 1,100%</t>
        </is>
      </c>
    </row>
    <row r="109">
      <c r="A109" t="inlineStr">
        <is>
          <t>Costco stores</t>
        </is>
      </c>
      <c r="V109" t="inlineStr">
        <is>
          <t>561 (Q4 revenue +1,100%)</t>
        </is>
      </c>
    </row>
    <row r="110">
      <c r="A110" t="inlineStr">
        <is>
          <t>Debt</t>
        </is>
      </c>
      <c r="P110" t="inlineStr">
        <is>
          <t>Debt-free (~$10M Euro bonds repaid Oct 30, 2020)</t>
        </is>
      </c>
      <c r="AL110" t="n">
        <v>900</v>
      </c>
    </row>
    <row r="111">
      <c r="A111" t="inlineStr">
        <is>
          <t>Diluted EPS</t>
        </is>
      </c>
      <c r="R111" t="n">
        <v>0.05</v>
      </c>
      <c r="T111" t="n">
        <v>0.04</v>
      </c>
      <c r="W111" t="n">
        <v>0.09</v>
      </c>
      <c r="X111" t="n">
        <v>0.12</v>
      </c>
      <c r="AE111" t="n">
        <v>0.89</v>
      </c>
      <c r="AI111" t="n">
        <v>0.27</v>
      </c>
      <c r="AL111" t="n">
        <v>0.15</v>
      </c>
      <c r="AM111" t="n">
        <v>0.33</v>
      </c>
      <c r="AQ111" t="n">
        <v>0.25</v>
      </c>
    </row>
    <row r="112">
      <c r="A112" t="inlineStr">
        <is>
          <t>Distribution / Channel Stats</t>
        </is>
      </c>
      <c r="M112" t="inlineStr">
        <is>
          <t>Prior</t>
        </is>
      </c>
    </row>
    <row r="113">
      <c r="A113" t="inlineStr">
        <is>
          <t>Distribution Termination Expenses</t>
        </is>
      </c>
      <c r="AA113" t="n">
        <v>194</v>
      </c>
    </row>
    <row r="114">
      <c r="A114" t="inlineStr">
        <is>
          <t>Distributor termination &amp; integration adj</t>
        </is>
      </c>
      <c r="AQ114" t="n">
        <v>-327.5</v>
      </c>
    </row>
    <row r="115">
      <c r="A115" t="inlineStr">
        <is>
          <t>Distributor termination costs (Q4)</t>
        </is>
      </c>
      <c r="AP115" t="n">
        <v>80.8</v>
      </c>
    </row>
    <row r="116">
      <c r="A116" t="inlineStr">
        <is>
          <t>DPO (days)</t>
        </is>
      </c>
      <c r="R116" t="n">
        <v>31</v>
      </c>
    </row>
    <row r="117">
      <c r="A117" t="inlineStr">
        <is>
          <t>DSD Coverage</t>
        </is>
      </c>
      <c r="N117" t="inlineStr">
        <is>
          <t>By summer 2020</t>
        </is>
      </c>
    </row>
    <row r="118">
      <c r="A118" t="inlineStr">
        <is>
          <t>DSD distributor revenue growth</t>
        </is>
      </c>
      <c r="W118" t="inlineStr">
        <is>
          <t>+395%</t>
        </is>
      </c>
    </row>
    <row r="119">
      <c r="A119" t="inlineStr">
        <is>
          <t>DSD incremental revenue</t>
        </is>
      </c>
      <c r="X119" t="n">
        <v>41.8</v>
      </c>
    </row>
    <row r="120">
      <c r="A120" t="inlineStr">
        <is>
          <t>DSD Network Reach</t>
        </is>
      </c>
      <c r="Q120" t="inlineStr">
        <is>
          <t>~99% of US population</t>
        </is>
      </c>
    </row>
    <row r="121">
      <c r="A121" t="inlineStr">
        <is>
          <t>DSD network sales</t>
        </is>
      </c>
      <c r="X121" t="n">
        <v>61.9</v>
      </c>
    </row>
    <row r="122">
      <c r="A122" t="inlineStr">
        <is>
          <t>DSD partners</t>
        </is>
      </c>
      <c r="M122" t="inlineStr">
        <is>
          <t>~135 (Q2)</t>
        </is>
      </c>
    </row>
    <row r="123">
      <c r="A123" t="inlineStr">
        <is>
          <t>DSD penetration of stores</t>
        </is>
      </c>
      <c r="M123" t="inlineStr">
        <is>
          <t>~10-12% (Q1)</t>
        </is>
      </c>
    </row>
    <row r="124">
      <c r="A124" t="inlineStr">
        <is>
          <t>DSD population coverage</t>
        </is>
      </c>
      <c r="V124" t="inlineStr">
        <is>
          <t>~98%</t>
        </is>
      </c>
      <c r="W124" t="inlineStr">
        <is>
          <t>As of meeting</t>
        </is>
      </c>
    </row>
    <row r="125">
      <c r="A125" t="inlineStr">
        <is>
          <t>DSD regional partners</t>
        </is>
      </c>
      <c r="M125" t="inlineStr">
        <is>
          <t>~100 (May 2020)</t>
        </is>
      </c>
    </row>
    <row r="126">
      <c r="A126" t="inlineStr">
        <is>
          <t>DSD service centers</t>
        </is>
      </c>
      <c r="V126" t="inlineStr">
        <is>
          <t>276+</t>
        </is>
      </c>
    </row>
    <row r="127">
      <c r="A127" t="inlineStr">
        <is>
          <t>DSO (days)</t>
        </is>
      </c>
      <c r="R127" t="n">
        <v>45</v>
      </c>
    </row>
    <row r="128">
      <c r="A128" t="inlineStr">
        <is>
          <t>Earn-out contingent consideration charge</t>
        </is>
      </c>
      <c r="AM128" t="n">
        <v>13.8</v>
      </c>
    </row>
    <row r="129">
      <c r="A129" t="inlineStr">
        <is>
          <t>Earn-out maximum payout</t>
        </is>
      </c>
      <c r="AP129" t="inlineStr">
        <is>
          <t>2025 net-sales targets</t>
        </is>
      </c>
    </row>
    <row r="130">
      <c r="A130" t="inlineStr">
        <is>
          <t>EBITDA margin (long-term framework)</t>
        </is>
      </c>
      <c r="X130" t="inlineStr">
        <is>
          <t>10%-15%</t>
        </is>
      </c>
    </row>
    <row r="131">
      <c r="A131" t="inlineStr">
        <is>
          <t>EBITDA Margin Aspiration</t>
        </is>
      </c>
      <c r="AK131" t="inlineStr">
        <is>
          <t>Long-term</t>
        </is>
      </c>
    </row>
    <row r="132">
      <c r="A132" t="inlineStr">
        <is>
          <t>EBITDA Margin Target</t>
        </is>
      </c>
      <c r="AC132" t="inlineStr">
        <is>
          <t>30%-35%</t>
        </is>
      </c>
    </row>
    <row r="133">
      <c r="A133" t="inlineStr">
        <is>
          <t>Effective tax rate (9 months)</t>
        </is>
      </c>
      <c r="Y133" t="inlineStr">
        <is>
          <t>-33.5%</t>
        </is>
      </c>
    </row>
    <row r="134">
      <c r="A134" t="inlineStr">
        <is>
          <t>Effective tax rate (go-forward)</t>
        </is>
      </c>
      <c r="Z134" t="inlineStr">
        <is>
          <t>Future</t>
        </is>
      </c>
    </row>
    <row r="135">
      <c r="A135" t="inlineStr">
        <is>
          <t>Energy category dollar growth (period)</t>
        </is>
      </c>
      <c r="W135" t="inlineStr">
        <is>
          <t>IRI data ~Feb 9</t>
        </is>
      </c>
    </row>
    <row r="136">
      <c r="A136" t="inlineStr">
        <is>
          <t>Energy category growth rate</t>
        </is>
      </c>
      <c r="W136" t="inlineStr">
        <is>
          <t>Long-term industry</t>
        </is>
      </c>
    </row>
    <row r="137">
      <c r="A137" t="inlineStr">
        <is>
          <t>Energy category long-term growth</t>
        </is>
      </c>
      <c r="Z137" t="inlineStr">
        <is>
          <t>doubles in ~12 years</t>
        </is>
      </c>
    </row>
    <row r="138">
      <c r="A138" t="inlineStr">
        <is>
          <t>EPS</t>
        </is>
      </c>
      <c r="G138" t="n">
        <v>0.2</v>
      </c>
      <c r="I138" t="n">
        <v>0.18</v>
      </c>
      <c r="M138" t="n">
        <v>0.16</v>
      </c>
      <c r="O138" t="n">
        <v>0.02</v>
      </c>
    </row>
    <row r="139">
      <c r="A139" t="inlineStr">
        <is>
          <t>EPS Basic</t>
        </is>
      </c>
      <c r="J139" t="n">
        <v>0.02</v>
      </c>
      <c r="K139" t="n">
        <v>0.19</v>
      </c>
    </row>
    <row r="140">
      <c r="A140" t="inlineStr">
        <is>
          <t>Eric Hansen tenure</t>
        </is>
      </c>
      <c r="AL140" t="inlineStr">
        <is>
          <t>as of May 13, 2025</t>
        </is>
      </c>
    </row>
    <row r="141">
      <c r="A141" t="inlineStr">
        <is>
          <t>Essentials 16oz National Rollout</t>
        </is>
      </c>
      <c r="AI141" t="inlineStr">
        <is>
          <t>January 2024</t>
        </is>
      </c>
    </row>
    <row r="142">
      <c r="A142" t="inlineStr">
        <is>
          <t>ESSENTIALS Line</t>
        </is>
      </c>
      <c r="AK142" t="inlineStr">
        <is>
          <t>Jan 2024</t>
        </is>
      </c>
    </row>
    <row r="143">
      <c r="A143" t="inlineStr">
        <is>
          <t>Excess Order Timing</t>
        </is>
      </c>
      <c r="AB143" t="inlineStr">
        <is>
          <t>order timing into Pepsi mixing centers</t>
        </is>
      </c>
    </row>
    <row r="144">
      <c r="A144" t="inlineStr">
        <is>
          <t>Expected distribution expansion</t>
        </is>
      </c>
      <c r="X144" t="inlineStr">
        <is>
          <t>Next 12 months</t>
        </is>
      </c>
    </row>
    <row r="145">
      <c r="A145" t="inlineStr">
        <is>
          <t>Fill Rate</t>
        </is>
      </c>
      <c r="Q145" t="inlineStr">
        <is>
          <t>~97%</t>
        </is>
      </c>
    </row>
    <row r="146">
      <c r="A146" t="inlineStr">
        <is>
          <t>Fill-rate recovery to full</t>
        </is>
      </c>
      <c r="R146" t="inlineStr">
        <is>
          <t>2021Q2</t>
        </is>
      </c>
    </row>
    <row r="147">
      <c r="A147" t="inlineStr">
        <is>
          <t>Foodservice as % of NA sales (via PepsiCo)</t>
        </is>
      </c>
      <c r="AL147" t="inlineStr">
        <is>
          <t>~13.4%</t>
        </is>
      </c>
    </row>
    <row r="148">
      <c r="A148" t="inlineStr">
        <is>
          <t>Freight (% of net revenues)</t>
        </is>
      </c>
      <c r="AE148" t="inlineStr">
        <is>
          <t>~4.9%</t>
        </is>
      </c>
    </row>
    <row r="149">
      <c r="A149" t="inlineStr">
        <is>
          <t>Freight (% of Revenue) trend</t>
        </is>
      </c>
      <c r="AH149" t="inlineStr">
        <is>
          <t>Trailing 2 years</t>
        </is>
      </c>
    </row>
    <row r="150">
      <c r="A150" t="inlineStr">
        <is>
          <t>Freight cost (Celsius brand) % of sales</t>
        </is>
      </c>
      <c r="AO150" t="inlineStr">
        <is>
          <t>~3%</t>
        </is>
      </c>
    </row>
    <row r="151">
      <c r="A151" t="inlineStr">
        <is>
          <t>Freight Reduction Opportunity</t>
        </is>
      </c>
      <c r="T151" t="inlineStr">
        <is>
          <t>Going forward</t>
        </is>
      </c>
    </row>
    <row r="152">
      <c r="A152" t="inlineStr">
        <is>
          <t>G&amp;A % of Revenue</t>
        </is>
      </c>
      <c r="W152" t="inlineStr">
        <is>
          <t>9%</t>
        </is>
      </c>
      <c r="X152" t="inlineStr">
        <is>
          <t>9%</t>
        </is>
      </c>
      <c r="Y152" t="inlineStr">
        <is>
          <t>15%</t>
        </is>
      </c>
      <c r="AB152" t="inlineStr">
        <is>
          <t>8%</t>
        </is>
      </c>
      <c r="AC152" t="inlineStr">
        <is>
          <t>10%</t>
        </is>
      </c>
      <c r="AE152" t="inlineStr">
        <is>
          <t>~6%</t>
        </is>
      </c>
      <c r="AG152" t="inlineStr">
        <is>
          <t>8%</t>
        </is>
      </c>
      <c r="AH152" t="inlineStr">
        <is>
          <t>8%</t>
        </is>
      </c>
      <c r="AI152" t="inlineStr">
        <is>
          <t>7%</t>
        </is>
      </c>
      <c r="AK152" t="inlineStr">
        <is>
          <t>12.8%</t>
        </is>
      </c>
      <c r="AM152" t="inlineStr">
        <is>
          <t>11.7%</t>
        </is>
      </c>
    </row>
    <row r="153">
      <c r="A153" t="inlineStr">
        <is>
          <t>G&amp;A % of sales (ex-acquisition costs)</t>
        </is>
      </c>
      <c r="AO153" t="inlineStr">
        <is>
          <t>~6%</t>
        </is>
      </c>
    </row>
    <row r="154">
      <c r="A154" t="inlineStr">
        <is>
          <t>G&amp;A (Adjusted)</t>
        </is>
      </c>
      <c r="AQ154" t="inlineStr">
        <is>
          <t>7.5% of sales</t>
        </is>
      </c>
    </row>
    <row r="155">
      <c r="A155" t="inlineStr">
        <is>
          <t>G&amp;A (GAAP)</t>
        </is>
      </c>
      <c r="AQ155" t="inlineStr">
        <is>
          <t>$250M / 9.9% of sales</t>
        </is>
      </c>
    </row>
    <row r="156">
      <c r="A156" t="inlineStr">
        <is>
          <t>Gap (promos/incentives + non-DSD timing)</t>
        </is>
      </c>
      <c r="AL156" t="inlineStr">
        <is>
          <t>~3 pts</t>
        </is>
      </c>
    </row>
    <row r="157">
      <c r="A157" t="inlineStr">
        <is>
          <t>Global energy category growth</t>
        </is>
      </c>
      <c r="AQ157" t="inlineStr">
        <is>
          <t>2024-2029</t>
        </is>
      </c>
    </row>
    <row r="158">
      <c r="A158" t="inlineStr">
        <is>
          <t>Gross Margin Aspiration</t>
        </is>
      </c>
      <c r="AC158" t="inlineStr">
        <is>
          <t>~55%</t>
        </is>
      </c>
    </row>
    <row r="159">
      <c r="A159" t="inlineStr">
        <is>
          <t>Gross Margin ex inventory step-up</t>
        </is>
      </c>
      <c r="AM159" t="inlineStr">
        <is>
          <t>54%+</t>
        </is>
      </c>
    </row>
    <row r="160">
      <c r="A160" t="inlineStr">
        <is>
          <t>Gross margin sequential change (vs Q2)</t>
        </is>
      </c>
      <c r="Y160" t="inlineStr">
        <is>
          <t>+330 bps</t>
        </is>
      </c>
    </row>
    <row r="161">
      <c r="A161" t="inlineStr">
        <is>
          <t>Gross Profit Margin (long term)</t>
        </is>
      </c>
      <c r="AI161" t="inlineStr">
        <is>
          <t>Long term</t>
        </is>
      </c>
    </row>
    <row r="162">
      <c r="A162" t="inlineStr">
        <is>
          <t>Gross Profit Margin Floor</t>
        </is>
      </c>
      <c r="AA162" t="inlineStr">
        <is>
          <t>2021 H2 fwd</t>
        </is>
      </c>
    </row>
    <row r="163">
      <c r="A163" t="inlineStr">
        <is>
          <t>Growth current</t>
        </is>
      </c>
      <c r="AL163" t="inlineStr">
        <is>
          <t>late 2025 / early 2026</t>
        </is>
      </c>
    </row>
    <row r="164">
      <c r="A164" t="inlineStr">
        <is>
          <t>Health club/specialty channel revenue</t>
        </is>
      </c>
      <c r="J164" t="inlineStr">
        <is>
          <t>~20-25% of US revenue</t>
        </is>
      </c>
    </row>
    <row r="165">
      <c r="A165" t="inlineStr">
        <is>
          <t>Healthy-functional-energy exclusivity</t>
        </is>
      </c>
      <c r="Z165" t="inlineStr">
        <is>
          <t>2022-2024</t>
        </is>
      </c>
    </row>
    <row r="166">
      <c r="A166" t="inlineStr">
        <is>
          <t>Household Penetration</t>
        </is>
      </c>
      <c r="AC166" t="inlineStr">
        <is>
          <t>11.1%</t>
        </is>
      </c>
    </row>
    <row r="167">
      <c r="A167" t="inlineStr">
        <is>
          <t>Imported Can Cycle-Through</t>
        </is>
      </c>
      <c r="T167" t="inlineStr">
        <is>
          <t>Mid-2022</t>
        </is>
      </c>
    </row>
    <row r="168">
      <c r="A168" t="inlineStr">
        <is>
          <t>Incremental Cooler Placement</t>
        </is>
      </c>
      <c r="AQ168" t="n">
        <v>2025</v>
      </c>
    </row>
    <row r="169">
      <c r="A169" t="inlineStr">
        <is>
          <t>International Cadence</t>
        </is>
      </c>
      <c r="AK169" t="n">
        <v>2025</v>
      </c>
    </row>
    <row r="170">
      <c r="A170" t="inlineStr">
        <is>
          <t>International cans on the books</t>
        </is>
      </c>
      <c r="Q170" t="inlineStr">
        <is>
          <t>moving deposit to inventory</t>
        </is>
      </c>
    </row>
    <row r="171">
      <c r="A171" t="inlineStr">
        <is>
          <t>International Expansion</t>
        </is>
      </c>
      <c r="AH171" t="inlineStr">
        <is>
          <t>Early 2024</t>
        </is>
      </c>
      <c r="AK171" t="inlineStr">
        <is>
          <t>2024-2026</t>
        </is>
      </c>
    </row>
    <row r="172">
      <c r="A172" t="inlineStr">
        <is>
          <t>International market entry (UK, Germany, Canada, W. Europe)</t>
        </is>
      </c>
      <c r="Z172" t="inlineStr">
        <is>
          <t>2024-2026</t>
        </is>
      </c>
    </row>
    <row r="173">
      <c r="A173" t="inlineStr">
        <is>
          <t>International Revenue (ex-Canada)</t>
        </is>
      </c>
      <c r="AI173" t="n">
        <v>16.2</v>
      </c>
    </row>
    <row r="174">
      <c r="A174" t="inlineStr">
        <is>
          <t>International Rollout</t>
        </is>
      </c>
      <c r="AK174" t="inlineStr">
        <is>
          <t>2024-2028</t>
        </is>
      </c>
    </row>
    <row r="175">
      <c r="A175" t="inlineStr">
        <is>
          <t>International share aspiration</t>
        </is>
      </c>
      <c r="AQ175" t="inlineStr">
        <is>
          <t>next 3-5 years</t>
        </is>
      </c>
    </row>
    <row r="176">
      <c r="A176" t="inlineStr">
        <is>
          <t>International share of sales (incl. Alani)</t>
        </is>
      </c>
      <c r="AL176" t="inlineStr">
        <is>
          <t>current (vs. Monster ~40%)</t>
        </is>
      </c>
    </row>
    <row r="177">
      <c r="A177" t="inlineStr">
        <is>
          <t>Inventory Days on Hand</t>
        </is>
      </c>
      <c r="R177" t="n">
        <v>155</v>
      </c>
    </row>
    <row r="178">
      <c r="A178" t="inlineStr">
        <is>
          <t>Inventory Increase (9M)</t>
        </is>
      </c>
      <c r="T178" t="n">
        <v>104</v>
      </c>
    </row>
    <row r="179">
      <c r="A179" t="inlineStr">
        <is>
          <t>Inventory normalization cash release</t>
        </is>
      </c>
      <c r="U179" t="inlineStr">
        <is>
          <t>Significant funds released</t>
        </is>
      </c>
    </row>
    <row r="180">
      <c r="A180" t="inlineStr">
        <is>
          <t>Inventory step-up</t>
        </is>
      </c>
      <c r="AQ180" t="inlineStr">
        <is>
          <t>allocate ~80% Q2, ~20% Q3</t>
        </is>
      </c>
    </row>
    <row r="181">
      <c r="A181" t="inlineStr">
        <is>
          <t>Inventory valuation step-up (non-cash, FY)</t>
        </is>
      </c>
      <c r="AP181" t="n">
        <v>22.4</v>
      </c>
    </row>
    <row r="182">
      <c r="A182" t="inlineStr">
        <is>
          <t>Items carried per store</t>
        </is>
      </c>
      <c r="Y182" t="inlineStr">
        <is>
          <t>3-wk window post Oct 1</t>
        </is>
      </c>
    </row>
    <row r="183">
      <c r="A183" t="inlineStr">
        <is>
          <t>Items per Store</t>
        </is>
      </c>
      <c r="AB183" t="inlineStr">
        <is>
          <t>placements/items per store</t>
        </is>
      </c>
    </row>
    <row r="184">
      <c r="A184" t="inlineStr">
        <is>
          <t>June 9 Offering Net Proceeds (to Company)</t>
        </is>
      </c>
      <c r="R184" t="n">
        <v>67.8</v>
      </c>
    </row>
    <row r="185">
      <c r="A185" t="inlineStr">
        <is>
          <t>Key Markets</t>
        </is>
      </c>
      <c r="AB185" t="inlineStr">
        <is>
          <t>national key markets</t>
        </is>
      </c>
    </row>
    <row r="186">
      <c r="A186" t="inlineStr">
        <is>
          <t>Long-term debt</t>
        </is>
      </c>
      <c r="V186" t="inlineStr">
        <is>
          <t>None</t>
        </is>
      </c>
      <c r="AQ186" t="n">
        <v>669.9</v>
      </c>
    </row>
    <row r="187">
      <c r="A187" t="inlineStr">
        <is>
          <t>Long-term EBITDA margin aspiration</t>
        </is>
      </c>
      <c r="AM187" t="inlineStr">
        <is>
          <t>long-term, no timeline</t>
        </is>
      </c>
    </row>
    <row r="188">
      <c r="A188" t="inlineStr">
        <is>
          <t>Long-term gross margin aspiration (apples-to-apples vs Monster)</t>
        </is>
      </c>
      <c r="AM188" t="inlineStr">
        <is>
          <t>long-term, no timeline</t>
        </is>
      </c>
    </row>
    <row r="189">
      <c r="A189" t="inlineStr">
        <is>
          <t>Long-Term Gross Margin Goal</t>
        </is>
      </c>
      <c r="AK189" t="inlineStr">
        <is>
          <t>Long-term</t>
        </is>
      </c>
    </row>
    <row r="190">
      <c r="A190" t="inlineStr">
        <is>
          <t>Long-Term Operating Margin</t>
        </is>
      </c>
      <c r="AK190" t="inlineStr">
        <is>
          <t>Long-term</t>
        </is>
      </c>
    </row>
    <row r="191">
      <c r="A191" t="inlineStr">
        <is>
          <t>Margin</t>
        </is>
      </c>
      <c r="AK191" t="inlineStr">
        <is>
          <t>2023 Q3</t>
        </is>
      </c>
    </row>
    <row r="192">
      <c r="A192" t="inlineStr">
        <is>
          <t>Marketing uplift share of synergies (per analyst, Slide 19)</t>
        </is>
      </c>
      <c r="AQ192" t="inlineStr">
        <is>
          <t>forward</t>
        </is>
      </c>
    </row>
    <row r="193">
      <c r="A193" t="inlineStr">
        <is>
          <t>Markets Expanded Into</t>
        </is>
      </c>
      <c r="AB193" t="inlineStr">
        <is>
          <t>over last ~18 months</t>
        </is>
      </c>
    </row>
    <row r="194">
      <c r="A194" t="inlineStr">
        <is>
          <t>Micro-market placements</t>
        </is>
      </c>
      <c r="W194" t="inlineStr">
        <is>
          <t>As of conference</t>
        </is>
      </c>
    </row>
    <row r="195">
      <c r="A195" t="inlineStr">
        <is>
          <t>MULOC ACV</t>
        </is>
      </c>
      <c r="AC195" t="inlineStr">
        <is>
          <t>72.1%</t>
        </is>
      </c>
    </row>
    <row r="196">
      <c r="A196" t="inlineStr">
        <is>
          <t>MULOC locations serviced by DSD</t>
        </is>
      </c>
      <c r="Y196" t="inlineStr">
        <is>
          <t>92%</t>
        </is>
      </c>
    </row>
    <row r="197">
      <c r="A197" t="inlineStr">
        <is>
          <t>Multipack share of retail sales mix</t>
        </is>
      </c>
      <c r="AL197" t="inlineStr">
        <is>
          <t>~28% MULO+ Conv / ~55% MULO+</t>
        </is>
      </c>
    </row>
    <row r="198">
      <c r="A198" t="inlineStr">
        <is>
          <t>Net benefit (Celsius + Alani load-in)</t>
        </is>
      </c>
      <c r="AP198" t="n">
        <v>25</v>
      </c>
    </row>
    <row r="199">
      <c r="A199" t="inlineStr">
        <is>
          <t>Net Inventory</t>
        </is>
      </c>
      <c r="R199" t="n">
        <v>63.8</v>
      </c>
      <c r="V199" t="n">
        <v>191.2</v>
      </c>
    </row>
    <row r="200">
      <c r="A200" t="inlineStr">
        <is>
          <t>Net Loss Per Share</t>
        </is>
      </c>
      <c r="C200" t="n">
        <v>-0.08</v>
      </c>
      <c r="D200" t="n">
        <v>-0.21</v>
      </c>
      <c r="E200" t="n">
        <v>-0.02</v>
      </c>
      <c r="F200" t="n">
        <v>-0.23</v>
      </c>
      <c r="H200" t="n">
        <v>-0.03</v>
      </c>
      <c r="L200" t="n">
        <v>-0.02</v>
      </c>
    </row>
    <row r="201">
      <c r="A201" t="inlineStr">
        <is>
          <t>Nielsen scan growth</t>
        </is>
      </c>
      <c r="Z201" t="inlineStr">
        <is>
          <t>over 200%</t>
        </is>
      </c>
    </row>
    <row r="202">
      <c r="A202" t="inlineStr">
        <is>
          <t>Normalized Gross Margin ()</t>
        </is>
      </c>
      <c r="T202" t="inlineStr">
        <is>
          <t>~47.2%</t>
        </is>
      </c>
    </row>
    <row r="203">
      <c r="A203" t="inlineStr">
        <is>
          <t>Op. Cash Flow ex-inventory build (6M)</t>
        </is>
      </c>
      <c r="R203" t="n">
        <v>15.1</v>
      </c>
    </row>
    <row r="204">
      <c r="A204" t="inlineStr">
        <is>
          <t>Operating Income Growth</t>
        </is>
      </c>
      <c r="AC204" t="inlineStr">
        <is>
          <t>~400% growth</t>
        </is>
      </c>
    </row>
    <row r="205">
      <c r="A205" t="inlineStr">
        <is>
          <t>Operating Margin (long term)</t>
        </is>
      </c>
      <c r="AI205" t="inlineStr">
        <is>
          <t>Long term</t>
        </is>
      </c>
    </row>
    <row r="206">
      <c r="A206" t="inlineStr">
        <is>
          <t>Orbit model expansion</t>
        </is>
      </c>
      <c r="Z206" t="inlineStr">
        <is>
          <t>6 orbits to 13 orbits</t>
        </is>
      </c>
    </row>
    <row r="207">
      <c r="A207" t="inlineStr">
        <is>
          <t>Other Income</t>
        </is>
      </c>
      <c r="I207" t="n">
        <v>11.9</v>
      </c>
      <c r="AQ207" t="n">
        <v>13</v>
      </c>
    </row>
    <row r="208">
      <c r="A208" t="inlineStr">
        <is>
          <t>Other International</t>
        </is>
      </c>
      <c r="R208" t="n">
        <v>0.062</v>
      </c>
      <c r="T208" t="n">
        <v>0.177</v>
      </c>
    </row>
    <row r="209">
      <c r="A209" t="inlineStr">
        <is>
          <t>Other international markets</t>
        </is>
      </c>
      <c r="V209" t="n">
        <v>3.2</v>
      </c>
      <c r="W209" t="n">
        <v>0.5</v>
      </c>
    </row>
    <row r="210">
      <c r="A210" t="inlineStr">
        <is>
          <t>Outbound freight gross-profit gap (historical)</t>
        </is>
      </c>
      <c r="Y210" t="inlineStr">
        <is>
          <t>Ongoing</t>
        </is>
      </c>
    </row>
    <row r="211">
      <c r="A211" t="inlineStr">
        <is>
          <t>Outlook</t>
        </is>
      </c>
      <c r="AI211" t="inlineStr">
        <is>
          <t>Seasonal pullback + possible distributor destock</t>
        </is>
      </c>
    </row>
    <row r="212">
      <c r="A212" t="inlineStr">
        <is>
          <t>Pepsi year-end inventory timing impact</t>
        </is>
      </c>
      <c r="AT212" t="inlineStr">
        <is>
          <t>~$5M/day; up to ~1 week if shutdown</t>
        </is>
      </c>
    </row>
    <row r="213">
      <c r="A213" t="inlineStr">
        <is>
          <t>Portfolio retail sales growth</t>
        </is>
      </c>
      <c r="AQ213" t="inlineStr">
        <is>
          <t>+22%</t>
        </is>
      </c>
    </row>
    <row r="214">
      <c r="A214" t="inlineStr">
        <is>
          <t>Prepaid cans/raw materials in inventory build</t>
        </is>
      </c>
      <c r="V214" t="inlineStr">
        <is>
          <t>~$60-70M</t>
        </is>
      </c>
    </row>
    <row r="215">
      <c r="A215" t="inlineStr">
        <is>
          <t>Prepaids tied to raw materials</t>
        </is>
      </c>
      <c r="T215" t="n">
        <v>40</v>
      </c>
    </row>
    <row r="216">
      <c r="A216" t="inlineStr">
        <is>
          <t>Prior Independent Distributor Count</t>
        </is>
      </c>
      <c r="AB216" t="inlineStr">
        <is>
          <t>legacy ABI network, pre-Pepsi</t>
        </is>
      </c>
    </row>
    <row r="217">
      <c r="A217" t="inlineStr">
        <is>
          <t>Pro-Forma Net Leverage</t>
        </is>
      </c>
      <c r="AM217" t="inlineStr">
        <is>
          <t>~1x</t>
        </is>
      </c>
    </row>
    <row r="218">
      <c r="A218" t="inlineStr">
        <is>
          <t>Protein shakes share of 2024 sales</t>
        </is>
      </c>
      <c r="AK218" t="inlineStr">
        <is>
          <t>~6%</t>
        </is>
      </c>
    </row>
    <row r="219">
      <c r="A219" t="inlineStr">
        <is>
          <t>Purchase accounting inventory step-up</t>
        </is>
      </c>
      <c r="AM219" t="n">
        <v>21.7</v>
      </c>
    </row>
    <row r="220">
      <c r="A220" t="inlineStr">
        <is>
          <t>Quarter growth</t>
        </is>
      </c>
      <c r="X220" t="inlineStr">
        <is>
          <t>185%</t>
        </is>
      </c>
      <c r="Z220" t="inlineStr">
        <is>
          <t>10%</t>
        </is>
      </c>
    </row>
    <row r="221">
      <c r="A221" t="inlineStr">
        <is>
          <t>Remainder</t>
        </is>
      </c>
      <c r="AL221" t="inlineStr">
        <is>
          <t>stock</t>
        </is>
      </c>
    </row>
    <row r="222">
      <c r="A222" t="inlineStr">
        <is>
          <t>Restricted cash</t>
        </is>
      </c>
      <c r="AQ222" t="n">
        <v>141.1</v>
      </c>
    </row>
    <row r="223">
      <c r="A223" t="inlineStr">
        <is>
          <t>Retail Sales Growth</t>
        </is>
      </c>
      <c r="AK223" t="inlineStr">
        <is>
          <t>22%</t>
        </is>
      </c>
    </row>
    <row r="224">
      <c r="A224" t="inlineStr">
        <is>
          <t>Revenue CAGR (2022-2024)</t>
        </is>
      </c>
      <c r="AK224" t="inlineStr">
        <is>
          <t>~49%</t>
        </is>
      </c>
    </row>
    <row r="225">
      <c r="A225" t="inlineStr">
        <is>
          <t>Rockstar combined Q3 impact</t>
        </is>
      </c>
      <c r="AO225" t="n">
        <v>18</v>
      </c>
    </row>
    <row r="226">
      <c r="A226" t="inlineStr">
        <is>
          <t>Rockstar Energy retail sales growth</t>
        </is>
      </c>
      <c r="AQ226" t="inlineStr">
        <is>
          <t>-11%</t>
        </is>
      </c>
    </row>
    <row r="227">
      <c r="A227" t="inlineStr">
        <is>
          <t>Rockstar Energy revenue</t>
        </is>
      </c>
      <c r="AQ227" t="n">
        <v>55.6</v>
      </c>
    </row>
    <row r="228">
      <c r="A228" t="inlineStr">
        <is>
          <t>Rockstar net sales</t>
        </is>
      </c>
      <c r="AR228" t="n">
        <v>67</v>
      </c>
    </row>
    <row r="229">
      <c r="A229" t="inlineStr">
        <is>
          <t>Rockstar other-income GAAP portion</t>
        </is>
      </c>
      <c r="AO229" t="n">
        <v>7</v>
      </c>
    </row>
    <row r="230">
      <c r="A230" t="inlineStr">
        <is>
          <t>Rockstar revenue (first month under ownership, $M)</t>
        </is>
      </c>
      <c r="AO230" t="n">
        <v>11</v>
      </c>
    </row>
    <row r="231">
      <c r="A231" t="inlineStr">
        <is>
          <t>Rockstar run rate</t>
        </is>
      </c>
      <c r="AU231" t="n">
        <v>250</v>
      </c>
    </row>
    <row r="232">
      <c r="A232" t="inlineStr">
        <is>
          <t>RTD energy share of 2024 sales</t>
        </is>
      </c>
      <c r="AK232" t="inlineStr">
        <is>
          <t>~83%</t>
        </is>
      </c>
    </row>
    <row r="233">
      <c r="A233" t="inlineStr">
        <is>
          <t>Run-rate cost synergies</t>
        </is>
      </c>
      <c r="AQ233" t="inlineStr">
        <is>
          <t>full run rate from April 2026</t>
        </is>
      </c>
    </row>
    <row r="234">
      <c r="A234" t="inlineStr">
        <is>
          <t>S&amp;M % of Revenue</t>
        </is>
      </c>
      <c r="R234" t="inlineStr">
        <is>
          <t>23.9%</t>
        </is>
      </c>
      <c r="T234" t="inlineStr">
        <is>
          <t>23.8%</t>
        </is>
      </c>
      <c r="W234" t="inlineStr">
        <is>
          <t>23%</t>
        </is>
      </c>
      <c r="X234" t="inlineStr">
        <is>
          <t>21%</t>
        </is>
      </c>
      <c r="AB234" t="inlineStr">
        <is>
          <t>18.3%</t>
        </is>
      </c>
      <c r="AC234" t="inlineStr">
        <is>
          <t>~19.2%</t>
        </is>
      </c>
      <c r="AE234" t="inlineStr">
        <is>
          <t>~19.1%</t>
        </is>
      </c>
      <c r="AG234" t="inlineStr">
        <is>
          <t>23%</t>
        </is>
      </c>
      <c r="AH234" t="inlineStr">
        <is>
          <t>2023Q1</t>
        </is>
      </c>
      <c r="AI234" t="inlineStr">
        <is>
          <t>21%</t>
        </is>
      </c>
      <c r="AK234" t="inlineStr">
        <is>
          <t>25.9%</t>
        </is>
      </c>
      <c r="AM234" t="inlineStr">
        <is>
          <t>20.5%</t>
        </is>
      </c>
      <c r="AO234" t="inlineStr">
        <is>
          <t>~20%</t>
        </is>
      </c>
    </row>
    <row r="235">
      <c r="A235" t="inlineStr">
        <is>
          <t>S&amp;M % of Sales (long term)</t>
        </is>
      </c>
      <c r="AI235" t="inlineStr">
        <is>
          <t>Long term</t>
        </is>
      </c>
    </row>
    <row r="236">
      <c r="A236" t="inlineStr">
        <is>
          <t>S&amp;M (Adjusted)</t>
        </is>
      </c>
      <c r="AQ236" t="inlineStr">
        <is>
          <t>21.8% of sales</t>
        </is>
      </c>
    </row>
    <row r="237">
      <c r="A237" t="inlineStr">
        <is>
          <t>S&amp;M (GAAP)</t>
        </is>
      </c>
      <c r="AQ237" t="inlineStr">
        <is>
          <t>$876.3M / 34.8% of sales</t>
        </is>
      </c>
    </row>
    <row r="238">
      <c r="A238" t="inlineStr">
        <is>
          <t>Sam's Club nationwide rollout added</t>
        </is>
      </c>
      <c r="Q238" t="inlineStr">
        <is>
          <t>589 locations</t>
        </is>
      </c>
    </row>
    <row r="239">
      <c r="A239" t="inlineStr">
        <is>
          <t>Same-store sales growth</t>
        </is>
      </c>
      <c r="O239" t="inlineStr">
        <is>
          <t>Ongoing</t>
        </is>
      </c>
    </row>
    <row r="240">
      <c r="A240" t="inlineStr">
        <is>
          <t>Say-on-pay advisory vote</t>
        </is>
      </c>
      <c r="AA240" t="inlineStr">
        <is>
          <t>Approved</t>
        </is>
      </c>
    </row>
    <row r="241">
      <c r="A241" t="inlineStr">
        <is>
          <t>Scanner data trend</t>
        </is>
      </c>
      <c r="AL241" t="inlineStr">
        <is>
          <t>-4%</t>
        </is>
      </c>
    </row>
    <row r="242">
      <c r="A242" t="inlineStr">
        <is>
          <t>Sequential Gross Margin Improvement (vs Q2)</t>
        </is>
      </c>
      <c r="AE242" t="inlineStr">
        <is>
          <t>+165 bps</t>
        </is>
      </c>
    </row>
    <row r="243">
      <c r="A243" t="inlineStr">
        <is>
          <t>Sequential revenue growth (vs )</t>
        </is>
      </c>
      <c r="W243" t="inlineStr">
        <is>
          <t>+18%</t>
        </is>
      </c>
    </row>
    <row r="244">
      <c r="A244" t="inlineStr">
        <is>
          <t>Sequential Revenue Growth (vs Q2)</t>
        </is>
      </c>
      <c r="AE244" t="inlineStr">
        <is>
          <t>+18%</t>
        </is>
      </c>
    </row>
    <row r="245">
      <c r="A245" t="inlineStr">
        <is>
          <t>Series B convertible preferred stock (newly issued)</t>
        </is>
      </c>
      <c r="AQ245" t="n">
        <v>907.6</v>
      </c>
    </row>
    <row r="246">
      <c r="A246" t="inlineStr">
        <is>
          <t>SG&amp;A</t>
        </is>
      </c>
      <c r="AJ246" t="n">
        <v>185</v>
      </c>
      <c r="AL246" t="n">
        <v>120.3</v>
      </c>
    </row>
    <row r="247">
      <c r="A247" t="inlineStr">
        <is>
          <t>SG&amp;A expense (GAAP, FY)</t>
        </is>
      </c>
      <c r="AP247" t="inlineStr">
        <is>
          <t>$1,126M (44.8% of revenue)</t>
        </is>
      </c>
    </row>
    <row r="248">
      <c r="A248" t="inlineStr">
        <is>
          <t>SG&amp;A expense (GAAP, Q4)</t>
        </is>
      </c>
      <c r="AP248" t="inlineStr">
        <is>
          <t>$316M (43.8% of revenue)</t>
        </is>
      </c>
    </row>
    <row r="249">
      <c r="A249" t="inlineStr">
        <is>
          <t>South Florida Share</t>
        </is>
      </c>
      <c r="AC249" t="inlineStr">
        <is>
          <t>17.7% (Jan 2023)</t>
        </is>
      </c>
    </row>
    <row r="250">
      <c r="A250" t="inlineStr">
        <is>
          <t>Spring-Reset Shelf-Space Gain</t>
        </is>
      </c>
      <c r="AQ250" t="inlineStr">
        <is>
          <t>Spring 2025</t>
        </is>
      </c>
    </row>
    <row r="251">
      <c r="A251" t="inlineStr">
        <is>
          <t>Stock Option Expense</t>
        </is>
      </c>
      <c r="R251" t="n">
        <v>4</v>
      </c>
      <c r="T251" t="n">
        <v>5.8</v>
      </c>
    </row>
    <row r="252">
      <c r="A252" t="inlineStr">
        <is>
          <t>Subway Distribution Opportunity</t>
        </is>
      </c>
      <c r="AM252" t="inlineStr">
        <is>
          <t>18,000 locations</t>
        </is>
      </c>
      <c r="AQ252" t="n">
        <v>2025</v>
      </c>
    </row>
    <row r="253">
      <c r="A253" t="inlineStr">
        <is>
          <t>Sweden Market Share</t>
        </is>
      </c>
      <c r="AB253" t="inlineStr">
        <is>
          <t>international</t>
        </is>
      </c>
    </row>
    <row r="254">
      <c r="A254" t="inlineStr">
        <is>
          <t>Target convenience price point</t>
        </is>
      </c>
      <c r="Z254" t="inlineStr">
        <is>
          <t>Forward</t>
        </is>
      </c>
    </row>
    <row r="255">
      <c r="A255" t="inlineStr">
        <is>
          <t>Target inventory days on hand</t>
        </is>
      </c>
      <c r="Y255" t="inlineStr">
        <is>
          <t>Going forward</t>
        </is>
      </c>
    </row>
    <row r="256">
      <c r="A256" t="inlineStr">
        <is>
          <t>Tax rate going forward</t>
        </is>
      </c>
      <c r="U256" t="inlineStr">
        <is>
          <t>Significantly higher (jurisdiction/profitability dependent)</t>
        </is>
      </c>
    </row>
    <row r="257">
      <c r="A257" t="inlineStr">
        <is>
          <t>Third-Party Scan Data (Nielsen, as of Oct 22)</t>
        </is>
      </c>
      <c r="Z257" t="inlineStr">
        <is>
          <t>Energy Category</t>
        </is>
      </c>
    </row>
    <row r="258">
      <c r="A258" t="inlineStr">
        <is>
          <t>Third-Party Scan Data (Nielsen, ending Jul 16)</t>
        </is>
      </c>
      <c r="X258" t="inlineStr">
        <is>
          <t>Celsius</t>
        </is>
      </c>
    </row>
    <row r="259">
      <c r="A259" t="inlineStr">
        <is>
          <t>Total assets</t>
        </is>
      </c>
      <c r="AQ259" t="n">
        <v>5119.6</v>
      </c>
    </row>
    <row r="260">
      <c r="A260" t="inlineStr">
        <is>
          <t>Total distributor buyout obligation (year-end)</t>
        </is>
      </c>
      <c r="AP260" t="inlineStr">
        <is>
          <t>~$327.5M ($246.7M Q3 + $80.8M Q4)</t>
        </is>
      </c>
    </row>
    <row r="261">
      <c r="A261" t="inlineStr">
        <is>
          <t>Total Inventory</t>
        </is>
      </c>
      <c r="W261" t="inlineStr">
        <is>
          <t>down vs prior quarter</t>
        </is>
      </c>
    </row>
    <row r="262">
      <c r="A262" t="inlineStr">
        <is>
          <t>Total Net Other Expense</t>
        </is>
      </c>
      <c r="T262" t="n">
        <v>-0.353</v>
      </c>
    </row>
    <row r="263">
      <c r="A263" t="inlineStr">
        <is>
          <t>Total Net Other Income</t>
        </is>
      </c>
      <c r="R263" t="n">
        <v>0.3615</v>
      </c>
    </row>
    <row r="264">
      <c r="A264" t="inlineStr">
        <is>
          <t>Total Other Income</t>
        </is>
      </c>
      <c r="O264" t="n">
        <v>1.3</v>
      </c>
    </row>
    <row r="265">
      <c r="A265" t="inlineStr">
        <is>
          <t>US co-packer footprint</t>
        </is>
      </c>
      <c r="X265" t="inlineStr">
        <is>
          <t>13 active locations</t>
        </is>
      </c>
    </row>
    <row r="266">
      <c r="A266" t="inlineStr">
        <is>
          <t>US door count</t>
        </is>
      </c>
      <c r="M266" t="inlineStr">
        <is>
          <t>~65,000 (end-2019)</t>
        </is>
      </c>
      <c r="V266" t="inlineStr">
        <is>
          <t>End of 2021</t>
        </is>
      </c>
    </row>
    <row r="267">
      <c r="A267" t="inlineStr">
        <is>
          <t>US energy category growth</t>
        </is>
      </c>
      <c r="AQ267" t="inlineStr">
        <is>
          <t>next several years</t>
        </is>
      </c>
    </row>
    <row r="268">
      <c r="A268" t="inlineStr">
        <is>
          <t>US Energy Drink Market Share</t>
        </is>
      </c>
      <c r="Z268" t="inlineStr">
        <is>
          <t>6.4 share (#3)</t>
        </is>
      </c>
    </row>
    <row r="269">
      <c r="A269" t="inlineStr">
        <is>
          <t>US store count</t>
        </is>
      </c>
      <c r="V269" t="inlineStr">
        <is>
          <t>135,000+</t>
        </is>
      </c>
      <c r="Y269" t="n">
        <v>174000</v>
      </c>
      <c r="Z269" t="inlineStr">
        <is>
          <t>210,000+</t>
        </is>
      </c>
    </row>
    <row r="270">
      <c r="A270" t="inlineStr">
        <is>
          <t>US total door count</t>
        </is>
      </c>
      <c r="X270" t="n">
        <v>196000</v>
      </c>
    </row>
    <row r="271">
      <c r="A271" t="inlineStr">
        <is>
          <t>Vending &amp; Micro-Market Placements</t>
        </is>
      </c>
      <c r="Q271" t="inlineStr">
        <is>
          <t>12,000+ (+96% location growth)</t>
        </is>
      </c>
    </row>
    <row r="272">
      <c r="A272" t="inlineStr">
        <is>
          <t>Vending / foodservice revenue</t>
        </is>
      </c>
      <c r="X272" t="n">
        <v>4.4</v>
      </c>
    </row>
    <row r="273">
      <c r="A273" t="inlineStr">
        <is>
          <t>Volume Growth</t>
        </is>
      </c>
      <c r="AK273" t="inlineStr">
        <is>
          <t>22%</t>
        </is>
      </c>
    </row>
    <row r="274">
      <c r="A274" t="inlineStr">
        <is>
          <t>Walmart sales growth</t>
        </is>
      </c>
      <c r="X274" t="inlineStr">
        <is>
          <t>+700%+</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113"/>
  <sheetViews>
    <sheetView workbookViewId="0">
      <selection activeCell="A13" sqref="A13"/>
    </sheetView>
  </sheetViews>
  <sheetFormatPr baseColWidth="8" defaultRowHeight="14.4"/>
  <cols>
    <col width="46" customWidth="1" min="1" max="1"/>
    <col width="15" customWidth="1" min="2" max="8"/>
  </cols>
  <sheetData>
    <row r="1">
      <c r="A1" s="24" t="inlineStr">
        <is>
          <t>Event</t>
        </is>
      </c>
      <c r="B1" t="inlineStr">
        <is>
          <t>Q3 2018 Earnings Call</t>
        </is>
      </c>
    </row>
    <row r="2">
      <c r="A2" s="24" t="inlineStr">
        <is>
          <t>Date</t>
        </is>
      </c>
      <c r="B2" t="inlineStr">
        <is>
          <t>2018-11-09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2018 Earnings Call</t>
        </is>
      </c>
    </row>
    <row r="2">
      <c r="A2" s="24" t="inlineStr">
        <is>
          <t>Date</t>
        </is>
      </c>
      <c r="B2" t="inlineStr">
        <is>
          <t>2019-03-14</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2019 Earnings Call</t>
        </is>
      </c>
    </row>
    <row r="2">
      <c r="A2" s="24" t="inlineStr">
        <is>
          <t>Date</t>
        </is>
      </c>
      <c r="B2" t="inlineStr">
        <is>
          <t>2019-05-09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2019 Earnings Call</t>
        </is>
      </c>
    </row>
    <row r="2">
      <c r="A2" s="24" t="inlineStr">
        <is>
          <t>Date</t>
        </is>
      </c>
      <c r="B2" t="inlineStr">
        <is>
          <t>2019-08-08</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2019 Earnings Call</t>
        </is>
      </c>
    </row>
    <row r="2">
      <c r="A2" s="24" t="inlineStr">
        <is>
          <t>Date</t>
        </is>
      </c>
      <c r="B2" t="inlineStr">
        <is>
          <t>2019-11-07</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2019 Earnings Call</t>
        </is>
      </c>
    </row>
    <row r="2">
      <c r="A2" s="24" t="inlineStr">
        <is>
          <t>Date</t>
        </is>
      </c>
      <c r="B2" t="inlineStr">
        <is>
          <t>2020-03-12</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2020 Earnings Call</t>
        </is>
      </c>
    </row>
    <row r="2">
      <c r="A2" s="24" t="inlineStr">
        <is>
          <t>Date</t>
        </is>
      </c>
      <c r="B2" t="inlineStr">
        <is>
          <t>2020-05-12</t>
        </is>
      </c>
    </row>
    <row r="4">
      <c r="A4" s="25" t="inlineStr">
        <is>
          <t>QUANTITATIVE</t>
        </is>
      </c>
      <c r="B4" s="25" t="n"/>
      <c r="C4" s="25" t="n"/>
      <c r="D4" s="25"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2020 Earnings Call</t>
        </is>
      </c>
    </row>
    <row r="2">
      <c r="A2" s="24" t="inlineStr">
        <is>
          <t>Date</t>
        </is>
      </c>
      <c r="B2" t="inlineStr">
        <is>
          <t>2020-08-06</t>
        </is>
      </c>
    </row>
    <row r="4">
      <c r="A4" s="25" t="inlineStr">
        <is>
          <t>QUANTITATIVE</t>
        </is>
      </c>
      <c r="B4" s="25" t="n"/>
      <c r="C4" s="25" t="n"/>
      <c r="D4" s="25"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LD Micro 500 Investor Conference</t>
        </is>
      </c>
    </row>
    <row r="2">
      <c r="A2" s="24" t="inlineStr">
        <is>
          <t>Date</t>
        </is>
      </c>
      <c r="B2" t="inlineStr">
        <is>
          <t>2020-09-02</t>
        </is>
      </c>
    </row>
    <row r="4">
      <c r="A4" s="25" t="inlineStr">
        <is>
          <t>QUANTITATIVE</t>
        </is>
      </c>
      <c r="B4" s="25" t="n"/>
      <c r="C4" s="25" t="n"/>
      <c r="D4" s="25"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2020 Earnings Call</t>
        </is>
      </c>
    </row>
    <row r="2">
      <c r="A2" s="24" t="inlineStr">
        <is>
          <t>Date</t>
        </is>
      </c>
      <c r="B2" t="inlineStr">
        <is>
          <t>2020-11-12</t>
        </is>
      </c>
    </row>
    <row r="4">
      <c r="A4" s="25" t="inlineStr">
        <is>
          <t>QUANTITATIVE</t>
        </is>
      </c>
      <c r="B4" s="25" t="n"/>
      <c r="C4" s="25" t="n"/>
      <c r="D4" s="25"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Virtual Conference</t>
        </is>
      </c>
    </row>
    <row r="2">
      <c r="A2" s="24" t="inlineStr">
        <is>
          <t>Date</t>
        </is>
      </c>
      <c r="B2" t="inlineStr">
        <is>
          <t>2021-03-09</t>
        </is>
      </c>
    </row>
    <row r="4">
      <c r="A4" s="25" t="inlineStr">
        <is>
          <t>QUANTITATIVE</t>
        </is>
      </c>
      <c r="B4" s="25" t="n"/>
      <c r="C4" s="25"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2020 Earnings Call</t>
        </is>
      </c>
    </row>
    <row r="2">
      <c r="A2" s="24" t="inlineStr">
        <is>
          <t>Date</t>
        </is>
      </c>
      <c r="B2" t="inlineStr">
        <is>
          <t>2021-03-11</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2021 Earnings Call</t>
        </is>
      </c>
    </row>
    <row r="2">
      <c r="A2" s="24" t="inlineStr">
        <is>
          <t>Date</t>
        </is>
      </c>
      <c r="B2" t="inlineStr">
        <is>
          <t>2021-05-13</t>
        </is>
      </c>
    </row>
    <row r="4">
      <c r="A4" s="25" t="inlineStr">
        <is>
          <t>QUANTITATIVE</t>
        </is>
      </c>
      <c r="B4" s="25" t="n"/>
      <c r="C4" s="25" t="n"/>
      <c r="D4" s="25"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2021 Earnings Call</t>
        </is>
      </c>
    </row>
    <row r="2">
      <c r="A2" s="24" t="inlineStr">
        <is>
          <t>Date</t>
        </is>
      </c>
      <c r="B2" t="inlineStr">
        <is>
          <t>2021-08-12</t>
        </is>
      </c>
    </row>
    <row r="4">
      <c r="A4" s="25" t="inlineStr">
        <is>
          <t>QUANTITATIVE</t>
        </is>
      </c>
      <c r="B4" s="25" t="n"/>
      <c r="C4" s="25" t="n"/>
      <c r="D4" s="25"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2021 Annual Meeting of Shareholders</t>
        </is>
      </c>
    </row>
    <row r="2">
      <c r="A2" s="24" t="inlineStr">
        <is>
          <t>Date</t>
        </is>
      </c>
      <c r="B2" t="inlineStr">
        <is>
          <t>2021-08-19</t>
        </is>
      </c>
    </row>
    <row r="4">
      <c r="A4" s="25" t="inlineStr">
        <is>
          <t>QUANTITATIVE</t>
        </is>
      </c>
      <c r="B4" s="25" t="n"/>
      <c r="C4" s="25" t="n"/>
      <c r="D4" s="25"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2021 Earnings Call</t>
        </is>
      </c>
    </row>
    <row r="2">
      <c r="A2" s="24" t="inlineStr">
        <is>
          <t>Date</t>
        </is>
      </c>
      <c r="B2" t="inlineStr">
        <is>
          <t>2021-11-11</t>
        </is>
      </c>
    </row>
    <row r="4">
      <c r="A4" s="25" t="inlineStr">
        <is>
          <t>QUANTITATIVE</t>
        </is>
      </c>
      <c r="B4" s="25" t="n"/>
      <c r="C4" s="25" t="n"/>
      <c r="D4" s="25"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Jefferies West Coast Consumer Conference</t>
        </is>
      </c>
    </row>
    <row r="2">
      <c r="A2" s="24" t="inlineStr">
        <is>
          <t>Date</t>
        </is>
      </c>
      <c r="B2" t="inlineStr">
        <is>
          <t>2021-11-17</t>
        </is>
      </c>
    </row>
    <row r="4">
      <c r="A4" s="25" t="inlineStr">
        <is>
          <t>QUANTITATIVE</t>
        </is>
      </c>
      <c r="B4" s="25" t="n"/>
      <c r="C4" s="25"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 2021</t>
        </is>
      </c>
    </row>
    <row r="2">
      <c r="A2" s="24" t="inlineStr">
        <is>
          <t>Date</t>
        </is>
      </c>
      <c r="B2" t="inlineStr">
        <is>
          <t>2021-11-30</t>
        </is>
      </c>
    </row>
    <row r="4">
      <c r="A4" s="25" t="inlineStr">
        <is>
          <t>QUANTITATIVE</t>
        </is>
      </c>
      <c r="B4" s="25" t="n"/>
      <c r="C4" s="25"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2021 Earnings Call</t>
        </is>
      </c>
    </row>
    <row r="2">
      <c r="A2" s="24" t="inlineStr">
        <is>
          <t>Date</t>
        </is>
      </c>
      <c r="B2" t="inlineStr">
        <is>
          <t>2022-03-01</t>
        </is>
      </c>
    </row>
    <row r="4">
      <c r="A4" s="25" t="inlineStr">
        <is>
          <t>QUANTITATIVE</t>
        </is>
      </c>
      <c r="B4" s="25" t="n"/>
      <c r="C4" s="25" t="n"/>
      <c r="D4" s="25"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2022 Earnings Call</t>
        </is>
      </c>
    </row>
    <row r="2">
      <c r="A2" s="24" t="inlineStr">
        <is>
          <t>Date</t>
        </is>
      </c>
      <c r="B2" t="inlineStr">
        <is>
          <t>2022-05-10</t>
        </is>
      </c>
    </row>
    <row r="4">
      <c r="A4" s="25" t="inlineStr">
        <is>
          <t>QUANTITATIVE</t>
        </is>
      </c>
      <c r="B4" s="25" t="n"/>
      <c r="C4" s="25" t="n"/>
      <c r="D4" s="25"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Credit Suisse HALO Investment Summit</t>
        </is>
      </c>
    </row>
    <row r="2">
      <c r="A2" s="24" t="inlineStr">
        <is>
          <t>Date</t>
        </is>
      </c>
      <c r="B2" t="inlineStr">
        <is>
          <t>2022-05-25</t>
        </is>
      </c>
    </row>
    <row r="4">
      <c r="A4" s="25" t="inlineStr">
        <is>
          <t>QUANTITATIVE</t>
        </is>
      </c>
      <c r="B4" s="25" t="n"/>
      <c r="C4" s="25" t="n"/>
      <c r="D4" s="25"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2022 Annual General Meeting (Annual Meeting of Shareholders)</t>
        </is>
      </c>
    </row>
    <row r="2">
      <c r="A2" s="24" t="inlineStr">
        <is>
          <t>Date</t>
        </is>
      </c>
      <c r="B2" t="inlineStr">
        <is>
          <t>2022-06-02</t>
        </is>
      </c>
    </row>
    <row r="4">
      <c r="A4" s="25" t="inlineStr">
        <is>
          <t>QUANTITATIVE</t>
        </is>
      </c>
      <c r="B4" s="25" t="n"/>
      <c r="C4" s="25" t="n"/>
      <c r="D4" s="25"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Consumer &amp; Retail Conference</t>
        </is>
      </c>
    </row>
    <row r="2">
      <c r="A2" s="24" t="inlineStr">
        <is>
          <t>Date</t>
        </is>
      </c>
      <c r="B2" t="inlineStr">
        <is>
          <t>2022-06-07</t>
        </is>
      </c>
    </row>
    <row r="4">
      <c r="A4" s="25" t="inlineStr">
        <is>
          <t>QUANTITATIVE</t>
        </is>
      </c>
      <c r="B4" s="25" t="n"/>
      <c r="C4" s="25"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2022 Cross Sector Insight Conference</t>
        </is>
      </c>
    </row>
    <row r="2">
      <c r="A2" s="24" t="inlineStr">
        <is>
          <t>Date</t>
        </is>
      </c>
      <c r="B2" t="inlineStr">
        <is>
          <t>2022-06-09</t>
        </is>
      </c>
    </row>
    <row r="4">
      <c r="A4" s="25" t="inlineStr">
        <is>
          <t>QUANTITATIVE</t>
        </is>
      </c>
      <c r="B4" s="25" t="n"/>
      <c r="C4" s="25" t="n"/>
      <c r="D4" s="25"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 PepsiCo Distribution Partnership Conference Call ($550M PepsiCo Investment)</t>
        </is>
      </c>
    </row>
    <row r="2">
      <c r="A2" s="24" t="inlineStr">
        <is>
          <t>Date</t>
        </is>
      </c>
      <c r="B2" t="inlineStr">
        <is>
          <t>2022-08-01</t>
        </is>
      </c>
    </row>
    <row r="4">
      <c r="A4" s="25" t="inlineStr">
        <is>
          <t>QUANTITATIVE</t>
        </is>
      </c>
      <c r="B4" s="25" t="n"/>
      <c r="C4" s="25"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2022 Earnings Call</t>
        </is>
      </c>
    </row>
    <row r="2">
      <c r="A2" s="24" t="inlineStr">
        <is>
          <t>Date</t>
        </is>
      </c>
      <c r="B2" t="inlineStr">
        <is>
          <t>2022-08-09</t>
        </is>
      </c>
    </row>
    <row r="4">
      <c r="A4" s="25" t="inlineStr">
        <is>
          <t>QUANTITATIVE</t>
        </is>
      </c>
      <c r="B4" s="25" t="n"/>
      <c r="C4" s="25" t="n"/>
      <c r="D4" s="25"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2022 Earnings Call</t>
        </is>
      </c>
    </row>
    <row r="2">
      <c r="A2" s="24" t="inlineStr">
        <is>
          <t>Date</t>
        </is>
      </c>
      <c r="B2" t="inlineStr">
        <is>
          <t>2022-11-09</t>
        </is>
      </c>
    </row>
    <row r="4">
      <c r="A4" s="25" t="inlineStr">
        <is>
          <t>QUANTITATIVE</t>
        </is>
      </c>
      <c r="B4" s="25" t="n"/>
      <c r="C4" s="25" t="n"/>
      <c r="D4" s="25"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2022 / FY2022 Earnings Call</t>
        </is>
      </c>
    </row>
    <row r="2">
      <c r="A2" s="24" t="inlineStr">
        <is>
          <t>Date</t>
        </is>
      </c>
      <c r="B2" t="inlineStr">
        <is>
          <t>2023-03-01</t>
        </is>
      </c>
    </row>
    <row r="4">
      <c r="A4" s="25" t="inlineStr">
        <is>
          <t>QUANTITATIVE</t>
        </is>
      </c>
      <c r="B4" s="25" t="n"/>
      <c r="C4" s="25" t="n"/>
      <c r="D4" s="25"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Q1 2023 Earnings Call</t>
        </is>
      </c>
    </row>
    <row r="2">
      <c r="A2" s="24" t="inlineStr">
        <is>
          <t>Date</t>
        </is>
      </c>
      <c r="B2" t="inlineStr">
        <is>
          <t>2023-05-09</t>
        </is>
      </c>
    </row>
    <row r="4">
      <c r="A4" s="25" t="inlineStr">
        <is>
          <t>QUANTITATIVE</t>
        </is>
      </c>
      <c r="B4" s="25" t="n"/>
      <c r="C4" s="25" t="n"/>
      <c r="D4" s="25"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2023-05-16</t>
        </is>
      </c>
    </row>
    <row r="4">
      <c r="A4" s="25" t="inlineStr">
        <is>
          <t>QUANTITATIVE</t>
        </is>
      </c>
      <c r="B4" s="25" t="n"/>
      <c r="C4" s="25" t="n"/>
      <c r="D4" s="25"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2023 Annual General Meeting</t>
        </is>
      </c>
    </row>
    <row r="2">
      <c r="A2" s="24" t="inlineStr">
        <is>
          <t>Date</t>
        </is>
      </c>
      <c r="B2" t="inlineStr">
        <is>
          <t>2023-06-01</t>
        </is>
      </c>
    </row>
    <row r="4">
      <c r="A4" s="25" t="inlineStr">
        <is>
          <t>QUANTITATIVE</t>
        </is>
      </c>
      <c r="B4" s="25" t="n"/>
      <c r="C4" s="25" t="n"/>
      <c r="D4" s="25"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Cross Sector Insight Conference 2023</t>
        </is>
      </c>
    </row>
    <row r="2">
      <c r="A2" s="24" t="inlineStr">
        <is>
          <t>Date</t>
        </is>
      </c>
      <c r="B2" t="inlineStr">
        <is>
          <t>2023-06-06</t>
        </is>
      </c>
    </row>
    <row r="4">
      <c r="A4" s="25" t="inlineStr">
        <is>
          <t>QUANTITATIVE</t>
        </is>
      </c>
      <c r="B4" s="25" t="n"/>
      <c r="C4" s="25" t="n"/>
      <c r="D4" s="25"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3rd Annual Consumer and Retail Conference</t>
        </is>
      </c>
    </row>
    <row r="2">
      <c r="A2" s="24" t="inlineStr">
        <is>
          <t>Date</t>
        </is>
      </c>
      <c r="B2" t="inlineStr">
        <is>
          <t>2023-06-14</t>
        </is>
      </c>
    </row>
    <row r="4">
      <c r="A4" s="25" t="inlineStr">
        <is>
          <t>QUANTITATIVE</t>
        </is>
      </c>
      <c r="B4" s="25" t="n"/>
      <c r="C4" s="25"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2023 Earnings Call</t>
        </is>
      </c>
    </row>
    <row r="2">
      <c r="A2" s="24" t="inlineStr">
        <is>
          <t>Date</t>
        </is>
      </c>
      <c r="B2" t="inlineStr">
        <is>
          <t>2023-08-08</t>
        </is>
      </c>
    </row>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Global Consumer Staples Conference</t>
        </is>
      </c>
    </row>
    <row r="2">
      <c r="A2" s="24" t="inlineStr">
        <is>
          <t>Date</t>
        </is>
      </c>
      <c r="B2" t="inlineStr">
        <is>
          <t>2023-09-07</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Growth Frontiers Conference</t>
        </is>
      </c>
    </row>
    <row r="2">
      <c r="A2" s="24" t="inlineStr">
        <is>
          <t>Date</t>
        </is>
      </c>
      <c r="B2" t="inlineStr">
        <is>
          <t>2023-09-13</t>
        </is>
      </c>
    </row>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2023 Earnings Call</t>
        </is>
      </c>
    </row>
    <row r="2">
      <c r="A2" s="24" t="inlineStr">
        <is>
          <t>Date</t>
        </is>
      </c>
      <c r="B2" t="inlineStr">
        <is>
          <t>2023-11-07</t>
        </is>
      </c>
    </row>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Stephens Annual Investment Conference</t>
        </is>
      </c>
    </row>
    <row r="2">
      <c r="A2" s="24" t="inlineStr">
        <is>
          <t>Date</t>
        </is>
      </c>
      <c r="B2" t="inlineStr">
        <is>
          <t>2023-11-15</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t>
        </is>
      </c>
    </row>
    <row r="2">
      <c r="A2" s="24" t="inlineStr">
        <is>
          <t>Date</t>
        </is>
      </c>
      <c r="B2" t="inlineStr">
        <is>
          <t>2023-12-06</t>
        </is>
      </c>
    </row>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Q4 2023 Earnings Call</t>
        </is>
      </c>
    </row>
    <row r="2">
      <c r="A2" s="24" t="inlineStr">
        <is>
          <t>Date</t>
        </is>
      </c>
      <c r="B2" t="inlineStr">
        <is>
          <t>2024-02-29</t>
        </is>
      </c>
    </row>
    <row r="4">
      <c r="A4" s="25" t="inlineStr">
        <is>
          <t>QUANTITATIVE</t>
        </is>
      </c>
      <c r="B4" s="25" t="n"/>
      <c r="C4" s="25" t="n"/>
      <c r="D4" s="25"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 2024</t>
        </is>
      </c>
    </row>
    <row r="2">
      <c r="A2" s="24" t="inlineStr">
        <is>
          <t>Date</t>
        </is>
      </c>
      <c r="B2" t="inlineStr">
        <is>
          <t>2024-03-14</t>
        </is>
      </c>
    </row>
    <row r="4">
      <c r="A4" s="25" t="inlineStr">
        <is>
          <t>QUANTITATIVE</t>
        </is>
      </c>
      <c r="B4" s="25" t="n"/>
      <c r="C4" s="25"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2024 Earnings Call</t>
        </is>
      </c>
    </row>
    <row r="2">
      <c r="A2" s="24" t="inlineStr">
        <is>
          <t>Date</t>
        </is>
      </c>
      <c r="B2" t="inlineStr">
        <is>
          <t>2024-05-07</t>
        </is>
      </c>
    </row>
    <row r="4">
      <c r="A4" s="25" t="inlineStr">
        <is>
          <t>QUANTITATIVE</t>
        </is>
      </c>
      <c r="B4" s="25" t="n"/>
      <c r="C4" s="25" t="n"/>
      <c r="D4" s="25"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2024-05-14</t>
        </is>
      </c>
    </row>
    <row r="4">
      <c r="A4" s="25" t="inlineStr">
        <is>
          <t>QUANTITATIVE</t>
        </is>
      </c>
      <c r="B4" s="25" t="n"/>
      <c r="C4" s="25"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44th Annual Growth Stock Conference</t>
        </is>
      </c>
    </row>
    <row r="2">
      <c r="A2" s="24" t="inlineStr">
        <is>
          <t>Date</t>
        </is>
      </c>
      <c r="B2" t="inlineStr">
        <is>
          <t>2024-06-04</t>
        </is>
      </c>
    </row>
    <row r="4">
      <c r="A4" s="25" t="inlineStr">
        <is>
          <t>QUANTITATIVE</t>
        </is>
      </c>
      <c r="B4" s="25" t="n"/>
      <c r="C4" s="25"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4th Annual Evercore ISI Consumer and Retail Conference</t>
        </is>
      </c>
    </row>
    <row r="2">
      <c r="A2" s="24" t="inlineStr">
        <is>
          <t>Date</t>
        </is>
      </c>
      <c r="B2" t="inlineStr">
        <is>
          <t>2024-06-11</t>
        </is>
      </c>
    </row>
    <row r="4">
      <c r="A4" s="25" t="inlineStr">
        <is>
          <t>QUANTITATIVE</t>
        </is>
      </c>
      <c r="B4" s="25" t="n"/>
      <c r="C4" s="25"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2024 Earnings Call</t>
        </is>
      </c>
    </row>
    <row r="2">
      <c r="A2" s="24" t="inlineStr">
        <is>
          <t>Date</t>
        </is>
      </c>
      <c r="B2" t="inlineStr">
        <is>
          <t>2024-08-06</t>
        </is>
      </c>
    </row>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Annual Global Consumer Staples Conference</t>
        </is>
      </c>
    </row>
    <row r="2">
      <c r="A2" s="24" t="inlineStr">
        <is>
          <t>Date</t>
        </is>
      </c>
      <c r="B2" t="inlineStr">
        <is>
          <t>2024-09-04</t>
        </is>
      </c>
    </row>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Conference</t>
        </is>
      </c>
    </row>
    <row r="2">
      <c r="A2" s="24" t="inlineStr">
        <is>
          <t>Date</t>
        </is>
      </c>
      <c r="B2" t="inlineStr">
        <is>
          <t>2024-09-10</t>
        </is>
      </c>
    </row>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2024 Earnings Call</t>
        </is>
      </c>
    </row>
    <row r="2">
      <c r="A2" s="24" t="inlineStr">
        <is>
          <t>Date</t>
        </is>
      </c>
      <c r="B2" t="inlineStr">
        <is>
          <t>2024-11-06</t>
        </is>
      </c>
    </row>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Conference</t>
        </is>
      </c>
    </row>
    <row r="2">
      <c r="A2" s="24" t="inlineStr">
        <is>
          <t>Date</t>
        </is>
      </c>
      <c r="B2" t="inlineStr">
        <is>
          <t>2024-12-03</t>
        </is>
      </c>
    </row>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2024 Earnings Call</t>
        </is>
      </c>
    </row>
    <row r="2">
      <c r="A2" s="24" t="inlineStr">
        <is>
          <t>Date</t>
        </is>
      </c>
      <c r="B2" t="inlineStr">
        <is>
          <t>2025-02-20</t>
        </is>
      </c>
    </row>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2025 Consumer Analyst Group of New York (CAGNY) Conference</t>
        </is>
      </c>
    </row>
    <row r="2">
      <c r="A2" s="24" t="inlineStr">
        <is>
          <t>Date</t>
        </is>
      </c>
      <c r="B2" t="inlineStr">
        <is>
          <t>2025-02-21</t>
        </is>
      </c>
    </row>
    <row r="4">
      <c r="A4" s="25" t="inlineStr">
        <is>
          <t>QUANTITATIVE</t>
        </is>
      </c>
      <c r="B4" s="25" t="n"/>
      <c r="C4" s="25"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2025-03-12</t>
        </is>
      </c>
    </row>
    <row r="4">
      <c r="A4" s="25" t="inlineStr">
        <is>
          <t>QUANTITATIVE</t>
        </is>
      </c>
      <c r="B4" s="25" t="n"/>
      <c r="C4" s="25"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37th Annual ROTH Conference</t>
        </is>
      </c>
    </row>
    <row r="2">
      <c r="A2" s="24" t="inlineStr">
        <is>
          <t>Date</t>
        </is>
      </c>
      <c r="B2" t="inlineStr">
        <is>
          <t>2025-03-18</t>
        </is>
      </c>
    </row>
    <row r="4">
      <c r="A4" s="25" t="inlineStr">
        <is>
          <t>QUANTITATIVE</t>
        </is>
      </c>
      <c r="B4" s="25" t="n"/>
      <c r="C4" s="25"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2025 Earnings Call</t>
        </is>
      </c>
    </row>
    <row r="2">
      <c r="A2" s="24" t="inlineStr">
        <is>
          <t>Date</t>
        </is>
      </c>
      <c r="B2" t="inlineStr">
        <is>
          <t>2025-05-06</t>
        </is>
      </c>
    </row>
    <row r="4">
      <c r="A4" s="25" t="inlineStr">
        <is>
          <t>QUANTITATIVE</t>
        </is>
      </c>
      <c r="B4" s="25" t="n"/>
      <c r="C4" s="25" t="n"/>
      <c r="D4" s="25"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 (pre-Alani close; no debt)</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2025-05-13</t>
        </is>
      </c>
    </row>
    <row r="4">
      <c r="A4" s="25" t="inlineStr">
        <is>
          <t>QUANTITATIVE</t>
        </is>
      </c>
      <c r="B4" s="25" t="n"/>
      <c r="C4" s="25"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Alani Nu Modeling Call (post-closing)</t>
        </is>
      </c>
    </row>
    <row r="2">
      <c r="A2" s="24" t="inlineStr">
        <is>
          <t>Date</t>
        </is>
      </c>
      <c r="B2" t="inlineStr">
        <is>
          <t>2025-05-28</t>
        </is>
      </c>
    </row>
    <row r="4">
      <c r="A4" s="25" t="inlineStr">
        <is>
          <t>QUANTITATIVE</t>
        </is>
      </c>
      <c r="B4" s="25" t="n"/>
      <c r="C4" s="25"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dbAccess Global Consumer Conference (Deutsche Bank, Paris)</t>
        </is>
      </c>
    </row>
    <row r="2">
      <c r="A2" s="24" t="inlineStr">
        <is>
          <t>Date</t>
        </is>
      </c>
      <c r="B2" t="inlineStr">
        <is>
          <t>2025-06-03</t>
        </is>
      </c>
    </row>
    <row r="4">
      <c r="A4" s="25" t="inlineStr">
        <is>
          <t>QUANTITATIVE</t>
        </is>
      </c>
      <c r="B4" s="25" t="n"/>
      <c r="C4" s="25"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45th Annual Growth Stock Conference</t>
        </is>
      </c>
    </row>
    <row r="2">
      <c r="A2" s="24" t="inlineStr">
        <is>
          <t>Date</t>
        </is>
      </c>
      <c r="B2" t="inlineStr">
        <is>
          <t>2025-06-04</t>
        </is>
      </c>
    </row>
    <row r="4">
      <c r="A4" s="25" t="inlineStr">
        <is>
          <t>QUANTITATIVE</t>
        </is>
      </c>
      <c r="B4" s="25" t="n"/>
      <c r="C4" s="25"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Q2 2025 Earnings Call</t>
        </is>
      </c>
    </row>
    <row r="2">
      <c r="A2" s="24" t="inlineStr">
        <is>
          <t>Date</t>
        </is>
      </c>
      <c r="B2" t="inlineStr">
        <is>
          <t>2025-08-07</t>
        </is>
      </c>
    </row>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Barclays Global Consumer Staples Conference</t>
        </is>
      </c>
    </row>
    <row r="2">
      <c r="A2" s="24" t="inlineStr">
        <is>
          <t>Date</t>
        </is>
      </c>
      <c r="B2" t="inlineStr">
        <is>
          <t>2025-09-02</t>
        </is>
      </c>
    </row>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Piper Sandler 4th Annual Growth Frontiers Conference</t>
        </is>
      </c>
    </row>
    <row r="2">
      <c r="A2" s="24" t="inlineStr">
        <is>
          <t>Date</t>
        </is>
      </c>
      <c r="B2" t="inlineStr">
        <is>
          <t>2025-09-10</t>
        </is>
      </c>
    </row>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Q3 2025 Earnings Call</t>
        </is>
      </c>
    </row>
    <row r="2">
      <c r="A2" s="24" t="inlineStr">
        <is>
          <t>Date</t>
        </is>
      </c>
      <c r="B2" t="inlineStr">
        <is>
          <t>2025-11-06</t>
        </is>
      </c>
    </row>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Morgan Stanley Global Consumer &amp; Retail Conference</t>
        </is>
      </c>
    </row>
    <row r="2">
      <c r="A2" s="24" t="inlineStr">
        <is>
          <t>Date</t>
        </is>
      </c>
      <c r="B2" t="inlineStr">
        <is>
          <t>2025-12-03</t>
        </is>
      </c>
    </row>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Consumer Analyst Group of New York (CAGNY) Conference</t>
        </is>
      </c>
    </row>
    <row r="2">
      <c r="A2" s="24" t="inlineStr">
        <is>
          <t>Date</t>
        </is>
      </c>
      <c r="B2" t="inlineStr">
        <is>
          <t>2026-02-19</t>
        </is>
      </c>
    </row>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Full-Year 2025 and Fourth Quarter Financial Results Press Release</t>
        </is>
      </c>
    </row>
    <row r="2">
      <c r="A2" s="24" t="inlineStr">
        <is>
          <t>Date</t>
        </is>
      </c>
      <c r="B2" t="inlineStr">
        <is>
          <t>2026-02-26</t>
        </is>
      </c>
    </row>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2025 / FY2025 Earnings Call</t>
        </is>
      </c>
    </row>
    <row r="2">
      <c r="A2" s="24" t="inlineStr">
        <is>
          <t>Date</t>
        </is>
      </c>
      <c r="B2" t="inlineStr">
        <is>
          <t>2026-02-26</t>
        </is>
      </c>
    </row>
    <row r="4">
      <c r="A4" s="25" t="inlineStr">
        <is>
          <t>QUANTITATIVE</t>
        </is>
      </c>
      <c r="B4" s="25" t="n"/>
      <c r="C4" s="25" t="n"/>
      <c r="D4" s="25"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2026-03-11</t>
        </is>
      </c>
    </row>
    <row r="4">
      <c r="A4" s="25" t="inlineStr">
        <is>
          <t>QUANTITATIVE</t>
        </is>
      </c>
      <c r="B4" s="25" t="n"/>
      <c r="C4" s="25"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84"/>
  <sheetViews>
    <sheetView workbookViewId="0">
      <selection activeCell="B6" sqref="B6"/>
    </sheetView>
  </sheetViews>
  <sheetFormatPr baseColWidth="8" defaultRowHeight="14.4"/>
  <cols>
    <col width="46" customWidth="1" min="1" max="1"/>
    <col width="15" customWidth="1" min="2" max="8"/>
  </cols>
  <sheetData>
    <row r="1">
      <c r="A1" s="24" t="inlineStr">
        <is>
          <t>Event</t>
        </is>
      </c>
      <c r="B1" t="inlineStr">
        <is>
          <t>CELH Q1 2026 Earnings Call</t>
        </is>
      </c>
    </row>
    <row r="2">
      <c r="A2" s="24" t="inlineStr">
        <is>
          <t>Date</t>
        </is>
      </c>
      <c r="B2" t="inlineStr">
        <is>
          <t>2026-05-07</t>
        </is>
      </c>
    </row>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B2:S109"/>
  <sheetViews>
    <sheetView topLeftCell="A70" zoomScale="85" zoomScaleNormal="85" workbookViewId="0">
      <selection activeCell="A15" sqref="A15"/>
    </sheetView>
  </sheetViews>
  <sheetFormatPr baseColWidth="8" defaultRowHeight="14.4"/>
  <cols>
    <col width="35.44140625" bestFit="1" customWidth="1" min="3" max="3"/>
  </cols>
  <sheetData>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38" t="n">
        <v>-81</v>
      </c>
      <c r="E60" s="38" t="n">
        <v>-327.5</v>
      </c>
    </row>
    <row r="61">
      <c r="C61" t="inlineStr">
        <is>
          <t>Sales &amp; Marketing</t>
        </is>
      </c>
      <c r="D61" s="39">
        <f>SUM(D59:D60)</f>
        <v/>
      </c>
      <c r="E61" s="39">
        <f>SUM(E59:E60)</f>
        <v/>
      </c>
      <c r="F61" s="40" t="n"/>
    </row>
    <row r="62">
      <c r="D62" s="41" t="n"/>
    </row>
    <row r="63">
      <c r="C63" t="inlineStr">
        <is>
          <t>Administrative</t>
        </is>
      </c>
      <c r="D63" s="15" t="n">
        <v>81</v>
      </c>
      <c r="E63" t="n">
        <v>250</v>
      </c>
    </row>
    <row r="64">
      <c r="C64" t="inlineStr">
        <is>
          <t>Acquisition Cost Adjustment</t>
        </is>
      </c>
      <c r="D64" s="38" t="n">
        <v>-5</v>
      </c>
      <c r="E64" s="38"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2026-05-17T15:51:44Z</dcterms:modified>
  <cp:lastModifiedBy>Gabriel Rodino</cp:lastModifiedBy>
</cp:coreProperties>
</file>