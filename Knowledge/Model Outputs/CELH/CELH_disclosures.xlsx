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9016" windowHeight="15696" tabRatio="600" firstSheet="0" activeTab="0" autoFilterDateGrouping="1"/>
  </bookViews>
  <sheets>
    <sheet xmlns:r="http://schemas.openxmlformats.org/officeDocument/2006/relationships" name="KPI Consolidated" sheetId="1" state="visible" r:id="rId1"/>
    <sheet xmlns:r="http://schemas.openxmlformats.org/officeDocument/2006/relationships" name="01 2018Q3 Earnings" sheetId="2" state="visible" r:id="rId2"/>
    <sheet xmlns:r="http://schemas.openxmlformats.org/officeDocument/2006/relationships" name="02 2018Q4 Earnings" sheetId="3" state="visible" r:id="rId3"/>
    <sheet xmlns:r="http://schemas.openxmlformats.org/officeDocument/2006/relationships" name="03 2019Q1 Earnings" sheetId="4" state="visible" r:id="rId4"/>
    <sheet xmlns:r="http://schemas.openxmlformats.org/officeDocument/2006/relationships" name="04 2019Q2 Earnings" sheetId="5" state="visible" r:id="rId5"/>
    <sheet xmlns:r="http://schemas.openxmlformats.org/officeDocument/2006/relationships" name="05 2019Q3 Earnings" sheetId="6" state="visible" r:id="rId6"/>
    <sheet xmlns:r="http://schemas.openxmlformats.org/officeDocument/2006/relationships" name="06 2019Q4 Earnings" sheetId="7" state="visible" r:id="rId7"/>
    <sheet xmlns:r="http://schemas.openxmlformats.org/officeDocument/2006/relationships" name="07 Q1 2020 Earnings" sheetId="8" state="visible" r:id="rId8"/>
    <sheet xmlns:r="http://schemas.openxmlformats.org/officeDocument/2006/relationships" name="08 Q2 2020 Earnings" sheetId="9" state="visible" r:id="rId9"/>
    <sheet xmlns:r="http://schemas.openxmlformats.org/officeDocument/2006/relationships" name="09 LD Micro Conf" sheetId="10" state="visible" r:id="rId10"/>
    <sheet xmlns:r="http://schemas.openxmlformats.org/officeDocument/2006/relationships" name="10 Q3 2020 Earnings" sheetId="11" state="visible" r:id="rId11"/>
    <sheet xmlns:r="http://schemas.openxmlformats.org/officeDocument/2006/relationships" name="11 UBS Conference" sheetId="12" state="visible" r:id="rId12"/>
    <sheet xmlns:r="http://schemas.openxmlformats.org/officeDocument/2006/relationships" name="12 2020Q4 Earnings" sheetId="13" state="visible" r:id="rId13"/>
    <sheet xmlns:r="http://schemas.openxmlformats.org/officeDocument/2006/relationships" name="13 Q1 2021 Earnings" sheetId="14" state="visible" r:id="rId14"/>
    <sheet xmlns:r="http://schemas.openxmlformats.org/officeDocument/2006/relationships" name="14 2021Q2 Earnings" sheetId="15" state="visible" r:id="rId15"/>
    <sheet xmlns:r="http://schemas.openxmlformats.org/officeDocument/2006/relationships" name="15 Annual Shareholder Mtg" sheetId="16" state="visible" r:id="rId16"/>
    <sheet xmlns:r="http://schemas.openxmlformats.org/officeDocument/2006/relationships" name="16 2021Q3 Earnings" sheetId="17" state="visible" r:id="rId17"/>
    <sheet xmlns:r="http://schemas.openxmlformats.org/officeDocument/2006/relationships" name="17 Jefferies Conference" sheetId="18" state="visible" r:id="rId18"/>
    <sheet xmlns:r="http://schemas.openxmlformats.org/officeDocument/2006/relationships" name="18 Morgan Stanley Conf" sheetId="19" state="visible" r:id="rId19"/>
    <sheet xmlns:r="http://schemas.openxmlformats.org/officeDocument/2006/relationships" name="19 Q4 2021 Earnings" sheetId="20" state="visible" r:id="rId20"/>
    <sheet xmlns:r="http://schemas.openxmlformats.org/officeDocument/2006/relationships" name="20 2022Q1 Earnings" sheetId="21" state="visible" r:id="rId21"/>
    <sheet xmlns:r="http://schemas.openxmlformats.org/officeDocument/2006/relationships" name="21 Credit Suisse Conf" sheetId="22" state="visible" r:id="rId22"/>
    <sheet xmlns:r="http://schemas.openxmlformats.org/officeDocument/2006/relationships" name="22 Annual Shareholder Mtg" sheetId="23" state="visible" r:id="rId23"/>
    <sheet xmlns:r="http://schemas.openxmlformats.org/officeDocument/2006/relationships" name="23 Evercore Conference" sheetId="24" state="visible" r:id="rId24"/>
    <sheet xmlns:r="http://schemas.openxmlformats.org/officeDocument/2006/relationships" name="24 Stifel Conference" sheetId="25" state="visible" r:id="rId25"/>
    <sheet xmlns:r="http://schemas.openxmlformats.org/officeDocument/2006/relationships" name="25 PepsiCo Distribution" sheetId="26" state="visible" r:id="rId26"/>
    <sheet xmlns:r="http://schemas.openxmlformats.org/officeDocument/2006/relationships" name="26 2022Q2 Earnings" sheetId="27" state="visible" r:id="rId27"/>
    <sheet xmlns:r="http://schemas.openxmlformats.org/officeDocument/2006/relationships" name="27 2022Q3 Earnings" sheetId="28" state="visible" r:id="rId28"/>
    <sheet xmlns:r="http://schemas.openxmlformats.org/officeDocument/2006/relationships" name="28 2022Q4 Earnings" sheetId="29" state="visible" r:id="rId29"/>
    <sheet xmlns:r="http://schemas.openxmlformats.org/officeDocument/2006/relationships" name="29 2023Q1 Earnings" sheetId="30" state="visible" r:id="rId30"/>
    <sheet xmlns:r="http://schemas.openxmlformats.org/officeDocument/2006/relationships" name="30 Goldman Sachs Conference" sheetId="31" state="visible" r:id="rId31"/>
    <sheet xmlns:r="http://schemas.openxmlformats.org/officeDocument/2006/relationships" name="31 Annual General Meeting" sheetId="32" state="visible" r:id="rId32"/>
    <sheet xmlns:r="http://schemas.openxmlformats.org/officeDocument/2006/relationships" name="32 Stifel Conference" sheetId="33" state="visible" r:id="rId33"/>
    <sheet xmlns:r="http://schemas.openxmlformats.org/officeDocument/2006/relationships" name="33 Evercore Conference" sheetId="34" state="visible" r:id="rId34"/>
    <sheet xmlns:r="http://schemas.openxmlformats.org/officeDocument/2006/relationships" name="34 2023Q2 Earnings" sheetId="35" state="visible" r:id="rId35"/>
    <sheet xmlns:r="http://schemas.openxmlformats.org/officeDocument/2006/relationships" name="35 Barclays Conf 2023-09" sheetId="36" state="visible" r:id="rId36"/>
    <sheet xmlns:r="http://schemas.openxmlformats.org/officeDocument/2006/relationships" name="36 Piper Sandler Conf 09-13" sheetId="37" state="visible" r:id="rId37"/>
    <sheet xmlns:r="http://schemas.openxmlformats.org/officeDocument/2006/relationships" name="37 2023Q3 Earnings" sheetId="38" state="visible" r:id="rId38"/>
    <sheet xmlns:r="http://schemas.openxmlformats.org/officeDocument/2006/relationships" name="38 Stephens Conf 2023-11" sheetId="39" state="visible" r:id="rId39"/>
    <sheet xmlns:r="http://schemas.openxmlformats.org/officeDocument/2006/relationships" name="39 Morgan Stanley Conf 12-06" sheetId="40" state="visible" r:id="rId40"/>
    <sheet xmlns:r="http://schemas.openxmlformats.org/officeDocument/2006/relationships" name="40 2023Q4 Earnings" sheetId="41" state="visible" r:id="rId41"/>
    <sheet xmlns:r="http://schemas.openxmlformats.org/officeDocument/2006/relationships" name="41 UBS Conference" sheetId="42" state="visible" r:id="rId42"/>
    <sheet xmlns:r="http://schemas.openxmlformats.org/officeDocument/2006/relationships" name="42 Q1 2024 Earnings" sheetId="43" state="visible" r:id="rId43"/>
    <sheet xmlns:r="http://schemas.openxmlformats.org/officeDocument/2006/relationships" name="43 Goldman Sachs 2024-05-14" sheetId="44" state="visible" r:id="rId44"/>
    <sheet xmlns:r="http://schemas.openxmlformats.org/officeDocument/2006/relationships" name="44 William Blair 2024-06-04" sheetId="45" state="visible" r:id="rId45"/>
    <sheet xmlns:r="http://schemas.openxmlformats.org/officeDocument/2006/relationships" name="45 Evercore ISI 2024-06-11" sheetId="46" state="visible" r:id="rId46"/>
    <sheet xmlns:r="http://schemas.openxmlformats.org/officeDocument/2006/relationships" name="46 2024Q2 Earnings" sheetId="47" state="visible" r:id="rId47"/>
    <sheet xmlns:r="http://schemas.openxmlformats.org/officeDocument/2006/relationships" name="47 Barclays Conf 2024-09" sheetId="48" state="visible" r:id="rId48"/>
    <sheet xmlns:r="http://schemas.openxmlformats.org/officeDocument/2006/relationships" name="48 Piper Sandler Conf" sheetId="49" state="visible" r:id="rId49"/>
    <sheet xmlns:r="http://schemas.openxmlformats.org/officeDocument/2006/relationships" name="49 2024Q3 Earnings" sheetId="50" state="visible" r:id="rId50"/>
    <sheet xmlns:r="http://schemas.openxmlformats.org/officeDocument/2006/relationships" name="50 Morgan Stanley Conf" sheetId="51" state="visible" r:id="rId51"/>
    <sheet xmlns:r="http://schemas.openxmlformats.org/officeDocument/2006/relationships" name="51 2024Q4 Earnings" sheetId="52" state="visible" r:id="rId52"/>
    <sheet xmlns:r="http://schemas.openxmlformats.org/officeDocument/2006/relationships" name="52 CAGNY Conf 2025-02-21" sheetId="53" state="visible" r:id="rId53"/>
    <sheet xmlns:r="http://schemas.openxmlformats.org/officeDocument/2006/relationships" name="53 UBS Conf 2025-03-12" sheetId="54" state="visible" r:id="rId54"/>
    <sheet xmlns:r="http://schemas.openxmlformats.org/officeDocument/2006/relationships" name="54 ROTH Conf 2025-03-18" sheetId="55" state="visible" r:id="rId55"/>
    <sheet xmlns:r="http://schemas.openxmlformats.org/officeDocument/2006/relationships" name="55 2025Q1 Earnings" sheetId="56" state="visible" r:id="rId56"/>
    <sheet xmlns:r="http://schemas.openxmlformats.org/officeDocument/2006/relationships" name="56 Goldman Sachs Conf" sheetId="57" state="visible" r:id="rId57"/>
    <sheet xmlns:r="http://schemas.openxmlformats.org/officeDocument/2006/relationships" name="57 Acquiring Alani Nu" sheetId="58" state="visible" r:id="rId58"/>
    <sheet xmlns:r="http://schemas.openxmlformats.org/officeDocument/2006/relationships" name="58 Deutsche Bank Conf" sheetId="59" state="visible" r:id="rId59"/>
    <sheet xmlns:r="http://schemas.openxmlformats.org/officeDocument/2006/relationships" name="59 William Blair Conf" sheetId="60" state="visible" r:id="rId60"/>
    <sheet xmlns:r="http://schemas.openxmlformats.org/officeDocument/2006/relationships" name="60 2025Q2 Earnings" sheetId="61" state="visible" r:id="rId61"/>
    <sheet xmlns:r="http://schemas.openxmlformats.org/officeDocument/2006/relationships" name="61 Barclays Conf 2025-09" sheetId="62" state="visible" r:id="rId62"/>
    <sheet xmlns:r="http://schemas.openxmlformats.org/officeDocument/2006/relationships" name="62 Piper Sandler 2025-09" sheetId="63" state="visible" r:id="rId63"/>
    <sheet xmlns:r="http://schemas.openxmlformats.org/officeDocument/2006/relationships" name="63 2025Q3 Earnings" sheetId="64" state="visible" r:id="rId64"/>
    <sheet xmlns:r="http://schemas.openxmlformats.org/officeDocument/2006/relationships" name="64 Morgan Stanley 2025-12" sheetId="65" state="visible" r:id="rId65"/>
    <sheet xmlns:r="http://schemas.openxmlformats.org/officeDocument/2006/relationships" name="65 CAGNY Conf 2026-02" sheetId="66" state="visible" r:id="rId66"/>
    <sheet xmlns:r="http://schemas.openxmlformats.org/officeDocument/2006/relationships" name="66 2025Q4 Earnings PR" sheetId="67" state="visible" r:id="rId67"/>
    <sheet xmlns:r="http://schemas.openxmlformats.org/officeDocument/2006/relationships" name="67 2025Q4 Earnings" sheetId="68" state="visible" r:id="rId68"/>
    <sheet xmlns:r="http://schemas.openxmlformats.org/officeDocument/2006/relationships" name="68 UBS Conference" sheetId="69" state="visible" r:id="rId69"/>
    <sheet xmlns:r="http://schemas.openxmlformats.org/officeDocument/2006/relationships" name="69 2026Q1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7">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s>
  <fonts count="23">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b val="1"/>
      <i val="1"/>
      <sz val="9"/>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C5" authorId="0" shapeId="0">
      <text>
        <t>Source: Q3 2018 Earnings Call
Date: 2018-11-09
Workbook tab: 01 2018Q3 Earnings
Digest label: “Adjusted EBITDA Q3 2018 ($M)”</t>
      </text>
    </comment>
    <comment ref="D5" authorId="0" shapeId="0">
      <text>
        <t>Source: Q3 2018 Earnings Call
Date: 2018-11-09
Workbook tab: 01 2018Q3 Earnings
Digest label: “Adjusted EBITDA 9M 2018 ($M)”</t>
      </text>
    </comment>
    <comment ref="E5" authorId="0" shapeId="0">
      <text>
        <t>Source: Q4 &amp; Full-Year 2018 Earnings Call
Date: 2019-03-14
Workbook tab: 02 2018Q4 Earnings
Digest label: “Adjusted EBITDA Q4 2018 ($M)”</t>
      </text>
    </comment>
    <comment ref="F5" authorId="0" shapeId="0">
      <text>
        <t>Source: Q4 &amp; Full-Year 2018 Earnings Call
Date: 2019-03-14
Workbook tab: 02 2018Q4 Earnings
Digest label: “Adjusted EBITDA FY2018 ($M)”</t>
      </text>
    </comment>
    <comment ref="J5" authorId="0" shapeId="0">
      <text>
        <t>Source: Q3 2019 Earnings Call
Date: 2019-11-07
Workbook tab: 05 2019Q3 Earnings
Digest label: “Adjusted EBITDA Q3 2019 ($M)”</t>
      </text>
    </comment>
    <comment ref="O5" authorId="0" shapeId="0">
      <text>
        <t>Source: Q4 &amp; Full-Year 2020 Earnings Call
Date: 2021-03-11
Workbook tab: 12 2020Q4 Earnings
Digest label: “Adjusted EBITDA Q4 2020 ($M)”</t>
      </text>
    </comment>
    <comment ref="R5" authorId="0" shapeId="0">
      <text>
        <t>Source: Q2 2021 Earnings Call
Date: 2021-08-12
Workbook tab: 14 2021Q2 Earnings
Digest label: “Adjusted EBITDA”
(metric+period also reported in 1 other transcript(s))</t>
      </text>
    </comment>
    <comment ref="S5" authorId="0" shapeId="0">
      <text>
        <t>Source: 2021 Annual Meeting of Shareholders
Date: 2021-08-19
Workbook tab: 15 Annual Shareholder Mtg
Digest label: “Adjusted EBITDA”</t>
      </text>
    </comment>
    <comment ref="W5" authorId="0" shapeId="0">
      <text>
        <t>Source: 2022 Annual General Meeting (Annual Meeting of Shareholders)
Date: 2022-06-02
Workbook tab: 22 Annual Shareholder Mtg
Digest label: “Adjusted EBITDA ($M)”</t>
      </text>
    </comment>
    <comment ref="AH5" authorId="0" shapeId="0">
      <text>
        <t>Source: Q4 2024 Earnings Call
Date: 2025-02-20
Workbook tab: 51 2024Q4 Earnings
Digest label: “Adjusted EBITDA”</t>
      </text>
    </comment>
    <comment ref="AI5" authorId="0" shapeId="0">
      <text>
        <t>Source: Alani Nu Modeling Call (post-closing)
Date: 2025-05-28
Workbook tab: 57 Acquiring Alani Nu
Digest label: “Adjusted EBITDA”</t>
      </text>
    </comment>
    <comment ref="AJ5" authorId="0" shapeId="0">
      <text>
        <t>Source: Q1 2025 Earnings Call
Date: 2025-05-06
Workbook tab: 55 2025Q1 Earnings
Digest label: “Adjusted EBITDA”</t>
      </text>
    </comment>
    <comment ref="AK5" authorId="0" shapeId="0">
      <text>
        <t>Source: CELH Q2 2025 Earnings Call
Date: 2025-08-07
Workbook tab: 60 2025Q2 Earnings
Digest label: “Adjusted EBITDA ($M)”</t>
      </text>
    </comment>
    <comment ref="AL5" authorId="0" shapeId="0">
      <text>
        <t>Source: CELH Q2 2025 Earnings Call
Date: 2025-08-07
Workbook tab: 60 2025Q2 Earnings
Digest label: “Adjusted EBITDA ($M)”</t>
      </text>
    </comment>
    <comment ref="AO5" authorId="0" shapeId="0">
      <text>
        <t>Source: Q4 2025 / FY2025 Earnings Call
Date: 2026-02-26
Workbook tab: 67 2025Q4 Earnings
Digest label: “Adjusted EBITDA”</t>
      </text>
    </comment>
    <comment ref="AP5" authorId="0" shapeId="0">
      <text>
        <t>Source: CELH Q1 2026 Earnings Call
Date: 2026-05-07
Workbook tab: 69 2026Q1 Earnings
Digest label: “Adjusted EBITDA ($M)”</t>
      </text>
    </comment>
    <comment ref="G6" authorId="0" shapeId="0">
      <text>
        <t>Source: Q1 2019 Earnings Call
Date: 2019-05-09
Workbook tab: 03 2019Q1 Earnings
Digest label: “Adjusted EBITDA Q1 2019 ($000)”</t>
      </text>
    </comment>
    <comment ref="H6" authorId="0" shapeId="0">
      <text>
        <t>Source: Q2 2019 Earnings Call
Date: 2019-08-08
Workbook tab: 04 2019Q2 Earnings
Digest label: “Adjusted EBITDA Q2 2019 ($000)”</t>
      </text>
    </comment>
    <comment ref="I6" authorId="0" shapeId="0">
      <text>
        <t>Source: Q2 2019 Earnings Call
Date: 2019-08-08
Workbook tab: 04 2019Q2 Earnings
Digest label: “Adjusted EBITDA H1 2019 ($000)”</t>
      </text>
    </comment>
    <comment ref="AB7" authorId="0" shapeId="0">
      <text>
        <t>Source: Celsius Holdings Q1 2023 Earnings Call
Date: 2023-05-09
Workbook tab: 29 2023Q1 Earnings
Digest label: “Adjusted EBITDA ($M, non-GAAP)”</t>
      </text>
    </comment>
    <comment ref="AO8" authorId="0" shapeId="0">
      <text>
        <t>Source: Full-Year 2025 and Fourth Quarter Financial Results Press Release
Date: 2026-02-26
Workbook tab: 66 2025Q4 Earnings PR
Digest label: “Adjusted EBITDA (non-GAAP)”</t>
      </text>
    </comment>
    <comment ref="V9" authorId="0" shapeId="0">
      <text>
        <t>Source: 2022 Annual General Meeting (Annual Meeting of Shareholders)
Date: 2022-06-02
Workbook tab: 22 Annual Shareholder Mtg
Digest label: “Adjusted EBITDA growth”</t>
      </text>
    </comment>
    <comment ref="AH10" authorId="0" shapeId="0">
      <text>
        <t>Source: Q4 2024 Earnings Call
Date: 2025-02-20
Workbook tab: 51 2024Q4 Earnings
Digest label: “Adjusted EBITDA Margin”</t>
      </text>
    </comment>
    <comment ref="AI10" authorId="0" shapeId="0">
      <text>
        <t>Source: Alani Nu Modeling Call (post-closing)
Date: 2025-05-28
Workbook tab: 57 Acquiring Alani Nu
Digest label: “Adjusted EBITDA Margin”</t>
      </text>
    </comment>
    <comment ref="AJ10" authorId="0" shapeId="0">
      <text>
        <t>Source: Q1 2025 Earnings Call
Date: 2025-05-06
Workbook tab: 55 2025Q1 Earnings
Digest label: “Adjusted EBITDA Margin”</t>
      </text>
    </comment>
    <comment ref="AO10" authorId="0" shapeId="0">
      <text>
        <t>Source: Q4 2025 / FY2025 Earnings Call
Date: 2026-02-26
Workbook tab: 67 2025Q4 Earnings
Digest label: “Adjusted EBITDA Margin”</t>
      </text>
    </comment>
    <comment ref="AP10" authorId="0" shapeId="0">
      <text>
        <t>Source: CELH Q1 2026 Earnings Call
Date: 2026-05-07
Workbook tab: 69 2026Q1 Earnings
Digest label: “Adjusted EBITDA Margin”</t>
      </text>
    </comment>
    <comment ref="AO11" authorId="0" shapeId="0">
      <text>
        <t>Source: Full-Year 2025 and Fourth Quarter Financial Results Press Release
Date: 2026-02-26
Workbook tab: 66 2025Q4 Earnings PR
Digest label: “Adjusted EBITDA margin (non-GAAP)”</t>
      </text>
    </comment>
    <comment ref="J12" authorId="0" shapeId="0">
      <text>
        <t>Source: Q3 2019 Earnings Call
Date: 2019-11-07
Workbook tab: 05 2019Q3 Earnings
Digest label: “Net Non-GAAP Adjusted EBITDA Q3 2019 ($M)”</t>
      </text>
    </comment>
    <comment ref="AC13" authorId="0" shapeId="0">
      <text>
        <t>Source: Q2 2023 Earnings Call
Date: 2023-08-08
Workbook tab: 34 2023Q2 Earnings
Digest label: “Non-GAAP Adjusted EBITDA”</t>
      </text>
    </comment>
    <comment ref="AD13" authorId="0" shapeId="0">
      <text>
        <t>Source: Q3 2023 Earnings Call
Date: 2023-11-07
Workbook tab: 37 2023Q3 Earnings
Digest label: “Non-GAAP Adjusted EBITDA”</t>
      </text>
    </comment>
    <comment ref="AG13" authorId="0" shapeId="0">
      <text>
        <t>Source: Q1 2024 Earnings Call
Date: 2024-05-07
Workbook tab: 42 Q1 2024 Earnings
Digest label: “Non-GAAP Adjusted EBITDA”</t>
      </text>
    </comment>
    <comment ref="B14" authorId="0" shapeId="0">
      <text>
        <t>Source: Q4 &amp; Full-Year 2018 Earnings Call
Date: 2019-03-14
Workbook tab: 02 2018Q4 Earnings
Digest label: “Adj EBITDA ex Asia FY2017 ($M)”</t>
      </text>
    </comment>
    <comment ref="C14" authorId="0" shapeId="0">
      <text>
        <t>Source: Q3 2018 Earnings Call
Date: 2018-11-09
Workbook tab: 01 2018Q3 Earnings
Digest label: “Adj EBITDA ex Asia Q3 2018 ($M)”</t>
      </text>
    </comment>
    <comment ref="M14" authorId="0" shapeId="0">
      <text>
        <t>Source: Q4 &amp; Full-Year 2019 Earnings Call
Date: 2020-03-12
Workbook tab: 06 2019Q4 Earnings
Digest label: “Adj EBITDA ex-Asia FY2019 ($M)”</t>
      </text>
    </comment>
    <comment ref="D15" authorId="0" shapeId="0">
      <text>
        <t>Source: Q3 2018 Earnings Call
Date: 2018-11-09
Workbook tab: 01 2018Q3 Earnings
Digest label: “Adj EBITDA ex Asia &amp; one-time 9M 2018 ($M)”</t>
      </text>
    </comment>
    <comment ref="L16" authorId="0" shapeId="0">
      <text>
        <t>Source: Q4 &amp; Full-Year 2019 Earnings Call
Date: 2020-03-12
Workbook tab: 06 2019Q4 Earnings
Digest label: “Adj EBITDA ex-Asia Q4 2019 ($000)”</t>
      </text>
    </comment>
    <comment ref="F17" authorId="0" shapeId="0">
      <text>
        <t>Source: Q4 &amp; Full-Year 2018 Earnings Call
Date: 2019-03-14
Workbook tab: 02 2018Q4 Earnings
Digest label: “Adj EBITDA ex China/one-time FY2018 ($M)”</t>
      </text>
    </comment>
    <comment ref="W18" authorId="0" shapeId="0">
      <text>
        <t>Source: Credit Suisse HALO Investment Summit
Date: 2022-05-25
Workbook tab: 21 Credit Suisse Conf
Digest label: “EBITDA Margin”</t>
      </text>
    </comment>
    <comment ref="X19" authorId="0" shapeId="0">
      <text>
        <t>Source: Credit Suisse HALO Investment Summit
Date: 2022-05-25
Workbook tab: 21 Credit Suisse Conf
Digest label: “EBITDA margin (long-term framework)”</t>
      </text>
    </comment>
    <comment ref="AI20" authorId="0" shapeId="0">
      <text>
        <t>Source: Piper Sandler Growth Frontiers Conference
Date: 2023-09-13
Workbook tab: 36 Piper Sandler Conf 09-13
Digest label: “EBITDA Margin Aspiration”</t>
      </text>
    </comment>
    <comment ref="AC21" authorId="0" shapeId="0">
      <text>
        <t>Source: Stephens Annual Investment Conference
Date: 2023-11-15
Workbook tab: 38 Stephens Conf 2023-11
Digest label: “EBITDA Margin Target”</t>
      </text>
    </comment>
    <comment ref="AK22" authorId="0" shapeId="0">
      <text>
        <t>Source: CELH Piper Sandler 4th Annual Growth Frontiers Conference
Date: 2025-09-10
Workbook tab: 62 Piper Sandler 2025-09
Digest label: “Long-term EBITDA margin aspiration”</t>
      </text>
    </comment>
    <comment ref="AB23" authorId="0" shapeId="0">
      <text>
        <t>Source: Stifel Cross Sector Insight Conference 2023
Date: 2023-06-06
Workbook tab: 32 Stifel Conference
Digest label: “Amazon / E-Commerce Share”</t>
      </text>
    </comment>
    <comment ref="X24" authorId="0" shapeId="0">
      <text>
        <t>Source: Q2 2022 Earnings Call
Date: 2022-08-09
Workbook tab: 26 2022Q2 Earnings
Digest label: “Amazon energy category share”</t>
      </text>
    </comment>
    <comment ref="W25" authorId="0" shapeId="0">
      <text>
        <t>Source: Q1 2022 Earnings Call
Date: 2022-05-10
Workbook tab: 20 2022Q1 Earnings
Digest label: “Amazon Revenue”</t>
      </text>
    </comment>
    <comment ref="AG25" authorId="0" shapeId="0">
      <text>
        <t>Source: Q1 2024 Earnings Call
Date: 2024-05-07
Workbook tab: 42 Q1 2024 Earnings
Digest label: “Amazon Revenue”</t>
      </text>
    </comment>
    <comment ref="AA26" authorId="0" shapeId="0">
      <text>
        <t>Source: Q4 2022 / FY2022 Earnings Call
Date: 2023-03-01
Workbook tab: 28 2022Q4 Earnings
Digest label: “Amazon Sales”</t>
      </text>
    </comment>
    <comment ref="AC26" authorId="0" shapeId="0">
      <text>
        <t>Source: Q2 2023 Earnings Call
Date: 2023-08-08
Workbook tab: 34 2023Q2 Earnings
Digest label: “Amazon Sales”</t>
      </text>
    </comment>
    <comment ref="AD26" authorId="0" shapeId="0">
      <text>
        <t>Source: Q3 2023 Earnings Call
Date: 2023-11-07
Workbook tab: 37 2023Q3 Earnings
Digest label: “Amazon Sales”</t>
      </text>
    </comment>
    <comment ref="Y27" authorId="0" shapeId="0">
      <text>
        <t>Source: Q3 2022 Earnings Call
Date: 2022-11-09
Workbook tab: 27 2022Q3 Earnings
Digest label: “Amazon sales ($M)”</t>
      </text>
    </comment>
    <comment ref="Y28" authorId="0" shapeId="0">
      <text>
        <t>Source: Q3 2022 Earnings Call
Date: 2022-11-09
Workbook tab: 27 2022Q3 Earnings
Digest label: “Amazon sales YTD 2022 ($M)”</t>
      </text>
    </comment>
    <comment ref="AO29" authorId="0" shapeId="0">
      <text>
        <t>Source: UBS Global Consumer and Retail Conference
Date: 2025-03-12
Workbook tab: 53 UBS Conf 2025-03-12
Digest label: “Alani Nu Accretion”</t>
      </text>
    </comment>
    <comment ref="AK30" authorId="0" shapeId="0">
      <text>
        <t>Source: CELH Q2 2025 Earnings Call
Date: 2025-08-07
Workbook tab: 60 2025Q2 Earnings
Digest label: “Alani Nu brand”</t>
      </text>
    </comment>
    <comment ref="AO31" authorId="0" shapeId="0">
      <text>
        <t>Source: 37th Annual ROTH Conference
Date: 2025-03-18
Workbook tab: 54 ROTH Conf 2025-03-18
Digest label: “Alani Nu Cost Synergies”</t>
      </text>
    </comment>
    <comment ref="AK32" authorId="0" shapeId="0">
      <text>
        <t>Source: Q4 2024 Earnings Call
Date: 2025-02-20
Workbook tab: 51 2024Q4 Earnings
Digest label: “Alani Nu Distribution Gains”</t>
      </text>
    </comment>
    <comment ref="AJ33" authorId="0" shapeId="0">
      <text>
        <t>Source: Q1 2025 Earnings Call
Date: 2025-05-06
Workbook tab: 55 2025Q1 Earnings
Digest label: “Alani Nu dollar share”</t>
      </text>
    </comment>
    <comment ref="AO34" authorId="0" shapeId="0">
      <text>
        <t>Source: 37th Annual ROTH Conference
Date: 2025-03-18
Workbook tab: 54 ROTH Conf 2025-03-18
Digest label: “Alani Nu Founder Lock-Up”</t>
      </text>
    </comment>
    <comment ref="AO35" authorId="0" shapeId="0">
      <text>
        <t>Source: Alani Nu Modeling Call (post-closing)
Date: 2025-05-28
Workbook tab: 57 Acquiring Alani Nu
Digest label: “Alani Nu market-share-expansion lag vs. Celsius”</t>
      </text>
    </comment>
    <comment ref="AP36" authorId="0" shapeId="0">
      <text>
        <t>Source: CELH Q1 2026 Earnings Call
Date: 2026-05-07
Workbook tab: 69 2026Q1 Earnings
Digest label: “Alani Nu net sales”</t>
      </text>
    </comment>
    <comment ref="AO37" authorId="0" shapeId="0">
      <text>
        <t>Source: Q1 2025 Earnings Call
Date: 2025-05-06
Workbook tab: 55 2025Q1 Earnings
Digest label: “Alani Nu P&amp;L profile lag vs. Celsius”</t>
      </text>
    </comment>
    <comment ref="AJ38" authorId="0" shapeId="0">
      <text>
        <t>Source: Q1 2025 Earnings Call
Date: 2025-05-06
Workbook tab: 55 2025Q1 Earnings
Digest label: “Alani Nu retail sales growth”</t>
      </text>
    </comment>
    <comment ref="AO38" authorId="0" shapeId="0">
      <text>
        <t>Source: Full-Year 2025 and Fourth Quarter Financial Results Press Release
Date: 2026-02-26
Workbook tab: 66 2025Q4 Earnings PR
Digest label: “Alani Nu retail sales growth”</t>
      </text>
    </comment>
    <comment ref="AO39" authorId="0" shapeId="0">
      <text>
        <t>Source: Full-Year 2025 and Fourth Quarter Financial Results Press Release
Date: 2026-02-26
Workbook tab: 66 2025Q4 Earnings PR
Digest label: “Alani Nu revenue”</t>
      </text>
    </comment>
    <comment ref="AO40" authorId="0" shapeId="0">
      <text>
        <t>Source: Goldman Sachs Global Staples Forum
Date: 2025-05-13
Workbook tab: 56 Goldman Sachs Conf
Digest label: “Alani Nu synergies (identified)”</t>
      </text>
    </comment>
    <comment ref="AJ41" authorId="0" shapeId="0">
      <text>
        <t>Source: Q1 2025 Earnings Call
Date: 2025-05-06
Workbook tab: 55 2025Q1 Earnings
Digest label: “Alani Nu trailing 52-wk retail sales”</t>
      </text>
    </comment>
    <comment ref="AQ42" authorId="0" shapeId="0">
      <text>
        <t>Source: CELH Morgan Stanley Global Consumer &amp; Retail Conference
Date: 2025-12-03
Workbook tab: 64 Morgan Stanley 2025-12
Digest label: “Alani target ACV”</t>
      </text>
    </comment>
    <comment ref="AJ43" authorId="0" shapeId="0">
      <text>
        <t>Source: Goldman Sachs Global Staples Forum
Date: 2025-05-13
Workbook tab: 56 Goldman Sachs Conf
Digest label: “Big Beverage capacity - potential Alani volume share (2 lines)”</t>
      </text>
    </comment>
    <comment ref="AO44" authorId="0" shapeId="0">
      <text>
        <t>Source: Goldman Sachs Global Staples Forum
Date: 2025-05-13
Workbook tab: 56 Goldman Sachs Conf
Digest label: “Big Beverage potential Alani volume capacity”</t>
      </text>
    </comment>
    <comment ref="AJ45" authorId="0" shapeId="0">
      <text>
        <t>Source: Goldman Sachs Global Staples Forum
Date: 2025-05-13
Workbook tab: 56 Goldman Sachs Conf
Digest label: “International share of sales (incl. Alani)”</t>
      </text>
    </comment>
    <comment ref="AN46" authorId="0" shapeId="0">
      <text>
        <t>Source: Q4 2025 / FY2025 Earnings Call
Date: 2026-02-26
Workbook tab: 67 2025Q4 Earnings
Digest label: “Net benefit (Celsius + Alani load-in)”</t>
      </text>
    </comment>
    <comment ref="AM47" authorId="0" shapeId="0">
      <text>
        <t>Source: CELH Q3 2025 Earnings Call
Date: 2025-11-06
Workbook tab: 63 2025Q3 Earnings
Digest label: “Rockstar combined Q3 impact ($M)”</t>
      </text>
    </comment>
    <comment ref="AO48" authorId="0" shapeId="0">
      <text>
        <t>Source: Full-Year 2025 and Fourth Quarter Financial Results Press Release
Date: 2026-02-26
Workbook tab: 66 2025Q4 Earnings PR
Digest label: “Rockstar Energy retail sales growth”</t>
      </text>
    </comment>
    <comment ref="AO49" authorId="0" shapeId="0">
      <text>
        <t>Source: Full-Year 2025 and Fourth Quarter Financial Results Press Release
Date: 2026-02-26
Workbook tab: 66 2025Q4 Earnings PR
Digest label: “Rockstar Energy revenue”</t>
      </text>
    </comment>
    <comment ref="AP50" authorId="0" shapeId="0">
      <text>
        <t>Source: CELH Q1 2026 Earnings Call
Date: 2026-05-07
Workbook tab: 69 2026Q1 Earnings
Digest label: “Rockstar net sales”</t>
      </text>
    </comment>
    <comment ref="AM51" authorId="0" shapeId="0">
      <text>
        <t>Source: CELH Q3 2025 Earnings Call
Date: 2025-11-06
Workbook tab: 63 2025Q3 Earnings
Digest label: “Rockstar other-income GAAP portion ($M)”</t>
      </text>
    </comment>
    <comment ref="AM52" authorId="0" shapeId="0">
      <text>
        <t>Source: CELH Q3 2025 Earnings Call
Date: 2025-11-06
Workbook tab: 63 2025Q3 Earnings
Digest label: “Rockstar revenue (first month under ownership, $M)”</t>
      </text>
    </comment>
    <comment ref="AS53" authorId="0" shapeId="0">
      <text>
        <t>Source: CELH Morgan Stanley Global Consumer &amp; Retail Conference
Date: 2025-12-03
Workbook tab: 64 Morgan Stanley 2025-12
Digest label: “Rockstar FY2026 run rate”</t>
      </text>
    </comment>
    <comment ref="AR54" authorId="0" shapeId="0">
      <text>
        <t>Source: CELH Morgan Stanley Global Consumer &amp; Retail Conference
Date: 2025-12-03
Workbook tab: 64 Morgan Stanley 2025-12
Digest label: “Blue-sky market share runway (Celsius brand)”</t>
      </text>
    </comment>
    <comment ref="AK55" authorId="0" shapeId="0">
      <text>
        <t>Source: CELH Q2 2025 Earnings Call
Date: 2025-08-07
Workbook tab: 60 2025Q2 Earnings
Digest label: “Celsius brand”</t>
      </text>
    </comment>
    <comment ref="AO56" authorId="0" shapeId="0">
      <text>
        <t>Source: Full-Year 2025 and Fourth Quarter Financial Results Press Release
Date: 2026-02-26
Workbook tab: 66 2025Q4 Earnings PR
Digest label: “CELSIUS brand retail sales growth”</t>
      </text>
    </comment>
    <comment ref="AO57" authorId="0" shapeId="0">
      <text>
        <t>Source: Full-Year 2025 and Fourth Quarter Financial Results Press Release
Date: 2026-02-26
Workbook tab: 66 2025Q4 Earnings PR
Digest label: “CELSIUS brand revenue”</t>
      </text>
    </comment>
    <comment ref="AM58" authorId="0" shapeId="0">
      <text>
        <t>Source: CELH Q3 2025 Earnings Call
Date: 2025-11-06
Workbook tab: 63 2025Q3 Earnings
Digest label: “Freight cost (Celsius brand) % of sales”</t>
      </text>
    </comment>
    <comment ref="V60" authorId="0" shapeId="0">
      <text>
        <t>Source: Q4 2021 Earnings Call
Date: 2022-03-01
Workbook tab: 19 Q4 2021 Earnings
Digest label: “% of MULO+C stores DSD-serviced”</t>
      </text>
    </comment>
    <comment ref="X61" authorId="0" shapeId="0">
      <text>
        <t>Source: Q2 2022 Earnings Call
Date: 2022-08-09
Workbook tab: 26 2022Q2 Earnings
Digest label: “12-week growth”</t>
      </text>
    </comment>
    <comment ref="Z61" authorId="0" shapeId="0">
      <text>
        <t>Source: Q3 2022 Earnings Call
Date: 2022-11-09
Workbook tab: 27 2022Q3 Earnings
Digest label: “12-week growth”</t>
      </text>
    </comment>
    <comment ref="Z62" authorId="0" shapeId="0">
      <text>
        <t>Source: Q3 2022 Earnings Call
Date: 2022-11-09
Workbook tab: 27 2022Q3 Earnings
Digest label: “2-week growth”</t>
      </text>
    </comment>
    <comment ref="X63" authorId="0" shapeId="0">
      <text>
        <t>Source: Q2 2022 Earnings Call
Date: 2022-08-09
Workbook tab: 26 2022Q2 Earnings
Digest label: “4-week growth”</t>
      </text>
    </comment>
    <comment ref="AG64" authorId="0" shapeId="0">
      <text>
        <t>Source: Stephens Annual Investment Conference
Date: 2023-11-15
Workbook tab: 38 Stephens Conf 2023-11
Digest label: “7-Eleven Green Apple Cherry National Rollout”</t>
      </text>
    </comment>
    <comment ref="AO65" authorId="0" shapeId="0">
      <text>
        <t>Source: Full-Year 2025 and Fourth Quarter Financial Results Press Release
Date: 2026-02-26
Workbook tab: 66 2025Q4 Earnings PR
Digest label: “Accrued distributor termination fees”</t>
      </text>
    </comment>
    <comment ref="AO66" authorId="0" shapeId="0">
      <text>
        <t>Source: Q4 2025 / FY2025 Earnings Call
Date: 2026-02-26
Workbook tab: 67 2025Q4 Earnings
Digest label: “Acquisition &amp; integration adj”</t>
      </text>
    </comment>
    <comment ref="AJ67" authorId="0" shapeId="0">
      <text>
        <t>Source: Alani Nu Modeling Call (post-closing)
Date: 2025-05-28
Workbook tab: 57 Acquiring Alani Nu
Digest label: “Acquisition funding (per prior calls)”</t>
      </text>
    </comment>
    <comment ref="AK68" authorId="0" shapeId="0">
      <text>
        <t>Source: CELH Q2 2025 Earnings Call
Date: 2025-08-07
Workbook tab: 60 2025Q2 Earnings
Digest label: “Acquisition-related costs”</t>
      </text>
    </comment>
    <comment ref="AN69" authorId="0" shapeId="0">
      <text>
        <t>Source: Full-Year 2025 and Fourth Quarter Financial Results Press Release
Date: 2026-02-26
Workbook tab: 66 2025Q4 Earnings PR
Digest label: “Acquisition-related costs (FY)”</t>
      </text>
    </comment>
    <comment ref="Z70" authorId="0" shapeId="0">
      <text>
        <t>Source: Q4 2022 / FY2022 Earnings Call
Date: 2023-03-01
Workbook tab: 28 2022Q4 Earnings
Digest label: “ACV (all channels)”</t>
      </text>
    </comment>
    <comment ref="Y71" authorId="0" shapeId="0">
      <text>
        <t>Source: Q3 2022 Earnings Call
Date: 2022-11-09
Workbook tab: 27 2022Q3 Earnings
Digest label: “ACV increase in convenience”</t>
      </text>
    </comment>
    <comment ref="Y72" authorId="0" shapeId="0">
      <text>
        <t>Source: Q3 2022 Earnings Call
Date: 2022-11-09
Workbook tab: 27 2022Q3 Earnings
Digest label: “ACV increase since PepsiCo launch (all channels)”</t>
      </text>
    </comment>
    <comment ref="Z73" authorId="0" shapeId="0">
      <text>
        <t>Source: Stifel 2022 Cross Sector Insight Conference
Date: 2022-06-09
Workbook tab: 24 Stifel Conference
Digest label: “ACV sweet spot”</t>
      </text>
    </comment>
    <comment ref="R74" authorId="0" shapeId="0">
      <text>
        <t>Source: Q2 2021 Earnings Call
Date: 2021-08-12
Workbook tab: 14 2021Q2 Earnings
Digest label: “Adj. Gross Margin (ex-freight)”</t>
      </text>
    </comment>
    <comment ref="T74" authorId="0" shapeId="0">
      <text>
        <t>Source: Q3 2021 Earnings Call
Date: 2021-11-11
Workbook tab: 16 2021Q3 Earnings
Digest label: “Adj. Gross Margin (ex-freight)”</t>
      </text>
    </comment>
    <comment ref="AH75" authorId="0" shapeId="0">
      <text>
        <t>Source: Q4 2024 Earnings Call
Date: 2025-02-20
Workbook tab: 51 2024Q4 Earnings
Digest label: “Adjusted Diluted EPS”</t>
      </text>
    </comment>
    <comment ref="AI75" authorId="0" shapeId="0">
      <text>
        <t>Source: Q4 2024 Earnings Call
Date: 2025-02-20
Workbook tab: 51 2024Q4 Earnings
Digest label: “Adjusted Diluted EPS”</t>
      </text>
    </comment>
    <comment ref="AK75" authorId="0" shapeId="0">
      <text>
        <t>Source: CELH Q2 2025 Earnings Call
Date: 2025-08-07
Workbook tab: 60 2025Q2 Earnings
Digest label: “Adjusted Diluted EPS”</t>
      </text>
    </comment>
    <comment ref="AL75" authorId="0" shapeId="0">
      <text>
        <t>Source: CELH Q2 2025 Earnings Call
Date: 2025-08-07
Workbook tab: 60 2025Q2 Earnings
Digest label: “Adjusted Diluted EPS”</t>
      </text>
    </comment>
    <comment ref="AO76" authorId="0" shapeId="0">
      <text>
        <t>Source: Full-Year 2025 and Fourth Quarter Financial Results Press Release
Date: 2026-02-26
Workbook tab: 66 2025Q4 Earnings PR
Digest label: “Adjusted diluted EPS (non-GAAP)”</t>
      </text>
    </comment>
    <comment ref="AO77" authorId="0" shapeId="0">
      <text>
        <t>Source: Q4 2025 / FY2025 Earnings Call
Date: 2026-02-26
Workbook tab: 67 2025Q4 Earnings
Digest label: “Adjusted SG&amp;A”</t>
      </text>
    </comment>
    <comment ref="AP78" authorId="0" shapeId="0">
      <text>
        <t>Source: CELH Q1 2026 Earnings Call
Date: 2026-05-07
Workbook tab: 69 2026Q1 Earnings
Digest label: “Adjusted SG&amp;A % of revenue”</t>
      </text>
    </comment>
    <comment ref="AN79" authorId="0" shapeId="0">
      <text>
        <t>Source: Full-Year 2025 and Fourth Quarter Financial Results Press Release
Date: 2026-02-26
Workbook tab: 66 2025Q4 Earnings PR
Digest label: “Adjusted SG&amp;A as % of revenue (FY)”</t>
      </text>
    </comment>
    <comment ref="AN80" authorId="0" shapeId="0">
      <text>
        <t>Source: Full-Year 2025 and Fourth Quarter Financial Results Press Release
Date: 2026-02-26
Workbook tab: 66 2025Q4 Earnings PR
Digest label: “Adjusted SG&amp;A as % of revenue (Q4)”</t>
      </text>
    </comment>
    <comment ref="R81" authorId="0" shapeId="0">
      <text>
        <t>Source: Q2 2021 Earnings Call
Date: 2021-08-12
Workbook tab: 14 2021Q2 Earnings
Digest label: “Asia (China royalty)”</t>
      </text>
    </comment>
    <comment ref="T81" authorId="0" shapeId="0">
      <text>
        <t>Source: Q3 2021 Earnings Call
Date: 2021-11-11
Workbook tab: 16 2021Q3 Earnings
Digest label: “Asia (China royalty)”</t>
      </text>
    </comment>
    <comment ref="Z82" authorId="0" shapeId="0">
      <text>
        <t>Source: Q4 2022 / FY2022 Earnings Call
Date: 2023-03-01
Workbook tab: 28 2022Q4 Earnings
Digest label: “Average Items Carried Per Store (MULOC)”</t>
      </text>
    </comment>
    <comment ref="Q83" authorId="0" shapeId="0">
      <text>
        <t>Source: Q1 2022 Earnings Call
Date: 2022-05-10
Workbook tab: 20 2022Q1 Earnings
Digest label: “Average price increase (52-wk Nielsen)”</t>
      </text>
    </comment>
    <comment ref="AJ84" authorId="0" shapeId="0">
      <text>
        <t>Source: Q1 2025 Earnings Call
Date: 2025-05-06
Workbook tab: 55 2025Q1 Earnings
Digest label: “Avg items selling per store (Celsius family)”</t>
      </text>
    </comment>
    <comment ref="AJ85" authorId="0" shapeId="0">
      <text>
        <t>Source: Q1 2025 Earnings Call
Date: 2025-05-06
Workbook tab: 55 2025Q1 Earnings
Digest label: “Balance Sheet”</t>
      </text>
    </comment>
    <comment ref="AO86" authorId="0" shapeId="0">
      <text>
        <t>Source: William Blair 45th Annual Growth Stock Conference
Date: 2025-06-04
Workbook tab: 59 William Blair Conf
Digest label: “Big Beverage production opportunity”
(metric+period also reported in 1 other transcript(s))</t>
      </text>
    </comment>
    <comment ref="AP87" authorId="0" shapeId="0">
      <text>
        <t>Source: CELH Q1 2026 Earnings Call
Date: 2026-05-07
Workbook tab: 69 2026Q1 Earnings
Digest label: “Brand Celsius net sales”</t>
      </text>
    </comment>
    <comment ref="R88" authorId="0" shapeId="0">
      <text>
        <t>Source: Q1 2021 Earnings Call
Date: 2021-05-13
Workbook tab: 13 Q1 2021 Earnings
Digest label: “Can shortage resolution”</t>
      </text>
    </comment>
    <comment ref="AJ89" authorId="0" shapeId="0">
      <text>
        <t>Source: Q1 2025 Earnings Call
Date: 2025-05-06
Workbook tab: 55 2025Q1 Earnings
Digest label: “Cash &amp; Cash Equivalents”</t>
      </text>
    </comment>
    <comment ref="AB90" authorId="0" shapeId="0">
      <text>
        <t>Source: Celsius Holdings 2023 Annual General Meeting
Date: 2023-06-01
Workbook tab: 31 Annual General Meeting
Digest label: “Cash (Mar 31, 2023)”</t>
      </text>
    </comment>
    <comment ref="AA91" authorId="0" shapeId="0">
      <text>
        <t>Source: Celsius Holdings 2023 Annual General Meeting
Date: 2023-06-01
Workbook tab: 31 Annual General Meeting
Digest label: “Cash (year-end)”</t>
      </text>
    </comment>
    <comment ref="AB92" authorId="0" shapeId="0">
      <text>
        <t>Source: Celsius Holdings Q1 2023 Earnings Call
Date: 2023-05-09
Workbook tab: 29 2023Q1 Earnings
Digest label: “Cash Balance”</t>
      </text>
    </comment>
    <comment ref="AK93" authorId="0" shapeId="0">
      <text>
        <t>Source: Q4 2024 Earnings Call
Date: 2025-02-20
Workbook tab: 51 2024Q4 Earnings
Digest label: “Cash EPS Accretion”</t>
      </text>
    </comment>
    <comment ref="AO94" authorId="0" shapeId="0">
      <text>
        <t>Source: Alani Nu Modeling Call (post-closing)
Date: 2025-05-28
Workbook tab: 57 Acquiring Alani Nu
Digest label: “Cash EPS accretion”</t>
      </text>
    </comment>
    <comment ref="AG95" authorId="0" shapeId="0">
      <text>
        <t>Source: Q1 2024 Earnings Call
Date: 2024-05-07
Workbook tab: 42 Q1 2024 Earnings
Digest label: “Cash Flow from Operating Activities”</t>
      </text>
    </comment>
    <comment ref="AG96" authorId="0" shapeId="0">
      <text>
        <t>Source: Q1 2024 Earnings Call
Date: 2024-05-07
Workbook tab: 42 Q1 2024 Earnings
Digest label: “Cash on Hand (Mar 31, 2024)”</t>
      </text>
    </comment>
    <comment ref="Z97" authorId="0" shapeId="0">
      <text>
        <t>Source: Stifel 2022 Cross Sector Insight Conference
Date: 2022-06-09
Workbook tab: 24 Stifel Conference
Digest label: “Category pricing level”</t>
      </text>
    </comment>
    <comment ref="W98" authorId="0" shapeId="0">
      <text>
        <t>Source: Evercore ISI Consumer &amp; Retail Conference
Date: 2022-06-07
Workbook tab: 23 Evercore Conference
Digest label: “Celsius contribution to category growth”</t>
      </text>
    </comment>
    <comment ref="AK99" authorId="0" shapeId="0">
      <text>
        <t>Source: Q4 2024 Earnings Call
Date: 2025-02-20
Workbook tab: 51 2024Q4 Earnings
Digest label: “Celsius Distribution Expansion (retail sets)”</t>
      </text>
    </comment>
    <comment ref="AJ100" authorId="0" shapeId="0">
      <text>
        <t>Source: William Blair 45th Annual Growth Stock Conference
Date: 2025-06-04
Workbook tab: 59 William Blair Conf
Digest label: “Celsius Holdings net leverage”</t>
      </text>
    </comment>
    <comment ref="AJ101" authorId="0" shapeId="0">
      <text>
        <t>Source: Q1 2025 Earnings Call
Date: 2025-05-06
Workbook tab: 55 2025Q1 Earnings
Digest label: “Celsius US tracked-channel dollar share”</t>
      </text>
    </comment>
    <comment ref="G102" authorId="0" shapeId="0">
      <text>
        <t>Source: Q1 2019 Earnings Call
Date: 2019-05-09
Workbook tab: 03 2019Q1 Earnings
Digest label: “China Note Interest Income Q1 2019 ($000)”</t>
      </text>
    </comment>
    <comment ref="Y103" authorId="0" shapeId="0">
      <text>
        <t>Source: Q4 2021 Earnings Call
Date: 2022-03-01
Workbook tab: 19 Q4 2021 Earnings
Digest label: “China royalty minimum”</t>
      </text>
    </comment>
    <comment ref="AA104" authorId="0" shapeId="0">
      <text>
        <t>Source: Q1 2022 Earnings Call
Date: 2022-05-10
Workbook tab: 20 2022Q1 Earnings
Digest label: “China Royalty Revenue (minimum floor)”</t>
      </text>
    </comment>
    <comment ref="V105" authorId="0" shapeId="0">
      <text>
        <t>Source: Q4 2021 Earnings Call
Date: 2022-03-01
Workbook tab: 19 Q4 2021 Earnings
Digest label: “Circle K national contract”</t>
      </text>
    </comment>
    <comment ref="W106" authorId="0" shapeId="0">
      <text>
        <t>Source: Evercore ISI Consumer &amp; Retail Conference
Date: 2022-06-07
Workbook tab: 23 Evercore Conference
Digest label: “Circle K stores recently added”</t>
      </text>
    </comment>
    <comment ref="X107" authorId="0" shapeId="0">
      <text>
        <t>Source: Q2 2022 Earnings Call
Date: 2022-08-09
Workbook tab: 26 2022Q2 Earnings
Digest label: “Club channel locations”</t>
      </text>
    </comment>
    <comment ref="X108" authorId="0" shapeId="0">
      <text>
        <t>Source: Q2 2022 Earnings Call
Date: 2022-08-09
Workbook tab: 26 2022Q2 Earnings
Digest label: “Club channel revenue ($M)”</t>
      </text>
    </comment>
    <comment ref="Q109" authorId="0" shapeId="0">
      <text>
        <t>Source: Q1 2022 Earnings Call
Date: 2022-05-10
Workbook tab: 20 2022Q1 Earnings
Digest label: “Club Channel Revenue Contribution”</t>
      </text>
    </comment>
    <comment ref="AA110" authorId="0" shapeId="0">
      <text>
        <t>Source: Q4 2022 / FY2022 Earnings Call
Date: 2023-03-01
Workbook tab: 28 2022Q4 Earnings
Digest label: “Club Channel Sales”</t>
      </text>
    </comment>
    <comment ref="AC110" authorId="0" shapeId="0">
      <text>
        <t>Source: Q2 2023 Earnings Call
Date: 2023-08-08
Workbook tab: 34 2023Q2 Earnings
Digest label: “Club Channel Sales”</t>
      </text>
    </comment>
    <comment ref="AD110" authorId="0" shapeId="0">
      <text>
        <t>Source: Q3 2023 Earnings Call
Date: 2023-11-07
Workbook tab: 37 2023Q3 Earnings
Digest label: “Club Channel Sales”</t>
      </text>
    </comment>
    <comment ref="AG110" authorId="0" shapeId="0">
      <text>
        <t>Source: Q1 2024 Earnings Call
Date: 2024-05-07
Workbook tab: 42 Q1 2024 Earnings
Digest label: “Club Channel Sales”</t>
      </text>
    </comment>
    <comment ref="Y111" authorId="0" shapeId="0">
      <text>
        <t>Source: Q3 2022 Earnings Call
Date: 2022-11-09
Workbook tab: 27 2022Q3 Earnings
Digest label: “Club channel sales ($M)”</t>
      </text>
    </comment>
    <comment ref="AI112" authorId="0" shapeId="0">
      <text>
        <t>Source: Alani Nu Modeling Call (post-closing)
Date: 2025-05-28
Workbook tab: 57 Acquiring Alani Nu
Digest label: “Combined business RTD energy mix”</t>
      </text>
    </comment>
    <comment ref="AJ113" authorId="0" shapeId="0">
      <text>
        <t>Source: Q1 2025 Earnings Call
Date: 2025-05-06
Workbook tab: 55 2025Q1 Earnings
Digest label: “Combined portfolio dollar share”</t>
      </text>
    </comment>
    <comment ref="AI114" authorId="0" shapeId="0">
      <text>
        <t>Source: Alani Nu Modeling Call (post-closing)
Date: 2025-05-28
Workbook tab: 57 Acquiring Alani Nu
Digest label: “Combined US energy category dollar share”</t>
      </text>
    </comment>
    <comment ref="AK115" authorId="0" shapeId="0">
      <text>
        <t>Source: CELH Q2 2025 Earnings Call
Date: 2025-08-07
Workbook tab: 60 2025Q2 Earnings
Digest label: “Consolidated Gross Margin”</t>
      </text>
    </comment>
    <comment ref="AM116" authorId="0" shapeId="0">
      <text>
        <t>Source: CELH Q3 2025 Earnings Call
Date: 2025-11-06
Workbook tab: 63 2025Q3 Earnings
Digest label: “Consolidated Revenue ($M)”</t>
      </text>
    </comment>
    <comment ref="AO117" authorId="0" shapeId="0">
      <text>
        <t>Source: Full-Year 2025 and Fourth Quarter Financial Results Press Release
Date: 2026-02-26
Workbook tab: 66 2025Q4 Earnings PR
Digest label: “Contingent consideration”</t>
      </text>
    </comment>
    <comment ref="AB118" authorId="0" shapeId="0">
      <text>
        <t>Source: Stifel Cross Sector Insight Conference 2023
Date: 2023-06-06
Workbook tab: 32 Stifel Conference
Digest label: “Convenience / Sea Source Revenue Share”</t>
      </text>
    </comment>
    <comment ref="Z119" authorId="0" shapeId="0">
      <text>
        <t>Source: Q4 2022 / FY2022 Earnings Call
Date: 2023-03-01
Workbook tab: 28 2022Q4 Earnings
Digest label: “Convenience ACV”</t>
      </text>
    </comment>
    <comment ref="AC119" authorId="0" shapeId="0">
      <text>
        <t>Source: Q3 2023 Earnings Call
Date: 2023-11-07
Workbook tab: 37 2023Q3 Earnings
Digest label: “Convenience ACV”</t>
      </text>
    </comment>
    <comment ref="J120" authorId="0" shapeId="0">
      <text>
        <t>Source: Q3 2020 Earnings Call
Date: 2020-11-12
Workbook tab: 10 Q3 2020 Earnings
Digest label: “Convenience channel ACV”</t>
      </text>
    </comment>
    <comment ref="V120" authorId="0" shapeId="0">
      <text>
        <t>Source: Q4 2021 Earnings Call
Date: 2022-03-01
Workbook tab: 19 Q4 2021 Earnings
Digest label: “Convenience channel ACV”</t>
      </text>
    </comment>
    <comment ref="W121" authorId="0" shapeId="0">
      <text>
        <t>Source: Evercore ISI Consumer &amp; Retail Conference
Date: 2022-06-07
Workbook tab: 23 Evercore Conference
Digest label: “Convenience channel as % of revenue (historical)”</t>
      </text>
    </comment>
    <comment ref="Y122" authorId="0" shapeId="0">
      <text>
        <t>Source: Evercore ISI Consumer &amp; Retail Conference
Date: 2022-06-07
Workbook tab: 23 Evercore Conference
Digest label: “Convenience channel revenue target”</t>
      </text>
    </comment>
    <comment ref="X123" authorId="0" shapeId="0">
      <text>
        <t>Source: Q2 2022 Earnings Call
Date: 2022-08-09
Workbook tab: 26 2022Q2 Earnings
Digest label: “Convenience channel sales growth”</t>
      </text>
    </comment>
    <comment ref="Y123" authorId="0" shapeId="0">
      <text>
        <t>Source: Q3 2022 Earnings Call
Date: 2022-11-09
Workbook tab: 27 2022Q3 Earnings
Digest label: “Convenience channel sales growth”</t>
      </text>
    </comment>
    <comment ref="X124" authorId="0" shapeId="0">
      <text>
        <t>Source: Q2 2022 Earnings Call
Date: 2022-08-09
Workbook tab: 26 2022Q2 Earnings
Digest label: “Convenience channel store locations”</t>
      </text>
    </comment>
    <comment ref="V125" authorId="0" shapeId="0">
      <text>
        <t>Source: Q4 2021 Earnings Call
Date: 2022-03-01
Workbook tab: 19 Q4 2021 Earnings
Digest label: “Convenience doors”</t>
      </text>
    </comment>
    <comment ref="AN126" authorId="0" shapeId="0">
      <text>
        <t>Source: UBS Global Consumer and Retail Conference
Date: 2026-03-11
Workbook tab: 68 UBS Conference
Digest label: “Convenience growth”</t>
      </text>
    </comment>
    <comment ref="Q127" authorId="0" shapeId="0">
      <text>
        <t>Source: Q1 2022 Earnings Call
Date: 2022-05-10
Workbook tab: 20 2022Q1 Earnings
Digest label: “Convenience Store Locations”</t>
      </text>
    </comment>
    <comment ref="Y128" authorId="0" shapeId="0">
      <text>
        <t>Source: Q3 2022 Earnings Call
Date: 2022-11-09
Workbook tab: 27 2022Q3 Earnings
Digest label: “Convenience store locations”</t>
      </text>
    </comment>
    <comment ref="V129" authorId="0" shapeId="0">
      <text>
        <t>Source: Q4 &amp; Full-Year 2020 Earnings Call
Date: 2021-03-11
Workbook tab: 12 2020Q4 Earnings
Digest label: “Cooler Rollout Phase 1”</t>
      </text>
    </comment>
    <comment ref="V130" authorId="0" shapeId="0">
      <text>
        <t>Source: Q4 &amp; Full-Year 2020 Earnings Call
Date: 2021-03-11
Workbook tab: 12 2020Q4 Earnings
Digest label: “Cooler Rollout Potential”</t>
      </text>
    </comment>
    <comment ref="W131" authorId="0" shapeId="0">
      <text>
        <t>Source: 2022 Annual General Meeting (Annual Meeting of Shareholders)
Date: 2022-06-02
Workbook tab: 22 Annual Shareholder Mtg
Digest label: “Coolers on order”</t>
      </text>
    </comment>
    <comment ref="X132" authorId="0" shapeId="0">
      <text>
        <t>Source: Q2 2022 Earnings Call
Date: 2022-08-09
Workbook tab: 26 2022Q2 Earnings
Digest label: “Coolers placed Q2 (YTD)”</t>
      </text>
    </comment>
    <comment ref="Q133" authorId="0" shapeId="0">
      <text>
        <t>Source: Q1 2022 Earnings Call
Date: 2022-05-10
Workbook tab: 20 2022Q1 Earnings
Digest label: “Costco Q1 Revenue Growth”</t>
      </text>
    </comment>
    <comment ref="V134" authorId="0" shapeId="0">
      <text>
        <t>Source: Q4 2021 Earnings Call
Date: 2022-03-01
Workbook tab: 19 Q4 2021 Earnings
Digest label: “Costco stores”</t>
      </text>
    </comment>
    <comment ref="P135" authorId="0" shapeId="0">
      <text>
        <t>Source: Q4 &amp; Full-Year 2020 Earnings Call
Date: 2021-03-11
Workbook tab: 12 2020Q4 Earnings
Digest label: “Debt”</t>
      </text>
    </comment>
    <comment ref="AJ135" authorId="0" shapeId="0">
      <text>
        <t>Source: Q1 2025 Earnings Call
Date: 2025-05-06
Workbook tab: 55 2025Q1 Earnings
Digest label: “Debt”</t>
      </text>
    </comment>
    <comment ref="AO136" authorId="0" shapeId="0">
      <text>
        <t>Source: Full-Year 2025 and Fourth Quarter Financial Results Press Release
Date: 2026-02-26
Workbook tab: 66 2025Q4 Earnings PR
Digest label: “Diluted EPS (GAAP)”</t>
      </text>
    </comment>
    <comment ref="M137" authorId="0" shapeId="0">
      <text>
        <t>Source: Q2 2020 Earnings Call
Date: 2020-08-06
Workbook tab: 08 Q2 2020 Earnings
Digest label: “Distribution / Channel Stats”
(metric+period also reported in 1 other transcript(s))</t>
      </text>
    </comment>
    <comment ref="AA138" authorId="0" shapeId="0">
      <text>
        <t>Source: Celsius Holdings 2023 Annual General Meeting
Date: 2023-06-01
Workbook tab: 31 Annual General Meeting
Digest label: “Distribution Termination Expenses”</t>
      </text>
    </comment>
    <comment ref="AO139" authorId="0" shapeId="0">
      <text>
        <t>Source: Q4 2025 / FY2025 Earnings Call
Date: 2026-02-26
Workbook tab: 67 2025Q4 Earnings
Digest label: “Distributor termination &amp; integration adj”</t>
      </text>
    </comment>
    <comment ref="AN140" authorId="0" shapeId="0">
      <text>
        <t>Source: Full-Year 2025 and Fourth Quarter Financial Results Press Release
Date: 2026-02-26
Workbook tab: 66 2025Q4 Earnings PR
Digest label: “Distributor termination costs (Q4)”</t>
      </text>
    </comment>
    <comment ref="R141" authorId="0" shapeId="0">
      <text>
        <t>Source: Q2 2021 Earnings Call
Date: 2021-08-12
Workbook tab: 14 2021Q2 Earnings
Digest label: “DPO (days)”</t>
      </text>
    </comment>
    <comment ref="N142" authorId="0" shapeId="0">
      <text>
        <t>Source: Q4 &amp; Full-Year 2019 Earnings Call
Date: 2020-03-12
Workbook tab: 06 2019Q4 Earnings
Digest label: “DSD Coverage”</t>
      </text>
    </comment>
    <comment ref="W143" authorId="0" shapeId="0">
      <text>
        <t>Source: 2022 Annual General Meeting (Annual Meeting of Shareholders)
Date: 2022-06-02
Workbook tab: 22 Annual Shareholder Mtg
Digest label: “DSD distributor revenue growth”</t>
      </text>
    </comment>
    <comment ref="X144" authorId="0" shapeId="0">
      <text>
        <t>Source: Q2 2022 Earnings Call
Date: 2022-08-09
Workbook tab: 26 2022Q2 Earnings
Digest label: “DSD incremental revenue ($M)”</t>
      </text>
    </comment>
    <comment ref="Q145" authorId="0" shapeId="0">
      <text>
        <t>Source: Q1 2022 Earnings Call
Date: 2022-05-10
Workbook tab: 20 2022Q1 Earnings
Digest label: “DSD Network Reach”</t>
      </text>
    </comment>
    <comment ref="X146" authorId="0" shapeId="0">
      <text>
        <t>Source: Q2 2022 Earnings Call
Date: 2022-08-09
Workbook tab: 26 2022Q2 Earnings
Digest label: “DSD network sales ($M)”</t>
      </text>
    </comment>
    <comment ref="M147" authorId="0" shapeId="0">
      <text>
        <t>Source: Q3 2020 Earnings Call
Date: 2020-11-12
Workbook tab: 10 Q3 2020 Earnings
Digest label: “DSD partners”</t>
      </text>
    </comment>
    <comment ref="M148" authorId="0" shapeId="0">
      <text>
        <t>Source: Q2 2020 Earnings Call
Date: 2020-08-06
Workbook tab: 08 Q2 2020 Earnings
Digest label: “DSD penetration of stores”</t>
      </text>
    </comment>
    <comment ref="V149" authorId="0" shapeId="0">
      <text>
        <t>Source: Q4 2021 Earnings Call
Date: 2022-03-01
Workbook tab: 19 Q4 2021 Earnings
Digest label: “DSD population coverage”</t>
      </text>
    </comment>
    <comment ref="W149" authorId="0" shapeId="0">
      <text>
        <t>Source: 2022 Annual General Meeting (Annual Meeting of Shareholders)
Date: 2022-06-02
Workbook tab: 22 Annual Shareholder Mtg
Digest label: “DSD population coverage”</t>
      </text>
    </comment>
    <comment ref="M150" authorId="0" shapeId="0">
      <text>
        <t>Source: Q2 2020 Earnings Call
Date: 2020-08-06
Workbook tab: 08 Q2 2020 Earnings
Digest label: “DSD regional partners”</t>
      </text>
    </comment>
    <comment ref="V151" authorId="0" shapeId="0">
      <text>
        <t>Source: Q4 2021 Earnings Call
Date: 2022-03-01
Workbook tab: 19 Q4 2021 Earnings
Digest label: “DSD service centers”</t>
      </text>
    </comment>
    <comment ref="R152" authorId="0" shapeId="0">
      <text>
        <t>Source: Q2 2021 Earnings Call
Date: 2021-08-12
Workbook tab: 14 2021Q2 Earnings
Digest label: “DSO (days)”</t>
      </text>
    </comment>
    <comment ref="AK153" authorId="0" shapeId="0">
      <text>
        <t>Source: CELH Q2 2025 Earnings Call
Date: 2025-08-07
Workbook tab: 60 2025Q2 Earnings
Digest label: “Earn-out contingent consideration charge”</t>
      </text>
    </comment>
    <comment ref="AN154" authorId="0" shapeId="0">
      <text>
        <t>Source: CELH Q2 2025 Earnings Call
Date: 2025-08-07
Workbook tab: 60 2025Q2 Earnings
Digest label: “Earn-out maximum payout”</t>
      </text>
    </comment>
    <comment ref="Y155" authorId="0" shapeId="0">
      <text>
        <t>Source: Q3 2022 Earnings Call
Date: 2022-11-09
Workbook tab: 27 2022Q3 Earnings
Digest label: “Effective tax rate (9 months)”</t>
      </text>
    </comment>
    <comment ref="Z156" authorId="0" shapeId="0">
      <text>
        <t>Source: Q3 2022 Earnings Call
Date: 2022-11-09
Workbook tab: 27 2022Q3 Earnings
Digest label: “Effective tax rate (go-forward)”</t>
      </text>
    </comment>
    <comment ref="W157" authorId="0" shapeId="0">
      <text>
        <t>Source: Evercore ISI Consumer &amp; Retail Conference
Date: 2022-06-07
Workbook tab: 23 Evercore Conference
Digest label: “Energy category dollar growth (period)”</t>
      </text>
    </comment>
    <comment ref="W158" authorId="0" shapeId="0">
      <text>
        <t>Source: Evercore ISI Consumer &amp; Retail Conference
Date: 2022-06-07
Workbook tab: 23 Evercore Conference
Digest label: “Energy category growth rate”</t>
      </text>
    </comment>
    <comment ref="Z159" authorId="0" shapeId="0">
      <text>
        <t>Source: Credit Suisse HALO Investment Summit
Date: 2022-05-25
Workbook tab: 21 Credit Suisse Conf
Digest label: “Energy category long-term growth”</t>
      </text>
    </comment>
    <comment ref="J160" authorId="0" shapeId="0">
      <text>
        <t>Source: Q3 2019 Earnings Call
Date: 2019-11-07
Workbook tab: 05 2019Q3 Earnings
Digest label: “EPS Basic Q3 2019 ($)”</t>
      </text>
    </comment>
    <comment ref="K160" authorId="0" shapeId="0">
      <text>
        <t>Source: Q3 2019 Earnings Call
Date: 2019-11-07
Workbook tab: 05 2019Q3 Earnings
Digest label: “YTD EPS Basic 9M 2019 ($)”</t>
      </text>
    </comment>
    <comment ref="AJ161" authorId="0" shapeId="0">
      <text>
        <t>Source: Goldman Sachs Global Staples Forum
Date: 2025-05-13
Workbook tab: 56 Goldman Sachs Conf
Digest label: “Eric Hansen tenure”</t>
      </text>
    </comment>
    <comment ref="AG162" authorId="0" shapeId="0">
      <text>
        <t>Source: Stephens Annual Investment Conference
Date: 2023-11-15
Workbook tab: 38 Stephens Conf 2023-11
Digest label: “Essentials 16oz National Rollout”</t>
      </text>
    </comment>
    <comment ref="AI163" authorId="0" shapeId="0">
      <text>
        <t>Source: Morgan Stanley Global Consumer &amp; Retail Conference
Date: 2023-12-06
Workbook tab: 39 Morgan Stanley Conf 12-06
Digest label: “ESSENTIALS Line”</t>
      </text>
    </comment>
    <comment ref="R164" authorId="0" shapeId="0">
      <text>
        <t>Source: Q2 2021 Earnings Call
Date: 2021-08-12
Workbook tab: 14 2021Q2 Earnings
Digest label: “Europe (Nordic)”</t>
      </text>
    </comment>
    <comment ref="T165" authorId="0" shapeId="0">
      <text>
        <t>Source: Q3 2021 Earnings Call
Date: 2021-11-11
Workbook tab: 16 2021Q3 Earnings
Digest label: “Europe / Nordic”</t>
      </text>
    </comment>
    <comment ref="AB166" authorId="0" shapeId="0">
      <text>
        <t>Source: Stifel Cross Sector Insight Conference 2023
Date: 2023-06-06
Workbook tab: 32 Stifel Conference
Digest label: “Q1 Excess Order Timing”</t>
      </text>
    </comment>
    <comment ref="X167" authorId="0" shapeId="0">
      <text>
        <t>Source: Celsius Holdings / PepsiCo Distribution Partnership Conference Call ($550M PepsiCo Investment)
Date: 2022-08-01
Workbook tab: 25 PepsiCo Distribution
Digest label: “Expected distribution expansion”</t>
      </text>
    </comment>
    <comment ref="Q168" authorId="0" shapeId="0">
      <text>
        <t>Source: Q1 2022 Earnings Call
Date: 2022-05-10
Workbook tab: 20 2022Q1 Earnings
Digest label: “Q1 Fill Rate”</t>
      </text>
    </comment>
    <comment ref="R169" authorId="0" shapeId="0">
      <text>
        <t>Source: Q1 2021 Earnings Call
Date: 2021-05-13
Workbook tab: 13 Q1 2021 Earnings
Digest label: “Fill-rate recovery to full”</t>
      </text>
    </comment>
    <comment ref="AJ170" authorId="0" shapeId="0">
      <text>
        <t>Source: Q1 2025 Earnings Call
Date: 2025-05-06
Workbook tab: 55 2025Q1 Earnings
Digest label: “Foodservice as % of NA sales (via PepsiCo)”</t>
      </text>
    </comment>
    <comment ref="AD171" authorId="0" shapeId="0">
      <text>
        <t>Source: Q3 2023 Earnings Call
Date: 2023-11-07
Workbook tab: 37 2023Q3 Earnings
Digest label: “YTD Freight (% of net revenues)”</t>
      </text>
    </comment>
    <comment ref="AF172" authorId="0" shapeId="0">
      <text>
        <t>Source: Q4 2022 / FY2022 Earnings Call
Date: 2023-03-01
Workbook tab: 28 2022Q4 Earnings
Digest label: “Freight (% of Revenue) trend”</t>
      </text>
    </comment>
    <comment ref="T173" authorId="0" shapeId="0">
      <text>
        <t>Source: Morgan Stanley Global Consumer &amp; Retail Conference 2021
Date: 2021-11-30
Workbook tab: 18 Morgan Stanley Conf
Digest label: “Freight Reduction Opportunity”</t>
      </text>
    </comment>
    <comment ref="W174" authorId="0" shapeId="0">
      <text>
        <t>Source: Q1 2022 Earnings Call
Date: 2022-05-10
Workbook tab: 20 2022Q1 Earnings
Digest label: “G&amp;A % of Revenue”</t>
      </text>
    </comment>
    <comment ref="AK175" authorId="0" shapeId="0">
      <text>
        <t>Source: CELH Q2 2025 Earnings Call
Date: 2025-08-07
Workbook tab: 60 2025Q2 Earnings
Digest label: “G&amp;A % of revenue”</t>
      </text>
    </comment>
    <comment ref="AB176" authorId="0" shapeId="0">
      <text>
        <t>Source: Celsius Holdings Q1 2023 Earnings Call
Date: 2023-05-09
Workbook tab: 29 2023Q1 Earnings
Digest label: “G&amp;A % of Sales”</t>
      </text>
    </comment>
    <comment ref="AE176" authorId="0" shapeId="0">
      <text>
        <t>Source: Celsius Holdings Q4 2023 Earnings Call
Date: 2024-02-29
Workbook tab: 40 2023Q4 Earnings
Digest label: “G&amp;A % of Sales”</t>
      </text>
    </comment>
    <comment ref="AF176" authorId="0" shapeId="0">
      <text>
        <t>Source: Celsius Holdings Q4 2023 Earnings Call
Date: 2024-02-29
Workbook tab: 40 2023Q4 Earnings
Digest label: “G&amp;A % of Sales”</t>
      </text>
    </comment>
    <comment ref="AM177" authorId="0" shapeId="0">
      <text>
        <t>Source: CELH Q3 2025 Earnings Call
Date: 2025-11-06
Workbook tab: 63 2025Q3 Earnings
Digest label: “G&amp;A % of sales (ex-acquisition costs)”</t>
      </text>
    </comment>
    <comment ref="X178" authorId="0" shapeId="0">
      <text>
        <t>Source: Q2 2022 Earnings Call
Date: 2022-08-09
Workbook tab: 26 2022Q2 Earnings
Digest label: “G&amp;A (% of revenue)”</t>
      </text>
    </comment>
    <comment ref="Y178" authorId="0" shapeId="0">
      <text>
        <t>Source: Q3 2022 Earnings Call
Date: 2022-11-09
Workbook tab: 27 2022Q3 Earnings
Digest label: “G&amp;A (% of revenue)”</t>
      </text>
    </comment>
    <comment ref="AC179" authorId="0" shapeId="0">
      <text>
        <t>Source: Q2 2023 Earnings Call
Date: 2023-08-08
Workbook tab: 34 2023Q2 Earnings
Digest label: “G&amp;A (% of sales)”</t>
      </text>
    </comment>
    <comment ref="AD179" authorId="0" shapeId="0">
      <text>
        <t>Source: Q3 2023 Earnings Call
Date: 2023-11-07
Workbook tab: 37 2023Q3 Earnings
Digest label: “G&amp;A (% of sales)”</t>
      </text>
    </comment>
    <comment ref="AI179" authorId="0" shapeId="0">
      <text>
        <t>Source: Q4 2024 Earnings Call
Date: 2025-02-20
Workbook tab: 51 2024Q4 Earnings
Digest label: “G&amp;A (% of sales)”</t>
      </text>
    </comment>
    <comment ref="AG180" authorId="0" shapeId="0">
      <text>
        <t>Source: Q1 2024 Earnings Call
Date: 2024-05-07
Workbook tab: 42 Q1 2024 Earnings
Digest label: “G&amp;A (% of Sales)”</t>
      </text>
    </comment>
    <comment ref="AO181" authorId="0" shapeId="0">
      <text>
        <t>Source: Q4 2025 / FY2025 Earnings Call
Date: 2026-02-26
Workbook tab: 67 2025Q4 Earnings
Digest label: “G&amp;A (Adjusted)”</t>
      </text>
    </comment>
    <comment ref="AO182" authorId="0" shapeId="0">
      <text>
        <t>Source: Q4 2025 / FY2025 Earnings Call
Date: 2026-02-26
Workbook tab: 67 2025Q4 Earnings
Digest label: “G&amp;A (GAAP)”</t>
      </text>
    </comment>
    <comment ref="AA183" authorId="0" shapeId="0">
      <text>
        <t>Source: Celsius Holdings 2023 Annual General Meeting
Date: 2023-06-01
Workbook tab: 31 Annual General Meeting
Digest label: “G&amp;A Expense”</t>
      </text>
    </comment>
    <comment ref="AB183" authorId="0" shapeId="0">
      <text>
        <t>Source: Celsius Holdings Q1 2023 Earnings Call
Date: 2023-05-09
Workbook tab: 29 2023Q1 Earnings
Digest label: “G&amp;A Expense ($M)”
(metric+period also reported in 1 other transcript(s))</t>
      </text>
    </comment>
    <comment ref="AC183" authorId="0" shapeId="0">
      <text>
        <t>Source: Q2 2023 Earnings Call
Date: 2023-08-08
Workbook tab: 34 2023Q2 Earnings
Digest label: “G&amp;A Expense ($)”</t>
      </text>
    </comment>
    <comment ref="AD183" authorId="0" shapeId="0">
      <text>
        <t>Source: Q3 2023 Earnings Call
Date: 2023-11-07
Workbook tab: 37 2023Q3 Earnings
Digest label: “G&amp;A Expense ($)”</t>
      </text>
    </comment>
    <comment ref="AE183" authorId="0" shapeId="0">
      <text>
        <t>Source: Celsius Holdings Q4 2023 Earnings Call
Date: 2024-02-29
Workbook tab: 40 2023Q4 Earnings
Digest label: “G&amp;A Expense ($M)”</t>
      </text>
    </comment>
    <comment ref="AG183" authorId="0" shapeId="0">
      <text>
        <t>Source: Q1 2024 Earnings Call
Date: 2024-05-07
Workbook tab: 42 Q1 2024 Earnings
Digest label: “G&amp;A Expense”</t>
      </text>
    </comment>
    <comment ref="AK183" authorId="0" shapeId="0">
      <text>
        <t>Source: CELH Q2 2025 Earnings Call
Date: 2025-08-07
Workbook tab: 60 2025Q2 Earnings
Digest label: “G&amp;A Expense ($M)”</t>
      </text>
    </comment>
    <comment ref="X184" authorId="0" shapeId="0">
      <text>
        <t>Source: Q2 2022 Earnings Call
Date: 2022-08-09
Workbook tab: 26 2022Q2 Earnings
Digest label: “G&amp;A expenses”</t>
      </text>
    </comment>
    <comment ref="Y184" authorId="0" shapeId="0">
      <text>
        <t>Source: Q3 2022 Earnings Call
Date: 2022-11-09
Workbook tab: 27 2022Q3 Earnings
Digest label: “G&amp;A expenses”</t>
      </text>
    </comment>
    <comment ref="AJ185" authorId="0" shapeId="0">
      <text>
        <t>Source: Q1 2025 Earnings Call
Date: 2025-05-06
Workbook tab: 55 2025Q1 Earnings
Digest label: “GAAP Diluted EPS”</t>
      </text>
    </comment>
    <comment ref="AK185" authorId="0" shapeId="0">
      <text>
        <t>Source: CELH Q2 2025 Earnings Call
Date: 2025-08-07
Workbook tab: 60 2025Q2 Earnings
Digest label: “GAAP Diluted EPS”</t>
      </text>
    </comment>
    <comment ref="R186" authorId="0" shapeId="0">
      <text>
        <t>Source: 2021 Annual Meeting of Shareholders
Date: 2021-08-19
Workbook tab: 15 Annual Shareholder Mtg
Digest label: “GAAP Gross Margin”</t>
      </text>
    </comment>
    <comment ref="AP187" authorId="0" shapeId="0">
      <text>
        <t>Source: CELH Q1 2026 Earnings Call
Date: 2026-05-07
Workbook tab: 69 2026Q1 Earnings
Digest label: “GAAP Net Income ($M)”</t>
      </text>
    </comment>
    <comment ref="AJ188" authorId="0" shapeId="0">
      <text>
        <t>Source: Q1 2025 Earnings Call
Date: 2025-05-06
Workbook tab: 55 2025Q1 Earnings
Digest label: “Gap (promos/incentives + non-DSD timing)”</t>
      </text>
    </comment>
    <comment ref="AO189" authorId="0" shapeId="0">
      <text>
        <t>Source: Alani Nu Modeling Call (post-closing)
Date: 2025-05-28
Workbook tab: 57 Acquiring Alani Nu
Digest label: “Global energy category growth”</t>
      </text>
    </comment>
    <comment ref="AC190" authorId="0" shapeId="0">
      <text>
        <t>Source: Stephens Annual Investment Conference
Date: 2023-11-15
Workbook tab: 38 Stephens Conf 2023-11
Digest label: “Gross Margin Aspiration”</t>
      </text>
    </comment>
    <comment ref="AK191" authorId="0" shapeId="0">
      <text>
        <t>Source: CELH Q2 2025 Earnings Call
Date: 2025-08-07
Workbook tab: 60 2025Q2 Earnings
Digest label: “Gross Margin ex inventory step-up”</t>
      </text>
    </comment>
    <comment ref="Y192" authorId="0" shapeId="0">
      <text>
        <t>Source: Q3 2022 Earnings Call
Date: 2022-11-09
Workbook tab: 27 2022Q3 Earnings
Digest label: “Gross margin sequential change (vs Q2)”</t>
      </text>
    </comment>
    <comment ref="AG193" authorId="0" shapeId="0">
      <text>
        <t>Source: UBS Global Consumer and Retail Conference 2024
Date: 2024-03-14
Workbook tab: 41 UBS Conference
Digest label: “Gross Profit Margin (long term)”</t>
      </text>
    </comment>
    <comment ref="AA194" authorId="0" shapeId="0">
      <text>
        <t>Source: Q2 2021 Earnings Call
Date: 2021-08-12
Workbook tab: 14 2021Q2 Earnings
Digest label: “Gross Profit Margin Floor”</t>
      </text>
    </comment>
    <comment ref="AJ195" authorId="0" shapeId="0">
      <text>
        <t>Source: UBS Global Consumer and Retail Conference
Date: 2026-03-11
Workbook tab: 68 UBS Conference
Digest label: “Growth current”</t>
      </text>
    </comment>
    <comment ref="J196" authorId="0" shapeId="0">
      <text>
        <t>Source: Q3 2020 Earnings Call
Date: 2020-11-12
Workbook tab: 10 Q3 2020 Earnings
Digest label: “Health club/specialty channel revenue”</t>
      </text>
    </comment>
    <comment ref="Z197" authorId="0" shapeId="0">
      <text>
        <t>Source: Celsius Holdings / PepsiCo Distribution Partnership Conference Call ($550M PepsiCo Investment)
Date: 2022-08-01
Workbook tab: 25 PepsiCo Distribution
Digest label: “Healthy-functional-energy exclusivity”</t>
      </text>
    </comment>
    <comment ref="AC198" authorId="0" shapeId="0">
      <text>
        <t>Source: Q3 2023 Earnings Call
Date: 2023-11-07
Workbook tab: 37 2023Q3 Earnings
Digest label: “Household Penetration”</t>
      </text>
    </comment>
    <comment ref="T199" authorId="0" shapeId="0">
      <text>
        <t>Source: Morgan Stanley Global Consumer &amp; Retail Conference 2021
Date: 2021-11-30
Workbook tab: 18 Morgan Stanley Conf
Digest label: “Imported Can Cycle-Through”</t>
      </text>
    </comment>
    <comment ref="AO200" authorId="0" shapeId="0">
      <text>
        <t>Source: UBS Global Consumer and Retail Conference
Date: 2025-03-12
Workbook tab: 53 UBS Conf 2025-03-12
Digest label: “Incremental Cooler Placement”</t>
      </text>
    </comment>
    <comment ref="R201" authorId="0" shapeId="0">
      <text>
        <t>Source: Q2 2021 Earnings Call
Date: 2021-08-12
Workbook tab: 14 2021Q2 Earnings
Digest label: “International”</t>
      </text>
    </comment>
    <comment ref="T201" authorId="0" shapeId="0">
      <text>
        <t>Source: Q3 2021 Earnings Call
Date: 2021-11-11
Workbook tab: 16 2021Q3 Earnings
Digest label: “International”</t>
      </text>
    </comment>
    <comment ref="AB201" authorId="0" shapeId="0">
      <text>
        <t>Source: Celsius Holdings Q1 2023 Earnings Call
Date: 2023-05-09
Workbook tab: 29 2023Q1 Earnings
Digest label: “International”</t>
      </text>
    </comment>
    <comment ref="AE201" authorId="0" shapeId="0">
      <text>
        <t>Source: Celsius Holdings Q4 2023 Earnings Call
Date: 2024-02-29
Workbook tab: 40 2023Q4 Earnings
Digest label: “International”</t>
      </text>
    </comment>
    <comment ref="AF201" authorId="0" shapeId="0">
      <text>
        <t>Source: Celsius Holdings Q4 2023 Earnings Call
Date: 2024-02-29
Workbook tab: 40 2023Q4 Earnings
Digest label: “International”</t>
      </text>
    </comment>
    <comment ref="AK202" authorId="0" shapeId="0">
      <text>
        <t>Source: CELH Q2 2025 Earnings Call
Date: 2025-08-07
Workbook tab: 60 2025Q2 Earnings
Digest label: “International (H1)”</t>
      </text>
    </comment>
    <comment ref="AI203" authorId="0" shapeId="0">
      <text>
        <t>Source: Barclays Global Consumer Staples Conference
Date: 2023-09-07
Workbook tab: 35 Barclays Conf 2023-09
Digest label: “International Cadence”</t>
      </text>
    </comment>
    <comment ref="Q204" authorId="0" shapeId="0">
      <text>
        <t>Source: Q1 2022 Earnings Call
Date: 2022-05-10
Workbook tab: 20 2022Q1 Earnings
Digest label: “International cans on the books”</t>
      </text>
    </comment>
    <comment ref="AF205" authorId="0" shapeId="0">
      <text>
        <t>Source: Celsius Holdings Q1 2023 Earnings Call
Date: 2023-05-09
Workbook tab: 29 2023Q1 Earnings
Digest label: “International Expansion”</t>
      </text>
    </comment>
    <comment ref="AI205" authorId="0" shapeId="0">
      <text>
        <t>Source: Piper Sandler Growth Frontiers Conference
Date: 2023-09-13
Workbook tab: 36 Piper Sandler Conf 09-13
Digest label: “International Expansion”</t>
      </text>
    </comment>
    <comment ref="Z206" authorId="0" shapeId="0">
      <text>
        <t>Source: Celsius Holdings / PepsiCo Distribution Partnership Conference Call ($550M PepsiCo Investment)
Date: 2022-08-01
Workbook tab: 25 PepsiCo Distribution
Digest label: “International market entry (UK, Germany, Canada, W. Europe)”</t>
      </text>
    </comment>
    <comment ref="AI207" authorId="0" shapeId="0">
      <text>
        <t>Source: Morgan Stanley Global Consumer &amp; Retail Conference
Date: 2023-12-06
Workbook tab: 39 Morgan Stanley Conf 12-06
Digest label: “International Rollout”</t>
      </text>
    </comment>
    <comment ref="Z208" authorId="0" shapeId="0">
      <text>
        <t>Source: Q4 2022 / FY2022 Earnings Call
Date: 2023-03-01
Workbook tab: 28 2022Q4 Earnings
Digest label: “International Sales”</t>
      </text>
    </comment>
    <comment ref="X209" authorId="0" shapeId="0">
      <text>
        <t>Source: Q2 2022 Earnings Call
Date: 2022-08-09
Workbook tab: 26 2022Q2 Earnings
Digest label: “International sales”</t>
      </text>
    </comment>
    <comment ref="Y209" authorId="0" shapeId="0">
      <text>
        <t>Source: Q3 2022 Earnings Call
Date: 2022-11-09
Workbook tab: 27 2022Q3 Earnings
Digest label: “International sales”</t>
      </text>
    </comment>
    <comment ref="AO210" authorId="0" shapeId="0">
      <text>
        <t>Source: dbAccess Global Consumer Conference (Deutsche Bank, Paris)
Date: 2025-06-03
Workbook tab: 58 Deutsche Bank Conf
Digest label: “International share aspiration”</t>
      </text>
    </comment>
    <comment ref="R211" authorId="0" shapeId="0">
      <text>
        <t>Source: Q2 2021 Earnings Call
Date: 2021-08-12
Workbook tab: 14 2021Q2 Earnings
Digest label: “Inventory Days on Hand”</t>
      </text>
    </comment>
    <comment ref="T212" authorId="0" shapeId="0">
      <text>
        <t>Source: Q3 2021 Earnings Call
Date: 2021-11-11
Workbook tab: 16 2021Q3 Earnings
Digest label: “Inventory Increase (9M)”</t>
      </text>
    </comment>
    <comment ref="U213" authorId="0" shapeId="0">
      <text>
        <t>Source: Q4 2021 Earnings Call
Date: 2022-03-01
Workbook tab: 19 Q4 2021 Earnings
Digest label: “Inventory normalization cash release”</t>
      </text>
    </comment>
    <comment ref="AO214" authorId="0" shapeId="0">
      <text>
        <t>Source: Alani Nu Modeling Call (post-closing)
Date: 2025-05-28
Workbook tab: 57 Acquiring Alani Nu
Digest label: “Inventory step-up”</t>
      </text>
    </comment>
    <comment ref="AN215" authorId="0" shapeId="0">
      <text>
        <t>Source: Full-Year 2025 and Fourth Quarter Financial Results Press Release
Date: 2026-02-26
Workbook tab: 66 2025Q4 Earnings PR
Digest label: “Inventory valuation step-up (non-cash, FY)”</t>
      </text>
    </comment>
    <comment ref="Y216" authorId="0" shapeId="0">
      <text>
        <t>Source: Q3 2022 Earnings Call
Date: 2022-11-09
Workbook tab: 27 2022Q3 Earnings
Digest label: “Items carried per store”</t>
      </text>
    </comment>
    <comment ref="AB217" authorId="0" shapeId="0">
      <text>
        <t>Source: Evercore ISI 3rd Annual Consumer and Retail Conference
Date: 2023-06-14
Workbook tab: 33 Evercore Conference
Digest label: “Items per Store”</t>
      </text>
    </comment>
    <comment ref="R218" authorId="0" shapeId="0">
      <text>
        <t>Source: Q2 2021 Earnings Call
Date: 2021-08-12
Workbook tab: 14 2021Q2 Earnings
Digest label: “June 9 Offering Net Proceeds (to Company)”</t>
      </text>
    </comment>
    <comment ref="AB219" authorId="0" shapeId="0">
      <text>
        <t>Source: Evercore ISI 3rd Annual Consumer and Retail Conference
Date: 2023-06-14
Workbook tab: 33 Evercore Conference
Digest label: “Key Markets”</t>
      </text>
    </comment>
    <comment ref="AK220" authorId="0" shapeId="0">
      <text>
        <t>Source: CELH Piper Sandler 4th Annual Growth Frontiers Conference
Date: 2025-09-10
Workbook tab: 62 Piper Sandler 2025-09
Digest label: “Long-term gross margin aspiration (apples-to-apples vs Monster)”</t>
      </text>
    </comment>
    <comment ref="AI221" authorId="0" shapeId="0">
      <text>
        <t>Source: Morgan Stanley Global Consumer &amp; Retail Conference
Date: 2023-12-06
Workbook tab: 39 Morgan Stanley Conf 12-06
Digest label: “Long-Term Gross Margin Goal”</t>
      </text>
    </comment>
    <comment ref="AI222" authorId="0" shapeId="0">
      <text>
        <t>Source: Barclays Global Consumer Staples Conference
Date: 2023-09-07
Workbook tab: 35 Barclays Conf 2023-09
Digest label: “Long-Term Operating Margin”</t>
      </text>
    </comment>
    <comment ref="AI223" authorId="0" shapeId="0">
      <text>
        <t>Source: Piper Sandler Growth Frontiers Conference
Date: 2023-09-13
Workbook tab: 36 Piper Sandler Conf 09-13
Digest label: “Q3 Margin”</t>
      </text>
    </comment>
    <comment ref="AO224" authorId="0" shapeId="0">
      <text>
        <t>Source: Alani Nu Modeling Call (post-closing)
Date: 2025-05-28
Workbook tab: 57 Acquiring Alani Nu
Digest label: “Marketing uplift share of synergies (per analyst, Slide 19)”</t>
      </text>
    </comment>
    <comment ref="AB225" authorId="0" shapeId="0">
      <text>
        <t>Source: Stifel Cross Sector Insight Conference 2023
Date: 2023-06-06
Workbook tab: 32 Stifel Conference
Digest label: “Markets Expanded Into”</t>
      </text>
    </comment>
    <comment ref="W226" authorId="0" shapeId="0">
      <text>
        <t>Source: Evercore ISI Consumer &amp; Retail Conference
Date: 2022-06-07
Workbook tab: 23 Evercore Conference
Digest label: “Micro-market placements”</t>
      </text>
    </comment>
    <comment ref="AC227" authorId="0" shapeId="0">
      <text>
        <t>Source: Q3 2023 Earnings Call
Date: 2023-11-07
Workbook tab: 37 2023Q3 Earnings
Digest label: “MULOC ACV”</t>
      </text>
    </comment>
    <comment ref="Y228" authorId="0" shapeId="0">
      <text>
        <t>Source: Q3 2022 Earnings Call
Date: 2022-11-09
Workbook tab: 27 2022Q3 Earnings
Digest label: “MULOC locations serviced by DSD”</t>
      </text>
    </comment>
    <comment ref="AJ229" authorId="0" shapeId="0">
      <text>
        <t>Source: Q1 2025 Earnings Call
Date: 2025-05-06
Workbook tab: 55 2025Q1 Earnings
Digest label: “Multipack share of retail sales mix”</t>
      </text>
    </comment>
    <comment ref="AD230" authorId="0" shapeId="0">
      <text>
        <t>Source: Q3 2023 Earnings Call
Date: 2023-11-07
Workbook tab: 37 2023Q3 Earnings
Digest label: “Net Income (common shareholders)”</t>
      </text>
    </comment>
    <comment ref="AO231" authorId="0" shapeId="0">
      <text>
        <t>Source: Full-Year 2025 and Fourth Quarter Financial Results Press Release
Date: 2026-02-26
Workbook tab: 66 2025Q4 Earnings PR
Digest label: “Net income (GAAP)”</t>
      </text>
    </comment>
    <comment ref="AO232" authorId="0" shapeId="0">
      <text>
        <t>Source: Q4 2025 / FY2025 Earnings Call
Date: 2026-02-26
Workbook tab: 67 2025Q4 Earnings
Digest label: “Net Income (GAAP)”</t>
      </text>
    </comment>
    <comment ref="AJ233" authorId="0" shapeId="0">
      <text>
        <t>Source: Q1 2025 Earnings Call
Date: 2025-05-06
Workbook tab: 55 2025Q1 Earnings
Digest label: “Net Income (to common)”</t>
      </text>
    </comment>
    <comment ref="AH234" authorId="0" shapeId="0">
      <text>
        <t>Source: Q4 2024 Earnings Call
Date: 2025-02-20
Workbook tab: 51 2024Q4 Earnings
Digest label: “Net Income / (Loss)”</t>
      </text>
    </comment>
    <comment ref="J235" authorId="0" shapeId="0">
      <text>
        <t>Source: Q3 2019 Earnings Call
Date: 2019-11-07
Workbook tab: 05 2019Q3 Earnings
Digest label: “Net Income to Common Q3 2019 ($000)”</t>
      </text>
    </comment>
    <comment ref="R236" authorId="0" shapeId="0">
      <text>
        <t>Source: Q2 2021 Earnings Call
Date: 2021-08-12
Workbook tab: 14 2021Q2 Earnings
Digest label: “Net Inventory”</t>
      </text>
    </comment>
    <comment ref="V236" authorId="0" shapeId="0">
      <text>
        <t>Source: Q4 2021 Earnings Call
Date: 2022-03-01
Workbook tab: 19 Q4 2021 Earnings
Digest label: “Net Inventory”</t>
      </text>
    </comment>
    <comment ref="AI237" authorId="0" shapeId="0">
      <text>
        <t>Source: Alani Nu Modeling Call (post-closing)
Date: 2025-05-28
Workbook tab: 57 Acquiring Alani Nu
Digest label: “Net Revenues”</t>
      </text>
    </comment>
    <comment ref="AB238" authorId="0" shapeId="0">
      <text>
        <t>Source: Celsius Holdings 2023 Annual General Meeting
Date: 2023-06-01
Workbook tab: 31 Annual General Meeting
Digest label: “Net Working Capital (Mar 31, 2023)”</t>
      </text>
    </comment>
    <comment ref="Z239" authorId="0" shapeId="0">
      <text>
        <t>Source: Credit Suisse HALO Investment Summit
Date: 2022-05-25
Workbook tab: 21 Credit Suisse Conf
Digest label: “Nielsen scan growth”</t>
      </text>
    </comment>
    <comment ref="AJ240" authorId="0" shapeId="0">
      <text>
        <t>Source: Q1 2025 Earnings Call
Date: 2025-05-06
Workbook tab: 55 2025Q1 Earnings
Digest label: “Non-GAAP Adjusted Diluted EPS”</t>
      </text>
    </comment>
    <comment ref="T241" authorId="0" shapeId="0">
      <text>
        <t>Source: Q3 2021 Earnings Call
Date: 2021-11-11
Workbook tab: 16 2021Q3 Earnings
Digest label: “Normalized Gross Margin (ex one-time)”</t>
      </text>
    </comment>
    <comment ref="AB242" authorId="0" shapeId="0">
      <text>
        <t>Source: Celsius Holdings Q1 2023 Earnings Call
Date: 2023-05-09
Workbook tab: 29 2023Q1 Earnings
Digest label: “North America”</t>
      </text>
    </comment>
    <comment ref="AE242" authorId="0" shapeId="0">
      <text>
        <t>Source: Celsius Holdings Q4 2023 Earnings Call
Date: 2024-02-29
Workbook tab: 40 2023Q4 Earnings
Digest label: “North America”</t>
      </text>
    </comment>
    <comment ref="AF242" authorId="0" shapeId="0">
      <text>
        <t>Source: Celsius Holdings Q4 2023 Earnings Call
Date: 2024-02-29
Workbook tab: 40 2023Q4 Earnings
Digest label: “North America”</t>
      </text>
    </comment>
    <comment ref="AK243" authorId="0" shapeId="0">
      <text>
        <t>Source: CELH Q2 2025 Earnings Call
Date: 2025-08-07
Workbook tab: 60 2025Q2 Earnings
Digest label: “North America (H1)”</t>
      </text>
    </comment>
    <comment ref="R244" authorId="0" shapeId="0">
      <text>
        <t>Source: Q2 2021 Earnings Call
Date: 2021-08-12
Workbook tab: 14 2021Q2 Earnings
Digest label: “North America / Domestic”</t>
      </text>
    </comment>
    <comment ref="T244" authorId="0" shapeId="0">
      <text>
        <t>Source: Q3 2021 Earnings Call
Date: 2021-11-11
Workbook tab: 16 2021Q3 Earnings
Digest label: “North America / Domestic”</t>
      </text>
    </comment>
    <comment ref="R245" authorId="0" shapeId="0">
      <text>
        <t>Source: Q2 2021 Earnings Call
Date: 2021-08-12
Workbook tab: 14 2021Q2 Earnings
Digest label: “Op. Cash Flow ex-inventory build (6M)”</t>
      </text>
    </comment>
    <comment ref="R246" authorId="0" shapeId="0">
      <text>
        <t>Source: Q2 2021 Earnings Call
Date: 2021-08-12
Workbook tab: 14 2021Q2 Earnings
Digest label: “Operating Cash Flow (6M)”</t>
      </text>
    </comment>
    <comment ref="T247" authorId="0" shapeId="0">
      <text>
        <t>Source: Q3 2021 Earnings Call
Date: 2021-11-11
Workbook tab: 16 2021Q3 Earnings
Digest label: “Operating Cash Flow (9M)”</t>
      </text>
    </comment>
    <comment ref="P248" authorId="0" shapeId="0">
      <text>
        <t>Source: Q4 &amp; Full-Year 2020 Earnings Call
Date: 2021-03-11
Workbook tab: 12 2020Q4 Earnings
Digest label: “Operating Cash Flow FY ($M)”</t>
      </text>
    </comment>
    <comment ref="AC249" authorId="0" shapeId="0">
      <text>
        <t>Source: Q2 2023 Earnings Call
Date: 2023-08-08
Workbook tab: 34 2023Q2 Earnings
Digest label: “Operating Income Growth”</t>
      </text>
    </comment>
    <comment ref="AG250" authorId="0" shapeId="0">
      <text>
        <t>Source: UBS Global Consumer and Retail Conference 2024
Date: 2024-03-14
Workbook tab: 41 UBS Conference
Digest label: “Operating Margin (long term)”</t>
      </text>
    </comment>
    <comment ref="Z251" authorId="0" shapeId="0">
      <text>
        <t>Source: Credit Suisse HALO Investment Summit
Date: 2022-05-25
Workbook tab: 21 Credit Suisse Conf
Digest label: “Orbit model expansion”</t>
      </text>
    </comment>
    <comment ref="I252" authorId="0" shapeId="0">
      <text>
        <t>Source: Q2 2019 Earnings Call
Date: 2019-08-08
Workbook tab: 04 2019Q2 Earnings
Digest label: “Other Income H1 2019 ($M)”</t>
      </text>
    </comment>
    <comment ref="AO252" authorId="0" shapeId="0">
      <text>
        <t>Source: Q4 2025 / FY2025 Earnings Call
Date: 2026-02-26
Workbook tab: 67 2025Q4 Earnings
Digest label: “Other Income”</t>
      </text>
    </comment>
    <comment ref="R253" authorId="0" shapeId="0">
      <text>
        <t>Source: Q2 2021 Earnings Call
Date: 2021-08-12
Workbook tab: 14 2021Q2 Earnings
Digest label: “Other International”</t>
      </text>
    </comment>
    <comment ref="T253" authorId="0" shapeId="0">
      <text>
        <t>Source: Q3 2021 Earnings Call
Date: 2021-11-11
Workbook tab: 16 2021Q3 Earnings
Digest label: “Other International”</t>
      </text>
    </comment>
    <comment ref="V254" authorId="0" shapeId="0">
      <text>
        <t>Source: Q4 2021 Earnings Call
Date: 2022-03-01
Workbook tab: 19 Q4 2021 Earnings
Digest label: “Other international markets”</t>
      </text>
    </comment>
    <comment ref="W255" authorId="0" shapeId="0">
      <text>
        <t>Source: Q1 2022 Earnings Call
Date: 2022-05-10
Workbook tab: 20 2022Q1 Earnings
Digest label: “Other International Markets”</t>
      </text>
    </comment>
    <comment ref="Y256" authorId="0" shapeId="0">
      <text>
        <t>Source: Q4 2021 Earnings Call
Date: 2022-03-01
Workbook tab: 19 Q4 2021 Earnings
Digest label: “Outbound freight gross-profit gap (historical)”</t>
      </text>
    </comment>
    <comment ref="AG257" authorId="0" shapeId="0">
      <text>
        <t>Source: Q3 2023 Earnings Call
Date: 2023-11-07
Workbook tab: 37 2023Q3 Earnings
Digest label: “Q4 Outlook”</t>
      </text>
    </comment>
    <comment ref="AR258" authorId="0" shapeId="0">
      <text>
        <t>Source: CELH Morgan Stanley Global Consumer &amp; Retail Conference
Date: 2025-12-03
Workbook tab: 64 Morgan Stanley 2025-12
Digest label: “Pepsi year-end inventory timing impact”</t>
      </text>
    </comment>
    <comment ref="AO259" authorId="0" shapeId="0">
      <text>
        <t>Source: Full-Year 2025 and Fourth Quarter Financial Results Press Release
Date: 2026-02-26
Workbook tab: 66 2025Q4 Earnings PR
Digest label: “Portfolio retail sales growth”</t>
      </text>
    </comment>
    <comment ref="V260" authorId="0" shapeId="0">
      <text>
        <t>Source: Q4 2021 Earnings Call
Date: 2022-03-01
Workbook tab: 19 Q4 2021 Earnings
Digest label: “Prepaid cans/raw materials in inventory build”</t>
      </text>
    </comment>
    <comment ref="T261" authorId="0" shapeId="0">
      <text>
        <t>Source: Q3 2021 Earnings Call
Date: 2021-11-11
Workbook tab: 16 2021Q3 Earnings
Digest label: “Prepaids tied to raw materials”</t>
      </text>
    </comment>
    <comment ref="AB262" authorId="0" shapeId="0">
      <text>
        <t>Source: Evercore ISI 3rd Annual Consumer and Retail Conference
Date: 2023-06-14
Workbook tab: 33 Evercore Conference
Digest label: “Prior Independent Distributor Count”</t>
      </text>
    </comment>
    <comment ref="AK263" authorId="0" shapeId="0">
      <text>
        <t>Source: Q4 2024 Earnings Call
Date: 2025-02-20
Workbook tab: 51 2024Q4 Earnings
Digest label: “Pro-Forma Net Leverage”</t>
      </text>
    </comment>
    <comment ref="AI264" authorId="0" shapeId="0">
      <text>
        <t>Source: Alani Nu Modeling Call (post-closing)
Date: 2025-05-28
Workbook tab: 57 Acquiring Alani Nu
Digest label: “Protein shakes share of 2024 sales”</t>
      </text>
    </comment>
    <comment ref="AK265" authorId="0" shapeId="0">
      <text>
        <t>Source: CELH Q2 2025 Earnings Call
Date: 2025-08-07
Workbook tab: 60 2025Q2 Earnings
Digest label: “Purchase accounting inventory step-up”</t>
      </text>
    </comment>
    <comment ref="X266" authorId="0" shapeId="0">
      <text>
        <t>Source: Q2 2022 Earnings Call
Date: 2022-08-09
Workbook tab: 26 2022Q2 Earnings
Digest label: “Quarter growth”</t>
      </text>
    </comment>
    <comment ref="Z266" authorId="0" shapeId="0">
      <text>
        <t>Source: Q3 2022 Earnings Call
Date: 2022-11-09
Workbook tab: 27 2022Q3 Earnings
Digest label: “Quarter growth”</t>
      </text>
    </comment>
    <comment ref="AJ267" authorId="0" shapeId="0">
      <text>
        <t>Source: Q1 2025 Earnings Call
Date: 2025-05-06
Workbook tab: 55 2025Q1 Earnings
Digest label: “Remainder”</t>
      </text>
    </comment>
    <comment ref="AJ268" authorId="0" shapeId="0">
      <text>
        <t>Source: Q1 2025 Earnings Call
Date: 2025-05-06
Workbook tab: 55 2025Q1 Earnings
Digest label: “Reported revenue (books &amp; records)”</t>
      </text>
    </comment>
    <comment ref="AO269" authorId="0" shapeId="0">
      <text>
        <t>Source: Full-Year 2025 and Fourth Quarter Financial Results Press Release
Date: 2026-02-26
Workbook tab: 66 2025Q4 Earnings PR
Digest label: “Restricted cash”</t>
      </text>
    </comment>
    <comment ref="AI270" authorId="0" shapeId="0">
      <text>
        <t>Source: Q4 2024 Earnings Call
Date: 2025-02-20
Workbook tab: 51 2024Q4 Earnings
Digest label: “Retail Sales Growth”</t>
      </text>
    </comment>
    <comment ref="AI271" authorId="0" shapeId="0">
      <text>
        <t>Source: Alani Nu Modeling Call (post-closing)
Date: 2025-05-28
Workbook tab: 57 Acquiring Alani Nu
Digest label: “Revenue CAGR (2022-2024)”</t>
      </text>
    </comment>
    <comment ref="AI272" authorId="0" shapeId="0">
      <text>
        <t>Source: Alani Nu Modeling Call (post-closing)
Date: 2025-05-28
Workbook tab: 57 Acquiring Alani Nu
Digest label: “RTD energy share of 2024 sales”</t>
      </text>
    </comment>
    <comment ref="AO273" authorId="0" shapeId="0">
      <text>
        <t>Source: Alani Nu Modeling Call (post-closing)
Date: 2025-05-28
Workbook tab: 57 Acquiring Alani Nu
Digest label: “Run-rate cost synergies”</t>
      </text>
    </comment>
    <comment ref="R274" authorId="0" shapeId="0">
      <text>
        <t>Source: Q2 2021 Earnings Call
Date: 2021-08-12
Workbook tab: 14 2021Q2 Earnings
Digest label: “S&amp;M % of Revenue”</t>
      </text>
    </comment>
    <comment ref="T274" authorId="0" shapeId="0">
      <text>
        <t>Source: Q3 2021 Earnings Call
Date: 2021-11-11
Workbook tab: 16 2021Q3 Earnings
Digest label: “S&amp;M % of Revenue”</t>
      </text>
    </comment>
    <comment ref="W274" authorId="0" shapeId="0">
      <text>
        <t>Source: Q1 2022 Earnings Call
Date: 2022-05-10
Workbook tab: 20 2022Q1 Earnings
Digest label: “S&amp;M % of Revenue”</t>
      </text>
    </comment>
    <comment ref="AK275" authorId="0" shapeId="0">
      <text>
        <t>Source: CELH Q2 2025 Earnings Call
Date: 2025-08-07
Workbook tab: 60 2025Q2 Earnings
Digest label: “S&amp;M % of revenue”</t>
      </text>
    </comment>
    <comment ref="AB276" authorId="0" shapeId="0">
      <text>
        <t>Source: Celsius Holdings Q1 2023 Earnings Call
Date: 2023-05-09
Workbook tab: 29 2023Q1 Earnings
Digest label: “S&amp;M % of Sales”</t>
      </text>
    </comment>
    <comment ref="AE276" authorId="0" shapeId="0">
      <text>
        <t>Source: Celsius Holdings Q4 2023 Earnings Call
Date: 2024-02-29
Workbook tab: 40 2023Q4 Earnings
Digest label: “S&amp;M % of Sales”</t>
      </text>
    </comment>
    <comment ref="AF276" authorId="0" shapeId="0">
      <text>
        <t>Source: Celsius Holdings Q4 2023 Earnings Call
Date: 2024-02-29
Workbook tab: 40 2023Q4 Earnings
Digest label: “S&amp;M % of Sales”</t>
      </text>
    </comment>
    <comment ref="AG277" authorId="0" shapeId="0">
      <text>
        <t>Source: UBS Global Consumer and Retail Conference 2024
Date: 2024-03-14
Workbook tab: 41 UBS Conference
Digest label: “S&amp;M % of Sales (long term)”</t>
      </text>
    </comment>
    <comment ref="AO278" authorId="0" shapeId="0">
      <text>
        <t>Source: Q4 2025 / FY2025 Earnings Call
Date: 2026-02-26
Workbook tab: 67 2025Q4 Earnings
Digest label: “S&amp;M (Adjusted)”</t>
      </text>
    </comment>
    <comment ref="AO279" authorId="0" shapeId="0">
      <text>
        <t>Source: Q4 2025 / FY2025 Earnings Call
Date: 2026-02-26
Workbook tab: 67 2025Q4 Earnings
Digest label: “S&amp;M (GAAP)”</t>
      </text>
    </comment>
    <comment ref="AB280" authorId="0" shapeId="0">
      <text>
        <t>Source: Celsius Holdings Q1 2023 Earnings Call
Date: 2023-05-09
Workbook tab: 29 2023Q1 Earnings
Digest label: “S&amp;M Expense ($M)”</t>
      </text>
    </comment>
    <comment ref="AE280" authorId="0" shapeId="0">
      <text>
        <t>Source: Celsius Holdings Q4 2023 Earnings Call
Date: 2024-02-29
Workbook tab: 40 2023Q4 Earnings
Digest label: “S&amp;M Expense ($M)”</t>
      </text>
    </comment>
    <comment ref="AK280" authorId="0" shapeId="0">
      <text>
        <t>Source: CELH Q2 2025 Earnings Call
Date: 2025-08-07
Workbook tab: 60 2025Q2 Earnings
Digest label: “S&amp;M Expense ($M)”</t>
      </text>
    </comment>
    <comment ref="AM281" authorId="0" shapeId="0">
      <text>
        <t>Source: CELH Q3 2025 Earnings Call
Date: 2025-11-06
Workbook tab: 63 2025Q3 Earnings
Digest label: “S&amp;M Expense % of sales”</t>
      </text>
    </comment>
    <comment ref="AF282" authorId="0" shapeId="0">
      <text>
        <t>Source: Q4 2022 / FY2022 Earnings Call
Date: 2023-03-01
Workbook tab: 28 2022Q4 Earnings
Digest label: “Sales &amp; Marketing (% of Revenue)”</t>
      </text>
    </comment>
    <comment ref="AG282" authorId="0" shapeId="0">
      <text>
        <t>Source: Q1 2024 Earnings Call
Date: 2024-05-07
Workbook tab: 42 Q1 2024 Earnings
Digest label: “Sales &amp; Marketing (% of Revenue)”</t>
      </text>
    </comment>
    <comment ref="X283" authorId="0" shapeId="0">
      <text>
        <t>Source: Q2 2022 Earnings Call
Date: 2022-08-09
Workbook tab: 26 2022Q2 Earnings
Digest label: “Sales &amp; marketing (% of revenue)”</t>
      </text>
    </comment>
    <comment ref="AC284" authorId="0" shapeId="0">
      <text>
        <t>Source: Q2 2023 Earnings Call
Date: 2023-08-08
Workbook tab: 34 2023Q2 Earnings
Digest label: “Sales &amp; Marketing (% of sales)”</t>
      </text>
    </comment>
    <comment ref="AD284" authorId="0" shapeId="0">
      <text>
        <t>Source: Q3 2023 Earnings Call
Date: 2023-11-07
Workbook tab: 37 2023Q3 Earnings
Digest label: “Sales &amp; Marketing (% of sales)”</t>
      </text>
    </comment>
    <comment ref="AI284" authorId="0" shapeId="0">
      <text>
        <t>Source: Q4 2024 Earnings Call
Date: 2025-02-20
Workbook tab: 51 2024Q4 Earnings
Digest label: “Sales &amp; Marketing (% of sales)”</t>
      </text>
    </comment>
    <comment ref="AI285" authorId="0" shapeId="0">
      <text>
        <t>Source: Morgan Stanley Conference
Date: 2024-12-03
Workbook tab: 50 Morgan Stanley Conf
Digest label: “Sales &amp; marketing as % of revenue”</t>
      </text>
    </comment>
    <comment ref="AA286" authorId="0" shapeId="0">
      <text>
        <t>Source: Celsius Holdings 2023 Annual General Meeting
Date: 2023-06-01
Workbook tab: 31 Annual General Meeting
Digest label: “Sales &amp; Marketing Expense”</t>
      </text>
    </comment>
    <comment ref="AB286" authorId="0" shapeId="0">
      <text>
        <t>Source: Celsius Holdings 2023 Annual General Meeting
Date: 2023-06-01
Workbook tab: 31 Annual General Meeting
Digest label: “Sales &amp; Marketing Expense”</t>
      </text>
    </comment>
    <comment ref="Y287" authorId="0" shapeId="0">
      <text>
        <t>Source: Q3 2022 Earnings Call
Date: 2022-11-09
Workbook tab: 27 2022Q3 Earnings
Digest label: “Sales &amp; marketing expenses”</t>
      </text>
    </comment>
    <comment ref="Q288" authorId="0" shapeId="0">
      <text>
        <t>Source: Q1 2022 Earnings Call
Date: 2022-05-10
Workbook tab: 20 2022Q1 Earnings
Digest label: “Sam's Club nationwide rollout added”</t>
      </text>
    </comment>
    <comment ref="O289" authorId="0" shapeId="0">
      <text>
        <t>Source: Q3 2020 Earnings Call
Date: 2020-11-12
Workbook tab: 10 Q3 2020 Earnings
Digest label: “Same-store sales growth”</t>
      </text>
    </comment>
    <comment ref="AA290" authorId="0" shapeId="0">
      <text>
        <t>Source: 2022 Annual General Meeting (Annual Meeting of Shareholders)
Date: 2022-06-02
Workbook tab: 22 Annual Shareholder Mtg
Digest label: “Say-on-pay advisory vote”</t>
      </text>
    </comment>
    <comment ref="AJ291" authorId="0" shapeId="0">
      <text>
        <t>Source: Q1 2025 Earnings Call
Date: 2025-05-06
Workbook tab: 55 2025Q1 Earnings
Digest label: “Scanner data trend”</t>
      </text>
    </comment>
    <comment ref="AD292" authorId="0" shapeId="0">
      <text>
        <t>Source: Q3 2023 Earnings Call
Date: 2023-11-07
Workbook tab: 37 2023Q3 Earnings
Digest label: “Sequential Gross Margin Improvement (vs Q2)”</t>
      </text>
    </comment>
    <comment ref="W293" authorId="0" shapeId="0">
      <text>
        <t>Source: Q2 2022 Earnings Call
Date: 2022-08-09
Workbook tab: 26 2022Q2 Earnings
Digest label: “Sequential revenue growth (vs Q1 2022)”</t>
      </text>
    </comment>
    <comment ref="AD294" authorId="0" shapeId="0">
      <text>
        <t>Source: Q3 2023 Earnings Call
Date: 2023-11-07
Workbook tab: 37 2023Q3 Earnings
Digest label: “Sequential Revenue Growth (vs Q2)”</t>
      </text>
    </comment>
    <comment ref="AO295" authorId="0" shapeId="0">
      <text>
        <t>Source: Full-Year 2025 and Fourth Quarter Financial Results Press Release
Date: 2026-02-26
Workbook tab: 66 2025Q4 Earnings PR
Digest label: “Series B convertible preferred stock (newly issued)”</t>
      </text>
    </comment>
    <comment ref="AJ296" authorId="0" shapeId="0">
      <text>
        <t>Source: Q1 2025 Earnings Call
Date: 2025-05-06
Workbook tab: 55 2025Q1 Earnings
Digest label: “SG&amp;A Expense”</t>
      </text>
    </comment>
    <comment ref="AN297" authorId="0" shapeId="0">
      <text>
        <t>Source: Full-Year 2025 and Fourth Quarter Financial Results Press Release
Date: 2026-02-26
Workbook tab: 66 2025Q4 Earnings PR
Digest label: “SG&amp;A expense (GAAP, FY)”</t>
      </text>
    </comment>
    <comment ref="AN298" authorId="0" shapeId="0">
      <text>
        <t>Source: Full-Year 2025 and Fourth Quarter Financial Results Press Release
Date: 2026-02-26
Workbook tab: 66 2025Q4 Earnings PR
Digest label: “SG&amp;A expense (GAAP, Q4)”</t>
      </text>
    </comment>
    <comment ref="AC299" authorId="0" shapeId="0">
      <text>
        <t>Source: Q3 2023 Earnings Call
Date: 2023-11-07
Workbook tab: 37 2023Q3 Earnings
Digest label: “South Florida Share”</t>
      </text>
    </comment>
    <comment ref="AO300" authorId="0" shapeId="0">
      <text>
        <t>Source: UBS Global Consumer and Retail Conference
Date: 2025-03-12
Workbook tab: 53 UBS Conf 2025-03-12
Digest label: “Spring-Reset Shelf-Space Gain”</t>
      </text>
    </comment>
    <comment ref="AI301" authorId="0" shapeId="0">
      <text>
        <t>Source: Alani Nu Modeling Call (post-closing)
Date: 2025-05-28
Workbook tab: 57 Acquiring Alani Nu
Digest label: “Standalone gross margin”</t>
      </text>
    </comment>
    <comment ref="R302" authorId="0" shapeId="0">
      <text>
        <t>Source: Q2 2021 Earnings Call
Date: 2021-08-12
Workbook tab: 14 2021Q2 Earnings
Digest label: “Stock Option Expense”</t>
      </text>
    </comment>
    <comment ref="T302" authorId="0" shapeId="0">
      <text>
        <t>Source: Q3 2021 Earnings Call
Date: 2021-11-11
Workbook tab: 16 2021Q3 Earnings
Digest label: “Stock Option Expense”</t>
      </text>
    </comment>
    <comment ref="AK303" authorId="0" shapeId="0">
      <text>
        <t>Source: Q4 2024 Earnings Call
Date: 2025-02-20
Workbook tab: 51 2024Q4 Earnings
Digest label: “Subway Distribution Opportunity”</t>
      </text>
    </comment>
    <comment ref="AO303" authorId="0" shapeId="0">
      <text>
        <t>Source: UBS Global Consumer and Retail Conference
Date: 2025-03-12
Workbook tab: 53 UBS Conf 2025-03-12
Digest label: “Subway Distribution Opportunity”</t>
      </text>
    </comment>
    <comment ref="AB304" authorId="0" shapeId="0">
      <text>
        <t>Source: Stifel Cross Sector Insight Conference 2023
Date: 2023-06-06
Workbook tab: 32 Stifel Conference
Digest label: “Sweden Market Share”</t>
      </text>
    </comment>
    <comment ref="Z305" authorId="0" shapeId="0">
      <text>
        <t>Source: Stifel 2022 Cross Sector Insight Conference
Date: 2022-06-09
Workbook tab: 24 Stifel Conference
Digest label: “Target convenience price point”</t>
      </text>
    </comment>
    <comment ref="Y306" authorId="0" shapeId="0">
      <text>
        <t>Source: Q4 2021 Earnings Call
Date: 2022-03-01
Workbook tab: 19 Q4 2021 Earnings
Digest label: “Target inventory days on hand”</t>
      </text>
    </comment>
    <comment ref="U307" authorId="0" shapeId="0">
      <text>
        <t>Source: Q4 2021 Earnings Call
Date: 2022-03-01
Workbook tab: 19 Q4 2021 Earnings
Digest label: “Tax rate going forward”</t>
      </text>
    </comment>
    <comment ref="Z308" authorId="0" shapeId="0">
      <text>
        <t>Source: Q3 2022 Earnings Call
Date: 2022-11-09
Workbook tab: 27 2022Q3 Earnings
Digest label: “Third-Party Scan Data (Nielsen, as of Oct 22)”</t>
      </text>
    </comment>
    <comment ref="X309" authorId="0" shapeId="0">
      <text>
        <t>Source: Q2 2022 Earnings Call
Date: 2022-08-09
Workbook tab: 26 2022Q2 Earnings
Digest label: “Third-Party Scan Data (Nielsen, ending Jul 16)”</t>
      </text>
    </comment>
    <comment ref="AN310" authorId="0" shapeId="0">
      <text>
        <t>Source: Full-Year 2025 and Fourth Quarter Financial Results Press Release
Date: 2026-02-26
Workbook tab: 66 2025Q4 Earnings PR
Digest label: “Total distributor buyout obligation (year-end)”</t>
      </text>
    </comment>
    <comment ref="W311" authorId="0" shapeId="0">
      <text>
        <t>Source: Celsius Holdings Q1 2023 Earnings Call
Date: 2023-05-09
Workbook tab: 29 2023Q1 Earnings
Digest label: “Total Inventory”</t>
      </text>
    </comment>
    <comment ref="T312" authorId="0" shapeId="0">
      <text>
        <t>Source: Q3 2021 Earnings Call
Date: 2021-11-11
Workbook tab: 16 2021Q3 Earnings
Digest label: “Total Net Other Expense”</t>
      </text>
    </comment>
    <comment ref="R313" authorId="0" shapeId="0">
      <text>
        <t>Source: Q2 2021 Earnings Call
Date: 2021-08-12
Workbook tab: 14 2021Q2 Earnings
Digest label: “Total Net Other Income”</t>
      </text>
    </comment>
    <comment ref="O314" authorId="0" shapeId="0">
      <text>
        <t>Source: Q4 &amp; Full-Year 2020 Earnings Call
Date: 2021-03-11
Workbook tab: 12 2020Q4 Earnings
Digest label: “Total Other Income Q4 2020 ($M)”</t>
      </text>
    </comment>
    <comment ref="AL315" authorId="0" shapeId="0">
      <text>
        <t>Source: CELH Q2 2025 Earnings Call
Date: 2025-08-07
Workbook tab: 60 2025Q2 Earnings
Digest label: “Total Revenue ($B)”</t>
      </text>
    </comment>
    <comment ref="X316" authorId="0" shapeId="0">
      <text>
        <t>Source: Q2 2022 Earnings Call
Date: 2022-08-09
Workbook tab: 26 2022Q2 Earnings
Digest label: “US co-packer footprint”</t>
      </text>
    </comment>
    <comment ref="M317" authorId="0" shapeId="0">
      <text>
        <t>Source: Q2 2020 Earnings Call
Date: 2020-08-06
Workbook tab: 08 Q2 2020 Earnings
Digest label: “US door count”</t>
      </text>
    </comment>
    <comment ref="V317" authorId="0" shapeId="0">
      <text>
        <t>Source: Q1 2021 Earnings Call
Date: 2021-05-13
Workbook tab: 13 Q1 2021 Earnings
Digest label: “US door count”</t>
      </text>
    </comment>
    <comment ref="AO318" authorId="0" shapeId="0">
      <text>
        <t>Source: dbAccess Global Consumer Conference (Deutsche Bank, Paris)
Date: 2025-06-03
Workbook tab: 58 Deutsche Bank Conf
Digest label: “US energy category growth”</t>
      </text>
    </comment>
    <comment ref="Z319" authorId="0" shapeId="0">
      <text>
        <t>Source: Q4 2022 / FY2022 Earnings Call
Date: 2023-03-01
Workbook tab: 28 2022Q4 Earnings
Digest label: “US Energy Drink Market Share”</t>
      </text>
    </comment>
    <comment ref="V320" authorId="0" shapeId="0">
      <text>
        <t>Source: Q4 2021 Earnings Call
Date: 2022-03-01
Workbook tab: 19 Q4 2021 Earnings
Digest label: “US store count”</t>
      </text>
    </comment>
    <comment ref="Y320" authorId="0" shapeId="0">
      <text>
        <t>Source: Q3 2022 Earnings Call
Date: 2022-11-09
Workbook tab: 27 2022Q3 Earnings
Digest label: “US store count”</t>
      </text>
    </comment>
    <comment ref="Z321" authorId="0" shapeId="0">
      <text>
        <t>Source: Q4 2022 / FY2022 Earnings Call
Date: 2023-03-01
Workbook tab: 28 2022Q4 Earnings
Digest label: “US Store Count”</t>
      </text>
    </comment>
    <comment ref="X322" authorId="0" shapeId="0">
      <text>
        <t>Source: Q2 2022 Earnings Call
Date: 2022-08-09
Workbook tab: 26 2022Q2 Earnings
Digest label: “US total door count”</t>
      </text>
    </comment>
    <comment ref="Q323" authorId="0" shapeId="0">
      <text>
        <t>Source: Q1 2022 Earnings Call
Date: 2022-05-10
Workbook tab: 20 2022Q1 Earnings
Digest label: “Vending &amp; Micro-Market Placements”</t>
      </text>
    </comment>
    <comment ref="X324" authorId="0" shapeId="0">
      <text>
        <t>Source: Q2 2022 Earnings Call
Date: 2022-08-09
Workbook tab: 26 2022Q2 Earnings
Digest label: “Vending / foodservice revenue ($M)”</t>
      </text>
    </comment>
    <comment ref="AI325" authorId="0" shapeId="0">
      <text>
        <t>Source: Q4 2024 Earnings Call
Date: 2025-02-20
Workbook tab: 51 2024Q4 Earnings
Digest label: “Volume Growth”</t>
      </text>
    </comment>
    <comment ref="X326" authorId="0" shapeId="0">
      <text>
        <t>Source: Q2 2022 Earnings Call
Date: 2022-08-09
Workbook tab: 26 2022Q2 Earnings
Digest label: “Walmart sales growth”</t>
      </text>
    </comment>
    <comment ref="AA327" authorId="0" shapeId="0">
      <text>
        <t>Source: Celsius Holdings 2023 Annual General Meeting
Date: 2023-06-01
Workbook tab: 31 Annual General Meeting
Digest label: “Working Capital (year-end)”</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S3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s>
  <sheetData>
    <row r="1">
      <c r="A1" s="32" t="inlineStr">
        <is>
          <t>CELH Transcript-Disclosed KPIs — 'Current' reported value per period</t>
        </is>
      </c>
    </row>
    <row r="2">
      <c r="A2" s="33" t="inlineStr">
        <is>
          <t>Transcript-only granularity (channel, retail-scan, distribution, brand, non-GAAP, guidance). Standard three-statement lines &amp; regional revenue are excluded — those come from SEC filings. Source: 69 transcript digests; earnings-call figures take precedence over conference restatements.</t>
        </is>
      </c>
    </row>
    <row r="4">
      <c r="A4" s="34" t="inlineStr">
        <is>
          <t>Metric</t>
        </is>
      </c>
      <c r="B4" s="34" t="inlineStr">
        <is>
          <t>FY2017</t>
        </is>
      </c>
      <c r="C4" s="34" t="inlineStr">
        <is>
          <t>Q3 2018</t>
        </is>
      </c>
      <c r="D4" s="34" t="inlineStr">
        <is>
          <t>9M 2018</t>
        </is>
      </c>
      <c r="E4" s="34" t="inlineStr">
        <is>
          <t>Q4 2018</t>
        </is>
      </c>
      <c r="F4" s="34" t="inlineStr">
        <is>
          <t>FY2018</t>
        </is>
      </c>
      <c r="G4" s="34" t="inlineStr">
        <is>
          <t>Q1 2019</t>
        </is>
      </c>
      <c r="H4" s="34" t="inlineStr">
        <is>
          <t>Q2 2019</t>
        </is>
      </c>
      <c r="I4" s="34" t="inlineStr">
        <is>
          <t>H1 2019</t>
        </is>
      </c>
      <c r="J4" s="34" t="inlineStr">
        <is>
          <t>Q3 2019</t>
        </is>
      </c>
      <c r="K4" s="34" t="inlineStr">
        <is>
          <t>9M 2019</t>
        </is>
      </c>
      <c r="L4" s="34" t="inlineStr">
        <is>
          <t>Q4 2019</t>
        </is>
      </c>
      <c r="M4" s="34" t="inlineStr">
        <is>
          <t>FY2019</t>
        </is>
      </c>
      <c r="N4" s="34" t="inlineStr">
        <is>
          <t>Q1 2020</t>
        </is>
      </c>
      <c r="O4" s="34" t="inlineStr">
        <is>
          <t>Q4 2020</t>
        </is>
      </c>
      <c r="P4" s="34" t="inlineStr">
        <is>
          <t>FY2020</t>
        </is>
      </c>
      <c r="Q4" s="34" t="inlineStr">
        <is>
          <t>Q1 2021</t>
        </is>
      </c>
      <c r="R4" s="34" t="inlineStr">
        <is>
          <t>Q2 2021</t>
        </is>
      </c>
      <c r="S4" s="34" t="inlineStr">
        <is>
          <t>H1 2021</t>
        </is>
      </c>
      <c r="T4" s="34" t="inlineStr">
        <is>
          <t>Q3 2021</t>
        </is>
      </c>
      <c r="U4" s="34" t="inlineStr">
        <is>
          <t>Q4 2021</t>
        </is>
      </c>
      <c r="V4" s="34" t="inlineStr">
        <is>
          <t>FY2021</t>
        </is>
      </c>
      <c r="W4" s="34" t="inlineStr">
        <is>
          <t>Q1 2022</t>
        </is>
      </c>
      <c r="X4" s="34" t="inlineStr">
        <is>
          <t>Q2 2022</t>
        </is>
      </c>
      <c r="Y4" s="34" t="inlineStr">
        <is>
          <t>Q3 2022</t>
        </is>
      </c>
      <c r="Z4" s="34" t="inlineStr">
        <is>
          <t>Q4 2022</t>
        </is>
      </c>
      <c r="AA4" s="34" t="inlineStr">
        <is>
          <t>FY2022</t>
        </is>
      </c>
      <c r="AB4" s="34" t="inlineStr">
        <is>
          <t>Q1 2023</t>
        </is>
      </c>
      <c r="AC4" s="34" t="inlineStr">
        <is>
          <t>Q2 2023</t>
        </is>
      </c>
      <c r="AD4" s="34" t="inlineStr">
        <is>
          <t>Q3 2023</t>
        </is>
      </c>
      <c r="AE4" s="34" t="inlineStr">
        <is>
          <t>Q4 2023</t>
        </is>
      </c>
      <c r="AF4" s="34" t="inlineStr">
        <is>
          <t>FY2023</t>
        </is>
      </c>
      <c r="AG4" s="34" t="inlineStr">
        <is>
          <t>Q1 2024</t>
        </is>
      </c>
      <c r="AH4" s="34" t="inlineStr">
        <is>
          <t>Q4 2024</t>
        </is>
      </c>
      <c r="AI4" s="34" t="inlineStr">
        <is>
          <t>FY2024</t>
        </is>
      </c>
      <c r="AJ4" s="34" t="inlineStr">
        <is>
          <t>Q1 2025</t>
        </is>
      </c>
      <c r="AK4" s="34" t="inlineStr">
        <is>
          <t>Q2 2025</t>
        </is>
      </c>
      <c r="AL4" s="34" t="inlineStr">
        <is>
          <t>H1 2025</t>
        </is>
      </c>
      <c r="AM4" s="34" t="inlineStr">
        <is>
          <t>Q3 2025</t>
        </is>
      </c>
      <c r="AN4" s="34" t="inlineStr">
        <is>
          <t>Q4 2025</t>
        </is>
      </c>
      <c r="AO4" s="34" t="inlineStr">
        <is>
          <t>FY2025</t>
        </is>
      </c>
      <c r="AP4" s="34" t="inlineStr">
        <is>
          <t>Q1 2026</t>
        </is>
      </c>
      <c r="AQ4" s="34" t="inlineStr">
        <is>
          <t>H1 2026</t>
        </is>
      </c>
      <c r="AR4" s="34" t="inlineStr">
        <is>
          <t>Q3 2026</t>
        </is>
      </c>
      <c r="AS4" s="34" t="inlineStr">
        <is>
          <t>FY2026</t>
        </is>
      </c>
    </row>
    <row r="5">
      <c r="A5" s="35" t="inlineStr">
        <is>
          <t>Adjusted EBITDA</t>
        </is>
      </c>
      <c r="C5" t="n">
        <v>-2.9</v>
      </c>
      <c r="D5" t="n">
        <v>-6</v>
      </c>
      <c r="E5" t="n">
        <v>0.785</v>
      </c>
      <c r="F5" t="n">
        <v>-6.3</v>
      </c>
      <c r="J5" t="n">
        <v>2.4</v>
      </c>
      <c r="O5" t="n">
        <v>3</v>
      </c>
      <c r="R5" t="n">
        <v>7.9</v>
      </c>
      <c r="S5" t="n">
        <v>12.9</v>
      </c>
      <c r="W5" t="n">
        <v>14.8</v>
      </c>
      <c r="AH5" t="inlineStr">
        <is>
          <t>declined 4%</t>
        </is>
      </c>
      <c r="AI5" t="n">
        <v>88</v>
      </c>
      <c r="AJ5" t="n">
        <v>69.7</v>
      </c>
      <c r="AK5" t="n">
        <v>210</v>
      </c>
      <c r="AL5" t="n">
        <v>280</v>
      </c>
      <c r="AO5" t="n">
        <v>619.6</v>
      </c>
      <c r="AP5" t="n">
        <v>195</v>
      </c>
    </row>
    <row r="6">
      <c r="A6" s="35" t="inlineStr">
        <is>
          <t>Adjusted EBITDA ($000)</t>
        </is>
      </c>
      <c r="G6" t="n">
        <v>878</v>
      </c>
      <c r="H6" t="n">
        <v>-15</v>
      </c>
      <c r="I6" t="n">
        <v>863</v>
      </c>
    </row>
    <row r="7">
      <c r="A7" s="35" t="inlineStr">
        <is>
          <t>Adjusted EBITDA ($M, non-GAAP)</t>
        </is>
      </c>
      <c r="AB7" t="n">
        <v>48.7</v>
      </c>
    </row>
    <row r="8">
      <c r="A8" s="35" t="inlineStr">
        <is>
          <t>Adjusted EBITDA (non-GAAP)</t>
        </is>
      </c>
      <c r="AO8" t="n">
        <v>619.6</v>
      </c>
    </row>
    <row r="9">
      <c r="A9" s="35" t="inlineStr">
        <is>
          <t>Adjusted EBITDA growth</t>
        </is>
      </c>
      <c r="V9" t="inlineStr">
        <is>
          <t>+~112%</t>
        </is>
      </c>
    </row>
    <row r="10">
      <c r="A10" s="35" t="inlineStr">
        <is>
          <t>Adjusted EBITDA Margin</t>
        </is>
      </c>
      <c r="AH10" t="inlineStr">
        <is>
          <t>18.9%</t>
        </is>
      </c>
      <c r="AI10" t="inlineStr">
        <is>
          <t>~15%</t>
        </is>
      </c>
      <c r="AJ10" t="inlineStr">
        <is>
          <t>21.2%</t>
        </is>
      </c>
      <c r="AO10" t="inlineStr">
        <is>
          <t>~24.6%</t>
        </is>
      </c>
      <c r="AP10" t="inlineStr">
        <is>
          <t>24.9%</t>
        </is>
      </c>
    </row>
    <row r="11">
      <c r="A11" s="35" t="inlineStr">
        <is>
          <t>Adjusted EBITDA margin (non-GAAP)</t>
        </is>
      </c>
      <c r="AO11" t="inlineStr">
        <is>
          <t>24.6%</t>
        </is>
      </c>
    </row>
    <row r="12">
      <c r="A12" s="35" t="inlineStr">
        <is>
          <t>Net Non-GAAP Adjusted EBITDA</t>
        </is>
      </c>
      <c r="J12" t="n">
        <v>2.6</v>
      </c>
    </row>
    <row r="13">
      <c r="A13" s="35" t="inlineStr">
        <is>
          <t>Non-GAAP Adjusted EBITDA</t>
        </is>
      </c>
      <c r="AC13" t="inlineStr">
        <is>
          <t>$78.1M (~24% of sales)</t>
        </is>
      </c>
      <c r="AD13" t="inlineStr">
        <is>
          <t>~$104M (~27% of sales)</t>
        </is>
      </c>
      <c r="AG13" t="n">
        <v>88</v>
      </c>
    </row>
    <row r="14">
      <c r="A14" s="35" t="inlineStr">
        <is>
          <t>Adj EBITDA</t>
        </is>
      </c>
      <c r="B14" t="inlineStr">
        <is>
          <t>~2.6-2.7</t>
        </is>
      </c>
      <c r="C14" t="n">
        <v>2.2</v>
      </c>
      <c r="M14" t="n">
        <v>4</v>
      </c>
    </row>
    <row r="15">
      <c r="A15" s="35" t="inlineStr">
        <is>
          <t>Adj EBITDA &amp; one-time</t>
        </is>
      </c>
      <c r="D15" t="n">
        <v>2.1</v>
      </c>
    </row>
    <row r="16">
      <c r="A16" s="35" t="inlineStr">
        <is>
          <t>Adj EBITDA ($000)</t>
        </is>
      </c>
      <c r="L16" t="n">
        <v>607</v>
      </c>
    </row>
    <row r="17">
      <c r="A17" s="35" t="inlineStr">
        <is>
          <t>Adj EBITDA /one-time</t>
        </is>
      </c>
      <c r="F17" t="n">
        <v>2.2</v>
      </c>
    </row>
    <row r="18">
      <c r="A18" s="35" t="inlineStr">
        <is>
          <t>EBITDA Margin</t>
        </is>
      </c>
      <c r="W18" t="inlineStr">
        <is>
          <t>~11%-13%</t>
        </is>
      </c>
    </row>
    <row r="19">
      <c r="A19" s="35" t="inlineStr">
        <is>
          <t>EBITDA margin (long-term framework)</t>
        </is>
      </c>
      <c r="X19" t="inlineStr">
        <is>
          <t>10%-15%</t>
        </is>
      </c>
    </row>
    <row r="20">
      <c r="A20" s="35" t="inlineStr">
        <is>
          <t>EBITDA Margin Aspiration</t>
        </is>
      </c>
      <c r="AI20" t="inlineStr">
        <is>
          <t>Long-term</t>
        </is>
      </c>
    </row>
    <row r="21">
      <c r="A21" s="35" t="inlineStr">
        <is>
          <t>EBITDA Margin Target</t>
        </is>
      </c>
      <c r="AC21" t="inlineStr">
        <is>
          <t>30%-35%</t>
        </is>
      </c>
    </row>
    <row r="22">
      <c r="A22" s="35" t="inlineStr">
        <is>
          <t>Long-term EBITDA margin aspiration</t>
        </is>
      </c>
      <c r="AK22" t="inlineStr">
        <is>
          <t>long-term, no timeline</t>
        </is>
      </c>
    </row>
    <row r="23">
      <c r="A23" s="35" t="inlineStr">
        <is>
          <t>Amazon / E-Commerce Share</t>
        </is>
      </c>
      <c r="AB23" t="inlineStr">
        <is>
          <t>#2 energy drink on Amazon</t>
        </is>
      </c>
    </row>
    <row r="24">
      <c r="A24" s="35" t="inlineStr">
        <is>
          <t>Amazon energy category share</t>
        </is>
      </c>
      <c r="X24" t="inlineStr">
        <is>
          <t>22.6% (#2 brand)</t>
        </is>
      </c>
    </row>
    <row r="25">
      <c r="A25" s="35" t="inlineStr">
        <is>
          <t>Amazon Revenue</t>
        </is>
      </c>
      <c r="W25" t="n">
        <v>13.8</v>
      </c>
      <c r="AG25" t="n">
        <v>28</v>
      </c>
    </row>
    <row r="26">
      <c r="A26" s="35" t="inlineStr">
        <is>
          <t>Amazon Sales</t>
        </is>
      </c>
      <c r="AA26" t="n">
        <v>58</v>
      </c>
      <c r="AC26" t="inlineStr">
        <is>
          <t>&gt;$28M</t>
        </is>
      </c>
      <c r="AD26" t="n">
        <v>22.2</v>
      </c>
    </row>
    <row r="27">
      <c r="A27" s="35" t="inlineStr">
        <is>
          <t>Amazon sales</t>
        </is>
      </c>
      <c r="Y27" t="n">
        <v>16</v>
      </c>
    </row>
    <row r="28">
      <c r="A28" s="35" t="inlineStr">
        <is>
          <t>Amazon sales YTD 2022</t>
        </is>
      </c>
      <c r="Y28" t="n">
        <v>43</v>
      </c>
    </row>
    <row r="29">
      <c r="A29" s="35" t="inlineStr">
        <is>
          <t>Alani Nu Accretion</t>
        </is>
      </c>
      <c r="AO29" t="inlineStr">
        <is>
          <t>Year 1 post-close</t>
        </is>
      </c>
    </row>
    <row r="30">
      <c r="A30" s="35" t="inlineStr">
        <is>
          <t>Alani Nu brand</t>
        </is>
      </c>
      <c r="AK30" t="n">
        <v>301.2</v>
      </c>
    </row>
    <row r="31">
      <c r="A31" s="35" t="inlineStr">
        <is>
          <t>Alani Nu Cost Synergies</t>
        </is>
      </c>
      <c r="AO31" t="inlineStr">
        <is>
          <t>Over next 2 years</t>
        </is>
      </c>
    </row>
    <row r="32">
      <c r="A32" s="35" t="inlineStr">
        <is>
          <t>Alani Nu Distribution Gains</t>
        </is>
      </c>
      <c r="AK32" t="inlineStr">
        <is>
          <t>Pretty sizable, esp. convenience</t>
        </is>
      </c>
    </row>
    <row r="33">
      <c r="A33" s="35" t="inlineStr">
        <is>
          <t>Alani Nu dollar share</t>
        </is>
      </c>
      <c r="AJ33" t="inlineStr">
        <is>
          <t>5.3%</t>
        </is>
      </c>
    </row>
    <row r="34">
      <c r="A34" s="35" t="inlineStr">
        <is>
          <t>Alani Nu Founder Lock-Up</t>
        </is>
      </c>
      <c r="AO34" t="inlineStr">
        <is>
          <t>Post-close</t>
        </is>
      </c>
    </row>
    <row r="35">
      <c r="A35" s="35" t="inlineStr">
        <is>
          <t>Alani Nu market-share-expansion lag vs. Celsius</t>
        </is>
      </c>
      <c r="AO35" t="inlineStr">
        <is>
          <t>forward</t>
        </is>
      </c>
    </row>
    <row r="36">
      <c r="A36" s="35" t="inlineStr">
        <is>
          <t>Alani Nu net sales</t>
        </is>
      </c>
      <c r="AP36" t="n">
        <v>368</v>
      </c>
    </row>
    <row r="37">
      <c r="A37" s="35" t="inlineStr">
        <is>
          <t>Alani Nu P&amp;L profile lag vs. Celsius</t>
        </is>
      </c>
      <c r="AO37" t="inlineStr">
        <is>
          <t>multi-year</t>
        </is>
      </c>
    </row>
    <row r="38">
      <c r="A38" s="35" t="inlineStr">
        <is>
          <t>Alani Nu retail sales growth</t>
        </is>
      </c>
      <c r="AJ38" t="inlineStr">
        <is>
          <t>+88% YoY</t>
        </is>
      </c>
      <c r="AO38" t="inlineStr">
        <is>
          <t>+101%</t>
        </is>
      </c>
    </row>
    <row r="39">
      <c r="A39" s="35" t="inlineStr">
        <is>
          <t>Alani Nu revenue</t>
        </is>
      </c>
      <c r="AO39" t="inlineStr">
        <is>
          <t>$1,001.9M (Q2-Q4)</t>
        </is>
      </c>
    </row>
    <row r="40">
      <c r="A40" s="35" t="inlineStr">
        <is>
          <t>Alani Nu synergies (identified)</t>
        </is>
      </c>
      <c r="AO40" t="inlineStr">
        <is>
          <t>over next ~18 months</t>
        </is>
      </c>
    </row>
    <row r="41">
      <c r="A41" s="35" t="inlineStr">
        <is>
          <t>Alani Nu trailing 52-wk retail sales</t>
        </is>
      </c>
      <c r="AJ41" t="inlineStr">
        <is>
          <t>&gt;$1B</t>
        </is>
      </c>
    </row>
    <row r="42">
      <c r="A42" s="35" t="inlineStr">
        <is>
          <t>Alani target ACV</t>
        </is>
      </c>
      <c r="AQ42" t="inlineStr">
        <is>
          <t>mid-90 level</t>
        </is>
      </c>
    </row>
    <row r="43">
      <c r="A43" s="35" t="inlineStr">
        <is>
          <t>Big Beverage capacity - potential Alani volume share (2 lines)</t>
        </is>
      </c>
      <c r="AJ43" t="inlineStr">
        <is>
          <t>next ~18 months</t>
        </is>
      </c>
    </row>
    <row r="44">
      <c r="A44" s="35" t="inlineStr">
        <is>
          <t>Big Beverage potential Alani volume capacity</t>
        </is>
      </c>
      <c r="AO44" t="inlineStr">
        <is>
          <t>next ~18 months</t>
        </is>
      </c>
    </row>
    <row r="45">
      <c r="A45" s="35" t="inlineStr">
        <is>
          <t>International share of sales (incl. Alani)</t>
        </is>
      </c>
      <c r="AJ45" t="inlineStr">
        <is>
          <t>current (vs. Monster ~40%)</t>
        </is>
      </c>
    </row>
    <row r="46">
      <c r="A46" s="35" t="inlineStr">
        <is>
          <t>Net benefit (Celsius + Alani load-in)</t>
        </is>
      </c>
      <c r="AN46" t="n">
        <v>25</v>
      </c>
    </row>
    <row r="47">
      <c r="A47" s="35" t="inlineStr">
        <is>
          <t>Rockstar combined Q3 impact</t>
        </is>
      </c>
      <c r="AM47" t="n">
        <v>18</v>
      </c>
    </row>
    <row r="48">
      <c r="A48" s="35" t="inlineStr">
        <is>
          <t>Rockstar Energy retail sales growth</t>
        </is>
      </c>
      <c r="AO48" t="inlineStr">
        <is>
          <t>-11%</t>
        </is>
      </c>
    </row>
    <row r="49">
      <c r="A49" s="35" t="inlineStr">
        <is>
          <t>Rockstar Energy revenue</t>
        </is>
      </c>
      <c r="AO49" t="n">
        <v>55.6</v>
      </c>
    </row>
    <row r="50">
      <c r="A50" s="35" t="inlineStr">
        <is>
          <t>Rockstar net sales</t>
        </is>
      </c>
      <c r="AP50" t="n">
        <v>67</v>
      </c>
    </row>
    <row r="51">
      <c r="A51" s="35" t="inlineStr">
        <is>
          <t>Rockstar other-income GAAP portion</t>
        </is>
      </c>
      <c r="AM51" t="n">
        <v>7</v>
      </c>
    </row>
    <row r="52">
      <c r="A52" s="35" t="inlineStr">
        <is>
          <t>Rockstar revenue (first month under ownership, $M)</t>
        </is>
      </c>
      <c r="AM52" t="n">
        <v>11</v>
      </c>
    </row>
    <row r="53">
      <c r="A53" s="35" t="inlineStr">
        <is>
          <t>Rockstar run rate</t>
        </is>
      </c>
      <c r="AS53" t="n">
        <v>250</v>
      </c>
    </row>
    <row r="54">
      <c r="A54" s="35" t="inlineStr">
        <is>
          <t>Blue-sky market share runway (Celsius brand)</t>
        </is>
      </c>
      <c r="AR54" t="inlineStr">
        <is>
          <t>mid-teens to upper-teens</t>
        </is>
      </c>
    </row>
    <row r="55">
      <c r="A55" s="35" t="inlineStr">
        <is>
          <t>Celsius brand</t>
        </is>
      </c>
      <c r="AK55" t="n">
        <v>438.1</v>
      </c>
    </row>
    <row r="56">
      <c r="A56" s="35" t="inlineStr">
        <is>
          <t>CELSIUS brand retail sales growth</t>
        </is>
      </c>
      <c r="AO56" t="inlineStr">
        <is>
          <t>+6%</t>
        </is>
      </c>
    </row>
    <row r="57">
      <c r="A57" s="35" t="inlineStr">
        <is>
          <t>CELSIUS brand revenue</t>
        </is>
      </c>
      <c r="AO57" t="n">
        <v>1457.7</v>
      </c>
    </row>
    <row r="58">
      <c r="A58" s="35" t="inlineStr">
        <is>
          <t>Freight cost (Celsius brand) % of sales</t>
        </is>
      </c>
      <c r="AM58" t="inlineStr">
        <is>
          <t>~3%</t>
        </is>
      </c>
    </row>
    <row r="59">
      <c r="A59" s="36" t="inlineStr">
        <is>
          <t>— Other transcript-disclosed metrics —</t>
        </is>
      </c>
      <c r="B59" s="37" t="n"/>
      <c r="C59" s="37" t="n"/>
      <c r="D59" s="37" t="n"/>
      <c r="E59" s="37" t="n"/>
      <c r="F59" s="37" t="n"/>
      <c r="G59" s="37" t="n"/>
      <c r="H59" s="37" t="n"/>
      <c r="I59" s="37" t="n"/>
      <c r="J59" s="37" t="n"/>
      <c r="K59" s="37" t="n"/>
      <c r="L59" s="37" t="n"/>
      <c r="M59" s="37" t="n"/>
      <c r="N59" s="37" t="n"/>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row>
    <row r="60">
      <c r="A60" t="inlineStr">
        <is>
          <t>% of MULO+C stores DSD-serviced</t>
        </is>
      </c>
      <c r="V60" t="inlineStr">
        <is>
          <t>~65%</t>
        </is>
      </c>
    </row>
    <row r="61">
      <c r="A61" t="inlineStr">
        <is>
          <t>12-week growth</t>
        </is>
      </c>
      <c r="X61" t="inlineStr">
        <is>
          <t>194%</t>
        </is>
      </c>
      <c r="Z61" t="inlineStr">
        <is>
          <t>10%</t>
        </is>
      </c>
    </row>
    <row r="62">
      <c r="A62" t="inlineStr">
        <is>
          <t>2-week growth</t>
        </is>
      </c>
      <c r="Z62" t="inlineStr">
        <is>
          <t>10%</t>
        </is>
      </c>
    </row>
    <row r="63">
      <c r="A63" t="inlineStr">
        <is>
          <t>4-week growth</t>
        </is>
      </c>
      <c r="X63" t="inlineStr">
        <is>
          <t>143%</t>
        </is>
      </c>
    </row>
    <row r="64">
      <c r="A64" t="inlineStr">
        <is>
          <t>7-Eleven Green Apple Cherry National Rollout</t>
        </is>
      </c>
      <c r="AG64" t="inlineStr">
        <is>
          <t>January 2024</t>
        </is>
      </c>
    </row>
    <row r="65">
      <c r="A65" t="inlineStr">
        <is>
          <t>Accrued distributor termination fees</t>
        </is>
      </c>
      <c r="AO65" t="n">
        <v>264.1</v>
      </c>
    </row>
    <row r="66">
      <c r="A66" t="inlineStr">
        <is>
          <t>Acquisition &amp; integration adj</t>
        </is>
      </c>
      <c r="AO66" t="n">
        <v>-60.2</v>
      </c>
    </row>
    <row r="67">
      <c r="A67" t="inlineStr">
        <is>
          <t>Acquisition funding (per prior calls)</t>
        </is>
      </c>
      <c r="AJ67" t="inlineStr">
        <is>
          <t>$900M debt, ~$400M cash, remainder stock</t>
        </is>
      </c>
    </row>
    <row r="68">
      <c r="A68" t="inlineStr">
        <is>
          <t>Acquisition-related costs</t>
        </is>
      </c>
      <c r="AK68" t="n">
        <v>16</v>
      </c>
    </row>
    <row r="69">
      <c r="A69" t="inlineStr">
        <is>
          <t>Acquisition-related costs (FY)</t>
        </is>
      </c>
      <c r="AN69" t="n">
        <v>60</v>
      </c>
    </row>
    <row r="70">
      <c r="A70" t="inlineStr">
        <is>
          <t>ACV (all channels)</t>
        </is>
      </c>
      <c r="Z70" t="inlineStr">
        <is>
          <t>~89.7%</t>
        </is>
      </c>
    </row>
    <row r="71">
      <c r="A71" t="inlineStr">
        <is>
          <t>ACV increase in convenience</t>
        </is>
      </c>
      <c r="Y71" t="inlineStr">
        <is>
          <t>Oct 1-23, 2022</t>
        </is>
      </c>
    </row>
    <row r="72">
      <c r="A72" t="inlineStr">
        <is>
          <t>ACV increase since PepsiCo launch (all channels)</t>
        </is>
      </c>
      <c r="Y72" t="inlineStr">
        <is>
          <t>Oct 1-23, 2022</t>
        </is>
      </c>
    </row>
    <row r="73">
      <c r="A73" t="inlineStr">
        <is>
          <t>ACV sweet spot</t>
        </is>
      </c>
      <c r="Z73" t="inlineStr">
        <is>
          <t>Forward</t>
        </is>
      </c>
    </row>
    <row r="74">
      <c r="A74" t="inlineStr">
        <is>
          <t>Adj. Gross Margin (ex-freight)</t>
        </is>
      </c>
      <c r="R74" t="inlineStr">
        <is>
          <t>51.8%</t>
        </is>
      </c>
      <c r="T74" t="inlineStr">
        <is>
          <t>49.8%</t>
        </is>
      </c>
    </row>
    <row r="75">
      <c r="A75" t="inlineStr">
        <is>
          <t>Adjusted Diluted EPS</t>
        </is>
      </c>
      <c r="AH75" t="n">
        <v>0.14</v>
      </c>
      <c r="AI75" t="n">
        <v>0.7</v>
      </c>
      <c r="AK75" t="n">
        <v>0.47</v>
      </c>
      <c r="AL75" t="n">
        <v>0.65</v>
      </c>
    </row>
    <row r="76">
      <c r="A76" t="inlineStr">
        <is>
          <t>Adjusted diluted EPS (non-GAAP)</t>
        </is>
      </c>
      <c r="AO76" t="n">
        <v>1.34</v>
      </c>
    </row>
    <row r="77">
      <c r="A77" t="inlineStr">
        <is>
          <t>Adjusted SG&amp;A</t>
        </is>
      </c>
      <c r="AO77" t="inlineStr">
        <is>
          <t>29.4% of sales</t>
        </is>
      </c>
    </row>
    <row r="78">
      <c r="A78" t="inlineStr">
        <is>
          <t>Adjusted SG&amp;A % of revenue</t>
        </is>
      </c>
      <c r="AP78" t="inlineStr">
        <is>
          <t>~26.4%</t>
        </is>
      </c>
    </row>
    <row r="79">
      <c r="A79" t="inlineStr">
        <is>
          <t>Adjusted SG&amp;A as % of revenue (FY)</t>
        </is>
      </c>
      <c r="AN79" t="inlineStr">
        <is>
          <t>29.4%</t>
        </is>
      </c>
    </row>
    <row r="80">
      <c r="A80" t="inlineStr">
        <is>
          <t>Adjusted SG&amp;A as % of revenue (Q4)</t>
        </is>
      </c>
      <c r="AN80" t="inlineStr">
        <is>
          <t>31.8%</t>
        </is>
      </c>
    </row>
    <row r="81">
      <c r="A81" t="inlineStr">
        <is>
          <t>Asia (China royalty)</t>
        </is>
      </c>
      <c r="R81" t="n">
        <v>0.619</v>
      </c>
      <c r="T81" t="n">
        <v>0.706</v>
      </c>
    </row>
    <row r="82">
      <c r="A82" t="inlineStr">
        <is>
          <t>Average Items Carried Per Store (MULOC)</t>
        </is>
      </c>
      <c r="Z82" t="n">
        <v>12.5</v>
      </c>
    </row>
    <row r="83">
      <c r="A83" t="inlineStr">
        <is>
          <t>Average price increase (52-wk Nielsen)</t>
        </is>
      </c>
      <c r="Q83" t="inlineStr">
        <is>
          <t>17.4 (units unspecified)</t>
        </is>
      </c>
    </row>
    <row r="84">
      <c r="A84" t="inlineStr">
        <is>
          <t>Avg items selling per store (Celsius family)</t>
        </is>
      </c>
      <c r="AJ84" t="inlineStr">
        <is>
          <t>+4.1 items</t>
        </is>
      </c>
    </row>
    <row r="85">
      <c r="A85" t="inlineStr">
        <is>
          <t>Balance Sheet</t>
        </is>
      </c>
      <c r="AJ85" t="inlineStr">
        <is>
          <t>As of Mar 31, 2025</t>
        </is>
      </c>
    </row>
    <row r="86">
      <c r="A86" t="inlineStr">
        <is>
          <t>Big Beverage production opportunity</t>
        </is>
      </c>
      <c r="AO86" t="inlineStr">
        <is>
          <t>forward</t>
        </is>
      </c>
    </row>
    <row r="87">
      <c r="A87" t="inlineStr">
        <is>
          <t>Brand Celsius net sales</t>
        </is>
      </c>
      <c r="AP87" t="n">
        <v>348</v>
      </c>
    </row>
    <row r="88">
      <c r="A88" t="inlineStr">
        <is>
          <t>Can shortage resolution</t>
        </is>
      </c>
      <c r="R88" t="inlineStr">
        <is>
          <t>2021H2+</t>
        </is>
      </c>
    </row>
    <row r="89">
      <c r="A89" t="inlineStr">
        <is>
          <t>Cash &amp; Cash Equivalents</t>
        </is>
      </c>
      <c r="AJ89" t="inlineStr">
        <is>
          <t>$977M (pre-Alani close; no debt)</t>
        </is>
      </c>
    </row>
    <row r="90">
      <c r="A90" t="inlineStr">
        <is>
          <t>Cash (Mar 31, 2023)</t>
        </is>
      </c>
      <c r="AB90" t="n">
        <v>634</v>
      </c>
    </row>
    <row r="91">
      <c r="A91" t="inlineStr">
        <is>
          <t>Cash (year-end)</t>
        </is>
      </c>
      <c r="AA91" t="n">
        <v>653</v>
      </c>
    </row>
    <row r="92">
      <c r="A92" t="inlineStr">
        <is>
          <t>Cash Balance</t>
        </is>
      </c>
      <c r="AB92" t="n">
        <v>634</v>
      </c>
    </row>
    <row r="93">
      <c r="A93" t="inlineStr">
        <is>
          <t>Cash EPS Accretion</t>
        </is>
      </c>
      <c r="AK93" t="inlineStr">
        <is>
          <t>Accretive in year one</t>
        </is>
      </c>
    </row>
    <row r="94">
      <c r="A94" t="inlineStr">
        <is>
          <t>Cash EPS accretion</t>
        </is>
      </c>
      <c r="AO94" t="inlineStr">
        <is>
          <t>year one post-close</t>
        </is>
      </c>
    </row>
    <row r="95">
      <c r="A95" t="inlineStr">
        <is>
          <t>Cash Flow from Operating Activities</t>
        </is>
      </c>
      <c r="AG95" t="n">
        <v>135</v>
      </c>
    </row>
    <row r="96">
      <c r="A96" t="inlineStr">
        <is>
          <t>Cash on Hand (Mar 31, 2024)</t>
        </is>
      </c>
      <c r="AG96" t="n">
        <v>879.5</v>
      </c>
    </row>
    <row r="97">
      <c r="A97" t="inlineStr">
        <is>
          <t>Category pricing level</t>
        </is>
      </c>
      <c r="Z97" t="inlineStr">
        <is>
          <t>Forward / category</t>
        </is>
      </c>
    </row>
    <row r="98">
      <c r="A98" t="inlineStr">
        <is>
          <t>Celsius contribution to category growth</t>
        </is>
      </c>
      <c r="W98" t="inlineStr">
        <is>
          <t>IRI data ~Feb 9</t>
        </is>
      </c>
    </row>
    <row r="99">
      <c r="A99" t="inlineStr">
        <is>
          <t>Celsius Distribution Expansion (retail sets)</t>
        </is>
      </c>
      <c r="AK99" t="inlineStr">
        <is>
          <t>~15%-20%</t>
        </is>
      </c>
    </row>
    <row r="100">
      <c r="A100" t="inlineStr">
        <is>
          <t>Celsius Holdings net leverage</t>
        </is>
      </c>
      <c r="AJ100" t="inlineStr">
        <is>
          <t>post-Alani Nu</t>
        </is>
      </c>
    </row>
    <row r="101">
      <c r="A101" t="inlineStr">
        <is>
          <t>Celsius US tracked-channel dollar share</t>
        </is>
      </c>
      <c r="AJ101" t="inlineStr">
        <is>
          <t>10.9%</t>
        </is>
      </c>
    </row>
    <row r="102">
      <c r="A102" t="inlineStr">
        <is>
          <t>China Note Interest Income ($000)</t>
        </is>
      </c>
      <c r="G102" t="n">
        <v>90</v>
      </c>
    </row>
    <row r="103">
      <c r="A103" t="inlineStr">
        <is>
          <t>China royalty minimum</t>
        </is>
      </c>
      <c r="Y103" t="inlineStr">
        <is>
          <t>Annually</t>
        </is>
      </c>
    </row>
    <row r="104">
      <c r="A104" t="inlineStr">
        <is>
          <t>China Royalty Revenue (minimum floor)</t>
        </is>
      </c>
      <c r="AA104" t="inlineStr">
        <is>
          <t>Post-2024</t>
        </is>
      </c>
    </row>
    <row r="105">
      <c r="A105" t="inlineStr">
        <is>
          <t>Circle K national contract</t>
        </is>
      </c>
      <c r="V105" t="inlineStr">
        <is>
          <t>~6,000 doors, ~4 flavors avg</t>
        </is>
      </c>
    </row>
    <row r="106">
      <c r="A106" t="inlineStr">
        <is>
          <t>Circle K stores recently added</t>
        </is>
      </c>
      <c r="W106" t="inlineStr">
        <is>
          <t>As of conference</t>
        </is>
      </c>
    </row>
    <row r="107">
      <c r="A107" t="inlineStr">
        <is>
          <t>Club channel locations</t>
        </is>
      </c>
      <c r="X107" t="inlineStr">
        <is>
          <t>1,337 (incl. ~175 new BJ's)</t>
        </is>
      </c>
    </row>
    <row r="108">
      <c r="A108" t="inlineStr">
        <is>
          <t>Club channel revenue</t>
        </is>
      </c>
      <c r="X108" t="n">
        <v>30.9</v>
      </c>
    </row>
    <row r="109">
      <c r="A109" t="inlineStr">
        <is>
          <t>Club Channel Revenue Contribution</t>
        </is>
      </c>
      <c r="Q109" t="inlineStr">
        <is>
          <t>$26M+</t>
        </is>
      </c>
    </row>
    <row r="110">
      <c r="A110" t="inlineStr">
        <is>
          <t>Club Channel Sales</t>
        </is>
      </c>
      <c r="AA110" t="n">
        <v>138</v>
      </c>
      <c r="AC110" t="n">
        <v>68</v>
      </c>
      <c r="AD110" t="n">
        <v>63.2</v>
      </c>
      <c r="AG110" t="n">
        <v>63</v>
      </c>
    </row>
    <row r="111">
      <c r="A111" t="inlineStr">
        <is>
          <t>Club channel sales</t>
        </is>
      </c>
      <c r="Y111" t="n">
        <v>34</v>
      </c>
    </row>
    <row r="112">
      <c r="A112" t="inlineStr">
        <is>
          <t>Combined business RTD energy mix</t>
        </is>
      </c>
      <c r="AI112" t="n">
        <v>2025</v>
      </c>
    </row>
    <row r="113">
      <c r="A113" t="inlineStr">
        <is>
          <t>Combined portfolio dollar share</t>
        </is>
      </c>
      <c r="AJ113" t="inlineStr">
        <is>
          <t>16.2%</t>
        </is>
      </c>
    </row>
    <row r="114">
      <c r="A114" t="inlineStr">
        <is>
          <t>Combined US energy category dollar share</t>
        </is>
      </c>
      <c r="AI114" t="inlineStr">
        <is>
          <t>2024/2025</t>
        </is>
      </c>
    </row>
    <row r="115">
      <c r="A115" t="inlineStr">
        <is>
          <t>Consolidated Gross Margin</t>
        </is>
      </c>
      <c r="AK115" t="inlineStr">
        <is>
          <t>51.5%</t>
        </is>
      </c>
    </row>
    <row r="116">
      <c r="A116" t="inlineStr">
        <is>
          <t>Consolidated Revenue</t>
        </is>
      </c>
      <c r="AM116" t="n">
        <v>725</v>
      </c>
    </row>
    <row r="117">
      <c r="A117" t="inlineStr">
        <is>
          <t>Contingent consideration</t>
        </is>
      </c>
      <c r="AO117" t="n">
        <v>25</v>
      </c>
    </row>
    <row r="118">
      <c r="A118" t="inlineStr">
        <is>
          <t>Convenience / Sea Source Revenue Share</t>
        </is>
      </c>
      <c r="AB118" t="inlineStr">
        <is>
          <t>+4-5 pts</t>
        </is>
      </c>
    </row>
    <row r="119">
      <c r="A119" t="inlineStr">
        <is>
          <t>Convenience ACV</t>
        </is>
      </c>
      <c r="Z119" t="inlineStr">
        <is>
          <t>89%</t>
        </is>
      </c>
      <c r="AC119" t="inlineStr">
        <is>
          <t>~73%</t>
        </is>
      </c>
    </row>
    <row r="120">
      <c r="A120" t="inlineStr">
        <is>
          <t>Convenience channel ACV</t>
        </is>
      </c>
      <c r="J120" t="inlineStr">
        <is>
          <t>~13.8% (Q2)</t>
        </is>
      </c>
      <c r="V120" t="inlineStr">
        <is>
          <t>~44%</t>
        </is>
      </c>
    </row>
    <row r="121">
      <c r="A121" t="inlineStr">
        <is>
          <t>Convenience channel as % of revenue (historical)</t>
        </is>
      </c>
      <c r="W121" t="inlineStr">
        <is>
          <t>Historical</t>
        </is>
      </c>
    </row>
    <row r="122">
      <c r="A122" t="inlineStr">
        <is>
          <t>Convenience channel revenue target</t>
        </is>
      </c>
      <c r="Y122" t="inlineStr">
        <is>
          <t>~70% of revenue</t>
        </is>
      </c>
    </row>
    <row r="123">
      <c r="A123" t="inlineStr">
        <is>
          <t>Convenience channel sales growth</t>
        </is>
      </c>
      <c r="X123" t="inlineStr">
        <is>
          <t>+227%</t>
        </is>
      </c>
      <c r="Y123" t="inlineStr">
        <is>
          <t>+158%</t>
        </is>
      </c>
    </row>
    <row r="124">
      <c r="A124" t="inlineStr">
        <is>
          <t>Convenience channel store locations</t>
        </is>
      </c>
      <c r="X124" t="n">
        <v>82000</v>
      </c>
    </row>
    <row r="125">
      <c r="A125" t="inlineStr">
        <is>
          <t>Convenience doors</t>
        </is>
      </c>
      <c r="V125" t="inlineStr">
        <is>
          <t>~60,000 (up 95%)</t>
        </is>
      </c>
    </row>
    <row r="126">
      <c r="A126" t="inlineStr">
        <is>
          <t>Convenience growth</t>
        </is>
      </c>
      <c r="AN126" t="inlineStr">
        <is>
          <t>recent months</t>
        </is>
      </c>
    </row>
    <row r="127">
      <c r="A127" t="inlineStr">
        <is>
          <t>Convenience Store Locations</t>
        </is>
      </c>
      <c r="Q127" t="inlineStr">
        <is>
          <t>~64,000 (+88% YoY)</t>
        </is>
      </c>
    </row>
    <row r="128">
      <c r="A128" t="inlineStr">
        <is>
          <t>Convenience store locations</t>
        </is>
      </c>
      <c r="Y128" t="n">
        <v>86000</v>
      </c>
    </row>
    <row r="129">
      <c r="A129" t="inlineStr">
        <is>
          <t>Cooler Rollout Phase 1</t>
        </is>
      </c>
      <c r="V129" t="n">
        <v>2021</v>
      </c>
    </row>
    <row r="130">
      <c r="A130" t="inlineStr">
        <is>
          <t>Cooler Rollout Potential</t>
        </is>
      </c>
      <c r="V130" t="inlineStr">
        <is>
          <t>By end of 2021</t>
        </is>
      </c>
    </row>
    <row r="131">
      <c r="A131" t="inlineStr">
        <is>
          <t>Coolers on order</t>
        </is>
      </c>
      <c r="W131" t="inlineStr">
        <is>
          <t>As of meeting</t>
        </is>
      </c>
    </row>
    <row r="132">
      <c r="A132" t="inlineStr">
        <is>
          <t>Coolers placed Q2 (YTD)</t>
        </is>
      </c>
      <c r="X132" t="inlineStr">
        <is>
          <t>800 (2,700+ YTD)</t>
        </is>
      </c>
    </row>
    <row r="133">
      <c r="A133" t="inlineStr">
        <is>
          <t>Costco Q1 Revenue Growth</t>
        </is>
      </c>
      <c r="Q133" t="inlineStr">
        <is>
          <t>Over 1,100%</t>
        </is>
      </c>
    </row>
    <row r="134">
      <c r="A134" t="inlineStr">
        <is>
          <t>Costco stores</t>
        </is>
      </c>
      <c r="V134" t="inlineStr">
        <is>
          <t>561 (Q4 revenue +1,100%)</t>
        </is>
      </c>
    </row>
    <row r="135">
      <c r="A135" t="inlineStr">
        <is>
          <t>Debt</t>
        </is>
      </c>
      <c r="P135" t="inlineStr">
        <is>
          <t>Debt-free (~$10M Euro bonds repaid Oct 30, 2020)</t>
        </is>
      </c>
      <c r="AJ135" t="n">
        <v>900</v>
      </c>
    </row>
    <row r="136">
      <c r="A136" t="inlineStr">
        <is>
          <t>Diluted EPS (GAAP)</t>
        </is>
      </c>
      <c r="AO136" t="n">
        <v>0.25</v>
      </c>
    </row>
    <row r="137">
      <c r="A137" t="inlineStr">
        <is>
          <t>Distribution / Channel Stats</t>
        </is>
      </c>
      <c r="M137" t="inlineStr">
        <is>
          <t>Prior</t>
        </is>
      </c>
    </row>
    <row r="138">
      <c r="A138" t="inlineStr">
        <is>
          <t>Distribution Termination Expenses</t>
        </is>
      </c>
      <c r="AA138" t="n">
        <v>194</v>
      </c>
    </row>
    <row r="139">
      <c r="A139" t="inlineStr">
        <is>
          <t>Distributor termination &amp; integration adj</t>
        </is>
      </c>
      <c r="AO139" t="n">
        <v>-327.5</v>
      </c>
    </row>
    <row r="140">
      <c r="A140" t="inlineStr">
        <is>
          <t>Distributor termination costs (Q4)</t>
        </is>
      </c>
      <c r="AN140" t="n">
        <v>80.8</v>
      </c>
    </row>
    <row r="141">
      <c r="A141" t="inlineStr">
        <is>
          <t>DPO (days)</t>
        </is>
      </c>
      <c r="R141" t="n">
        <v>31</v>
      </c>
    </row>
    <row r="142">
      <c r="A142" t="inlineStr">
        <is>
          <t>DSD Coverage</t>
        </is>
      </c>
      <c r="N142" t="inlineStr">
        <is>
          <t>By summer 2020</t>
        </is>
      </c>
    </row>
    <row r="143">
      <c r="A143" t="inlineStr">
        <is>
          <t>DSD distributor revenue growth</t>
        </is>
      </c>
      <c r="W143" t="inlineStr">
        <is>
          <t>+395%</t>
        </is>
      </c>
    </row>
    <row r="144">
      <c r="A144" t="inlineStr">
        <is>
          <t>DSD incremental revenue</t>
        </is>
      </c>
      <c r="X144" t="n">
        <v>41.8</v>
      </c>
    </row>
    <row r="145">
      <c r="A145" t="inlineStr">
        <is>
          <t>DSD Network Reach</t>
        </is>
      </c>
      <c r="Q145" t="inlineStr">
        <is>
          <t>~99% of US population</t>
        </is>
      </c>
    </row>
    <row r="146">
      <c r="A146" t="inlineStr">
        <is>
          <t>DSD network sales</t>
        </is>
      </c>
      <c r="X146" t="n">
        <v>61.9</v>
      </c>
    </row>
    <row r="147">
      <c r="A147" t="inlineStr">
        <is>
          <t>DSD partners</t>
        </is>
      </c>
      <c r="M147" t="inlineStr">
        <is>
          <t>~135 (Q2)</t>
        </is>
      </c>
    </row>
    <row r="148">
      <c r="A148" t="inlineStr">
        <is>
          <t>DSD penetration of stores</t>
        </is>
      </c>
      <c r="M148" t="inlineStr">
        <is>
          <t>~10-12% (Q1)</t>
        </is>
      </c>
    </row>
    <row r="149">
      <c r="A149" t="inlineStr">
        <is>
          <t>DSD population coverage</t>
        </is>
      </c>
      <c r="V149" t="inlineStr">
        <is>
          <t>~98%</t>
        </is>
      </c>
      <c r="W149" t="inlineStr">
        <is>
          <t>As of meeting</t>
        </is>
      </c>
    </row>
    <row r="150">
      <c r="A150" t="inlineStr">
        <is>
          <t>DSD regional partners</t>
        </is>
      </c>
      <c r="M150" t="inlineStr">
        <is>
          <t>~100 (May 2020)</t>
        </is>
      </c>
    </row>
    <row r="151">
      <c r="A151" t="inlineStr">
        <is>
          <t>DSD service centers</t>
        </is>
      </c>
      <c r="V151" t="inlineStr">
        <is>
          <t>276+</t>
        </is>
      </c>
    </row>
    <row r="152">
      <c r="A152" t="inlineStr">
        <is>
          <t>DSO (days)</t>
        </is>
      </c>
      <c r="R152" t="n">
        <v>45</v>
      </c>
    </row>
    <row r="153">
      <c r="A153" t="inlineStr">
        <is>
          <t>Earn-out contingent consideration charge</t>
        </is>
      </c>
      <c r="AK153" t="n">
        <v>13.8</v>
      </c>
    </row>
    <row r="154">
      <c r="A154" t="inlineStr">
        <is>
          <t>Earn-out maximum payout</t>
        </is>
      </c>
      <c r="AN154" t="inlineStr">
        <is>
          <t>2025 net-sales targets</t>
        </is>
      </c>
    </row>
    <row r="155">
      <c r="A155" t="inlineStr">
        <is>
          <t>Effective tax rate (9 months)</t>
        </is>
      </c>
      <c r="Y155" t="inlineStr">
        <is>
          <t>-33.5%</t>
        </is>
      </c>
    </row>
    <row r="156">
      <c r="A156" t="inlineStr">
        <is>
          <t>Effective tax rate (go-forward)</t>
        </is>
      </c>
      <c r="Z156" t="inlineStr">
        <is>
          <t>Future</t>
        </is>
      </c>
    </row>
    <row r="157">
      <c r="A157" t="inlineStr">
        <is>
          <t>Energy category dollar growth (period)</t>
        </is>
      </c>
      <c r="W157" t="inlineStr">
        <is>
          <t>IRI data ~Feb 9</t>
        </is>
      </c>
    </row>
    <row r="158">
      <c r="A158" t="inlineStr">
        <is>
          <t>Energy category growth rate</t>
        </is>
      </c>
      <c r="W158" t="inlineStr">
        <is>
          <t>Long-term industry</t>
        </is>
      </c>
    </row>
    <row r="159">
      <c r="A159" t="inlineStr">
        <is>
          <t>Energy category long-term growth</t>
        </is>
      </c>
      <c r="Z159" t="inlineStr">
        <is>
          <t>doubles in ~12 years</t>
        </is>
      </c>
    </row>
    <row r="160">
      <c r="A160" t="inlineStr">
        <is>
          <t>EPS Basic</t>
        </is>
      </c>
      <c r="J160" t="n">
        <v>0.02</v>
      </c>
      <c r="K160" t="n">
        <v>0.19</v>
      </c>
    </row>
    <row r="161">
      <c r="A161" t="inlineStr">
        <is>
          <t>Eric Hansen tenure</t>
        </is>
      </c>
      <c r="AJ161" t="inlineStr">
        <is>
          <t>as of May 13, 2025</t>
        </is>
      </c>
    </row>
    <row r="162">
      <c r="A162" t="inlineStr">
        <is>
          <t>Essentials 16oz National Rollout</t>
        </is>
      </c>
      <c r="AG162" t="inlineStr">
        <is>
          <t>January 2024</t>
        </is>
      </c>
    </row>
    <row r="163">
      <c r="A163" t="inlineStr">
        <is>
          <t>ESSENTIALS Line</t>
        </is>
      </c>
      <c r="AI163" t="inlineStr">
        <is>
          <t>Jan 2024</t>
        </is>
      </c>
    </row>
    <row r="164">
      <c r="A164" t="inlineStr">
        <is>
          <t>Europe (Nordic)</t>
        </is>
      </c>
      <c r="R164" t="n">
        <v>10.8</v>
      </c>
    </row>
    <row r="165">
      <c r="A165" t="inlineStr">
        <is>
          <t>Europe / Nordic</t>
        </is>
      </c>
      <c r="T165" t="n">
        <v>9.5</v>
      </c>
    </row>
    <row r="166">
      <c r="A166" t="inlineStr">
        <is>
          <t>Excess Order Timing</t>
        </is>
      </c>
      <c r="AB166" t="inlineStr">
        <is>
          <t>order timing into Pepsi mixing centers</t>
        </is>
      </c>
    </row>
    <row r="167">
      <c r="A167" t="inlineStr">
        <is>
          <t>Expected distribution expansion</t>
        </is>
      </c>
      <c r="X167" t="inlineStr">
        <is>
          <t>Next 12 months</t>
        </is>
      </c>
    </row>
    <row r="168">
      <c r="A168" t="inlineStr">
        <is>
          <t>Fill Rate</t>
        </is>
      </c>
      <c r="Q168" t="inlineStr">
        <is>
          <t>~97%</t>
        </is>
      </c>
    </row>
    <row r="169">
      <c r="A169" t="inlineStr">
        <is>
          <t>Fill-rate recovery to full</t>
        </is>
      </c>
      <c r="R169" t="inlineStr">
        <is>
          <t>2021Q2</t>
        </is>
      </c>
    </row>
    <row r="170">
      <c r="A170" t="inlineStr">
        <is>
          <t>Foodservice as % of NA sales (via PepsiCo)</t>
        </is>
      </c>
      <c r="AJ170" t="inlineStr">
        <is>
          <t>~13.4%</t>
        </is>
      </c>
    </row>
    <row r="171">
      <c r="A171" t="inlineStr">
        <is>
          <t>Freight (% of net revenues)</t>
        </is>
      </c>
      <c r="AD171" t="inlineStr">
        <is>
          <t>~4.9%</t>
        </is>
      </c>
    </row>
    <row r="172">
      <c r="A172" t="inlineStr">
        <is>
          <t>Freight (% of Revenue) trend</t>
        </is>
      </c>
      <c r="AF172" t="inlineStr">
        <is>
          <t>Trailing 2 years</t>
        </is>
      </c>
    </row>
    <row r="173">
      <c r="A173" t="inlineStr">
        <is>
          <t>Freight Reduction Opportunity</t>
        </is>
      </c>
      <c r="T173" t="inlineStr">
        <is>
          <t>Going forward</t>
        </is>
      </c>
    </row>
    <row r="174">
      <c r="A174" t="inlineStr">
        <is>
          <t>G&amp;A % of Revenue</t>
        </is>
      </c>
      <c r="W174" t="inlineStr">
        <is>
          <t>9%</t>
        </is>
      </c>
    </row>
    <row r="175">
      <c r="A175" t="inlineStr">
        <is>
          <t>G&amp;A % of revenue</t>
        </is>
      </c>
      <c r="AK175" t="inlineStr">
        <is>
          <t>11.7%</t>
        </is>
      </c>
    </row>
    <row r="176">
      <c r="A176" t="inlineStr">
        <is>
          <t>G&amp;A % of Sales</t>
        </is>
      </c>
      <c r="AB176" t="inlineStr">
        <is>
          <t>8%</t>
        </is>
      </c>
      <c r="AE176" t="inlineStr">
        <is>
          <t>8%</t>
        </is>
      </c>
      <c r="AF176" t="inlineStr">
        <is>
          <t>8%</t>
        </is>
      </c>
    </row>
    <row r="177">
      <c r="A177" t="inlineStr">
        <is>
          <t>G&amp;A % of sales (ex-acquisition costs)</t>
        </is>
      </c>
      <c r="AM177" t="inlineStr">
        <is>
          <t>~6%</t>
        </is>
      </c>
    </row>
    <row r="178">
      <c r="A178" t="inlineStr">
        <is>
          <t>G&amp;A (% of revenue)</t>
        </is>
      </c>
      <c r="X178" t="inlineStr">
        <is>
          <t>9%</t>
        </is>
      </c>
      <c r="Y178" t="inlineStr">
        <is>
          <t>15%</t>
        </is>
      </c>
    </row>
    <row r="179">
      <c r="A179" t="inlineStr">
        <is>
          <t>G&amp;A (% of sales)</t>
        </is>
      </c>
      <c r="AC179" t="inlineStr">
        <is>
          <t>10%</t>
        </is>
      </c>
      <c r="AD179" t="inlineStr">
        <is>
          <t>~6%</t>
        </is>
      </c>
      <c r="AI179" t="inlineStr">
        <is>
          <t>12.8%</t>
        </is>
      </c>
    </row>
    <row r="180">
      <c r="A180" t="inlineStr">
        <is>
          <t>G&amp;A (% of Sales)</t>
        </is>
      </c>
      <c r="AG180" t="inlineStr">
        <is>
          <t>7%</t>
        </is>
      </c>
    </row>
    <row r="181">
      <c r="A181" t="inlineStr">
        <is>
          <t>G&amp;A (Adjusted)</t>
        </is>
      </c>
      <c r="AO181" t="inlineStr">
        <is>
          <t>7.5% of sales</t>
        </is>
      </c>
    </row>
    <row r="182">
      <c r="A182" t="inlineStr">
        <is>
          <t>G&amp;A (GAAP)</t>
        </is>
      </c>
      <c r="AO182" t="inlineStr">
        <is>
          <t>$250M / 9.9% of sales</t>
        </is>
      </c>
    </row>
    <row r="183">
      <c r="A183" t="inlineStr">
        <is>
          <t>G&amp;A Expense</t>
        </is>
      </c>
      <c r="AA183" t="n">
        <v>76</v>
      </c>
      <c r="AB183" t="n">
        <v>21</v>
      </c>
      <c r="AC183" t="n">
        <v>32</v>
      </c>
      <c r="AD183" t="n">
        <v>23</v>
      </c>
      <c r="AE183" t="n">
        <v>27</v>
      </c>
      <c r="AG183" t="n">
        <v>23.2</v>
      </c>
      <c r="AK183" t="n">
        <v>86</v>
      </c>
    </row>
    <row r="184">
      <c r="A184" t="inlineStr">
        <is>
          <t>G&amp;A expenses</t>
        </is>
      </c>
      <c r="X184" t="n">
        <v>14.4</v>
      </c>
      <c r="Y184" t="n">
        <v>27.5</v>
      </c>
    </row>
    <row r="185">
      <c r="A185" t="inlineStr">
        <is>
          <t>GAAP Diluted EPS</t>
        </is>
      </c>
      <c r="AJ185" t="n">
        <v>0.15</v>
      </c>
      <c r="AK185" t="n">
        <v>0.33</v>
      </c>
    </row>
    <row r="186">
      <c r="A186" t="inlineStr">
        <is>
          <t>GAAP Gross Margin</t>
        </is>
      </c>
      <c r="R186" t="inlineStr">
        <is>
          <t>43.4%</t>
        </is>
      </c>
    </row>
    <row r="187">
      <c r="A187" t="inlineStr">
        <is>
          <t>GAAP Net Income</t>
        </is>
      </c>
      <c r="AP187" t="n">
        <v>110</v>
      </c>
    </row>
    <row r="188">
      <c r="A188" t="inlineStr">
        <is>
          <t>Gap (promos/incentives + non-DSD timing)</t>
        </is>
      </c>
      <c r="AJ188" t="inlineStr">
        <is>
          <t>~3 pts</t>
        </is>
      </c>
    </row>
    <row r="189">
      <c r="A189" t="inlineStr">
        <is>
          <t>Global energy category growth</t>
        </is>
      </c>
      <c r="AO189" t="inlineStr">
        <is>
          <t>2024-2029</t>
        </is>
      </c>
    </row>
    <row r="190">
      <c r="A190" t="inlineStr">
        <is>
          <t>Gross Margin Aspiration</t>
        </is>
      </c>
      <c r="AC190" t="inlineStr">
        <is>
          <t>~55%</t>
        </is>
      </c>
    </row>
    <row r="191">
      <c r="A191" t="inlineStr">
        <is>
          <t>Gross Margin ex inventory step-up</t>
        </is>
      </c>
      <c r="AK191" t="inlineStr">
        <is>
          <t>54%+</t>
        </is>
      </c>
    </row>
    <row r="192">
      <c r="A192" t="inlineStr">
        <is>
          <t>Gross margin sequential change (vs Q2)</t>
        </is>
      </c>
      <c r="Y192" t="inlineStr">
        <is>
          <t>+330 bps</t>
        </is>
      </c>
    </row>
    <row r="193">
      <c r="A193" t="inlineStr">
        <is>
          <t>Gross Profit Margin (long term)</t>
        </is>
      </c>
      <c r="AG193" t="inlineStr">
        <is>
          <t>Long term</t>
        </is>
      </c>
    </row>
    <row r="194">
      <c r="A194" t="inlineStr">
        <is>
          <t>Gross Profit Margin Floor</t>
        </is>
      </c>
      <c r="AA194" t="inlineStr">
        <is>
          <t>2021 H2 fwd</t>
        </is>
      </c>
    </row>
    <row r="195">
      <c r="A195" t="inlineStr">
        <is>
          <t>Growth current</t>
        </is>
      </c>
      <c r="AJ195" t="inlineStr">
        <is>
          <t>late 2025 / early 2026</t>
        </is>
      </c>
    </row>
    <row r="196">
      <c r="A196" t="inlineStr">
        <is>
          <t>Health club/specialty channel revenue</t>
        </is>
      </c>
      <c r="J196" t="inlineStr">
        <is>
          <t>~20-25% of US revenue</t>
        </is>
      </c>
    </row>
    <row r="197">
      <c r="A197" t="inlineStr">
        <is>
          <t>Healthy-functional-energy exclusivity</t>
        </is>
      </c>
      <c r="Z197" t="inlineStr">
        <is>
          <t>2022-2024</t>
        </is>
      </c>
    </row>
    <row r="198">
      <c r="A198" t="inlineStr">
        <is>
          <t>Household Penetration</t>
        </is>
      </c>
      <c r="AC198" t="inlineStr">
        <is>
          <t>11.1%</t>
        </is>
      </c>
    </row>
    <row r="199">
      <c r="A199" t="inlineStr">
        <is>
          <t>Imported Can Cycle-Through</t>
        </is>
      </c>
      <c r="T199" t="inlineStr">
        <is>
          <t>Mid-2022</t>
        </is>
      </c>
    </row>
    <row r="200">
      <c r="A200" t="inlineStr">
        <is>
          <t>Incremental Cooler Placement</t>
        </is>
      </c>
      <c r="AO200" t="n">
        <v>2025</v>
      </c>
    </row>
    <row r="201">
      <c r="A201" t="inlineStr">
        <is>
          <t>International</t>
        </is>
      </c>
      <c r="R201" t="n">
        <v>11.5</v>
      </c>
      <c r="T201" t="n">
        <v>10.4</v>
      </c>
      <c r="AB201" t="n">
        <v>11.4</v>
      </c>
      <c r="AE201" t="n">
        <v>15</v>
      </c>
      <c r="AF201" t="n">
        <v>54.7</v>
      </c>
    </row>
    <row r="202">
      <c r="A202" t="inlineStr">
        <is>
          <t>International (H1)</t>
        </is>
      </c>
      <c r="AK202" t="n">
        <v>48</v>
      </c>
    </row>
    <row r="203">
      <c r="A203" t="inlineStr">
        <is>
          <t>International Cadence</t>
        </is>
      </c>
      <c r="AI203" t="n">
        <v>2025</v>
      </c>
    </row>
    <row r="204">
      <c r="A204" t="inlineStr">
        <is>
          <t>International cans on the books</t>
        </is>
      </c>
      <c r="Q204" t="inlineStr">
        <is>
          <t>moving deposit to inventory</t>
        </is>
      </c>
    </row>
    <row r="205">
      <c r="A205" t="inlineStr">
        <is>
          <t>International Expansion</t>
        </is>
      </c>
      <c r="AF205" t="inlineStr">
        <is>
          <t>Early 2024</t>
        </is>
      </c>
      <c r="AI205" t="inlineStr">
        <is>
          <t>2024-2026</t>
        </is>
      </c>
    </row>
    <row r="206">
      <c r="A206" t="inlineStr">
        <is>
          <t>International market entry (UK, Germany, Canada, W. Europe)</t>
        </is>
      </c>
      <c r="Z206" t="inlineStr">
        <is>
          <t>2024-2026</t>
        </is>
      </c>
    </row>
    <row r="207">
      <c r="A207" t="inlineStr">
        <is>
          <t>International Rollout</t>
        </is>
      </c>
      <c r="AI207" t="inlineStr">
        <is>
          <t>2024-2028</t>
        </is>
      </c>
    </row>
    <row r="208">
      <c r="A208" t="inlineStr">
        <is>
          <t>International Sales</t>
        </is>
      </c>
      <c r="Z208" t="n">
        <v>11.5</v>
      </c>
    </row>
    <row r="209">
      <c r="A209" t="inlineStr">
        <is>
          <t>International sales</t>
        </is>
      </c>
      <c r="X209" t="n">
        <v>8.6</v>
      </c>
      <c r="Y209" t="n">
        <v>8.699999999999999</v>
      </c>
    </row>
    <row r="210">
      <c r="A210" t="inlineStr">
        <is>
          <t>International share aspiration</t>
        </is>
      </c>
      <c r="AO210" t="inlineStr">
        <is>
          <t>next 3-5 years</t>
        </is>
      </c>
    </row>
    <row r="211">
      <c r="A211" t="inlineStr">
        <is>
          <t>Inventory Days on Hand</t>
        </is>
      </c>
      <c r="R211" t="n">
        <v>155</v>
      </c>
    </row>
    <row r="212">
      <c r="A212" t="inlineStr">
        <is>
          <t>Inventory Increase (9M)</t>
        </is>
      </c>
      <c r="T212" t="n">
        <v>104</v>
      </c>
    </row>
    <row r="213">
      <c r="A213" t="inlineStr">
        <is>
          <t>Inventory normalization cash release</t>
        </is>
      </c>
      <c r="U213" t="inlineStr">
        <is>
          <t>Significant funds released</t>
        </is>
      </c>
    </row>
    <row r="214">
      <c r="A214" t="inlineStr">
        <is>
          <t>Inventory step-up</t>
        </is>
      </c>
      <c r="AO214" t="inlineStr">
        <is>
          <t>allocate ~80% Q2, ~20% Q3</t>
        </is>
      </c>
    </row>
    <row r="215">
      <c r="A215" t="inlineStr">
        <is>
          <t>Inventory valuation step-up (non-cash, FY)</t>
        </is>
      </c>
      <c r="AN215" t="n">
        <v>22.4</v>
      </c>
    </row>
    <row r="216">
      <c r="A216" t="inlineStr">
        <is>
          <t>Items carried per store</t>
        </is>
      </c>
      <c r="Y216" t="inlineStr">
        <is>
          <t>3-wk window post Oct 1</t>
        </is>
      </c>
    </row>
    <row r="217">
      <c r="A217" t="inlineStr">
        <is>
          <t>Items per Store</t>
        </is>
      </c>
      <c r="AB217" t="inlineStr">
        <is>
          <t>placements/items per store</t>
        </is>
      </c>
    </row>
    <row r="218">
      <c r="A218" t="inlineStr">
        <is>
          <t>June 9 Offering Net Proceeds (to Company)</t>
        </is>
      </c>
      <c r="R218" t="n">
        <v>67.8</v>
      </c>
    </row>
    <row r="219">
      <c r="A219" t="inlineStr">
        <is>
          <t>Key Markets</t>
        </is>
      </c>
      <c r="AB219" t="inlineStr">
        <is>
          <t>national key markets</t>
        </is>
      </c>
    </row>
    <row r="220">
      <c r="A220" t="inlineStr">
        <is>
          <t>Long-term gross margin aspiration (apples-to-apples vs Monster)</t>
        </is>
      </c>
      <c r="AK220" t="inlineStr">
        <is>
          <t>long-term, no timeline</t>
        </is>
      </c>
    </row>
    <row r="221">
      <c r="A221" t="inlineStr">
        <is>
          <t>Long-Term Gross Margin Goal</t>
        </is>
      </c>
      <c r="AI221" t="inlineStr">
        <is>
          <t>Long-term</t>
        </is>
      </c>
    </row>
    <row r="222">
      <c r="A222" t="inlineStr">
        <is>
          <t>Long-Term Operating Margin</t>
        </is>
      </c>
      <c r="AI222" t="inlineStr">
        <is>
          <t>Long-term</t>
        </is>
      </c>
    </row>
    <row r="223">
      <c r="A223" t="inlineStr">
        <is>
          <t>Margin</t>
        </is>
      </c>
      <c r="AI223" t="inlineStr">
        <is>
          <t>2023 Q3</t>
        </is>
      </c>
    </row>
    <row r="224">
      <c r="A224" t="inlineStr">
        <is>
          <t>Marketing uplift share of synergies (per analyst, Slide 19)</t>
        </is>
      </c>
      <c r="AO224" t="inlineStr">
        <is>
          <t>forward</t>
        </is>
      </c>
    </row>
    <row r="225">
      <c r="A225" t="inlineStr">
        <is>
          <t>Markets Expanded Into</t>
        </is>
      </c>
      <c r="AB225" t="inlineStr">
        <is>
          <t>over last ~18 months</t>
        </is>
      </c>
    </row>
    <row r="226">
      <c r="A226" t="inlineStr">
        <is>
          <t>Micro-market placements</t>
        </is>
      </c>
      <c r="W226" t="inlineStr">
        <is>
          <t>As of conference</t>
        </is>
      </c>
    </row>
    <row r="227">
      <c r="A227" t="inlineStr">
        <is>
          <t>MULOC ACV</t>
        </is>
      </c>
      <c r="AC227" t="inlineStr">
        <is>
          <t>72.1%</t>
        </is>
      </c>
    </row>
    <row r="228">
      <c r="A228" t="inlineStr">
        <is>
          <t>MULOC locations serviced by DSD</t>
        </is>
      </c>
      <c r="Y228" t="inlineStr">
        <is>
          <t>92%</t>
        </is>
      </c>
    </row>
    <row r="229">
      <c r="A229" t="inlineStr">
        <is>
          <t>Multipack share of retail sales mix</t>
        </is>
      </c>
      <c r="AJ229" t="inlineStr">
        <is>
          <t>~28% MULO+ Conv / ~55% MULO+</t>
        </is>
      </c>
    </row>
    <row r="230">
      <c r="A230" t="inlineStr">
        <is>
          <t>Net Income (common shareholders)</t>
        </is>
      </c>
      <c r="AD230" t="n">
        <v>70.5</v>
      </c>
    </row>
    <row r="231">
      <c r="A231" t="inlineStr">
        <is>
          <t>Net income (GAAP)</t>
        </is>
      </c>
      <c r="AO231" t="n">
        <v>108</v>
      </c>
    </row>
    <row r="232">
      <c r="A232" t="inlineStr">
        <is>
          <t>Net Income (GAAP)</t>
        </is>
      </c>
      <c r="AO232" t="n">
        <v>108</v>
      </c>
    </row>
    <row r="233">
      <c r="A233" t="inlineStr">
        <is>
          <t>Net Income (to common)</t>
        </is>
      </c>
      <c r="AJ233" t="n">
        <v>34.4</v>
      </c>
    </row>
    <row r="234">
      <c r="A234" t="inlineStr">
        <is>
          <t>Net Income / (Loss)</t>
        </is>
      </c>
      <c r="AH234" t="n">
        <v>-18.9</v>
      </c>
    </row>
    <row r="235">
      <c r="A235" t="inlineStr">
        <is>
          <t>Net Income to Common ($000)</t>
        </is>
      </c>
      <c r="J235" t="n">
        <v>961</v>
      </c>
    </row>
    <row r="236">
      <c r="A236" t="inlineStr">
        <is>
          <t>Net Inventory</t>
        </is>
      </c>
      <c r="R236" t="n">
        <v>63.8</v>
      </c>
      <c r="V236" t="n">
        <v>191.2</v>
      </c>
    </row>
    <row r="237">
      <c r="A237" t="inlineStr">
        <is>
          <t>Net Revenues</t>
        </is>
      </c>
      <c r="AI237" t="n">
        <v>605</v>
      </c>
    </row>
    <row r="238">
      <c r="A238" t="inlineStr">
        <is>
          <t>Net Working Capital (Mar 31, 2023)</t>
        </is>
      </c>
      <c r="AB238" t="n">
        <v>801</v>
      </c>
    </row>
    <row r="239">
      <c r="A239" t="inlineStr">
        <is>
          <t>Nielsen scan growth</t>
        </is>
      </c>
      <c r="Z239" t="inlineStr">
        <is>
          <t>over 200%</t>
        </is>
      </c>
    </row>
    <row r="240">
      <c r="A240" t="inlineStr">
        <is>
          <t>Non-GAAP Adjusted Diluted EPS</t>
        </is>
      </c>
      <c r="AJ240" t="n">
        <v>0.18</v>
      </c>
    </row>
    <row r="241">
      <c r="A241" t="inlineStr">
        <is>
          <t>Normalized Gross Margin ()</t>
        </is>
      </c>
      <c r="T241" t="inlineStr">
        <is>
          <t>~47.2%</t>
        </is>
      </c>
    </row>
    <row r="242">
      <c r="A242" t="inlineStr">
        <is>
          <t>North America</t>
        </is>
      </c>
      <c r="AB242" t="n">
        <v>249</v>
      </c>
      <c r="AE242" t="n">
        <v>333</v>
      </c>
      <c r="AF242" t="n">
        <v>1270</v>
      </c>
    </row>
    <row r="243">
      <c r="A243" t="inlineStr">
        <is>
          <t>North America (H1)</t>
        </is>
      </c>
      <c r="AK243" t="n">
        <v>1020</v>
      </c>
    </row>
    <row r="244">
      <c r="A244" t="inlineStr">
        <is>
          <t>North America / Domestic</t>
        </is>
      </c>
      <c r="R244" t="n">
        <v>53.7</v>
      </c>
      <c r="T244" t="n">
        <v>84.5</v>
      </c>
    </row>
    <row r="245">
      <c r="A245" t="inlineStr">
        <is>
          <t>Op. Cash Flow ex-inventory build (6M)</t>
        </is>
      </c>
      <c r="R245" t="n">
        <v>15.1</v>
      </c>
    </row>
    <row r="246">
      <c r="A246" t="inlineStr">
        <is>
          <t>Operating Cash Flow (6M)</t>
        </is>
      </c>
      <c r="R246" t="n">
        <v>-30.3</v>
      </c>
    </row>
    <row r="247">
      <c r="A247" t="inlineStr">
        <is>
          <t>Operating Cash Flow (9M)</t>
        </is>
      </c>
      <c r="T247" t="n">
        <v>-52</v>
      </c>
    </row>
    <row r="248">
      <c r="A248" t="inlineStr">
        <is>
          <t>Operating Cash Flow FY</t>
        </is>
      </c>
      <c r="P248" t="n">
        <v>3.4</v>
      </c>
    </row>
    <row r="249">
      <c r="A249" t="inlineStr">
        <is>
          <t>Operating Income Growth</t>
        </is>
      </c>
      <c r="AC249" t="inlineStr">
        <is>
          <t>~400% growth</t>
        </is>
      </c>
    </row>
    <row r="250">
      <c r="A250" t="inlineStr">
        <is>
          <t>Operating Margin (long term)</t>
        </is>
      </c>
      <c r="AG250" t="inlineStr">
        <is>
          <t>Long term</t>
        </is>
      </c>
    </row>
    <row r="251">
      <c r="A251" t="inlineStr">
        <is>
          <t>Orbit model expansion</t>
        </is>
      </c>
      <c r="Z251" t="inlineStr">
        <is>
          <t>6 orbits to 13 orbits</t>
        </is>
      </c>
    </row>
    <row r="252">
      <c r="A252" t="inlineStr">
        <is>
          <t>Other Income</t>
        </is>
      </c>
      <c r="I252" t="n">
        <v>11.9</v>
      </c>
      <c r="AO252" t="n">
        <v>13</v>
      </c>
    </row>
    <row r="253">
      <c r="A253" t="inlineStr">
        <is>
          <t>Other International</t>
        </is>
      </c>
      <c r="R253" t="n">
        <v>0.062</v>
      </c>
      <c r="T253" t="n">
        <v>0.177</v>
      </c>
    </row>
    <row r="254">
      <c r="A254" t="inlineStr">
        <is>
          <t>Other international markets</t>
        </is>
      </c>
      <c r="V254" t="n">
        <v>3.2</v>
      </c>
    </row>
    <row r="255">
      <c r="A255" t="inlineStr">
        <is>
          <t>Other International Markets</t>
        </is>
      </c>
      <c r="W255" t="n">
        <v>0.5</v>
      </c>
    </row>
    <row r="256">
      <c r="A256" t="inlineStr">
        <is>
          <t>Outbound freight gross-profit gap (historical)</t>
        </is>
      </c>
      <c r="Y256" t="inlineStr">
        <is>
          <t>Ongoing</t>
        </is>
      </c>
    </row>
    <row r="257">
      <c r="A257" t="inlineStr">
        <is>
          <t>Outlook</t>
        </is>
      </c>
      <c r="AG257" t="inlineStr">
        <is>
          <t>Seasonal pullback + possible distributor destock</t>
        </is>
      </c>
    </row>
    <row r="258">
      <c r="A258" t="inlineStr">
        <is>
          <t>Pepsi year-end inventory timing impact</t>
        </is>
      </c>
      <c r="AR258" t="inlineStr">
        <is>
          <t>~$5M/day; up to ~1 week if shutdown</t>
        </is>
      </c>
    </row>
    <row r="259">
      <c r="A259" t="inlineStr">
        <is>
          <t>Portfolio retail sales growth</t>
        </is>
      </c>
      <c r="AO259" t="inlineStr">
        <is>
          <t>+22%</t>
        </is>
      </c>
    </row>
    <row r="260">
      <c r="A260" t="inlineStr">
        <is>
          <t>Prepaid cans/raw materials in inventory build</t>
        </is>
      </c>
      <c r="V260" t="inlineStr">
        <is>
          <t>~$60-70M</t>
        </is>
      </c>
    </row>
    <row r="261">
      <c r="A261" t="inlineStr">
        <is>
          <t>Prepaids tied to raw materials</t>
        </is>
      </c>
      <c r="T261" t="n">
        <v>40</v>
      </c>
    </row>
    <row r="262">
      <c r="A262" t="inlineStr">
        <is>
          <t>Prior Independent Distributor Count</t>
        </is>
      </c>
      <c r="AB262" t="inlineStr">
        <is>
          <t>legacy ABI network, pre-Pepsi</t>
        </is>
      </c>
    </row>
    <row r="263">
      <c r="A263" t="inlineStr">
        <is>
          <t>Pro-Forma Net Leverage</t>
        </is>
      </c>
      <c r="AK263" t="inlineStr">
        <is>
          <t>~1x</t>
        </is>
      </c>
    </row>
    <row r="264">
      <c r="A264" t="inlineStr">
        <is>
          <t>Protein shakes share of 2024 sales</t>
        </is>
      </c>
      <c r="AI264" t="inlineStr">
        <is>
          <t>~6%</t>
        </is>
      </c>
    </row>
    <row r="265">
      <c r="A265" t="inlineStr">
        <is>
          <t>Purchase accounting inventory step-up</t>
        </is>
      </c>
      <c r="AK265" t="n">
        <v>21.7</v>
      </c>
    </row>
    <row r="266">
      <c r="A266" t="inlineStr">
        <is>
          <t>Quarter growth</t>
        </is>
      </c>
      <c r="X266" t="inlineStr">
        <is>
          <t>185%</t>
        </is>
      </c>
      <c r="Z266" t="inlineStr">
        <is>
          <t>10%</t>
        </is>
      </c>
    </row>
    <row r="267">
      <c r="A267" t="inlineStr">
        <is>
          <t>Remainder</t>
        </is>
      </c>
      <c r="AJ267" t="inlineStr">
        <is>
          <t>stock</t>
        </is>
      </c>
    </row>
    <row r="268">
      <c r="A268" t="inlineStr">
        <is>
          <t>Reported revenue (books &amp; records)</t>
        </is>
      </c>
      <c r="AJ268" t="inlineStr">
        <is>
          <t>-7%</t>
        </is>
      </c>
    </row>
    <row r="269">
      <c r="A269" t="inlineStr">
        <is>
          <t>Restricted cash</t>
        </is>
      </c>
      <c r="AO269" t="n">
        <v>141.1</v>
      </c>
    </row>
    <row r="270">
      <c r="A270" t="inlineStr">
        <is>
          <t>Retail Sales Growth</t>
        </is>
      </c>
      <c r="AI270" t="inlineStr">
        <is>
          <t>22%</t>
        </is>
      </c>
    </row>
    <row r="271">
      <c r="A271" t="inlineStr">
        <is>
          <t>Revenue CAGR (2022-2024)</t>
        </is>
      </c>
      <c r="AI271" t="inlineStr">
        <is>
          <t>~49%</t>
        </is>
      </c>
    </row>
    <row r="272">
      <c r="A272" t="inlineStr">
        <is>
          <t>RTD energy share of 2024 sales</t>
        </is>
      </c>
      <c r="AI272" t="inlineStr">
        <is>
          <t>~83%</t>
        </is>
      </c>
    </row>
    <row r="273">
      <c r="A273" t="inlineStr">
        <is>
          <t>Run-rate cost synergies</t>
        </is>
      </c>
      <c r="AO273" t="inlineStr">
        <is>
          <t>full run rate from April 2026</t>
        </is>
      </c>
    </row>
    <row r="274">
      <c r="A274" t="inlineStr">
        <is>
          <t>S&amp;M % of Revenue</t>
        </is>
      </c>
      <c r="R274" t="inlineStr">
        <is>
          <t>23.9%</t>
        </is>
      </c>
      <c r="T274" t="inlineStr">
        <is>
          <t>23.8%</t>
        </is>
      </c>
      <c r="W274" t="inlineStr">
        <is>
          <t>23%</t>
        </is>
      </c>
    </row>
    <row r="275">
      <c r="A275" t="inlineStr">
        <is>
          <t>S&amp;M % of revenue</t>
        </is>
      </c>
      <c r="AK275" t="inlineStr">
        <is>
          <t>20.5%</t>
        </is>
      </c>
    </row>
    <row r="276">
      <c r="A276" t="inlineStr">
        <is>
          <t>S&amp;M % of Sales</t>
        </is>
      </c>
      <c r="AB276" t="inlineStr">
        <is>
          <t>18.3%</t>
        </is>
      </c>
      <c r="AE276" t="inlineStr">
        <is>
          <t>23%</t>
        </is>
      </c>
      <c r="AF276" t="inlineStr">
        <is>
          <t>20%</t>
        </is>
      </c>
    </row>
    <row r="277">
      <c r="A277" t="inlineStr">
        <is>
          <t>S&amp;M % of Sales (long term)</t>
        </is>
      </c>
      <c r="AG277" t="inlineStr">
        <is>
          <t>Long term</t>
        </is>
      </c>
    </row>
    <row r="278">
      <c r="A278" t="inlineStr">
        <is>
          <t>S&amp;M (Adjusted)</t>
        </is>
      </c>
      <c r="AO278" t="inlineStr">
        <is>
          <t>21.8% of sales</t>
        </is>
      </c>
    </row>
    <row r="279">
      <c r="A279" t="inlineStr">
        <is>
          <t>S&amp;M (GAAP)</t>
        </is>
      </c>
      <c r="AO279" t="inlineStr">
        <is>
          <t>$876.3M / 34.8% of sales</t>
        </is>
      </c>
    </row>
    <row r="280">
      <c r="A280" t="inlineStr">
        <is>
          <t>S&amp;M Expense</t>
        </is>
      </c>
      <c r="AB280" t="n">
        <v>48</v>
      </c>
      <c r="AE280" t="n">
        <v>80</v>
      </c>
      <c r="AK280" t="n">
        <v>152</v>
      </c>
    </row>
    <row r="281">
      <c r="A281" t="inlineStr">
        <is>
          <t>S&amp;M Expense % of sales</t>
        </is>
      </c>
      <c r="AM281" t="inlineStr">
        <is>
          <t>~20%</t>
        </is>
      </c>
    </row>
    <row r="282">
      <c r="A282" t="inlineStr">
        <is>
          <t>Sales &amp; Marketing (% of Revenue)</t>
        </is>
      </c>
      <c r="AF282" t="inlineStr">
        <is>
          <t>2023Q1</t>
        </is>
      </c>
      <c r="AG282" t="inlineStr">
        <is>
          <t>21%</t>
        </is>
      </c>
    </row>
    <row r="283">
      <c r="A283" t="inlineStr">
        <is>
          <t>Sales &amp; marketing (% of revenue)</t>
        </is>
      </c>
      <c r="X283" t="inlineStr">
        <is>
          <t>21%</t>
        </is>
      </c>
    </row>
    <row r="284">
      <c r="A284" t="inlineStr">
        <is>
          <t>Sales &amp; Marketing (% of sales)</t>
        </is>
      </c>
      <c r="AC284" t="inlineStr">
        <is>
          <t>~19.2%</t>
        </is>
      </c>
      <c r="AD284" t="inlineStr">
        <is>
          <t>~19.1%</t>
        </is>
      </c>
      <c r="AI284" t="inlineStr">
        <is>
          <t>25.9%</t>
        </is>
      </c>
    </row>
    <row r="285">
      <c r="A285" t="inlineStr">
        <is>
          <t>Sales &amp; marketing as % of revenue</t>
        </is>
      </c>
      <c r="AI285" t="n">
        <v>2024</v>
      </c>
    </row>
    <row r="286">
      <c r="A286" t="inlineStr">
        <is>
          <t>Sales &amp; Marketing Expense</t>
        </is>
      </c>
      <c r="AA286" t="n">
        <v>353</v>
      </c>
      <c r="AB286" t="n">
        <v>48</v>
      </c>
    </row>
    <row r="287">
      <c r="A287" t="inlineStr">
        <is>
          <t>Sales &amp; marketing expenses</t>
        </is>
      </c>
      <c r="Y287" t="n">
        <v>198.8</v>
      </c>
    </row>
    <row r="288">
      <c r="A288" t="inlineStr">
        <is>
          <t>Sam's Club nationwide rollout added</t>
        </is>
      </c>
      <c r="Q288" t="inlineStr">
        <is>
          <t>589 locations</t>
        </is>
      </c>
    </row>
    <row r="289">
      <c r="A289" t="inlineStr">
        <is>
          <t>Same-store sales growth</t>
        </is>
      </c>
      <c r="O289" t="inlineStr">
        <is>
          <t>Ongoing</t>
        </is>
      </c>
    </row>
    <row r="290">
      <c r="A290" t="inlineStr">
        <is>
          <t>Say-on-pay advisory vote</t>
        </is>
      </c>
      <c r="AA290" t="inlineStr">
        <is>
          <t>Approved</t>
        </is>
      </c>
    </row>
    <row r="291">
      <c r="A291" t="inlineStr">
        <is>
          <t>Scanner data trend</t>
        </is>
      </c>
      <c r="AJ291" t="inlineStr">
        <is>
          <t>-4%</t>
        </is>
      </c>
    </row>
    <row r="292">
      <c r="A292" t="inlineStr">
        <is>
          <t>Sequential Gross Margin Improvement (vs Q2)</t>
        </is>
      </c>
      <c r="AD292" t="inlineStr">
        <is>
          <t>+165 bps</t>
        </is>
      </c>
    </row>
    <row r="293">
      <c r="A293" t="inlineStr">
        <is>
          <t>Sequential revenue growth (vs )</t>
        </is>
      </c>
      <c r="W293" t="inlineStr">
        <is>
          <t>+18%</t>
        </is>
      </c>
    </row>
    <row r="294">
      <c r="A294" t="inlineStr">
        <is>
          <t>Sequential Revenue Growth (vs Q2)</t>
        </is>
      </c>
      <c r="AD294" t="inlineStr">
        <is>
          <t>+18%</t>
        </is>
      </c>
    </row>
    <row r="295">
      <c r="A295" t="inlineStr">
        <is>
          <t>Series B convertible preferred stock (newly issued)</t>
        </is>
      </c>
      <c r="AO295" t="n">
        <v>907.6</v>
      </c>
    </row>
    <row r="296">
      <c r="A296" t="inlineStr">
        <is>
          <t>SG&amp;A Expense</t>
        </is>
      </c>
      <c r="AJ296" t="n">
        <v>120.3</v>
      </c>
    </row>
    <row r="297">
      <c r="A297" t="inlineStr">
        <is>
          <t>SG&amp;A expense (GAAP, FY)</t>
        </is>
      </c>
      <c r="AN297" t="inlineStr">
        <is>
          <t>$1,126M (44.8% of revenue)</t>
        </is>
      </c>
    </row>
    <row r="298">
      <c r="A298" t="inlineStr">
        <is>
          <t>SG&amp;A expense (GAAP, Q4)</t>
        </is>
      </c>
      <c r="AN298" t="inlineStr">
        <is>
          <t>$316M (43.8% of revenue)</t>
        </is>
      </c>
    </row>
    <row r="299">
      <c r="A299" t="inlineStr">
        <is>
          <t>South Florida Share</t>
        </is>
      </c>
      <c r="AC299" t="inlineStr">
        <is>
          <t>17.7% (Jan 2023)</t>
        </is>
      </c>
    </row>
    <row r="300">
      <c r="A300" t="inlineStr">
        <is>
          <t>Spring-Reset Shelf-Space Gain</t>
        </is>
      </c>
      <c r="AO300" t="inlineStr">
        <is>
          <t>Spring 2025</t>
        </is>
      </c>
    </row>
    <row r="301">
      <c r="A301" t="inlineStr">
        <is>
          <t>Standalone gross margin</t>
        </is>
      </c>
      <c r="AI301" t="inlineStr">
        <is>
          <t>40% -&gt; low 40s</t>
        </is>
      </c>
    </row>
    <row r="302">
      <c r="A302" t="inlineStr">
        <is>
          <t>Stock Option Expense</t>
        </is>
      </c>
      <c r="R302" t="n">
        <v>4</v>
      </c>
      <c r="T302" t="n">
        <v>5.8</v>
      </c>
    </row>
    <row r="303">
      <c r="A303" t="inlineStr">
        <is>
          <t>Subway Distribution Opportunity</t>
        </is>
      </c>
      <c r="AK303" t="inlineStr">
        <is>
          <t>18,000 locations</t>
        </is>
      </c>
      <c r="AO303" t="n">
        <v>2025</v>
      </c>
    </row>
    <row r="304">
      <c r="A304" t="inlineStr">
        <is>
          <t>Sweden Market Share</t>
        </is>
      </c>
      <c r="AB304" t="inlineStr">
        <is>
          <t>international</t>
        </is>
      </c>
    </row>
    <row r="305">
      <c r="A305" t="inlineStr">
        <is>
          <t>Target convenience price point</t>
        </is>
      </c>
      <c r="Z305" t="inlineStr">
        <is>
          <t>Forward</t>
        </is>
      </c>
    </row>
    <row r="306">
      <c r="A306" t="inlineStr">
        <is>
          <t>Target inventory days on hand</t>
        </is>
      </c>
      <c r="Y306" t="inlineStr">
        <is>
          <t>Going forward</t>
        </is>
      </c>
    </row>
    <row r="307">
      <c r="A307" t="inlineStr">
        <is>
          <t>Tax rate going forward</t>
        </is>
      </c>
      <c r="U307" t="inlineStr">
        <is>
          <t>Significantly higher (jurisdiction/profitability dependent)</t>
        </is>
      </c>
    </row>
    <row r="308">
      <c r="A308" t="inlineStr">
        <is>
          <t>Third-Party Scan Data (Nielsen, as of Oct 22)</t>
        </is>
      </c>
      <c r="Z308" t="inlineStr">
        <is>
          <t>Energy Category</t>
        </is>
      </c>
    </row>
    <row r="309">
      <c r="A309" t="inlineStr">
        <is>
          <t>Third-Party Scan Data (Nielsen, ending Jul 16)</t>
        </is>
      </c>
      <c r="X309" t="inlineStr">
        <is>
          <t>Celsius</t>
        </is>
      </c>
    </row>
    <row r="310">
      <c r="A310" t="inlineStr">
        <is>
          <t>Total distributor buyout obligation (year-end)</t>
        </is>
      </c>
      <c r="AN310" t="inlineStr">
        <is>
          <t>~$327.5M ($246.7M Q3 + $80.8M Q4)</t>
        </is>
      </c>
    </row>
    <row r="311">
      <c r="A311" t="inlineStr">
        <is>
          <t>Total Inventory</t>
        </is>
      </c>
      <c r="W311" t="inlineStr">
        <is>
          <t>down vs prior quarter</t>
        </is>
      </c>
    </row>
    <row r="312">
      <c r="A312" t="inlineStr">
        <is>
          <t>Total Net Other Expense</t>
        </is>
      </c>
      <c r="T312" t="n">
        <v>-0.353</v>
      </c>
    </row>
    <row r="313">
      <c r="A313" t="inlineStr">
        <is>
          <t>Total Net Other Income</t>
        </is>
      </c>
      <c r="R313" t="n">
        <v>0.3615</v>
      </c>
    </row>
    <row r="314">
      <c r="A314" t="inlineStr">
        <is>
          <t>Total Other Income</t>
        </is>
      </c>
      <c r="O314" t="n">
        <v>1.3</v>
      </c>
    </row>
    <row r="315">
      <c r="A315" t="inlineStr">
        <is>
          <t>Total Revenue ($B)</t>
        </is>
      </c>
      <c r="AL315" t="n">
        <v>1.07</v>
      </c>
    </row>
    <row r="316">
      <c r="A316" t="inlineStr">
        <is>
          <t>US co-packer footprint</t>
        </is>
      </c>
      <c r="X316" t="inlineStr">
        <is>
          <t>13 active locations</t>
        </is>
      </c>
    </row>
    <row r="317">
      <c r="A317" t="inlineStr">
        <is>
          <t>US door count</t>
        </is>
      </c>
      <c r="M317" t="inlineStr">
        <is>
          <t>~65,000 (end-2019)</t>
        </is>
      </c>
      <c r="V317" t="inlineStr">
        <is>
          <t>End of 2021</t>
        </is>
      </c>
    </row>
    <row r="318">
      <c r="A318" t="inlineStr">
        <is>
          <t>US energy category growth</t>
        </is>
      </c>
      <c r="AO318" t="inlineStr">
        <is>
          <t>next several years</t>
        </is>
      </c>
    </row>
    <row r="319">
      <c r="A319" t="inlineStr">
        <is>
          <t>US Energy Drink Market Share</t>
        </is>
      </c>
      <c r="Z319" t="inlineStr">
        <is>
          <t>6.4 share (#3)</t>
        </is>
      </c>
    </row>
    <row r="320">
      <c r="A320" t="inlineStr">
        <is>
          <t>US store count</t>
        </is>
      </c>
      <c r="V320" t="inlineStr">
        <is>
          <t>135,000+</t>
        </is>
      </c>
      <c r="Y320" t="n">
        <v>174000</v>
      </c>
    </row>
    <row r="321">
      <c r="A321" t="inlineStr">
        <is>
          <t>US Store Count</t>
        </is>
      </c>
      <c r="Z321" t="inlineStr">
        <is>
          <t>210,000+</t>
        </is>
      </c>
    </row>
    <row r="322">
      <c r="A322" t="inlineStr">
        <is>
          <t>US total door count</t>
        </is>
      </c>
      <c r="X322" t="n">
        <v>196000</v>
      </c>
    </row>
    <row r="323">
      <c r="A323" t="inlineStr">
        <is>
          <t>Vending &amp; Micro-Market Placements</t>
        </is>
      </c>
      <c r="Q323" t="inlineStr">
        <is>
          <t>12,000+ (+96% location growth)</t>
        </is>
      </c>
    </row>
    <row r="324">
      <c r="A324" t="inlineStr">
        <is>
          <t>Vending / foodservice revenue</t>
        </is>
      </c>
      <c r="X324" t="n">
        <v>4.4</v>
      </c>
    </row>
    <row r="325">
      <c r="A325" t="inlineStr">
        <is>
          <t>Volume Growth</t>
        </is>
      </c>
      <c r="AI325" t="inlineStr">
        <is>
          <t>22%</t>
        </is>
      </c>
    </row>
    <row r="326">
      <c r="A326" t="inlineStr">
        <is>
          <t>Walmart sales growth</t>
        </is>
      </c>
      <c r="X326" t="inlineStr">
        <is>
          <t>+700%+</t>
        </is>
      </c>
    </row>
    <row r="327">
      <c r="A327" t="inlineStr">
        <is>
          <t>Working Capital (year-end)</t>
        </is>
      </c>
      <c r="AA327" t="n">
        <v>757</v>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B2:S109"/>
  <sheetViews>
    <sheetView topLeftCell="A70" zoomScale="85" zoomScaleNormal="85" workbookViewId="0">
      <selection activeCell="A15" sqref="A15"/>
    </sheetView>
  </sheetViews>
  <sheetFormatPr baseColWidth="8" defaultRowHeight="14.4"/>
  <cols>
    <col width="35.44140625" bestFit="1" customWidth="1" min="3" max="3"/>
  </cols>
  <sheetData>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38" t="n">
        <v>-81</v>
      </c>
      <c r="E60" s="38" t="n">
        <v>-327.5</v>
      </c>
    </row>
    <row r="61">
      <c r="C61" t="inlineStr">
        <is>
          <t>Sales &amp; Marketing</t>
        </is>
      </c>
      <c r="D61" s="39">
        <f>SUM(D59:D60)</f>
        <v/>
      </c>
      <c r="E61" s="39">
        <f>SUM(E59:E60)</f>
        <v/>
      </c>
      <c r="F61" s="40" t="n"/>
    </row>
    <row r="62">
      <c r="D62" s="41" t="n"/>
    </row>
    <row r="63">
      <c r="C63" t="inlineStr">
        <is>
          <t>Administrative</t>
        </is>
      </c>
      <c r="D63" s="15" t="n">
        <v>81</v>
      </c>
      <c r="E63" t="n">
        <v>250</v>
      </c>
    </row>
    <row r="64">
      <c r="C64" t="inlineStr">
        <is>
          <t>Acquisition Cost Adjustment</t>
        </is>
      </c>
      <c r="D64" s="38" t="n">
        <v>-5</v>
      </c>
      <c r="E64" s="38"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2026-05-17T15:40:11Z</dcterms:modified>
  <cp:lastModifiedBy>Gabriel Rodino</cp:lastModifiedBy>
</cp:coreProperties>
</file>