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8">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Computed prior-year value: =AD5/(1+140%).
The .md PriorYearValue conflicted with the line's stated YoY%, so it is reconstructed from the FY2021 figure.
YoY source: 2022 Annual General Meeting (2022-06-02) — “FY2021 Total Revenue”.</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C5" authorId="0" shapeId="0">
      <text>
        <t>Prior-year comparative — no transcript reported this period directly.
Figure as stated in Q4 2022 Earnings Call (2023-03-01),
STEP-5 KPI “Q4 Total Revenue” (PriorYearValue field).</t>
      </text>
    </comment>
    <comment ref="AD5" authorId="0" shapeId="0">
      <text>
        <t>Source: 2022 Annual General Meeting (Annual Meeting of Shareholders)
Date: 2022-06-02
Workbook tab: 22 Annual Shareholder Mtg
Digest label: “Total revenue ($M)”</t>
      </text>
    </comment>
    <comment ref="AE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F5" authorId="0" shapeId="0">
      <text>
        <t>Source: Q2 2022 Earnings Call
Date: 2022-08-09
Workbook tab: 26 2022Q2 Earnings
Digest label: “Total revenue”</t>
      </text>
    </comment>
    <comment ref="AH5" authorId="0" shapeId="0">
      <text>
        <t>Source: Q3 2022 Earnings Call
Date: 2022-11-09
Workbook tab: 27 2022Q3 Earnings
Digest label: “Total revenue”</t>
      </text>
    </comment>
    <comment ref="AJ5" authorId="0" shapeId="0">
      <text>
        <t>Source: Q4 2022 / FY2022 Earnings Call
Date: 2023-03-01
Workbook tab: 28 2022Q4 Earnings
Digest label: “Total Revenue”</t>
      </text>
    </comment>
    <comment ref="AK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L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M5" authorId="0" shapeId="0">
      <text>
        <t>Source: Q2 2023 Earnings Call
Date: 2023-08-08
Workbook tab: 34 2023Q2 Earnings
Digest label: “Total Revenue”</t>
      </text>
    </comment>
    <comment ref="AN5" authorId="0" shapeId="0">
      <text>
        <t>Source: Q2 2023 Earnings Call
Date: 2023-08-08
Workbook tab: 34 2023Q2 Earnings
Digest label: “H1 Revenue”</t>
      </text>
    </comment>
    <comment ref="AO5" authorId="0" shapeId="0">
      <text>
        <t>Source: Q3 2023 Earnings Call
Date: 2023-11-07
Workbook tab: 37 2023Q3 Earnings
Digest label: “Total Revenue”</t>
      </text>
    </comment>
    <comment ref="AP5" authorId="0" shapeId="0">
      <text>
        <t>Source: Q3 2023 Earnings Call
Date: 2023-11-07
Workbook tab: 37 2023Q3 Earnings
Digest label: “9M Revenue”</t>
      </text>
    </comment>
    <comment ref="AQ5" authorId="0" shapeId="0">
      <text>
        <t>Source: Celsius Holdings Q4 2023 Earnings Call
Date: 2024-02-29
Workbook tab: 40 2023Q4 Earnings
Digest label: “Total Revenue”</t>
      </text>
    </comment>
    <comment ref="AR5" authorId="0" shapeId="0">
      <text>
        <t>Source: Celsius Holdings Q4 2023 Earnings Call
Date: 2024-02-29
Workbook tab: 40 2023Q4 Earnings
Digest label: “Total Revenue”</t>
      </text>
    </comment>
    <comment ref="AS5" authorId="0" shapeId="0">
      <text>
        <t>Source: Q1 2024 Earnings Call
Date: 2024-05-07
Workbook tab: 42 Q1 2024 Earnings
Digest label: “Total Revenue”</t>
      </text>
    </comment>
    <comment ref="AT5" authorId="0" shapeId="0">
      <text>
        <t>Computed prior-year value: =AZ5/(1+84%).
The .md PriorYearValue conflicted with the line's stated YoY%, so it is reconstructed from the Q2 2025 figure.
YoY source: Q2 2025 Earnings Call (2025-08-07) — “Total Revenue”.</t>
      </text>
    </comment>
    <comment ref="AU5" authorId="0" shapeId="0">
      <text>
        <t>Computed prior-year value: =BA5/(1+41%).
The .md PriorYearValue conflicted with the line's stated YoY%, so it is reconstructed from the H1 2025 figure.
YoY source: Q2 2025 Earnings Call (2025-08-07) — “H1 2025 Total Revenue”.</t>
      </text>
    </comment>
    <comment ref="AV5" authorId="0" shapeId="0">
      <text>
        <t>Computed prior-year value: =BB5/(1+173%).
The .md PriorYearValue conflicted with the line's stated YoY%, so it is reconstructed from the Q3 2025 figure.
YoY source: Q3 2025 Earnings Call (2025-11-06) — “Consolidated Revenue”.</t>
      </text>
    </comment>
    <comment ref="AW5" authorId="0" shapeId="0">
      <text>
        <t>Prior-year comparative — no transcript reported this period directly.
Figure as stated in Full-Year 2025 and Fourth Quarter Financial Results Press Release (2026-02-26),
STEP-5 KPI “Total Revenue” (PriorYearValue field).</t>
      </text>
    </comment>
    <comment ref="AX5" authorId="0" shapeId="0">
      <text>
        <t>Reported in 2 transcripts (► = figure shown in cell):
► 1360  —  Q4 2024 Earnings Call (2025-02-20)
   tab: 51 2024Q4 Earnings  |  “Revenue”
• 605  —  Alani Nu Modeling Call (post-closing) (2025-05-28)
   tab: 57 Acquiring Alani Nu  |  “Net Revenues”</t>
      </text>
    </comment>
    <comment ref="AY5" authorId="0" shapeId="0">
      <text>
        <t>Reported in 2 transcripts (► = figure shown in cell):
► 329.3  —  Q1 2025 Earnings Call (2025-05-06)
   tab: 55 2025Q1 Earnings  |  “Total Revenue”
• -7.0%  —  Q1 2025 Earnings Call (2025-05-06)
   tab: 55 2025Q1 Earnings  |  “Reported revenue (books &amp; records)”</t>
      </text>
    </comment>
    <comment ref="AZ5" authorId="0" shapeId="0">
      <text>
        <t>Source: CELH Q2 2025 Earnings Call
Date: 2025-08-07
Workbook tab: 60 2025Q2 Earnings
Digest label: “Total Revenue”</t>
      </text>
    </comment>
    <comment ref="BA5" authorId="0" shapeId="0">
      <text>
        <t>Source: CELH Q2 2025 Earnings Call
Date: 2025-08-07
Workbook tab: 60 2025Q2 Earnings
Digest label: “Total Revenue ($B)”</t>
      </text>
    </comment>
    <comment ref="BB5" authorId="0" shapeId="0">
      <text>
        <t>Source: CELH Q3 2025 Earnings Call
Date: 2025-11-06
Workbook tab: 63 2025Q3 Earnings
Digest label: “Consolidated Revenue ($M)”</t>
      </text>
    </comment>
    <comment ref="BD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E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Computed prior-year value: =L6/(1+62%).
The .md PriorYearValue conflicted with the line's stated YoY%, so it is reconstructed from the FY2018 figure.
YoY source: Q4 2018 Earnings Call (2019-03-14) — “North America Revenue (Full Year)”.</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Computed prior-year value: =AD6/(1+186%).
The .md PriorYearValue conflicted with the line's stated YoY%, so it is reconstructed from the FY2021 figure.
YoY source: 2022 Annual General Meeting (2022-06-02) — “FY2021 North American Revenue”.</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D6" authorId="0" shapeId="0">
      <text>
        <t>Source: 2022 Annual General Meeting (Annual Meeting of Shareholders)
Date: 2022-06-02
Workbook tab: 22 Annual Shareholder Mtg
Digest label: “North American revenue ($M)”</t>
      </text>
    </comment>
    <comment ref="AE6" authorId="0" shapeId="0">
      <text>
        <t>Source: Q1 2022 Earnings Call
Date: 2022-05-10
Workbook tab: 20 2022Q1 Earnings
Digest label: “Domestic / North American Revenue”</t>
      </text>
    </comment>
    <comment ref="AF6" authorId="0" shapeId="0">
      <text>
        <t>Source: Q2 2022 Earnings Call
Date: 2022-08-09
Workbook tab: 26 2022Q2 Earnings
Digest label: “US / North America revenue”</t>
      </text>
    </comment>
    <comment ref="AH6" authorId="0" shapeId="0">
      <text>
        <t>Source: Q3 2022 Earnings Call
Date: 2022-11-09
Workbook tab: 27 2022Q3 Earnings
Digest label: “US / North America revenue”</t>
      </text>
    </comment>
    <comment ref="AJ6" authorId="0" shapeId="0">
      <text>
        <t>Source: Q4 2022 / FY2022 Earnings Call
Date: 2023-03-01
Workbook tab: 28 2022Q4 Earnings
Digest label: “North America Revenue”</t>
      </text>
    </comment>
    <comment ref="AL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M6" authorId="0" shapeId="0">
      <text>
        <t>Source: Q2 2023 Earnings Call
Date: 2023-08-08
Workbook tab: 34 2023Q2 Earnings
Digest label: “North America Revenue”</t>
      </text>
    </comment>
    <comment ref="AN6" authorId="0" shapeId="0">
      <text>
        <t>Source: Q2 2023 Earnings Call
Date: 2023-08-08
Workbook tab: 34 2023Q2 Earnings
Digest label: “H1 North America Revenue”</t>
      </text>
    </comment>
    <comment ref="AO6" authorId="0" shapeId="0">
      <text>
        <t>Source: Q3 2023 Earnings Call
Date: 2023-11-07
Workbook tab: 37 2023Q3 Earnings
Digest label: “North America Revenue”</t>
      </text>
    </comment>
    <comment ref="AQ6" authorId="0" shapeId="0">
      <text>
        <t>Source: Celsius Holdings Q4 2023 Earnings Call
Date: 2024-02-29
Workbook tab: 40 2023Q4 Earnings
Digest label: “North America”</t>
      </text>
    </comment>
    <comment ref="AR6" authorId="0" shapeId="0">
      <text>
        <t>Source: Celsius Holdings Q4 2023 Earnings Call
Date: 2024-02-29
Workbook tab: 40 2023Q4 Earnings
Digest label: “North America”</t>
      </text>
    </comment>
    <comment ref="AS6" authorId="0" shapeId="0">
      <text>
        <t>Source: Q1 2024 Earnings Call
Date: 2024-05-07
Workbook tab: 42 Q1 2024 Earnings
Digest label: “North America Revenue”</t>
      </text>
    </comment>
    <comment ref="AW6" authorId="0" shapeId="0">
      <text>
        <t>Prior-year comparative — no transcript reported this period directly.
Figure as stated in Full-Year 2025 and Fourth Quarter Financial Results Press Release (2026-02-26),
STEP-5 KPI “North America Revenue” (PriorYearValue field).</t>
      </text>
    </comment>
    <comment ref="AZ6" authorId="0" shapeId="0">
      <text>
        <t>Source: CELH Q2 2025 Earnings Call
Date: 2025-08-07
Workbook tab: 60 2025Q2 Earnings
Digest label: “North America (H1)”</t>
      </text>
    </comment>
    <comment ref="BD6" authorId="0" shapeId="0">
      <text>
        <t>Source: Full-Year 2025 and Fourth Quarter Financial Results Press Release
Date: 2026-02-26
Workbook tab: 66 2025Q4 Earnings PR
Digest label: “North America revenue”</t>
      </text>
    </comment>
    <comment ref="E7" authorId="0" shapeId="0">
      <text>
        <t>Computed prior-year value: =L7/(1+13%).
The .md PriorYearValue conflicted with the line's stated YoY%, so it is reconstructed from the FY2018 figure.
YoY source: Q4 2018 Earnings Call (2019-03-14) — “International Revenue (Full Year)”.</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Computed prior-year value: =AB7/(1+5%).
The .md PriorYearValue conflicted with the line's stated YoY%, so it is reconstructed from the Q3 2021 figure.
YoY source: Q3 2021 Earnings Call (2021-11-11) — “International Revenue”.</t>
      </text>
    </comment>
    <comment ref="W7" authorId="0" shapeId="0">
      <text>
        <t>Source: Q4 &amp; Full-Year 2020 Earnings Call
Date: 2021-03-11
Workbook tab: 12 2020Q4 Earnings
Digest label: “International Revenue Q4 2020”</t>
      </text>
    </comment>
    <comment ref="X7" authorId="0" shapeId="0">
      <text>
        <t>Computed prior-year value: =AD7/(1+17%).
The .md PriorYearValue conflicted with the line's stated YoY%, so it is reconstructed from the FY2021 figure.
YoY source: 2022 Annual General Meeting (2022-06-02) — “FY2021 International Revenue”.</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C7" authorId="0" shapeId="0">
      <text>
        <t>Prior-year comparative — no transcript reported this period directly.
Figure as stated in Q4 2022 Earnings Call (2023-03-01),
STEP-5 KPI “Q4 International Sales” (PriorYearValue field).</t>
      </text>
    </comment>
    <comment ref="AD7" authorId="0" shapeId="0">
      <text>
        <t>Source: 2022 Annual General Meeting (Annual Meeting of Shareholders)
Date: 2022-06-02
Workbook tab: 22 Annual Shareholder Mtg
Digest label: “International revenue ($M)”</t>
      </text>
    </comment>
    <comment ref="AE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F7" authorId="0" shapeId="0">
      <text>
        <t>Source: Q2 2022 Earnings Call
Date: 2022-08-09
Workbook tab: 26 2022Q2 Earnings
Digest label: “International sales”</t>
      </text>
    </comment>
    <comment ref="AH7" authorId="0" shapeId="0">
      <text>
        <t>Source: Q3 2022 Earnings Call
Date: 2022-11-09
Workbook tab: 27 2022Q3 Earnings
Digest label: “International sales”</t>
      </text>
    </comment>
    <comment ref="AJ7" authorId="0" shapeId="0">
      <text>
        <t>Source: Q4 2022 / FY2022 Earnings Call
Date: 2023-03-01
Workbook tab: 28 2022Q4 Earnings
Digest label: “International Sales”</t>
      </text>
    </comment>
    <comment ref="AL7" authorId="0" shapeId="0">
      <text>
        <t>Source: Celsius Holdings Q1 2023 Earnings Call
Date: 2023-05-09
Workbook tab: 29 2023Q1 Earnings
Digest label: “International”</t>
      </text>
    </comment>
    <comment ref="AM7" authorId="0" shapeId="0">
      <text>
        <t>Source: Q2 2023 Earnings Call
Date: 2023-08-08
Workbook tab: 34 2023Q2 Earnings
Digest label: “International Revenue”</t>
      </text>
    </comment>
    <comment ref="AN7" authorId="0" shapeId="0">
      <text>
        <t>Source: Q2 2023 Earnings Call
Date: 2023-08-08
Workbook tab: 34 2023Q2 Earnings
Digest label: “H1 International Revenue”</t>
      </text>
    </comment>
    <comment ref="AO7" authorId="0" shapeId="0">
      <text>
        <t>Source: Q3 2023 Earnings Call
Date: 2023-11-07
Workbook tab: 37 2023Q3 Earnings
Digest label: “International Revenue”</t>
      </text>
    </comment>
    <comment ref="AQ7" authorId="0" shapeId="0">
      <text>
        <t>Source: Celsius Holdings Q4 2023 Earnings Call
Date: 2024-02-29
Workbook tab: 40 2023Q4 Earnings
Digest label: “International”</t>
      </text>
    </comment>
    <comment ref="AR7" authorId="0" shapeId="0">
      <text>
        <t>Source: Celsius Holdings Q4 2023 Earnings Call
Date: 2024-02-29
Workbook tab: 40 2023Q4 Earnings
Digest label: “International”</t>
      </text>
    </comment>
    <comment ref="AS7" authorId="0" shapeId="0">
      <text>
        <t>Prior-year comparative — no transcript reported this period directly.
Figure as stated in Q1 2025 Earnings Call (2025-05-06),
STEP-5 KPI “International Revenue” (PriorYearValue field).</t>
      </text>
    </comment>
    <comment ref="AT7" authorId="0" shapeId="0">
      <text>
        <t>Prior-year comparative — no transcript reported this period directly.
Figure as stated in Q2 2025 Earnings Call (2025-08-07),
STEP-5 KPI “International Revenue” (PriorYearValue field).</t>
      </text>
    </comment>
    <comment ref="AW7" authorId="0" shapeId="0">
      <text>
        <t>Prior-year comparative — no transcript reported this period directly.
Figure as stated in Full-Year 2025 and Fourth Quarter Financial Results Press Release (2026-02-26),
STEP-5 KPI “International Revenue” (PriorYearValue field).</t>
      </text>
    </comment>
    <comment ref="AY7" authorId="0" shapeId="0">
      <text>
        <t>Source: Q1 2025 Earnings Call
Date: 2025-05-06
Workbook tab: 55 2025Q1 Earnings
Digest label: “International Revenue”</t>
      </text>
    </comment>
    <comment ref="AZ7" authorId="0" shapeId="0">
      <text>
        <t>Source: CELH Q2 2025 Earnings Call
Date: 2025-08-07
Workbook tab: 60 2025Q2 Earnings
Digest label: “International (H1)”</t>
      </text>
    </comment>
    <comment ref="BD7" authorId="0" shapeId="0">
      <text>
        <t>Source: Full-Year 2025 and Fourth Quarter Financial Results Press Release
Date: 2026-02-26
Workbook tab: 66 2025Q4 Earnings PR
Digest label: “International revenue”</t>
      </text>
    </comment>
    <comment ref="D8" authorId="0" shapeId="0">
      <text>
        <t>Computed prior-year value: =K8/(1+9%).
The .md PriorYearValue conflicted with the line's stated YoY%, so it is reconstructed from the Q4 2018 figure.
YoY source: Q4 2018 Earnings Call (2019-03-14) — “Europe Revenue (Q4)”.</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E8" authorId="0" shapeId="0">
      <text>
        <t>Source: Q1 2022 Earnings Call
Date: 2022-05-10
Workbook tab: 20 2022Q1 Earnings
Digest label: “Europe / Nordics”</t>
      </text>
    </comment>
    <comment ref="AF8" authorId="0" shapeId="0">
      <text>
        <t>Source: Q2 2022 Earnings Call
Date: 2022-08-09
Workbook tab: 26 2022Q2 Earnings
Digest label: “Nordic revenue”</t>
      </text>
    </comment>
    <comment ref="AH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Computed prior-year value: =L9/(1+438%).
The .md PriorYearValue conflicted with the line's stated YoY%, so it is reconstructed from the FY2018 figure.
YoY source: Q4 2018 Earnings Call (2019-03-14) — “Asia Revenue (Full Year)”.</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E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D10" authorId="0" shapeId="0">
      <text>
        <t>Prior-year comparative — no transcript reported this period directly.
Figure as stated in Q4 2022 Earnings Call (2023-03-01),
STEP-5 KPI “Amazon Sales (FY)” (PriorYearValue field).</t>
      </text>
    </comment>
    <comment ref="AE10" authorId="0" shapeId="0">
      <text>
        <t>Source: Q1 2022 Earnings Call
Date: 2022-05-10
Workbook tab: 20 2022Q1 Earnings
Digest label: “Amazon Revenue”</t>
      </text>
    </comment>
    <comment ref="AF10" authorId="0" shapeId="0">
      <text>
        <t>Prior-year comparative — no transcript reported this period directly.
Figure as stated in Q2 2023 Earnings Call (2023-08-08),
STEP-5 KPI “Amazon Sales” (PriorYearValue field).</t>
      </text>
    </comment>
    <comment ref="AH10" authorId="0" shapeId="0">
      <text>
        <t>Reported in 2 transcripts (► = figure shown in cell):
► 16  —  Q3 2022 Earnings Call (2022-11-09)
   tab: 27 2022Q3 Earnings  |  “Amazon sales ($M)”
• 43  —  Q3 2022 Earnings Call (2022-11-09)
   tab: 27 2022Q3 Earnings  |  “Amazon sales YTD 2022 ($M)”</t>
      </text>
    </comment>
    <comment ref="AK10" authorId="0" shapeId="0">
      <text>
        <t>Source: Q4 2022 / FY2022 Earnings Call
Date: 2023-03-01
Workbook tab: 28 2022Q4 Earnings
Digest label: “Amazon Sales”</t>
      </text>
    </comment>
    <comment ref="AL10" authorId="0" shapeId="0">
      <text>
        <t>Prior-year comparative — no transcript reported this period directly.
Figure as stated in Q1 2024 Earnings Call (2024-05-07),
STEP-5 KPI “Amazon Revenue” (PriorYearValue field).</t>
      </text>
    </comment>
    <comment ref="AO10" authorId="0" shapeId="0">
      <text>
        <t>Source: Q3 2023 Earnings Call
Date: 2023-11-07
Workbook tab: 37 2023Q3 Earnings
Digest label: “Amazon Sales”</t>
      </text>
    </comment>
    <comment ref="AS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Computed prior-year value: =AD11/(1+111%).
The .md PriorYearValue conflicted with the line's stated YoY%, so it is reconstructed from the FY2021 figure.
YoY source: 2022 Annual General Meeting (2022-06-02) — “FY2021 Gross Profit”.</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C11" authorId="0" shapeId="0">
      <text>
        <t>Prior-year comparative — no transcript reported this period directly.
Figure as stated in Q4 2022 Earnings Call (2023-03-01),
STEP-5 KPI “Q4 Gross Profit” (PriorYearValue field).</t>
      </text>
    </comment>
    <comment ref="AD11" authorId="0" shapeId="0">
      <text>
        <t>Source: 2022 Annual General Meeting (Annual Meeting of Shareholders)
Date: 2022-06-02
Workbook tab: 22 Annual Shareholder Mtg
Digest label: “Gross profit ($M)”</t>
      </text>
    </comment>
    <comment ref="AE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F11" authorId="0" shapeId="0">
      <text>
        <t>Source: Q2 2022 Earnings Call
Date: 2022-08-09
Workbook tab: 26 2022Q2 Earnings
Digest label: “Gross profit”</t>
      </text>
    </comment>
    <comment ref="AH11" authorId="0" shapeId="0">
      <text>
        <t>Source: Q3 2022 Earnings Call
Date: 2022-11-09
Workbook tab: 27 2022Q3 Earnings
Digest label: “Gross profit”</t>
      </text>
    </comment>
    <comment ref="AJ11" authorId="0" shapeId="0">
      <text>
        <t>Source: Q4 2022 / FY2022 Earnings Call
Date: 2023-03-01
Workbook tab: 28 2022Q4 Earnings
Digest label: “Gross Profit”</t>
      </text>
    </comment>
    <comment ref="AK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L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M11" authorId="0" shapeId="0">
      <text>
        <t>Source: Q2 2023 Earnings Call
Date: 2023-08-08
Workbook tab: 34 2023Q2 Earnings
Digest label: “Gross Profit”</t>
      </text>
    </comment>
    <comment ref="AN11" authorId="0" shapeId="0">
      <text>
        <t>Source: Q2 2023 Earnings Call
Date: 2023-08-08
Workbook tab: 34 2023Q2 Earnings
Digest label: “H1 Gross Profit”</t>
      </text>
    </comment>
    <comment ref="AO11" authorId="0" shapeId="0">
      <text>
        <t>Source: Q3 2023 Earnings Call
Date: 2023-11-07
Workbook tab: 37 2023Q3 Earnings
Digest label: “Gross Profit”</t>
      </text>
    </comment>
    <comment ref="AP11" authorId="0" shapeId="0">
      <text>
        <t>Source: Q3 2023 Earnings Call
Date: 2023-11-07
Workbook tab: 37 2023Q3 Earnings
Digest label: “9M Gross Profit”</t>
      </text>
    </comment>
    <comment ref="AQ11" authorId="0" shapeId="0">
      <text>
        <t>Source: Celsius Holdings Q4 2023 Earnings Call
Date: 2024-02-29
Workbook tab: 40 2023Q4 Earnings
Digest label: “Gross Profit ($M)”</t>
      </text>
    </comment>
    <comment ref="AR11" authorId="0" shapeId="0">
      <text>
        <t>Source: Celsius Holdings Q4 2023 Earnings Call
Date: 2024-02-29
Workbook tab: 40 2023Q4 Earnings
Digest label: “Gross Profit ($M)”</t>
      </text>
    </comment>
    <comment ref="AS11" authorId="0" shapeId="0">
      <text>
        <t>Source: Q1 2024 Earnings Call
Date: 2024-05-07
Workbook tab: 42 Q1 2024 Earnings
Digest label: “Gross Profit”</t>
      </text>
    </comment>
    <comment ref="AT11" authorId="0" shapeId="0">
      <text>
        <t>Prior-year comparative — no transcript reported this period directly.
Figure as stated in Q2 2025 Earnings Call (2025-08-07),
STEP-5 KPI “Gross Profit” (PriorYearValue field).</t>
      </text>
    </comment>
    <comment ref="AW11" authorId="0" shapeId="0">
      <text>
        <t>Prior-year comparative — no transcript reported this period directly.
Figure as stated in Full-Year 2025 and Fourth Quarter Financial Results Press Release (2026-02-26),
STEP-5 KPI “Gross Profit” (PriorYearValue field).</t>
      </text>
    </comment>
    <comment ref="AX11" authorId="0" shapeId="0">
      <text>
        <t>Source: Q4 2024 Earnings Call
Date: 2025-02-20
Workbook tab: 51 2024Q4 Earnings
Digest label: “Gross Profit”</t>
      </text>
    </comment>
    <comment ref="AY11" authorId="0" shapeId="0">
      <text>
        <t>Source: Q1 2025 Earnings Call
Date: 2025-05-06
Workbook tab: 55 2025Q1 Earnings
Digest label: “Gross Profit”</t>
      </text>
    </comment>
    <comment ref="AZ11" authorId="0" shapeId="0">
      <text>
        <t>Source: CELH Q2 2025 Earnings Call
Date: 2025-08-07
Workbook tab: 60 2025Q2 Earnings
Digest label: “Gross Profit ($M)”</t>
      </text>
    </comment>
    <comment ref="BC11" authorId="0" shapeId="0">
      <text>
        <t>Source: Q4 2025 / FY2025 Earnings Call
Date: 2026-02-26
Workbook tab: 67 2025Q4 Earnings
Digest label: “Gross Profit”</t>
      </text>
    </comment>
    <comment ref="BD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E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F12" authorId="0" shapeId="0">
      <text>
        <t>Reported in 2 transcripts (► = figure shown in cell):
► 38.5%  —  Q2 2022 Earnings Call (2022-08-09)
   tab: 26 2022Q2 Earnings  |  “Gross margin”
• 44.0%  —  Q2 2022 Earnings Call (2022-08-09)
   tab: 26 2022Q2 Earnings  |  “Gross margin ex-outbound freight”</t>
      </text>
    </comment>
    <comment ref="AH12" authorId="0" shapeId="0">
      <text>
        <t>Reported in 2 transcripts (► = figure shown in cell):
► 41.8%  —  Q3 2022 Earnings Call (2022-11-09)
   tab: 27 2022Q3 Earnings  |  “Gross margin”
• 49.6%  —  Q3 2022 Earnings Call (2022-11-09)
   tab: 27 2022Q3 Earnings  |  “Gross margin ex-outbound freight”</t>
      </text>
    </comment>
    <comment ref="AJ12" authorId="0" shapeId="0">
      <text>
        <t>Source: Q4 2022 / FY2022 Earnings Call
Date: 2023-03-01
Workbook tab: 28 2022Q4 Earnings
Digest label: “Gross Margin”</t>
      </text>
    </comment>
    <comment ref="AL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M12" authorId="0" shapeId="0">
      <text>
        <t>Source: Q2 2023 Earnings Call
Date: 2023-08-08
Workbook tab: 34 2023Q2 Earnings
Digest label: “Gross Margin”</t>
      </text>
    </comment>
    <comment ref="AN12" authorId="0" shapeId="0">
      <text>
        <t>Source: Q2 2023 Earnings Call
Date: 2023-08-08
Workbook tab: 34 2023Q2 Earnings
Digest label: “H1 Gross Margin”</t>
      </text>
    </comment>
    <comment ref="AO12" authorId="0" shapeId="0">
      <text>
        <t>Source: Q3 2023 Earnings Call
Date: 2023-11-07
Workbook tab: 37 2023Q3 Earnings
Digest label: “Gross Margin”</t>
      </text>
    </comment>
    <comment ref="AQ12" authorId="0" shapeId="0">
      <text>
        <t>Source: Celsius Holdings Q4 2023 Earnings Call
Date: 2024-02-29
Workbook tab: 40 2023Q4 Earnings
Digest label: “Gross Margin”</t>
      </text>
    </comment>
    <comment ref="AR12" authorId="0" shapeId="0">
      <text>
        <t>Source: Celsius Holdings Q4 2023 Earnings Call
Date: 2024-02-29
Workbook tab: 40 2023Q4 Earnings
Digest label: “Gross Margin”</t>
      </text>
    </comment>
    <comment ref="AS12" authorId="0" shapeId="0">
      <text>
        <t>Source: Q1 2024 Earnings Call
Date: 2024-05-07
Workbook tab: 42 Q1 2024 Earnings
Digest label: “Gross Profit Margin”</t>
      </text>
    </comment>
    <comment ref="AT12" authorId="0" shapeId="0">
      <text>
        <t>Prior-year comparative — no transcript reported this period directly.
Figure as stated in Q2 2025 Earnings Call (2025-08-07),
STEP-5 KPI “Consolidated Gross Margin” (PriorYearValue field).</t>
      </text>
    </comment>
    <comment ref="AU12" authorId="0" shapeId="0">
      <text>
        <t>Prior-year comparative — no transcript reported this period directly.
Figure as stated in Q2 2025 Earnings Call (2025-08-07),
STEP-5 KPI “H1 2025 Gross Margin” (PriorYearValue field).</t>
      </text>
    </comment>
    <comment ref="AV12" authorId="0" shapeId="0">
      <text>
        <t>Prior-year comparative — no transcript reported this period directly.
Figure as stated in Q3 2025 Earnings Call (2025-11-06),
STEP-5 KPI “Gross Margin (Q3)” (PriorYearValue field).</t>
      </text>
    </comment>
    <comment ref="AW12" authorId="0" shapeId="0">
      <text>
        <t>Source: Q4 2024 Earnings Call
Date: 2025-02-20
Workbook tab: 51 2024Q4 Earnings
Digest label: “Gross Margin”</t>
      </text>
    </comment>
    <comment ref="AX12" authorId="0" shapeId="0">
      <text>
        <t>Source: Q4 2024 Earnings Call
Date: 2025-02-20
Workbook tab: 51 2024Q4 Earnings
Digest label: “Gross Profit Margin”</t>
      </text>
    </comment>
    <comment ref="AY12" authorId="0" shapeId="0">
      <text>
        <t>Source: Q1 2025 Earnings Call
Date: 2025-05-06
Workbook tab: 55 2025Q1 Earnings
Digest label: “Gross Margin”</t>
      </text>
    </comment>
    <comment ref="AZ12" authorId="0" shapeId="0">
      <text>
        <t>Source: CELH Q2 2025 Earnings Call
Date: 2025-08-07
Workbook tab: 60 2025Q2 Earnings
Digest label: “Consolidated Gross Margin”</t>
      </text>
    </comment>
    <comment ref="BA12" authorId="0" shapeId="0">
      <text>
        <t>Source: CELH Q2 2025 Earnings Call
Date: 2025-08-07
Workbook tab: 60 2025Q2 Earnings
Digest label: “Gross Margin”</t>
      </text>
    </comment>
    <comment ref="BB12" authorId="0" shapeId="0">
      <text>
        <t>Reported in 2 transcripts (► = figure shown in cell):
► 51.3%  —  CELH Q3 2025 Earnings Call (2025-11-06)
   tab: 63 2025Q3 Earnings  |  “Gross Margin”
• 51.6%  —  CELH Q3 2025 Earnings Call (2025-11-06)
   tab: 63 2025Q3 Earnings  |  “YTD Gross Margin”</t>
      </text>
    </comment>
    <comment ref="BC12" authorId="0" shapeId="0">
      <text>
        <t>Source: Q4 2025 / FY2025 Earnings Call
Date: 2026-02-26
Workbook tab: 67 2025Q4 Earnings
Digest label: “Gross Margin”</t>
      </text>
    </comment>
    <comment ref="BD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E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D13" authorId="0" shapeId="0">
      <text>
        <t>Prior-year comparative — no transcript reported this period directly.
Figure as stated in Q4 2022 Earnings Call (2023-03-01),
STEP-5 KPI “FY Sales &amp; Marketing Expense” (PriorYearValue field).</t>
      </text>
    </comment>
    <comment ref="AE13" authorId="0" shapeId="0">
      <text>
        <t>Source: Q1 2022 Earnings Call
Date: 2022-05-10
Workbook tab: 20 2022Q1 Earnings
Digest label: “Sales &amp; Marketing”</t>
      </text>
    </comment>
    <comment ref="AH13" authorId="0" shapeId="0">
      <text>
        <t>Source: Q3 2022 Earnings Call
Date: 2022-11-09
Workbook tab: 27 2022Q3 Earnings
Digest label: “Sales &amp; marketing expenses”</t>
      </text>
    </comment>
    <comment ref="AJ13" authorId="0" shapeId="0">
      <text>
        <t>Prior-year comparative — no transcript reported this period directly.
Figure as stated in Q4 2023 Earnings Call (2024-02-29),
STEP-5 KPI “Q4 Sales &amp; Marketing Expense” (PriorYearValue field).</t>
      </text>
    </comment>
    <comment ref="AK13" authorId="0" shapeId="0">
      <text>
        <t>Source: Celsius Holdings 2023 Annual General Meeting
Date: 2023-06-01
Workbook tab: 31 Annual General Meeting
Digest label: “Sales &amp; Marketing Expense”</t>
      </text>
    </comment>
    <comment ref="AL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M13" authorId="0" shapeId="0">
      <text>
        <t>Source: Q2 2023 Earnings Call
Date: 2023-08-08
Workbook tab: 34 2023Q2 Earnings
Digest label: “Sales &amp; Marketing ($)”</t>
      </text>
    </comment>
    <comment ref="AO13" authorId="0" shapeId="0">
      <text>
        <t>Source: Q3 2023 Earnings Call
Date: 2023-11-07
Workbook tab: 37 2023Q3 Earnings
Digest label: “Sales &amp; Marketing ($)”</t>
      </text>
    </comment>
    <comment ref="AQ13" authorId="0" shapeId="0">
      <text>
        <t>Source: Celsius Holdings Q4 2023 Earnings Call
Date: 2024-02-29
Workbook tab: 40 2023Q4 Earnings
Digest label: “S&amp;M Expense ($M)”</t>
      </text>
    </comment>
    <comment ref="AZ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D14" authorId="0" shapeId="0">
      <text>
        <t>Prior-year comparative — no transcript reported this period directly.
Figure as stated in Q4 2022 Earnings Call (2023-03-01),
STEP-5 KPI “FY G&amp;A Expenses” (PriorYearValue field).</t>
      </text>
    </comment>
    <comment ref="AE14" authorId="0" shapeId="0">
      <text>
        <t>Source: Q1 2022 Earnings Call
Date: 2022-05-10
Workbook tab: 20 2022Q1 Earnings
Digest label: “General &amp; Administrative”</t>
      </text>
    </comment>
    <comment ref="AF14" authorId="0" shapeId="0">
      <text>
        <t>Source: Q2 2022 Earnings Call
Date: 2022-08-09
Workbook tab: 26 2022Q2 Earnings
Digest label: “G&amp;A expenses”</t>
      </text>
    </comment>
    <comment ref="AH14" authorId="0" shapeId="0">
      <text>
        <t>Source: Q3 2022 Earnings Call
Date: 2022-11-09
Workbook tab: 27 2022Q3 Earnings
Digest label: “G&amp;A expenses”</t>
      </text>
    </comment>
    <comment ref="AJ14" authorId="0" shapeId="0">
      <text>
        <t>Prior-year comparative — no transcript reported this period directly.
Figure as stated in Q4 2023 Earnings Call (2024-02-29),
STEP-5 KPI “Q4 G&amp;A Expense” (PriorYearValue field).</t>
      </text>
    </comment>
    <comment ref="AK14" authorId="0" shapeId="0">
      <text>
        <t>Source: Celsius Holdings 2023 Annual General Meeting
Date: 2023-06-01
Workbook tab: 31 Annual General Meeting
Digest label: “G&amp;A Expense”</t>
      </text>
    </comment>
    <comment ref="AL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M14" authorId="0" shapeId="0">
      <text>
        <t>Source: Q2 2023 Earnings Call
Date: 2023-08-08
Workbook tab: 34 2023Q2 Earnings
Digest label: “G&amp;A Expense ($)”</t>
      </text>
    </comment>
    <comment ref="AO14" authorId="0" shapeId="0">
      <text>
        <t>Source: Q3 2023 Earnings Call
Date: 2023-11-07
Workbook tab: 37 2023Q3 Earnings
Digest label: “G&amp;A Expense ($)”</t>
      </text>
    </comment>
    <comment ref="AQ14" authorId="0" shapeId="0">
      <text>
        <t>Source: Celsius Holdings Q4 2023 Earnings Call
Date: 2024-02-29
Workbook tab: 40 2023Q4 Earnings
Digest label: “G&amp;A Expense ($M)”</t>
      </text>
    </comment>
    <comment ref="AS14" authorId="0" shapeId="0">
      <text>
        <t>Source: Q1 2024 Earnings Call
Date: 2024-05-07
Workbook tab: 42 Q1 2024 Earnings
Digest label: “G&amp;A Expense”</t>
      </text>
    </comment>
    <comment ref="AT14" authorId="0" shapeId="0">
      <text>
        <t>Prior-year comparative — no transcript reported this period directly.
Figure as stated in Q2 2025 Earnings Call (2025-08-07),
STEP-5 KPI “G&amp;A Expense” (PriorYearValue field).</t>
      </text>
    </comment>
    <comment ref="AZ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D15" authorId="0" shapeId="0">
      <text>
        <t>Source: 2022 Annual General Meeting (Annual Meeting of Shareholders)
Date: 2022-06-02
Workbook tab: 22 Annual Shareholder Mtg
Digest label: “Net income ($M)”</t>
      </text>
    </comment>
    <comment ref="AE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F15" authorId="0" shapeId="0">
      <text>
        <t>Source: Q2 2022 Earnings Call
Date: 2022-08-09
Workbook tab: 26 2022Q2 Earnings
Digest label: “Net income”</t>
      </text>
    </comment>
    <comment ref="AO15" authorId="0" shapeId="0">
      <text>
        <t>Source: Q3 2023 Earnings Call
Date: 2023-11-07
Workbook tab: 37 2023Q3 Earnings
Digest label: “Net Income (common shareholders)”</t>
      </text>
    </comment>
    <comment ref="AQ15" authorId="0" shapeId="0">
      <text>
        <t>Prior-year comparative — no transcript reported this period directly.
Figure as stated in Q4 2024 Earnings Call (2025-02-20),
STEP-5 KPI “Net Income / (Loss) (Q4)” (PriorYearValue field).</t>
      </text>
    </comment>
    <comment ref="AR15" authorId="0" shapeId="0">
      <text>
        <t>Prior-year comparative — no transcript reported this period directly.
Figure as stated in Q4 2024 Earnings Call (2025-02-20),
STEP-5 KPI “Net Income (Full Year)” (PriorYearValue field).</t>
      </text>
    </comment>
    <comment ref="AS15" authorId="0" shapeId="0">
      <text>
        <t>Source: Q1 2024 Earnings Call
Date: 2024-05-07
Workbook tab: 42 Q1 2024 Earnings
Digest label: “Net Income to Common Shareholders”</t>
      </text>
    </comment>
    <comment ref="AT15" authorId="0" shapeId="0">
      <text>
        <t>Prior-year comparative — no transcript reported this period directly.
Figure as stated in Q2 2025 Earnings Call (2025-08-07),
STEP-5 KPI “Net Income” (PriorYearValue field).</t>
      </text>
    </comment>
    <comment ref="AW15" authorId="0" shapeId="0">
      <text>
        <t>Source: Q4 2024 Earnings Call
Date: 2025-02-20
Workbook tab: 51 2024Q4 Earnings
Digest label: “Net Income / (Loss)”</t>
      </text>
    </comment>
    <comment ref="AX15" authorId="0" shapeId="0">
      <text>
        <t>Source: Q4 2024 Earnings Call
Date: 2025-02-20
Workbook tab: 51 2024Q4 Earnings
Digest label: “Net Income”</t>
      </text>
    </comment>
    <comment ref="AY15" authorId="0" shapeId="0">
      <text>
        <t>Source: Q1 2025 Earnings Call
Date: 2025-05-06
Workbook tab: 55 2025Q1 Earnings
Digest label: “Net Income (to common)”</t>
      </text>
    </comment>
    <comment ref="AZ15" authorId="0" shapeId="0">
      <text>
        <t>Reported in 2 transcripts (► = figure shown in cell):
► 85.7  —  CELH Q2 2025 Earnings Call (2025-08-07)
   tab: 60 2025Q2 Earnings  |  “Net Income to Common ($M)”
• 99.6  —  CELH Q2 2025 Earnings Call (2025-08-07)
   tab: 60 2025Q2 Earnings  |  “Net Income ($M)”</t>
      </text>
    </comment>
    <comment ref="BD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E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E16" authorId="0" shapeId="0">
      <text>
        <t>Source: 2022 Annual General Meeting (Annual Meeting of Shareholders)
Date: 2022-06-02
Workbook tab: 22 Annual Shareholder Mtg
Digest label: “Adjusted EBITDA ($M)”</t>
      </text>
    </comment>
    <comment ref="AH16" authorId="0" shapeId="0">
      <text>
        <t>Prior-year comparative — no transcript reported this period directly.
Figure as stated in Q3 2023 Earnings Call (2023-11-07),
STEP-5 KPI “Non-GAAP Adjusted EBITDA” (PriorYearValue field).</t>
      </text>
    </comment>
    <comment ref="AL16" authorId="0" shapeId="0">
      <text>
        <t>Source: Celsius Holdings Q1 2023 Earnings Call
Date: 2023-05-09
Workbook tab: 29 2023Q1 Earnings
Digest label: “Adjusted EBITDA ($M, non-GAAP)”</t>
      </text>
    </comment>
    <comment ref="AO16" authorId="0" shapeId="0">
      <text>
        <t>Prior-year comparative — no transcript reported this period directly.
Figure as stated in Q3 2024 Earnings Call (2024-11-06),
STEP-5 KPI “Adjusted EBITDA” (PriorYearValue field).</t>
      </text>
    </comment>
    <comment ref="AS16" authorId="0" shapeId="0">
      <text>
        <t>Source: Q1 2024 Earnings Call
Date: 2024-05-07
Workbook tab: 42 Q1 2024 Earnings
Digest label: “Non-GAAP Adjusted EBITDA”</t>
      </text>
    </comment>
    <comment ref="AT16" authorId="0" shapeId="0">
      <text>
        <t>Prior-year comparative — no transcript reported this period directly.
Figure as stated in Q2 2025 Earnings Call (2025-08-07),
STEP-5 KPI “Adjusted EBITDA” (PriorYearValue field).</t>
      </text>
    </comment>
    <comment ref="AU16" authorId="0" shapeId="0">
      <text>
        <t>Prior-year comparative — no transcript reported this period directly.
Figure as stated in Q2 2025 Earnings Call (2025-08-07),
STEP-5 KPI “H1 2025 Adjusted EBITDA” (PriorYearValue field).</t>
      </text>
    </comment>
    <comment ref="AW16" authorId="0" shapeId="0">
      <text>
        <t>Prior-year comparative — no transcript reported this period directly.
Figure as stated in Full-Year 2025 and Fourth Quarter Financial Results Press Release (2026-02-26),
STEP-5 KPI “Adjusted EBITDA (Non-GAAP)” (PriorYearValue field).</t>
      </text>
    </comment>
    <comment ref="AX16" authorId="0" shapeId="0">
      <text>
        <t>Source: Alani Nu Modeling Call (post-closing)
Date: 2025-05-28
Workbook tab: 57 Acquiring Alani Nu
Digest label: “Adjusted EBITDA”</t>
      </text>
    </comment>
    <comment ref="AY16" authorId="0" shapeId="0">
      <text>
        <t>Source: Q1 2025 Earnings Call
Date: 2025-05-06
Workbook tab: 55 2025Q1 Earnings
Digest label: “Adjusted EBITDA”</t>
      </text>
    </comment>
    <comment ref="AZ16" authorId="0" shapeId="0">
      <text>
        <t>Source: CELH Q2 2025 Earnings Call
Date: 2025-08-07
Workbook tab: 60 2025Q2 Earnings
Digest label: “Adjusted EBITDA ($M)”</t>
      </text>
    </comment>
    <comment ref="BA16" authorId="0" shapeId="0">
      <text>
        <t>Source: CELH Q2 2025 Earnings Call
Date: 2025-08-07
Workbook tab: 60 2025Q2 Earnings
Digest label: “Adjusted EBITDA ($M)”</t>
      </text>
    </comment>
    <comment ref="BD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E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B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E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G17" authorId="0" shapeId="0">
      <text>
        <t>Prior-year comparative — no transcript reported this period directly.
Figure as stated in Q2 2023 Earnings Call (2023-08-08),
STEP-5 KPI “Cash Flow from Operating Activities” (PriorYearValue field).</t>
      </text>
    </comment>
    <comment ref="AI17" authorId="0" shapeId="0">
      <text>
        <t>Computed prior-year value: =AP17/(1+20%).
The .md PriorYearValue conflicted with the line's stated YoY%, so it is reconstructed from the 9M 2023 figure.
YoY source: Q3 2023 Earnings Call (2023-11-07) — “Cash Flow from Operating Activities”.</t>
      </text>
    </comment>
    <comment ref="AK17" authorId="0" shapeId="0">
      <text>
        <t>Prior-year comparative — no transcript reported this period directly.
Figure as stated in Q4 2023 Earnings Call (2024-02-29),
STEP-5 KPI “Cash Flow from Operating Activities” (PriorYearValue field).</t>
      </text>
    </comment>
    <comment ref="AL17" authorId="0" shapeId="0">
      <text>
        <t>Source: Celsius Holdings Q1 2023 Earnings Call
Date: 2023-05-09
Workbook tab: 29 2023Q1 Earnings
Digest label: “Operating Cash Flow”</t>
      </text>
    </comment>
    <comment ref="AN17" authorId="0" shapeId="0">
      <text>
        <t>Source: Q2 2023 Earnings Call
Date: 2023-08-08
Workbook tab: 34 2023Q2 Earnings
Digest label: “H1 Cash from Operations”</t>
      </text>
    </comment>
    <comment ref="AP17" authorId="0" shapeId="0">
      <text>
        <t>Source: Q3 2023 Earnings Call
Date: 2023-11-07
Workbook tab: 37 2023Q3 Earnings
Digest label: “9M Cash from Operations”</t>
      </text>
    </comment>
    <comment ref="AS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D18" authorId="0" shapeId="0">
      <text>
        <t>Source: Q4 2021 Earnings Call
Date: 2022-03-01
Workbook tab: 19 Q4 2021 Earnings
Digest label: “Cash”</t>
      </text>
    </comment>
    <comment ref="AE18" authorId="0" shapeId="0">
      <text>
        <t>Source: Q1 2022 Earnings Call
Date: 2022-05-10
Workbook tab: 20 2022Q1 Earnings
Digest label: “Cash Position”</t>
      </text>
    </comment>
    <comment ref="AK18" authorId="0" shapeId="0">
      <text>
        <t>Source: Celsius Holdings 2023 Annual General Meeting
Date: 2023-06-01
Workbook tab: 31 Annual General Meeting
Digest label: “Cash (year-end)”</t>
      </text>
    </comment>
    <comment ref="AL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S18" authorId="0" shapeId="0">
      <text>
        <t>Source: Q1 2024 Earnings Call
Date: 2024-05-07
Workbook tab: 42 Q1 2024 Earnings
Digest label: “Cash on Hand (Mar 31, 2024)”</t>
      </text>
    </comment>
    <comment ref="AY18" authorId="0" shapeId="0">
      <text>
        <t>Source: Q1 2025 Earnings Call
Date: 2025-05-06
Workbook tab: 55 2025Q1 Earnings
Digest label: “Cash”</t>
      </text>
    </comment>
    <comment ref="BD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D19" authorId="0" shapeId="0">
      <text>
        <t>Source: Q4 2021 Earnings Call
Date: 2022-03-01
Workbook tab: 19 Q4 2021 Earnings
Digest label: “Working Capital”</t>
      </text>
    </comment>
    <comment ref="AE19" authorId="0" shapeId="0">
      <text>
        <t>Source: Q1 2022 Earnings Call
Date: 2022-05-10
Workbook tab: 20 2022Q1 Earnings
Digest label: “Working Capital”</t>
      </text>
    </comment>
    <comment ref="AK19" authorId="0" shapeId="0">
      <text>
        <t>Source: Celsius Holdings 2023 Annual General Meeting
Date: 2023-06-01
Workbook tab: 31 Annual General Meeting
Digest label: “Working Capital (year-end)”</t>
      </text>
    </comment>
    <comment ref="AL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AF22" authorId="0" shapeId="0">
      <text>
        <t>Source: Q2 2022 Earnings Call
Date: 2022-08-09
Workbook tab: 26 2022Q2 Earnings
Digest label: “12-week growth”</t>
      </text>
    </comment>
    <comment ref="AJ22" authorId="0" shapeId="0">
      <text>
        <t>Source: Q3 2022 Earnings Call
Date: 2022-11-09
Workbook tab: 27 2022Q3 Earnings
Digest label: “12-week growth”</t>
      </text>
    </comment>
    <comment ref="AJ23" authorId="0" shapeId="0">
      <text>
        <t>Source: Q3 2022 Earnings Call
Date: 2022-11-09
Workbook tab: 27 2022Q3 Earnings
Digest label: “2-week growth”</t>
      </text>
    </comment>
    <comment ref="AF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D26" authorId="0" shapeId="0">
      <text>
        <t>Source: Full-Year 2025 and Fourth Quarter Financial Results Press Release
Date: 2026-02-26
Workbook tab: 66 2025Q4 Earnings PR
Digest label: “Accrued distributor termination fees”</t>
      </text>
    </comment>
    <comment ref="BD27" authorId="0" shapeId="0">
      <text>
        <t>Source: Q4 2025 / FY2025 Earnings Call
Date: 2026-02-26
Workbook tab: 67 2025Q4 Earnings
Digest label: “Acquisition &amp; integration adj”</t>
      </text>
    </comment>
    <comment ref="AZ28" authorId="0" shapeId="0">
      <text>
        <t>Source: CELH Q2 2025 Earnings Call
Date: 2025-08-07
Workbook tab: 60 2025Q2 Earnings
Digest label: “Acquisition-related costs”</t>
      </text>
    </comment>
    <comment ref="BC28" authorId="0" shapeId="0">
      <text>
        <t>Source: Full-Year 2025 and Fourth Quarter Financial Results Press Release
Date: 2026-02-26
Workbook tab: 66 2025Q4 Earnings PR
Digest label: “Acquisition-related costs (FY)”</t>
      </text>
    </comment>
    <comment ref="AD29" authorId="0" shapeId="0">
      <text>
        <t>Source: Q4 2021 Earnings Call
Date: 2022-03-01
Workbook tab: 19 Q4 2021 Earnings
Digest label: “Active co-packers”</t>
      </text>
    </comment>
    <comment ref="AJ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S34" authorId="0" shapeId="0">
      <text>
        <t>Prior-year comparative — no transcript reported this period directly.
Figure as stated in Q1 2025 Earnings Call (2025-05-06),
STEP-5 KPI “Non-GAAP Adjusted Diluted EPS” (PriorYearValue field).</t>
      </text>
    </comment>
    <comment ref="AT34" authorId="0" shapeId="0">
      <text>
        <t>Prior-year comparative — no transcript reported this period directly.
Figure as stated in Q2 2025 Earnings Call (2025-08-07),
STEP-5 KPI “Adjusted Diluted EPS” (PriorYearValue field).</t>
      </text>
    </comment>
    <comment ref="AU34" authorId="0" shapeId="0">
      <text>
        <t>Prior-year comparative — no transcript reported this period directly.
Figure as stated in Q2 2025 Earnings Call (2025-08-07),
STEP-5 KPI “H1 2025 Adjusted Diluted EPS” (PriorYearValue field).</t>
      </text>
    </comment>
    <comment ref="AW34" authorId="0" shapeId="0">
      <text>
        <t>Source: Q4 2024 Earnings Call
Date: 2025-02-20
Workbook tab: 51 2024Q4 Earnings
Digest label: “Adjusted Diluted EPS”</t>
      </text>
    </comment>
    <comment ref="AX34" authorId="0" shapeId="0">
      <text>
        <t>Source: Q4 2024 Earnings Call
Date: 2025-02-20
Workbook tab: 51 2024Q4 Earnings
Digest label: “Adjusted Diluted EPS”</t>
      </text>
    </comment>
    <comment ref="AY34" authorId="0" shapeId="0">
      <text>
        <t>Source: Q1 2025 Earnings Call
Date: 2025-05-06
Workbook tab: 55 2025Q1 Earnings
Digest label: “Non-GAAP Adjusted Diluted EPS”</t>
      </text>
    </comment>
    <comment ref="AZ34" authorId="0" shapeId="0">
      <text>
        <t>Source: CELH Q2 2025 Earnings Call
Date: 2025-08-07
Workbook tab: 60 2025Q2 Earnings
Digest label: “Adjusted Diluted EPS”</t>
      </text>
    </comment>
    <comment ref="BA34" authorId="0" shapeId="0">
      <text>
        <t>Source: CELH Q2 2025 Earnings Call
Date: 2025-08-07
Workbook tab: 60 2025Q2 Earnings
Digest label: “Adjusted Diluted EPS”</t>
      </text>
    </comment>
    <comment ref="BD34" authorId="0" shapeId="0">
      <text>
        <t>Source: Full-Year 2025 and Fourth Quarter Financial Results Press Release
Date: 2026-02-26
Workbook tab: 66 2025Q4 Earnings PR
Digest label: “Adjusted diluted EPS (non-GAAP)”</t>
      </text>
    </comment>
    <comment ref="AQ35" authorId="0" shapeId="0">
      <text>
        <t>Prior-year comparative — no transcript reported this period directly.
Figure as stated in Q4 2024 Earnings Call (2025-02-20),
STEP-5 KPI “Adjusted EBITDA Margin (Q4)” (PriorYearValue field).</t>
      </text>
    </comment>
    <comment ref="AS35" authorId="0" shapeId="0">
      <text>
        <t>Prior-year comparative — no transcript reported this period directly.
Figure as stated in Q1 2025 Earnings Call (2025-05-06),
STEP-5 KPI “Adjusted EBITDA Margin” (PriorYearValue field).</t>
      </text>
    </comment>
    <comment ref="AW35" authorId="0" shapeId="0">
      <text>
        <t>Source: Q4 2024 Earnings Call
Date: 2025-02-20
Workbook tab: 51 2024Q4 Earnings
Digest label: “Adjusted EBITDA Margin”</t>
      </text>
    </comment>
    <comment ref="AX35" authorId="0" shapeId="0">
      <text>
        <t>Source: Alani Nu Modeling Call (post-closing)
Date: 2025-05-28
Workbook tab: 57 Acquiring Alani Nu
Digest label: “Adjusted EBITDA Margin”</t>
      </text>
    </comment>
    <comment ref="AY35" authorId="0" shapeId="0">
      <text>
        <t>Source: Q1 2025 Earnings Call
Date: 2025-05-06
Workbook tab: 55 2025Q1 Earnings
Digest label: “Adjusted EBITDA Margin”</t>
      </text>
    </comment>
    <comment ref="BD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E35" authorId="0" shapeId="0">
      <text>
        <t>Source: CELH Q1 2026 Earnings Call
Date: 2026-05-07
Workbook tab: 69 2026Q1 Earnings
Digest label: “Adjusted EBITDA Margin”</t>
      </text>
    </comment>
    <comment ref="AY36" authorId="0" shapeId="0">
      <text>
        <t>Prior-year comparative — no transcript reported this period directly.
Figure as stated in Q1 2026 Earnings Call (2026-05-07),
STEP-5 KPI “Adjusted SG&amp;A as % of Revenue” (PriorYearValue field).</t>
      </text>
    </comment>
    <comment ref="BC36" authorId="0" shapeId="0">
      <text>
        <t>Reported in 2 transcripts (► = figure shown in cell):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E36" authorId="0" shapeId="0">
      <text>
        <t>Source: CELH Q1 2026 Earnings Call
Date: 2026-05-07
Workbook tab: 69 2026Q1 Earnings
Digest label: “Adjusted SG&amp;A % of revenue”</t>
      </text>
    </comment>
    <comment ref="AZ37" authorId="0" shapeId="0">
      <text>
        <t>Source: CELH Q2 2025 Earnings Call
Date: 2025-08-07
Workbook tab: 60 2025Q2 Earnings
Digest label: “Alani Nu brand”</t>
      </text>
    </comment>
    <comment ref="AS38" authorId="0" shapeId="0">
      <text>
        <t>Prior-year comparative — no transcript reported this period directly.
Figure as stated in Q1 2025 Earnings Call (2025-05-06),
STEP-5 KPI “Alani Nu Dollar Share” (PriorYearValue field).</t>
      </text>
    </comment>
    <comment ref="AY38" authorId="0" shapeId="0">
      <text>
        <t>Source: Q1 2025 Earnings Call
Date: 2025-05-06
Workbook tab: 55 2025Q1 Earnings
Digest label: “Alani Nu dollar share”</t>
      </text>
    </comment>
    <comment ref="AY39" authorId="0" shapeId="0">
      <text>
        <t>Computed prior-year value: =BE39/(1+60%).
The .md PriorYearValue conflicted with the line's stated YoY%, so it is reconstructed from the Q1 2026 figure.
YoY source: Q1 2026 Earnings Call (2026-05-07) — “Alani Nu Net Sales”.</t>
      </text>
    </comment>
    <comment ref="BE39" authorId="0" shapeId="0">
      <text>
        <t>Source: CELH Q1 2026 Earnings Call
Date: 2026-05-07
Workbook tab: 69 2026Q1 Earnings
Digest label: “Alani Nu net sales”</t>
      </text>
    </comment>
    <comment ref="BD40" authorId="0" shapeId="0">
      <text>
        <t>Source: Full-Year 2025 and Fourth Quarter Financial Results Press Release
Date: 2026-02-26
Workbook tab: 66 2025Q4 Earnings PR
Digest label: “Alani Nu retail sales growth”</t>
      </text>
    </comment>
    <comment ref="AO41" authorId="0" shapeId="0">
      <text>
        <t>Source: Q3 2023 Earnings Call
Date: 2023-11-07
Workbook tab: 37 2023Q3 Earnings
Digest label: “Amazon Energy Category Share (#1)”</t>
      </text>
    </comment>
    <comment ref="AM42" authorId="0" shapeId="0">
      <text>
        <t>Source: Q2 2023 Earnings Call
Date: 2023-08-08
Workbook tab: 34 2023Q2 Earnings
Digest label: “Amazon Energy Category Share (#2)”</t>
      </text>
    </comment>
    <comment ref="AJ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X45" authorId="0" shapeId="0">
      <text>
        <t>Prior-year comparative — no transcript reported this period directly.
Figure as stated in Q4 2025 Earnings Call (2026-02-26),
STEP-5 KPI “Brand Celsius Net Sales (FY)” (PriorYearValue field).</t>
      </text>
    </comment>
    <comment ref="AY45" authorId="0" shapeId="0">
      <text>
        <t>Computed prior-year value: =BE45/(1+6%).
The .md PriorYearValue conflicted with the line's stated YoY%, so it is reconstructed from the Q1 2026 figure.
YoY source: Q1 2026 Earnings Call (2026-05-07) — “Brand Celsius Net Sales”.</t>
      </text>
    </comment>
    <comment ref="BE45" authorId="0" shapeId="0">
      <text>
        <t>Source: CELH Q1 2026 Earnings Call
Date: 2026-05-07
Workbook tab: 69 2026Q1 Earnings
Digest label: “Brand Celsius net sales”</t>
      </text>
    </comment>
    <comment ref="AZ46" authorId="0" shapeId="0">
      <text>
        <t>Source: CELH Q2 2025 Earnings Call
Date: 2025-08-07
Workbook tab: 60 2025Q2 Earnings
Digest label: “Celsius brand”</t>
      </text>
    </comment>
    <comment ref="BD47" authorId="0" shapeId="0">
      <text>
        <t>Source: Full-Year 2025 and Fourth Quarter Financial Results Press Release
Date: 2026-02-26
Workbook tab: 66 2025Q4 Earnings PR
Digest label: “CELSIUS brand retail sales growth”</t>
      </text>
    </comment>
    <comment ref="AW48" authorId="0" shapeId="0">
      <text>
        <t>Prior-year comparative — no transcript reported this period directly.
Figure as stated in Full-Year 2025 and Fourth Quarter Financial Results Press Release (2026-02-26),
STEP-5 KPI “CELSIUS Brand Revenue” (PriorYearValue field).</t>
      </text>
    </comment>
    <comment ref="BD48" authorId="0" shapeId="0">
      <text>
        <t>Source: Full-Year 2025 and Fourth Quarter Financial Results Press Release
Date: 2026-02-26
Workbook tab: 66 2025Q4 Earnings PR
Digest label: “CELSIUS brand revenue”</t>
      </text>
    </comment>
    <comment ref="AY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F51" authorId="0" shapeId="0">
      <text>
        <t>Source: Q2 2022 Earnings Call
Date: 2022-08-09
Workbook tab: 26 2022Q2 Earnings
Digest label: “Club channel revenue ($M)”</t>
      </text>
    </comment>
    <comment ref="AD52" authorId="0" shapeId="0">
      <text>
        <t>Prior-year comparative — no transcript reported this period directly.
Figure as stated in Q4 2022 Earnings Call (2023-03-01),
STEP-5 KPI “Club Channel Sales (FY)” (PriorYearValue field).</t>
      </text>
    </comment>
    <comment ref="AE52" authorId="0" shapeId="0">
      <text>
        <t>Prior-year comparative — no transcript reported this period directly.
Figure as stated in Q1 2023 Earnings Call (2023-05-09),
STEP-5 KPI “Club Channel Sales” (PriorYearValue field).</t>
      </text>
    </comment>
    <comment ref="AF52" authorId="0" shapeId="0">
      <text>
        <t>Prior-year comparative — no transcript reported this period directly.
Figure as stated in Q2 2023 Earnings Call (2023-08-08),
STEP-5 KPI “Club Channel Sales” (PriorYearValue field).</t>
      </text>
    </comment>
    <comment ref="AH52" authorId="0" shapeId="0">
      <text>
        <t>Source: Q3 2022 Earnings Call
Date: 2022-11-09
Workbook tab: 27 2022Q3 Earnings
Digest label: “Club channel sales ($M)”</t>
      </text>
    </comment>
    <comment ref="AJ52" authorId="0" shapeId="0">
      <text>
        <t>Prior-year comparative — no transcript reported this period directly.
Figure as stated in Q4 2023 Earnings Call (2024-02-29),
STEP-5 KPI “Club Channel Sales” (PriorYearValue field).</t>
      </text>
    </comment>
    <comment ref="AK52" authorId="0" shapeId="0">
      <text>
        <t>Source: Q4 2022 / FY2022 Earnings Call
Date: 2023-03-01
Workbook tab: 28 2022Q4 Earnings
Digest label: “Club Channel Sales”</t>
      </text>
    </comment>
    <comment ref="AL52" authorId="0" shapeId="0">
      <text>
        <t>Prior-year comparative — no transcript reported this period directly.
Figure as stated in Q1 2024 Earnings Call (2024-05-07),
STEP-5 KPI “Club Channel Sales” (PriorYearValue field).</t>
      </text>
    </comment>
    <comment ref="AM52" authorId="0" shapeId="0">
      <text>
        <t>Source: Q2 2023 Earnings Call
Date: 2023-08-08
Workbook tab: 34 2023Q2 Earnings
Digest label: “Club Channel Sales”</t>
      </text>
    </comment>
    <comment ref="AO52" authorId="0" shapeId="0">
      <text>
        <t>Source: Q3 2023 Earnings Call
Date: 2023-11-07
Workbook tab: 37 2023Q3 Earnings
Digest label: “Club Channel Sales”</t>
      </text>
    </comment>
    <comment ref="AS52" authorId="0" shapeId="0">
      <text>
        <t>Source: Q1 2024 Earnings Call
Date: 2024-05-07
Workbook tab: 42 Q1 2024 Earnings
Digest label: “Club Channel Sales”</t>
      </text>
    </comment>
    <comment ref="AX53" authorId="0" shapeId="0">
      <text>
        <t>Source: Alani Nu Modeling Call (post-closing)
Date: 2025-05-28
Workbook tab: 57 Acquiring Alani Nu
Digest label: “Combined business RTD energy mix”</t>
      </text>
    </comment>
    <comment ref="AY54" authorId="0" shapeId="0">
      <text>
        <t>Source: Q1 2025 Earnings Call
Date: 2025-05-06
Workbook tab: 55 2025Q1 Earnings
Digest label: “Combined portfolio dollar share”</t>
      </text>
    </comment>
    <comment ref="BD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D56" authorId="0" shapeId="0">
      <text>
        <t>Source: Q4 2021 Earnings Call
Date: 2022-03-01
Workbook tab: 19 Q4 2021 Earnings
Digest label: “Convenience channel ACV”</t>
      </text>
    </comment>
    <comment ref="AE56" authorId="0" shapeId="0">
      <text>
        <t>Prior-year comparative — no transcript reported this period directly.
Figure as stated in Q1 2023 Earnings Call (2023-05-09),
STEP-5 KPI “Convenience Channel ACV” (PriorYearValue field).</t>
      </text>
    </comment>
    <comment ref="AF56" authorId="0" shapeId="0">
      <text>
        <t>Prior-year comparative — no transcript reported this period directly.
Figure as stated in Q2 2023 Earnings Call (2023-08-08),
STEP-5 KPI “Convenience Channel ACV” (PriorYearValue field).</t>
      </text>
    </comment>
    <comment ref="AH56" authorId="0" shapeId="0">
      <text>
        <t>Prior-year comparative — no transcript reported this period directly.
Figure as stated in Q3 2023 Earnings Call (2023-11-07),
STEP-5 KPI “Convenience ACV” (PriorYearValue field).</t>
      </text>
    </comment>
    <comment ref="AJ56" authorId="0" shapeId="0">
      <text>
        <t>Source: Q4 2022 / FY2022 Earnings Call
Date: 2023-03-01
Workbook tab: 28 2022Q4 Earnings
Digest label: “Convenience ACV”</t>
      </text>
    </comment>
    <comment ref="AM56" authorId="0" shapeId="0">
      <text>
        <t>Source: Q2 2023 Earnings Call
Date: 2023-08-08
Workbook tab: 34 2023Q2 Earnings
Digest label: “Convenience Channel ACV”</t>
      </text>
    </comment>
    <comment ref="AO56" authorId="0" shapeId="0">
      <text>
        <t>Source: Q3 2023 Earnings Call
Date: 2023-11-07
Workbook tab: 37 2023Q3 Earnings
Digest label: “Convenience ACV”</t>
      </text>
    </comment>
    <comment ref="AF57" authorId="0" shapeId="0">
      <text>
        <t>Source: Q2 2022 Earnings Call
Date: 2022-08-09
Workbook tab: 26 2022Q2 Earnings
Digest label: “Convenience channel sales growth”</t>
      </text>
    </comment>
    <comment ref="AH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F58" authorId="0" shapeId="0">
      <text>
        <t>Source: Q2 2022 Earnings Call
Date: 2022-08-09
Workbook tab: 26 2022Q2 Earnings
Digest label: “Convenience channel store locations”</t>
      </text>
    </comment>
    <comment ref="AH58" authorId="0" shapeId="0">
      <text>
        <t>Source: Q3 2022 Earnings Call
Date: 2022-11-09
Workbook tab: 27 2022Q3 Earnings
Digest label: “Convenience store locations”</t>
      </text>
    </comment>
    <comment ref="AD59" authorId="0" shapeId="0">
      <text>
        <t>Source: Q4 &amp; Full-Year 2020 Earnings Call
Date: 2021-03-11
Workbook tab: 12 2020Q4 Earnings
Digest label: “Cooler Rollout Phase 1”</t>
      </text>
    </comment>
    <comment ref="AY60" authorId="0" shapeId="0">
      <text>
        <t>Source: Q1 2025 Earnings Call
Date: 2025-05-06
Workbook tab: 55 2025Q1 Earnings
Digest label: “Debt”</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E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F61" authorId="0" shapeId="0">
      <text>
        <t>Source: Q2 2022 Earnings Call
Date: 2022-08-09
Workbook tab: 26 2022Q2 Earnings
Digest label: “Diluted EPS ($)”</t>
      </text>
    </comment>
    <comment ref="AH61" authorId="0" shapeId="0">
      <text>
        <t>Prior-year comparative — no transcript reported this period directly.
Figure as stated in Q3 2023 Earnings Call (2023-11-07),
STEP-5 KPI “Diluted EPS” (PriorYearValue field).</t>
      </text>
    </comment>
    <comment ref="AL61" authorId="0" shapeId="0">
      <text>
        <t>Prior-year comparative — no transcript reported this period directly.
Figure as stated in Q1 2024 Earnings Call (2024-05-07),
STEP-5 KPI “Diluted EPS” (PriorYearValue field).</t>
      </text>
    </comment>
    <comment ref="AO61" authorId="0" shapeId="0">
      <text>
        <t>Source: Q3 2023 Earnings Call
Date: 2023-11-07
Workbook tab: 37 2023Q3 Earnings
Digest label: “Diluted EPS”</t>
      </text>
    </comment>
    <comment ref="AS61" authorId="0" shapeId="0">
      <text>
        <t>Source: Q1 2024 Earnings Call
Date: 2024-05-07
Workbook tab: 42 Q1 2024 Earnings
Digest label: “Diluted EPS”</t>
      </text>
    </comment>
    <comment ref="AT61" authorId="0" shapeId="0">
      <text>
        <t>Prior-year comparative — no transcript reported this period directly.
Figure as stated in Q2 2025 Earnings Call (2025-08-07),
STEP-5 KPI “GAAP Diluted EPS” (PriorYearValue field).</t>
      </text>
    </comment>
    <comment ref="AY61" authorId="0" shapeId="0">
      <text>
        <t>Source: Q1 2025 Earnings Call
Date: 2025-05-06
Workbook tab: 55 2025Q1 Earnings
Digest label: “GAAP Diluted EPS”</t>
      </text>
    </comment>
    <comment ref="AZ61" authorId="0" shapeId="0">
      <text>
        <t>Source: CELH Q2 2025 Earnings Call
Date: 2025-08-07
Workbook tab: 60 2025Q2 Earnings
Digest label: “GAAP Diluted EPS”</t>
      </text>
    </comment>
    <comment ref="BD61" authorId="0" shapeId="0">
      <text>
        <t>Source: Full-Year 2025 and Fourth Quarter Financial Results Press Release
Date: 2026-02-26
Workbook tab: 66 2025Q4 Earnings PR
Digest label: “Diluted EPS (GAAP)”</t>
      </text>
    </comment>
    <comment ref="AK62" authorId="0" shapeId="0">
      <text>
        <t>Source: Celsius Holdings 2023 Annual General Meeting
Date: 2023-06-01
Workbook tab: 31 Annual General Meeting
Digest label: “Distribution Termination Expenses”</t>
      </text>
    </comment>
    <comment ref="BD63" authorId="0" shapeId="0">
      <text>
        <t>Source: Q4 2025 / FY2025 Earnings Call
Date: 2026-02-26
Workbook tab: 67 2025Q4 Earnings
Digest label: “Distributor termination &amp; integration adj”</t>
      </text>
    </comment>
    <comment ref="AW64" authorId="0" shapeId="0">
      <text>
        <t>Prior-year comparative — no transcript reported this period directly.
Figure as stated in Full-Year 2025 and Fourth Quarter Financial Results Press Release (2026-02-26),
STEP-5 KPI “Distributor Termination Costs” (PriorYearValue field).</t>
      </text>
    </comment>
    <comment ref="BC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E66" authorId="0" shapeId="0">
      <text>
        <t>Source: 2022 Annual General Meeting (Annual Meeting of Shareholders)
Date: 2022-06-02
Workbook tab: 22 Annual Shareholder Mtg
Digest label: “DSD distributor revenue growth”</t>
      </text>
    </comment>
    <comment ref="AF67" authorId="0" shapeId="0">
      <text>
        <t>Source: Q2 2022 Earnings Call
Date: 2022-08-09
Workbook tab: 26 2022Q2 Earnings
Digest label: “DSD incremental revenue ($M)”</t>
      </text>
    </comment>
    <comment ref="AF68" authorId="0" shapeId="0">
      <text>
        <t>Source: Q2 2022 Earnings Call
Date: 2022-08-09
Workbook tab: 26 2022Q2 Earnings
Digest label: “DSD network sales ($M)”</t>
      </text>
    </comment>
    <comment ref="AD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D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AZ72" authorId="0" shapeId="0">
      <text>
        <t>Source: CELH Q2 2025 Earnings Call
Date: 2025-08-07
Workbook tab: 60 2025Q2 Earnings
Digest label: “Earn-out contingent consideration charge”</t>
      </text>
    </comment>
    <comment ref="AH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Y76" authorId="0" shapeId="0">
      <text>
        <t>Source: Q1 2025 Earnings Call
Date: 2025-05-06
Workbook tab: 55 2025Q1 Earnings
Digest label: “Foodservice as % of NA sales (via PepsiCo)”</t>
      </text>
    </comment>
    <comment ref="AO77" authorId="0" shapeId="0">
      <text>
        <t>Source: Q3 2023 Earnings Call
Date: 2023-11-07
Workbook tab: 37 2023Q3 Earnings
Digest label: “YTD Freight (% of net revenues)”</t>
      </text>
    </comment>
    <comment ref="BB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E82" authorId="0" shapeId="0">
      <text>
        <t>Source: Q1 2022 Earnings Call
Date: 2022-05-10
Workbook tab: 20 2022Q1 Earnings
Digest label: “G&amp;A % of Revenue”</t>
      </text>
    </comment>
    <comment ref="AF82" authorId="0" shapeId="0">
      <text>
        <t>Source: Q2 2022 Earnings Call
Date: 2022-08-09
Workbook tab: 26 2022Q2 Earnings
Digest label: “G&amp;A (% of revenue)”</t>
      </text>
    </comment>
    <comment ref="AH82" authorId="0" shapeId="0">
      <text>
        <t>Source: Q3 2022 Earnings Call
Date: 2022-11-09
Workbook tab: 27 2022Q3 Earnings
Digest label: “G&amp;A (% of revenue)”</t>
      </text>
    </comment>
    <comment ref="AL82" authorId="0" shapeId="0">
      <text>
        <t>Source: Celsius Holdings Q1 2023 Earnings Call
Date: 2023-05-09
Workbook tab: 29 2023Q1 Earnings
Digest label: “G&amp;A % of Sales”</t>
      </text>
    </comment>
    <comment ref="AM82" authorId="0" shapeId="0">
      <text>
        <t>Source: Q2 2023 Earnings Call
Date: 2023-08-08
Workbook tab: 34 2023Q2 Earnings
Digest label: “G&amp;A (% of sales)”</t>
      </text>
    </comment>
    <comment ref="AO82" authorId="0" shapeId="0">
      <text>
        <t>Source: Q3 2023 Earnings Call
Date: 2023-11-07
Workbook tab: 37 2023Q3 Earnings
Digest label: “G&amp;A (% of sales)”</t>
      </text>
    </comment>
    <comment ref="AQ82" authorId="0" shapeId="0">
      <text>
        <t>Source: Celsius Holdings Q4 2023 Earnings Call
Date: 2024-02-29
Workbook tab: 40 2023Q4 Earnings
Digest label: “G&amp;A % of Sales”</t>
      </text>
    </comment>
    <comment ref="AR82" authorId="0" shapeId="0">
      <text>
        <t>Source: Celsius Holdings Q4 2023 Earnings Call
Date: 2024-02-29
Workbook tab: 40 2023Q4 Earnings
Digest label: “G&amp;A % of Sales”</t>
      </text>
    </comment>
    <comment ref="AS82" authorId="0" shapeId="0">
      <text>
        <t>Source: Q1 2024 Earnings Call
Date: 2024-05-07
Workbook tab: 42 Q1 2024 Earnings
Digest label: “G&amp;A (% of Sales)”</t>
      </text>
    </comment>
    <comment ref="AX82" authorId="0" shapeId="0">
      <text>
        <t>Source: Q4 2024 Earnings Call
Date: 2025-02-20
Workbook tab: 51 2024Q4 Earnings
Digest label: “G&amp;A (% of sales)”</t>
      </text>
    </comment>
    <comment ref="AZ82" authorId="0" shapeId="0">
      <text>
        <t>Source: CELH Q2 2025 Earnings Call
Date: 2025-08-07
Workbook tab: 60 2025Q2 Earnings
Digest label: “G&amp;A % of revenue”</t>
      </text>
    </comment>
    <comment ref="BB83" authorId="0" shapeId="0">
      <text>
        <t>Source: CELH Q3 2025 Earnings Call
Date: 2025-11-06
Workbook tab: 63 2025Q3 Earnings
Digest label: “G&amp;A % of sales (ex-acquisition costs)”</t>
      </text>
    </comment>
    <comment ref="AY84" authorId="0" shapeId="0">
      <text>
        <t>Source: Q1 2025 Earnings Call
Date: 2025-05-06
Workbook tab: 55 2025Q1 Earnings
Digest label: “Gap (promos/incentives + non-DSD timing)”</t>
      </text>
    </comment>
    <comment ref="AZ85" authorId="0" shapeId="0">
      <text>
        <t>Source: CELH Q2 2025 Earnings Call
Date: 2025-08-07
Workbook tab: 60 2025Q2 Earnings
Digest label: “Gross Margin ex inventory step-up”</t>
      </text>
    </comment>
    <comment ref="AH86" authorId="0" shapeId="0">
      <text>
        <t>Source: Q3 2022 Earnings Call
Date: 2022-11-09
Workbook tab: 27 2022Q3 Earnings
Digest label: “Gross margin sequential change (vs Q2)”</t>
      </text>
    </comment>
    <comment ref="AH87" authorId="0" shapeId="0">
      <text>
        <t>Prior-year comparative — no transcript reported this period directly.
Figure as stated in Q3 2023 Earnings Call (2023-11-07),
STEP-5 KPI “Household Penetration” (PriorYearValue field).</t>
      </text>
    </comment>
    <comment ref="AO87" authorId="0" shapeId="0">
      <text>
        <t>Source: Q3 2023 Earnings Call
Date: 2023-11-07
Workbook tab: 37 2023Q3 Earnings
Digest label: “Household Penetration”</t>
      </text>
    </comment>
    <comment ref="BD88" authorId="0" shapeId="0">
      <text>
        <t>Source: UBS Global Consumer and Retail Conference
Date: 2025-03-12
Workbook tab: 53 UBS Conf 2025-03-12
Digest label: “Incremental Cooler Placement”</t>
      </text>
    </comment>
    <comment ref="BD89" authorId="0" shapeId="0">
      <text>
        <t>Source: Full-Year 2025 and Fourth Quarter Financial Results Press Release
Date: 2026-02-26
Workbook tab: 66 2025Q4 Earnings PR
Digest label: “Interest expense”</t>
      </text>
    </comment>
    <comment ref="BD90" authorId="0" shapeId="0">
      <text>
        <t>Source: Full-Year 2025 and Fourth Quarter Financial Results Press Release
Date: 2026-02-26
Workbook tab: 66 2025Q4 Earnings PR
Digest label: “Interest income”</t>
      </text>
    </comment>
    <comment ref="AX91" authorId="0" shapeId="0">
      <text>
        <t>Source: Barclays Global Consumer Staples Conference
Date: 2023-09-07
Workbook tab: 35 Barclays Conf 2023-09
Digest label: “International Cadence”</t>
      </text>
    </comment>
    <comment ref="AE92" authorId="0" shapeId="0">
      <text>
        <t>Source: Q1 2022 Earnings Call
Date: 2022-05-10
Workbook tab: 20 2022Q1 Earnings
Digest label: “International cans on the books”</t>
      </text>
    </comment>
    <comment ref="AL93" authorId="0" shapeId="0">
      <text>
        <t>Prior-year comparative — no transcript reported this period directly.
Figure as stated in Q1 2024 Earnings Call (2024-05-07),
STEP-5 KPI “International Revenue (ex-Canada)” (PriorYearValue field).</t>
      </text>
    </comment>
    <comment ref="AS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B95" authorId="0" shapeId="0">
      <text>
        <t>Source: Q3 2021 Earnings Call
Date: 2021-11-11
Workbook tab: 16 2021Q3 Earnings
Digest label: “Inventory Increase (9M)”</t>
      </text>
    </comment>
    <comment ref="AE96" authorId="0" shapeId="0">
      <text>
        <t>Source: Q1 2022 Earnings Call
Date: 2022-05-10
Workbook tab: 20 2022Q1 Earnings
Digest label: “Inventory reduction in quarter”</t>
      </text>
    </comment>
    <comment ref="BC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D99" authorId="0" shapeId="0">
      <text>
        <t>Source: Full-Year 2025 and Fourth Quarter Financial Results Press Release
Date: 2026-02-26
Workbook tab: 66 2025Q4 Earnings PR
Digest label: “Long-term debt”</t>
      </text>
    </comment>
    <comment ref="AF100" authorId="0" shapeId="0">
      <text>
        <t>Prior-year comparative — no transcript reported this period directly.
Figure as stated in Q2 2023 Earnings Call (2023-08-08),
STEP-5 KPI “MULOC ACV” (PriorYearValue field).</t>
      </text>
    </comment>
    <comment ref="AH100" authorId="0" shapeId="0">
      <text>
        <t>Prior-year comparative — no transcript reported this period directly.
Figure as stated in Q3 2023 Earnings Call (2023-11-07),
STEP-5 KPI “MULOC ACV” (PriorYearValue field).</t>
      </text>
    </comment>
    <comment ref="AM100" authorId="0" shapeId="0">
      <text>
        <t>Source: Q2 2023 Earnings Call
Date: 2023-08-08
Workbook tab: 34 2023Q2 Earnings
Digest label: “MULOC ACV”</t>
      </text>
    </comment>
    <comment ref="AO100" authorId="0" shapeId="0">
      <text>
        <t>Source: Q3 2023 Earnings Call
Date: 2023-11-07
Workbook tab: 37 2023Q3 Earnings
Digest label: “MULOC ACV”</t>
      </text>
    </comment>
    <comment ref="AO101" authorId="0" shapeId="0">
      <text>
        <t>Source: Q3 2023 Earnings Call
Date: 2023-11-07
Workbook tab: 37 2023Q3 Earnings
Digest label: “MULOC Energy Market Share (#3)”</t>
      </text>
    </comment>
    <comment ref="AH102" authorId="0" shapeId="0">
      <text>
        <t>Source: Q3 2022 Earnings Call
Date: 2022-11-09
Workbook tab: 27 2022Q3 Earnings
Digest label: “MULOC locations serviced by DSD”</t>
      </text>
    </comment>
    <comment ref="AM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C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D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D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D112" authorId="0" shapeId="0">
      <text>
        <t>Source: Q4 2021 Earnings Call
Date: 2022-03-01
Workbook tab: 19 Q4 2021 Earnings
Digest label: “Other international markets”</t>
      </text>
    </comment>
    <comment ref="AE112" authorId="0" shapeId="0">
      <text>
        <t>Source: Q1 2022 Earnings Call
Date: 2022-05-10
Workbook tab: 20 2022Q1 Earnings
Digest label: “Other International Markets”</t>
      </text>
    </comment>
    <comment ref="BD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AZ115" authorId="0" shapeId="0">
      <text>
        <t>Source: Q4 2024 Earnings Call
Date: 2025-02-20
Workbook tab: 51 2024Q4 Earnings
Digest label: “Pro-Forma Net Leverage”</t>
      </text>
    </comment>
    <comment ref="AX116" authorId="0" shapeId="0">
      <text>
        <t>Source: Alani Nu Modeling Call (post-closing)
Date: 2025-05-28
Workbook tab: 57 Acquiring Alani Nu
Digest label: “Protein shakes share of 2024 sales”</t>
      </text>
    </comment>
    <comment ref="AZ117" authorId="0" shapeId="0">
      <text>
        <t>Source: CELH Q2 2025 Earnings Call
Date: 2025-08-07
Workbook tab: 60 2025Q2 Earnings
Digest label: “Purchase accounting inventory step-up”</t>
      </text>
    </comment>
    <comment ref="AF118" authorId="0" shapeId="0">
      <text>
        <t>Source: Q2 2022 Earnings Call
Date: 2022-08-09
Workbook tab: 26 2022Q2 Earnings
Digest label: “Quarter growth”</t>
      </text>
    </comment>
    <comment ref="AJ118" authorId="0" shapeId="0">
      <text>
        <t>Source: Q3 2022 Earnings Call
Date: 2022-11-09
Workbook tab: 27 2022Q3 Earnings
Digest label: “Quarter growth”</t>
      </text>
    </comment>
    <comment ref="BD119" authorId="0" shapeId="0">
      <text>
        <t>Source: Full-Year 2025 and Fourth Quarter Financial Results Press Release
Date: 2026-02-26
Workbook tab: 66 2025Q4 Earnings PR
Digest label: “Restricted cash”</t>
      </text>
    </comment>
    <comment ref="AX120" authorId="0" shapeId="0">
      <text>
        <t>Source: Q4 2024 Earnings Call
Date: 2025-02-20
Workbook tab: 51 2024Q4 Earnings
Digest label: “Retail Sales Growth”</t>
      </text>
    </comment>
    <comment ref="AX121" authorId="0" shapeId="0">
      <text>
        <t>Source: Alani Nu Modeling Call (post-closing)
Date: 2025-05-28
Workbook tab: 57 Acquiring Alani Nu
Digest label: “Revenue CAGR (2022-2024)”</t>
      </text>
    </comment>
    <comment ref="BB122" authorId="0" shapeId="0">
      <text>
        <t>Source: CELH Q3 2025 Earnings Call
Date: 2025-11-06
Workbook tab: 63 2025Q3 Earnings
Digest label: “Rockstar combined Q3 impact ($M)”</t>
      </text>
    </comment>
    <comment ref="BD123" authorId="0" shapeId="0">
      <text>
        <t>Source: Full-Year 2025 and Fourth Quarter Financial Results Press Release
Date: 2026-02-26
Workbook tab: 66 2025Q4 Earnings PR
Digest label: “Rockstar Energy retail sales growth”</t>
      </text>
    </comment>
    <comment ref="AW124" authorId="0" shapeId="0">
      <text>
        <t>Prior-year comparative — no transcript reported this period directly.
Figure as stated in Full-Year 2025 and Fourth Quarter Financial Results Press Release (2026-02-26),
STEP-5 KPI “Rockstar Energy Revenue” (PriorYearValue field).</t>
      </text>
    </comment>
    <comment ref="BD124" authorId="0" shapeId="0">
      <text>
        <t>Source: Full-Year 2025 and Fourth Quarter Financial Results Press Release
Date: 2026-02-26
Workbook tab: 66 2025Q4 Earnings PR
Digest label: “Rockstar Energy revenue”</t>
      </text>
    </comment>
    <comment ref="BE125" authorId="0" shapeId="0">
      <text>
        <t>Source: CELH Q1 2026 Earnings Call
Date: 2026-05-07
Workbook tab: 69 2026Q1 Earnings
Digest label: “Rockstar net sales”</t>
      </text>
    </comment>
    <comment ref="BB126" authorId="0" shapeId="0">
      <text>
        <t>Source: CELH Q3 2025 Earnings Call
Date: 2025-11-06
Workbook tab: 63 2025Q3 Earnings
Digest label: “Rockstar other-income GAAP portion ($M)”</t>
      </text>
    </comment>
    <comment ref="BB127" authorId="0" shapeId="0">
      <text>
        <t>Source: CELH Q3 2025 Earnings Call
Date: 2025-11-06
Workbook tab: 63 2025Q3 Earnings
Digest label: “Rockstar revenue (first month under ownership, $M)”</t>
      </text>
    </comment>
    <comment ref="BF128" authorId="0" shapeId="0">
      <text>
        <t>Source: CELH Morgan Stanley Global Consumer &amp; Retail Conference
Date: 2025-12-03
Workbook tab: 64 Morgan Stanley 2025-12
Digest label: “Rockstar FY2026 run rate”</t>
      </text>
    </comment>
    <comment ref="AX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E130" authorId="0" shapeId="0">
      <text>
        <t>Source: Q1 2022 Earnings Call
Date: 2022-05-10
Workbook tab: 20 2022Q1 Earnings
Digest label: “S&amp;M % of Revenue”</t>
      </text>
    </comment>
    <comment ref="AF130" authorId="0" shapeId="0">
      <text>
        <t>Source: Q2 2022 Earnings Call
Date: 2022-08-09
Workbook tab: 26 2022Q2 Earnings
Digest label: “Sales &amp; marketing (% of revenue)”</t>
      </text>
    </comment>
    <comment ref="AL130" authorId="0" shapeId="0">
      <text>
        <t>Source: Celsius Holdings Q1 2023 Earnings Call
Date: 2023-05-09
Workbook tab: 29 2023Q1 Earnings
Digest label: “S&amp;M % of Sales”</t>
      </text>
    </comment>
    <comment ref="AM130" authorId="0" shapeId="0">
      <text>
        <t>Source: Q2 2023 Earnings Call
Date: 2023-08-08
Workbook tab: 34 2023Q2 Earnings
Digest label: “Sales &amp; Marketing (% of sales)”</t>
      </text>
    </comment>
    <comment ref="AO130" authorId="0" shapeId="0">
      <text>
        <t>Source: Q3 2023 Earnings Call
Date: 2023-11-07
Workbook tab: 37 2023Q3 Earnings
Digest label: “Sales &amp; Marketing (% of sales)”</t>
      </text>
    </comment>
    <comment ref="AQ130" authorId="0" shapeId="0">
      <text>
        <t>Source: Celsius Holdings Q4 2023 Earnings Call
Date: 2024-02-29
Workbook tab: 40 2023Q4 Earnings
Digest label: “S&amp;M % of Sales”</t>
      </text>
    </comment>
    <comment ref="AR130" authorId="0" shapeId="0">
      <text>
        <t>Source: Celsius Holdings Q4 2023 Earnings Call
Date: 2024-02-29
Workbook tab: 40 2023Q4 Earnings
Digest label: “S&amp;M % of Sales”</t>
      </text>
    </comment>
    <comment ref="AS130" authorId="0" shapeId="0">
      <text>
        <t>Source: Q1 2024 Earnings Call
Date: 2024-05-07
Workbook tab: 42 Q1 2024 Earnings
Digest label: “Sales &amp; Marketing (% of Revenue)”</t>
      </text>
    </comment>
    <comment ref="AX130"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Z130" authorId="0" shapeId="0">
      <text>
        <t>Source: CELH Q2 2025 Earnings Call
Date: 2025-08-07
Workbook tab: 60 2025Q2 Earnings
Digest label: “S&amp;M % of revenue”</t>
      </text>
    </comment>
    <comment ref="BB130" authorId="0" shapeId="0">
      <text>
        <t>Source: CELH Q3 2025 Earnings Call
Date: 2025-11-06
Workbook tab: 63 2025Q3 Earnings
Digest label: “S&amp;M Expense % of sales”</t>
      </text>
    </comment>
    <comment ref="AY131" authorId="0" shapeId="0">
      <text>
        <t>Source: Q1 2025 Earnings Call
Date: 2025-05-06
Workbook tab: 55 2025Q1 Earnings
Digest label: “Scanner data trend”</t>
      </text>
    </comment>
    <comment ref="AO132" authorId="0" shapeId="0">
      <text>
        <t>Source: Q3 2023 Earnings Call
Date: 2023-11-07
Workbook tab: 37 2023Q3 Earnings
Digest label: “Sequential Gross Margin Improvement (vs Q2)”</t>
      </text>
    </comment>
    <comment ref="AE133" authorId="0" shapeId="0">
      <text>
        <t>Source: Q2 2022 Earnings Call
Date: 2022-08-09
Workbook tab: 26 2022Q2 Earnings
Digest label: “Sequential revenue growth (vs Q1 2022)”</t>
      </text>
    </comment>
    <comment ref="AO134" authorId="0" shapeId="0">
      <text>
        <t>Source: Q3 2023 Earnings Call
Date: 2023-11-07
Workbook tab: 37 2023Q3 Earnings
Digest label: “Sequential Revenue Growth (vs Q2)”</t>
      </text>
    </comment>
    <comment ref="BD135" authorId="0" shapeId="0">
      <text>
        <t>Source: Full-Year 2025 and Fourth Quarter Financial Results Press Release
Date: 2026-02-26
Workbook tab: 66 2025Q4 Earnings PR
Digest label: “Series B convertible preferred stock (newly issued)”</t>
      </text>
    </comment>
    <comment ref="AQ136" authorId="0" shapeId="0">
      <text>
        <t>Prior-year comparative — no transcript reported this period directly.
Figure as stated in Q4 2024 Earnings Call (2025-02-20),
STEP-5 KPI “SG&amp;A (Q4)” (PriorYearValue field).</t>
      </text>
    </comment>
    <comment ref="AS136" authorId="0" shapeId="0">
      <text>
        <t>Prior-year comparative — no transcript reported this period directly.
Figure as stated in Q1 2025 Earnings Call (2025-05-06),
STEP-5 KPI “SG&amp;A Expense” (PriorYearValue field).</t>
      </text>
    </comment>
    <comment ref="AW136" authorId="0" shapeId="0">
      <text>
        <t>Source: Q4 2024 Earnings Call
Date: 2025-02-20
Workbook tab: 51 2024Q4 Earnings
Digest label: “SG&amp;A”</t>
      </text>
    </comment>
    <comment ref="AY136" authorId="0" shapeId="0">
      <text>
        <t>Source: Q1 2025 Earnings Call
Date: 2025-05-06
Workbook tab: 55 2025Q1 Earnings
Digest label: “SG&amp;A Expense”</t>
      </text>
    </comment>
    <comment ref="AO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D139" authorId="0" shapeId="0">
      <text>
        <t>Source: UBS Global Consumer and Retail Conference
Date: 2025-03-12
Workbook tab: 53 UBS Conf 2025-03-12
Digest label: “Subway Distribution Opportunity”</t>
      </text>
    </comment>
    <comment ref="BD140" authorId="0" shapeId="0">
      <text>
        <t>Source: Full-Year 2025 and Fourth Quarter Financial Results Press Release
Date: 2026-02-26
Workbook tab: 66 2025Q4 Earnings PR
Digest label: “Total assets”</t>
      </text>
    </comment>
    <comment ref="AF141" authorId="0" shapeId="0">
      <text>
        <t>Prior-year comparative — no transcript reported this period directly.
Figure as stated in Q2 2023 Earnings Call (2023-08-08),
STEP-5 KPI “Total Inventory” (PriorYearValue field).</t>
      </text>
    </comment>
    <comment ref="AH141" authorId="0" shapeId="0">
      <text>
        <t>Prior-year comparative — no transcript reported this period directly.
Figure as stated in Q3 2023 Earnings Call (2023-11-07),
STEP-5 KPI “Total Inventory” (PriorYearValue field).</t>
      </text>
    </comment>
    <comment ref="AL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D146" authorId="0" shapeId="0">
      <text>
        <t>Source: William Blair 45th Annual Growth Stock Conference
Date: 2025-06-04
Workbook tab: 59 William Blair Conf
Digest label: “US energy category growth”</t>
      </text>
    </comment>
    <comment ref="AM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D148" authorId="0" shapeId="0">
      <text>
        <t>Source: Q4 2021 Earnings Call
Date: 2022-03-01
Workbook tab: 19 Q4 2021 Earnings
Digest label: “US store count”</t>
      </text>
    </comment>
    <comment ref="AH148" authorId="0" shapeId="0">
      <text>
        <t>Source: Q3 2022 Earnings Call
Date: 2022-11-09
Workbook tab: 27 2022Q3 Earnings
Digest label: “US store count”</t>
      </text>
    </comment>
    <comment ref="AJ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F149" authorId="0" shapeId="0">
      <text>
        <t>Source: Q2 2022 Earnings Call
Date: 2022-08-09
Workbook tab: 26 2022Q2 Earnings
Digest label: “US total door count”</t>
      </text>
    </comment>
    <comment ref="AF150" authorId="0" shapeId="0">
      <text>
        <t>Source: Q2 2022 Earnings Call
Date: 2022-08-09
Workbook tab: 26 2022Q2 Earnings
Digest label: “Vending / foodservice revenue ($M)”</t>
      </text>
    </comment>
    <comment ref="AX151" authorId="0" shapeId="0">
      <text>
        <t>Source: Q4 2024 Earnings Call
Date: 2025-02-20
Workbook tab: 51 2024Q4 Earnings
Digest label: “Volume Growth”</t>
      </text>
    </comment>
    <comment ref="AF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Q2/transcripts/CELH_2025-08-07_2025Q2%20Earnings.md&amp;line=232" TargetMode="External" Id="rId115"/><Relationship Type="http://schemas.openxmlformats.org/officeDocument/2006/relationships/hyperlink" Target="obsidian://adv-uri?vault=Brain&amp;filepath=Sources/CELH/2025-FY/transcripts/CELH_2026-02-26_2025Q4%20Earnings%20Press%20Release.md&amp;line=147" TargetMode="External" Id="rId116"/><Relationship Type="http://schemas.openxmlformats.org/officeDocument/2006/relationships/hyperlink" Target="obsidian://adv-uri?vault=Brain&amp;filepath=Sources/CELH/2025-Q1/transcripts/CELH_2025-05-06_2025Q1%20Earnings.md&amp;line=188" TargetMode="External" Id="rId117"/><Relationship Type="http://schemas.openxmlformats.org/officeDocument/2006/relationships/hyperlink" Target="obsidian://adv-uri?vault=Brain&amp;filepath=Sources/CELH/2025-Q2/transcripts/CELH_2025-08-07_2025Q2%20Earnings.md&amp;line=232" TargetMode="External" Id="rId118"/><Relationship Type="http://schemas.openxmlformats.org/officeDocument/2006/relationships/hyperlink" Target="obsidian://adv-uri?vault=Brain&amp;filepath=Sources/CELH/2025-FY/transcripts/CELH_2026-02-26_2025Q4%20Earnings%20Press%20Release.md&amp;line=134"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18-FY/transcripts/CELH_2019-03-14_2018Q4%20Earnings.md&amp;line=193" TargetMode="External" Id="rId121"/><Relationship Type="http://schemas.openxmlformats.org/officeDocument/2006/relationships/hyperlink" Target="obsidian://adv-uri?vault=Brain&amp;filepath=Sources/CELH/2020-Q1/transcripts/CELH_2020-05-12_2020Q1%20Earnings.md&amp;line=134" TargetMode="External" Id="rId122"/><Relationship Type="http://schemas.openxmlformats.org/officeDocument/2006/relationships/hyperlink" Target="obsidian://adv-uri?vault=Brain&amp;filepath=Sources/CELH/2020-Q2/transcripts/CELH_2020-08-06_2020Q2%20Earnings.md&amp;line=137" TargetMode="External" Id="rId123"/><Relationship Type="http://schemas.openxmlformats.org/officeDocument/2006/relationships/hyperlink" Target="obsidian://adv-uri?vault=Brain&amp;filepath=Sources/CELH/2019-Q3/transcripts/CELH_2019-11-07_2019Q3%20Earnings.md&amp;line=131" TargetMode="External" Id="rId124"/><Relationship Type="http://schemas.openxmlformats.org/officeDocument/2006/relationships/hyperlink" Target="obsidian://adv-uri?vault=Brain&amp;filepath=Sources/CELH/2020-FY/transcripts/CELH_2021-03-11_2020Q4%20Earnings.md&amp;line=137" TargetMode="External" Id="rId125"/><Relationship Type="http://schemas.openxmlformats.org/officeDocument/2006/relationships/hyperlink" Target="obsidian://adv-uri?vault=Brain&amp;filepath=Sources/CELH/2019-FY/transcripts/CELH_2020-03-12_2019Q4%20Earnings.md&amp;line=137" TargetMode="External" Id="rId126"/><Relationship Type="http://schemas.openxmlformats.org/officeDocument/2006/relationships/hyperlink" Target="obsidian://adv-uri?vault=Brain&amp;filepath=Sources/CELH/2021-Q1/transcripts/CELH_2021-05-13_2021Q1%20Earnings.md&amp;line=155" TargetMode="External" Id="rId127"/><Relationship Type="http://schemas.openxmlformats.org/officeDocument/2006/relationships/hyperlink" Target="obsidian://adv-uri?vault=Brain&amp;filepath=Sources/CELH/2021-Q2/transcripts/CELH_2021-08-12_2021Q2%20Earnings.md&amp;line=160" TargetMode="External" Id="rId128"/><Relationship Type="http://schemas.openxmlformats.org/officeDocument/2006/relationships/hyperlink" Target="obsidian://adv-uri?vault=Brain&amp;filepath=Sources/CELH/2020-FY/transcripts/CELH_2021-03-11_2020Q4%20Earnings.md&amp;line=137" TargetMode="External" Id="rId129"/><Relationship Type="http://schemas.openxmlformats.org/officeDocument/2006/relationships/hyperlink" Target="obsidian://adv-uri?vault=Brain&amp;filepath=Sources/CELH/2022-Q1/transcripts/CELH_2022-05-10_2022Q1%20Earnings.md&amp;line=175" TargetMode="External" Id="rId130"/><Relationship Type="http://schemas.openxmlformats.org/officeDocument/2006/relationships/hyperlink" Target="obsidian://adv-uri?vault=Brain&amp;filepath=Sources/CELH/2021-Q2/transcripts/CELH_2021-08-12_2021Q2%20Earnings.md&amp;line=160" TargetMode="External" Id="rId131"/><Relationship Type="http://schemas.openxmlformats.org/officeDocument/2006/relationships/hyperlink" Target="obsidian://adv-uri?vault=Brain&amp;filepath=Sources/CELH/2021-Q3/transcripts/CELH_2021-11-11_2021Q3%20Earnings.md&amp;line=163" TargetMode="External" Id="rId132"/><Relationship Type="http://schemas.openxmlformats.org/officeDocument/2006/relationships/hyperlink" Target="obsidian://adv-uri?vault=Brain&amp;filepath=Sources/CELH/2022-Q1/transcripts/CELH_2022-05-10_2022Q1%20Earnings.md&amp;line=175" TargetMode="External" Id="rId133"/><Relationship Type="http://schemas.openxmlformats.org/officeDocument/2006/relationships/hyperlink" Target="obsidian://adv-uri?vault=Brain&amp;filepath=Sources/CELH/2022-Q2/transcripts/CELH_2022-08-09_2022Q2%20Earnings.md&amp;line=159" TargetMode="External" Id="rId134"/><Relationship Type="http://schemas.openxmlformats.org/officeDocument/2006/relationships/hyperlink" Target="obsidian://adv-uri?vault=Brain&amp;filepath=Sources/CELH/2022-Q3/transcripts/CELH_2022-11-09_2022Q3%20Earnings.md&amp;line=157" TargetMode="External" Id="rId135"/><Relationship Type="http://schemas.openxmlformats.org/officeDocument/2006/relationships/hyperlink" Target="obsidian://adv-uri?vault=Brain&amp;filepath=Sources/CELH/2018-Q3/transcripts/CELH_2018-11-09_2018Q3%20Earnings.md&amp;line=161" TargetMode="External" Id="rId136"/><Relationship Type="http://schemas.openxmlformats.org/officeDocument/2006/relationships/hyperlink" Target="obsidian://adv-uri?vault=Brain&amp;filepath=Sources/CELH/2018-FY/transcripts/CELH_2019-03-14_2018Q4%20Earnings.md&amp;line=189" TargetMode="External" Id="rId137"/><Relationship Type="http://schemas.openxmlformats.org/officeDocument/2006/relationships/hyperlink" Target="obsidian://adv-uri?vault=Brain&amp;filepath=Sources/CELH/2018-FY/transcripts/CELH_2019-03-14_2018Q4%20Earnings.md&amp;line=159" TargetMode="External" Id="rId138"/><Relationship Type="http://schemas.openxmlformats.org/officeDocument/2006/relationships/hyperlink" Target="obsidian://adv-uri?vault=Brain&amp;filepath=Sources/CELH/2018-Q3/transcripts/CELH_2018-11-09_2018Q3%20Earnings.md&amp;line=161" TargetMode="External" Id="rId139"/><Relationship Type="http://schemas.openxmlformats.org/officeDocument/2006/relationships/hyperlink" Target="obsidian://adv-uri?vault=Brain&amp;filepath=Sources/CELH/2018-FY/transcripts/CELH_2019-03-14_2018Q4%20Earnings.md&amp;line=189" TargetMode="External" Id="rId140"/><Relationship Type="http://schemas.openxmlformats.org/officeDocument/2006/relationships/hyperlink" Target="obsidian://adv-uri?vault=Brain&amp;filepath=Sources/CELH/2018-FY/transcripts/CELH_2019-03-14_2018Q4%20Earnings.md&amp;line=159" TargetMode="External" Id="rId141"/><Relationship Type="http://schemas.openxmlformats.org/officeDocument/2006/relationships/hyperlink" Target="obsidian://adv-uri?vault=Brain&amp;filepath=Sources/CELH/2020-Q1/transcripts/CELH_2020-05-12_2020Q1%20Earnings.md&amp;line=138" TargetMode="External" Id="rId142"/><Relationship Type="http://schemas.openxmlformats.org/officeDocument/2006/relationships/hyperlink" Target="obsidian://adv-uri?vault=Brain&amp;filepath=Sources/CELH/2020-Q2/transcripts/CELH_2020-08-06_2020Q2%20Earnings.md&amp;line=141" TargetMode="External" Id="rId143"/><Relationship Type="http://schemas.openxmlformats.org/officeDocument/2006/relationships/hyperlink" Target="obsidian://adv-uri?vault=Brain&amp;filepath=Sources/CELH/2020-Q3/transcripts/CELH_2020-11-12_2020Q3%20Earnings.md&amp;line=140" TargetMode="External" Id="rId144"/><Relationship Type="http://schemas.openxmlformats.org/officeDocument/2006/relationships/hyperlink" Target="obsidian://adv-uri?vault=Brain&amp;filepath=Sources/CELH/2020-FY/transcripts/CELH_2021-03-11_2020Q4%20Earnings.md&amp;line=141"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21-Q1/transcripts/CELH_2021-05-13_2021Q1%20Earnings.md&amp;line=160" TargetMode="External" Id="rId147"/><Relationship Type="http://schemas.openxmlformats.org/officeDocument/2006/relationships/hyperlink" Target="obsidian://adv-uri?vault=Brain&amp;filepath=Sources/CELH/2021-Q2/transcripts/CELH_2021-08-12_2021Q2%20Earnings.md&amp;line=164" TargetMode="External" Id="rId148"/><Relationship Type="http://schemas.openxmlformats.org/officeDocument/2006/relationships/hyperlink" Target="obsidian://adv-uri?vault=Brain&amp;filepath=Sources/CELH/2021-Q3/transcripts/CELH_2021-11-11_2021Q3%20Earnings.md&amp;line=167" TargetMode="External" Id="rId149"/><Relationship Type="http://schemas.openxmlformats.org/officeDocument/2006/relationships/hyperlink" Target="obsidian://adv-uri?vault=Brain&amp;filepath=Sources/CELH/2020-FY/transcripts/CELH_2021-03-11_2020Q4%20Earnings.md&amp;line=141" TargetMode="External" Id="rId150"/><Relationship Type="http://schemas.openxmlformats.org/officeDocument/2006/relationships/hyperlink" Target="obsidian://adv-uri?vault=Brain&amp;filepath=Sources/CELH/2021-Q2/transcripts/CELH_2021-08-12_2021Q2%20Earnings.md&amp;line=164" TargetMode="External" Id="rId151"/><Relationship Type="http://schemas.openxmlformats.org/officeDocument/2006/relationships/hyperlink" Target="obsidian://adv-uri?vault=Brain&amp;filepath=Sources/CELH/2021-Q3/transcripts/CELH_2021-11-11_2021Q3%20Earnings.md&amp;line=167" TargetMode="External" Id="rId152"/><Relationship Type="http://schemas.openxmlformats.org/officeDocument/2006/relationships/hyperlink" Target="obsidian://adv-uri?vault=Brain&amp;filepath=Sources/CELH/2022-Q1/transcripts/CELH_2022-05-10_2022Q1%20Earnings.md&amp;line=180" TargetMode="External" Id="rId153"/><Relationship Type="http://schemas.openxmlformats.org/officeDocument/2006/relationships/hyperlink" Target="obsidian://adv-uri?vault=Brain&amp;filepath=Sources/CELH/2022-Q1/transcripts/CELH_2022-05-10_2022Q1%20Earnings.md&amp;line=234" TargetMode="External" Id="rId154"/><Relationship Type="http://schemas.openxmlformats.org/officeDocument/2006/relationships/hyperlink" Target="obsidian://adv-uri?vault=Brain&amp;filepath=Sources/CELH/2022-FY/transcripts/CELH_2023-03-01_2022Q4%20Earnings.md&amp;line=223" TargetMode="External" Id="rId155"/><Relationship Type="http://schemas.openxmlformats.org/officeDocument/2006/relationships/hyperlink" Target="obsidian://adv-uri?vault=Brain&amp;filepath=Sources/CELH/2022-Q1/transcripts/CELH_2022-05-10_2022Q1%20Earnings.md&amp;line=234" TargetMode="External" Id="rId156"/><Relationship Type="http://schemas.openxmlformats.org/officeDocument/2006/relationships/hyperlink" Target="obsidian://adv-uri?vault=Brain&amp;filepath=Sources/CELH/2023-Q2/transcripts/CELH_2023-08-08_2023Q2%20Earnings.md&amp;line=182" TargetMode="External" Id="rId157"/><Relationship Type="http://schemas.openxmlformats.org/officeDocument/2006/relationships/hyperlink" Target="obsidian://adv-uri?vault=Brain&amp;filepath=Sources/CELH/2022-Q3/transcripts/CELH_2022-11-09_2022Q3%20Earnings.md&amp;line=214" TargetMode="External" Id="rId158"/><Relationship Type="http://schemas.openxmlformats.org/officeDocument/2006/relationships/hyperlink" Target="obsidian://adv-uri?vault=Brain&amp;filepath=Sources/CELH/2022-FY/transcripts/CELH_2023-03-01_2022Q4%20Earnings.md&amp;line=223" TargetMode="External" Id="rId159"/><Relationship Type="http://schemas.openxmlformats.org/officeDocument/2006/relationships/hyperlink" Target="obsidian://adv-uri?vault=Brain&amp;filepath=Sources/CELH/2024-Q1/transcripts/CELH_2024-05-07_2024Q1%20Earnings.md&amp;line=228" TargetMode="External" Id="rId160"/><Relationship Type="http://schemas.openxmlformats.org/officeDocument/2006/relationships/hyperlink" Target="obsidian://adv-uri?vault=Brain&amp;filepath=Sources/CELH/2023-Q3/transcripts/CELH_2023-11-07_2023Q3%20Earnings.md&amp;line=201" TargetMode="External" Id="rId161"/><Relationship Type="http://schemas.openxmlformats.org/officeDocument/2006/relationships/hyperlink" Target="obsidian://adv-uri?vault=Brain&amp;filepath=Sources/CELH/2024-Q1/transcripts/CELH_2024-05-07_2024Q1%20Earnings.md&amp;line=228" TargetMode="External" Id="rId162"/><Relationship Type="http://schemas.openxmlformats.org/officeDocument/2006/relationships/hyperlink" Target="obsidian://adv-uri?vault=Brain&amp;filepath=Sources/CELH/2018-FY/transcripts/CELH_2019-03-14_2018Q4%20Earnings.md&amp;line=197" TargetMode="External" Id="rId163"/><Relationship Type="http://schemas.openxmlformats.org/officeDocument/2006/relationships/hyperlink" Target="obsidian://adv-uri?vault=Brain&amp;filepath=Sources/CELH/2018-FY/transcripts/CELH_2019-03-14_2018Q4%20Earnings.md&amp;line=205" TargetMode="External" Id="rId164"/><Relationship Type="http://schemas.openxmlformats.org/officeDocument/2006/relationships/hyperlink" Target="obsidian://adv-uri?vault=Brain&amp;filepath=Sources/CELH/2019-Q1/transcripts/CELH_2019-05-09_2019Q1%20Earnings.md&amp;line=181"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84" TargetMode="External" Id="rId167"/><Relationship Type="http://schemas.openxmlformats.org/officeDocument/2006/relationships/hyperlink" Target="obsidian://adv-uri?vault=Brain&amp;filepath=Sources/CELH/2018-Q3/transcripts/CELH_2018-11-09_2018Q3%20Earnings.md&amp;line=174" TargetMode="External" Id="rId168"/><Relationship Type="http://schemas.openxmlformats.org/officeDocument/2006/relationships/hyperlink" Target="obsidian://adv-uri?vault=Brain&amp;filepath=Sources/CELH/2018-Q3/transcripts/CELH_2018-11-09_2018Q3%20Earnings.md&amp;line=214" TargetMode="External" Id="rId169"/><Relationship Type="http://schemas.openxmlformats.org/officeDocument/2006/relationships/hyperlink" Target="obsidian://adv-uri?vault=Brain&amp;filepath=Sources/CELH/2018-FY/transcripts/CELH_2019-03-14_2018Q4%20Earnings.md&amp;line=197" TargetMode="External" Id="rId170"/><Relationship Type="http://schemas.openxmlformats.org/officeDocument/2006/relationships/hyperlink" Target="obsidian://adv-uri?vault=Brain&amp;filepath=Sources/CELH/2018-FY/transcripts/CELH_2019-03-14_2018Q4%20Earnings.md&amp;line=205" TargetMode="External" Id="rId171"/><Relationship Type="http://schemas.openxmlformats.org/officeDocument/2006/relationships/hyperlink" Target="obsidian://adv-uri?vault=Brain&amp;filepath=Sources/CELH/2019-Q1/transcripts/CELH_2019-05-09_2019Q1%20Earnings.md&amp;line=181" TargetMode="External" Id="rId172"/><Relationship Type="http://schemas.openxmlformats.org/officeDocument/2006/relationships/hyperlink" Target="obsidian://adv-uri?vault=Brain&amp;filepath=Sources/CELH/2019-Q2/transcripts/CELH_2019-08-08_2019Q2%20Earnings.md&amp;line=176" TargetMode="External" Id="rId173"/><Relationship Type="http://schemas.openxmlformats.org/officeDocument/2006/relationships/hyperlink" Target="obsidian://adv-uri?vault=Brain&amp;filepath=Sources/CELH/2019-Q2/transcripts/CELH_2019-08-08_2019Q2%20Earnings.md&amp;line=184" TargetMode="External" Id="rId174"/><Relationship Type="http://schemas.openxmlformats.org/officeDocument/2006/relationships/hyperlink" Target="obsidian://adv-uri?vault=Brain&amp;filepath=Sources/CELH/2019-Q3/transcripts/CELH_2019-11-07_2019Q3%20Earnings.md&amp;line=140" TargetMode="External" Id="rId175"/><Relationship Type="http://schemas.openxmlformats.org/officeDocument/2006/relationships/hyperlink" Target="obsidian://adv-uri?vault=Brain&amp;filepath=Sources/CELH/2019-FY/transcripts/CELH_2020-03-12_2019Q4%20Earnings.md&amp;line=145" TargetMode="External" Id="rId176"/><Relationship Type="http://schemas.openxmlformats.org/officeDocument/2006/relationships/hyperlink" Target="obsidian://adv-uri?vault=Brain&amp;filepath=Sources/CELH/2019-FY/transcripts/CELH_2020-03-12_2019Q4%20Earnings.md&amp;line=153" TargetMode="External" Id="rId177"/><Relationship Type="http://schemas.openxmlformats.org/officeDocument/2006/relationships/hyperlink" Target="obsidian://adv-uri?vault=Brain&amp;filepath=Sources/CELH/2021-Q1/transcripts/CELH_2021-05-13_2021Q1%20Earnings.md&amp;line=172" TargetMode="External" Id="rId178"/><Relationship Type="http://schemas.openxmlformats.org/officeDocument/2006/relationships/hyperlink" Target="obsidian://adv-uri?vault=Brain&amp;filepath=Sources/CELH/2021-Q2/transcripts/CELH_2021-08-12_2021Q2%20Earnings.md&amp;line=172" TargetMode="External" Id="rId179"/><Relationship Type="http://schemas.openxmlformats.org/officeDocument/2006/relationships/hyperlink" Target="obsidian://adv-uri?vault=Brain&amp;filepath=Sources/CELH/2021-Q3/transcripts/CELH_2021-11-11_2021Q3%20Earnings.md&amp;line=175" TargetMode="External" Id="rId180"/><Relationship Type="http://schemas.openxmlformats.org/officeDocument/2006/relationships/hyperlink" Target="obsidian://adv-uri?vault=Brain&amp;filepath=Sources/CELH/2020-FY/transcripts/CELH_2021-03-11_2020Q4%20Earnings.md&amp;line=145" TargetMode="External" Id="rId181"/><Relationship Type="http://schemas.openxmlformats.org/officeDocument/2006/relationships/hyperlink" Target="obsidian://adv-uri?vault=Brain&amp;filepath=Sources/CELH/2022-Q1/transcripts/CELH_2022-06-02_Annual%20Shareholder%20Meeting.md&amp;line=141" TargetMode="External" Id="rId182"/><Relationship Type="http://schemas.openxmlformats.org/officeDocument/2006/relationships/hyperlink" Target="obsidian://adv-uri?vault=Brain&amp;filepath=Sources/CELH/2022-Q1/transcripts/CELH_2022-05-10_2022Q1%20Earnings.md&amp;line=188" TargetMode="External" Id="rId183"/><Relationship Type="http://schemas.openxmlformats.org/officeDocument/2006/relationships/hyperlink" Target="obsidian://adv-uri?vault=Brain&amp;filepath=Sources/CELH/2021-Q2/transcripts/CELH_2021-08-12_2021Q2%20Earnings.md&amp;line=172" TargetMode="External" Id="rId184"/><Relationship Type="http://schemas.openxmlformats.org/officeDocument/2006/relationships/hyperlink" Target="obsidian://adv-uri?vault=Brain&amp;filepath=Sources/CELH/2021-Q2/transcripts/CELH_2021-08-19_Annual%20Shareholder%20Meeting.md&amp;line=135" TargetMode="External" Id="rId185"/><Relationship Type="http://schemas.openxmlformats.org/officeDocument/2006/relationships/hyperlink" Target="obsidian://adv-uri?vault=Brain&amp;filepath=Sources/CELH/2021-Q3/transcripts/CELH_2021-11-11_2021Q3%20Earnings.md&amp;line=175" TargetMode="External" Id="rId186"/><Relationship Type="http://schemas.openxmlformats.org/officeDocument/2006/relationships/hyperlink" Target="obsidian://adv-uri?vault=Brain&amp;filepath=Sources/CELH/2022-FY/transcripts/CELH_2023-03-01_2022Q4%20Earnings.md&amp;line=170" TargetMode="External" Id="rId187"/><Relationship Type="http://schemas.openxmlformats.org/officeDocument/2006/relationships/hyperlink" Target="obsidian://adv-uri?vault=Brain&amp;filepath=Sources/CELH/2022-Q1/transcripts/CELH_2022-06-02_Annual%20Shareholder%20Meeting.md&amp;line=141" TargetMode="External" Id="rId188"/><Relationship Type="http://schemas.openxmlformats.org/officeDocument/2006/relationships/hyperlink" Target="obsidian://adv-uri?vault=Brain&amp;filepath=Sources/CELH/2022-Q1/transcripts/CELH_2022-05-10_2022Q1%20Earnings.md&amp;line=188" TargetMode="External" Id="rId189"/><Relationship Type="http://schemas.openxmlformats.org/officeDocument/2006/relationships/hyperlink" Target="obsidian://adv-uri?vault=Brain&amp;filepath=Sources/CELH/2022-Q2/transcripts/CELH_2022-08-09_2022Q2%20Earnings.md&amp;line=163" TargetMode="External" Id="rId190"/><Relationship Type="http://schemas.openxmlformats.org/officeDocument/2006/relationships/hyperlink" Target="obsidian://adv-uri?vault=Brain&amp;filepath=Sources/CELH/2022-Q3/transcripts/CELH_2022-11-09_2022Q3%20Earnings.md&amp;line=161" TargetMode="External" Id="rId191"/><Relationship Type="http://schemas.openxmlformats.org/officeDocument/2006/relationships/hyperlink" Target="obsidian://adv-uri?vault=Brain&amp;filepath=Sources/CELH/2022-FY/transcripts/CELH_2023-03-01_2022Q4%20Earnings.md&amp;line=170" TargetMode="External" Id="rId192"/><Relationship Type="http://schemas.openxmlformats.org/officeDocument/2006/relationships/hyperlink" Target="obsidian://adv-uri?vault=Brain&amp;filepath=Sources/CELH/2022-FY/transcripts/CELH_2023-03-01_2022Q4%20Earnings.md&amp;line=179" TargetMode="External" Id="rId193"/><Relationship Type="http://schemas.openxmlformats.org/officeDocument/2006/relationships/hyperlink" Target="obsidian://adv-uri?vault=Brain&amp;filepath=Sources/CELH/2023-Q1/transcripts/CELH_2023-05-09_2023Q1%20Earnings.md&amp;line=161" TargetMode="External" Id="rId194"/><Relationship Type="http://schemas.openxmlformats.org/officeDocument/2006/relationships/hyperlink" Target="obsidian://adv-uri?vault=Brain&amp;filepath=Sources/CELH/2023-Q2/transcripts/CELH_2023-08-08_2023Q2%20Earnings.md&amp;line=211" TargetMode="External" Id="rId195"/><Relationship Type="http://schemas.openxmlformats.org/officeDocument/2006/relationships/hyperlink" Target="obsidian://adv-uri?vault=Brain&amp;filepath=Sources/CELH/2023-Q2/transcripts/CELH_2023-08-08_2023Q2%20Earnings.md&amp;line=248" TargetMode="External" Id="rId196"/><Relationship Type="http://schemas.openxmlformats.org/officeDocument/2006/relationships/hyperlink" Target="obsidian://adv-uri?vault=Brain&amp;filepath=Sources/CELH/2023-Q3/transcripts/CELH_2023-11-07_2023Q3%20Earnings.md&amp;line=222" TargetMode="External" Id="rId197"/><Relationship Type="http://schemas.openxmlformats.org/officeDocument/2006/relationships/hyperlink" Target="obsidian://adv-uri?vault=Brain&amp;filepath=Sources/CELH/2023-Q3/transcripts/CELH_2023-11-07_2023Q3%20Earnings.md&amp;line=258" TargetMode="External" Id="rId198"/><Relationship Type="http://schemas.openxmlformats.org/officeDocument/2006/relationships/hyperlink" Target="obsidian://adv-uri?vault=Brain&amp;filepath=Sources/CELH/2023-FY/transcripts/CELH_2024-02-29_2023Q4%20Earnings.md&amp;line=190" TargetMode="External" Id="rId199"/><Relationship Type="http://schemas.openxmlformats.org/officeDocument/2006/relationships/hyperlink" Target="obsidian://adv-uri?vault=Brain&amp;filepath=Sources/CELH/2023-FY/transcripts/CELH_2024-02-29_2023Q4%20Earnings.md&amp;line=198" TargetMode="External" Id="rId200"/><Relationship Type="http://schemas.openxmlformats.org/officeDocument/2006/relationships/hyperlink" Target="obsidian://adv-uri?vault=Brain&amp;filepath=Sources/CELH/2024-Q1/transcripts/CELH_2024-05-07_2024Q1%20Earnings.md&amp;line=171" TargetMode="External" Id="rId201"/><Relationship Type="http://schemas.openxmlformats.org/officeDocument/2006/relationships/hyperlink" Target="obsidian://adv-uri?vault=Brain&amp;filepath=Sources/CELH/2025-Q2/transcripts/CELH_2025-08-07_2025Q2%20Earnings.md&amp;line=170" TargetMode="External" Id="rId202"/><Relationship Type="http://schemas.openxmlformats.org/officeDocument/2006/relationships/hyperlink" Target="obsidian://adv-uri?vault=Brain&amp;filepath=Sources/CELH/2025-FY/transcripts/CELH_2026-02-26_2025Q4%20Earnings%20Press%20Release.md&amp;line=166" TargetMode="External" Id="rId203"/><Relationship Type="http://schemas.openxmlformats.org/officeDocument/2006/relationships/hyperlink" Target="obsidian://adv-uri?vault=Brain&amp;filepath=Sources/CELH/2024-FY/transcripts/CELH_2025-02-20_2024Q4%20Earnings.md&amp;line=224" TargetMode="External" Id="rId204"/><Relationship Type="http://schemas.openxmlformats.org/officeDocument/2006/relationships/hyperlink" Target="obsidian://adv-uri?vault=Brain&amp;filepath=Sources/CELH/2025-Q1/transcripts/CELH_2025-05-06_2025Q1%20Earnings.md&amp;line=184" TargetMode="External" Id="rId205"/><Relationship Type="http://schemas.openxmlformats.org/officeDocument/2006/relationships/hyperlink" Target="obsidian://adv-uri?vault=Brain&amp;filepath=Sources/CELH/2025-Q2/transcripts/CELH_2025-08-07_2025Q2%20Earnings.md&amp;line=170" TargetMode="External" Id="rId206"/><Relationship Type="http://schemas.openxmlformats.org/officeDocument/2006/relationships/hyperlink" Target="obsidian://adv-uri?vault=Brain&amp;filepath=Sources/CELH/2025-FY/transcripts/CELH_2026-02-26_2025Q4%20Earnings%20Press%20Release.md&amp;line=166"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18-Q3/transcripts/CELH_2018-11-09_2018Q3%20Earnings.md&amp;line=178" TargetMode="External" Id="rId209"/><Relationship Type="http://schemas.openxmlformats.org/officeDocument/2006/relationships/hyperlink" Target="obsidian://adv-uri?vault=Brain&amp;filepath=Sources/CELH/2018-Q3/transcripts/CELH_2018-11-09_2018Q3%20Earnings.md&amp;line=218" TargetMode="External" Id="rId210"/><Relationship Type="http://schemas.openxmlformats.org/officeDocument/2006/relationships/hyperlink" Target="obsidian://adv-uri?vault=Brain&amp;filepath=Sources/CELH/2018-FY/transcripts/CELH_2019-03-14_2018Q4%20Earnings.md&amp;line=201" TargetMode="External" Id="rId211"/><Relationship Type="http://schemas.openxmlformats.org/officeDocument/2006/relationships/hyperlink" Target="obsidian://adv-uri?vault=Brain&amp;filepath=Sources/CELH/2018-FY/transcripts/CELH_2019-03-14_2018Q4%20Earnings.md&amp;line=209" TargetMode="External" Id="rId212"/><Relationship Type="http://schemas.openxmlformats.org/officeDocument/2006/relationships/hyperlink" Target="obsidian://adv-uri?vault=Brain&amp;filepath=Sources/CELH/2019-Q1/transcripts/CELH_2019-05-09_2019Q1%20Earnings.md&amp;line=185" TargetMode="External" Id="rId213"/><Relationship Type="http://schemas.openxmlformats.org/officeDocument/2006/relationships/hyperlink" Target="obsidian://adv-uri?vault=Brain&amp;filepath=Sources/CELH/2019-Q2/transcripts/CELH_2019-08-08_2019Q2%20Earnings.md&amp;line=180" TargetMode="External" Id="rId214"/><Relationship Type="http://schemas.openxmlformats.org/officeDocument/2006/relationships/hyperlink" Target="obsidian://adv-uri?vault=Brain&amp;filepath=Sources/CELH/2019-Q2/transcripts/CELH_2019-08-08_2019Q2%20Earnings.md&amp;line=188" TargetMode="External" Id="rId215"/><Relationship Type="http://schemas.openxmlformats.org/officeDocument/2006/relationships/hyperlink" Target="obsidian://adv-uri?vault=Brain&amp;filepath=Sources/CELH/2018-Q3/transcripts/CELH_2018-11-09_2018Q3%20Earnings.md&amp;line=178" TargetMode="External" Id="rId216"/><Relationship Type="http://schemas.openxmlformats.org/officeDocument/2006/relationships/hyperlink" Target="obsidian://adv-uri?vault=Brain&amp;filepath=Sources/CELH/2018-Q3/transcripts/CELH_2018-11-09_2018Q3%20Earnings.md&amp;line=218" TargetMode="External" Id="rId217"/><Relationship Type="http://schemas.openxmlformats.org/officeDocument/2006/relationships/hyperlink" Target="obsidian://adv-uri?vault=Brain&amp;filepath=Sources/CELH/2018-FY/transcripts/CELH_2019-03-14_2018Q4%20Earnings.md&amp;line=201" TargetMode="External" Id="rId218"/><Relationship Type="http://schemas.openxmlformats.org/officeDocument/2006/relationships/hyperlink" Target="obsidian://adv-uri?vault=Brain&amp;filepath=Sources/CELH/2018-FY/transcripts/CELH_2019-03-14_2018Q4%20Earnings.md&amp;line=209" TargetMode="External" Id="rId219"/><Relationship Type="http://schemas.openxmlformats.org/officeDocument/2006/relationships/hyperlink" Target="obsidian://adv-uri?vault=Brain&amp;filepath=Sources/CELH/2019-Q1/transcripts/CELH_2019-05-09_2019Q1%20Earnings.md&amp;line=185" TargetMode="External" Id="rId220"/><Relationship Type="http://schemas.openxmlformats.org/officeDocument/2006/relationships/hyperlink" Target="obsidian://adv-uri?vault=Brain&amp;filepath=Sources/CELH/2019-Q2/transcripts/CELH_2019-08-08_2019Q2%20Earnings.md&amp;line=180" TargetMode="External" Id="rId221"/><Relationship Type="http://schemas.openxmlformats.org/officeDocument/2006/relationships/hyperlink" Target="obsidian://adv-uri?vault=Brain&amp;filepath=Sources/CELH/2019-Q2/transcripts/CELH_2019-08-08_2019Q2%20Earnings.md&amp;line=188" TargetMode="External" Id="rId222"/><Relationship Type="http://schemas.openxmlformats.org/officeDocument/2006/relationships/hyperlink" Target="obsidian://adv-uri?vault=Brain&amp;filepath=Sources/CELH/2019-Q3/transcripts/CELH_2019-11-07_2019Q3%20Earnings.md&amp;line=144" TargetMode="External" Id="rId223"/><Relationship Type="http://schemas.openxmlformats.org/officeDocument/2006/relationships/hyperlink" Target="obsidian://adv-uri?vault=Brain&amp;filepath=Sources/CELH/2019-FY/transcripts/CELH_2020-03-12_2019Q4%20Earnings.md&amp;line=149" TargetMode="External" Id="rId224"/><Relationship Type="http://schemas.openxmlformats.org/officeDocument/2006/relationships/hyperlink" Target="obsidian://adv-uri?vault=Brain&amp;filepath=Sources/CELH/2019-FY/transcripts/CELH_2020-03-12_2019Q4%20Earnings.md&amp;line=157" TargetMode="External" Id="rId225"/><Relationship Type="http://schemas.openxmlformats.org/officeDocument/2006/relationships/hyperlink" Target="obsidian://adv-uri?vault=Brain&amp;filepath=Sources/CELH/2021-Q1/transcripts/CELH_2021-05-13_2021Q1%20Earnings.md&amp;line=176" TargetMode="External" Id="rId226"/><Relationship Type="http://schemas.openxmlformats.org/officeDocument/2006/relationships/hyperlink" Target="obsidian://adv-uri?vault=Brain&amp;filepath=Sources/CELH/2021-Q2/transcripts/CELH_2021-08-12_2021Q2%20Earnings.md&amp;line=176" TargetMode="External" Id="rId227"/><Relationship Type="http://schemas.openxmlformats.org/officeDocument/2006/relationships/hyperlink" Target="obsidian://adv-uri?vault=Brain&amp;filepath=Sources/CELH/2021-Q3/transcripts/CELH_2021-11-11_2021Q3%20Earnings.md&amp;line=181" TargetMode="External" Id="rId228"/><Relationship Type="http://schemas.openxmlformats.org/officeDocument/2006/relationships/hyperlink" Target="obsidian://adv-uri?vault=Brain&amp;filepath=Sources/CELH/2020-FY/transcripts/CELH_2021-03-11_2020Q4%20Earnings.md&amp;line=149" TargetMode="External" Id="rId229"/><Relationship Type="http://schemas.openxmlformats.org/officeDocument/2006/relationships/hyperlink" Target="obsidian://adv-uri?vault=Brain&amp;filepath=Sources/CELH/2022-Q1/transcripts/CELH_2022-05-10_2022Q1%20Earnings.md&amp;line=193" TargetMode="External" Id="rId230"/><Relationship Type="http://schemas.openxmlformats.org/officeDocument/2006/relationships/hyperlink" Target="obsidian://adv-uri?vault=Brain&amp;filepath=Sources/CELH/2021-Q2/transcripts/CELH_2021-08-12_2021Q2%20Earnings.md&amp;line=176" TargetMode="External" Id="rId231"/><Relationship Type="http://schemas.openxmlformats.org/officeDocument/2006/relationships/hyperlink" Target="obsidian://adv-uri?vault=Brain&amp;filepath=Sources/CELH/2021-Q3/transcripts/CELH_2021-11-11_2021Q3%20Earnings.md&amp;line=181" TargetMode="External" Id="rId232"/><Relationship Type="http://schemas.openxmlformats.org/officeDocument/2006/relationships/hyperlink" Target="obsidian://adv-uri?vault=Brain&amp;filepath=Sources/CELH/2022-Q1/transcripts/CELH_2022-05-10_2022Q1%20Earnings.md&amp;line=193" TargetMode="External" Id="rId233"/><Relationship Type="http://schemas.openxmlformats.org/officeDocument/2006/relationships/hyperlink" Target="obsidian://adv-uri?vault=Brain&amp;filepath=Sources/CELH/2022-Q2/transcripts/CELH_2022-08-09_2022Q2%20Earnings.md&amp;line=168" TargetMode="External" Id="rId234"/><Relationship Type="http://schemas.openxmlformats.org/officeDocument/2006/relationships/hyperlink" Target="obsidian://adv-uri?vault=Brain&amp;filepath=Sources/CELH/2022-Q3/transcripts/CELH_2022-11-09_2022Q3%20Earnings.md&amp;line=166" TargetMode="External" Id="rId235"/><Relationship Type="http://schemas.openxmlformats.org/officeDocument/2006/relationships/hyperlink" Target="obsidian://adv-uri?vault=Brain&amp;filepath=Sources/CELH/2022-FY/transcripts/CELH_2023-03-01_2022Q4%20Earnings.md&amp;line=174" TargetMode="External" Id="rId236"/><Relationship Type="http://schemas.openxmlformats.org/officeDocument/2006/relationships/hyperlink" Target="obsidian://adv-uri?vault=Brain&amp;filepath=Sources/CELH/2023-Q1/transcripts/CELH_2023-05-09_2023Q1%20Earnings.md&amp;line=165" TargetMode="External" Id="rId237"/><Relationship Type="http://schemas.openxmlformats.org/officeDocument/2006/relationships/hyperlink" Target="obsidian://adv-uri?vault=Brain&amp;filepath=Sources/CELH/2023-Q2/transcripts/CELH_2023-08-08_2023Q2%20Earnings.md&amp;line=206" TargetMode="External" Id="rId238"/><Relationship Type="http://schemas.openxmlformats.org/officeDocument/2006/relationships/hyperlink" Target="obsidian://adv-uri?vault=Brain&amp;filepath=Sources/CELH/2023-Q2/transcripts/CELH_2023-08-08_2023Q2%20Earnings.md&amp;line=252" TargetMode="External" Id="rId239"/><Relationship Type="http://schemas.openxmlformats.org/officeDocument/2006/relationships/hyperlink" Target="obsidian://adv-uri?vault=Brain&amp;filepath=Sources/CELH/2023-Q3/transcripts/CELH_2023-11-07_2023Q3%20Earnings.md&amp;line=217" TargetMode="External" Id="rId240"/><Relationship Type="http://schemas.openxmlformats.org/officeDocument/2006/relationships/hyperlink" Target="obsidian://adv-uri?vault=Brain&amp;filepath=Sources/CELH/2023-FY/transcripts/CELH_2024-02-29_2023Q4%20Earnings.md&amp;line=194" TargetMode="External" Id="rId241"/><Relationship Type="http://schemas.openxmlformats.org/officeDocument/2006/relationships/hyperlink" Target="obsidian://adv-uri?vault=Brain&amp;filepath=Sources/CELH/2023-FY/transcripts/CELH_2024-02-29_2023Q4%20Earnings.md&amp;line=202" TargetMode="External" Id="rId242"/><Relationship Type="http://schemas.openxmlformats.org/officeDocument/2006/relationships/hyperlink" Target="obsidian://adv-uri?vault=Brain&amp;filepath=Sources/CELH/2024-Q1/transcripts/CELH_2024-05-07_2024Q1%20Earnings.md&amp;line=175" TargetMode="External" Id="rId243"/><Relationship Type="http://schemas.openxmlformats.org/officeDocument/2006/relationships/hyperlink" Target="obsidian://adv-uri?vault=Brain&amp;filepath=Sources/CELH/2025-Q2/transcripts/CELH_2025-08-07_2025Q2%20Earnings.md&amp;line=165" TargetMode="External" Id="rId244"/><Relationship Type="http://schemas.openxmlformats.org/officeDocument/2006/relationships/hyperlink" Target="obsidian://adv-uri?vault=Brain&amp;filepath=Sources/CELH/2025-Q2/transcripts/CELH_2025-08-07_2025Q2%20Earnings.md&amp;line=246" TargetMode="External" Id="rId245"/><Relationship Type="http://schemas.openxmlformats.org/officeDocument/2006/relationships/hyperlink" Target="obsidian://adv-uri?vault=Brain&amp;filepath=Sources/CELH/2025-Q3/transcripts/CELH_2025-11-06_2025Q3%20Earnings.md&amp;line=177" TargetMode="External" Id="rId246"/><Relationship Type="http://schemas.openxmlformats.org/officeDocument/2006/relationships/hyperlink" Target="obsidian://adv-uri?vault=Brain&amp;filepath=Sources/CELH/2024-FY/transcripts/CELH_2025-02-20_2024Q4%20Earnings.md&amp;line=204" TargetMode="External" Id="rId247"/><Relationship Type="http://schemas.openxmlformats.org/officeDocument/2006/relationships/hyperlink" Target="obsidian://adv-uri?vault=Brain&amp;filepath=Sources/CELH/2024-FY/transcripts/CELH_2025-02-20_2024Q4%20Earnings.md&amp;line=228" TargetMode="External" Id="rId248"/><Relationship Type="http://schemas.openxmlformats.org/officeDocument/2006/relationships/hyperlink" Target="obsidian://adv-uri?vault=Brain&amp;filepath=Sources/CELH/2025-Q1/transcripts/CELH_2025-05-06_2025Q1%20Earnings.md&amp;line=179" TargetMode="External" Id="rId249"/><Relationship Type="http://schemas.openxmlformats.org/officeDocument/2006/relationships/hyperlink" Target="obsidian://adv-uri?vault=Brain&amp;filepath=Sources/CELH/2025-Q2/transcripts/CELH_2025-08-07_2025Q2%20Earnings.md&amp;line=165" TargetMode="External" Id="rId250"/><Relationship Type="http://schemas.openxmlformats.org/officeDocument/2006/relationships/hyperlink" Target="obsidian://adv-uri?vault=Brain&amp;filepath=Sources/CELH/2025-Q2/transcripts/CELH_2025-08-07_2025Q2%20Earnings.md&amp;line=246" TargetMode="External" Id="rId251"/><Relationship Type="http://schemas.openxmlformats.org/officeDocument/2006/relationships/hyperlink" Target="obsidian://adv-uri?vault=Brain&amp;filepath=Sources/CELH/2025-Q3/transcripts/CELH_2025-11-06_2025Q3%20Earnings.md&amp;line=177" TargetMode="External" Id="rId252"/><Relationship Type="http://schemas.openxmlformats.org/officeDocument/2006/relationships/hyperlink" Target="obsidian://adv-uri?vault=Brain&amp;filepath=Sources/CELH/2025-FY/transcripts/CELH_2026-02-26_2025Q4%20Earnings%20Press%20Release.md&amp;line=171"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6-Q1/transcripts/CELH_2026-05-07_2026Q1%20Earnings.md&amp;line=205" TargetMode="External" Id="rId255"/><Relationship Type="http://schemas.openxmlformats.org/officeDocument/2006/relationships/hyperlink" Target="obsidian://adv-uri?vault=Brain&amp;filepath=Sources/CELH/2018-Q3/transcripts/CELH_2018-11-09_2018Q3%20Earnings.md&amp;line=182" TargetMode="External" Id="rId256"/><Relationship Type="http://schemas.openxmlformats.org/officeDocument/2006/relationships/hyperlink" Target="obsidian://adv-uri?vault=Brain&amp;filepath=Sources/CELH/2018-Q3/transcripts/CELH_2018-11-09_2018Q3%20Earnings.md&amp;line=222" TargetMode="External" Id="rId257"/><Relationship Type="http://schemas.openxmlformats.org/officeDocument/2006/relationships/hyperlink" Target="obsidian://adv-uri?vault=Brain&amp;filepath=Sources/CELH/2018-FY/transcripts/CELH_2019-03-14_2018Q4%20Earnings.md&amp;line=213" TargetMode="External" Id="rId258"/><Relationship Type="http://schemas.openxmlformats.org/officeDocument/2006/relationships/hyperlink" Target="obsidian://adv-uri?vault=Brain&amp;filepath=Sources/CELH/2018-FY/transcripts/CELH_2019-03-14_2018Q4%20Earnings.md&amp;line=217" TargetMode="External" Id="rId259"/><Relationship Type="http://schemas.openxmlformats.org/officeDocument/2006/relationships/hyperlink" Target="obsidian://adv-uri?vault=Brain&amp;filepath=Sources/CELH/2019-Q1/transcripts/CELH_2019-05-09_2019Q1%20Earnings.md&amp;line=189" TargetMode="External" Id="rId260"/><Relationship Type="http://schemas.openxmlformats.org/officeDocument/2006/relationships/hyperlink" Target="obsidian://adv-uri?vault=Brain&amp;filepath=Sources/CELH/2019-Q2/transcripts/CELH_2019-08-08_2019Q2%20Earnings.md&amp;line=192" TargetMode="External" Id="rId261"/><Relationship Type="http://schemas.openxmlformats.org/officeDocument/2006/relationships/hyperlink" Target="obsidian://adv-uri?vault=Brain&amp;filepath=Sources/CELH/2019-Q2/transcripts/CELH_2019-08-08_2019Q2%20Earnings.md&amp;line=196" TargetMode="External" Id="rId262"/><Relationship Type="http://schemas.openxmlformats.org/officeDocument/2006/relationships/hyperlink" Target="obsidian://adv-uri?vault=Brain&amp;filepath=Sources/CELH/2019-Q3/transcripts/CELH_2019-11-07_2019Q3%20Earnings.md&amp;line=148" TargetMode="External" Id="rId263"/><Relationship Type="http://schemas.openxmlformats.org/officeDocument/2006/relationships/hyperlink" Target="obsidian://adv-uri?vault=Brain&amp;filepath=Sources/CELH/2019-FY/transcripts/CELH_2020-03-12_2019Q4%20Earnings.md&amp;line=161" TargetMode="External" Id="rId264"/><Relationship Type="http://schemas.openxmlformats.org/officeDocument/2006/relationships/hyperlink" Target="obsidian://adv-uri?vault=Brain&amp;filepath=Sources/CELH/2019-FY/transcripts/CELH_2020-03-12_2019Q4%20Earnings.md&amp;line=169" TargetMode="External" Id="rId265"/><Relationship Type="http://schemas.openxmlformats.org/officeDocument/2006/relationships/hyperlink" Target="obsidian://adv-uri?vault=Brain&amp;filepath=Sources/CELH/2020-FY/transcripts/CELH_2021-03-11_2020Q4%20Earnings.md&amp;line=158" TargetMode="External" Id="rId266"/><Relationship Type="http://schemas.openxmlformats.org/officeDocument/2006/relationships/hyperlink" Target="obsidian://adv-uri?vault=Brain&amp;filepath=Sources/CELH/2021-Q2/transcripts/CELH_2021-08-12_2021Q2%20Earnings.md&amp;line=184" TargetMode="External" Id="rId267"/><Relationship Type="http://schemas.openxmlformats.org/officeDocument/2006/relationships/hyperlink" Target="obsidian://adv-uri?vault=Brain&amp;filepath=Sources/CELH/2021-Q3/transcripts/CELH_2021-11-11_2021Q3%20Earnings.md&amp;line=193" TargetMode="External" Id="rId268"/><Relationship Type="http://schemas.openxmlformats.org/officeDocument/2006/relationships/hyperlink" Target="obsidian://adv-uri?vault=Brain&amp;filepath=Sources/CELH/2022-FY/transcripts/CELH_2023-03-01_2022Q4%20Earnings.md&amp;line=187" TargetMode="External" Id="rId269"/><Relationship Type="http://schemas.openxmlformats.org/officeDocument/2006/relationships/hyperlink" Target="obsidian://adv-uri?vault=Brain&amp;filepath=Sources/CELH/2022-Q1/transcripts/CELH_2022-05-10_2022Q1%20Earnings.md&amp;line=202" TargetMode="External" Id="rId270"/><Relationship Type="http://schemas.openxmlformats.org/officeDocument/2006/relationships/hyperlink" Target="obsidian://adv-uri?vault=Brain&amp;filepath=Sources/CELH/2022-Q3/transcripts/CELH_2022-11-09_2022Q3%20Earnings.md&amp;line=174" TargetMode="External" Id="rId271"/><Relationship Type="http://schemas.openxmlformats.org/officeDocument/2006/relationships/hyperlink" Target="obsidian://adv-uri?vault=Brain&amp;filepath=Sources/CELH/2023-FY/transcripts/CELH_2024-02-29_2023Q4%20Earnings.md&amp;line=207" TargetMode="External" Id="rId272"/><Relationship Type="http://schemas.openxmlformats.org/officeDocument/2006/relationships/hyperlink" Target="obsidian://adv-uri?vault=Brain&amp;filepath=Sources/CELH/2023-Q1/transcripts/CELH_2023-06-01_Annual%20General%20Meeting.md&amp;line=151" TargetMode="External" Id="rId273"/><Relationship Type="http://schemas.openxmlformats.org/officeDocument/2006/relationships/hyperlink" Target="obsidian://adv-uri?vault=Brain&amp;filepath=Sources/CELH/2023-Q1/transcripts/CELH_2023-05-09_2023Q1%20Earnings.md&amp;line=173" TargetMode="External" Id="rId274"/><Relationship Type="http://schemas.openxmlformats.org/officeDocument/2006/relationships/hyperlink" Target="obsidian://adv-uri?vault=Brain&amp;filepath=Sources/CELH/2023-Q2/transcripts/CELH_2023-08-08_2023Q2%20Earnings.md&amp;line=220" TargetMode="External" Id="rId275"/><Relationship Type="http://schemas.openxmlformats.org/officeDocument/2006/relationships/hyperlink" Target="obsidian://adv-uri?vault=Brain&amp;filepath=Sources/CELH/2023-Q3/transcripts/CELH_2023-11-07_2023Q3%20Earnings.md&amp;line=230" TargetMode="External" Id="rId276"/><Relationship Type="http://schemas.openxmlformats.org/officeDocument/2006/relationships/hyperlink" Target="obsidian://adv-uri?vault=Brain&amp;filepath=Sources/CELH/2023-FY/transcripts/CELH_2024-02-29_2023Q4%20Earnings.md&amp;line=207" TargetMode="External" Id="rId277"/><Relationship Type="http://schemas.openxmlformats.org/officeDocument/2006/relationships/hyperlink" Target="obsidian://adv-uri?vault=Brain&amp;filepath=Sources/CELH/2025-Q2/transcripts/CELH_2025-08-07_2025Q2%20Earnings.md&amp;line=174" TargetMode="External" Id="rId278"/><Relationship Type="http://schemas.openxmlformats.org/officeDocument/2006/relationships/hyperlink" Target="obsidian://adv-uri?vault=Brain&amp;filepath=Sources/CELH/2018-Q3/transcripts/CELH_2018-11-09_2018Q3%20Earnings.md&amp;line=186" TargetMode="External" Id="rId279"/><Relationship Type="http://schemas.openxmlformats.org/officeDocument/2006/relationships/hyperlink" Target="obsidian://adv-uri?vault=Brain&amp;filepath=Sources/CELH/2018-Q3/transcripts/CELH_2018-11-09_2018Q3%20Earnings.md&amp;line=226" TargetMode="External" Id="rId280"/><Relationship Type="http://schemas.openxmlformats.org/officeDocument/2006/relationships/hyperlink" Target="obsidian://adv-uri?vault=Brain&amp;filepath=Sources/CELH/2018-FY/transcripts/CELH_2019-03-14_2018Q4%20Earnings.md&amp;line=221" TargetMode="External" Id="rId281"/><Relationship Type="http://schemas.openxmlformats.org/officeDocument/2006/relationships/hyperlink" Target="obsidian://adv-uri?vault=Brain&amp;filepath=Sources/CELH/2018-FY/transcripts/CELH_2019-03-14_2018Q4%20Earnings.md&amp;line=225" TargetMode="External" Id="rId282"/><Relationship Type="http://schemas.openxmlformats.org/officeDocument/2006/relationships/hyperlink" Target="obsidian://adv-uri?vault=Brain&amp;filepath=Sources/CELH/2019-Q1/transcripts/CELH_2019-05-09_2019Q1%20Earnings.md&amp;line=193" TargetMode="External" Id="rId283"/><Relationship Type="http://schemas.openxmlformats.org/officeDocument/2006/relationships/hyperlink" Target="obsidian://adv-uri?vault=Brain&amp;filepath=Sources/CELH/2019-Q2/transcripts/CELH_2019-08-08_2019Q2%20Earnings.md&amp;line=200" TargetMode="External" Id="rId284"/><Relationship Type="http://schemas.openxmlformats.org/officeDocument/2006/relationships/hyperlink" Target="obsidian://adv-uri?vault=Brain&amp;filepath=Sources/CELH/2019-Q2/transcripts/CELH_2019-08-08_2019Q2%20Earnings.md&amp;line=204" TargetMode="External" Id="rId285"/><Relationship Type="http://schemas.openxmlformats.org/officeDocument/2006/relationships/hyperlink" Target="obsidian://adv-uri?vault=Brain&amp;filepath=Sources/CELH/2019-Q3/transcripts/CELH_2019-11-07_2019Q3%20Earnings.md&amp;line=152" TargetMode="External" Id="rId286"/><Relationship Type="http://schemas.openxmlformats.org/officeDocument/2006/relationships/hyperlink" Target="obsidian://adv-uri?vault=Brain&amp;filepath=Sources/CELH/2019-FY/transcripts/CELH_2020-03-12_2019Q4%20Earnings.md&amp;line=165" TargetMode="External" Id="rId287"/><Relationship Type="http://schemas.openxmlformats.org/officeDocument/2006/relationships/hyperlink" Target="obsidian://adv-uri?vault=Brain&amp;filepath=Sources/CELH/2019-FY/transcripts/CELH_2020-03-12_2019Q4%20Earnings.md&amp;line=173" TargetMode="External" Id="rId288"/><Relationship Type="http://schemas.openxmlformats.org/officeDocument/2006/relationships/hyperlink" Target="obsidian://adv-uri?vault=Brain&amp;filepath=Sources/CELH/2020-FY/transcripts/CELH_2021-03-11_2020Q4%20Earnings.md&amp;line=162" TargetMode="External" Id="rId289"/><Relationship Type="http://schemas.openxmlformats.org/officeDocument/2006/relationships/hyperlink" Target="obsidian://adv-uri?vault=Brain&amp;filepath=Sources/CELH/2021-Q2/transcripts/CELH_2021-08-12_2021Q2%20Earnings.md&amp;line=192" TargetMode="External" Id="rId290"/><Relationship Type="http://schemas.openxmlformats.org/officeDocument/2006/relationships/hyperlink" Target="obsidian://adv-uri?vault=Brain&amp;filepath=Sources/CELH/2021-Q3/transcripts/CELH_2021-11-11_2021Q3%20Earnings.md&amp;line=201" TargetMode="External" Id="rId291"/><Relationship Type="http://schemas.openxmlformats.org/officeDocument/2006/relationships/hyperlink" Target="obsidian://adv-uri?vault=Brain&amp;filepath=Sources/CELH/2022-FY/transcripts/CELH_2023-03-01_2022Q4%20Earnings.md&amp;line=199" TargetMode="External" Id="rId292"/><Relationship Type="http://schemas.openxmlformats.org/officeDocument/2006/relationships/hyperlink" Target="obsidian://adv-uri?vault=Brain&amp;filepath=Sources/CELH/2022-Q1/transcripts/CELH_2022-05-10_2022Q1%20Earnings.md&amp;line=210" TargetMode="External" Id="rId293"/><Relationship Type="http://schemas.openxmlformats.org/officeDocument/2006/relationships/hyperlink" Target="obsidian://adv-uri?vault=Brain&amp;filepath=Sources/CELH/2022-Q2/transcripts/CELH_2022-08-09_2022Q2%20Earnings.md&amp;line=181" TargetMode="External" Id="rId294"/><Relationship Type="http://schemas.openxmlformats.org/officeDocument/2006/relationships/hyperlink" Target="obsidian://adv-uri?vault=Brain&amp;filepath=Sources/CELH/2022-Q3/transcripts/CELH_2022-11-09_2022Q3%20Earnings.md&amp;line=182" TargetMode="External" Id="rId295"/><Relationship Type="http://schemas.openxmlformats.org/officeDocument/2006/relationships/hyperlink" Target="obsidian://adv-uri?vault=Brain&amp;filepath=Sources/CELH/2023-FY/transcripts/CELH_2024-02-29_2023Q4%20Earnings.md&amp;line=219" TargetMode="External" Id="rId296"/><Relationship Type="http://schemas.openxmlformats.org/officeDocument/2006/relationships/hyperlink" Target="obsidian://adv-uri?vault=Brain&amp;filepath=Sources/CELH/2023-Q1/transcripts/CELH_2023-06-01_Annual%20General%20Meeting.md&amp;line=159" TargetMode="External" Id="rId297"/><Relationship Type="http://schemas.openxmlformats.org/officeDocument/2006/relationships/hyperlink" Target="obsidian://adv-uri?vault=Brain&amp;filepath=Sources/CELH/2023-Q1/transcripts/CELH_2023-05-09_2023Q1%20Earnings.md&amp;line=181" TargetMode="External" Id="rId298"/><Relationship Type="http://schemas.openxmlformats.org/officeDocument/2006/relationships/hyperlink" Target="obsidian://adv-uri?vault=Brain&amp;filepath=Sources/CELH/2023-Q2/transcripts/CELH_2023-08-08_2023Q2%20Earnings.md&amp;line=224" TargetMode="External" Id="rId299"/><Relationship Type="http://schemas.openxmlformats.org/officeDocument/2006/relationships/hyperlink" Target="obsidian://adv-uri?vault=Brain&amp;filepath=Sources/CELH/2023-Q3/transcripts/CELH_2023-11-07_2023Q3%20Earnings.md&amp;line=238" TargetMode="External" Id="rId300"/><Relationship Type="http://schemas.openxmlformats.org/officeDocument/2006/relationships/hyperlink" Target="obsidian://adv-uri?vault=Brain&amp;filepath=Sources/CELH/2023-FY/transcripts/CELH_2024-02-29_2023Q4%20Earnings.md&amp;line=219" TargetMode="External" Id="rId301"/><Relationship Type="http://schemas.openxmlformats.org/officeDocument/2006/relationships/hyperlink" Target="obsidian://adv-uri?vault=Brain&amp;filepath=Sources/CELH/2024-Q1/transcripts/CELH_2024-05-07_2024Q1%20Earnings.md&amp;line=184"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25-Q2/transcripts/CELH_2025-08-07_2025Q2%20Earnings.md&amp;line=186" TargetMode="External" Id="rId304"/><Relationship Type="http://schemas.openxmlformats.org/officeDocument/2006/relationships/hyperlink" Target="obsidian://adv-uri?vault=Brain&amp;filepath=Sources/CELH/2019-Q1/transcripts/CELH_2019-05-09_2019Q1%20Earnings.md&amp;line=205" TargetMode="External" Id="rId305"/><Relationship Type="http://schemas.openxmlformats.org/officeDocument/2006/relationships/hyperlink" Target="obsidian://adv-uri?vault=Brain&amp;filepath=Sources/CELH/2018-Q3/transcripts/CELH_2018-11-09_2018Q3%20Earnings.md&amp;line=190" TargetMode="External" Id="rId306"/><Relationship Type="http://schemas.openxmlformats.org/officeDocument/2006/relationships/hyperlink" Target="obsidian://adv-uri?vault=Brain&amp;filepath=Sources/CELH/2018-Q3/transcripts/CELH_2018-11-09_2018Q3%20Earnings.md&amp;line=230" TargetMode="External" Id="rId307"/><Relationship Type="http://schemas.openxmlformats.org/officeDocument/2006/relationships/hyperlink" Target="obsidian://adv-uri?vault=Brain&amp;filepath=Sources/CELH/2018-FY/transcripts/CELH_2019-03-14_2018Q4%20Earnings.md&amp;line=229" TargetMode="External" Id="rId308"/><Relationship Type="http://schemas.openxmlformats.org/officeDocument/2006/relationships/hyperlink" Target="obsidian://adv-uri?vault=Brain&amp;filepath=Sources/CELH/2018-FY/transcripts/CELH_2019-03-14_2018Q4%20Earnings.md&amp;line=237" TargetMode="External" Id="rId309"/><Relationship Type="http://schemas.openxmlformats.org/officeDocument/2006/relationships/hyperlink" Target="obsidian://adv-uri?vault=Brain&amp;filepath=Sources/CELH/2019-Q1/transcripts/CELH_2019-05-09_2019Q1%20Earnings.md&amp;line=205" TargetMode="External" Id="rId310"/><Relationship Type="http://schemas.openxmlformats.org/officeDocument/2006/relationships/hyperlink" Target="obsidian://adv-uri?vault=Brain&amp;filepath=Sources/CELH/2019-Q2/transcripts/CELH_2019-08-08_2019Q2%20Earnings.md&amp;line=208" TargetMode="External" Id="rId311"/><Relationship Type="http://schemas.openxmlformats.org/officeDocument/2006/relationships/hyperlink" Target="obsidian://adv-uri?vault=Brain&amp;filepath=Sources/CELH/2019-Q2/transcripts/CELH_2019-08-08_2019Q2%20Earnings.md&amp;line=218" TargetMode="External" Id="rId312"/><Relationship Type="http://schemas.openxmlformats.org/officeDocument/2006/relationships/hyperlink" Target="obsidian://adv-uri?vault=Brain&amp;filepath=Sources/CELH/2019-Q3/transcripts/CELH_2019-11-07_2019Q3%20Earnings.md&amp;line=156" TargetMode="External" Id="rId313"/><Relationship Type="http://schemas.openxmlformats.org/officeDocument/2006/relationships/hyperlink" Target="obsidian://adv-uri?vault=Brain&amp;filepath=Sources/CELH/2019-Q3/transcripts/CELH_2019-11-07_2019Q3%20Earnings.md&amp;line=193" TargetMode="External" Id="rId314"/><Relationship Type="http://schemas.openxmlformats.org/officeDocument/2006/relationships/hyperlink" Target="obsidian://adv-uri?vault=Brain&amp;filepath=Sources/CELH/2019-FY/transcripts/CELH_2020-03-12_2019Q4%20Earnings.md&amp;line=177" TargetMode="External" Id="rId315"/><Relationship Type="http://schemas.openxmlformats.org/officeDocument/2006/relationships/hyperlink" Target="obsidian://adv-uri?vault=Brain&amp;filepath=Sources/CELH/2019-FY/transcripts/CELH_2020-03-12_2019Q4%20Earnings.md&amp;line=181" TargetMode="External" Id="rId316"/><Relationship Type="http://schemas.openxmlformats.org/officeDocument/2006/relationships/hyperlink" Target="obsidian://adv-uri?vault=Brain&amp;filepath=Sources/CELH/2021-Q1/transcripts/CELH_2021-05-13_2021Q1%20Earnings.md&amp;line=196" TargetMode="External" Id="rId317"/><Relationship Type="http://schemas.openxmlformats.org/officeDocument/2006/relationships/hyperlink" Target="obsidian://adv-uri?vault=Brain&amp;filepath=Sources/CELH/2021-Q2/transcripts/CELH_2021-08-12_2021Q2%20Earnings.md&amp;line=204" TargetMode="External" Id="rId318"/><Relationship Type="http://schemas.openxmlformats.org/officeDocument/2006/relationships/hyperlink" Target="obsidian://adv-uri?vault=Brain&amp;filepath=Sources/CELH/2021-Q3/transcripts/CELH_2021-11-11_2021Q3%20Earnings.md&amp;line=213" TargetMode="External" Id="rId319"/><Relationship Type="http://schemas.openxmlformats.org/officeDocument/2006/relationships/hyperlink" Target="obsidian://adv-uri?vault=Brain&amp;filepath=Sources/CELH/2020-FY/transcripts/CELH_2021-03-11_2020Q4%20Earnings.md&amp;line=170" TargetMode="External" Id="rId320"/><Relationship Type="http://schemas.openxmlformats.org/officeDocument/2006/relationships/hyperlink" Target="obsidian://adv-uri?vault=Brain&amp;filepath=Sources/CELH/2022-Q1/transcripts/CELH_2022-05-10_2022Q1%20Earnings.md&amp;line=218" TargetMode="External" Id="rId321"/><Relationship Type="http://schemas.openxmlformats.org/officeDocument/2006/relationships/hyperlink" Target="obsidian://adv-uri?vault=Brain&amp;filepath=Sources/CELH/2021-Q2/transcripts/CELH_2021-08-12_2021Q2%20Earnings.md&amp;line=204" TargetMode="External" Id="rId322"/><Relationship Type="http://schemas.openxmlformats.org/officeDocument/2006/relationships/hyperlink" Target="obsidian://adv-uri?vault=Brain&amp;filepath=Sources/CELH/2021-Q2/transcripts/CELH_2021-08-19_Annual%20Shareholder%20Meeting.md&amp;line=139" TargetMode="External" Id="rId323"/><Relationship Type="http://schemas.openxmlformats.org/officeDocument/2006/relationships/hyperlink" Target="obsidian://adv-uri?vault=Brain&amp;filepath=Sources/CELH/2021-Q3/transcripts/CELH_2021-11-11_2021Q3%20Earnings.md&amp;line=213" TargetMode="External" Id="rId324"/><Relationship Type="http://schemas.openxmlformats.org/officeDocument/2006/relationships/hyperlink" Target="obsidian://adv-uri?vault=Brain&amp;filepath=Sources/CELH/2022-Q1/transcripts/CELH_2022-06-02_Annual%20Shareholder%20Meeting.md&amp;line=145" TargetMode="External" Id="rId325"/><Relationship Type="http://schemas.openxmlformats.org/officeDocument/2006/relationships/hyperlink" Target="obsidian://adv-uri?vault=Brain&amp;filepath=Sources/CELH/2022-Q1/transcripts/CELH_2022-05-10_2022Q1%20Earnings.md&amp;line=218" TargetMode="External" Id="rId326"/><Relationship Type="http://schemas.openxmlformats.org/officeDocument/2006/relationships/hyperlink" Target="obsidian://adv-uri?vault=Brain&amp;filepath=Sources/CELH/2022-Q2/transcripts/CELH_2022-08-09_2022Q2%20Earnings.md&amp;line=189" TargetMode="External" Id="rId327"/><Relationship Type="http://schemas.openxmlformats.org/officeDocument/2006/relationships/hyperlink" Target="obsidian://adv-uri?vault=Brain&amp;filepath=Sources/CELH/2023-Q3/transcripts/CELH_2023-11-07_2023Q3%20Earnings.md&amp;line=205" TargetMode="External" Id="rId328"/><Relationship Type="http://schemas.openxmlformats.org/officeDocument/2006/relationships/hyperlink" Target="obsidian://adv-uri?vault=Brain&amp;filepath=Sources/CELH/2024-FY/transcripts/CELH_2025-02-20_2024Q4%20Earnings.md&amp;line=216" TargetMode="External" Id="rId329"/><Relationship Type="http://schemas.openxmlformats.org/officeDocument/2006/relationships/hyperlink" Target="obsidian://adv-uri?vault=Brain&amp;filepath=Sources/CELH/2024-FY/transcripts/CELH_2025-02-20_2024Q4%20Earnings.md&amp;line=240" TargetMode="External" Id="rId330"/><Relationship Type="http://schemas.openxmlformats.org/officeDocument/2006/relationships/hyperlink" Target="obsidian://adv-uri?vault=Brain&amp;filepath=Sources/CELH/2024-Q1/transcripts/CELH_2024-05-07_2024Q1%20Earnings.md&amp;line=196" TargetMode="External" Id="rId331"/><Relationship Type="http://schemas.openxmlformats.org/officeDocument/2006/relationships/hyperlink" Target="obsidian://adv-uri?vault=Brain&amp;filepath=Sources/CELH/2025-Q2/transcripts/CELH_2025-08-07_2025Q2%20Earnings.md&amp;line=182" TargetMode="External" Id="rId332"/><Relationship Type="http://schemas.openxmlformats.org/officeDocument/2006/relationships/hyperlink" Target="obsidian://adv-uri?vault=Brain&amp;filepath=Sources/CELH/2024-FY/transcripts/CELH_2025-02-20_2024Q4%20Earnings.md&amp;line=216" TargetMode="External" Id="rId333"/><Relationship Type="http://schemas.openxmlformats.org/officeDocument/2006/relationships/hyperlink" Target="obsidian://adv-uri?vault=Brain&amp;filepath=Sources/CELH/2024-FY/transcripts/CELH_2025-02-20_2024Q4%20Earnings.md&amp;line=240" TargetMode="External" Id="rId334"/><Relationship Type="http://schemas.openxmlformats.org/officeDocument/2006/relationships/hyperlink" Target="obsidian://adv-uri?vault=Brain&amp;filepath=Sources/CELH/2025-Q1/transcripts/CELH_2025-05-06_2025Q1%20Earnings.md&amp;line=196" TargetMode="External" Id="rId335"/><Relationship Type="http://schemas.openxmlformats.org/officeDocument/2006/relationships/hyperlink" Target="obsidian://adv-uri?vault=Brain&amp;filepath=Sources/CELH/2025-Q2/transcripts/CELH_2025-08-07_2025Q2%20Earnings.md&amp;line=186" TargetMode="External" Id="rId336"/><Relationship Type="http://schemas.openxmlformats.org/officeDocument/2006/relationships/hyperlink" Target="obsidian://adv-uri?vault=Brain&amp;filepath=Sources/CELH/2025-FY/transcripts/CELH_2026-02-26_2025Q4%20Earnings%20Press%20Release.md&amp;line=134" TargetMode="External" Id="rId337"/><Relationship Type="http://schemas.openxmlformats.org/officeDocument/2006/relationships/hyperlink" Target="obsidian://adv-uri?vault=Brain&amp;filepath=Sources/CELH/2026-Q1/transcripts/CELH_2026-05-07_2026Q1%20Earnings.md&amp;line=214" TargetMode="External" Id="rId338"/><Relationship Type="http://schemas.openxmlformats.org/officeDocument/2006/relationships/hyperlink" Target="obsidian://adv-uri?vault=Brain&amp;filepath=Sources/CELH/2019-Q1/transcripts/CELH_2019-05-09_2019Q1%20Earnings.md&amp;line=213" TargetMode="External" Id="rId339"/><Relationship Type="http://schemas.openxmlformats.org/officeDocument/2006/relationships/hyperlink" Target="obsidian://adv-uri?vault=Brain&amp;filepath=Sources/CELH/2019-Q2/transcripts/CELH_2019-08-08_2019Q2%20Earnings.md&amp;line=213" TargetMode="External" Id="rId340"/><Relationship Type="http://schemas.openxmlformats.org/officeDocument/2006/relationships/hyperlink" Target="obsidian://adv-uri?vault=Brain&amp;filepath=Sources/CELH/2019-Q2/transcripts/CELH_2019-08-08_2019Q2%20Earnings.md&amp;line=222" TargetMode="External" Id="rId341"/><Relationship Type="http://schemas.openxmlformats.org/officeDocument/2006/relationships/hyperlink" Target="obsidian://adv-uri?vault=Brain&amp;filepath=Sources/CELH/2018-Q3/transcripts/CELH_2018-11-09_2018Q3%20Earnings.md&amp;line=198" TargetMode="External" Id="rId342"/><Relationship Type="http://schemas.openxmlformats.org/officeDocument/2006/relationships/hyperlink" Target="obsidian://adv-uri?vault=Brain&amp;filepath=Sources/CELH/2018-Q3/transcripts/CELH_2018-11-09_2018Q3%20Earnings.md&amp;line=234" TargetMode="External" Id="rId343"/><Relationship Type="http://schemas.openxmlformats.org/officeDocument/2006/relationships/hyperlink" Target="obsidian://adv-uri?vault=Brain&amp;filepath=Sources/CELH/2018-FY/transcripts/CELH_2019-03-14_2018Q4%20Earnings.md&amp;line=245" TargetMode="External" Id="rId344"/><Relationship Type="http://schemas.openxmlformats.org/officeDocument/2006/relationships/hyperlink" Target="obsidian://adv-uri?vault=Brain&amp;filepath=Sources/CELH/2018-FY/transcripts/CELH_2019-03-14_2018Q4%20Earnings.md&amp;line=253" TargetMode="External" Id="rId345"/><Relationship Type="http://schemas.openxmlformats.org/officeDocument/2006/relationships/hyperlink" Target="obsidian://adv-uri?vault=Brain&amp;filepath=Sources/CELH/2019-Q1/transcripts/CELH_2019-05-09_2019Q1%20Earnings.md&amp;line=213" TargetMode="External" Id="rId346"/><Relationship Type="http://schemas.openxmlformats.org/officeDocument/2006/relationships/hyperlink" Target="obsidian://adv-uri?vault=Brain&amp;filepath=Sources/CELH/2019-Q2/transcripts/CELH_2019-08-08_2019Q2%20Earnings.md&amp;line=213" TargetMode="External" Id="rId347"/><Relationship Type="http://schemas.openxmlformats.org/officeDocument/2006/relationships/hyperlink" Target="obsidian://adv-uri?vault=Brain&amp;filepath=Sources/CELH/2019-Q2/transcripts/CELH_2019-08-08_2019Q2%20Earnings.md&amp;line=222" TargetMode="External" Id="rId348"/><Relationship Type="http://schemas.openxmlformats.org/officeDocument/2006/relationships/hyperlink" Target="obsidian://adv-uri?vault=Brain&amp;filepath=Sources/CELH/2019-Q3/transcripts/CELH_2019-11-07_2019Q3%20Earnings.md&amp;line=165" TargetMode="External" Id="rId349"/><Relationship Type="http://schemas.openxmlformats.org/officeDocument/2006/relationships/hyperlink" Target="obsidian://adv-uri?vault=Brain&amp;filepath=Sources/CELH/2019-FY/transcripts/CELH_2020-03-12_2019Q4%20Earnings.md&amp;line=114" TargetMode="External" Id="rId350"/><Relationship Type="http://schemas.openxmlformats.org/officeDocument/2006/relationships/hyperlink" Target="obsidian://adv-uri?vault=Brain&amp;filepath=Sources/CELH/2019-FY/transcripts/CELH_2020-03-12_2019Q4%20Earnings.md&amp;line=189" TargetMode="External" Id="rId351"/><Relationship Type="http://schemas.openxmlformats.org/officeDocument/2006/relationships/hyperlink" Target="obsidian://adv-uri?vault=Brain&amp;filepath=Sources/CELH/2021-Q1/transcripts/CELH_2021-05-13_2021Q1%20Earnings.md&amp;line=204" TargetMode="External" Id="rId352"/><Relationship Type="http://schemas.openxmlformats.org/officeDocument/2006/relationships/hyperlink" Target="obsidian://adv-uri?vault=Brain&amp;filepath=Sources/CELH/2020-FY/transcripts/CELH_2021-03-11_2020Q4%20Earnings.md&amp;line=175" TargetMode="External" Id="rId353"/><Relationship Type="http://schemas.openxmlformats.org/officeDocument/2006/relationships/hyperlink" Target="obsidian://adv-uri?vault=Brain&amp;filepath=Sources/CELH/2021-Q2/transcripts/CELH_2021-08-12_2021Q2%20Earnings.md&amp;line=212" TargetMode="External" Id="rId354"/><Relationship Type="http://schemas.openxmlformats.org/officeDocument/2006/relationships/hyperlink" Target="obsidian://adv-uri?vault=Brain&amp;filepath=Sources/CELH/2021-Q2/transcripts/CELH_2021-08-19_Annual%20Shareholder%20Meeting.md&amp;line=143" TargetMode="External" Id="rId355"/><Relationship Type="http://schemas.openxmlformats.org/officeDocument/2006/relationships/hyperlink" Target="obsidian://adv-uri?vault=Brain&amp;filepath=Sources/CELH/2022-Q1/transcripts/CELH_2022-06-02_Annual%20Shareholder%20Meeting.md&amp;line=177" TargetMode="External" Id="rId356"/><Relationship Type="http://schemas.openxmlformats.org/officeDocument/2006/relationships/hyperlink" Target="obsidian://adv-uri?vault=Brain&amp;filepath=Sources/CELH/2023-Q3/transcripts/CELH_2023-11-07_2023Q3%20Earnings.md&amp;line=213" TargetMode="External" Id="rId357"/><Relationship Type="http://schemas.openxmlformats.org/officeDocument/2006/relationships/hyperlink" Target="obsidian://adv-uri?vault=Brain&amp;filepath=Sources/CELH/2023-Q1/transcripts/CELH_2023-05-09_2023Q1%20Earnings.md&amp;line=169" TargetMode="External" Id="rId358"/><Relationship Type="http://schemas.openxmlformats.org/officeDocument/2006/relationships/hyperlink" Target="obsidian://adv-uri?vault=Brain&amp;filepath=Sources/CELH/2024-Q3/transcripts/CELH_2024-11-06_2024Q3%20Earnings.md&amp;line=199" TargetMode="External" Id="rId359"/><Relationship Type="http://schemas.openxmlformats.org/officeDocument/2006/relationships/hyperlink" Target="obsidian://adv-uri?vault=Brain&amp;filepath=Sources/CELH/2024-Q1/transcripts/CELH_2024-05-07_2024Q1%20Earnings.md&amp;line=192" TargetMode="External" Id="rId360"/><Relationship Type="http://schemas.openxmlformats.org/officeDocument/2006/relationships/hyperlink" Target="obsidian://adv-uri?vault=Brain&amp;filepath=Sources/CELH/2025-Q2/transcripts/CELH_2025-08-07_2025Q2%20Earnings.md&amp;line=198" TargetMode="External" Id="rId361"/><Relationship Type="http://schemas.openxmlformats.org/officeDocument/2006/relationships/hyperlink" Target="obsidian://adv-uri?vault=Brain&amp;filepath=Sources/CELH/2025-Q2/transcripts/CELH_2025-08-07_2025Q2%20Earnings.md&amp;line=250" TargetMode="External" Id="rId362"/><Relationship Type="http://schemas.openxmlformats.org/officeDocument/2006/relationships/hyperlink" Target="obsidian://adv-uri?vault=Brain&amp;filepath=Sources/CELH/2025-FY/transcripts/CELH_2026-02-26_2025Q4%20Earnings%20Press%20Release.md&amp;line=191" TargetMode="External" Id="rId363"/><Relationship Type="http://schemas.openxmlformats.org/officeDocument/2006/relationships/hyperlink" Target="obsidian://adv-uri?vault=Brain&amp;filepath=Sources/CELH/2025-Q1/transcripts/CELH_2025-05-28_Acquiring%20Alani%20Nu.md&amp;line=164" TargetMode="External" Id="rId364"/><Relationship Type="http://schemas.openxmlformats.org/officeDocument/2006/relationships/hyperlink" Target="obsidian://adv-uri?vault=Brain&amp;filepath=Sources/CELH/2025-Q1/transcripts/CELH_2025-05-06_2025Q1%20Earnings.md&amp;line=169" TargetMode="External" Id="rId365"/><Relationship Type="http://schemas.openxmlformats.org/officeDocument/2006/relationships/hyperlink" Target="obsidian://adv-uri?vault=Brain&amp;filepath=Sources/CELH/2025-Q2/transcripts/CELH_2025-08-07_2025Q2%20Earnings.md&amp;line=198" TargetMode="External" Id="rId366"/><Relationship Type="http://schemas.openxmlformats.org/officeDocument/2006/relationships/hyperlink" Target="obsidian://adv-uri?vault=Brain&amp;filepath=Sources/CELH/2025-Q2/transcripts/CELH_2025-08-07_2025Q2%20Earnings.md&amp;line=250" TargetMode="External" Id="rId367"/><Relationship Type="http://schemas.openxmlformats.org/officeDocument/2006/relationships/hyperlink" Target="obsidian://adv-uri?vault=Brain&amp;filepath=Sources/CELH/2025-FY/transcripts/CELH_2026-02-26_2025Q4%20Earnings%20Press%20Release.md&amp;line=134" TargetMode="External" Id="rId368"/><Relationship Type="http://schemas.openxmlformats.org/officeDocument/2006/relationships/hyperlink" Target="obsidian://adv-uri?vault=Brain&amp;filepath=Sources/CELH/2026-Q1/transcripts/CELH_2026-05-07_2026Q1%20Earnings.md&amp;line=218" TargetMode="External" Id="rId369"/><Relationship Type="http://schemas.openxmlformats.org/officeDocument/2006/relationships/hyperlink" Target="obsidian://adv-uri?vault=Brain&amp;filepath=Sources/CELH/2019-Q1/transcripts/CELH_2019-05-09_2019Q1%20Earnings.md&amp;line=226" TargetMode="External" Id="rId370"/><Relationship Type="http://schemas.openxmlformats.org/officeDocument/2006/relationships/hyperlink" Target="obsidian://adv-uri?vault=Brain&amp;filepath=Sources/CELH/2019-Q2/transcripts/CELH_2019-08-08_2019Q2%20Earnings.md&amp;line=238" TargetMode="External" Id="rId371"/><Relationship Type="http://schemas.openxmlformats.org/officeDocument/2006/relationships/hyperlink" Target="obsidian://adv-uri?vault=Brain&amp;filepath=Sources/CELH/2018-FY/transcripts/CELH_2019-03-14_2018Q4%20Earnings.md&amp;line=270" TargetMode="External" Id="rId372"/><Relationship Type="http://schemas.openxmlformats.org/officeDocument/2006/relationships/hyperlink" Target="obsidian://adv-uri?vault=Brain&amp;filepath=Sources/CELH/2019-FY/transcripts/CELH_2020-03-12_2019Q4%20Earnings.md&amp;line=201" TargetMode="External" Id="rId373"/><Relationship Type="http://schemas.openxmlformats.org/officeDocument/2006/relationships/hyperlink" Target="obsidian://adv-uri?vault=Brain&amp;filepath=Sources/CELH/2020-FY/transcripts/CELH_2021-03-11_2020Q4%20Earnings.md&amp;line=195" TargetMode="External" Id="rId374"/><Relationship Type="http://schemas.openxmlformats.org/officeDocument/2006/relationships/hyperlink" Target="obsidian://adv-uri?vault=Brain&amp;filepath=Sources/CELH/2022-Q1/transcripts/CELH_2022-05-10_2022Q1%20Earnings.md&amp;line=226" TargetMode="External" Id="rId375"/><Relationship Type="http://schemas.openxmlformats.org/officeDocument/2006/relationships/hyperlink" Target="obsidian://adv-uri?vault=Brain&amp;filepath=Sources/CELH/2021-Q2/transcripts/CELH_2021-08-12_2021Q2%20Earnings.md&amp;line=142" TargetMode="External" Id="rId376"/><Relationship Type="http://schemas.openxmlformats.org/officeDocument/2006/relationships/hyperlink" Target="obsidian://adv-uri?vault=Brain&amp;filepath=Sources/CELH/2021-Q3/transcripts/CELH_2021-11-11_2021Q3%20Earnings.md&amp;line=144" TargetMode="External" Id="rId377"/><Relationship Type="http://schemas.openxmlformats.org/officeDocument/2006/relationships/hyperlink" Target="obsidian://adv-uri?vault=Brain&amp;filepath=Sources/CELH/2022-FY/transcripts/CELH_2023-03-01_2022Q4%20Earnings.md&amp;line=211" TargetMode="External" Id="rId378"/><Relationship Type="http://schemas.openxmlformats.org/officeDocument/2006/relationships/hyperlink" Target="obsidian://adv-uri?vault=Brain&amp;filepath=Sources/CELH/2022-Q1/transcripts/CELH_2022-05-10_2022Q1%20Earnings.md&amp;line=226" TargetMode="External" Id="rId379"/><Relationship Type="http://schemas.openxmlformats.org/officeDocument/2006/relationships/hyperlink" Target="obsidian://adv-uri?vault=Brain&amp;filepath=Sources/CELH/2023-Q2/transcripts/CELH_2023-08-08_2023Q2%20Earnings.md&amp;line=260" TargetMode="External" Id="rId380"/><Relationship Type="http://schemas.openxmlformats.org/officeDocument/2006/relationships/hyperlink" Target="obsidian://adv-uri?vault=Brain&amp;filepath=Sources/CELH/2023-Q3/transcripts/CELH_2023-11-07_2023Q3%20Earnings.md&amp;line=266" TargetMode="External" Id="rId381"/><Relationship Type="http://schemas.openxmlformats.org/officeDocument/2006/relationships/hyperlink" Target="obsidian://adv-uri?vault=Brain&amp;filepath=Sources/CELH/2023-FY/transcripts/CELH_2024-02-29_2023Q4%20Earnings.md&amp;line=239" TargetMode="External" Id="rId382"/><Relationship Type="http://schemas.openxmlformats.org/officeDocument/2006/relationships/hyperlink" Target="obsidian://adv-uri?vault=Brain&amp;filepath=Sources/CELH/2023-Q1/transcripts/CELH_2023-05-09_2023Q1%20Earnings.md&amp;line=213" TargetMode="External" Id="rId383"/><Relationship Type="http://schemas.openxmlformats.org/officeDocument/2006/relationships/hyperlink" Target="obsidian://adv-uri?vault=Brain&amp;filepath=Sources/CELH/2023-Q2/transcripts/CELH_2023-08-08_2023Q2%20Earnings.md&amp;line=260" TargetMode="External" Id="rId384"/><Relationship Type="http://schemas.openxmlformats.org/officeDocument/2006/relationships/hyperlink" Target="obsidian://adv-uri?vault=Brain&amp;filepath=Sources/CELH/2023-Q3/transcripts/CELH_2023-11-07_2023Q3%20Earnings.md&amp;line=266" TargetMode="External" Id="rId385"/><Relationship Type="http://schemas.openxmlformats.org/officeDocument/2006/relationships/hyperlink" Target="obsidian://adv-uri?vault=Brain&amp;filepath=Sources/CELH/2024-Q1/transcripts/CELH_2024-05-07_2024Q1%20Earnings.md&amp;line=208" TargetMode="External" Id="rId386"/><Relationship Type="http://schemas.openxmlformats.org/officeDocument/2006/relationships/hyperlink" Target="obsidian://adv-uri?vault=Brain&amp;filepath=Sources/CELH/2018-Q3/transcripts/CELH_2018-11-09_2018Q3%20Earnings.md&amp;line=247" TargetMode="External" Id="rId387"/><Relationship Type="http://schemas.openxmlformats.org/officeDocument/2006/relationships/hyperlink" Target="obsidian://adv-uri?vault=Brain&amp;filepath=Sources/CELH/2018-FY/transcripts/CELH_2019-03-14_2018Q4%20Earnings.md&amp;line=262" TargetMode="External" Id="rId388"/><Relationship Type="http://schemas.openxmlformats.org/officeDocument/2006/relationships/hyperlink" Target="obsidian://adv-uri?vault=Brain&amp;filepath=Sources/CELH/2018-Q3/transcripts/CELH_2018-11-09_2018Q3%20Earnings.md&amp;line=146" TargetMode="External" Id="rId389"/><Relationship Type="http://schemas.openxmlformats.org/officeDocument/2006/relationships/hyperlink" Target="obsidian://adv-uri?vault=Brain&amp;filepath=Sources/CELH/2019-Q1/transcripts/CELH_2019-05-09_2019Q1%20Earnings.md&amp;line=218" TargetMode="External" Id="rId390"/><Relationship Type="http://schemas.openxmlformats.org/officeDocument/2006/relationships/hyperlink" Target="obsidian://adv-uri?vault=Brain&amp;filepath=Sources/CELH/2019-Q2/transcripts/CELH_2019-08-08_2019Q2%20Earnings.md&amp;line=230" TargetMode="External" Id="rId391"/><Relationship Type="http://schemas.openxmlformats.org/officeDocument/2006/relationships/hyperlink" Target="obsidian://adv-uri?vault=Brain&amp;filepath=Sources/CELH/2019-Q3/transcripts/CELH_2019-11-07_2019Q3%20Earnings.md&amp;line=173" TargetMode="External" Id="rId392"/><Relationship Type="http://schemas.openxmlformats.org/officeDocument/2006/relationships/hyperlink" Target="obsidian://adv-uri?vault=Brain&amp;filepath=Sources/CELH/2018-FY/transcripts/CELH_2019-03-14_2018Q4%20Earnings.md&amp;line=147" TargetMode="External" Id="rId393"/><Relationship Type="http://schemas.openxmlformats.org/officeDocument/2006/relationships/hyperlink" Target="obsidian://adv-uri?vault=Brain&amp;filepath=Sources/CELH/2020-Q1/transcripts/CELH_2020-05-12_2020Q1%20Earnings.md&amp;line=170" TargetMode="External" Id="rId394"/><Relationship Type="http://schemas.openxmlformats.org/officeDocument/2006/relationships/hyperlink" Target="obsidian://adv-uri?vault=Brain&amp;filepath=Sources/CELH/2020-Q2/transcripts/CELH_2020-08-06_2020Q2%20Earnings.md&amp;line=193" TargetMode="External" Id="rId395"/><Relationship Type="http://schemas.openxmlformats.org/officeDocument/2006/relationships/hyperlink" Target="obsidian://adv-uri?vault=Brain&amp;filepath=Sources/CELH/2020-Q3/transcripts/CELH_2020-11-12_2020Q3%20Earnings.md&amp;line=192" TargetMode="External" Id="rId396"/><Relationship Type="http://schemas.openxmlformats.org/officeDocument/2006/relationships/hyperlink" Target="obsidian://adv-uri?vault=Brain&amp;filepath=Sources/CELH/2019-FY/transcripts/CELH_2020-03-12_2019Q4%20Earnings.md&amp;line=193" TargetMode="External" Id="rId397"/><Relationship Type="http://schemas.openxmlformats.org/officeDocument/2006/relationships/hyperlink" Target="obsidian://adv-uri?vault=Brain&amp;filepath=Sources/CELH/2021-Q1/transcripts/CELH_2021-05-13_2021Q1%20Earnings.md&amp;line=210" TargetMode="External" Id="rId398"/><Relationship Type="http://schemas.openxmlformats.org/officeDocument/2006/relationships/hyperlink" Target="obsidian://adv-uri?vault=Brain&amp;filepath=Sources/CELH/2021-Q2/transcripts/CELH_2021-08-12_2021Q2%20Earnings.md&amp;line=216" TargetMode="External" Id="rId399"/><Relationship Type="http://schemas.openxmlformats.org/officeDocument/2006/relationships/hyperlink" Target="obsidian://adv-uri?vault=Brain&amp;filepath=Sources/CELH/2021-Q3/transcripts/CELH_2021-11-11_2021Q3%20Earnings.md&amp;line=221" TargetMode="External" Id="rId400"/><Relationship Type="http://schemas.openxmlformats.org/officeDocument/2006/relationships/hyperlink" Target="obsidian://adv-uri?vault=Brain&amp;filepath=Sources/CELH/2020-FY/transcripts/CELH_2021-03-11_2020Q4%20Earnings.md&amp;line=187" TargetMode="External" Id="rId401"/><Relationship Type="http://schemas.openxmlformats.org/officeDocument/2006/relationships/hyperlink" Target="obsidian://adv-uri?vault=Brain&amp;filepath=Sources/CELH/2022-Q1/transcripts/CELH_2022-05-10_2022Q1%20Earnings.md&amp;line=230" TargetMode="External" Id="rId402"/><Relationship Type="http://schemas.openxmlformats.org/officeDocument/2006/relationships/hyperlink" Target="obsidian://adv-uri?vault=Brain&amp;filepath=Sources/CELH/2021-Q2/transcripts/CELH_2021-08-12_2021Q2%20Earnings.md&amp;line=216" TargetMode="External" Id="rId403"/><Relationship Type="http://schemas.openxmlformats.org/officeDocument/2006/relationships/hyperlink" Target="obsidian://adv-uri?vault=Brain&amp;filepath=Sources/CELH/2021-Q3/transcripts/CELH_2021-11-11_2021Q3%20Earnings.md&amp;line=221" TargetMode="External" Id="rId404"/><Relationship Type="http://schemas.openxmlformats.org/officeDocument/2006/relationships/hyperlink" Target="obsidian://adv-uri?vault=Brain&amp;filepath=Sources/CELH/2021-FY/transcripts/CELH_2022-03-01_2021Q4%20Earnings.md&amp;line=182" TargetMode="External" Id="rId405"/><Relationship Type="http://schemas.openxmlformats.org/officeDocument/2006/relationships/hyperlink" Target="obsidian://adv-uri?vault=Brain&amp;filepath=Sources/CELH/2022-Q1/transcripts/CELH_2022-05-10_2022Q1%20Earnings.md&amp;line=230" TargetMode="External" Id="rId406"/><Relationship Type="http://schemas.openxmlformats.org/officeDocument/2006/relationships/hyperlink" Target="obsidian://adv-uri?vault=Brain&amp;filepath=Sources/CELH/2023-Q1/transcripts/CELH_2023-06-01_Annual%20General%20Meeting.md&amp;line=163" TargetMode="External" Id="rId407"/><Relationship Type="http://schemas.openxmlformats.org/officeDocument/2006/relationships/hyperlink" Target="obsidian://adv-uri?vault=Brain&amp;filepath=Sources/CELH/2023-Q1/transcripts/CELH_2023-05-09_2023Q1%20Earnings.md&amp;line=209" TargetMode="External" Id="rId408"/><Relationship Type="http://schemas.openxmlformats.org/officeDocument/2006/relationships/hyperlink" Target="obsidian://adv-uri?vault=Brain&amp;filepath=Sources/CELH/2024-Q1/transcripts/CELH_2024-05-07_2024Q1%20Earnings.md&amp;line=204" TargetMode="External" Id="rId409"/><Relationship Type="http://schemas.openxmlformats.org/officeDocument/2006/relationships/hyperlink" Target="obsidian://adv-uri?vault=Brain&amp;filepath=Sources/CELH/2025-Q1/transcripts/CELH_2025-05-06_2025Q1%20Earnings.md&amp;line=208" TargetMode="External" Id="rId410"/><Relationship Type="http://schemas.openxmlformats.org/officeDocument/2006/relationships/hyperlink" Target="obsidian://adv-uri?vault=Brain&amp;filepath=Sources/CELH/2025-FY/transcripts/CELH_2026-02-26_2025Q4%20Earnings%20Press%20Release.md&amp;line=134" TargetMode="External" Id="rId411"/><Relationship Type="http://schemas.openxmlformats.org/officeDocument/2006/relationships/hyperlink" Target="obsidian://adv-uri?vault=Brain&amp;filepath=Sources/CELH/2018-Q3/transcripts/CELH_2018-11-09_2018Q3%20Earnings.md&amp;line=251" TargetMode="External" Id="rId412"/><Relationship Type="http://schemas.openxmlformats.org/officeDocument/2006/relationships/hyperlink" Target="obsidian://adv-uri?vault=Brain&amp;filepath=Sources/CELH/2018-FY/transcripts/CELH_2019-03-14_2018Q4%20Earnings.md&amp;line=266" TargetMode="External" Id="rId413"/><Relationship Type="http://schemas.openxmlformats.org/officeDocument/2006/relationships/hyperlink" Target="obsidian://adv-uri?vault=Brain&amp;filepath=Sources/CELH/2018-Q3/transcripts/CELH_2018-11-09_2018Q3%20Earnings.md&amp;line=146" TargetMode="External" Id="rId414"/><Relationship Type="http://schemas.openxmlformats.org/officeDocument/2006/relationships/hyperlink" Target="obsidian://adv-uri?vault=Brain&amp;filepath=Sources/CELH/2019-Q1/transcripts/CELH_2019-05-09_2019Q1%20Earnings.md&amp;line=222" TargetMode="External" Id="rId415"/><Relationship Type="http://schemas.openxmlformats.org/officeDocument/2006/relationships/hyperlink" Target="obsidian://adv-uri?vault=Brain&amp;filepath=Sources/CELH/2019-Q2/transcripts/CELH_2019-08-08_2019Q2%20Earnings.md&amp;line=234" TargetMode="External" Id="rId416"/><Relationship Type="http://schemas.openxmlformats.org/officeDocument/2006/relationships/hyperlink" Target="obsidian://adv-uri?vault=Brain&amp;filepath=Sources/CELH/2019-Q3/transcripts/CELH_2019-11-07_2019Q3%20Earnings.md&amp;line=177" TargetMode="External" Id="rId417"/><Relationship Type="http://schemas.openxmlformats.org/officeDocument/2006/relationships/hyperlink" Target="obsidian://adv-uri?vault=Brain&amp;filepath=Sources/CELH/2018-FY/transcripts/CELH_2019-03-14_2018Q4%20Earnings.md&amp;line=147" TargetMode="External" Id="rId418"/><Relationship Type="http://schemas.openxmlformats.org/officeDocument/2006/relationships/hyperlink" Target="obsidian://adv-uri?vault=Brain&amp;filepath=Sources/CELH/2020-Q1/transcripts/CELH_2020-05-12_2020Q1%20Earnings.md&amp;line=174" TargetMode="External" Id="rId419"/><Relationship Type="http://schemas.openxmlformats.org/officeDocument/2006/relationships/hyperlink" Target="obsidian://adv-uri?vault=Brain&amp;filepath=Sources/CELH/2020-Q2/transcripts/CELH_2020-08-06_2020Q2%20Earnings.md&amp;line=197" TargetMode="External" Id="rId420"/><Relationship Type="http://schemas.openxmlformats.org/officeDocument/2006/relationships/hyperlink" Target="obsidian://adv-uri?vault=Brain&amp;filepath=Sources/CELH/2020-Q3/transcripts/CELH_2020-11-12_2020Q3%20Earnings.md&amp;line=196" TargetMode="External" Id="rId421"/><Relationship Type="http://schemas.openxmlformats.org/officeDocument/2006/relationships/hyperlink" Target="obsidian://adv-uri?vault=Brain&amp;filepath=Sources/CELH/2019-FY/transcripts/CELH_2020-03-12_2019Q4%20Earnings.md&amp;line=197" TargetMode="External" Id="rId422"/><Relationship Type="http://schemas.openxmlformats.org/officeDocument/2006/relationships/hyperlink" Target="obsidian://adv-uri?vault=Brain&amp;filepath=Sources/CELH/2021-Q1/transcripts/CELH_2021-05-13_2021Q1%20Earnings.md&amp;line=214" TargetMode="External" Id="rId423"/><Relationship Type="http://schemas.openxmlformats.org/officeDocument/2006/relationships/hyperlink" Target="obsidian://adv-uri?vault=Brain&amp;filepath=Sources/CELH/2021-Q2/transcripts/CELH_2021-08-12_2021Q2%20Earnings.md&amp;line=220" TargetMode="External" Id="rId424"/><Relationship Type="http://schemas.openxmlformats.org/officeDocument/2006/relationships/hyperlink" Target="obsidian://adv-uri?vault=Brain&amp;filepath=Sources/CELH/2021-Q3/transcripts/CELH_2021-11-11_2021Q3%20Earnings.md&amp;line=225" TargetMode="External" Id="rId425"/><Relationship Type="http://schemas.openxmlformats.org/officeDocument/2006/relationships/hyperlink" Target="obsidian://adv-uri?vault=Brain&amp;filepath=Sources/CELH/2020-FY/transcripts/CELH_2021-03-11_2020Q4%20Earnings.md&amp;line=191" TargetMode="External" Id="rId426"/><Relationship Type="http://schemas.openxmlformats.org/officeDocument/2006/relationships/hyperlink" Target="obsidian://adv-uri?vault=Brain&amp;filepath=Sources/CELH/2021-Q2/transcripts/CELH_2021-08-12_2021Q2%20Earnings.md&amp;line=220" TargetMode="External" Id="rId427"/><Relationship Type="http://schemas.openxmlformats.org/officeDocument/2006/relationships/hyperlink" Target="obsidian://adv-uri?vault=Brain&amp;filepath=Sources/CELH/2021-Q3/transcripts/CELH_2021-11-11_2021Q3%20Earnings.md&amp;line=225" TargetMode="External" Id="rId428"/><Relationship Type="http://schemas.openxmlformats.org/officeDocument/2006/relationships/hyperlink" Target="obsidian://adv-uri?vault=Brain&amp;filepath=Sources/CELH/2021-FY/transcripts/CELH_2022-03-01_2021Q4%20Earnings.md&amp;line=186" TargetMode="External" Id="rId429"/><Relationship Type="http://schemas.openxmlformats.org/officeDocument/2006/relationships/hyperlink" Target="obsidian://adv-uri?vault=Brain&amp;filepath=Sources/CELH/2022-Q1/transcripts/CELH_2022-05-10_2022Q1%20Earnings.md&amp;line=157" TargetMode="External" Id="rId430"/><Relationship Type="http://schemas.openxmlformats.org/officeDocument/2006/relationships/hyperlink" Target="obsidian://adv-uri?vault=Brain&amp;filepath=Sources/CELH/2023-Q1/transcripts/CELH_2023-06-01_Annual%20General%20Meeting.md&amp;line=167" TargetMode="External" Id="rId431"/><Relationship Type="http://schemas.openxmlformats.org/officeDocument/2006/relationships/hyperlink" Target="obsidian://adv-uri?vault=Brain&amp;filepath=Sources/CELH/2023-Q1/transcripts/CELH_2023-05-09_2023Q1%20Earnings.md&amp;line=144" TargetMode="External" Id="rId432"/><Relationship Type="http://schemas.openxmlformats.org/officeDocument/2006/relationships/hyperlink" Target="obsidian://adv-uri?vault=Brain&amp;filepath=Sources/CELH/2021-FY/transcripts/CELH_2022-03-01_2021Q4%20Earnings.md&amp;line=121" TargetMode="External" Id="rId433"/><Relationship Type="http://schemas.openxmlformats.org/officeDocument/2006/relationships/hyperlink" Target="obsidian://adv-uri?vault=Brain&amp;filepath=Sources/CELH/2022-Q2/transcripts/CELH_2022-08-09_2022Q2%20Earnings.md&amp;line=142"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3/transcripts/CELH_2022-11-09_2022Q3%20Earnings.md&amp;line=140" TargetMode="External" Id="rId436"/><Relationship Type="http://schemas.openxmlformats.org/officeDocument/2006/relationships/hyperlink" Target="obsidian://adv-uri?vault=Brain&amp;filepath=Sources/CELH/2022-Q2/transcripts/CELH_2022-08-09_2022Q2%20Earnings.md&amp;line=142" TargetMode="External" Id="rId437"/><Relationship Type="http://schemas.openxmlformats.org/officeDocument/2006/relationships/hyperlink" Target="obsidian://adv-uri?vault=Brain&amp;filepath=Sources/CELH/2020-FY/transcripts/CELH_2021-03-11_2020Q4%20Earnings.md&amp;line=115"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FY/transcripts/CELH_2026-02-26_2025Q4%20Earnings%20Press%20Release.md&amp;line=134" TargetMode="External" Id="rId440"/><Relationship Type="http://schemas.openxmlformats.org/officeDocument/2006/relationships/hyperlink" Target="obsidian://adv-uri?vault=Brain&amp;filepath=Sources/CELH/2025-Q2/transcripts/CELH_2025-08-07_2025Q2%20Earnings.md&amp;line=146" TargetMode="External" Id="rId441"/><Relationship Type="http://schemas.openxmlformats.org/officeDocument/2006/relationships/hyperlink" Target="obsidian://adv-uri?vault=Brain&amp;filepath=Sources/CELH/2025-FY/transcripts/CELH_2026-02-26_2025Q4%20Earnings%20Press%20Release.md&amp;line=134" TargetMode="External" Id="rId442"/><Relationship Type="http://schemas.openxmlformats.org/officeDocument/2006/relationships/hyperlink" Target="obsidian://adv-uri?vault=Brain&amp;filepath=Sources/CELH/2021-FY/transcripts/CELH_2022-03-01_2021Q4%20Earnings.md&amp;line=121" TargetMode="External" Id="rId443"/><Relationship Type="http://schemas.openxmlformats.org/officeDocument/2006/relationships/hyperlink" Target="obsidian://adv-uri?vault=Brain&amp;filepath=Sources/CELH/2022-FY/transcripts/CELH_2023-03-01_2022Q4%20Earnings.md&amp;line=227" TargetMode="External" Id="rId444"/><Relationship Type="http://schemas.openxmlformats.org/officeDocument/2006/relationships/hyperlink" Target="obsidian://adv-uri?vault=Brain&amp;filepath=Sources/CELH/2018-Q3/transcripts/CELH_2018-11-09_2018Q3%20Earnings.md&amp;line=238" TargetMode="External" Id="rId445"/><Relationship Type="http://schemas.openxmlformats.org/officeDocument/2006/relationships/hyperlink" Target="obsidian://adv-uri?vault=Brain&amp;filepath=Sources/CELH/2018-FY/transcripts/CELH_2019-03-14_2018Q4%20Earnings.md&amp;line=257" TargetMode="External" Id="rId446"/><Relationship Type="http://schemas.openxmlformats.org/officeDocument/2006/relationships/hyperlink" Target="obsidian://adv-uri?vault=Brain&amp;filepath=Sources/CELH/2021-Q2/transcripts/CELH_2021-08-12_2021Q2%20Earnings.md&amp;line=180" TargetMode="External" Id="rId447"/><Relationship Type="http://schemas.openxmlformats.org/officeDocument/2006/relationships/hyperlink" Target="obsidian://adv-uri?vault=Brain&amp;filepath=Sources/CELH/2021-Q3/transcripts/CELH_2021-11-11_2021Q3%20Earnings.md&amp;line=185" TargetMode="External" Id="rId448"/><Relationship Type="http://schemas.openxmlformats.org/officeDocument/2006/relationships/hyperlink" Target="obsidian://adv-uri?vault=Brain&amp;filepath=Sources/CELH/2025-Q1/transcripts/CELH_2025-05-06_2025Q1%20Earnings.md&amp;line=204" TargetMode="External" Id="rId449"/><Relationship Type="http://schemas.openxmlformats.org/officeDocument/2006/relationships/hyperlink" Target="obsidian://adv-uri?vault=Brain&amp;filepath=Sources/CELH/2025-Q2/transcripts/CELH_2025-08-07_2025Q2%20Earnings.md&amp;line=194" TargetMode="External" Id="rId450"/><Relationship Type="http://schemas.openxmlformats.org/officeDocument/2006/relationships/hyperlink" Target="obsidian://adv-uri?vault=Brain&amp;filepath=Sources/CELH/2025-Q2/transcripts/CELH_2025-08-07_2025Q2%20Earnings.md&amp;line=254" TargetMode="External" Id="rId451"/><Relationship Type="http://schemas.openxmlformats.org/officeDocument/2006/relationships/hyperlink" Target="obsidian://adv-uri?vault=Brain&amp;filepath=Sources/CELH/2024-FY/transcripts/CELH_2025-02-20_2024Q4%20Earnings.md&amp;line=220" TargetMode="External" Id="rId452"/><Relationship Type="http://schemas.openxmlformats.org/officeDocument/2006/relationships/hyperlink" Target="obsidian://adv-uri?vault=Brain&amp;filepath=Sources/CELH/2024-FY/transcripts/CELH_2025-02-20_2024Q4%20Earnings.md&amp;line=244" TargetMode="External" Id="rId453"/><Relationship Type="http://schemas.openxmlformats.org/officeDocument/2006/relationships/hyperlink" Target="obsidian://adv-uri?vault=Brain&amp;filepath=Sources/CELH/2025-Q1/transcripts/CELH_2025-05-06_2025Q1%20Earnings.md&amp;line=204" TargetMode="External" Id="rId454"/><Relationship Type="http://schemas.openxmlformats.org/officeDocument/2006/relationships/hyperlink" Target="obsidian://adv-uri?vault=Brain&amp;filepath=Sources/CELH/2025-Q2/transcripts/CELH_2025-08-07_2025Q2%20Earnings.md&amp;line=194" TargetMode="External" Id="rId455"/><Relationship Type="http://schemas.openxmlformats.org/officeDocument/2006/relationships/hyperlink" Target="obsidian://adv-uri?vault=Brain&amp;filepath=Sources/CELH/2025-Q2/transcripts/CELH_2025-08-07_2025Q2%20Earnings.md&amp;line=254" TargetMode="External" Id="rId456"/><Relationship Type="http://schemas.openxmlformats.org/officeDocument/2006/relationships/hyperlink" Target="obsidian://adv-uri?vault=Brain&amp;filepath=Sources/CELH/2025-FY/transcripts/CELH_2026-02-26_2025Q4%20Earnings%20Press%20Release.md&amp;line=134" TargetMode="External" Id="rId457"/><Relationship Type="http://schemas.openxmlformats.org/officeDocument/2006/relationships/hyperlink" Target="obsidian://adv-uri?vault=Brain&amp;filepath=Sources/CELH/2024-FY/transcripts/CELH_2025-02-20_2024Q4%20Earnings.md&amp;line=208" TargetMode="External" Id="rId458"/><Relationship Type="http://schemas.openxmlformats.org/officeDocument/2006/relationships/hyperlink" Target="obsidian://adv-uri?vault=Brain&amp;filepath=Sources/CELH/2025-Q1/transcripts/CELH_2025-05-06_2025Q1%20Earnings.md&amp;line=174" TargetMode="External" Id="rId459"/><Relationship Type="http://schemas.openxmlformats.org/officeDocument/2006/relationships/hyperlink" Target="obsidian://adv-uri?vault=Brain&amp;filepath=Sources/CELH/2024-FY/transcripts/CELH_2025-02-20_2024Q4%20Earnings.md&amp;line=208" TargetMode="External" Id="rId460"/><Relationship Type="http://schemas.openxmlformats.org/officeDocument/2006/relationships/hyperlink" Target="obsidian://adv-uri?vault=Brain&amp;filepath=Sources/CELH/2025-Q1/transcripts/CELH_2025-05-28_Acquiring%20Alani%20Nu.md&amp;line=168" TargetMode="External" Id="rId461"/><Relationship Type="http://schemas.openxmlformats.org/officeDocument/2006/relationships/hyperlink" Target="obsidian://adv-uri?vault=Brain&amp;filepath=Sources/CELH/2025-Q1/transcripts/CELH_2025-05-06_2025Q1%20Earnings.md&amp;line=174" TargetMode="External" Id="rId462"/><Relationship Type="http://schemas.openxmlformats.org/officeDocument/2006/relationships/hyperlink" Target="obsidian://adv-uri?vault=Brain&amp;filepath=Sources/CELH/2025-FY/transcripts/CELH_2026-02-26_2025Q4%20Earnings%20Press%20Release.md&amp;line=134" TargetMode="External" Id="rId463"/><Relationship Type="http://schemas.openxmlformats.org/officeDocument/2006/relationships/hyperlink" Target="obsidian://adv-uri?vault=Brain&amp;filepath=Sources/CELH/2026-Q1/transcripts/CELH_2026-05-07_2026Q1%20Earnings.md&amp;line=222" TargetMode="External" Id="rId464"/><Relationship Type="http://schemas.openxmlformats.org/officeDocument/2006/relationships/hyperlink" Target="obsidian://adv-uri?vault=Brain&amp;filepath=Sources/CELH/2026-Q1/transcripts/CELH_2026-05-07_2026Q1%20Earnings.md&amp;line=210" TargetMode="External" Id="rId465"/><Relationship Type="http://schemas.openxmlformats.org/officeDocument/2006/relationships/hyperlink" Target="obsidian://adv-uri?vault=Brain&amp;filepath=Sources/CELH/2025-FY/transcripts/CELH_2026-02-26_2025Q4%20Earnings%20Press%20Release.md&amp;line=20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FY/transcripts/CELH_2023-03-01_2022Q4%20Earnings.md&amp;line=239" TargetMode="External" Id="rId476"/><Relationship Type="http://schemas.openxmlformats.org/officeDocument/2006/relationships/hyperlink" Target="obsidian://adv-uri?vault=Brain&amp;filepath=Sources/CELH/2020-FY/transcripts/CELH_2021-03-11_2020Q4%20Earnings.md&amp;line=115" TargetMode="External" Id="rId477"/><Relationship Type="http://schemas.openxmlformats.org/officeDocument/2006/relationships/hyperlink" Target="obsidian://adv-uri?vault=Brain&amp;filepath=Sources/CELH/2025-FY/transcripts/CELH_2026-02-26_2025Q4%20Earnings.md&amp;line=182" TargetMode="External" Id="rId478"/><Relationship Type="http://schemas.openxmlformats.org/officeDocument/2006/relationships/hyperlink" Target="obsidian://adv-uri?vault=Brain&amp;filepath=Sources/CELH/2026-Q1/transcripts/CELH_2026-05-07_2026Q1%20Earnings.md&amp;line=180"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5-Q2/transcripts/CELH_2025-08-07_2025Q2%20Earnings.md&amp;line=160" TargetMode="External" Id="rId481"/><Relationship Type="http://schemas.openxmlformats.org/officeDocument/2006/relationships/hyperlink" Target="obsidian://adv-uri?vault=Brain&amp;filepath=Sources/CELH/2025-FY/transcripts/CELH_2026-02-26_2025Q4%20Earnings%20Press%20Release.md&amp;line=230" TargetMode="External" Id="rId482"/><Relationship Type="http://schemas.openxmlformats.org/officeDocument/2006/relationships/hyperlink" Target="obsidian://adv-uri?vault=Brain&amp;filepath=Sources/CELH/2025-FY/transcripts/CELH_2026-02-26_2025Q4%20Earnings%20Press%20Release.md&amp;line=161" TargetMode="External" Id="rId483"/><Relationship Type="http://schemas.openxmlformats.org/officeDocument/2006/relationships/hyperlink" Target="obsidian://adv-uri?vault=Brain&amp;filepath=Sources/CELH/2025-FY/transcripts/CELH_2026-02-26_2025Q4%20Earnings%20Press%20Release.md&amp;line=134" TargetMode="External" Id="rId484"/><Relationship Type="http://schemas.openxmlformats.org/officeDocument/2006/relationships/hyperlink" Target="obsidian://adv-uri?vault=Brain&amp;filepath=Sources/CELH/2025-Q1/transcripts/CELH_2025-05-06_2025Q1%20Earnings.md&amp;line=212" TargetMode="External" Id="rId485"/><Relationship Type="http://schemas.openxmlformats.org/officeDocument/2006/relationships/hyperlink" Target="obsidian://adv-uri?vault=Brain&amp;filepath=Sources/CELH/2019-Q1/transcripts/CELH_2019-05-09_2019Q1%20Earnings.md&amp;line=145" TargetMode="External" Id="rId486"/><Relationship Type="http://schemas.openxmlformats.org/officeDocument/2006/relationships/hyperlink" Target="obsidian://adv-uri?vault=Brain&amp;filepath=Sources/CELH/2022-Q2/transcripts/CELH_2022-08-09_2022Q2%20Earnings.md&amp;line=142" TargetMode="External" Id="rId487"/><Relationship Type="http://schemas.openxmlformats.org/officeDocument/2006/relationships/hyperlink" Target="obsidian://adv-uri?vault=Brain&amp;filepath=Sources/CELH/2022-FY/transcripts/CELH_2023-03-01_2022Q4%20Earnings.md&amp;line=219" TargetMode="External" Id="rId488"/><Relationship Type="http://schemas.openxmlformats.org/officeDocument/2006/relationships/hyperlink" Target="obsidian://adv-uri?vault=Brain&amp;filepath=Sources/CELH/2023-Q1/transcripts/CELH_2023-05-09_2023Q1%20Earnings.md&amp;line=189" TargetMode="External" Id="rId489"/><Relationship Type="http://schemas.openxmlformats.org/officeDocument/2006/relationships/hyperlink" Target="obsidian://adv-uri?vault=Brain&amp;filepath=Sources/CELH/2023-Q2/transcripts/CELH_2023-08-08_2023Q2%20Earnings.md&amp;line=178" TargetMode="External" Id="rId490"/><Relationship Type="http://schemas.openxmlformats.org/officeDocument/2006/relationships/hyperlink" Target="obsidian://adv-uri?vault=Brain&amp;filepath=Sources/CELH/2022-Q3/transcripts/CELH_2022-11-09_2022Q3%20Earnings.md&amp;line=210" TargetMode="External" Id="rId491"/><Relationship Type="http://schemas.openxmlformats.org/officeDocument/2006/relationships/hyperlink" Target="obsidian://adv-uri?vault=Brain&amp;filepath=Sources/CELH/2023-FY/transcripts/CELH_2024-02-29_2023Q4%20Earnings.md&amp;line=251" TargetMode="External" Id="rId492"/><Relationship Type="http://schemas.openxmlformats.org/officeDocument/2006/relationships/hyperlink" Target="obsidian://adv-uri?vault=Brain&amp;filepath=Sources/CELH/2022-FY/transcripts/CELH_2023-03-01_2022Q4%20Earnings.md&amp;line=219" TargetMode="External" Id="rId493"/><Relationship Type="http://schemas.openxmlformats.org/officeDocument/2006/relationships/hyperlink" Target="obsidian://adv-uri?vault=Brain&amp;filepath=Sources/CELH/2024-Q1/transcripts/CELH_2024-05-07_2024Q1%20Earnings.md&amp;line=224" TargetMode="External" Id="rId494"/><Relationship Type="http://schemas.openxmlformats.org/officeDocument/2006/relationships/hyperlink" Target="obsidian://adv-uri?vault=Brain&amp;filepath=Sources/CELH/2023-Q2/transcripts/CELH_2023-08-08_2023Q2%20Earnings.md&amp;line=178" TargetMode="External" Id="rId495"/><Relationship Type="http://schemas.openxmlformats.org/officeDocument/2006/relationships/hyperlink" Target="obsidian://adv-uri?vault=Brain&amp;filepath=Sources/CELH/2023-Q3/transcripts/CELH_2023-11-07_2023Q3%20Earnings.md&amp;line=192" TargetMode="External" Id="rId496"/><Relationship Type="http://schemas.openxmlformats.org/officeDocument/2006/relationships/hyperlink" Target="obsidian://adv-uri?vault=Brain&amp;filepath=Sources/CELH/2024-Q1/transcripts/CELH_2024-05-07_2024Q1%20Earnings.md&amp;line=224" TargetMode="External" Id="rId497"/><Relationship Type="http://schemas.openxmlformats.org/officeDocument/2006/relationships/hyperlink" Target="obsidian://adv-uri?vault=Brain&amp;filepath=Sources/CELH/2025-Q1/transcripts/CELH_2025-05-28_Acquiring%20Alani%20Nu.md&amp;line=184" TargetMode="External" Id="rId498"/><Relationship Type="http://schemas.openxmlformats.org/officeDocument/2006/relationships/hyperlink" Target="obsidian://adv-uri?vault=Brain&amp;filepath=Sources/CELH/2025-Q1/transcripts/CELH_2025-05-06_2025Q1%20Earnings.md&amp;line=228" TargetMode="External" Id="rId499"/><Relationship Type="http://schemas.openxmlformats.org/officeDocument/2006/relationships/hyperlink" Target="obsidian://adv-uri?vault=Brain&amp;filepath=Sources/CELH/2025-FY/transcripts/CELH_2026-02-26_2025Q4%20Earnings%20Press%20Release.md&amp;line=134" TargetMode="External" Id="rId500"/><Relationship Type="http://schemas.openxmlformats.org/officeDocument/2006/relationships/hyperlink" Target="obsidian://adv-uri?vault=Brain&amp;filepath=Sources/CELH/2020-Q3/transcripts/CELH_2020-11-12_2020Q3%20Earnings.md&amp;line=208" TargetMode="External" Id="rId501"/><Relationship Type="http://schemas.openxmlformats.org/officeDocument/2006/relationships/hyperlink" Target="obsidian://adv-uri?vault=Brain&amp;filepath=Sources/CELH/2021-FY/transcripts/CELH_2022-03-01_2021Q4%20Earnings.md&amp;line=121" TargetMode="External" Id="rId502"/><Relationship Type="http://schemas.openxmlformats.org/officeDocument/2006/relationships/hyperlink" Target="obsidian://adv-uri?vault=Brain&amp;filepath=Sources/CELH/2023-Q1/transcripts/CELH_2023-05-09_2023Q1%20Earnings.md&amp;line=197" TargetMode="External" Id="rId503"/><Relationship Type="http://schemas.openxmlformats.org/officeDocument/2006/relationships/hyperlink" Target="obsidian://adv-uri?vault=Brain&amp;filepath=Sources/CELH/2023-Q2/transcripts/CELH_2023-08-08_2023Q2%20Earnings.md&amp;line=198" TargetMode="External" Id="rId504"/><Relationship Type="http://schemas.openxmlformats.org/officeDocument/2006/relationships/hyperlink" Target="obsidian://adv-uri?vault=Brain&amp;filepath=Sources/CELH/2023-Q3/transcripts/CELH_2023-11-07_2023Q3%20Earnings.md&amp;line=278" TargetMode="External" Id="rId505"/><Relationship Type="http://schemas.openxmlformats.org/officeDocument/2006/relationships/hyperlink" Target="obsidian://adv-uri?vault=Brain&amp;filepath=Sources/CELH/2022-FY/transcripts/CELH_2023-03-01_2022Q4%20Earnings.md&amp;line=227" TargetMode="External" Id="rId506"/><Relationship Type="http://schemas.openxmlformats.org/officeDocument/2006/relationships/hyperlink" Target="obsidian://adv-uri?vault=Brain&amp;filepath=Sources/CELH/2023-Q2/transcripts/CELH_2023-08-08_2023Q2%20Earnings.md&amp;line=198" TargetMode="External" Id="rId507"/><Relationship Type="http://schemas.openxmlformats.org/officeDocument/2006/relationships/hyperlink" Target="obsidian://adv-uri?vault=Brain&amp;filepath=Sources/CELH/2023-Q3/transcripts/CELH_2023-11-07_2023Q3%20Earnings.md&amp;line=278" TargetMode="External" Id="rId508"/><Relationship Type="http://schemas.openxmlformats.org/officeDocument/2006/relationships/hyperlink" Target="obsidian://adv-uri?vault=Brain&amp;filepath=Sources/CELH/2022-Q2/transcripts/CELH_2022-08-09_2022Q2%20Earnings.md&amp;line=142" TargetMode="External" Id="rId509"/><Relationship Type="http://schemas.openxmlformats.org/officeDocument/2006/relationships/hyperlink" Target="obsidian://adv-uri?vault=Brain&amp;filepath=Sources/CELH/2022-Q3/transcripts/CELH_2022-11-09_2022Q3%20Earnings.md&amp;line=140" TargetMode="External" Id="rId510"/><Relationship Type="http://schemas.openxmlformats.org/officeDocument/2006/relationships/hyperlink" Target="obsidian://adv-uri?vault=Brain&amp;filepath=Sources/CELH/2022-Q2/transcripts/CELH_2022-08-09_2022Q2%20Earnings.md&amp;line=218" TargetMode="External" Id="rId511"/><Relationship Type="http://schemas.openxmlformats.org/officeDocument/2006/relationships/hyperlink" Target="obsidian://adv-uri?vault=Brain&amp;filepath=Sources/CELH/2022-Q3/transcripts/CELH_2022-11-09_2022Q3%20Earnings.md&amp;line=222"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0-FY/transcripts/CELH_2021-03-11_2020Q4%20Earnings.md&amp;line=115" TargetMode="External" Id="rId515"/><Relationship Type="http://schemas.openxmlformats.org/officeDocument/2006/relationships/hyperlink" Target="obsidian://adv-uri?vault=Brain&amp;filepath=Sources/CELH/2025-Q1/transcripts/CELH_2025-05-06_2025Q1%20Earnings.md&amp;line=160" TargetMode="External" Id="rId516"/><Relationship Type="http://schemas.openxmlformats.org/officeDocument/2006/relationships/hyperlink" Target="obsidian://adv-uri?vault=Brain&amp;filepath=Sources/CELH/2020-Q1/transcripts/CELH_2020-05-12_2020Q1%20Earnings.md&amp;line=162" TargetMode="External" Id="rId517"/><Relationship Type="http://schemas.openxmlformats.org/officeDocument/2006/relationships/hyperlink" Target="obsidian://adv-uri?vault=Brain&amp;filepath=Sources/CELH/2020-Q2/transcripts/CELH_2020-08-06_2020Q2%20Earnings.md&amp;line=165" TargetMode="External" Id="rId518"/><Relationship Type="http://schemas.openxmlformats.org/officeDocument/2006/relationships/hyperlink" Target="obsidian://adv-uri?vault=Brain&amp;filepath=Sources/CELH/2020-Q3/transcripts/CELH_2020-11-12_2020Q3%20Earnings.md&amp;line=168" TargetMode="External" Id="rId519"/><Relationship Type="http://schemas.openxmlformats.org/officeDocument/2006/relationships/hyperlink" Target="obsidian://adv-uri?vault=Brain&amp;filepath=Sources/CELH/2021-Q1/transcripts/CELH_2021-05-13_2021Q1%20Earnings.md&amp;line=200" TargetMode="External" Id="rId520"/><Relationship Type="http://schemas.openxmlformats.org/officeDocument/2006/relationships/hyperlink" Target="obsidian://adv-uri?vault=Brain&amp;filepath=Sources/CELH/2021-Q2/transcripts/CELH_2021-08-12_2021Q2%20Earnings.md&amp;line=208" TargetMode="External" Id="rId521"/><Relationship Type="http://schemas.openxmlformats.org/officeDocument/2006/relationships/hyperlink" Target="obsidian://adv-uri?vault=Brain&amp;filepath=Sources/CELH/2021-Q3/transcripts/CELH_2021-11-11_2021Q3%20Earnings.md&amp;line=217" TargetMode="External" Id="rId522"/><Relationship Type="http://schemas.openxmlformats.org/officeDocument/2006/relationships/hyperlink" Target="obsidian://adv-uri?vault=Brain&amp;filepath=Sources/CELH/2022-Q1/transcripts/CELH_2022-05-10_2022Q1%20Earnings.md&amp;line=222" TargetMode="External" Id="rId523"/><Relationship Type="http://schemas.openxmlformats.org/officeDocument/2006/relationships/hyperlink" Target="obsidian://adv-uri?vault=Brain&amp;filepath=Sources/CELH/2021-Q2/transcripts/CELH_2021-08-12_2021Q2%20Earnings.md&amp;line=208" TargetMode="External" Id="rId524"/><Relationship Type="http://schemas.openxmlformats.org/officeDocument/2006/relationships/hyperlink" Target="obsidian://adv-uri?vault=Brain&amp;filepath=Sources/CELH/2021-Q3/transcripts/CELH_2021-11-11_2021Q3%20Earnings.md&amp;line=217" TargetMode="External" Id="rId525"/><Relationship Type="http://schemas.openxmlformats.org/officeDocument/2006/relationships/hyperlink" Target="obsidian://adv-uri?vault=Brain&amp;filepath=Sources/CELH/2022-Q1/transcripts/CELH_2022-05-10_2022Q1%20Earnings.md&amp;line=222" TargetMode="External" Id="rId526"/><Relationship Type="http://schemas.openxmlformats.org/officeDocument/2006/relationships/hyperlink" Target="obsidian://adv-uri?vault=Brain&amp;filepath=Sources/CELH/2022-Q2/transcripts/CELH_2022-08-09_2022Q2%20Earnings.md&amp;line=194" TargetMode="External" Id="rId527"/><Relationship Type="http://schemas.openxmlformats.org/officeDocument/2006/relationships/hyperlink" Target="obsidian://adv-uri?vault=Brain&amp;filepath=Sources/CELH/2023-Q3/transcripts/CELH_2023-11-07_2023Q3%20Earnings.md&amp;line=209" TargetMode="External" Id="rId528"/><Relationship Type="http://schemas.openxmlformats.org/officeDocument/2006/relationships/hyperlink" Target="obsidian://adv-uri?vault=Brain&amp;filepath=Sources/CELH/2024-Q1/transcripts/CELH_2024-05-07_2024Q1%20Earnings.md&amp;line=200" TargetMode="External" Id="rId529"/><Relationship Type="http://schemas.openxmlformats.org/officeDocument/2006/relationships/hyperlink" Target="obsidian://adv-uri?vault=Brain&amp;filepath=Sources/CELH/2023-Q3/transcripts/CELH_2023-11-07_2023Q3%20Earnings.md&amp;line=209" TargetMode="External" Id="rId530"/><Relationship Type="http://schemas.openxmlformats.org/officeDocument/2006/relationships/hyperlink" Target="obsidian://adv-uri?vault=Brain&amp;filepath=Sources/CELH/2024-Q1/transcripts/CELH_2024-05-07_2024Q1%20Earnings.md&amp;line=200" TargetMode="External" Id="rId531"/><Relationship Type="http://schemas.openxmlformats.org/officeDocument/2006/relationships/hyperlink" Target="obsidian://adv-uri?vault=Brain&amp;filepath=Sources/CELH/2025-Q2/transcripts/CELH_2025-08-07_2025Q2%20Earnings.md&amp;line=190" TargetMode="External" Id="rId532"/><Relationship Type="http://schemas.openxmlformats.org/officeDocument/2006/relationships/hyperlink" Target="obsidian://adv-uri?vault=Brain&amp;filepath=Sources/CELH/2025-Q1/transcripts/CELH_2025-05-06_2025Q1%20Earnings.md&amp;line=200" TargetMode="External" Id="rId533"/><Relationship Type="http://schemas.openxmlformats.org/officeDocument/2006/relationships/hyperlink" Target="obsidian://adv-uri?vault=Brain&amp;filepath=Sources/CELH/2025-Q2/transcripts/CELH_2025-08-07_2025Q2%20Earnings.md&amp;line=190" TargetMode="External" Id="rId534"/><Relationship Type="http://schemas.openxmlformats.org/officeDocument/2006/relationships/hyperlink" Target="obsidian://adv-uri?vault=Brain&amp;filepath=Sources/CELH/2025-FY/transcripts/CELH_2026-02-26_2025Q4%20Earnings%20Press%20Release.md&amp;line=134" TargetMode="External" Id="rId535"/><Relationship Type="http://schemas.openxmlformats.org/officeDocument/2006/relationships/hyperlink" Target="obsidian://adv-uri?vault=Brain&amp;filepath=Sources/CELH/2023-Q1/transcripts/CELH_2023-06-01_Annual%20General%20Meeting.md&amp;line=155" TargetMode="External" Id="rId536"/><Relationship Type="http://schemas.openxmlformats.org/officeDocument/2006/relationships/hyperlink" Target="obsidian://adv-uri?vault=Brain&amp;filepath=Sources/CELH/2025-FY/transcripts/CELH_2026-02-26_2025Q4%20Earnings%20Press%20Release.md&amp;line=134" TargetMode="External" Id="rId537"/><Relationship Type="http://schemas.openxmlformats.org/officeDocument/2006/relationships/hyperlink" Target="obsidian://adv-uri?vault=Brain&amp;filepath=Sources/CELH/2025-FY/transcripts/CELH_2026-02-26_2025Q4%20Earnings%20Press%20Release.md&amp;line=209"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1-Q2/transcripts/CELH_2021-08-12_2021Q2%20Earnings.md&amp;line=142" TargetMode="External" Id="rId540"/><Relationship Type="http://schemas.openxmlformats.org/officeDocument/2006/relationships/hyperlink" Target="obsidian://adv-uri?vault=Brain&amp;filepath=Sources/CELH/2022-Q1/transcripts/CELH_2022-06-02_Annual%20Shareholder%20Meeting.md&amp;line=190" TargetMode="External" Id="rId541"/><Relationship Type="http://schemas.openxmlformats.org/officeDocument/2006/relationships/hyperlink" Target="obsidian://adv-uri?vault=Brain&amp;filepath=Sources/CELH/2022-Q2/transcripts/CELH_2022-08-09_2022Q2%20Earnings.md&amp;line=142" TargetMode="External" Id="rId542"/><Relationship Type="http://schemas.openxmlformats.org/officeDocument/2006/relationships/hyperlink" Target="obsidian://adv-uri?vault=Brain&amp;filepath=Sources/CELH/2022-Q2/transcripts/CELH_2022-08-09_2022Q2%20Earnings.md&amp;line=198" TargetMode="External" Id="rId543"/><Relationship Type="http://schemas.openxmlformats.org/officeDocument/2006/relationships/hyperlink" Target="obsidian://adv-uri?vault=Brain&amp;filepath=Sources/CELH/2021-FY/transcripts/CELH_2022-03-01_2021Q4%20Earnings.md&amp;line=121" TargetMode="External" Id="rId544"/><Relationship Type="http://schemas.openxmlformats.org/officeDocument/2006/relationships/hyperlink" Target="obsidian://adv-uri?vault=Brain&amp;filepath=Sources/CELH/2021-FY/transcripts/CELH_2022-03-01_2021Q4%20Earnings.md&amp;line=206"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Q2/transcripts/CELH_2021-08-12_2021Q2%20Earnings.md&amp;line=142" TargetMode="External" Id="rId547"/><Relationship Type="http://schemas.openxmlformats.org/officeDocument/2006/relationships/hyperlink" Target="obsidian://adv-uri?vault=Brain&amp;filepath=Sources/CELH/2025-Q2/transcripts/CELH_2025-08-07_2025Q2%20Earnings.md&amp;line=146" TargetMode="External" Id="rId548"/><Relationship Type="http://schemas.openxmlformats.org/officeDocument/2006/relationships/hyperlink" Target="obsidian://adv-uri?vault=Brain&amp;filepath=Sources/CELH/2022-Q3/transcripts/CELH_2022-11-09_2022Q3%20Earnings.md&amp;line=140" TargetMode="External" Id="rId549"/><Relationship Type="http://schemas.openxmlformats.org/officeDocument/2006/relationships/hyperlink" Target="obsidian://adv-uri?vault=Brain&amp;filepath=Sources/CELH/2019-Q1/transcripts/CELH_2019-05-09_2019Q1%20Earnings.md&amp;line=167" TargetMode="External" Id="rId550"/><Relationship Type="http://schemas.openxmlformats.org/officeDocument/2006/relationships/hyperlink" Target="obsidian://adv-uri?vault=Brain&amp;filepath=Sources/CELH/2019-Q2/transcripts/CELH_2019-08-08_2019Q2%20Earnings.md&amp;line=146" TargetMode="External" Id="rId551"/><Relationship Type="http://schemas.openxmlformats.org/officeDocument/2006/relationships/hyperlink" Target="obsidian://adv-uri?vault=Brain&amp;filepath=Sources/CELH/2019-FY/transcripts/CELH_2020-03-12_2019Q4%20Earnings.md&amp;line=114" TargetMode="External" Id="rId552"/><Relationship Type="http://schemas.openxmlformats.org/officeDocument/2006/relationships/hyperlink" Target="obsidian://adv-uri?vault=Brain&amp;filepath=Sources/CELH/2020-FY/transcripts/CELH_2021-03-11_2020Q4%20Earnings.md&amp;line=115" TargetMode="External" Id="rId553"/><Relationship Type="http://schemas.openxmlformats.org/officeDocument/2006/relationships/hyperlink" Target="obsidian://adv-uri?vault=Brain&amp;filepath=Sources/CELH/2019-Q3/transcripts/CELH_2019-11-07_2019Q3%20Earnings.md&amp;line=161" TargetMode="External" Id="rId554"/><Relationship Type="http://schemas.openxmlformats.org/officeDocument/2006/relationships/hyperlink" Target="obsidian://adv-uri?vault=Brain&amp;filepath=Sources/CELH/2019-Q3/transcripts/CELH_2019-11-07_2019Q3%20Earnings.md&amp;line=113" TargetMode="External" Id="rId555"/><Relationship Type="http://schemas.openxmlformats.org/officeDocument/2006/relationships/hyperlink" Target="obsidian://adv-uri?vault=Brain&amp;filepath=Sources/CELH/2025-Q1/transcripts/CELH_2025-05-06_2025Q1%20Earnings.md&amp;line=236" TargetMode="External" Id="rId556"/><Relationship Type="http://schemas.openxmlformats.org/officeDocument/2006/relationships/hyperlink" Target="obsidian://adv-uri?vault=Brain&amp;filepath=Sources/CELH/2023-Q3/transcripts/CELH_2023-11-07_2023Q3%20Earnings.md&amp;line=161" TargetMode="External" Id="rId557"/><Relationship Type="http://schemas.openxmlformats.org/officeDocument/2006/relationships/hyperlink" Target="obsidian://adv-uri?vault=Brain&amp;filepath=Sources/CELH/2025-Q3/transcripts/CELH_2025-11-06_2025Q3%20Earnings.md&amp;line=210" TargetMode="External" Id="rId558"/><Relationship Type="http://schemas.openxmlformats.org/officeDocument/2006/relationships/hyperlink" Target="obsidian://adv-uri?vault=Brain&amp;filepath=Sources/CELH/2020-FY/transcripts/CELH_2021-03-11_2020Q4%20Earnings.md&amp;line=115"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2-Q2/transcripts/CELH_2022-08-09_2022Q2%20Earnings.md&amp;line=185" TargetMode="External" Id="rId562"/><Relationship Type="http://schemas.openxmlformats.org/officeDocument/2006/relationships/hyperlink" Target="obsidian://adv-uri?vault=Brain&amp;filepath=Sources/CELH/2022-Q3/transcripts/CELH_2022-11-09_2022Q3%20Earnings.md&amp;line=186" TargetMode="External" Id="rId563"/><Relationship Type="http://schemas.openxmlformats.org/officeDocument/2006/relationships/hyperlink" Target="obsidian://adv-uri?vault=Brain&amp;filepath=Sources/CELH/2022-Q1/transcripts/CELH_2022-05-10_2022Q1%20Earnings.md&amp;line=214" TargetMode="External" Id="rId564"/><Relationship Type="http://schemas.openxmlformats.org/officeDocument/2006/relationships/hyperlink" Target="obsidian://adv-uri?vault=Brain&amp;filepath=Sources/CELH/2022-Q2/transcripts/CELH_2022-08-09_2022Q2%20Earnings.md&amp;line=185" TargetMode="External" Id="rId565"/><Relationship Type="http://schemas.openxmlformats.org/officeDocument/2006/relationships/hyperlink" Target="obsidian://adv-uri?vault=Brain&amp;filepath=Sources/CELH/2022-Q3/transcripts/CELH_2022-11-09_2022Q3%20Earnings.md&amp;line=186" TargetMode="External" Id="rId566"/><Relationship Type="http://schemas.openxmlformats.org/officeDocument/2006/relationships/hyperlink" Target="obsidian://adv-uri?vault=Brain&amp;filepath=Sources/CELH/2023-Q1/transcripts/CELH_2023-05-09_2023Q1%20Earnings.md&amp;line=185" TargetMode="External" Id="rId567"/><Relationship Type="http://schemas.openxmlformats.org/officeDocument/2006/relationships/hyperlink" Target="obsidian://adv-uri?vault=Brain&amp;filepath=Sources/CELH/2023-Q2/transcripts/CELH_2023-08-08_2023Q2%20Earnings.md&amp;line=228" TargetMode="External" Id="rId568"/><Relationship Type="http://schemas.openxmlformats.org/officeDocument/2006/relationships/hyperlink" Target="obsidian://adv-uri?vault=Brain&amp;filepath=Sources/CELH/2023-Q3/transcripts/CELH_2023-11-07_2023Q3%20Earnings.md&amp;line=234" TargetMode="External" Id="rId569"/><Relationship Type="http://schemas.openxmlformats.org/officeDocument/2006/relationships/hyperlink" Target="obsidian://adv-uri?vault=Brain&amp;filepath=Sources/CELH/2023-FY/transcripts/CELH_2024-02-29_2023Q4%20Earnings.md&amp;line=223" TargetMode="External" Id="rId570"/><Relationship Type="http://schemas.openxmlformats.org/officeDocument/2006/relationships/hyperlink" Target="obsidian://adv-uri?vault=Brain&amp;filepath=Sources/CELH/2023-FY/transcripts/CELH_2024-02-29_2023Q4%20Earnings.md&amp;line=227" TargetMode="External" Id="rId571"/><Relationship Type="http://schemas.openxmlformats.org/officeDocument/2006/relationships/hyperlink" Target="obsidian://adv-uri?vault=Brain&amp;filepath=Sources/CELH/2024-Q1/transcripts/CELH_2024-05-07_2024Q1%20Earnings.md&amp;line=188" TargetMode="External" Id="rId572"/><Relationship Type="http://schemas.openxmlformats.org/officeDocument/2006/relationships/hyperlink" Target="obsidian://adv-uri?vault=Brain&amp;filepath=Sources/CELH/2024-FY/transcripts/CELH_2025-02-20_2024Q4%20Earnings.md&amp;line=236" TargetMode="External" Id="rId573"/><Relationship Type="http://schemas.openxmlformats.org/officeDocument/2006/relationships/hyperlink" Target="obsidian://adv-uri?vault=Brain&amp;filepath=Sources/CELH/2025-Q2/transcripts/CELH_2025-08-07_2025Q2%20Earnings.md&amp;line=146" TargetMode="External" Id="rId574"/><Relationship Type="http://schemas.openxmlformats.org/officeDocument/2006/relationships/hyperlink" Target="obsidian://adv-uri?vault=Brain&amp;filepath=Sources/CELH/2025-Q3/transcripts/CELH_2025-11-06_2025Q3%20Earnings.md&amp;line=193" TargetMode="External" Id="rId575"/><Relationship Type="http://schemas.openxmlformats.org/officeDocument/2006/relationships/hyperlink" Target="obsidian://adv-uri?vault=Brain&amp;filepath=Sources/CELH/2025-Q1/transcripts/CELH_2025-05-06_2025Q1%20Earnings.md&amp;line=160" TargetMode="External" Id="rId576"/><Relationship Type="http://schemas.openxmlformats.org/officeDocument/2006/relationships/hyperlink" Target="obsidian://adv-uri?vault=Brain&amp;filepath=Sources/CELH/2025-Q2/transcripts/CELH_2025-08-07_2025Q2%20Earnings.md&amp;line=146" TargetMode="External" Id="rId577"/><Relationship Type="http://schemas.openxmlformats.org/officeDocument/2006/relationships/hyperlink" Target="obsidian://adv-uri?vault=Brain&amp;filepath=Sources/CELH/2022-Q3/transcripts/CELH_2022-11-09_2022Q3%20Earnings.md&amp;line=140" TargetMode="External" Id="rId578"/><Relationship Type="http://schemas.openxmlformats.org/officeDocument/2006/relationships/hyperlink" Target="obsidian://adv-uri?vault=Brain&amp;filepath=Sources/CELH/2023-Q3/transcripts/CELH_2023-11-07_2023Q3%20Earnings.md&amp;line=286"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4-FY/transcripts/CELH_2025-03-12_UBS%20Conference.md&amp;line=151" TargetMode="External" Id="rId581"/><Relationship Type="http://schemas.openxmlformats.org/officeDocument/2006/relationships/hyperlink" Target="obsidian://adv-uri?vault=Brain&amp;filepath=Sources/CELH/2025-FY/transcripts/CELH_2026-02-26_2025Q4%20Earnings%20Press%20Release.md&amp;line=134"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3-Q2/transcripts/CELH_2023-09-07_Barclays%20Conference.md&amp;line=151" TargetMode="External" Id="rId584"/><Relationship Type="http://schemas.openxmlformats.org/officeDocument/2006/relationships/hyperlink" Target="obsidian://adv-uri?vault=Brain&amp;filepath=Sources/CELH/2022-Q1/transcripts/CELH_2022-05-10_2022Q1%20Earnings.md&amp;line=157" TargetMode="External" Id="rId585"/><Relationship Type="http://schemas.openxmlformats.org/officeDocument/2006/relationships/hyperlink" Target="obsidian://adv-uri?vault=Brain&amp;filepath=Sources/CELH/2024-Q1/transcripts/CELH_2024-05-07_2024Q1%20Earnings.md&amp;line=166"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1-Q2/transcripts/CELH_2021-08-12_2021Q2%20Earnings.md&amp;line=257" TargetMode="External" Id="rId588"/><Relationship Type="http://schemas.openxmlformats.org/officeDocument/2006/relationships/hyperlink" Target="obsidian://adv-uri?vault=Brain&amp;filepath=Sources/CELH/2021-Q3/transcripts/CELH_2021-11-11_2021Q3%20Earnings.md&amp;line=144" TargetMode="External" Id="rId589"/><Relationship Type="http://schemas.openxmlformats.org/officeDocument/2006/relationships/hyperlink" Target="obsidian://adv-uri?vault=Brain&amp;filepath=Sources/CELH/2022-Q1/transcripts/CELH_2022-05-10_2022Q1%20Earnings.md&amp;line=157" TargetMode="External" Id="rId590"/><Relationship Type="http://schemas.openxmlformats.org/officeDocument/2006/relationships/hyperlink" Target="obsidian://adv-uri?vault=Brain&amp;filepath=Sources/CELH/2025-FY/transcripts/CELH_2026-02-26_2025Q4%20Earnings%20Press%20Release.md&amp;line=147" TargetMode="External" Id="rId591"/><Relationship Type="http://schemas.openxmlformats.org/officeDocument/2006/relationships/hyperlink" Target="obsidian://adv-uri?vault=Brain&amp;filepath=Sources/CELH/2021-Q2/transcripts/CELH_2021-08-12_2021Q2%20Earnings.md&amp;line=261" TargetMode="External" Id="rId592"/><Relationship Type="http://schemas.openxmlformats.org/officeDocument/2006/relationships/hyperlink" Target="obsidian://adv-uri?vault=Brain&amp;filepath=Sources/CELH/2025-FY/transcripts/CELH_2026-02-26_2025Q4%20Earnings%20Press%20Release.md&amp;line=134" TargetMode="External" Id="rId593"/><Relationship Type="http://schemas.openxmlformats.org/officeDocument/2006/relationships/hyperlink" Target="obsidian://adv-uri?vault=Brain&amp;filepath=Sources/CELH/2023-Q2/transcripts/CELH_2023-08-08_2023Q2%20Earnings.md&amp;line=194" TargetMode="External" Id="rId594"/><Relationship Type="http://schemas.openxmlformats.org/officeDocument/2006/relationships/hyperlink" Target="obsidian://adv-uri?vault=Brain&amp;filepath=Sources/CELH/2023-Q3/transcripts/CELH_2023-11-07_2023Q3%20Earnings.md&amp;line=274" TargetMode="External" Id="rId595"/><Relationship Type="http://schemas.openxmlformats.org/officeDocument/2006/relationships/hyperlink" Target="obsidian://adv-uri?vault=Brain&amp;filepath=Sources/CELH/2023-Q2/transcripts/CELH_2023-08-08_2023Q2%20Earnings.md&amp;line=194" TargetMode="External" Id="rId596"/><Relationship Type="http://schemas.openxmlformats.org/officeDocument/2006/relationships/hyperlink" Target="obsidian://adv-uri?vault=Brain&amp;filepath=Sources/CELH/2023-Q3/transcripts/CELH_2023-11-07_2023Q3%20Earnings.md&amp;line=274" TargetMode="External" Id="rId597"/><Relationship Type="http://schemas.openxmlformats.org/officeDocument/2006/relationships/hyperlink" Target="obsidian://adv-uri?vault=Brain&amp;filepath=Sources/CELH/2023-Q3/transcripts/CELH_2023-11-07_2023Q3%20Earnings.md&amp;line=179" TargetMode="External" Id="rId598"/><Relationship Type="http://schemas.openxmlformats.org/officeDocument/2006/relationships/hyperlink" Target="obsidian://adv-uri?vault=Brain&amp;filepath=Sources/CELH/2022-Q3/transcripts/CELH_2022-11-09_2022Q3%20Earnings.md&amp;line=140" TargetMode="External" Id="rId599"/><Relationship Type="http://schemas.openxmlformats.org/officeDocument/2006/relationships/hyperlink" Target="obsidian://adv-uri?vault=Brain&amp;filepath=Sources/CELH/2023-Q2/transcripts/CELH_2023-08-08_2023Q2%20Earnings.md&amp;line=186" TargetMode="External" Id="rId600"/><Relationship Type="http://schemas.openxmlformats.org/officeDocument/2006/relationships/hyperlink" Target="obsidian://adv-uri?vault=Brain&amp;filepath=Sources/CELH/2018-FY/transcripts/CELH_2019-03-14_2018Q4%20Earnings.md&amp;line=249" TargetMode="External" Id="rId601"/><Relationship Type="http://schemas.openxmlformats.org/officeDocument/2006/relationships/hyperlink" Target="obsidian://adv-uri?vault=Brain&amp;filepath=Sources/CELH/2025-FY/transcripts/CELH_2026-02-26_2025Q4%20Earnings%20Press%20Release.md&amp;line=258" TargetMode="External" Id="rId602"/><Relationship Type="http://schemas.openxmlformats.org/officeDocument/2006/relationships/hyperlink" Target="obsidian://adv-uri?vault=Brain&amp;filepath=Sources/CELH/2021-Q2/transcripts/CELH_2021-08-12_2021Q2%20Earnings.md&amp;line=228" TargetMode="External" Id="rId603"/><Relationship Type="http://schemas.openxmlformats.org/officeDocument/2006/relationships/hyperlink" Target="obsidian://adv-uri?vault=Brain&amp;filepath=Sources/CELH/2021-FY/transcripts/CELH_2022-03-01_2021Q4%20Earnings.md&amp;line=190" TargetMode="External" Id="rId604"/><Relationship Type="http://schemas.openxmlformats.org/officeDocument/2006/relationships/hyperlink" Target="obsidian://adv-uri?vault=Brain&amp;filepath=Sources/CELH/2021-Q2/transcripts/CELH_2021-08-12_2021Q2%20Earnings.md&amp;line=228" TargetMode="External" Id="rId605"/><Relationship Type="http://schemas.openxmlformats.org/officeDocument/2006/relationships/hyperlink" Target="obsidian://adv-uri?vault=Brain&amp;filepath=Sources/CELH/2021-FY/transcripts/CELH_2022-03-01_2021Q4%20Earnings.md&amp;line=190" TargetMode="External" Id="rId606"/><Relationship Type="http://schemas.openxmlformats.org/officeDocument/2006/relationships/hyperlink" Target="obsidian://adv-uri?vault=Brain&amp;filepath=Sources/CELH/2018-Q3/transcripts/CELH_2018-11-09_2018Q3%20Earnings.md&amp;line=194" TargetMode="External" Id="rId607"/><Relationship Type="http://schemas.openxmlformats.org/officeDocument/2006/relationships/hyperlink" Target="obsidian://adv-uri?vault=Brain&amp;filepath=Sources/CELH/2018-FY/transcripts/CELH_2019-03-14_2018Q4%20Earnings.md&amp;line=233" TargetMode="External" Id="rId608"/><Relationship Type="http://schemas.openxmlformats.org/officeDocument/2006/relationships/hyperlink" Target="obsidian://adv-uri?vault=Brain&amp;filepath=Sources/CELH/2018-FY/transcripts/CELH_2019-03-14_2018Q4%20Earnings.md&amp;line=241" TargetMode="External" Id="rId609"/><Relationship Type="http://schemas.openxmlformats.org/officeDocument/2006/relationships/hyperlink" Target="obsidian://adv-uri?vault=Brain&amp;filepath=Sources/CELH/2018-Q3/transcripts/CELH_2018-11-09_2018Q3%20Earnings.md&amp;line=194" TargetMode="External" Id="rId610"/><Relationship Type="http://schemas.openxmlformats.org/officeDocument/2006/relationships/hyperlink" Target="obsidian://adv-uri?vault=Brain&amp;filepath=Sources/CELH/2018-Q3/transcripts/CELH_2018-11-09_2018Q3%20Earnings.md&amp;line=146" TargetMode="External" Id="rId611"/><Relationship Type="http://schemas.openxmlformats.org/officeDocument/2006/relationships/hyperlink" Target="obsidian://adv-uri?vault=Brain&amp;filepath=Sources/CELH/2018-FY/transcripts/CELH_2019-03-14_2018Q4%20Earnings.md&amp;line=233" TargetMode="External" Id="rId612"/><Relationship Type="http://schemas.openxmlformats.org/officeDocument/2006/relationships/hyperlink" Target="obsidian://adv-uri?vault=Brain&amp;filepath=Sources/CELH/2018-FY/transcripts/CELH_2019-03-14_2018Q4%20Earnings.md&amp;line=241" TargetMode="External" Id="rId613"/><Relationship Type="http://schemas.openxmlformats.org/officeDocument/2006/relationships/hyperlink" Target="obsidian://adv-uri?vault=Brain&amp;filepath=Sources/CELH/2019-Q2/transcripts/CELH_2019-08-08_2019Q2%20Earnings.md&amp;line=146" TargetMode="External" Id="rId614"/><Relationship Type="http://schemas.openxmlformats.org/officeDocument/2006/relationships/hyperlink" Target="obsidian://adv-uri?vault=Brain&amp;filepath=Sources/CELH/2019-FY/transcripts/CELH_2020-03-12_2019Q4%20Earnings.md&amp;line=114" TargetMode="External" Id="rId615"/><Relationship Type="http://schemas.openxmlformats.org/officeDocument/2006/relationships/hyperlink" Target="obsidian://adv-uri?vault=Brain&amp;filepath=Sources/CELH/2021-Q3/transcripts/CELH_2021-11-11_2021Q3%20Earnings.md&amp;line=189" TargetMode="External" Id="rId616"/><Relationship Type="http://schemas.openxmlformats.org/officeDocument/2006/relationships/hyperlink" Target="obsidian://adv-uri?vault=Brain&amp;filepath=Sources/CELH/2021-Q2/transcripts/CELH_2021-08-12_2021Q2%20Earnings.md&amp;line=142" TargetMode="External" Id="rId617"/><Relationship Type="http://schemas.openxmlformats.org/officeDocument/2006/relationships/hyperlink" Target="obsidian://adv-uri?vault=Brain&amp;filepath=Sources/CELH/2020-FY/transcripts/CELH_2021-03-11_2020Q4%20Earnings.md&amp;line=115" TargetMode="External" Id="rId618"/><Relationship Type="http://schemas.openxmlformats.org/officeDocument/2006/relationships/hyperlink" Target="obsidian://adv-uri?vault=Brain&amp;filepath=Sources/CELH/2019-Q2/transcripts/CELH_2019-08-08_2019Q2%20Earnings.md&amp;line=226"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25-FY/transcripts/CELH_2026-02-26_2025Q4%20Earnings%20Press%20Release.md&amp;line=134" TargetMode="External" Id="rId621"/><Relationship Type="http://schemas.openxmlformats.org/officeDocument/2006/relationships/hyperlink" Target="obsidian://adv-uri?vault=Brain&amp;filepath=Sources/CELH/2021-Q2/transcripts/CELH_2021-08-12_2021Q2%20Earnings.md&amp;line=168" TargetMode="External" Id="rId622"/><Relationship Type="http://schemas.openxmlformats.org/officeDocument/2006/relationships/hyperlink" Target="obsidian://adv-uri?vault=Brain&amp;filepath=Sources/CELH/2021-Q3/transcripts/CELH_2021-11-11_2021Q3%20Earnings.md&amp;line=171" TargetMode="External" Id="rId623"/><Relationship Type="http://schemas.openxmlformats.org/officeDocument/2006/relationships/hyperlink" Target="obsidian://adv-uri?vault=Brain&amp;filepath=Sources/CELH/2021-FY/transcripts/CELH_2022-03-01_2021Q4%20Earnings.md&amp;line=121" TargetMode="External" Id="rId624"/><Relationship Type="http://schemas.openxmlformats.org/officeDocument/2006/relationships/hyperlink" Target="obsidian://adv-uri?vault=Brain&amp;filepath=Sources/CELH/2022-Q1/transcripts/CELH_2022-05-10_2022Q1%20Earnings.md&amp;line=184" TargetMode="External" Id="rId625"/><Relationship Type="http://schemas.openxmlformats.org/officeDocument/2006/relationships/hyperlink" Target="obsidian://adv-uri?vault=Brain&amp;filepath=Sources/CELH/2025-FY/transcripts/CELH_2026-02-26_2025Q4%20Earnings%20Press%20Release.md&amp;line=221" TargetMode="External" Id="rId626"/><Relationship Type="http://schemas.openxmlformats.org/officeDocument/2006/relationships/hyperlink" Target="obsidian://adv-uri?vault=Brain&amp;filepath=Sources/CELH/2021-Q3/transcripts/CELH_2021-11-11_2021Q3%20Earnings.md&amp;line=144" TargetMode="External" Id="rId627"/><Relationship Type="http://schemas.openxmlformats.org/officeDocument/2006/relationships/hyperlink" Target="obsidian://adv-uri?vault=Brain&amp;filepath=Sources/CELH/2024-FY/transcripts/CELH_2025-02-20_2024Q4%20Earnings.md&amp;line=163" TargetMode="External" Id="rId628"/><Relationship Type="http://schemas.openxmlformats.org/officeDocument/2006/relationships/hyperlink" Target="obsidian://adv-uri?vault=Brain&amp;filepath=Sources/CELH/2025-Q1/transcripts/CELH_2025-05-28_Acquiring%20Alani%20Nu.md&amp;line=180" TargetMode="External" Id="rId629"/><Relationship Type="http://schemas.openxmlformats.org/officeDocument/2006/relationships/hyperlink" Target="obsidian://adv-uri?vault=Brain&amp;filepath=Sources/CELH/2025-Q2/transcripts/CELH_2025-08-07_2025Q2%20Earnings.md&amp;line=266" TargetMode="External" Id="rId630"/><Relationship Type="http://schemas.openxmlformats.org/officeDocument/2006/relationships/hyperlink" Target="obsidian://adv-uri?vault=Brain&amp;filepath=Sources/CELH/2022-Q2/transcripts/CELH_2022-08-09_2022Q2%20Earnings.md&amp;line=142" TargetMode="External" Id="rId631"/><Relationship Type="http://schemas.openxmlformats.org/officeDocument/2006/relationships/hyperlink" Target="obsidian://adv-uri?vault=Brain&amp;filepath=Sources/CELH/2022-Q3/transcripts/CELH_2022-11-09_2022Q3%20Earnings.md&amp;line=140" TargetMode="External" Id="rId632"/><Relationship Type="http://schemas.openxmlformats.org/officeDocument/2006/relationships/hyperlink" Target="obsidian://adv-uri?vault=Brain&amp;filepath=Sources/CELH/2025-FY/transcripts/CELH_2026-02-26_2025Q4%20Earnings%20Press%20Release.md&amp;line=134" TargetMode="External" Id="rId633"/><Relationship Type="http://schemas.openxmlformats.org/officeDocument/2006/relationships/hyperlink" Target="obsidian://adv-uri?vault=Brain&amp;filepath=Sources/CELH/2024-FY/transcripts/CELH_2025-02-20_2024Q4%20Earnings.md&amp;line=172" TargetMode="External" Id="rId634"/><Relationship Type="http://schemas.openxmlformats.org/officeDocument/2006/relationships/hyperlink" Target="obsidian://adv-uri?vault=Brain&amp;filepath=Sources/CELH/2025-Q1/transcripts/CELH_2025-05-28_Acquiring%20Alani%20Nu.md&amp;line=193" TargetMode="External" Id="rId635"/><Relationship Type="http://schemas.openxmlformats.org/officeDocument/2006/relationships/hyperlink" Target="obsidian://adv-uri?vault=Brain&amp;filepath=Sources/CELH/2025-Q3/transcripts/CELH_2025-11-06_2025Q3%20Earnings.md&amp;line=147" TargetMode="External" Id="rId636"/><Relationship Type="http://schemas.openxmlformats.org/officeDocument/2006/relationships/hyperlink" Target="obsidian://adv-uri?vault=Brain&amp;filepath=Sources/CELH/2025-FY/transcripts/CELH_2026-02-26_2025Q4%20Earnings%20Press%20Release.md&amp;line=240" TargetMode="External" Id="rId637"/><Relationship Type="http://schemas.openxmlformats.org/officeDocument/2006/relationships/hyperlink" Target="obsidian://adv-uri?vault=Brain&amp;filepath=Sources/CELH/2025-FY/transcripts/CELH_2026-02-26_2025Q4%20Earnings%20Press%20Release.md&amp;line=156" TargetMode="External" Id="rId638"/><Relationship Type="http://schemas.openxmlformats.org/officeDocument/2006/relationships/hyperlink" Target="obsidian://adv-uri?vault=Brain&amp;filepath=Sources/CELH/2025-FY/transcripts/CELH_2026-02-26_2025Q4%20Earnings%20Press%20Release.md&amp;line=134" TargetMode="External" Id="rId639"/><Relationship Type="http://schemas.openxmlformats.org/officeDocument/2006/relationships/hyperlink" Target="obsidian://adv-uri?vault=Brain&amp;filepath=Sources/CELH/2026-Q1/transcripts/CELH_2026-05-07_2026Q1%20Earnings.md&amp;line=201" TargetMode="External" Id="rId640"/><Relationship Type="http://schemas.openxmlformats.org/officeDocument/2006/relationships/hyperlink" Target="obsidian://adv-uri?vault=Brain&amp;filepath=Sources/CELH/2025-Q3/transcripts/CELH_2025-11-06_2025Q3%20Earnings.md&amp;line=147" TargetMode="External" Id="rId641"/><Relationship Type="http://schemas.openxmlformats.org/officeDocument/2006/relationships/hyperlink" Target="obsidian://adv-uri?vault=Brain&amp;filepath=Sources/CELH/2025-Q3/transcripts/CELH_2025-11-06_2025Q3%20Earnings.md&amp;line=169" TargetMode="External" Id="rId642"/><Relationship Type="http://schemas.openxmlformats.org/officeDocument/2006/relationships/hyperlink" Target="obsidian://adv-uri?vault=Brain&amp;filepath=Sources/CELH/2025-Q3/transcripts/CELH_2025-12-03_Morgan%20Stanley%20Conference.md&amp;line=168" TargetMode="External" Id="rId643"/><Relationship Type="http://schemas.openxmlformats.org/officeDocument/2006/relationships/hyperlink" Target="obsidian://adv-uri?vault=Brain&amp;filepath=Sources/CELH/2025-Q1/transcripts/CELH_2025-05-28_Acquiring%20Alani%20Nu.md&amp;line=176" TargetMode="External" Id="rId644"/><Relationship Type="http://schemas.openxmlformats.org/officeDocument/2006/relationships/hyperlink" Target="obsidian://adv-uri?vault=Brain&amp;filepath=Sources/CELH/2021-Q2/transcripts/CELH_2021-08-12_2021Q2%20Earnings.md&amp;line=188" TargetMode="External" Id="rId645"/><Relationship Type="http://schemas.openxmlformats.org/officeDocument/2006/relationships/hyperlink" Target="obsidian://adv-uri?vault=Brain&amp;filepath=Sources/CELH/2021-Q3/transcripts/CELH_2021-11-11_2021Q3%20Earnings.md&amp;line=197" TargetMode="External" Id="rId646"/><Relationship Type="http://schemas.openxmlformats.org/officeDocument/2006/relationships/hyperlink" Target="obsidian://adv-uri?vault=Brain&amp;filepath=Sources/CELH/2022-Q1/transcripts/CELH_2022-05-10_2022Q1%20Earnings.md&amp;line=206" TargetMode="External" Id="rId647"/><Relationship Type="http://schemas.openxmlformats.org/officeDocument/2006/relationships/hyperlink" Target="obsidian://adv-uri?vault=Brain&amp;filepath=Sources/CELH/2022-Q2/transcripts/CELH_2022-08-09_2022Q2%20Earnings.md&amp;line=177" TargetMode="External" Id="rId648"/><Relationship Type="http://schemas.openxmlformats.org/officeDocument/2006/relationships/hyperlink" Target="obsidian://adv-uri?vault=Brain&amp;filepath=Sources/CELH/2023-Q1/transcripts/CELH_2023-05-09_2023Q1%20Earnings.md&amp;line=177" TargetMode="External" Id="rId649"/><Relationship Type="http://schemas.openxmlformats.org/officeDocument/2006/relationships/hyperlink" Target="obsidian://adv-uri?vault=Brain&amp;filepath=Sources/CELH/2023-Q2/transcripts/CELH_2023-08-08_2023Q2%20Earnings.md&amp;line=215" TargetMode="External" Id="rId650"/><Relationship Type="http://schemas.openxmlformats.org/officeDocument/2006/relationships/hyperlink" Target="obsidian://adv-uri?vault=Brain&amp;filepath=Sources/CELH/2023-Q3/transcripts/CELH_2023-11-07_2023Q3%20Earnings.md&amp;line=226" TargetMode="External" Id="rId651"/><Relationship Type="http://schemas.openxmlformats.org/officeDocument/2006/relationships/hyperlink" Target="obsidian://adv-uri?vault=Brain&amp;filepath=Sources/CELH/2023-FY/transcripts/CELH_2024-02-29_2023Q4%20Earnings.md&amp;line=211" TargetMode="External" Id="rId652"/><Relationship Type="http://schemas.openxmlformats.org/officeDocument/2006/relationships/hyperlink" Target="obsidian://adv-uri?vault=Brain&amp;filepath=Sources/CELH/2023-FY/transcripts/CELH_2024-02-29_2023Q4%20Earnings.md&amp;line=215" TargetMode="External" Id="rId653"/><Relationship Type="http://schemas.openxmlformats.org/officeDocument/2006/relationships/hyperlink" Target="obsidian://adv-uri?vault=Brain&amp;filepath=Sources/CELH/2024-Q1/transcripts/CELH_2024-05-07_2024Q1%20Earnings.md&amp;line=180" TargetMode="External" Id="rId654"/><Relationship Type="http://schemas.openxmlformats.org/officeDocument/2006/relationships/hyperlink" Target="obsidian://adv-uri?vault=Brain&amp;filepath=Sources/CELH/2024-FY/transcripts/CELH_2025-02-20_2024Q4%20Earnings.md&amp;line=232" TargetMode="External" Id="rId655"/><Relationship Type="http://schemas.openxmlformats.org/officeDocument/2006/relationships/hyperlink" Target="obsidian://adv-uri?vault=Brain&amp;filepath=Sources/CELH/2025-Q2/transcripts/CELH_2025-08-07_2025Q2%20Earnings.md&amp;line=146" TargetMode="External" Id="rId656"/><Relationship Type="http://schemas.openxmlformats.org/officeDocument/2006/relationships/hyperlink" Target="obsidian://adv-uri?vault=Brain&amp;filepath=Sources/CELH/2025-Q3/transcripts/CELH_2025-11-06_2025Q3%20Earnings.md&amp;line=185" TargetMode="External" Id="rId657"/><Relationship Type="http://schemas.openxmlformats.org/officeDocument/2006/relationships/hyperlink" Target="obsidian://adv-uri?vault=Brain&amp;filepath=Sources/CELH/2025-Q1/transcripts/CELH_2025-05-06_2025Q1%20Earnings.md&amp;line=160" TargetMode="External" Id="rId658"/><Relationship Type="http://schemas.openxmlformats.org/officeDocument/2006/relationships/hyperlink" Target="obsidian://adv-uri?vault=Brain&amp;filepath=Sources/CELH/2023-Q3/transcripts/CELH_2023-11-07_2023Q3%20Earnings.md&amp;line=250" TargetMode="External" Id="rId659"/><Relationship Type="http://schemas.openxmlformats.org/officeDocument/2006/relationships/hyperlink" Target="obsidian://adv-uri?vault=Brain&amp;filepath=Sources/CELH/2022-Q2/transcripts/CELH_2022-08-09_2022Q2%20Earnings.md&amp;line=142" TargetMode="External" Id="rId660"/><Relationship Type="http://schemas.openxmlformats.org/officeDocument/2006/relationships/hyperlink" Target="obsidian://adv-uri?vault=Brain&amp;filepath=Sources/CELH/2023-Q3/transcripts/CELH_2023-11-07_2023Q3%20Earnings.md&amp;line=242" TargetMode="External" Id="rId661"/><Relationship Type="http://schemas.openxmlformats.org/officeDocument/2006/relationships/hyperlink" Target="obsidian://adv-uri?vault=Brain&amp;filepath=Sources/CELH/2025-FY/transcripts/CELH_2026-02-26_2025Q4%20Earnings%20Press%20Release.md&amp;line=134" TargetMode="External" Id="rId662"/><Relationship Type="http://schemas.openxmlformats.org/officeDocument/2006/relationships/hyperlink" Target="obsidian://adv-uri?vault=Brain&amp;filepath=Sources/CELH/2024-FY/transcripts/CELH_2025-02-20_2024Q4%20Earnings.md&amp;line=212" TargetMode="External" Id="rId663"/><Relationship Type="http://schemas.openxmlformats.org/officeDocument/2006/relationships/hyperlink" Target="obsidian://adv-uri?vault=Brain&amp;filepath=Sources/CELH/2025-Q1/transcripts/CELH_2025-05-06_2025Q1%20Earnings.md&amp;line=192" TargetMode="External" Id="rId664"/><Relationship Type="http://schemas.openxmlformats.org/officeDocument/2006/relationships/hyperlink" Target="obsidian://adv-uri?vault=Brain&amp;filepath=Sources/CELH/2024-FY/transcripts/CELH_2025-02-20_2024Q4%20Earnings.md&amp;line=212" TargetMode="External" Id="rId665"/><Relationship Type="http://schemas.openxmlformats.org/officeDocument/2006/relationships/hyperlink" Target="obsidian://adv-uri?vault=Brain&amp;filepath=Sources/CELH/2025-Q1/transcripts/CELH_2025-05-06_2025Q1%20Earnings.md&amp;line=192" TargetMode="External" Id="rId666"/><Relationship Type="http://schemas.openxmlformats.org/officeDocument/2006/relationships/hyperlink" Target="obsidian://adv-uri?vault=Brain&amp;filepath=Sources/CELH/2023-Q3/transcripts/CELH_2023-11-07_2023Q3%20Earnings.md&amp;line=282" TargetMode="External" Id="rId667"/><Relationship Type="http://schemas.openxmlformats.org/officeDocument/2006/relationships/hyperlink" Target="obsidian://adv-uri?vault=Brain&amp;filepath=Sources/CELH/2021-Q1/transcripts/CELH_2021-05-13_2021Q1%20Earnings.md&amp;line=188" TargetMode="External" Id="rId668"/><Relationship Type="http://schemas.openxmlformats.org/officeDocument/2006/relationships/hyperlink" Target="obsidian://adv-uri?vault=Brain&amp;filepath=Sources/CELH/2021-Q2/transcripts/CELH_2021-08-12_2021Q2%20Earnings.md&amp;line=196" TargetMode="External" Id="rId669"/><Relationship Type="http://schemas.openxmlformats.org/officeDocument/2006/relationships/hyperlink" Target="obsidian://adv-uri?vault=Brain&amp;filepath=Sources/CELH/2021-Q3/transcripts/CELH_2021-11-11_2021Q3%20Earnings.md&amp;line=205" TargetMode="External" Id="rId670"/><Relationship Type="http://schemas.openxmlformats.org/officeDocument/2006/relationships/hyperlink" Target="obsidian://adv-uri?vault=Brain&amp;filepath=Sources/CELH/2021-Q2/transcripts/CELH_2021-08-12_2021Q2%20Earnings.md&amp;line=196" TargetMode="External" Id="rId671"/><Relationship Type="http://schemas.openxmlformats.org/officeDocument/2006/relationships/hyperlink" Target="obsidian://adv-uri?vault=Brain&amp;filepath=Sources/CELH/2021-Q3/transcripts/CELH_2021-11-11_2021Q3%20Earnings.md&amp;line=205" TargetMode="External" Id="rId672"/><Relationship Type="http://schemas.openxmlformats.org/officeDocument/2006/relationships/hyperlink" Target="obsidian://adv-uri?vault=Brain&amp;filepath=Sources/CELH/2024-FY/transcripts/CELH_2025-03-12_UBS%20Conference.md&amp;line=151" TargetMode="External" Id="rId673"/><Relationship Type="http://schemas.openxmlformats.org/officeDocument/2006/relationships/hyperlink" Target="obsidian://adv-uri?vault=Brain&amp;filepath=Sources/CELH/2025-FY/transcripts/CELH_2026-02-26_2025Q4%20Earnings%20Press%20Release.md&amp;line=134" TargetMode="External" Id="rId674"/><Relationship Type="http://schemas.openxmlformats.org/officeDocument/2006/relationships/hyperlink" Target="obsidian://adv-uri?vault=Brain&amp;filepath=Sources/CELH/2023-Q2/transcripts/CELH_2023-08-08_2023Q2%20Earnings.md&amp;line=264" TargetMode="External" Id="rId675"/><Relationship Type="http://schemas.openxmlformats.org/officeDocument/2006/relationships/hyperlink" Target="obsidian://adv-uri?vault=Brain&amp;filepath=Sources/CELH/2023-Q3/transcripts/CELH_2023-11-07_2023Q3%20Earnings.md&amp;line=270" TargetMode="External" Id="rId676"/><Relationship Type="http://schemas.openxmlformats.org/officeDocument/2006/relationships/hyperlink" Target="obsidian://adv-uri?vault=Brain&amp;filepath=Sources/CELH/2023-Q1/transcripts/CELH_2023-05-09_2023Q1%20Earnings.md&amp;line=217" TargetMode="External" Id="rId677"/><Relationship Type="http://schemas.openxmlformats.org/officeDocument/2006/relationships/hyperlink" Target="obsidian://adv-uri?vault=Brain&amp;filepath=Sources/CELH/2021-Q3/transcripts/CELH_2021-11-11_2021Q3%20Earnings.md&amp;line=209" TargetMode="External" Id="rId678"/><Relationship Type="http://schemas.openxmlformats.org/officeDocument/2006/relationships/hyperlink" Target="obsidian://adv-uri?vault=Brain&amp;filepath=Sources/CELH/2021-Q2/transcripts/CELH_2021-08-12_2021Q2%20Earnings.md&amp;line=200"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0-FY/transcripts/CELH_2021-03-11_2020Q4%20Earnings.md&amp;line=166"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19-Q1/transcripts/CELH_2019-05-09_2019Q1%20Earnings.md&amp;line=197" TargetMode="External" Id="rId683"/><Relationship Type="http://schemas.openxmlformats.org/officeDocument/2006/relationships/hyperlink" Target="obsidian://adv-uri?vault=Brain&amp;filepath=Sources/CELH/2025-Q1/transcripts/CELH_2025-06-04_William%20Blair%20Conference.md&amp;line=151" TargetMode="External" Id="rId684"/><Relationship Type="http://schemas.openxmlformats.org/officeDocument/2006/relationships/hyperlink" Target="obsidian://adv-uri?vault=Brain&amp;filepath=Sources/CELH/2023-Q2/transcripts/CELH_2023-08-08_2023Q2%20Earnings.md&amp;line=159" TargetMode="External" Id="rId685"/><Relationship Type="http://schemas.openxmlformats.org/officeDocument/2006/relationships/hyperlink" Target="obsidian://adv-uri?vault=Brain&amp;filepath=Sources/CELH/2021-Q2/transcripts/CELH_2021-08-19_Annual%20Shareholder%20Meeting.md&amp;line=189" TargetMode="External" Id="rId686"/><Relationship Type="http://schemas.openxmlformats.org/officeDocument/2006/relationships/hyperlink" Target="obsidian://adv-uri?vault=Brain&amp;filepath=Sources/CELH/2021-FY/transcripts/CELH_2022-03-01_2021Q4%20Earnings.md&amp;line=202" TargetMode="External" Id="rId687"/><Relationship Type="http://schemas.openxmlformats.org/officeDocument/2006/relationships/hyperlink" Target="obsidian://adv-uri?vault=Brain&amp;filepath=Sources/CELH/2022-Q3/transcripts/CELH_2022-11-09_2022Q3%20Earnings.md&amp;line=218" TargetMode="External" Id="rId688"/><Relationship Type="http://schemas.openxmlformats.org/officeDocument/2006/relationships/hyperlink" Target="obsidian://adv-uri?vault=Brain&amp;filepath=Sources/CELH/2021-FY/transcripts/CELH_2022-03-01_2021Q4%20Earnings.md&amp;line=202" TargetMode="External" Id="rId689"/><Relationship Type="http://schemas.openxmlformats.org/officeDocument/2006/relationships/hyperlink" Target="obsidian://adv-uri?vault=Brain&amp;filepath=Sources/CELH/2022-Q3/transcripts/CELH_2022-11-09_2022Q3%20Earnings.md&amp;line=218" TargetMode="External" Id="rId690"/><Relationship Type="http://schemas.openxmlformats.org/officeDocument/2006/relationships/hyperlink" Target="obsidian://adv-uri?vault=Brain&amp;filepath=Sources/CELH/2022-FY/transcripts/CELH_2023-03-01_2022Q4%20Earnings.md&amp;line=231" TargetMode="External" Id="rId691"/><Relationship Type="http://schemas.openxmlformats.org/officeDocument/2006/relationships/hyperlink" Target="obsidian://adv-uri?vault=Brain&amp;filepath=Sources/CELH/2020-FY/transcripts/CELH_2021-03-11_2020Q4%20Earnings.md&amp;line=207" TargetMode="External" Id="rId692"/><Relationship Type="http://schemas.openxmlformats.org/officeDocument/2006/relationships/hyperlink" Target="obsidian://adv-uri?vault=Brain&amp;filepath=Sources/CELH/2022-Q2/transcripts/CELH_2022-08-09_2022Q2%20Earnings.md&amp;line=214"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142" TargetMode="External" Id="rId695"/><Relationship Type="http://schemas.openxmlformats.org/officeDocument/2006/relationships/hyperlink" Target="obsidian://adv-uri?vault=Brain&amp;filepath=Sources/CELH/2024-FY/transcripts/CELH_2025-02-20_2024Q4%20Earnings.md&amp;line=176" TargetMode="External" Id="rId696"/><Relationship Type="http://schemas.openxmlformats.org/officeDocument/2006/relationships/hyperlink" Target="obsidian://adv-uri?vault=Brain&amp;filepath=Sources/CELH/2022-Q2/transcripts/CELH_2022-08-09_2022Q2%20Earnings.md&amp;line=142" TargetMode="External" Id="rId697"/><Relationship Type="http://schemas.openxmlformats.org/officeDocument/2006/relationships/hyperlink" Target="obsidian://adv-uri?vault=Brain&amp;filepath=Sources/CELH/2019-Q1/transcripts/CELH_2019-05-09_2019Q1%20Earnings.md&amp;line=145" TargetMode="External" Id="rId698"/><Relationship Type="http://schemas.openxmlformats.org/officeDocument/2006/relationships/hyperlink" Target="obsidian://adv-uri?vault=Brain&amp;filepath=Sources/CELH/2019-Q2/transcripts/CELH_2019-08-08_2019Q2%20Earnings.md&amp;line=146" TargetMode="External" Id="rId699"/><Relationship Type="http://schemas.openxmlformats.org/officeDocument/2006/relationships/hyperlink" Target="obsidian://adv-uri?vault=Brain&amp;filepath=Sources/CELH/2019-Q3/transcripts/CELH_2019-11-07_2019Q3%20Earnings.md&amp;line=113" TargetMode="External" Id="rId70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F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Q4 2021</t>
        </is>
      </c>
      <c r="AD4" s="35" t="inlineStr">
        <is>
          <t>FY2021</t>
        </is>
      </c>
      <c r="AE4" s="35" t="inlineStr">
        <is>
          <t>Q1 2022</t>
        </is>
      </c>
      <c r="AF4" s="35" t="inlineStr">
        <is>
          <t>Q2 2022</t>
        </is>
      </c>
      <c r="AG4" s="35" t="inlineStr">
        <is>
          <t>H1 2022</t>
        </is>
      </c>
      <c r="AH4" s="35" t="inlineStr">
        <is>
          <t>Q3 2022</t>
        </is>
      </c>
      <c r="AI4" s="35" t="inlineStr">
        <is>
          <t>9M 2022</t>
        </is>
      </c>
      <c r="AJ4" s="35" t="inlineStr">
        <is>
          <t>Q4 2022</t>
        </is>
      </c>
      <c r="AK4" s="35" t="inlineStr">
        <is>
          <t>FY2022</t>
        </is>
      </c>
      <c r="AL4" s="35" t="inlineStr">
        <is>
          <t>Q1 2023</t>
        </is>
      </c>
      <c r="AM4" s="35" t="inlineStr">
        <is>
          <t>Q2 2023</t>
        </is>
      </c>
      <c r="AN4" s="35" t="inlineStr">
        <is>
          <t>H1 2023</t>
        </is>
      </c>
      <c r="AO4" s="35" t="inlineStr">
        <is>
          <t>Q3 2023</t>
        </is>
      </c>
      <c r="AP4" s="35" t="inlineStr">
        <is>
          <t>9M 2023</t>
        </is>
      </c>
      <c r="AQ4" s="35" t="inlineStr">
        <is>
          <t>Q4 2023</t>
        </is>
      </c>
      <c r="AR4" s="35" t="inlineStr">
        <is>
          <t>FY2023</t>
        </is>
      </c>
      <c r="AS4" s="35" t="inlineStr">
        <is>
          <t>Q1 2024</t>
        </is>
      </c>
      <c r="AT4" s="35" t="inlineStr">
        <is>
          <t>Q2 2024</t>
        </is>
      </c>
      <c r="AU4" s="35" t="inlineStr">
        <is>
          <t>H1 2024</t>
        </is>
      </c>
      <c r="AV4" s="35" t="inlineStr">
        <is>
          <t>Q3 2024</t>
        </is>
      </c>
      <c r="AW4" s="35" t="inlineStr">
        <is>
          <t>Q4 2024</t>
        </is>
      </c>
      <c r="AX4" s="35" t="inlineStr">
        <is>
          <t>FY2024</t>
        </is>
      </c>
      <c r="AY4" s="35" t="inlineStr">
        <is>
          <t>Q1 2025</t>
        </is>
      </c>
      <c r="AZ4" s="35" t="inlineStr">
        <is>
          <t>Q2 2025</t>
        </is>
      </c>
      <c r="BA4" s="35" t="inlineStr">
        <is>
          <t>H1 2025</t>
        </is>
      </c>
      <c r="BB4" s="35" t="inlineStr">
        <is>
          <t>Q3 2025</t>
        </is>
      </c>
      <c r="BC4" s="35" t="inlineStr">
        <is>
          <t>Q4 2025</t>
        </is>
      </c>
      <c r="BD4" s="35" t="inlineStr">
        <is>
          <t>FY2025</t>
        </is>
      </c>
      <c r="BE4" s="35" t="inlineStr">
        <is>
          <t>Q1 2026</t>
        </is>
      </c>
      <c r="BF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9">
        <f>AD5/(1+1.4)</f>
        <v/>
      </c>
      <c r="Y5" s="45" t="n">
        <v>50</v>
      </c>
      <c r="Z5" s="48" t="n">
        <v>65.09999999999999</v>
      </c>
      <c r="AA5" s="48" t="n">
        <v>115</v>
      </c>
      <c r="AB5" s="48" t="n">
        <v>94.90000000000001</v>
      </c>
      <c r="AC5" s="45" t="n">
        <v>104</v>
      </c>
      <c r="AD5" s="48" t="n">
        <v>314</v>
      </c>
      <c r="AE5" s="48" t="n">
        <v>133.4</v>
      </c>
      <c r="AF5" s="48" t="n">
        <v>154</v>
      </c>
      <c r="AH5" s="48" t="n">
        <v>188.2</v>
      </c>
      <c r="AJ5" s="48" t="n">
        <v>178</v>
      </c>
      <c r="AK5" s="48" t="n">
        <v>654</v>
      </c>
      <c r="AL5" s="48" t="n">
        <v>260</v>
      </c>
      <c r="AM5" s="48" t="n">
        <v>326</v>
      </c>
      <c r="AN5" s="48" t="n">
        <v>586</v>
      </c>
      <c r="AO5" s="48" t="n">
        <v>385</v>
      </c>
      <c r="AP5" s="48" t="n">
        <v>971</v>
      </c>
      <c r="AQ5" s="48" t="n">
        <v>347</v>
      </c>
      <c r="AR5" s="48" t="n">
        <v>1300</v>
      </c>
      <c r="AS5" s="48" t="n">
        <v>355.7</v>
      </c>
      <c r="AT5" s="49">
        <f>AZ5/(1+0.84)</f>
        <v/>
      </c>
      <c r="AU5" s="49">
        <f>BA5/(1+0.41)</f>
        <v/>
      </c>
      <c r="AV5" s="49">
        <f>BB5/(1+1.73)</f>
        <v/>
      </c>
      <c r="AW5" s="45" t="n">
        <v>332.2</v>
      </c>
      <c r="AX5" s="48" t="n">
        <v>1360</v>
      </c>
      <c r="AY5" s="48" t="n">
        <v>329.3</v>
      </c>
      <c r="AZ5" s="48" t="n">
        <v>739.3</v>
      </c>
      <c r="BA5" s="48" t="n">
        <v>1070</v>
      </c>
      <c r="BB5" s="48" t="n">
        <v>725</v>
      </c>
      <c r="BD5" s="48" t="n">
        <v>1460</v>
      </c>
      <c r="BE5" s="48" t="n">
        <v>783</v>
      </c>
    </row>
    <row r="6">
      <c r="A6" s="36" t="inlineStr">
        <is>
          <t>North America Revenue</t>
        </is>
      </c>
      <c r="B6" s="45" t="n">
        <v>5.9</v>
      </c>
      <c r="D6" s="45" t="n">
        <v>6.7</v>
      </c>
      <c r="E6" s="49">
        <f>L6/(1+0.62)</f>
        <v/>
      </c>
      <c r="I6" s="48" t="n">
        <v>11.4</v>
      </c>
      <c r="K6" s="48" t="n">
        <v>10.9</v>
      </c>
      <c r="L6" s="48" t="n">
        <v>38.9</v>
      </c>
      <c r="M6" s="48" t="n">
        <v>11.4</v>
      </c>
      <c r="N6" s="45" t="n">
        <v>14.4</v>
      </c>
      <c r="P6" s="48" t="n">
        <v>16.8</v>
      </c>
      <c r="R6" s="48" t="n">
        <v>17.1</v>
      </c>
      <c r="S6" s="48" t="n">
        <v>60</v>
      </c>
      <c r="T6" s="45" t="n">
        <v>19.4</v>
      </c>
      <c r="U6" s="45" t="n">
        <v>20.8</v>
      </c>
      <c r="V6" s="45" t="n">
        <v>26.9</v>
      </c>
      <c r="W6" s="48" t="n">
        <v>28.4</v>
      </c>
      <c r="X6" s="49">
        <f>AD6/(1+1.86)</f>
        <v/>
      </c>
      <c r="Y6" s="45" t="n">
        <v>39</v>
      </c>
      <c r="Z6" s="48" t="n">
        <v>53.7</v>
      </c>
      <c r="AA6" s="48" t="n">
        <v>92.59999999999999</v>
      </c>
      <c r="AB6" s="48" t="n">
        <v>84.5</v>
      </c>
      <c r="AD6" s="48" t="n">
        <v>273</v>
      </c>
      <c r="AE6" s="48" t="n">
        <v>123.5</v>
      </c>
      <c r="AF6" s="48" t="n">
        <v>145.4</v>
      </c>
      <c r="AH6" s="48" t="n">
        <v>179.5</v>
      </c>
      <c r="AJ6" s="48" t="n">
        <v>160</v>
      </c>
      <c r="AL6" s="48" t="n">
        <v>249</v>
      </c>
      <c r="AM6" s="48" t="n">
        <v>311</v>
      </c>
      <c r="AN6" s="48" t="n">
        <v>559</v>
      </c>
      <c r="AO6" s="48" t="n">
        <v>371</v>
      </c>
      <c r="AQ6" s="48" t="n">
        <v>333</v>
      </c>
      <c r="AR6" s="48" t="n">
        <v>1270</v>
      </c>
      <c r="AS6" s="48" t="n">
        <v>339.5</v>
      </c>
      <c r="AW6" s="45" t="n">
        <v>311.9</v>
      </c>
      <c r="AZ6" s="48" t="n">
        <v>1020</v>
      </c>
      <c r="BD6" s="48" t="n">
        <v>2422.5</v>
      </c>
    </row>
    <row r="7">
      <c r="A7" s="36" t="inlineStr">
        <is>
          <t>International Revenue</t>
        </is>
      </c>
      <c r="E7" s="49">
        <f>L7/(1+0.13)</f>
        <v/>
      </c>
      <c r="F7" s="45" t="n">
        <v>4</v>
      </c>
      <c r="L7" s="48" t="n">
        <v>13.7</v>
      </c>
      <c r="M7" s="48" t="n">
        <v>3.1</v>
      </c>
      <c r="R7" s="45" t="n">
        <v>7.1</v>
      </c>
      <c r="U7" s="45" t="n">
        <v>9.199999999999999</v>
      </c>
      <c r="V7" s="49">
        <f>AB7/(1+0.05)</f>
        <v/>
      </c>
      <c r="W7" s="48" t="n">
        <v>7.3</v>
      </c>
      <c r="X7" s="49">
        <f>AD7/(1+0.17)</f>
        <v/>
      </c>
      <c r="Y7" s="45" t="n">
        <v>11</v>
      </c>
      <c r="Z7" s="48" t="n">
        <v>11.5</v>
      </c>
      <c r="AA7" s="48" t="n">
        <v>22.5</v>
      </c>
      <c r="AB7" s="48" t="n">
        <v>10.4</v>
      </c>
      <c r="AC7" s="45" t="n">
        <v>8.300000000000001</v>
      </c>
      <c r="AD7" s="48" t="n">
        <v>41</v>
      </c>
      <c r="AE7" s="48" t="n">
        <v>9.9</v>
      </c>
      <c r="AF7" s="48" t="n">
        <v>8.6</v>
      </c>
      <c r="AH7" s="48" t="n">
        <v>8.699999999999999</v>
      </c>
      <c r="AJ7" s="48" t="n">
        <v>11.5</v>
      </c>
      <c r="AL7" s="48" t="n">
        <v>11.4</v>
      </c>
      <c r="AM7" s="48" t="n">
        <v>15.1</v>
      </c>
      <c r="AN7" s="48" t="n">
        <v>27</v>
      </c>
      <c r="AO7" s="48" t="n">
        <v>13.6</v>
      </c>
      <c r="AQ7" s="48" t="n">
        <v>15</v>
      </c>
      <c r="AR7" s="48" t="n">
        <v>54.7</v>
      </c>
      <c r="AS7" s="45" t="n">
        <v>16.2</v>
      </c>
      <c r="AT7" s="46" t="n">
        <v>2</v>
      </c>
      <c r="AW7" s="45" t="n">
        <v>20.3</v>
      </c>
      <c r="AY7" s="48" t="n">
        <v>22.8</v>
      </c>
      <c r="AZ7" s="48" t="n">
        <v>48</v>
      </c>
      <c r="BD7" s="48" t="n">
        <v>92.8</v>
      </c>
    </row>
    <row r="8">
      <c r="A8" s="36" t="inlineStr">
        <is>
          <t>Europe Revenue</t>
        </is>
      </c>
      <c r="D8" s="49">
        <f>K8/(1+0.09)</f>
        <v/>
      </c>
      <c r="K8" s="48" t="n">
        <v>2.1</v>
      </c>
      <c r="M8" s="45" t="n">
        <v>3</v>
      </c>
      <c r="N8" s="45" t="n">
        <v>1.3</v>
      </c>
      <c r="P8" s="48" t="n">
        <v>3.4</v>
      </c>
      <c r="R8" s="45" t="n">
        <v>6.8</v>
      </c>
      <c r="S8" s="48" t="n">
        <v>14.5</v>
      </c>
      <c r="T8" s="45" t="n">
        <v>8.5</v>
      </c>
      <c r="U8" s="45" t="n">
        <v>8.800000000000001</v>
      </c>
      <c r="W8" s="48" t="n">
        <v>6.9</v>
      </c>
      <c r="Y8" s="45" t="n">
        <v>10.4</v>
      </c>
      <c r="Z8" s="48" t="n">
        <v>10.8</v>
      </c>
      <c r="AB8" s="48" t="n">
        <v>9.5</v>
      </c>
      <c r="AE8" s="48" t="n">
        <v>8.5</v>
      </c>
      <c r="AF8" s="48" t="n">
        <v>7.3</v>
      </c>
      <c r="AH8" s="48" t="n">
        <v>7.5</v>
      </c>
    </row>
    <row r="9">
      <c r="A9" s="36" t="inlineStr">
        <is>
          <t>Asia Revenue</t>
        </is>
      </c>
      <c r="B9" s="45" t="n">
        <v>0.362</v>
      </c>
      <c r="D9" s="45" t="n">
        <v>0.435</v>
      </c>
      <c r="E9" s="49">
        <f>L9/(1+4.38)</f>
        <v/>
      </c>
      <c r="I9" s="48" t="n">
        <v>1.4</v>
      </c>
      <c r="K9" s="48" t="n">
        <v>1.6</v>
      </c>
      <c r="L9" s="48" t="n">
        <v>4.3</v>
      </c>
      <c r="M9" s="45" t="n">
        <v>0.053</v>
      </c>
      <c r="N9" s="45" t="n">
        <v>0.381</v>
      </c>
      <c r="P9" s="45" t="n">
        <v>0.195</v>
      </c>
      <c r="R9" s="45" t="n">
        <v>212000</v>
      </c>
      <c r="S9" s="48" t="n">
        <v>0.841</v>
      </c>
      <c r="T9" s="45" t="n">
        <v>0.268</v>
      </c>
      <c r="U9" s="45" t="n">
        <v>0.326</v>
      </c>
      <c r="V9" s="45" t="n">
        <v>0.275</v>
      </c>
      <c r="W9" s="48" t="n">
        <v>0.224</v>
      </c>
      <c r="Z9" s="48" t="n">
        <v>0.619</v>
      </c>
      <c r="AB9" s="48" t="n">
        <v>0.706</v>
      </c>
      <c r="AE9" s="48" t="n">
        <v>1</v>
      </c>
    </row>
    <row r="10">
      <c r="A10" s="36" t="inlineStr">
        <is>
          <t>Amazon Revenue</t>
        </is>
      </c>
      <c r="Y10" s="45" t="n">
        <v>7.9</v>
      </c>
      <c r="AD10" s="45" t="n">
        <v>32</v>
      </c>
      <c r="AE10" s="48" t="n">
        <v>13.8</v>
      </c>
      <c r="AF10" s="45" t="n">
        <v>14</v>
      </c>
      <c r="AH10" s="48" t="n">
        <v>16</v>
      </c>
      <c r="AK10" s="48" t="n">
        <v>58</v>
      </c>
      <c r="AL10" s="45" t="n">
        <v>21.8</v>
      </c>
      <c r="AO10" s="48" t="n">
        <v>22.2</v>
      </c>
      <c r="AS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9">
        <f>AD11/(1+1.11)</f>
        <v/>
      </c>
      <c r="Y11" s="45" t="n">
        <v>20.6</v>
      </c>
      <c r="Z11" s="48" t="n">
        <v>28.2</v>
      </c>
      <c r="AA11" s="48" t="n">
        <v>48.8</v>
      </c>
      <c r="AB11" s="48" t="n">
        <v>37.7</v>
      </c>
      <c r="AC11" s="45" t="n">
        <v>42</v>
      </c>
      <c r="AD11" s="48" t="n">
        <v>128</v>
      </c>
      <c r="AE11" s="48" t="n">
        <v>53.9</v>
      </c>
      <c r="AF11" s="48" t="n">
        <v>59.3</v>
      </c>
      <c r="AH11" s="48" t="n">
        <v>78.7</v>
      </c>
      <c r="AJ11" s="48" t="n">
        <v>79</v>
      </c>
      <c r="AK11" s="48" t="n">
        <v>271</v>
      </c>
      <c r="AL11" s="48" t="n">
        <v>114</v>
      </c>
      <c r="AM11" s="48" t="n">
        <v>159</v>
      </c>
      <c r="AN11" s="48" t="n">
        <v>273</v>
      </c>
      <c r="AO11" s="48" t="n">
        <v>194</v>
      </c>
      <c r="AP11" s="48" t="n">
        <v>467</v>
      </c>
      <c r="AQ11" s="48" t="n">
        <v>166</v>
      </c>
      <c r="AR11" s="48" t="n">
        <v>633</v>
      </c>
      <c r="AS11" s="48" t="n">
        <v>182.2</v>
      </c>
      <c r="AT11" s="45" t="n">
        <v>209</v>
      </c>
      <c r="AW11" s="45" t="n">
        <v>166.7</v>
      </c>
      <c r="AX11" s="48" t="n">
        <v>680</v>
      </c>
      <c r="AY11" s="48" t="n">
        <v>172.4</v>
      </c>
      <c r="AZ11" s="48" t="n">
        <v>381</v>
      </c>
      <c r="BC11" s="48" t="n">
        <v>341.8</v>
      </c>
      <c r="BD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E12" s="50" t="n">
        <v>0.404</v>
      </c>
      <c r="AF12" s="50" t="n">
        <v>0.385</v>
      </c>
      <c r="AH12" s="50" t="n">
        <v>0.418</v>
      </c>
      <c r="AJ12" s="50" t="n">
        <v>0.444</v>
      </c>
      <c r="AL12" s="50" t="n">
        <v>0.44</v>
      </c>
      <c r="AM12" s="50" t="n">
        <v>0.488</v>
      </c>
      <c r="AN12" s="50" t="n">
        <v>0.47</v>
      </c>
      <c r="AO12" s="50" t="n">
        <v>0.504</v>
      </c>
      <c r="AQ12" s="50" t="n">
        <v>0.48</v>
      </c>
      <c r="AR12" s="50" t="n">
        <v>0.48</v>
      </c>
      <c r="AS12" s="50" t="n">
        <v>0.512</v>
      </c>
      <c r="AT12" s="46" t="n">
        <v>0.52</v>
      </c>
      <c r="AU12" s="46" t="n">
        <v>0.516</v>
      </c>
      <c r="AV12" s="46" t="n">
        <v>0.46</v>
      </c>
      <c r="AW12" s="50" t="n">
        <v>0.502</v>
      </c>
      <c r="AX12" s="50" t="n">
        <v>0.502</v>
      </c>
      <c r="AY12" s="50" t="n">
        <v>0.523</v>
      </c>
      <c r="AZ12" s="50" t="n">
        <v>0.515</v>
      </c>
      <c r="BA12" s="50" t="n">
        <v>0.518</v>
      </c>
      <c r="BB12" s="50" t="n">
        <v>0.513</v>
      </c>
      <c r="BC12" s="50" t="n">
        <v>0.474</v>
      </c>
      <c r="BD12" s="50" t="n">
        <v>0.504</v>
      </c>
      <c r="BE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D13" s="45" t="n">
        <v>75</v>
      </c>
      <c r="AE13" s="48" t="n">
        <v>31.6</v>
      </c>
      <c r="AH13" s="48" t="n">
        <v>198.8</v>
      </c>
      <c r="AJ13" s="45" t="n">
        <v>90</v>
      </c>
      <c r="AK13" s="48" t="n">
        <v>353</v>
      </c>
      <c r="AL13" s="48" t="n">
        <v>48</v>
      </c>
      <c r="AM13" s="48" t="n">
        <v>63</v>
      </c>
      <c r="AO13" s="48" t="n">
        <v>73</v>
      </c>
      <c r="AQ13" s="48" t="n">
        <v>80</v>
      </c>
      <c r="AZ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D14" s="45" t="n">
        <v>58</v>
      </c>
      <c r="AE14" s="48" t="n">
        <v>12.2</v>
      </c>
      <c r="AF14" s="48" t="n">
        <v>14.4</v>
      </c>
      <c r="AH14" s="48" t="n">
        <v>27.5</v>
      </c>
      <c r="AJ14" s="45" t="n">
        <v>22</v>
      </c>
      <c r="AK14" s="48" t="n">
        <v>76</v>
      </c>
      <c r="AL14" s="48" t="n">
        <v>21</v>
      </c>
      <c r="AM14" s="48" t="n">
        <v>32</v>
      </c>
      <c r="AO14" s="48" t="n">
        <v>23</v>
      </c>
      <c r="AQ14" s="48" t="n">
        <v>27</v>
      </c>
      <c r="AS14" s="48" t="n">
        <v>23.2</v>
      </c>
      <c r="AT14" s="46" t="n">
        <v>0.06</v>
      </c>
      <c r="AZ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D15" s="48" t="n">
        <v>3.9</v>
      </c>
      <c r="AE15" s="48" t="n">
        <v>6.7</v>
      </c>
      <c r="AF15" s="48" t="n">
        <v>9.199999999999999</v>
      </c>
      <c r="AO15" s="48" t="n">
        <v>70.5</v>
      </c>
      <c r="AQ15" s="45" t="n">
        <v>50.1</v>
      </c>
      <c r="AR15" s="45" t="n">
        <v>227</v>
      </c>
      <c r="AS15" s="48" t="n">
        <v>65</v>
      </c>
      <c r="AT15" s="45" t="n">
        <v>79.8</v>
      </c>
      <c r="AW15" s="48" t="n">
        <v>-18.9</v>
      </c>
      <c r="AX15" s="48" t="n">
        <v>145</v>
      </c>
      <c r="AY15" s="48" t="n">
        <v>34.4</v>
      </c>
      <c r="AZ15" s="48" t="n">
        <v>85.7</v>
      </c>
      <c r="BD15" s="48" t="n">
        <v>108</v>
      </c>
      <c r="BE15" s="48" t="n">
        <v>110</v>
      </c>
    </row>
    <row r="16">
      <c r="A16" s="36" t="inlineStr">
        <is>
          <t>Adjusted EBITDA</t>
        </is>
      </c>
      <c r="F16" s="45" t="n">
        <v>-2.1</v>
      </c>
      <c r="G16" s="45" t="n">
        <v>-261000</v>
      </c>
      <c r="H16" s="45" t="n">
        <v>-120000</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E16" s="48" t="n">
        <v>14.8</v>
      </c>
      <c r="AH16" s="46" t="n">
        <v>25</v>
      </c>
      <c r="AL16" s="48" t="n">
        <v>48.7</v>
      </c>
      <c r="AO16" s="45" t="n">
        <v>103.6</v>
      </c>
      <c r="AS16" s="48" t="n">
        <v>88</v>
      </c>
      <c r="AT16" s="45" t="n">
        <v>100</v>
      </c>
      <c r="AU16" s="45" t="n">
        <v>188</v>
      </c>
      <c r="AW16" s="45" t="n">
        <v>62.9</v>
      </c>
      <c r="AX16" s="48" t="n">
        <v>88</v>
      </c>
      <c r="AY16" s="48" t="n">
        <v>69.7</v>
      </c>
      <c r="AZ16" s="48" t="n">
        <v>210</v>
      </c>
      <c r="BA16" s="48" t="n">
        <v>280</v>
      </c>
      <c r="BD16" s="48" t="n">
        <v>619.6</v>
      </c>
      <c r="BE16" s="48" t="n">
        <v>195</v>
      </c>
    </row>
    <row r="17">
      <c r="A17" s="36" t="inlineStr">
        <is>
          <t>Operating Cash Flow</t>
        </is>
      </c>
      <c r="F17" s="45" t="n">
        <v>4.3</v>
      </c>
      <c r="H17" s="45" t="n">
        <v>-5.8</v>
      </c>
      <c r="L17" s="48" t="n">
        <v>-11.6</v>
      </c>
      <c r="S17" s="48" t="n">
        <v>1</v>
      </c>
      <c r="X17" s="48" t="n">
        <v>3.4</v>
      </c>
      <c r="Y17" s="45" t="n">
        <v>-13.3</v>
      </c>
      <c r="Z17" s="48" t="n">
        <v>-30.3</v>
      </c>
      <c r="AB17" s="48" t="n">
        <v>-52</v>
      </c>
      <c r="AD17" s="45" t="n">
        <v>-97</v>
      </c>
      <c r="AE17" s="48" t="n">
        <v>9.1</v>
      </c>
      <c r="AG17" s="45" t="n">
        <v>42</v>
      </c>
      <c r="AI17" s="49">
        <f>AP17/(1+0.2)</f>
        <v/>
      </c>
      <c r="AK17" s="45" t="n">
        <v>108</v>
      </c>
      <c r="AL17" s="48" t="n">
        <v>-14</v>
      </c>
      <c r="AN17" s="48" t="n">
        <v>45</v>
      </c>
      <c r="AP17" s="48" t="n">
        <v>136</v>
      </c>
      <c r="AS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D18" s="48" t="n">
        <v>16.3</v>
      </c>
      <c r="AE18" s="48" t="n">
        <v>25.5</v>
      </c>
      <c r="AK18" s="48" t="n">
        <v>653</v>
      </c>
      <c r="AL18" s="48" t="n">
        <v>634</v>
      </c>
      <c r="AS18" s="48" t="n">
        <v>879.5</v>
      </c>
      <c r="AY18" s="48" t="n">
        <v>400</v>
      </c>
      <c r="BD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D19" s="48" t="n">
        <v>169</v>
      </c>
      <c r="AE19" s="48" t="n">
        <v>186.5</v>
      </c>
      <c r="AK19" s="48" t="n">
        <v>757</v>
      </c>
      <c r="AL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row>
    <row r="21">
      <c r="A21" t="inlineStr">
        <is>
          <t>% of MULO+C stores DSD-serviced</t>
        </is>
      </c>
      <c r="AD21" s="50" t="n">
        <v>0.65</v>
      </c>
    </row>
    <row r="22">
      <c r="A22" t="inlineStr">
        <is>
          <t>12-week growth</t>
        </is>
      </c>
      <c r="AF22" s="50" t="n">
        <v>1.94</v>
      </c>
      <c r="AJ22" s="50" t="n">
        <v>0.1</v>
      </c>
    </row>
    <row r="23">
      <c r="A23" t="inlineStr">
        <is>
          <t>2-week growth</t>
        </is>
      </c>
      <c r="AJ23" s="50" t="n">
        <v>0.1</v>
      </c>
    </row>
    <row r="24">
      <c r="A24" t="inlineStr">
        <is>
          <t>4-week growth</t>
        </is>
      </c>
      <c r="AF24" s="50" t="n">
        <v>1.43</v>
      </c>
    </row>
    <row r="25">
      <c r="A25" t="inlineStr">
        <is>
          <t>7-Eleven DSD Transition</t>
        </is>
      </c>
      <c r="W25" s="48" t="n">
        <v>2021</v>
      </c>
    </row>
    <row r="26">
      <c r="A26" t="inlineStr">
        <is>
          <t>Accrued distributor termination fees</t>
        </is>
      </c>
      <c r="BD26" s="48" t="n">
        <v>264.1</v>
      </c>
    </row>
    <row r="27">
      <c r="A27" t="inlineStr">
        <is>
          <t>Acquisition &amp; integration adj</t>
        </is>
      </c>
      <c r="BD27" s="48" t="n">
        <v>-60.2</v>
      </c>
    </row>
    <row r="28">
      <c r="A28" t="inlineStr">
        <is>
          <t>Acquisition-related costs</t>
        </is>
      </c>
      <c r="AZ28" s="48" t="n">
        <v>16</v>
      </c>
      <c r="BC28" s="48" t="n">
        <v>60</v>
      </c>
    </row>
    <row r="29">
      <c r="A29" t="inlineStr">
        <is>
          <t>Active co-packers</t>
        </is>
      </c>
      <c r="AD29" s="48" t="n">
        <v>13</v>
      </c>
    </row>
    <row r="30">
      <c r="A30" t="inlineStr">
        <is>
          <t>ACV (all channels)</t>
        </is>
      </c>
      <c r="AJ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S34" s="45" t="n">
        <v>0.27</v>
      </c>
      <c r="AT34" s="45" t="n">
        <v>0.28</v>
      </c>
      <c r="AU34" s="45" t="n">
        <v>0.55</v>
      </c>
      <c r="AW34" s="48" t="n">
        <v>0.14</v>
      </c>
      <c r="AX34" s="48" t="n">
        <v>0.7</v>
      </c>
      <c r="AY34" s="48" t="n">
        <v>0.18</v>
      </c>
      <c r="AZ34" s="48" t="n">
        <v>0.47</v>
      </c>
      <c r="BA34" s="48" t="n">
        <v>0.65</v>
      </c>
      <c r="BD34" s="48" t="n">
        <v>1.34</v>
      </c>
    </row>
    <row r="35">
      <c r="A35" t="inlineStr">
        <is>
          <t>Adjusted EBITDA Margin</t>
        </is>
      </c>
      <c r="AQ35" s="46" t="n">
        <v>0.189</v>
      </c>
      <c r="AS35" s="46" t="n">
        <v>0.247</v>
      </c>
      <c r="AW35" s="50" t="n">
        <v>0.189</v>
      </c>
      <c r="AX35" s="50" t="n">
        <v>0.15</v>
      </c>
      <c r="AY35" s="50" t="n">
        <v>0.212</v>
      </c>
      <c r="BD35" s="50" t="n">
        <v>0.246</v>
      </c>
      <c r="BE35" s="50" t="n">
        <v>0.249</v>
      </c>
    </row>
    <row r="36">
      <c r="A36" t="inlineStr">
        <is>
          <t>Adjusted SG&amp;A % of Revenue</t>
        </is>
      </c>
      <c r="AY36" s="46" t="n">
        <v>0.318</v>
      </c>
      <c r="BC36" s="50" t="n">
        <v>0.318</v>
      </c>
      <c r="BE36" s="50" t="n">
        <v>0.264</v>
      </c>
    </row>
    <row r="37">
      <c r="A37" t="inlineStr">
        <is>
          <t>Alani Nu brand</t>
        </is>
      </c>
      <c r="AZ37" s="48" t="n">
        <v>301.2</v>
      </c>
    </row>
    <row r="38">
      <c r="A38" t="inlineStr">
        <is>
          <t>Alani Nu dollar share</t>
        </is>
      </c>
      <c r="AS38" s="46" t="n">
        <v>0.031</v>
      </c>
      <c r="AY38" s="50" t="n">
        <v>0.053</v>
      </c>
    </row>
    <row r="39">
      <c r="A39" t="inlineStr">
        <is>
          <t>Alani Nu net sales</t>
        </is>
      </c>
      <c r="AY39" s="49">
        <f>BE39/(1+0.6)</f>
        <v/>
      </c>
      <c r="BE39" s="48" t="n">
        <v>368</v>
      </c>
    </row>
    <row r="40">
      <c r="A40" t="inlineStr">
        <is>
          <t>Alani Nu retail sales growth</t>
        </is>
      </c>
      <c r="BD40" s="50" t="n">
        <v>1.01</v>
      </c>
    </row>
    <row r="41">
      <c r="A41" t="inlineStr">
        <is>
          <t>Amazon Energy Category Share (#1)</t>
        </is>
      </c>
      <c r="AO41" s="50" t="n">
        <v>0.214</v>
      </c>
    </row>
    <row r="42">
      <c r="A42" t="inlineStr">
        <is>
          <t>Amazon Energy Category Share (#2)</t>
        </is>
      </c>
      <c r="AM42" s="50" t="n">
        <v>0.186</v>
      </c>
    </row>
    <row r="43">
      <c r="A43" t="inlineStr">
        <is>
          <t>Average Items Carried Per Store (MULOC)</t>
        </is>
      </c>
      <c r="AJ43" s="48" t="n">
        <v>12.5</v>
      </c>
    </row>
    <row r="44">
      <c r="A44" t="inlineStr">
        <is>
          <t>Basic Shares</t>
        </is>
      </c>
      <c r="W44" s="48" t="n">
        <v>71.90000000000001</v>
      </c>
    </row>
    <row r="45">
      <c r="A45" t="inlineStr">
        <is>
          <t>Brand Celsius net sales</t>
        </is>
      </c>
      <c r="AX45" s="45" t="n">
        <v>1360</v>
      </c>
      <c r="AY45" s="49">
        <f>BE45/(1+0.06)</f>
        <v/>
      </c>
      <c r="BE45" s="48" t="n">
        <v>348</v>
      </c>
    </row>
    <row r="46">
      <c r="A46" t="inlineStr">
        <is>
          <t>Celsius brand</t>
        </is>
      </c>
      <c r="AZ46" s="48" t="n">
        <v>438.1</v>
      </c>
    </row>
    <row r="47">
      <c r="A47" t="inlineStr">
        <is>
          <t>CELSIUS brand retail sales growth</t>
        </is>
      </c>
      <c r="BD47" s="50" t="n">
        <v>0.06</v>
      </c>
    </row>
    <row r="48">
      <c r="A48" t="inlineStr">
        <is>
          <t>CELSIUS brand revenue</t>
        </is>
      </c>
      <c r="AW48" s="46" t="n">
        <v>4</v>
      </c>
      <c r="BD48" s="48" t="n">
        <v>1457.7</v>
      </c>
    </row>
    <row r="49">
      <c r="A49" t="inlineStr">
        <is>
          <t>Celsius US tracked-channel dollar share</t>
        </is>
      </c>
      <c r="AY49" s="50" t="n">
        <v>0.109</v>
      </c>
    </row>
    <row r="50">
      <c r="A50" t="inlineStr">
        <is>
          <t>China Note Interest Income</t>
        </is>
      </c>
      <c r="M50" s="48" t="n">
        <v>0.09</v>
      </c>
    </row>
    <row r="51">
      <c r="A51" t="inlineStr">
        <is>
          <t>Club channel revenue</t>
        </is>
      </c>
      <c r="AF51" s="48" t="n">
        <v>30.9</v>
      </c>
    </row>
    <row r="52">
      <c r="A52" t="inlineStr">
        <is>
          <t>Club Channel Sales</t>
        </is>
      </c>
      <c r="AD52" s="45" t="n">
        <v>40</v>
      </c>
      <c r="AE52" s="45" t="n">
        <v>26</v>
      </c>
      <c r="AF52" s="45" t="n">
        <v>31</v>
      </c>
      <c r="AH52" s="48" t="n">
        <v>34</v>
      </c>
      <c r="AJ52" s="45" t="n">
        <v>47</v>
      </c>
      <c r="AK52" s="48" t="n">
        <v>138</v>
      </c>
      <c r="AL52" s="45" t="n">
        <v>46.5</v>
      </c>
      <c r="AM52" s="48" t="n">
        <v>68</v>
      </c>
      <c r="AO52" s="48" t="n">
        <v>63.2</v>
      </c>
      <c r="AS52" s="48" t="n">
        <v>63</v>
      </c>
    </row>
    <row r="53">
      <c r="A53" t="inlineStr">
        <is>
          <t>Combined business RTD energy mix</t>
        </is>
      </c>
      <c r="AX53" s="48" t="n">
        <v>2025</v>
      </c>
    </row>
    <row r="54">
      <c r="A54" t="inlineStr">
        <is>
          <t>Combined portfolio dollar share</t>
        </is>
      </c>
      <c r="AY54" s="50" t="n">
        <v>0.162</v>
      </c>
    </row>
    <row r="55">
      <c r="A55" t="inlineStr">
        <is>
          <t>Contingent consideration</t>
        </is>
      </c>
      <c r="BD55" s="48" t="n">
        <v>25</v>
      </c>
    </row>
    <row r="56">
      <c r="A56" t="inlineStr">
        <is>
          <t>Convenience Channel ACV</t>
        </is>
      </c>
      <c r="P56" s="46" t="n">
        <v>0.138</v>
      </c>
      <c r="AD56" s="50" t="n">
        <v>0.44</v>
      </c>
      <c r="AE56" s="46" t="n">
        <v>0.5570000000000001</v>
      </c>
      <c r="AF56" s="46" t="n">
        <v>0.629</v>
      </c>
      <c r="AH56" s="46" t="n">
        <v>0.73</v>
      </c>
      <c r="AJ56" s="50" t="n">
        <v>0.89</v>
      </c>
      <c r="AM56" s="50" t="n">
        <v>0.9490000000000001</v>
      </c>
      <c r="AO56" s="50" t="n">
        <v>0.956</v>
      </c>
    </row>
    <row r="57">
      <c r="A57" t="inlineStr">
        <is>
          <t>Convenience channel sales growth</t>
        </is>
      </c>
      <c r="AF57" s="50" t="n">
        <v>2.27</v>
      </c>
      <c r="AH57" s="50" t="n">
        <v>1.58</v>
      </c>
    </row>
    <row r="58">
      <c r="A58" t="inlineStr">
        <is>
          <t>Convenience Channel Store Locations</t>
        </is>
      </c>
      <c r="Z58" s="45" t="n">
        <v>42000</v>
      </c>
      <c r="AB58" s="45" t="n">
        <v>49000</v>
      </c>
      <c r="AF58" s="48" t="n">
        <v>82000</v>
      </c>
      <c r="AH58" s="48" t="n">
        <v>86000</v>
      </c>
    </row>
    <row r="59">
      <c r="A59" t="inlineStr">
        <is>
          <t>Cooler Rollout Phase 1</t>
        </is>
      </c>
      <c r="AD59" s="48" t="n">
        <v>2021</v>
      </c>
    </row>
    <row r="60">
      <c r="A60" t="inlineStr">
        <is>
          <t>Debt</t>
        </is>
      </c>
      <c r="AY60" s="48" t="n">
        <v>900</v>
      </c>
    </row>
    <row r="61">
      <c r="A61" t="inlineStr">
        <is>
          <t>Diluted EPS</t>
        </is>
      </c>
      <c r="M61" s="45" t="n">
        <v>0.19</v>
      </c>
      <c r="N61" s="45" t="n">
        <v>-0.03</v>
      </c>
      <c r="P61" s="45" t="n">
        <v>0.03</v>
      </c>
      <c r="T61" s="45" t="n">
        <v>0.01</v>
      </c>
      <c r="U61" s="45" t="n">
        <v>0.02</v>
      </c>
      <c r="V61" s="45" t="n">
        <v>0.06</v>
      </c>
      <c r="Y61" s="45" t="n">
        <v>0.01</v>
      </c>
      <c r="Z61" s="48" t="n">
        <v>0.05</v>
      </c>
      <c r="AB61" s="48" t="n">
        <v>0.04</v>
      </c>
      <c r="AE61" s="48" t="n">
        <v>0.09</v>
      </c>
      <c r="AF61" s="48" t="n">
        <v>0.12</v>
      </c>
      <c r="AH61" s="45" t="n">
        <v>-2.46</v>
      </c>
      <c r="AL61" s="45" t="n">
        <v>0.13</v>
      </c>
      <c r="AO61" s="48" t="n">
        <v>0.89</v>
      </c>
      <c r="AS61" s="48" t="n">
        <v>0.27</v>
      </c>
      <c r="AT61" s="45" t="n">
        <v>0.28</v>
      </c>
      <c r="AY61" s="48" t="n">
        <v>0.15</v>
      </c>
      <c r="AZ61" s="48" t="n">
        <v>0.33</v>
      </c>
      <c r="BD61" s="48" t="n">
        <v>0.25</v>
      </c>
    </row>
    <row r="62">
      <c r="A62" t="inlineStr">
        <is>
          <t>Distribution Termination Expenses</t>
        </is>
      </c>
      <c r="AK62" s="48" t="n">
        <v>194</v>
      </c>
    </row>
    <row r="63">
      <c r="A63" t="inlineStr">
        <is>
          <t>Distributor termination &amp; integration adj</t>
        </is>
      </c>
      <c r="BD63" s="48" t="n">
        <v>-327.5</v>
      </c>
    </row>
    <row r="64">
      <c r="A64" t="inlineStr">
        <is>
          <t>Distributor termination costs</t>
        </is>
      </c>
      <c r="AW64" s="45" t="n">
        <v>0</v>
      </c>
      <c r="BC64" s="48" t="n">
        <v>80.8</v>
      </c>
    </row>
    <row r="65">
      <c r="A65" t="inlineStr">
        <is>
          <t>DPO (days)</t>
        </is>
      </c>
      <c r="Z65" s="48" t="n">
        <v>31</v>
      </c>
    </row>
    <row r="66">
      <c r="A66" t="inlineStr">
        <is>
          <t>DSD distributor revenue growth</t>
        </is>
      </c>
      <c r="AE66" s="50" t="n">
        <v>3.95</v>
      </c>
    </row>
    <row r="67">
      <c r="A67" t="inlineStr">
        <is>
          <t>DSD incremental revenue</t>
        </is>
      </c>
      <c r="AF67" s="48" t="n">
        <v>41.8</v>
      </c>
    </row>
    <row r="68">
      <c r="A68" t="inlineStr">
        <is>
          <t>DSD network sales</t>
        </is>
      </c>
      <c r="AF68" s="48" t="n">
        <v>61.9</v>
      </c>
    </row>
    <row r="69">
      <c r="A69" t="inlineStr">
        <is>
          <t>DSD population coverage</t>
        </is>
      </c>
      <c r="AD69" s="50" t="n">
        <v>0.98</v>
      </c>
    </row>
    <row r="70">
      <c r="A70" t="inlineStr">
        <is>
          <t>DSD service centers</t>
        </is>
      </c>
      <c r="X70" s="46" t="n">
        <v>1.5</v>
      </c>
      <c r="AD70" s="48" t="n">
        <v>276</v>
      </c>
    </row>
    <row r="71">
      <c r="A71" t="inlineStr">
        <is>
          <t>DSO (days)</t>
        </is>
      </c>
      <c r="Z71" s="48" t="n">
        <v>45</v>
      </c>
    </row>
    <row r="72">
      <c r="A72" t="inlineStr">
        <is>
          <t>Earn-out contingent consideration charge</t>
        </is>
      </c>
      <c r="AZ72" s="48" t="n">
        <v>13.8</v>
      </c>
    </row>
    <row r="73">
      <c r="A73" t="inlineStr">
        <is>
          <t>Effective tax rate (9 months)</t>
        </is>
      </c>
      <c r="AH73" s="50" t="n">
        <v>-0.335</v>
      </c>
    </row>
    <row r="74">
      <c r="A74" t="inlineStr">
        <is>
          <t>EPS</t>
        </is>
      </c>
      <c r="M74" s="48" t="n">
        <v>0.2</v>
      </c>
      <c r="O74" s="48" t="n">
        <v>0.18</v>
      </c>
      <c r="S74" s="48" t="n">
        <v>0.16</v>
      </c>
      <c r="W74" s="48" t="n">
        <v>0.02</v>
      </c>
    </row>
    <row r="75">
      <c r="A75" t="inlineStr">
        <is>
          <t>EPS Basic</t>
        </is>
      </c>
      <c r="P75" s="48" t="n">
        <v>0.02</v>
      </c>
      <c r="Q75" s="48" t="n">
        <v>0.19</v>
      </c>
    </row>
    <row r="76">
      <c r="A76" t="inlineStr">
        <is>
          <t>Foodservice as % of NA sales (via PepsiCo)</t>
        </is>
      </c>
      <c r="AY76" s="50" t="n">
        <v>0.134</v>
      </c>
    </row>
    <row r="77">
      <c r="A77" t="inlineStr">
        <is>
          <t>Freight (% of net revenues)</t>
        </is>
      </c>
      <c r="AO77" s="50" t="n">
        <v>0.049</v>
      </c>
    </row>
    <row r="78">
      <c r="A78" t="inlineStr">
        <is>
          <t>Freight cost (Celsius brand) % of sales</t>
        </is>
      </c>
      <c r="BB78" s="50" t="n">
        <v>0.03</v>
      </c>
    </row>
    <row r="79">
      <c r="A79" t="inlineStr">
        <is>
          <t>Full-Year EBITDA 2020</t>
        </is>
      </c>
      <c r="W79" s="48" t="n">
        <v>15</v>
      </c>
    </row>
    <row r="80">
      <c r="A80" t="inlineStr">
        <is>
          <t>Full-Year Income 2020</t>
        </is>
      </c>
      <c r="W80" s="48" t="n">
        <v>8.5</v>
      </c>
    </row>
    <row r="81">
      <c r="A81" t="inlineStr">
        <is>
          <t>Fully Diluted Shares</t>
        </is>
      </c>
      <c r="W81" s="48" t="n">
        <v>76.5</v>
      </c>
    </row>
    <row r="82">
      <c r="A82" t="inlineStr">
        <is>
          <t>G&amp;A % of Revenue</t>
        </is>
      </c>
      <c r="Z82" s="46" t="n">
        <v>0.19</v>
      </c>
      <c r="AB82" s="46" t="n">
        <v>0.25</v>
      </c>
      <c r="AE82" s="50" t="n">
        <v>0.09</v>
      </c>
      <c r="AF82" s="50" t="n">
        <v>0.09</v>
      </c>
      <c r="AH82" s="50" t="n">
        <v>0.15</v>
      </c>
      <c r="AL82" s="50" t="n">
        <v>0.08</v>
      </c>
      <c r="AM82" s="50" t="n">
        <v>0.1</v>
      </c>
      <c r="AO82" s="50" t="n">
        <v>0.06</v>
      </c>
      <c r="AQ82" s="50" t="n">
        <v>0.08</v>
      </c>
      <c r="AR82" s="50" t="n">
        <v>0.08</v>
      </c>
      <c r="AS82" s="50" t="n">
        <v>0.07000000000000001</v>
      </c>
      <c r="AX82" s="50" t="n">
        <v>0.128</v>
      </c>
      <c r="AZ82" s="50" t="n">
        <v>0.117</v>
      </c>
    </row>
    <row r="83">
      <c r="A83" t="inlineStr">
        <is>
          <t>G&amp;A % of sales (ex-acquisition costs)</t>
        </is>
      </c>
      <c r="BB83" s="50" t="n">
        <v>0.06</v>
      </c>
    </row>
    <row r="84">
      <c r="A84" t="inlineStr">
        <is>
          <t>Gap (promos/incentives + non-DSD timing)</t>
        </is>
      </c>
      <c r="AY84" s="48" t="n">
        <v>3</v>
      </c>
    </row>
    <row r="85">
      <c r="A85" t="inlineStr">
        <is>
          <t>Gross Margin ex inventory step-up</t>
        </is>
      </c>
      <c r="AZ85" s="50" t="n">
        <v>0.54</v>
      </c>
    </row>
    <row r="86">
      <c r="A86" t="inlineStr">
        <is>
          <t>Gross margin sequential change (vs Q2)</t>
        </is>
      </c>
      <c r="AH86" s="48" t="n">
        <v>330</v>
      </c>
    </row>
    <row r="87">
      <c r="A87" t="inlineStr">
        <is>
          <t>Household Penetration</t>
        </is>
      </c>
      <c r="AH87" s="46" t="n">
        <v>0.111</v>
      </c>
      <c r="AO87" s="50" t="n">
        <v>0.25</v>
      </c>
    </row>
    <row r="88">
      <c r="A88" t="inlineStr">
        <is>
          <t>Incremental Cooler Placement</t>
        </is>
      </c>
      <c r="BD88" s="48" t="n">
        <v>2025</v>
      </c>
    </row>
    <row r="89">
      <c r="A89" t="inlineStr">
        <is>
          <t>Interest expense</t>
        </is>
      </c>
      <c r="BD89" s="48" t="n">
        <v>-49</v>
      </c>
    </row>
    <row r="90">
      <c r="A90" t="inlineStr">
        <is>
          <t>Interest income</t>
        </is>
      </c>
      <c r="BD90" s="48" t="n">
        <v>21.1</v>
      </c>
    </row>
    <row r="91">
      <c r="A91" t="inlineStr">
        <is>
          <t>International Cadence</t>
        </is>
      </c>
      <c r="AX91" s="48" t="n">
        <v>2025</v>
      </c>
    </row>
    <row r="92">
      <c r="A92" t="inlineStr">
        <is>
          <t>International cans on the books</t>
        </is>
      </c>
      <c r="AE92" s="48" t="n">
        <v>20</v>
      </c>
    </row>
    <row r="93">
      <c r="A93" t="inlineStr">
        <is>
          <t>International Revenue (ex-Canada)</t>
        </is>
      </c>
      <c r="AL93" s="45" t="n">
        <v>11.4</v>
      </c>
      <c r="AS93" s="48" t="n">
        <v>16.2</v>
      </c>
    </row>
    <row r="94">
      <c r="A94" t="inlineStr">
        <is>
          <t>Inventory Days on Hand</t>
        </is>
      </c>
      <c r="Z94" s="48" t="n">
        <v>155</v>
      </c>
    </row>
    <row r="95">
      <c r="A95" t="inlineStr">
        <is>
          <t>Inventory Increase</t>
        </is>
      </c>
      <c r="AB95" s="48" t="n">
        <v>104</v>
      </c>
    </row>
    <row r="96">
      <c r="A96" t="inlineStr">
        <is>
          <t>Inventory reduction in quarter</t>
        </is>
      </c>
      <c r="AE96" s="48" t="n">
        <v>-6</v>
      </c>
    </row>
    <row r="97">
      <c r="A97" t="inlineStr">
        <is>
          <t>Inventory valuation step-up (non-cash, FY)</t>
        </is>
      </c>
      <c r="BC97" s="48" t="n">
        <v>22.4</v>
      </c>
    </row>
    <row r="98">
      <c r="A98" t="inlineStr">
        <is>
          <t>June 9 Offering Net Proceeds (to Company)</t>
        </is>
      </c>
      <c r="Z98" s="48" t="n">
        <v>67.8</v>
      </c>
    </row>
    <row r="99">
      <c r="A99" t="inlineStr">
        <is>
          <t>Long-term debt</t>
        </is>
      </c>
      <c r="BD99" s="48" t="n">
        <v>669.9</v>
      </c>
    </row>
    <row r="100">
      <c r="A100" t="inlineStr">
        <is>
          <t>MULOC ACV</t>
        </is>
      </c>
      <c r="AF100" s="46" t="n">
        <v>0.7979999999999999</v>
      </c>
      <c r="AH100" s="46" t="n">
        <v>0.721</v>
      </c>
      <c r="AM100" s="50" t="n">
        <v>0.968</v>
      </c>
      <c r="AO100" s="50" t="n">
        <v>0.956</v>
      </c>
    </row>
    <row r="101">
      <c r="A101" t="inlineStr">
        <is>
          <t>MULOC Energy Market Share (#3)</t>
        </is>
      </c>
      <c r="AO101" s="50" t="n">
        <v>0.105</v>
      </c>
    </row>
    <row r="102">
      <c r="A102" t="inlineStr">
        <is>
          <t>MULOC locations serviced by DSD</t>
        </is>
      </c>
      <c r="AH102" s="50" t="n">
        <v>0.92</v>
      </c>
    </row>
    <row r="103">
      <c r="A103" t="inlineStr">
        <is>
          <t>MULOC Total Energy Share (#3 brand)</t>
        </is>
      </c>
      <c r="AM103" s="50" t="n">
        <v>0.08599999999999999</v>
      </c>
    </row>
    <row r="104">
      <c r="A104" t="inlineStr">
        <is>
          <t>Net Adj EBITDA /China Q4</t>
        </is>
      </c>
      <c r="K104" s="48" t="n">
        <v>0.135</v>
      </c>
    </row>
    <row r="105">
      <c r="A105" t="inlineStr">
        <is>
          <t>Net benefit (Celsius + Alani load-in)</t>
        </is>
      </c>
      <c r="BC105" s="48" t="n">
        <v>25</v>
      </c>
    </row>
    <row r="106">
      <c r="A106" t="inlineStr">
        <is>
          <t>Net Inventory</t>
        </is>
      </c>
      <c r="U106" s="45" t="n">
        <v>18.4</v>
      </c>
      <c r="X106" s="45" t="n">
        <v>18.4</v>
      </c>
      <c r="Z106" s="48" t="n">
        <v>63.8</v>
      </c>
      <c r="AD106" s="48" t="n">
        <v>191.2</v>
      </c>
    </row>
    <row r="107">
      <c r="A107" t="inlineStr">
        <is>
          <t>Net Loss Per Share</t>
        </is>
      </c>
      <c r="B107" s="45" t="n">
        <v>-0.04</v>
      </c>
      <c r="D107" s="45" t="n">
        <v>-0.12</v>
      </c>
      <c r="E107" s="45" t="n">
        <v>-0.19</v>
      </c>
      <c r="I107" s="48" t="n">
        <v>-0.08</v>
      </c>
      <c r="J107" s="48" t="n">
        <v>-0.21</v>
      </c>
      <c r="K107" s="48" t="n">
        <v>-0.02</v>
      </c>
      <c r="L107" s="48" t="n">
        <v>-0.23</v>
      </c>
      <c r="N107" s="48" t="n">
        <v>-0.03</v>
      </c>
      <c r="R107" s="48" t="n">
        <v>-0.02</v>
      </c>
    </row>
    <row r="108">
      <c r="A108" t="inlineStr">
        <is>
          <t>Normalized Gross Margin ()</t>
        </is>
      </c>
      <c r="AB108" s="50" t="n">
        <v>0.472</v>
      </c>
    </row>
    <row r="109">
      <c r="A109" t="inlineStr">
        <is>
          <t>Op. Cash Flow ex-inventory build (6M)</t>
        </is>
      </c>
      <c r="Z109" s="48" t="n">
        <v>15.1</v>
      </c>
    </row>
    <row r="110">
      <c r="A110" t="inlineStr">
        <is>
          <t>Operational G&amp;A ex-stock-comp/D&amp;A (% of rev)</t>
        </is>
      </c>
      <c r="W110" s="50" t="n">
        <v>0.08800000000000001</v>
      </c>
    </row>
    <row r="111">
      <c r="A111" t="inlineStr">
        <is>
          <t>Other Income</t>
        </is>
      </c>
      <c r="H111" s="45" t="n">
        <v>-80000</v>
      </c>
      <c r="O111" s="48" t="n">
        <v>11.9</v>
      </c>
      <c r="BD111" s="48" t="n">
        <v>13</v>
      </c>
    </row>
    <row r="112">
      <c r="A112" t="inlineStr">
        <is>
          <t>Other International Markets</t>
        </is>
      </c>
      <c r="Z112" s="48" t="n">
        <v>0.062</v>
      </c>
      <c r="AB112" s="48" t="n">
        <v>0.177</v>
      </c>
      <c r="AD112" s="48" t="n">
        <v>3.2</v>
      </c>
      <c r="AE112" s="48" t="n">
        <v>0.5</v>
      </c>
    </row>
    <row r="113">
      <c r="A113" t="inlineStr">
        <is>
          <t>Portfolio retail sales growth</t>
        </is>
      </c>
      <c r="BD113" s="50" t="n">
        <v>0.22</v>
      </c>
    </row>
    <row r="114">
      <c r="A114" t="inlineStr">
        <is>
          <t>Prepaids tied to raw materials</t>
        </is>
      </c>
      <c r="AB114" s="48" t="n">
        <v>40</v>
      </c>
    </row>
    <row r="115">
      <c r="A115" t="inlineStr">
        <is>
          <t>Pro-Forma Net Leverage</t>
        </is>
      </c>
      <c r="AZ115" s="48" t="n">
        <v>1</v>
      </c>
    </row>
    <row r="116">
      <c r="A116" t="inlineStr">
        <is>
          <t>Protein shakes share of 2024 sales</t>
        </is>
      </c>
      <c r="AX116" s="50" t="n">
        <v>0.06</v>
      </c>
    </row>
    <row r="117">
      <c r="A117" t="inlineStr">
        <is>
          <t>Purchase accounting inventory step-up</t>
        </is>
      </c>
      <c r="AZ117" s="48" t="n">
        <v>21.7</v>
      </c>
    </row>
    <row r="118">
      <c r="A118" t="inlineStr">
        <is>
          <t>Quarter growth</t>
        </is>
      </c>
      <c r="AF118" s="50" t="n">
        <v>1.85</v>
      </c>
      <c r="AJ118" s="50" t="n">
        <v>0.1</v>
      </c>
    </row>
    <row r="119">
      <c r="A119" t="inlineStr">
        <is>
          <t>Restricted cash</t>
        </is>
      </c>
      <c r="BD119" s="48" t="n">
        <v>141.1</v>
      </c>
    </row>
    <row r="120">
      <c r="A120" t="inlineStr">
        <is>
          <t>Retail Sales Growth</t>
        </is>
      </c>
      <c r="AX120" s="50" t="n">
        <v>0.22</v>
      </c>
    </row>
    <row r="121">
      <c r="A121" t="inlineStr">
        <is>
          <t>Revenue CAGR (2022-2024)</t>
        </is>
      </c>
      <c r="AX121" s="50" t="n">
        <v>0.49</v>
      </c>
    </row>
    <row r="122">
      <c r="A122" t="inlineStr">
        <is>
          <t>Rockstar combined Q3 impact</t>
        </is>
      </c>
      <c r="BB122" s="48" t="n">
        <v>18</v>
      </c>
    </row>
    <row r="123">
      <c r="A123" t="inlineStr">
        <is>
          <t>Rockstar Energy retail sales growth</t>
        </is>
      </c>
      <c r="BD123" s="50" t="n">
        <v>-0.11</v>
      </c>
    </row>
    <row r="124">
      <c r="A124" t="inlineStr">
        <is>
          <t>Rockstar Energy revenue</t>
        </is>
      </c>
      <c r="AW124" s="45" t="n">
        <v>28</v>
      </c>
      <c r="BD124" s="48" t="n">
        <v>55.6</v>
      </c>
    </row>
    <row r="125">
      <c r="A125" t="inlineStr">
        <is>
          <t>Rockstar net sales</t>
        </is>
      </c>
      <c r="BE125" s="48" t="n">
        <v>67</v>
      </c>
    </row>
    <row r="126">
      <c r="A126" t="inlineStr">
        <is>
          <t>Rockstar other-income GAAP portion</t>
        </is>
      </c>
      <c r="BB126" s="48" t="n">
        <v>7</v>
      </c>
    </row>
    <row r="127">
      <c r="A127" t="inlineStr">
        <is>
          <t>Rockstar revenue (first month under ownership, $M)</t>
        </is>
      </c>
      <c r="BB127" s="48" t="n">
        <v>11</v>
      </c>
    </row>
    <row r="128">
      <c r="A128" t="inlineStr">
        <is>
          <t>Rockstar run rate</t>
        </is>
      </c>
      <c r="BF128" s="48" t="n">
        <v>250</v>
      </c>
    </row>
    <row r="129">
      <c r="A129" t="inlineStr">
        <is>
          <t>RTD energy share of 2024 sales</t>
        </is>
      </c>
      <c r="AX129" s="50" t="n">
        <v>0.83</v>
      </c>
    </row>
    <row r="130">
      <c r="A130" t="inlineStr">
        <is>
          <t>S&amp;M % of Revenue</t>
        </is>
      </c>
      <c r="Z130" s="50" t="n">
        <v>0.239</v>
      </c>
      <c r="AB130" s="50" t="n">
        <v>0.238</v>
      </c>
      <c r="AE130" s="50" t="n">
        <v>0.23</v>
      </c>
      <c r="AF130" s="50" t="n">
        <v>0.21</v>
      </c>
      <c r="AL130" s="50" t="n">
        <v>0.183</v>
      </c>
      <c r="AM130" s="50" t="n">
        <v>0.192</v>
      </c>
      <c r="AO130" s="50" t="n">
        <v>0.191</v>
      </c>
      <c r="AQ130" s="50" t="n">
        <v>0.23</v>
      </c>
      <c r="AR130" s="50" t="n">
        <v>0.2</v>
      </c>
      <c r="AS130" s="50" t="n">
        <v>0.21</v>
      </c>
      <c r="AX130" s="50" t="n">
        <v>0.259</v>
      </c>
      <c r="AZ130" s="50" t="n">
        <v>0.205</v>
      </c>
      <c r="BB130" s="50" t="n">
        <v>0.2</v>
      </c>
    </row>
    <row r="131">
      <c r="A131" t="inlineStr">
        <is>
          <t>Scanner data trend</t>
        </is>
      </c>
      <c r="AY131" s="50" t="n">
        <v>-0.04</v>
      </c>
    </row>
    <row r="132">
      <c r="A132" t="inlineStr">
        <is>
          <t>Sequential Gross Margin Improvement (vs Q2)</t>
        </is>
      </c>
      <c r="AO132" s="48" t="n">
        <v>165</v>
      </c>
    </row>
    <row r="133">
      <c r="A133" t="inlineStr">
        <is>
          <t>Sequential revenue growth (vs )</t>
        </is>
      </c>
      <c r="AE133" s="50" t="n">
        <v>0.18</v>
      </c>
    </row>
    <row r="134">
      <c r="A134" t="inlineStr">
        <is>
          <t>Sequential Revenue Growth (vs Q2)</t>
        </is>
      </c>
      <c r="AO134" s="50" t="n">
        <v>0.18</v>
      </c>
    </row>
    <row r="135">
      <c r="A135" t="inlineStr">
        <is>
          <t>Series B convertible preferred stock (newly issued)</t>
        </is>
      </c>
      <c r="BD135" s="48" t="n">
        <v>907.6</v>
      </c>
    </row>
    <row r="136">
      <c r="A136" t="inlineStr">
        <is>
          <t>SG&amp;A</t>
        </is>
      </c>
      <c r="AQ136" s="45" t="n">
        <v>107</v>
      </c>
      <c r="AS136" s="45" t="n">
        <v>99</v>
      </c>
      <c r="AW136" s="48" t="n">
        <v>185</v>
      </c>
      <c r="AY136" s="48" t="n">
        <v>120.3</v>
      </c>
    </row>
    <row r="137">
      <c r="A137" t="inlineStr">
        <is>
          <t>South Florida Share</t>
        </is>
      </c>
      <c r="AO137" s="50" t="n">
        <v>0.241</v>
      </c>
    </row>
    <row r="138">
      <c r="A138" t="inlineStr">
        <is>
          <t>Stock Option Expense</t>
        </is>
      </c>
      <c r="T138" s="45" t="n">
        <v>1.4</v>
      </c>
      <c r="U138" s="45" t="n">
        <v>1.2</v>
      </c>
      <c r="V138" s="45" t="n">
        <v>2.1</v>
      </c>
      <c r="Z138" s="48" t="n">
        <v>4</v>
      </c>
      <c r="AB138" s="48" t="n">
        <v>5.8</v>
      </c>
    </row>
    <row r="139">
      <c r="A139" t="inlineStr">
        <is>
          <t>Subway Distribution Opportunity</t>
        </is>
      </c>
      <c r="BD139" s="48" t="n">
        <v>2025</v>
      </c>
    </row>
    <row r="140">
      <c r="A140" t="inlineStr">
        <is>
          <t>Total assets</t>
        </is>
      </c>
      <c r="BD140" s="48" t="n">
        <v>5119.6</v>
      </c>
    </row>
    <row r="141">
      <c r="A141" t="inlineStr">
        <is>
          <t>Total Inventory</t>
        </is>
      </c>
      <c r="AF141" s="45" t="n">
        <v>1</v>
      </c>
      <c r="AH141" s="45" t="n">
        <v>46</v>
      </c>
      <c r="AL141" s="48" t="n">
        <v>150</v>
      </c>
    </row>
    <row r="142">
      <c r="A142" t="inlineStr">
        <is>
          <t>Total Net Other Expense</t>
        </is>
      </c>
      <c r="AB142" s="48" t="n">
        <v>-0.353</v>
      </c>
    </row>
    <row r="143">
      <c r="A143" t="inlineStr">
        <is>
          <t>Total Net Other Income</t>
        </is>
      </c>
      <c r="U143" s="45" t="n">
        <v>0.31</v>
      </c>
      <c r="Z143" s="48" t="n">
        <v>0.3615</v>
      </c>
    </row>
    <row r="144">
      <c r="A144" t="inlineStr">
        <is>
          <t>Total Other Income</t>
        </is>
      </c>
      <c r="R144" s="45" t="n">
        <v>150000</v>
      </c>
      <c r="W144" s="48" t="n">
        <v>1.3</v>
      </c>
    </row>
    <row r="145">
      <c r="A145" t="inlineStr">
        <is>
          <t>Total Other Income Increase</t>
        </is>
      </c>
      <c r="M145" s="48" t="n">
        <v>12.2</v>
      </c>
    </row>
    <row r="146">
      <c r="A146" t="inlineStr">
        <is>
          <t>US energy category growth</t>
        </is>
      </c>
      <c r="BD146" s="48" t="n">
        <v>2025</v>
      </c>
    </row>
    <row r="147">
      <c r="A147" t="inlineStr">
        <is>
          <t>US Spacings (MULOC, 4 wks)</t>
        </is>
      </c>
      <c r="AM147" s="48" t="n">
        <v>14.6</v>
      </c>
    </row>
    <row r="148">
      <c r="A148" t="inlineStr">
        <is>
          <t>US store count</t>
        </is>
      </c>
      <c r="U148" s="45" t="n">
        <v>80000</v>
      </c>
      <c r="X148" s="45" t="n">
        <v>82000</v>
      </c>
      <c r="AB148" s="45" t="n">
        <v>140000</v>
      </c>
      <c r="AD148" s="48" t="n">
        <v>135000</v>
      </c>
      <c r="AH148" s="48" t="n">
        <v>174000</v>
      </c>
      <c r="AJ148" s="48" t="n">
        <v>210000</v>
      </c>
    </row>
    <row r="149">
      <c r="A149" t="inlineStr">
        <is>
          <t>US total door count</t>
        </is>
      </c>
      <c r="S149" s="45" t="n">
        <v>64000</v>
      </c>
      <c r="Z149" s="45" t="n">
        <v>109000</v>
      </c>
      <c r="AF149" s="48" t="n">
        <v>196000</v>
      </c>
    </row>
    <row r="150">
      <c r="A150" t="inlineStr">
        <is>
          <t>Vending / foodservice revenue</t>
        </is>
      </c>
      <c r="AF150" s="48" t="n">
        <v>4.4</v>
      </c>
    </row>
    <row r="151">
      <c r="A151" t="inlineStr">
        <is>
          <t>Volume Growth</t>
        </is>
      </c>
      <c r="AX151" s="50" t="n">
        <v>0.22</v>
      </c>
    </row>
    <row r="152">
      <c r="A152" t="inlineStr">
        <is>
          <t>Walmart sales growth</t>
        </is>
      </c>
      <c r="AF152" s="50" t="n">
        <v>7</v>
      </c>
    </row>
    <row r="153">
      <c r="A153" t="inlineStr">
        <is>
          <t>Weighted Avg Shares Outstanding</t>
        </is>
      </c>
      <c r="M153" s="48" t="n">
        <v>57.2</v>
      </c>
    </row>
    <row r="154">
      <c r="A154" t="inlineStr">
        <is>
          <t>Weighted Avg Shares Outstanding Q2</t>
        </is>
      </c>
      <c r="N154" s="48" t="n">
        <v>57.3</v>
      </c>
    </row>
    <row r="155">
      <c r="A155" t="inlineStr">
        <is>
          <t>Weighted Avg Shares Q3</t>
        </is>
      </c>
      <c r="P155"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C5" r:id="rId28"/>
    <hyperlink xmlns:r="http://schemas.openxmlformats.org/officeDocument/2006/relationships" ref="AD5" r:id="rId29"/>
    <hyperlink xmlns:r="http://schemas.openxmlformats.org/officeDocument/2006/relationships" ref="AE5" r:id="rId30"/>
    <hyperlink xmlns:r="http://schemas.openxmlformats.org/officeDocument/2006/relationships" ref="AF5" r:id="rId31"/>
    <hyperlink xmlns:r="http://schemas.openxmlformats.org/officeDocument/2006/relationships" ref="AH5" r:id="rId32"/>
    <hyperlink xmlns:r="http://schemas.openxmlformats.org/officeDocument/2006/relationships" ref="AJ5" r:id="rId33"/>
    <hyperlink xmlns:r="http://schemas.openxmlformats.org/officeDocument/2006/relationships" ref="AK5" r:id="rId34"/>
    <hyperlink xmlns:r="http://schemas.openxmlformats.org/officeDocument/2006/relationships" ref="AL5" r:id="rId35"/>
    <hyperlink xmlns:r="http://schemas.openxmlformats.org/officeDocument/2006/relationships" ref="AM5" r:id="rId36"/>
    <hyperlink xmlns:r="http://schemas.openxmlformats.org/officeDocument/2006/relationships" ref="AN5" r:id="rId37"/>
    <hyperlink xmlns:r="http://schemas.openxmlformats.org/officeDocument/2006/relationships" ref="AO5" r:id="rId38"/>
    <hyperlink xmlns:r="http://schemas.openxmlformats.org/officeDocument/2006/relationships" ref="AP5" r:id="rId39"/>
    <hyperlink xmlns:r="http://schemas.openxmlformats.org/officeDocument/2006/relationships" ref="AQ5" r:id="rId40"/>
    <hyperlink xmlns:r="http://schemas.openxmlformats.org/officeDocument/2006/relationships" ref="AR5" r:id="rId41"/>
    <hyperlink xmlns:r="http://schemas.openxmlformats.org/officeDocument/2006/relationships" ref="AS5" r:id="rId42"/>
    <hyperlink xmlns:r="http://schemas.openxmlformats.org/officeDocument/2006/relationships" ref="AT5" r:id="rId43"/>
    <hyperlink xmlns:r="http://schemas.openxmlformats.org/officeDocument/2006/relationships" ref="AU5" r:id="rId44"/>
    <hyperlink xmlns:r="http://schemas.openxmlformats.org/officeDocument/2006/relationships" ref="AV5" r:id="rId45"/>
    <hyperlink xmlns:r="http://schemas.openxmlformats.org/officeDocument/2006/relationships" ref="AW5" r:id="rId46"/>
    <hyperlink xmlns:r="http://schemas.openxmlformats.org/officeDocument/2006/relationships" ref="AX5" r:id="rId47"/>
    <hyperlink xmlns:r="http://schemas.openxmlformats.org/officeDocument/2006/relationships" ref="AY5" r:id="rId48"/>
    <hyperlink xmlns:r="http://schemas.openxmlformats.org/officeDocument/2006/relationships" ref="AZ5" r:id="rId49"/>
    <hyperlink xmlns:r="http://schemas.openxmlformats.org/officeDocument/2006/relationships" ref="BA5" r:id="rId50"/>
    <hyperlink xmlns:r="http://schemas.openxmlformats.org/officeDocument/2006/relationships" ref="BB5" r:id="rId51"/>
    <hyperlink xmlns:r="http://schemas.openxmlformats.org/officeDocument/2006/relationships" ref="BD5" r:id="rId52"/>
    <hyperlink xmlns:r="http://schemas.openxmlformats.org/officeDocument/2006/relationships" ref="BE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D6" r:id="rId74"/>
    <hyperlink xmlns:r="http://schemas.openxmlformats.org/officeDocument/2006/relationships" ref="AE6" r:id="rId75"/>
    <hyperlink xmlns:r="http://schemas.openxmlformats.org/officeDocument/2006/relationships" ref="AF6" r:id="rId76"/>
    <hyperlink xmlns:r="http://schemas.openxmlformats.org/officeDocument/2006/relationships" ref="AH6" r:id="rId77"/>
    <hyperlink xmlns:r="http://schemas.openxmlformats.org/officeDocument/2006/relationships" ref="AJ6" r:id="rId78"/>
    <hyperlink xmlns:r="http://schemas.openxmlformats.org/officeDocument/2006/relationships" ref="AL6" r:id="rId79"/>
    <hyperlink xmlns:r="http://schemas.openxmlformats.org/officeDocument/2006/relationships" ref="AM6" r:id="rId80"/>
    <hyperlink xmlns:r="http://schemas.openxmlformats.org/officeDocument/2006/relationships" ref="AN6" r:id="rId81"/>
    <hyperlink xmlns:r="http://schemas.openxmlformats.org/officeDocument/2006/relationships" ref="AO6" r:id="rId82"/>
    <hyperlink xmlns:r="http://schemas.openxmlformats.org/officeDocument/2006/relationships" ref="AQ6" r:id="rId83"/>
    <hyperlink xmlns:r="http://schemas.openxmlformats.org/officeDocument/2006/relationships" ref="AR6" r:id="rId84"/>
    <hyperlink xmlns:r="http://schemas.openxmlformats.org/officeDocument/2006/relationships" ref="AS6" r:id="rId85"/>
    <hyperlink xmlns:r="http://schemas.openxmlformats.org/officeDocument/2006/relationships" ref="AW6" r:id="rId86"/>
    <hyperlink xmlns:r="http://schemas.openxmlformats.org/officeDocument/2006/relationships" ref="AZ6" r:id="rId87"/>
    <hyperlink xmlns:r="http://schemas.openxmlformats.org/officeDocument/2006/relationships" ref="BD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C7" r:id="rId102"/>
    <hyperlink xmlns:r="http://schemas.openxmlformats.org/officeDocument/2006/relationships" ref="AD7" r:id="rId103"/>
    <hyperlink xmlns:r="http://schemas.openxmlformats.org/officeDocument/2006/relationships" ref="AE7" r:id="rId104"/>
    <hyperlink xmlns:r="http://schemas.openxmlformats.org/officeDocument/2006/relationships" ref="AF7" r:id="rId105"/>
    <hyperlink xmlns:r="http://schemas.openxmlformats.org/officeDocument/2006/relationships" ref="AH7" r:id="rId106"/>
    <hyperlink xmlns:r="http://schemas.openxmlformats.org/officeDocument/2006/relationships" ref="AJ7" r:id="rId107"/>
    <hyperlink xmlns:r="http://schemas.openxmlformats.org/officeDocument/2006/relationships" ref="AL7" r:id="rId108"/>
    <hyperlink xmlns:r="http://schemas.openxmlformats.org/officeDocument/2006/relationships" ref="AM7" r:id="rId109"/>
    <hyperlink xmlns:r="http://schemas.openxmlformats.org/officeDocument/2006/relationships" ref="AN7" r:id="rId110"/>
    <hyperlink xmlns:r="http://schemas.openxmlformats.org/officeDocument/2006/relationships" ref="AO7" r:id="rId111"/>
    <hyperlink xmlns:r="http://schemas.openxmlformats.org/officeDocument/2006/relationships" ref="AQ7" r:id="rId112"/>
    <hyperlink xmlns:r="http://schemas.openxmlformats.org/officeDocument/2006/relationships" ref="AR7" r:id="rId113"/>
    <hyperlink xmlns:r="http://schemas.openxmlformats.org/officeDocument/2006/relationships" ref="AS7" r:id="rId114"/>
    <hyperlink xmlns:r="http://schemas.openxmlformats.org/officeDocument/2006/relationships" ref="AT7" r:id="rId115"/>
    <hyperlink xmlns:r="http://schemas.openxmlformats.org/officeDocument/2006/relationships" ref="AW7" r:id="rId116"/>
    <hyperlink xmlns:r="http://schemas.openxmlformats.org/officeDocument/2006/relationships" ref="AY7" r:id="rId117"/>
    <hyperlink xmlns:r="http://schemas.openxmlformats.org/officeDocument/2006/relationships" ref="AZ7" r:id="rId118"/>
    <hyperlink xmlns:r="http://schemas.openxmlformats.org/officeDocument/2006/relationships" ref="BD7" r:id="rId119"/>
    <hyperlink xmlns:r="http://schemas.openxmlformats.org/officeDocument/2006/relationships" ref="D8" r:id="rId120"/>
    <hyperlink xmlns:r="http://schemas.openxmlformats.org/officeDocument/2006/relationships" ref="K8" r:id="rId121"/>
    <hyperlink xmlns:r="http://schemas.openxmlformats.org/officeDocument/2006/relationships" ref="M8" r:id="rId122"/>
    <hyperlink xmlns:r="http://schemas.openxmlformats.org/officeDocument/2006/relationships" ref="N8" r:id="rId123"/>
    <hyperlink xmlns:r="http://schemas.openxmlformats.org/officeDocument/2006/relationships" ref="P8" r:id="rId124"/>
    <hyperlink xmlns:r="http://schemas.openxmlformats.org/officeDocument/2006/relationships" ref="R8" r:id="rId125"/>
    <hyperlink xmlns:r="http://schemas.openxmlformats.org/officeDocument/2006/relationships" ref="S8" r:id="rId126"/>
    <hyperlink xmlns:r="http://schemas.openxmlformats.org/officeDocument/2006/relationships" ref="T8" r:id="rId127"/>
    <hyperlink xmlns:r="http://schemas.openxmlformats.org/officeDocument/2006/relationships" ref="U8" r:id="rId128"/>
    <hyperlink xmlns:r="http://schemas.openxmlformats.org/officeDocument/2006/relationships" ref="W8" r:id="rId129"/>
    <hyperlink xmlns:r="http://schemas.openxmlformats.org/officeDocument/2006/relationships" ref="Y8" r:id="rId130"/>
    <hyperlink xmlns:r="http://schemas.openxmlformats.org/officeDocument/2006/relationships" ref="Z8" r:id="rId131"/>
    <hyperlink xmlns:r="http://schemas.openxmlformats.org/officeDocument/2006/relationships" ref="AB8" r:id="rId132"/>
    <hyperlink xmlns:r="http://schemas.openxmlformats.org/officeDocument/2006/relationships" ref="AE8" r:id="rId133"/>
    <hyperlink xmlns:r="http://schemas.openxmlformats.org/officeDocument/2006/relationships" ref="AF8" r:id="rId134"/>
    <hyperlink xmlns:r="http://schemas.openxmlformats.org/officeDocument/2006/relationships" ref="AH8" r:id="rId135"/>
    <hyperlink xmlns:r="http://schemas.openxmlformats.org/officeDocument/2006/relationships" ref="B9" r:id="rId136"/>
    <hyperlink xmlns:r="http://schemas.openxmlformats.org/officeDocument/2006/relationships" ref="D9" r:id="rId137"/>
    <hyperlink xmlns:r="http://schemas.openxmlformats.org/officeDocument/2006/relationships" ref="E9" r:id="rId138"/>
    <hyperlink xmlns:r="http://schemas.openxmlformats.org/officeDocument/2006/relationships" ref="I9" r:id="rId139"/>
    <hyperlink xmlns:r="http://schemas.openxmlformats.org/officeDocument/2006/relationships" ref="K9" r:id="rId140"/>
    <hyperlink xmlns:r="http://schemas.openxmlformats.org/officeDocument/2006/relationships" ref="L9" r:id="rId141"/>
    <hyperlink xmlns:r="http://schemas.openxmlformats.org/officeDocument/2006/relationships" ref="M9" r:id="rId142"/>
    <hyperlink xmlns:r="http://schemas.openxmlformats.org/officeDocument/2006/relationships" ref="N9" r:id="rId143"/>
    <hyperlink xmlns:r="http://schemas.openxmlformats.org/officeDocument/2006/relationships" ref="P9" r:id="rId144"/>
    <hyperlink xmlns:r="http://schemas.openxmlformats.org/officeDocument/2006/relationships" ref="R9" r:id="rId145"/>
    <hyperlink xmlns:r="http://schemas.openxmlformats.org/officeDocument/2006/relationships" ref="S9" r:id="rId146"/>
    <hyperlink xmlns:r="http://schemas.openxmlformats.org/officeDocument/2006/relationships" ref="T9" r:id="rId147"/>
    <hyperlink xmlns:r="http://schemas.openxmlformats.org/officeDocument/2006/relationships" ref="U9" r:id="rId148"/>
    <hyperlink xmlns:r="http://schemas.openxmlformats.org/officeDocument/2006/relationships" ref="V9" r:id="rId149"/>
    <hyperlink xmlns:r="http://schemas.openxmlformats.org/officeDocument/2006/relationships" ref="W9" r:id="rId150"/>
    <hyperlink xmlns:r="http://schemas.openxmlformats.org/officeDocument/2006/relationships" ref="Z9" r:id="rId151"/>
    <hyperlink xmlns:r="http://schemas.openxmlformats.org/officeDocument/2006/relationships" ref="AB9" r:id="rId152"/>
    <hyperlink xmlns:r="http://schemas.openxmlformats.org/officeDocument/2006/relationships" ref="AE9" r:id="rId153"/>
    <hyperlink xmlns:r="http://schemas.openxmlformats.org/officeDocument/2006/relationships" ref="Y10" r:id="rId154"/>
    <hyperlink xmlns:r="http://schemas.openxmlformats.org/officeDocument/2006/relationships" ref="AD10" r:id="rId155"/>
    <hyperlink xmlns:r="http://schemas.openxmlformats.org/officeDocument/2006/relationships" ref="AE10" r:id="rId156"/>
    <hyperlink xmlns:r="http://schemas.openxmlformats.org/officeDocument/2006/relationships" ref="AF10" r:id="rId157"/>
    <hyperlink xmlns:r="http://schemas.openxmlformats.org/officeDocument/2006/relationships" ref="AH10" r:id="rId158"/>
    <hyperlink xmlns:r="http://schemas.openxmlformats.org/officeDocument/2006/relationships" ref="AK10" r:id="rId159"/>
    <hyperlink xmlns:r="http://schemas.openxmlformats.org/officeDocument/2006/relationships" ref="AL10" r:id="rId160"/>
    <hyperlink xmlns:r="http://schemas.openxmlformats.org/officeDocument/2006/relationships" ref="AO10" r:id="rId161"/>
    <hyperlink xmlns:r="http://schemas.openxmlformats.org/officeDocument/2006/relationships" ref="AS10" r:id="rId162"/>
    <hyperlink xmlns:r="http://schemas.openxmlformats.org/officeDocument/2006/relationships" ref="D11" r:id="rId163"/>
    <hyperlink xmlns:r="http://schemas.openxmlformats.org/officeDocument/2006/relationships" ref="E11" r:id="rId164"/>
    <hyperlink xmlns:r="http://schemas.openxmlformats.org/officeDocument/2006/relationships" ref="F11" r:id="rId165"/>
    <hyperlink xmlns:r="http://schemas.openxmlformats.org/officeDocument/2006/relationships" ref="G11" r:id="rId166"/>
    <hyperlink xmlns:r="http://schemas.openxmlformats.org/officeDocument/2006/relationships" ref="H11" r:id="rId167"/>
    <hyperlink xmlns:r="http://schemas.openxmlformats.org/officeDocument/2006/relationships" ref="I11" r:id="rId168"/>
    <hyperlink xmlns:r="http://schemas.openxmlformats.org/officeDocument/2006/relationships" ref="J11" r:id="rId169"/>
    <hyperlink xmlns:r="http://schemas.openxmlformats.org/officeDocument/2006/relationships" ref="K11" r:id="rId170"/>
    <hyperlink xmlns:r="http://schemas.openxmlformats.org/officeDocument/2006/relationships" ref="L11" r:id="rId171"/>
    <hyperlink xmlns:r="http://schemas.openxmlformats.org/officeDocument/2006/relationships" ref="M11" r:id="rId172"/>
    <hyperlink xmlns:r="http://schemas.openxmlformats.org/officeDocument/2006/relationships" ref="N11" r:id="rId173"/>
    <hyperlink xmlns:r="http://schemas.openxmlformats.org/officeDocument/2006/relationships" ref="O11" r:id="rId174"/>
    <hyperlink xmlns:r="http://schemas.openxmlformats.org/officeDocument/2006/relationships" ref="P11" r:id="rId175"/>
    <hyperlink xmlns:r="http://schemas.openxmlformats.org/officeDocument/2006/relationships" ref="R11" r:id="rId176"/>
    <hyperlink xmlns:r="http://schemas.openxmlformats.org/officeDocument/2006/relationships" ref="S11" r:id="rId177"/>
    <hyperlink xmlns:r="http://schemas.openxmlformats.org/officeDocument/2006/relationships" ref="T11" r:id="rId178"/>
    <hyperlink xmlns:r="http://schemas.openxmlformats.org/officeDocument/2006/relationships" ref="U11" r:id="rId179"/>
    <hyperlink xmlns:r="http://schemas.openxmlformats.org/officeDocument/2006/relationships" ref="V11" r:id="rId180"/>
    <hyperlink xmlns:r="http://schemas.openxmlformats.org/officeDocument/2006/relationships" ref="W11" r:id="rId181"/>
    <hyperlink xmlns:r="http://schemas.openxmlformats.org/officeDocument/2006/relationships" ref="X11" r:id="rId182"/>
    <hyperlink xmlns:r="http://schemas.openxmlformats.org/officeDocument/2006/relationships" ref="Y11" r:id="rId183"/>
    <hyperlink xmlns:r="http://schemas.openxmlformats.org/officeDocument/2006/relationships" ref="Z11" r:id="rId184"/>
    <hyperlink xmlns:r="http://schemas.openxmlformats.org/officeDocument/2006/relationships" ref="AA11" r:id="rId185"/>
    <hyperlink xmlns:r="http://schemas.openxmlformats.org/officeDocument/2006/relationships" ref="AB11" r:id="rId186"/>
    <hyperlink xmlns:r="http://schemas.openxmlformats.org/officeDocument/2006/relationships" ref="AC11" r:id="rId187"/>
    <hyperlink xmlns:r="http://schemas.openxmlformats.org/officeDocument/2006/relationships" ref="AD11" r:id="rId188"/>
    <hyperlink xmlns:r="http://schemas.openxmlformats.org/officeDocument/2006/relationships" ref="AE11" r:id="rId189"/>
    <hyperlink xmlns:r="http://schemas.openxmlformats.org/officeDocument/2006/relationships" ref="AF11" r:id="rId190"/>
    <hyperlink xmlns:r="http://schemas.openxmlformats.org/officeDocument/2006/relationships" ref="AH11" r:id="rId191"/>
    <hyperlink xmlns:r="http://schemas.openxmlformats.org/officeDocument/2006/relationships" ref="AJ11" r:id="rId192"/>
    <hyperlink xmlns:r="http://schemas.openxmlformats.org/officeDocument/2006/relationships" ref="AK11" r:id="rId193"/>
    <hyperlink xmlns:r="http://schemas.openxmlformats.org/officeDocument/2006/relationships" ref="AL11" r:id="rId194"/>
    <hyperlink xmlns:r="http://schemas.openxmlformats.org/officeDocument/2006/relationships" ref="AM11" r:id="rId195"/>
    <hyperlink xmlns:r="http://schemas.openxmlformats.org/officeDocument/2006/relationships" ref="AN11" r:id="rId196"/>
    <hyperlink xmlns:r="http://schemas.openxmlformats.org/officeDocument/2006/relationships" ref="AO11" r:id="rId197"/>
    <hyperlink xmlns:r="http://schemas.openxmlformats.org/officeDocument/2006/relationships" ref="AP11" r:id="rId198"/>
    <hyperlink xmlns:r="http://schemas.openxmlformats.org/officeDocument/2006/relationships" ref="AQ11" r:id="rId199"/>
    <hyperlink xmlns:r="http://schemas.openxmlformats.org/officeDocument/2006/relationships" ref="AR11" r:id="rId200"/>
    <hyperlink xmlns:r="http://schemas.openxmlformats.org/officeDocument/2006/relationships" ref="AS11" r:id="rId201"/>
    <hyperlink xmlns:r="http://schemas.openxmlformats.org/officeDocument/2006/relationships" ref="AT11" r:id="rId202"/>
    <hyperlink xmlns:r="http://schemas.openxmlformats.org/officeDocument/2006/relationships" ref="AW11" r:id="rId203"/>
    <hyperlink xmlns:r="http://schemas.openxmlformats.org/officeDocument/2006/relationships" ref="AX11" r:id="rId204"/>
    <hyperlink xmlns:r="http://schemas.openxmlformats.org/officeDocument/2006/relationships" ref="AY11" r:id="rId205"/>
    <hyperlink xmlns:r="http://schemas.openxmlformats.org/officeDocument/2006/relationships" ref="AZ11" r:id="rId206"/>
    <hyperlink xmlns:r="http://schemas.openxmlformats.org/officeDocument/2006/relationships" ref="BC11" r:id="rId207"/>
    <hyperlink xmlns:r="http://schemas.openxmlformats.org/officeDocument/2006/relationships" ref="BD11" r:id="rId208"/>
    <hyperlink xmlns:r="http://schemas.openxmlformats.org/officeDocument/2006/relationships" ref="B12" r:id="rId209"/>
    <hyperlink xmlns:r="http://schemas.openxmlformats.org/officeDocument/2006/relationships" ref="C12" r:id="rId210"/>
    <hyperlink xmlns:r="http://schemas.openxmlformats.org/officeDocument/2006/relationships" ref="D12" r:id="rId211"/>
    <hyperlink xmlns:r="http://schemas.openxmlformats.org/officeDocument/2006/relationships" ref="E12" r:id="rId212"/>
    <hyperlink xmlns:r="http://schemas.openxmlformats.org/officeDocument/2006/relationships" ref="F12" r:id="rId213"/>
    <hyperlink xmlns:r="http://schemas.openxmlformats.org/officeDocument/2006/relationships" ref="G12" r:id="rId214"/>
    <hyperlink xmlns:r="http://schemas.openxmlformats.org/officeDocument/2006/relationships" ref="H12" r:id="rId215"/>
    <hyperlink xmlns:r="http://schemas.openxmlformats.org/officeDocument/2006/relationships" ref="I12" r:id="rId216"/>
    <hyperlink xmlns:r="http://schemas.openxmlformats.org/officeDocument/2006/relationships" ref="J12" r:id="rId217"/>
    <hyperlink xmlns:r="http://schemas.openxmlformats.org/officeDocument/2006/relationships" ref="K12" r:id="rId218"/>
    <hyperlink xmlns:r="http://schemas.openxmlformats.org/officeDocument/2006/relationships" ref="L12" r:id="rId219"/>
    <hyperlink xmlns:r="http://schemas.openxmlformats.org/officeDocument/2006/relationships" ref="M12" r:id="rId220"/>
    <hyperlink xmlns:r="http://schemas.openxmlformats.org/officeDocument/2006/relationships" ref="N12" r:id="rId221"/>
    <hyperlink xmlns:r="http://schemas.openxmlformats.org/officeDocument/2006/relationships" ref="O12" r:id="rId222"/>
    <hyperlink xmlns:r="http://schemas.openxmlformats.org/officeDocument/2006/relationships" ref="P12" r:id="rId223"/>
    <hyperlink xmlns:r="http://schemas.openxmlformats.org/officeDocument/2006/relationships" ref="R12" r:id="rId224"/>
    <hyperlink xmlns:r="http://schemas.openxmlformats.org/officeDocument/2006/relationships" ref="S12" r:id="rId225"/>
    <hyperlink xmlns:r="http://schemas.openxmlformats.org/officeDocument/2006/relationships" ref="T12" r:id="rId226"/>
    <hyperlink xmlns:r="http://schemas.openxmlformats.org/officeDocument/2006/relationships" ref="U12" r:id="rId227"/>
    <hyperlink xmlns:r="http://schemas.openxmlformats.org/officeDocument/2006/relationships" ref="V12" r:id="rId228"/>
    <hyperlink xmlns:r="http://schemas.openxmlformats.org/officeDocument/2006/relationships" ref="W12" r:id="rId229"/>
    <hyperlink xmlns:r="http://schemas.openxmlformats.org/officeDocument/2006/relationships" ref="Y12" r:id="rId230"/>
    <hyperlink xmlns:r="http://schemas.openxmlformats.org/officeDocument/2006/relationships" ref="Z12" r:id="rId231"/>
    <hyperlink xmlns:r="http://schemas.openxmlformats.org/officeDocument/2006/relationships" ref="AB12" r:id="rId232"/>
    <hyperlink xmlns:r="http://schemas.openxmlformats.org/officeDocument/2006/relationships" ref="AE12" r:id="rId233"/>
    <hyperlink xmlns:r="http://schemas.openxmlformats.org/officeDocument/2006/relationships" ref="AF12" r:id="rId234"/>
    <hyperlink xmlns:r="http://schemas.openxmlformats.org/officeDocument/2006/relationships" ref="AH12" r:id="rId235"/>
    <hyperlink xmlns:r="http://schemas.openxmlformats.org/officeDocument/2006/relationships" ref="AJ12" r:id="rId236"/>
    <hyperlink xmlns:r="http://schemas.openxmlformats.org/officeDocument/2006/relationships" ref="AL12" r:id="rId237"/>
    <hyperlink xmlns:r="http://schemas.openxmlformats.org/officeDocument/2006/relationships" ref="AM12" r:id="rId238"/>
    <hyperlink xmlns:r="http://schemas.openxmlformats.org/officeDocument/2006/relationships" ref="AN12" r:id="rId239"/>
    <hyperlink xmlns:r="http://schemas.openxmlformats.org/officeDocument/2006/relationships" ref="AO12" r:id="rId240"/>
    <hyperlink xmlns:r="http://schemas.openxmlformats.org/officeDocument/2006/relationships" ref="AQ12" r:id="rId241"/>
    <hyperlink xmlns:r="http://schemas.openxmlformats.org/officeDocument/2006/relationships" ref="AR12" r:id="rId242"/>
    <hyperlink xmlns:r="http://schemas.openxmlformats.org/officeDocument/2006/relationships" ref="AS12" r:id="rId243"/>
    <hyperlink xmlns:r="http://schemas.openxmlformats.org/officeDocument/2006/relationships" ref="AT12" r:id="rId244"/>
    <hyperlink xmlns:r="http://schemas.openxmlformats.org/officeDocument/2006/relationships" ref="AU12" r:id="rId245"/>
    <hyperlink xmlns:r="http://schemas.openxmlformats.org/officeDocument/2006/relationships" ref="AV12" r:id="rId246"/>
    <hyperlink xmlns:r="http://schemas.openxmlformats.org/officeDocument/2006/relationships" ref="AW12" r:id="rId247"/>
    <hyperlink xmlns:r="http://schemas.openxmlformats.org/officeDocument/2006/relationships" ref="AX12" r:id="rId248"/>
    <hyperlink xmlns:r="http://schemas.openxmlformats.org/officeDocument/2006/relationships" ref="AY12" r:id="rId249"/>
    <hyperlink xmlns:r="http://schemas.openxmlformats.org/officeDocument/2006/relationships" ref="AZ12" r:id="rId250"/>
    <hyperlink xmlns:r="http://schemas.openxmlformats.org/officeDocument/2006/relationships" ref="BA12" r:id="rId251"/>
    <hyperlink xmlns:r="http://schemas.openxmlformats.org/officeDocument/2006/relationships" ref="BB12" r:id="rId252"/>
    <hyperlink xmlns:r="http://schemas.openxmlformats.org/officeDocument/2006/relationships" ref="BC12" r:id="rId253"/>
    <hyperlink xmlns:r="http://schemas.openxmlformats.org/officeDocument/2006/relationships" ref="BD12" r:id="rId254"/>
    <hyperlink xmlns:r="http://schemas.openxmlformats.org/officeDocument/2006/relationships" ref="BE12" r:id="rId255"/>
    <hyperlink xmlns:r="http://schemas.openxmlformats.org/officeDocument/2006/relationships" ref="I13" r:id="rId256"/>
    <hyperlink xmlns:r="http://schemas.openxmlformats.org/officeDocument/2006/relationships" ref="J13" r:id="rId257"/>
    <hyperlink xmlns:r="http://schemas.openxmlformats.org/officeDocument/2006/relationships" ref="K13" r:id="rId258"/>
    <hyperlink xmlns:r="http://schemas.openxmlformats.org/officeDocument/2006/relationships" ref="L13" r:id="rId259"/>
    <hyperlink xmlns:r="http://schemas.openxmlformats.org/officeDocument/2006/relationships" ref="M13" r:id="rId260"/>
    <hyperlink xmlns:r="http://schemas.openxmlformats.org/officeDocument/2006/relationships" ref="N13" r:id="rId261"/>
    <hyperlink xmlns:r="http://schemas.openxmlformats.org/officeDocument/2006/relationships" ref="O13" r:id="rId262"/>
    <hyperlink xmlns:r="http://schemas.openxmlformats.org/officeDocument/2006/relationships" ref="P13" r:id="rId263"/>
    <hyperlink xmlns:r="http://schemas.openxmlformats.org/officeDocument/2006/relationships" ref="R13" r:id="rId264"/>
    <hyperlink xmlns:r="http://schemas.openxmlformats.org/officeDocument/2006/relationships" ref="S13" r:id="rId265"/>
    <hyperlink xmlns:r="http://schemas.openxmlformats.org/officeDocument/2006/relationships" ref="W13" r:id="rId266"/>
    <hyperlink xmlns:r="http://schemas.openxmlformats.org/officeDocument/2006/relationships" ref="Z13" r:id="rId267"/>
    <hyperlink xmlns:r="http://schemas.openxmlformats.org/officeDocument/2006/relationships" ref="AB13" r:id="rId268"/>
    <hyperlink xmlns:r="http://schemas.openxmlformats.org/officeDocument/2006/relationships" ref="AD13" r:id="rId269"/>
    <hyperlink xmlns:r="http://schemas.openxmlformats.org/officeDocument/2006/relationships" ref="AE13" r:id="rId270"/>
    <hyperlink xmlns:r="http://schemas.openxmlformats.org/officeDocument/2006/relationships" ref="AH13" r:id="rId271"/>
    <hyperlink xmlns:r="http://schemas.openxmlformats.org/officeDocument/2006/relationships" ref="AJ13" r:id="rId272"/>
    <hyperlink xmlns:r="http://schemas.openxmlformats.org/officeDocument/2006/relationships" ref="AK13" r:id="rId273"/>
    <hyperlink xmlns:r="http://schemas.openxmlformats.org/officeDocument/2006/relationships" ref="AL13" r:id="rId274"/>
    <hyperlink xmlns:r="http://schemas.openxmlformats.org/officeDocument/2006/relationships" ref="AM13" r:id="rId275"/>
    <hyperlink xmlns:r="http://schemas.openxmlformats.org/officeDocument/2006/relationships" ref="AO13" r:id="rId276"/>
    <hyperlink xmlns:r="http://schemas.openxmlformats.org/officeDocument/2006/relationships" ref="AQ13" r:id="rId277"/>
    <hyperlink xmlns:r="http://schemas.openxmlformats.org/officeDocument/2006/relationships" ref="AZ13" r:id="rId278"/>
    <hyperlink xmlns:r="http://schemas.openxmlformats.org/officeDocument/2006/relationships" ref="I14" r:id="rId279"/>
    <hyperlink xmlns:r="http://schemas.openxmlformats.org/officeDocument/2006/relationships" ref="J14" r:id="rId280"/>
    <hyperlink xmlns:r="http://schemas.openxmlformats.org/officeDocument/2006/relationships" ref="K14" r:id="rId281"/>
    <hyperlink xmlns:r="http://schemas.openxmlformats.org/officeDocument/2006/relationships" ref="L14" r:id="rId282"/>
    <hyperlink xmlns:r="http://schemas.openxmlformats.org/officeDocument/2006/relationships" ref="M14" r:id="rId283"/>
    <hyperlink xmlns:r="http://schemas.openxmlformats.org/officeDocument/2006/relationships" ref="N14" r:id="rId284"/>
    <hyperlink xmlns:r="http://schemas.openxmlformats.org/officeDocument/2006/relationships" ref="O14" r:id="rId285"/>
    <hyperlink xmlns:r="http://schemas.openxmlformats.org/officeDocument/2006/relationships" ref="P14" r:id="rId286"/>
    <hyperlink xmlns:r="http://schemas.openxmlformats.org/officeDocument/2006/relationships" ref="R14" r:id="rId287"/>
    <hyperlink xmlns:r="http://schemas.openxmlformats.org/officeDocument/2006/relationships" ref="S14" r:id="rId288"/>
    <hyperlink xmlns:r="http://schemas.openxmlformats.org/officeDocument/2006/relationships" ref="W14" r:id="rId289"/>
    <hyperlink xmlns:r="http://schemas.openxmlformats.org/officeDocument/2006/relationships" ref="Z14" r:id="rId290"/>
    <hyperlink xmlns:r="http://schemas.openxmlformats.org/officeDocument/2006/relationships" ref="AB14" r:id="rId291"/>
    <hyperlink xmlns:r="http://schemas.openxmlformats.org/officeDocument/2006/relationships" ref="AD14" r:id="rId292"/>
    <hyperlink xmlns:r="http://schemas.openxmlformats.org/officeDocument/2006/relationships" ref="AE14" r:id="rId293"/>
    <hyperlink xmlns:r="http://schemas.openxmlformats.org/officeDocument/2006/relationships" ref="AF14" r:id="rId294"/>
    <hyperlink xmlns:r="http://schemas.openxmlformats.org/officeDocument/2006/relationships" ref="AH14" r:id="rId295"/>
    <hyperlink xmlns:r="http://schemas.openxmlformats.org/officeDocument/2006/relationships" ref="AJ14" r:id="rId296"/>
    <hyperlink xmlns:r="http://schemas.openxmlformats.org/officeDocument/2006/relationships" ref="AK14" r:id="rId297"/>
    <hyperlink xmlns:r="http://schemas.openxmlformats.org/officeDocument/2006/relationships" ref="AL14" r:id="rId298"/>
    <hyperlink xmlns:r="http://schemas.openxmlformats.org/officeDocument/2006/relationships" ref="AM14" r:id="rId299"/>
    <hyperlink xmlns:r="http://schemas.openxmlformats.org/officeDocument/2006/relationships" ref="AO14" r:id="rId300"/>
    <hyperlink xmlns:r="http://schemas.openxmlformats.org/officeDocument/2006/relationships" ref="AQ14" r:id="rId301"/>
    <hyperlink xmlns:r="http://schemas.openxmlformats.org/officeDocument/2006/relationships" ref="AS14" r:id="rId302"/>
    <hyperlink xmlns:r="http://schemas.openxmlformats.org/officeDocument/2006/relationships" ref="AT14" r:id="rId303"/>
    <hyperlink xmlns:r="http://schemas.openxmlformats.org/officeDocument/2006/relationships" ref="AZ14" r:id="rId304"/>
    <hyperlink xmlns:r="http://schemas.openxmlformats.org/officeDocument/2006/relationships" ref="F15" r:id="rId305"/>
    <hyperlink xmlns:r="http://schemas.openxmlformats.org/officeDocument/2006/relationships" ref="I15" r:id="rId306"/>
    <hyperlink xmlns:r="http://schemas.openxmlformats.org/officeDocument/2006/relationships" ref="J15" r:id="rId307"/>
    <hyperlink xmlns:r="http://schemas.openxmlformats.org/officeDocument/2006/relationships" ref="K15" r:id="rId308"/>
    <hyperlink xmlns:r="http://schemas.openxmlformats.org/officeDocument/2006/relationships" ref="L15" r:id="rId309"/>
    <hyperlink xmlns:r="http://schemas.openxmlformats.org/officeDocument/2006/relationships" ref="M15" r:id="rId310"/>
    <hyperlink xmlns:r="http://schemas.openxmlformats.org/officeDocument/2006/relationships" ref="N15" r:id="rId311"/>
    <hyperlink xmlns:r="http://schemas.openxmlformats.org/officeDocument/2006/relationships" ref="O15" r:id="rId312"/>
    <hyperlink xmlns:r="http://schemas.openxmlformats.org/officeDocument/2006/relationships" ref="P15" r:id="rId313"/>
    <hyperlink xmlns:r="http://schemas.openxmlformats.org/officeDocument/2006/relationships" ref="Q15" r:id="rId314"/>
    <hyperlink xmlns:r="http://schemas.openxmlformats.org/officeDocument/2006/relationships" ref="R15" r:id="rId315"/>
    <hyperlink xmlns:r="http://schemas.openxmlformats.org/officeDocument/2006/relationships" ref="S15" r:id="rId316"/>
    <hyperlink xmlns:r="http://schemas.openxmlformats.org/officeDocument/2006/relationships" ref="T15" r:id="rId317"/>
    <hyperlink xmlns:r="http://schemas.openxmlformats.org/officeDocument/2006/relationships" ref="U15" r:id="rId318"/>
    <hyperlink xmlns:r="http://schemas.openxmlformats.org/officeDocument/2006/relationships" ref="V15" r:id="rId319"/>
    <hyperlink xmlns:r="http://schemas.openxmlformats.org/officeDocument/2006/relationships" ref="W15" r:id="rId320"/>
    <hyperlink xmlns:r="http://schemas.openxmlformats.org/officeDocument/2006/relationships" ref="Y15" r:id="rId321"/>
    <hyperlink xmlns:r="http://schemas.openxmlformats.org/officeDocument/2006/relationships" ref="Z15" r:id="rId322"/>
    <hyperlink xmlns:r="http://schemas.openxmlformats.org/officeDocument/2006/relationships" ref="AA15" r:id="rId323"/>
    <hyperlink xmlns:r="http://schemas.openxmlformats.org/officeDocument/2006/relationships" ref="AB15" r:id="rId324"/>
    <hyperlink xmlns:r="http://schemas.openxmlformats.org/officeDocument/2006/relationships" ref="AD15" r:id="rId325"/>
    <hyperlink xmlns:r="http://schemas.openxmlformats.org/officeDocument/2006/relationships" ref="AE15" r:id="rId326"/>
    <hyperlink xmlns:r="http://schemas.openxmlformats.org/officeDocument/2006/relationships" ref="AF15" r:id="rId327"/>
    <hyperlink xmlns:r="http://schemas.openxmlformats.org/officeDocument/2006/relationships" ref="AO15" r:id="rId328"/>
    <hyperlink xmlns:r="http://schemas.openxmlformats.org/officeDocument/2006/relationships" ref="AQ15" r:id="rId329"/>
    <hyperlink xmlns:r="http://schemas.openxmlformats.org/officeDocument/2006/relationships" ref="AR15" r:id="rId330"/>
    <hyperlink xmlns:r="http://schemas.openxmlformats.org/officeDocument/2006/relationships" ref="AS15" r:id="rId331"/>
    <hyperlink xmlns:r="http://schemas.openxmlformats.org/officeDocument/2006/relationships" ref="AT15" r:id="rId332"/>
    <hyperlink xmlns:r="http://schemas.openxmlformats.org/officeDocument/2006/relationships" ref="AW15" r:id="rId333"/>
    <hyperlink xmlns:r="http://schemas.openxmlformats.org/officeDocument/2006/relationships" ref="AX15" r:id="rId334"/>
    <hyperlink xmlns:r="http://schemas.openxmlformats.org/officeDocument/2006/relationships" ref="AY15" r:id="rId335"/>
    <hyperlink xmlns:r="http://schemas.openxmlformats.org/officeDocument/2006/relationships" ref="AZ15" r:id="rId336"/>
    <hyperlink xmlns:r="http://schemas.openxmlformats.org/officeDocument/2006/relationships" ref="BD15" r:id="rId337"/>
    <hyperlink xmlns:r="http://schemas.openxmlformats.org/officeDocument/2006/relationships" ref="BE15" r:id="rId338"/>
    <hyperlink xmlns:r="http://schemas.openxmlformats.org/officeDocument/2006/relationships" ref="F16" r:id="rId339"/>
    <hyperlink xmlns:r="http://schemas.openxmlformats.org/officeDocument/2006/relationships" ref="G16" r:id="rId340"/>
    <hyperlink xmlns:r="http://schemas.openxmlformats.org/officeDocument/2006/relationships" ref="H16" r:id="rId341"/>
    <hyperlink xmlns:r="http://schemas.openxmlformats.org/officeDocument/2006/relationships" ref="I16" r:id="rId342"/>
    <hyperlink xmlns:r="http://schemas.openxmlformats.org/officeDocument/2006/relationships" ref="J16" r:id="rId343"/>
    <hyperlink xmlns:r="http://schemas.openxmlformats.org/officeDocument/2006/relationships" ref="K16" r:id="rId344"/>
    <hyperlink xmlns:r="http://schemas.openxmlformats.org/officeDocument/2006/relationships" ref="L16" r:id="rId345"/>
    <hyperlink xmlns:r="http://schemas.openxmlformats.org/officeDocument/2006/relationships" ref="M16" r:id="rId346"/>
    <hyperlink xmlns:r="http://schemas.openxmlformats.org/officeDocument/2006/relationships" ref="N16" r:id="rId347"/>
    <hyperlink xmlns:r="http://schemas.openxmlformats.org/officeDocument/2006/relationships" ref="O16" r:id="rId348"/>
    <hyperlink xmlns:r="http://schemas.openxmlformats.org/officeDocument/2006/relationships" ref="P16" r:id="rId349"/>
    <hyperlink xmlns:r="http://schemas.openxmlformats.org/officeDocument/2006/relationships" ref="R16" r:id="rId350"/>
    <hyperlink xmlns:r="http://schemas.openxmlformats.org/officeDocument/2006/relationships" ref="S16" r:id="rId351"/>
    <hyperlink xmlns:r="http://schemas.openxmlformats.org/officeDocument/2006/relationships" ref="T16" r:id="rId352"/>
    <hyperlink xmlns:r="http://schemas.openxmlformats.org/officeDocument/2006/relationships" ref="W16" r:id="rId353"/>
    <hyperlink xmlns:r="http://schemas.openxmlformats.org/officeDocument/2006/relationships" ref="Z16" r:id="rId354"/>
    <hyperlink xmlns:r="http://schemas.openxmlformats.org/officeDocument/2006/relationships" ref="AA16" r:id="rId355"/>
    <hyperlink xmlns:r="http://schemas.openxmlformats.org/officeDocument/2006/relationships" ref="AE16" r:id="rId356"/>
    <hyperlink xmlns:r="http://schemas.openxmlformats.org/officeDocument/2006/relationships" ref="AH16" r:id="rId357"/>
    <hyperlink xmlns:r="http://schemas.openxmlformats.org/officeDocument/2006/relationships" ref="AL16" r:id="rId358"/>
    <hyperlink xmlns:r="http://schemas.openxmlformats.org/officeDocument/2006/relationships" ref="AO16" r:id="rId359"/>
    <hyperlink xmlns:r="http://schemas.openxmlformats.org/officeDocument/2006/relationships" ref="AS16" r:id="rId360"/>
    <hyperlink xmlns:r="http://schemas.openxmlformats.org/officeDocument/2006/relationships" ref="AT16" r:id="rId361"/>
    <hyperlink xmlns:r="http://schemas.openxmlformats.org/officeDocument/2006/relationships" ref="AU16" r:id="rId362"/>
    <hyperlink xmlns:r="http://schemas.openxmlformats.org/officeDocument/2006/relationships" ref="AW16" r:id="rId363"/>
    <hyperlink xmlns:r="http://schemas.openxmlformats.org/officeDocument/2006/relationships" ref="AX16" r:id="rId364"/>
    <hyperlink xmlns:r="http://schemas.openxmlformats.org/officeDocument/2006/relationships" ref="AY16" r:id="rId365"/>
    <hyperlink xmlns:r="http://schemas.openxmlformats.org/officeDocument/2006/relationships" ref="AZ16" r:id="rId366"/>
    <hyperlink xmlns:r="http://schemas.openxmlformats.org/officeDocument/2006/relationships" ref="BA16" r:id="rId367"/>
    <hyperlink xmlns:r="http://schemas.openxmlformats.org/officeDocument/2006/relationships" ref="BD16" r:id="rId368"/>
    <hyperlink xmlns:r="http://schemas.openxmlformats.org/officeDocument/2006/relationships" ref="BE16" r:id="rId369"/>
    <hyperlink xmlns:r="http://schemas.openxmlformats.org/officeDocument/2006/relationships" ref="F17" r:id="rId370"/>
    <hyperlink xmlns:r="http://schemas.openxmlformats.org/officeDocument/2006/relationships" ref="H17" r:id="rId371"/>
    <hyperlink xmlns:r="http://schemas.openxmlformats.org/officeDocument/2006/relationships" ref="L17" r:id="rId372"/>
    <hyperlink xmlns:r="http://schemas.openxmlformats.org/officeDocument/2006/relationships" ref="S17" r:id="rId373"/>
    <hyperlink xmlns:r="http://schemas.openxmlformats.org/officeDocument/2006/relationships" ref="X17" r:id="rId374"/>
    <hyperlink xmlns:r="http://schemas.openxmlformats.org/officeDocument/2006/relationships" ref="Y17" r:id="rId375"/>
    <hyperlink xmlns:r="http://schemas.openxmlformats.org/officeDocument/2006/relationships" ref="Z17" r:id="rId376"/>
    <hyperlink xmlns:r="http://schemas.openxmlformats.org/officeDocument/2006/relationships" ref="AB17" r:id="rId377"/>
    <hyperlink xmlns:r="http://schemas.openxmlformats.org/officeDocument/2006/relationships" ref="AD17" r:id="rId378"/>
    <hyperlink xmlns:r="http://schemas.openxmlformats.org/officeDocument/2006/relationships" ref="AE17" r:id="rId379"/>
    <hyperlink xmlns:r="http://schemas.openxmlformats.org/officeDocument/2006/relationships" ref="AG17" r:id="rId380"/>
    <hyperlink xmlns:r="http://schemas.openxmlformats.org/officeDocument/2006/relationships" ref="AI17" r:id="rId381"/>
    <hyperlink xmlns:r="http://schemas.openxmlformats.org/officeDocument/2006/relationships" ref="AK17" r:id="rId382"/>
    <hyperlink xmlns:r="http://schemas.openxmlformats.org/officeDocument/2006/relationships" ref="AL17" r:id="rId383"/>
    <hyperlink xmlns:r="http://schemas.openxmlformats.org/officeDocument/2006/relationships" ref="AN17" r:id="rId384"/>
    <hyperlink xmlns:r="http://schemas.openxmlformats.org/officeDocument/2006/relationships" ref="AP17" r:id="rId385"/>
    <hyperlink xmlns:r="http://schemas.openxmlformats.org/officeDocument/2006/relationships" ref="AS17" r:id="rId386"/>
    <hyperlink xmlns:r="http://schemas.openxmlformats.org/officeDocument/2006/relationships" ref="B18" r:id="rId387"/>
    <hyperlink xmlns:r="http://schemas.openxmlformats.org/officeDocument/2006/relationships" ref="D18" r:id="rId388"/>
    <hyperlink xmlns:r="http://schemas.openxmlformats.org/officeDocument/2006/relationships" ref="E18" r:id="rId389"/>
    <hyperlink xmlns:r="http://schemas.openxmlformats.org/officeDocument/2006/relationships" ref="F18" r:id="rId390"/>
    <hyperlink xmlns:r="http://schemas.openxmlformats.org/officeDocument/2006/relationships" ref="G18" r:id="rId391"/>
    <hyperlink xmlns:r="http://schemas.openxmlformats.org/officeDocument/2006/relationships" ref="I18" r:id="rId392"/>
    <hyperlink xmlns:r="http://schemas.openxmlformats.org/officeDocument/2006/relationships" ref="L18" r:id="rId393"/>
    <hyperlink xmlns:r="http://schemas.openxmlformats.org/officeDocument/2006/relationships" ref="M18" r:id="rId394"/>
    <hyperlink xmlns:r="http://schemas.openxmlformats.org/officeDocument/2006/relationships" ref="N18" r:id="rId395"/>
    <hyperlink xmlns:r="http://schemas.openxmlformats.org/officeDocument/2006/relationships" ref="P18" r:id="rId396"/>
    <hyperlink xmlns:r="http://schemas.openxmlformats.org/officeDocument/2006/relationships" ref="S18" r:id="rId397"/>
    <hyperlink xmlns:r="http://schemas.openxmlformats.org/officeDocument/2006/relationships" ref="T18" r:id="rId398"/>
    <hyperlink xmlns:r="http://schemas.openxmlformats.org/officeDocument/2006/relationships" ref="U18" r:id="rId399"/>
    <hyperlink xmlns:r="http://schemas.openxmlformats.org/officeDocument/2006/relationships" ref="V18" r:id="rId400"/>
    <hyperlink xmlns:r="http://schemas.openxmlformats.org/officeDocument/2006/relationships" ref="X18" r:id="rId401"/>
    <hyperlink xmlns:r="http://schemas.openxmlformats.org/officeDocument/2006/relationships" ref="Y18" r:id="rId402"/>
    <hyperlink xmlns:r="http://schemas.openxmlformats.org/officeDocument/2006/relationships" ref="Z18" r:id="rId403"/>
    <hyperlink xmlns:r="http://schemas.openxmlformats.org/officeDocument/2006/relationships" ref="AB18" r:id="rId404"/>
    <hyperlink xmlns:r="http://schemas.openxmlformats.org/officeDocument/2006/relationships" ref="AD18" r:id="rId405"/>
    <hyperlink xmlns:r="http://schemas.openxmlformats.org/officeDocument/2006/relationships" ref="AE18" r:id="rId406"/>
    <hyperlink xmlns:r="http://schemas.openxmlformats.org/officeDocument/2006/relationships" ref="AK18" r:id="rId407"/>
    <hyperlink xmlns:r="http://schemas.openxmlformats.org/officeDocument/2006/relationships" ref="AL18" r:id="rId408"/>
    <hyperlink xmlns:r="http://schemas.openxmlformats.org/officeDocument/2006/relationships" ref="AS18" r:id="rId409"/>
    <hyperlink xmlns:r="http://schemas.openxmlformats.org/officeDocument/2006/relationships" ref="AY18" r:id="rId410"/>
    <hyperlink xmlns:r="http://schemas.openxmlformats.org/officeDocument/2006/relationships" ref="BD18" r:id="rId411"/>
    <hyperlink xmlns:r="http://schemas.openxmlformats.org/officeDocument/2006/relationships" ref="B19" r:id="rId412"/>
    <hyperlink xmlns:r="http://schemas.openxmlformats.org/officeDocument/2006/relationships" ref="D19" r:id="rId413"/>
    <hyperlink xmlns:r="http://schemas.openxmlformats.org/officeDocument/2006/relationships" ref="E19" r:id="rId414"/>
    <hyperlink xmlns:r="http://schemas.openxmlformats.org/officeDocument/2006/relationships" ref="F19" r:id="rId415"/>
    <hyperlink xmlns:r="http://schemas.openxmlformats.org/officeDocument/2006/relationships" ref="G19" r:id="rId416"/>
    <hyperlink xmlns:r="http://schemas.openxmlformats.org/officeDocument/2006/relationships" ref="I19" r:id="rId417"/>
    <hyperlink xmlns:r="http://schemas.openxmlformats.org/officeDocument/2006/relationships" ref="L19" r:id="rId418"/>
    <hyperlink xmlns:r="http://schemas.openxmlformats.org/officeDocument/2006/relationships" ref="M19" r:id="rId419"/>
    <hyperlink xmlns:r="http://schemas.openxmlformats.org/officeDocument/2006/relationships" ref="N19" r:id="rId420"/>
    <hyperlink xmlns:r="http://schemas.openxmlformats.org/officeDocument/2006/relationships" ref="P19" r:id="rId421"/>
    <hyperlink xmlns:r="http://schemas.openxmlformats.org/officeDocument/2006/relationships" ref="S19" r:id="rId422"/>
    <hyperlink xmlns:r="http://schemas.openxmlformats.org/officeDocument/2006/relationships" ref="T19" r:id="rId423"/>
    <hyperlink xmlns:r="http://schemas.openxmlformats.org/officeDocument/2006/relationships" ref="U19" r:id="rId424"/>
    <hyperlink xmlns:r="http://schemas.openxmlformats.org/officeDocument/2006/relationships" ref="V19" r:id="rId425"/>
    <hyperlink xmlns:r="http://schemas.openxmlformats.org/officeDocument/2006/relationships" ref="X19" r:id="rId426"/>
    <hyperlink xmlns:r="http://schemas.openxmlformats.org/officeDocument/2006/relationships" ref="Z19" r:id="rId427"/>
    <hyperlink xmlns:r="http://schemas.openxmlformats.org/officeDocument/2006/relationships" ref="AB19" r:id="rId428"/>
    <hyperlink xmlns:r="http://schemas.openxmlformats.org/officeDocument/2006/relationships" ref="AD19" r:id="rId429"/>
    <hyperlink xmlns:r="http://schemas.openxmlformats.org/officeDocument/2006/relationships" ref="AE19" r:id="rId430"/>
    <hyperlink xmlns:r="http://schemas.openxmlformats.org/officeDocument/2006/relationships" ref="AK19" r:id="rId431"/>
    <hyperlink xmlns:r="http://schemas.openxmlformats.org/officeDocument/2006/relationships" ref="AL19" r:id="rId432"/>
    <hyperlink xmlns:r="http://schemas.openxmlformats.org/officeDocument/2006/relationships" ref="AD21" r:id="rId433"/>
    <hyperlink xmlns:r="http://schemas.openxmlformats.org/officeDocument/2006/relationships" ref="AF22" r:id="rId434"/>
    <hyperlink xmlns:r="http://schemas.openxmlformats.org/officeDocument/2006/relationships" ref="AJ22" r:id="rId435"/>
    <hyperlink xmlns:r="http://schemas.openxmlformats.org/officeDocument/2006/relationships" ref="AJ23" r:id="rId436"/>
    <hyperlink xmlns:r="http://schemas.openxmlformats.org/officeDocument/2006/relationships" ref="AF24" r:id="rId437"/>
    <hyperlink xmlns:r="http://schemas.openxmlformats.org/officeDocument/2006/relationships" ref="W25" r:id="rId438"/>
    <hyperlink xmlns:r="http://schemas.openxmlformats.org/officeDocument/2006/relationships" ref="BD26" r:id="rId439"/>
    <hyperlink xmlns:r="http://schemas.openxmlformats.org/officeDocument/2006/relationships" ref="BD27" r:id="rId440"/>
    <hyperlink xmlns:r="http://schemas.openxmlformats.org/officeDocument/2006/relationships" ref="AZ28" r:id="rId441"/>
    <hyperlink xmlns:r="http://schemas.openxmlformats.org/officeDocument/2006/relationships" ref="BC28" r:id="rId442"/>
    <hyperlink xmlns:r="http://schemas.openxmlformats.org/officeDocument/2006/relationships" ref="AD29" r:id="rId443"/>
    <hyperlink xmlns:r="http://schemas.openxmlformats.org/officeDocument/2006/relationships" ref="AJ30" r:id="rId444"/>
    <hyperlink xmlns:r="http://schemas.openxmlformats.org/officeDocument/2006/relationships" ref="J31" r:id="rId445"/>
    <hyperlink xmlns:r="http://schemas.openxmlformats.org/officeDocument/2006/relationships" ref="L32" r:id="rId446"/>
    <hyperlink xmlns:r="http://schemas.openxmlformats.org/officeDocument/2006/relationships" ref="Z33" r:id="rId447"/>
    <hyperlink xmlns:r="http://schemas.openxmlformats.org/officeDocument/2006/relationships" ref="AB33" r:id="rId448"/>
    <hyperlink xmlns:r="http://schemas.openxmlformats.org/officeDocument/2006/relationships" ref="AS34" r:id="rId449"/>
    <hyperlink xmlns:r="http://schemas.openxmlformats.org/officeDocument/2006/relationships" ref="AT34" r:id="rId450"/>
    <hyperlink xmlns:r="http://schemas.openxmlformats.org/officeDocument/2006/relationships" ref="AU34" r:id="rId451"/>
    <hyperlink xmlns:r="http://schemas.openxmlformats.org/officeDocument/2006/relationships" ref="AW34" r:id="rId452"/>
    <hyperlink xmlns:r="http://schemas.openxmlformats.org/officeDocument/2006/relationships" ref="AX34" r:id="rId453"/>
    <hyperlink xmlns:r="http://schemas.openxmlformats.org/officeDocument/2006/relationships" ref="AY34" r:id="rId454"/>
    <hyperlink xmlns:r="http://schemas.openxmlformats.org/officeDocument/2006/relationships" ref="AZ34" r:id="rId455"/>
    <hyperlink xmlns:r="http://schemas.openxmlformats.org/officeDocument/2006/relationships" ref="BA34" r:id="rId456"/>
    <hyperlink xmlns:r="http://schemas.openxmlformats.org/officeDocument/2006/relationships" ref="BD34" r:id="rId457"/>
    <hyperlink xmlns:r="http://schemas.openxmlformats.org/officeDocument/2006/relationships" ref="AQ35" r:id="rId458"/>
    <hyperlink xmlns:r="http://schemas.openxmlformats.org/officeDocument/2006/relationships" ref="AS35" r:id="rId459"/>
    <hyperlink xmlns:r="http://schemas.openxmlformats.org/officeDocument/2006/relationships" ref="AW35" r:id="rId460"/>
    <hyperlink xmlns:r="http://schemas.openxmlformats.org/officeDocument/2006/relationships" ref="AX35" r:id="rId461"/>
    <hyperlink xmlns:r="http://schemas.openxmlformats.org/officeDocument/2006/relationships" ref="AY35" r:id="rId462"/>
    <hyperlink xmlns:r="http://schemas.openxmlformats.org/officeDocument/2006/relationships" ref="BD35" r:id="rId463"/>
    <hyperlink xmlns:r="http://schemas.openxmlformats.org/officeDocument/2006/relationships" ref="BE35" r:id="rId464"/>
    <hyperlink xmlns:r="http://schemas.openxmlformats.org/officeDocument/2006/relationships" ref="AY36" r:id="rId465"/>
    <hyperlink xmlns:r="http://schemas.openxmlformats.org/officeDocument/2006/relationships" ref="BC36" r:id="rId466"/>
    <hyperlink xmlns:r="http://schemas.openxmlformats.org/officeDocument/2006/relationships" ref="BE36" r:id="rId467"/>
    <hyperlink xmlns:r="http://schemas.openxmlformats.org/officeDocument/2006/relationships" ref="AZ37" r:id="rId468"/>
    <hyperlink xmlns:r="http://schemas.openxmlformats.org/officeDocument/2006/relationships" ref="AS38" r:id="rId469"/>
    <hyperlink xmlns:r="http://schemas.openxmlformats.org/officeDocument/2006/relationships" ref="AY38" r:id="rId470"/>
    <hyperlink xmlns:r="http://schemas.openxmlformats.org/officeDocument/2006/relationships" ref="AY39" r:id="rId471"/>
    <hyperlink xmlns:r="http://schemas.openxmlformats.org/officeDocument/2006/relationships" ref="BE39" r:id="rId472"/>
    <hyperlink xmlns:r="http://schemas.openxmlformats.org/officeDocument/2006/relationships" ref="BD40" r:id="rId473"/>
    <hyperlink xmlns:r="http://schemas.openxmlformats.org/officeDocument/2006/relationships" ref="AO41" r:id="rId474"/>
    <hyperlink xmlns:r="http://schemas.openxmlformats.org/officeDocument/2006/relationships" ref="AM42" r:id="rId475"/>
    <hyperlink xmlns:r="http://schemas.openxmlformats.org/officeDocument/2006/relationships" ref="AJ43" r:id="rId476"/>
    <hyperlink xmlns:r="http://schemas.openxmlformats.org/officeDocument/2006/relationships" ref="W44" r:id="rId477"/>
    <hyperlink xmlns:r="http://schemas.openxmlformats.org/officeDocument/2006/relationships" ref="AX45" r:id="rId478"/>
    <hyperlink xmlns:r="http://schemas.openxmlformats.org/officeDocument/2006/relationships" ref="AY45" r:id="rId479"/>
    <hyperlink xmlns:r="http://schemas.openxmlformats.org/officeDocument/2006/relationships" ref="BE45" r:id="rId480"/>
    <hyperlink xmlns:r="http://schemas.openxmlformats.org/officeDocument/2006/relationships" ref="AZ46" r:id="rId481"/>
    <hyperlink xmlns:r="http://schemas.openxmlformats.org/officeDocument/2006/relationships" ref="BD47" r:id="rId482"/>
    <hyperlink xmlns:r="http://schemas.openxmlformats.org/officeDocument/2006/relationships" ref="AW48" r:id="rId483"/>
    <hyperlink xmlns:r="http://schemas.openxmlformats.org/officeDocument/2006/relationships" ref="BD48" r:id="rId484"/>
    <hyperlink xmlns:r="http://schemas.openxmlformats.org/officeDocument/2006/relationships" ref="AY49" r:id="rId485"/>
    <hyperlink xmlns:r="http://schemas.openxmlformats.org/officeDocument/2006/relationships" ref="M50" r:id="rId486"/>
    <hyperlink xmlns:r="http://schemas.openxmlformats.org/officeDocument/2006/relationships" ref="AF51" r:id="rId487"/>
    <hyperlink xmlns:r="http://schemas.openxmlformats.org/officeDocument/2006/relationships" ref="AD52" r:id="rId488"/>
    <hyperlink xmlns:r="http://schemas.openxmlformats.org/officeDocument/2006/relationships" ref="AE52" r:id="rId489"/>
    <hyperlink xmlns:r="http://schemas.openxmlformats.org/officeDocument/2006/relationships" ref="AF52" r:id="rId490"/>
    <hyperlink xmlns:r="http://schemas.openxmlformats.org/officeDocument/2006/relationships" ref="AH52" r:id="rId491"/>
    <hyperlink xmlns:r="http://schemas.openxmlformats.org/officeDocument/2006/relationships" ref="AJ52" r:id="rId492"/>
    <hyperlink xmlns:r="http://schemas.openxmlformats.org/officeDocument/2006/relationships" ref="AK52" r:id="rId493"/>
    <hyperlink xmlns:r="http://schemas.openxmlformats.org/officeDocument/2006/relationships" ref="AL52" r:id="rId494"/>
    <hyperlink xmlns:r="http://schemas.openxmlformats.org/officeDocument/2006/relationships" ref="AM52" r:id="rId495"/>
    <hyperlink xmlns:r="http://schemas.openxmlformats.org/officeDocument/2006/relationships" ref="AO52" r:id="rId496"/>
    <hyperlink xmlns:r="http://schemas.openxmlformats.org/officeDocument/2006/relationships" ref="AS52" r:id="rId497"/>
    <hyperlink xmlns:r="http://schemas.openxmlformats.org/officeDocument/2006/relationships" ref="AX53" r:id="rId498"/>
    <hyperlink xmlns:r="http://schemas.openxmlformats.org/officeDocument/2006/relationships" ref="AY54" r:id="rId499"/>
    <hyperlink xmlns:r="http://schemas.openxmlformats.org/officeDocument/2006/relationships" ref="BD55" r:id="rId500"/>
    <hyperlink xmlns:r="http://schemas.openxmlformats.org/officeDocument/2006/relationships" ref="P56" r:id="rId501"/>
    <hyperlink xmlns:r="http://schemas.openxmlformats.org/officeDocument/2006/relationships" ref="AD56" r:id="rId502"/>
    <hyperlink xmlns:r="http://schemas.openxmlformats.org/officeDocument/2006/relationships" ref="AE56" r:id="rId503"/>
    <hyperlink xmlns:r="http://schemas.openxmlformats.org/officeDocument/2006/relationships" ref="AF56" r:id="rId504"/>
    <hyperlink xmlns:r="http://schemas.openxmlformats.org/officeDocument/2006/relationships" ref="AH56" r:id="rId505"/>
    <hyperlink xmlns:r="http://schemas.openxmlformats.org/officeDocument/2006/relationships" ref="AJ56" r:id="rId506"/>
    <hyperlink xmlns:r="http://schemas.openxmlformats.org/officeDocument/2006/relationships" ref="AM56" r:id="rId507"/>
    <hyperlink xmlns:r="http://schemas.openxmlformats.org/officeDocument/2006/relationships" ref="AO56" r:id="rId508"/>
    <hyperlink xmlns:r="http://schemas.openxmlformats.org/officeDocument/2006/relationships" ref="AF57" r:id="rId509"/>
    <hyperlink xmlns:r="http://schemas.openxmlformats.org/officeDocument/2006/relationships" ref="AH57" r:id="rId510"/>
    <hyperlink xmlns:r="http://schemas.openxmlformats.org/officeDocument/2006/relationships" ref="Z58" r:id="rId511"/>
    <hyperlink xmlns:r="http://schemas.openxmlformats.org/officeDocument/2006/relationships" ref="AB58" r:id="rId512"/>
    <hyperlink xmlns:r="http://schemas.openxmlformats.org/officeDocument/2006/relationships" ref="AF58" r:id="rId513"/>
    <hyperlink xmlns:r="http://schemas.openxmlformats.org/officeDocument/2006/relationships" ref="AH58" r:id="rId514"/>
    <hyperlink xmlns:r="http://schemas.openxmlformats.org/officeDocument/2006/relationships" ref="AD59" r:id="rId515"/>
    <hyperlink xmlns:r="http://schemas.openxmlformats.org/officeDocument/2006/relationships" ref="AY60" r:id="rId516"/>
    <hyperlink xmlns:r="http://schemas.openxmlformats.org/officeDocument/2006/relationships" ref="M61" r:id="rId517"/>
    <hyperlink xmlns:r="http://schemas.openxmlformats.org/officeDocument/2006/relationships" ref="N61" r:id="rId518"/>
    <hyperlink xmlns:r="http://schemas.openxmlformats.org/officeDocument/2006/relationships" ref="P61" r:id="rId519"/>
    <hyperlink xmlns:r="http://schemas.openxmlformats.org/officeDocument/2006/relationships" ref="T61" r:id="rId520"/>
    <hyperlink xmlns:r="http://schemas.openxmlformats.org/officeDocument/2006/relationships" ref="U61" r:id="rId521"/>
    <hyperlink xmlns:r="http://schemas.openxmlformats.org/officeDocument/2006/relationships" ref="V61" r:id="rId522"/>
    <hyperlink xmlns:r="http://schemas.openxmlformats.org/officeDocument/2006/relationships" ref="Y61" r:id="rId523"/>
    <hyperlink xmlns:r="http://schemas.openxmlformats.org/officeDocument/2006/relationships" ref="Z61" r:id="rId524"/>
    <hyperlink xmlns:r="http://schemas.openxmlformats.org/officeDocument/2006/relationships" ref="AB61" r:id="rId525"/>
    <hyperlink xmlns:r="http://schemas.openxmlformats.org/officeDocument/2006/relationships" ref="AE61" r:id="rId526"/>
    <hyperlink xmlns:r="http://schemas.openxmlformats.org/officeDocument/2006/relationships" ref="AF61" r:id="rId527"/>
    <hyperlink xmlns:r="http://schemas.openxmlformats.org/officeDocument/2006/relationships" ref="AH61" r:id="rId528"/>
    <hyperlink xmlns:r="http://schemas.openxmlformats.org/officeDocument/2006/relationships" ref="AL61" r:id="rId529"/>
    <hyperlink xmlns:r="http://schemas.openxmlformats.org/officeDocument/2006/relationships" ref="AO61" r:id="rId530"/>
    <hyperlink xmlns:r="http://schemas.openxmlformats.org/officeDocument/2006/relationships" ref="AS61" r:id="rId531"/>
    <hyperlink xmlns:r="http://schemas.openxmlformats.org/officeDocument/2006/relationships" ref="AT61" r:id="rId532"/>
    <hyperlink xmlns:r="http://schemas.openxmlformats.org/officeDocument/2006/relationships" ref="AY61" r:id="rId533"/>
    <hyperlink xmlns:r="http://schemas.openxmlformats.org/officeDocument/2006/relationships" ref="AZ61" r:id="rId534"/>
    <hyperlink xmlns:r="http://schemas.openxmlformats.org/officeDocument/2006/relationships" ref="BD61" r:id="rId535"/>
    <hyperlink xmlns:r="http://schemas.openxmlformats.org/officeDocument/2006/relationships" ref="AK62" r:id="rId536"/>
    <hyperlink xmlns:r="http://schemas.openxmlformats.org/officeDocument/2006/relationships" ref="BD63" r:id="rId537"/>
    <hyperlink xmlns:r="http://schemas.openxmlformats.org/officeDocument/2006/relationships" ref="AW64" r:id="rId538"/>
    <hyperlink xmlns:r="http://schemas.openxmlformats.org/officeDocument/2006/relationships" ref="BC64" r:id="rId539"/>
    <hyperlink xmlns:r="http://schemas.openxmlformats.org/officeDocument/2006/relationships" ref="Z65" r:id="rId540"/>
    <hyperlink xmlns:r="http://schemas.openxmlformats.org/officeDocument/2006/relationships" ref="AE66" r:id="rId541"/>
    <hyperlink xmlns:r="http://schemas.openxmlformats.org/officeDocument/2006/relationships" ref="AF67" r:id="rId542"/>
    <hyperlink xmlns:r="http://schemas.openxmlformats.org/officeDocument/2006/relationships" ref="AF68" r:id="rId543"/>
    <hyperlink xmlns:r="http://schemas.openxmlformats.org/officeDocument/2006/relationships" ref="AD69" r:id="rId544"/>
    <hyperlink xmlns:r="http://schemas.openxmlformats.org/officeDocument/2006/relationships" ref="X70" r:id="rId545"/>
    <hyperlink xmlns:r="http://schemas.openxmlformats.org/officeDocument/2006/relationships" ref="AD70" r:id="rId546"/>
    <hyperlink xmlns:r="http://schemas.openxmlformats.org/officeDocument/2006/relationships" ref="Z71" r:id="rId547"/>
    <hyperlink xmlns:r="http://schemas.openxmlformats.org/officeDocument/2006/relationships" ref="AZ72" r:id="rId548"/>
    <hyperlink xmlns:r="http://schemas.openxmlformats.org/officeDocument/2006/relationships" ref="AH73" r:id="rId549"/>
    <hyperlink xmlns:r="http://schemas.openxmlformats.org/officeDocument/2006/relationships" ref="M74" r:id="rId550"/>
    <hyperlink xmlns:r="http://schemas.openxmlformats.org/officeDocument/2006/relationships" ref="O74" r:id="rId551"/>
    <hyperlink xmlns:r="http://schemas.openxmlformats.org/officeDocument/2006/relationships" ref="S74" r:id="rId552"/>
    <hyperlink xmlns:r="http://schemas.openxmlformats.org/officeDocument/2006/relationships" ref="W74" r:id="rId553"/>
    <hyperlink xmlns:r="http://schemas.openxmlformats.org/officeDocument/2006/relationships" ref="P75" r:id="rId554"/>
    <hyperlink xmlns:r="http://schemas.openxmlformats.org/officeDocument/2006/relationships" ref="Q75" r:id="rId555"/>
    <hyperlink xmlns:r="http://schemas.openxmlformats.org/officeDocument/2006/relationships" ref="AY76" r:id="rId556"/>
    <hyperlink xmlns:r="http://schemas.openxmlformats.org/officeDocument/2006/relationships" ref="AO77" r:id="rId557"/>
    <hyperlink xmlns:r="http://schemas.openxmlformats.org/officeDocument/2006/relationships" ref="BB78" r:id="rId558"/>
    <hyperlink xmlns:r="http://schemas.openxmlformats.org/officeDocument/2006/relationships" ref="W79" r:id="rId559"/>
    <hyperlink xmlns:r="http://schemas.openxmlformats.org/officeDocument/2006/relationships" ref="W80" r:id="rId560"/>
    <hyperlink xmlns:r="http://schemas.openxmlformats.org/officeDocument/2006/relationships" ref="W81" r:id="rId561"/>
    <hyperlink xmlns:r="http://schemas.openxmlformats.org/officeDocument/2006/relationships" ref="Z82" r:id="rId562"/>
    <hyperlink xmlns:r="http://schemas.openxmlformats.org/officeDocument/2006/relationships" ref="AB82" r:id="rId563"/>
    <hyperlink xmlns:r="http://schemas.openxmlformats.org/officeDocument/2006/relationships" ref="AE82" r:id="rId564"/>
    <hyperlink xmlns:r="http://schemas.openxmlformats.org/officeDocument/2006/relationships" ref="AF82" r:id="rId565"/>
    <hyperlink xmlns:r="http://schemas.openxmlformats.org/officeDocument/2006/relationships" ref="AH82" r:id="rId566"/>
    <hyperlink xmlns:r="http://schemas.openxmlformats.org/officeDocument/2006/relationships" ref="AL82" r:id="rId567"/>
    <hyperlink xmlns:r="http://schemas.openxmlformats.org/officeDocument/2006/relationships" ref="AM82" r:id="rId568"/>
    <hyperlink xmlns:r="http://schemas.openxmlformats.org/officeDocument/2006/relationships" ref="AO82" r:id="rId569"/>
    <hyperlink xmlns:r="http://schemas.openxmlformats.org/officeDocument/2006/relationships" ref="AQ82" r:id="rId570"/>
    <hyperlink xmlns:r="http://schemas.openxmlformats.org/officeDocument/2006/relationships" ref="AR82" r:id="rId571"/>
    <hyperlink xmlns:r="http://schemas.openxmlformats.org/officeDocument/2006/relationships" ref="AS82" r:id="rId572"/>
    <hyperlink xmlns:r="http://schemas.openxmlformats.org/officeDocument/2006/relationships" ref="AX82" r:id="rId573"/>
    <hyperlink xmlns:r="http://schemas.openxmlformats.org/officeDocument/2006/relationships" ref="AZ82" r:id="rId574"/>
    <hyperlink xmlns:r="http://schemas.openxmlformats.org/officeDocument/2006/relationships" ref="BB83" r:id="rId575"/>
    <hyperlink xmlns:r="http://schemas.openxmlformats.org/officeDocument/2006/relationships" ref="AY84" r:id="rId576"/>
    <hyperlink xmlns:r="http://schemas.openxmlformats.org/officeDocument/2006/relationships" ref="AZ85" r:id="rId577"/>
    <hyperlink xmlns:r="http://schemas.openxmlformats.org/officeDocument/2006/relationships" ref="AH86" r:id="rId578"/>
    <hyperlink xmlns:r="http://schemas.openxmlformats.org/officeDocument/2006/relationships" ref="AH87" r:id="rId579"/>
    <hyperlink xmlns:r="http://schemas.openxmlformats.org/officeDocument/2006/relationships" ref="AO87" r:id="rId580"/>
    <hyperlink xmlns:r="http://schemas.openxmlformats.org/officeDocument/2006/relationships" ref="BD88" r:id="rId581"/>
    <hyperlink xmlns:r="http://schemas.openxmlformats.org/officeDocument/2006/relationships" ref="BD89" r:id="rId582"/>
    <hyperlink xmlns:r="http://schemas.openxmlformats.org/officeDocument/2006/relationships" ref="BD90" r:id="rId583"/>
    <hyperlink xmlns:r="http://schemas.openxmlformats.org/officeDocument/2006/relationships" ref="AX91" r:id="rId584"/>
    <hyperlink xmlns:r="http://schemas.openxmlformats.org/officeDocument/2006/relationships" ref="AE92" r:id="rId585"/>
    <hyperlink xmlns:r="http://schemas.openxmlformats.org/officeDocument/2006/relationships" ref="AL93" r:id="rId586"/>
    <hyperlink xmlns:r="http://schemas.openxmlformats.org/officeDocument/2006/relationships" ref="AS93" r:id="rId587"/>
    <hyperlink xmlns:r="http://schemas.openxmlformats.org/officeDocument/2006/relationships" ref="Z94" r:id="rId588"/>
    <hyperlink xmlns:r="http://schemas.openxmlformats.org/officeDocument/2006/relationships" ref="AB95" r:id="rId589"/>
    <hyperlink xmlns:r="http://schemas.openxmlformats.org/officeDocument/2006/relationships" ref="AE96" r:id="rId590"/>
    <hyperlink xmlns:r="http://schemas.openxmlformats.org/officeDocument/2006/relationships" ref="BC97" r:id="rId591"/>
    <hyperlink xmlns:r="http://schemas.openxmlformats.org/officeDocument/2006/relationships" ref="Z98" r:id="rId592"/>
    <hyperlink xmlns:r="http://schemas.openxmlformats.org/officeDocument/2006/relationships" ref="BD99" r:id="rId593"/>
    <hyperlink xmlns:r="http://schemas.openxmlformats.org/officeDocument/2006/relationships" ref="AF100" r:id="rId594"/>
    <hyperlink xmlns:r="http://schemas.openxmlformats.org/officeDocument/2006/relationships" ref="AH100" r:id="rId595"/>
    <hyperlink xmlns:r="http://schemas.openxmlformats.org/officeDocument/2006/relationships" ref="AM100" r:id="rId596"/>
    <hyperlink xmlns:r="http://schemas.openxmlformats.org/officeDocument/2006/relationships" ref="AO100" r:id="rId597"/>
    <hyperlink xmlns:r="http://schemas.openxmlformats.org/officeDocument/2006/relationships" ref="AO101" r:id="rId598"/>
    <hyperlink xmlns:r="http://schemas.openxmlformats.org/officeDocument/2006/relationships" ref="AH102" r:id="rId599"/>
    <hyperlink xmlns:r="http://schemas.openxmlformats.org/officeDocument/2006/relationships" ref="AM103" r:id="rId600"/>
    <hyperlink xmlns:r="http://schemas.openxmlformats.org/officeDocument/2006/relationships" ref="K104" r:id="rId601"/>
    <hyperlink xmlns:r="http://schemas.openxmlformats.org/officeDocument/2006/relationships" ref="BC105" r:id="rId602"/>
    <hyperlink xmlns:r="http://schemas.openxmlformats.org/officeDocument/2006/relationships" ref="U106" r:id="rId603"/>
    <hyperlink xmlns:r="http://schemas.openxmlformats.org/officeDocument/2006/relationships" ref="X106" r:id="rId604"/>
    <hyperlink xmlns:r="http://schemas.openxmlformats.org/officeDocument/2006/relationships" ref="Z106" r:id="rId605"/>
    <hyperlink xmlns:r="http://schemas.openxmlformats.org/officeDocument/2006/relationships" ref="AD106" r:id="rId606"/>
    <hyperlink xmlns:r="http://schemas.openxmlformats.org/officeDocument/2006/relationships" ref="B107" r:id="rId607"/>
    <hyperlink xmlns:r="http://schemas.openxmlformats.org/officeDocument/2006/relationships" ref="D107" r:id="rId608"/>
    <hyperlink xmlns:r="http://schemas.openxmlformats.org/officeDocument/2006/relationships" ref="E107" r:id="rId609"/>
    <hyperlink xmlns:r="http://schemas.openxmlformats.org/officeDocument/2006/relationships" ref="I107" r:id="rId610"/>
    <hyperlink xmlns:r="http://schemas.openxmlformats.org/officeDocument/2006/relationships" ref="J107" r:id="rId611"/>
    <hyperlink xmlns:r="http://schemas.openxmlformats.org/officeDocument/2006/relationships" ref="K107" r:id="rId612"/>
    <hyperlink xmlns:r="http://schemas.openxmlformats.org/officeDocument/2006/relationships" ref="L107" r:id="rId613"/>
    <hyperlink xmlns:r="http://schemas.openxmlformats.org/officeDocument/2006/relationships" ref="N107" r:id="rId614"/>
    <hyperlink xmlns:r="http://schemas.openxmlformats.org/officeDocument/2006/relationships" ref="R107" r:id="rId615"/>
    <hyperlink xmlns:r="http://schemas.openxmlformats.org/officeDocument/2006/relationships" ref="AB108" r:id="rId616"/>
    <hyperlink xmlns:r="http://schemas.openxmlformats.org/officeDocument/2006/relationships" ref="Z109" r:id="rId617"/>
    <hyperlink xmlns:r="http://schemas.openxmlformats.org/officeDocument/2006/relationships" ref="W110" r:id="rId618"/>
    <hyperlink xmlns:r="http://schemas.openxmlformats.org/officeDocument/2006/relationships" ref="H111" r:id="rId619"/>
    <hyperlink xmlns:r="http://schemas.openxmlformats.org/officeDocument/2006/relationships" ref="O111" r:id="rId620"/>
    <hyperlink xmlns:r="http://schemas.openxmlformats.org/officeDocument/2006/relationships" ref="BD111" r:id="rId621"/>
    <hyperlink xmlns:r="http://schemas.openxmlformats.org/officeDocument/2006/relationships" ref="Z112" r:id="rId622"/>
    <hyperlink xmlns:r="http://schemas.openxmlformats.org/officeDocument/2006/relationships" ref="AB112" r:id="rId623"/>
    <hyperlink xmlns:r="http://schemas.openxmlformats.org/officeDocument/2006/relationships" ref="AD112" r:id="rId624"/>
    <hyperlink xmlns:r="http://schemas.openxmlformats.org/officeDocument/2006/relationships" ref="AE112" r:id="rId625"/>
    <hyperlink xmlns:r="http://schemas.openxmlformats.org/officeDocument/2006/relationships" ref="BD113" r:id="rId626"/>
    <hyperlink xmlns:r="http://schemas.openxmlformats.org/officeDocument/2006/relationships" ref="AB114" r:id="rId627"/>
    <hyperlink xmlns:r="http://schemas.openxmlformats.org/officeDocument/2006/relationships" ref="AZ115" r:id="rId628"/>
    <hyperlink xmlns:r="http://schemas.openxmlformats.org/officeDocument/2006/relationships" ref="AX116" r:id="rId629"/>
    <hyperlink xmlns:r="http://schemas.openxmlformats.org/officeDocument/2006/relationships" ref="AZ117" r:id="rId630"/>
    <hyperlink xmlns:r="http://schemas.openxmlformats.org/officeDocument/2006/relationships" ref="AF118" r:id="rId631"/>
    <hyperlink xmlns:r="http://schemas.openxmlformats.org/officeDocument/2006/relationships" ref="AJ118" r:id="rId632"/>
    <hyperlink xmlns:r="http://schemas.openxmlformats.org/officeDocument/2006/relationships" ref="BD119" r:id="rId633"/>
    <hyperlink xmlns:r="http://schemas.openxmlformats.org/officeDocument/2006/relationships" ref="AX120" r:id="rId634"/>
    <hyperlink xmlns:r="http://schemas.openxmlformats.org/officeDocument/2006/relationships" ref="AX121" r:id="rId635"/>
    <hyperlink xmlns:r="http://schemas.openxmlformats.org/officeDocument/2006/relationships" ref="BB122" r:id="rId636"/>
    <hyperlink xmlns:r="http://schemas.openxmlformats.org/officeDocument/2006/relationships" ref="BD123" r:id="rId637"/>
    <hyperlink xmlns:r="http://schemas.openxmlformats.org/officeDocument/2006/relationships" ref="AW124" r:id="rId638"/>
    <hyperlink xmlns:r="http://schemas.openxmlformats.org/officeDocument/2006/relationships" ref="BD124" r:id="rId639"/>
    <hyperlink xmlns:r="http://schemas.openxmlformats.org/officeDocument/2006/relationships" ref="BE125" r:id="rId640"/>
    <hyperlink xmlns:r="http://schemas.openxmlformats.org/officeDocument/2006/relationships" ref="BB126" r:id="rId641"/>
    <hyperlink xmlns:r="http://schemas.openxmlformats.org/officeDocument/2006/relationships" ref="BB127" r:id="rId642"/>
    <hyperlink xmlns:r="http://schemas.openxmlformats.org/officeDocument/2006/relationships" ref="BF128" r:id="rId643"/>
    <hyperlink xmlns:r="http://schemas.openxmlformats.org/officeDocument/2006/relationships" ref="AX129" r:id="rId644"/>
    <hyperlink xmlns:r="http://schemas.openxmlformats.org/officeDocument/2006/relationships" ref="Z130" r:id="rId645"/>
    <hyperlink xmlns:r="http://schemas.openxmlformats.org/officeDocument/2006/relationships" ref="AB130" r:id="rId646"/>
    <hyperlink xmlns:r="http://schemas.openxmlformats.org/officeDocument/2006/relationships" ref="AE130" r:id="rId647"/>
    <hyperlink xmlns:r="http://schemas.openxmlformats.org/officeDocument/2006/relationships" ref="AF130" r:id="rId648"/>
    <hyperlink xmlns:r="http://schemas.openxmlformats.org/officeDocument/2006/relationships" ref="AL130" r:id="rId649"/>
    <hyperlink xmlns:r="http://schemas.openxmlformats.org/officeDocument/2006/relationships" ref="AM130" r:id="rId650"/>
    <hyperlink xmlns:r="http://schemas.openxmlformats.org/officeDocument/2006/relationships" ref="AO130" r:id="rId651"/>
    <hyperlink xmlns:r="http://schemas.openxmlformats.org/officeDocument/2006/relationships" ref="AQ130" r:id="rId652"/>
    <hyperlink xmlns:r="http://schemas.openxmlformats.org/officeDocument/2006/relationships" ref="AR130" r:id="rId653"/>
    <hyperlink xmlns:r="http://schemas.openxmlformats.org/officeDocument/2006/relationships" ref="AS130" r:id="rId654"/>
    <hyperlink xmlns:r="http://schemas.openxmlformats.org/officeDocument/2006/relationships" ref="AX130" r:id="rId655"/>
    <hyperlink xmlns:r="http://schemas.openxmlformats.org/officeDocument/2006/relationships" ref="AZ130" r:id="rId656"/>
    <hyperlink xmlns:r="http://schemas.openxmlformats.org/officeDocument/2006/relationships" ref="BB130" r:id="rId657"/>
    <hyperlink xmlns:r="http://schemas.openxmlformats.org/officeDocument/2006/relationships" ref="AY131" r:id="rId658"/>
    <hyperlink xmlns:r="http://schemas.openxmlformats.org/officeDocument/2006/relationships" ref="AO132" r:id="rId659"/>
    <hyperlink xmlns:r="http://schemas.openxmlformats.org/officeDocument/2006/relationships" ref="AE133" r:id="rId660"/>
    <hyperlink xmlns:r="http://schemas.openxmlformats.org/officeDocument/2006/relationships" ref="AO134" r:id="rId661"/>
    <hyperlink xmlns:r="http://schemas.openxmlformats.org/officeDocument/2006/relationships" ref="BD135" r:id="rId662"/>
    <hyperlink xmlns:r="http://schemas.openxmlformats.org/officeDocument/2006/relationships" ref="AQ136" r:id="rId663"/>
    <hyperlink xmlns:r="http://schemas.openxmlformats.org/officeDocument/2006/relationships" ref="AS136" r:id="rId664"/>
    <hyperlink xmlns:r="http://schemas.openxmlformats.org/officeDocument/2006/relationships" ref="AW136" r:id="rId665"/>
    <hyperlink xmlns:r="http://schemas.openxmlformats.org/officeDocument/2006/relationships" ref="AY136" r:id="rId666"/>
    <hyperlink xmlns:r="http://schemas.openxmlformats.org/officeDocument/2006/relationships" ref="AO137" r:id="rId667"/>
    <hyperlink xmlns:r="http://schemas.openxmlformats.org/officeDocument/2006/relationships" ref="T138" r:id="rId668"/>
    <hyperlink xmlns:r="http://schemas.openxmlformats.org/officeDocument/2006/relationships" ref="U138" r:id="rId669"/>
    <hyperlink xmlns:r="http://schemas.openxmlformats.org/officeDocument/2006/relationships" ref="V138" r:id="rId670"/>
    <hyperlink xmlns:r="http://schemas.openxmlformats.org/officeDocument/2006/relationships" ref="Z138" r:id="rId671"/>
    <hyperlink xmlns:r="http://schemas.openxmlformats.org/officeDocument/2006/relationships" ref="AB138" r:id="rId672"/>
    <hyperlink xmlns:r="http://schemas.openxmlformats.org/officeDocument/2006/relationships" ref="BD139" r:id="rId673"/>
    <hyperlink xmlns:r="http://schemas.openxmlformats.org/officeDocument/2006/relationships" ref="BD140" r:id="rId674"/>
    <hyperlink xmlns:r="http://schemas.openxmlformats.org/officeDocument/2006/relationships" ref="AF141" r:id="rId675"/>
    <hyperlink xmlns:r="http://schemas.openxmlformats.org/officeDocument/2006/relationships" ref="AH141" r:id="rId676"/>
    <hyperlink xmlns:r="http://schemas.openxmlformats.org/officeDocument/2006/relationships" ref="AL141" r:id="rId677"/>
    <hyperlink xmlns:r="http://schemas.openxmlformats.org/officeDocument/2006/relationships" ref="AB142" r:id="rId678"/>
    <hyperlink xmlns:r="http://schemas.openxmlformats.org/officeDocument/2006/relationships" ref="U143" r:id="rId679"/>
    <hyperlink xmlns:r="http://schemas.openxmlformats.org/officeDocument/2006/relationships" ref="Z143" r:id="rId680"/>
    <hyperlink xmlns:r="http://schemas.openxmlformats.org/officeDocument/2006/relationships" ref="R144" r:id="rId681"/>
    <hyperlink xmlns:r="http://schemas.openxmlformats.org/officeDocument/2006/relationships" ref="W144" r:id="rId682"/>
    <hyperlink xmlns:r="http://schemas.openxmlformats.org/officeDocument/2006/relationships" ref="M145" r:id="rId683"/>
    <hyperlink xmlns:r="http://schemas.openxmlformats.org/officeDocument/2006/relationships" ref="BD146" r:id="rId684"/>
    <hyperlink xmlns:r="http://schemas.openxmlformats.org/officeDocument/2006/relationships" ref="AM147" r:id="rId685"/>
    <hyperlink xmlns:r="http://schemas.openxmlformats.org/officeDocument/2006/relationships" ref="U148" r:id="rId686"/>
    <hyperlink xmlns:r="http://schemas.openxmlformats.org/officeDocument/2006/relationships" ref="X148" r:id="rId687"/>
    <hyperlink xmlns:r="http://schemas.openxmlformats.org/officeDocument/2006/relationships" ref="AB148" r:id="rId688"/>
    <hyperlink xmlns:r="http://schemas.openxmlformats.org/officeDocument/2006/relationships" ref="AD148" r:id="rId689"/>
    <hyperlink xmlns:r="http://schemas.openxmlformats.org/officeDocument/2006/relationships" ref="AH148" r:id="rId690"/>
    <hyperlink xmlns:r="http://schemas.openxmlformats.org/officeDocument/2006/relationships" ref="AJ148" r:id="rId691"/>
    <hyperlink xmlns:r="http://schemas.openxmlformats.org/officeDocument/2006/relationships" ref="S149" r:id="rId692"/>
    <hyperlink xmlns:r="http://schemas.openxmlformats.org/officeDocument/2006/relationships" ref="Z149" r:id="rId693"/>
    <hyperlink xmlns:r="http://schemas.openxmlformats.org/officeDocument/2006/relationships" ref="AF149" r:id="rId694"/>
    <hyperlink xmlns:r="http://schemas.openxmlformats.org/officeDocument/2006/relationships" ref="AF150" r:id="rId695"/>
    <hyperlink xmlns:r="http://schemas.openxmlformats.org/officeDocument/2006/relationships" ref="AX151" r:id="rId696"/>
    <hyperlink xmlns:r="http://schemas.openxmlformats.org/officeDocument/2006/relationships" ref="AF152" r:id="rId697"/>
    <hyperlink xmlns:r="http://schemas.openxmlformats.org/officeDocument/2006/relationships" ref="M153" r:id="rId698"/>
    <hyperlink xmlns:r="http://schemas.openxmlformats.org/officeDocument/2006/relationships" ref="N154" r:id="rId699"/>
    <hyperlink xmlns:r="http://schemas.openxmlformats.org/officeDocument/2006/relationships" ref="P155" r:id="rId70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2026-05-17T17:28:06Z</dcterms:modified>
  <cp:lastModifiedBy>Gabriel Rodino</cp:lastModifiedBy>
</cp:coreProperties>
</file>