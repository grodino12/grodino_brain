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CELH\"/>
    </mc:Choice>
  </mc:AlternateContent>
  <xr:revisionPtr revIDLastSave="0" documentId="13_ncr:1_{A7F832E7-D5E8-4B09-AEB4-A32DF320700F}" xr6:coauthVersionLast="47" xr6:coauthVersionMax="47" xr10:uidLastSave="{00000000-0000-0000-0000-000000000000}"/>
  <bookViews>
    <workbookView xWindow="-108" yWindow="-108" windowWidth="29016" windowHeight="15696" xr2:uid="{00000000-000D-0000-FFFF-FFFF00000000}"/>
  </bookViews>
  <sheets>
    <sheet name=" Transcript Reports" sheetId="2" r:id="rId1"/>
    <sheet name="Disclosures" sheetId="1" r:id="rId2"/>
  </sheets>
  <calcPr calcId="191029" iterate="1" iterateCount="20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5" i="2" l="1"/>
  <c r="G59" i="2"/>
  <c r="E61" i="2"/>
  <c r="D65" i="2"/>
  <c r="D61" i="2"/>
  <c r="D55" i="2"/>
  <c r="D4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MDA-extract</author>
  </authors>
  <commentList>
    <comment ref="B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FY2022; raw=653,604,000</t>
        </r>
      </text>
    </comment>
    <comment ref="C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FY2023; raw=1,318,014,000</t>
        </r>
      </text>
    </comment>
    <comment ref="D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raw=355,708,000</t>
        </r>
      </text>
    </comment>
    <comment ref="E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raw=401,977,000</t>
        </r>
      </text>
    </comment>
    <comment ref="F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raw=265,748,000</t>
        </r>
      </text>
    </comment>
    <comment ref="G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raw=1,355,630,000</t>
        </r>
      </text>
    </comment>
    <comment ref="H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raw=329,276,000</t>
        </r>
      </text>
    </comment>
    <comment ref="I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raw=739,259,000</t>
        </r>
      </text>
    </comment>
    <comment ref="J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raw=725,106,000</t>
        </r>
      </text>
    </comment>
    <comment ref="K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raw=2,515,269,000</t>
        </r>
      </text>
    </comment>
    <comment ref="L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raw=782,615,000</t>
        </r>
      </text>
    </comment>
    <comment ref="B1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FY2022; raw=-152,664,000</t>
        </r>
      </text>
    </comment>
    <comment ref="C1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FY2023; raw=291,749,000</t>
        </r>
      </text>
    </comment>
    <comment ref="D1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2024; raw=92,461,000</t>
        </r>
      </text>
    </comment>
    <comment ref="E1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Q2 2024; raw=104,631,000</t>
        </r>
      </text>
    </comment>
    <comment ref="F1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Q3 2024; raw=8,175,000</t>
        </r>
      </text>
    </comment>
    <comment ref="G10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FY2024; raw=195,050,000</t>
        </r>
      </text>
    </comment>
    <comment ref="H10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2025; raw=60,993,000</t>
        </r>
      </text>
    </comment>
    <comment ref="I10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Q2 2025; raw=129,465,000</t>
        </r>
      </text>
    </comment>
    <comment ref="J10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Q3 2025; raw=-88,031,000</t>
        </r>
      </text>
    </comment>
    <comment ref="K1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FY2025; raw=125,033,000</t>
        </r>
      </text>
    </comment>
    <comment ref="L10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IncomeLossFromContinuingOperationsBeforeIncomeTaxesExtraordinaryItemsNoncontrollingInterest @ Q1 2026; raw=137,536,000</t>
        </r>
      </text>
    </comment>
    <comment ref="B1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Revenues @ FY2020; raw=95,480,310</t>
        </r>
      </text>
    </comment>
    <comment ref="C1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Revenues @ Q1 2021; raw=39,003,000</t>
        </r>
      </text>
    </comment>
    <comment ref="D1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Revenues @ Q2 2021; raw=53,601,000</t>
        </r>
      </text>
    </comment>
    <comment ref="E1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Revenues @ Q3 2021; raw=84,490,000</t>
        </r>
      </text>
    </comment>
    <comment ref="F1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Revenues @ FY2021; raw=273,004,795</t>
        </r>
      </text>
    </comment>
    <comment ref="G1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Revenues @ Q1 2022; raw=123,473,000</t>
        </r>
      </text>
    </comment>
    <comment ref="H1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Revenues @ Q2 2022; raw=145,409,000</t>
        </r>
      </text>
    </comment>
    <comment ref="I1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Revenues @ Q3 2022; raw=179,541,000</t>
        </r>
      </text>
    </comment>
    <comment ref="J1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Revenues @ FY2022; raw=617,457,000</t>
        </r>
      </text>
    </comment>
    <comment ref="K1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Revenues @ Q1 2023; raw=248,552,000</t>
        </r>
      </text>
    </comment>
    <comment ref="L1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Revenues @ Q2 2023; raw=310,815,000</t>
        </r>
      </text>
    </comment>
    <comment ref="M1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Revenues @ Q3 2023; raw=371,178,000</t>
        </r>
      </text>
    </comment>
    <comment ref="N1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Revenues @ FY2023; raw=1,263,341,000</t>
        </r>
      </text>
    </comment>
    <comment ref="O1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raw=339,512,000</t>
        </r>
      </text>
    </comment>
    <comment ref="P1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raw=382,351,000</t>
        </r>
      </text>
    </comment>
    <comment ref="Q1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raw=247,125,000</t>
        </r>
      </text>
    </comment>
    <comment ref="R1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raw=1,280,894,000</t>
        </r>
      </text>
    </comment>
    <comment ref="S1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raw=306,534,000</t>
        </r>
      </text>
    </comment>
    <comment ref="T1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raw=714,459,000</t>
        </r>
      </text>
    </comment>
    <comment ref="U1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raw=701,990,000</t>
        </r>
      </text>
    </comment>
    <comment ref="V1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raw=2,422,490,000</t>
        </r>
      </text>
    </comment>
    <comment ref="W1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raw=747,316,000</t>
        </r>
      </text>
    </comment>
    <comment ref="B18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Revenues @ FY2020; raw=33,727,441</t>
        </r>
      </text>
    </comment>
    <comment ref="C18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Revenues @ Q1 2021; raw=10,368,000</t>
        </r>
      </text>
    </comment>
    <comment ref="D18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Revenues @ Q2 2021; raw=10,792,000</t>
        </r>
      </text>
    </comment>
    <comment ref="E18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Revenues @ Q3 2021; raw=9,536,000</t>
        </r>
      </text>
    </comment>
    <comment ref="F1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Revenues @ FY2021; raw=38,097,016</t>
        </r>
      </text>
    </comment>
    <comment ref="G18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Revenues @ Q1 2022; raw=8,495,000</t>
        </r>
      </text>
    </comment>
    <comment ref="H18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Revenues @ Q2 2022; raw=7,280,000</t>
        </r>
      </text>
    </comment>
    <comment ref="I18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Revenues @ Q3 2022; raw=7,546,000</t>
        </r>
      </text>
    </comment>
    <comment ref="J18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Revenues @ FY2022; raw=31,054,000</t>
        </r>
      </text>
    </comment>
    <comment ref="K18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Revenues @ Q1 2023; raw=8,652,000</t>
        </r>
      </text>
    </comment>
    <comment ref="L1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Revenues @ Q2 2023; raw=11,909,000</t>
        </r>
      </text>
    </comment>
    <comment ref="M18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Revenues @ Q3 2023; raw=11,038,000</t>
        </r>
      </text>
    </comment>
    <comment ref="N18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Revenues @ FY2023; raw=43,722,000</t>
        </r>
      </text>
    </comment>
    <comment ref="O18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raw=14,142,000</t>
        </r>
      </text>
    </comment>
    <comment ref="P18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raw=16,684,000</t>
        </r>
      </text>
    </comment>
    <comment ref="Q18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raw=16,243,000</t>
        </r>
      </text>
    </comment>
    <comment ref="R1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raw=61,696,000</t>
        </r>
      </text>
    </comment>
    <comment ref="S18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raw=18,659,000</t>
        </r>
      </text>
    </comment>
    <comment ref="T18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raw=18,301,000</t>
        </r>
      </text>
    </comment>
    <comment ref="U1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raw=17,691,000</t>
        </r>
      </text>
    </comment>
    <comment ref="V1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raw=72,544,000</t>
        </r>
      </text>
    </comment>
    <comment ref="W18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raw=25,354,000</t>
        </r>
      </text>
    </comment>
    <comment ref="B19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Revenues @ FY2020; raw=23,400,000</t>
        </r>
      </text>
    </comment>
    <comment ref="C1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Revenues @ Q1 2021; raw=6,500,000</t>
        </r>
      </text>
    </comment>
    <comment ref="D19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Revenues @ Q2 2021; raw=7,900,000</t>
        </r>
      </text>
    </comment>
    <comment ref="E19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Revenues @ Q3 2021; raw=6,500,000</t>
        </r>
      </text>
    </comment>
    <comment ref="F19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Revenues @ FY2021; raw=26,900,000</t>
        </r>
      </text>
    </comment>
    <comment ref="G19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Revenues @ Q1 2022; raw=5,800,000</t>
        </r>
      </text>
    </comment>
    <comment ref="H19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Revenues @ Q2 2022; raw=5,100,000</t>
        </r>
      </text>
    </comment>
    <comment ref="I19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Revenues @ Q3 2022; raw=5,300,000</t>
        </r>
      </text>
    </comment>
    <comment ref="J19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Revenues @ FY2022; raw=21,700,000</t>
        </r>
      </text>
    </comment>
    <comment ref="K19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Revenues @ Q1 2023; raw=5,500,000</t>
        </r>
      </text>
    </comment>
    <comment ref="L19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Revenues @ Q2 2023; raw=7,900,000</t>
        </r>
      </text>
    </comment>
    <comment ref="M19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Revenues @ Q3 2023; raw=7,400,000</t>
        </r>
      </text>
    </comment>
    <comment ref="N19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Revenues @ FY2023; raw=29,300,000</t>
        </r>
      </text>
    </comment>
    <comment ref="O1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raw=10,000,000</t>
        </r>
      </text>
    </comment>
    <comment ref="P19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raw=11,300,000</t>
        </r>
      </text>
    </comment>
    <comment ref="Q19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raw=9,500,000</t>
        </r>
      </text>
    </comment>
    <comment ref="F20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Revenues @ FY2021; raw=2,538,000</t>
        </r>
      </text>
    </comment>
    <comment ref="J20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Revenues @ FY2022; raw=3,647,000</t>
        </r>
      </text>
    </comment>
    <comment ref="L20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2023; raw=1,606,000</t>
        </r>
      </text>
    </comment>
    <comment ref="M20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2023; raw=1,247,000</t>
        </r>
      </text>
    </comment>
    <comment ref="N20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Revenues @ FY2023; raw=4,755,000</t>
        </r>
      </text>
    </comment>
    <comment ref="O2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raw=675,000</t>
        </r>
      </text>
    </comment>
    <comment ref="P20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raw=860,000</t>
        </r>
      </text>
    </comment>
    <comment ref="Q20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raw=594,000</t>
        </r>
      </text>
    </comment>
    <comment ref="R20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raw=5,658,000</t>
        </r>
      </text>
    </comment>
    <comment ref="S20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raw=2,244,000</t>
        </r>
      </text>
    </comment>
    <comment ref="T20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raw=4,381,000</t>
        </r>
      </text>
    </comment>
    <comment ref="U2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raw=3,518,000</t>
        </r>
      </text>
    </comment>
    <comment ref="V20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raw=12,971,000</t>
        </r>
      </text>
    </comment>
    <comment ref="W20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raw=6,995,000</t>
        </r>
      </text>
    </comment>
    <comment ref="B21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Revenues @ FY2020; raw=425,323</t>
        </r>
      </text>
    </comment>
    <comment ref="C21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Revenues @ Q1 2021; raw=128,000</t>
        </r>
      </text>
    </comment>
    <comment ref="D21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Revenues @ Q2 2021; raw=61,000</t>
        </r>
      </text>
    </comment>
    <comment ref="E21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Revenues @ Q3 2021; raw=177,000</t>
        </r>
      </text>
    </comment>
    <comment ref="F21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Revenues @ FY2021; raw=631,649</t>
        </r>
      </text>
    </comment>
    <comment ref="G21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Revenues @ Q1 2022; raw=454,000</t>
        </r>
      </text>
    </comment>
    <comment ref="H21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Revenues @ Q2 2022; raw=448,000</t>
        </r>
      </text>
    </comment>
    <comment ref="I21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Revenues @ Q3 2022; raw=182,000</t>
        </r>
      </text>
    </comment>
    <comment ref="J21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Revenues @ FY2022; raw=1,446,000</t>
        </r>
      </text>
    </comment>
    <comment ref="K21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Revenues @ Q1 2023; raw=1,477,000</t>
        </r>
      </text>
    </comment>
    <comment ref="L21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Revenues @ Q2 2023; raw=1,553,000</t>
        </r>
      </text>
    </comment>
    <comment ref="M21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Revenues @ Q3 2023; raw=1,294,000</t>
        </r>
      </text>
    </comment>
    <comment ref="N21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Revenues @ FY2023; raw=6,196,000</t>
        </r>
      </text>
    </comment>
    <comment ref="O21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raw=1,379,000</t>
        </r>
      </text>
    </comment>
    <comment ref="P21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2024; raw=2,082,000</t>
        </r>
      </text>
    </comment>
    <comment ref="Q21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2024; raw=1,786,000</t>
        </r>
      </text>
    </comment>
    <comment ref="R21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FY2024; raw=7,382,000</t>
        </r>
      </text>
    </comment>
    <comment ref="S21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2025; raw=1,839,000</t>
        </r>
      </text>
    </comment>
    <comment ref="T21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Q2 2025; raw=2,118,000</t>
        </r>
      </text>
    </comment>
    <comment ref="U21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Q3 2025; raw=1,907,000</t>
        </r>
      </text>
    </comment>
    <comment ref="V21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FY2025; raw=7,264,000</t>
        </r>
      </text>
    </comment>
    <comment ref="W21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2026; raw=2,950,000</t>
        </r>
      </text>
    </comment>
    <comment ref="B22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Revenues @ FY2020; raw=1,092,703</t>
        </r>
      </text>
    </comment>
    <comment ref="C22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Revenues @ Q1 2021; raw=536,000</t>
        </r>
      </text>
    </comment>
    <comment ref="D22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Revenues @ Q2 2021; raw=619,000</t>
        </r>
      </text>
    </comment>
    <comment ref="E22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Revenues @ Q3 2021; raw=706,000</t>
        </r>
      </text>
    </comment>
    <comment ref="F22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Revenues @ FY2021; raw=2,538,099</t>
        </r>
      </text>
    </comment>
    <comment ref="G22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Revenues @ Q1 2022; raw=966,000</t>
        </r>
      </text>
    </comment>
    <comment ref="H22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Revenues @ Q2 2022; raw=883,000</t>
        </r>
      </text>
    </comment>
    <comment ref="I22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Revenues @ Q3 2022; raw=964,000</t>
        </r>
      </text>
    </comment>
    <comment ref="J22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Revenues @ FY2022; raw=3,647,000</t>
        </r>
      </text>
    </comment>
    <comment ref="K22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Revenues @ Q1 2023; raw=1,258,000</t>
        </r>
      </text>
    </comment>
    <comment ref="L22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Revenues @ Q2 2023; raw=1,606,000</t>
        </r>
      </text>
    </comment>
    <comment ref="M22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Revenues @ Q3 2023; raw=1,247,000</t>
        </r>
      </text>
    </comment>
    <comment ref="O22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RevenueFromContractWithCustomerExcludingAssessedTax @ Q1 2024; raw=675,000</t>
        </r>
      </text>
    </comment>
    <comment ref="N25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NoncurrentAssets @ FY2023; raw=24,316,000</t>
        </r>
      </text>
    </comment>
    <comment ref="P25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NoncurrentAssets @ Q2 2024; raw=34,894,000</t>
        </r>
      </text>
    </comment>
    <comment ref="Q25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NoncurrentAssets @ Q3 2024; raw=37,023,000</t>
        </r>
      </text>
    </comment>
    <comment ref="R25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NoncurrentAssets @ FY2024; raw=72,115,000</t>
        </r>
      </text>
    </comment>
    <comment ref="S25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NoncurrentAssets @ Q1 2025; raw=73,023,000</t>
        </r>
      </text>
    </comment>
    <comment ref="T25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NoncurrentAssets @ Q2 2025; raw=190,854,000</t>
        </r>
      </text>
    </comment>
    <comment ref="U25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NoncurrentAssets @ Q3 2025; raw=197,635,000</t>
        </r>
      </text>
    </comment>
    <comment ref="V25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NoncurrentAssets @ FY2025; raw=197,866,000</t>
        </r>
      </text>
    </comment>
    <comment ref="W25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NoncurrentAssets @ Q1 2026; raw=202,300,000</t>
        </r>
      </text>
    </comment>
    <comment ref="N26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NoncurrentAssets @ FY2023; raw=2,212,000</t>
        </r>
      </text>
    </comment>
    <comment ref="P26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NoncurrentAssets @ Q2 2024; raw=2,550,000</t>
        </r>
      </text>
    </comment>
    <comment ref="Q26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NoncurrentAssets @ Q3 2024; raw=2,663,000</t>
        </r>
      </text>
    </comment>
    <comment ref="R26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NoncurrentAssets @ FY2024; raw=2,523,000</t>
        </r>
      </text>
    </comment>
    <comment ref="S26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NoncurrentAssets @ Q1 2025; raw=3,744,000</t>
        </r>
      </text>
    </comment>
    <comment ref="T26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NoncurrentAssets @ Q2 2025; raw=4,057,000</t>
        </r>
      </text>
    </comment>
    <comment ref="U26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NoncurrentAssets @ Q3 2025; raw=4,441,000</t>
        </r>
      </text>
    </comment>
    <comment ref="V26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NoncurrentAssets @ FY2025; raw=4,635,000</t>
        </r>
      </text>
    </comment>
    <comment ref="R2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NoncurrentAssets @ FY2024; raw=17,101,000</t>
        </r>
      </text>
    </comment>
    <comment ref="S2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NoncurrentAssets @ Q1 2025; raw=18,708,000</t>
        </r>
      </text>
    </comment>
    <comment ref="T2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NoncurrentAssets @ Q2 2025; raw=19,759,000</t>
        </r>
      </text>
    </comment>
    <comment ref="U2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NoncurrentAssets @ Q3 2025; raw=20,201,000</t>
        </r>
      </text>
    </comment>
    <comment ref="V2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NoncurrentAssets @ FY2025; raw=20,263,000</t>
        </r>
      </text>
    </comment>
    <comment ref="N28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NoncurrentAssets @ FY2023; raw=12,153,000</t>
        </r>
      </text>
    </comment>
    <comment ref="P28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NoncurrentAssets @ Q2 2024; raw=11,591,000</t>
        </r>
      </text>
    </comment>
    <comment ref="Q28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NoncurrentAssets @ Q3 2024; raw=11,930,000</t>
        </r>
      </text>
    </comment>
    <comment ref="R28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NoncurrentAssets @ FY2024; raw=10,950,000</t>
        </r>
      </text>
    </comment>
    <comment ref="S28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NoncurrentAssets @ Q1 2025; raw=11,261,000</t>
        </r>
      </text>
    </comment>
    <comment ref="T28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NoncurrentAssets @ Q2 2025; raw=12,030,000</t>
        </r>
      </text>
    </comment>
    <comment ref="U28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NoncurrentAssets @ Q3 2025; raw=12,133,000</t>
        </r>
      </text>
    </comment>
    <comment ref="V28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NoncurrentAssets @ FY2025; raw=12,004,000</t>
        </r>
      </text>
    </comment>
    <comment ref="N29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NoncurrentAssets @ FY2023; raw=14,394,000</t>
        </r>
      </text>
    </comment>
    <comment ref="P29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NoncurrentAssets @ Q2 2024; raw=14,171,000</t>
        </r>
      </text>
    </comment>
    <comment ref="Q29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NoncurrentAssets @ Q3 2024; raw=18,477,000</t>
        </r>
      </text>
    </comment>
    <comment ref="R29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NoncurrentAssets @ FY2024; raw=17,101,000</t>
        </r>
      </text>
    </comment>
    <comment ref="N30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NoncurrentAssets @ FY2023; raw=29,000</t>
        </r>
      </text>
    </comment>
    <comment ref="P30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NoncurrentAssets @ Q2 2024; raw=30,000</t>
        </r>
      </text>
    </comment>
    <comment ref="Q30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NoncurrentAssets @ Q3 2024; raw=30,000</t>
        </r>
      </text>
    </comment>
    <comment ref="R30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NoncurrentAssets @ FY2024; raw=29,000</t>
        </r>
      </text>
    </comment>
    <comment ref="S30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NoncurrentAssets @ Q1 2025; raw=30,000</t>
        </r>
      </text>
    </comment>
    <comment ref="T30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NoncurrentAssets @ Q2 2025; raw=29,000</t>
        </r>
      </text>
    </comment>
    <comment ref="U30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NoncurrentAssets @ Q3 2025; raw=29,000</t>
        </r>
      </text>
    </comment>
    <comment ref="V30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NoncurrentAssets @ FY2025; raw=29,000</t>
        </r>
      </text>
    </comment>
    <comment ref="V31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NoncurrentAssets @ FY2025; raw=20,300,000</t>
        </r>
      </text>
    </comment>
    <comment ref="W31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NoncurrentAssets @ Q1 2026; raw=21,100,000</t>
        </r>
      </text>
    </comment>
    <comment ref="Q32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NoncurrentAssets @ Q3 2024; raw=3,854,000</t>
        </r>
      </text>
    </comment>
    <comment ref="R32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NoncurrentAssets @ FY2024; raw=3,599,000</t>
        </r>
      </text>
    </comment>
    <comment ref="S32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NoncurrentAssets @ Q1 2025; raw=3,673,000</t>
        </r>
      </text>
    </comment>
    <comment ref="T32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NoncurrentAssets @ Q2 2025; raw=3,643,000</t>
        </r>
      </text>
    </comment>
    <comment ref="U32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NoncurrentAssets @ Q3 2025; raw=3,598,000</t>
        </r>
      </text>
    </comment>
    <comment ref="V32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NoncurrentAssets @ FY2025; raw=3,595,000</t>
        </r>
      </text>
    </comment>
    <comment ref="B39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D39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raw=0</t>
        </r>
      </text>
    </comment>
    <comment ref="E39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39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raw=1</t>
        </r>
      </text>
    </comment>
    <comment ref="G39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raw=1</t>
        </r>
      </text>
    </comment>
    <comment ref="H39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raw=1</t>
        </r>
      </text>
    </comment>
    <comment ref="I39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raw=1</t>
        </r>
      </text>
    </comment>
    <comment ref="J39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raw=1</t>
        </r>
      </text>
    </comment>
    <comment ref="K39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raw=1</t>
        </r>
      </text>
    </comment>
    <comment ref="L39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39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raw=1</t>
        </r>
      </text>
    </comment>
    <comment ref="N39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raw=1</t>
        </r>
      </text>
    </comment>
    <comment ref="O39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raw=0</t>
        </r>
      </text>
    </comment>
    <comment ref="P39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39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39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raw=1</t>
        </r>
      </text>
    </comment>
    <comment ref="B40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raw=1</t>
        </r>
      </text>
    </comment>
    <comment ref="C40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ConcentrationRiskPercentage1 @ Q2 2022; raw=1</t>
        </r>
      </text>
    </comment>
    <comment ref="D40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raw=1</t>
        </r>
      </text>
    </comment>
    <comment ref="E40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0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G40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raw=0</t>
        </r>
      </text>
    </comment>
    <comment ref="H40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0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0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K40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raw=0</t>
        </r>
      </text>
    </comment>
    <comment ref="L40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0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0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O40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raw=1</t>
        </r>
      </text>
    </comment>
    <comment ref="P40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40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40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B41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C41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ConcentrationRiskPercentage1 @ Q2 2022; raw=0</t>
        </r>
      </text>
    </comment>
    <comment ref="D41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ConcentrationRiskPercentage1 @ Q3 2022; raw=0</t>
        </r>
      </text>
    </comment>
    <comment ref="E41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1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G41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ConcentrationRiskPercentage1 @ Q2 2023; raw=0</t>
        </r>
      </text>
    </comment>
    <comment ref="H41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1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1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K41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ConcentrationRiskPercentage1 @ Q2 2024; raw=0</t>
        </r>
      </text>
    </comment>
    <comment ref="L41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1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1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O41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ConcentrationRiskPercentage1 @ Q2 2025; raw=0</t>
        </r>
      </text>
    </comment>
    <comment ref="P41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Q41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ConcentrationRiskPercentage1 @ FY2025; raw=0</t>
        </r>
      </text>
    </comment>
    <comment ref="R41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B42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ConcentrationRiskPercentage1 @ Q1 2022; raw=0</t>
        </r>
      </text>
    </comment>
    <comment ref="E42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ConcentrationRiskPercentage1 @ FY2022; raw=0</t>
        </r>
      </text>
    </comment>
    <comment ref="F42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ConcentrationRiskPercentage1 @ Q1 2023; raw=0</t>
        </r>
      </text>
    </comment>
    <comment ref="H42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ConcentrationRiskPercentage1 @ Q3 2023; raw=0</t>
        </r>
      </text>
    </comment>
    <comment ref="I42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ConcentrationRiskPercentage1 @ FY2023; raw=0</t>
        </r>
      </text>
    </comment>
    <comment ref="J42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ConcentrationRiskPercentage1 @ Q1 2024; raw=0</t>
        </r>
      </text>
    </comment>
    <comment ref="L42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ConcentrationRiskPercentage1 @ Q3 2024; raw=0</t>
        </r>
      </text>
    </comment>
    <comment ref="M42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ConcentrationRiskPercentage1 @ FY2024; raw=0</t>
        </r>
      </text>
    </comment>
    <comment ref="N42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ConcentrationRiskPercentage1 @ Q1 2025; raw=0</t>
        </r>
      </text>
    </comment>
    <comment ref="P42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ConcentrationRiskPercentage1 @ Q3 2025; raw=0</t>
        </r>
      </text>
    </comment>
    <comment ref="R42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ConcentrationRiskPercentage1 @ Q1 2026; raw=0</t>
        </r>
      </text>
    </comment>
    <comment ref="C49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BusinessAcquisitionsProFormaRevenue @ Q3 2024; raw=513,912,000</t>
        </r>
      </text>
    </comment>
    <comment ref="D49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BusinessAcquisitionsProFormaRevenue @ FY2024; raw=2,317,965,000</t>
        </r>
      </text>
    </comment>
    <comment ref="E49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BusinessAcquisitionsProFormaRevenue @ Q1 2025; raw=647,397,000</t>
        </r>
      </text>
    </comment>
    <comment ref="G49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BusinessAcquisitionsProFormaRevenue @ Q3 2025; raw=798,496,000</t>
        </r>
      </text>
    </comment>
    <comment ref="H49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BusinessAcquisitionsProFormaRevenue @ FY2025; raw=3,003,677,000</t>
        </r>
      </text>
    </comment>
    <comment ref="I49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BusinessAcquisitionsProFormaRevenue @ Q1 2026; raw=782,615,000</t>
        </r>
      </text>
    </comment>
    <comment ref="B50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BusinessAcquisitionsProFormaRevenue @ Q2 2024; raw=547,650,000</t>
        </r>
      </text>
    </comment>
    <comment ref="F50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BusinessAcquisitionsProFormaRevenue @ Q2 2025; raw=739,259,000</t>
        </r>
      </text>
    </comment>
    <comment ref="C53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Q3 2024; raw=17,015,000</t>
        </r>
      </text>
    </comment>
    <comment ref="D53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FY2024; raw=147,638,000</t>
        </r>
      </text>
    </comment>
    <comment ref="E53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Q1 2025; raw=98,690,000</t>
        </r>
      </text>
    </comment>
    <comment ref="G53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Q3 2025; raw=-51,019,000</t>
        </r>
      </text>
    </comment>
    <comment ref="H53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FY2025; raw=218,748,000</t>
        </r>
      </text>
    </comment>
    <comment ref="I53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Q1 2026; raw=110,099,000</t>
        </r>
      </text>
    </comment>
    <comment ref="B54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Q2 2024; raw=70,659,000</t>
        </r>
      </text>
    </comment>
    <comment ref="F54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BusinessAcquisitionsProFormaNetIncomeLoss @ Q2 2025; raw=116,424,000</t>
        </r>
      </text>
    </comment>
    <comment ref="E57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Q1 2025; raw=1,775,000,000</t>
        </r>
      </text>
    </comment>
    <comment ref="F57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Q2 2025; raw=2,055,589,000</t>
        </r>
      </text>
    </comment>
    <comment ref="G58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BusinessCombinationConsiderationTransferred1 @ Q3 2025; raw=307,603,000</t>
        </r>
      </text>
    </comment>
    <comment ref="D65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DebtInstrumentCarryingAmount @ Q4 2025; raw=700,000,000</t>
        </r>
      </text>
    </comment>
    <comment ref="B68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Q2 2025; raw=0</t>
        </r>
      </text>
    </comment>
    <comment ref="C68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Q3 2025; raw=0</t>
        </r>
      </text>
    </comment>
    <comment ref="E68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FY2025; raw=0</t>
        </r>
      </text>
    </comment>
    <comment ref="F68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DebtInstrumentInterestRateEffectivePercentage @ Q1 2026; raw=0</t>
        </r>
      </text>
    </comment>
    <comment ref="F7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FY2022; raw=25</t>
        </r>
      </text>
    </comment>
    <comment ref="F76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FY2022; raw=22</t>
        </r>
      </text>
    </comment>
    <comment ref="H76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ShareBasedCompensationArrangementByShareBasedPaymentAwardEquityInstrumentsOtherThanOptionsGrantsInPeriodWeightedAverageGrantDateFairValue @ FY2023; raw=33</t>
        </r>
      </text>
    </comment>
    <comment ref="I79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raw=275,000</t>
        </r>
      </text>
    </comment>
    <comment ref="J79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raw=552,000</t>
        </r>
      </text>
    </comment>
    <comment ref="K79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2025; raw=1,074,000</t>
        </r>
      </text>
    </comment>
    <comment ref="L79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FY2025; raw=1,628,000</t>
        </r>
      </text>
    </comment>
    <comment ref="M79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2026; raw=805,000</t>
        </r>
      </text>
    </comment>
    <comment ref="C80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2021; raw=468,000</t>
        </r>
      </text>
    </comment>
    <comment ref="D80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raw=573,428</t>
        </r>
      </text>
    </comment>
    <comment ref="E80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2022; raw=189,000</t>
        </r>
      </text>
    </comment>
    <comment ref="F80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FY2022; raw=248</t>
        </r>
      </text>
    </comment>
    <comment ref="G80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2023; raw=124,000</t>
        </r>
      </text>
    </comment>
    <comment ref="H80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FY2023; raw=468,000</t>
        </r>
      </text>
    </comment>
    <comment ref="I80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raw=210,000</t>
        </r>
      </text>
    </comment>
    <comment ref="J80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raw=377,000</t>
        </r>
      </text>
    </comment>
    <comment ref="D81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raw=15</t>
        </r>
      </text>
    </comment>
    <comment ref="F81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FY2022; raw=76</t>
        </r>
      </text>
    </comment>
    <comment ref="I81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2024; raw=65,000</t>
        </r>
      </text>
    </comment>
    <comment ref="J81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FY2024; raw=175,000</t>
        </r>
      </text>
    </comment>
    <comment ref="K81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2025; raw=142,000</t>
        </r>
      </text>
    </comment>
    <comment ref="L81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FY2025; raw=142,000</t>
        </r>
      </text>
    </comment>
    <comment ref="M81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Q1 2026; raw=67,000</t>
        </r>
      </text>
    </comment>
    <comment ref="B82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FY2020; raw=175,737</t>
        </r>
      </text>
    </comment>
    <comment ref="D83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ShareBasedCompensationArrangementByShareBasedPaymentAwardEquityInstrumentsOtherThanOptionsGrantsInPeriod @ FY2021; raw=15,468</t>
        </r>
      </text>
    </comment>
    <comment ref="I86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2024; raw=510,000</t>
        </r>
      </text>
    </comment>
    <comment ref="J86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raw=803,000</t>
        </r>
      </text>
    </comment>
    <comment ref="K86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2025; raw=249,000</t>
        </r>
      </text>
    </comment>
    <comment ref="L86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FY2025; raw=470,000</t>
        </r>
      </text>
    </comment>
    <comment ref="M86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2026; raw=478,000</t>
        </r>
      </text>
    </comment>
    <comment ref="D87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FY2021; raw=18,758</t>
        </r>
      </text>
    </comment>
    <comment ref="E87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2022; raw=111,000</t>
        </r>
      </text>
    </comment>
    <comment ref="F87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FY2022; raw=205</t>
        </r>
      </text>
    </comment>
    <comment ref="G87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2023; raw=157,000</t>
        </r>
      </text>
    </comment>
    <comment ref="H87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FY2023; raw=670,000</t>
        </r>
      </text>
    </comment>
    <comment ref="I87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Q1 2024; raw=510,000</t>
        </r>
      </text>
    </comment>
    <comment ref="J87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raw=715,000</t>
        </r>
      </text>
    </comment>
    <comment ref="F88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FY2022; raw=15</t>
        </r>
      </text>
    </comment>
    <comment ref="H88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FY2023; raw=92,000</t>
        </r>
      </text>
    </comment>
    <comment ref="J88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FY2024; raw=78,000</t>
        </r>
      </text>
    </comment>
    <comment ref="B89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FY2020; raw=170,145</t>
        </r>
      </text>
    </comment>
    <comment ref="D89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ShareBasedCompensationArrangementByShareBasedPaymentAwardEquityInstrumentsOtherThanOptionsVestedInPeriod @ FY2021; raw=18,913</t>
        </r>
      </text>
    </comment>
    <comment ref="B96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raw=394,418</t>
        </r>
      </text>
    </comment>
    <comment ref="C96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raw=3,051,938</t>
        </r>
      </text>
    </comment>
    <comment ref="D96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raw=3,561,000</t>
        </r>
      </text>
    </comment>
    <comment ref="E96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raw=4,944,000</t>
        </r>
      </text>
    </comment>
    <comment ref="F96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raw=5,505,000</t>
        </r>
      </text>
    </comment>
    <comment ref="G96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raw=9,885,000</t>
        </r>
      </text>
    </comment>
    <comment ref="H96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raw=11,848,000</t>
        </r>
      </text>
    </comment>
    <comment ref="I96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raw=14,962,000</t>
        </r>
      </text>
    </comment>
    <comment ref="J96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raw=18,703,000</t>
        </r>
      </text>
    </comment>
    <comment ref="K96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raw=21,908,000</t>
        </r>
      </text>
    </comment>
    <comment ref="L96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raw=26,110,000</t>
        </r>
      </text>
    </comment>
    <comment ref="M96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raw=34,844,000</t>
        </r>
      </text>
    </comment>
    <comment ref="N96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raw=36,573,000</t>
        </r>
      </text>
    </comment>
    <comment ref="O96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raw=39,231,000</t>
        </r>
      </text>
    </comment>
    <comment ref="P96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raw=43,441,000</t>
        </r>
      </text>
    </comment>
    <comment ref="Q96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raw=52,892,000</t>
        </r>
      </text>
    </comment>
    <comment ref="R96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raw=57,158,000</t>
        </r>
      </text>
    </comment>
    <comment ref="S96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raw=60,615,000</t>
        </r>
      </text>
    </comment>
    <comment ref="B97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raw=78,124</t>
        </r>
      </text>
    </comment>
    <comment ref="C97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raw=304,210</t>
        </r>
      </text>
    </comment>
    <comment ref="D97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raw=456,000</t>
        </r>
      </text>
    </comment>
    <comment ref="E97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raw=739,000</t>
        </r>
      </text>
    </comment>
    <comment ref="F97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raw=1,013,000</t>
        </r>
      </text>
    </comment>
    <comment ref="G97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raw=1,257,000</t>
        </r>
      </text>
    </comment>
    <comment ref="H97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raw=1,524,000</t>
        </r>
      </text>
    </comment>
    <comment ref="I97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raw=2,596,000</t>
        </r>
      </text>
    </comment>
    <comment ref="J97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raw=4,617,000</t>
        </r>
      </text>
    </comment>
    <comment ref="K97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raw=6,143,000</t>
        </r>
      </text>
    </comment>
    <comment ref="L97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raw=6,294,000</t>
        </r>
      </text>
    </comment>
    <comment ref="M97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raw=6,687,000</t>
        </r>
      </text>
    </comment>
    <comment ref="N97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raw=9,070,000</t>
        </r>
      </text>
    </comment>
    <comment ref="O97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raw=12,237,000</t>
        </r>
      </text>
    </comment>
    <comment ref="P97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raw=12,237,000</t>
        </r>
      </text>
    </comment>
    <comment ref="Q97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raw=14,828,000</t>
        </r>
      </text>
    </comment>
    <comment ref="R97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raw=14,919,000</t>
        </r>
      </text>
    </comment>
    <comment ref="S97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raw=17,501,000</t>
        </r>
      </text>
    </comment>
    <comment ref="O98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raw=10,136,000</t>
        </r>
      </text>
    </comment>
    <comment ref="P98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raw=11,683,000</t>
        </r>
      </text>
    </comment>
    <comment ref="Q98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raw=16,585,000</t>
        </r>
      </text>
    </comment>
    <comment ref="R98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raw=22,430,000</t>
        </r>
      </text>
    </comment>
    <comment ref="S98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raw=14,631,000</t>
        </r>
      </text>
    </comment>
    <comment ref="B99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PropertyPlantAndEquipmentGross @ FY2020; raw=630,759</t>
        </r>
      </text>
    </comment>
    <comment ref="C99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PropertyPlantAndEquipmentGross @ FY2021; raw=890,695</t>
        </r>
      </text>
    </comment>
    <comment ref="D99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PropertyPlantAndEquipmentGross @ Q1 2022; raw=968,000</t>
        </r>
      </text>
    </comment>
    <comment ref="E99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PropertyPlantAndEquipmentGross @ Q2 2022; raw=996,000</t>
        </r>
      </text>
    </comment>
    <comment ref="F99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PropertyPlantAndEquipmentGross @ Q3 2022; raw=1,177,000</t>
        </r>
      </text>
    </comment>
    <comment ref="G99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PropertyPlantAndEquipmentGross @ FY2022; raw=1,124,000</t>
        </r>
      </text>
    </comment>
    <comment ref="H99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PropertyPlantAndEquipmentGross @ Q1 2023; raw=1,158,000</t>
        </r>
      </text>
    </comment>
    <comment ref="I99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PropertyPlantAndEquipmentGross @ Q2 2023; raw=1,286,000</t>
        </r>
      </text>
    </comment>
    <comment ref="J99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PropertyPlantAndEquipmentGross @ Q3 2023; raw=1,399,000</t>
        </r>
      </text>
    </comment>
    <comment ref="K99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PropertyPlantAndEquipmentGross @ FY2023; raw=1,467,000</t>
        </r>
      </text>
    </comment>
    <comment ref="L99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PropertyPlantAndEquipmentGross @ Q1 2024; raw=1,571,000</t>
        </r>
      </text>
    </comment>
    <comment ref="M99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PropertyPlantAndEquipmentGross @ Q2 2024; raw=1,623,000</t>
        </r>
      </text>
    </comment>
    <comment ref="N99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PropertyPlantAndEquipmentGross @ Q3 2024; raw=1,632,000</t>
        </r>
      </text>
    </comment>
    <comment ref="O99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raw=2,228,000</t>
        </r>
      </text>
    </comment>
    <comment ref="P99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raw=1,681,000</t>
        </r>
      </text>
    </comment>
    <comment ref="Q99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raw=1,846,000</t>
        </r>
      </text>
    </comment>
    <comment ref="R99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raw=2,880,000</t>
        </r>
      </text>
    </comment>
    <comment ref="S99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raw=3,570,000</t>
        </r>
      </text>
    </comment>
    <comment ref="O100" authorId="0" shapeId="0" xr:uid="{00000000-0006-0000-0000-000070010000}">
      <text>
        <r>
          <rPr>
            <sz val="11"/>
            <color theme="1"/>
            <rFont val="Calibri"/>
            <family val="2"/>
            <scheme val="minor"/>
          </rPr>
          <t>PropertyPlantAndEquipmentGross @ FY2024; raw=2,561,000</t>
        </r>
      </text>
    </comment>
    <comment ref="P100" authorId="0" shapeId="0" xr:uid="{00000000-0006-0000-0000-000071010000}">
      <text>
        <r>
          <rPr>
            <sz val="11"/>
            <color theme="1"/>
            <rFont val="Calibri"/>
            <family val="2"/>
            <scheme val="minor"/>
          </rPr>
          <t>PropertyPlantAndEquipmentGross @ Q1 2025; raw=2,375,000</t>
        </r>
      </text>
    </comment>
    <comment ref="Q100" authorId="0" shapeId="0" xr:uid="{00000000-0006-0000-0000-000072010000}">
      <text>
        <r>
          <rPr>
            <sz val="11"/>
            <color theme="1"/>
            <rFont val="Calibri"/>
            <family val="2"/>
            <scheme val="minor"/>
          </rPr>
          <t>PropertyPlantAndEquipmentGross @ Q2 2025; raw=2,439,000</t>
        </r>
      </text>
    </comment>
    <comment ref="R100" authorId="0" shapeId="0" xr:uid="{00000000-0006-0000-0000-000073010000}">
      <text>
        <r>
          <rPr>
            <sz val="11"/>
            <color theme="1"/>
            <rFont val="Calibri"/>
            <family val="2"/>
            <scheme val="minor"/>
          </rPr>
          <t>PropertyPlantAndEquipmentGross @ Q3 2025; raw=2,443,000</t>
        </r>
      </text>
    </comment>
    <comment ref="S100" authorId="0" shapeId="0" xr:uid="{00000000-0006-0000-0000-000074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raw=2,523,000</t>
        </r>
      </text>
    </comment>
    <comment ref="S101" authorId="0" shapeId="0" xr:uid="{00000000-0006-0000-0000-000075010000}">
      <text>
        <r>
          <rPr>
            <sz val="11"/>
            <color theme="1"/>
            <rFont val="Calibri"/>
            <family val="2"/>
            <scheme val="minor"/>
          </rPr>
          <t>PropertyPlantAndEquipmentGross @ FY2025; raw=11,187,000</t>
        </r>
      </text>
    </comment>
    <comment ref="B108" authorId="0" shapeId="0" xr:uid="{00000000-0006-0000-0000-000076010000}">
      <text>
        <r>
          <rPr>
            <sz val="11"/>
            <color theme="1"/>
            <rFont val="Calibri"/>
            <family val="2"/>
            <scheme val="minor"/>
          </rPr>
          <t>FiniteLivedIntangibleAssetsGross @ FY2024; raw=13,970,000</t>
        </r>
      </text>
    </comment>
    <comment ref="C108" authorId="0" shapeId="0" xr:uid="{00000000-0006-0000-0000-000077010000}">
      <text>
        <r>
          <rPr>
            <sz val="11"/>
            <color theme="1"/>
            <rFont val="Calibri"/>
            <family val="2"/>
            <scheme val="minor"/>
          </rPr>
          <t>FiniteLivedIntangibleAssetsGross @ Q2 2025; raw=126,644,000</t>
        </r>
      </text>
    </comment>
    <comment ref="D108" authorId="0" shapeId="0" xr:uid="{00000000-0006-0000-0000-000078010000}">
      <text>
        <r>
          <rPr>
            <sz val="11"/>
            <color theme="1"/>
            <rFont val="Calibri"/>
            <family val="2"/>
            <scheme val="minor"/>
          </rPr>
          <t>FiniteLivedIntangibleAssetsGross @ Q3 2025; raw=132,171,000</t>
        </r>
      </text>
    </comment>
    <comment ref="E108" authorId="0" shapeId="0" xr:uid="{00000000-0006-0000-0000-000079010000}">
      <text>
        <r>
          <rPr>
            <sz val="11"/>
            <color theme="1"/>
            <rFont val="Calibri"/>
            <family val="2"/>
            <scheme val="minor"/>
          </rPr>
          <t>FiniteLivedIntangibleAssetsGross @ FY2025; raw=132,183,000</t>
        </r>
      </text>
    </comment>
    <comment ref="F108" authorId="0" shapeId="0" xr:uid="{00000000-0006-0000-0000-00007A010000}">
      <text>
        <r>
          <rPr>
            <sz val="11"/>
            <color theme="1"/>
            <rFont val="Calibri"/>
            <family val="2"/>
            <scheme val="minor"/>
          </rPr>
          <t>FiniteLivedIntangibleAssetsGross @ Q1 2026; raw=131,865,000</t>
        </r>
      </text>
    </comment>
    <comment ref="B109" authorId="0" shapeId="0" xr:uid="{00000000-0006-0000-0000-00007B010000}">
      <text>
        <r>
          <rPr>
            <sz val="11"/>
            <color theme="1"/>
            <rFont val="Calibri"/>
            <family val="2"/>
            <scheme val="minor"/>
          </rPr>
          <t>FiniteLivedIntangibleAssetsGross @ FY2024; raw=500,000</t>
        </r>
      </text>
    </comment>
    <comment ref="C109" authorId="0" shapeId="0" xr:uid="{00000000-0006-0000-0000-00007C010000}">
      <text>
        <r>
          <rPr>
            <sz val="11"/>
            <color theme="1"/>
            <rFont val="Calibri"/>
            <family val="2"/>
            <scheme val="minor"/>
          </rPr>
          <t>FiniteLivedIntangibleAssetsGross @ Q2 2025; raw=500,000</t>
        </r>
      </text>
    </comment>
    <comment ref="D109" authorId="0" shapeId="0" xr:uid="{00000000-0006-0000-0000-00007D010000}">
      <text>
        <r>
          <rPr>
            <sz val="11"/>
            <color theme="1"/>
            <rFont val="Calibri"/>
            <family val="2"/>
            <scheme val="minor"/>
          </rPr>
          <t>FiniteLivedIntangibleAssetsGross @ Q3 2025; raw=500,000</t>
        </r>
      </text>
    </comment>
    <comment ref="E109" authorId="0" shapeId="0" xr:uid="{00000000-0006-0000-0000-00007E010000}">
      <text>
        <r>
          <rPr>
            <sz val="11"/>
            <color theme="1"/>
            <rFont val="Calibri"/>
            <family val="2"/>
            <scheme val="minor"/>
          </rPr>
          <t>FiniteLivedIntangibleAssetsGross @ FY2025; raw=500,000</t>
        </r>
      </text>
    </comment>
    <comment ref="F109" authorId="0" shapeId="0" xr:uid="{00000000-0006-0000-0000-00007F010000}">
      <text>
        <r>
          <rPr>
            <sz val="11"/>
            <color theme="1"/>
            <rFont val="Calibri"/>
            <family val="2"/>
            <scheme val="minor"/>
          </rPr>
          <t>FiniteLivedIntangibleAssetsGross @ Q1 2026; raw=500,000</t>
        </r>
      </text>
    </comment>
  </commentList>
</comments>
</file>

<file path=xl/sharedStrings.xml><?xml version="1.0" encoding="utf-8"?>
<sst xmlns="http://schemas.openxmlformats.org/spreadsheetml/2006/main" count="281" uniqueCount="160">
  <si>
    <t>CELH -- Structural Disclosure Tables</t>
  </si>
  <si>
    <t>Source: CELH 10-K + 10-Q iXBRL filings. Axis-driven extraction. $ in filer's reporting unit.</t>
  </si>
  <si>
    <t>1. SEGMENT P&amp;L  ($ in thousands)</t>
  </si>
  <si>
    <t>Metric / Segment</t>
  </si>
  <si>
    <t>FY2022</t>
  </si>
  <si>
    <t>FY2023</t>
  </si>
  <si>
    <t>Q1 2024</t>
  </si>
  <si>
    <t>Q2 2024</t>
  </si>
  <si>
    <t>Q3 2024</t>
  </si>
  <si>
    <t>FY2024</t>
  </si>
  <si>
    <t>Q1 2025</t>
  </si>
  <si>
    <t>Q2 2025</t>
  </si>
  <si>
    <t>Q3 2025</t>
  </si>
  <si>
    <t>FY2025</t>
  </si>
  <si>
    <t>Q1 2026</t>
  </si>
  <si>
    <t>Revenue</t>
  </si>
  <si>
    <t xml:space="preserve">  Celsius (single segment)</t>
  </si>
  <si>
    <t>Operating Income</t>
  </si>
  <si>
    <t>2. GEOGRAPHY (REVENUE + LONG-LIVED ASSETS)  ($ in thousands)</t>
  </si>
  <si>
    <t>FY2020</t>
  </si>
  <si>
    <t>Q1 2021</t>
  </si>
  <si>
    <t>Q2 2021</t>
  </si>
  <si>
    <t>Q3 2021</t>
  </si>
  <si>
    <t>FY2021</t>
  </si>
  <si>
    <t>Q1 2022</t>
  </si>
  <si>
    <t>Q2 2022</t>
  </si>
  <si>
    <t>Q3 2022</t>
  </si>
  <si>
    <t>Q1 2023</t>
  </si>
  <si>
    <t>Q2 2023</t>
  </si>
  <si>
    <t>Q3 2023</t>
  </si>
  <si>
    <t xml:space="preserve">  North America</t>
  </si>
  <si>
    <t xml:space="preserve">  Europe</t>
  </si>
  <si>
    <t xml:space="preserve">  Sweden</t>
  </si>
  <si>
    <t xml:space="preserve">  Asia Pacific</t>
  </si>
  <si>
    <t xml:space="preserve">  Other (geography)</t>
  </si>
  <si>
    <t xml:space="preserve">  Asia</t>
  </si>
  <si>
    <t>Long-Lived Assets</t>
  </si>
  <si>
    <t xml:space="preserve">  Foreign Ops (ex-IE/SE/FI)</t>
  </si>
  <si>
    <t xml:space="preserve">  Finland</t>
  </si>
  <si>
    <t xml:space="preserve">  International (ex-NA)</t>
  </si>
  <si>
    <t xml:space="preserve">  Non-North America (rolled up)</t>
  </si>
  <si>
    <t xml:space="preserve">  Ireland</t>
  </si>
  <si>
    <t>25. CUSTOMER CONCENTRATION (% OF REVENUE)  (% values)</t>
  </si>
  <si>
    <t>% of Revenue</t>
  </si>
  <si>
    <t xml:space="preserve">  PepsiCo Inc.</t>
  </si>
  <si>
    <t xml:space="preserve">  All Other</t>
  </si>
  <si>
    <t xml:space="preserve">  Costco</t>
  </si>
  <si>
    <t xml:space="preserve">  Amazon</t>
  </si>
  <si>
    <t>3. M&amp;A PRO FORMA + ACQUISITION CONTRIBUTION  ($ in thousands)</t>
  </si>
  <si>
    <t>Pro Forma Revenue</t>
  </si>
  <si>
    <t xml:space="preserve">  Alani Nu + Rockstar (combined)</t>
  </si>
  <si>
    <t xml:space="preserve">  Alani Nu</t>
  </si>
  <si>
    <t>Pro Forma Net Income</t>
  </si>
  <si>
    <t>Purchase Price</t>
  </si>
  <si>
    <t xml:space="preserve">  Rockstar</t>
  </si>
  <si>
    <t>4. DEBT SCHEDULE  (mixed: $ in thousands, % / counts as labeled)</t>
  </si>
  <si>
    <t>Q4 2025</t>
  </si>
  <si>
    <t>Carrying Amount</t>
  </si>
  <si>
    <t xml:space="preserve">  Term Loan Facility</t>
  </si>
  <si>
    <t>Effective Rate</t>
  </si>
  <si>
    <t>5. STOCK-BASED COMPENSATION BY AWARD TYPE  (mixed: $ in thousands, % / counts as labeled)</t>
  </si>
  <si>
    <t>Wtd Avg Grant FV (per share)</t>
  </si>
  <si>
    <t xml:space="preserve">  RSUs</t>
  </si>
  <si>
    <t xml:space="preserve">  PSUs</t>
  </si>
  <si>
    <t>Shares Granted #</t>
  </si>
  <si>
    <t xml:space="preserve">  RSUs + PSUs (combined)</t>
  </si>
  <si>
    <t xml:space="preserve">  Restricted Stock</t>
  </si>
  <si>
    <t xml:space="preserve">  Non-Employee Consultant Awards</t>
  </si>
  <si>
    <t>Shares Vested #</t>
  </si>
  <si>
    <t>7. PP&amp;E BY CLASS  (mixed: $ in thousands, % / counts as labeled)</t>
  </si>
  <si>
    <t>Gross PP&amp;E</t>
  </si>
  <si>
    <t xml:space="preserve">  Merchandising Equipment / Coolers</t>
  </si>
  <si>
    <t xml:space="preserve">  Vehicles</t>
  </si>
  <si>
    <t xml:space="preserve">  Machinery &amp; Equipment</t>
  </si>
  <si>
    <t xml:space="preserve">  Office Equipment</t>
  </si>
  <si>
    <t xml:space="preserve">  Leasehold Improvements</t>
  </si>
  <si>
    <t xml:space="preserve">  Construction in Progress</t>
  </si>
  <si>
    <t>8. INTANGIBLES BY CLASS  (mixed: $ in thousands, % / counts as labeled)</t>
  </si>
  <si>
    <t>Gross</t>
  </si>
  <si>
    <t xml:space="preserve">  Customer Relationships</t>
  </si>
  <si>
    <t xml:space="preserve">  Brands</t>
  </si>
  <si>
    <t>X. FILER-SPECIFIC (NOT STANDARDIZED CROSS-TICKER)</t>
  </si>
  <si>
    <t>Hand-curated content from mda_narrative.json. Filer-specific by design.</t>
  </si>
  <si>
    <t>(empty — populate Ticker Libraries/{TICKER}/MDA and Other/mda_narrative.json)</t>
  </si>
  <si>
    <t>54% of Liquid Refresher Beverages coming out of energy</t>
  </si>
  <si>
    <t>85% of growth within energy is sugar free</t>
  </si>
  <si>
    <t>Convenience single consumption main driver of growth for both brands, especially alani</t>
  </si>
  <si>
    <t>Seeing growth from multiple segments / consumer categories hydration, coffee, premium water)</t>
  </si>
  <si>
    <t>Alani growth was 70-75% when acquired / before</t>
  </si>
  <si>
    <t>Continue using LTOs to drive growth and brand breadth</t>
  </si>
  <si>
    <t>Ton of upside for LTO used as toe in water for new flavor launches. Major growth point for Alani</t>
  </si>
  <si>
    <t>Alani growth in YTD period has MOSTLY been off the pepsi distribution system…Only a couple months on so far (LOOK INTO WHEN THEY GOT ON THE DISTRIBUTION SYSTEM)</t>
  </si>
  <si>
    <t>Expecting multiple LTOs for Celsius this year</t>
  </si>
  <si>
    <t>17% shelf space and 100 plus percent shelf space for Celsius and Alani (expected shelf space growth?)</t>
  </si>
  <si>
    <t>Sees a huge global opportunity and will see more activity in 3-5 years</t>
  </si>
  <si>
    <t>$25M in net inventory benefit from sell in from Alani. Often with LTO brands will recognize revenue when loaded onto pepsi distribution network</t>
  </si>
  <si>
    <t>expecting to stabilize inventory on pepsi network</t>
  </si>
  <si>
    <t>Can use scale to generate savings from aluminum cost increases related to inflation</t>
  </si>
  <si>
    <t>Consider Alani super premium brand</t>
  </si>
  <si>
    <t>CLEAR LINE OF SIGHT TO Mid 50% gross margins</t>
  </si>
  <si>
    <t>Generate material savings through scale and additional opportunity in freight lanes</t>
  </si>
  <si>
    <t>RGM  big opportunity with promotional pack strategy</t>
  </si>
  <si>
    <t>Built out second manufacturing line in their plant for scale</t>
  </si>
  <si>
    <t>Not expecting on slowing down sales and marketing</t>
  </si>
  <si>
    <t>Anticipating SG&amp;A in same 22-24% of revenue area</t>
  </si>
  <si>
    <t>Investing in International business is a strong capital allocaiton priority</t>
  </si>
  <si>
    <t>Looking to pay down about $700M in debt and spent about $40 million on sharebuybucks so have $260 million left on that</t>
  </si>
  <si>
    <t>UBS Global Consumer and Retail Conference</t>
  </si>
  <si>
    <t>Event</t>
  </si>
  <si>
    <t>Date</t>
  </si>
  <si>
    <t>Q4 2025 Earnings Call</t>
  </si>
  <si>
    <t>Rockstar</t>
  </si>
  <si>
    <t>4Q2025</t>
  </si>
  <si>
    <t>Net Sales</t>
  </si>
  <si>
    <t>Other Income</t>
  </si>
  <si>
    <t>Alani</t>
  </si>
  <si>
    <t>QoQ Growth</t>
  </si>
  <si>
    <t>4Q2024</t>
  </si>
  <si>
    <t>Triple digit growth first 6-8 weeks on Alani debut LTO</t>
  </si>
  <si>
    <t>Celsius</t>
  </si>
  <si>
    <t>GAAP Sales</t>
  </si>
  <si>
    <t>Scanner Data</t>
  </si>
  <si>
    <t>Cannibalization as Alani moves onto Pepsi network</t>
  </si>
  <si>
    <t>Yoy Growth</t>
  </si>
  <si>
    <t>CELSIUS</t>
  </si>
  <si>
    <t>Consolidated</t>
  </si>
  <si>
    <t>Sales &amp; Marketing</t>
  </si>
  <si>
    <t>Administrative</t>
  </si>
  <si>
    <t>Distributor Termenation Fee Adjustment</t>
  </si>
  <si>
    <t>Acquisition Cost Adjustment</t>
  </si>
  <si>
    <t>Adjusted EBITDA</t>
  </si>
  <si>
    <t>Celsius Space Gains 2026</t>
  </si>
  <si>
    <t>Driving GM growth through economies of scale / pricing on raw materials midwest aluminium - Analyze tarriff impact</t>
  </si>
  <si>
    <t>Alani Space Gains 2026</t>
  </si>
  <si>
    <t>Don't think alani is replacing brands but rather category is expanding materially in the subsegment that they serve</t>
  </si>
  <si>
    <t xml:space="preserve"> </t>
  </si>
  <si>
    <t>3Q25</t>
  </si>
  <si>
    <t>Retail Sales Growth</t>
  </si>
  <si>
    <t>Celsisus</t>
  </si>
  <si>
    <t xml:space="preserve">Combine Market Share of Portfolio </t>
  </si>
  <si>
    <t>YoY</t>
  </si>
  <si>
    <t>Growth</t>
  </si>
  <si>
    <t>Yoy</t>
  </si>
  <si>
    <t xml:space="preserve">Celsius Brand Scanner Growth </t>
  </si>
  <si>
    <t>Celsius Brand Revenue Growth</t>
  </si>
  <si>
    <t>YTD</t>
  </si>
  <si>
    <t>Celsius Revenue</t>
  </si>
  <si>
    <t>Alani was pretty much the rest</t>
  </si>
  <si>
    <t>Distributor Termination Fee</t>
  </si>
  <si>
    <t>Sales and Marketing (% sales)</t>
  </si>
  <si>
    <t>General and Aministrative (% sales)</t>
  </si>
  <si>
    <t>Yoy growth</t>
  </si>
  <si>
    <t>Quarter Debt reduction</t>
  </si>
  <si>
    <t>Interest Expense reduction</t>
  </si>
  <si>
    <t>4Q25 Forecast</t>
  </si>
  <si>
    <t>23-25%</t>
  </si>
  <si>
    <t>Supply chain not optimized with new Alani integration. Need to optimize co-packing facilities, procurement logistics, greight lanes etc.</t>
  </si>
  <si>
    <t>Basically margin drag on integration of new product lines</t>
  </si>
  <si>
    <t>Expecting margin improvements from Rockstar in 1H26</t>
  </si>
  <si>
    <t>Plan on leaning into international further 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</si>
</sst>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5" formatCode="&quot;$&quot;#,##0_);\(&quot;$&quot;#,##0\)"/>
    <numFmt numFmtId="7" formatCode="&quot;$&quot;#,##0.00_);\(&quot;$&quot;#,##0.00\)"/>
    <numFmt numFmtId="164" formatCode="#,##0;\(#,##0\);&quot;--&quot;"/>
    <numFmt numFmtId="165" formatCode="0.0%;\(0.0%\);&quot;--&quot;"/>
    <numFmt numFmtId="166" formatCode="\$#,##0.00;\(\$#,##0.00\);&quot;--&quot;"/>
    <numFmt numFmtId="167" formatCode="&quot;$&quot;#,##0"/>
    <numFmt numFmtId="172" formatCode="0.0%;\(0.0%\)"/>
  </numFmts>
  <fonts count="11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9"/>
      <color rgb="FF595959"/>
      <name val="Calibri"/>
    </font>
    <font>
      <b/>
      <sz val="11"/>
      <color rgb="FF1F4E79"/>
      <name val="Calibri"/>
    </font>
    <font>
      <b/>
      <sz val="10"/>
      <name val="Calibri"/>
    </font>
    <font>
      <b/>
      <sz val="10"/>
      <color rgb="FF595959"/>
      <name val="Calibri"/>
    </font>
    <font>
      <sz val="10"/>
      <color rgb="FF404040"/>
      <name val="Calibri"/>
    </font>
    <font>
      <sz val="10"/>
      <name val="Calibri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14" fontId="8" fillId="0" borderId="0" xfId="0" applyNumberFormat="1" applyFont="1"/>
    <xf numFmtId="0" fontId="0" fillId="0" borderId="3" xfId="0" applyBorder="1"/>
    <xf numFmtId="0" fontId="0" fillId="0" borderId="0" xfId="0" applyBorder="1"/>
    <xf numFmtId="0" fontId="0" fillId="0" borderId="3" xfId="0" applyFill="1" applyBorder="1"/>
    <xf numFmtId="0" fontId="0" fillId="0" borderId="0" xfId="0" applyFill="1"/>
    <xf numFmtId="14" fontId="8" fillId="0" borderId="0" xfId="0" applyNumberFormat="1" applyFont="1" applyFill="1"/>
    <xf numFmtId="167" fontId="0" fillId="0" borderId="0" xfId="0" applyNumberFormat="1"/>
    <xf numFmtId="167" fontId="9" fillId="0" borderId="0" xfId="0" applyNumberFormat="1" applyFont="1"/>
    <xf numFmtId="9" fontId="9" fillId="0" borderId="0" xfId="0" applyNumberFormat="1" applyFont="1"/>
    <xf numFmtId="172" fontId="9" fillId="0" borderId="0" xfId="0" applyNumberFormat="1" applyFont="1"/>
    <xf numFmtId="5" fontId="9" fillId="0" borderId="0" xfId="0" applyNumberFormat="1" applyFont="1"/>
    <xf numFmtId="5" fontId="10" fillId="0" borderId="3" xfId="0" applyNumberFormat="1" applyFont="1" applyBorder="1"/>
    <xf numFmtId="5" fontId="10" fillId="0" borderId="0" xfId="0" applyNumberFormat="1" applyFont="1" applyBorder="1"/>
    <xf numFmtId="167" fontId="0" fillId="0" borderId="3" xfId="0" applyNumberFormat="1" applyBorder="1"/>
    <xf numFmtId="7" fontId="0" fillId="0" borderId="0" xfId="0" applyNumberFormat="1"/>
    <xf numFmtId="9" fontId="9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CDF8A-BBC4-4C21-BBC9-06CB28FB904C}">
  <dimension ref="B2:T109"/>
  <sheetViews>
    <sheetView tabSelected="1" zoomScale="85" zoomScaleNormal="85" workbookViewId="0">
      <selection activeCell="D105" sqref="D105"/>
    </sheetView>
  </sheetViews>
  <sheetFormatPr defaultRowHeight="14.4" x14ac:dyDescent="0.3"/>
  <cols>
    <col min="3" max="3" width="35.44140625" bestFit="1" customWidth="1"/>
  </cols>
  <sheetData>
    <row r="2" spans="2:19" x14ac:dyDescent="0.3">
      <c r="B2" t="s">
        <v>108</v>
      </c>
      <c r="C2" t="s">
        <v>107</v>
      </c>
    </row>
    <row r="3" spans="2:19" ht="3" customHeight="1" x14ac:dyDescent="0.3"/>
    <row r="4" spans="2:19" x14ac:dyDescent="0.3">
      <c r="B4" t="s">
        <v>109</v>
      </c>
      <c r="C4" s="12">
        <v>46092</v>
      </c>
    </row>
    <row r="5" spans="2:19" ht="3" customHeight="1" x14ac:dyDescent="0.3"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</row>
    <row r="6" spans="2:19" x14ac:dyDescent="0.3">
      <c r="C6" s="14" t="s">
        <v>84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</row>
    <row r="7" spans="2:19" x14ac:dyDescent="0.3">
      <c r="C7" t="s">
        <v>85</v>
      </c>
    </row>
    <row r="8" spans="2:19" x14ac:dyDescent="0.3">
      <c r="C8" t="s">
        <v>86</v>
      </c>
    </row>
    <row r="9" spans="2:19" x14ac:dyDescent="0.3">
      <c r="C9" t="s">
        <v>87</v>
      </c>
    </row>
    <row r="10" spans="2:19" x14ac:dyDescent="0.3">
      <c r="C10" t="s">
        <v>88</v>
      </c>
    </row>
    <row r="11" spans="2:19" x14ac:dyDescent="0.3">
      <c r="C11" t="s">
        <v>89</v>
      </c>
    </row>
    <row r="12" spans="2:19" x14ac:dyDescent="0.3">
      <c r="C12" t="s">
        <v>90</v>
      </c>
    </row>
    <row r="13" spans="2:19" x14ac:dyDescent="0.3">
      <c r="C13" s="11" t="s">
        <v>91</v>
      </c>
    </row>
    <row r="14" spans="2:19" x14ac:dyDescent="0.3">
      <c r="C14" t="s">
        <v>92</v>
      </c>
    </row>
    <row r="15" spans="2:19" x14ac:dyDescent="0.3">
      <c r="C15" t="s">
        <v>93</v>
      </c>
    </row>
    <row r="16" spans="2:19" x14ac:dyDescent="0.3">
      <c r="C16" t="s">
        <v>94</v>
      </c>
    </row>
    <row r="17" spans="2:20" x14ac:dyDescent="0.3">
      <c r="C17" t="s">
        <v>95</v>
      </c>
    </row>
    <row r="18" spans="2:20" x14ac:dyDescent="0.3">
      <c r="C18" t="s">
        <v>96</v>
      </c>
    </row>
    <row r="19" spans="2:20" x14ac:dyDescent="0.3">
      <c r="C19" t="s">
        <v>97</v>
      </c>
    </row>
    <row r="20" spans="2:20" x14ac:dyDescent="0.3">
      <c r="C20" t="s">
        <v>98</v>
      </c>
    </row>
    <row r="21" spans="2:20" x14ac:dyDescent="0.3">
      <c r="C21" s="11" t="s">
        <v>99</v>
      </c>
    </row>
    <row r="22" spans="2:20" x14ac:dyDescent="0.3">
      <c r="C22" t="s">
        <v>100</v>
      </c>
    </row>
    <row r="23" spans="2:20" x14ac:dyDescent="0.3">
      <c r="C23" t="s">
        <v>101</v>
      </c>
    </row>
    <row r="24" spans="2:20" x14ac:dyDescent="0.3">
      <c r="C24" t="s">
        <v>102</v>
      </c>
    </row>
    <row r="25" spans="2:20" x14ac:dyDescent="0.3">
      <c r="C25" t="s">
        <v>103</v>
      </c>
    </row>
    <row r="26" spans="2:20" x14ac:dyDescent="0.3">
      <c r="C26" s="11" t="s">
        <v>104</v>
      </c>
    </row>
    <row r="27" spans="2:20" x14ac:dyDescent="0.3">
      <c r="C27" t="s">
        <v>105</v>
      </c>
    </row>
    <row r="28" spans="2:20" x14ac:dyDescent="0.3">
      <c r="C28" t="s">
        <v>106</v>
      </c>
    </row>
    <row r="30" spans="2:20" x14ac:dyDescent="0.3">
      <c r="B30" t="s">
        <v>108</v>
      </c>
      <c r="C30" t="s">
        <v>110</v>
      </c>
    </row>
    <row r="31" spans="2:20" ht="3" customHeight="1" x14ac:dyDescent="0.3"/>
    <row r="32" spans="2:20" x14ac:dyDescent="0.3">
      <c r="B32" s="16" t="s">
        <v>109</v>
      </c>
      <c r="C32" s="17">
        <v>46079</v>
      </c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spans="3:20" ht="3" customHeight="1" x14ac:dyDescent="0.3">
      <c r="C33" s="13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6"/>
    </row>
    <row r="35" spans="3:20" x14ac:dyDescent="0.3">
      <c r="C35" t="s">
        <v>132</v>
      </c>
    </row>
    <row r="36" spans="3:20" x14ac:dyDescent="0.3">
      <c r="C36" t="s">
        <v>134</v>
      </c>
    </row>
    <row r="41" spans="3:20" x14ac:dyDescent="0.3">
      <c r="C41" t="s">
        <v>111</v>
      </c>
      <c r="D41" t="s">
        <v>112</v>
      </c>
      <c r="E41" t="s">
        <v>13</v>
      </c>
    </row>
    <row r="42" spans="3:20" x14ac:dyDescent="0.3">
      <c r="C42" t="s">
        <v>113</v>
      </c>
      <c r="D42" s="19">
        <v>45</v>
      </c>
      <c r="E42" s="19">
        <v>56</v>
      </c>
    </row>
    <row r="43" spans="3:20" x14ac:dyDescent="0.3">
      <c r="C43" t="s">
        <v>114</v>
      </c>
      <c r="D43" s="19">
        <v>6</v>
      </c>
      <c r="E43" s="19">
        <v>13</v>
      </c>
    </row>
    <row r="45" spans="3:20" x14ac:dyDescent="0.3">
      <c r="C45" t="s">
        <v>115</v>
      </c>
      <c r="D45" t="s">
        <v>117</v>
      </c>
      <c r="E45" t="s">
        <v>112</v>
      </c>
    </row>
    <row r="46" spans="3:20" x14ac:dyDescent="0.3">
      <c r="C46" t="s">
        <v>113</v>
      </c>
      <c r="D46" s="18">
        <f>E46/(1+E47)</f>
        <v>156.77966101694912</v>
      </c>
      <c r="E46" s="19">
        <v>370</v>
      </c>
    </row>
    <row r="47" spans="3:20" x14ac:dyDescent="0.3">
      <c r="C47" t="s">
        <v>116</v>
      </c>
      <c r="E47" s="20">
        <v>1.36</v>
      </c>
    </row>
    <row r="49" spans="3:7" x14ac:dyDescent="0.3">
      <c r="C49" t="s">
        <v>118</v>
      </c>
    </row>
    <row r="50" spans="3:7" x14ac:dyDescent="0.3">
      <c r="C50" t="s">
        <v>119</v>
      </c>
      <c r="D50" t="s">
        <v>112</v>
      </c>
      <c r="E50" t="s">
        <v>13</v>
      </c>
    </row>
    <row r="51" spans="3:7" x14ac:dyDescent="0.3">
      <c r="C51" t="s">
        <v>120</v>
      </c>
      <c r="D51" s="21">
        <v>-7.6999999999999999E-2</v>
      </c>
      <c r="F51" t="s">
        <v>122</v>
      </c>
    </row>
    <row r="52" spans="3:7" x14ac:dyDescent="0.3">
      <c r="C52" t="s">
        <v>121</v>
      </c>
      <c r="D52" s="21">
        <v>0.128</v>
      </c>
    </row>
    <row r="54" spans="3:7" x14ac:dyDescent="0.3">
      <c r="C54" t="s">
        <v>124</v>
      </c>
      <c r="D54" t="s">
        <v>9</v>
      </c>
      <c r="E54" t="s">
        <v>13</v>
      </c>
    </row>
    <row r="55" spans="3:7" x14ac:dyDescent="0.3">
      <c r="C55" t="s">
        <v>113</v>
      </c>
      <c r="D55" s="18">
        <f>E55/(1+E56)</f>
        <v>1358.1395348837209</v>
      </c>
      <c r="E55" s="19">
        <v>1460</v>
      </c>
    </row>
    <row r="56" spans="3:7" x14ac:dyDescent="0.3">
      <c r="C56" t="s">
        <v>123</v>
      </c>
      <c r="E56" s="21">
        <v>7.4999999999999997E-2</v>
      </c>
    </row>
    <row r="58" spans="3:7" x14ac:dyDescent="0.3">
      <c r="C58" t="s">
        <v>125</v>
      </c>
      <c r="D58" t="s">
        <v>112</v>
      </c>
      <c r="E58" t="s">
        <v>13</v>
      </c>
    </row>
    <row r="59" spans="3:7" x14ac:dyDescent="0.3">
      <c r="C59" t="s">
        <v>126</v>
      </c>
      <c r="D59" s="19">
        <v>249.2</v>
      </c>
      <c r="E59">
        <v>876.3</v>
      </c>
      <c r="F59">
        <v>0.34799999999999998</v>
      </c>
      <c r="G59">
        <f>E59/F59</f>
        <v>2518.1034482758623</v>
      </c>
    </row>
    <row r="60" spans="3:7" x14ac:dyDescent="0.3">
      <c r="C60" t="s">
        <v>128</v>
      </c>
      <c r="D60" s="22">
        <v>-81</v>
      </c>
      <c r="E60" s="22">
        <v>-327.5</v>
      </c>
    </row>
    <row r="61" spans="3:7" x14ac:dyDescent="0.3">
      <c r="C61" t="s">
        <v>126</v>
      </c>
      <c r="D61" s="23">
        <f>SUM(D59:D60)</f>
        <v>168.2</v>
      </c>
      <c r="E61" s="23">
        <f>SUM(E59:E60)</f>
        <v>548.79999999999995</v>
      </c>
      <c r="F61" s="26"/>
    </row>
    <row r="62" spans="3:7" x14ac:dyDescent="0.3">
      <c r="D62" s="24"/>
    </row>
    <row r="63" spans="3:7" x14ac:dyDescent="0.3">
      <c r="C63" t="s">
        <v>127</v>
      </c>
      <c r="D63" s="19">
        <v>81</v>
      </c>
      <c r="E63">
        <v>250</v>
      </c>
    </row>
    <row r="64" spans="3:7" x14ac:dyDescent="0.3">
      <c r="C64" t="s">
        <v>129</v>
      </c>
      <c r="D64" s="22">
        <v>-5</v>
      </c>
      <c r="E64" s="22">
        <v>-60.2</v>
      </c>
    </row>
    <row r="65" spans="2:19" x14ac:dyDescent="0.3">
      <c r="C65" t="s">
        <v>127</v>
      </c>
      <c r="D65" s="25">
        <f>SUM(D63:D64)</f>
        <v>76</v>
      </c>
      <c r="E65" s="25">
        <f>SUM(E63:E64)</f>
        <v>189.8</v>
      </c>
    </row>
    <row r="67" spans="2:19" x14ac:dyDescent="0.3">
      <c r="D67" t="s">
        <v>117</v>
      </c>
      <c r="E67" t="s">
        <v>112</v>
      </c>
      <c r="F67" t="s">
        <v>13</v>
      </c>
    </row>
    <row r="68" spans="2:19" x14ac:dyDescent="0.3">
      <c r="C68" t="s">
        <v>130</v>
      </c>
      <c r="D68" s="19">
        <v>62.9</v>
      </c>
      <c r="E68" s="19">
        <v>134.1</v>
      </c>
      <c r="F68" s="19">
        <v>619.6</v>
      </c>
    </row>
    <row r="70" spans="2:19" x14ac:dyDescent="0.3">
      <c r="C70" t="s">
        <v>131</v>
      </c>
      <c r="D70" s="20">
        <v>0.17</v>
      </c>
      <c r="E70" s="21"/>
    </row>
    <row r="71" spans="2:19" x14ac:dyDescent="0.3">
      <c r="C71" t="s">
        <v>133</v>
      </c>
      <c r="D71" s="20">
        <v>1.02</v>
      </c>
    </row>
    <row r="72" spans="2:19" x14ac:dyDescent="0.3">
      <c r="C72" t="s">
        <v>135</v>
      </c>
    </row>
    <row r="75" spans="2:19" x14ac:dyDescent="0.3">
      <c r="B75" t="s">
        <v>108</v>
      </c>
      <c r="C75" t="s">
        <v>110</v>
      </c>
    </row>
    <row r="76" spans="2:19" ht="3" customHeight="1" x14ac:dyDescent="0.3"/>
    <row r="77" spans="2:19" x14ac:dyDescent="0.3">
      <c r="B77" s="16" t="s">
        <v>109</v>
      </c>
      <c r="C77" s="17">
        <v>46079</v>
      </c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</row>
    <row r="78" spans="2:19" ht="3" customHeight="1" x14ac:dyDescent="0.3">
      <c r="C78" s="13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</row>
    <row r="80" spans="2:19" x14ac:dyDescent="0.3">
      <c r="C80" t="s">
        <v>137</v>
      </c>
      <c r="D80" t="s">
        <v>136</v>
      </c>
    </row>
    <row r="81" spans="3:5" x14ac:dyDescent="0.3">
      <c r="C81" t="s">
        <v>138</v>
      </c>
      <c r="D81" s="20">
        <v>0.13</v>
      </c>
    </row>
    <row r="82" spans="3:5" x14ac:dyDescent="0.3">
      <c r="C82" t="s">
        <v>115</v>
      </c>
      <c r="D82" s="20">
        <v>1.1499999999999999</v>
      </c>
      <c r="E82" t="s">
        <v>142</v>
      </c>
    </row>
    <row r="84" spans="3:5" x14ac:dyDescent="0.3">
      <c r="D84" t="s">
        <v>136</v>
      </c>
    </row>
    <row r="85" spans="3:5" x14ac:dyDescent="0.3">
      <c r="C85" t="s">
        <v>139</v>
      </c>
      <c r="D85" s="20">
        <v>0.2</v>
      </c>
    </row>
    <row r="86" spans="3:5" x14ac:dyDescent="0.3">
      <c r="C86" t="s">
        <v>141</v>
      </c>
      <c r="D86" s="20">
        <v>0.31</v>
      </c>
      <c r="E86" t="s">
        <v>140</v>
      </c>
    </row>
    <row r="89" spans="3:5" x14ac:dyDescent="0.3">
      <c r="C89" t="s">
        <v>143</v>
      </c>
      <c r="D89" s="20">
        <v>0.13</v>
      </c>
    </row>
    <row r="90" spans="3:5" x14ac:dyDescent="0.3">
      <c r="C90" t="s">
        <v>144</v>
      </c>
      <c r="D90" s="20">
        <v>0.44</v>
      </c>
    </row>
    <row r="92" spans="3:5" x14ac:dyDescent="0.3">
      <c r="D92" t="s">
        <v>145</v>
      </c>
    </row>
    <row r="93" spans="3:5" x14ac:dyDescent="0.3">
      <c r="C93" t="s">
        <v>146</v>
      </c>
      <c r="D93" s="20">
        <v>0.12</v>
      </c>
      <c r="E93" t="s">
        <v>147</v>
      </c>
    </row>
    <row r="95" spans="3:5" x14ac:dyDescent="0.3">
      <c r="D95" t="s">
        <v>136</v>
      </c>
      <c r="E95" t="s">
        <v>154</v>
      </c>
    </row>
    <row r="96" spans="3:5" x14ac:dyDescent="0.3">
      <c r="C96" t="s">
        <v>148</v>
      </c>
      <c r="D96" s="19">
        <v>247</v>
      </c>
    </row>
    <row r="97" spans="3:5" x14ac:dyDescent="0.3">
      <c r="C97" t="s">
        <v>149</v>
      </c>
      <c r="D97" s="20">
        <v>0.2</v>
      </c>
      <c r="E97" s="27" t="s">
        <v>155</v>
      </c>
    </row>
    <row r="98" spans="3:5" x14ac:dyDescent="0.3">
      <c r="D98" s="20"/>
    </row>
    <row r="99" spans="3:5" x14ac:dyDescent="0.3">
      <c r="C99" t="s">
        <v>150</v>
      </c>
      <c r="D99" s="20">
        <v>0.06</v>
      </c>
    </row>
    <row r="100" spans="3:5" x14ac:dyDescent="0.3">
      <c r="C100" t="s">
        <v>151</v>
      </c>
      <c r="D100" s="20">
        <v>0.09</v>
      </c>
    </row>
    <row r="102" spans="3:5" x14ac:dyDescent="0.3">
      <c r="C102" t="s">
        <v>152</v>
      </c>
      <c r="D102" s="19">
        <v>200</v>
      </c>
    </row>
    <row r="103" spans="3:5" x14ac:dyDescent="0.3">
      <c r="C103" t="s">
        <v>153</v>
      </c>
      <c r="D103" s="19">
        <v>20</v>
      </c>
    </row>
    <row r="105" spans="3:5" x14ac:dyDescent="0.3">
      <c r="C105" t="s">
        <v>156</v>
      </c>
    </row>
    <row r="106" spans="3:5" x14ac:dyDescent="0.3">
      <c r="C106" t="s">
        <v>157</v>
      </c>
    </row>
    <row r="107" spans="3:5" x14ac:dyDescent="0.3">
      <c r="C107" t="s">
        <v>158</v>
      </c>
    </row>
    <row r="108" spans="3:5" x14ac:dyDescent="0.3">
      <c r="C108" t="s">
        <v>159</v>
      </c>
    </row>
    <row r="109" spans="3:5" x14ac:dyDescent="0.3">
      <c r="C109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6"/>
  <sheetViews>
    <sheetView workbookViewId="0">
      <pane xSplit="1" ySplit="4" topLeftCell="B92" activePane="bottomRight" state="frozen"/>
      <selection pane="topRight"/>
      <selection pane="bottomLeft"/>
      <selection pane="bottomRight" activeCell="D7" sqref="D7"/>
    </sheetView>
  </sheetViews>
  <sheetFormatPr defaultRowHeight="14.4" x14ac:dyDescent="0.3"/>
  <cols>
    <col min="1" max="1" width="36" customWidth="1"/>
    <col min="2" max="19" width="14" customWidth="1"/>
  </cols>
  <sheetData>
    <row r="1" spans="1:23" ht="18" x14ac:dyDescent="0.35">
      <c r="A1" s="1" t="s">
        <v>0</v>
      </c>
    </row>
    <row r="2" spans="1:23" x14ac:dyDescent="0.3">
      <c r="A2" s="2" t="s">
        <v>1</v>
      </c>
    </row>
    <row r="4" spans="1:23" x14ac:dyDescent="0.3">
      <c r="A4" s="3" t="s">
        <v>2</v>
      </c>
    </row>
    <row r="5" spans="1:23" x14ac:dyDescent="0.3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</row>
    <row r="6" spans="1:23" x14ac:dyDescent="0.3">
      <c r="A6" s="6" t="s">
        <v>15</v>
      </c>
    </row>
    <row r="7" spans="1:23" x14ac:dyDescent="0.3">
      <c r="A7" s="7" t="s">
        <v>16</v>
      </c>
      <c r="B7" s="8">
        <v>653604</v>
      </c>
      <c r="C7" s="8">
        <v>1318014</v>
      </c>
      <c r="D7" s="8">
        <v>355708</v>
      </c>
      <c r="E7" s="8">
        <v>401977</v>
      </c>
      <c r="F7" s="8">
        <v>265748</v>
      </c>
      <c r="G7" s="8">
        <v>1355630</v>
      </c>
      <c r="H7" s="8">
        <v>329276</v>
      </c>
      <c r="I7" s="8">
        <v>739259</v>
      </c>
      <c r="J7" s="8">
        <v>725106</v>
      </c>
      <c r="K7" s="8">
        <v>2515269</v>
      </c>
      <c r="L7" s="8">
        <v>782615</v>
      </c>
    </row>
    <row r="9" spans="1:23" x14ac:dyDescent="0.3">
      <c r="A9" s="6" t="s">
        <v>17</v>
      </c>
    </row>
    <row r="10" spans="1:23" x14ac:dyDescent="0.3">
      <c r="A10" s="7" t="s">
        <v>16</v>
      </c>
      <c r="B10" s="8">
        <v>-152664</v>
      </c>
      <c r="C10" s="8">
        <v>291749</v>
      </c>
      <c r="D10" s="8">
        <v>92461</v>
      </c>
      <c r="E10" s="8">
        <v>104631</v>
      </c>
      <c r="F10" s="8">
        <v>8175</v>
      </c>
      <c r="G10" s="8">
        <v>195050</v>
      </c>
      <c r="H10" s="8">
        <v>60993</v>
      </c>
      <c r="I10" s="8">
        <v>129465</v>
      </c>
      <c r="J10" s="8">
        <v>-88031</v>
      </c>
      <c r="K10" s="8">
        <v>125033</v>
      </c>
      <c r="L10" s="8">
        <v>137536</v>
      </c>
    </row>
    <row r="14" spans="1:23" x14ac:dyDescent="0.3">
      <c r="A14" s="3" t="s">
        <v>18</v>
      </c>
    </row>
    <row r="15" spans="1:23" x14ac:dyDescent="0.3">
      <c r="A15" s="4" t="s">
        <v>3</v>
      </c>
      <c r="B15" s="5" t="s">
        <v>19</v>
      </c>
      <c r="C15" s="5" t="s">
        <v>20</v>
      </c>
      <c r="D15" s="5" t="s">
        <v>21</v>
      </c>
      <c r="E15" s="5" t="s">
        <v>22</v>
      </c>
      <c r="F15" s="5" t="s">
        <v>23</v>
      </c>
      <c r="G15" s="5" t="s">
        <v>24</v>
      </c>
      <c r="H15" s="5" t="s">
        <v>25</v>
      </c>
      <c r="I15" s="5" t="s">
        <v>26</v>
      </c>
      <c r="J15" s="5" t="s">
        <v>4</v>
      </c>
      <c r="K15" s="5" t="s">
        <v>27</v>
      </c>
      <c r="L15" s="5" t="s">
        <v>28</v>
      </c>
      <c r="M15" s="5" t="s">
        <v>29</v>
      </c>
      <c r="N15" s="5" t="s">
        <v>5</v>
      </c>
      <c r="O15" s="5" t="s">
        <v>6</v>
      </c>
      <c r="P15" s="5" t="s">
        <v>7</v>
      </c>
      <c r="Q15" s="5" t="s">
        <v>8</v>
      </c>
      <c r="R15" s="5" t="s">
        <v>9</v>
      </c>
      <c r="S15" s="5" t="s">
        <v>10</v>
      </c>
      <c r="T15" s="5" t="s">
        <v>11</v>
      </c>
      <c r="U15" s="5" t="s">
        <v>12</v>
      </c>
      <c r="V15" s="5" t="s">
        <v>13</v>
      </c>
      <c r="W15" s="5" t="s">
        <v>14</v>
      </c>
    </row>
    <row r="16" spans="1:23" x14ac:dyDescent="0.3">
      <c r="A16" s="6" t="s">
        <v>15</v>
      </c>
    </row>
    <row r="17" spans="1:23" x14ac:dyDescent="0.3">
      <c r="A17" s="7" t="s">
        <v>30</v>
      </c>
      <c r="B17" s="8">
        <v>95480.31</v>
      </c>
      <c r="C17" s="8">
        <v>39003</v>
      </c>
      <c r="D17" s="8">
        <v>53601</v>
      </c>
      <c r="E17" s="8">
        <v>84490</v>
      </c>
      <c r="F17" s="8">
        <v>273004.79499999998</v>
      </c>
      <c r="G17" s="8">
        <v>123473</v>
      </c>
      <c r="H17" s="8">
        <v>145409</v>
      </c>
      <c r="I17" s="8">
        <v>179541</v>
      </c>
      <c r="J17" s="8">
        <v>617457</v>
      </c>
      <c r="K17" s="8">
        <v>248552</v>
      </c>
      <c r="L17" s="8">
        <v>310815</v>
      </c>
      <c r="M17" s="8">
        <v>371178</v>
      </c>
      <c r="N17" s="8">
        <v>1263341</v>
      </c>
      <c r="O17" s="8">
        <v>339512</v>
      </c>
      <c r="P17" s="8">
        <v>382351</v>
      </c>
      <c r="Q17" s="8">
        <v>247125</v>
      </c>
      <c r="R17" s="8">
        <v>1280894</v>
      </c>
      <c r="S17" s="8">
        <v>306534</v>
      </c>
      <c r="T17" s="8">
        <v>714459</v>
      </c>
      <c r="U17" s="8">
        <v>701990</v>
      </c>
      <c r="V17" s="8">
        <v>2422490</v>
      </c>
      <c r="W17" s="8">
        <v>747316</v>
      </c>
    </row>
    <row r="18" spans="1:23" x14ac:dyDescent="0.3">
      <c r="A18" s="7" t="s">
        <v>31</v>
      </c>
      <c r="B18" s="8">
        <v>33727.440999999999</v>
      </c>
      <c r="C18" s="8">
        <v>10368</v>
      </c>
      <c r="D18" s="8">
        <v>10792</v>
      </c>
      <c r="E18" s="8">
        <v>9536</v>
      </c>
      <c r="F18" s="8">
        <v>38097.016000000003</v>
      </c>
      <c r="G18" s="8">
        <v>8495</v>
      </c>
      <c r="H18" s="8">
        <v>7280</v>
      </c>
      <c r="I18" s="8">
        <v>7546</v>
      </c>
      <c r="J18" s="8">
        <v>31054</v>
      </c>
      <c r="K18" s="8">
        <v>8652</v>
      </c>
      <c r="L18" s="8">
        <v>11909</v>
      </c>
      <c r="M18" s="8">
        <v>11038</v>
      </c>
      <c r="N18" s="8">
        <v>43722</v>
      </c>
      <c r="O18" s="8">
        <v>14142</v>
      </c>
      <c r="P18" s="8">
        <v>16684</v>
      </c>
      <c r="Q18" s="8">
        <v>16243</v>
      </c>
      <c r="R18" s="8">
        <v>61696</v>
      </c>
      <c r="S18" s="8">
        <v>18659</v>
      </c>
      <c r="T18" s="8">
        <v>18301</v>
      </c>
      <c r="U18" s="8">
        <v>17691</v>
      </c>
      <c r="V18" s="8">
        <v>72544</v>
      </c>
      <c r="W18" s="8">
        <v>25354</v>
      </c>
    </row>
    <row r="19" spans="1:23" x14ac:dyDescent="0.3">
      <c r="A19" s="7" t="s">
        <v>32</v>
      </c>
      <c r="B19" s="8">
        <v>23400</v>
      </c>
      <c r="C19" s="8">
        <v>6500</v>
      </c>
      <c r="D19" s="8">
        <v>7900</v>
      </c>
      <c r="E19" s="8">
        <v>6500</v>
      </c>
      <c r="F19" s="8">
        <v>26900</v>
      </c>
      <c r="G19" s="8">
        <v>5800</v>
      </c>
      <c r="H19" s="8">
        <v>5100</v>
      </c>
      <c r="I19" s="8">
        <v>5300</v>
      </c>
      <c r="J19" s="8">
        <v>21700</v>
      </c>
      <c r="K19" s="8">
        <v>5500</v>
      </c>
      <c r="L19" s="8">
        <v>7900</v>
      </c>
      <c r="M19" s="8">
        <v>7400</v>
      </c>
      <c r="N19" s="8">
        <v>29300</v>
      </c>
      <c r="O19" s="8">
        <v>10000</v>
      </c>
      <c r="P19" s="8">
        <v>11300</v>
      </c>
      <c r="Q19" s="8">
        <v>9500</v>
      </c>
    </row>
    <row r="20" spans="1:23" x14ac:dyDescent="0.3">
      <c r="A20" s="7" t="s">
        <v>33</v>
      </c>
      <c r="F20" s="8">
        <v>2538</v>
      </c>
      <c r="J20" s="8">
        <v>3647</v>
      </c>
      <c r="L20" s="8">
        <v>1606</v>
      </c>
      <c r="M20" s="8">
        <v>1247</v>
      </c>
      <c r="N20" s="8">
        <v>4755</v>
      </c>
      <c r="O20" s="8">
        <v>675</v>
      </c>
      <c r="P20" s="8">
        <v>860</v>
      </c>
      <c r="Q20" s="8">
        <v>594</v>
      </c>
      <c r="R20" s="8">
        <v>5658</v>
      </c>
      <c r="S20" s="8">
        <v>2244</v>
      </c>
      <c r="T20" s="8">
        <v>4381</v>
      </c>
      <c r="U20" s="8">
        <v>3518</v>
      </c>
      <c r="V20" s="8">
        <v>12971</v>
      </c>
      <c r="W20" s="8">
        <v>6995</v>
      </c>
    </row>
    <row r="21" spans="1:23" x14ac:dyDescent="0.3">
      <c r="A21" s="7" t="s">
        <v>34</v>
      </c>
      <c r="B21" s="8">
        <v>425.32299999999998</v>
      </c>
      <c r="C21" s="8">
        <v>128</v>
      </c>
      <c r="D21" s="8">
        <v>61</v>
      </c>
      <c r="E21" s="8">
        <v>177</v>
      </c>
      <c r="F21" s="8">
        <v>631.649</v>
      </c>
      <c r="G21" s="8">
        <v>454</v>
      </c>
      <c r="H21" s="8">
        <v>448</v>
      </c>
      <c r="I21" s="8">
        <v>182</v>
      </c>
      <c r="J21" s="8">
        <v>1446</v>
      </c>
      <c r="K21" s="8">
        <v>1477</v>
      </c>
      <c r="L21" s="8">
        <v>1553</v>
      </c>
      <c r="M21" s="8">
        <v>1294</v>
      </c>
      <c r="N21" s="8">
        <v>6196</v>
      </c>
      <c r="O21" s="8">
        <v>1379</v>
      </c>
      <c r="P21" s="8">
        <v>2082</v>
      </c>
      <c r="Q21" s="8">
        <v>1786</v>
      </c>
      <c r="R21" s="8">
        <v>7382</v>
      </c>
      <c r="S21" s="8">
        <v>1839</v>
      </c>
      <c r="T21" s="8">
        <v>2118</v>
      </c>
      <c r="U21" s="8">
        <v>1907</v>
      </c>
      <c r="V21" s="8">
        <v>7264</v>
      </c>
      <c r="W21" s="8">
        <v>2950</v>
      </c>
    </row>
    <row r="22" spans="1:23" x14ac:dyDescent="0.3">
      <c r="A22" s="7" t="s">
        <v>35</v>
      </c>
      <c r="B22" s="8">
        <v>1092.703</v>
      </c>
      <c r="C22" s="8">
        <v>536</v>
      </c>
      <c r="D22" s="8">
        <v>619</v>
      </c>
      <c r="E22" s="8">
        <v>706</v>
      </c>
      <c r="F22" s="8">
        <v>2538.0990000000002</v>
      </c>
      <c r="G22" s="8">
        <v>966</v>
      </c>
      <c r="H22" s="8">
        <v>883</v>
      </c>
      <c r="I22" s="8">
        <v>964</v>
      </c>
      <c r="J22" s="8">
        <v>3647</v>
      </c>
      <c r="K22" s="8">
        <v>1258</v>
      </c>
      <c r="L22" s="8">
        <v>1606</v>
      </c>
      <c r="M22" s="8">
        <v>1247</v>
      </c>
      <c r="O22" s="8">
        <v>675</v>
      </c>
    </row>
    <row r="24" spans="1:23" x14ac:dyDescent="0.3">
      <c r="A24" s="6" t="s">
        <v>36</v>
      </c>
    </row>
    <row r="25" spans="1:23" x14ac:dyDescent="0.3">
      <c r="A25" s="7" t="s">
        <v>30</v>
      </c>
      <c r="N25" s="8">
        <v>24316</v>
      </c>
      <c r="P25" s="8">
        <v>34894</v>
      </c>
      <c r="Q25" s="8">
        <v>37023</v>
      </c>
      <c r="R25" s="8">
        <v>72115</v>
      </c>
      <c r="S25" s="8">
        <v>73023</v>
      </c>
      <c r="T25" s="8">
        <v>190854</v>
      </c>
      <c r="U25" s="8">
        <v>197635</v>
      </c>
      <c r="V25" s="8">
        <v>197866</v>
      </c>
      <c r="W25" s="8">
        <v>202300</v>
      </c>
    </row>
    <row r="26" spans="1:23" x14ac:dyDescent="0.3">
      <c r="A26" s="7" t="s">
        <v>32</v>
      </c>
      <c r="N26" s="8">
        <v>2212</v>
      </c>
      <c r="P26" s="8">
        <v>2550</v>
      </c>
      <c r="Q26" s="8">
        <v>2663</v>
      </c>
      <c r="R26" s="8">
        <v>2523</v>
      </c>
      <c r="S26" s="8">
        <v>3744</v>
      </c>
      <c r="T26" s="8">
        <v>4057</v>
      </c>
      <c r="U26" s="8">
        <v>4441</v>
      </c>
      <c r="V26" s="8">
        <v>4635</v>
      </c>
    </row>
    <row r="27" spans="1:23" x14ac:dyDescent="0.3">
      <c r="A27" s="7" t="s">
        <v>37</v>
      </c>
      <c r="R27" s="8">
        <v>17101</v>
      </c>
      <c r="S27" s="8">
        <v>18708</v>
      </c>
      <c r="T27" s="8">
        <v>19759</v>
      </c>
      <c r="U27" s="8">
        <v>20201</v>
      </c>
      <c r="V27" s="8">
        <v>20263</v>
      </c>
    </row>
    <row r="28" spans="1:23" x14ac:dyDescent="0.3">
      <c r="A28" s="7" t="s">
        <v>38</v>
      </c>
      <c r="N28" s="8">
        <v>12153</v>
      </c>
      <c r="P28" s="8">
        <v>11591</v>
      </c>
      <c r="Q28" s="8">
        <v>11930</v>
      </c>
      <c r="R28" s="8">
        <v>10950</v>
      </c>
      <c r="S28" s="8">
        <v>11261</v>
      </c>
      <c r="T28" s="8">
        <v>12030</v>
      </c>
      <c r="U28" s="8">
        <v>12133</v>
      </c>
      <c r="V28" s="8">
        <v>12004</v>
      </c>
    </row>
    <row r="29" spans="1:23" x14ac:dyDescent="0.3">
      <c r="A29" s="7" t="s">
        <v>39</v>
      </c>
      <c r="N29" s="8">
        <v>14394</v>
      </c>
      <c r="P29" s="8">
        <v>14171</v>
      </c>
      <c r="Q29" s="8">
        <v>18477</v>
      </c>
      <c r="R29" s="8">
        <v>17101</v>
      </c>
    </row>
    <row r="30" spans="1:23" x14ac:dyDescent="0.3">
      <c r="A30" s="7" t="s">
        <v>34</v>
      </c>
      <c r="N30" s="8">
        <v>29</v>
      </c>
      <c r="P30" s="8">
        <v>30</v>
      </c>
      <c r="Q30" s="8">
        <v>30</v>
      </c>
      <c r="R30" s="8">
        <v>29</v>
      </c>
      <c r="S30" s="8">
        <v>30</v>
      </c>
      <c r="T30" s="8">
        <v>29</v>
      </c>
      <c r="U30" s="8">
        <v>29</v>
      </c>
      <c r="V30" s="8">
        <v>29</v>
      </c>
    </row>
    <row r="31" spans="1:23" x14ac:dyDescent="0.3">
      <c r="A31" s="7" t="s">
        <v>40</v>
      </c>
      <c r="V31" s="8">
        <v>20300</v>
      </c>
      <c r="W31" s="8">
        <v>21100</v>
      </c>
    </row>
    <row r="32" spans="1:23" x14ac:dyDescent="0.3">
      <c r="A32" s="7" t="s">
        <v>41</v>
      </c>
      <c r="Q32" s="8">
        <v>3854</v>
      </c>
      <c r="R32" s="8">
        <v>3599</v>
      </c>
      <c r="S32" s="8">
        <v>3673</v>
      </c>
      <c r="T32" s="8">
        <v>3643</v>
      </c>
      <c r="U32" s="8">
        <v>3598</v>
      </c>
      <c r="V32" s="8">
        <v>3595</v>
      </c>
    </row>
    <row r="36" spans="1:18" x14ac:dyDescent="0.3">
      <c r="A36" s="3" t="s">
        <v>42</v>
      </c>
    </row>
    <row r="37" spans="1:18" x14ac:dyDescent="0.3">
      <c r="A37" s="4" t="s">
        <v>3</v>
      </c>
      <c r="B37" s="5" t="s">
        <v>24</v>
      </c>
      <c r="C37" s="5" t="s">
        <v>25</v>
      </c>
      <c r="D37" s="5" t="s">
        <v>26</v>
      </c>
      <c r="E37" s="5" t="s">
        <v>4</v>
      </c>
      <c r="F37" s="5" t="s">
        <v>27</v>
      </c>
      <c r="G37" s="5" t="s">
        <v>28</v>
      </c>
      <c r="H37" s="5" t="s">
        <v>29</v>
      </c>
      <c r="I37" s="5" t="s">
        <v>5</v>
      </c>
      <c r="J37" s="5" t="s">
        <v>6</v>
      </c>
      <c r="K37" s="5" t="s">
        <v>7</v>
      </c>
      <c r="L37" s="5" t="s">
        <v>8</v>
      </c>
      <c r="M37" s="5" t="s">
        <v>9</v>
      </c>
      <c r="N37" s="5" t="s">
        <v>10</v>
      </c>
      <c r="O37" s="5" t="s">
        <v>11</v>
      </c>
      <c r="P37" s="5" t="s">
        <v>12</v>
      </c>
      <c r="Q37" s="5" t="s">
        <v>13</v>
      </c>
      <c r="R37" s="5" t="s">
        <v>14</v>
      </c>
    </row>
    <row r="38" spans="1:18" x14ac:dyDescent="0.3">
      <c r="A38" s="6" t="s">
        <v>43</v>
      </c>
    </row>
    <row r="39" spans="1:18" x14ac:dyDescent="0.3">
      <c r="A39" s="7" t="s">
        <v>44</v>
      </c>
      <c r="B39" s="9">
        <v>0.47599999999999998</v>
      </c>
      <c r="D39" s="9">
        <v>0.312</v>
      </c>
      <c r="E39" s="9">
        <v>0.47599999999999998</v>
      </c>
      <c r="F39" s="9">
        <v>0.60200000000000009</v>
      </c>
      <c r="G39" s="9">
        <v>0.56700000000000006</v>
      </c>
      <c r="H39" s="9">
        <v>0.64599999999999991</v>
      </c>
      <c r="I39" s="9">
        <v>0.59399999999999997</v>
      </c>
      <c r="J39" s="9">
        <v>0.59200000000000008</v>
      </c>
      <c r="K39" s="9">
        <v>0.52900000000000003</v>
      </c>
      <c r="L39" s="9">
        <v>0.47</v>
      </c>
      <c r="M39" s="9">
        <v>0.54700000000000004</v>
      </c>
      <c r="N39" s="9">
        <v>0.57600000000000007</v>
      </c>
      <c r="O39" s="9">
        <v>0.33300000000000002</v>
      </c>
      <c r="P39" s="9">
        <v>0.35399999999999998</v>
      </c>
      <c r="Q39" s="9">
        <v>0.43200000000000011</v>
      </c>
      <c r="R39" s="9">
        <v>0.59</v>
      </c>
    </row>
    <row r="40" spans="1:18" x14ac:dyDescent="0.3">
      <c r="A40" s="7" t="s">
        <v>45</v>
      </c>
      <c r="B40" s="9">
        <v>0.72200000000000009</v>
      </c>
      <c r="C40" s="9">
        <v>0.84099999999999997</v>
      </c>
      <c r="D40" s="9">
        <v>0.55900000000000005</v>
      </c>
      <c r="E40" s="9">
        <v>0.40600000000000003</v>
      </c>
      <c r="F40" s="9">
        <v>0.185</v>
      </c>
      <c r="G40" s="9">
        <v>0.30299999999999999</v>
      </c>
      <c r="H40" s="9">
        <v>0.26500000000000001</v>
      </c>
      <c r="I40" s="9">
        <v>0.28599999999999998</v>
      </c>
      <c r="J40" s="9">
        <v>0.30599999999999999</v>
      </c>
      <c r="K40" s="9">
        <v>0.35</v>
      </c>
      <c r="L40" s="9">
        <v>0.27900000000000003</v>
      </c>
      <c r="M40" s="9">
        <v>0.33700000000000002</v>
      </c>
      <c r="N40" s="9">
        <v>0.24399999999999999</v>
      </c>
      <c r="O40" s="9">
        <v>0.55000000000000004</v>
      </c>
      <c r="P40" s="9">
        <v>0.48</v>
      </c>
      <c r="Q40" s="9">
        <v>0.46</v>
      </c>
      <c r="R40" s="9">
        <v>0.32600000000000001</v>
      </c>
    </row>
    <row r="41" spans="1:18" x14ac:dyDescent="0.3">
      <c r="A41" s="7" t="s">
        <v>46</v>
      </c>
      <c r="B41" s="9">
        <v>0.17499999999999999</v>
      </c>
      <c r="C41" s="9">
        <v>0.159</v>
      </c>
      <c r="D41" s="9">
        <v>0.129</v>
      </c>
      <c r="E41" s="9">
        <v>0.16700000000000001</v>
      </c>
      <c r="F41" s="9">
        <v>0.129</v>
      </c>
      <c r="G41" s="9">
        <v>0.13</v>
      </c>
      <c r="H41" s="9">
        <v>8.900000000000001E-2</v>
      </c>
      <c r="I41" s="9">
        <v>0.12</v>
      </c>
      <c r="J41" s="9">
        <v>0.10199999999999999</v>
      </c>
      <c r="K41" s="9">
        <v>0.121</v>
      </c>
      <c r="L41" s="9">
        <v>0.14899999999999999</v>
      </c>
      <c r="M41" s="9">
        <v>0.11600000000000001</v>
      </c>
      <c r="N41" s="9">
        <v>5.8999999999999997E-2</v>
      </c>
      <c r="O41" s="9">
        <v>0.11700000000000001</v>
      </c>
      <c r="P41" s="9">
        <v>0.111</v>
      </c>
      <c r="Q41" s="9">
        <v>0.108</v>
      </c>
      <c r="R41" s="9">
        <v>8.5000000000000006E-2</v>
      </c>
    </row>
    <row r="42" spans="1:18" x14ac:dyDescent="0.3">
      <c r="A42" s="7" t="s">
        <v>47</v>
      </c>
      <c r="B42" s="9">
        <v>0.10299999999999999</v>
      </c>
      <c r="E42" s="9">
        <v>0.11799999999999999</v>
      </c>
      <c r="F42" s="9">
        <v>8.4000000000000005E-2</v>
      </c>
      <c r="H42" s="9">
        <v>5.8000000000000003E-2</v>
      </c>
      <c r="I42" s="9">
        <v>5.8999999999999997E-2</v>
      </c>
      <c r="J42" s="9">
        <v>0.08</v>
      </c>
      <c r="L42" s="9">
        <v>0.10199999999999999</v>
      </c>
      <c r="M42" s="9">
        <v>8.900000000000001E-2</v>
      </c>
      <c r="N42" s="9">
        <v>0.121</v>
      </c>
      <c r="P42" s="9">
        <v>5.5E-2</v>
      </c>
      <c r="R42" s="9">
        <v>8.4000000000000005E-2</v>
      </c>
    </row>
    <row r="46" spans="1:18" x14ac:dyDescent="0.3">
      <c r="A46" s="3" t="s">
        <v>48</v>
      </c>
    </row>
    <row r="47" spans="1:18" x14ac:dyDescent="0.3">
      <c r="A47" s="4" t="s">
        <v>3</v>
      </c>
      <c r="B47" s="5" t="s">
        <v>7</v>
      </c>
      <c r="C47" s="5" t="s">
        <v>8</v>
      </c>
      <c r="D47" s="5" t="s">
        <v>9</v>
      </c>
      <c r="E47" s="5" t="s">
        <v>10</v>
      </c>
      <c r="F47" s="5" t="s">
        <v>11</v>
      </c>
      <c r="G47" s="5" t="s">
        <v>12</v>
      </c>
      <c r="H47" s="5" t="s">
        <v>13</v>
      </c>
      <c r="I47" s="5" t="s">
        <v>14</v>
      </c>
    </row>
    <row r="48" spans="1:18" x14ac:dyDescent="0.3">
      <c r="A48" s="6" t="s">
        <v>49</v>
      </c>
    </row>
    <row r="49" spans="1:9" x14ac:dyDescent="0.3">
      <c r="A49" s="7" t="s">
        <v>50</v>
      </c>
      <c r="C49" s="8">
        <v>513912</v>
      </c>
      <c r="D49" s="8">
        <v>2317965</v>
      </c>
      <c r="E49" s="8">
        <v>647397</v>
      </c>
      <c r="G49" s="8">
        <v>798496</v>
      </c>
      <c r="H49" s="8">
        <v>3003677</v>
      </c>
      <c r="I49" s="8">
        <v>782615</v>
      </c>
    </row>
    <row r="50" spans="1:9" x14ac:dyDescent="0.3">
      <c r="A50" s="7" t="s">
        <v>51</v>
      </c>
      <c r="B50" s="8">
        <v>547650</v>
      </c>
      <c r="F50" s="8">
        <v>739259</v>
      </c>
    </row>
    <row r="52" spans="1:9" x14ac:dyDescent="0.3">
      <c r="A52" s="6" t="s">
        <v>52</v>
      </c>
    </row>
    <row r="53" spans="1:9" x14ac:dyDescent="0.3">
      <c r="A53" s="7" t="s">
        <v>50</v>
      </c>
      <c r="C53" s="8">
        <v>17015</v>
      </c>
      <c r="D53" s="8">
        <v>147638</v>
      </c>
      <c r="E53" s="8">
        <v>98690</v>
      </c>
      <c r="G53" s="8">
        <v>-51019</v>
      </c>
      <c r="H53" s="8">
        <v>218748</v>
      </c>
      <c r="I53" s="8">
        <v>110099</v>
      </c>
    </row>
    <row r="54" spans="1:9" x14ac:dyDescent="0.3">
      <c r="A54" s="7" t="s">
        <v>51</v>
      </c>
      <c r="B54" s="8">
        <v>70659</v>
      </c>
      <c r="F54" s="8">
        <v>116424</v>
      </c>
    </row>
    <row r="56" spans="1:9" x14ac:dyDescent="0.3">
      <c r="A56" s="6" t="s">
        <v>53</v>
      </c>
    </row>
    <row r="57" spans="1:9" x14ac:dyDescent="0.3">
      <c r="A57" s="7" t="s">
        <v>51</v>
      </c>
      <c r="E57" s="8">
        <v>1775000</v>
      </c>
      <c r="F57" s="8">
        <v>2055589</v>
      </c>
    </row>
    <row r="58" spans="1:9" x14ac:dyDescent="0.3">
      <c r="A58" s="7" t="s">
        <v>54</v>
      </c>
      <c r="G58" s="8">
        <v>307603</v>
      </c>
    </row>
    <row r="62" spans="1:9" x14ac:dyDescent="0.3">
      <c r="A62" s="3" t="s">
        <v>55</v>
      </c>
    </row>
    <row r="63" spans="1:9" x14ac:dyDescent="0.3">
      <c r="A63" s="4" t="s">
        <v>3</v>
      </c>
      <c r="B63" s="5" t="s">
        <v>11</v>
      </c>
      <c r="C63" s="5" t="s">
        <v>12</v>
      </c>
      <c r="D63" s="5" t="s">
        <v>56</v>
      </c>
      <c r="E63" s="5" t="s">
        <v>13</v>
      </c>
      <c r="F63" s="5" t="s">
        <v>14</v>
      </c>
    </row>
    <row r="64" spans="1:9" x14ac:dyDescent="0.3">
      <c r="A64" s="6" t="s">
        <v>57</v>
      </c>
    </row>
    <row r="65" spans="1:13" x14ac:dyDescent="0.3">
      <c r="A65" s="7" t="s">
        <v>58</v>
      </c>
      <c r="D65" s="8">
        <v>700000</v>
      </c>
    </row>
    <row r="67" spans="1:13" x14ac:dyDescent="0.3">
      <c r="A67" s="6" t="s">
        <v>59</v>
      </c>
    </row>
    <row r="68" spans="1:13" x14ac:dyDescent="0.3">
      <c r="A68" s="7" t="s">
        <v>58</v>
      </c>
      <c r="B68" s="9">
        <v>8.1600000000000006E-2</v>
      </c>
      <c r="C68" s="9">
        <v>7.9000000000000001E-2</v>
      </c>
      <c r="E68" s="9">
        <v>7.0900000000000005E-2</v>
      </c>
      <c r="F68" s="9">
        <v>6.7799999999999999E-2</v>
      </c>
    </row>
    <row r="72" spans="1:13" x14ac:dyDescent="0.3">
      <c r="A72" s="3" t="s">
        <v>60</v>
      </c>
    </row>
    <row r="73" spans="1:13" x14ac:dyDescent="0.3">
      <c r="A73" s="4" t="s">
        <v>3</v>
      </c>
      <c r="B73" s="5" t="s">
        <v>19</v>
      </c>
      <c r="C73" s="5" t="s">
        <v>20</v>
      </c>
      <c r="D73" s="5" t="s">
        <v>23</v>
      </c>
      <c r="E73" s="5" t="s">
        <v>24</v>
      </c>
      <c r="F73" s="5" t="s">
        <v>4</v>
      </c>
      <c r="G73" s="5" t="s">
        <v>27</v>
      </c>
      <c r="H73" s="5" t="s">
        <v>5</v>
      </c>
      <c r="I73" s="5" t="s">
        <v>6</v>
      </c>
      <c r="J73" s="5" t="s">
        <v>9</v>
      </c>
      <c r="K73" s="5" t="s">
        <v>10</v>
      </c>
      <c r="L73" s="5" t="s">
        <v>13</v>
      </c>
      <c r="M73" s="5" t="s">
        <v>14</v>
      </c>
    </row>
    <row r="74" spans="1:13" x14ac:dyDescent="0.3">
      <c r="A74" s="6" t="s">
        <v>61</v>
      </c>
    </row>
    <row r="75" spans="1:13" x14ac:dyDescent="0.3">
      <c r="A75" s="7" t="s">
        <v>62</v>
      </c>
      <c r="F75" s="10">
        <v>24.71</v>
      </c>
    </row>
    <row r="76" spans="1:13" x14ac:dyDescent="0.3">
      <c r="A76" s="7" t="s">
        <v>63</v>
      </c>
      <c r="F76" s="10">
        <v>21.55</v>
      </c>
      <c r="H76" s="10">
        <v>32.76</v>
      </c>
    </row>
    <row r="78" spans="1:13" x14ac:dyDescent="0.3">
      <c r="A78" s="6" t="s">
        <v>64</v>
      </c>
    </row>
    <row r="79" spans="1:13" x14ac:dyDescent="0.3">
      <c r="A79" s="7" t="s">
        <v>65</v>
      </c>
      <c r="I79" s="8">
        <v>275000</v>
      </c>
      <c r="J79" s="8">
        <v>552000</v>
      </c>
      <c r="K79" s="8">
        <v>1074000</v>
      </c>
      <c r="L79" s="8">
        <v>1628000</v>
      </c>
      <c r="M79" s="8">
        <v>805000</v>
      </c>
    </row>
    <row r="80" spans="1:13" x14ac:dyDescent="0.3">
      <c r="A80" s="7" t="s">
        <v>62</v>
      </c>
      <c r="C80" s="8">
        <v>468000</v>
      </c>
      <c r="D80" s="8">
        <v>573428</v>
      </c>
      <c r="E80" s="8">
        <v>189000</v>
      </c>
      <c r="F80" s="8">
        <v>248</v>
      </c>
      <c r="G80" s="8">
        <v>124000</v>
      </c>
      <c r="H80" s="8">
        <v>468000</v>
      </c>
      <c r="I80" s="8">
        <v>210000</v>
      </c>
      <c r="J80" s="8">
        <v>377000</v>
      </c>
    </row>
    <row r="81" spans="1:19" x14ac:dyDescent="0.3">
      <c r="A81" s="7" t="s">
        <v>63</v>
      </c>
      <c r="D81" s="8">
        <v>15</v>
      </c>
      <c r="F81" s="8">
        <v>76</v>
      </c>
      <c r="I81" s="8">
        <v>65000</v>
      </c>
      <c r="J81" s="8">
        <v>175000</v>
      </c>
      <c r="K81" s="8">
        <v>142000</v>
      </c>
      <c r="L81" s="8">
        <v>142000</v>
      </c>
      <c r="M81" s="8">
        <v>67000</v>
      </c>
    </row>
    <row r="82" spans="1:19" x14ac:dyDescent="0.3">
      <c r="A82" s="7" t="s">
        <v>66</v>
      </c>
      <c r="B82" s="8">
        <v>175737</v>
      </c>
    </row>
    <row r="83" spans="1:19" x14ac:dyDescent="0.3">
      <c r="A83" s="7" t="s">
        <v>67</v>
      </c>
      <c r="D83" s="8">
        <v>15468</v>
      </c>
    </row>
    <row r="85" spans="1:19" x14ac:dyDescent="0.3">
      <c r="A85" s="6" t="s">
        <v>68</v>
      </c>
    </row>
    <row r="86" spans="1:19" x14ac:dyDescent="0.3">
      <c r="A86" s="7" t="s">
        <v>65</v>
      </c>
      <c r="I86" s="8">
        <v>510000</v>
      </c>
      <c r="J86" s="8">
        <v>803000</v>
      </c>
      <c r="K86" s="8">
        <v>249000</v>
      </c>
      <c r="L86" s="8">
        <v>470000</v>
      </c>
      <c r="M86" s="8">
        <v>478000</v>
      </c>
    </row>
    <row r="87" spans="1:19" x14ac:dyDescent="0.3">
      <c r="A87" s="7" t="s">
        <v>62</v>
      </c>
      <c r="D87" s="8">
        <v>18758</v>
      </c>
      <c r="E87" s="8">
        <v>111000</v>
      </c>
      <c r="F87" s="8">
        <v>205</v>
      </c>
      <c r="G87" s="8">
        <v>157000</v>
      </c>
      <c r="H87" s="8">
        <v>670000</v>
      </c>
      <c r="I87" s="8">
        <v>510000</v>
      </c>
      <c r="J87" s="8">
        <v>715000</v>
      </c>
    </row>
    <row r="88" spans="1:19" x14ac:dyDescent="0.3">
      <c r="A88" s="7" t="s">
        <v>63</v>
      </c>
      <c r="F88" s="8">
        <v>15</v>
      </c>
      <c r="H88" s="8">
        <v>92000</v>
      </c>
      <c r="J88" s="8">
        <v>78000</v>
      </c>
    </row>
    <row r="89" spans="1:19" x14ac:dyDescent="0.3">
      <c r="A89" s="7" t="s">
        <v>66</v>
      </c>
      <c r="B89" s="8">
        <v>170145</v>
      </c>
      <c r="D89" s="8">
        <v>18913</v>
      </c>
    </row>
    <row r="93" spans="1:19" x14ac:dyDescent="0.3">
      <c r="A93" s="3" t="s">
        <v>69</v>
      </c>
    </row>
    <row r="94" spans="1:19" x14ac:dyDescent="0.3">
      <c r="A94" s="4" t="s">
        <v>3</v>
      </c>
      <c r="B94" s="5" t="s">
        <v>19</v>
      </c>
      <c r="C94" s="5" t="s">
        <v>23</v>
      </c>
      <c r="D94" s="5" t="s">
        <v>24</v>
      </c>
      <c r="E94" s="5" t="s">
        <v>25</v>
      </c>
      <c r="F94" s="5" t="s">
        <v>26</v>
      </c>
      <c r="G94" s="5" t="s">
        <v>4</v>
      </c>
      <c r="H94" s="5" t="s">
        <v>27</v>
      </c>
      <c r="I94" s="5" t="s">
        <v>28</v>
      </c>
      <c r="J94" s="5" t="s">
        <v>29</v>
      </c>
      <c r="K94" s="5" t="s">
        <v>5</v>
      </c>
      <c r="L94" s="5" t="s">
        <v>6</v>
      </c>
      <c r="M94" s="5" t="s">
        <v>7</v>
      </c>
      <c r="N94" s="5" t="s">
        <v>8</v>
      </c>
      <c r="O94" s="5" t="s">
        <v>9</v>
      </c>
      <c r="P94" s="5" t="s">
        <v>10</v>
      </c>
      <c r="Q94" s="5" t="s">
        <v>11</v>
      </c>
      <c r="R94" s="5" t="s">
        <v>12</v>
      </c>
      <c r="S94" s="5" t="s">
        <v>13</v>
      </c>
    </row>
    <row r="95" spans="1:19" x14ac:dyDescent="0.3">
      <c r="A95" s="6" t="s">
        <v>70</v>
      </c>
    </row>
    <row r="96" spans="1:19" x14ac:dyDescent="0.3">
      <c r="A96" s="7" t="s">
        <v>71</v>
      </c>
      <c r="B96" s="8">
        <v>394.41800000000001</v>
      </c>
      <c r="C96" s="8">
        <v>3051.9380000000001</v>
      </c>
      <c r="D96" s="8">
        <v>3561</v>
      </c>
      <c r="E96" s="8">
        <v>4944</v>
      </c>
      <c r="F96" s="8">
        <v>5505</v>
      </c>
      <c r="G96" s="8">
        <v>9885</v>
      </c>
      <c r="H96" s="8">
        <v>11848</v>
      </c>
      <c r="I96" s="8">
        <v>14962</v>
      </c>
      <c r="J96" s="8">
        <v>18703</v>
      </c>
      <c r="K96" s="8">
        <v>21908</v>
      </c>
      <c r="L96" s="8">
        <v>26110</v>
      </c>
      <c r="M96" s="8">
        <v>34844</v>
      </c>
      <c r="N96" s="8">
        <v>36573</v>
      </c>
      <c r="O96" s="8">
        <v>39231</v>
      </c>
      <c r="P96" s="8">
        <v>43441</v>
      </c>
      <c r="Q96" s="8">
        <v>52892</v>
      </c>
      <c r="R96" s="8">
        <v>57158</v>
      </c>
      <c r="S96" s="8">
        <v>60615</v>
      </c>
    </row>
    <row r="97" spans="1:19" x14ac:dyDescent="0.3">
      <c r="A97" s="7" t="s">
        <v>72</v>
      </c>
      <c r="B97" s="8">
        <v>78.123999999999995</v>
      </c>
      <c r="C97" s="8">
        <v>304.20999999999998</v>
      </c>
      <c r="D97" s="8">
        <v>456</v>
      </c>
      <c r="E97" s="8">
        <v>739</v>
      </c>
      <c r="F97" s="8">
        <v>1013</v>
      </c>
      <c r="G97" s="8">
        <v>1257</v>
      </c>
      <c r="H97" s="8">
        <v>1524</v>
      </c>
      <c r="I97" s="8">
        <v>2596</v>
      </c>
      <c r="J97" s="8">
        <v>4617</v>
      </c>
      <c r="K97" s="8">
        <v>6143</v>
      </c>
      <c r="L97" s="8">
        <v>6294</v>
      </c>
      <c r="M97" s="8">
        <v>6687</v>
      </c>
      <c r="N97" s="8">
        <v>9070</v>
      </c>
      <c r="O97" s="8">
        <v>12237</v>
      </c>
      <c r="P97" s="8">
        <v>12237</v>
      </c>
      <c r="Q97" s="8">
        <v>14828</v>
      </c>
      <c r="R97" s="8">
        <v>14919</v>
      </c>
      <c r="S97" s="8">
        <v>17501</v>
      </c>
    </row>
    <row r="98" spans="1:19" x14ac:dyDescent="0.3">
      <c r="A98" s="7" t="s">
        <v>73</v>
      </c>
      <c r="O98" s="8">
        <v>10136</v>
      </c>
      <c r="P98" s="8">
        <v>11683</v>
      </c>
      <c r="Q98" s="8">
        <v>16585</v>
      </c>
      <c r="R98" s="8">
        <v>22430</v>
      </c>
      <c r="S98" s="8">
        <v>14631</v>
      </c>
    </row>
    <row r="99" spans="1:19" x14ac:dyDescent="0.3">
      <c r="A99" s="7" t="s">
        <v>74</v>
      </c>
      <c r="B99" s="8">
        <v>630.75900000000001</v>
      </c>
      <c r="C99" s="8">
        <v>890.69500000000005</v>
      </c>
      <c r="D99" s="8">
        <v>968</v>
      </c>
      <c r="E99" s="8">
        <v>996</v>
      </c>
      <c r="F99" s="8">
        <v>1177</v>
      </c>
      <c r="G99" s="8">
        <v>1124</v>
      </c>
      <c r="H99" s="8">
        <v>1158</v>
      </c>
      <c r="I99" s="8">
        <v>1286</v>
      </c>
      <c r="J99" s="8">
        <v>1399</v>
      </c>
      <c r="K99" s="8">
        <v>1467</v>
      </c>
      <c r="L99" s="8">
        <v>1571</v>
      </c>
      <c r="M99" s="8">
        <v>1623</v>
      </c>
      <c r="N99" s="8">
        <v>1632</v>
      </c>
      <c r="O99" s="8">
        <v>2228</v>
      </c>
      <c r="P99" s="8">
        <v>1681</v>
      </c>
      <c r="Q99" s="8">
        <v>1846</v>
      </c>
      <c r="R99" s="8">
        <v>2880</v>
      </c>
      <c r="S99" s="8">
        <v>3570</v>
      </c>
    </row>
    <row r="100" spans="1:19" x14ac:dyDescent="0.3">
      <c r="A100" s="7" t="s">
        <v>75</v>
      </c>
      <c r="O100" s="8">
        <v>2561</v>
      </c>
      <c r="P100" s="8">
        <v>2375</v>
      </c>
      <c r="Q100" s="8">
        <v>2439</v>
      </c>
      <c r="R100" s="8">
        <v>2443</v>
      </c>
      <c r="S100" s="8">
        <v>2523</v>
      </c>
    </row>
    <row r="101" spans="1:19" x14ac:dyDescent="0.3">
      <c r="A101" s="7" t="s">
        <v>76</v>
      </c>
      <c r="S101" s="8">
        <v>11187</v>
      </c>
    </row>
    <row r="105" spans="1:19" x14ac:dyDescent="0.3">
      <c r="A105" s="3" t="s">
        <v>77</v>
      </c>
    </row>
    <row r="106" spans="1:19" x14ac:dyDescent="0.3">
      <c r="A106" s="4" t="s">
        <v>3</v>
      </c>
      <c r="B106" s="5" t="s">
        <v>9</v>
      </c>
      <c r="C106" s="5" t="s">
        <v>11</v>
      </c>
      <c r="D106" s="5" t="s">
        <v>12</v>
      </c>
      <c r="E106" s="5" t="s">
        <v>13</v>
      </c>
      <c r="F106" s="5" t="s">
        <v>14</v>
      </c>
    </row>
    <row r="107" spans="1:19" x14ac:dyDescent="0.3">
      <c r="A107" s="6" t="s">
        <v>78</v>
      </c>
    </row>
    <row r="108" spans="1:19" x14ac:dyDescent="0.3">
      <c r="A108" s="7" t="s">
        <v>79</v>
      </c>
      <c r="B108" s="8">
        <v>13970</v>
      </c>
      <c r="C108" s="8">
        <v>126644</v>
      </c>
      <c r="D108" s="8">
        <v>132171</v>
      </c>
      <c r="E108" s="8">
        <v>132183</v>
      </c>
      <c r="F108" s="8">
        <v>131865</v>
      </c>
    </row>
    <row r="109" spans="1:19" x14ac:dyDescent="0.3">
      <c r="A109" s="7" t="s">
        <v>80</v>
      </c>
      <c r="B109" s="8">
        <v>500</v>
      </c>
      <c r="C109" s="8">
        <v>500</v>
      </c>
      <c r="D109" s="8">
        <v>500</v>
      </c>
      <c r="E109" s="8">
        <v>500</v>
      </c>
      <c r="F109" s="8">
        <v>500</v>
      </c>
    </row>
    <row r="113" spans="1:1" x14ac:dyDescent="0.3">
      <c r="A113" s="3" t="s">
        <v>81</v>
      </c>
    </row>
    <row r="114" spans="1:1" x14ac:dyDescent="0.3">
      <c r="A114" s="2" t="s">
        <v>82</v>
      </c>
    </row>
    <row r="116" spans="1:1" x14ac:dyDescent="0.3">
      <c r="A116" s="7" t="s">
        <v>83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 Transcript Reports</vt:lpstr>
      <vt:lpstr>Disclosures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2026-05-10T21:31:38Z</dcterms:created>
  <dcterms:modified xsi:type="dcterms:W3CDTF">2026-05-17T00:48:26Z</dcterms:modified>
</cp:coreProperties>
</file>