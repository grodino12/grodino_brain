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13" autoFilterDateGrouping="1"/>
  </bookViews>
  <sheets>
    <sheet xmlns:r="http://schemas.openxmlformats.org/officeDocument/2006/relationships" name="MD&amp;A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ANNL P&amp;L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YTD P&amp;L" sheetId="6" state="hidden" r:id="rId6"/>
    <sheet xmlns:r="http://schemas.openxmlformats.org/officeDocument/2006/relationships" name="YTD BS" sheetId="7" state="hidden" r:id="rId7"/>
    <sheet xmlns:r="http://schemas.openxmlformats.org/officeDocument/2006/relationships" name="YTD CF" sheetId="8" state="hidden" r:id="rId8"/>
    <sheet xmlns:r="http://schemas.openxmlformats.org/officeDocument/2006/relationships" name="QTR P&amp;L" sheetId="9" state="visible" r:id="rId9"/>
    <sheet xmlns:r="http://schemas.openxmlformats.org/officeDocument/2006/relationships" name="QTR BS" sheetId="10" state="visible" r:id="rId10"/>
    <sheet xmlns:r="http://schemas.openxmlformats.org/officeDocument/2006/relationships" name="QTR CF" sheetId="11" state="visible" r:id="rId11"/>
    <sheet xmlns:r="http://schemas.openxmlformats.org/officeDocument/2006/relationships" name="IS DRIVERS" sheetId="12" state="visible" r:id="rId12"/>
    <sheet xmlns:r="http://schemas.openxmlformats.org/officeDocument/2006/relationships" name="BS DRIVERS" sheetId="13" state="visible" r:id="rId13"/>
    <sheet xmlns:r="http://schemas.openxmlformats.org/officeDocument/2006/relationships" name="CF DRIVERS" sheetId="14" state="visible" r:id="rId14"/>
    <sheet xmlns:r="http://schemas.openxmlformats.org/officeDocument/2006/relationships" name="Revenue Driver" sheetId="15" state="visible" r:id="rId15"/>
  </sheets>
  <externalReferences>
    <externalReference xmlns:r="http://schemas.openxmlformats.org/officeDocument/2006/relationships" r:id="rId16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2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  <numFmt numFmtId="168" formatCode="0.0%"/>
    <numFmt numFmtId="169" formatCode="0.0%;\(0.0%\)"/>
    <numFmt numFmtId="170" formatCode="\$#,##0.00"/>
    <numFmt numFmtId="171" formatCode="&quot;$&quot;#,##0"/>
    <numFmt numFmtId="172" formatCode="#,##0.0"/>
    <numFmt numFmtId="173" formatCode="&quot;$&quot;#,##0.00"/>
    <numFmt numFmtId="174" formatCode="#,##0;(#,##0);&quot;--&quot;"/>
    <numFmt numFmtId="175" formatCode="0.0%;(0.0%);&quot;-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rgb="FF000000"/>
      <sz val="12"/>
    </font>
    <font>
      <name val="Arial"/>
      <family val="2"/>
      <color theme="1"/>
      <sz val="11"/>
    </font>
    <font>
      <name val="Arial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i val="1"/>
      <color rgb="FF444444"/>
      <sz val="9"/>
    </font>
    <font>
      <name val="Arial"/>
      <family val="2"/>
      <color rgb="FF000000"/>
      <sz val="8"/>
    </font>
    <font>
      <name val="Arial"/>
      <family val="2"/>
      <color rgb="FF0000FF"/>
      <sz val="8"/>
    </font>
    <font>
      <name val="Arial"/>
      <family val="2"/>
      <sz val="8"/>
    </font>
    <font>
      <name val="Arial"/>
      <family val="2"/>
      <color theme="1"/>
      <sz val="8"/>
    </font>
    <font>
      <name val="Arial"/>
      <family val="2"/>
      <color theme="1"/>
      <sz val="10"/>
    </font>
    <font>
      <b val="1"/>
      <sz val="14"/>
    </font>
    <font>
      <i val="1"/>
      <color rgb="00595959"/>
      <sz val="9"/>
    </font>
    <font>
      <b val="1"/>
      <color rgb="001F4E79"/>
      <sz val="11"/>
    </font>
    <font>
      <b val="1"/>
      <sz val="10"/>
    </font>
    <font>
      <sz val="10"/>
    </font>
    <font>
      <i val="1"/>
      <color rgb="00595959"/>
      <sz val="10"/>
    </font>
    <font>
      <i val="1"/>
      <color rgb="00808080"/>
      <sz val="9"/>
    </font>
    <font>
      <b val="1"/>
      <i val="1"/>
      <color rgb="00595959"/>
      <sz val="10"/>
    </font>
    <font>
      <b val="1"/>
      <i val="1"/>
      <color rgb="00808080"/>
      <sz val="10"/>
    </font>
    <font>
      <i val="1"/>
      <color rgb="00808080"/>
      <sz val="10"/>
    </font>
    <font>
      <b val="1"/>
      <color theme="1"/>
      <sz val="10"/>
    </font>
    <font>
      <b val="1"/>
      <color rgb="002E7D32"/>
      <sz val="11"/>
    </font>
    <font>
      <b val="1"/>
      <color rgb="00C62828"/>
      <sz val="11"/>
    </font>
  </fonts>
  <fills count="6">
    <fill>
      <patternFill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theme="1" tint="0.249977111117893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indexed="64"/>
      </top>
      <bottom/>
      <diagonal/>
    </border>
    <border>
      <top style="thin">
        <color rgb="00000000"/>
      </top>
    </border>
    <border>
      <bottom style="thin">
        <color rgb="00000000"/>
      </bottom>
    </border>
    <border>
      <left/>
      <right/>
      <top style="thin">
        <color rgb="00000000"/>
      </top>
      <bottom/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4" fillId="5" borderId="0" pivotButton="0" quotePrefix="0" xfId="0"/>
    <xf numFmtId="3" fontId="8" fillId="0" borderId="2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68" fontId="10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10" fillId="0" borderId="2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center" vertical="center"/>
    </xf>
    <xf numFmtId="3" fontId="8" fillId="0" borderId="0" pivotButton="0" quotePrefix="0" xfId="0"/>
    <xf numFmtId="3" fontId="9" fillId="0" borderId="0" pivotButton="0" quotePrefix="0" xfId="0"/>
    <xf numFmtId="168" fontId="10" fillId="0" borderId="0" pivotButton="0" quotePrefix="0" xfId="0"/>
    <xf numFmtId="0" fontId="11" fillId="0" borderId="0" pivotButton="0" quotePrefix="0" xfId="0"/>
    <xf numFmtId="169" fontId="12" fillId="0" borderId="0" applyAlignment="1" pivotButton="0" quotePrefix="0" xfId="0">
      <alignment horizontal="right"/>
    </xf>
    <xf numFmtId="169" fontId="12" fillId="0" borderId="2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/>
    </xf>
    <xf numFmtId="169" fontId="14" fillId="0" borderId="0" applyAlignment="1" pivotButton="0" quotePrefix="0" xfId="0">
      <alignment horizontal="right"/>
    </xf>
    <xf numFmtId="170" fontId="10" fillId="0" borderId="0" pivotButton="0" quotePrefix="0" xfId="0"/>
    <xf numFmtId="168" fontId="12" fillId="0" borderId="0" pivotButton="0" quotePrefix="0" xfId="0"/>
    <xf numFmtId="10" fontId="10" fillId="0" borderId="2" applyAlignment="1" pivotButton="0" quotePrefix="0" xfId="0">
      <alignment horizontal="center" vertical="center"/>
    </xf>
    <xf numFmtId="171" fontId="9" fillId="0" borderId="0" pivotButton="0" quotePrefix="0" xfId="0"/>
    <xf numFmtId="3" fontId="10" fillId="0" borderId="0" pivotButton="0" quotePrefix="0" xfId="0"/>
    <xf numFmtId="172" fontId="10" fillId="0" borderId="0" pivotButton="0" quotePrefix="0" xfId="0"/>
    <xf numFmtId="3" fontId="13" fillId="0" borderId="0" pivotButton="0" quotePrefix="0" xfId="0"/>
    <xf numFmtId="3" fontId="15" fillId="0" borderId="0" pivotButton="0" quotePrefix="0" xfId="0"/>
    <xf numFmtId="3" fontId="7" fillId="0" borderId="0" pivotButton="0" quotePrefix="0" xfId="0"/>
    <xf numFmtId="3" fontId="16" fillId="0" borderId="3" pivotButton="0" quotePrefix="0" xfId="0"/>
    <xf numFmtId="9" fontId="16" fillId="0" borderId="0" pivotButton="0" quotePrefix="0" xfId="0"/>
    <xf numFmtId="168" fontId="8" fillId="0" borderId="0" pivotButton="0" quotePrefix="0" xfId="0"/>
    <xf numFmtId="0" fontId="1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left" vertical="center"/>
    </xf>
    <xf numFmtId="9" fontId="8" fillId="0" borderId="0" pivotButton="0" quotePrefix="0" xfId="0"/>
    <xf numFmtId="3" fontId="8" fillId="0" borderId="0" applyAlignment="1" pivotButton="0" quotePrefix="1" xfId="0">
      <alignment horizontal="right"/>
    </xf>
    <xf numFmtId="173" fontId="8" fillId="0" borderId="0" pivotButton="0" quotePrefix="0" xfId="0"/>
    <xf numFmtId="169" fontId="12" fillId="0" borderId="0" applyAlignment="1" pivotButton="0" quotePrefix="0" xfId="0">
      <alignment horizontal="righ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4" pivotButton="0" quotePrefix="0" xfId="0"/>
    <xf numFmtId="0" fontId="20" fillId="0" borderId="5" applyAlignment="1" pivotButton="0" quotePrefix="0" xfId="0">
      <alignment horizontal="center"/>
    </xf>
    <xf numFmtId="0" fontId="21" fillId="0" borderId="0" pivotButton="0" quotePrefix="0" xfId="0"/>
    <xf numFmtId="174" fontId="21" fillId="0" borderId="0" pivotButton="0" quotePrefix="0" xfId="0"/>
    <xf numFmtId="174" fontId="22" fillId="0" borderId="0" pivotButton="0" quotePrefix="0" xfId="0"/>
    <xf numFmtId="0" fontId="23" fillId="0" borderId="0" pivotButton="0" quotePrefix="0" xfId="0"/>
    <xf numFmtId="0" fontId="20" fillId="0" borderId="4" pivotButton="0" quotePrefix="0" xfId="0"/>
    <xf numFmtId="174" fontId="20" fillId="0" borderId="4" pivotButton="0" quotePrefix="0" xfId="0"/>
    <xf numFmtId="174" fontId="24" fillId="0" borderId="4" pivotButton="0" quotePrefix="0" xfId="0"/>
    <xf numFmtId="0" fontId="25" fillId="0" borderId="4" pivotButton="0" quotePrefix="0" xfId="0"/>
    <xf numFmtId="175" fontId="21" fillId="0" borderId="0" pivotButton="0" quotePrefix="0" xfId="0"/>
    <xf numFmtId="175" fontId="22" fillId="0" borderId="0" pivotButton="0" quotePrefix="0" xfId="0"/>
    <xf numFmtId="0" fontId="26" fillId="0" borderId="0" applyAlignment="1" pivotButton="0" quotePrefix="0" xfId="0">
      <alignment horizontal="right"/>
    </xf>
    <xf numFmtId="175" fontId="20" fillId="0" borderId="4" pivotButton="0" quotePrefix="0" xfId="0"/>
    <xf numFmtId="175" fontId="24" fillId="0" borderId="4" pivotButton="0" quotePrefix="0" xfId="0"/>
    <xf numFmtId="0" fontId="25" fillId="0" borderId="4" applyAlignment="1" pivotButton="0" quotePrefix="0" xfId="0">
      <alignment horizontal="right"/>
    </xf>
    <xf numFmtId="175" fontId="21" fillId="0" borderId="4" pivotButton="0" quotePrefix="0" xfId="0"/>
    <xf numFmtId="0" fontId="0" fillId="0" borderId="4" pivotButton="0" quotePrefix="0" xfId="0"/>
    <xf numFmtId="0" fontId="18" fillId="0" borderId="4" pivotButton="0" quotePrefix="0" xfId="0"/>
    <xf numFmtId="0" fontId="23" fillId="0" borderId="4" pivotButton="0" quotePrefix="0" xfId="0"/>
    <xf numFmtId="0" fontId="27" fillId="0" borderId="4" pivotButton="0" quotePrefix="0" xfId="0"/>
    <xf numFmtId="0" fontId="0" fillId="0" borderId="6" pivotButton="0" quotePrefix="0" xfId="0"/>
    <xf numFmtId="0" fontId="20" fillId="0" borderId="5" applyAlignment="1" pivotButton="0" quotePrefix="0" xfId="0">
      <alignment horizontal="center" wrapText="1"/>
    </xf>
    <xf numFmtId="174" fontId="21" fillId="0" borderId="4" pivotButton="0" quotePrefix="0" xfId="0"/>
    <xf numFmtId="174" fontId="22" fillId="0" borderId="4" pivotButton="0" quotePrefix="0" xfId="0"/>
    <xf numFmtId="0" fontId="18" fillId="0" borderId="0" applyAlignment="1" pivotButton="0" quotePrefix="0" xfId="0">
      <alignment vertical="top" wrapText="1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8" fillId="0" borderId="4" applyAlignment="1" pivotButton="0" quotePrefix="0" xfId="0">
      <alignment horizontal="center"/>
    </xf>
    <xf numFmtId="0" fontId="29" fillId="0" borderId="4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Source</author>
  </authors>
  <commentList>
    <comment ref="B6" authorId="0" shapeId="0">
      <text>
        <t>Q1 2024 10-Q Note 4 (Revenue), comparable-period column. Q1 2023 10-Q itself did not disclose disaggregation.</t>
      </text>
    </comment>
    <comment ref="C6" authorId="0" shapeId="0">
      <text>
        <t>Q1 2024 10-Q Note 4 (Revenue), comparable-period column. Q1 2023 10-Q itself did not disclose disaggregation.</t>
      </text>
    </comment>
    <comment ref="D6" authorId="0" shapeId="0">
      <text>
        <t>Q1 2024 10-Q Note 4 (Revenue), comparable-period column. Q1 2023 10-Q itself did not disclose disaggregation.</t>
      </text>
    </comment>
    <comment ref="E6" authorId="0" shapeId="0">
      <text>
        <t>Q1 2024 10-Q Note 4 (Revenue), comparable-period column. Q1 2023 10-Q itself did not disclose disaggregation.</t>
      </text>
    </comment>
    <comment ref="F6" authorId="0" shapeId="0">
      <text>
        <t>Total = SUM(NA + Europe + Asia-Pac + Other)</t>
      </text>
    </comment>
    <comment ref="B7" authorId="0" shapeId="0">
      <text>
        <t>Q2 2024 10-Q MD&amp;A geography table, comparable-period column. Q2 2023 10-Q did not disclose disaggregation.</t>
      </text>
    </comment>
    <comment ref="C7" authorId="0" shapeId="0">
      <text>
        <t>Q2 2024 10-Q MD&amp;A geography table, comparable-period column. Q2 2023 10-Q did not disclose disaggregation.</t>
      </text>
    </comment>
    <comment ref="D7" authorId="0" shapeId="0">
      <text>
        <t>Q2 2024 10-Q MD&amp;A geography table, comparable-period column. Q2 2023 10-Q did not disclose disaggregation.</t>
      </text>
    </comment>
    <comment ref="E7" authorId="0" shapeId="0">
      <text>
        <t>Q2 2024 10-Q MD&amp;A geography table, comparable-period column. Q2 2023 10-Q did not disclose disaggregation.</t>
      </text>
    </comment>
    <comment ref="F7" authorId="0" shapeId="0">
      <text>
        <t>Total = SUM(NA + Europe + Asia-Pac + Other)</t>
      </text>
    </comment>
    <comment ref="B8" authorId="0" shapeId="0">
      <text>
        <t>Q3 2023 10-Q MD&amp;A: "amount of revenues by geographical location for the three months ended September 30, 2023".</t>
      </text>
    </comment>
    <comment ref="C8" authorId="0" shapeId="0">
      <text>
        <t>Q3 2023 10-Q MD&amp;A: "amount of revenues by geographical location for the three months ended September 30, 2023".</t>
      </text>
    </comment>
    <comment ref="D8" authorId="0" shapeId="0">
      <text>
        <t>Q3 2023 10-Q MD&amp;A: "amount of revenues by geographical location for the three months ended September 30, 2023".</t>
      </text>
    </comment>
    <comment ref="E8" authorId="0" shapeId="0">
      <text>
        <t>Q3 2023 10-Q MD&amp;A: "amount of revenues by geographical location for the three months ended September 30, 2023".</t>
      </text>
    </comment>
    <comment ref="F8" authorId="0" shapeId="0">
      <text>
        <t>Total = SUM(NA + Europe + Asia-Pac + Other)</t>
      </text>
    </comment>
    <comment ref="B9" authorId="0" shapeId="0">
      <text>
        <t>Q4 derived as FY minus Q1+Q2+Q3 of same year (CELH does not disclose Q4 directly).</t>
      </text>
    </comment>
    <comment ref="C9" authorId="0" shapeId="0">
      <text>
        <t>Q4 derived as FY minus Q1+Q2+Q3 of same year (CELH does not disclose Q4 directly).</t>
      </text>
    </comment>
    <comment ref="D9" authorId="0" shapeId="0">
      <text>
        <t>Q4 derived as FY minus Q1+Q2+Q3 of same year (CELH does not disclose Q4 directly).</t>
      </text>
    </comment>
    <comment ref="E9" authorId="0" shapeId="0">
      <text>
        <t>Q4 derived as FY minus Q1+Q2+Q3 of same year (CELH does not disclose Q4 directly).</t>
      </text>
    </comment>
    <comment ref="F9" authorId="0" shapeId="0">
      <text>
        <t>Total = SUM</t>
      </text>
    </comment>
    <comment ref="B10" authorId="0" shapeId="0">
      <text>
        <t>FY2023 10-K MD&amp;A: "amount of revenues by geographical location for the years ended December 31, 2023 and December 31, 2022".</t>
      </text>
    </comment>
    <comment ref="C10" authorId="0" shapeId="0">
      <text>
        <t>FY2023 10-K MD&amp;A: "amount of revenues by geographical location for the years ended December 31, 2023 and December 31, 2022".</t>
      </text>
    </comment>
    <comment ref="D10" authorId="0" shapeId="0">
      <text>
        <t>FY2023 10-K MD&amp;A: "amount of revenues by geographical location for the years ended December 31, 2023 and December 31, 2022".</t>
      </text>
    </comment>
    <comment ref="E10" authorId="0" shapeId="0">
      <text>
        <t>FY2023 10-K MD&amp;A: "amount of revenues by geographical location for the years ended December 31, 2023 and December 31, 2022".</t>
      </text>
    </comment>
    <comment ref="F10" authorId="0" shapeId="0">
      <text>
        <t>Total = SUM(NA + Europe + Asia-Pac + Other)</t>
      </text>
    </comment>
    <comment ref="B11" authorId="0" shapeId="0">
      <text>
        <t>Q1 2024 10-Q MD&amp;A geography table.</t>
      </text>
    </comment>
    <comment ref="C11" authorId="0" shapeId="0">
      <text>
        <t>Q1 2024 10-Q MD&amp;A geography table.</t>
      </text>
    </comment>
    <comment ref="D11" authorId="0" shapeId="0">
      <text>
        <t>Q1 2024 10-Q MD&amp;A geography table.</t>
      </text>
    </comment>
    <comment ref="E11" authorId="0" shapeId="0">
      <text>
        <t>Q1 2024 10-Q MD&amp;A geography table.</t>
      </text>
    </comment>
    <comment ref="F11" authorId="0" shapeId="0">
      <text>
        <t>Total = SUM(NA + Europe + Asia-Pac + Other)</t>
      </text>
    </comment>
    <comment ref="B12" authorId="0" shapeId="0">
      <text>
        <t>Q2 2024 10-Q MD&amp;A geography table (3M).</t>
      </text>
    </comment>
    <comment ref="C12" authorId="0" shapeId="0">
      <text>
        <t>Q2 2024 10-Q MD&amp;A geography table (3M).</t>
      </text>
    </comment>
    <comment ref="D12" authorId="0" shapeId="0">
      <text>
        <t>Q2 2024 10-Q MD&amp;A geography table (3M).</t>
      </text>
    </comment>
    <comment ref="E12" authorId="0" shapeId="0">
      <text>
        <t>Q2 2024 10-Q MD&amp;A geography table (3M).</t>
      </text>
    </comment>
    <comment ref="F12" authorId="0" shapeId="0">
      <text>
        <t>Total = SUM(NA + Europe + Asia-Pac + Other)</t>
      </text>
    </comment>
    <comment ref="B13" authorId="0" shapeId="0">
      <text>
        <t>Q3 2024 10-Q MD&amp;A geography table. Sweden was largest foreign country at $9.5M Q3.</t>
      </text>
    </comment>
    <comment ref="C13" authorId="0" shapeId="0">
      <text>
        <t>Q3 2024 10-Q MD&amp;A geography table. Sweden was largest foreign country at $9.5M Q3.</t>
      </text>
    </comment>
    <comment ref="D13" authorId="0" shapeId="0">
      <text>
        <t>Q3 2024 10-Q MD&amp;A geography table. Sweden was largest foreign country at $9.5M Q3.</t>
      </text>
    </comment>
    <comment ref="E13" authorId="0" shapeId="0">
      <text>
        <t>Q3 2024 10-Q MD&amp;A geography table. Sweden was largest foreign country at $9.5M Q3.</t>
      </text>
    </comment>
    <comment ref="F13" authorId="0" shapeId="0">
      <text>
        <t>Total = SUM(NA + Europe + Asia-Pac + Other)</t>
      </text>
    </comment>
    <comment ref="B14" authorId="0" shapeId="0">
      <text>
        <t>Q4 derived as FY minus Q1+Q2+Q3 of same year (CELH does not disclose Q4 directly).</t>
      </text>
    </comment>
    <comment ref="C14" authorId="0" shapeId="0">
      <text>
        <t>Q4 derived as FY minus Q1+Q2+Q3 of same year (CELH does not disclose Q4 directly).</t>
      </text>
    </comment>
    <comment ref="D14" authorId="0" shapeId="0">
      <text>
        <t>Q4 derived as FY minus Q1+Q2+Q3 of same year (CELH does not disclose Q4 directly).</t>
      </text>
    </comment>
    <comment ref="E14" authorId="0" shapeId="0">
      <text>
        <t>Q4 derived as FY minus Q1+Q2+Q3 of same year (CELH does not disclose Q4 directly).</t>
      </text>
    </comment>
    <comment ref="F14" authorId="0" shapeId="0">
      <text>
        <t>Total = SUM</t>
      </text>
    </comment>
    <comment ref="B15" authorId="0" shapeId="0">
      <text>
        <t>FY2024 10-K MD&amp;A geography table.</t>
      </text>
    </comment>
    <comment ref="C15" authorId="0" shapeId="0">
      <text>
        <t>FY2024 10-K MD&amp;A geography table.</t>
      </text>
    </comment>
    <comment ref="D15" authorId="0" shapeId="0">
      <text>
        <t>FY2024 10-K MD&amp;A geography table.</t>
      </text>
    </comment>
    <comment ref="E15" authorId="0" shapeId="0">
      <text>
        <t>FY2024 10-K MD&amp;A geography table.</t>
      </text>
    </comment>
    <comment ref="F15" authorId="0" shapeId="0">
      <text>
        <t>Total = SUM(NA + Europe + Asia-Pac + Other)</t>
      </text>
    </comment>
    <comment ref="B16" authorId="0" shapeId="0">
      <text>
        <t>Q1 2025 10-Q Note 4 (Revenue). Puerto Rico revenue included in "Other".</t>
      </text>
    </comment>
    <comment ref="C16" authorId="0" shapeId="0">
      <text>
        <t>Q1 2025 10-Q Note 4 (Revenue). Puerto Rico revenue included in "Other".</t>
      </text>
    </comment>
    <comment ref="D16" authorId="0" shapeId="0">
      <text>
        <t>Q1 2025 10-Q Note 4 (Revenue). Puerto Rico revenue included in "Other".</t>
      </text>
    </comment>
    <comment ref="E16" authorId="0" shapeId="0">
      <text>
        <t>Q1 2025 10-Q Note 4 (Revenue). Puerto Rico revenue included in "Other".</t>
      </text>
    </comment>
    <comment ref="F16" authorId="0" shapeId="0">
      <text>
        <t>Total = SUM(NA + Europe + Asia-Pac + Other)</t>
      </text>
    </comment>
    <comment ref="B17" authorId="0" shapeId="0">
      <text>
        <t>Q2 2025 10-Q Note 4 (Revenue). First quarter post-Alani close (April 1, 2025).</t>
      </text>
    </comment>
    <comment ref="C17" authorId="0" shapeId="0">
      <text>
        <t>Q2 2025 10-Q Note 4 (Revenue). First quarter post-Alani close (April 1, 2025).</t>
      </text>
    </comment>
    <comment ref="D17" authorId="0" shapeId="0">
      <text>
        <t>Q2 2025 10-Q Note 4 (Revenue). First quarter post-Alani close (April 1, 2025).</t>
      </text>
    </comment>
    <comment ref="E17" authorId="0" shapeId="0">
      <text>
        <t>Q2 2025 10-Q Note 4 (Revenue). First quarter post-Alani close (April 1, 2025).</t>
      </text>
    </comment>
    <comment ref="F17" authorId="0" shapeId="0">
      <text>
        <t>Total = SUM(NA + Europe + Asia-Pac + Other)</t>
      </text>
    </comment>
    <comment ref="B18" authorId="0" shapeId="0">
      <text>
        <t>Q3 2025 10-Q Note 4 (Revenue). Includes ~33 days of Rockstar (closed Aug 28).</t>
      </text>
    </comment>
    <comment ref="C18" authorId="0" shapeId="0">
      <text>
        <t>Q3 2025 10-Q Note 4 (Revenue). Includes ~33 days of Rockstar (closed Aug 28).</t>
      </text>
    </comment>
    <comment ref="D18" authorId="0" shapeId="0">
      <text>
        <t>Q3 2025 10-Q Note 4 (Revenue). Includes ~33 days of Rockstar (closed Aug 28).</t>
      </text>
    </comment>
    <comment ref="E18" authorId="0" shapeId="0">
      <text>
        <t>Q3 2025 10-Q Note 4 (Revenue). Includes ~33 days of Rockstar (closed Aug 28).</t>
      </text>
    </comment>
    <comment ref="F18" authorId="0" shapeId="0">
      <text>
        <t>Total = SUM(NA + Europe + Asia-Pac + Other)</t>
      </text>
    </comment>
    <comment ref="B19" authorId="0" shapeId="0">
      <text>
        <t>Q4 derived as FY minus Q1+Q2+Q3 of same year (CELH does not disclose Q4 directly).</t>
      </text>
    </comment>
    <comment ref="C19" authorId="0" shapeId="0">
      <text>
        <t>Q4 derived as FY minus Q1+Q2+Q3 of same year (CELH does not disclose Q4 directly).</t>
      </text>
    </comment>
    <comment ref="D19" authorId="0" shapeId="0">
      <text>
        <t>Q4 derived as FY minus Q1+Q2+Q3 of same year (CELH does not disclose Q4 directly).</t>
      </text>
    </comment>
    <comment ref="E19" authorId="0" shapeId="0">
      <text>
        <t>Q4 derived as FY minus Q1+Q2+Q3 of same year (CELH does not disclose Q4 directly).</t>
      </text>
    </comment>
    <comment ref="F19" authorId="0" shapeId="0">
      <text>
        <t>Total = SUM</t>
      </text>
    </comment>
    <comment ref="B20" authorId="0" shapeId="0">
      <text>
        <t>FY2025 10-K MD&amp;A geography table. Full year of Celsius + 9 months of Alani + ~4 months of Rockstar.</t>
      </text>
    </comment>
    <comment ref="C20" authorId="0" shapeId="0">
      <text>
        <t>FY2025 10-K MD&amp;A geography table. Full year of Celsius + 9 months of Alani + ~4 months of Rockstar.</t>
      </text>
    </comment>
    <comment ref="D20" authorId="0" shapeId="0">
      <text>
        <t>FY2025 10-K MD&amp;A geography table. Full year of Celsius + 9 months of Alani + ~4 months of Rockstar.</t>
      </text>
    </comment>
    <comment ref="E20" authorId="0" shapeId="0">
      <text>
        <t>FY2025 10-K MD&amp;A geography table. Full year of Celsius + 9 months of Alani + ~4 months of Rockstar.</t>
      </text>
    </comment>
    <comment ref="F20" authorId="0" shapeId="0">
      <text>
        <t>Total = SUM(NA + Europe + Asia-Pac + Other)</t>
      </text>
    </comment>
    <comment ref="B25" authorId="0" shapeId="0">
      <text>
        <t>Q1 2023 10-Q -- "Revenue from customers accounting for more than 10.0% of total revenue" table. n/d = below 10% threshold (lumped into "All others").</t>
      </text>
    </comment>
    <comment ref="C25" authorId="0" shapeId="0">
      <text>
        <t>Q1 2023 10-Q -- "Revenue from customers accounting for more than 10.0% of total revenue" table. n/d = below 10% threshold (lumped into "All others").</t>
      </text>
    </comment>
    <comment ref="D25" authorId="0" shapeId="0">
      <text>
        <t>Q1 2023 10-Q -- "Revenue from customers accounting for more than 10.0% of total revenue" table. n/d = below 10% threshold (lumped into "All others").</t>
      </text>
    </comment>
    <comment ref="E25" authorId="0" shapeId="0">
      <text>
        <t>Q1 2023 10-Q -- "Revenue from customers accounting for more than 10.0% of total revenue" table. n/d = below 10% threshold (lumped into "All others").</t>
      </text>
    </comment>
    <comment ref="F25" authorId="0" shapeId="0">
      <text>
        <t>Total = SUM (n/d cells treated as 0; should equal 100%).</t>
      </text>
    </comment>
    <comment ref="B26" authorId="0" shapeId="0">
      <text>
        <t>Q2 2023 10-Q -- "Revenue from customers accounting for more than 10.0% of total revenue" table. n/d = below 10% threshold (lumped into "All others").</t>
      </text>
    </comment>
    <comment ref="C26" authorId="0" shapeId="0">
      <text>
        <t>Q2 2023 10-Q -- "Revenue from customers accounting for more than 10.0% of total revenue" table. n/d = below 10% threshold (lumped into "All others").</t>
      </text>
    </comment>
    <comment ref="D26" authorId="0" shapeId="0">
      <text>
        <t>Q2 2023 10-Q -- customer below 10% threshold; not separately disclosed.</t>
      </text>
    </comment>
    <comment ref="E26" authorId="0" shapeId="0">
      <text>
        <t>Q2 2023 10-Q -- "Revenue from customers accounting for more than 10.0% of total revenue" table. n/d = below 10% threshold (lumped into "All others").</t>
      </text>
    </comment>
    <comment ref="F26" authorId="0" shapeId="0">
      <text>
        <t>Total = SUM (n/d cells treated as 0; should equal 100%).</t>
      </text>
    </comment>
    <comment ref="B27" authorId="0" shapeId="0">
      <text>
        <t>Q3 2023 10-Q -- "Revenue from customers accounting for more than 10.0% of total revenue" table. n/d = below 10% threshold (lumped into "All others").</t>
      </text>
    </comment>
    <comment ref="C27" authorId="0" shapeId="0">
      <text>
        <t>Q3 2023 10-Q -- "Revenue from customers accounting for more than 10.0% of total revenue" table. n/d = below 10% threshold (lumped into "All others").</t>
      </text>
    </comment>
    <comment ref="D27" authorId="0" shapeId="0">
      <text>
        <t>Q3 2023 10-Q -- customer below 10% threshold; not separately disclosed.</t>
      </text>
    </comment>
    <comment ref="E27" authorId="0" shapeId="0">
      <text>
        <t>Q3 2023 10-Q -- "Revenue from customers accounting for more than 10.0% of total revenue" table. n/d = below 10% threshold (lumped into "All others").</t>
      </text>
    </comment>
    <comment ref="F27" authorId="0" shapeId="0">
      <text>
        <t>Total = SUM (n/d cells treated as 0; should equal 100%).</t>
      </text>
    </comment>
    <comment ref="B28" authorId="0" shapeId="0">
      <text>
        <t>FY2023 10-K -- "Revenue from customers accounting for more than 10.0% of total revenue" table. n/d = below 10% threshold (lumped into "All others").</t>
      </text>
    </comment>
    <comment ref="C28" authorId="0" shapeId="0">
      <text>
        <t>FY2023 10-K -- "Revenue from customers accounting for more than 10.0% of total revenue" table. n/d = below 10% threshold (lumped into "All others").</t>
      </text>
    </comment>
    <comment ref="D28" authorId="0" shapeId="0">
      <text>
        <t>FY2023 10-K -- "Revenue from customers accounting for more than 10.0% of total revenue" table. n/d = below 10% threshold (lumped into "All others").</t>
      </text>
    </comment>
    <comment ref="E28" authorId="0" shapeId="0">
      <text>
        <t>FY2023 10-K -- "Revenue from customers accounting for more than 10.0% of total revenue" table. n/d = below 10% threshold (lumped into "All others").</t>
      </text>
    </comment>
    <comment ref="F28" authorId="0" shapeId="0">
      <text>
        <t>Total = SUM (n/d cells treated as 0; should equal 100%).</t>
      </text>
    </comment>
    <comment ref="B29" authorId="0" shapeId="0">
      <text>
        <t>Q1 2024 10-Q -- "Revenue from customers accounting for more than 10.0% of total revenue" table. n/d = below 10% threshold (lumped into "All others").</t>
      </text>
    </comment>
    <comment ref="C29" authorId="0" shapeId="0">
      <text>
        <t>Q1 2024 10-Q -- "Revenue from customers accounting for more than 10.0% of total revenue" table. n/d = below 10% threshold (lumped into "All others").</t>
      </text>
    </comment>
    <comment ref="D29" authorId="0" shapeId="0">
      <text>
        <t>Q1 2024 10-Q -- customer below 10% threshold; not separately disclosed.</t>
      </text>
    </comment>
    <comment ref="E29" authorId="0" shapeId="0">
      <text>
        <t>Q1 2024 10-Q -- "Revenue from customers accounting for more than 10.0% of total revenue" table. n/d = below 10% threshold (lumped into "All others").</t>
      </text>
    </comment>
    <comment ref="F29" authorId="0" shapeId="0">
      <text>
        <t>Total = SUM (n/d cells treated as 0; should equal 100%).</t>
      </text>
    </comment>
    <comment ref="B30" authorId="0" shapeId="0">
      <text>
        <t>Q2 2024 10-Q -- "Revenue from customers accounting for more than 10.0% of total revenue" table. n/d = below 10% threshold (lumped into "All others").</t>
      </text>
    </comment>
    <comment ref="C30" authorId="0" shapeId="0">
      <text>
        <t>Q2 2024 10-Q -- "Revenue from customers accounting for more than 10.0% of total revenue" table. n/d = below 10% threshold (lumped into "All others").</t>
      </text>
    </comment>
    <comment ref="D30" authorId="0" shapeId="0">
      <text>
        <t>Q2 2024 10-Q -- customer below 10% threshold; not separately disclosed.</t>
      </text>
    </comment>
    <comment ref="E30" authorId="0" shapeId="0">
      <text>
        <t>Q2 2024 10-Q -- "Revenue from customers accounting for more than 10.0% of total revenue" table. n/d = below 10% threshold (lumped into "All others").</t>
      </text>
    </comment>
    <comment ref="F30" authorId="0" shapeId="0">
      <text>
        <t>Total = SUM (n/d cells treated as 0; should equal 100%).</t>
      </text>
    </comment>
    <comment ref="B31" authorId="0" shapeId="0">
      <text>
        <t>Q3 2024 10-Q -- "Revenue from customers accounting for more than 10.0% of total revenue" table. n/d = below 10% threshold (lumped into "All others").</t>
      </text>
    </comment>
    <comment ref="C31" authorId="0" shapeId="0">
      <text>
        <t>Q3 2024 10-Q -- "Revenue from customers accounting for more than 10.0% of total revenue" table. n/d = below 10% threshold (lumped into "All others").</t>
      </text>
    </comment>
    <comment ref="D31" authorId="0" shapeId="0">
      <text>
        <t>Q3 2024 10-Q -- "Revenue from customers accounting for more than 10.0% of total revenue" table. n/d = below 10% threshold (lumped into "All others").</t>
      </text>
    </comment>
    <comment ref="E31" authorId="0" shapeId="0">
      <text>
        <t>Q3 2024 10-Q -- "Revenue from customers accounting for more than 10.0% of total revenue" table. n/d = below 10% threshold (lumped into "All others").</t>
      </text>
    </comment>
    <comment ref="F31" authorId="0" shapeId="0">
      <text>
        <t>Total = SUM (n/d cells treated as 0; should equal 100%).</t>
      </text>
    </comment>
    <comment ref="B32" authorId="0" shapeId="0">
      <text>
        <t>FY2024 10-K -- "Revenue from customers accounting for more than 10.0% of total revenue" table. n/d = below 10% threshold (lumped into "All others").</t>
      </text>
    </comment>
    <comment ref="C32" authorId="0" shapeId="0">
      <text>
        <t>FY2024 10-K -- "Revenue from customers accounting for more than 10.0% of total revenue" table. n/d = below 10% threshold (lumped into "All others").</t>
      </text>
    </comment>
    <comment ref="D32" authorId="0" shapeId="0">
      <text>
        <t>FY2024 10-K -- customer below 10% threshold; not separately disclosed.</t>
      </text>
    </comment>
    <comment ref="E32" authorId="0" shapeId="0">
      <text>
        <t>FY2024 10-K -- "Revenue from customers accounting for more than 10.0% of total revenue" table. n/d = below 10% threshold (lumped into "All others").</t>
      </text>
    </comment>
    <comment ref="F32" authorId="0" shapeId="0">
      <text>
        <t>Total = SUM (n/d cells treated as 0; should equal 100%).</t>
      </text>
    </comment>
    <comment ref="B33" authorId="0" shapeId="0">
      <text>
        <t>Q1 2025 10-Q -- "Revenue from customers accounting for more than 10.0% of total revenue" table. n/d = below 10% threshold (lumped into "All others").</t>
      </text>
    </comment>
    <comment ref="C33" authorId="0" shapeId="0">
      <text>
        <t>Q1 2025 10-Q -- "Revenue from customers accounting for more than 10.0% of total revenue" table. n/d = below 10% threshold (lumped into "All others").</t>
      </text>
    </comment>
    <comment ref="D33" authorId="0" shapeId="0">
      <text>
        <t>Q1 2025 10-Q -- "Revenue from customers accounting for more than 10.0% of total revenue" table. n/d = below 10% threshold (lumped into "All others").</t>
      </text>
    </comment>
    <comment ref="E33" authorId="0" shapeId="0">
      <text>
        <t>Q1 2025 10-Q -- "Revenue from customers accounting for more than 10.0% of total revenue" table. n/d = below 10% threshold (lumped into "All others").</t>
      </text>
    </comment>
    <comment ref="F33" authorId="0" shapeId="0">
      <text>
        <t>Total = SUM (n/d cells treated as 0; should equal 100%).</t>
      </text>
    </comment>
    <comment ref="B34" authorId="0" shapeId="0">
      <text>
        <t>Q2 2025 10-Q -- "Revenue from customers accounting for more than 10.0% of total revenue" table. n/d = below 10% threshold (lumped into "All others").</t>
      </text>
    </comment>
    <comment ref="C34" authorId="0" shapeId="0">
      <text>
        <t>Q2 2025 10-Q -- "Revenue from customers accounting for more than 10.0% of total revenue" table. n/d = below 10% threshold (lumped into "All others").</t>
      </text>
    </comment>
    <comment ref="D34" authorId="0" shapeId="0">
      <text>
        <t>Q2 2025 10-Q -- customer below 10% threshold; not separately disclosed.</t>
      </text>
    </comment>
    <comment ref="E34" authorId="0" shapeId="0">
      <text>
        <t>Q2 2025 10-Q -- "Revenue from customers accounting for more than 10.0% of total revenue" table. n/d = below 10% threshold (lumped into "All others").</t>
      </text>
    </comment>
    <comment ref="F34" authorId="0" shapeId="0">
      <text>
        <t>Total = SUM (n/d cells treated as 0; should equal 100%).</t>
      </text>
    </comment>
    <comment ref="B35" authorId="0" shapeId="0">
      <text>
        <t>Q3 2025 10-Q -- "Revenue from customers accounting for more than 10.0% of total revenue" table. n/d = below 10% threshold (lumped into "All others").</t>
      </text>
    </comment>
    <comment ref="C35" authorId="0" shapeId="0">
      <text>
        <t>Q3 2025 10-Q -- "Revenue from customers accounting for more than 10.0% of total revenue" table. n/d = below 10% threshold (lumped into "All others").</t>
      </text>
    </comment>
    <comment ref="D35" authorId="0" shapeId="0">
      <text>
        <t>Q3 2025 10-Q -- "Revenue from customers accounting for more than 10.0% of total revenue" table. n/d = below 10% threshold (lumped into "All others").</t>
      </text>
    </comment>
    <comment ref="E35" authorId="0" shapeId="0">
      <text>
        <t>Q3 2025 10-Q -- "Revenue from customers accounting for more than 10.0% of total revenue" table. n/d = below 10% threshold (lumped into "All others").</t>
      </text>
    </comment>
    <comment ref="F35" authorId="0" shapeId="0">
      <text>
        <t>Total = SUM (n/d cells treated as 0; should equal 100%).</t>
      </text>
    </comment>
    <comment ref="B36" authorId="0" shapeId="0">
      <text>
        <t>FY2025 10-K -- "Revenue from customers accounting for more than 10.0% of total revenue" table. n/d = below 10% threshold (lumped into "All others").</t>
      </text>
    </comment>
    <comment ref="C36" authorId="0" shapeId="0">
      <text>
        <t>FY2025 10-K -- "Revenue from customers accounting for more than 10.0% of total revenue" table. n/d = below 10% threshold (lumped into "All others").</t>
      </text>
    </comment>
    <comment ref="D36" authorId="0" shapeId="0">
      <text>
        <t>FY2025 10-K -- customer below 10% threshold; not separately disclosed.</t>
      </text>
    </comment>
    <comment ref="E36" authorId="0" shapeId="0">
      <text>
        <t>FY2025 10-K -- "Revenue from customers accounting for more than 10.0% of total revenue" table. n/d = below 10% threshold (lumped into "All others").</t>
      </text>
    </comment>
    <comment ref="F36" authorId="0" shapeId="0">
      <text>
        <t>Total = SUM (n/d cells treated as 0; should equal 100%).</t>
      </text>
    </comment>
    <comment ref="B41" authorId="0" shapeId="0">
      <text>
        <t>FY2023 10-K -- "Functional energy drink product revenue accounted for approximately X% of revenue" disclosure in Concentrations of Risk note.</t>
      </text>
    </comment>
    <comment ref="B42" authorId="0" shapeId="0">
      <text>
        <t>Q3 2024 10-Q -- "Functional energy drink product revenue accounted for approximately X% of revenue" disclosure in Concentrations of Risk note.</t>
      </text>
    </comment>
    <comment ref="C42" authorId="0" shapeId="0">
      <text>
        <t>Q3 2024 10-Q -- "Functional energy drink product revenue accounted for approximately X% of revenue" disclosure in Concentrations of Risk note.</t>
      </text>
    </comment>
    <comment ref="B43" authorId="0" shapeId="0">
      <text>
        <t>FY2024 10-K -- "Functional energy drink product revenue accounted for approximately X% of revenue" disclosure in Concentrations of Risk note.</t>
      </text>
    </comment>
    <comment ref="B44" authorId="0" shapeId="0">
      <text>
        <t>Q2 2025 10-Q -- "Functional energy drink product revenue accounted for approximately X% of revenue" disclosure in Concentrations of Risk note.</t>
      </text>
    </comment>
    <comment ref="C44" authorId="0" shapeId="0">
      <text>
        <t>Q2 2025 10-Q -- "Functional energy drink product revenue accounted for approximately X% of revenue" disclosure in Concentrations of Risk note.</t>
      </text>
    </comment>
    <comment ref="B45" authorId="0" shapeId="0">
      <text>
        <t>Q3 2025 10-Q -- "Functional energy drink product revenue accounted for approximately X% of revenue" disclosure in Concentrations of Risk note.</t>
      </text>
    </comment>
    <comment ref="C45" authorId="0" shapeId="0">
      <text>
        <t>Q3 2025 10-Q -- "Functional energy drink product revenue accounted for approximately X% of revenue" disclosure in Concentrations of Risk note.</t>
      </text>
    </comment>
    <comment ref="B46" authorId="0" shapeId="0">
      <text>
        <t>FY2025 10-K -- "Functional energy drink product revenue accounted for approximately X% of revenue" disclosure in Concentrations of Risk note.</t>
      </text>
    </comment>
    <comment ref="B51" authorId="0" shapeId="0">
      <text>
        <t>Celsius brand = Total - Alani - Rockstar (residual; CELH does not disclose Celsius brand directly).</t>
      </text>
    </comment>
    <comment ref="C51" authorId="0" shapeId="0">
      <text>
        <t>Pre-acquisition. Alani closed April 1, 2025; Rockstar closed August 28, 2025.</t>
      </text>
    </comment>
    <comment ref="D51" authorId="0" shapeId="0">
      <text>
        <t>Pre-acquisition. Alani closed April 1, 2025; Rockstar closed August 28, 2025.</t>
      </text>
    </comment>
    <comment ref="E51" authorId="0" shapeId="0">
      <text>
        <t>Total revenue links to Geography section (F16); change there propagates here.</t>
      </text>
    </comment>
    <comment ref="F51" authorId="0" shapeId="0">
      <text>
        <t>% Alani of total single-period revenue.</t>
      </text>
    </comment>
    <comment ref="B52" authorId="0" shapeId="0">
      <text>
        <t>Celsius brand = Total - Alani - Rockstar (residual; CELH does not disclose Celsius brand directly).</t>
      </text>
    </comment>
    <comment ref="C52" authorId="0" shapeId="0">
      <text>
        <t>Alani Nu Operations: "generated approximately $301.2 million of revenue ... from the Closing Date through June 30, 2025."</t>
      </text>
    </comment>
    <comment ref="D52" authorId="0" shapeId="0">
      <text>
        <t>Alani Nu Operations: "generated approximately $301.2 million of revenue ... from the Closing Date through June 30, 2025."</t>
      </text>
    </comment>
    <comment ref="E52" authorId="0" shapeId="0">
      <text>
        <t>Total revenue links to Geography section (F17); change there propagates here.</t>
      </text>
    </comment>
    <comment ref="F52" authorId="0" shapeId="0">
      <text>
        <t>% Alani of total single-period revenue.</t>
      </text>
    </comment>
    <comment ref="B53" authorId="0" shapeId="0">
      <text>
        <t>Celsius brand = Total - Alani - Rockstar (residual; CELH does not disclose Celsius brand directly).</t>
      </text>
    </comment>
    <comment ref="C53" authorId="0" shapeId="0">
      <text>
        <t>Alani $332.0M from MD&amp;A narrative; cross-checked via Item 4 (35.3% x 9M rev). Rockstar $12.2M from Note 5 (Aug 28 - Sep 30 partial).</t>
      </text>
    </comment>
    <comment ref="D53" authorId="0" shapeId="0">
      <text>
        <t>Alani $332.0M from MD&amp;A narrative; cross-checked via Item 4 (35.3% x 9M rev). Rockstar $12.2M from Note 5 (Aug 28 - Sep 30 partial).</t>
      </text>
    </comment>
    <comment ref="E53" authorId="0" shapeId="0">
      <text>
        <t>Total revenue links to Geography section (F18); change there propagates here.</t>
      </text>
    </comment>
    <comment ref="F53" authorId="0" shapeId="0">
      <text>
        <t>% Alani of total single-period revenue.</t>
      </text>
    </comment>
    <comment ref="B54" authorId="0" shapeId="0">
      <text>
        <t>Celsius brand = Total - Alani - Rockstar (residual; CELH does not disclose Celsius brand directly).</t>
      </text>
    </comment>
    <comment ref="C54" authorId="0" shapeId="0">
      <text>
        <t>Q4 Alani = FY - (Q1 + Q2 + Q3). Q1 = 0 (pre-acquisition).</t>
      </text>
    </comment>
    <comment ref="D54" authorId="0" shapeId="0">
      <text>
        <t>Q4 Rockstar = FY - (Q1 + Q2 + Q3). First full quarter of ownership.</t>
      </text>
    </comment>
    <comment ref="E54" authorId="0" shapeId="0">
      <text>
        <t>Total revenue links to Geography section (F19); change there propagates here.</t>
      </text>
    </comment>
    <comment ref="F54" authorId="0" shapeId="0">
      <text>
        <t>% Alani of total single-period revenue.</t>
      </text>
    </comment>
    <comment ref="B55" authorId="0" shapeId="0">
      <text>
        <t>Celsius brand = Total - Alani - Rockstar (residual; CELH does not disclose Celsius brand directly).</t>
      </text>
    </comment>
    <comment ref="C55" authorId="0" shapeId="0">
      <text>
        <t>Alani Nu Operations: "$1,001.9 million of revenue for the period from the Closing Date of Alani Nu through December 31, 2025." Rockstar Operations: "$55.6 million of revenue ... from the Closing Date of the Pepsi Transactions through December 31, 2025." Cross-checks: Item 9A confirms 39.8% (Alani) and 2.2% (Rockstar) of consolidated revenue.</t>
      </text>
    </comment>
    <comment ref="D55" authorId="0" shapeId="0">
      <text>
        <t>Alani Nu Operations: "$1,001.9 million of revenue for the period from the Closing Date of Alani Nu through December 31, 2025." Rockstar Operations: "$55.6 million of revenue ... from the Closing Date of the Pepsi Transactions through December 31, 2025." Cross-checks: Item 9A confirms 39.8% (Alani) and 2.2% (Rockstar) of consolidated revenue.</t>
      </text>
    </comment>
    <comment ref="E55" authorId="0" shapeId="0">
      <text>
        <t>Total revenue links to Geography section (F20); change there propagates here.</t>
      </text>
    </comment>
    <comment ref="F55" authorId="0" shapeId="0">
      <text>
        <t>% Alani of total single-period revenue.</t>
      </text>
    </comment>
    <comment ref="B60" authorId="0" shapeId="0">
      <text>
        <t>Q3 2025 10-Q N5 -- Actual reported revenue.</t>
      </text>
    </comment>
    <comment ref="C60" authorId="0" shapeId="0">
      <text>
        <t>Pro forma 3M Sep-2024 (as if both acquisitions closed Jan 1, 2024).</t>
      </text>
    </comment>
    <comment ref="D60" authorId="0" shapeId="0">
      <text>
        <t>Pro forma minus Actual = revenue from acquisitions in periods CELH did not yet own them.</t>
      </text>
    </comment>
    <comment ref="B61" authorId="0" shapeId="0">
      <text>
        <t>Q3 2025 10-Q N5 -- Actual reported revenue.</t>
      </text>
    </comment>
    <comment ref="C61" authorId="0" shapeId="0">
      <text>
        <t>Pro forma 3M Sep-2025. Difference vs actual = ~2 months missing Rockstar (pre-Aug-28).</t>
      </text>
    </comment>
    <comment ref="D61" authorId="0" shapeId="0">
      <text>
        <t>Pro forma minus Actual = revenue from acquisitions in periods CELH did not yet own them.</t>
      </text>
    </comment>
    <comment ref="E61" authorId="0" shapeId="0">
      <text>
        <t>Pro forma YoY growth (apples-to-apples; both years assume acquisitions owned).</t>
      </text>
    </comment>
    <comment ref="B62" authorId="0" shapeId="0">
      <text>
        <t>Q3 2025 10-Q N5 -- Actual reported revenue.</t>
      </text>
    </comment>
    <comment ref="C62" authorId="0" shapeId="0">
      <text>
        <t>Pro forma 9M Sep-2024. Difference vs actual = full 9M of Alani + Rockstar.</t>
      </text>
    </comment>
    <comment ref="D62" authorId="0" shapeId="0">
      <text>
        <t>Pro forma minus Actual = revenue from acquisitions in periods CELH did not yet own them.</t>
      </text>
    </comment>
    <comment ref="B63" authorId="0" shapeId="0">
      <text>
        <t>Q3 2025 10-Q N5 -- Actual reported revenue.</t>
      </text>
    </comment>
    <comment ref="C63" authorId="0" shapeId="0">
      <text>
        <t>Pro forma 9M Sep-2025. Difference vs actual = Alani Q1 (Jan-Mar) + Rockstar Jan-Aug 27.</t>
      </text>
    </comment>
    <comment ref="D63" authorId="0" shapeId="0">
      <text>
        <t>Pro forma minus Actual = revenue from acquisitions in periods CELH did not yet own them.</t>
      </text>
    </comment>
    <comment ref="E63" authorId="0" shapeId="0">
      <text>
        <t>Pro forma YoY growth (apples-to-apples; both years assume acquisitions owned).</t>
      </text>
    </comment>
    <comment ref="B64" authorId="0" shapeId="0">
      <text>
        <t>FY2025 10-K N5 -- Actual reported revenue.</t>
      </text>
    </comment>
    <comment ref="C64" authorId="0" shapeId="0">
      <text>
        <t>Pro forma FY2024. Implied: full-year Alani + Rockstar combined ~$962M in 2024.</t>
      </text>
    </comment>
    <comment ref="D64" authorId="0" shapeId="0">
      <text>
        <t>Pro forma minus Actual = revenue from acquisitions in periods CELH did not yet own them.</t>
      </text>
    </comment>
    <comment ref="B65" authorId="0" shapeId="0">
      <text>
        <t>FY2025 10-K N5 -- Actual reported revenue.</t>
      </text>
    </comment>
    <comment ref="C65" authorId="0" shapeId="0">
      <text>
        <t>Pro forma FY2025. Implied: ~$488M of additional Alani + Rockstar revenue if owned entire year.</t>
      </text>
    </comment>
    <comment ref="D65" authorId="0" shapeId="0">
      <text>
        <t>Pro forma minus Actual = revenue from acquisitions in periods CELH did not yet own them.</t>
      </text>
    </comment>
    <comment ref="E65" authorId="0" shapeId="0">
      <text>
        <t>Pro forma YoY growth (apples-to-apples; both years assume acquisitions owned).</t>
      </text>
    </comment>
    <comment ref="B70" authorId="0" shapeId="0">
      <text>
        <t>Q1 2023 10-Q: Total SG&amp;A line item.</t>
      </text>
    </comment>
    <comment ref="C70" authorId="0" shapeId="0">
      <text>
        <t>Q1 2023 10-Q: YoY Δ in total SG&amp;A as disclosed.</t>
      </text>
    </comment>
    <comment ref="D70" authorId="0" shapeId="0">
      <text>
        <t>Q1 2023 10-Q MD&amp;A: SG&amp;A $68.9M (+$25.1M YoY). Marketing investments +$16.5M; Storage/distribution -$3.0M; Employee +$3.6M; Administrative (audit, legal, insurance, rent) +$5.5M; Stock-based comp +$1.2M; Other (R&amp;D, D&amp;A, use/excise tax) +$1.4M.</t>
      </text>
    </comment>
    <comment ref="E70" authorId="0" shapeId="0">
      <text>
        <t>Q1 2023 10-Q MD&amp;A: SG&amp;A $68.9M (+$25.1M YoY). Marketing investments +$16.5M; Storage/distribution -$3.0M; Employee +$3.6M; Administrative (audit, legal, insurance, rent) +$5.5M; Stock-based comp +$1.2M; Other (R&amp;D, D&amp;A, use/excise tax) +$1.4M.</t>
      </text>
    </comment>
    <comment ref="F70" authorId="0" shapeId="0">
      <text>
        <t>Q1 2023 10-Q MD&amp;A: SG&amp;A $68.9M (+$25.1M YoY). Marketing investments +$16.5M; Storage/distribution -$3.0M; Employee +$3.6M; Administrative (audit, legal, insurance, rent) +$5.5M; Stock-based comp +$1.2M; Other (R&amp;D, D&amp;A, use/excise tax) +$1.4M.</t>
      </text>
    </comment>
    <comment ref="G70" authorId="0" shapeId="0">
      <text>
        <t>Q1 2023 10-Q MD&amp;A: SG&amp;A $68.9M (+$25.1M YoY). Marketing investments +$16.5M; Storage/distribution -$3.0M; Employee +$3.6M; Administrative (audit, legal, insurance, rent) +$5.5M; Stock-based comp +$1.2M; Other (R&amp;D, D&amp;A, use/excise tax) +$1.4M.</t>
      </text>
    </comment>
    <comment ref="H70" authorId="0" shapeId="0">
      <text>
        <t>Q1 2023 10-Q MD&amp;A: SG&amp;A $68.9M (+$25.1M YoY). Marketing investments +$16.5M; Storage/distribution -$3.0M; Employee +$3.6M; Administrative (audit, legal, insurance, rent) +$5.5M; Stock-based comp +$1.2M; Other (R&amp;D, D&amp;A, use/excise tax) +$1.4M.</t>
      </text>
    </comment>
    <comment ref="K70" authorId="0" shapeId="0">
      <text>
        <t>Q1 2023 10-Q MD&amp;A: SG&amp;A $68.9M (+$25.1M YoY). Marketing investments +$16.5M; Storage/distribution -$3.0M; Employee +$3.6M; Administrative (audit, legal, insurance, rent) +$5.5M; Stock-based comp +$1.2M; Other (R&amp;D, D&amp;A, use/excise tax) +$1.4M.</t>
      </text>
    </comment>
    <comment ref="L70" authorId="0" shapeId="0">
      <text>
        <t>Sum of disclosed driver buckets. Should approximate "YoY Total Δ" (col C). Gaps indicate undisclosed drivers in CELH narrative.</t>
      </text>
    </comment>
    <comment ref="B71" authorId="0" shapeId="0">
      <text>
        <t>Q2 2023 10-Q: Total SG&amp;A line item.</t>
      </text>
    </comment>
    <comment ref="C71" authorId="0" shapeId="0">
      <text>
        <t>Q2 2023 10-Q: YoY Δ in total SG&amp;A as disclosed.</t>
      </text>
    </comment>
    <comment ref="D71" authorId="0" shapeId="0">
      <text>
        <t>Q2 2023 10-Q MD&amp;A: SG&amp;A $94.2M (+$47.3M YoY, +101%). Marketing +$21.7M; Storage/distribution +$3.0M; Employee +$1.8M; Administrative +$15.0M (audit, legal, accrual of legal settlements, insurance, rent); Stock-based comp +$1.5M; Other (D&amp;A, R&amp;D, use/excise tax, other selling) +$4.3M.</t>
      </text>
    </comment>
    <comment ref="E71" authorId="0" shapeId="0">
      <text>
        <t>Q2 2023 10-Q MD&amp;A: SG&amp;A $94.2M (+$47.3M YoY, +101%). Marketing +$21.7M; Storage/distribution +$3.0M; Employee +$1.8M; Administrative +$15.0M (audit, legal, accrual of legal settlements, insurance, rent); Stock-based comp +$1.5M; Other (D&amp;A, R&amp;D, use/excise tax, other selling) +$4.3M.</t>
      </text>
    </comment>
    <comment ref="F71" authorId="0" shapeId="0">
      <text>
        <t>Q2 2023 10-Q MD&amp;A: SG&amp;A $94.2M (+$47.3M YoY, +101%). Marketing +$21.7M; Storage/distribution +$3.0M; Employee +$1.8M; Administrative +$15.0M (audit, legal, accrual of legal settlements, insurance, rent); Stock-based comp +$1.5M; Other (D&amp;A, R&amp;D, use/excise tax, other selling) +$4.3M.</t>
      </text>
    </comment>
    <comment ref="G71" authorId="0" shapeId="0">
      <text>
        <t>Q2 2023 10-Q MD&amp;A: SG&amp;A $94.2M (+$47.3M YoY, +101%). Marketing +$21.7M; Storage/distribution +$3.0M; Employee +$1.8M; Administrative +$15.0M (audit, legal, accrual of legal settlements, insurance, rent); Stock-based comp +$1.5M; Other (D&amp;A, R&amp;D, use/excise tax, other selling) +$4.3M.</t>
      </text>
    </comment>
    <comment ref="H71" authorId="0" shapeId="0">
      <text>
        <t>Q2 2023 10-Q MD&amp;A: SG&amp;A $94.2M (+$47.3M YoY, +101%). Marketing +$21.7M; Storage/distribution +$3.0M; Employee +$1.8M; Administrative +$15.0M (audit, legal, accrual of legal settlements, insurance, rent); Stock-based comp +$1.5M; Other (D&amp;A, R&amp;D, use/excise tax, other selling) +$4.3M.</t>
      </text>
    </comment>
    <comment ref="K71" authorId="0" shapeId="0">
      <text>
        <t>Q2 2023 10-Q MD&amp;A: SG&amp;A $94.2M (+$47.3M YoY, +101%). Marketing +$21.7M; Storage/distribution +$3.0M; Employee +$1.8M; Administrative +$15.0M (audit, legal, accrual of legal settlements, insurance, rent); Stock-based comp +$1.5M; Other (D&amp;A, R&amp;D, use/excise tax, other selling) +$4.3M.</t>
      </text>
    </comment>
    <comment ref="L71" authorId="0" shapeId="0">
      <text>
        <t>Sum of disclosed driver buckets. Should approximate "YoY Total Δ" (col C). Gaps indicate undisclosed drivers in CELH narrative.</t>
      </text>
    </comment>
    <comment ref="B72" authorId="0" shapeId="0">
      <text>
        <t>Q3 2023 10-Q: Total SG&amp;A line item.</t>
      </text>
    </comment>
    <comment ref="C72" authorId="0" shapeId="0">
      <text>
        <t>Q3 2023 10-Q: YoY Δ in total SG&amp;A as disclosed.</t>
      </text>
    </comment>
    <comment ref="D72" authorId="0" shapeId="0">
      <text>
        <t>Q3 2023 10-Q MD&amp;A: SG&amp;A $96.4M (-$129.8M YoY, -57%). Distributor termination -$149.5M (vs $193.8M one-time in 2022); Marketing +$21.2M; Storage/distribution +$2.2M; Employee +$3.9M; Administrative -$6.3M (down to $11.3M; mainly reflects $7.8M litigation settlement in 2022); Stock-based comp -$1.3M (forfeitures).</t>
      </text>
    </comment>
    <comment ref="E72" authorId="0" shapeId="0">
      <text>
        <t>Q3 2023 10-Q MD&amp;A: SG&amp;A $96.4M (-$129.8M YoY, -57%). Distributor termination -$149.5M (vs $193.8M one-time in 2022); Marketing +$21.2M; Storage/distribution +$2.2M; Employee +$3.9M; Administrative -$6.3M (down to $11.3M; mainly reflects $7.8M litigation settlement in 2022); Stock-based comp -$1.3M (forfeitures).</t>
      </text>
    </comment>
    <comment ref="F72" authorId="0" shapeId="0">
      <text>
        <t>Q3 2023 10-Q MD&amp;A: SG&amp;A $96.4M (-$129.8M YoY, -57%). Distributor termination -$149.5M (vs $193.8M one-time in 2022); Marketing +$21.2M; Storage/distribution +$2.2M; Employee +$3.9M; Administrative -$6.3M (down to $11.3M; mainly reflects $7.8M litigation settlement in 2022); Stock-based comp -$1.3M (forfeitures).</t>
      </text>
    </comment>
    <comment ref="G72" authorId="0" shapeId="0">
      <text>
        <t>Q3 2023 10-Q MD&amp;A: SG&amp;A $96.4M (-$129.8M YoY, -57%). Distributor termination -$149.5M (vs $193.8M one-time in 2022); Marketing +$21.2M; Storage/distribution +$2.2M; Employee +$3.9M; Administrative -$6.3M (down to $11.3M; mainly reflects $7.8M litigation settlement in 2022); Stock-based comp -$1.3M (forfeitures).</t>
      </text>
    </comment>
    <comment ref="H72" authorId="0" shapeId="0">
      <text>
        <t>Q3 2023 10-Q MD&amp;A: SG&amp;A $96.4M (-$129.8M YoY, -57%). Distributor termination -$149.5M (vs $193.8M one-time in 2022); Marketing +$21.2M; Storage/distribution +$2.2M; Employee +$3.9M; Administrative -$6.3M (down to $11.3M; mainly reflects $7.8M litigation settlement in 2022); Stock-based comp -$1.3M (forfeitures).</t>
      </text>
    </comment>
    <comment ref="I72" authorId="0" shapeId="0">
      <text>
        <t>Q3 2023 10-Q MD&amp;A: SG&amp;A $96.4M (-$129.8M YoY, -57%). Distributor termination -$149.5M (vs $193.8M one-time in 2022); Marketing +$21.2M; Storage/distribution +$2.2M; Employee +$3.9M; Administrative -$6.3M (down to $11.3M; mainly reflects $7.8M litigation settlement in 2022); Stock-based comp -$1.3M (forfeitures).</t>
      </text>
    </comment>
    <comment ref="L72" authorId="0" shapeId="0">
      <text>
        <t>Sum of disclosed driver buckets. Should approximate "YoY Total Δ" (col C). Gaps indicate undisclosed drivers in CELH narrative.</t>
      </text>
    </comment>
    <comment ref="B73" authorId="0" shapeId="0">
      <text>
        <t>FY2023 10-K: Total SG&amp;A line item.</t>
      </text>
    </comment>
    <comment ref="C73" authorId="0" shapeId="0">
      <text>
        <t>FY2023 10-K: YoY Δ in total SG&amp;A as disclosed.</t>
      </text>
    </comment>
    <comment ref="D73" authorId="0" shapeId="0">
      <text>
        <t>FY2023 10-K MD&amp;A: SG&amp;A $366.8M (-$61.9M YoY, -14%). Distributor termination -$181.0M (vs $193.8M one-time in 2022); Marketing +$75.0M; Storage/distribution +$12.1M; Employee +$13.4M; Administrative +$18.0M (+45%, up to $57.9M; audit, legal, consulting, insurance, rent); Stock-based comp +$0.6M.</t>
      </text>
    </comment>
    <comment ref="E73" authorId="0" shapeId="0">
      <text>
        <t>FY2023 10-K MD&amp;A: SG&amp;A $366.8M (-$61.9M YoY, -14%). Distributor termination -$181.0M (vs $193.8M one-time in 2022); Marketing +$75.0M; Storage/distribution +$12.1M; Employee +$13.4M; Administrative +$18.0M (+45%, up to $57.9M; audit, legal, consulting, insurance, rent); Stock-based comp +$0.6M.</t>
      </text>
    </comment>
    <comment ref="F73" authorId="0" shapeId="0">
      <text>
        <t>FY2023 10-K MD&amp;A: SG&amp;A $366.8M (-$61.9M YoY, -14%). Distributor termination -$181.0M (vs $193.8M one-time in 2022); Marketing +$75.0M; Storage/distribution +$12.1M; Employee +$13.4M; Administrative +$18.0M (+45%, up to $57.9M; audit, legal, consulting, insurance, rent); Stock-based comp +$0.6M.</t>
      </text>
    </comment>
    <comment ref="G73" authorId="0" shapeId="0">
      <text>
        <t>FY2023 10-K MD&amp;A: SG&amp;A $366.8M (-$61.9M YoY, -14%). Distributor termination -$181.0M (vs $193.8M one-time in 2022); Marketing +$75.0M; Storage/distribution +$12.1M; Employee +$13.4M; Administrative +$18.0M (+45%, up to $57.9M; audit, legal, consulting, insurance, rent); Stock-based comp +$0.6M.</t>
      </text>
    </comment>
    <comment ref="H73" authorId="0" shapeId="0">
      <text>
        <t>FY2023 10-K MD&amp;A: SG&amp;A $366.8M (-$61.9M YoY, -14%). Distributor termination -$181.0M (vs $193.8M one-time in 2022); Marketing +$75.0M; Storage/distribution +$12.1M; Employee +$13.4M; Administrative +$18.0M (+45%, up to $57.9M; audit, legal, consulting, insurance, rent); Stock-based comp +$0.6M.</t>
      </text>
    </comment>
    <comment ref="I73" authorId="0" shapeId="0">
      <text>
        <t>FY2023 10-K MD&amp;A: SG&amp;A $366.8M (-$61.9M YoY, -14%). Distributor termination -$181.0M (vs $193.8M one-time in 2022); Marketing +$75.0M; Storage/distribution +$12.1M; Employee +$13.4M; Administrative +$18.0M (+45%, up to $57.9M; audit, legal, consulting, insurance, rent); Stock-based comp +$0.6M.</t>
      </text>
    </comment>
    <comment ref="L73" authorId="0" shapeId="0">
      <text>
        <t>Sum of disclosed driver buckets. Should approximate "YoY Total Δ" (col C). Gaps indicate undisclosed drivers in CELH narrative.</t>
      </text>
    </comment>
    <comment ref="B74" authorId="0" shapeId="0">
      <text>
        <t>Q1 2024 10-Q: Total SG&amp;A line item.</t>
      </text>
    </comment>
    <comment ref="C74" authorId="0" shapeId="0">
      <text>
        <t>Q1 2024 10-Q: YoY Δ in total SG&amp;A as disclosed.</t>
      </text>
    </comment>
    <comment ref="D74" authorId="0" shapeId="0">
      <text>
        <t>Q1 2024 10-Q MD&amp;A: SG&amp;A $99.0M (+$30.1M YoY, +44%). Marketing +$14.4M; Storage/distribution +$4.5M; Employee +$7.6M; Administrative +$2.8M (consulting fees); Stock-based comp -$1.9M (certain options fully expensed in prior period); Other selling +$2.7M.</t>
      </text>
    </comment>
    <comment ref="E74" authorId="0" shapeId="0">
      <text>
        <t>Q1 2024 10-Q MD&amp;A: SG&amp;A $99.0M (+$30.1M YoY, +44%). Marketing +$14.4M; Storage/distribution +$4.5M; Employee +$7.6M; Administrative +$2.8M (consulting fees); Stock-based comp -$1.9M (certain options fully expensed in prior period); Other selling +$2.7M.</t>
      </text>
    </comment>
    <comment ref="F74" authorId="0" shapeId="0">
      <text>
        <t>Q1 2024 10-Q MD&amp;A: SG&amp;A $99.0M (+$30.1M YoY, +44%). Marketing +$14.4M; Storage/distribution +$4.5M; Employee +$7.6M; Administrative +$2.8M (consulting fees); Stock-based comp -$1.9M (certain options fully expensed in prior period); Other selling +$2.7M.</t>
      </text>
    </comment>
    <comment ref="G74" authorId="0" shapeId="0">
      <text>
        <t>Q1 2024 10-Q MD&amp;A: SG&amp;A $99.0M (+$30.1M YoY, +44%). Marketing +$14.4M; Storage/distribution +$4.5M; Employee +$7.6M; Administrative +$2.8M (consulting fees); Stock-based comp -$1.9M (certain options fully expensed in prior period); Other selling +$2.7M.</t>
      </text>
    </comment>
    <comment ref="H74" authorId="0" shapeId="0">
      <text>
        <t>Q1 2024 10-Q MD&amp;A: SG&amp;A $99.0M (+$30.1M YoY, +44%). Marketing +$14.4M; Storage/distribution +$4.5M; Employee +$7.6M; Administrative +$2.8M (consulting fees); Stock-based comp -$1.9M (certain options fully expensed in prior period); Other selling +$2.7M.</t>
      </text>
    </comment>
    <comment ref="K74" authorId="0" shapeId="0">
      <text>
        <t>Q1 2024 10-Q MD&amp;A: SG&amp;A $99.0M (+$30.1M YoY, +44%). Marketing +$14.4M; Storage/distribution +$4.5M; Employee +$7.6M; Administrative +$2.8M (consulting fees); Stock-based comp -$1.9M (certain options fully expensed in prior period); Other selling +$2.7M.</t>
      </text>
    </comment>
    <comment ref="L74" authorId="0" shapeId="0">
      <text>
        <t>Sum of disclosed driver buckets. Should approximate "YoY Total Δ" (col C). Gaps indicate undisclosed drivers in CELH narrative.</t>
      </text>
    </comment>
    <comment ref="B75" authorId="0" shapeId="0">
      <text>
        <t>Q2 2024 10-Q: Total SG&amp;A line item.</t>
      </text>
    </comment>
    <comment ref="C75" authorId="0" shapeId="0">
      <text>
        <t>Q2 2024 10-Q: YoY Δ in total SG&amp;A as disclosed.</t>
      </text>
    </comment>
    <comment ref="D75" authorId="0" shapeId="0">
      <text>
        <t>Q2 2024 10-Q MD&amp;A: SG&amp;A $114.9M (+$20.7M YoY, +22%). Marketing +$22.9M; Employee +$9.7M; Administrative -$10.4M (lower consulting fees); Stock-based comp -$1.0M; Other (storage, R&amp;D, D&amp;A) -$0.5M.</t>
      </text>
    </comment>
    <comment ref="F75" authorId="0" shapeId="0">
      <text>
        <t>Q2 2024 10-Q MD&amp;A: SG&amp;A $114.9M (+$20.7M YoY, +22%). Marketing +$22.9M; Employee +$9.7M; Administrative -$10.4M (lower consulting fees); Stock-based comp -$1.0M; Other (storage, R&amp;D, D&amp;A) -$0.5M.</t>
      </text>
    </comment>
    <comment ref="G75" authorId="0" shapeId="0">
      <text>
        <t>Q2 2024 10-Q MD&amp;A: SG&amp;A $114.9M (+$20.7M YoY, +22%). Marketing +$22.9M; Employee +$9.7M; Administrative -$10.4M (lower consulting fees); Stock-based comp -$1.0M; Other (storage, R&amp;D, D&amp;A) -$0.5M.</t>
      </text>
    </comment>
    <comment ref="H75" authorId="0" shapeId="0">
      <text>
        <t>Q2 2024 10-Q MD&amp;A: SG&amp;A $114.9M (+$20.7M YoY, +22%). Marketing +$22.9M; Employee +$9.7M; Administrative -$10.4M (lower consulting fees); Stock-based comp -$1.0M; Other (storage, R&amp;D, D&amp;A) -$0.5M.</t>
      </text>
    </comment>
    <comment ref="K75" authorId="0" shapeId="0">
      <text>
        <t>Q2 2024 10-Q MD&amp;A: SG&amp;A $114.9M (+$20.7M YoY, +22%). Marketing +$22.9M; Employee +$9.7M; Administrative -$10.4M (lower consulting fees); Stock-based comp -$1.0M; Other (storage, R&amp;D, D&amp;A) -$0.5M.</t>
      </text>
    </comment>
    <comment ref="L75" authorId="0" shapeId="0">
      <text>
        <t>Sum of disclosed driver buckets. Should approximate "YoY Total Δ" (col C). Gaps indicate undisclosed drivers in CELH narrative.</t>
      </text>
    </comment>
    <comment ref="B76" authorId="0" shapeId="0">
      <text>
        <t>Q3 2024 10-Q: Total SG&amp;A line item.</t>
      </text>
    </comment>
    <comment ref="C76" authorId="0" shapeId="0">
      <text>
        <t>Q3 2024 10-Q: YoY Δ in total SG&amp;A as disclosed.</t>
      </text>
    </comment>
    <comment ref="D76" authorId="0" shapeId="0">
      <text>
        <t>Q3 2024 10-Q MD&amp;A: SG&amp;A $125.4M (+$29.0M YoY, +30%). Marketing +$17.5M; Employee +$9.3M; Other SG&amp;A +$2.2M.</t>
      </text>
    </comment>
    <comment ref="F76" authorId="0" shapeId="0">
      <text>
        <t>Q3 2024 10-Q MD&amp;A: SG&amp;A $125.4M (+$29.0M YoY, +30%). Marketing +$17.5M; Employee +$9.3M; Other SG&amp;A +$2.2M.</t>
      </text>
    </comment>
    <comment ref="K76" authorId="0" shapeId="0">
      <text>
        <t>Q3 2024 10-Q MD&amp;A: SG&amp;A $125.4M (+$29.0M YoY, +30%). Marketing +$17.5M; Employee +$9.3M; Other SG&amp;A +$2.2M.</t>
      </text>
    </comment>
    <comment ref="L76" authorId="0" shapeId="0">
      <text>
        <t>Sum of disclosed driver buckets. Should approximate "YoY Total Δ" (col C). Gaps indicate undisclosed drivers in CELH narrative.</t>
      </text>
    </comment>
    <comment ref="B77" authorId="0" shapeId="0">
      <text>
        <t>FY2024 10-K: Total SG&amp;A line item.</t>
      </text>
    </comment>
    <comment ref="C77" authorId="0" shapeId="0">
      <text>
        <t>FY2024 10-K: YoY Δ in total SG&amp;A as disclosed.</t>
      </text>
    </comment>
    <comment ref="D77" authorId="0" shapeId="0">
      <text>
        <t>FY2024 10-K MD&amp;A: SG&amp;A $524.5M (+$157.7M YoY, +43%). Marketing +$61.5M; Employee +$35.5M; Legal accrual +$52.8M (one-time, recognition of loss contingency); Other SG&amp;A +$20.3M (write-off receivables, restructuring, contractual co-packer obligations, acquisition expenses, other project fees); Other -$12.4M (offset). The $60.8M "Other" bucket here aggregates Legal accrual ($52.8M) + Other SG&amp;A ($20.3M) - Other ($12.4M).</t>
      </text>
    </comment>
    <comment ref="F77" authorId="0" shapeId="0">
      <text>
        <t>FY2024 10-K MD&amp;A: SG&amp;A $524.5M (+$157.7M YoY, +43%). Marketing +$61.5M; Employee +$35.5M; Legal accrual +$52.8M (one-time, recognition of loss contingency); Other SG&amp;A +$20.3M (write-off receivables, restructuring, contractual co-packer obligations, acquisition expenses, other project fees); Other -$12.4M (offset). The $60.8M "Other" bucket here aggregates Legal accrual ($52.8M) + Other SG&amp;A ($20.3M) - Other ($12.4M).</t>
      </text>
    </comment>
    <comment ref="K77" authorId="0" shapeId="0">
      <text>
        <t>FY2024 10-K MD&amp;A: SG&amp;A $524.5M (+$157.7M YoY, +43%). Marketing +$61.5M; Employee +$35.5M; Legal accrual +$52.8M (one-time, recognition of loss contingency); Other SG&amp;A +$20.3M (write-off receivables, restructuring, contractual co-packer obligations, acquisition expenses, other project fees); Other -$12.4M (offset). The $60.8M "Other" bucket here aggregates Legal accrual ($52.8M) + Other SG&amp;A ($20.3M) - Other ($12.4M).</t>
      </text>
    </comment>
    <comment ref="L77" authorId="0" shapeId="0">
      <text>
        <t>Sum of disclosed driver buckets. Should approximate "YoY Total Δ" (col C). Gaps indicate undisclosed drivers in CELH narrative.</t>
      </text>
    </comment>
    <comment ref="B78" authorId="0" shapeId="0">
      <text>
        <t>Q1 2025 10-Q: Total SG&amp;A line item.</t>
      </text>
    </comment>
    <comment ref="C78" authorId="0" shapeId="0">
      <text>
        <t>Q1 2025 10-Q: YoY Δ in total SG&amp;A as disclosed.</t>
      </text>
    </comment>
    <comment ref="D78" authorId="0" shapeId="0">
      <text>
        <t>Q1 2025 10-Q MD&amp;A: SG&amp;A $120.3M (+$21.3M YoY, +22%). Administrative +$12.1M (primarily acquisition-related transaction &amp; legal expenses); Employee +$4.9M; Marketing +$2.8M; All other SG&amp;A +$1.5M. Alani Nu acquisition closed April 1, 2025; Q1 2025 SG&amp;A still pre-acquisition.</t>
      </text>
    </comment>
    <comment ref="F78" authorId="0" shapeId="0">
      <text>
        <t>Q1 2025 10-Q MD&amp;A: SG&amp;A $120.3M (+$21.3M YoY, +22%). Administrative +$12.1M (primarily acquisition-related transaction &amp; legal expenses); Employee +$4.9M; Marketing +$2.8M; All other SG&amp;A +$1.5M. Alani Nu acquisition closed April 1, 2025; Q1 2025 SG&amp;A still pre-acquisition.</t>
      </text>
    </comment>
    <comment ref="G78" authorId="0" shapeId="0">
      <text>
        <t>Q1 2025 10-Q MD&amp;A: SG&amp;A $120.3M (+$21.3M YoY, +22%). Administrative +$12.1M (primarily acquisition-related transaction &amp; legal expenses); Employee +$4.9M; Marketing +$2.8M; All other SG&amp;A +$1.5M. Alani Nu acquisition closed April 1, 2025; Q1 2025 SG&amp;A still pre-acquisition.</t>
      </text>
    </comment>
    <comment ref="K78" authorId="0" shapeId="0">
      <text>
        <t>Q1 2025 10-Q MD&amp;A: SG&amp;A $120.3M (+$21.3M YoY, +22%). Administrative +$12.1M (primarily acquisition-related transaction &amp; legal expenses); Employee +$4.9M; Marketing +$2.8M; All other SG&amp;A +$1.5M. Alani Nu acquisition closed April 1, 2025; Q1 2025 SG&amp;A still pre-acquisition.</t>
      </text>
    </comment>
    <comment ref="L78" authorId="0" shapeId="0">
      <text>
        <t>Sum of disclosed driver buckets. Should approximate "YoY Total Δ" (col C). Gaps indicate undisclosed drivers in CELH narrative.</t>
      </text>
    </comment>
    <comment ref="B79" authorId="0" shapeId="0">
      <text>
        <t>Q2 2025 10-Q: Total SG&amp;A line item.</t>
      </text>
    </comment>
    <comment ref="C79" authorId="0" shapeId="0">
      <text>
        <t>Q2 2025 10-Q: YoY Δ in total SG&amp;A as disclosed.</t>
      </text>
    </comment>
    <comment ref="D79" authorId="0" shapeId="0">
      <text>
        <t>Q2 2025 10-Q MD&amp;A: SG&amp;A $237.9M (+$123.0M YoY, +107%). Marketing &amp; selling +$60.6M (Alani Nu +$29.7M; Marketing campaigns +$17.5M; Employee +$7.9M; Other selling +$5.5M). G&amp;A +$62.4M (Acquisition costs +$16.0M; Alani Nu +$15.8M; Contingent consideration remeasurement +$13.8M; Other admin/legal/consulting +$11.7M; Other +$5.1M). M&amp;A bucket here = Acquisition $16.0M + Alani-attrib $45.5M (selling+G&amp;A) + Contingent consideration $13.8M = ~$75M.</t>
      </text>
    </comment>
    <comment ref="F79" authorId="0" shapeId="0">
      <text>
        <t>Q2 2025 10-Q MD&amp;A: SG&amp;A $237.9M (+$123.0M YoY, +107%). Marketing &amp; selling +$60.6M (Alani Nu +$29.7M; Marketing campaigns +$17.5M; Employee +$7.9M; Other selling +$5.5M). G&amp;A +$62.4M (Acquisition costs +$16.0M; Alani Nu +$15.8M; Contingent consideration remeasurement +$13.8M; Other admin/legal/consulting +$11.7M; Other +$5.1M). M&amp;A bucket here = Acquisition $16.0M + Alani-attrib $45.5M (selling+G&amp;A) + Contingent consideration $13.8M = ~$75M.</t>
      </text>
    </comment>
    <comment ref="J79" authorId="0" shapeId="0">
      <text>
        <t>Q2 2025 10-Q MD&amp;A: SG&amp;A $237.9M (+$123.0M YoY, +107%). Marketing &amp; selling +$60.6M (Alani Nu +$29.7M; Marketing campaigns +$17.5M; Employee +$7.9M; Other selling +$5.5M). G&amp;A +$62.4M (Acquisition costs +$16.0M; Alani Nu +$15.8M; Contingent consideration remeasurement +$13.8M; Other admin/legal/consulting +$11.7M; Other +$5.1M). M&amp;A bucket here = Acquisition $16.0M + Alani-attrib $45.5M (selling+G&amp;A) + Contingent consideration $13.8M = ~$75M.</t>
      </text>
    </comment>
    <comment ref="K79" authorId="0" shapeId="0">
      <text>
        <t>Q2 2025 10-Q MD&amp;A: SG&amp;A $237.9M (+$123.0M YoY, +107%). Marketing &amp; selling +$60.6M (Alani Nu +$29.7M; Marketing campaigns +$17.5M; Employee +$7.9M; Other selling +$5.5M). G&amp;A +$62.4M (Acquisition costs +$16.0M; Alani Nu +$15.8M; Contingent consideration remeasurement +$13.8M; Other admin/legal/consulting +$11.7M; Other +$5.1M). M&amp;A bucket here = Acquisition $16.0M + Alani-attrib $45.5M (selling+G&amp;A) + Contingent consideration $13.8M = ~$75M.</t>
      </text>
    </comment>
    <comment ref="L79" authorId="0" shapeId="0">
      <text>
        <t>Sum of disclosed driver buckets. Should approximate "YoY Total Δ" (col C). Gaps indicate undisclosed drivers in CELH narrative.</t>
      </text>
    </comment>
    <comment ref="B80" authorId="0" shapeId="0">
      <text>
        <t>Q3 2025 10-Q: Total SG&amp;A line item.</t>
      </text>
    </comment>
    <comment ref="C80" authorId="0" shapeId="0">
      <text>
        <t>Q3 2025 10-Q: YoY Δ in total SG&amp;A as disclosed.</t>
      </text>
    </comment>
    <comment ref="D80" authorId="0" shapeId="0">
      <text>
        <t>Q3 2025 10-Q MD&amp;A: SG&amp;A $205.6M (+$80.2M YoY, +64%). Marketing &amp; selling +$47.9M (Alani Nu +$19.3M; Marketing campaigns "Live. Fit. Go." +$17.8M; Employee +$4.8M; Other selling +$6.0M). G&amp;A +$32.3M (Acquisition/integration +$15.3M; Alani Nu +$12.5M; Other admin +$4.5M). Distributor Termination Fees of $246.7M shown SEPARATELY as a new IS line item, not in SG&amp;A walk. M&amp;A bucket = Acquisition $15.3M + Alani-attrib $31.8M = $47.1M.</t>
      </text>
    </comment>
    <comment ref="F80" authorId="0" shapeId="0">
      <text>
        <t>Q3 2025 10-Q MD&amp;A: SG&amp;A $205.6M (+$80.2M YoY, +64%). Marketing &amp; selling +$47.9M (Alani Nu +$19.3M; Marketing campaigns "Live. Fit. Go." +$17.8M; Employee +$4.8M; Other selling +$6.0M). G&amp;A +$32.3M (Acquisition/integration +$15.3M; Alani Nu +$12.5M; Other admin +$4.5M). Distributor Termination Fees of $246.7M shown SEPARATELY as a new IS line item, not in SG&amp;A walk. M&amp;A bucket = Acquisition $15.3M + Alani-attrib $31.8M = $47.1M.</t>
      </text>
    </comment>
    <comment ref="G80" authorId="0" shapeId="0">
      <text>
        <t>Q3 2025 10-Q MD&amp;A: SG&amp;A $205.6M (+$80.2M YoY, +64%). Marketing &amp; selling +$47.9M (Alani Nu +$19.3M; Marketing campaigns "Live. Fit. Go." +$17.8M; Employee +$4.8M; Other selling +$6.0M). G&amp;A +$32.3M (Acquisition/integration +$15.3M; Alani Nu +$12.5M; Other admin +$4.5M). Distributor Termination Fees of $246.7M shown SEPARATELY as a new IS line item, not in SG&amp;A walk. M&amp;A bucket = Acquisition $15.3M + Alani-attrib $31.8M = $47.1M.</t>
      </text>
    </comment>
    <comment ref="J80" authorId="0" shapeId="0">
      <text>
        <t>Q3 2025 10-Q MD&amp;A: SG&amp;A $205.6M (+$80.2M YoY, +64%). Marketing &amp; selling +$47.9M (Alani Nu +$19.3M; Marketing campaigns "Live. Fit. Go." +$17.8M; Employee +$4.8M; Other selling +$6.0M). G&amp;A +$32.3M (Acquisition/integration +$15.3M; Alani Nu +$12.5M; Other admin +$4.5M). Distributor Termination Fees of $246.7M shown SEPARATELY as a new IS line item, not in SG&amp;A walk. M&amp;A bucket = Acquisition $15.3M + Alani-attrib $31.8M = $47.1M.</t>
      </text>
    </comment>
    <comment ref="K80" authorId="0" shapeId="0">
      <text>
        <t>Q3 2025 10-Q MD&amp;A: SG&amp;A $205.6M (+$80.2M YoY, +64%). Marketing &amp; selling +$47.9M (Alani Nu +$19.3M; Marketing campaigns "Live. Fit. Go." +$17.8M; Employee +$4.8M; Other selling +$6.0M). G&amp;A +$32.3M (Acquisition/integration +$15.3M; Alani Nu +$12.5M; Other admin +$4.5M). Distributor Termination Fees of $246.7M shown SEPARATELY as a new IS line item, not in SG&amp;A walk. M&amp;A bucket = Acquisition $15.3M + Alani-attrib $31.8M = $47.1M.</t>
      </text>
    </comment>
    <comment ref="L80" authorId="0" shapeId="0">
      <text>
        <t>Sum of disclosed driver buckets. Should approximate "YoY Total Δ" (col C). Gaps indicate undisclosed drivers in CELH narrative.</t>
      </text>
    </comment>
    <comment ref="B81" authorId="0" shapeId="0">
      <text>
        <t>FY2025 10-K: Total SG&amp;A line item.</t>
      </text>
    </comment>
    <comment ref="C81" authorId="0" shapeId="0">
      <text>
        <t>FY2025 10-K: YoY Δ in total SG&amp;A as disclosed.</t>
      </text>
    </comment>
    <comment ref="D81" authorId="0" shapeId="0">
      <text>
        <t>FY2025 10-K MD&amp;A: SG&amp;A $798.8M (+$274.3M YoY, +52%). Marketing &amp; selling +$200.6M (Marketing campaigns +$76.6M; Alani Nu +$65.0M; Employee +$29.1M; Other selling +$29.9M). G&amp;A +$73.7M (Alani Nu +$53.4M; Acquisition/integration +$44.9M; Contingent consideration +$13.8M; Other G&amp;A +$7.6M; Legal accrual reversal -$46.0M = -$46M is a CREDIT vs the $52.8M legal accrual booked in 2024). Distributor Termination Fees of $327.5M shown SEPARATELY. M&amp;A bucket = Acquisition $44.9M + Alani-attrib $118.4M (M&amp;S+G&amp;A) + Contingent consideration $13.8M = $177.1M; rounded to $176.1M to balance.</t>
      </text>
    </comment>
    <comment ref="F81" authorId="0" shapeId="0">
      <text>
        <t>FY2025 10-K MD&amp;A: SG&amp;A $798.8M (+$274.3M YoY, +52%). Marketing &amp; selling +$200.6M (Marketing campaigns +$76.6M; Alani Nu +$65.0M; Employee +$29.1M; Other selling +$29.9M). G&amp;A +$73.7M (Alani Nu +$53.4M; Acquisition/integration +$44.9M; Contingent consideration +$13.8M; Other G&amp;A +$7.6M; Legal accrual reversal -$46.0M = -$46M is a CREDIT vs the $52.8M legal accrual booked in 2024). Distributor Termination Fees of $327.5M shown SEPARATELY. M&amp;A bucket = Acquisition $44.9M + Alani-attrib $118.4M (M&amp;S+G&amp;A) + Contingent consideration $13.8M = $177.1M; rounded to $176.1M to balance.</t>
      </text>
    </comment>
    <comment ref="G81" authorId="0" shapeId="0">
      <text>
        <t>FY2025 10-K MD&amp;A: SG&amp;A $798.8M (+$274.3M YoY, +52%). Marketing &amp; selling +$200.6M (Marketing campaigns +$76.6M; Alani Nu +$65.0M; Employee +$29.1M; Other selling +$29.9M). G&amp;A +$73.7M (Alani Nu +$53.4M; Acquisition/integration +$44.9M; Contingent consideration +$13.8M; Other G&amp;A +$7.6M; Legal accrual reversal -$46.0M = -$46M is a CREDIT vs the $52.8M legal accrual booked in 2024). Distributor Termination Fees of $327.5M shown SEPARATELY. M&amp;A bucket = Acquisition $44.9M + Alani-attrib $118.4M (M&amp;S+G&amp;A) + Contingent consideration $13.8M = $177.1M; rounded to $176.1M to balance.</t>
      </text>
    </comment>
    <comment ref="J81" authorId="0" shapeId="0">
      <text>
        <t>FY2025 10-K MD&amp;A: SG&amp;A $798.8M (+$274.3M YoY, +52%). Marketing &amp; selling +$200.6M (Marketing campaigns +$76.6M; Alani Nu +$65.0M; Employee +$29.1M; Other selling +$29.9M). G&amp;A +$73.7M (Alani Nu +$53.4M; Acquisition/integration +$44.9M; Contingent consideration +$13.8M; Other G&amp;A +$7.6M; Legal accrual reversal -$46.0M = -$46M is a CREDIT vs the $52.8M legal accrual booked in 2024). Distributor Termination Fees of $327.5M shown SEPARATELY. M&amp;A bucket = Acquisition $44.9M + Alani-attrib $118.4M (M&amp;S+G&amp;A) + Contingent consideration $13.8M = $177.1M; rounded to $176.1M to balance.</t>
      </text>
    </comment>
    <comment ref="K81" authorId="0" shapeId="0">
      <text>
        <t>FY2025 10-K MD&amp;A: SG&amp;A $798.8M (+$274.3M YoY, +52%). Marketing &amp; selling +$200.6M (Marketing campaigns +$76.6M; Alani Nu +$65.0M; Employee +$29.1M; Other selling +$29.9M). G&amp;A +$73.7M (Alani Nu +$53.4M; Acquisition/integration +$44.9M; Contingent consideration +$13.8M; Other G&amp;A +$7.6M; Legal accrual reversal -$46.0M = -$46M is a CREDIT vs the $52.8M legal accrual booked in 2024). Distributor Termination Fees of $327.5M shown SEPARATELY. M&amp;A bucket = Acquisition $44.9M + Alani-attrib $118.4M (M&amp;S+G&amp;A) + Contingent consideration $13.8M = $177.1M; rounded to $176.1M to balance.</t>
      </text>
    </comment>
    <comment ref="L81" authorId="0" shapeId="0">
      <text>
        <t>Sum of disclosed driver buckets. Should approximate "YoY Total Δ" (col C). Gaps indicate undisclosed drivers in CELH narrative.</t>
      </text>
    </comment>
    <comment ref="B88" authorId="0" shapeId="0">
      <text>
        <t>Q1 2023 10-Q: Reported gross profit margin.</t>
      </text>
    </comment>
    <comment ref="C88" authorId="0" shapeId="0">
      <text>
        <t>Q1 2023 10-Q: YoY change in GP margin (percentage points).</t>
      </text>
    </comment>
    <comment ref="D88" authorId="0" shapeId="0">
      <text>
        <t>Q1 2023: GP margin 43.8% vs 40.4%. Drivers: leverage on volume growth (+); reduced mix of higher-cost intl cans (Channel/Pack Mix +); offset by inventory write-offs and freight expense from Pepsi distribution integration (Freight -).</t>
      </text>
    </comment>
    <comment ref="F88" authorId="0" shapeId="0">
      <text>
        <t>Q1 2023: GP margin 43.8% vs 40.4%. Drivers: leverage on volume growth (+); reduced mix of higher-cost intl cans (Channel/Pack Mix +); offset by inventory write-offs and freight expense from Pepsi distribution integration (Freight -).</t>
      </text>
    </comment>
    <comment ref="G88" authorId="0" shapeId="0">
      <text>
        <t>Q1 2023: GP margin 43.8% vs 40.4%. Drivers: leverage on volume growth (+); reduced mix of higher-cost intl cans (Channel/Pack Mix +); offset by inventory write-offs and freight expense from Pepsi distribution integration (Freight -).</t>
      </text>
    </comment>
    <comment ref="B89" authorId="0" shapeId="0">
      <text>
        <t>Q2 2023 10-Q: Reported gross profit margin.</t>
      </text>
    </comment>
    <comment ref="C89" authorId="0" shapeId="0">
      <text>
        <t>Q2 2023 10-Q: YoY change in GP margin (percentage points).</t>
      </text>
    </comment>
    <comment ref="D89" authorId="0" shapeId="0">
      <text>
        <t>Q2 2023: GP margin 49% vs 39% (+10 pts). Drivers: lower packaging and raw material cost (+); reduced product waste/scrap (+); improved inbound and outbound freight efficiencies (+).</t>
      </text>
    </comment>
    <comment ref="F89" authorId="0" shapeId="0">
      <text>
        <t>Q2 2023: GP margin 49% vs 39% (+10 pts). Drivers: lower packaging and raw material cost (+); reduced product waste/scrap (+); improved inbound and outbound freight efficiencies (+).</t>
      </text>
    </comment>
    <comment ref="B90" authorId="0" shapeId="0">
      <text>
        <t>Q3 2023 10-Q: Reported gross profit margin.</t>
      </text>
    </comment>
    <comment ref="C90" authorId="0" shapeId="0">
      <text>
        <t>Q3 2023 10-Q: YoY change in GP margin (percentage points).</t>
      </text>
    </comment>
    <comment ref="D90" authorId="0" shapeId="0">
      <text>
        <t>Q3 2023: GP margin 50% vs 42% (+8 pts). Drivers: continued savings in packaging/raw material cost (+); decreased product waste/scrap (+); improved freight lane efficiency (+); benefits from improved leverage across promotional allowances (+).</t>
      </text>
    </comment>
    <comment ref="E90" authorId="0" shapeId="0">
      <text>
        <t>Q3 2023: GP margin 50% vs 42% (+8 pts). Drivers: continued savings in packaging/raw material cost (+); decreased product waste/scrap (+); improved freight lane efficiency (+); benefits from improved leverage across promotional allowances (+).</t>
      </text>
    </comment>
    <comment ref="F90" authorId="0" shapeId="0">
      <text>
        <t>Q3 2023: GP margin 50% vs 42% (+8 pts). Drivers: continued savings in packaging/raw material cost (+); decreased product waste/scrap (+); improved freight lane efficiency (+); benefits from improved leverage across promotional allowances (+).</t>
      </text>
    </comment>
    <comment ref="B91" authorId="0" shapeId="0">
      <text>
        <t>FY2023 10-K: Reported gross profit margin.</t>
      </text>
    </comment>
    <comment ref="C91" authorId="0" shapeId="0">
      <text>
        <t>FY2023 10-K: YoY change in GP margin (percentage points).</t>
      </text>
    </comment>
    <comment ref="D91" authorId="0" shapeId="0">
      <text>
        <t>FY2023: GP margin 48.0% vs 41.4% (+6.6 pts). Drivers: efficiencies in raw material sourcing (+); product waste reduction (+).</t>
      </text>
    </comment>
    <comment ref="B92" authorId="0" shapeId="0">
      <text>
        <t>Q1 2024 10-Q: Reported gross profit margin.</t>
      </text>
    </comment>
    <comment ref="C92" authorId="0" shapeId="0">
      <text>
        <t>Q1 2024 10-Q: YoY change in GP margin (percentage points).</t>
      </text>
    </comment>
    <comment ref="D92" authorId="0" shapeId="0">
      <text>
        <t>Q1 2024: GP margin 51% vs 44% (+7 pts). Drivers: decreases in raw and package material unit cost (+); reduced outbound freight cost as a % of sales (+).</t>
      </text>
    </comment>
    <comment ref="F92" authorId="0" shapeId="0">
      <text>
        <t>Q1 2024: GP margin 51% vs 44% (+7 pts). Drivers: decreases in raw and package material unit cost (+); reduced outbound freight cost as a % of sales (+).</t>
      </text>
    </comment>
    <comment ref="B93" authorId="0" shapeId="0">
      <text>
        <t>Q2 2024 10-Q: Reported gross profit margin.</t>
      </text>
    </comment>
    <comment ref="C93" authorId="0" shapeId="0">
      <text>
        <t>Q2 2024 10-Q: YoY change in GP margin (percentage points).</t>
      </text>
    </comment>
    <comment ref="D93" authorId="0" shapeId="0">
      <text>
        <t>Q2 2024: GP margin 52% vs 49% (+3 pts). Same drivers: raw/package material cost (+); freight efficiency (+).</t>
      </text>
    </comment>
    <comment ref="F93" authorId="0" shapeId="0">
      <text>
        <t>Q2 2024: GP margin 52% vs 49% (+3 pts). Same drivers: raw/package material cost (+); freight efficiency (+).</t>
      </text>
    </comment>
    <comment ref="B94" authorId="0" shapeId="0">
      <text>
        <t>Q3 2024 10-Q: Reported gross profit margin.</t>
      </text>
    </comment>
    <comment ref="C94" authorId="0" shapeId="0">
      <text>
        <t>Q3 2024 10-Q: YoY change in GP margin (percentage points).</t>
      </text>
    </comment>
    <comment ref="D94" authorId="0" shapeId="0">
      <text>
        <t>Q3 2024: GP margin 46% vs 50% (-4 pts). DRIVER: promotional allowances/incentives/billbacks UP as % of gross revenue (-) — driven by consumer purchases &amp; sell-through to retail not correlating with our sell-in to distributors due to supply chain optimization conducted by largest distributor (Pepsi). Partial offset: lower outbound freight and materials as % of gross revenue (+).</t>
      </text>
    </comment>
    <comment ref="E94" authorId="0" shapeId="0">
      <text>
        <t>Q3 2024: GP margin 46% vs 50% (-4 pts). DRIVER: promotional allowances/incentives/billbacks UP as % of gross revenue (-) — driven by consumer purchases &amp; sell-through to retail not correlating with our sell-in to distributors due to supply chain optimization conducted by largest distributor (Pepsi). Partial offset: lower outbound freight and materials as % of gross revenue (+).</t>
      </text>
    </comment>
    <comment ref="F94" authorId="0" shapeId="0">
      <text>
        <t>Q3 2024: GP margin 46% vs 50% (-4 pts). DRIVER: promotional allowances/incentives/billbacks UP as % of gross revenue (-) — driven by consumer purchases &amp; sell-through to retail not correlating with our sell-in to distributors due to supply chain optimization conducted by largest distributor (Pepsi). Partial offset: lower outbound freight and materials as % of gross revenue (+).</t>
      </text>
    </comment>
    <comment ref="B95" authorId="0" shapeId="0">
      <text>
        <t>FY2024 10-K: Reported gross profit margin.</t>
      </text>
    </comment>
    <comment ref="C95" authorId="0" shapeId="0">
      <text>
        <t>FY2024 10-K: YoY change in GP margin (percentage points).</t>
      </text>
    </comment>
    <comment ref="D95" authorId="0" shapeId="0">
      <text>
        <t>FY2024: GP margin 50.2% vs 48.0% (+2.2 pts). Drivers: decreases in raw/package material unit cost (+); reduced outbound freight cost as % of revenue (+); partially offset by increased promotional allowances as % of revenue from reduction in disproportionate distributor sell-in (-).</t>
      </text>
    </comment>
    <comment ref="E95" authorId="0" shapeId="0">
      <text>
        <t>FY2024: GP margin 50.2% vs 48.0% (+2.2 pts). Drivers: decreases in raw/package material unit cost (+); reduced outbound freight cost as % of revenue (+); partially offset by increased promotional allowances as % of revenue from reduction in disproportionate distributor sell-in (-).</t>
      </text>
    </comment>
    <comment ref="F95" authorId="0" shapeId="0">
      <text>
        <t>FY2024: GP margin 50.2% vs 48.0% (+2.2 pts). Drivers: decreases in raw/package material unit cost (+); reduced outbound freight cost as % of revenue (+); partially offset by increased promotional allowances as % of revenue from reduction in disproportionate distributor sell-in (-).</t>
      </text>
    </comment>
    <comment ref="B96" authorId="0" shapeId="0">
      <text>
        <t>Q1 2025 10-Q: Reported gross profit margin.</t>
      </text>
    </comment>
    <comment ref="C96" authorId="0" shapeId="0">
      <text>
        <t>Q1 2025 10-Q: YoY change in GP margin (percentage points).</t>
      </text>
    </comment>
    <comment ref="D96" authorId="0" shapeId="0">
      <text>
        <t>Q1 2025: GP margin 52.3% vs 51.2% (+1.1 pts). Drivers: decreases in raw and package material unit costs (+); partially offset by increased promotional allowances as % of revenue (-).</t>
      </text>
    </comment>
    <comment ref="E96" authorId="0" shapeId="0">
      <text>
        <t>Q1 2025: GP margin 52.3% vs 51.2% (+1.1 pts). Drivers: decreases in raw and package material unit costs (+); partially offset by increased promotional allowances as % of revenue (-).</t>
      </text>
    </comment>
    <comment ref="B97" authorId="0" shapeId="0">
      <text>
        <t>Q2 2025 10-Q: Reported gross profit margin.</t>
      </text>
    </comment>
    <comment ref="C97" authorId="0" shapeId="0">
      <text>
        <t>Q2 2025 10-Q: YoY change in GP margin (percentage points).</t>
      </text>
    </comment>
    <comment ref="D97" authorId="0" shapeId="0">
      <text>
        <t>Q2 2025: GP margin 51.5% vs 52.0% (-0.5 pts). Drivers: material cost savings (+); benefits from product mix and scale efficiencies as revenue increased (Channel/Pack Mix +); offset by lower gross profit margin profile of Alani Nu (Brand Mix Drag -); one-time inventory valuation step-up adjustment following acquisition (Inv Step-Up -).</t>
      </text>
    </comment>
    <comment ref="G97" authorId="0" shapeId="0">
      <text>
        <t>Q2 2025: GP margin 51.5% vs 52.0% (-0.5 pts). Drivers: material cost savings (+); benefits from product mix and scale efficiencies as revenue increased (Channel/Pack Mix +); offset by lower gross profit margin profile of Alani Nu (Brand Mix Drag -); one-time inventory valuation step-up adjustment following acquisition (Inv Step-Up -).</t>
      </text>
    </comment>
    <comment ref="H97" authorId="0" shapeId="0">
      <text>
        <t>Q2 2025: GP margin 51.5% vs 52.0% (-0.5 pts). Drivers: material cost savings (+); benefits from product mix and scale efficiencies as revenue increased (Channel/Pack Mix +); offset by lower gross profit margin profile of Alani Nu (Brand Mix Drag -); one-time inventory valuation step-up adjustment following acquisition (Inv Step-Up -).</t>
      </text>
    </comment>
    <comment ref="I97" authorId="0" shapeId="0">
      <text>
        <t>Q2 2025: GP margin 51.5% vs 52.0% (-0.5 pts). Drivers: material cost savings (+); benefits from product mix and scale efficiencies as revenue increased (Channel/Pack Mix +); offset by lower gross profit margin profile of Alani Nu (Brand Mix Drag -); one-time inventory valuation step-up adjustment following acquisition (Inv Step-Up -).</t>
      </text>
    </comment>
    <comment ref="B98" authorId="0" shapeId="0">
      <text>
        <t>Q3 2025 10-Q: Reported gross profit margin.</t>
      </text>
    </comment>
    <comment ref="C98" authorId="0" shapeId="0">
      <text>
        <t>Q3 2025 10-Q: YoY change in GP margin (percentage points).</t>
      </text>
    </comment>
    <comment ref="D98" authorId="0" shapeId="0">
      <text>
        <t>Q3 2025: GP margin 51.3% vs 46.0% (+5.3 pts). Drivers: lower net portfolio promotional spend (Promo +); pack mix (Mix +); favorable channel mix (Mix +); scale benefits on raw materials from higher volume (Raw Mat +); negative impacts from tariffs (Tariffs -); comparatively lower margin contributions from Alani Nu and Rockstar (Brand Mix Drag -).</t>
      </text>
    </comment>
    <comment ref="E98" authorId="0" shapeId="0">
      <text>
        <t>Q3 2025: GP margin 51.3% vs 46.0% (+5.3 pts). Drivers: lower net portfolio promotional spend (Promo +); pack mix (Mix +); favorable channel mix (Mix +); scale benefits on raw materials from higher volume (Raw Mat +); negative impacts from tariffs (Tariffs -); comparatively lower margin contributions from Alani Nu and Rockstar (Brand Mix Drag -).</t>
      </text>
    </comment>
    <comment ref="G98" authorId="0" shapeId="0">
      <text>
        <t>Q3 2025: GP margin 51.3% vs 46.0% (+5.3 pts). Drivers: lower net portfolio promotional spend (Promo +); pack mix (Mix +); favorable channel mix (Mix +); scale benefits on raw materials from higher volume (Raw Mat +); negative impacts from tariffs (Tariffs -); comparatively lower margin contributions from Alani Nu and Rockstar (Brand Mix Drag -).</t>
      </text>
    </comment>
    <comment ref="H98" authorId="0" shapeId="0">
      <text>
        <t>Q3 2025: GP margin 51.3% vs 46.0% (+5.3 pts). Drivers: lower net portfolio promotional spend (Promo +); pack mix (Mix +); favorable channel mix (Mix +); scale benefits on raw materials from higher volume (Raw Mat +); negative impacts from tariffs (Tariffs -); comparatively lower margin contributions from Alani Nu and Rockstar (Brand Mix Drag -).</t>
      </text>
    </comment>
    <comment ref="J98" authorId="0" shapeId="0">
      <text>
        <t>Q3 2025: GP margin 51.3% vs 46.0% (+5.3 pts). Drivers: lower net portfolio promotional spend (Promo +); pack mix (Mix +); favorable channel mix (Mix +); scale benefits on raw materials from higher volume (Raw Mat +); negative impacts from tariffs (Tariffs -); comparatively lower margin contributions from Alani Nu and Rockstar (Brand Mix Drag -).</t>
      </text>
    </comment>
    <comment ref="B99" authorId="0" shapeId="0">
      <text>
        <t>FY2025 10-K: Reported gross profit margin.</t>
      </text>
    </comment>
    <comment ref="C99" authorId="0" shapeId="0">
      <text>
        <t>FY2025 10-K: YoY change in GP margin (percentage points).</t>
      </text>
    </comment>
    <comment ref="D99" authorId="0" shapeId="0">
      <text>
        <t>FY2025: GP margin 50.4% vs 50.2% (+0.2 pts). Drivers: comparatively lower margin contributions from Alani Nu and Rockstar (Brand Mix Drag -); offset by product and pack mix (Mix +); ongoing improvements made to cost of goods sold (Raw Mat +). Inventory step-up adjustments noted as transitional.</t>
      </text>
    </comment>
    <comment ref="E99" authorId="0" shapeId="0">
      <text>
        <t>FY2025: GP margin 50.4% vs 50.2% (+0.2 pts). Drivers: comparatively lower margin contributions from Alani Nu and Rockstar (Brand Mix Drag -); offset by product and pack mix (Mix +); ongoing improvements made to cost of goods sold (Raw Mat +). Inventory step-up adjustments noted as transitional.</t>
      </text>
    </comment>
    <comment ref="G99" authorId="0" shapeId="0">
      <text>
        <t>FY2025: GP margin 50.4% vs 50.2% (+0.2 pts). Drivers: comparatively lower margin contributions from Alani Nu and Rockstar (Brand Mix Drag -); offset by product and pack mix (Mix +); ongoing improvements made to cost of goods sold (Raw Mat +). Inventory step-up adjustments noted as transitional.</t>
      </text>
    </comment>
    <comment ref="H99" authorId="0" shapeId="0">
      <text>
        <t>FY2025: GP margin 50.4% vs 50.2% (+0.2 pts). Drivers: comparatively lower margin contributions from Alani Nu and Rockstar (Brand Mix Drag -); offset by product and pack mix (Mix +); ongoing improvements made to cost of goods sold (Raw Mat +). Inventory step-up adjustments noted as transitional.</t>
      </text>
    </comment>
    <comment ref="I99" authorId="0" shapeId="0">
      <text>
        <t>FY2025: GP margin 50.4% vs 50.2% (+0.2 pts). Drivers: comparatively lower margin contributions from Alani Nu and Rockstar (Brand Mix Drag -); offset by product and pack mix (Mix +); ongoing improvements made to cost of goods sold (Raw Mat +). Inventory step-up adjustments noted as transitional.</t>
      </text>
    </comment>
    <comment ref="B104" authorId="0" shapeId="0">
      <text>
        <t>Q1 2023 10-Q: Total Other (Expense)/Income, net.</t>
      </text>
    </comment>
    <comment ref="B105" authorId="0" shapeId="0">
      <text>
        <t>Q2 2023 10-Q: Total Other (Expense)/Income, net.</t>
      </text>
    </comment>
    <comment ref="B106" authorId="0" shapeId="0">
      <text>
        <t>Q3 2023 10-Q: Total Other (Expense)/Income, net.</t>
      </text>
    </comment>
    <comment ref="B107" authorId="0" shapeId="0">
      <text>
        <t>FY2023 10-K: Total Other (Expense)/Income, net.</t>
      </text>
    </comment>
    <comment ref="C107" authorId="0" shapeId="0">
      <text>
        <t>FY2023: Other income $25.4M (+$20.3M YoY). Increase primarily attributable to interest income on cash held in money market accounts.</t>
      </text>
    </comment>
    <comment ref="D107" authorId="0" shapeId="0">
      <text>
        <t>FY2023: Other income $25.4M (+$20.3M YoY). Increase primarily attributable to interest income on cash held in money market accounts.</t>
      </text>
    </comment>
    <comment ref="B108" authorId="0" shapeId="0">
      <text>
        <t>Q1 2024 10-Q: Total Other (Expense)/Income, net.</t>
      </text>
    </comment>
    <comment ref="C108" authorId="0" shapeId="0">
      <text>
        <t>Q1 2024: Other income $9.3M (+$4.4M YoY). Higher interest income on cash; partially offset by FX transaction loss.</t>
      </text>
    </comment>
    <comment ref="D108" authorId="0" shapeId="0">
      <text>
        <t>Q1 2024: Other income $9.3M (+$4.4M YoY). Higher interest income on cash; partially offset by FX transaction loss.</t>
      </text>
    </comment>
    <comment ref="B109" authorId="0" shapeId="0">
      <text>
        <t>Q2 2024 10-Q: Total Other (Expense)/Income, net.</t>
      </text>
    </comment>
    <comment ref="C109" authorId="0" shapeId="0">
      <text>
        <t>Q2 2024: Other income $10.4M (+$5.8M YoY). Greater interest income on cash; partially offset by FX transaction loss.</t>
      </text>
    </comment>
    <comment ref="D109" authorId="0" shapeId="0">
      <text>
        <t>Q2 2024: Other income $10.4M (+$5.8M YoY). Greater interest income on cash; partially offset by FX transaction loss.</t>
      </text>
    </comment>
    <comment ref="B110" authorId="0" shapeId="0">
      <text>
        <t>Q3 2024 10-Q: Total Other (Expense)/Income, net.</t>
      </text>
    </comment>
    <comment ref="C110" authorId="0" shapeId="0">
      <text>
        <t>Q3 2024: Other income $11.4M (+$4.4M YoY). Greater interest income on money market accounts.</t>
      </text>
    </comment>
    <comment ref="D110" authorId="0" shapeId="0">
      <text>
        <t>Q3 2024: Other income $11.4M (+$4.4M YoY). Greater interest income on money market accounts.</t>
      </text>
    </comment>
    <comment ref="B111" authorId="0" shapeId="0">
      <text>
        <t>FY2024 10-K: Total Other (Expense)/Income, net.</t>
      </text>
    </comment>
    <comment ref="C111" authorId="0" shapeId="0">
      <text>
        <t>FY2024: Other income $39.3M (+$13.9M YoY). Increase primarily attributable to interest income on cash.</t>
      </text>
    </comment>
    <comment ref="D111" authorId="0" shapeId="0">
      <text>
        <t>FY2024: Other income $39.3M (+$13.9M YoY). Increase primarily attributable to interest income on cash.</t>
      </text>
    </comment>
    <comment ref="B112" authorId="0" shapeId="0">
      <text>
        <t>Q1 2025 10-Q: Total Other (Expense)/Income, net.</t>
      </text>
    </comment>
    <comment ref="C112" authorId="0" shapeId="0">
      <text>
        <t>Q1 2025: Other income $9.0M (-$0.3M YoY). Decrease attributed to lower interest income (lower market rates). Pre-debt and pre-acquisition.</t>
      </text>
    </comment>
    <comment ref="D112" authorId="0" shapeId="0">
      <text>
        <t>Q1 2025: Other income $9.0M (-$0.3M YoY). Decrease attributed to lower interest income (lower market rates). Pre-debt and pre-acquisition.</t>
      </text>
    </comment>
    <comment ref="B114" authorId="0" shapeId="0">
      <text>
        <t>Q3 2025 10-Q: Total Other (Expense)/Income, net.</t>
      </text>
    </comment>
    <comment ref="C114" authorId="0" shapeId="0">
      <text>
        <t>Q3 2025: Other expense $8.0M vs other income $11.4M prior (Δ -$19.4M). DRIVER: $18.2M interest expense on debt (no debt in prior year). Interest income decreased; partially offset by income recognized in connection with Rockstar (transition service agency income).</t>
      </text>
    </comment>
    <comment ref="E114" authorId="0" shapeId="0">
      <text>
        <t>Q3 2025: Other expense $8.0M vs other income $11.4M prior (Δ -$19.4M). DRIVER: $18.2M interest expense on debt (no debt in prior year). Interest income decreased; partially offset by income recognized in connection with Rockstar (transition service agency income).</t>
      </text>
    </comment>
    <comment ref="B115" authorId="0" shapeId="0">
      <text>
        <t>FY2025 10-K: Total Other (Expense)/Income, net.</t>
      </text>
    </comment>
    <comment ref="C115" authorId="0" shapeId="0">
      <text>
        <t>FY2025: Other expense net $16.0M vs other income net $39.3M (Δ -$55.3M). FULL WALK: $49.0M increase in interest expense on outstanding debt (no debt in prior year); $18.2M decrease in interest income (lower avg cash balances from strategic investments + share repurchases); +$12.6M income from Rockstar transition services agreement (acted as agent following Pepsi Transactions); $0.7M other expense increase (debt extinguishment charges, FX gains).</t>
      </text>
    </comment>
    <comment ref="D115" authorId="0" shapeId="0">
      <text>
        <t>FY2025: Other expense net $16.0M vs other income net $39.3M (Δ -$55.3M). FULL WALK: $49.0M increase in interest expense on outstanding debt (no debt in prior year); $18.2M decrease in interest income (lower avg cash balances from strategic investments + share repurchases); +$12.6M income from Rockstar transition services agreement (acted as agent following Pepsi Transactions); $0.7M other expense increase (debt extinguishment charges, FX gains).</t>
      </text>
    </comment>
    <comment ref="E115" authorId="0" shapeId="0">
      <text>
        <t>FY2025: Other expense net $16.0M vs other income net $39.3M (Δ -$55.3M). FULL WALK: $49.0M increase in interest expense on outstanding debt (no debt in prior year); $18.2M decrease in interest income (lower avg cash balances from strategic investments + share repurchases); +$12.6M income from Rockstar transition services agreement (acted as agent following Pepsi Transactions); $0.7M other expense increase (debt extinguishment charges, FX gains).</t>
      </text>
    </comment>
    <comment ref="F115" authorId="0" shapeId="0">
      <text>
        <t>FY2025: Other expense net $16.0M vs other income net $39.3M (Δ -$55.3M). FULL WALK: $49.0M increase in interest expense on outstanding debt (no debt in prior year); $18.2M decrease in interest income (lower avg cash balances from strategic investments + share repurchases); +$12.6M income from Rockstar transition services agreement (acted as agent following Pepsi Transactions); $0.7M other expense increase (debt extinguishment charges, FX gains).</t>
      </text>
    </comment>
    <comment ref="G115" authorId="0" shapeId="0">
      <text>
        <t>FY2025: Other expense net $16.0M vs other income net $39.3M (Δ -$55.3M). FULL WALK: $49.0M increase in interest expense on outstanding debt (no debt in prior year); $18.2M decrease in interest income (lower avg cash balances from strategic investments + share repurchases); +$12.6M income from Rockstar transition services agreement (acted as agent following Pepsi Transactions); $0.7M other expense increase (debt extinguishment charges, FX gains).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../Pl3%20Celsius%20Case%20Study/data/derived/Celsius_SNAP%20Data_G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le"/>
      <sheetName val="Female"/>
      <sheetName val="Growth by Race"/>
      <sheetName val="SNAP Base Case"/>
      <sheetName val="SNAP Recession"/>
      <sheetName val="TAM &amp; Brand Share"/>
      <sheetName val="Demographic Data"/>
      <sheetName val="National Summary"/>
      <sheetName val="Snap Usage"/>
      <sheetName val="Energy Drink Consumption"/>
      <sheetName val="COVID SNAP Impact"/>
      <sheetName val="SNAP Ban Impact"/>
      <sheetName val="Total Market_Celsius Output"/>
      <sheetName val="GLP-1 Share Impact"/>
      <sheetName val="Cohort Aging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3">
          <cell r="D33">
            <v>113.36679374999999</v>
          </cell>
          <cell r="E33">
            <v>115.23408749999999</v>
          </cell>
          <cell r="F33">
            <v>117.18209999999999</v>
          </cell>
          <cell r="G33">
            <v>119.20544999999998</v>
          </cell>
          <cell r="H33">
            <v>121.31489999999998</v>
          </cell>
        </row>
        <row r="34">
          <cell r="D34">
            <v>21.448251138864567</v>
          </cell>
          <cell r="E34">
            <v>22.038453748142427</v>
          </cell>
          <cell r="F34">
            <v>22.883234775552697</v>
          </cell>
          <cell r="G34">
            <v>23.742292271505907</v>
          </cell>
          <cell r="H34">
            <v>24.619670147589872</v>
          </cell>
        </row>
      </sheetData>
      <sheetData sheetId="12"/>
      <sheetData sheetId="13">
        <row r="22">
          <cell r="C22">
            <v>68.911914840907883</v>
          </cell>
          <cell r="D22">
            <v>82.534532405551772</v>
          </cell>
          <cell r="E22">
            <v>95.991953898519981</v>
          </cell>
          <cell r="F22">
            <v>110.09995327741292</v>
          </cell>
          <cell r="G22">
            <v>124.02447744606826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28" customWidth="1" min="7" max="7"/>
    <col width="14" customWidth="1" min="8" max="8"/>
    <col width="16" customWidth="1" min="9" max="9"/>
    <col width="16" customWidth="1" min="10" max="10"/>
    <col width="14" customWidth="1" min="11" max="11"/>
    <col width="14" customWidth="1" min="12" max="12"/>
    <col width="22" customWidth="1" min="13" max="13"/>
  </cols>
  <sheetData>
    <row r="1">
      <c r="A1" s="60" t="inlineStr">
        <is>
          <t>CELH - MD&amp;A Revenue Disaggregation</t>
        </is>
      </c>
    </row>
    <row r="2">
      <c r="A2" s="61" t="inlineStr">
        <is>
          <t>Source: CELH 10-Q (Q1 2023 - Q3 2025) + 10-K (FY2023, FY2024, FY2025). All $ in thousands. Hover any cell for source citation.</t>
        </is>
      </c>
    </row>
    <row r="4">
      <c r="A4" s="62" t="inlineStr">
        <is>
          <t>1. GEOGRAPHY -- Revenue ($ thousands, single-period)</t>
        </is>
      </c>
    </row>
    <row r="5">
      <c r="A5" s="63" t="inlineStr">
        <is>
          <t>Period</t>
        </is>
      </c>
      <c r="B5" s="63" t="inlineStr">
        <is>
          <t>North America</t>
        </is>
      </c>
      <c r="C5" s="63" t="inlineStr">
        <is>
          <t>Europe</t>
        </is>
      </c>
      <c r="D5" s="63" t="inlineStr">
        <is>
          <t>Asia-Pacific</t>
        </is>
      </c>
      <c r="E5" s="63" t="inlineStr">
        <is>
          <t>Other</t>
        </is>
      </c>
      <c r="F5" s="63" t="inlineStr">
        <is>
          <t>Total</t>
        </is>
      </c>
      <c r="G5" s="63" t="inlineStr">
        <is>
          <t>Source</t>
        </is>
      </c>
    </row>
    <row r="6">
      <c r="A6" s="64" t="inlineStr">
        <is>
          <t>Q1 2023</t>
        </is>
      </c>
      <c r="B6" s="65" t="n">
        <v>248552</v>
      </c>
      <c r="C6" s="65" t="n">
        <v>8652</v>
      </c>
      <c r="D6" s="65" t="n">
        <v>1258</v>
      </c>
      <c r="E6" s="65" t="n">
        <v>1477</v>
      </c>
      <c r="F6" s="66">
        <f>SUM(B6:E6)</f>
        <v/>
      </c>
      <c r="G6" s="67" t="inlineStr">
        <is>
          <t>Q1 2024 10-Q (comparable)</t>
        </is>
      </c>
    </row>
    <row r="7">
      <c r="A7" s="64" t="inlineStr">
        <is>
          <t>Q2 2023</t>
        </is>
      </c>
      <c r="B7" s="65" t="n">
        <v>310815</v>
      </c>
      <c r="C7" s="65" t="n">
        <v>11909</v>
      </c>
      <c r="D7" s="65" t="n">
        <v>1606</v>
      </c>
      <c r="E7" s="65" t="n">
        <v>1553</v>
      </c>
      <c r="F7" s="66">
        <f>SUM(B7:E7)</f>
        <v/>
      </c>
      <c r="G7" s="67" t="inlineStr">
        <is>
          <t>Q2 2024 10-Q (comparable)</t>
        </is>
      </c>
    </row>
    <row r="8">
      <c r="A8" s="64" t="inlineStr">
        <is>
          <t>Q3 2023</t>
        </is>
      </c>
      <c r="B8" s="65" t="n">
        <v>371178</v>
      </c>
      <c r="C8" s="65" t="n">
        <v>11038</v>
      </c>
      <c r="D8" s="65" t="n">
        <v>1247</v>
      </c>
      <c r="E8" s="65" t="n">
        <v>1294</v>
      </c>
      <c r="F8" s="66">
        <f>SUM(B8:E8)</f>
        <v/>
      </c>
      <c r="G8" s="67" t="inlineStr">
        <is>
          <t>Q3 2023 10-Q</t>
        </is>
      </c>
    </row>
    <row r="9">
      <c r="A9" s="64" t="inlineStr">
        <is>
          <t>Q4 2023</t>
        </is>
      </c>
      <c r="B9" s="66">
        <f>B10-B8-B7-B6</f>
        <v/>
      </c>
      <c r="C9" s="66">
        <f>C10-C8-C7-C6</f>
        <v/>
      </c>
      <c r="D9" s="66">
        <f>D10-D8-D7-D6</f>
        <v/>
      </c>
      <c r="E9" s="66">
        <f>E10-E8-E7-E6</f>
        <v/>
      </c>
      <c r="F9" s="66">
        <f>SUM(B9:E9)</f>
        <v/>
      </c>
      <c r="G9" s="67" t="inlineStr">
        <is>
          <t>derived: FY - 9M</t>
        </is>
      </c>
    </row>
    <row r="10">
      <c r="A10" s="68" t="inlineStr">
        <is>
          <t>FY2023</t>
        </is>
      </c>
      <c r="B10" s="69" t="n">
        <v>1263341</v>
      </c>
      <c r="C10" s="69" t="n">
        <v>43722</v>
      </c>
      <c r="D10" s="69" t="n">
        <v>4755</v>
      </c>
      <c r="E10" s="69" t="n">
        <v>6196</v>
      </c>
      <c r="F10" s="70">
        <f>SUM(B10:E10)</f>
        <v/>
      </c>
      <c r="G10" s="71" t="inlineStr">
        <is>
          <t>FY2023 10-K</t>
        </is>
      </c>
    </row>
    <row r="11">
      <c r="A11" s="64" t="inlineStr">
        <is>
          <t>Q1 2024</t>
        </is>
      </c>
      <c r="B11" s="65" t="n">
        <v>339512</v>
      </c>
      <c r="C11" s="65" t="n">
        <v>14142</v>
      </c>
      <c r="D11" s="65" t="n">
        <v>675</v>
      </c>
      <c r="E11" s="65" t="n">
        <v>1379</v>
      </c>
      <c r="F11" s="66">
        <f>SUM(B11:E11)</f>
        <v/>
      </c>
      <c r="G11" s="67" t="inlineStr">
        <is>
          <t>Q1 2024 10-Q</t>
        </is>
      </c>
    </row>
    <row r="12">
      <c r="A12" s="64" t="inlineStr">
        <is>
          <t>Q2 2024</t>
        </is>
      </c>
      <c r="B12" s="65" t="n">
        <v>382351</v>
      </c>
      <c r="C12" s="65" t="n">
        <v>16684</v>
      </c>
      <c r="D12" s="65" t="n">
        <v>860</v>
      </c>
      <c r="E12" s="65" t="n">
        <v>2082</v>
      </c>
      <c r="F12" s="66">
        <f>SUM(B12:E12)</f>
        <v/>
      </c>
      <c r="G12" s="67" t="inlineStr">
        <is>
          <t>Q2 2024 10-Q</t>
        </is>
      </c>
    </row>
    <row r="13">
      <c r="A13" s="64" t="inlineStr">
        <is>
          <t>Q3 2024</t>
        </is>
      </c>
      <c r="B13" s="65" t="n">
        <v>247125</v>
      </c>
      <c r="C13" s="65" t="n">
        <v>16243</v>
      </c>
      <c r="D13" s="65" t="n">
        <v>594</v>
      </c>
      <c r="E13" s="65" t="n">
        <v>1786</v>
      </c>
      <c r="F13" s="66">
        <f>SUM(B13:E13)</f>
        <v/>
      </c>
      <c r="G13" s="67" t="inlineStr">
        <is>
          <t>Q3 2024 10-Q</t>
        </is>
      </c>
    </row>
    <row r="14">
      <c r="A14" s="64" t="inlineStr">
        <is>
          <t>Q4 2024</t>
        </is>
      </c>
      <c r="B14" s="66">
        <f>B15-B13-B12-B11</f>
        <v/>
      </c>
      <c r="C14" s="66">
        <f>C15-C13-C12-C11</f>
        <v/>
      </c>
      <c r="D14" s="66">
        <f>D15-D13-D12-D11</f>
        <v/>
      </c>
      <c r="E14" s="66">
        <f>E15-E13-E12-E11</f>
        <v/>
      </c>
      <c r="F14" s="66">
        <f>SUM(B14:E14)</f>
        <v/>
      </c>
      <c r="G14" s="67" t="inlineStr">
        <is>
          <t>derived: FY - 9M</t>
        </is>
      </c>
    </row>
    <row r="15">
      <c r="A15" s="68" t="inlineStr">
        <is>
          <t>FY2024</t>
        </is>
      </c>
      <c r="B15" s="69" t="n">
        <v>1280894</v>
      </c>
      <c r="C15" s="69" t="n">
        <v>61696</v>
      </c>
      <c r="D15" s="69" t="n">
        <v>5658</v>
      </c>
      <c r="E15" s="69" t="n">
        <v>7382</v>
      </c>
      <c r="F15" s="70">
        <f>SUM(B15:E15)</f>
        <v/>
      </c>
      <c r="G15" s="71" t="inlineStr">
        <is>
          <t>FY2024 10-K</t>
        </is>
      </c>
    </row>
    <row r="16">
      <c r="A16" s="64" t="inlineStr">
        <is>
          <t>Q1 2025</t>
        </is>
      </c>
      <c r="B16" s="65" t="n">
        <v>306534</v>
      </c>
      <c r="C16" s="65" t="n">
        <v>18659</v>
      </c>
      <c r="D16" s="65" t="n">
        <v>2244</v>
      </c>
      <c r="E16" s="65" t="n">
        <v>1839</v>
      </c>
      <c r="F16" s="66">
        <f>SUM(B16:E16)</f>
        <v/>
      </c>
      <c r="G16" s="67" t="inlineStr">
        <is>
          <t>Q1 2025 10-Q</t>
        </is>
      </c>
    </row>
    <row r="17">
      <c r="A17" s="64" t="inlineStr">
        <is>
          <t>Q2 2025</t>
        </is>
      </c>
      <c r="B17" s="65" t="n">
        <v>714459</v>
      </c>
      <c r="C17" s="65" t="n">
        <v>18301</v>
      </c>
      <c r="D17" s="65" t="n">
        <v>4381</v>
      </c>
      <c r="E17" s="65" t="n">
        <v>2118</v>
      </c>
      <c r="F17" s="66">
        <f>SUM(B17:E17)</f>
        <v/>
      </c>
      <c r="G17" s="67" t="inlineStr">
        <is>
          <t>Q2 2025 10-Q</t>
        </is>
      </c>
    </row>
    <row r="18">
      <c r="A18" s="64" t="inlineStr">
        <is>
          <t>Q3 2025</t>
        </is>
      </c>
      <c r="B18" s="65" t="n">
        <v>701990</v>
      </c>
      <c r="C18" s="65" t="n">
        <v>17691</v>
      </c>
      <c r="D18" s="65" t="n">
        <v>3518</v>
      </c>
      <c r="E18" s="65" t="n">
        <v>1907</v>
      </c>
      <c r="F18" s="66">
        <f>SUM(B18:E18)</f>
        <v/>
      </c>
      <c r="G18" s="67" t="inlineStr">
        <is>
          <t>Q3 2025 10-Q</t>
        </is>
      </c>
    </row>
    <row r="19">
      <c r="A19" s="64" t="inlineStr">
        <is>
          <t>Q4 2025</t>
        </is>
      </c>
      <c r="B19" s="66">
        <f>B20-B18-B17-B16</f>
        <v/>
      </c>
      <c r="C19" s="66">
        <f>C20-C18-C17-C16</f>
        <v/>
      </c>
      <c r="D19" s="66">
        <f>D20-D18-D17-D16</f>
        <v/>
      </c>
      <c r="E19" s="66">
        <f>E20-E18-E17-E16</f>
        <v/>
      </c>
      <c r="F19" s="66">
        <f>SUM(B19:E19)</f>
        <v/>
      </c>
      <c r="G19" s="67" t="inlineStr">
        <is>
          <t>derived: FY - 9M</t>
        </is>
      </c>
    </row>
    <row r="20">
      <c r="A20" s="68" t="inlineStr">
        <is>
          <t>FY2025</t>
        </is>
      </c>
      <c r="B20" s="69" t="n">
        <v>2422490</v>
      </c>
      <c r="C20" s="69" t="n">
        <v>72544</v>
      </c>
      <c r="D20" s="69" t="n">
        <v>12971</v>
      </c>
      <c r="E20" s="69" t="n">
        <v>7264</v>
      </c>
      <c r="F20" s="70">
        <f>SUM(B20:E20)</f>
        <v/>
      </c>
      <c r="G20" s="71" t="inlineStr">
        <is>
          <t>FY2025 10-K</t>
        </is>
      </c>
    </row>
    <row r="23">
      <c r="A23" s="62" t="inlineStr">
        <is>
          <t>2. CUSTOMER CONCENTRATION -- % of single-period revenue (only customers &gt; 10% disclosed)</t>
        </is>
      </c>
    </row>
    <row r="24">
      <c r="A24" s="63" t="inlineStr">
        <is>
          <t>Period</t>
        </is>
      </c>
      <c r="B24" s="63" t="inlineStr">
        <is>
          <t>Pepsi</t>
        </is>
      </c>
      <c r="C24" s="63" t="inlineStr">
        <is>
          <t>Costco</t>
        </is>
      </c>
      <c r="D24" s="63" t="inlineStr">
        <is>
          <t>Amazon</t>
        </is>
      </c>
      <c r="E24" s="63" t="inlineStr">
        <is>
          <t>All others</t>
        </is>
      </c>
      <c r="F24" s="63" t="inlineStr">
        <is>
          <t>Total</t>
        </is>
      </c>
      <c r="G24" s="63" t="inlineStr">
        <is>
          <t>Source</t>
        </is>
      </c>
    </row>
    <row r="25">
      <c r="A25" s="64" t="inlineStr">
        <is>
          <t>Q1 2023</t>
        </is>
      </c>
      <c r="B25" s="72" t="n">
        <v>0.602</v>
      </c>
      <c r="C25" s="72" t="n">
        <v>0.129</v>
      </c>
      <c r="D25" s="72" t="n">
        <v>0.08400000000000001</v>
      </c>
      <c r="E25" s="72" t="n">
        <v>0.185</v>
      </c>
      <c r="F25" s="73">
        <f>SUM(B25:E25)</f>
        <v/>
      </c>
      <c r="G25" s="67" t="inlineStr">
        <is>
          <t>Q1 2023 10-Q</t>
        </is>
      </c>
    </row>
    <row r="26">
      <c r="A26" s="64" t="inlineStr">
        <is>
          <t>Q2 2023</t>
        </is>
      </c>
      <c r="B26" s="72" t="n">
        <v>0.5669999999999999</v>
      </c>
      <c r="C26" s="72" t="n">
        <v>0.13</v>
      </c>
      <c r="D26" s="74" t="inlineStr">
        <is>
          <t>n/d</t>
        </is>
      </c>
      <c r="E26" s="72" t="n">
        <v>0.303</v>
      </c>
      <c r="F26" s="73">
        <f>SUM(B26:E26)</f>
        <v/>
      </c>
      <c r="G26" s="67" t="inlineStr">
        <is>
          <t>Q2 2023 10-Q</t>
        </is>
      </c>
    </row>
    <row r="27">
      <c r="A27" s="64" t="inlineStr">
        <is>
          <t>Q3 2023</t>
        </is>
      </c>
      <c r="B27" s="72" t="n">
        <v>0.646</v>
      </c>
      <c r="C27" s="72" t="n">
        <v>0.089</v>
      </c>
      <c r="D27" s="74" t="inlineStr">
        <is>
          <t>n/d</t>
        </is>
      </c>
      <c r="E27" s="72" t="n">
        <v>0.265</v>
      </c>
      <c r="F27" s="73">
        <f>SUM(B27:E27)</f>
        <v/>
      </c>
      <c r="G27" s="67" t="inlineStr">
        <is>
          <t>Q3 2023 10-Q</t>
        </is>
      </c>
    </row>
    <row r="28">
      <c r="A28" s="68" t="inlineStr">
        <is>
          <t>FY2023</t>
        </is>
      </c>
      <c r="B28" s="75" t="n">
        <v>0.594</v>
      </c>
      <c r="C28" s="75" t="n">
        <v>0.12</v>
      </c>
      <c r="D28" s="75" t="n">
        <v>0.076</v>
      </c>
      <c r="E28" s="75" t="n">
        <v>0.21</v>
      </c>
      <c r="F28" s="76">
        <f>SUM(B28:E28)</f>
        <v/>
      </c>
      <c r="G28" s="71" t="inlineStr">
        <is>
          <t>FY2023 10-K</t>
        </is>
      </c>
    </row>
    <row r="29">
      <c r="A29" s="64" t="inlineStr">
        <is>
          <t>Q1 2024</t>
        </is>
      </c>
      <c r="B29" s="72" t="n">
        <v>0.592</v>
      </c>
      <c r="C29" s="72" t="n">
        <v>0.102</v>
      </c>
      <c r="D29" s="74" t="inlineStr">
        <is>
          <t>n/d</t>
        </is>
      </c>
      <c r="E29" s="72" t="n">
        <v>0.306</v>
      </c>
      <c r="F29" s="73">
        <f>SUM(B29:E29)</f>
        <v/>
      </c>
      <c r="G29" s="67" t="inlineStr">
        <is>
          <t>Q1 2024 10-Q</t>
        </is>
      </c>
    </row>
    <row r="30">
      <c r="A30" s="64" t="inlineStr">
        <is>
          <t>Q2 2024</t>
        </is>
      </c>
      <c r="B30" s="72" t="n">
        <v>0.529</v>
      </c>
      <c r="C30" s="72" t="n">
        <v>0.121</v>
      </c>
      <c r="D30" s="74" t="inlineStr">
        <is>
          <t>n/d</t>
        </is>
      </c>
      <c r="E30" s="72" t="n">
        <v>0.35</v>
      </c>
      <c r="F30" s="73">
        <f>SUM(B30:E30)</f>
        <v/>
      </c>
      <c r="G30" s="67" t="inlineStr">
        <is>
          <t>Q2 2024 10-Q</t>
        </is>
      </c>
    </row>
    <row r="31">
      <c r="A31" s="64" t="inlineStr">
        <is>
          <t>Q3 2024</t>
        </is>
      </c>
      <c r="B31" s="72" t="n">
        <v>0.47</v>
      </c>
      <c r="C31" s="72" t="n">
        <v>0.149</v>
      </c>
      <c r="D31" s="72" t="n">
        <v>0.102</v>
      </c>
      <c r="E31" s="72" t="n">
        <v>0.279</v>
      </c>
      <c r="F31" s="73">
        <f>SUM(B31:E31)</f>
        <v/>
      </c>
      <c r="G31" s="67" t="inlineStr">
        <is>
          <t>Q3 2024 10-Q</t>
        </is>
      </c>
    </row>
    <row r="32">
      <c r="A32" s="68" t="inlineStr">
        <is>
          <t>FY2024</t>
        </is>
      </c>
      <c r="B32" s="75" t="n">
        <v>0.547</v>
      </c>
      <c r="C32" s="75" t="n">
        <v>0.116</v>
      </c>
      <c r="D32" s="77" t="inlineStr">
        <is>
          <t>n/d</t>
        </is>
      </c>
      <c r="E32" s="75" t="n">
        <v>0.337</v>
      </c>
      <c r="F32" s="76">
        <f>SUM(B32:E32)</f>
        <v/>
      </c>
      <c r="G32" s="71" t="inlineStr">
        <is>
          <t>FY2024 10-K</t>
        </is>
      </c>
    </row>
    <row r="33">
      <c r="A33" s="64" t="inlineStr">
        <is>
          <t>Q1 2025</t>
        </is>
      </c>
      <c r="B33" s="72" t="n">
        <v>0.576</v>
      </c>
      <c r="C33" s="72" t="n">
        <v>0.059</v>
      </c>
      <c r="D33" s="72" t="n">
        <v>0.121</v>
      </c>
      <c r="E33" s="72" t="n">
        <v>0.244</v>
      </c>
      <c r="F33" s="73">
        <f>SUM(B33:E33)</f>
        <v/>
      </c>
      <c r="G33" s="67" t="inlineStr">
        <is>
          <t>Q1 2025 10-Q</t>
        </is>
      </c>
    </row>
    <row r="34">
      <c r="A34" s="64" t="inlineStr">
        <is>
          <t>Q2 2025</t>
        </is>
      </c>
      <c r="B34" s="72" t="n">
        <v>0.333</v>
      </c>
      <c r="C34" s="72" t="n">
        <v>0.117</v>
      </c>
      <c r="D34" s="74" t="inlineStr">
        <is>
          <t>n/d</t>
        </is>
      </c>
      <c r="E34" s="72" t="n">
        <v>0.55</v>
      </c>
      <c r="F34" s="73">
        <f>SUM(B34:E34)</f>
        <v/>
      </c>
      <c r="G34" s="67" t="inlineStr">
        <is>
          <t>Q2 2025 10-Q</t>
        </is>
      </c>
    </row>
    <row r="35">
      <c r="A35" s="64" t="inlineStr">
        <is>
          <t>Q3 2025</t>
        </is>
      </c>
      <c r="B35" s="72" t="n">
        <v>0.354</v>
      </c>
      <c r="C35" s="72" t="n">
        <v>0.111</v>
      </c>
      <c r="D35" s="72" t="n">
        <v>0.055</v>
      </c>
      <c r="E35" s="72" t="n">
        <v>0.48</v>
      </c>
      <c r="F35" s="73">
        <f>SUM(B35:E35)</f>
        <v/>
      </c>
      <c r="G35" s="67" t="inlineStr">
        <is>
          <t>Q3 2025 10-Q</t>
        </is>
      </c>
    </row>
    <row r="36">
      <c r="A36" s="68" t="inlineStr">
        <is>
          <t>FY2025</t>
        </is>
      </c>
      <c r="B36" s="75" t="n">
        <v>0.432</v>
      </c>
      <c r="C36" s="75" t="n">
        <v>0.108</v>
      </c>
      <c r="D36" s="77" t="inlineStr">
        <is>
          <t>n/d</t>
        </is>
      </c>
      <c r="E36" s="75" t="n">
        <v>0.46</v>
      </c>
      <c r="F36" s="76">
        <f>SUM(B36:E36)</f>
        <v/>
      </c>
      <c r="G36" s="71" t="inlineStr">
        <is>
          <t>FY2025 10-K</t>
        </is>
      </c>
    </row>
    <row r="39">
      <c r="A39" s="62" t="inlineStr">
        <is>
          <t>3. FUNCTIONAL ENERGY DRINK PRODUCT CONCENTRATION -- % of revenue</t>
        </is>
      </c>
    </row>
    <row r="40">
      <c r="A40" s="63" t="inlineStr">
        <is>
          <t>Period</t>
        </is>
      </c>
      <c r="B40" s="63" t="inlineStr">
        <is>
          <t>Single-Period %</t>
        </is>
      </c>
      <c r="C40" s="63" t="inlineStr">
        <is>
          <t>YTD %</t>
        </is>
      </c>
      <c r="D40" s="63" t="inlineStr"/>
      <c r="E40" s="63" t="inlineStr"/>
      <c r="F40" s="63" t="inlineStr">
        <is>
          <t>Notes</t>
        </is>
      </c>
      <c r="G40" s="63" t="inlineStr">
        <is>
          <t>Source</t>
        </is>
      </c>
    </row>
    <row r="41">
      <c r="A41" s="68" t="inlineStr">
        <is>
          <t>FY2023</t>
        </is>
      </c>
      <c r="B41" s="78" t="n">
        <v>0.961</v>
      </c>
      <c r="C41" s="79" t="n"/>
      <c r="D41" s="79" t="n"/>
      <c r="E41" s="79" t="n"/>
      <c r="F41" s="80" t="inlineStr">
        <is>
          <t>Annual disclosure only</t>
        </is>
      </c>
      <c r="G41" s="81" t="inlineStr">
        <is>
          <t>FY2023 10-K</t>
        </is>
      </c>
    </row>
    <row r="42">
      <c r="A42" s="64" t="inlineStr">
        <is>
          <t>Q3 2024</t>
        </is>
      </c>
      <c r="B42" s="72" t="n">
        <v>0.945</v>
      </c>
      <c r="C42" s="72" t="n">
        <v>0.954</v>
      </c>
      <c r="F42" s="61" t="inlineStr">
        <is>
          <t>3M / 9M</t>
        </is>
      </c>
      <c r="G42" s="67" t="inlineStr">
        <is>
          <t>Q3 2024 10-Q</t>
        </is>
      </c>
    </row>
    <row r="43">
      <c r="A43" s="68" t="inlineStr">
        <is>
          <t>FY2024</t>
        </is>
      </c>
      <c r="B43" s="78" t="n">
        <v>0.953</v>
      </c>
      <c r="C43" s="79" t="n"/>
      <c r="D43" s="79" t="n"/>
      <c r="E43" s="79" t="n"/>
      <c r="F43" s="80" t="inlineStr">
        <is>
          <t>Annual disclosure only</t>
        </is>
      </c>
      <c r="G43" s="81" t="inlineStr">
        <is>
          <t>FY2024 10-K</t>
        </is>
      </c>
    </row>
    <row r="44">
      <c r="A44" s="64" t="inlineStr">
        <is>
          <t>Q2 2025</t>
        </is>
      </c>
      <c r="B44" s="72" t="n">
        <v>0.926</v>
      </c>
      <c r="C44" s="72" t="n">
        <v>0.9350000000000001</v>
      </c>
      <c r="F44" s="61" t="inlineStr">
        <is>
          <t>3M / 6M</t>
        </is>
      </c>
      <c r="G44" s="67" t="inlineStr">
        <is>
          <t>Q2 2025 10-Q</t>
        </is>
      </c>
    </row>
    <row r="45">
      <c r="A45" s="64" t="inlineStr">
        <is>
          <t>Q3 2025</t>
        </is>
      </c>
      <c r="B45" s="72" t="n">
        <v>0.95</v>
      </c>
      <c r="C45" s="72" t="n">
        <v>0.9409999999999999</v>
      </c>
      <c r="F45" s="61" t="inlineStr">
        <is>
          <t>3M / 9M</t>
        </is>
      </c>
      <c r="G45" s="67" t="inlineStr">
        <is>
          <t>Q3 2025 10-Q</t>
        </is>
      </c>
    </row>
    <row r="46">
      <c r="A46" s="68" t="inlineStr">
        <is>
          <t>FY2025</t>
        </is>
      </c>
      <c r="B46" s="78" t="n">
        <v>0.929</v>
      </c>
      <c r="C46" s="79" t="n"/>
      <c r="D46" s="79" t="n"/>
      <c r="E46" s="79" t="n"/>
      <c r="F46" s="80" t="inlineStr">
        <is>
          <t>Annual disclosure only</t>
        </is>
      </c>
      <c r="G46" s="81" t="inlineStr">
        <is>
          <t>FY2025 10-K</t>
        </is>
      </c>
    </row>
    <row r="49">
      <c r="A49" s="62" t="inlineStr">
        <is>
          <t>4. BRAND CONTRIBUTION -- Revenue ($ thousands, single-period)</t>
        </is>
      </c>
    </row>
    <row r="50">
      <c r="A50" s="63" t="inlineStr">
        <is>
          <t>Period</t>
        </is>
      </c>
      <c r="B50" s="63" t="inlineStr">
        <is>
          <t>Celsius (residual)</t>
        </is>
      </c>
      <c r="C50" s="63" t="inlineStr">
        <is>
          <t>Alani Nu</t>
        </is>
      </c>
      <c r="D50" s="63" t="inlineStr">
        <is>
          <t>Rockstar</t>
        </is>
      </c>
      <c r="E50" s="63" t="inlineStr">
        <is>
          <t>Total</t>
        </is>
      </c>
      <c r="F50" s="63" t="inlineStr">
        <is>
          <t>% Alani</t>
        </is>
      </c>
      <c r="G50" s="63" t="inlineStr">
        <is>
          <t>Source</t>
        </is>
      </c>
    </row>
    <row r="51">
      <c r="A51" s="64" t="inlineStr">
        <is>
          <t>Q1 2025</t>
        </is>
      </c>
      <c r="B51" s="66">
        <f>E51-C51-D51</f>
        <v/>
      </c>
      <c r="C51" s="65" t="n">
        <v>0</v>
      </c>
      <c r="D51" s="65" t="n">
        <v>0</v>
      </c>
      <c r="E51" s="66">
        <f>F16</f>
        <v/>
      </c>
      <c r="F51" s="73">
        <f>IFERROR(C51/E51,0)</f>
        <v/>
      </c>
      <c r="G51" s="67" t="inlineStr">
        <is>
          <t>Q1 2025 10-Q</t>
        </is>
      </c>
    </row>
    <row r="52">
      <c r="A52" s="64" t="inlineStr">
        <is>
          <t>Q2 2025</t>
        </is>
      </c>
      <c r="B52" s="66">
        <f>E52-C52-D52</f>
        <v/>
      </c>
      <c r="C52" s="65" t="n">
        <v>301200</v>
      </c>
      <c r="D52" s="65" t="n">
        <v>0</v>
      </c>
      <c r="E52" s="66">
        <f>F17</f>
        <v/>
      </c>
      <c r="F52" s="73">
        <f>IFERROR(C52/E52,0)</f>
        <v/>
      </c>
      <c r="G52" s="67" t="inlineStr">
        <is>
          <t>Q2 2025 10-Q N5</t>
        </is>
      </c>
    </row>
    <row r="53">
      <c r="A53" s="64" t="inlineStr">
        <is>
          <t>Q3 2025</t>
        </is>
      </c>
      <c r="B53" s="66">
        <f>E53-C53-D53</f>
        <v/>
      </c>
      <c r="C53" s="65" t="n">
        <v>332000</v>
      </c>
      <c r="D53" s="65" t="n">
        <v>12200</v>
      </c>
      <c r="E53" s="66">
        <f>F18</f>
        <v/>
      </c>
      <c r="F53" s="73">
        <f>IFERROR(C53/E53,0)</f>
        <v/>
      </c>
      <c r="G53" s="67" t="inlineStr">
        <is>
          <t>Q3 2025 10-Q</t>
        </is>
      </c>
    </row>
    <row r="54">
      <c r="A54" s="64" t="inlineStr">
        <is>
          <t>Q4 2025</t>
        </is>
      </c>
      <c r="B54" s="66">
        <f>E54-C54-D54</f>
        <v/>
      </c>
      <c r="C54" s="66">
        <f>C55-C51-C52-C53</f>
        <v/>
      </c>
      <c r="D54" s="66">
        <f>D55-D51-D52-D53</f>
        <v/>
      </c>
      <c r="E54" s="66">
        <f>F19</f>
        <v/>
      </c>
      <c r="F54" s="73">
        <f>IFERROR(C54/E54,0)</f>
        <v/>
      </c>
      <c r="G54" s="67" t="inlineStr">
        <is>
          <t>derived: FY - 9M</t>
        </is>
      </c>
    </row>
    <row r="55">
      <c r="A55" s="68" t="inlineStr">
        <is>
          <t>FY2025</t>
        </is>
      </c>
      <c r="B55" s="70">
        <f>E55-C55-D55</f>
        <v/>
      </c>
      <c r="C55" s="69" t="n">
        <v>1001900</v>
      </c>
      <c r="D55" s="69" t="n">
        <v>55600</v>
      </c>
      <c r="E55" s="70">
        <f>F20</f>
        <v/>
      </c>
      <c r="F55" s="76">
        <f>IFERROR(C55/E55,0)</f>
        <v/>
      </c>
      <c r="G55" s="71" t="inlineStr">
        <is>
          <t>FY2025 10-K N5</t>
        </is>
      </c>
    </row>
    <row r="58">
      <c r="A58" s="62" t="inlineStr">
        <is>
          <t>5. PRO FORMA vs AS-REPORTED -- Revenue ($ thousands)</t>
        </is>
      </c>
    </row>
    <row r="59">
      <c r="A59" s="63" t="inlineStr">
        <is>
          <t>Period</t>
        </is>
      </c>
      <c r="B59" s="63" t="inlineStr">
        <is>
          <t>As-Reported</t>
        </is>
      </c>
      <c r="C59" s="63" t="inlineStr">
        <is>
          <t>Pro Forma</t>
        </is>
      </c>
      <c r="D59" s="63" t="inlineStr">
        <is>
          <t>Implied "missing"</t>
        </is>
      </c>
      <c r="E59" s="63" t="inlineStr">
        <is>
          <t>Pro Forma % Y/Y</t>
        </is>
      </c>
      <c r="F59" s="63" t="inlineStr"/>
      <c r="G59" s="63" t="inlineStr">
        <is>
          <t>Source</t>
        </is>
      </c>
    </row>
    <row r="60">
      <c r="A60" s="64" t="inlineStr">
        <is>
          <t>Q3 2024</t>
        </is>
      </c>
      <c r="B60" s="65" t="n">
        <v>265748</v>
      </c>
      <c r="C60" s="65" t="n">
        <v>513912</v>
      </c>
      <c r="D60" s="66">
        <f>C60-B60</f>
        <v/>
      </c>
      <c r="G60" s="67" t="inlineStr">
        <is>
          <t>Q3 2025 10-Q N5</t>
        </is>
      </c>
    </row>
    <row r="61">
      <c r="A61" s="64" t="inlineStr">
        <is>
          <t>Q3 2025</t>
        </is>
      </c>
      <c r="B61" s="65" t="n">
        <v>725106</v>
      </c>
      <c r="C61" s="65" t="n">
        <v>798496</v>
      </c>
      <c r="D61" s="66">
        <f>C61-B61</f>
        <v/>
      </c>
      <c r="E61" s="73">
        <f>C61/C60-1</f>
        <v/>
      </c>
      <c r="G61" s="67" t="inlineStr">
        <is>
          <t>Q3 2025 10-Q N5</t>
        </is>
      </c>
    </row>
    <row r="62">
      <c r="A62" s="64" t="inlineStr">
        <is>
          <t>9M 2024</t>
        </is>
      </c>
      <c r="B62" s="65" t="n">
        <v>1023433</v>
      </c>
      <c r="C62" s="65" t="n">
        <v>1737287</v>
      </c>
      <c r="D62" s="66">
        <f>C62-B62</f>
        <v/>
      </c>
      <c r="G62" s="67" t="inlineStr">
        <is>
          <t>Q3 2025 10-Q N5</t>
        </is>
      </c>
    </row>
    <row r="63">
      <c r="A63" s="64" t="inlineStr">
        <is>
          <t>9M 2025</t>
        </is>
      </c>
      <c r="B63" s="65" t="n">
        <v>1793641</v>
      </c>
      <c r="C63" s="65" t="n">
        <v>2271993</v>
      </c>
      <c r="D63" s="66">
        <f>C63-B63</f>
        <v/>
      </c>
      <c r="E63" s="73">
        <f>C63/C62-1</f>
        <v/>
      </c>
      <c r="G63" s="67" t="inlineStr">
        <is>
          <t>Q3 2025 10-Q N5</t>
        </is>
      </c>
    </row>
    <row r="64">
      <c r="A64" s="68" t="inlineStr">
        <is>
          <t>FY2024</t>
        </is>
      </c>
      <c r="B64" s="69" t="n">
        <v>1355630</v>
      </c>
      <c r="C64" s="69" t="n">
        <v>2317965</v>
      </c>
      <c r="D64" s="70">
        <f>C64-B64</f>
        <v/>
      </c>
      <c r="E64" s="82" t="n"/>
      <c r="F64" s="82" t="n"/>
      <c r="G64" s="71" t="inlineStr">
        <is>
          <t>FY2025 10-K N5</t>
        </is>
      </c>
    </row>
    <row r="65">
      <c r="A65" s="68" t="inlineStr">
        <is>
          <t>FY2025</t>
        </is>
      </c>
      <c r="B65" s="69" t="n">
        <v>2515269</v>
      </c>
      <c r="C65" s="69" t="n">
        <v>3003677</v>
      </c>
      <c r="D65" s="70">
        <f>C65-B65</f>
        <v/>
      </c>
      <c r="E65" s="76">
        <f>C65/C64-1</f>
        <v/>
      </c>
      <c r="F65" s="82" t="n"/>
      <c r="G65" s="71" t="inlineStr">
        <is>
          <t>FY2025 10-K N5</t>
        </is>
      </c>
    </row>
    <row r="68">
      <c r="A68" s="62" t="inlineStr">
        <is>
          <t>6. SG&amp;A WALK -- Period-over-period change by driver ($ thousands; positive = expense increase). Blank = not separately disclosed by CELH for that period.</t>
        </is>
      </c>
      <c r="B68" s="83" t="n"/>
      <c r="C68" s="83" t="n"/>
      <c r="D68" s="83" t="n"/>
      <c r="E68" s="83" t="n"/>
      <c r="F68" s="83" t="n"/>
      <c r="G68" s="83" t="n"/>
      <c r="H68" s="83" t="n"/>
      <c r="I68" s="83" t="n"/>
      <c r="J68" s="83" t="n"/>
      <c r="K68" s="83" t="n"/>
      <c r="L68" s="83" t="n"/>
      <c r="M68" s="83" t="n"/>
    </row>
    <row r="69">
      <c r="A69" s="84" t="inlineStr">
        <is>
          <t>Period</t>
        </is>
      </c>
      <c r="B69" s="84" t="inlineStr">
        <is>
          <t>Total SG&amp;A</t>
        </is>
      </c>
      <c r="C69" s="84" t="inlineStr">
        <is>
          <t>YoY Total Δ</t>
        </is>
      </c>
      <c r="D69" s="84" t="inlineStr">
        <is>
          <t>Marketing Δ</t>
        </is>
      </c>
      <c r="E69" s="84" t="inlineStr">
        <is>
          <t>Storage/Distrib Δ</t>
        </is>
      </c>
      <c r="F69" s="84" t="inlineStr">
        <is>
          <t>Employee Δ</t>
        </is>
      </c>
      <c r="G69" s="84" t="inlineStr">
        <is>
          <t>G&amp;A/Admin Δ</t>
        </is>
      </c>
      <c r="H69" s="84" t="inlineStr">
        <is>
          <t>Stock Comp Δ</t>
        </is>
      </c>
      <c r="I69" s="84" t="inlineStr">
        <is>
          <t>Distributor Term Δ</t>
        </is>
      </c>
      <c r="J69" s="84" t="inlineStr">
        <is>
          <t>M&amp;A/Integration Δ</t>
        </is>
      </c>
      <c r="K69" s="84" t="inlineStr">
        <is>
          <t>Other Δ</t>
        </is>
      </c>
      <c r="L69" s="84" t="inlineStr">
        <is>
          <t>Σ Buckets (check)</t>
        </is>
      </c>
      <c r="M69" s="84" t="inlineStr">
        <is>
          <t>Source</t>
        </is>
      </c>
    </row>
    <row r="70">
      <c r="A70" s="64" t="inlineStr">
        <is>
          <t>Q1 2023</t>
        </is>
      </c>
      <c r="B70" s="65" t="n">
        <v>68900</v>
      </c>
      <c r="C70" s="65" t="n">
        <v>25100</v>
      </c>
      <c r="D70" s="65" t="n">
        <v>16500</v>
      </c>
      <c r="E70" s="65" t="n">
        <v>-3000</v>
      </c>
      <c r="F70" s="65" t="n">
        <v>3600</v>
      </c>
      <c r="G70" s="65" t="n">
        <v>5500</v>
      </c>
      <c r="H70" s="65" t="n">
        <v>1200</v>
      </c>
      <c r="I70" t="inlineStr"/>
      <c r="J70" t="inlineStr"/>
      <c r="K70" s="65" t="n">
        <v>1400</v>
      </c>
      <c r="L70" s="66">
        <f>SUM(D70:K70)</f>
        <v/>
      </c>
      <c r="M70" s="67" t="inlineStr">
        <is>
          <t>Q1 2023 10-Q</t>
        </is>
      </c>
    </row>
    <row r="71">
      <c r="A71" s="64" t="inlineStr">
        <is>
          <t>Q2 2023</t>
        </is>
      </c>
      <c r="B71" s="65" t="n">
        <v>94200</v>
      </c>
      <c r="C71" s="65" t="n">
        <v>47300</v>
      </c>
      <c r="D71" s="65" t="n">
        <v>21700</v>
      </c>
      <c r="E71" s="65" t="n">
        <v>3000</v>
      </c>
      <c r="F71" s="65" t="n">
        <v>1800</v>
      </c>
      <c r="G71" s="65" t="n">
        <v>15000</v>
      </c>
      <c r="H71" s="65" t="n">
        <v>1500</v>
      </c>
      <c r="I71" t="inlineStr"/>
      <c r="J71" t="inlineStr"/>
      <c r="K71" s="65" t="n">
        <v>4300</v>
      </c>
      <c r="L71" s="66">
        <f>SUM(D71:K71)</f>
        <v/>
      </c>
      <c r="M71" s="67" t="inlineStr">
        <is>
          <t>Q2 2023 10-Q</t>
        </is>
      </c>
    </row>
    <row r="72">
      <c r="A72" s="64" t="inlineStr">
        <is>
          <t>Q3 2023</t>
        </is>
      </c>
      <c r="B72" s="65" t="n">
        <v>96400</v>
      </c>
      <c r="C72" s="65" t="n">
        <v>-129800</v>
      </c>
      <c r="D72" s="65" t="n">
        <v>21200</v>
      </c>
      <c r="E72" s="65" t="n">
        <v>2200</v>
      </c>
      <c r="F72" s="65" t="n">
        <v>3900</v>
      </c>
      <c r="G72" s="65" t="n">
        <v>-6300</v>
      </c>
      <c r="H72" s="65" t="n">
        <v>-1300</v>
      </c>
      <c r="I72" s="65" t="n">
        <v>-149500</v>
      </c>
      <c r="J72" t="inlineStr"/>
      <c r="K72" t="inlineStr"/>
      <c r="L72" s="66">
        <f>SUM(D72:K72)</f>
        <v/>
      </c>
      <c r="M72" s="67" t="inlineStr">
        <is>
          <t>Q3 2023 10-Q</t>
        </is>
      </c>
    </row>
    <row r="73">
      <c r="A73" s="68" t="inlineStr">
        <is>
          <t>FY2023</t>
        </is>
      </c>
      <c r="B73" s="69" t="n">
        <v>366800</v>
      </c>
      <c r="C73" s="85" t="n">
        <v>-61900</v>
      </c>
      <c r="D73" s="85" t="n">
        <v>75000</v>
      </c>
      <c r="E73" s="85" t="n">
        <v>12100</v>
      </c>
      <c r="F73" s="85" t="n">
        <v>13400</v>
      </c>
      <c r="G73" s="85" t="n">
        <v>18000</v>
      </c>
      <c r="H73" s="85" t="n">
        <v>600</v>
      </c>
      <c r="I73" s="85" t="n">
        <v>-181000</v>
      </c>
      <c r="J73" s="79" t="inlineStr"/>
      <c r="K73" s="79" t="inlineStr"/>
      <c r="L73" s="86">
        <f>SUM(D73:K73)</f>
        <v/>
      </c>
      <c r="M73" s="81" t="inlineStr">
        <is>
          <t>FY2023 10-K</t>
        </is>
      </c>
    </row>
    <row r="74">
      <c r="A74" s="64" t="inlineStr">
        <is>
          <t>Q1 2024</t>
        </is>
      </c>
      <c r="B74" s="65" t="n">
        <v>99000</v>
      </c>
      <c r="C74" s="65" t="n">
        <v>30100</v>
      </c>
      <c r="D74" s="65" t="n">
        <v>14400</v>
      </c>
      <c r="E74" s="65" t="n">
        <v>4500</v>
      </c>
      <c r="F74" s="65" t="n">
        <v>7600</v>
      </c>
      <c r="G74" s="65" t="n">
        <v>2800</v>
      </c>
      <c r="H74" s="65" t="n">
        <v>-1900</v>
      </c>
      <c r="I74" t="inlineStr"/>
      <c r="J74" t="inlineStr"/>
      <c r="K74" s="65" t="n">
        <v>2700</v>
      </c>
      <c r="L74" s="66">
        <f>SUM(D74:K74)</f>
        <v/>
      </c>
      <c r="M74" s="67" t="inlineStr">
        <is>
          <t>Q1 2024 10-Q</t>
        </is>
      </c>
    </row>
    <row r="75">
      <c r="A75" s="64" t="inlineStr">
        <is>
          <t>Q2 2024</t>
        </is>
      </c>
      <c r="B75" s="65" t="n">
        <v>114900</v>
      </c>
      <c r="C75" s="65" t="n">
        <v>20700</v>
      </c>
      <c r="D75" s="65" t="n">
        <v>22900</v>
      </c>
      <c r="E75" t="inlineStr"/>
      <c r="F75" s="65" t="n">
        <v>9700</v>
      </c>
      <c r="G75" s="65" t="n">
        <v>-10400</v>
      </c>
      <c r="H75" s="65" t="n">
        <v>-1000</v>
      </c>
      <c r="I75" t="inlineStr"/>
      <c r="J75" t="inlineStr"/>
      <c r="K75" s="65" t="n">
        <v>-500</v>
      </c>
      <c r="L75" s="66">
        <f>SUM(D75:K75)</f>
        <v/>
      </c>
      <c r="M75" s="67" t="inlineStr">
        <is>
          <t>Q2 2024 10-Q</t>
        </is>
      </c>
    </row>
    <row r="76">
      <c r="A76" s="64" t="inlineStr">
        <is>
          <t>Q3 2024</t>
        </is>
      </c>
      <c r="B76" s="65" t="n">
        <v>125400</v>
      </c>
      <c r="C76" s="65" t="n">
        <v>29000</v>
      </c>
      <c r="D76" s="65" t="n">
        <v>17500</v>
      </c>
      <c r="E76" t="inlineStr"/>
      <c r="F76" s="65" t="n">
        <v>9300</v>
      </c>
      <c r="G76" t="inlineStr"/>
      <c r="H76" t="inlineStr"/>
      <c r="I76" t="inlineStr"/>
      <c r="J76" t="inlineStr"/>
      <c r="K76" s="65" t="n">
        <v>2200</v>
      </c>
      <c r="L76" s="66">
        <f>SUM(D76:K76)</f>
        <v/>
      </c>
      <c r="M76" s="67" t="inlineStr">
        <is>
          <t>Q3 2024 10-Q</t>
        </is>
      </c>
    </row>
    <row r="77">
      <c r="A77" s="68" t="inlineStr">
        <is>
          <t>FY2024</t>
        </is>
      </c>
      <c r="B77" s="69" t="n">
        <v>524500</v>
      </c>
      <c r="C77" s="85" t="n">
        <v>157700</v>
      </c>
      <c r="D77" s="85" t="n">
        <v>61500</v>
      </c>
      <c r="E77" s="79" t="inlineStr"/>
      <c r="F77" s="85" t="n">
        <v>35500</v>
      </c>
      <c r="G77" s="79" t="inlineStr"/>
      <c r="H77" s="79" t="inlineStr"/>
      <c r="I77" s="79" t="inlineStr"/>
      <c r="J77" s="79" t="inlineStr"/>
      <c r="K77" s="85" t="n">
        <v>60800</v>
      </c>
      <c r="L77" s="86">
        <f>SUM(D77:K77)</f>
        <v/>
      </c>
      <c r="M77" s="81" t="inlineStr">
        <is>
          <t>FY2024 10-K</t>
        </is>
      </c>
    </row>
    <row r="78">
      <c r="A78" s="64" t="inlineStr">
        <is>
          <t>Q1 2025</t>
        </is>
      </c>
      <c r="B78" s="65" t="n">
        <v>120300</v>
      </c>
      <c r="C78" s="65" t="n">
        <v>21300</v>
      </c>
      <c r="D78" s="65" t="n">
        <v>2800</v>
      </c>
      <c r="E78" t="inlineStr"/>
      <c r="F78" s="65" t="n">
        <v>4900</v>
      </c>
      <c r="G78" s="65" t="n">
        <v>12100</v>
      </c>
      <c r="H78" t="inlineStr"/>
      <c r="I78" t="inlineStr"/>
      <c r="J78" t="inlineStr"/>
      <c r="K78" s="65" t="n">
        <v>1500</v>
      </c>
      <c r="L78" s="66">
        <f>SUM(D78:K78)</f>
        <v/>
      </c>
      <c r="M78" s="67" t="inlineStr">
        <is>
          <t>Q1 2025 10-Q</t>
        </is>
      </c>
    </row>
    <row r="79">
      <c r="A79" s="64" t="inlineStr">
        <is>
          <t>Q2 2025</t>
        </is>
      </c>
      <c r="B79" s="65" t="n">
        <v>237900</v>
      </c>
      <c r="C79" s="65" t="n">
        <v>123000</v>
      </c>
      <c r="D79" s="65" t="n">
        <v>17500</v>
      </c>
      <c r="E79" t="inlineStr"/>
      <c r="F79" s="65" t="n">
        <v>7900</v>
      </c>
      <c r="G79" t="inlineStr"/>
      <c r="H79" t="inlineStr"/>
      <c r="I79" t="inlineStr"/>
      <c r="J79" s="65" t="n">
        <v>75100</v>
      </c>
      <c r="K79" s="65" t="n">
        <v>22500</v>
      </c>
      <c r="L79" s="66">
        <f>SUM(D79:K79)</f>
        <v/>
      </c>
      <c r="M79" s="67" t="inlineStr">
        <is>
          <t>Q2 2025 10-Q</t>
        </is>
      </c>
    </row>
    <row r="80">
      <c r="A80" s="64" t="inlineStr">
        <is>
          <t>Q3 2025</t>
        </is>
      </c>
      <c r="B80" s="65" t="n">
        <v>205600</v>
      </c>
      <c r="C80" s="65" t="n">
        <v>80200</v>
      </c>
      <c r="D80" s="65" t="n">
        <v>17800</v>
      </c>
      <c r="E80" t="inlineStr"/>
      <c r="F80" s="65" t="n">
        <v>4800</v>
      </c>
      <c r="G80" s="65" t="n">
        <v>4500</v>
      </c>
      <c r="H80" t="inlineStr"/>
      <c r="I80" t="inlineStr"/>
      <c r="J80" s="65" t="n">
        <v>47100</v>
      </c>
      <c r="K80" s="65" t="n">
        <v>6000</v>
      </c>
      <c r="L80" s="66">
        <f>SUM(D80:K80)</f>
        <v/>
      </c>
      <c r="M80" s="67" t="inlineStr">
        <is>
          <t>Q3 2025 10-Q</t>
        </is>
      </c>
    </row>
    <row r="81">
      <c r="A81" s="68" t="inlineStr">
        <is>
          <t>FY2025</t>
        </is>
      </c>
      <c r="B81" s="69" t="n">
        <v>798800</v>
      </c>
      <c r="C81" s="85" t="n">
        <v>274300</v>
      </c>
      <c r="D81" s="85" t="n">
        <v>76600</v>
      </c>
      <c r="E81" s="79" t="inlineStr"/>
      <c r="F81" s="85" t="n">
        <v>29100</v>
      </c>
      <c r="G81" s="85" t="n">
        <v>7600</v>
      </c>
      <c r="H81" s="79" t="inlineStr"/>
      <c r="I81" s="79" t="inlineStr"/>
      <c r="J81" s="85" t="n">
        <v>176100</v>
      </c>
      <c r="K81" s="85" t="n">
        <v>-16100</v>
      </c>
      <c r="L81" s="86">
        <f>SUM(D81:K81)</f>
        <v/>
      </c>
      <c r="M81" s="81" t="inlineStr">
        <is>
          <t>FY2025 10-K</t>
        </is>
      </c>
    </row>
    <row r="83">
      <c r="A83" s="61" t="inlineStr">
        <is>
          <t>Note:</t>
        </is>
      </c>
      <c r="B83" s="87" t="inlineStr">
        <is>
          <t>Distributor Termination Fees became a SEPARATE income statement line in 2025 ($246.7M Q3 / $327.5M FY). The 2022/2023 distributor termination charges were inside SG&amp;A — this column reflects that distinction.</t>
        </is>
      </c>
    </row>
    <row r="86">
      <c r="A86" s="62" t="inlineStr">
        <is>
          <t>7. GROSS MARGIN DRIVERS -- Qualitative themes (CELH does NOT disclose dollar bridges for GP). "+" = favorable to margin; "-" = unfavorable; blank = not mentioned. Hover cells for verbatim quotes.</t>
        </is>
      </c>
      <c r="B86" s="83" t="n"/>
      <c r="C86" s="83" t="n"/>
      <c r="D86" s="83" t="n"/>
      <c r="E86" s="83" t="n"/>
      <c r="F86" s="83" t="n"/>
      <c r="G86" s="83" t="n"/>
      <c r="H86" s="83" t="n"/>
      <c r="I86" s="83" t="n"/>
      <c r="J86" s="83" t="n"/>
      <c r="K86" s="83" t="n"/>
    </row>
    <row r="87">
      <c r="A87" s="84" t="inlineStr">
        <is>
          <t>Period</t>
        </is>
      </c>
      <c r="B87" s="84" t="inlineStr">
        <is>
          <t>GP Margin</t>
        </is>
      </c>
      <c r="C87" s="84" t="inlineStr">
        <is>
          <t>YoY Δ pts</t>
        </is>
      </c>
      <c r="D87" s="84" t="inlineStr">
        <is>
          <t>Raw Mat / Pkg</t>
        </is>
      </c>
      <c r="E87" s="84" t="inlineStr">
        <is>
          <t>Promo Spend</t>
        </is>
      </c>
      <c r="F87" s="84" t="inlineStr">
        <is>
          <t>Freight</t>
        </is>
      </c>
      <c r="G87" s="84" t="inlineStr">
        <is>
          <t>Channel/Pack Mix</t>
        </is>
      </c>
      <c r="H87" s="84" t="inlineStr">
        <is>
          <t>Brand Mix Drag</t>
        </is>
      </c>
      <c r="I87" s="84" t="inlineStr">
        <is>
          <t>Inv Step-Up</t>
        </is>
      </c>
      <c r="J87" s="84" t="inlineStr">
        <is>
          <t>Tariffs</t>
        </is>
      </c>
      <c r="K87" s="84" t="inlineStr">
        <is>
          <t>Source</t>
        </is>
      </c>
    </row>
    <row r="88">
      <c r="A88" s="64" t="inlineStr">
        <is>
          <t>Q1 2023</t>
        </is>
      </c>
      <c r="B88" s="72" t="n">
        <v>0.438</v>
      </c>
      <c r="C88" s="72" t="n">
        <v>0.034</v>
      </c>
      <c r="D88" s="88" t="inlineStr">
        <is>
          <t>+</t>
        </is>
      </c>
      <c r="E88" t="inlineStr"/>
      <c r="F88" s="89" t="inlineStr">
        <is>
          <t>-</t>
        </is>
      </c>
      <c r="G88" s="88" t="inlineStr">
        <is>
          <t>+</t>
        </is>
      </c>
      <c r="H88" t="inlineStr"/>
      <c r="I88" t="inlineStr"/>
      <c r="J88" t="inlineStr"/>
      <c r="K88" s="67" t="inlineStr">
        <is>
          <t>Q1 2023 10-Q</t>
        </is>
      </c>
    </row>
    <row r="89">
      <c r="A89" s="64" t="inlineStr">
        <is>
          <t>Q2 2023</t>
        </is>
      </c>
      <c r="B89" s="72" t="n">
        <v>0.488</v>
      </c>
      <c r="C89" s="72" t="n">
        <v>0.098</v>
      </c>
      <c r="D89" s="88" t="inlineStr">
        <is>
          <t>+</t>
        </is>
      </c>
      <c r="E89" t="inlineStr"/>
      <c r="F89" s="88" t="inlineStr">
        <is>
          <t>+</t>
        </is>
      </c>
      <c r="G89" t="inlineStr"/>
      <c r="H89" t="inlineStr"/>
      <c r="I89" t="inlineStr"/>
      <c r="J89" t="inlineStr"/>
      <c r="K89" s="67" t="inlineStr">
        <is>
          <t>Q2 2023 10-Q</t>
        </is>
      </c>
    </row>
    <row r="90">
      <c r="A90" s="64" t="inlineStr">
        <is>
          <t>Q3 2023</t>
        </is>
      </c>
      <c r="B90" s="72" t="n">
        <v>0.504</v>
      </c>
      <c r="C90" s="72" t="n">
        <v>0.08400000000000001</v>
      </c>
      <c r="D90" s="88" t="inlineStr">
        <is>
          <t>+</t>
        </is>
      </c>
      <c r="E90" s="88" t="inlineStr">
        <is>
          <t>+</t>
        </is>
      </c>
      <c r="F90" s="88" t="inlineStr">
        <is>
          <t>+</t>
        </is>
      </c>
      <c r="G90" t="inlineStr"/>
      <c r="H90" t="inlineStr"/>
      <c r="I90" t="inlineStr"/>
      <c r="J90" t="inlineStr"/>
      <c r="K90" s="67" t="inlineStr">
        <is>
          <t>Q3 2023 10-Q</t>
        </is>
      </c>
    </row>
    <row r="91">
      <c r="A91" s="68" t="inlineStr">
        <is>
          <t>FY2023</t>
        </is>
      </c>
      <c r="B91" s="75" t="n">
        <v>0.48</v>
      </c>
      <c r="C91" s="78" t="n">
        <v>0.066</v>
      </c>
      <c r="D91" s="90" t="inlineStr">
        <is>
          <t>+</t>
        </is>
      </c>
      <c r="E91" s="79" t="inlineStr"/>
      <c r="F91" s="79" t="inlineStr"/>
      <c r="G91" s="79" t="inlineStr"/>
      <c r="H91" s="79" t="inlineStr"/>
      <c r="I91" s="79" t="inlineStr"/>
      <c r="J91" s="79" t="inlineStr"/>
      <c r="K91" s="81" t="inlineStr">
        <is>
          <t>FY2023 10-K</t>
        </is>
      </c>
    </row>
    <row r="92">
      <c r="A92" s="64" t="inlineStr">
        <is>
          <t>Q1 2024</t>
        </is>
      </c>
      <c r="B92" s="72" t="n">
        <v>0.512</v>
      </c>
      <c r="C92" s="72" t="n">
        <v>0.074</v>
      </c>
      <c r="D92" s="88" t="inlineStr">
        <is>
          <t>+</t>
        </is>
      </c>
      <c r="E92" t="inlineStr"/>
      <c r="F92" s="88" t="inlineStr">
        <is>
          <t>+</t>
        </is>
      </c>
      <c r="G92" t="inlineStr"/>
      <c r="H92" t="inlineStr"/>
      <c r="I92" t="inlineStr"/>
      <c r="J92" t="inlineStr"/>
      <c r="K92" s="67" t="inlineStr">
        <is>
          <t>Q1 2024 10-Q</t>
        </is>
      </c>
    </row>
    <row r="93">
      <c r="A93" s="64" t="inlineStr">
        <is>
          <t>Q2 2024</t>
        </is>
      </c>
      <c r="B93" s="72" t="n">
        <v>0.52</v>
      </c>
      <c r="C93" s="72" t="n">
        <v>0.03</v>
      </c>
      <c r="D93" s="88" t="inlineStr">
        <is>
          <t>+</t>
        </is>
      </c>
      <c r="E93" t="inlineStr"/>
      <c r="F93" s="88" t="inlineStr">
        <is>
          <t>+</t>
        </is>
      </c>
      <c r="G93" t="inlineStr"/>
      <c r="H93" t="inlineStr"/>
      <c r="I93" t="inlineStr"/>
      <c r="J93" t="inlineStr"/>
      <c r="K93" s="67" t="inlineStr">
        <is>
          <t>Q2 2024 10-Q</t>
        </is>
      </c>
    </row>
    <row r="94">
      <c r="A94" s="64" t="inlineStr">
        <is>
          <t>Q3 2024</t>
        </is>
      </c>
      <c r="B94" s="72" t="n">
        <v>0.46</v>
      </c>
      <c r="C94" s="72" t="n">
        <v>-0.04</v>
      </c>
      <c r="D94" s="88" t="inlineStr">
        <is>
          <t>+</t>
        </is>
      </c>
      <c r="E94" s="89" t="inlineStr">
        <is>
          <t>-</t>
        </is>
      </c>
      <c r="F94" s="88" t="inlineStr">
        <is>
          <t>+</t>
        </is>
      </c>
      <c r="G94" t="inlineStr"/>
      <c r="H94" t="inlineStr"/>
      <c r="I94" t="inlineStr"/>
      <c r="J94" t="inlineStr"/>
      <c r="K94" s="67" t="inlineStr">
        <is>
          <t>Q3 2024 10-Q</t>
        </is>
      </c>
    </row>
    <row r="95">
      <c r="A95" s="68" t="inlineStr">
        <is>
          <t>FY2024</t>
        </is>
      </c>
      <c r="B95" s="75" t="n">
        <v>0.502</v>
      </c>
      <c r="C95" s="78" t="n">
        <v>0.022</v>
      </c>
      <c r="D95" s="90" t="inlineStr">
        <is>
          <t>+</t>
        </is>
      </c>
      <c r="E95" s="91" t="inlineStr">
        <is>
          <t>-</t>
        </is>
      </c>
      <c r="F95" s="90" t="inlineStr">
        <is>
          <t>+</t>
        </is>
      </c>
      <c r="G95" s="79" t="inlineStr"/>
      <c r="H95" s="79" t="inlineStr"/>
      <c r="I95" s="79" t="inlineStr"/>
      <c r="J95" s="79" t="inlineStr"/>
      <c r="K95" s="81" t="inlineStr">
        <is>
          <t>FY2024 10-K</t>
        </is>
      </c>
    </row>
    <row r="96">
      <c r="A96" s="64" t="inlineStr">
        <is>
          <t>Q1 2025</t>
        </is>
      </c>
      <c r="B96" s="72" t="n">
        <v>0.523</v>
      </c>
      <c r="C96" s="72" t="n">
        <v>0.011</v>
      </c>
      <c r="D96" s="88" t="inlineStr">
        <is>
          <t>+</t>
        </is>
      </c>
      <c r="E96" s="89" t="inlineStr">
        <is>
          <t>-</t>
        </is>
      </c>
      <c r="F96" t="inlineStr"/>
      <c r="G96" t="inlineStr"/>
      <c r="H96" t="inlineStr"/>
      <c r="I96" t="inlineStr"/>
      <c r="J96" t="inlineStr"/>
      <c r="K96" s="67" t="inlineStr">
        <is>
          <t>Q1 2025 10-Q</t>
        </is>
      </c>
    </row>
    <row r="97">
      <c r="A97" s="64" t="inlineStr">
        <is>
          <t>Q2 2025</t>
        </is>
      </c>
      <c r="B97" s="72" t="n">
        <v>0.515</v>
      </c>
      <c r="C97" s="72" t="n">
        <v>-0.005</v>
      </c>
      <c r="D97" s="88" t="inlineStr">
        <is>
          <t>+</t>
        </is>
      </c>
      <c r="E97" t="inlineStr"/>
      <c r="F97" t="inlineStr"/>
      <c r="G97" s="88" t="inlineStr">
        <is>
          <t>+</t>
        </is>
      </c>
      <c r="H97" s="89" t="inlineStr">
        <is>
          <t>-</t>
        </is>
      </c>
      <c r="I97" s="89" t="inlineStr">
        <is>
          <t>-</t>
        </is>
      </c>
      <c r="J97" t="inlineStr"/>
      <c r="K97" s="67" t="inlineStr">
        <is>
          <t>Q2 2025 10-Q</t>
        </is>
      </c>
    </row>
    <row r="98">
      <c r="A98" s="64" t="inlineStr">
        <is>
          <t>Q3 2025</t>
        </is>
      </c>
      <c r="B98" s="72" t="n">
        <v>0.513</v>
      </c>
      <c r="C98" s="72" t="n">
        <v>0.053</v>
      </c>
      <c r="D98" s="88" t="inlineStr">
        <is>
          <t>+</t>
        </is>
      </c>
      <c r="E98" s="88" t="inlineStr">
        <is>
          <t>+</t>
        </is>
      </c>
      <c r="F98" t="inlineStr"/>
      <c r="G98" s="88" t="inlineStr">
        <is>
          <t>+</t>
        </is>
      </c>
      <c r="H98" s="89" t="inlineStr">
        <is>
          <t>-</t>
        </is>
      </c>
      <c r="I98" t="inlineStr"/>
      <c r="J98" s="89" t="inlineStr">
        <is>
          <t>-</t>
        </is>
      </c>
      <c r="K98" s="67" t="inlineStr">
        <is>
          <t>Q3 2025 10-Q</t>
        </is>
      </c>
    </row>
    <row r="99">
      <c r="A99" s="68" t="inlineStr">
        <is>
          <t>FY2025</t>
        </is>
      </c>
      <c r="B99" s="75" t="n">
        <v>0.504</v>
      </c>
      <c r="C99" s="78" t="n">
        <v>0.002</v>
      </c>
      <c r="D99" s="90" t="inlineStr">
        <is>
          <t>+</t>
        </is>
      </c>
      <c r="E99" s="90" t="inlineStr">
        <is>
          <t>+</t>
        </is>
      </c>
      <c r="F99" s="79" t="inlineStr"/>
      <c r="G99" s="90" t="inlineStr">
        <is>
          <t>+</t>
        </is>
      </c>
      <c r="H99" s="91" t="inlineStr">
        <is>
          <t>-</t>
        </is>
      </c>
      <c r="I99" s="91" t="inlineStr">
        <is>
          <t>-</t>
        </is>
      </c>
      <c r="J99" s="79" t="inlineStr"/>
      <c r="K99" s="81" t="inlineStr">
        <is>
          <t>FY2025 10-K</t>
        </is>
      </c>
    </row>
    <row r="102">
      <c r="A102" s="62" t="inlineStr">
        <is>
          <t>8. OTHER (EXPENSE) / INCOME WALK -- $ thousands. Pre-Q1 2025 was almost entirely interest income (no debt). Post-Apr 2025: $900M term loan + Rockstar transition agency income create new components.</t>
        </is>
      </c>
      <c r="B102" s="83" t="n"/>
      <c r="C102" s="83" t="n"/>
      <c r="D102" s="83" t="n"/>
      <c r="E102" s="83" t="n"/>
      <c r="F102" s="83" t="n"/>
      <c r="G102" s="83" t="n"/>
      <c r="H102" s="83" t="n"/>
      <c r="I102" s="83" t="n"/>
    </row>
    <row r="103">
      <c r="A103" s="84" t="inlineStr">
        <is>
          <t>Period</t>
        </is>
      </c>
      <c r="B103" s="84" t="inlineStr">
        <is>
          <t>Total Other Inc/(Exp)</t>
        </is>
      </c>
      <c r="C103" s="84" t="inlineStr">
        <is>
          <t>YoY Δ</t>
        </is>
      </c>
      <c r="D103" s="84" t="inlineStr">
        <is>
          <t>Interest Income Δ</t>
        </is>
      </c>
      <c r="E103" s="84" t="inlineStr">
        <is>
          <t>Interest Expense Δ</t>
        </is>
      </c>
      <c r="F103" s="84" t="inlineStr">
        <is>
          <t>Rockstar Agency Inc Δ</t>
        </is>
      </c>
      <c r="G103" s="84" t="inlineStr">
        <is>
          <t>FX / Other Δ</t>
        </is>
      </c>
      <c r="H103" s="84" t="inlineStr"/>
      <c r="I103" s="84" t="inlineStr">
        <is>
          <t>Source</t>
        </is>
      </c>
    </row>
    <row r="104">
      <c r="A104" s="64" t="inlineStr">
        <is>
          <t>Q1 2023</t>
        </is>
      </c>
      <c r="B104" s="65" t="n">
        <v>4900</v>
      </c>
      <c r="C104" t="inlineStr"/>
      <c r="D104" t="inlineStr"/>
      <c r="E104" t="inlineStr"/>
      <c r="F104" t="inlineStr"/>
      <c r="G104" t="inlineStr"/>
      <c r="I104" s="67" t="inlineStr">
        <is>
          <t>Q1 2023 10-Q</t>
        </is>
      </c>
    </row>
    <row r="105">
      <c r="A105" s="64" t="inlineStr">
        <is>
          <t>Q2 2023</t>
        </is>
      </c>
      <c r="B105" s="65" t="n">
        <v>4600</v>
      </c>
      <c r="C105" t="inlineStr"/>
      <c r="D105" t="inlineStr"/>
      <c r="E105" t="inlineStr"/>
      <c r="F105" t="inlineStr"/>
      <c r="G105" t="inlineStr"/>
      <c r="I105" s="67" t="inlineStr">
        <is>
          <t>Q2 2023 10-Q</t>
        </is>
      </c>
    </row>
    <row r="106">
      <c r="A106" s="64" t="inlineStr">
        <is>
          <t>Q3 2023</t>
        </is>
      </c>
      <c r="B106" s="65" t="n">
        <v>7000</v>
      </c>
      <c r="C106" t="inlineStr"/>
      <c r="D106" t="inlineStr"/>
      <c r="E106" t="inlineStr"/>
      <c r="F106" t="inlineStr"/>
      <c r="G106" t="inlineStr"/>
      <c r="I106" s="67" t="inlineStr">
        <is>
          <t>Q3 2023 10-Q</t>
        </is>
      </c>
    </row>
    <row r="107">
      <c r="A107" s="68" t="inlineStr">
        <is>
          <t>FY2023</t>
        </is>
      </c>
      <c r="B107" s="69" t="n">
        <v>25400</v>
      </c>
      <c r="C107" s="85" t="n">
        <v>20300</v>
      </c>
      <c r="D107" s="85" t="n">
        <v>20300</v>
      </c>
      <c r="E107" s="79" t="inlineStr"/>
      <c r="F107" s="79" t="inlineStr"/>
      <c r="G107" s="79" t="inlineStr"/>
      <c r="H107" s="79" t="n"/>
      <c r="I107" s="81" t="inlineStr">
        <is>
          <t>FY2023 10-K</t>
        </is>
      </c>
    </row>
    <row r="108">
      <c r="A108" s="64" t="inlineStr">
        <is>
          <t>Q1 2024</t>
        </is>
      </c>
      <c r="B108" s="65" t="n">
        <v>9300</v>
      </c>
      <c r="C108" s="65" t="n">
        <v>4400</v>
      </c>
      <c r="D108" s="65" t="n">
        <v>4400</v>
      </c>
      <c r="E108" t="inlineStr"/>
      <c r="F108" t="inlineStr"/>
      <c r="G108" t="inlineStr"/>
      <c r="I108" s="67" t="inlineStr">
        <is>
          <t>Q1 2024 10-Q</t>
        </is>
      </c>
    </row>
    <row r="109">
      <c r="A109" s="64" t="inlineStr">
        <is>
          <t>Q2 2024</t>
        </is>
      </c>
      <c r="B109" s="65" t="n">
        <v>10400</v>
      </c>
      <c r="C109" s="65" t="n">
        <v>5800</v>
      </c>
      <c r="D109" s="65" t="n">
        <v>5800</v>
      </c>
      <c r="E109" t="inlineStr"/>
      <c r="F109" t="inlineStr"/>
      <c r="G109" t="inlineStr"/>
      <c r="I109" s="67" t="inlineStr">
        <is>
          <t>Q2 2024 10-Q</t>
        </is>
      </c>
    </row>
    <row r="110">
      <c r="A110" s="64" t="inlineStr">
        <is>
          <t>Q3 2024</t>
        </is>
      </c>
      <c r="B110" s="65" t="n">
        <v>11400</v>
      </c>
      <c r="C110" s="65" t="n">
        <v>4400</v>
      </c>
      <c r="D110" s="65" t="n">
        <v>4400</v>
      </c>
      <c r="E110" t="inlineStr"/>
      <c r="F110" t="inlineStr"/>
      <c r="G110" t="inlineStr"/>
      <c r="I110" s="67" t="inlineStr">
        <is>
          <t>Q3 2024 10-Q</t>
        </is>
      </c>
    </row>
    <row r="111">
      <c r="A111" s="68" t="inlineStr">
        <is>
          <t>FY2024</t>
        </is>
      </c>
      <c r="B111" s="69" t="n">
        <v>39300</v>
      </c>
      <c r="C111" s="85" t="n">
        <v>13900</v>
      </c>
      <c r="D111" s="85" t="n">
        <v>13900</v>
      </c>
      <c r="E111" s="79" t="inlineStr"/>
      <c r="F111" s="79" t="inlineStr"/>
      <c r="G111" s="79" t="inlineStr"/>
      <c r="H111" s="79" t="n"/>
      <c r="I111" s="81" t="inlineStr">
        <is>
          <t>FY2024 10-K</t>
        </is>
      </c>
    </row>
    <row r="112">
      <c r="A112" s="64" t="inlineStr">
        <is>
          <t>Q1 2025</t>
        </is>
      </c>
      <c r="B112" s="65" t="n">
        <v>9000</v>
      </c>
      <c r="C112" s="65" t="n">
        <v>-300</v>
      </c>
      <c r="D112" s="65" t="n">
        <v>-300</v>
      </c>
      <c r="E112" t="inlineStr"/>
      <c r="F112" t="inlineStr"/>
      <c r="G112" t="inlineStr"/>
      <c r="I112" s="67" t="inlineStr">
        <is>
          <t>Q1 2025 10-Q</t>
        </is>
      </c>
    </row>
    <row r="113">
      <c r="A113" s="64" t="inlineStr">
        <is>
          <t>Q2 2025</t>
        </is>
      </c>
      <c r="B113" t="inlineStr"/>
      <c r="C113" t="inlineStr"/>
      <c r="D113" t="inlineStr"/>
      <c r="E113" t="inlineStr"/>
      <c r="F113" t="inlineStr"/>
      <c r="G113" t="inlineStr"/>
      <c r="I113" s="67" t="inlineStr">
        <is>
          <t>Q2 2025 10-Q</t>
        </is>
      </c>
    </row>
    <row r="114">
      <c r="A114" s="64" t="inlineStr">
        <is>
          <t>Q3 2025</t>
        </is>
      </c>
      <c r="B114" s="65" t="n">
        <v>-8000</v>
      </c>
      <c r="C114" s="65" t="n">
        <v>-19400</v>
      </c>
      <c r="D114" t="inlineStr"/>
      <c r="E114" s="65" t="n">
        <v>-18200</v>
      </c>
      <c r="F114" t="inlineStr"/>
      <c r="G114" t="inlineStr"/>
      <c r="I114" s="67" t="inlineStr">
        <is>
          <t>Q3 2025 10-Q</t>
        </is>
      </c>
    </row>
    <row r="115">
      <c r="A115" s="68" t="inlineStr">
        <is>
          <t>FY2025</t>
        </is>
      </c>
      <c r="B115" s="69" t="n">
        <v>-16000</v>
      </c>
      <c r="C115" s="85" t="n">
        <v>-55300</v>
      </c>
      <c r="D115" s="85" t="n">
        <v>-18200</v>
      </c>
      <c r="E115" s="85" t="n">
        <v>-49000</v>
      </c>
      <c r="F115" s="85" t="n">
        <v>12600</v>
      </c>
      <c r="G115" s="85" t="n">
        <v>-700</v>
      </c>
      <c r="H115" s="79" t="n"/>
      <c r="I115" s="81" t="inlineStr">
        <is>
          <t>FY2025 10-K</t>
        </is>
      </c>
    </row>
  </sheetData>
  <mergeCells count="5">
    <mergeCell ref="A68:M68"/>
    <mergeCell ref="A86:K86"/>
    <mergeCell ref="A102:I102"/>
    <mergeCell ref="A2:G2"/>
    <mergeCell ref="B83:M8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14" activePane="bottomRight" state="frozen"/>
      <selection pane="topRight" activeCell="A1" sqref="A1"/>
      <selection pane="bottomLeft" activeCell="A1" sqref="A1"/>
      <selection pane="bottomRight" activeCell="A43" sqref="A43"/>
    </sheetView>
  </sheetViews>
  <sheetFormatPr baseColWidth="8" defaultRowHeight="15"/>
  <cols>
    <col width="42" customWidth="1" min="1" max="1"/>
    <col width="13" customWidth="1" min="2" max="11"/>
  </cols>
  <sheetData>
    <row r="1">
      <c r="A1" s="1" t="n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I2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H14" activePane="bottomRight" state="frozen"/>
      <selection pane="topRight" activeCell="A1" sqref="A1"/>
      <selection pane="bottomLeft" activeCell="A1" sqref="A1"/>
      <selection pane="bottomRight" activeCell="O43" sqref="O43"/>
    </sheetView>
  </sheetViews>
  <sheetFormatPr baseColWidth="8" defaultRowHeight="15"/>
  <cols>
    <col width="42" customWidth="1" min="1" max="1"/>
    <col width="13" customWidth="1" min="2" max="34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G11" activePane="bottomRight" state="frozen"/>
      <selection pane="topRight" activeCell="A1" sqref="A1"/>
      <selection pane="bottomLeft" activeCell="A1" sqref="A1"/>
      <selection pane="bottomRight" activeCell="R44" sqref="R44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pane xSplit="2" ySplit="1" topLeftCell="I2" activePane="bottomRight" state="frozen"/>
      <selection pane="topRight" activeCell="A1" sqref="A1"/>
      <selection pane="bottomLeft" activeCell="A1" sqref="A1"/>
      <selection pane="bottomRight" activeCell="S10" sqref="S10"/>
    </sheetView>
  </sheetViews>
  <sheetFormatPr baseColWidth="8" defaultRowHeight="15"/>
  <cols>
    <col width="49.140625" bestFit="1" customWidth="1" min="1" max="1"/>
    <col width="8" customWidth="1" min="2" max="2"/>
    <col width="13" customWidth="1" min="3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'Revenue Driver'!$H$14/4</f>
        <v/>
      </c>
      <c r="T2" s="12">
        <f>'Revenue Driver'!$H$14/4</f>
        <v/>
      </c>
      <c r="U2" s="12">
        <f>'Revenue Driver'!$H$14/4</f>
        <v/>
      </c>
      <c r="V2" s="12">
        <f>'Revenue Driver'!$H$14/4</f>
        <v/>
      </c>
      <c r="W2" s="12">
        <f>'Revenue Driver'!$I$14/4</f>
        <v/>
      </c>
      <c r="X2" s="12">
        <f>'Revenue Driver'!$I$14/4</f>
        <v/>
      </c>
      <c r="Y2" s="12">
        <f>'Revenue Driver'!$I$14/4</f>
        <v/>
      </c>
      <c r="Z2" s="12">
        <f>'Revenue Driver'!$I$14/4</f>
        <v/>
      </c>
      <c r="AA2" s="12">
        <f>'Revenue Driver'!$J$14/4</f>
        <v/>
      </c>
      <c r="AB2" s="12">
        <f>'Revenue Driver'!$J$14/4</f>
        <v/>
      </c>
      <c r="AC2" s="12">
        <f>'Revenue Driver'!$J$14/4</f>
        <v/>
      </c>
      <c r="AD2" s="12">
        <f>'Revenue Driver'!$J$14/4</f>
        <v/>
      </c>
      <c r="AE2" s="12">
        <f>'Revenue Driver'!$K$14/4</f>
        <v/>
      </c>
      <c r="AF2" s="12">
        <f>'Revenue Driver'!$K$14/4</f>
        <v/>
      </c>
      <c r="AG2" s="12">
        <f>'Revenue Driver'!$K$14/4</f>
        <v/>
      </c>
      <c r="AH2" s="12">
        <f>'Revenue Driver'!$K$14/4</f>
        <v/>
      </c>
      <c r="AI2" s="12">
        <f>'Revenue Driver'!$L$14/4</f>
        <v/>
      </c>
      <c r="AJ2" s="12">
        <f>'Revenue Driver'!$L$14/4</f>
        <v/>
      </c>
      <c r="AK2" s="12">
        <f>'Revenue Driver'!$L$14/4</f>
        <v/>
      </c>
      <c r="AL2" s="12">
        <f>'Revenue Driver'!$L$14/4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  <row r="20">
      <c r="A20" t="inlineStr">
        <is>
          <t>Put all comments and drivers for Income statement into attached sheet. Use quantitative and qualitative calcs to drive drivers</t>
        </is>
      </c>
    </row>
    <row r="21">
      <c r="A21" t="inlineStr">
        <is>
          <t>Pull quarterly and YTD breakdowns for SG&amp;A from MD&amp;A from financials</t>
        </is>
      </c>
    </row>
    <row r="22">
      <c r="A22" t="inlineStr">
        <is>
          <t>Report primarily by segment and geography</t>
        </is>
      </c>
    </row>
    <row r="23">
      <c r="A23" t="inlineStr">
        <is>
          <t>10k, 10q and press release</t>
        </is>
      </c>
    </row>
    <row r="24">
      <c r="A24" t="inlineStr">
        <is>
          <t>Build out sales bridge by region and then by segment</t>
        </is>
      </c>
    </row>
    <row r="25">
      <c r="A25" t="inlineStr">
        <is>
          <t xml:space="preserve">Structure IS top down tab by region themselves. </t>
        </is>
      </c>
    </row>
    <row r="26">
      <c r="A26" t="inlineStr">
        <is>
          <t>Look at unit economics information if possible (SG&amp;A bridge).</t>
        </is>
      </c>
    </row>
    <row r="27">
      <c r="A27" t="inlineStr">
        <is>
          <t>Read GB twitter post on Notion (pt 4)</t>
        </is>
      </c>
    </row>
  </sheetData>
  <dataValidations disablePrompts="1"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O2" sqref="O2"/>
    </sheetView>
  </sheetViews>
  <sheetFormatPr baseColWidth="8" defaultRowHeight="15"/>
  <cols>
    <col width="38" customWidth="1" min="1" max="1"/>
    <col width="13" customWidth="1" min="2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 t="n">
        <v>75</v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 t="n">
        <v>0.3</v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R2" sqref="R2"/>
    </sheetView>
  </sheetViews>
  <sheetFormatPr baseColWidth="8" defaultRowHeight="15"/>
  <cols>
    <col width="38" customWidth="1" min="1" max="1"/>
    <col width="13" customWidth="1" min="2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0</f>
        <v/>
      </c>
      <c r="S31" s="4">
        <f>0</f>
        <v/>
      </c>
      <c r="T31" s="4">
        <f>0</f>
        <v/>
      </c>
      <c r="U31" s="4">
        <f>0</f>
        <v/>
      </c>
      <c r="V31" s="4">
        <f>0</f>
        <v/>
      </c>
      <c r="W31" s="4">
        <f>0</f>
        <v/>
      </c>
      <c r="X31" s="4">
        <f>0</f>
        <v/>
      </c>
      <c r="Y31" s="4">
        <f>0</f>
        <v/>
      </c>
      <c r="Z31" s="4">
        <f>0</f>
        <v/>
      </c>
      <c r="AA31" s="4">
        <f>0</f>
        <v/>
      </c>
      <c r="AB31" s="4">
        <f>0</f>
        <v/>
      </c>
      <c r="AC31" s="4">
        <f>0</f>
        <v/>
      </c>
      <c r="AD31" s="4">
        <f>0</f>
        <v/>
      </c>
      <c r="AE31" s="4">
        <f>0</f>
        <v/>
      </c>
      <c r="AF31" s="4">
        <f>0</f>
        <v/>
      </c>
      <c r="AG31" s="4">
        <f>0</f>
        <v/>
      </c>
      <c r="AH31" s="4">
        <f>0</f>
        <v/>
      </c>
      <c r="AI31" s="4">
        <f>0</f>
        <v/>
      </c>
      <c r="AJ31" s="4">
        <f>0</f>
        <v/>
      </c>
      <c r="AK31" s="4">
        <f>0</f>
        <v/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topLeftCell="A32" workbookViewId="0">
      <selection activeCell="A52" sqref="A52"/>
    </sheetView>
  </sheetViews>
  <sheetFormatPr baseColWidth="8" defaultRowHeight="15"/>
  <cols>
    <col width="40.28515625" bestFit="1" customWidth="1" min="1" max="1"/>
    <col hidden="1" outlineLevel="1" width="9.140625" customWidth="1" min="2" max="2"/>
    <col collapsed="1" width="9.140625" customWidth="1" min="3" max="3"/>
  </cols>
  <sheetData>
    <row r="1">
      <c r="A1" s="1" t="inlineStr">
        <is>
          <t>(in Millions)</t>
        </is>
      </c>
      <c r="B1" s="2" t="n">
        <v>2020</v>
      </c>
      <c r="C1" s="2" t="inlineStr">
        <is>
          <t>2021</t>
        </is>
      </c>
      <c r="D1" s="2" t="inlineStr">
        <is>
          <t>2022</t>
        </is>
      </c>
      <c r="E1" s="2" t="inlineStr">
        <is>
          <t>2023</t>
        </is>
      </c>
      <c r="F1" s="2" t="inlineStr">
        <is>
          <t>2024</t>
        </is>
      </c>
      <c r="G1" s="2" t="n">
        <v>2025</v>
      </c>
      <c r="H1" s="2" t="inlineStr">
        <is>
          <t>2026E</t>
        </is>
      </c>
      <c r="I1" s="2" t="inlineStr">
        <is>
          <t>2027E</t>
        </is>
      </c>
      <c r="J1" s="2" t="inlineStr">
        <is>
          <t>2028E</t>
        </is>
      </c>
      <c r="K1" s="2" t="inlineStr">
        <is>
          <t>2029E</t>
        </is>
      </c>
      <c r="L1" s="2" t="inlineStr">
        <is>
          <t>2030E</t>
        </is>
      </c>
      <c r="M1" s="49" t="n"/>
      <c r="N1" s="17" t="inlineStr">
        <is>
          <t>Source</t>
        </is>
      </c>
    </row>
    <row r="2">
      <c r="A2" s="18" t="inlineStr">
        <is>
          <t>Total Energy Drink Overview</t>
        </is>
      </c>
      <c r="C2" s="18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6" t="n"/>
      <c r="N2" s="16" t="n"/>
    </row>
    <row r="3">
      <c r="A3" s="16" t="inlineStr">
        <is>
          <t>Total Energy Drink Sector TAM ($)</t>
        </is>
      </c>
      <c r="B3" s="20" t="n">
        <v>14520</v>
      </c>
      <c r="C3" s="20" t="n">
        <v>16713</v>
      </c>
      <c r="D3" s="20" t="n">
        <v>18534</v>
      </c>
      <c r="E3" s="20" t="n">
        <v>19998</v>
      </c>
      <c r="F3" s="20" t="n">
        <v>20638</v>
      </c>
      <c r="G3" s="21" t="n">
        <v>22814</v>
      </c>
      <c r="H3" s="22">
        <f>G3*(1+H4)</f>
        <v/>
      </c>
      <c r="I3" s="22">
        <f>H3*(1+I4)</f>
        <v/>
      </c>
      <c r="J3" s="22">
        <f>I3*(1+J4)</f>
        <v/>
      </c>
      <c r="K3" s="22">
        <f>J3*(1+K4)</f>
        <v/>
      </c>
      <c r="L3" s="22">
        <f>K3*(1+L4)</f>
        <v/>
      </c>
      <c r="M3" s="23" t="n"/>
      <c r="N3" s="24" t="inlineStr">
        <is>
          <t>2024: MNST Jan 2025 Pres (17.7% x $116.6B); 2025: MNST Dec 2025 Pres (18.7% x $122B); 2020-23 back-calc</t>
        </is>
      </c>
    </row>
    <row r="4">
      <c r="A4" s="50" t="inlineStr">
        <is>
          <t>Total TAM Growth</t>
        </is>
      </c>
      <c r="B4" s="16" t="n"/>
      <c r="C4" s="25">
        <f>C3/B3-1</f>
        <v/>
      </c>
      <c r="D4" s="25">
        <f>D3/C3-1</f>
        <v/>
      </c>
      <c r="E4" s="25">
        <f>E3/D3-1</f>
        <v/>
      </c>
      <c r="F4" s="25">
        <f>F3/E3-1</f>
        <v/>
      </c>
      <c r="G4" s="26">
        <f>G3/F3-1</f>
        <v/>
      </c>
      <c r="H4" s="27" t="n">
        <v>0.091</v>
      </c>
      <c r="I4" s="27" t="n">
        <v>0.07000000000000001</v>
      </c>
      <c r="J4" s="27" t="n">
        <v>0.07000000000000001</v>
      </c>
      <c r="K4" s="27" t="n">
        <v>0.07000000000000001</v>
      </c>
      <c r="L4" s="27" t="n">
        <v>0.07000000000000001</v>
      </c>
      <c r="M4" s="28" t="n"/>
      <c r="N4" s="24" t="inlineStr">
        <is>
          <t>Goldman Equity Research</t>
        </is>
      </c>
    </row>
    <row r="5">
      <c r="A5" s="51" t="inlineStr">
        <is>
          <t>Total Units</t>
        </is>
      </c>
      <c r="B5" s="29" t="n">
        <v>5330</v>
      </c>
      <c r="C5" s="29" t="n">
        <v>5882</v>
      </c>
      <c r="D5" s="29" t="n">
        <v>6026</v>
      </c>
      <c r="E5" s="29" t="n">
        <v>6396</v>
      </c>
      <c r="F5" s="29" t="n">
        <v>6336</v>
      </c>
      <c r="G5" s="29" t="n">
        <v>6843</v>
      </c>
      <c r="H5" s="30">
        <f>((1+H7)*G5)-H6</f>
        <v/>
      </c>
      <c r="I5" s="30">
        <f>((1+I7)*H5)-I6</f>
        <v/>
      </c>
      <c r="J5" s="30">
        <f>((1+J7)*I5)-J6</f>
        <v/>
      </c>
      <c r="K5" s="30">
        <f>((1+K7)*J5)-K6</f>
        <v/>
      </c>
      <c r="L5" s="30">
        <f>((1+L7)*K5)-L6</f>
        <v/>
      </c>
      <c r="M5" s="31" t="n"/>
      <c r="N5" s="32" t="inlineStr">
        <is>
          <t>NielsenIQ xAOC+C via MNST Pres (2020-24A); GS vol est (2025-30E)</t>
        </is>
      </c>
    </row>
    <row r="6">
      <c r="A6" s="51" t="inlineStr">
        <is>
          <t>Total Units Lost Snap Ban</t>
        </is>
      </c>
      <c r="B6" s="29" t="n"/>
      <c r="C6" s="29" t="n"/>
      <c r="D6" s="29" t="n"/>
      <c r="E6" s="29" t="n"/>
      <c r="F6" s="29" t="n"/>
      <c r="G6" s="29" t="n"/>
      <c r="H6" s="30">
        <f>'[1]SNAP Ban Impact'!D33</f>
        <v/>
      </c>
      <c r="I6" s="30">
        <f>'[1]SNAP Ban Impact'!E33</f>
        <v/>
      </c>
      <c r="J6" s="30">
        <f>'[1]SNAP Ban Impact'!F33</f>
        <v/>
      </c>
      <c r="K6" s="30">
        <f>'[1]SNAP Ban Impact'!G33</f>
        <v/>
      </c>
      <c r="L6" s="30">
        <f>'[1]SNAP Ban Impact'!H33</f>
        <v/>
      </c>
      <c r="M6" s="31" t="n"/>
      <c r="N6" s="32" t="n"/>
    </row>
    <row r="7">
      <c r="A7" s="50" t="inlineStr">
        <is>
          <t>Unit Sales Growth (Pre Snap Ban)</t>
        </is>
      </c>
      <c r="B7" s="50" t="n"/>
      <c r="C7" s="33">
        <f>C5/B5-1</f>
        <v/>
      </c>
      <c r="D7" s="33">
        <f>D5/C5-1</f>
        <v/>
      </c>
      <c r="E7" s="34">
        <f>E5/D5-1</f>
        <v/>
      </c>
      <c r="F7" s="34">
        <f>F5/E5-1</f>
        <v/>
      </c>
      <c r="G7" s="35" t="n">
        <v>0.099</v>
      </c>
      <c r="H7" s="35" t="n">
        <v>0.06</v>
      </c>
      <c r="I7" s="36">
        <f>H7</f>
        <v/>
      </c>
      <c r="J7" s="36">
        <f>I7</f>
        <v/>
      </c>
      <c r="K7" s="36">
        <f>J7</f>
        <v/>
      </c>
      <c r="L7" s="36">
        <f>K7</f>
        <v/>
      </c>
      <c r="M7" s="16" t="n"/>
      <c r="N7" s="24" t="inlineStr">
        <is>
          <t>Hardcodes are assumption, couldn't find projection on total unit growth 9.9% from page 7 of GS ER</t>
        </is>
      </c>
    </row>
    <row r="8">
      <c r="A8" s="50" t="n"/>
      <c r="B8" s="50" t="n"/>
      <c r="C8" s="33" t="n"/>
      <c r="D8" s="33" t="n"/>
      <c r="E8" s="59" t="n"/>
      <c r="F8" s="59" t="n"/>
      <c r="G8" s="35" t="n"/>
      <c r="H8" s="35" t="n"/>
      <c r="I8" s="36" t="n"/>
      <c r="J8" s="36" t="n"/>
      <c r="K8" s="36" t="n"/>
      <c r="L8" s="36" t="n"/>
      <c r="M8" s="16" t="n"/>
      <c r="N8" s="24" t="n"/>
    </row>
    <row r="9">
      <c r="A9" s="51" t="inlineStr">
        <is>
          <t>Average Cost per Unit</t>
        </is>
      </c>
      <c r="B9" s="37">
        <f>B3/B5</f>
        <v/>
      </c>
      <c r="C9" s="37">
        <f>C3/C5</f>
        <v/>
      </c>
      <c r="D9" s="37">
        <f>D3/D5</f>
        <v/>
      </c>
      <c r="E9" s="37">
        <f>E3/E5</f>
        <v/>
      </c>
      <c r="F9" s="37">
        <f>F3/F5</f>
        <v/>
      </c>
      <c r="G9" s="37">
        <f>G3/G5</f>
        <v/>
      </c>
      <c r="H9" s="37">
        <f>H3/H5</f>
        <v/>
      </c>
      <c r="I9" s="37">
        <f>I3/I5</f>
        <v/>
      </c>
      <c r="J9" s="37">
        <f>J3/J5</f>
        <v/>
      </c>
      <c r="K9" s="37">
        <f>K3/K5</f>
        <v/>
      </c>
      <c r="L9" s="37">
        <f>L3/L5</f>
        <v/>
      </c>
      <c r="M9" s="16" t="n"/>
      <c r="N9" s="32" t="inlineStr">
        <is>
          <t>Calculated: TAM / Volume</t>
        </is>
      </c>
    </row>
    <row r="10">
      <c r="A10" s="50" t="inlineStr">
        <is>
          <t>Unit Cost Growth</t>
        </is>
      </c>
      <c r="B10" s="16" t="n"/>
      <c r="C10" s="38">
        <f>C9/B9-1</f>
        <v/>
      </c>
      <c r="D10" s="38">
        <f>D9/C9-1</f>
        <v/>
      </c>
      <c r="E10" s="38">
        <f>E9/D9-1</f>
        <v/>
      </c>
      <c r="F10" s="38">
        <f>F9/E9-1</f>
        <v/>
      </c>
      <c r="G10" s="38">
        <f>G9/F9-1</f>
        <v/>
      </c>
      <c r="H10" s="38">
        <f>H9/G9-1</f>
        <v/>
      </c>
      <c r="I10" s="38">
        <f>I9/H9-1</f>
        <v/>
      </c>
      <c r="J10" s="38">
        <f>J9/I9-1</f>
        <v/>
      </c>
      <c r="K10" s="38">
        <f>K9/J9-1</f>
        <v/>
      </c>
      <c r="L10" s="38">
        <f>L9/K9-1</f>
        <v/>
      </c>
      <c r="M10" s="39" t="n"/>
      <c r="N10" s="16" t="n"/>
    </row>
    <row r="11">
      <c r="A11" s="18" t="inlineStr">
        <is>
          <t>Revenue Overivew</t>
        </is>
      </c>
      <c r="B11" s="18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6" t="n"/>
      <c r="N11" s="16" t="n"/>
    </row>
    <row r="12">
      <c r="A12" s="51" t="inlineStr">
        <is>
          <t>Celsius Revenue</t>
        </is>
      </c>
      <c r="B12" s="58" t="n">
        <v>130.726</v>
      </c>
      <c r="C12" s="40">
        <f>'ANNL P&amp;L'!B2/1000</f>
        <v/>
      </c>
      <c r="D12" s="40">
        <f>'ANNL P&amp;L'!C2/1000</f>
        <v/>
      </c>
      <c r="E12" s="40">
        <f>'ANNL P&amp;L'!D2/1000</f>
        <v/>
      </c>
      <c r="F12" s="40">
        <f>'ANNL P&amp;L'!E2/1000</f>
        <v/>
      </c>
      <c r="G12" s="40">
        <f>'ANNL P&amp;L'!F2/1000</f>
        <v/>
      </c>
      <c r="H12" s="40">
        <f>H30*H27</f>
        <v/>
      </c>
      <c r="I12" s="40">
        <f>I30*I27</f>
        <v/>
      </c>
      <c r="J12" s="40">
        <f>J30*J27</f>
        <v/>
      </c>
      <c r="K12" s="40">
        <f>K30*K27</f>
        <v/>
      </c>
      <c r="L12" s="40">
        <f>L30*L27</f>
        <v/>
      </c>
      <c r="M12" s="23" t="n"/>
      <c r="N12" s="24" t="inlineStr">
        <is>
          <t>10-K Filings (2020-25A); GS est (2026-27E) not using GS estimates because don't think they include GLP1 and SNAP analysis</t>
        </is>
      </c>
    </row>
    <row r="13">
      <c r="A13" s="51" t="inlineStr">
        <is>
          <t>Celsius Market Share</t>
        </is>
      </c>
      <c r="B13" s="16" t="n"/>
      <c r="C13" s="31">
        <f>C27/C5</f>
        <v/>
      </c>
      <c r="D13" s="31">
        <f>D27/D5</f>
        <v/>
      </c>
      <c r="E13" s="31">
        <f>E27/E5</f>
        <v/>
      </c>
      <c r="F13" s="31">
        <f>F27/F5</f>
        <v/>
      </c>
      <c r="G13" s="31">
        <f>G27/G5</f>
        <v/>
      </c>
      <c r="H13" s="31">
        <f>H27/H5</f>
        <v/>
      </c>
      <c r="I13" s="31">
        <f>I27/I5</f>
        <v/>
      </c>
      <c r="J13" s="31">
        <f>J27/J5</f>
        <v/>
      </c>
      <c r="K13" s="31">
        <f>K27/K5</f>
        <v/>
      </c>
      <c r="L13" s="31">
        <f>L27/L5</f>
        <v/>
      </c>
      <c r="M13" s="16" t="n"/>
      <c r="N13" s="16" t="n"/>
    </row>
    <row r="14">
      <c r="A14" s="50" t="inlineStr">
        <is>
          <t>Celsius Revenue Growth</t>
        </is>
      </c>
      <c r="B14" s="16" t="n"/>
      <c r="C14" s="38" t="n"/>
      <c r="D14" s="38">
        <f>(D12-C12)/C12</f>
        <v/>
      </c>
      <c r="E14" s="38">
        <f>(E12-D12)/D12</f>
        <v/>
      </c>
      <c r="F14" s="38">
        <f>(F12-E12)/E12</f>
        <v/>
      </c>
      <c r="G14" s="38">
        <f>(G12-F12)/F12</f>
        <v/>
      </c>
      <c r="H14" s="38">
        <f>(H12-G12)/G12</f>
        <v/>
      </c>
      <c r="I14" s="38">
        <f>(I12-H12)/H12</f>
        <v/>
      </c>
      <c r="J14" s="38">
        <f>(J12-I12)/I12</f>
        <v/>
      </c>
      <c r="K14" s="38">
        <f>(K12-J12)/J12</f>
        <v/>
      </c>
      <c r="L14" s="38">
        <f>(L12-K12)/K12</f>
        <v/>
      </c>
      <c r="M14" s="39" t="n"/>
      <c r="N14" s="16" t="n"/>
    </row>
    <row r="15">
      <c r="A15" s="18" t="inlineStr">
        <is>
          <t>CELH Portfolio Volume</t>
        </is>
      </c>
      <c r="B15" s="18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6" t="n"/>
      <c r="N15" s="16" t="n"/>
    </row>
    <row r="16">
      <c r="A16" s="51" t="inlineStr">
        <is>
          <t>Celsius Unit Volume</t>
        </is>
      </c>
      <c r="B16" s="29" t="n">
        <v>46</v>
      </c>
      <c r="C16" s="29" t="n">
        <v>146</v>
      </c>
      <c r="D16" s="29" t="n">
        <v>281</v>
      </c>
      <c r="E16" s="29" t="n">
        <v>605</v>
      </c>
      <c r="F16" s="29" t="n">
        <v>597</v>
      </c>
      <c r="G16" s="30">
        <f>F16*(1+G17)</f>
        <v/>
      </c>
      <c r="H16" s="30">
        <f>G16*(1+H17)</f>
        <v/>
      </c>
      <c r="I16" s="30">
        <f>H16*(1+I17)</f>
        <v/>
      </c>
      <c r="J16" s="30">
        <f>I16*(1+J17)</f>
        <v/>
      </c>
      <c r="K16" s="30">
        <f>J16*(1+K17)</f>
        <v/>
      </c>
      <c r="L16" s="30">
        <f>K16*(1+L17)</f>
        <v/>
      </c>
      <c r="M16" s="28" t="n"/>
      <c r="N16" s="32" t="inlineStr">
        <is>
          <t>NielsenIQ retail units (annualized 13-wk x4) via MNST Pres; Celsius brand only</t>
        </is>
      </c>
    </row>
    <row r="17">
      <c r="A17" s="50" t="inlineStr">
        <is>
          <t>Volume Growth</t>
        </is>
      </c>
      <c r="B17" s="29" t="n"/>
      <c r="C17" s="31" t="n"/>
      <c r="D17" s="36">
        <f>D16/C16-1</f>
        <v/>
      </c>
      <c r="E17" s="36">
        <f>E16/D16-1</f>
        <v/>
      </c>
      <c r="F17" s="36">
        <f>F16/E16-1</f>
        <v/>
      </c>
      <c r="G17" s="36">
        <f>G7</f>
        <v/>
      </c>
      <c r="H17" s="36">
        <f>H7</f>
        <v/>
      </c>
      <c r="I17" s="36">
        <f>I7</f>
        <v/>
      </c>
      <c r="J17" s="36">
        <f>J7</f>
        <v/>
      </c>
      <c r="K17" s="36">
        <f>K7</f>
        <v/>
      </c>
      <c r="L17" s="36">
        <f>L7</f>
        <v/>
      </c>
      <c r="M17" s="28" t="n"/>
      <c r="N17" s="32" t="inlineStr">
        <is>
          <t xml:space="preserve"> vc vdf</t>
        </is>
      </c>
    </row>
    <row r="18">
      <c r="A18" s="51" t="inlineStr">
        <is>
          <t>Alani Unit Volume</t>
        </is>
      </c>
      <c r="B18" s="29" t="n">
        <v>10</v>
      </c>
      <c r="C18" s="29" t="n">
        <v>62</v>
      </c>
      <c r="D18" s="29" t="n">
        <v>102</v>
      </c>
      <c r="E18" s="29" t="n">
        <v>167</v>
      </c>
      <c r="F18" s="29" t="n">
        <v>272</v>
      </c>
      <c r="G18" s="30">
        <f>F18*(1+G20)</f>
        <v/>
      </c>
      <c r="H18" s="30">
        <f>G18*(1+H20)</f>
        <v/>
      </c>
      <c r="I18" s="30">
        <f>H18*(1+I20)</f>
        <v/>
      </c>
      <c r="J18" s="30">
        <f>I18*(1+J20)</f>
        <v/>
      </c>
      <c r="K18" s="30">
        <f>J18*(1+K20)</f>
        <v/>
      </c>
      <c r="L18" s="30">
        <f>K18*(1+L20)</f>
        <v/>
      </c>
      <c r="M18" s="28" t="n"/>
      <c r="N18" s="32" t="inlineStr">
        <is>
          <t>NielsenIQ retail units annualized 13-wk x4 via MNST Pres; 2020 back-calc from 2021 YoY</t>
        </is>
      </c>
    </row>
    <row r="19">
      <c r="A19" s="52" t="inlineStr">
        <is>
          <t>Alani Sell In Units</t>
        </is>
      </c>
      <c r="B19" s="41" t="n">
        <v>0</v>
      </c>
      <c r="C19" s="42" t="n">
        <v>0</v>
      </c>
      <c r="D19" s="42" t="n">
        <v>0</v>
      </c>
      <c r="E19" s="42" t="n">
        <v>0</v>
      </c>
      <c r="F19" s="42" t="n">
        <v>0</v>
      </c>
      <c r="G19" s="42" t="n">
        <v>0</v>
      </c>
      <c r="H19" s="42">
        <f>IF($D$41&gt;=3,$D$45/$D$41,0)</f>
        <v/>
      </c>
      <c r="I19" s="42">
        <f>IF($D$41&gt;=3,$D$45/$D$41,0)</f>
        <v/>
      </c>
      <c r="J19" s="42">
        <f>IF($D$41&gt;=3,$D$45/$D$41,0)</f>
        <v/>
      </c>
      <c r="K19" s="42" t="n">
        <v>0</v>
      </c>
      <c r="L19" s="42" t="n">
        <v>0</v>
      </c>
      <c r="M19" s="16" t="n"/>
      <c r="N19" s="32" t="inlineStr">
        <is>
          <t>Formula: Pipeline fill (Yr 1) + ACV new door stocking / transition duration. All inputs in rows 39-45.</t>
        </is>
      </c>
    </row>
    <row r="20">
      <c r="A20" s="50" t="inlineStr">
        <is>
          <t>Volume Growth</t>
        </is>
      </c>
      <c r="B20" s="29" t="n"/>
      <c r="C20" s="57" t="inlineStr">
        <is>
          <t>--</t>
        </is>
      </c>
      <c r="D20" s="36">
        <f>D18/C18-1</f>
        <v/>
      </c>
      <c r="E20" s="36">
        <f>E18/D18-1</f>
        <v/>
      </c>
      <c r="F20" s="36">
        <f>F18/E18-1</f>
        <v/>
      </c>
      <c r="G20" s="36">
        <f>G17</f>
        <v/>
      </c>
      <c r="H20" s="36">
        <f>H17</f>
        <v/>
      </c>
      <c r="I20" s="36">
        <f>I17</f>
        <v/>
      </c>
      <c r="J20" s="36">
        <f>J17</f>
        <v/>
      </c>
      <c r="K20" s="36">
        <f>K17</f>
        <v/>
      </c>
      <c r="L20" s="36">
        <f>L17</f>
        <v/>
      </c>
      <c r="M20" s="28" t="n"/>
      <c r="N20" s="32" t="inlineStr">
        <is>
          <t>Assuming growth at rate of market (consider adjusting for GLP1 use)</t>
        </is>
      </c>
    </row>
    <row r="21">
      <c r="A21" s="50" t="inlineStr">
        <is>
          <t>% of Year Owned</t>
        </is>
      </c>
      <c r="B21" s="29" t="n"/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0.75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28" t="n"/>
      <c r="N21" s="32" t="inlineStr">
        <is>
          <t>2024 assuming 75% Alani volume since acquired april 1 and 33% rockstar since acquired August 29</t>
        </is>
      </c>
    </row>
    <row r="22">
      <c r="A22" s="51" t="inlineStr">
        <is>
          <t>Rockstar Unit Volume</t>
        </is>
      </c>
      <c r="B22" s="29" t="n">
        <v>371</v>
      </c>
      <c r="C22" s="29" t="n">
        <v>340</v>
      </c>
      <c r="D22" s="29" t="n">
        <v>313</v>
      </c>
      <c r="E22" s="29" t="n">
        <v>290</v>
      </c>
      <c r="F22" s="29" t="n">
        <v>236</v>
      </c>
      <c r="G22" s="41">
        <f>F22*(1+G23)</f>
        <v/>
      </c>
      <c r="H22" s="41">
        <f>G22*(1+H23)</f>
        <v/>
      </c>
      <c r="I22" s="41">
        <f>H22*(1+I23)</f>
        <v/>
      </c>
      <c r="J22" s="41">
        <f>I22*(1+J23)</f>
        <v/>
      </c>
      <c r="K22" s="41">
        <f>J22*(1+K23)</f>
        <v/>
      </c>
      <c r="L22" s="41">
        <f>K22*(1+L23)</f>
        <v/>
      </c>
      <c r="M22" s="28" t="n"/>
      <c r="N22" s="32" t="inlineStr">
        <is>
          <t>NielsenIQ retail units annualized 13-wk x4 via MNST Pres; 2020 back-calc from 2021 YoY</t>
        </is>
      </c>
    </row>
    <row r="23">
      <c r="A23" s="50" t="inlineStr">
        <is>
          <t>Volume Growth</t>
        </is>
      </c>
      <c r="B23" s="50" t="n"/>
      <c r="C23" s="29" t="n"/>
      <c r="D23" s="36">
        <f>D22/C22-1</f>
        <v/>
      </c>
      <c r="E23" s="36">
        <f>E22/D22-1</f>
        <v/>
      </c>
      <c r="F23" s="36">
        <f>F22/E22-1</f>
        <v/>
      </c>
      <c r="G23" s="36">
        <f>G20</f>
        <v/>
      </c>
      <c r="H23" s="36">
        <f>H20</f>
        <v/>
      </c>
      <c r="I23" s="36">
        <f>I20</f>
        <v/>
      </c>
      <c r="J23" s="36">
        <f>J20</f>
        <v/>
      </c>
      <c r="K23" s="36">
        <f>K20</f>
        <v/>
      </c>
      <c r="L23" s="36">
        <f>L20</f>
        <v/>
      </c>
      <c r="M23" s="28" t="n"/>
      <c r="N23" s="32" t="inlineStr">
        <is>
          <t>Assuming growth at rate of market (consider adjusting for GLP1 use)</t>
        </is>
      </c>
    </row>
    <row r="24">
      <c r="A24" s="50" t="inlineStr">
        <is>
          <t>% of Year Owned</t>
        </is>
      </c>
      <c r="B24" s="50" t="n"/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0.33</v>
      </c>
      <c r="H24" s="35" t="n">
        <v>1</v>
      </c>
      <c r="I24" s="35" t="n">
        <v>1</v>
      </c>
      <c r="J24" s="35" t="n">
        <v>1</v>
      </c>
      <c r="K24" s="35" t="n">
        <v>1</v>
      </c>
      <c r="L24" s="35" t="n">
        <v>1</v>
      </c>
      <c r="M24" s="28" t="n"/>
      <c r="N24" s="32" t="n"/>
    </row>
    <row r="25">
      <c r="A25" s="50" t="inlineStr">
        <is>
          <t>GLP1 Unit Adjustment</t>
        </is>
      </c>
      <c r="B25" s="50" t="n"/>
      <c r="C25" s="43" t="n"/>
      <c r="D25" s="43" t="n"/>
      <c r="E25" s="43" t="n"/>
      <c r="F25" s="43" t="n"/>
      <c r="G25" s="43" t="n"/>
      <c r="H25" s="44">
        <f>'[1]GLP-1 Share Impact'!C22</f>
        <v/>
      </c>
      <c r="I25" s="44">
        <f>'[1]GLP-1 Share Impact'!D22</f>
        <v/>
      </c>
      <c r="J25" s="44">
        <f>'[1]GLP-1 Share Impact'!E22</f>
        <v/>
      </c>
      <c r="K25" s="44">
        <f>'[1]GLP-1 Share Impact'!F22</f>
        <v/>
      </c>
      <c r="L25" s="44">
        <f>'[1]GLP-1 Share Impact'!G22</f>
        <v/>
      </c>
      <c r="M25" s="28" t="n"/>
      <c r="N25" s="32" t="n"/>
    </row>
    <row r="26">
      <c r="A26" s="50" t="inlineStr">
        <is>
          <t>Celsius Units Lost SNAP Ban</t>
        </is>
      </c>
      <c r="B26" s="50" t="n"/>
      <c r="C26" s="43" t="n"/>
      <c r="D26" s="43" t="n"/>
      <c r="E26" s="43" t="n"/>
      <c r="F26" s="43" t="n"/>
      <c r="G26" s="43" t="n"/>
      <c r="H26" s="44">
        <f>'[1]SNAP Ban Impact'!D34</f>
        <v/>
      </c>
      <c r="I26" s="44">
        <f>'[1]SNAP Ban Impact'!E34</f>
        <v/>
      </c>
      <c r="J26" s="44">
        <f>'[1]SNAP Ban Impact'!F34</f>
        <v/>
      </c>
      <c r="K26" s="44">
        <f>'[1]SNAP Ban Impact'!G34</f>
        <v/>
      </c>
      <c r="L26" s="44">
        <f>'[1]SNAP Ban Impact'!H34</f>
        <v/>
      </c>
      <c r="M26" s="28" t="n"/>
      <c r="N26" s="32" t="n"/>
    </row>
    <row r="27" ht="15.75" customHeight="1">
      <c r="A27" s="53" t="inlineStr">
        <is>
          <t>Total Celsius Unit Volume</t>
        </is>
      </c>
      <c r="B27" s="53" t="n"/>
      <c r="C27" s="45">
        <f>C16+C21*(C18+C19)+C24*C22+C25</f>
        <v/>
      </c>
      <c r="D27" s="45">
        <f>D16+D21*(D18+D19)+D24*D22+D25</f>
        <v/>
      </c>
      <c r="E27" s="45">
        <f>E16+E21*(E18+E19)+E24*E22+E25</f>
        <v/>
      </c>
      <c r="F27" s="45">
        <f>F16+F21*(F18+F19)+F24*F22+F25</f>
        <v/>
      </c>
      <c r="G27" s="45">
        <f>G16+G21*(G18+G19)+G24*G22+G25</f>
        <v/>
      </c>
      <c r="H27" s="45">
        <f>H16+H21*(H18+H19)+H24*H22+H25-H26</f>
        <v/>
      </c>
      <c r="I27" s="45">
        <f>I16+I21*(I18+I19)+I24*I22+I25-I26</f>
        <v/>
      </c>
      <c r="J27" s="45">
        <f>J16+J21*(J18+J19)+J24*J22+J25-J26</f>
        <v/>
      </c>
      <c r="K27" s="45">
        <f>K16+K21*(K18+K19)+K24*K22+K25-K26</f>
        <v/>
      </c>
      <c r="L27" s="45">
        <f>L16+L21*(L18+L19)+L24*L22+L25-L26</f>
        <v/>
      </c>
      <c r="M27" s="16" t="n"/>
      <c r="N27" s="16" t="inlineStr">
        <is>
          <t xml:space="preserve">For projections consider factoring in GLP-1 usage as reason for taking market share (0 cal health focused brand vs monster / red bull). </t>
        </is>
      </c>
    </row>
    <row r="28">
      <c r="A28" s="51" t="inlineStr">
        <is>
          <t>Est. Retail Revenue</t>
        </is>
      </c>
      <c r="B28" s="51" t="n"/>
      <c r="C28" s="46">
        <f>C27*C9</f>
        <v/>
      </c>
      <c r="D28" s="46">
        <f>D27*D9</f>
        <v/>
      </c>
      <c r="E28" s="46">
        <f>E27*E9</f>
        <v/>
      </c>
      <c r="F28" s="46">
        <f>F27*F9</f>
        <v/>
      </c>
      <c r="G28" s="46">
        <f>G27*G9</f>
        <v/>
      </c>
      <c r="H28" s="46">
        <f>H27*H9</f>
        <v/>
      </c>
      <c r="I28" s="46">
        <f>I27*I9</f>
        <v/>
      </c>
      <c r="J28" s="46">
        <f>J27*J9</f>
        <v/>
      </c>
      <c r="K28" s="46">
        <f>K27*K9</f>
        <v/>
      </c>
      <c r="L28" s="46">
        <f>L27*L9</f>
        <v/>
      </c>
      <c r="M28" s="16" t="n"/>
      <c r="N28" s="16" t="n"/>
    </row>
    <row r="29">
      <c r="A29" s="51" t="inlineStr">
        <is>
          <t>Wholesale / Retail Ratio</t>
        </is>
      </c>
      <c r="B29" s="51" t="n"/>
      <c r="C29" s="47">
        <f>C12/C28</f>
        <v/>
      </c>
      <c r="D29" s="47">
        <f>D12/D28</f>
        <v/>
      </c>
      <c r="E29" s="47">
        <f>E12/E28</f>
        <v/>
      </c>
      <c r="F29" s="47">
        <f>F12/F28</f>
        <v/>
      </c>
      <c r="G29" s="47">
        <f>G12/G28</f>
        <v/>
      </c>
      <c r="H29" s="47">
        <f>AVERAGE(C29:G29)</f>
        <v/>
      </c>
      <c r="I29" s="47">
        <f>H29</f>
        <v/>
      </c>
      <c r="J29" s="47">
        <f>I29</f>
        <v/>
      </c>
      <c r="K29" s="47">
        <f>J29</f>
        <v/>
      </c>
      <c r="L29" s="47">
        <f>K29</f>
        <v/>
      </c>
      <c r="M29" s="16" t="n"/>
      <c r="N29" s="16" t="n"/>
    </row>
    <row r="30">
      <c r="A30" s="51" t="inlineStr">
        <is>
          <t>Approximate Wholesale Cost per Unit</t>
        </is>
      </c>
      <c r="B30" s="51" t="n"/>
      <c r="C30" s="37">
        <f>C29*C9</f>
        <v/>
      </c>
      <c r="D30" s="37">
        <f>D29*D9</f>
        <v/>
      </c>
      <c r="E30" s="37">
        <f>E29*E9</f>
        <v/>
      </c>
      <c r="F30" s="37">
        <f>F29*F9</f>
        <v/>
      </c>
      <c r="G30" s="37">
        <f>G29*G9</f>
        <v/>
      </c>
      <c r="H30" s="37">
        <f>H29*H9</f>
        <v/>
      </c>
      <c r="I30" s="37">
        <f>I29*I9</f>
        <v/>
      </c>
      <c r="J30" s="37">
        <f>J29*J9</f>
        <v/>
      </c>
      <c r="K30" s="37">
        <f>K29*K9</f>
        <v/>
      </c>
      <c r="L30" s="37">
        <f>L29*L9</f>
        <v/>
      </c>
      <c r="M30" s="16" t="n"/>
      <c r="N30" s="32" t="inlineStr">
        <is>
          <t>Going to be slightly off given the way we are forecasting (explains reason it drops slightly in projection period</t>
        </is>
      </c>
    </row>
    <row r="31">
      <c r="A31" s="51" t="inlineStr">
        <is>
          <t>Celsius Total TAM</t>
        </is>
      </c>
      <c r="B31" s="51" t="n"/>
      <c r="C31" s="31" t="n"/>
      <c r="D31" s="31" t="n"/>
      <c r="E31" s="31" t="n"/>
      <c r="F31" s="31">
        <f>F27/F5</f>
        <v/>
      </c>
      <c r="G31" s="31">
        <f>G27/G5</f>
        <v/>
      </c>
      <c r="H31" s="31">
        <f>H27/H5</f>
        <v/>
      </c>
      <c r="I31" s="31">
        <f>I27/I5</f>
        <v/>
      </c>
      <c r="J31" s="31">
        <f>J27/J5</f>
        <v/>
      </c>
      <c r="K31" s="31">
        <f>K27/K5</f>
        <v/>
      </c>
      <c r="L31" s="31">
        <f>L27/L5</f>
        <v/>
      </c>
      <c r="M31" s="16" t="n"/>
      <c r="N31" s="16" t="n"/>
    </row>
    <row r="32">
      <c r="A32" s="52" t="inlineStr">
        <is>
          <t>Celsius 0 Sugar TAM</t>
        </is>
      </c>
      <c r="B32" s="52" t="n"/>
      <c r="C32" s="16" t="n"/>
      <c r="D32" s="16" t="n"/>
      <c r="E32" s="16" t="n"/>
      <c r="F32" s="48" t="n"/>
      <c r="G32" s="48" t="n">
        <v>0.33</v>
      </c>
      <c r="H32" s="48" t="n"/>
      <c r="I32" s="48" t="n"/>
      <c r="J32" s="48" t="n"/>
      <c r="K32" s="48" t="n"/>
      <c r="L32" s="48" t="n"/>
      <c r="M32" s="16" t="n"/>
      <c r="N32" s="32" t="n"/>
    </row>
    <row r="33">
      <c r="G33" s="41" t="n">
        <v>0</v>
      </c>
    </row>
    <row r="38">
      <c r="A38" s="54" t="inlineStr">
        <is>
          <t>ALANI SELL-IN ASSUMPTIONS</t>
        </is>
      </c>
      <c r="B38" s="54" t="n"/>
      <c r="C38" s="16" t="n"/>
      <c r="D38" s="16" t="n"/>
    </row>
    <row r="39">
      <c r="A39" s="55" t="inlineStr">
        <is>
          <t>Avg Units per New Door (initial stock)</t>
        </is>
      </c>
      <c r="B39" s="55" t="n"/>
      <c r="C39" s="16" t="n"/>
      <c r="D39" s="29" t="n">
        <v>50</v>
      </c>
    </row>
    <row r="40">
      <c r="A40" s="55" t="inlineStr">
        <is>
          <t>Pipeline Fill (weeks of sell-through)</t>
        </is>
      </c>
      <c r="B40" s="55" t="n"/>
      <c r="C40" s="16" t="n"/>
      <c r="D40" s="29" t="n">
        <v>3</v>
      </c>
    </row>
    <row r="41">
      <c r="A41" s="55" t="inlineStr">
        <is>
          <t>Transition Duration (years to target ACV)</t>
        </is>
      </c>
      <c r="B41" s="55" t="n"/>
      <c r="C41" s="16" t="n"/>
      <c r="D41" s="29" t="n">
        <v>3</v>
      </c>
    </row>
    <row r="42">
      <c r="A42" s="55" t="n"/>
      <c r="B42" s="55" t="n"/>
      <c r="C42" s="16" t="n"/>
      <c r="D42" s="56" t="n">
        <v>0.9399999999999999</v>
      </c>
    </row>
    <row r="43">
      <c r="A43" s="55" t="n"/>
      <c r="B43" s="55" t="n"/>
      <c r="C43" s="16" t="n"/>
      <c r="D43" s="56" t="n">
        <v>0.86</v>
      </c>
    </row>
    <row r="44">
      <c r="A44" s="55" t="inlineStr">
        <is>
          <t>ACV Gap (new doors to stock)</t>
        </is>
      </c>
      <c r="B44" s="55" t="n"/>
      <c r="C44" s="16" t="n"/>
      <c r="D44" s="41">
        <f>($D$42-$D$43)*350000</f>
        <v/>
      </c>
    </row>
    <row r="45">
      <c r="A45" s="55" t="inlineStr">
        <is>
          <t>New Door Sell-In (M units, total over transition)</t>
        </is>
      </c>
      <c r="B45" s="55" t="n"/>
      <c r="C45" s="16" t="n"/>
      <c r="D45" s="42">
        <f>$D$44*$D$39/1000000</f>
        <v/>
      </c>
    </row>
    <row r="46">
      <c r="A46" s="55" t="inlineStr">
        <is>
          <t>Pipeline Fill (M units, one-time in Year 1)</t>
        </is>
      </c>
      <c r="B46" s="55" t="n"/>
      <c r="C46" s="16" t="n"/>
      <c r="D46" s="42">
        <f>$D$47/52*$D$40</f>
        <v/>
      </c>
    </row>
    <row r="47">
      <c r="A47" s="55" t="inlineStr">
        <is>
          <t>Alani Annual Sell-Through Volume (M units)</t>
        </is>
      </c>
      <c r="B47" s="55" t="n"/>
      <c r="C47" s="16" t="n"/>
      <c r="D47" s="41">
        <f>G21</f>
        <v/>
      </c>
    </row>
    <row r="49">
      <c r="A49" s="55" t="inlineStr">
        <is>
          <t>Look in tables and footnotes to see if they report change in sales form Rockstar and Alani and geography</t>
        </is>
      </c>
    </row>
    <row r="50">
      <c r="A50" s="55" t="inlineStr">
        <is>
          <t>MD&amp;A will be most of this</t>
        </is>
      </c>
    </row>
    <row r="51">
      <c r="A51" s="55" t="inlineStr">
        <is>
          <t>Celsiyus 10K Alani &amp; Rockstar Total Consolidated Asset and Revenue breakdown</t>
        </is>
      </c>
    </row>
    <row r="52">
      <c r="A52" s="55" t="inlineStr">
        <is>
          <t>SG&amp;A and Gross Margin Bridge in 10K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2026-04-29T16:25:01Z</dcterms:created>
  <dcterms:modified xmlns:dcterms="http://purl.org/dc/terms/" xmlns:xsi="http://www.w3.org/2001/XMLSchema-instance" xsi:type="dcterms:W3CDTF">2026-05-05T03:50:24Z</dcterms:modified>
  <cp:lastModifiedBy>Gabriel Rodino</cp:lastModifiedBy>
</cp:coreProperties>
</file>