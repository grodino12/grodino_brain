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12" autoFilterDateGrouping="1"/>
  </bookViews>
  <sheets>
    <sheet xmlns:r="http://schemas.openxmlformats.org/officeDocument/2006/relationships" name="ASSUMPTIONS" sheetId="2" state="visible" r:id="rId2"/>
    <sheet xmlns:r="http://schemas.openxmlformats.org/officeDocument/2006/relationships" name="ANNL P&amp;L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YTD P&amp;L" sheetId="6" state="hidden" r:id="rId6"/>
    <sheet xmlns:r="http://schemas.openxmlformats.org/officeDocument/2006/relationships" name="YTD BS" sheetId="7" state="hidden" r:id="rId7"/>
    <sheet xmlns:r="http://schemas.openxmlformats.org/officeDocument/2006/relationships" name="YTD CF" sheetId="8" state="hidden" r:id="rId8"/>
    <sheet xmlns:r="http://schemas.openxmlformats.org/officeDocument/2006/relationships" name="QTR P&amp;L" sheetId="9" state="visible" r:id="rId9"/>
    <sheet xmlns:r="http://schemas.openxmlformats.org/officeDocument/2006/relationships" name="QTR BS" sheetId="10" state="visible" r:id="rId10"/>
    <sheet xmlns:r="http://schemas.openxmlformats.org/officeDocument/2006/relationships" name="QTR CF" sheetId="11" state="visible" r:id="rId11"/>
    <sheet xmlns:r="http://schemas.openxmlformats.org/officeDocument/2006/relationships" name="IS DRIVERS" sheetId="12" state="visible" r:id="rId12"/>
    <sheet xmlns:r="http://schemas.openxmlformats.org/officeDocument/2006/relationships" name="BS DRIVERS" sheetId="13" state="visible" r:id="rId13"/>
    <sheet xmlns:r="http://schemas.openxmlformats.org/officeDocument/2006/relationships" name="CF DRIVERS" sheetId="14" state="visible" r:id="rId14"/>
    <sheet xmlns:r="http://schemas.openxmlformats.org/officeDocument/2006/relationships" name="Revenue Driver" sheetId="15" state="visible" r:id="rId15"/>
  </sheets>
  <definedNames/>
  <calcPr calcId="191029" fullCalcOnLoad="1" iterate="1"/>
  <externalReferences>
    <externalReference xmlns:r="http://schemas.openxmlformats.org/officeDocument/2006/relationships" r:id="rId1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2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  <numFmt numFmtId="168" formatCode="0.0%"/>
    <numFmt numFmtId="169" formatCode="0.0%;\(0.0%\)"/>
    <numFmt numFmtId="170" formatCode="\$#,##0.00"/>
    <numFmt numFmtId="171" formatCode="&quot;$&quot;#,##0"/>
    <numFmt numFmtId="172" formatCode="#,##0.0"/>
    <numFmt numFmtId="173" formatCode="&quot;$&quot;#,##0.00"/>
    <numFmt numFmtId="174" formatCode="#,##0;(#,##0);&quot;--&quot;"/>
    <numFmt numFmtId="175" formatCode="0.0%;(0.0%);&quot;--&quot;"/>
  </numFmts>
  <fonts count="3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color rgb="FF000000"/>
      <sz val="12"/>
    </font>
    <font>
      <name val="Arial"/>
      <family val="2"/>
      <color theme="1"/>
      <sz val="11"/>
    </font>
    <font>
      <name val="Arial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i val="1"/>
      <color rgb="FF444444"/>
      <sz val="9"/>
    </font>
    <font>
      <name val="Arial"/>
      <family val="2"/>
      <color rgb="FF000000"/>
      <sz val="8"/>
    </font>
    <font>
      <name val="Arial"/>
      <family val="2"/>
      <color rgb="FF0000FF"/>
      <sz val="8"/>
    </font>
    <font>
      <name val="Arial"/>
      <family val="2"/>
      <sz val="8"/>
    </font>
    <font>
      <name val="Arial"/>
      <family val="2"/>
      <color theme="1"/>
      <sz val="8"/>
    </font>
    <font>
      <name val="Arial"/>
      <family val="2"/>
      <color theme="1"/>
      <sz val="10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sz val="10"/>
    </font>
    <font>
      <i val="1"/>
      <color rgb="00595959"/>
      <sz val="10"/>
    </font>
    <font>
      <i val="1"/>
      <color rgb="00808080"/>
      <sz val="9"/>
    </font>
    <font>
      <b val="1"/>
      <i val="1"/>
      <color rgb="00595959"/>
      <sz val="10"/>
    </font>
    <font>
      <b val="1"/>
      <i val="1"/>
      <color rgb="00808080"/>
      <sz val="10"/>
    </font>
    <font>
      <i val="1"/>
      <color rgb="00808080"/>
      <sz val="10"/>
    </font>
    <font>
      <b val="1"/>
      <color theme="1"/>
      <sz val="10"/>
    </font>
    <font>
      <b val="1"/>
      <color rgb="002E7D32"/>
      <sz val="11"/>
    </font>
    <font>
      <b val="1"/>
      <color rgb="00C62828"/>
      <sz val="11"/>
    </font>
    <font>
      <b val="1"/>
      <i val="1"/>
      <color rgb="001F4E79"/>
      <sz val="10"/>
    </font>
    <font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theme="1" tint="0.2499771111178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indexed="64"/>
      </top>
      <bottom/>
      <diagonal/>
    </border>
    <border>
      <top style="thin">
        <color rgb="00000000"/>
      </top>
    </border>
    <border>
      <bottom style="thin">
        <color rgb="00000000"/>
      </bottom>
    </border>
    <border>
      <left/>
      <right/>
      <top style="thin">
        <color rgb="00000000"/>
      </top>
      <bottom/>
      <diagonal/>
    </border>
    <border>
      <right/>
      <top style="thin">
        <color rgb="00000000"/>
      </top>
      <bottom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3" fillId="5" borderId="0" pivotButton="0" quotePrefix="0" xfId="0"/>
    <xf numFmtId="0" fontId="4" fillId="5" borderId="0" pivotButton="0" quotePrefix="0" xfId="0"/>
    <xf numFmtId="3" fontId="8" fillId="0" borderId="2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68" fontId="10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10" fillId="0" borderId="2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center" vertical="center"/>
    </xf>
    <xf numFmtId="3" fontId="8" fillId="0" borderId="0" pivotButton="0" quotePrefix="0" xfId="0"/>
    <xf numFmtId="3" fontId="9" fillId="0" borderId="0" pivotButton="0" quotePrefix="0" xfId="0"/>
    <xf numFmtId="168" fontId="10" fillId="0" borderId="0" pivotButton="0" quotePrefix="0" xfId="0"/>
    <xf numFmtId="0" fontId="11" fillId="0" borderId="0" pivotButton="0" quotePrefix="0" xfId="0"/>
    <xf numFmtId="169" fontId="12" fillId="0" borderId="0" applyAlignment="1" pivotButton="0" quotePrefix="0" xfId="0">
      <alignment horizontal="right"/>
    </xf>
    <xf numFmtId="169" fontId="12" fillId="0" borderId="2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/>
    </xf>
    <xf numFmtId="169" fontId="14" fillId="0" borderId="0" applyAlignment="1" pivotButton="0" quotePrefix="0" xfId="0">
      <alignment horizontal="right"/>
    </xf>
    <xf numFmtId="170" fontId="10" fillId="0" borderId="0" pivotButton="0" quotePrefix="0" xfId="0"/>
    <xf numFmtId="168" fontId="12" fillId="0" borderId="0" pivotButton="0" quotePrefix="0" xfId="0"/>
    <xf numFmtId="10" fontId="10" fillId="0" borderId="2" applyAlignment="1" pivotButton="0" quotePrefix="0" xfId="0">
      <alignment horizontal="center" vertical="center"/>
    </xf>
    <xf numFmtId="171" fontId="9" fillId="0" borderId="0" pivotButton="0" quotePrefix="0" xfId="0"/>
    <xf numFmtId="3" fontId="10" fillId="0" borderId="0" pivotButton="0" quotePrefix="0" xfId="0"/>
    <xf numFmtId="172" fontId="10" fillId="0" borderId="0" pivotButton="0" quotePrefix="0" xfId="0"/>
    <xf numFmtId="3" fontId="13" fillId="0" borderId="0" pivotButton="0" quotePrefix="0" xfId="0"/>
    <xf numFmtId="3" fontId="15" fillId="0" borderId="0" pivotButton="0" quotePrefix="0" xfId="0"/>
    <xf numFmtId="3" fontId="7" fillId="0" borderId="0" pivotButton="0" quotePrefix="0" xfId="0"/>
    <xf numFmtId="3" fontId="16" fillId="0" borderId="3" pivotButton="0" quotePrefix="0" xfId="0"/>
    <xf numFmtId="9" fontId="16" fillId="0" borderId="0" pivotButton="0" quotePrefix="0" xfId="0"/>
    <xf numFmtId="168" fontId="8" fillId="0" borderId="0" pivotButton="0" quotePrefix="0" xfId="0"/>
    <xf numFmtId="0" fontId="1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left" vertical="center"/>
    </xf>
    <xf numFmtId="9" fontId="8" fillId="0" borderId="0" pivotButton="0" quotePrefix="0" xfId="0"/>
    <xf numFmtId="3" fontId="8" fillId="0" borderId="0" applyAlignment="1" pivotButton="0" quotePrefix="1" xfId="0">
      <alignment horizontal="right"/>
    </xf>
    <xf numFmtId="173" fontId="8" fillId="0" borderId="0" pivotButton="0" quotePrefix="0" xfId="0"/>
    <xf numFmtId="169" fontId="12" fillId="0" borderId="0" applyAlignment="1" pivotButton="0" quotePrefix="0" xfId="0">
      <alignment horizontal="right" vertical="center"/>
    </xf>
    <xf numFmtId="0" fontId="17" fillId="0" borderId="0" pivotButton="0" quotePrefix="0" xfId="0"/>
    <xf numFmtId="0" fontId="18" fillId="0" borderId="0" pivotButton="0" quotePrefix="0" xfId="0"/>
    <xf numFmtId="0" fontId="19" fillId="0" borderId="4" pivotButton="0" quotePrefix="0" xfId="0"/>
    <xf numFmtId="0" fontId="20" fillId="0" borderId="5" applyAlignment="1" pivotButton="0" quotePrefix="0" xfId="0">
      <alignment horizontal="center"/>
    </xf>
    <xf numFmtId="0" fontId="21" fillId="0" borderId="0" pivotButton="0" quotePrefix="0" xfId="0"/>
    <xf numFmtId="174" fontId="21" fillId="0" borderId="0" pivotButton="0" quotePrefix="0" xfId="0"/>
    <xf numFmtId="174" fontId="22" fillId="0" borderId="0" pivotButton="0" quotePrefix="0" xfId="0"/>
    <xf numFmtId="0" fontId="23" fillId="0" borderId="0" pivotButton="0" quotePrefix="0" xfId="0"/>
    <xf numFmtId="0" fontId="20" fillId="0" borderId="4" pivotButton="0" quotePrefix="0" xfId="0"/>
    <xf numFmtId="174" fontId="20" fillId="0" borderId="4" pivotButton="0" quotePrefix="0" xfId="0"/>
    <xf numFmtId="174" fontId="24" fillId="0" borderId="4" pivotButton="0" quotePrefix="0" xfId="0"/>
    <xf numFmtId="0" fontId="25" fillId="0" borderId="4" pivotButton="0" quotePrefix="0" xfId="0"/>
    <xf numFmtId="175" fontId="21" fillId="0" borderId="0" pivotButton="0" quotePrefix="0" xfId="0"/>
    <xf numFmtId="175" fontId="22" fillId="0" borderId="0" pivotButton="0" quotePrefix="0" xfId="0"/>
    <xf numFmtId="0" fontId="26" fillId="0" borderId="0" applyAlignment="1" pivotButton="0" quotePrefix="0" xfId="0">
      <alignment horizontal="right"/>
    </xf>
    <xf numFmtId="175" fontId="20" fillId="0" borderId="4" pivotButton="0" quotePrefix="0" xfId="0"/>
    <xf numFmtId="175" fontId="24" fillId="0" borderId="4" pivotButton="0" quotePrefix="0" xfId="0"/>
    <xf numFmtId="0" fontId="25" fillId="0" borderId="4" applyAlignment="1" pivotButton="0" quotePrefix="0" xfId="0">
      <alignment horizontal="right"/>
    </xf>
    <xf numFmtId="175" fontId="21" fillId="0" borderId="4" pivotButton="0" quotePrefix="0" xfId="0"/>
    <xf numFmtId="0" fontId="0" fillId="0" borderId="4" pivotButton="0" quotePrefix="0" xfId="0"/>
    <xf numFmtId="0" fontId="18" fillId="0" borderId="4" pivotButton="0" quotePrefix="0" xfId="0"/>
    <xf numFmtId="0" fontId="23" fillId="0" borderId="4" pivotButton="0" quotePrefix="0" xfId="0"/>
    <xf numFmtId="0" fontId="27" fillId="0" borderId="4" pivotButton="0" quotePrefix="0" xfId="0"/>
    <xf numFmtId="0" fontId="0" fillId="0" borderId="6" pivotButton="0" quotePrefix="0" xfId="0"/>
    <xf numFmtId="0" fontId="20" fillId="0" borderId="5" applyAlignment="1" pivotButton="0" quotePrefix="0" xfId="0">
      <alignment horizontal="center" wrapText="1"/>
    </xf>
    <xf numFmtId="174" fontId="21" fillId="0" borderId="4" pivotButton="0" quotePrefix="0" xfId="0"/>
    <xf numFmtId="174" fontId="22" fillId="0" borderId="4" pivotButton="0" quotePrefix="0" xfId="0"/>
    <xf numFmtId="0" fontId="18" fillId="0" borderId="0" applyAlignment="1" pivotButton="0" quotePrefix="0" xfId="0">
      <alignment vertical="top" wrapText="1"/>
    </xf>
    <xf numFmtId="0" fontId="28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28" fillId="0" borderId="4" applyAlignment="1" pivotButton="0" quotePrefix="0" xfId="0">
      <alignment horizontal="center"/>
    </xf>
    <xf numFmtId="0" fontId="29" fillId="0" borderId="4" applyAlignment="1" pivotButton="0" quotePrefix="0" xfId="0">
      <alignment horizontal="center"/>
    </xf>
    <xf numFmtId="0" fontId="20" fillId="0" borderId="0" pivotButton="0" quotePrefix="0" xfId="0"/>
    <xf numFmtId="0" fontId="30" fillId="0" borderId="5" applyAlignment="1" pivotButton="0" quotePrefix="0" xfId="0">
      <alignment horizontal="center"/>
    </xf>
    <xf numFmtId="0" fontId="31" fillId="0" borderId="5" applyAlignment="1" pivotButton="0" quotePrefix="0" xfId="0">
      <alignment horizontal="center"/>
    </xf>
    <xf numFmtId="0" fontId="26" fillId="0" borderId="4" applyAlignment="1" pivotButton="0" quotePrefix="0" xfId="0">
      <alignment horizontal="right"/>
    </xf>
    <xf numFmtId="174" fontId="20" fillId="0" borderId="0" pivotButton="0" quotePrefix="0" xfId="0"/>
    <xf numFmtId="174" fontId="24" fillId="0" borderId="0" pivotButton="0" quotePrefix="0" xfId="0"/>
    <xf numFmtId="0" fontId="21" fillId="0" borderId="4" pivotButton="0" quotePrefix="0" xfId="0"/>
    <xf numFmtId="175" fontId="2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7"/><Relationship Type="http://schemas.openxmlformats.org/officeDocument/2006/relationships/theme" Target="theme/theme1.xml" Id="rId18"/><Relationship Type="http://schemas.openxmlformats.org/officeDocument/2006/relationships/externalLink" Target="/xl/externalLinks/externalLink1.xml" Id="rId1"/></Relationships>
</file>

<file path=xl/externalLinks/_rels/externalLink1.xml.rels><?xml version="1.0" encoding="UTF-8" standalone="yes"?>
<Relationships xmlns="http://schemas.openxmlformats.org/package/2006/relationships"><Relationship Type="http://schemas.openxmlformats.org/officeDocument/2006/relationships/externalLinkPath" Target="../../../../Pl3%20Celsius%20Case%20Study/data/derived/Celsius_SNAP%20Data_GR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le"/>
      <sheetName val="Female"/>
      <sheetName val="Growth by Race"/>
      <sheetName val="SNAP Base Case"/>
      <sheetName val="SNAP Recession"/>
      <sheetName val="TAM &amp; Brand Share"/>
      <sheetName val="Demographic Data"/>
      <sheetName val="National Summary"/>
      <sheetName val="Snap Usage"/>
      <sheetName val="Energy Drink Consumption"/>
      <sheetName val="COVID SNAP Impact"/>
      <sheetName val="SNAP Ban Impact"/>
      <sheetName val="Total Market_Celsius Output"/>
      <sheetName val="GLP-1 Share Impact"/>
      <sheetName val="Cohort Aging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3">
          <cell r="D33">
            <v>113.36679374999999</v>
          </cell>
          <cell r="E33">
            <v>115.23408749999999</v>
          </cell>
          <cell r="F33">
            <v>117.18209999999999</v>
          </cell>
          <cell r="G33">
            <v>119.20544999999998</v>
          </cell>
          <cell r="H33">
            <v>121.31489999999998</v>
          </cell>
        </row>
        <row r="34">
          <cell r="D34">
            <v>21.448251138864567</v>
          </cell>
          <cell r="E34">
            <v>22.038453748142427</v>
          </cell>
          <cell r="F34">
            <v>22.883234775552697</v>
          </cell>
          <cell r="G34">
            <v>23.742292271505907</v>
          </cell>
          <cell r="H34">
            <v>24.619670147589872</v>
          </cell>
        </row>
      </sheetData>
      <sheetData sheetId="12"/>
      <sheetData sheetId="13">
        <row r="22">
          <cell r="C22">
            <v>68.911914840907883</v>
          </cell>
          <cell r="D22">
            <v>82.534532405551772</v>
          </cell>
          <cell r="E22">
            <v>95.991953898519981</v>
          </cell>
          <cell r="F22">
            <v>110.09995327741292</v>
          </cell>
          <cell r="G22">
            <v>124.02447744606826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14" activePane="bottomRight" state="frozen"/>
      <selection pane="topRight" activeCell="A1" sqref="A1"/>
      <selection pane="bottomLeft" activeCell="A1" sqref="A1"/>
      <selection pane="bottomRight" activeCell="A43" sqref="A43"/>
    </sheetView>
  </sheetViews>
  <sheetFormatPr baseColWidth="8" defaultRowHeight="15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G1" sqref="G1"/>
    </sheetView>
  </sheetViews>
  <sheetFormatPr baseColWidth="8" defaultRowHeight="15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-6727</v>
      </c>
      <c r="G15" s="4" t="n">
        <v>-13263</v>
      </c>
      <c r="H15" s="4" t="n">
        <v>-6128</v>
      </c>
      <c r="I15" s="4" t="n">
        <v>-12417</v>
      </c>
      <c r="J15" s="4" t="n">
        <v>-12357</v>
      </c>
      <c r="K15" s="4" t="n">
        <v>-3219</v>
      </c>
      <c r="L15" s="4" t="n">
        <v>-10703</v>
      </c>
      <c r="M15" s="4" t="n">
        <v>-5272</v>
      </c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6">
        <f>G13+G14+G15</f>
        <v/>
      </c>
      <c r="H16" s="6">
        <f>H13+H14+H15</f>
        <v/>
      </c>
      <c r="I16" s="6">
        <f>I13+I14+I15</f>
        <v/>
      </c>
      <c r="J16" s="6">
        <f>J13+J14+J15</f>
        <v/>
      </c>
      <c r="K16" s="6">
        <f>K13+K14+K15</f>
        <v/>
      </c>
      <c r="L16" s="6">
        <f>L13+L14+L15</f>
        <v/>
      </c>
      <c r="M16" s="6">
        <f>M13+M14+M15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13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I2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9">
        <f>'IS DRIVERS'!S10</f>
        <v/>
      </c>
      <c r="S14" s="9">
        <f>'IS DRIVERS'!T10</f>
        <v/>
      </c>
      <c r="T14" s="9">
        <f>'IS DRIVERS'!U10</f>
        <v/>
      </c>
      <c r="U14" s="9">
        <f>'IS DRIVERS'!V10</f>
        <v/>
      </c>
      <c r="V14" s="9">
        <f>'IS DRIVERS'!W10</f>
        <v/>
      </c>
      <c r="W14" s="9">
        <f>'IS DRIVERS'!X10</f>
        <v/>
      </c>
      <c r="X14" s="9">
        <f>'IS DRIVERS'!Y10</f>
        <v/>
      </c>
      <c r="Y14" s="9">
        <f>'IS DRIVERS'!Z10</f>
        <v/>
      </c>
      <c r="Z14" s="9">
        <f>'IS DRIVERS'!AA10</f>
        <v/>
      </c>
      <c r="AA14" s="9">
        <f>'IS DRIVERS'!AB10</f>
        <v/>
      </c>
      <c r="AB14" s="9">
        <f>'IS DRIVERS'!AC10</f>
        <v/>
      </c>
      <c r="AC14" s="9">
        <f>'IS DRIVERS'!AD10</f>
        <v/>
      </c>
      <c r="AD14" s="9">
        <f>'IS DRIVERS'!AE10</f>
        <v/>
      </c>
      <c r="AE14" s="9">
        <f>'IS DRIVERS'!AF10</f>
        <v/>
      </c>
      <c r="AF14" s="9">
        <f>'IS DRIVERS'!AG10</f>
        <v/>
      </c>
      <c r="AG14" s="9">
        <f>'IS DRIVERS'!AH10</f>
        <v/>
      </c>
      <c r="AH14" s="9">
        <f>'IS DRIVERS'!AI10</f>
        <v/>
      </c>
      <c r="AI14" s="9">
        <f>'IS DRIVERS'!AJ10</f>
        <v/>
      </c>
      <c r="AJ14" s="9">
        <f>'IS DRIVERS'!AK10</f>
        <v/>
      </c>
      <c r="AK14" s="9">
        <f>'IS DRIVERS'!AL10</f>
        <v/>
      </c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9">
        <f>'IS DRIVERS'!S11</f>
        <v/>
      </c>
      <c r="S15" s="9">
        <f>'IS DRIVERS'!T11</f>
        <v/>
      </c>
      <c r="T15" s="9">
        <f>'IS DRIVERS'!U11</f>
        <v/>
      </c>
      <c r="U15" s="9">
        <f>'IS DRIVERS'!V11</f>
        <v/>
      </c>
      <c r="V15" s="9">
        <f>'IS DRIVERS'!W11</f>
        <v/>
      </c>
      <c r="W15" s="9">
        <f>'IS DRIVERS'!X11</f>
        <v/>
      </c>
      <c r="X15" s="9">
        <f>'IS DRIVERS'!Y11</f>
        <v/>
      </c>
      <c r="Y15" s="9">
        <f>'IS DRIVERS'!Z11</f>
        <v/>
      </c>
      <c r="Z15" s="9">
        <f>'IS DRIVERS'!AA11</f>
        <v/>
      </c>
      <c r="AA15" s="9">
        <f>'IS DRIVERS'!AB11</f>
        <v/>
      </c>
      <c r="AB15" s="9">
        <f>'IS DRIVERS'!AC11</f>
        <v/>
      </c>
      <c r="AC15" s="9">
        <f>'IS DRIVERS'!AD11</f>
        <v/>
      </c>
      <c r="AD15" s="9">
        <f>'IS DRIVERS'!AE11</f>
        <v/>
      </c>
      <c r="AE15" s="9">
        <f>'IS DRIVERS'!AF11</f>
        <v/>
      </c>
      <c r="AF15" s="9">
        <f>'IS DRIVERS'!AG11</f>
        <v/>
      </c>
      <c r="AG15" s="9">
        <f>'IS DRIVERS'!AH11</f>
        <v/>
      </c>
      <c r="AH15" s="9">
        <f>'IS DRIVERS'!AI11</f>
        <v/>
      </c>
      <c r="AI15" s="9">
        <f>'IS DRIVERS'!AJ11</f>
        <v/>
      </c>
      <c r="AJ15" s="9">
        <f>'IS DRIVERS'!AK11</f>
        <v/>
      </c>
      <c r="AK15" s="9">
        <f>'IS DRIVERS'!AL11</f>
        <v/>
      </c>
    </row>
    <row r="16">
      <c r="A16" s="3" t="inlineStr">
        <is>
          <t>Net Income (Loss) Attributable to Common Shareholders</t>
        </is>
      </c>
      <c r="B16" s="6">
        <f>'YTD P&amp;L'!B16</f>
        <v/>
      </c>
      <c r="C16" s="6">
        <f>'YTD P&amp;L'!C16-'YTD P&amp;L'!B16</f>
        <v/>
      </c>
      <c r="D16" s="6">
        <f>'YTD P&amp;L'!D16-'YTD P&amp;L'!C16</f>
        <v/>
      </c>
      <c r="E16" s="6">
        <f>'ANNL P&amp;L'!C16-'YTD P&amp;L'!D16</f>
        <v/>
      </c>
      <c r="F16" s="6">
        <f>'YTD P&amp;L'!E16</f>
        <v/>
      </c>
      <c r="G16" s="6">
        <f>'YTD P&amp;L'!F16-'YTD P&amp;L'!E16</f>
        <v/>
      </c>
      <c r="H16" s="6">
        <f>'YTD P&amp;L'!G16-'YTD P&amp;L'!F16</f>
        <v/>
      </c>
      <c r="I16" s="6">
        <f>'ANNL P&amp;L'!D16-'YTD P&amp;L'!G16</f>
        <v/>
      </c>
      <c r="J16" s="6">
        <f>'YTD P&amp;L'!H16</f>
        <v/>
      </c>
      <c r="K16" s="6">
        <f>'YTD P&amp;L'!I16-'YTD P&amp;L'!H16</f>
        <v/>
      </c>
      <c r="L16" s="6">
        <f>'YTD P&amp;L'!J16-'YTD P&amp;L'!I16</f>
        <v/>
      </c>
      <c r="M16" s="6">
        <f>'ANNL P&amp;L'!E16-'YTD P&amp;L'!J16</f>
        <v/>
      </c>
      <c r="N16" s="6">
        <f>'YTD P&amp;L'!K16</f>
        <v/>
      </c>
      <c r="O16" s="6">
        <f>'YTD P&amp;L'!L16-'YTD P&amp;L'!K16</f>
        <v/>
      </c>
      <c r="P16" s="6">
        <f>'YTD P&amp;L'!M16-'YTD P&amp;L'!L16</f>
        <v/>
      </c>
      <c r="Q16" s="6">
        <f>'ANNL P&amp;L'!F16-'YTD P&amp;L'!M16</f>
        <v/>
      </c>
      <c r="R16" s="7">
        <f>R13+R14+R15</f>
        <v/>
      </c>
      <c r="S16" s="7">
        <f>S13+S14+S15</f>
        <v/>
      </c>
      <c r="T16" s="7">
        <f>T13+T14+T15</f>
        <v/>
      </c>
      <c r="U16" s="7">
        <f>U13+U14+U15</f>
        <v/>
      </c>
      <c r="V16" s="7">
        <f>V13+V14+V15</f>
        <v/>
      </c>
      <c r="W16" s="7">
        <f>W13+W14+W15</f>
        <v/>
      </c>
      <c r="X16" s="7">
        <f>X13+X14+X15</f>
        <v/>
      </c>
      <c r="Y16" s="7">
        <f>Y13+Y14+Y15</f>
        <v/>
      </c>
      <c r="Z16" s="7">
        <f>Z13+Z14+Z15</f>
        <v/>
      </c>
      <c r="AA16" s="7">
        <f>AA13+AA14+AA15</f>
        <v/>
      </c>
      <c r="AB16" s="7">
        <f>AB13+AB14+AB15</f>
        <v/>
      </c>
      <c r="AC16" s="7">
        <f>AC13+AC14+AC15</f>
        <v/>
      </c>
      <c r="AD16" s="7">
        <f>AD13+AD14+AD15</f>
        <v/>
      </c>
      <c r="AE16" s="7">
        <f>AE13+AE14+AE15</f>
        <v/>
      </c>
      <c r="AF16" s="7">
        <f>AF13+AF14+AF15</f>
        <v/>
      </c>
      <c r="AG16" s="7">
        <f>AG13+AG14+AG15</f>
        <v/>
      </c>
      <c r="AH16" s="7">
        <f>AH13+AH14+AH15</f>
        <v/>
      </c>
      <c r="AI16" s="7">
        <f>AI13+AI14+AI15</f>
        <v/>
      </c>
      <c r="AJ16" s="7">
        <f>AJ13+AJ14+AJ15</f>
        <v/>
      </c>
      <c r="AK16" s="7">
        <f>AK13+AK14+AK15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H14" activePane="bottomRight" state="frozen"/>
      <selection pane="topRight" activeCell="A1" sqref="A1"/>
      <selection pane="bottomLeft" activeCell="A1" sqref="A1"/>
      <selection pane="bottomRight" activeCell="O43" sqref="O43"/>
    </sheetView>
  </sheetViews>
  <sheetFormatPr baseColWidth="8" defaultRowHeight="15"/>
  <cols>
    <col width="42" customWidth="1" min="1" max="1"/>
    <col width="13" customWidth="1" min="2" max="34"/>
  </cols>
  <sheetData>
    <row r="1">
      <c r="A1" s="1" t="n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G11" activePane="bottomRight" state="frozen"/>
      <selection pane="topRight" activeCell="A1" sqref="A1"/>
      <selection pane="bottomLeft" activeCell="A1" sqref="A1"/>
      <selection pane="bottomRight" activeCell="R44" sqref="R44"/>
    </sheetView>
  </sheetViews>
  <sheetFormatPr baseColWidth="8" defaultRowHeight="15"/>
  <cols>
    <col width="42" customWidth="1" min="1" max="1"/>
    <col width="13" customWidth="1" min="2" max="37"/>
  </cols>
  <sheetData>
    <row r="1">
      <c r="A1" s="1" t="n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workbookViewId="0">
      <pane xSplit="2" ySplit="1" topLeftCell="I2" activePane="bottomRight" state="frozen"/>
      <selection pane="topRight" activeCell="A1" sqref="A1"/>
      <selection pane="bottomLeft" activeCell="A1" sqref="A1"/>
      <selection pane="bottomRight" activeCell="S10" sqref="S10"/>
    </sheetView>
  </sheetViews>
  <sheetFormatPr baseColWidth="8" defaultRowHeight="15"/>
  <cols>
    <col width="49.140625" bestFit="1" customWidth="1" min="1" max="1"/>
    <col width="8" customWidth="1" min="2" max="2"/>
    <col width="13" customWidth="1" min="3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'Revenue Driver'!$H$14/4</f>
        <v/>
      </c>
      <c r="T2" s="12">
        <f>'Revenue Driver'!$H$14/4</f>
        <v/>
      </c>
      <c r="U2" s="12">
        <f>'Revenue Driver'!$H$14/4</f>
        <v/>
      </c>
      <c r="V2" s="12">
        <f>'Revenue Driver'!$H$14/4</f>
        <v/>
      </c>
      <c r="W2" s="12">
        <f>'Revenue Driver'!$I$14/4</f>
        <v/>
      </c>
      <c r="X2" s="12">
        <f>'Revenue Driver'!$I$14/4</f>
        <v/>
      </c>
      <c r="Y2" s="12">
        <f>'Revenue Driver'!$I$14/4</f>
        <v/>
      </c>
      <c r="Z2" s="12">
        <f>'Revenue Driver'!$I$14/4</f>
        <v/>
      </c>
      <c r="AA2" s="12">
        <f>'Revenue Driver'!$J$14/4</f>
        <v/>
      </c>
      <c r="AB2" s="12">
        <f>'Revenue Driver'!$J$14/4</f>
        <v/>
      </c>
      <c r="AC2" s="12">
        <f>'Revenue Driver'!$J$14/4</f>
        <v/>
      </c>
      <c r="AD2" s="12">
        <f>'Revenue Driver'!$J$14/4</f>
        <v/>
      </c>
      <c r="AE2" s="12">
        <f>'Revenue Driver'!$K$14/4</f>
        <v/>
      </c>
      <c r="AF2" s="12">
        <f>'Revenue Driver'!$K$14/4</f>
        <v/>
      </c>
      <c r="AG2" s="12">
        <f>'Revenue Driver'!$K$14/4</f>
        <v/>
      </c>
      <c r="AH2" s="12">
        <f>'Revenue Driver'!$K$14/4</f>
        <v/>
      </c>
      <c r="AI2" s="12">
        <f>'Revenue Driver'!$L$14/4</f>
        <v/>
      </c>
      <c r="AJ2" s="12">
        <f>'Revenue Driver'!$L$14/4</f>
        <v/>
      </c>
      <c r="AK2" s="12">
        <f>'Revenue Driver'!$L$14/4</f>
        <v/>
      </c>
      <c r="AL2" s="12">
        <f>'Revenue Driver'!$L$14/4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S3</f>
        <v/>
      </c>
      <c r="U3" s="12">
        <f>T3</f>
        <v/>
      </c>
      <c r="V3" s="12">
        <f>U3</f>
        <v/>
      </c>
      <c r="W3" s="12">
        <f>V3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S4</f>
        <v/>
      </c>
      <c r="U4" s="12">
        <f>T4</f>
        <v/>
      </c>
      <c r="V4" s="12">
        <f>U4</f>
        <v/>
      </c>
      <c r="W4" s="12">
        <f>V4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S6</f>
        <v/>
      </c>
      <c r="U6" s="13">
        <f>T6</f>
        <v/>
      </c>
      <c r="V6" s="13">
        <f>U6</f>
        <v/>
      </c>
      <c r="W6" s="13">
        <f>V6</f>
        <v/>
      </c>
      <c r="X6" s="13">
        <f>W6</f>
        <v/>
      </c>
      <c r="Y6" s="13">
        <f>X6</f>
        <v/>
      </c>
      <c r="Z6" s="13">
        <f>Y6</f>
        <v/>
      </c>
      <c r="AA6" s="13">
        <f>Z6</f>
        <v/>
      </c>
      <c r="AB6" s="13">
        <f>AA6</f>
        <v/>
      </c>
      <c r="AC6" s="13">
        <f>AB6</f>
        <v/>
      </c>
      <c r="AD6" s="13">
        <f>AC6</f>
        <v/>
      </c>
      <c r="AE6" s="13">
        <f>AD6</f>
        <v/>
      </c>
      <c r="AF6" s="13">
        <f>AE6</f>
        <v/>
      </c>
      <c r="AG6" s="13">
        <f>AF6</f>
        <v/>
      </c>
      <c r="AH6" s="13">
        <f>AG6</f>
        <v/>
      </c>
      <c r="AI6" s="13">
        <f>AH6</f>
        <v/>
      </c>
      <c r="AJ6" s="13">
        <f>AI6</f>
        <v/>
      </c>
      <c r="AK6" s="13">
        <f>AJ6</f>
        <v/>
      </c>
      <c r="AL6" s="13">
        <f>AK6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S7</f>
        <v/>
      </c>
      <c r="U7" s="13">
        <f>T7</f>
        <v/>
      </c>
      <c r="V7" s="13">
        <f>U7</f>
        <v/>
      </c>
      <c r="W7" s="13">
        <f>V7</f>
        <v/>
      </c>
      <c r="X7" s="13">
        <f>W7</f>
        <v/>
      </c>
      <c r="Y7" s="13">
        <f>X7</f>
        <v/>
      </c>
      <c r="Z7" s="13">
        <f>Y7</f>
        <v/>
      </c>
      <c r="AA7" s="13">
        <f>Z7</f>
        <v/>
      </c>
      <c r="AB7" s="13">
        <f>AA7</f>
        <v/>
      </c>
      <c r="AC7" s="13">
        <f>AB7</f>
        <v/>
      </c>
      <c r="AD7" s="13">
        <f>AC7</f>
        <v/>
      </c>
      <c r="AE7" s="13">
        <f>AD7</f>
        <v/>
      </c>
      <c r="AF7" s="13">
        <f>AE7</f>
        <v/>
      </c>
      <c r="AG7" s="13">
        <f>AF7</f>
        <v/>
      </c>
      <c r="AH7" s="13">
        <f>AG7</f>
        <v/>
      </c>
      <c r="AI7" s="13">
        <f>AH7</f>
        <v/>
      </c>
      <c r="AJ7" s="13">
        <f>AI7</f>
        <v/>
      </c>
      <c r="AK7" s="13">
        <f>AJ7</f>
        <v/>
      </c>
      <c r="AL7" s="13">
        <f>AK7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S8</f>
        <v/>
      </c>
      <c r="U8" s="13">
        <f>T8</f>
        <v/>
      </c>
      <c r="V8" s="13">
        <f>U8</f>
        <v/>
      </c>
      <c r="W8" s="13">
        <f>V8</f>
        <v/>
      </c>
      <c r="X8" s="13">
        <f>W8</f>
        <v/>
      </c>
      <c r="Y8" s="13">
        <f>X8</f>
        <v/>
      </c>
      <c r="Z8" s="13">
        <f>Y8</f>
        <v/>
      </c>
      <c r="AA8" s="13">
        <f>Z8</f>
        <v/>
      </c>
      <c r="AB8" s="13">
        <f>AA8</f>
        <v/>
      </c>
      <c r="AC8" s="13">
        <f>AB8</f>
        <v/>
      </c>
      <c r="AD8" s="13">
        <f>AC8</f>
        <v/>
      </c>
      <c r="AE8" s="13">
        <f>AD8</f>
        <v/>
      </c>
      <c r="AF8" s="13">
        <f>AE8</f>
        <v/>
      </c>
      <c r="AG8" s="13">
        <f>AF8</f>
        <v/>
      </c>
      <c r="AH8" s="13">
        <f>AG8</f>
        <v/>
      </c>
      <c r="AI8" s="13">
        <f>AH8</f>
        <v/>
      </c>
      <c r="AJ8" s="13">
        <f>AI8</f>
        <v/>
      </c>
      <c r="AK8" s="13">
        <f>AJ8</f>
        <v/>
      </c>
      <c r="AL8" s="13">
        <f>AK8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  <c r="AI9" s="12">
        <f>AH9</f>
        <v/>
      </c>
      <c r="AJ9" s="12">
        <f>AI9</f>
        <v/>
      </c>
      <c r="AK9" s="12">
        <f>AJ9</f>
        <v/>
      </c>
      <c r="AL9" s="12">
        <f>AK9</f>
        <v/>
      </c>
    </row>
    <row r="10">
      <c r="A10" s="3" t="inlineStr">
        <is>
          <t>Preferred Dividends</t>
        </is>
      </c>
      <c r="S10" s="4">
        <f>'QTR CF'!R44</f>
        <v/>
      </c>
      <c r="T10" s="4">
        <f>'QTR CF'!S44</f>
        <v/>
      </c>
      <c r="U10" s="4">
        <f>'QTR CF'!T44</f>
        <v/>
      </c>
      <c r="V10" s="4">
        <f>'QTR CF'!U44</f>
        <v/>
      </c>
      <c r="W10" s="4">
        <f>'QTR CF'!V44</f>
        <v/>
      </c>
      <c r="X10" s="4">
        <f>'QTR CF'!W44</f>
        <v/>
      </c>
      <c r="Y10" s="4">
        <f>'QTR CF'!X44</f>
        <v/>
      </c>
      <c r="Z10" s="4">
        <f>'QTR CF'!Y44</f>
        <v/>
      </c>
      <c r="AA10" s="4">
        <f>'QTR CF'!Z44</f>
        <v/>
      </c>
      <c r="AB10" s="4">
        <f>'QTR CF'!AA44</f>
        <v/>
      </c>
      <c r="AC10" s="4">
        <f>'QTR CF'!AB44</f>
        <v/>
      </c>
      <c r="AD10" s="4">
        <f>'QTR CF'!AC44</f>
        <v/>
      </c>
      <c r="AE10" s="4">
        <f>'QTR CF'!AD44</f>
        <v/>
      </c>
      <c r="AF10" s="4">
        <f>'QTR CF'!AE44</f>
        <v/>
      </c>
      <c r="AG10" s="4">
        <f>'QTR CF'!AF44</f>
        <v/>
      </c>
      <c r="AH10" s="4">
        <f>'QTR CF'!AG44</f>
        <v/>
      </c>
      <c r="AI10" s="4">
        <f>'QTR CF'!AH44</f>
        <v/>
      </c>
      <c r="AJ10" s="4">
        <f>'QTR CF'!AI44</f>
        <v/>
      </c>
      <c r="AK10" s="4">
        <f>'QTR CF'!AJ44</f>
        <v/>
      </c>
      <c r="AL10" s="4">
        <f>'QTR CF'!AK44</f>
        <v/>
      </c>
    </row>
    <row r="11">
      <c r="A11" s="3" t="inlineStr">
        <is>
          <t>Income Allocated to Participating Preferred</t>
        </is>
      </c>
      <c r="C11" s="4">
        <f>'QTR P&amp;L'!B15</f>
        <v/>
      </c>
      <c r="D11" s="4">
        <f>'QTR P&amp;L'!C15</f>
        <v/>
      </c>
      <c r="E11" s="4">
        <f>'QTR P&amp;L'!D15</f>
        <v/>
      </c>
      <c r="F11" s="4">
        <f>'QTR P&amp;L'!E15</f>
        <v/>
      </c>
      <c r="G11" s="4">
        <f>'QTR P&amp;L'!F15</f>
        <v/>
      </c>
      <c r="H11" s="4">
        <f>'QTR P&amp;L'!G15</f>
        <v/>
      </c>
      <c r="I11" s="4">
        <f>'QTR P&amp;L'!H15</f>
        <v/>
      </c>
      <c r="J11" s="4">
        <f>'QTR P&amp;L'!I15</f>
        <v/>
      </c>
      <c r="K11" s="4">
        <f>'QTR P&amp;L'!J15</f>
        <v/>
      </c>
      <c r="L11" s="4">
        <f>'QTR P&amp;L'!K15</f>
        <v/>
      </c>
      <c r="M11" s="4">
        <f>'QTR P&amp;L'!L15</f>
        <v/>
      </c>
      <c r="N11" s="4">
        <f>'QTR P&amp;L'!M15</f>
        <v/>
      </c>
      <c r="O11" s="4">
        <f>'QTR P&amp;L'!N15</f>
        <v/>
      </c>
      <c r="P11" s="4">
        <f>'QTR P&amp;L'!O15</f>
        <v/>
      </c>
      <c r="Q11" s="4">
        <f>'QTR P&amp;L'!P15</f>
        <v/>
      </c>
      <c r="R11" s="4">
        <f>'QTR P&amp;L'!Q15</f>
        <v/>
      </c>
      <c r="S11" s="13">
        <f>R11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</row>
    <row r="20">
      <c r="A20" t="inlineStr">
        <is>
          <t>Put all comments and drivers for Income statement into attached sheet. Use quantitative and qualitative calcs to drive drivers</t>
        </is>
      </c>
    </row>
    <row r="21">
      <c r="A21" t="inlineStr">
        <is>
          <t>Pull quarterly and YTD breakdowns for SG&amp;A from MD&amp;A from financials</t>
        </is>
      </c>
    </row>
    <row r="22">
      <c r="A22" t="inlineStr">
        <is>
          <t>Report primarily by segment and geography</t>
        </is>
      </c>
    </row>
    <row r="23">
      <c r="A23" t="inlineStr">
        <is>
          <t>10k, 10q and press release</t>
        </is>
      </c>
    </row>
    <row r="24">
      <c r="A24" t="inlineStr">
        <is>
          <t>Build out sales bridge by region and then by segment</t>
        </is>
      </c>
    </row>
    <row r="25">
      <c r="A25" t="inlineStr">
        <is>
          <t xml:space="preserve">Structure IS top down tab by region themselves. </t>
        </is>
      </c>
    </row>
    <row r="26">
      <c r="A26" t="inlineStr">
        <is>
          <t>Look at unit economics information if possible (SG&amp;A bridge).</t>
        </is>
      </c>
    </row>
    <row r="27">
      <c r="A27" t="inlineStr">
        <is>
          <t>Read GB twitter post on Notion (pt 4)</t>
        </is>
      </c>
    </row>
  </sheetData>
  <dataValidations disablePrompts="1"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O2" sqref="O2"/>
    </sheetView>
  </sheetViews>
  <sheetFormatPr baseColWidth="8" defaultRowHeight="15"/>
  <cols>
    <col width="38" customWidth="1" min="1" max="1"/>
    <col width="13" customWidth="1" min="2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O3</f>
        <v/>
      </c>
      <c r="Q3" s="13">
        <f>P3</f>
        <v/>
      </c>
      <c r="R3" s="13">
        <f>Q3</f>
        <v/>
      </c>
      <c r="S3" s="13">
        <f>R3</f>
        <v/>
      </c>
      <c r="T3" s="13">
        <f>S3</f>
        <v/>
      </c>
      <c r="U3" s="13">
        <f>T3</f>
        <v/>
      </c>
      <c r="V3" s="13">
        <f>U3</f>
        <v/>
      </c>
      <c r="W3" s="13">
        <f>V3</f>
        <v/>
      </c>
      <c r="X3" s="13">
        <f>W3</f>
        <v/>
      </c>
      <c r="Y3" s="13">
        <f>X3</f>
        <v/>
      </c>
      <c r="Z3" s="13">
        <f>Y3</f>
        <v/>
      </c>
      <c r="AA3" s="13">
        <f>Z3</f>
        <v/>
      </c>
      <c r="AB3" s="13">
        <f>AA3</f>
        <v/>
      </c>
      <c r="AC3" s="13">
        <f>AB3</f>
        <v/>
      </c>
      <c r="AD3" s="13">
        <f>AC3</f>
        <v/>
      </c>
      <c r="AE3" s="13">
        <f>AD3</f>
        <v/>
      </c>
      <c r="AF3" s="13">
        <f>AE3</f>
        <v/>
      </c>
      <c r="AG3" s="13">
        <f>AF3</f>
        <v/>
      </c>
      <c r="AH3" s="13">
        <f>AG3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 t="n">
        <v>75</v>
      </c>
      <c r="P4" s="15">
        <f>O4</f>
        <v/>
      </c>
      <c r="Q4" s="15">
        <f>P4</f>
        <v/>
      </c>
      <c r="R4" s="15">
        <f>Q4</f>
        <v/>
      </c>
      <c r="S4" s="15">
        <f>R4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O5</f>
        <v/>
      </c>
      <c r="Q5" s="15">
        <f>P5</f>
        <v/>
      </c>
      <c r="R5" s="15">
        <f>Q5</f>
        <v/>
      </c>
      <c r="S5" s="15">
        <f>R5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O6</f>
        <v/>
      </c>
      <c r="Q6" s="15">
        <f>P6</f>
        <v/>
      </c>
      <c r="R6" s="15">
        <f>Q6</f>
        <v/>
      </c>
      <c r="S6" s="15">
        <f>R6</f>
        <v/>
      </c>
      <c r="T6" s="15">
        <f>S6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O7</f>
        <v/>
      </c>
      <c r="Q7" s="12">
        <f>P7</f>
        <v/>
      </c>
      <c r="R7" s="12">
        <f>Q7</f>
        <v/>
      </c>
      <c r="S7" s="12">
        <f>R7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O8</f>
        <v/>
      </c>
      <c r="Q8" s="12">
        <f>P8</f>
        <v/>
      </c>
      <c r="R8" s="12">
        <f>Q8</f>
        <v/>
      </c>
      <c r="S8" s="12">
        <f>R8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O9</f>
        <v/>
      </c>
      <c r="Q9" s="12">
        <f>P9</f>
        <v/>
      </c>
      <c r="R9" s="12">
        <f>Q9</f>
        <v/>
      </c>
      <c r="S9" s="12">
        <f>R9</f>
        <v/>
      </c>
      <c r="T9" s="12">
        <f>S9</f>
        <v/>
      </c>
      <c r="U9" s="12">
        <f>T9</f>
        <v/>
      </c>
      <c r="V9" s="12">
        <f>U9</f>
        <v/>
      </c>
      <c r="W9" s="12">
        <f>V9</f>
        <v/>
      </c>
      <c r="X9" s="12">
        <f>W9</f>
        <v/>
      </c>
      <c r="Y9" s="12">
        <f>X9</f>
        <v/>
      </c>
      <c r="Z9" s="12">
        <f>Y9</f>
        <v/>
      </c>
      <c r="AA9" s="12">
        <f>Z9</f>
        <v/>
      </c>
      <c r="AB9" s="12">
        <f>AA9</f>
        <v/>
      </c>
      <c r="AC9" s="12">
        <f>AB9</f>
        <v/>
      </c>
      <c r="AD9" s="12">
        <f>AC9</f>
        <v/>
      </c>
      <c r="AE9" s="12">
        <f>AD9</f>
        <v/>
      </c>
      <c r="AF9" s="12">
        <f>AE9</f>
        <v/>
      </c>
      <c r="AG9" s="12">
        <f>AF9</f>
        <v/>
      </c>
      <c r="AH9" s="12">
        <f>AG9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O11</f>
        <v/>
      </c>
      <c r="Q11" s="12">
        <f>P11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O12</f>
        <v/>
      </c>
      <c r="Q12" s="13">
        <f>P12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O13</f>
        <v/>
      </c>
      <c r="Q13" s="13">
        <f>P13</f>
        <v/>
      </c>
      <c r="R13" s="13">
        <f>Q13</f>
        <v/>
      </c>
      <c r="S13" s="13">
        <f>R13</f>
        <v/>
      </c>
      <c r="T13" s="13">
        <f>S13</f>
        <v/>
      </c>
      <c r="U13" s="13">
        <f>T13</f>
        <v/>
      </c>
      <c r="V13" s="13">
        <f>U13</f>
        <v/>
      </c>
      <c r="W13" s="13">
        <f>V13</f>
        <v/>
      </c>
      <c r="X13" s="13">
        <f>W13</f>
        <v/>
      </c>
      <c r="Y13" s="13">
        <f>X13</f>
        <v/>
      </c>
      <c r="Z13" s="13">
        <f>Y13</f>
        <v/>
      </c>
      <c r="AA13" s="13">
        <f>Z13</f>
        <v/>
      </c>
      <c r="AB13" s="13">
        <f>AA13</f>
        <v/>
      </c>
      <c r="AC13" s="13">
        <f>AB13</f>
        <v/>
      </c>
      <c r="AD13" s="13">
        <f>AC13</f>
        <v/>
      </c>
      <c r="AE13" s="13">
        <f>AD13</f>
        <v/>
      </c>
      <c r="AF13" s="13">
        <f>AE13</f>
        <v/>
      </c>
      <c r="AG13" s="13">
        <f>AF13</f>
        <v/>
      </c>
      <c r="AH13" s="13">
        <f>AG13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O14</f>
        <v/>
      </c>
      <c r="Q14" s="12">
        <f>P14</f>
        <v/>
      </c>
      <c r="R14" s="12">
        <f>Q14</f>
        <v/>
      </c>
      <c r="S14" s="12">
        <f>R14</f>
        <v/>
      </c>
      <c r="T14" s="12">
        <f>S14</f>
        <v/>
      </c>
      <c r="U14" s="12">
        <f>T14</f>
        <v/>
      </c>
      <c r="V14" s="12">
        <f>U14</f>
        <v/>
      </c>
      <c r="W14" s="12">
        <f>V14</f>
        <v/>
      </c>
      <c r="X14" s="12">
        <f>W14</f>
        <v/>
      </c>
      <c r="Y14" s="12">
        <f>X14</f>
        <v/>
      </c>
      <c r="Z14" s="12">
        <f>Y14</f>
        <v/>
      </c>
      <c r="AA14" s="12">
        <f>Z14</f>
        <v/>
      </c>
      <c r="AB14" s="12">
        <f>AA14</f>
        <v/>
      </c>
      <c r="AC14" s="12">
        <f>AB14</f>
        <v/>
      </c>
      <c r="AD14" s="12">
        <f>AC14</f>
        <v/>
      </c>
      <c r="AE14" s="12">
        <f>AD14</f>
        <v/>
      </c>
      <c r="AF14" s="12">
        <f>AE14</f>
        <v/>
      </c>
      <c r="AG14" s="12">
        <f>AF14</f>
        <v/>
      </c>
      <c r="AH14" s="12">
        <f>AG14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O16</f>
        <v/>
      </c>
      <c r="Q16" s="12">
        <f>P16</f>
        <v/>
      </c>
      <c r="R16" s="12">
        <f>Q16</f>
        <v/>
      </c>
      <c r="S16" s="12">
        <f>R16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O17</f>
        <v/>
      </c>
      <c r="Q17" s="12">
        <f>P17</f>
        <v/>
      </c>
      <c r="R17" s="12">
        <f>Q17</f>
        <v/>
      </c>
      <c r="S17" s="12">
        <f>R17</f>
        <v/>
      </c>
      <c r="T17" s="12">
        <f>S17</f>
        <v/>
      </c>
      <c r="U17" s="12">
        <f>T17</f>
        <v/>
      </c>
      <c r="V17" s="12">
        <f>U17</f>
        <v/>
      </c>
      <c r="W17" s="12">
        <f>V17</f>
        <v/>
      </c>
      <c r="X17" s="12">
        <f>W17</f>
        <v/>
      </c>
      <c r="Y17" s="12">
        <f>X17</f>
        <v/>
      </c>
      <c r="Z17" s="12">
        <f>Y17</f>
        <v/>
      </c>
      <c r="AA17" s="12">
        <f>Z17</f>
        <v/>
      </c>
      <c r="AB17" s="12">
        <f>AA17</f>
        <v/>
      </c>
      <c r="AC17" s="12">
        <f>AB17</f>
        <v/>
      </c>
      <c r="AD17" s="12">
        <f>AC17</f>
        <v/>
      </c>
      <c r="AE17" s="12">
        <f>AD17</f>
        <v/>
      </c>
      <c r="AF17" s="12">
        <f>AE17</f>
        <v/>
      </c>
      <c r="AG17" s="12">
        <f>AF17</f>
        <v/>
      </c>
      <c r="AH17" s="12">
        <f>AG17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O19</f>
        <v/>
      </c>
      <c r="Q19" s="12">
        <f>P19</f>
        <v/>
      </c>
      <c r="R19" s="12">
        <f>Q19</f>
        <v/>
      </c>
      <c r="S19" s="12">
        <f>R19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O20</f>
        <v/>
      </c>
      <c r="Q20" s="12">
        <f>P20</f>
        <v/>
      </c>
      <c r="R20" s="12">
        <f>Q20</f>
        <v/>
      </c>
      <c r="S20" s="12">
        <f>R20</f>
        <v/>
      </c>
      <c r="T20" s="12">
        <f>S20</f>
        <v/>
      </c>
      <c r="U20" s="12">
        <f>T20</f>
        <v/>
      </c>
      <c r="V20" s="12">
        <f>U20</f>
        <v/>
      </c>
      <c r="W20" s="12">
        <f>V20</f>
        <v/>
      </c>
      <c r="X20" s="12">
        <f>W20</f>
        <v/>
      </c>
      <c r="Y20" s="12">
        <f>X20</f>
        <v/>
      </c>
      <c r="Z20" s="12">
        <f>Y20</f>
        <v/>
      </c>
      <c r="AA20" s="12">
        <f>Z20</f>
        <v/>
      </c>
      <c r="AB20" s="12">
        <f>AA20</f>
        <v/>
      </c>
      <c r="AC20" s="12">
        <f>AB20</f>
        <v/>
      </c>
      <c r="AD20" s="12">
        <f>AC20</f>
        <v/>
      </c>
      <c r="AE20" s="12">
        <f>AD20</f>
        <v/>
      </c>
      <c r="AF20" s="12">
        <f>AE20</f>
        <v/>
      </c>
      <c r="AG20" s="12">
        <f>AF20</f>
        <v/>
      </c>
      <c r="AH20" s="12">
        <f>AG20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 t="n">
        <v>0.3</v>
      </c>
      <c r="P22" s="12">
        <f>O22</f>
        <v/>
      </c>
      <c r="Q22" s="12">
        <f>P22</f>
        <v/>
      </c>
      <c r="R22" s="12">
        <f>Q22</f>
        <v/>
      </c>
      <c r="S22" s="12">
        <f>R22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O23</f>
        <v/>
      </c>
      <c r="Q23" s="12">
        <f>P23</f>
        <v/>
      </c>
      <c r="R23" s="12">
        <f>Q23</f>
        <v/>
      </c>
      <c r="S23" s="12">
        <f>R23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O25</f>
        <v/>
      </c>
      <c r="Q25" s="12">
        <f>P25</f>
        <v/>
      </c>
      <c r="R25" s="12">
        <f>Q25</f>
        <v/>
      </c>
      <c r="S25" s="12">
        <f>R25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O26</f>
        <v/>
      </c>
      <c r="Q26" s="12">
        <f>P26</f>
        <v/>
      </c>
      <c r="R26" s="12">
        <f>Q26</f>
        <v/>
      </c>
      <c r="S26" s="12">
        <f>R26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O27</f>
        <v/>
      </c>
      <c r="Q27" s="12">
        <f>P27</f>
        <v/>
      </c>
      <c r="R27" s="12">
        <f>Q27</f>
        <v/>
      </c>
      <c r="S27" s="12">
        <f>R27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O28</f>
        <v/>
      </c>
      <c r="Q28" s="12">
        <f>P28</f>
        <v/>
      </c>
      <c r="R28" s="12">
        <f>Q28</f>
        <v/>
      </c>
      <c r="S28" s="12">
        <f>R28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O29</f>
        <v/>
      </c>
      <c r="Q29" s="12">
        <f>P29</f>
        <v/>
      </c>
      <c r="R29" s="12">
        <f>Q29</f>
        <v/>
      </c>
      <c r="S29" s="12">
        <f>R29</f>
        <v/>
      </c>
      <c r="T29" s="12">
        <f>S29</f>
        <v/>
      </c>
      <c r="U29" s="12">
        <f>T29</f>
        <v/>
      </c>
      <c r="V29" s="12">
        <f>U29</f>
        <v/>
      </c>
      <c r="W29" s="12">
        <f>V29</f>
        <v/>
      </c>
      <c r="X29" s="12">
        <f>W29</f>
        <v/>
      </c>
      <c r="Y29" s="12">
        <f>X29</f>
        <v/>
      </c>
      <c r="Z29" s="12">
        <f>Y29</f>
        <v/>
      </c>
      <c r="AA29" s="12">
        <f>Z29</f>
        <v/>
      </c>
      <c r="AB29" s="12">
        <f>AA29</f>
        <v/>
      </c>
      <c r="AC29" s="12">
        <f>AB29</f>
        <v/>
      </c>
      <c r="AD29" s="12">
        <f>AC29</f>
        <v/>
      </c>
      <c r="AE29" s="12">
        <f>AD29</f>
        <v/>
      </c>
      <c r="AF29" s="12">
        <f>AE29</f>
        <v/>
      </c>
      <c r="AG29" s="12">
        <f>AF29</f>
        <v/>
      </c>
      <c r="AH29" s="12">
        <f>AG29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O30</f>
        <v/>
      </c>
      <c r="Q30" s="13">
        <f>P30</f>
        <v/>
      </c>
      <c r="R30" s="13">
        <f>Q30</f>
        <v/>
      </c>
      <c r="S30" s="13">
        <f>R30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O31</f>
        <v/>
      </c>
      <c r="Q31" s="13">
        <f>P31</f>
        <v/>
      </c>
      <c r="R31" s="13">
        <f>Q31</f>
        <v/>
      </c>
      <c r="S31" s="13">
        <f>R31</f>
        <v/>
      </c>
      <c r="T31" s="13">
        <f>S31</f>
        <v/>
      </c>
      <c r="U31" s="13">
        <f>T31</f>
        <v/>
      </c>
      <c r="V31" s="13">
        <f>U31</f>
        <v/>
      </c>
      <c r="W31" s="13">
        <f>V31</f>
        <v/>
      </c>
      <c r="X31" s="13">
        <f>W31</f>
        <v/>
      </c>
      <c r="Y31" s="13">
        <f>X31</f>
        <v/>
      </c>
      <c r="Z31" s="13">
        <f>Y31</f>
        <v/>
      </c>
      <c r="AA31" s="13">
        <f>Z31</f>
        <v/>
      </c>
      <c r="AB31" s="13">
        <f>AA31</f>
        <v/>
      </c>
      <c r="AC31" s="13">
        <f>AB31</f>
        <v/>
      </c>
      <c r="AD31" s="13">
        <f>AC31</f>
        <v/>
      </c>
      <c r="AE31" s="13">
        <f>AD31</f>
        <v/>
      </c>
      <c r="AF31" s="13">
        <f>AE31</f>
        <v/>
      </c>
      <c r="AG31" s="13">
        <f>AF31</f>
        <v/>
      </c>
      <c r="AH31" s="13">
        <f>AG31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O32</f>
        <v/>
      </c>
      <c r="Q32" s="12">
        <f>P32</f>
        <v/>
      </c>
      <c r="R32" s="12">
        <f>Q32</f>
        <v/>
      </c>
      <c r="S32" s="12">
        <f>R32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O33</f>
        <v/>
      </c>
      <c r="Q33" s="12">
        <f>P33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O34</f>
        <v/>
      </c>
      <c r="Q34" s="13">
        <f>P34</f>
        <v/>
      </c>
      <c r="R34" s="13">
        <f>Q34</f>
        <v/>
      </c>
      <c r="S34" s="13">
        <f>R34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O35</f>
        <v/>
      </c>
      <c r="Q35" s="13">
        <f>P35</f>
        <v/>
      </c>
      <c r="R35" s="13">
        <f>Q35</f>
        <v/>
      </c>
      <c r="S35" s="13">
        <f>R35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O36</f>
        <v/>
      </c>
      <c r="Q36" s="13">
        <f>P36</f>
        <v/>
      </c>
      <c r="R36" s="13">
        <f>Q36</f>
        <v/>
      </c>
      <c r="S36" s="13">
        <f>R36</f>
        <v/>
      </c>
      <c r="T36" s="13">
        <f>S36</f>
        <v/>
      </c>
      <c r="U36" s="13">
        <f>T36</f>
        <v/>
      </c>
      <c r="V36" s="13">
        <f>U36</f>
        <v/>
      </c>
      <c r="W36" s="13">
        <f>V36</f>
        <v/>
      </c>
      <c r="X36" s="13">
        <f>W36</f>
        <v/>
      </c>
      <c r="Y36" s="13">
        <f>X36</f>
        <v/>
      </c>
      <c r="Z36" s="13">
        <f>Y36</f>
        <v/>
      </c>
      <c r="AA36" s="13">
        <f>Z36</f>
        <v/>
      </c>
      <c r="AB36" s="13">
        <f>AA36</f>
        <v/>
      </c>
      <c r="AC36" s="13">
        <f>AB36</f>
        <v/>
      </c>
      <c r="AD36" s="13">
        <f>AC36</f>
        <v/>
      </c>
      <c r="AE36" s="13">
        <f>AD36</f>
        <v/>
      </c>
      <c r="AF36" s="13">
        <f>AE36</f>
        <v/>
      </c>
      <c r="AG36" s="13">
        <f>AF36</f>
        <v/>
      </c>
      <c r="AH36" s="13">
        <f>AG36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F2" activePane="bottomRight" state="frozen"/>
      <selection pane="topRight" activeCell="A1" sqref="A1"/>
      <selection pane="bottomLeft" activeCell="A1" sqref="A1"/>
      <selection pane="bottomRight" activeCell="R2" sqref="R2"/>
    </sheetView>
  </sheetViews>
  <sheetFormatPr baseColWidth="8" defaultRowHeight="15"/>
  <cols>
    <col width="38" customWidth="1" min="1" max="1"/>
    <col width="13" customWidth="1" min="2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R6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R11</f>
        <v/>
      </c>
      <c r="T11" s="12">
        <f>S11</f>
        <v/>
      </c>
      <c r="U11" s="12">
        <f>T11</f>
        <v/>
      </c>
      <c r="V11" s="12">
        <f>U11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R12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0</f>
        <v/>
      </c>
      <c r="S31" s="4">
        <f>0</f>
        <v/>
      </c>
      <c r="T31" s="4">
        <f>0</f>
        <v/>
      </c>
      <c r="U31" s="4">
        <f>0</f>
        <v/>
      </c>
      <c r="V31" s="4">
        <f>0</f>
        <v/>
      </c>
      <c r="W31" s="4">
        <f>0</f>
        <v/>
      </c>
      <c r="X31" s="4">
        <f>0</f>
        <v/>
      </c>
      <c r="Y31" s="4">
        <f>0</f>
        <v/>
      </c>
      <c r="Z31" s="4">
        <f>0</f>
        <v/>
      </c>
      <c r="AA31" s="4">
        <f>0</f>
        <v/>
      </c>
      <c r="AB31" s="4">
        <f>0</f>
        <v/>
      </c>
      <c r="AC31" s="4">
        <f>0</f>
        <v/>
      </c>
      <c r="AD31" s="4">
        <f>0</f>
        <v/>
      </c>
      <c r="AE31" s="4">
        <f>0</f>
        <v/>
      </c>
      <c r="AF31" s="4">
        <f>0</f>
        <v/>
      </c>
      <c r="AG31" s="4">
        <f>0</f>
        <v/>
      </c>
      <c r="AH31" s="4">
        <f>0</f>
        <v/>
      </c>
      <c r="AI31" s="4">
        <f>0</f>
        <v/>
      </c>
      <c r="AJ31" s="4">
        <f>0</f>
        <v/>
      </c>
      <c r="AK31" s="4">
        <f>0</f>
        <v/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R33</f>
        <v/>
      </c>
      <c r="T33" s="12">
        <f>S33</f>
        <v/>
      </c>
      <c r="U33" s="12">
        <f>T33</f>
        <v/>
      </c>
      <c r="V33" s="12">
        <f>U33</f>
        <v/>
      </c>
      <c r="W33" s="12">
        <f>V33</f>
        <v/>
      </c>
      <c r="X33" s="12">
        <f>W33</f>
        <v/>
      </c>
      <c r="Y33" s="12">
        <f>X33</f>
        <v/>
      </c>
      <c r="Z33" s="12">
        <f>Y33</f>
        <v/>
      </c>
      <c r="AA33" s="12">
        <f>Z33</f>
        <v/>
      </c>
      <c r="AB33" s="12">
        <f>AA33</f>
        <v/>
      </c>
      <c r="AC33" s="12">
        <f>AB33</f>
        <v/>
      </c>
      <c r="AD33" s="12">
        <f>AC33</f>
        <v/>
      </c>
      <c r="AE33" s="12">
        <f>AD33</f>
        <v/>
      </c>
      <c r="AF33" s="12">
        <f>AE33</f>
        <v/>
      </c>
      <c r="AG33" s="12">
        <f>AF33</f>
        <v/>
      </c>
      <c r="AH33" s="12">
        <f>AG33</f>
        <v/>
      </c>
      <c r="AI33" s="12">
        <f>AH33</f>
        <v/>
      </c>
      <c r="AJ33" s="12">
        <f>AI33</f>
        <v/>
      </c>
      <c r="AK33" s="12">
        <f>AJ33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R42</f>
        <v/>
      </c>
      <c r="T42" s="13">
        <f>S42</f>
        <v/>
      </c>
      <c r="U42" s="13">
        <f>T42</f>
        <v/>
      </c>
      <c r="V42" s="13">
        <f>U42</f>
        <v/>
      </c>
      <c r="W42" s="13">
        <f>V42</f>
        <v/>
      </c>
      <c r="X42" s="13">
        <f>W42</f>
        <v/>
      </c>
      <c r="Y42" s="13">
        <f>X42</f>
        <v/>
      </c>
      <c r="Z42" s="13">
        <f>Y42</f>
        <v/>
      </c>
      <c r="AA42" s="13">
        <f>Z42</f>
        <v/>
      </c>
      <c r="AB42" s="13">
        <f>AA42</f>
        <v/>
      </c>
      <c r="AC42" s="13">
        <f>AB42</f>
        <v/>
      </c>
      <c r="AD42" s="13">
        <f>AC42</f>
        <v/>
      </c>
      <c r="AE42" s="13">
        <f>AD42</f>
        <v/>
      </c>
      <c r="AF42" s="13">
        <f>AE42</f>
        <v/>
      </c>
      <c r="AG42" s="13">
        <f>AF42</f>
        <v/>
      </c>
      <c r="AH42" s="13">
        <f>AG42</f>
        <v/>
      </c>
      <c r="AI42" s="13">
        <f>AH42</f>
        <v/>
      </c>
      <c r="AJ42" s="13">
        <f>AI42</f>
        <v/>
      </c>
      <c r="AK42" s="13">
        <f>AJ42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R48</f>
        <v/>
      </c>
      <c r="T48" s="13">
        <f>S48</f>
        <v/>
      </c>
      <c r="U48" s="13">
        <f>T48</f>
        <v/>
      </c>
      <c r="V48" s="13">
        <f>U48</f>
        <v/>
      </c>
      <c r="W48" s="13">
        <f>V48</f>
        <v/>
      </c>
      <c r="X48" s="13">
        <f>W48</f>
        <v/>
      </c>
      <c r="Y48" s="13">
        <f>X48</f>
        <v/>
      </c>
      <c r="Z48" s="13">
        <f>Y48</f>
        <v/>
      </c>
      <c r="AA48" s="13">
        <f>Z48</f>
        <v/>
      </c>
      <c r="AB48" s="13">
        <f>AA48</f>
        <v/>
      </c>
      <c r="AC48" s="13">
        <f>AB48</f>
        <v/>
      </c>
      <c r="AD48" s="13">
        <f>AC48</f>
        <v/>
      </c>
      <c r="AE48" s="13">
        <f>AD48</f>
        <v/>
      </c>
      <c r="AF48" s="13">
        <f>AE48</f>
        <v/>
      </c>
      <c r="AG48" s="13">
        <f>AF48</f>
        <v/>
      </c>
      <c r="AH48" s="13">
        <f>AG48</f>
        <v/>
      </c>
      <c r="AI48" s="13">
        <f>AH48</f>
        <v/>
      </c>
      <c r="AJ48" s="13">
        <f>AI48</f>
        <v/>
      </c>
      <c r="AK48" s="13">
        <f>AJ48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topLeftCell="A32" workbookViewId="0">
      <selection activeCell="A52" sqref="A52"/>
    </sheetView>
  </sheetViews>
  <sheetFormatPr baseColWidth="8" defaultRowHeight="15"/>
  <cols>
    <col width="40.28515625" bestFit="1" customWidth="1" min="1" max="1"/>
    <col hidden="1" outlineLevel="1" width="9.140625" customWidth="1" min="2" max="2"/>
    <col collapsed="1" width="9.140625" customWidth="1" min="3" max="3"/>
  </cols>
  <sheetData>
    <row r="1">
      <c r="A1" s="1" t="inlineStr">
        <is>
          <t>(in Millions)</t>
        </is>
      </c>
      <c r="B1" s="2" t="n">
        <v>2020</v>
      </c>
      <c r="C1" s="2" t="inlineStr">
        <is>
          <t>2021</t>
        </is>
      </c>
      <c r="D1" s="2" t="inlineStr">
        <is>
          <t>2022</t>
        </is>
      </c>
      <c r="E1" s="2" t="inlineStr">
        <is>
          <t>2023</t>
        </is>
      </c>
      <c r="F1" s="2" t="inlineStr">
        <is>
          <t>2024</t>
        </is>
      </c>
      <c r="G1" s="2" t="n">
        <v>2025</v>
      </c>
      <c r="H1" s="2" t="inlineStr">
        <is>
          <t>2026E</t>
        </is>
      </c>
      <c r="I1" s="2" t="inlineStr">
        <is>
          <t>2027E</t>
        </is>
      </c>
      <c r="J1" s="2" t="inlineStr">
        <is>
          <t>2028E</t>
        </is>
      </c>
      <c r="K1" s="2" t="inlineStr">
        <is>
          <t>2029E</t>
        </is>
      </c>
      <c r="L1" s="2" t="inlineStr">
        <is>
          <t>2030E</t>
        </is>
      </c>
      <c r="M1" s="49" t="n"/>
      <c r="N1" s="17" t="inlineStr">
        <is>
          <t>Source</t>
        </is>
      </c>
    </row>
    <row r="2">
      <c r="A2" s="18" t="inlineStr">
        <is>
          <t>Total Energy Drink Overview</t>
        </is>
      </c>
      <c r="C2" s="18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6" t="n"/>
      <c r="N2" s="16" t="n"/>
    </row>
    <row r="3">
      <c r="A3" s="16" t="inlineStr">
        <is>
          <t>Total Energy Drink Sector TAM ($)</t>
        </is>
      </c>
      <c r="B3" s="20" t="n">
        <v>14520</v>
      </c>
      <c r="C3" s="20" t="n">
        <v>16713</v>
      </c>
      <c r="D3" s="20" t="n">
        <v>18534</v>
      </c>
      <c r="E3" s="20" t="n">
        <v>19998</v>
      </c>
      <c r="F3" s="20" t="n">
        <v>20638</v>
      </c>
      <c r="G3" s="21" t="n">
        <v>22814</v>
      </c>
      <c r="H3" s="22">
        <f>G3*(1+H4)</f>
        <v/>
      </c>
      <c r="I3" s="22">
        <f>H3*(1+I4)</f>
        <v/>
      </c>
      <c r="J3" s="22">
        <f>I3*(1+J4)</f>
        <v/>
      </c>
      <c r="K3" s="22">
        <f>J3*(1+K4)</f>
        <v/>
      </c>
      <c r="L3" s="22">
        <f>K3*(1+L4)</f>
        <v/>
      </c>
      <c r="M3" s="23" t="n"/>
      <c r="N3" s="24" t="inlineStr">
        <is>
          <t>2024: MNST Jan 2025 Pres (17.7% x $116.6B); 2025: MNST Dec 2025 Pres (18.7% x $122B); 2020-23 back-calc</t>
        </is>
      </c>
    </row>
    <row r="4">
      <c r="A4" s="50" t="inlineStr">
        <is>
          <t>Total TAM Growth</t>
        </is>
      </c>
      <c r="B4" s="16" t="n"/>
      <c r="C4" s="25">
        <f>C3/B3-1</f>
        <v/>
      </c>
      <c r="D4" s="25">
        <f>D3/C3-1</f>
        <v/>
      </c>
      <c r="E4" s="25">
        <f>E3/D3-1</f>
        <v/>
      </c>
      <c r="F4" s="25">
        <f>F3/E3-1</f>
        <v/>
      </c>
      <c r="G4" s="26">
        <f>G3/F3-1</f>
        <v/>
      </c>
      <c r="H4" s="27" t="n">
        <v>0.091</v>
      </c>
      <c r="I4" s="27" t="n">
        <v>0.07000000000000001</v>
      </c>
      <c r="J4" s="27" t="n">
        <v>0.07000000000000001</v>
      </c>
      <c r="K4" s="27" t="n">
        <v>0.07000000000000001</v>
      </c>
      <c r="L4" s="27" t="n">
        <v>0.07000000000000001</v>
      </c>
      <c r="M4" s="28" t="n"/>
      <c r="N4" s="24" t="inlineStr">
        <is>
          <t>Goldman Equity Research</t>
        </is>
      </c>
    </row>
    <row r="5">
      <c r="A5" s="51" t="inlineStr">
        <is>
          <t>Total Units</t>
        </is>
      </c>
      <c r="B5" s="29" t="n">
        <v>5330</v>
      </c>
      <c r="C5" s="29" t="n">
        <v>5882</v>
      </c>
      <c r="D5" s="29" t="n">
        <v>6026</v>
      </c>
      <c r="E5" s="29" t="n">
        <v>6396</v>
      </c>
      <c r="F5" s="29" t="n">
        <v>6336</v>
      </c>
      <c r="G5" s="29" t="n">
        <v>6843</v>
      </c>
      <c r="H5" s="30">
        <f>((1+H7)*G5)-H6</f>
        <v/>
      </c>
      <c r="I5" s="30">
        <f>((1+I7)*H5)-I6</f>
        <v/>
      </c>
      <c r="J5" s="30">
        <f>((1+J7)*I5)-J6</f>
        <v/>
      </c>
      <c r="K5" s="30">
        <f>((1+K7)*J5)-K6</f>
        <v/>
      </c>
      <c r="L5" s="30">
        <f>((1+L7)*K5)-L6</f>
        <v/>
      </c>
      <c r="M5" s="31" t="n"/>
      <c r="N5" s="32" t="inlineStr">
        <is>
          <t>NielsenIQ xAOC+C via MNST Pres (2020-24A); GS vol est (2025-30E)</t>
        </is>
      </c>
    </row>
    <row r="6">
      <c r="A6" s="51" t="inlineStr">
        <is>
          <t>Total Units Lost Snap Ban</t>
        </is>
      </c>
      <c r="B6" s="29" t="n"/>
      <c r="C6" s="29" t="n"/>
      <c r="D6" s="29" t="n"/>
      <c r="E6" s="29" t="n"/>
      <c r="F6" s="29" t="n"/>
      <c r="G6" s="29" t="n"/>
      <c r="H6" s="30">
        <f>'[1]SNAP Ban Impact'!D33</f>
        <v>113.36679374999999</v>
      </c>
      <c r="I6" s="30">
        <f>'[1]SNAP Ban Impact'!E33</f>
        <v>115.23408749999999</v>
      </c>
      <c r="J6" s="30">
        <f>'[1]SNAP Ban Impact'!F33</f>
        <v>117.18209999999999</v>
      </c>
      <c r="K6" s="30">
        <f>'[1]SNAP Ban Impact'!G33</f>
        <v>119.20544999999998</v>
      </c>
      <c r="L6" s="30">
        <f>'[1]SNAP Ban Impact'!H33</f>
        <v>121.31489999999998</v>
      </c>
      <c r="M6" s="31" t="n"/>
      <c r="N6" s="32" t="n"/>
    </row>
    <row r="7">
      <c r="A7" s="50" t="inlineStr">
        <is>
          <t>Unit Sales Growth (Pre Snap Ban)</t>
        </is>
      </c>
      <c r="B7" s="50" t="n"/>
      <c r="C7" s="33">
        <f>C5/B5-1</f>
        <v/>
      </c>
      <c r="D7" s="33">
        <f>D5/C5-1</f>
        <v/>
      </c>
      <c r="E7" s="34">
        <f>E5/D5-1</f>
        <v/>
      </c>
      <c r="F7" s="34">
        <f>F5/E5-1</f>
        <v/>
      </c>
      <c r="G7" s="35" t="n">
        <v>0.099</v>
      </c>
      <c r="H7" s="35" t="n">
        <v>0.06</v>
      </c>
      <c r="I7" s="36">
        <f>H7</f>
        <v/>
      </c>
      <c r="J7" s="36">
        <f>I7</f>
        <v/>
      </c>
      <c r="K7" s="36">
        <f>J7</f>
        <v/>
      </c>
      <c r="L7" s="36">
        <f>K7</f>
        <v/>
      </c>
      <c r="M7" s="16" t="n"/>
      <c r="N7" s="24" t="inlineStr">
        <is>
          <t>Hardcodes are assumption, couldn't find projection on total unit growth 9.9% from page 7 of GS ER</t>
        </is>
      </c>
    </row>
    <row r="8">
      <c r="A8" s="50" t="n"/>
      <c r="B8" s="50" t="n"/>
      <c r="C8" s="33" t="n"/>
      <c r="D8" s="33" t="n"/>
      <c r="E8" s="59" t="n"/>
      <c r="F8" s="59" t="n"/>
      <c r="G8" s="35" t="n"/>
      <c r="H8" s="35" t="n"/>
      <c r="I8" s="36" t="n"/>
      <c r="J8" s="36" t="n"/>
      <c r="K8" s="36" t="n"/>
      <c r="L8" s="36" t="n"/>
      <c r="M8" s="16" t="n"/>
      <c r="N8" s="24" t="n"/>
    </row>
    <row r="9">
      <c r="A9" s="51" t="inlineStr">
        <is>
          <t>Average Cost per Unit</t>
        </is>
      </c>
      <c r="B9" s="37">
        <f>B3/B5</f>
        <v/>
      </c>
      <c r="C9" s="37">
        <f>C3/C5</f>
        <v/>
      </c>
      <c r="D9" s="37">
        <f>D3/D5</f>
        <v/>
      </c>
      <c r="E9" s="37">
        <f>E3/E5</f>
        <v/>
      </c>
      <c r="F9" s="37">
        <f>F3/F5</f>
        <v/>
      </c>
      <c r="G9" s="37">
        <f>G3/G5</f>
        <v/>
      </c>
      <c r="H9" s="37">
        <f>H3/H5</f>
        <v/>
      </c>
      <c r="I9" s="37">
        <f>I3/I5</f>
        <v/>
      </c>
      <c r="J9" s="37">
        <f>J3/J5</f>
        <v/>
      </c>
      <c r="K9" s="37">
        <f>K3/K5</f>
        <v/>
      </c>
      <c r="L9" s="37">
        <f>L3/L5</f>
        <v/>
      </c>
      <c r="M9" s="16" t="n"/>
      <c r="N9" s="32" t="inlineStr">
        <is>
          <t>Calculated: TAM / Volume</t>
        </is>
      </c>
    </row>
    <row r="10">
      <c r="A10" s="50" t="inlineStr">
        <is>
          <t>Unit Cost Growth</t>
        </is>
      </c>
      <c r="B10" s="16" t="n"/>
      <c r="C10" s="38">
        <f>C9/B9-1</f>
        <v/>
      </c>
      <c r="D10" s="38">
        <f>D9/C9-1</f>
        <v/>
      </c>
      <c r="E10" s="38">
        <f>E9/D9-1</f>
        <v/>
      </c>
      <c r="F10" s="38">
        <f>F9/E9-1</f>
        <v/>
      </c>
      <c r="G10" s="38">
        <f>G9/F9-1</f>
        <v/>
      </c>
      <c r="H10" s="38">
        <f>H9/G9-1</f>
        <v/>
      </c>
      <c r="I10" s="38">
        <f>I9/H9-1</f>
        <v/>
      </c>
      <c r="J10" s="38">
        <f>J9/I9-1</f>
        <v/>
      </c>
      <c r="K10" s="38">
        <f>K9/J9-1</f>
        <v/>
      </c>
      <c r="L10" s="38">
        <f>L9/K9-1</f>
        <v/>
      </c>
      <c r="M10" s="39" t="n"/>
      <c r="N10" s="16" t="n"/>
    </row>
    <row r="11">
      <c r="A11" s="18" t="inlineStr">
        <is>
          <t>Revenue Overivew</t>
        </is>
      </c>
      <c r="B11" s="18" t="n"/>
      <c r="C11" s="18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6" t="n"/>
      <c r="N11" s="16" t="n"/>
    </row>
    <row r="12">
      <c r="A12" s="51" t="inlineStr">
        <is>
          <t>Celsius Revenue</t>
        </is>
      </c>
      <c r="B12" s="58" t="n">
        <v>130.726</v>
      </c>
      <c r="C12" s="40">
        <f>'ANNL P&amp;L'!B2/1000</f>
        <v/>
      </c>
      <c r="D12" s="40">
        <f>'ANNL P&amp;L'!C2/1000</f>
        <v/>
      </c>
      <c r="E12" s="40">
        <f>'ANNL P&amp;L'!D2/1000</f>
        <v/>
      </c>
      <c r="F12" s="40">
        <f>'ANNL P&amp;L'!E2/1000</f>
        <v/>
      </c>
      <c r="G12" s="40">
        <f>'ANNL P&amp;L'!F2/1000</f>
        <v/>
      </c>
      <c r="H12" s="40">
        <f>H30*H27</f>
        <v/>
      </c>
      <c r="I12" s="40">
        <f>I30*I27</f>
        <v/>
      </c>
      <c r="J12" s="40">
        <f>J30*J27</f>
        <v/>
      </c>
      <c r="K12" s="40">
        <f>K30*K27</f>
        <v/>
      </c>
      <c r="L12" s="40">
        <f>L30*L27</f>
        <v/>
      </c>
      <c r="M12" s="23" t="n"/>
      <c r="N12" s="24" t="inlineStr">
        <is>
          <t>10-K Filings (2020-25A); GS est (2026-27E) not using GS estimates because don't think they include GLP1 and SNAP analysis</t>
        </is>
      </c>
    </row>
    <row r="13">
      <c r="A13" s="51" t="inlineStr">
        <is>
          <t>Celsius Market Share</t>
        </is>
      </c>
      <c r="B13" s="16" t="n"/>
      <c r="C13" s="31">
        <f>C27/C5</f>
        <v/>
      </c>
      <c r="D13" s="31">
        <f>D27/D5</f>
        <v/>
      </c>
      <c r="E13" s="31">
        <f>E27/E5</f>
        <v/>
      </c>
      <c r="F13" s="31">
        <f>F27/F5</f>
        <v/>
      </c>
      <c r="G13" s="31">
        <f>G27/G5</f>
        <v/>
      </c>
      <c r="H13" s="31">
        <f>H27/H5</f>
        <v/>
      </c>
      <c r="I13" s="31">
        <f>I27/I5</f>
        <v/>
      </c>
      <c r="J13" s="31">
        <f>J27/J5</f>
        <v/>
      </c>
      <c r="K13" s="31">
        <f>K27/K5</f>
        <v/>
      </c>
      <c r="L13" s="31">
        <f>L27/L5</f>
        <v/>
      </c>
      <c r="M13" s="16" t="n"/>
      <c r="N13" s="16" t="n"/>
    </row>
    <row r="14">
      <c r="A14" s="50" t="inlineStr">
        <is>
          <t>Celsius Revenue Growth</t>
        </is>
      </c>
      <c r="B14" s="16" t="n"/>
      <c r="C14" s="38" t="n"/>
      <c r="D14" s="38">
        <f>(D12-C12)/C12</f>
        <v/>
      </c>
      <c r="E14" s="38">
        <f>(E12-D12)/D12</f>
        <v/>
      </c>
      <c r="F14" s="38">
        <f>(F12-E12)/E12</f>
        <v/>
      </c>
      <c r="G14" s="38">
        <f>(G12-F12)/F12</f>
        <v/>
      </c>
      <c r="H14" s="38">
        <f>(H12-G12)/G12</f>
        <v/>
      </c>
      <c r="I14" s="38">
        <f>(I12-H12)/H12</f>
        <v/>
      </c>
      <c r="J14" s="38">
        <f>(J12-I12)/I12</f>
        <v/>
      </c>
      <c r="K14" s="38">
        <f>(K12-J12)/J12</f>
        <v/>
      </c>
      <c r="L14" s="38">
        <f>(L12-K12)/K12</f>
        <v/>
      </c>
      <c r="M14" s="39" t="n"/>
      <c r="N14" s="16" t="n"/>
    </row>
    <row r="15">
      <c r="A15" s="18" t="inlineStr">
        <is>
          <t>CELH Portfolio Volume</t>
        </is>
      </c>
      <c r="B15" s="18" t="n"/>
      <c r="C15" s="18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6" t="n"/>
      <c r="N15" s="16" t="n"/>
    </row>
    <row r="16">
      <c r="A16" s="51" t="inlineStr">
        <is>
          <t>Celsius Unit Volume</t>
        </is>
      </c>
      <c r="B16" s="29" t="n">
        <v>46</v>
      </c>
      <c r="C16" s="29" t="n">
        <v>146</v>
      </c>
      <c r="D16" s="29" t="n">
        <v>281</v>
      </c>
      <c r="E16" s="29" t="n">
        <v>605</v>
      </c>
      <c r="F16" s="29" t="n">
        <v>597</v>
      </c>
      <c r="G16" s="30">
        <f>F16*(1+G17)</f>
        <v/>
      </c>
      <c r="H16" s="30">
        <f>G16*(1+H17)</f>
        <v/>
      </c>
      <c r="I16" s="30">
        <f>H16*(1+I17)</f>
        <v/>
      </c>
      <c r="J16" s="30">
        <f>I16*(1+J17)</f>
        <v/>
      </c>
      <c r="K16" s="30">
        <f>J16*(1+K17)</f>
        <v/>
      </c>
      <c r="L16" s="30">
        <f>K16*(1+L17)</f>
        <v/>
      </c>
      <c r="M16" s="28" t="n"/>
      <c r="N16" s="32" t="inlineStr">
        <is>
          <t>NielsenIQ retail units (annualized 13-wk x4) via MNST Pres; Celsius brand only</t>
        </is>
      </c>
    </row>
    <row r="17">
      <c r="A17" s="50" t="inlineStr">
        <is>
          <t>Volume Growth</t>
        </is>
      </c>
      <c r="B17" s="29" t="n"/>
      <c r="C17" s="31" t="n"/>
      <c r="D17" s="36">
        <f>D16/C16-1</f>
        <v/>
      </c>
      <c r="E17" s="36">
        <f>E16/D16-1</f>
        <v/>
      </c>
      <c r="F17" s="36">
        <f>F16/E16-1</f>
        <v/>
      </c>
      <c r="G17" s="36">
        <f>G7</f>
        <v/>
      </c>
      <c r="H17" s="36">
        <f>H7</f>
        <v/>
      </c>
      <c r="I17" s="36">
        <f>I7</f>
        <v/>
      </c>
      <c r="J17" s="36">
        <f>J7</f>
        <v/>
      </c>
      <c r="K17" s="36">
        <f>K7</f>
        <v/>
      </c>
      <c r="L17" s="36">
        <f>L7</f>
        <v/>
      </c>
      <c r="M17" s="28" t="n"/>
      <c r="N17" s="32" t="inlineStr">
        <is>
          <t xml:space="preserve"> vc vdf</t>
        </is>
      </c>
    </row>
    <row r="18">
      <c r="A18" s="51" t="inlineStr">
        <is>
          <t>Alani Unit Volume</t>
        </is>
      </c>
      <c r="B18" s="29" t="n">
        <v>10</v>
      </c>
      <c r="C18" s="29" t="n">
        <v>62</v>
      </c>
      <c r="D18" s="29" t="n">
        <v>102</v>
      </c>
      <c r="E18" s="29" t="n">
        <v>167</v>
      </c>
      <c r="F18" s="29" t="n">
        <v>272</v>
      </c>
      <c r="G18" s="30">
        <f>F18*(1+G20)</f>
        <v/>
      </c>
      <c r="H18" s="30">
        <f>G18*(1+H20)</f>
        <v/>
      </c>
      <c r="I18" s="30">
        <f>H18*(1+I20)</f>
        <v/>
      </c>
      <c r="J18" s="30">
        <f>I18*(1+J20)</f>
        <v/>
      </c>
      <c r="K18" s="30">
        <f>J18*(1+K20)</f>
        <v/>
      </c>
      <c r="L18" s="30">
        <f>K18*(1+L20)</f>
        <v/>
      </c>
      <c r="M18" s="28" t="n"/>
      <c r="N18" s="32" t="inlineStr">
        <is>
          <t>NielsenIQ retail units annualized 13-wk x4 via MNST Pres; 2020 back-calc from 2021 YoY</t>
        </is>
      </c>
    </row>
    <row r="19">
      <c r="A19" s="52" t="inlineStr">
        <is>
          <t>Alani Sell In Units</t>
        </is>
      </c>
      <c r="B19" s="41" t="n">
        <v>0</v>
      </c>
      <c r="C19" s="42" t="n">
        <v>0</v>
      </c>
      <c r="D19" s="42" t="n">
        <v>0</v>
      </c>
      <c r="E19" s="42" t="n">
        <v>0</v>
      </c>
      <c r="F19" s="42" t="n">
        <v>0</v>
      </c>
      <c r="G19" s="42" t="n">
        <v>0</v>
      </c>
      <c r="H19" s="42">
        <f>IF($D$41&gt;=3,$D$45/$D$41,0)</f>
        <v/>
      </c>
      <c r="I19" s="42">
        <f>IF($D$41&gt;=3,$D$45/$D$41,0)</f>
        <v/>
      </c>
      <c r="J19" s="42">
        <f>IF($D$41&gt;=3,$D$45/$D$41,0)</f>
        <v/>
      </c>
      <c r="K19" s="42" t="n">
        <v>0</v>
      </c>
      <c r="L19" s="42" t="n">
        <v>0</v>
      </c>
      <c r="M19" s="16" t="n"/>
      <c r="N19" s="32" t="inlineStr">
        <is>
          <t>Formula: Pipeline fill (Yr 1) + ACV new door stocking / transition duration. All inputs in rows 39-45.</t>
        </is>
      </c>
    </row>
    <row r="20">
      <c r="A20" s="50" t="inlineStr">
        <is>
          <t>Volume Growth</t>
        </is>
      </c>
      <c r="B20" s="29" t="n"/>
      <c r="C20" s="57" t="inlineStr">
        <is>
          <t>--</t>
        </is>
      </c>
      <c r="D20" s="36">
        <f>D18/C18-1</f>
        <v/>
      </c>
      <c r="E20" s="36">
        <f>E18/D18-1</f>
        <v/>
      </c>
      <c r="F20" s="36">
        <f>F18/E18-1</f>
        <v/>
      </c>
      <c r="G20" s="36">
        <f>G17</f>
        <v/>
      </c>
      <c r="H20" s="36">
        <f>H17</f>
        <v/>
      </c>
      <c r="I20" s="36">
        <f>I17</f>
        <v/>
      </c>
      <c r="J20" s="36">
        <f>J17</f>
        <v/>
      </c>
      <c r="K20" s="36">
        <f>K17</f>
        <v/>
      </c>
      <c r="L20" s="36">
        <f>L17</f>
        <v/>
      </c>
      <c r="M20" s="28" t="n"/>
      <c r="N20" s="32" t="inlineStr">
        <is>
          <t>Assuming growth at rate of market (consider adjusting for GLP1 use)</t>
        </is>
      </c>
    </row>
    <row r="21">
      <c r="A21" s="50" t="inlineStr">
        <is>
          <t>% of Year Owned</t>
        </is>
      </c>
      <c r="B21" s="29" t="n"/>
      <c r="C21" s="35" t="n">
        <v>0</v>
      </c>
      <c r="D21" s="35" t="n">
        <v>0</v>
      </c>
      <c r="E21" s="35" t="n">
        <v>0</v>
      </c>
      <c r="F21" s="35" t="n">
        <v>0</v>
      </c>
      <c r="G21" s="35" t="n">
        <v>0.75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28" t="n"/>
      <c r="N21" s="32" t="inlineStr">
        <is>
          <t>2024 assuming 75% Alani volume since acquired april 1 and 33% rockstar since acquired August 29</t>
        </is>
      </c>
    </row>
    <row r="22">
      <c r="A22" s="51" t="inlineStr">
        <is>
          <t>Rockstar Unit Volume</t>
        </is>
      </c>
      <c r="B22" s="29" t="n">
        <v>371</v>
      </c>
      <c r="C22" s="29" t="n">
        <v>340</v>
      </c>
      <c r="D22" s="29" t="n">
        <v>313</v>
      </c>
      <c r="E22" s="29" t="n">
        <v>290</v>
      </c>
      <c r="F22" s="29" t="n">
        <v>236</v>
      </c>
      <c r="G22" s="41">
        <f>F22*(1+G23)</f>
        <v/>
      </c>
      <c r="H22" s="41">
        <f>G22*(1+H23)</f>
        <v/>
      </c>
      <c r="I22" s="41">
        <f>H22*(1+I23)</f>
        <v/>
      </c>
      <c r="J22" s="41">
        <f>I22*(1+J23)</f>
        <v/>
      </c>
      <c r="K22" s="41">
        <f>J22*(1+K23)</f>
        <v/>
      </c>
      <c r="L22" s="41">
        <f>K22*(1+L23)</f>
        <v/>
      </c>
      <c r="M22" s="28" t="n"/>
      <c r="N22" s="32" t="inlineStr">
        <is>
          <t>NielsenIQ retail units annualized 13-wk x4 via MNST Pres; 2020 back-calc from 2021 YoY</t>
        </is>
      </c>
    </row>
    <row r="23">
      <c r="A23" s="50" t="inlineStr">
        <is>
          <t>Volume Growth</t>
        </is>
      </c>
      <c r="B23" s="50" t="n"/>
      <c r="C23" s="29" t="n"/>
      <c r="D23" s="36">
        <f>D22/C22-1</f>
        <v/>
      </c>
      <c r="E23" s="36">
        <f>E22/D22-1</f>
        <v/>
      </c>
      <c r="F23" s="36">
        <f>F22/E22-1</f>
        <v/>
      </c>
      <c r="G23" s="36">
        <f>G20</f>
        <v/>
      </c>
      <c r="H23" s="36">
        <f>H20</f>
        <v/>
      </c>
      <c r="I23" s="36">
        <f>I20</f>
        <v/>
      </c>
      <c r="J23" s="36">
        <f>J20</f>
        <v/>
      </c>
      <c r="K23" s="36">
        <f>K20</f>
        <v/>
      </c>
      <c r="L23" s="36">
        <f>L20</f>
        <v/>
      </c>
      <c r="M23" s="28" t="n"/>
      <c r="N23" s="32" t="inlineStr">
        <is>
          <t>Assuming growth at rate of market (consider adjusting for GLP1 use)</t>
        </is>
      </c>
    </row>
    <row r="24">
      <c r="A24" s="50" t="inlineStr">
        <is>
          <t>% of Year Owned</t>
        </is>
      </c>
      <c r="B24" s="50" t="n"/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0.33</v>
      </c>
      <c r="H24" s="35" t="n">
        <v>1</v>
      </c>
      <c r="I24" s="35" t="n">
        <v>1</v>
      </c>
      <c r="J24" s="35" t="n">
        <v>1</v>
      </c>
      <c r="K24" s="35" t="n">
        <v>1</v>
      </c>
      <c r="L24" s="35" t="n">
        <v>1</v>
      </c>
      <c r="M24" s="28" t="n"/>
      <c r="N24" s="32" t="n"/>
    </row>
    <row r="25">
      <c r="A25" s="50" t="inlineStr">
        <is>
          <t>GLP1 Unit Adjustment</t>
        </is>
      </c>
      <c r="B25" s="50" t="n"/>
      <c r="C25" s="43" t="n"/>
      <c r="D25" s="43" t="n"/>
      <c r="E25" s="43" t="n"/>
      <c r="F25" s="43" t="n"/>
      <c r="G25" s="43" t="n"/>
      <c r="H25" s="44">
        <f>'[1]GLP-1 Share Impact'!C22</f>
        <v>68.911914840907883</v>
      </c>
      <c r="I25" s="44">
        <f>'[1]GLP-1 Share Impact'!D22</f>
        <v>82.534532405551772</v>
      </c>
      <c r="J25" s="44">
        <f>'[1]GLP-1 Share Impact'!E22</f>
        <v>95.991953898519981</v>
      </c>
      <c r="K25" s="44">
        <f>'[1]GLP-1 Share Impact'!F22</f>
        <v>110.09995327741292</v>
      </c>
      <c r="L25" s="44">
        <f>'[1]GLP-1 Share Impact'!G22</f>
        <v>124.02447744606826</v>
      </c>
      <c r="M25" s="28" t="n"/>
      <c r="N25" s="32" t="n"/>
    </row>
    <row r="26">
      <c r="A26" s="50" t="inlineStr">
        <is>
          <t>Celsius Units Lost SNAP Ban</t>
        </is>
      </c>
      <c r="B26" s="50" t="n"/>
      <c r="C26" s="43" t="n"/>
      <c r="D26" s="43" t="n"/>
      <c r="E26" s="43" t="n"/>
      <c r="F26" s="43" t="n"/>
      <c r="G26" s="43" t="n"/>
      <c r="H26" s="44">
        <f>'[1]SNAP Ban Impact'!D34</f>
        <v>21.448251138864567</v>
      </c>
      <c r="I26" s="44">
        <f>'[1]SNAP Ban Impact'!E34</f>
        <v>22.038453748142427</v>
      </c>
      <c r="J26" s="44">
        <f>'[1]SNAP Ban Impact'!F34</f>
        <v>22.883234775552697</v>
      </c>
      <c r="K26" s="44">
        <f>'[1]SNAP Ban Impact'!G34</f>
        <v>23.742292271505907</v>
      </c>
      <c r="L26" s="44">
        <f>'[1]SNAP Ban Impact'!H34</f>
        <v>24.619670147589872</v>
      </c>
      <c r="M26" s="28" t="n"/>
      <c r="N26" s="32" t="n"/>
    </row>
    <row r="27" ht="15.75" customHeight="1">
      <c r="A27" s="53" t="inlineStr">
        <is>
          <t>Total Celsius Unit Volume</t>
        </is>
      </c>
      <c r="B27" s="53" t="n"/>
      <c r="C27" s="45">
        <f>C16+C21*(C18+C19)+C24*C22+C25</f>
        <v/>
      </c>
      <c r="D27" s="45">
        <f>D16+D21*(D18+D19)+D24*D22+D25</f>
        <v/>
      </c>
      <c r="E27" s="45">
        <f>E16+E21*(E18+E19)+E24*E22+E25</f>
        <v/>
      </c>
      <c r="F27" s="45">
        <f>F16+F21*(F18+F19)+F24*F22+F25</f>
        <v/>
      </c>
      <c r="G27" s="45">
        <f>G16+G21*(G18+G19)+G24*G22+G25</f>
        <v/>
      </c>
      <c r="H27" s="45">
        <f>H16+H21*(H18+H19)+H24*H22+H25-H26</f>
        <v/>
      </c>
      <c r="I27" s="45">
        <f>I16+I21*(I18+I19)+I24*I22+I25-I26</f>
        <v/>
      </c>
      <c r="J27" s="45">
        <f>J16+J21*(J18+J19)+J24*J22+J25-J26</f>
        <v/>
      </c>
      <c r="K27" s="45">
        <f>K16+K21*(K18+K19)+K24*K22+K25-K26</f>
        <v/>
      </c>
      <c r="L27" s="45">
        <f>L16+L21*(L18+L19)+L24*L22+L25-L26</f>
        <v/>
      </c>
      <c r="M27" s="16" t="n"/>
      <c r="N27" s="16" t="inlineStr">
        <is>
          <t xml:space="preserve">For projections consider factoring in GLP-1 usage as reason for taking market share (0 cal health focused brand vs monster / red bull). </t>
        </is>
      </c>
    </row>
    <row r="28">
      <c r="A28" s="51" t="inlineStr">
        <is>
          <t>Est. Retail Revenue</t>
        </is>
      </c>
      <c r="B28" s="51" t="n"/>
      <c r="C28" s="46">
        <f>C27*C9</f>
        <v/>
      </c>
      <c r="D28" s="46">
        <f>D27*D9</f>
        <v/>
      </c>
      <c r="E28" s="46">
        <f>E27*E9</f>
        <v/>
      </c>
      <c r="F28" s="46">
        <f>F27*F9</f>
        <v/>
      </c>
      <c r="G28" s="46">
        <f>G27*G9</f>
        <v/>
      </c>
      <c r="H28" s="46">
        <f>H27*H9</f>
        <v/>
      </c>
      <c r="I28" s="46">
        <f>I27*I9</f>
        <v/>
      </c>
      <c r="J28" s="46">
        <f>J27*J9</f>
        <v/>
      </c>
      <c r="K28" s="46">
        <f>K27*K9</f>
        <v/>
      </c>
      <c r="L28" s="46">
        <f>L27*L9</f>
        <v/>
      </c>
      <c r="M28" s="16" t="n"/>
      <c r="N28" s="16" t="n"/>
    </row>
    <row r="29">
      <c r="A29" s="51" t="inlineStr">
        <is>
          <t>Wholesale / Retail Ratio</t>
        </is>
      </c>
      <c r="B29" s="51" t="n"/>
      <c r="C29" s="47">
        <f>C12/C28</f>
        <v/>
      </c>
      <c r="D29" s="47">
        <f>D12/D28</f>
        <v/>
      </c>
      <c r="E29" s="47">
        <f>E12/E28</f>
        <v/>
      </c>
      <c r="F29" s="47">
        <f>F12/F28</f>
        <v/>
      </c>
      <c r="G29" s="47">
        <f>G12/G28</f>
        <v/>
      </c>
      <c r="H29" s="47">
        <f>AVERAGE(C29:G29)</f>
        <v/>
      </c>
      <c r="I29" s="47">
        <f>H29</f>
        <v/>
      </c>
      <c r="J29" s="47">
        <f>I29</f>
        <v/>
      </c>
      <c r="K29" s="47">
        <f>J29</f>
        <v/>
      </c>
      <c r="L29" s="47">
        <f>K29</f>
        <v/>
      </c>
      <c r="M29" s="16" t="n"/>
      <c r="N29" s="16" t="n"/>
    </row>
    <row r="30">
      <c r="A30" s="51" t="inlineStr">
        <is>
          <t>Approximate Wholesale Cost per Unit</t>
        </is>
      </c>
      <c r="B30" s="51" t="n"/>
      <c r="C30" s="37">
        <f>C29*C9</f>
        <v/>
      </c>
      <c r="D30" s="37">
        <f>D29*D9</f>
        <v/>
      </c>
      <c r="E30" s="37">
        <f>E29*E9</f>
        <v/>
      </c>
      <c r="F30" s="37">
        <f>F29*F9</f>
        <v/>
      </c>
      <c r="G30" s="37">
        <f>G29*G9</f>
        <v/>
      </c>
      <c r="H30" s="37">
        <f>H29*H9</f>
        <v/>
      </c>
      <c r="I30" s="37">
        <f>I29*I9</f>
        <v/>
      </c>
      <c r="J30" s="37">
        <f>J29*J9</f>
        <v/>
      </c>
      <c r="K30" s="37">
        <f>K29*K9</f>
        <v/>
      </c>
      <c r="L30" s="37">
        <f>L29*L9</f>
        <v/>
      </c>
      <c r="M30" s="16" t="n"/>
      <c r="N30" s="32" t="inlineStr">
        <is>
          <t>Going to be slightly off given the way we are forecasting (explains reason it drops slightly in projection period</t>
        </is>
      </c>
    </row>
    <row r="31">
      <c r="A31" s="51" t="inlineStr">
        <is>
          <t>Celsius Total TAM</t>
        </is>
      </c>
      <c r="B31" s="51" t="n"/>
      <c r="C31" s="31" t="n"/>
      <c r="D31" s="31" t="n"/>
      <c r="E31" s="31" t="n"/>
      <c r="F31" s="31">
        <f>F27/F5</f>
        <v/>
      </c>
      <c r="G31" s="31">
        <f>G27/G5</f>
        <v/>
      </c>
      <c r="H31" s="31">
        <f>H27/H5</f>
        <v/>
      </c>
      <c r="I31" s="31">
        <f>I27/I5</f>
        <v/>
      </c>
      <c r="J31" s="31">
        <f>J27/J5</f>
        <v/>
      </c>
      <c r="K31" s="31">
        <f>K27/K5</f>
        <v/>
      </c>
      <c r="L31" s="31">
        <f>L27/L5</f>
        <v/>
      </c>
      <c r="M31" s="16" t="n"/>
      <c r="N31" s="16" t="n"/>
    </row>
    <row r="32">
      <c r="A32" s="52" t="inlineStr">
        <is>
          <t>Celsius 0 Sugar TAM</t>
        </is>
      </c>
      <c r="B32" s="52" t="n"/>
      <c r="C32" s="16" t="n"/>
      <c r="D32" s="16" t="n"/>
      <c r="E32" s="16" t="n"/>
      <c r="F32" s="48" t="n"/>
      <c r="G32" s="48" t="n">
        <v>0.33</v>
      </c>
      <c r="H32" s="48" t="n"/>
      <c r="I32" s="48" t="n"/>
      <c r="J32" s="48" t="n"/>
      <c r="K32" s="48" t="n"/>
      <c r="L32" s="48" t="n"/>
      <c r="M32" s="16" t="n"/>
      <c r="N32" s="32" t="n"/>
    </row>
    <row r="33">
      <c r="G33" s="41" t="n">
        <v>0</v>
      </c>
    </row>
    <row r="38">
      <c r="A38" s="54" t="inlineStr">
        <is>
          <t>ALANI SELL-IN ASSUMPTIONS</t>
        </is>
      </c>
      <c r="B38" s="54" t="n"/>
      <c r="C38" s="16" t="n"/>
      <c r="D38" s="16" t="n"/>
    </row>
    <row r="39">
      <c r="A39" s="55" t="inlineStr">
        <is>
          <t>Avg Units per New Door (initial stock)</t>
        </is>
      </c>
      <c r="B39" s="55" t="n"/>
      <c r="C39" s="16" t="n"/>
      <c r="D39" s="29" t="n">
        <v>50</v>
      </c>
    </row>
    <row r="40">
      <c r="A40" s="55" t="inlineStr">
        <is>
          <t>Pipeline Fill (weeks of sell-through)</t>
        </is>
      </c>
      <c r="B40" s="55" t="n"/>
      <c r="C40" s="16" t="n"/>
      <c r="D40" s="29" t="n">
        <v>3</v>
      </c>
    </row>
    <row r="41">
      <c r="A41" s="55" t="inlineStr">
        <is>
          <t>Transition Duration (years to target ACV)</t>
        </is>
      </c>
      <c r="B41" s="55" t="n"/>
      <c r="C41" s="16" t="n"/>
      <c r="D41" s="29" t="n">
        <v>3</v>
      </c>
    </row>
    <row r="42">
      <c r="A42" s="55" t="n"/>
      <c r="B42" s="55" t="n"/>
      <c r="C42" s="16" t="n"/>
      <c r="D42" s="56" t="n">
        <v>0.9399999999999999</v>
      </c>
    </row>
    <row r="43">
      <c r="A43" s="55" t="n"/>
      <c r="B43" s="55" t="n"/>
      <c r="C43" s="16" t="n"/>
      <c r="D43" s="56" t="n">
        <v>0.86</v>
      </c>
    </row>
    <row r="44">
      <c r="A44" s="55" t="inlineStr">
        <is>
          <t>ACV Gap (new doors to stock)</t>
        </is>
      </c>
      <c r="B44" s="55" t="n"/>
      <c r="C44" s="16" t="n"/>
      <c r="D44" s="41">
        <f>($D$42-$D$43)*350000</f>
        <v/>
      </c>
    </row>
    <row r="45">
      <c r="A45" s="55" t="inlineStr">
        <is>
          <t>New Door Sell-In (M units, total over transition)</t>
        </is>
      </c>
      <c r="B45" s="55" t="n"/>
      <c r="C45" s="16" t="n"/>
      <c r="D45" s="42">
        <f>$D$44*$D$39/1000000</f>
        <v/>
      </c>
    </row>
    <row r="46">
      <c r="A46" s="55" t="inlineStr">
        <is>
          <t>Pipeline Fill (M units, one-time in Year 1)</t>
        </is>
      </c>
      <c r="B46" s="55" t="n"/>
      <c r="C46" s="16" t="n"/>
      <c r="D46" s="42">
        <f>$D$47/52*$D$40</f>
        <v/>
      </c>
    </row>
    <row r="47">
      <c r="A47" s="55" t="inlineStr">
        <is>
          <t>Alani Annual Sell-Through Volume (M units)</t>
        </is>
      </c>
      <c r="B47" s="55" t="n"/>
      <c r="C47" s="16" t="n"/>
      <c r="D47" s="41">
        <f>G21</f>
        <v/>
      </c>
    </row>
    <row r="49">
      <c r="A49" s="55" t="inlineStr">
        <is>
          <t>Look in tables and footnotes to see if they report change in sales form Rockstar and Alani and geography</t>
        </is>
      </c>
    </row>
    <row r="50">
      <c r="A50" s="55" t="inlineStr">
        <is>
          <t>MD&amp;A will be most of this</t>
        </is>
      </c>
    </row>
    <row r="51">
      <c r="A51" s="55" t="inlineStr">
        <is>
          <t>Celsiyus 10K Alani &amp; Rockstar Total Consolidated Asset and Revenue breakdown</t>
        </is>
      </c>
    </row>
    <row r="52">
      <c r="A52" s="55" t="inlineStr">
        <is>
          <t>SG&amp;A and Gross Margin Bridge in 10K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2026-04-29T16:25:01Z</dcterms:created>
  <dcterms:modified xmlns:dcterms="http://purl.org/dc/terms/" xmlns:xsi="http://www.w3.org/2001/XMLSchema-instance" xsi:type="dcterms:W3CDTF">2026-05-05T21:55:30Z</dcterms:modified>
  <cp:lastModifiedBy>Gabriel Rodino</cp:lastModifiedBy>
</cp:coreProperties>
</file>