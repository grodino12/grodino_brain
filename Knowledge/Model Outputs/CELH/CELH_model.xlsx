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13" autoFilterDateGrouping="1"/>
  </bookViews>
  <sheets>
    <sheet xmlns:r="http://schemas.openxmlformats.org/officeDocument/2006/relationships" name="MD&amp;A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externalReferences>
    <externalReference xmlns:r="http://schemas.openxmlformats.org/officeDocument/2006/relationships" r:id="rId16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  <font>
      <b val="1"/>
      <i val="1"/>
      <color rgb="001F4E79"/>
      <sz val="10"/>
    </font>
    <font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  <border>
      <right/>
      <top style="thin">
        <color rgb="00000000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0" fontId="20" fillId="0" borderId="0" pivotButton="0" quotePrefix="0" xfId="0"/>
    <xf numFmtId="0" fontId="30" fillId="0" borderId="5" applyAlignment="1" pivotButton="0" quotePrefix="0" xfId="0">
      <alignment horizontal="center"/>
    </xf>
    <xf numFmtId="0" fontId="31" fillId="0" borderId="5" applyAlignment="1" pivotButton="0" quotePrefix="0" xfId="0">
      <alignment horizontal="center"/>
    </xf>
    <xf numFmtId="0" fontId="26" fillId="0" borderId="4" applyAlignment="1" pivotButton="0" quotePrefix="0" xfId="0">
      <alignment horizontal="right"/>
    </xf>
    <xf numFmtId="174" fontId="20" fillId="0" borderId="0" pivotButton="0" quotePrefix="0" xfId="0"/>
    <xf numFmtId="174" fontId="24" fillId="0" borderId="0" pivotButton="0" quotePrefix="0" xfId="0"/>
    <xf numFmtId="0" fontId="21" fillId="0" borderId="4" pivotButton="0" quotePrefix="0" xfId="0"/>
    <xf numFmtId="175" fontId="2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comparable column</t>
      </text>
    </comment>
    <comment ref="C6" authorId="0" shapeId="0">
      <text>
        <t>Q2 2024 10-Q comparable column</t>
      </text>
    </comment>
    <comment ref="D6" authorId="0" shapeId="0">
      <text>
        <t>Q3 2023 10-Q Note 4</t>
      </text>
    </comment>
    <comment ref="E6" authorId="0" shapeId="0">
      <text>
        <t>Q4 North America derived as FY minus Q1+Q2+Q3.</t>
      </text>
    </comment>
    <comment ref="F6" authorId="0" shapeId="0">
      <text>
        <t>FY2023 10-K MD&amp;A geography table</t>
      </text>
    </comment>
    <comment ref="G6" authorId="0" shapeId="0">
      <text>
        <t>Q1 2024 10-Q MD&amp;A geography table</t>
      </text>
    </comment>
    <comment ref="H6" authorId="0" shapeId="0">
      <text>
        <t>Q2 2024 10-Q MD&amp;A geography table</t>
      </text>
    </comment>
    <comment ref="I6" authorId="0" shapeId="0">
      <text>
        <t>Q3 2024 10-Q MD&amp;A geography table</t>
      </text>
    </comment>
    <comment ref="J6" authorId="0" shapeId="0">
      <text>
        <t>Q4 North America derived as FY minus Q1+Q2+Q3.</t>
      </text>
    </comment>
    <comment ref="K6" authorId="0" shapeId="0">
      <text>
        <t>FY2024 10-K MD&amp;A geography table</t>
      </text>
    </comment>
    <comment ref="L6" authorId="0" shapeId="0">
      <text>
        <t>Q1 2025 10-Q Note 4</t>
      </text>
    </comment>
    <comment ref="M6" authorId="0" shapeId="0">
      <text>
        <t>Q2 2025 10-Q Note 4</t>
      </text>
    </comment>
    <comment ref="N6" authorId="0" shapeId="0">
      <text>
        <t>Q3 2025 10-Q Note 4</t>
      </text>
    </comment>
    <comment ref="O6" authorId="0" shapeId="0">
      <text>
        <t>Q4 North America derived as FY minus Q1+Q2+Q3.</t>
      </text>
    </comment>
    <comment ref="P6" authorId="0" shapeId="0">
      <text>
        <t>FY2025 10-K MD&amp;A geography table</t>
      </text>
    </comment>
    <comment ref="B7" authorId="0" shapeId="0">
      <text>
        <t>Q1 2024 10-Q comparable</t>
      </text>
    </comment>
    <comment ref="C7" authorId="0" shapeId="0">
      <text>
        <t>Q2 2024 10-Q comparable</t>
      </text>
    </comment>
    <comment ref="D7" authorId="0" shapeId="0">
      <text>
        <t>Q3 2023 10-Q Note 4</t>
      </text>
    </comment>
    <comment ref="E7" authorId="0" shapeId="0">
      <text>
        <t>Q4 Europe derived as FY minus Q1+Q2+Q3.</t>
      </text>
    </comment>
    <comment ref="F7" authorId="0" shapeId="0">
      <text>
        <t>FY2023 10-K</t>
      </text>
    </comment>
    <comment ref="G7" authorId="0" shapeId="0">
      <text>
        <t>Q1 2024 10-Q</t>
      </text>
    </comment>
    <comment ref="H7" authorId="0" shapeId="0">
      <text>
        <t>Q2 2024 10-Q</t>
      </text>
    </comment>
    <comment ref="I7" authorId="0" shapeId="0">
      <text>
        <t>Q3 2024 10-Q. Sweden largest foreign country at $9.5M Q3.</t>
      </text>
    </comment>
    <comment ref="J7" authorId="0" shapeId="0">
      <text>
        <t>Q4 Europe derived as FY minus Q1+Q2+Q3.</t>
      </text>
    </comment>
    <comment ref="K7" authorId="0" shapeId="0">
      <text>
        <t>FY2024 10-K</t>
      </text>
    </comment>
    <comment ref="L7" authorId="0" shapeId="0">
      <text>
        <t>Q1 2025 10-Q</t>
      </text>
    </comment>
    <comment ref="M7" authorId="0" shapeId="0">
      <text>
        <t>Q2 2025 10-Q</t>
      </text>
    </comment>
    <comment ref="N7" authorId="0" shapeId="0">
      <text>
        <t>Q3 2025 10-Q</t>
      </text>
    </comment>
    <comment ref="O7" authorId="0" shapeId="0">
      <text>
        <t>Q4 Europe derived as FY minus Q1+Q2+Q3.</t>
      </text>
    </comment>
    <comment ref="P7" authorId="0" shapeId="0">
      <text>
        <t>FY2025 10-K</t>
      </text>
    </comment>
    <comment ref="B8" authorId="0" shapeId="0">
      <text>
        <t>Q1 2024 10-Q comparable</t>
      </text>
    </comment>
    <comment ref="C8" authorId="0" shapeId="0">
      <text>
        <t>Q2 2024 10-Q comparable</t>
      </text>
    </comment>
    <comment ref="D8" authorId="0" shapeId="0">
      <text>
        <t>Q3 2023 10-Q Note 4</t>
      </text>
    </comment>
    <comment ref="E8" authorId="0" shapeId="0">
      <text>
        <t>Q4 Asia-Pacific derived as FY minus Q1+Q2+Q3.</t>
      </text>
    </comment>
    <comment ref="F8" authorId="0" shapeId="0">
      <text>
        <t>FY2023 10-K</t>
      </text>
    </comment>
    <comment ref="G8" authorId="0" shapeId="0">
      <text>
        <t>Q1 2024 10-Q</t>
      </text>
    </comment>
    <comment ref="H8" authorId="0" shapeId="0">
      <text>
        <t>Q2 2024 10-Q</t>
      </text>
    </comment>
    <comment ref="I8" authorId="0" shapeId="0">
      <text>
        <t>Q3 2024 10-Q</t>
      </text>
    </comment>
    <comment ref="J8" authorId="0" shapeId="0">
      <text>
        <t>Q4 Asia-Pacific derived as FY minus Q1+Q2+Q3.</t>
      </text>
    </comment>
    <comment ref="K8" authorId="0" shapeId="0">
      <text>
        <t>FY2024 10-K</t>
      </text>
    </comment>
    <comment ref="L8" authorId="0" shapeId="0">
      <text>
        <t>Q1 2025 10-Q</t>
      </text>
    </comment>
    <comment ref="M8" authorId="0" shapeId="0">
      <text>
        <t>Q2 2025 10-Q</t>
      </text>
    </comment>
    <comment ref="N8" authorId="0" shapeId="0">
      <text>
        <t>Q3 2025 10-Q</t>
      </text>
    </comment>
    <comment ref="O8" authorId="0" shapeId="0">
      <text>
        <t>Q4 Asia-Pacific derived as FY minus Q1+Q2+Q3.</t>
      </text>
    </comment>
    <comment ref="P8" authorId="0" shapeId="0">
      <text>
        <t>FY2025 10-K</t>
      </text>
    </comment>
    <comment ref="B9" authorId="0" shapeId="0">
      <text>
        <t>Q1 2024 10-Q comparable</t>
      </text>
    </comment>
    <comment ref="C9" authorId="0" shapeId="0">
      <text>
        <t>Q2 2024 10-Q comparable</t>
      </text>
    </comment>
    <comment ref="D9" authorId="0" shapeId="0">
      <text>
        <t>Q3 2023 10-Q Note 4</t>
      </text>
    </comment>
    <comment ref="E9" authorId="0" shapeId="0">
      <text>
        <t>Q4 Other derived as FY minus Q1+Q2+Q3.</t>
      </text>
    </comment>
    <comment ref="F9" authorId="0" shapeId="0">
      <text>
        <t>FY2023 10-K</t>
      </text>
    </comment>
    <comment ref="G9" authorId="0" shapeId="0">
      <text>
        <t>Q1 2024 10-Q</t>
      </text>
    </comment>
    <comment ref="H9" authorId="0" shapeId="0">
      <text>
        <t>Q2 2024 10-Q</t>
      </text>
    </comment>
    <comment ref="I9" authorId="0" shapeId="0">
      <text>
        <t>Q3 2024 10-Q</t>
      </text>
    </comment>
    <comment ref="J9" authorId="0" shapeId="0">
      <text>
        <t>Q4 Other derived as FY minus Q1+Q2+Q3.</t>
      </text>
    </comment>
    <comment ref="K9" authorId="0" shapeId="0">
      <text>
        <t>FY2024 10-K</t>
      </text>
    </comment>
    <comment ref="L9" authorId="0" shapeId="0">
      <text>
        <t>Q1 2025 10-Q. Puerto Rico in Other.</t>
      </text>
    </comment>
    <comment ref="M9" authorId="0" shapeId="0">
      <text>
        <t>Q2 2025 10-Q</t>
      </text>
    </comment>
    <comment ref="N9" authorId="0" shapeId="0">
      <text>
        <t>Q3 2025 10-Q</t>
      </text>
    </comment>
    <comment ref="O9" authorId="0" shapeId="0">
      <text>
        <t>Q4 Other derived as FY minus Q1+Q2+Q3.</t>
      </text>
    </comment>
    <comment ref="P9" authorId="0" shapeId="0">
      <text>
        <t>Computed: FY2025 - 9M 2025 = 7264 - 5864 = 1400.</t>
      </text>
    </comment>
    <comment ref="B10" authorId="0" shapeId="0">
      <text>
        <t>Total = NA + Europe + Asia-Pac + Other</t>
      </text>
    </comment>
    <comment ref="C10" authorId="0" shapeId="0">
      <text>
        <t>Total = NA + Europe + Asia-Pac + Other</t>
      </text>
    </comment>
    <comment ref="D10" authorId="0" shapeId="0">
      <text>
        <t>Total = NA + Europe + Asia-Pac + Other</t>
      </text>
    </comment>
    <comment ref="E10" authorId="0" shapeId="0">
      <text>
        <t>Total = NA + Europe + Asia-Pac + Other</t>
      </text>
    </comment>
    <comment ref="F10" authorId="0" shapeId="0">
      <text>
        <t>Total = NA + Europe + Asia-Pac + Other</t>
      </text>
    </comment>
    <comment ref="G10" authorId="0" shapeId="0">
      <text>
        <t>Total = NA + Europe + Asia-Pac + Other</t>
      </text>
    </comment>
    <comment ref="H10" authorId="0" shapeId="0">
      <text>
        <t>Total = NA + Europe + Asia-Pac + Other</t>
      </text>
    </comment>
    <comment ref="I10" authorId="0" shapeId="0">
      <text>
        <t>Total = NA + Europe + Asia-Pac + Other</t>
      </text>
    </comment>
    <comment ref="J10" authorId="0" shapeId="0">
      <text>
        <t>Total = NA + Europe + Asia-Pac + Other</t>
      </text>
    </comment>
    <comment ref="K10" authorId="0" shapeId="0">
      <text>
        <t>Total = NA + Europe + Asia-Pac + Other</t>
      </text>
    </comment>
    <comment ref="L10" authorId="0" shapeId="0">
      <text>
        <t>Total = NA + Europe + Asia-Pac + Other</t>
      </text>
    </comment>
    <comment ref="M10" authorId="0" shapeId="0">
      <text>
        <t>Total = NA + Europe + Asia-Pac + Other</t>
      </text>
    </comment>
    <comment ref="N10" authorId="0" shapeId="0">
      <text>
        <t>Total = NA + Europe + Asia-Pac + Other</t>
      </text>
    </comment>
    <comment ref="O10" authorId="0" shapeId="0">
      <text>
        <t>Total = NA + Europe + Asia-Pac + Other</t>
      </text>
    </comment>
    <comment ref="P10" authorId="0" shapeId="0">
      <text>
        <t>Total = NA + Europe + Asia-Pac + Other</t>
      </text>
    </comment>
    <comment ref="B15" authorId="0" shapeId="0">
      <text>
        <t>Q1 2023 10-Q</t>
      </text>
    </comment>
    <comment ref="C15" authorId="0" shapeId="0">
      <text>
        <t>Q2 2023 10-Q</t>
      </text>
    </comment>
    <comment ref="D15" authorId="0" shapeId="0">
      <text>
        <t>Q3 2023 10-Q</t>
      </text>
    </comment>
    <comment ref="E15" authorId="0" shapeId="0">
      <text>
        <t>Q4 NOT derivable: percentages cannot be subtracted.</t>
      </text>
    </comment>
    <comment ref="F15" authorId="0" shapeId="0">
      <text>
        <t>FY2023 10-K</t>
      </text>
    </comment>
    <comment ref="G15" authorId="0" shapeId="0">
      <text>
        <t>Q1 2024 10-Q</t>
      </text>
    </comment>
    <comment ref="H15" authorId="0" shapeId="0">
      <text>
        <t>Q2 2024 10-Q</t>
      </text>
    </comment>
    <comment ref="I15" authorId="0" shapeId="0">
      <text>
        <t>Q3 2024 10-Q</t>
      </text>
    </comment>
    <comment ref="J15" authorId="0" shapeId="0">
      <text>
        <t>Q4 NOT derivable: percentages cannot be subtracted.</t>
      </text>
    </comment>
    <comment ref="K15" authorId="0" shapeId="0">
      <text>
        <t>FY2024 10-K</t>
      </text>
    </comment>
    <comment ref="L15" authorId="0" shapeId="0">
      <text>
        <t>Q1 2025 10-Q</t>
      </text>
    </comment>
    <comment ref="M15" authorId="0" shapeId="0">
      <text>
        <t>Q2 2025 10-Q</t>
      </text>
    </comment>
    <comment ref="N15" authorId="0" shapeId="0">
      <text>
        <t>Q3 2025 10-Q</t>
      </text>
    </comment>
    <comment ref="O15" authorId="0" shapeId="0">
      <text>
        <t>Q4 NOT derivable: percentages cannot be subtracted.</t>
      </text>
    </comment>
    <comment ref="P15" authorId="0" shapeId="0">
      <text>
        <t>FY2025 10-K</t>
      </text>
    </comment>
    <comment ref="B16" authorId="0" shapeId="0">
      <text>
        <t>Q1 2023 10-Q</t>
      </text>
    </comment>
    <comment ref="C16" authorId="0" shapeId="0">
      <text>
        <t>Q2 2023 10-Q</t>
      </text>
    </comment>
    <comment ref="D16" authorId="0" shapeId="0">
      <text>
        <t>Q3 2023 10-Q</t>
      </text>
    </comment>
    <comment ref="E16" authorId="0" shapeId="0">
      <text>
        <t>Q4 NOT derivable: percentages cannot be subtracted.</t>
      </text>
    </comment>
    <comment ref="F16" authorId="0" shapeId="0">
      <text>
        <t>FY2023 10-K</t>
      </text>
    </comment>
    <comment ref="G16" authorId="0" shapeId="0">
      <text>
        <t>Q1 2024 10-Q</t>
      </text>
    </comment>
    <comment ref="H16" authorId="0" shapeId="0">
      <text>
        <t>Q2 2024 10-Q</t>
      </text>
    </comment>
    <comment ref="I16" authorId="0" shapeId="0">
      <text>
        <t>Q3 2024 10-Q</t>
      </text>
    </comment>
    <comment ref="J16" authorId="0" shapeId="0">
      <text>
        <t>Q4 NOT derivable: percentages cannot be subtracted.</t>
      </text>
    </comment>
    <comment ref="K16" authorId="0" shapeId="0">
      <text>
        <t>FY2024 10-K</t>
      </text>
    </comment>
    <comment ref="L16" authorId="0" shapeId="0">
      <text>
        <t>Q1 2025 10-Q</t>
      </text>
    </comment>
    <comment ref="M16" authorId="0" shapeId="0">
      <text>
        <t>Q2 2025 10-Q</t>
      </text>
    </comment>
    <comment ref="N16" authorId="0" shapeId="0">
      <text>
        <t>Q3 2025 10-Q</t>
      </text>
    </comment>
    <comment ref="O16" authorId="0" shapeId="0">
      <text>
        <t>Q4 NOT derivable: percentages cannot be subtracted.</t>
      </text>
    </comment>
    <comment ref="P16" authorId="0" shapeId="0">
      <text>
        <t>FY2025 10-K</t>
      </text>
    </comment>
    <comment ref="B17" authorId="0" shapeId="0">
      <text>
        <t>Q1 2023 10-Q</t>
      </text>
    </comment>
    <comment ref="C17" authorId="0" shapeId="0">
      <text>
        <t>Amazon below 10% disclosure threshold for this period.</t>
      </text>
    </comment>
    <comment ref="D17" authorId="0" shapeId="0">
      <text>
        <t>Amazon below 10% disclosure threshold for this period.</t>
      </text>
    </comment>
    <comment ref="E17" authorId="0" shapeId="0">
      <text>
        <t>Q4 NOT derivable: percentages cannot be subtracted.</t>
      </text>
    </comment>
    <comment ref="F17" authorId="0" shapeId="0">
      <text>
        <t>FY2023 10-K</t>
      </text>
    </comment>
    <comment ref="G17" authorId="0" shapeId="0">
      <text>
        <t>Amazon below 10% disclosure threshold for this period.</t>
      </text>
    </comment>
    <comment ref="H17" authorId="0" shapeId="0">
      <text>
        <t>Amazon below 10% disclosure threshold for this period.</t>
      </text>
    </comment>
    <comment ref="I17" authorId="0" shapeId="0">
      <text>
        <t>Q3 2024 10-Q</t>
      </text>
    </comment>
    <comment ref="J17" authorId="0" shapeId="0">
      <text>
        <t>Q4 NOT derivable: percentages cannot be subtracted.</t>
      </text>
    </comment>
    <comment ref="K17" authorId="0" shapeId="0">
      <text>
        <t>Amazon below 10% disclosure threshold for this period.</t>
      </text>
    </comment>
    <comment ref="L17" authorId="0" shapeId="0">
      <text>
        <t>Q1 2025 10-Q</t>
      </text>
    </comment>
    <comment ref="M17" authorId="0" shapeId="0">
      <text>
        <t>Amazon below 10% disclosure threshold for this period.</t>
      </text>
    </comment>
    <comment ref="N17" authorId="0" shapeId="0">
      <text>
        <t>Q3 2025 10-Q</t>
      </text>
    </comment>
    <comment ref="O17" authorId="0" shapeId="0">
      <text>
        <t>Q4 NOT derivable: percentages cannot be subtracted.</t>
      </text>
    </comment>
    <comment ref="P17" authorId="0" shapeId="0">
      <text>
        <t>Amazon below 10% disclosure threshold for this period.</t>
      </text>
    </comment>
    <comment ref="B18" authorId="0" shapeId="0">
      <text>
        <t>Q1 2023 10-Q</t>
      </text>
    </comment>
    <comment ref="C18" authorId="0" shapeId="0">
      <text>
        <t>Q2 2023 10-Q</t>
      </text>
    </comment>
    <comment ref="D18" authorId="0" shapeId="0">
      <text>
        <t>Q3 2023 10-Q</t>
      </text>
    </comment>
    <comment ref="E18" authorId="0" shapeId="0">
      <text>
        <t>Q4 NOT derivable: percentages cannot be subtracted.</t>
      </text>
    </comment>
    <comment ref="F18" authorId="0" shapeId="0">
      <text>
        <t>FY2023 10-K</t>
      </text>
    </comment>
    <comment ref="G18" authorId="0" shapeId="0">
      <text>
        <t>Q1 2024 10-Q</t>
      </text>
    </comment>
    <comment ref="H18" authorId="0" shapeId="0">
      <text>
        <t>Q2 2024 10-Q</t>
      </text>
    </comment>
    <comment ref="I18" authorId="0" shapeId="0">
      <text>
        <t>Q3 2024 10-Q</t>
      </text>
    </comment>
    <comment ref="J18" authorId="0" shapeId="0">
      <text>
        <t>Q4 NOT derivable: percentages cannot be subtracted.</t>
      </text>
    </comment>
    <comment ref="K18" authorId="0" shapeId="0">
      <text>
        <t>FY2024 10-K</t>
      </text>
    </comment>
    <comment ref="L18" authorId="0" shapeId="0">
      <text>
        <t>Q1 2025 10-Q</t>
      </text>
    </comment>
    <comment ref="M18" authorId="0" shapeId="0">
      <text>
        <t>Q2 2025 10-Q</t>
      </text>
    </comment>
    <comment ref="N18" authorId="0" shapeId="0">
      <text>
        <t>Q3 2025 10-Q</t>
      </text>
    </comment>
    <comment ref="O18" authorId="0" shapeId="0">
      <text>
        <t>Q4 NOT derivable: percentages cannot be subtracted.</t>
      </text>
    </comment>
    <comment ref="P18" authorId="0" shapeId="0">
      <text>
        <t>FY2025 10-K</t>
      </text>
    </comment>
    <comment ref="B19" authorId="0" shapeId="0">
      <text>
        <t>Should sum to 100%; n/d cells treated as 0.</t>
      </text>
    </comment>
    <comment ref="C19" authorId="0" shapeId="0">
      <text>
        <t>Should sum to 100%; n/d cells treated as 0.</t>
      </text>
    </comment>
    <comment ref="D19" authorId="0" shapeId="0">
      <text>
        <t>Should sum to 100%; n/d cells treated as 0.</t>
      </text>
    </comment>
    <comment ref="F19" authorId="0" shapeId="0">
      <text>
        <t>Should sum to 100%; n/d cells treated as 0.</t>
      </text>
    </comment>
    <comment ref="G19" authorId="0" shapeId="0">
      <text>
        <t>Should sum to 100%; n/d cells treated as 0.</t>
      </text>
    </comment>
    <comment ref="H19" authorId="0" shapeId="0">
      <text>
        <t>Should sum to 100%; n/d cells treated as 0.</t>
      </text>
    </comment>
    <comment ref="I19" authorId="0" shapeId="0">
      <text>
        <t>Should sum to 100%; n/d cells treated as 0.</t>
      </text>
    </comment>
    <comment ref="K19" authorId="0" shapeId="0">
      <text>
        <t>Should sum to 100%; n/d cells treated as 0.</t>
      </text>
    </comment>
    <comment ref="L19" authorId="0" shapeId="0">
      <text>
        <t>Should sum to 100%; n/d cells treated as 0.</t>
      </text>
    </comment>
    <comment ref="M19" authorId="0" shapeId="0">
      <text>
        <t>Should sum to 100%; n/d cells treated as 0.</t>
      </text>
    </comment>
    <comment ref="N19" authorId="0" shapeId="0">
      <text>
        <t>Should sum to 100%; n/d cells treated as 0.</t>
      </text>
    </comment>
    <comment ref="P19" authorId="0" shapeId="0">
      <text>
        <t>Should sum to 100%; n/d cells treated as 0.</t>
      </text>
    </comment>
    <comment ref="E24" authorId="0" shapeId="0">
      <text>
        <t>Q4 NOT derivable from period %.</t>
      </text>
    </comment>
    <comment ref="F24" authorId="0" shapeId="0">
      <text>
        <t>FY2023 10-K</t>
      </text>
    </comment>
    <comment ref="I24" authorId="0" shapeId="0">
      <text>
        <t>Q3 2024 10-Q</t>
      </text>
    </comment>
    <comment ref="J24" authorId="0" shapeId="0">
      <text>
        <t>Q4 NOT derivable from period %.</t>
      </text>
    </comment>
    <comment ref="K24" authorId="0" shapeId="0">
      <text>
        <t>FY2024 10-K</t>
      </text>
    </comment>
    <comment ref="M24" authorId="0" shapeId="0">
      <text>
        <t>Q2 2025 10-Q</t>
      </text>
    </comment>
    <comment ref="N24" authorId="0" shapeId="0">
      <text>
        <t>Q3 2025 10-Q</t>
      </text>
    </comment>
    <comment ref="O24" authorId="0" shapeId="0">
      <text>
        <t>Q4 NOT derivable from period %.</t>
      </text>
    </comment>
    <comment ref="P24" authorId="0" shapeId="0">
      <text>
        <t>FY2025 10-K</t>
      </text>
    </comment>
    <comment ref="E25" authorId="0" shapeId="0">
      <text>
        <t>Q4 NOT derivable from period %.</t>
      </text>
    </comment>
    <comment ref="I25" authorId="0" shapeId="0">
      <text>
        <t>Q3 2024 10-Q (9M)</t>
      </text>
    </comment>
    <comment ref="J25" authorId="0" shapeId="0">
      <text>
        <t>Q4 NOT derivable from period %.</t>
      </text>
    </comment>
    <comment ref="M25" authorId="0" shapeId="0">
      <text>
        <t>Q2 2025 10-Q (6M)</t>
      </text>
    </comment>
    <comment ref="N25" authorId="0" shapeId="0">
      <text>
        <t>Q3 2025 10-Q (9M)</t>
      </text>
    </comment>
    <comment ref="O25" authorId="0" shapeId="0">
      <text>
        <t>Q4 NOT derivable from period %.</t>
      </text>
    </comment>
    <comment ref="L30" authorId="0" shapeId="0">
      <text>
        <t>Celsius = Total Revenue (Section 1) - Alani - Rockstar (residual).</t>
      </text>
    </comment>
    <comment ref="M30" authorId="0" shapeId="0">
      <text>
        <t>Celsius = Total Revenue (Section 1) - Alani - Rockstar (residual).</t>
      </text>
    </comment>
    <comment ref="N30" authorId="0" shapeId="0">
      <text>
        <t>Celsius = Total Revenue (Section 1) - Alani - Rockstar (residual).</t>
      </text>
    </comment>
    <comment ref="O30" authorId="0" shapeId="0">
      <text>
        <t>Celsius = Total Revenue (Section 1) - Alani - Rockstar (residual).</t>
      </text>
    </comment>
    <comment ref="P30" authorId="0" shapeId="0">
      <text>
        <t>Celsius = Total Revenue (Section 1) - Alani - Rockstar (residual).</t>
      </text>
    </comment>
    <comment ref="L31" authorId="0" shapeId="0">
      <text>
        <t>Pre-acquisition (closed April 1, 2025).</t>
      </text>
    </comment>
    <comment ref="M31" authorId="0" shapeId="0">
      <text>
        <t>Q2 2025 10-Q Note 5: "$301.2 million from Closing Date through June 30, 2025."</t>
      </text>
    </comment>
    <comment ref="N31" authorId="0" shapeId="0">
      <text>
        <t>Q3 2025 10-Q MD&amp;A: "Alani Nu Acquisition contributed approximately $332.0 million." Cross-check: Item 4 = 35.3% x 9M revenue.</t>
      </text>
    </comment>
    <comment ref="O31" authorId="0" shapeId="0">
      <text>
        <t>Q4 Alani Nu derived as FY - Q1 - Q2 - Q3.</t>
      </text>
    </comment>
    <comment ref="P31" authorId="0" shapeId="0">
      <text>
        <t>FY2025 10-K Note 5: "$1,001.9 million for the period from Closing Date through December 31, 2025." Item 9A: 39.8% of consolidated revenue.</t>
      </text>
    </comment>
    <comment ref="L32" authorId="0" shapeId="0">
      <text>
        <t>Pre-acquisition (closed August 28, 2025).</t>
      </text>
    </comment>
    <comment ref="M32" authorId="0" shapeId="0">
      <text>
        <t>Pre-acquisition.</t>
      </text>
    </comment>
    <comment ref="N32" authorId="0" shapeId="0">
      <text>
        <t>Q3 2025 10-Q Note 5: "$12.2 million for the period from Aug 28 through Sep 30, 2025."</t>
      </text>
    </comment>
    <comment ref="O32" authorId="0" shapeId="0">
      <text>
        <t>Q4 Rockstar derived as FY - Q1 - Q2 - Q3.</t>
      </text>
    </comment>
    <comment ref="P32" authorId="0" shapeId="0">
      <text>
        <t>FY2025 10-K Note 5: "$55.6 million for the period from Closing Date through December 31, 2025." Item 9A: 2.2% of consolidated revenue.</t>
      </text>
    </comment>
    <comment ref="L33" authorId="0" shapeId="0">
      <text>
        <t>Links to Section 1 Total (L10).</t>
      </text>
    </comment>
    <comment ref="M33" authorId="0" shapeId="0">
      <text>
        <t>Links to Section 1 Total (M10).</t>
      </text>
    </comment>
    <comment ref="N33" authorId="0" shapeId="0">
      <text>
        <t>Links to Section 1 Total (N10).</t>
      </text>
    </comment>
    <comment ref="O33" authorId="0" shapeId="0">
      <text>
        <t>Links to Section 1 Total (O10).</t>
      </text>
    </comment>
    <comment ref="P33" authorId="0" shapeId="0">
      <text>
        <t>Links to Section 1 Total (P10).</t>
      </text>
    </comment>
    <comment ref="L34" authorId="0" shapeId="0">
      <text>
        <t>% Alani.</t>
      </text>
    </comment>
    <comment ref="M34" authorId="0" shapeId="0">
      <text>
        <t>% Alani.</t>
      </text>
    </comment>
    <comment ref="N34" authorId="0" shapeId="0">
      <text>
        <t>% Alani.</t>
      </text>
    </comment>
    <comment ref="O34" authorId="0" shapeId="0">
      <text>
        <t>% Alani.</t>
      </text>
    </comment>
    <comment ref="P34" authorId="0" shapeId="0">
      <text>
        <t>% Alani.</t>
      </text>
    </comment>
    <comment ref="B39" authorId="0" shapeId="0">
      <text>
        <t>Q3 2025 10-Q N5: actual reported revenue.</t>
      </text>
    </comment>
    <comment ref="C39" authorId="0" shapeId="0">
      <text>
        <t>Q3 2025 10-Q N5. Diff = ~2 missing months Rockstar.: actual reported revenue.</t>
      </text>
    </comment>
    <comment ref="D39" authorId="0" shapeId="0">
      <text>
        <t>Q3 2025 10-Q N5: actual reported revenue.</t>
      </text>
    </comment>
    <comment ref="E39" authorId="0" shapeId="0">
      <text>
        <t>Q3 2025 10-Q N5. Diff = Alani Q1 + Rockstar Jan-Aug 27.: actual reported revenue.</t>
      </text>
    </comment>
    <comment ref="F39" authorId="0" shapeId="0">
      <text>
        <t>FY2025 10-K N5. Implied: ~$962M full-year Alani + Rockstar in 2024.: actual reported revenue.</t>
      </text>
    </comment>
    <comment ref="G39" authorId="0" shapeId="0">
      <text>
        <t>FY2025 10-K N5. Implied: ~$488M additional from full-year ownership.: actual reported revenue.</t>
      </text>
    </comment>
    <comment ref="B40" authorId="0" shapeId="0">
      <text>
        <t>Q3 2025 10-Q N5: pro forma revenue.</t>
      </text>
    </comment>
    <comment ref="C40" authorId="0" shapeId="0">
      <text>
        <t>Q3 2025 10-Q N5. Diff = ~2 missing months Rockstar.: pro forma revenue.</t>
      </text>
    </comment>
    <comment ref="D40" authorId="0" shapeId="0">
      <text>
        <t>Q3 2025 10-Q N5: pro forma revenue.</t>
      </text>
    </comment>
    <comment ref="E40" authorId="0" shapeId="0">
      <text>
        <t>Q3 2025 10-Q N5. Diff = Alani Q1 + Rockstar Jan-Aug 27.: pro forma revenue.</t>
      </text>
    </comment>
    <comment ref="F40" authorId="0" shapeId="0">
      <text>
        <t>FY2025 10-K N5. Implied: ~$962M full-year Alani + Rockstar in 2024.: pro forma revenue.</t>
      </text>
    </comment>
    <comment ref="G40" authorId="0" shapeId="0">
      <text>
        <t>FY2025 10-K N5. Implied: ~$488M additional from full-year ownership.: pro forma revenue.</t>
      </text>
    </comment>
    <comment ref="B41" authorId="0" shapeId="0">
      <text>
        <t>Pro forma - actual = revenue from acquisitions in periods CELH did not yet own them.</t>
      </text>
    </comment>
    <comment ref="C41" authorId="0" shapeId="0">
      <text>
        <t>Pro forma - actual = revenue from acquisitions in periods CELH did not yet own them.</t>
      </text>
    </comment>
    <comment ref="D41" authorId="0" shapeId="0">
      <text>
        <t>Pro forma - actual = revenue from acquisitions in periods CELH did not yet own them.</t>
      </text>
    </comment>
    <comment ref="E41" authorId="0" shapeId="0">
      <text>
        <t>Pro forma - actual = revenue from acquisitions in periods CELH did not yet own them.</t>
      </text>
    </comment>
    <comment ref="F41" authorId="0" shapeId="0">
      <text>
        <t>Pro forma - actual = revenue from acquisitions in periods CELH did not yet own them.</t>
      </text>
    </comment>
    <comment ref="G41" authorId="0" shapeId="0">
      <text>
        <t>Pro forma - actual = revenue from acquisitions in periods CELH did not yet own them.</t>
      </text>
    </comment>
    <comment ref="C42" authorId="0" shapeId="0">
      <text>
        <t>Pro forma YoY growth (apples-to-apples).</t>
      </text>
    </comment>
    <comment ref="E42" authorId="0" shapeId="0">
      <text>
        <t>Pro forma YoY growth (apples-to-apples).</t>
      </text>
    </comment>
    <comment ref="G42" authorId="0" shapeId="0">
      <text>
        <t>Pro forma YoY growth (apples-to-apples).</t>
      </text>
    </comment>
    <comment ref="B47" authorId="0" shapeId="0">
      <text>
        <t>Q1 2023 10-Q MD&amp;A</t>
      </text>
    </comment>
    <comment ref="C47" authorId="0" shapeId="0">
      <text>
        <t>Q2 2023 10-Q</t>
      </text>
    </comment>
    <comment ref="D47" authorId="0" shapeId="0">
      <text>
        <t>Q3 2023 10-Q</t>
      </text>
    </comment>
    <comment ref="E47" authorId="0" shapeId="0">
      <text>
        <t>Q4 2023 SG&amp;A = FY - Q1 - Q2 - Q3.</t>
      </text>
    </comment>
    <comment ref="F47" authorId="0" shapeId="0">
      <text>
        <t>FY2023 10-K</t>
      </text>
    </comment>
    <comment ref="G47" authorId="0" shapeId="0">
      <text>
        <t>Q1 2024 10-Q</t>
      </text>
    </comment>
    <comment ref="H47" authorId="0" shapeId="0">
      <text>
        <t>Q2 2024 10-Q</t>
      </text>
    </comment>
    <comment ref="I47" authorId="0" shapeId="0">
      <text>
        <t>Q3 2024 10-Q</t>
      </text>
    </comment>
    <comment ref="J47" authorId="0" shapeId="0">
      <text>
        <t>Q4 2024 SG&amp;A = FY - Q1 - Q2 - Q3.</t>
      </text>
    </comment>
    <comment ref="K47" authorId="0" shapeId="0">
      <text>
        <t>FY2024 10-K</t>
      </text>
    </comment>
    <comment ref="L47" authorId="0" shapeId="0">
      <text>
        <t>Q1 2025 10-Q</t>
      </text>
    </comment>
    <comment ref="M47" authorId="0" shapeId="0">
      <text>
        <t>Q2 2025 10-Q</t>
      </text>
    </comment>
    <comment ref="N47" authorId="0" shapeId="0">
      <text>
        <t>Q3 2025 10-Q</t>
      </text>
    </comment>
    <comment ref="O47" authorId="0" shapeId="0">
      <text>
        <t>Q4 2025 SG&amp;A = FY - Q1 - Q2 - Q3.</t>
      </text>
    </comment>
    <comment ref="P47" authorId="0" shapeId="0">
      <text>
        <t>FY2025 10-K</t>
      </text>
    </comment>
    <comment ref="G48" authorId="0" shapeId="0">
      <text>
        <t>YoY Δ vs Q1 2023.</t>
      </text>
    </comment>
    <comment ref="H48" authorId="0" shapeId="0">
      <text>
        <t>YoY Δ vs Q2 2023.</t>
      </text>
    </comment>
    <comment ref="I48" authorId="0" shapeId="0">
      <text>
        <t>YoY Δ vs Q3 2023.</t>
      </text>
    </comment>
    <comment ref="J48" authorId="0" shapeId="0">
      <text>
        <t>YoY Δ vs Q4 2023.</t>
      </text>
    </comment>
    <comment ref="K48" authorId="0" shapeId="0">
      <text>
        <t>YoY Δ vs FY2023.</t>
      </text>
    </comment>
    <comment ref="L48" authorId="0" shapeId="0">
      <text>
        <t>YoY Δ vs Q1 2024.</t>
      </text>
    </comment>
    <comment ref="M48" authorId="0" shapeId="0">
      <text>
        <t>YoY Δ vs Q2 2024.</t>
      </text>
    </comment>
    <comment ref="N48" authorId="0" shapeId="0">
      <text>
        <t>YoY Δ vs Q3 2024.</t>
      </text>
    </comment>
    <comment ref="O48" authorId="0" shapeId="0">
      <text>
        <t>YoY Δ vs Q4 2024.</t>
      </text>
    </comment>
    <comment ref="P48" authorId="0" shapeId="0">
      <text>
        <t>YoY Δ vs FY2024.</t>
      </text>
    </comment>
    <comment ref="B49" authorId="0" shapeId="0">
      <text>
        <t>Q1 2023 10-Q MD&amp;A</t>
      </text>
    </comment>
    <comment ref="C49" authorId="0" shapeId="0">
      <text>
        <t>Q2 2023 10-Q MD&amp;A</t>
      </text>
    </comment>
    <comment ref="D49" authorId="0" shapeId="0">
      <text>
        <t>Q3 2023 10-Q MD&amp;A. Distrib term: -$149.5M as 2022 had $193.8M one-time.</t>
      </text>
    </comment>
    <comment ref="E49" authorId="0" shapeId="0">
      <text>
        <t>Q4 2023 derived: FY2023 walk - 9M 2023 walk. FY src: FY2023 10-K MD&amp;A; 9M src: Q3 2023 10-Q 9M walk.</t>
      </text>
    </comment>
    <comment ref="F49" authorId="0" shapeId="0">
      <text>
        <t>FY2023 10-K MD&amp;A</t>
      </text>
    </comment>
    <comment ref="G49" authorId="0" shapeId="0">
      <text>
        <t>Q1 2024 10-Q MD&amp;A</t>
      </text>
    </comment>
    <comment ref="H49" authorId="0" shapeId="0">
      <text>
        <t>Q2 2024 10-Q MD&amp;A. Admin -$10.4M (lower consulting fees).</t>
      </text>
    </comment>
    <comment ref="I49" authorId="0" shapeId="0">
      <text>
        <t>Q3 2024 10-Q MD&amp;A. Less granular bucket breakdown.</t>
      </text>
    </comment>
    <comment ref="J49" authorId="0" shapeId="0">
      <text>
        <t>Q4 2024 derived: FY2024 walk - 9M 2024 walk. FY src: FY2024 10-K MD&amp;A. Legal accrual +$52.8M one-time.; 9M src: Q3 2024 10-Q 9M walk.</t>
      </text>
    </comment>
    <comment ref="K49" authorId="0" shapeId="0">
      <text>
        <t>FY2024 10-K MD&amp;A. Legal accrual +$52.8M one-time.</t>
      </text>
    </comment>
    <comment ref="L49" authorId="0" shapeId="0">
      <text>
        <t>Q1 2025 10-Q MD&amp;A. G&amp;A primarily acquisition costs.</t>
      </text>
    </comment>
    <comment ref="M49" authorId="0" shapeId="0">
      <text>
        <t>Q2 2025 10-Q MD&amp;A. Marketing &amp; selling +$60.6M; G&amp;A +$62.4M. Alani-attrib $29.7M selling + $15.8M G&amp;A = $45.5M.</t>
      </text>
    </comment>
    <comment ref="N49" authorId="0" shapeId="0">
      <text>
        <t>Q3 2025 10-Q MD&amp;A. Marketing &amp; selling +$47.9M; G&amp;A +$32.3M. Alani-attrib $19.3M + $12.5M = $31.8M.</t>
      </text>
    </comment>
    <comment ref="O4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49" authorId="0" shapeId="0">
      <text>
        <t>FY2025 10-K MD&amp;A. M&amp;S +$200.6M; G&amp;A +$73.7M (incl -$46M legal reversal). Alani-attrib $65.0M M&amp;S + $53.4M G&amp;A = $118.4M.</t>
      </text>
    </comment>
    <comment ref="B50" authorId="0" shapeId="0">
      <text>
        <t>Q1 2023 10-Q MD&amp;A</t>
      </text>
    </comment>
    <comment ref="C50" authorId="0" shapeId="0">
      <text>
        <t>Q2 2023 10-Q MD&amp;A</t>
      </text>
    </comment>
    <comment ref="D50" authorId="0" shapeId="0">
      <text>
        <t>Q3 2023 10-Q MD&amp;A. Distrib term: -$149.5M as 2022 had $193.8M one-time.</t>
      </text>
    </comment>
    <comment ref="E50" authorId="0" shapeId="0">
      <text>
        <t>Q4 2023 derived: FY2023 walk - 9M 2023 walk. FY src: FY2023 10-K MD&amp;A; 9M src: Q3 2023 10-Q 9M walk.</t>
      </text>
    </comment>
    <comment ref="F50" authorId="0" shapeId="0">
      <text>
        <t>FY2023 10-K MD&amp;A</t>
      </text>
    </comment>
    <comment ref="G50" authorId="0" shapeId="0">
      <text>
        <t>Q1 2024 10-Q MD&amp;A</t>
      </text>
    </comment>
    <comment ref="B51" authorId="0" shapeId="0">
      <text>
        <t>Q1 2023 10-Q MD&amp;A</t>
      </text>
    </comment>
    <comment ref="C51" authorId="0" shapeId="0">
      <text>
        <t>Q2 2023 10-Q MD&amp;A</t>
      </text>
    </comment>
    <comment ref="D51" authorId="0" shapeId="0">
      <text>
        <t>Q3 2023 10-Q MD&amp;A. Distrib term: -$149.5M as 2022 had $193.8M one-time.</t>
      </text>
    </comment>
    <comment ref="E51" authorId="0" shapeId="0">
      <text>
        <t>Q4 2023 derived: FY2023 walk - 9M 2023 walk. FY src: FY2023 10-K MD&amp;A; 9M src: Q3 2023 10-Q 9M walk.</t>
      </text>
    </comment>
    <comment ref="F51" authorId="0" shapeId="0">
      <text>
        <t>FY2023 10-K MD&amp;A</t>
      </text>
    </comment>
    <comment ref="G51" authorId="0" shapeId="0">
      <text>
        <t>Q1 2024 10-Q MD&amp;A</t>
      </text>
    </comment>
    <comment ref="H51" authorId="0" shapeId="0">
      <text>
        <t>Q2 2024 10-Q MD&amp;A. Admin -$10.4M (lower consulting fees).</t>
      </text>
    </comment>
    <comment ref="I51" authorId="0" shapeId="0">
      <text>
        <t>Q3 2024 10-Q MD&amp;A. Less granular bucket breakdown.</t>
      </text>
    </comment>
    <comment ref="J51" authorId="0" shapeId="0">
      <text>
        <t>Q4 2024 derived: FY2024 walk - 9M 2024 walk. FY src: FY2024 10-K MD&amp;A. Legal accrual +$52.8M one-time.; 9M src: Q3 2024 10-Q 9M walk.</t>
      </text>
    </comment>
    <comment ref="K51" authorId="0" shapeId="0">
      <text>
        <t>FY2024 10-K MD&amp;A. Legal accrual +$52.8M one-time.</t>
      </text>
    </comment>
    <comment ref="L51" authorId="0" shapeId="0">
      <text>
        <t>Q1 2025 10-Q MD&amp;A. G&amp;A primarily acquisition costs.</t>
      </text>
    </comment>
    <comment ref="M51" authorId="0" shapeId="0">
      <text>
        <t>Q2 2025 10-Q MD&amp;A. Marketing &amp; selling +$60.6M; G&amp;A +$62.4M. Alani-attrib $29.7M selling + $15.8M G&amp;A = $45.5M.</t>
      </text>
    </comment>
    <comment ref="N51" authorId="0" shapeId="0">
      <text>
        <t>Q3 2025 10-Q MD&amp;A. Marketing &amp; selling +$47.9M; G&amp;A +$32.3M. Alani-attrib $19.3M + $12.5M = $31.8M.</t>
      </text>
    </comment>
    <comment ref="O51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1" authorId="0" shapeId="0">
      <text>
        <t>FY2025 10-K MD&amp;A. M&amp;S +$200.6M; G&amp;A +$73.7M (incl -$46M legal reversal). Alani-attrib $65.0M M&amp;S + $53.4M G&amp;A = $118.4M.</t>
      </text>
    </comment>
    <comment ref="B52" authorId="0" shapeId="0">
      <text>
        <t>Q1 2023 10-Q MD&amp;A</t>
      </text>
    </comment>
    <comment ref="C52" authorId="0" shapeId="0">
      <text>
        <t>Q2 2023 10-Q MD&amp;A</t>
      </text>
    </comment>
    <comment ref="D52" authorId="0" shapeId="0">
      <text>
        <t>Q3 2023 10-Q MD&amp;A. Distrib term: -$149.5M as 2022 had $193.8M one-time.</t>
      </text>
    </comment>
    <comment ref="E52" authorId="0" shapeId="0">
      <text>
        <t>Q4 2023 derived: FY2023 walk - 9M 2023 walk. FY src: FY2023 10-K MD&amp;A; 9M src: Q3 2023 10-Q 9M walk.</t>
      </text>
    </comment>
    <comment ref="F52" authorId="0" shapeId="0">
      <text>
        <t>FY2023 10-K MD&amp;A</t>
      </text>
    </comment>
    <comment ref="G52" authorId="0" shapeId="0">
      <text>
        <t>Q1 2024 10-Q MD&amp;A</t>
      </text>
    </comment>
    <comment ref="H52" authorId="0" shapeId="0">
      <text>
        <t>Q2 2024 10-Q MD&amp;A. Admin -$10.4M (lower consulting fees).</t>
      </text>
    </comment>
    <comment ref="L52" authorId="0" shapeId="0">
      <text>
        <t>Q1 2025 10-Q MD&amp;A. G&amp;A primarily acquisition costs.</t>
      </text>
    </comment>
    <comment ref="M52" authorId="0" shapeId="0">
      <text>
        <t>Q2 2025 10-Q MD&amp;A. Marketing &amp; selling +$60.6M; G&amp;A +$62.4M. Alani-attrib $29.7M selling + $15.8M G&amp;A = $45.5M.</t>
      </text>
    </comment>
    <comment ref="N52" authorId="0" shapeId="0">
      <text>
        <t>Q3 2025 10-Q MD&amp;A. Marketing &amp; selling +$47.9M; G&amp;A +$32.3M. Alani-attrib $19.3M + $12.5M = $31.8M.</t>
      </text>
    </comment>
    <comment ref="O52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2" authorId="0" shapeId="0">
      <text>
        <t>FY2025 10-K MD&amp;A. M&amp;S +$200.6M; G&amp;A +$73.7M (incl -$46M legal reversal). Alani-attrib $65.0M M&amp;S + $53.4M G&amp;A = $118.4M.</t>
      </text>
    </comment>
    <comment ref="B53" authorId="0" shapeId="0">
      <text>
        <t>Q1 2023 10-Q MD&amp;A</t>
      </text>
    </comment>
    <comment ref="C53" authorId="0" shapeId="0">
      <text>
        <t>Q2 2023 10-Q MD&amp;A</t>
      </text>
    </comment>
    <comment ref="D53" authorId="0" shapeId="0">
      <text>
        <t>Q3 2023 10-Q MD&amp;A. Distrib term: -$149.5M as 2022 had $193.8M one-time.</t>
      </text>
    </comment>
    <comment ref="E53" authorId="0" shapeId="0">
      <text>
        <t>Q4 2023 derived: FY2023 walk - 9M 2023 walk. FY src: FY2023 10-K MD&amp;A; 9M src: Q3 2023 10-Q 9M walk.</t>
      </text>
    </comment>
    <comment ref="F53" authorId="0" shapeId="0">
      <text>
        <t>FY2023 10-K MD&amp;A</t>
      </text>
    </comment>
    <comment ref="G53" authorId="0" shapeId="0">
      <text>
        <t>Q1 2024 10-Q MD&amp;A</t>
      </text>
    </comment>
    <comment ref="H53" authorId="0" shapeId="0">
      <text>
        <t>Q2 2024 10-Q MD&amp;A. Admin -$10.4M (lower consulting fees).</t>
      </text>
    </comment>
    <comment ref="D54" authorId="0" shapeId="0">
      <text>
        <t>Q3 2023 10-Q MD&amp;A. Distrib term: -$149.5M as 2022 had $193.8M one-time.</t>
      </text>
    </comment>
    <comment ref="E54" authorId="0" shapeId="0">
      <text>
        <t>Q4 2023 derived: FY2023 walk - 9M 2023 walk. FY src: FY2023 10-K MD&amp;A; 9M src: Q3 2023 10-Q 9M walk.</t>
      </text>
    </comment>
    <comment ref="F54" authorId="0" shapeId="0">
      <text>
        <t>FY2023 10-K MD&amp;A</t>
      </text>
    </comment>
    <comment ref="M55" authorId="0" shapeId="0">
      <text>
        <t>Q2 2025 10-Q MD&amp;A. Marketing &amp; selling +$60.6M; G&amp;A +$62.4M. Alani-attrib $29.7M selling + $15.8M G&amp;A = $45.5M.</t>
      </text>
    </comment>
    <comment ref="N55" authorId="0" shapeId="0">
      <text>
        <t>Q3 2025 10-Q MD&amp;A. Marketing &amp; selling +$47.9M; G&amp;A +$32.3M. Alani-attrib $19.3M + $12.5M = $31.8M.</t>
      </text>
    </comment>
    <comment ref="O55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5" authorId="0" shapeId="0">
      <text>
        <t>FY2025 10-K MD&amp;A. M&amp;S +$200.6M; G&amp;A +$73.7M (incl -$46M legal reversal). Alani-attrib $65.0M M&amp;S + $53.4M G&amp;A = $118.4M.</t>
      </text>
    </comment>
    <comment ref="M56" authorId="0" shapeId="0">
      <text>
        <t>Q2 2025 10-Q MD&amp;A. Marketing &amp; selling +$60.6M; G&amp;A +$62.4M. Alani-attrib $29.7M selling + $15.8M G&amp;A = $45.5M.</t>
      </text>
    </comment>
    <comment ref="N56" authorId="0" shapeId="0">
      <text>
        <t>Q3 2025 10-Q MD&amp;A. Marketing &amp; selling +$47.9M; G&amp;A +$32.3M. Alani-attrib $19.3M + $12.5M = $31.8M.</t>
      </text>
    </comment>
    <comment ref="O56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6" authorId="0" shapeId="0">
      <text>
        <t>FY2025 10-K MD&amp;A. M&amp;S +$200.6M; G&amp;A +$73.7M (incl -$46M legal reversal). Alani-attrib $65.0M M&amp;S + $53.4M G&amp;A = $118.4M.</t>
      </text>
    </comment>
    <comment ref="M57" authorId="0" shapeId="0">
      <text>
        <t>Q2 2025 10-Q MD&amp;A. Marketing &amp; selling +$60.6M; G&amp;A +$62.4M. Alani-attrib $29.7M selling + $15.8M G&amp;A = $45.5M.</t>
      </text>
    </comment>
    <comment ref="P57" authorId="0" shapeId="0">
      <text>
        <t>FY2025 10-K MD&amp;A. M&amp;S +$200.6M; G&amp;A +$73.7M (incl -$46M legal reversal). Alani-attrib $65.0M M&amp;S + $53.4M G&amp;A = $118.4M.</t>
      </text>
    </comment>
    <comment ref="J58" authorId="0" shapeId="0">
      <text>
        <t>Q4 2024 derived: FY2024 walk - 9M 2024 walk. FY src: FY2024 10-K MD&amp;A. Legal accrual +$52.8M one-time.; 9M src: Q3 2024 10-Q 9M walk.</t>
      </text>
    </comment>
    <comment ref="K58" authorId="0" shapeId="0">
      <text>
        <t>FY2024 10-K MD&amp;A. Legal accrual +$52.8M one-time.</t>
      </text>
    </comment>
    <comment ref="O58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8" authorId="0" shapeId="0">
      <text>
        <t>FY2025 10-K MD&amp;A. M&amp;S +$200.6M; G&amp;A +$73.7M (incl -$46M legal reversal). Alani-attrib $65.0M M&amp;S + $53.4M G&amp;A = $118.4M.</t>
      </text>
    </comment>
    <comment ref="B59" authorId="0" shapeId="0">
      <text>
        <t>Q1 2023 10-Q MD&amp;A</t>
      </text>
    </comment>
    <comment ref="C59" authorId="0" shapeId="0">
      <text>
        <t>Q2 2023 10-Q MD&amp;A</t>
      </text>
    </comment>
    <comment ref="G59" authorId="0" shapeId="0">
      <text>
        <t>Q1 2024 10-Q MD&amp;A</t>
      </text>
    </comment>
    <comment ref="H59" authorId="0" shapeId="0">
      <text>
        <t>Q2 2024 10-Q MD&amp;A. Admin -$10.4M (lower consulting fees).</t>
      </text>
    </comment>
    <comment ref="I59" authorId="0" shapeId="0">
      <text>
        <t>Q3 2024 10-Q MD&amp;A. Less granular bucket breakdown.</t>
      </text>
    </comment>
    <comment ref="J59" authorId="0" shapeId="0">
      <text>
        <t>Q4 2024 derived: FY2024 walk - 9M 2024 walk. FY src: FY2024 10-K MD&amp;A. Legal accrual +$52.8M one-time.; 9M src: Q3 2024 10-Q 9M walk.</t>
      </text>
    </comment>
    <comment ref="K59" authorId="0" shapeId="0">
      <text>
        <t>FY2024 10-K MD&amp;A. Legal accrual +$52.8M one-time.</t>
      </text>
    </comment>
    <comment ref="L59" authorId="0" shapeId="0">
      <text>
        <t>Q1 2025 10-Q MD&amp;A. G&amp;A primarily acquisition costs.</t>
      </text>
    </comment>
    <comment ref="N59" authorId="0" shapeId="0">
      <text>
        <t>Q3 2025 10-Q MD&amp;A. Marketing &amp; selling +$47.9M; G&amp;A +$32.3M. Alani-attrib $19.3M + $12.5M = $31.8M.</t>
      </text>
    </comment>
    <comment ref="O5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9" authorId="0" shapeId="0">
      <text>
        <t>FY2025 10-K MD&amp;A. M&amp;S +$200.6M; G&amp;A +$73.7M (incl -$46M legal reversal). Alani-attrib $65.0M M&amp;S + $53.4M G&amp;A = $118.4M.</t>
      </text>
    </comment>
    <comment ref="J60" authorId="0" shapeId="0">
      <text>
        <t>Q4 2024 derived: FY2024 walk - 9M 2024 walk. FY src: FY2024 10-K MD&amp;A. Legal accrual +$52.8M one-time.; 9M src: Q3 2024 10-Q 9M walk.</t>
      </text>
    </comment>
    <comment ref="K60" authorId="0" shapeId="0">
      <text>
        <t>FY2024 10-K MD&amp;A. Legal accrual +$52.8M one-time.</t>
      </text>
    </comment>
    <comment ref="O60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B61" authorId="0" shapeId="0">
      <text>
        <t>Sum of disclosed driver buckets. Should approximate YoY Total Δ row above.</t>
      </text>
    </comment>
    <comment ref="C61" authorId="0" shapeId="0">
      <text>
        <t>Sum of disclosed driver buckets. Should approximate YoY Total Δ row above.</t>
      </text>
    </comment>
    <comment ref="D61" authorId="0" shapeId="0">
      <text>
        <t>Sum of disclosed driver buckets. Should approximate YoY Total Δ row above.</t>
      </text>
    </comment>
    <comment ref="E61" authorId="0" shapeId="0">
      <text>
        <t>Sum of disclosed driver buckets. Should approximate YoY Total Δ row above.</t>
      </text>
    </comment>
    <comment ref="F61" authorId="0" shapeId="0">
      <text>
        <t>Sum of disclosed driver buckets. Should approximate YoY Total Δ row above.</t>
      </text>
    </comment>
    <comment ref="G61" authorId="0" shapeId="0">
      <text>
        <t>Sum of disclosed driver buckets. Should approximate YoY Total Δ row above.</t>
      </text>
    </comment>
    <comment ref="H61" authorId="0" shapeId="0">
      <text>
        <t>Sum of disclosed driver buckets. Should approximate YoY Total Δ row above.</t>
      </text>
    </comment>
    <comment ref="I61" authorId="0" shapeId="0">
      <text>
        <t>Sum of disclosed driver buckets. Should approximate YoY Total Δ row above.</t>
      </text>
    </comment>
    <comment ref="J61" authorId="0" shapeId="0">
      <text>
        <t>Sum of disclosed driver buckets. Should approximate YoY Total Δ row above.</t>
      </text>
    </comment>
    <comment ref="K61" authorId="0" shapeId="0">
      <text>
        <t>Sum of disclosed driver buckets. Should approximate YoY Total Δ row above.</t>
      </text>
    </comment>
    <comment ref="L61" authorId="0" shapeId="0">
      <text>
        <t>Sum of disclosed driver buckets. Should approximate YoY Total Δ row above.</t>
      </text>
    </comment>
    <comment ref="M61" authorId="0" shapeId="0">
      <text>
        <t>Sum of disclosed driver buckets. Should approximate YoY Total Δ row above.</t>
      </text>
    </comment>
    <comment ref="N61" authorId="0" shapeId="0">
      <text>
        <t>Sum of disclosed driver buckets. Should approximate YoY Total Δ row above.</t>
      </text>
    </comment>
    <comment ref="O61" authorId="0" shapeId="0">
      <text>
        <t>Sum of disclosed driver buckets. Should approximate YoY Total Δ row above.</t>
      </text>
    </comment>
    <comment ref="P61" authorId="0" shapeId="0">
      <text>
        <t>Sum of disclosed driver buckets. Should approximate YoY Total Δ row above.</t>
      </text>
    </comment>
    <comment ref="N63" authorId="0" shapeId="0">
      <text>
        <t>Q3 2025 10-Q. Separate IS line: $246.7M.</t>
      </text>
    </comment>
    <comment ref="O63" authorId="0" shapeId="0">
      <text>
        <t>Q4 2025 = FY - Q3 (Q1, Q2 had $0).</t>
      </text>
    </comment>
    <comment ref="P63" authorId="0" shapeId="0">
      <text>
        <t>FY2025 10-K. Separate IS line: $327.5M.</t>
      </text>
    </comment>
    <comment ref="B68" authorId="0" shapeId="0">
      <text>
        <t>Q1 2023 10-Q</t>
      </text>
    </comment>
    <comment ref="C68" authorId="0" shapeId="0">
      <text>
        <t>Q2 2023 10-Q</t>
      </text>
    </comment>
    <comment ref="D68" authorId="0" shapeId="0">
      <text>
        <t>Q3 2023 10-Q</t>
      </text>
    </comment>
    <comment ref="E68" authorId="0" shapeId="0">
      <text>
        <t>Q4 GP $ = FY - Q1 - Q2 - Q3.</t>
      </text>
    </comment>
    <comment ref="F68" authorId="0" shapeId="0">
      <text>
        <t>FY2023 10-K</t>
      </text>
    </comment>
    <comment ref="G68" authorId="0" shapeId="0">
      <text>
        <t>Q1 2024 10-Q</t>
      </text>
    </comment>
    <comment ref="H68" authorId="0" shapeId="0">
      <text>
        <t>Q2 2024 10-Q</t>
      </text>
    </comment>
    <comment ref="I68" authorId="0" shapeId="0">
      <text>
        <t>Q3 2024 10-Q</t>
      </text>
    </comment>
    <comment ref="J68" authorId="0" shapeId="0">
      <text>
        <t>Q4 GP $ = FY - Q1 - Q2 - Q3.</t>
      </text>
    </comment>
    <comment ref="K68" authorId="0" shapeId="0">
      <text>
        <t>FY2024 10-K</t>
      </text>
    </comment>
    <comment ref="L68" authorId="0" shapeId="0">
      <text>
        <t>Q1 2025 10-Q</t>
      </text>
    </comment>
    <comment ref="M68" authorId="0" shapeId="0">
      <text>
        <t>Q2 2025 10-Q</t>
      </text>
    </comment>
    <comment ref="N68" authorId="0" shapeId="0">
      <text>
        <t>Q3 2025 10-Q</t>
      </text>
    </comment>
    <comment ref="O68" authorId="0" shapeId="0">
      <text>
        <t>Q4 GP $ = FY - Q1 - Q2 - Q3.</t>
      </text>
    </comment>
    <comment ref="P68" authorId="0" shapeId="0">
      <text>
        <t>FY2025 10-K</t>
      </text>
    </comment>
    <comment ref="B69" authorId="0" shapeId="0">
      <text>
        <t>GP Margin = Gross Profit $ / Total Revenue (Section 1 row 10).</t>
      </text>
    </comment>
    <comment ref="C69" authorId="0" shapeId="0">
      <text>
        <t>GP Margin = Gross Profit $ / Total Revenue (Section 1 row 10).</t>
      </text>
    </comment>
    <comment ref="D69" authorId="0" shapeId="0">
      <text>
        <t>GP Margin = Gross Profit $ / Total Revenue (Section 1 row 10).</t>
      </text>
    </comment>
    <comment ref="E69" authorId="0" shapeId="0">
      <text>
        <t>GP Margin = Gross Profit $ / Total Revenue (Section 1 row 10).</t>
      </text>
    </comment>
    <comment ref="F69" authorId="0" shapeId="0">
      <text>
        <t>GP Margin = Gross Profit $ / Total Revenue (Section 1 row 10).</t>
      </text>
    </comment>
    <comment ref="G69" authorId="0" shapeId="0">
      <text>
        <t>GP Margin = Gross Profit $ / Total Revenue (Section 1 row 10).</t>
      </text>
    </comment>
    <comment ref="H69" authorId="0" shapeId="0">
      <text>
        <t>GP Margin = Gross Profit $ / Total Revenue (Section 1 row 10).</t>
      </text>
    </comment>
    <comment ref="I69" authorId="0" shapeId="0">
      <text>
        <t>GP Margin = Gross Profit $ / Total Revenue (Section 1 row 10).</t>
      </text>
    </comment>
    <comment ref="J69" authorId="0" shapeId="0">
      <text>
        <t>GP Margin = Gross Profit $ / Total Revenue (Section 1 row 10).</t>
      </text>
    </comment>
    <comment ref="K69" authorId="0" shapeId="0">
      <text>
        <t>GP Margin = Gross Profit $ / Total Revenue (Section 1 row 10).</t>
      </text>
    </comment>
    <comment ref="L69" authorId="0" shapeId="0">
      <text>
        <t>GP Margin = Gross Profit $ / Total Revenue (Section 1 row 10).</t>
      </text>
    </comment>
    <comment ref="M69" authorId="0" shapeId="0">
      <text>
        <t>GP Margin = Gross Profit $ / Total Revenue (Section 1 row 10).</t>
      </text>
    </comment>
    <comment ref="N69" authorId="0" shapeId="0">
      <text>
        <t>GP Margin = Gross Profit $ / Total Revenue (Section 1 row 10).</t>
      </text>
    </comment>
    <comment ref="O69" authorId="0" shapeId="0">
      <text>
        <t>GP Margin = Gross Profit $ / Total Revenue (Section 1 row 10).</t>
      </text>
    </comment>
    <comment ref="P69" authorId="0" shapeId="0">
      <text>
        <t>GP Margin = Gross Profit $ / Total Revenue (Section 1 row 10).</t>
      </text>
    </comment>
    <comment ref="G70" authorId="0" shapeId="0">
      <text>
        <t>YoY pts Δ vs Q1 2023.</t>
      </text>
    </comment>
    <comment ref="H70" authorId="0" shapeId="0">
      <text>
        <t>YoY pts Δ vs Q2 2023.</t>
      </text>
    </comment>
    <comment ref="I70" authorId="0" shapeId="0">
      <text>
        <t>YoY pts Δ vs Q3 2023.</t>
      </text>
    </comment>
    <comment ref="J70" authorId="0" shapeId="0">
      <text>
        <t>YoY pts Δ vs Q4 2023.</t>
      </text>
    </comment>
    <comment ref="K70" authorId="0" shapeId="0">
      <text>
        <t>YoY pts Δ vs FY2023.</t>
      </text>
    </comment>
    <comment ref="L70" authorId="0" shapeId="0">
      <text>
        <t>YoY pts Δ vs Q1 2024.</t>
      </text>
    </comment>
    <comment ref="M70" authorId="0" shapeId="0">
      <text>
        <t>YoY pts Δ vs Q2 2024.</t>
      </text>
    </comment>
    <comment ref="N70" authorId="0" shapeId="0">
      <text>
        <t>YoY pts Δ vs Q3 2024.</t>
      </text>
    </comment>
    <comment ref="O70" authorId="0" shapeId="0">
      <text>
        <t>YoY pts Δ vs Q4 2024.</t>
      </text>
    </comment>
    <comment ref="P70" authorId="0" shapeId="0">
      <text>
        <t>YoY pts Δ vs FY2024.</t>
      </text>
    </comment>
    <comment ref="B71" authorId="0" shapeId="0">
      <text>
        <t>Q1 2023 10-Q: Volume leverage; reduced mix of higher-cost intl cans (+); offset by inventory write-offs and freight from Pepsi distribution integration (-).</t>
      </text>
    </comment>
    <comment ref="C71" authorId="0" shapeId="0">
      <text>
        <t>Q2 2023 10-Q: Lower packaging/raw material cost; reduced waste; improved freight efficiencies.</t>
      </text>
    </comment>
    <comment ref="D71" authorId="0" shapeId="0">
      <text>
        <t>Q3 2023 10-Q: Packaging/raw material savings; waste reduction; freight lane efficiency; improved leverage on promotional allowances.</t>
      </text>
    </comment>
    <comment ref="F71" authorId="0" shapeId="0">
      <text>
        <t>FY2023 10-K: Efficiencies in raw material sourcing; product waste reduction.</t>
      </text>
    </comment>
    <comment ref="G71" authorId="0" shapeId="0">
      <text>
        <t>Q1 2024 10-Q: Decreases in raw/package material unit cost; reduced outbound freight as % of sales.</t>
      </text>
    </comment>
    <comment ref="H71" authorId="0" shapeId="0">
      <text>
        <t>Q2 2024 10-Q: Same drivers: raw/package material cost; freight efficiency.</t>
      </text>
    </comment>
    <comment ref="I71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1" authorId="0" shapeId="0">
      <text>
        <t>FY2024 10-K: Decreases in raw/package material unit cost; reduced outbound freight; partially offset by increased promotional allowances as % of revenue.</t>
      </text>
    </comment>
    <comment ref="L71" authorId="0" shapeId="0">
      <text>
        <t>Q1 2025 10-Q: Decreases in raw/package material unit costs (+); partially offset by increased promotional allowances as % of revenue (-).</t>
      </text>
    </comment>
    <comment ref="M71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1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1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D72" authorId="0" shapeId="0">
      <text>
        <t>Q3 2023 10-Q: Packaging/raw material savings; waste reduction; freight lane efficiency; improved leverage on promotional allowances.</t>
      </text>
    </comment>
    <comment ref="I72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2" authorId="0" shapeId="0">
      <text>
        <t>FY2024 10-K: Decreases in raw/package material unit cost; reduced outbound freight; partially offset by increased promotional allowances as % of revenue.</t>
      </text>
    </comment>
    <comment ref="L72" authorId="0" shapeId="0">
      <text>
        <t>Q1 2025 10-Q: Decreases in raw/package material unit costs (+); partially offset by increased promotional allowances as % of revenue (-).</t>
      </text>
    </comment>
    <comment ref="N72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2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B73" authorId="0" shapeId="0">
      <text>
        <t>Q1 2023 10-Q: Volume leverage; reduced mix of higher-cost intl cans (+); offset by inventory write-offs and freight from Pepsi distribution integration (-).</t>
      </text>
    </comment>
    <comment ref="C73" authorId="0" shapeId="0">
      <text>
        <t>Q2 2023 10-Q: Lower packaging/raw material cost; reduced waste; improved freight efficiencies.</t>
      </text>
    </comment>
    <comment ref="D73" authorId="0" shapeId="0">
      <text>
        <t>Q3 2023 10-Q: Packaging/raw material savings; waste reduction; freight lane efficiency; improved leverage on promotional allowances.</t>
      </text>
    </comment>
    <comment ref="G73" authorId="0" shapeId="0">
      <text>
        <t>Q1 2024 10-Q: Decreases in raw/package material unit cost; reduced outbound freight as % of sales.</t>
      </text>
    </comment>
    <comment ref="H73" authorId="0" shapeId="0">
      <text>
        <t>Q2 2024 10-Q: Same drivers: raw/package material cost; freight efficiency.</t>
      </text>
    </comment>
    <comment ref="I73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3" authorId="0" shapeId="0">
      <text>
        <t>FY2024 10-K: Decreases in raw/package material unit cost; reduced outbound freight; partially offset by increased promotional allowances as % of revenue.</t>
      </text>
    </comment>
    <comment ref="B74" authorId="0" shapeId="0">
      <text>
        <t>Q1 2023 10-Q: Volume leverage; reduced mix of higher-cost intl cans (+); offset by inventory write-offs and freight from Pepsi distribution integration (-).</t>
      </text>
    </comment>
    <comment ref="M74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4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4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5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5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5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6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P76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N77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B82" authorId="0" shapeId="0">
      <text>
        <t>Q1 2023 10-Q</t>
      </text>
    </comment>
    <comment ref="C82" authorId="0" shapeId="0">
      <text>
        <t>Q2 2023 10-Q</t>
      </text>
    </comment>
    <comment ref="D82" authorId="0" shapeId="0">
      <text>
        <t>Q3 2023 10-Q</t>
      </text>
    </comment>
    <comment ref="E82" authorId="0" shapeId="0">
      <text>
        <t>Q4 = FY - Q1 - Q2 - Q3.</t>
      </text>
    </comment>
    <comment ref="F82" authorId="0" shapeId="0">
      <text>
        <t>FY2023 10-K</t>
      </text>
    </comment>
    <comment ref="G82" authorId="0" shapeId="0">
      <text>
        <t>Q1 2024 10-Q</t>
      </text>
    </comment>
    <comment ref="H82" authorId="0" shapeId="0">
      <text>
        <t>Q2 2024 10-Q</t>
      </text>
    </comment>
    <comment ref="I82" authorId="0" shapeId="0">
      <text>
        <t>Q3 2024 10-Q</t>
      </text>
    </comment>
    <comment ref="J82" authorId="0" shapeId="0">
      <text>
        <t>Q4 = FY - Q1 - Q2 - Q3.</t>
      </text>
    </comment>
    <comment ref="K82" authorId="0" shapeId="0">
      <text>
        <t>FY2024 10-K</t>
      </text>
    </comment>
    <comment ref="L82" authorId="0" shapeId="0">
      <text>
        <t>Q1 2025 10-Q</t>
      </text>
    </comment>
    <comment ref="M82" authorId="0" shapeId="0">
      <text>
        <t>Q2 2025: implied from 9M 2025 Other (-$12.6M per Q3 2025 10-Q) minus Q1 (+$9.0M) minus Q3 (-$8.0M). Detail of Q2 walk not separately extracted.</t>
      </text>
    </comment>
    <comment ref="N82" authorId="0" shapeId="0">
      <text>
        <t>Q3 2025 10-Q. Net Other Expense (debt issued April 2025).</t>
      </text>
    </comment>
    <comment ref="O82" authorId="0" shapeId="0">
      <text>
        <t>Q4 2025 = FY (-16,000) - 9M (-12,600 per Q3 2025 10-Q 9M Other Inc/Exp) = -3,400. Hardcoded 9M value used.</t>
      </text>
    </comment>
    <comment ref="P82" authorId="0" shapeId="0">
      <text>
        <t>FY2025 10-K. Net Other Expense.</t>
      </text>
    </comment>
    <comment ref="P83" authorId="0" shapeId="0">
      <text>
        <t>FY2025 10-K full walk: +$49M interest expense (new $900M term loan); -$18.2M interest income (lower cash balance); +$12.6M Rockstar transition agency income; -$0.7M FX/other.</t>
      </text>
    </comment>
    <comment ref="N84" authorId="0" shapeId="0">
      <text>
        <t>Q3 2025 10-Q. Interest expense $18.2M (no debt prior year).</t>
      </text>
    </comment>
    <comment ref="P84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5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6" authorId="0" shapeId="0">
      <text>
        <t>FY2025 10-K full walk: +$49M interest expense (new $900M term loan); -$18.2M interest income (lower cash balance); +$12.6M Rockstar transition agency income; -$0.7M FX/other.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0" customWidth="1" min="17" max="17"/>
  </cols>
  <sheetData>
    <row r="1">
      <c r="A1" s="60" t="inlineStr">
        <is>
          <t>CELH -- MD&amp;A Revenue &amp; P&amp;L Disaggregation</t>
        </is>
      </c>
    </row>
    <row r="2">
      <c r="A2" s="61" t="inlineStr">
        <is>
          <t>Source: CELH 10-Q (Q1 2023 - Q3 2025) + 10-K (FY2023, FY2024, FY2025). $ in thousands. Q4 derived as FY - 9M YTD where derivable. Hover any cell for source note.</t>
        </is>
      </c>
    </row>
    <row r="4">
      <c r="A4" s="62" t="inlineStr">
        <is>
          <t>1. GEOGRAPHY -- Revenue ($ thousands, single-period)</t>
        </is>
      </c>
    </row>
    <row r="5">
      <c r="A5" s="92" t="inlineStr">
        <is>
          <t>Metric</t>
        </is>
      </c>
      <c r="B5" s="63" t="inlineStr">
        <is>
          <t>Q1 2023</t>
        </is>
      </c>
      <c r="C5" s="63" t="inlineStr">
        <is>
          <t>Q2 2023</t>
        </is>
      </c>
      <c r="D5" s="63" t="inlineStr">
        <is>
          <t>Q3 2023</t>
        </is>
      </c>
      <c r="E5" s="93" t="inlineStr">
        <is>
          <t>Q4 2023</t>
        </is>
      </c>
      <c r="F5" s="94" t="inlineStr">
        <is>
          <t>FY2023</t>
        </is>
      </c>
      <c r="G5" s="63" t="inlineStr">
        <is>
          <t>Q1 2024</t>
        </is>
      </c>
      <c r="H5" s="63" t="inlineStr">
        <is>
          <t>Q2 2024</t>
        </is>
      </c>
      <c r="I5" s="63" t="inlineStr">
        <is>
          <t>Q3 2024</t>
        </is>
      </c>
      <c r="J5" s="93" t="inlineStr">
        <is>
          <t>Q4 2024</t>
        </is>
      </c>
      <c r="K5" s="94" t="inlineStr">
        <is>
          <t>FY2024</t>
        </is>
      </c>
      <c r="L5" s="63" t="inlineStr">
        <is>
          <t>Q1 2025</t>
        </is>
      </c>
      <c r="M5" s="63" t="inlineStr">
        <is>
          <t>Q2 2025</t>
        </is>
      </c>
      <c r="N5" s="63" t="inlineStr">
        <is>
          <t>Q3 2025</t>
        </is>
      </c>
      <c r="O5" s="93" t="inlineStr">
        <is>
          <t>Q4 2025</t>
        </is>
      </c>
      <c r="P5" s="94" t="inlineStr">
        <is>
          <t>FY2025</t>
        </is>
      </c>
      <c r="Q5" s="92" t="inlineStr">
        <is>
          <t>Notes</t>
        </is>
      </c>
    </row>
    <row r="6">
      <c r="A6" s="64" t="inlineStr">
        <is>
          <t>North America</t>
        </is>
      </c>
      <c r="B6" s="65" t="n">
        <v>248552</v>
      </c>
      <c r="C6" s="65" t="n">
        <v>310815</v>
      </c>
      <c r="D6" s="65" t="n">
        <v>371178</v>
      </c>
      <c r="E6" s="66">
        <f>F6-D6-C6-B6</f>
        <v/>
      </c>
      <c r="F6" s="65" t="n">
        <v>1263341</v>
      </c>
      <c r="G6" s="65" t="n">
        <v>339512</v>
      </c>
      <c r="H6" s="65" t="n">
        <v>382351</v>
      </c>
      <c r="I6" s="65" t="n">
        <v>247125</v>
      </c>
      <c r="J6" s="66">
        <f>K6-I6-H6-G6</f>
        <v/>
      </c>
      <c r="K6" s="65" t="n">
        <v>1280894</v>
      </c>
      <c r="L6" s="65" t="n">
        <v>306534</v>
      </c>
      <c r="M6" s="65" t="n">
        <v>714459</v>
      </c>
      <c r="N6" s="65" t="n">
        <v>701990</v>
      </c>
      <c r="O6" s="66">
        <f>P6-N6-M6-L6</f>
        <v/>
      </c>
      <c r="P6" s="65" t="n">
        <v>2422490</v>
      </c>
    </row>
    <row r="7">
      <c r="A7" s="64" t="inlineStr">
        <is>
          <t>Europe</t>
        </is>
      </c>
      <c r="B7" s="65" t="n">
        <v>8652</v>
      </c>
      <c r="C7" s="65" t="n">
        <v>11909</v>
      </c>
      <c r="D7" s="65" t="n">
        <v>11038</v>
      </c>
      <c r="E7" s="66">
        <f>F7-D7-C7-B7</f>
        <v/>
      </c>
      <c r="F7" s="65" t="n">
        <v>43722</v>
      </c>
      <c r="G7" s="65" t="n">
        <v>14142</v>
      </c>
      <c r="H7" s="65" t="n">
        <v>16684</v>
      </c>
      <c r="I7" s="65" t="n">
        <v>16243</v>
      </c>
      <c r="J7" s="66">
        <f>K7-I7-H7-G7</f>
        <v/>
      </c>
      <c r="K7" s="65" t="n">
        <v>61696</v>
      </c>
      <c r="L7" s="65" t="n">
        <v>18659</v>
      </c>
      <c r="M7" s="65" t="n">
        <v>18301</v>
      </c>
      <c r="N7" s="65" t="n">
        <v>17691</v>
      </c>
      <c r="O7" s="66">
        <f>P7-N7-M7-L7</f>
        <v/>
      </c>
      <c r="P7" s="65" t="n">
        <v>72544</v>
      </c>
    </row>
    <row r="8">
      <c r="A8" s="64" t="inlineStr">
        <is>
          <t>Asia-Pacific</t>
        </is>
      </c>
      <c r="B8" s="65" t="n">
        <v>1258</v>
      </c>
      <c r="C8" s="65" t="n">
        <v>1606</v>
      </c>
      <c r="D8" s="65" t="n">
        <v>1247</v>
      </c>
      <c r="E8" s="66">
        <f>F8-D8-C8-B8</f>
        <v/>
      </c>
      <c r="F8" s="65" t="n">
        <v>4755</v>
      </c>
      <c r="G8" s="65" t="n">
        <v>675</v>
      </c>
      <c r="H8" s="65" t="n">
        <v>860</v>
      </c>
      <c r="I8" s="65" t="n">
        <v>594</v>
      </c>
      <c r="J8" s="66">
        <f>K8-I8-H8-G8</f>
        <v/>
      </c>
      <c r="K8" s="65" t="n">
        <v>5658</v>
      </c>
      <c r="L8" s="65" t="n">
        <v>2244</v>
      </c>
      <c r="M8" s="65" t="n">
        <v>4381</v>
      </c>
      <c r="N8" s="65" t="n">
        <v>3518</v>
      </c>
      <c r="O8" s="66">
        <f>P8-N8-M8-L8</f>
        <v/>
      </c>
      <c r="P8" s="65" t="n">
        <v>12971</v>
      </c>
    </row>
    <row r="9">
      <c r="A9" s="64" t="inlineStr">
        <is>
          <t>Other</t>
        </is>
      </c>
      <c r="B9" s="65" t="n">
        <v>1477</v>
      </c>
      <c r="C9" s="65" t="n">
        <v>1553</v>
      </c>
      <c r="D9" s="65" t="n">
        <v>1294</v>
      </c>
      <c r="E9" s="66">
        <f>F9-D9-C9-B9</f>
        <v/>
      </c>
      <c r="F9" s="65" t="n">
        <v>6196</v>
      </c>
      <c r="G9" s="65" t="n">
        <v>1379</v>
      </c>
      <c r="H9" s="65" t="n">
        <v>2082</v>
      </c>
      <c r="I9" s="65" t="n">
        <v>1786</v>
      </c>
      <c r="J9" s="66">
        <f>K9-I9-H9-G9</f>
        <v/>
      </c>
      <c r="K9" s="65" t="n">
        <v>7382</v>
      </c>
      <c r="L9" s="65" t="n">
        <v>1839</v>
      </c>
      <c r="M9" s="65" t="n">
        <v>2118</v>
      </c>
      <c r="N9" s="65" t="n">
        <v>1907</v>
      </c>
      <c r="O9" s="66">
        <f>P9-N9-M9-L9</f>
        <v/>
      </c>
      <c r="P9" s="65" t="n">
        <v>1400</v>
      </c>
    </row>
    <row r="10">
      <c r="A10" s="68" t="inlineStr">
        <is>
          <t>Total Revenue</t>
        </is>
      </c>
      <c r="B10" s="69">
        <f>SUM(B6:B9)</f>
        <v/>
      </c>
      <c r="C10" s="69">
        <f>SUM(C6:C9)</f>
        <v/>
      </c>
      <c r="D10" s="69">
        <f>SUM(D6:D9)</f>
        <v/>
      </c>
      <c r="E10" s="69">
        <f>SUM(E6:E9)</f>
        <v/>
      </c>
      <c r="F10" s="69">
        <f>SUM(F6:F9)</f>
        <v/>
      </c>
      <c r="G10" s="69">
        <f>SUM(G6:G9)</f>
        <v/>
      </c>
      <c r="H10" s="69">
        <f>SUM(H6:H9)</f>
        <v/>
      </c>
      <c r="I10" s="69">
        <f>SUM(I6:I9)</f>
        <v/>
      </c>
      <c r="J10" s="69">
        <f>SUM(J6:J9)</f>
        <v/>
      </c>
      <c r="K10" s="69">
        <f>SUM(K6:K9)</f>
        <v/>
      </c>
      <c r="L10" s="69">
        <f>SUM(L6:L9)</f>
        <v/>
      </c>
      <c r="M10" s="69">
        <f>SUM(M6:M9)</f>
        <v/>
      </c>
      <c r="N10" s="69">
        <f>SUM(N6:N9)</f>
        <v/>
      </c>
      <c r="O10" s="69">
        <f>SUM(O6:O9)</f>
        <v/>
      </c>
      <c r="P10" s="69">
        <f>SUM(P6:P9)</f>
        <v/>
      </c>
    </row>
    <row r="13">
      <c r="A13" s="62" t="inlineStr">
        <is>
          <t>2. CUSTOMER CONCENTRATION -- % of single-period revenue (only customers &gt; 10% disclosed). Q4 NOT derivable from FY/9M %.</t>
        </is>
      </c>
    </row>
    <row r="14">
      <c r="A14" s="92" t="inlineStr">
        <is>
          <t>Metric</t>
        </is>
      </c>
      <c r="B14" s="63" t="inlineStr">
        <is>
          <t>Q1 2023</t>
        </is>
      </c>
      <c r="C14" s="63" t="inlineStr">
        <is>
          <t>Q2 2023</t>
        </is>
      </c>
      <c r="D14" s="63" t="inlineStr">
        <is>
          <t>Q3 2023</t>
        </is>
      </c>
      <c r="E14" s="93" t="inlineStr">
        <is>
          <t>Q4 2023</t>
        </is>
      </c>
      <c r="F14" s="94" t="inlineStr">
        <is>
          <t>FY2023</t>
        </is>
      </c>
      <c r="G14" s="63" t="inlineStr">
        <is>
          <t>Q1 2024</t>
        </is>
      </c>
      <c r="H14" s="63" t="inlineStr">
        <is>
          <t>Q2 2024</t>
        </is>
      </c>
      <c r="I14" s="63" t="inlineStr">
        <is>
          <t>Q3 2024</t>
        </is>
      </c>
      <c r="J14" s="93" t="inlineStr">
        <is>
          <t>Q4 2024</t>
        </is>
      </c>
      <c r="K14" s="94" t="inlineStr">
        <is>
          <t>FY2024</t>
        </is>
      </c>
      <c r="L14" s="63" t="inlineStr">
        <is>
          <t>Q1 2025</t>
        </is>
      </c>
      <c r="M14" s="63" t="inlineStr">
        <is>
          <t>Q2 2025</t>
        </is>
      </c>
      <c r="N14" s="63" t="inlineStr">
        <is>
          <t>Q3 2025</t>
        </is>
      </c>
      <c r="O14" s="93" t="inlineStr">
        <is>
          <t>Q4 2025</t>
        </is>
      </c>
      <c r="P14" s="94" t="inlineStr">
        <is>
          <t>FY2025</t>
        </is>
      </c>
      <c r="Q14" s="92" t="inlineStr">
        <is>
          <t>Notes</t>
        </is>
      </c>
    </row>
    <row r="15">
      <c r="A15" s="64" t="inlineStr">
        <is>
          <t>Pepsi</t>
        </is>
      </c>
      <c r="B15" s="72" t="n">
        <v>0.602</v>
      </c>
      <c r="C15" s="72" t="n">
        <v>0.5669999999999999</v>
      </c>
      <c r="D15" s="72" t="n">
        <v>0.646</v>
      </c>
      <c r="E15" s="74" t="inlineStr">
        <is>
          <t>n/d</t>
        </is>
      </c>
      <c r="F15" s="72" t="n">
        <v>0.594</v>
      </c>
      <c r="G15" s="72" t="n">
        <v>0.592</v>
      </c>
      <c r="H15" s="72" t="n">
        <v>0.529</v>
      </c>
      <c r="I15" s="72" t="n">
        <v>0.47</v>
      </c>
      <c r="J15" s="74" t="inlineStr">
        <is>
          <t>n/d</t>
        </is>
      </c>
      <c r="K15" s="72" t="n">
        <v>0.547</v>
      </c>
      <c r="L15" s="72" t="n">
        <v>0.576</v>
      </c>
      <c r="M15" s="72" t="n">
        <v>0.333</v>
      </c>
      <c r="N15" s="72" t="n">
        <v>0.354</v>
      </c>
      <c r="O15" s="74" t="inlineStr">
        <is>
          <t>n/d</t>
        </is>
      </c>
      <c r="P15" s="72" t="n">
        <v>0.432</v>
      </c>
    </row>
    <row r="16">
      <c r="A16" s="64" t="inlineStr">
        <is>
          <t>Costco</t>
        </is>
      </c>
      <c r="B16" s="72" t="n">
        <v>0.129</v>
      </c>
      <c r="C16" s="72" t="n">
        <v>0.13</v>
      </c>
      <c r="D16" s="72" t="n">
        <v>0.089</v>
      </c>
      <c r="E16" s="74" t="inlineStr">
        <is>
          <t>n/d</t>
        </is>
      </c>
      <c r="F16" s="72" t="n">
        <v>0.12</v>
      </c>
      <c r="G16" s="72" t="n">
        <v>0.102</v>
      </c>
      <c r="H16" s="72" t="n">
        <v>0.121</v>
      </c>
      <c r="I16" s="72" t="n">
        <v>0.149</v>
      </c>
      <c r="J16" s="74" t="inlineStr">
        <is>
          <t>n/d</t>
        </is>
      </c>
      <c r="K16" s="72" t="n">
        <v>0.116</v>
      </c>
      <c r="L16" s="72" t="n">
        <v>0.059</v>
      </c>
      <c r="M16" s="72" t="n">
        <v>0.117</v>
      </c>
      <c r="N16" s="72" t="n">
        <v>0.111</v>
      </c>
      <c r="O16" s="74" t="inlineStr">
        <is>
          <t>n/d</t>
        </is>
      </c>
      <c r="P16" s="72" t="n">
        <v>0.108</v>
      </c>
    </row>
    <row r="17">
      <c r="A17" s="64" t="inlineStr">
        <is>
          <t>Amazon</t>
        </is>
      </c>
      <c r="B17" s="72" t="n">
        <v>0.08400000000000001</v>
      </c>
      <c r="C17" s="74" t="inlineStr">
        <is>
          <t>n/d</t>
        </is>
      </c>
      <c r="D17" s="74" t="inlineStr">
        <is>
          <t>n/d</t>
        </is>
      </c>
      <c r="E17" s="74" t="inlineStr">
        <is>
          <t>n/d</t>
        </is>
      </c>
      <c r="F17" s="72" t="n">
        <v>0.076</v>
      </c>
      <c r="G17" s="74" t="inlineStr">
        <is>
          <t>n/d</t>
        </is>
      </c>
      <c r="H17" s="74" t="inlineStr">
        <is>
          <t>n/d</t>
        </is>
      </c>
      <c r="I17" s="72" t="n">
        <v>0.102</v>
      </c>
      <c r="J17" s="74" t="inlineStr">
        <is>
          <t>n/d</t>
        </is>
      </c>
      <c r="K17" s="74" t="inlineStr">
        <is>
          <t>n/d</t>
        </is>
      </c>
      <c r="L17" s="72" t="n">
        <v>0.121</v>
      </c>
      <c r="M17" s="74" t="inlineStr">
        <is>
          <t>n/d</t>
        </is>
      </c>
      <c r="N17" s="72" t="n">
        <v>0.055</v>
      </c>
      <c r="O17" s="74" t="inlineStr">
        <is>
          <t>n/d</t>
        </is>
      </c>
      <c r="P17" s="74" t="inlineStr">
        <is>
          <t>n/d</t>
        </is>
      </c>
    </row>
    <row r="18">
      <c r="A18" s="64" t="inlineStr">
        <is>
          <t>All others</t>
        </is>
      </c>
      <c r="B18" s="72" t="n">
        <v>0.185</v>
      </c>
      <c r="C18" s="72" t="n">
        <v>0.303</v>
      </c>
      <c r="D18" s="72" t="n">
        <v>0.265</v>
      </c>
      <c r="E18" s="74" t="inlineStr">
        <is>
          <t>n/d</t>
        </is>
      </c>
      <c r="F18" s="72" t="n">
        <v>0.21</v>
      </c>
      <c r="G18" s="72" t="n">
        <v>0.306</v>
      </c>
      <c r="H18" s="72" t="n">
        <v>0.35</v>
      </c>
      <c r="I18" s="72" t="n">
        <v>0.279</v>
      </c>
      <c r="J18" s="74" t="inlineStr">
        <is>
          <t>n/d</t>
        </is>
      </c>
      <c r="K18" s="72" t="n">
        <v>0.337</v>
      </c>
      <c r="L18" s="72" t="n">
        <v>0.244</v>
      </c>
      <c r="M18" s="72" t="n">
        <v>0.55</v>
      </c>
      <c r="N18" s="72" t="n">
        <v>0.48</v>
      </c>
      <c r="O18" s="74" t="inlineStr">
        <is>
          <t>n/d</t>
        </is>
      </c>
      <c r="P18" s="72" t="n">
        <v>0.46</v>
      </c>
    </row>
    <row r="19">
      <c r="A19" s="68" t="inlineStr">
        <is>
          <t>Total</t>
        </is>
      </c>
      <c r="B19" s="75">
        <f>SUM(B15:B18)</f>
        <v/>
      </c>
      <c r="C19" s="75">
        <f>SUM(C15:C18)</f>
        <v/>
      </c>
      <c r="D19" s="75">
        <f>SUM(D15:D18)</f>
        <v/>
      </c>
      <c r="E19" s="95" t="inlineStr">
        <is>
          <t>n/d</t>
        </is>
      </c>
      <c r="F19" s="75">
        <f>SUM(F15:F18)</f>
        <v/>
      </c>
      <c r="G19" s="75">
        <f>SUM(G15:G18)</f>
        <v/>
      </c>
      <c r="H19" s="75">
        <f>SUM(H15:H18)</f>
        <v/>
      </c>
      <c r="I19" s="75">
        <f>SUM(I15:I18)</f>
        <v/>
      </c>
      <c r="J19" s="95" t="inlineStr">
        <is>
          <t>n/d</t>
        </is>
      </c>
      <c r="K19" s="75">
        <f>SUM(K15:K18)</f>
        <v/>
      </c>
      <c r="L19" s="75">
        <f>SUM(L15:L18)</f>
        <v/>
      </c>
      <c r="M19" s="75">
        <f>SUM(M15:M18)</f>
        <v/>
      </c>
      <c r="N19" s="75">
        <f>SUM(N15:N18)</f>
        <v/>
      </c>
      <c r="O19" s="95" t="inlineStr">
        <is>
          <t>n/d</t>
        </is>
      </c>
      <c r="P19" s="75">
        <f>SUM(P15:P18)</f>
        <v/>
      </c>
    </row>
    <row r="22">
      <c r="A22" s="62" t="inlineStr">
        <is>
          <t>3. FUNCTIONAL ENERGY DRINK PRODUCT CONCENTRATION -- % of revenue. Q4 NOT derivable (percentages).</t>
        </is>
      </c>
    </row>
    <row r="23">
      <c r="A23" s="92" t="inlineStr">
        <is>
          <t>Metric</t>
        </is>
      </c>
      <c r="B23" s="63" t="inlineStr">
        <is>
          <t>Q1 2023</t>
        </is>
      </c>
      <c r="C23" s="63" t="inlineStr">
        <is>
          <t>Q2 2023</t>
        </is>
      </c>
      <c r="D23" s="63" t="inlineStr">
        <is>
          <t>Q3 2023</t>
        </is>
      </c>
      <c r="E23" s="93" t="inlineStr">
        <is>
          <t>Q4 2023</t>
        </is>
      </c>
      <c r="F23" s="94" t="inlineStr">
        <is>
          <t>FY2023</t>
        </is>
      </c>
      <c r="G23" s="63" t="inlineStr">
        <is>
          <t>Q1 2024</t>
        </is>
      </c>
      <c r="H23" s="63" t="inlineStr">
        <is>
          <t>Q2 2024</t>
        </is>
      </c>
      <c r="I23" s="63" t="inlineStr">
        <is>
          <t>Q3 2024</t>
        </is>
      </c>
      <c r="J23" s="93" t="inlineStr">
        <is>
          <t>Q4 2024</t>
        </is>
      </c>
      <c r="K23" s="94" t="inlineStr">
        <is>
          <t>FY2024</t>
        </is>
      </c>
      <c r="L23" s="63" t="inlineStr">
        <is>
          <t>Q1 2025</t>
        </is>
      </c>
      <c r="M23" s="63" t="inlineStr">
        <is>
          <t>Q2 2025</t>
        </is>
      </c>
      <c r="N23" s="63" t="inlineStr">
        <is>
          <t>Q3 2025</t>
        </is>
      </c>
      <c r="O23" s="93" t="inlineStr">
        <is>
          <t>Q4 2025</t>
        </is>
      </c>
      <c r="P23" s="94" t="inlineStr">
        <is>
          <t>FY2025</t>
        </is>
      </c>
      <c r="Q23" s="92" t="inlineStr">
        <is>
          <t>Notes</t>
        </is>
      </c>
    </row>
    <row r="24">
      <c r="A24" s="64" t="inlineStr">
        <is>
          <t>Single-Period %</t>
        </is>
      </c>
      <c r="E24" s="74" t="inlineStr">
        <is>
          <t>n/d</t>
        </is>
      </c>
      <c r="F24" s="72" t="n">
        <v>0.961</v>
      </c>
      <c r="I24" s="72" t="n">
        <v>0.945</v>
      </c>
      <c r="J24" s="74" t="inlineStr">
        <is>
          <t>n/d</t>
        </is>
      </c>
      <c r="K24" s="72" t="n">
        <v>0.953</v>
      </c>
      <c r="M24" s="72" t="n">
        <v>0.926</v>
      </c>
      <c r="N24" s="72" t="n">
        <v>0.95</v>
      </c>
      <c r="O24" s="74" t="inlineStr">
        <is>
          <t>n/d</t>
        </is>
      </c>
      <c r="P24" s="72" t="n">
        <v>0.929</v>
      </c>
    </row>
    <row r="25">
      <c r="A25" s="64" t="inlineStr">
        <is>
          <t>YTD %</t>
        </is>
      </c>
      <c r="E25" s="74" t="inlineStr">
        <is>
          <t>n/d</t>
        </is>
      </c>
      <c r="I25" s="72" t="n">
        <v>0.954</v>
      </c>
      <c r="J25" s="74" t="inlineStr">
        <is>
          <t>n/d</t>
        </is>
      </c>
      <c r="M25" s="72" t="n">
        <v>0.9350000000000001</v>
      </c>
      <c r="N25" s="72" t="n">
        <v>0.9409999999999999</v>
      </c>
      <c r="O25" s="74" t="inlineStr">
        <is>
          <t>n/d</t>
        </is>
      </c>
    </row>
    <row r="28">
      <c r="A28" s="62" t="inlineStr">
        <is>
          <t>4. BRAND CONTRIBUTION -- Revenue ($ thousands, 2025 only). Pre-2025 = 100% Celsius.</t>
        </is>
      </c>
    </row>
    <row r="29">
      <c r="A29" s="92" t="inlineStr">
        <is>
          <t>Metric</t>
        </is>
      </c>
      <c r="B29" s="63" t="inlineStr">
        <is>
          <t>Q1 2023</t>
        </is>
      </c>
      <c r="C29" s="63" t="inlineStr">
        <is>
          <t>Q2 2023</t>
        </is>
      </c>
      <c r="D29" s="63" t="inlineStr">
        <is>
          <t>Q3 2023</t>
        </is>
      </c>
      <c r="E29" s="93" t="inlineStr">
        <is>
          <t>Q4 2023</t>
        </is>
      </c>
      <c r="F29" s="94" t="inlineStr">
        <is>
          <t>FY2023</t>
        </is>
      </c>
      <c r="G29" s="63" t="inlineStr">
        <is>
          <t>Q1 2024</t>
        </is>
      </c>
      <c r="H29" s="63" t="inlineStr">
        <is>
          <t>Q2 2024</t>
        </is>
      </c>
      <c r="I29" s="63" t="inlineStr">
        <is>
          <t>Q3 2024</t>
        </is>
      </c>
      <c r="J29" s="93" t="inlineStr">
        <is>
          <t>Q4 2024</t>
        </is>
      </c>
      <c r="K29" s="94" t="inlineStr">
        <is>
          <t>FY2024</t>
        </is>
      </c>
      <c r="L29" s="63" t="inlineStr">
        <is>
          <t>Q1 2025</t>
        </is>
      </c>
      <c r="M29" s="63" t="inlineStr">
        <is>
          <t>Q2 2025</t>
        </is>
      </c>
      <c r="N29" s="63" t="inlineStr">
        <is>
          <t>Q3 2025</t>
        </is>
      </c>
      <c r="O29" s="93" t="inlineStr">
        <is>
          <t>Q4 2025</t>
        </is>
      </c>
      <c r="P29" s="94" t="inlineStr">
        <is>
          <t>FY2025</t>
        </is>
      </c>
      <c r="Q29" s="92" t="inlineStr">
        <is>
          <t>Notes</t>
        </is>
      </c>
    </row>
    <row r="30">
      <c r="A30" s="64" t="inlineStr">
        <is>
          <t>Celsius (residual)</t>
        </is>
      </c>
      <c r="L30" s="66">
        <f>L10-L31-L32</f>
        <v/>
      </c>
      <c r="M30" s="66">
        <f>M10-M31-M32</f>
        <v/>
      </c>
      <c r="N30" s="66">
        <f>N10-N31-N32</f>
        <v/>
      </c>
      <c r="O30" s="66">
        <f>O10-O31-O32</f>
        <v/>
      </c>
      <c r="P30" s="66">
        <f>P10-P31-P32</f>
        <v/>
      </c>
    </row>
    <row r="31">
      <c r="A31" s="64" t="inlineStr">
        <is>
          <t>Alani Nu</t>
        </is>
      </c>
      <c r="L31" s="65" t="n">
        <v>0</v>
      </c>
      <c r="M31" s="65" t="n">
        <v>301200</v>
      </c>
      <c r="N31" s="65" t="n">
        <v>332000</v>
      </c>
      <c r="O31" s="66">
        <f>P31-L31-M31-N31</f>
        <v/>
      </c>
      <c r="P31" s="65" t="n">
        <v>1001900</v>
      </c>
    </row>
    <row r="32">
      <c r="A32" s="64" t="inlineStr">
        <is>
          <t>Rockstar</t>
        </is>
      </c>
      <c r="L32" s="65" t="n">
        <v>0</v>
      </c>
      <c r="M32" s="65" t="n">
        <v>0</v>
      </c>
      <c r="N32" s="65" t="n">
        <v>12200</v>
      </c>
      <c r="O32" s="66">
        <f>P32-L32-M32-N32</f>
        <v/>
      </c>
      <c r="P32" s="65" t="n">
        <v>55600</v>
      </c>
    </row>
    <row r="33">
      <c r="A33" s="68" t="inlineStr">
        <is>
          <t>Total Revenue (link)</t>
        </is>
      </c>
      <c r="L33" s="69">
        <f>L10</f>
        <v/>
      </c>
      <c r="M33" s="69">
        <f>M10</f>
        <v/>
      </c>
      <c r="N33" s="69">
        <f>N10</f>
        <v/>
      </c>
      <c r="O33" s="69">
        <f>O10</f>
        <v/>
      </c>
      <c r="P33" s="69">
        <f>P10</f>
        <v/>
      </c>
    </row>
    <row r="34">
      <c r="A34" s="64" t="inlineStr">
        <is>
          <t>% Alani of Revenue</t>
        </is>
      </c>
      <c r="L34" s="73">
        <f>IFERROR(L31/L33, 0)</f>
        <v/>
      </c>
      <c r="M34" s="73">
        <f>IFERROR(M31/M33, 0)</f>
        <v/>
      </c>
      <c r="N34" s="73">
        <f>IFERROR(N31/N33, 0)</f>
        <v/>
      </c>
      <c r="O34" s="73">
        <f>IFERROR(O31/O33, 0)</f>
        <v/>
      </c>
      <c r="P34" s="73">
        <f>IFERROR(P31/P33, 0)</f>
        <v/>
      </c>
    </row>
    <row r="37">
      <c r="A37" s="62" t="inlineStr">
        <is>
          <t>5. PRO FORMA vs AS-REPORTED -- Revenue ($ thousands). Pro forma = as if both Alani + Rockstar acquisitions closed Jan 1, 2024.</t>
        </is>
      </c>
    </row>
    <row r="38">
      <c r="A38" s="92" t="inlineStr">
        <is>
          <t>Metric</t>
        </is>
      </c>
      <c r="B38" s="63" t="inlineStr">
        <is>
          <t>Q3 2024</t>
        </is>
      </c>
      <c r="C38" s="63" t="inlineStr">
        <is>
          <t>Q3 2025</t>
        </is>
      </c>
      <c r="D38" s="63" t="inlineStr">
        <is>
          <t>9M 2024</t>
        </is>
      </c>
      <c r="E38" s="63" t="inlineStr">
        <is>
          <t>9M 2025</t>
        </is>
      </c>
      <c r="F38" s="94" t="inlineStr">
        <is>
          <t>FY2024</t>
        </is>
      </c>
      <c r="G38" s="94" t="inlineStr">
        <is>
          <t>FY2025</t>
        </is>
      </c>
    </row>
    <row r="39">
      <c r="A39" s="64" t="inlineStr">
        <is>
          <t>As-Reported Revenue</t>
        </is>
      </c>
      <c r="B39" s="65" t="n">
        <v>265748</v>
      </c>
      <c r="C39" s="65" t="n">
        <v>725106</v>
      </c>
      <c r="D39" s="65" t="n">
        <v>1023433</v>
      </c>
      <c r="E39" s="65" t="n">
        <v>1793641</v>
      </c>
      <c r="F39" s="65" t="n">
        <v>1355630</v>
      </c>
      <c r="G39" s="65" t="n">
        <v>2515269</v>
      </c>
    </row>
    <row r="40">
      <c r="A40" s="64" t="inlineStr">
        <is>
          <t>Pro Forma Revenue</t>
        </is>
      </c>
      <c r="B40" s="65" t="n">
        <v>513912</v>
      </c>
      <c r="C40" s="65" t="n">
        <v>798496</v>
      </c>
      <c r="D40" s="65" t="n">
        <v>1737287</v>
      </c>
      <c r="E40" s="65" t="n">
        <v>2271993</v>
      </c>
      <c r="F40" s="65" t="n">
        <v>2317965</v>
      </c>
      <c r="G40" s="65" t="n">
        <v>3003677</v>
      </c>
    </row>
    <row r="41">
      <c r="A41" s="64" t="inlineStr">
        <is>
          <t>Implied "Missing"</t>
        </is>
      </c>
      <c r="B41" s="66">
        <f>B40-B39</f>
        <v/>
      </c>
      <c r="C41" s="66">
        <f>C40-C39</f>
        <v/>
      </c>
      <c r="D41" s="66">
        <f>D40-D39</f>
        <v/>
      </c>
      <c r="E41" s="66">
        <f>E40-E39</f>
        <v/>
      </c>
      <c r="F41" s="66">
        <f>F40-F39</f>
        <v/>
      </c>
      <c r="G41" s="66">
        <f>G40-G39</f>
        <v/>
      </c>
    </row>
    <row r="42">
      <c r="A42" s="64" t="inlineStr">
        <is>
          <t>Pro Forma Y/Y %</t>
        </is>
      </c>
      <c r="C42" s="73">
        <f>C40/B40-1</f>
        <v/>
      </c>
      <c r="E42" s="73">
        <f>E40/D40-1</f>
        <v/>
      </c>
      <c r="G42" s="73">
        <f>G40/F40-1</f>
        <v/>
      </c>
    </row>
    <row r="45">
      <c r="A45" s="62" t="inlineStr">
        <is>
          <t>6. SG&amp;A WALK -- $ thousands. Driver Δ rows are period-over-period change. Q4 columns derived from FY - 9M (CELH does not publish Q4 walks).</t>
        </is>
      </c>
    </row>
    <row r="46">
      <c r="A46" s="92" t="inlineStr">
        <is>
          <t>Metric</t>
        </is>
      </c>
      <c r="B46" s="63" t="inlineStr">
        <is>
          <t>Q1 2023</t>
        </is>
      </c>
      <c r="C46" s="63" t="inlineStr">
        <is>
          <t>Q2 2023</t>
        </is>
      </c>
      <c r="D46" s="63" t="inlineStr">
        <is>
          <t>Q3 2023</t>
        </is>
      </c>
      <c r="E46" s="93" t="inlineStr">
        <is>
          <t>Q4 2023</t>
        </is>
      </c>
      <c r="F46" s="94" t="inlineStr">
        <is>
          <t>FY2023</t>
        </is>
      </c>
      <c r="G46" s="63" t="inlineStr">
        <is>
          <t>Q1 2024</t>
        </is>
      </c>
      <c r="H46" s="63" t="inlineStr">
        <is>
          <t>Q2 2024</t>
        </is>
      </c>
      <c r="I46" s="63" t="inlineStr">
        <is>
          <t>Q3 2024</t>
        </is>
      </c>
      <c r="J46" s="93" t="inlineStr">
        <is>
          <t>Q4 2024</t>
        </is>
      </c>
      <c r="K46" s="94" t="inlineStr">
        <is>
          <t>FY2024</t>
        </is>
      </c>
      <c r="L46" s="63" t="inlineStr">
        <is>
          <t>Q1 2025</t>
        </is>
      </c>
      <c r="M46" s="63" t="inlineStr">
        <is>
          <t>Q2 2025</t>
        </is>
      </c>
      <c r="N46" s="63" t="inlineStr">
        <is>
          <t>Q3 2025</t>
        </is>
      </c>
      <c r="O46" s="93" t="inlineStr">
        <is>
          <t>Q4 2025</t>
        </is>
      </c>
      <c r="P46" s="94" t="inlineStr">
        <is>
          <t>FY2025</t>
        </is>
      </c>
      <c r="Q46" s="92" t="inlineStr">
        <is>
          <t>Notes</t>
        </is>
      </c>
    </row>
    <row r="47">
      <c r="A47" s="92" t="inlineStr">
        <is>
          <t>Total SG&amp;A</t>
        </is>
      </c>
      <c r="B47" s="96" t="n">
        <v>68900</v>
      </c>
      <c r="C47" s="96" t="n">
        <v>94200</v>
      </c>
      <c r="D47" s="96" t="n">
        <v>96400</v>
      </c>
      <c r="E47" s="97">
        <f>F47-D47-C47-B47</f>
        <v/>
      </c>
      <c r="F47" s="96" t="n">
        <v>366800</v>
      </c>
      <c r="G47" s="96" t="n">
        <v>99000</v>
      </c>
      <c r="H47" s="96" t="n">
        <v>114900</v>
      </c>
      <c r="I47" s="96" t="n">
        <v>125400</v>
      </c>
      <c r="J47" s="97">
        <f>K47-I47-H47-G47</f>
        <v/>
      </c>
      <c r="K47" s="96" t="n">
        <v>524500</v>
      </c>
      <c r="L47" s="96" t="n">
        <v>120300</v>
      </c>
      <c r="M47" s="96" t="n">
        <v>237900</v>
      </c>
      <c r="N47" s="96" t="n">
        <v>205600</v>
      </c>
      <c r="O47" s="97">
        <f>P47-N47-M47-L47</f>
        <v/>
      </c>
      <c r="P47" s="96" t="n">
        <v>798800</v>
      </c>
    </row>
    <row r="48">
      <c r="A48" s="64" t="inlineStr">
        <is>
          <t>YoY Total Δ</t>
        </is>
      </c>
      <c r="G48" s="66">
        <f>G47-B47</f>
        <v/>
      </c>
      <c r="H48" s="66">
        <f>H47-C47</f>
        <v/>
      </c>
      <c r="I48" s="66">
        <f>I47-D47</f>
        <v/>
      </c>
      <c r="J48" s="66">
        <f>J47-E47</f>
        <v/>
      </c>
      <c r="K48" s="66">
        <f>K47-F47</f>
        <v/>
      </c>
      <c r="L48" s="66">
        <f>L47-G47</f>
        <v/>
      </c>
      <c r="M48" s="66">
        <f>M47-H47</f>
        <v/>
      </c>
      <c r="N48" s="66">
        <f>N47-I47</f>
        <v/>
      </c>
      <c r="O48" s="66">
        <f>O47-J47</f>
        <v/>
      </c>
      <c r="P48" s="66">
        <f>P47-K47</f>
        <v/>
      </c>
    </row>
    <row r="49">
      <c r="A49" s="64" t="inlineStr">
        <is>
          <t>Marketing Δ</t>
        </is>
      </c>
      <c r="B49" s="65" t="n">
        <v>16500</v>
      </c>
      <c r="C49" s="65" t="n">
        <v>21700</v>
      </c>
      <c r="D49" s="65" t="n">
        <v>21200</v>
      </c>
      <c r="E49" s="65" t="n">
        <v>15700</v>
      </c>
      <c r="F49" s="65" t="n">
        <v>75000</v>
      </c>
      <c r="G49" s="65" t="n">
        <v>14400</v>
      </c>
      <c r="H49" s="65" t="n">
        <v>22900</v>
      </c>
      <c r="I49" s="65" t="n">
        <v>17500</v>
      </c>
      <c r="J49" s="65" t="n">
        <v>5500</v>
      </c>
      <c r="K49" s="65" t="n">
        <v>61500</v>
      </c>
      <c r="L49" s="65" t="n">
        <v>2800</v>
      </c>
      <c r="M49" s="65" t="n">
        <v>17500</v>
      </c>
      <c r="N49" s="65" t="n">
        <v>17800</v>
      </c>
      <c r="O49" s="65" t="n">
        <v>38500</v>
      </c>
      <c r="P49" s="65" t="n">
        <v>76600</v>
      </c>
    </row>
    <row r="50">
      <c r="A50" s="64" t="inlineStr">
        <is>
          <t>Storage/Distrib Δ</t>
        </is>
      </c>
      <c r="B50" s="65" t="n">
        <v>-3000</v>
      </c>
      <c r="C50" s="65" t="n">
        <v>3000</v>
      </c>
      <c r="D50" s="65" t="n">
        <v>2200</v>
      </c>
      <c r="E50" s="65" t="n">
        <v>12100</v>
      </c>
      <c r="F50" s="65" t="n">
        <v>12100</v>
      </c>
      <c r="G50" s="65" t="n">
        <v>4500</v>
      </c>
    </row>
    <row r="51">
      <c r="A51" s="64" t="inlineStr">
        <is>
          <t>Employee Δ</t>
        </is>
      </c>
      <c r="B51" s="65" t="n">
        <v>3600</v>
      </c>
      <c r="C51" s="65" t="n">
        <v>1800</v>
      </c>
      <c r="D51" s="65" t="n">
        <v>3900</v>
      </c>
      <c r="E51" s="65" t="n">
        <v>4100</v>
      </c>
      <c r="F51" s="65" t="n">
        <v>13400</v>
      </c>
      <c r="G51" s="65" t="n">
        <v>7600</v>
      </c>
      <c r="H51" s="65" t="n">
        <v>9700</v>
      </c>
      <c r="I51" s="65" t="n">
        <v>9300</v>
      </c>
      <c r="J51" s="65" t="n">
        <v>8900</v>
      </c>
      <c r="K51" s="65" t="n">
        <v>35500</v>
      </c>
      <c r="L51" s="65" t="n">
        <v>4900</v>
      </c>
      <c r="M51" s="65" t="n">
        <v>7900</v>
      </c>
      <c r="N51" s="65" t="n">
        <v>4800</v>
      </c>
      <c r="O51" s="65" t="n">
        <v>13200</v>
      </c>
      <c r="P51" s="65" t="n">
        <v>29100</v>
      </c>
    </row>
    <row r="52">
      <c r="A52" s="64" t="inlineStr">
        <is>
          <t>G&amp;A/Admin Δ</t>
        </is>
      </c>
      <c r="B52" s="65" t="n">
        <v>5500</v>
      </c>
      <c r="C52" s="65" t="n">
        <v>15000</v>
      </c>
      <c r="D52" s="65" t="n">
        <v>-6300</v>
      </c>
      <c r="E52" s="65" t="n">
        <v>3900</v>
      </c>
      <c r="F52" s="65" t="n">
        <v>18000</v>
      </c>
      <c r="G52" s="65" t="n">
        <v>2800</v>
      </c>
      <c r="H52" s="65" t="n">
        <v>-10400</v>
      </c>
      <c r="L52" s="65" t="n">
        <v>12100</v>
      </c>
      <c r="M52" s="65" t="n">
        <v>16800</v>
      </c>
      <c r="N52" s="65" t="n">
        <v>4500</v>
      </c>
      <c r="O52" s="65" t="n">
        <v>-4400</v>
      </c>
      <c r="P52" s="65" t="n">
        <v>7600</v>
      </c>
    </row>
    <row r="53">
      <c r="A53" s="64" t="inlineStr">
        <is>
          <t>Stock Comp Δ</t>
        </is>
      </c>
      <c r="B53" s="65" t="n">
        <v>1200</v>
      </c>
      <c r="C53" s="65" t="n">
        <v>1500</v>
      </c>
      <c r="D53" s="65" t="n">
        <v>-1300</v>
      </c>
      <c r="E53" s="65" t="n">
        <v>-800</v>
      </c>
      <c r="F53" s="65" t="n">
        <v>600</v>
      </c>
      <c r="G53" s="65" t="n">
        <v>-1900</v>
      </c>
      <c r="H53" s="65" t="n">
        <v>-1000</v>
      </c>
    </row>
    <row r="54">
      <c r="A54" s="64" t="inlineStr">
        <is>
          <t>Distributor Term Δ</t>
        </is>
      </c>
      <c r="D54" s="65" t="n">
        <v>-149500</v>
      </c>
      <c r="E54" s="65" t="n">
        <v>-39400</v>
      </c>
      <c r="F54" s="65" t="n">
        <v>-181000</v>
      </c>
    </row>
    <row r="55">
      <c r="A55" s="64" t="inlineStr">
        <is>
          <t>Alani-attributable Δ</t>
        </is>
      </c>
      <c r="M55" s="65" t="n">
        <v>45500</v>
      </c>
      <c r="N55" s="65" t="n">
        <v>31800</v>
      </c>
      <c r="O55" s="65" t="n">
        <v>41100</v>
      </c>
      <c r="P55" s="65" t="n">
        <v>118400</v>
      </c>
    </row>
    <row r="56">
      <c r="A56" s="64" t="inlineStr">
        <is>
          <t>Acquisition/Integration Δ</t>
        </is>
      </c>
      <c r="M56" s="65" t="n">
        <v>16000</v>
      </c>
      <c r="N56" s="65" t="n">
        <v>15300</v>
      </c>
      <c r="O56" s="65" t="n">
        <v>4500</v>
      </c>
      <c r="P56" s="65" t="n">
        <v>44900</v>
      </c>
    </row>
    <row r="57">
      <c r="A57" s="64" t="inlineStr">
        <is>
          <t>Contingent Consid Δ</t>
        </is>
      </c>
      <c r="M57" s="65" t="n">
        <v>13800</v>
      </c>
      <c r="P57" s="65" t="n">
        <v>13800</v>
      </c>
    </row>
    <row r="58">
      <c r="A58" s="64" t="inlineStr">
        <is>
          <t>Legal Accrual Δ</t>
        </is>
      </c>
      <c r="J58" s="65" t="n">
        <v>52800</v>
      </c>
      <c r="K58" s="65" t="n">
        <v>52800</v>
      </c>
      <c r="O58" s="65" t="n">
        <v>-46000</v>
      </c>
      <c r="P58" s="65" t="n">
        <v>-46000</v>
      </c>
    </row>
    <row r="59">
      <c r="A59" s="64" t="inlineStr">
        <is>
          <t>Other Δ</t>
        </is>
      </c>
      <c r="B59" s="65" t="n">
        <v>1400</v>
      </c>
      <c r="C59" s="65" t="n">
        <v>4300</v>
      </c>
      <c r="G59" s="65" t="n">
        <v>2700</v>
      </c>
      <c r="H59" s="65" t="n">
        <v>-500</v>
      </c>
      <c r="I59" s="65" t="n">
        <v>2200</v>
      </c>
      <c r="J59" s="65" t="n">
        <v>23100</v>
      </c>
      <c r="K59" s="65" t="n">
        <v>20300</v>
      </c>
      <c r="L59" s="65" t="n">
        <v>1500</v>
      </c>
      <c r="N59" s="65" t="n">
        <v>6000</v>
      </c>
      <c r="O59" s="65" t="n">
        <v>19300</v>
      </c>
      <c r="P59" s="65" t="n">
        <v>29900</v>
      </c>
    </row>
    <row r="60">
      <c r="A60" s="64" t="inlineStr">
        <is>
          <t>Other (offset) Δ</t>
        </is>
      </c>
      <c r="J60" s="65" t="n">
        <v>-12400</v>
      </c>
      <c r="K60" s="65" t="n">
        <v>-12400</v>
      </c>
      <c r="O60" s="65" t="n">
        <v>-16400</v>
      </c>
    </row>
    <row r="61">
      <c r="A61" s="98" t="inlineStr">
        <is>
          <t>Σ Buckets (check)</t>
        </is>
      </c>
      <c r="B61" s="66">
        <f>SUM(B49:B60)</f>
        <v/>
      </c>
      <c r="C61" s="66">
        <f>SUM(C49:C60)</f>
        <v/>
      </c>
      <c r="D61" s="66">
        <f>SUM(D49:D60)</f>
        <v/>
      </c>
      <c r="E61" s="66">
        <f>SUM(E49:E60)</f>
        <v/>
      </c>
      <c r="F61" s="66">
        <f>SUM(F49:F60)</f>
        <v/>
      </c>
      <c r="G61" s="66">
        <f>SUM(G49:G60)</f>
        <v/>
      </c>
      <c r="H61" s="66">
        <f>SUM(H49:H60)</f>
        <v/>
      </c>
      <c r="I61" s="66">
        <f>SUM(I49:I60)</f>
        <v/>
      </c>
      <c r="J61" s="66">
        <f>SUM(J49:J60)</f>
        <v/>
      </c>
      <c r="K61" s="66">
        <f>SUM(K49:K60)</f>
        <v/>
      </c>
      <c r="L61" s="66">
        <f>SUM(L49:L60)</f>
        <v/>
      </c>
      <c r="M61" s="66">
        <f>SUM(M49:M60)</f>
        <v/>
      </c>
      <c r="N61" s="66">
        <f>SUM(N49:N60)</f>
        <v/>
      </c>
      <c r="O61" s="66">
        <f>SUM(O49:O60)</f>
        <v/>
      </c>
      <c r="P61" s="66">
        <f>SUM(P49:P60)</f>
        <v/>
      </c>
    </row>
    <row r="63">
      <c r="A63" s="92" t="inlineStr">
        <is>
          <t>Distributor Term Fees (IS line)</t>
        </is>
      </c>
      <c r="N63" s="96" t="n">
        <v>246700</v>
      </c>
      <c r="O63" s="66">
        <f>P63-N63-0-0</f>
        <v/>
      </c>
      <c r="P63" s="96" t="n">
        <v>327500</v>
      </c>
    </row>
    <row r="66">
      <c r="A66" s="62" t="inlineStr">
        <is>
          <t>7. GROSS PROFIT &amp; MARGIN -- $ thousands + %. Drivers are qualitative (CELH does NOT disclose $ bridges for GP).</t>
        </is>
      </c>
    </row>
    <row r="67">
      <c r="A67" s="92" t="inlineStr">
        <is>
          <t>Metric</t>
        </is>
      </c>
      <c r="B67" s="63" t="inlineStr">
        <is>
          <t>Q1 2023</t>
        </is>
      </c>
      <c r="C67" s="63" t="inlineStr">
        <is>
          <t>Q2 2023</t>
        </is>
      </c>
      <c r="D67" s="63" t="inlineStr">
        <is>
          <t>Q3 2023</t>
        </is>
      </c>
      <c r="E67" s="93" t="inlineStr">
        <is>
          <t>Q4 2023</t>
        </is>
      </c>
      <c r="F67" s="94" t="inlineStr">
        <is>
          <t>FY2023</t>
        </is>
      </c>
      <c r="G67" s="63" t="inlineStr">
        <is>
          <t>Q1 2024</t>
        </is>
      </c>
      <c r="H67" s="63" t="inlineStr">
        <is>
          <t>Q2 2024</t>
        </is>
      </c>
      <c r="I67" s="63" t="inlineStr">
        <is>
          <t>Q3 2024</t>
        </is>
      </c>
      <c r="J67" s="93" t="inlineStr">
        <is>
          <t>Q4 2024</t>
        </is>
      </c>
      <c r="K67" s="94" t="inlineStr">
        <is>
          <t>FY2024</t>
        </is>
      </c>
      <c r="L67" s="63" t="inlineStr">
        <is>
          <t>Q1 2025</t>
        </is>
      </c>
      <c r="M67" s="63" t="inlineStr">
        <is>
          <t>Q2 2025</t>
        </is>
      </c>
      <c r="N67" s="63" t="inlineStr">
        <is>
          <t>Q3 2025</t>
        </is>
      </c>
      <c r="O67" s="93" t="inlineStr">
        <is>
          <t>Q4 2025</t>
        </is>
      </c>
      <c r="P67" s="94" t="inlineStr">
        <is>
          <t>FY2025</t>
        </is>
      </c>
      <c r="Q67" s="92" t="inlineStr">
        <is>
          <t>Notes</t>
        </is>
      </c>
    </row>
    <row r="68">
      <c r="A68" s="64" t="inlineStr">
        <is>
          <t>Gross Profit $</t>
        </is>
      </c>
      <c r="B68" s="65" t="n">
        <v>113800</v>
      </c>
      <c r="C68" s="65" t="n">
        <v>159000</v>
      </c>
      <c r="D68" s="65" t="n">
        <v>194100</v>
      </c>
      <c r="E68" s="66">
        <f>F68-D68-C68-B68</f>
        <v/>
      </c>
      <c r="F68" s="65" t="n">
        <v>633100</v>
      </c>
      <c r="G68" s="65" t="n">
        <v>182200</v>
      </c>
      <c r="H68" s="65" t="n">
        <v>209100</v>
      </c>
      <c r="I68" s="65" t="n">
        <v>122200</v>
      </c>
      <c r="J68" s="66">
        <f>K68-I68-H68-G68</f>
        <v/>
      </c>
      <c r="K68" s="65" t="n">
        <v>680200</v>
      </c>
      <c r="L68" s="65" t="n">
        <v>172400</v>
      </c>
      <c r="M68" s="65" t="n">
        <v>380900</v>
      </c>
      <c r="N68" s="65" t="n">
        <v>372300</v>
      </c>
      <c r="O68" s="66">
        <f>P68-N68-M68-L68</f>
        <v/>
      </c>
      <c r="P68" s="65" t="n">
        <v>1267300</v>
      </c>
    </row>
    <row r="69">
      <c r="A69" s="92" t="inlineStr">
        <is>
          <t>GP Margin %</t>
        </is>
      </c>
      <c r="B69" s="99">
        <f>IFERROR(B68/B10, 0)</f>
        <v/>
      </c>
      <c r="C69" s="99">
        <f>IFERROR(C68/C10, 0)</f>
        <v/>
      </c>
      <c r="D69" s="99">
        <f>IFERROR(D68/D10, 0)</f>
        <v/>
      </c>
      <c r="E69" s="99">
        <f>IFERROR(E68/E10, 0)</f>
        <v/>
      </c>
      <c r="F69" s="99">
        <f>IFERROR(F68/F10, 0)</f>
        <v/>
      </c>
      <c r="G69" s="99">
        <f>IFERROR(G68/G10, 0)</f>
        <v/>
      </c>
      <c r="H69" s="99">
        <f>IFERROR(H68/H10, 0)</f>
        <v/>
      </c>
      <c r="I69" s="99">
        <f>IFERROR(I68/I10, 0)</f>
        <v/>
      </c>
      <c r="J69" s="99">
        <f>IFERROR(J68/J10, 0)</f>
        <v/>
      </c>
      <c r="K69" s="99">
        <f>IFERROR(K68/K10, 0)</f>
        <v/>
      </c>
      <c r="L69" s="99">
        <f>IFERROR(L68/L10, 0)</f>
        <v/>
      </c>
      <c r="M69" s="99">
        <f>IFERROR(M68/M10, 0)</f>
        <v/>
      </c>
      <c r="N69" s="99">
        <f>IFERROR(N68/N10, 0)</f>
        <v/>
      </c>
      <c r="O69" s="99">
        <f>IFERROR(O68/O10, 0)</f>
        <v/>
      </c>
      <c r="P69" s="99">
        <f>IFERROR(P68/P10, 0)</f>
        <v/>
      </c>
    </row>
    <row r="70">
      <c r="A70" s="64" t="inlineStr">
        <is>
          <t>YoY Δ pts</t>
        </is>
      </c>
      <c r="G70" s="73">
        <f>G69-B69</f>
        <v/>
      </c>
      <c r="H70" s="73">
        <f>H69-C69</f>
        <v/>
      </c>
      <c r="I70" s="73">
        <f>I69-D69</f>
        <v/>
      </c>
      <c r="J70" s="73">
        <f>J69-E69</f>
        <v/>
      </c>
      <c r="K70" s="73">
        <f>K69-F69</f>
        <v/>
      </c>
      <c r="L70" s="73">
        <f>L69-G69</f>
        <v/>
      </c>
      <c r="M70" s="73">
        <f>M69-H69</f>
        <v/>
      </c>
      <c r="N70" s="73">
        <f>N69-I69</f>
        <v/>
      </c>
      <c r="O70" s="73">
        <f>O69-J69</f>
        <v/>
      </c>
      <c r="P70" s="73">
        <f>P69-K69</f>
        <v/>
      </c>
    </row>
    <row r="71">
      <c r="A71" s="64" t="inlineStr">
        <is>
          <t>Raw Mat / Pkg</t>
        </is>
      </c>
      <c r="B71" s="88" t="inlineStr">
        <is>
          <t>+</t>
        </is>
      </c>
      <c r="C71" s="88" t="inlineStr">
        <is>
          <t>+</t>
        </is>
      </c>
      <c r="D71" s="88" t="inlineStr">
        <is>
          <t>+</t>
        </is>
      </c>
      <c r="F71" s="88" t="inlineStr">
        <is>
          <t>+</t>
        </is>
      </c>
      <c r="G71" s="88" t="inlineStr">
        <is>
          <t>+</t>
        </is>
      </c>
      <c r="H71" s="88" t="inlineStr">
        <is>
          <t>+</t>
        </is>
      </c>
      <c r="I71" s="88" t="inlineStr">
        <is>
          <t>+</t>
        </is>
      </c>
      <c r="K71" s="88" t="inlineStr">
        <is>
          <t>+</t>
        </is>
      </c>
      <c r="L71" s="88" t="inlineStr">
        <is>
          <t>+</t>
        </is>
      </c>
      <c r="M71" s="88" t="inlineStr">
        <is>
          <t>+</t>
        </is>
      </c>
      <c r="N71" s="88" t="inlineStr">
        <is>
          <t>+</t>
        </is>
      </c>
      <c r="P71" s="88" t="inlineStr">
        <is>
          <t>+</t>
        </is>
      </c>
    </row>
    <row r="72">
      <c r="A72" s="64" t="inlineStr">
        <is>
          <t>Promo Spend</t>
        </is>
      </c>
      <c r="D72" s="88" t="inlineStr">
        <is>
          <t>+</t>
        </is>
      </c>
      <c r="I72" s="89" t="inlineStr">
        <is>
          <t>-</t>
        </is>
      </c>
      <c r="K72" s="89" t="inlineStr">
        <is>
          <t>-</t>
        </is>
      </c>
      <c r="L72" s="89" t="inlineStr">
        <is>
          <t>-</t>
        </is>
      </c>
      <c r="N72" s="88" t="inlineStr">
        <is>
          <t>+</t>
        </is>
      </c>
      <c r="P72" s="88" t="inlineStr">
        <is>
          <t>+</t>
        </is>
      </c>
    </row>
    <row r="73">
      <c r="A73" s="64" t="inlineStr">
        <is>
          <t>Freight</t>
        </is>
      </c>
      <c r="B73" s="89" t="inlineStr">
        <is>
          <t>-</t>
        </is>
      </c>
      <c r="C73" s="88" t="inlineStr">
        <is>
          <t>+</t>
        </is>
      </c>
      <c r="D73" s="88" t="inlineStr">
        <is>
          <t>+</t>
        </is>
      </c>
      <c r="G73" s="88" t="inlineStr">
        <is>
          <t>+</t>
        </is>
      </c>
      <c r="H73" s="88" t="inlineStr">
        <is>
          <t>+</t>
        </is>
      </c>
      <c r="I73" s="88" t="inlineStr">
        <is>
          <t>+</t>
        </is>
      </c>
      <c r="K73" s="88" t="inlineStr">
        <is>
          <t>+</t>
        </is>
      </c>
    </row>
    <row r="74">
      <c r="A74" s="64" t="inlineStr">
        <is>
          <t>Channel/Pack Mix</t>
        </is>
      </c>
      <c r="B74" s="88" t="inlineStr">
        <is>
          <t>+</t>
        </is>
      </c>
      <c r="M74" s="88" t="inlineStr">
        <is>
          <t>+</t>
        </is>
      </c>
      <c r="N74" s="88" t="inlineStr">
        <is>
          <t>+</t>
        </is>
      </c>
      <c r="P74" s="88" t="inlineStr">
        <is>
          <t>+</t>
        </is>
      </c>
    </row>
    <row r="75">
      <c r="A75" s="64" t="inlineStr">
        <is>
          <t>Brand Mix Drag</t>
        </is>
      </c>
      <c r="M75" s="89" t="inlineStr">
        <is>
          <t>-</t>
        </is>
      </c>
      <c r="N75" s="89" t="inlineStr">
        <is>
          <t>-</t>
        </is>
      </c>
      <c r="P75" s="89" t="inlineStr">
        <is>
          <t>-</t>
        </is>
      </c>
    </row>
    <row r="76">
      <c r="A76" s="64" t="inlineStr">
        <is>
          <t>Inv Step-Up</t>
        </is>
      </c>
      <c r="M76" s="89" t="inlineStr">
        <is>
          <t>-</t>
        </is>
      </c>
      <c r="P76" s="89" t="inlineStr">
        <is>
          <t>-</t>
        </is>
      </c>
    </row>
    <row r="77">
      <c r="A77" s="64" t="inlineStr">
        <is>
          <t>Tariffs</t>
        </is>
      </c>
      <c r="N77" s="89" t="inlineStr">
        <is>
          <t>-</t>
        </is>
      </c>
    </row>
    <row r="80">
      <c r="A80" s="62" t="inlineStr">
        <is>
          <t>8. OTHER (EXPENSE) / INCOME WALK -- $ thousands. Pre-Q1 2025 was almost entirely interest income (no debt). Apr 2025: $900M term loan + Rockstar transition agency income create new components.</t>
        </is>
      </c>
    </row>
    <row r="81">
      <c r="A81" s="92" t="inlineStr">
        <is>
          <t>Metric</t>
        </is>
      </c>
      <c r="B81" s="63" t="inlineStr">
        <is>
          <t>Q1 2023</t>
        </is>
      </c>
      <c r="C81" s="63" t="inlineStr">
        <is>
          <t>Q2 2023</t>
        </is>
      </c>
      <c r="D81" s="63" t="inlineStr">
        <is>
          <t>Q3 2023</t>
        </is>
      </c>
      <c r="E81" s="93" t="inlineStr">
        <is>
          <t>Q4 2023</t>
        </is>
      </c>
      <c r="F81" s="94" t="inlineStr">
        <is>
          <t>FY2023</t>
        </is>
      </c>
      <c r="G81" s="63" t="inlineStr">
        <is>
          <t>Q1 2024</t>
        </is>
      </c>
      <c r="H81" s="63" t="inlineStr">
        <is>
          <t>Q2 2024</t>
        </is>
      </c>
      <c r="I81" s="63" t="inlineStr">
        <is>
          <t>Q3 2024</t>
        </is>
      </c>
      <c r="J81" s="93" t="inlineStr">
        <is>
          <t>Q4 2024</t>
        </is>
      </c>
      <c r="K81" s="94" t="inlineStr">
        <is>
          <t>FY2024</t>
        </is>
      </c>
      <c r="L81" s="63" t="inlineStr">
        <is>
          <t>Q1 2025</t>
        </is>
      </c>
      <c r="M81" s="63" t="inlineStr">
        <is>
          <t>Q2 2025</t>
        </is>
      </c>
      <c r="N81" s="63" t="inlineStr">
        <is>
          <t>Q3 2025</t>
        </is>
      </c>
      <c r="O81" s="93" t="inlineStr">
        <is>
          <t>Q4 2025</t>
        </is>
      </c>
      <c r="P81" s="94" t="inlineStr">
        <is>
          <t>FY2025</t>
        </is>
      </c>
      <c r="Q81" s="92" t="inlineStr">
        <is>
          <t>Notes</t>
        </is>
      </c>
    </row>
    <row r="82">
      <c r="A82" s="92" t="inlineStr">
        <is>
          <t>Total Other Inc/(Exp)</t>
        </is>
      </c>
      <c r="B82" s="96" t="n">
        <v>4900</v>
      </c>
      <c r="C82" s="96" t="n">
        <v>4600</v>
      </c>
      <c r="D82" s="96" t="n">
        <v>7000</v>
      </c>
      <c r="E82" s="66">
        <f>F82-D82-C82-B82</f>
        <v/>
      </c>
      <c r="F82" s="96" t="n">
        <v>25400</v>
      </c>
      <c r="G82" s="96" t="n">
        <v>9300</v>
      </c>
      <c r="H82" s="96" t="n">
        <v>10400</v>
      </c>
      <c r="I82" s="96" t="n">
        <v>11400</v>
      </c>
      <c r="J82" s="66">
        <f>K82-I82-H82-G82</f>
        <v/>
      </c>
      <c r="K82" s="96" t="n">
        <v>39300</v>
      </c>
      <c r="L82" s="96" t="n">
        <v>9000</v>
      </c>
      <c r="M82" s="96" t="n">
        <v>-13600</v>
      </c>
      <c r="N82" s="96" t="n">
        <v>-8000</v>
      </c>
      <c r="O82" s="66">
        <f>P82-(-12600)</f>
        <v/>
      </c>
      <c r="P82" s="96" t="n">
        <v>-16000</v>
      </c>
    </row>
    <row r="83">
      <c r="A83" s="64" t="inlineStr">
        <is>
          <t>Interest Income Δ</t>
        </is>
      </c>
      <c r="P83" s="65" t="n">
        <v>-18200</v>
      </c>
    </row>
    <row r="84">
      <c r="A84" s="64" t="inlineStr">
        <is>
          <t>Interest Expense Δ</t>
        </is>
      </c>
      <c r="N84" s="65" t="n">
        <v>-18200</v>
      </c>
      <c r="P84" s="65" t="n">
        <v>-49000</v>
      </c>
    </row>
    <row r="85">
      <c r="A85" s="64" t="inlineStr">
        <is>
          <t>Rockstar Agency Inc Δ</t>
        </is>
      </c>
      <c r="P85" s="65" t="n">
        <v>12600</v>
      </c>
    </row>
    <row r="86">
      <c r="A86" s="64" t="inlineStr">
        <is>
          <t>FX / Other Δ</t>
        </is>
      </c>
      <c r="P86" s="65" t="n">
        <v>-700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/>
      </c>
      <c r="I6" s="30">
        <f>'[1]SNAP Ban Impact'!E33</f>
        <v/>
      </c>
      <c r="J6" s="30">
        <f>'[1]SNAP Ban Impact'!F33</f>
        <v/>
      </c>
      <c r="K6" s="30">
        <f>'[1]SNAP Ban Impact'!G33</f>
        <v/>
      </c>
      <c r="L6" s="30">
        <f>'[1]SNAP Ban Impact'!H33</f>
        <v/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/>
      </c>
      <c r="I25" s="44">
        <f>'[1]GLP-1 Share Impact'!D22</f>
        <v/>
      </c>
      <c r="J25" s="44">
        <f>'[1]GLP-1 Share Impact'!E22</f>
        <v/>
      </c>
      <c r="K25" s="44">
        <f>'[1]GLP-1 Share Impact'!F22</f>
        <v/>
      </c>
      <c r="L25" s="44">
        <f>'[1]GLP-1 Share Impact'!G22</f>
        <v/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/>
      </c>
      <c r="I26" s="44">
        <f>'[1]SNAP Ban Impact'!E34</f>
        <v/>
      </c>
      <c r="J26" s="44">
        <f>'[1]SNAP Ban Impact'!F34</f>
        <v/>
      </c>
      <c r="K26" s="44">
        <f>'[1]SNAP Ban Impact'!G34</f>
        <v/>
      </c>
      <c r="L26" s="44">
        <f>'[1]SNAP Ban Impact'!H34</f>
        <v/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2026-05-05T21:55:30Z</dcterms:modified>
  <cp:lastModifiedBy>Gabriel Rodino</cp:lastModifiedBy>
</cp:coreProperties>
</file>