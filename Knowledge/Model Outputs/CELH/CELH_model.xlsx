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5" t="n"/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5" t="n"/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5" t="n"/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5" t="n"/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5" t="n"/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5" t="n"/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5" t="n"/>
      <c r="L15" s="5" t="n"/>
    </row>
    <row r="16">
      <c r="A16" s="3" t="inlineStr">
        <is>
          <t>Net Income (Loss) Attributable to Common Shareholders</t>
        </is>
      </c>
      <c r="B16" s="4" t="n">
        <v>3937</v>
      </c>
      <c r="C16" s="4" t="n">
        <v>-198808</v>
      </c>
      <c r="D16" s="4" t="n">
        <v>181991</v>
      </c>
      <c r="E16" s="4" t="n">
        <v>107457</v>
      </c>
      <c r="F16" s="4" t="n">
        <v>63837</v>
      </c>
      <c r="G16" s="9">
        <f>'QTR P&amp;L'!R16+'QTR P&amp;L'!S16+'QTR P&amp;L'!T16+'QTR P&amp;L'!U16</f>
        <v/>
      </c>
      <c r="H16" s="9">
        <f>'QTR P&amp;L'!V16+'QTR P&amp;L'!W16+'QTR P&amp;L'!X16+'QTR P&amp;L'!Y16</f>
        <v/>
      </c>
      <c r="I16" s="9">
        <f>'QTR P&amp;L'!Z16+'QTR P&amp;L'!AA16+'QTR P&amp;L'!AB16+'QTR P&amp;L'!AC16</f>
        <v/>
      </c>
      <c r="J16" s="9">
        <f>'QTR P&amp;L'!AD16+'QTR P&amp;L'!AE16+'QTR P&amp;L'!AF16+'QTR P&amp;L'!AG16</f>
        <v/>
      </c>
      <c r="K16" s="5" t="n"/>
      <c r="L16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5" t="n"/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5" t="n"/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5" t="n"/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5" t="n"/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5" t="n"/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5" t="n"/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5" t="n"/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5" t="n"/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5" t="n"/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5" t="n"/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5" t="n"/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5" t="n"/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5" t="n"/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5" t="n"/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5" t="n"/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5" t="n"/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5" t="n"/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5" t="n"/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5" t="n"/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5" t="n"/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5" t="n"/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5" t="n"/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5" t="n"/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5" t="n"/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5" t="n"/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5" t="n"/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5" t="n"/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5" t="n"/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5" t="n"/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5" t="n"/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5" t="n"/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5" t="n"/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5" t="n"/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5" t="n"/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5" t="n"/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5" t="n"/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5" t="n"/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5" t="n"/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5" t="n"/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5" t="n"/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5" t="n"/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5" t="n"/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5" t="n"/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5" t="n"/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5" t="n"/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5" t="n"/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5" t="n"/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5" t="n"/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5" t="n"/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5" t="n"/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5" t="n"/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5" t="n"/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5" t="n"/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5" t="n"/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5" t="n"/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5" t="n"/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5" t="n"/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5" t="n"/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5" t="n"/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5" t="n"/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5" t="n"/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5" t="n"/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5" t="n"/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5" t="n"/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5" t="n"/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5" t="n"/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5" t="n"/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5" t="n"/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5" t="n"/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5" t="n"/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5" t="n"/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5" t="n"/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5" t="n"/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5" t="n"/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5" t="n"/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5" t="n"/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5" t="n"/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4" t="n">
        <v>6679</v>
      </c>
      <c r="C16" s="4" t="n">
        <v>15838</v>
      </c>
      <c r="D16" s="4" t="n">
        <v>-170655</v>
      </c>
      <c r="E16" s="4" t="n">
        <v>34446</v>
      </c>
      <c r="F16" s="4" t="n">
        <v>72372</v>
      </c>
      <c r="G16" s="4" t="n">
        <v>142910</v>
      </c>
      <c r="H16" s="4" t="n">
        <v>64846</v>
      </c>
      <c r="I16" s="4" t="n">
        <v>131502</v>
      </c>
      <c r="J16" s="4" t="n">
        <v>131005</v>
      </c>
      <c r="K16" s="4" t="n">
        <v>34419</v>
      </c>
      <c r="L16" s="4" t="n">
        <v>119939</v>
      </c>
      <c r="M16" s="4" t="n"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DRIVERS'!R2)</f>
        <v/>
      </c>
      <c r="S2" s="9">
        <f>IF('IS DRIVERS'!$B2="QoQ",'QTR P&amp;L'!R2,'QTR P&amp;L'!O2)*(1+'IS DRIVERS'!S2)</f>
        <v/>
      </c>
      <c r="T2" s="9">
        <f>IF('IS DRIVERS'!$B2="QoQ",'QTR P&amp;L'!S2,'QTR P&amp;L'!P2)*(1+'IS DRIVERS'!T2)</f>
        <v/>
      </c>
      <c r="U2" s="9">
        <f>IF('IS DRIVERS'!$B2="QoQ",'QTR P&amp;L'!T2,'QTR P&amp;L'!Q2)*(1+'IS DRIVERS'!U2)</f>
        <v/>
      </c>
      <c r="V2" s="9">
        <f>IF('IS DRIVERS'!$B2="QoQ",'QTR P&amp;L'!U2,'QTR P&amp;L'!R2)*(1+'IS DRIVERS'!V2)</f>
        <v/>
      </c>
      <c r="W2" s="9">
        <f>IF('IS DRIVERS'!$B2="QoQ",'QTR P&amp;L'!V2,'QTR P&amp;L'!S2)*(1+'IS DRIVERS'!W2)</f>
        <v/>
      </c>
      <c r="X2" s="9">
        <f>IF('IS DRIVERS'!$B2="QoQ",'QTR P&amp;L'!W2,'QTR P&amp;L'!T2)*(1+'IS DRIVERS'!X2)</f>
        <v/>
      </c>
      <c r="Y2" s="9">
        <f>IF('IS DRIVERS'!$B2="QoQ",'QTR P&amp;L'!X2,'QTR P&amp;L'!U2)*(1+'IS DRIVERS'!Y2)</f>
        <v/>
      </c>
      <c r="Z2" s="9">
        <f>IF('IS DRIVERS'!$B2="QoQ",'QTR P&amp;L'!Y2,'QTR P&amp;L'!V2)*(1+'IS DRIVERS'!Z2)</f>
        <v/>
      </c>
      <c r="AA2" s="9">
        <f>IF('IS DRIVERS'!$B2="QoQ",'QTR P&amp;L'!Z2,'QTR P&amp;L'!W2)*(1+'IS DRIVERS'!AA2)</f>
        <v/>
      </c>
      <c r="AB2" s="9">
        <f>IF('IS DRIVERS'!$B2="QoQ",'QTR P&amp;L'!AA2,'QTR P&amp;L'!X2)*(1+'IS DRIVERS'!AB2)</f>
        <v/>
      </c>
      <c r="AC2" s="9">
        <f>IF('IS DRIVERS'!$B2="QoQ",'QTR P&amp;L'!AB2,'QTR P&amp;L'!Y2)*(1+'IS DRIVERS'!AC2)</f>
        <v/>
      </c>
      <c r="AD2" s="9">
        <f>IF('IS DRIVERS'!$B2="QoQ",'QTR P&amp;L'!AC2,'QTR P&amp;L'!Z2)*(1+'IS DRIVERS'!AD2)</f>
        <v/>
      </c>
      <c r="AE2" s="9">
        <f>IF('IS DRIVERS'!$B2="QoQ",'QTR P&amp;L'!AD2,'QTR P&amp;L'!AA2)*(1+'IS DRIVERS'!AE2)</f>
        <v/>
      </c>
      <c r="AF2" s="9">
        <f>IF('IS DRIVERS'!$B2="QoQ",'QTR P&amp;L'!AE2,'QTR P&amp;L'!AB2)*(1+'IS DRIVERS'!AF2)</f>
        <v/>
      </c>
      <c r="AG2" s="9">
        <f>IF('IS DRIVERS'!$B2="QoQ",'QTR P&amp;L'!AF2,'QTR P&amp;L'!AC2)*(1+'IS DRIVERS'!AG2)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DRIVERS'!R3</f>
        <v/>
      </c>
      <c r="S3" s="9">
        <f>'QTR P&amp;L'!S2*'IS DRIVERS'!S3</f>
        <v/>
      </c>
      <c r="T3" s="9">
        <f>'QTR P&amp;L'!T2*'IS DRIVERS'!T3</f>
        <v/>
      </c>
      <c r="U3" s="9">
        <f>'QTR P&amp;L'!U2*'IS DRIVERS'!U3</f>
        <v/>
      </c>
      <c r="V3" s="9">
        <f>'QTR P&amp;L'!V2*'IS DRIVERS'!V3</f>
        <v/>
      </c>
      <c r="W3" s="9">
        <f>'QTR P&amp;L'!W2*'IS DRIVERS'!W3</f>
        <v/>
      </c>
      <c r="X3" s="9">
        <f>'QTR P&amp;L'!X2*'IS DRIVERS'!X3</f>
        <v/>
      </c>
      <c r="Y3" s="9">
        <f>'QTR P&amp;L'!Y2*'IS DRIVERS'!Y3</f>
        <v/>
      </c>
      <c r="Z3" s="9">
        <f>'QTR P&amp;L'!Z2*'IS DRIVERS'!Z3</f>
        <v/>
      </c>
      <c r="AA3" s="9">
        <f>'QTR P&amp;L'!AA2*'IS DRIVERS'!AA3</f>
        <v/>
      </c>
      <c r="AB3" s="9">
        <f>'QTR P&amp;L'!AB2*'IS DRIVERS'!AB3</f>
        <v/>
      </c>
      <c r="AC3" s="9">
        <f>'QTR P&amp;L'!AC2*'IS DRIVERS'!AC3</f>
        <v/>
      </c>
      <c r="AD3" s="9">
        <f>'QTR P&amp;L'!AD2*'IS DRIVERS'!AD3</f>
        <v/>
      </c>
      <c r="AE3" s="9">
        <f>'QTR P&amp;L'!AE2*'IS DRIVERS'!AE3</f>
        <v/>
      </c>
      <c r="AF3" s="9">
        <f>'QTR P&amp;L'!AF2*'IS DRIVERS'!AF3</f>
        <v/>
      </c>
      <c r="AG3" s="9">
        <f>'QTR P&amp;L'!AG2*'IS DRIVERS'!AG3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DRIVERS'!R4</f>
        <v/>
      </c>
      <c r="S5" s="9">
        <f>'QTR P&amp;L'!S2*'IS DRIVERS'!S4</f>
        <v/>
      </c>
      <c r="T5" s="9">
        <f>'QTR P&amp;L'!T2*'IS DRIVERS'!T4</f>
        <v/>
      </c>
      <c r="U5" s="9">
        <f>'QTR P&amp;L'!U2*'IS DRIVERS'!U4</f>
        <v/>
      </c>
      <c r="V5" s="9">
        <f>'QTR P&amp;L'!V2*'IS DRIVERS'!V4</f>
        <v/>
      </c>
      <c r="W5" s="9">
        <f>'QTR P&amp;L'!W2*'IS DRIVERS'!W4</f>
        <v/>
      </c>
      <c r="X5" s="9">
        <f>'QTR P&amp;L'!X2*'IS DRIVERS'!X4</f>
        <v/>
      </c>
      <c r="Y5" s="9">
        <f>'QTR P&amp;L'!Y2*'IS DRIVERS'!Y4</f>
        <v/>
      </c>
      <c r="Z5" s="9">
        <f>'QTR P&amp;L'!Z2*'IS DRIVERS'!Z4</f>
        <v/>
      </c>
      <c r="AA5" s="9">
        <f>'QTR P&amp;L'!AA2*'IS DRIVERS'!AA4</f>
        <v/>
      </c>
      <c r="AB5" s="9">
        <f>'QTR P&amp;L'!AB2*'IS DRIVERS'!AB4</f>
        <v/>
      </c>
      <c r="AC5" s="9">
        <f>'QTR P&amp;L'!AC2*'IS DRIVERS'!AC4</f>
        <v/>
      </c>
      <c r="AD5" s="9">
        <f>'QTR P&amp;L'!AD2*'IS DRIVERS'!AD4</f>
        <v/>
      </c>
      <c r="AE5" s="9">
        <f>'QTR P&amp;L'!AE2*'IS DRIVERS'!AE4</f>
        <v/>
      </c>
      <c r="AF5" s="9">
        <f>'QTR P&amp;L'!AF2*'IS DRIVERS'!AF4</f>
        <v/>
      </c>
      <c r="AG5" s="9">
        <f>'QTR P&amp;L'!AG2*'IS DRIVERS'!AG4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DRIVERS'!R5</f>
        <v/>
      </c>
      <c r="S6" s="9">
        <f>'IS DRIVERS'!S5</f>
        <v/>
      </c>
      <c r="T6" s="9">
        <f>'IS DRIVERS'!T5</f>
        <v/>
      </c>
      <c r="U6" s="9">
        <f>'IS DRIVERS'!U5</f>
        <v/>
      </c>
      <c r="V6" s="9">
        <f>'IS DRIVERS'!V5</f>
        <v/>
      </c>
      <c r="W6" s="9">
        <f>'IS DRIVERS'!W5</f>
        <v/>
      </c>
      <c r="X6" s="9">
        <f>'IS DRIVERS'!X5</f>
        <v/>
      </c>
      <c r="Y6" s="9">
        <f>'IS DRIVERS'!Y5</f>
        <v/>
      </c>
      <c r="Z6" s="9">
        <f>'IS DRIVERS'!Z5</f>
        <v/>
      </c>
      <c r="AA6" s="9">
        <f>'IS DRIVERS'!AA5</f>
        <v/>
      </c>
      <c r="AB6" s="9">
        <f>'IS DRIVERS'!AB5</f>
        <v/>
      </c>
      <c r="AC6" s="9">
        <f>'IS DRIVERS'!AC5</f>
        <v/>
      </c>
      <c r="AD6" s="9">
        <f>'IS DRIVERS'!AD5</f>
        <v/>
      </c>
      <c r="AE6" s="9">
        <f>'IS DRIVERS'!AE5</f>
        <v/>
      </c>
      <c r="AF6" s="9">
        <f>'IS DRIVERS'!AF5</f>
        <v/>
      </c>
      <c r="AG6" s="9">
        <f>'IS DRIVERS'!AG5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DRIVERS'!R6</f>
        <v/>
      </c>
      <c r="S8" s="9">
        <f>'IS DRIVERS'!S6</f>
        <v/>
      </c>
      <c r="T8" s="9">
        <f>'IS DRIVERS'!T6</f>
        <v/>
      </c>
      <c r="U8" s="9">
        <f>'IS DRIVERS'!U6</f>
        <v/>
      </c>
      <c r="V8" s="9">
        <f>'IS DRIVERS'!V6</f>
        <v/>
      </c>
      <c r="W8" s="9">
        <f>'IS DRIVERS'!W6</f>
        <v/>
      </c>
      <c r="X8" s="9">
        <f>'IS DRIVERS'!X6</f>
        <v/>
      </c>
      <c r="Y8" s="9">
        <f>'IS DRIVERS'!Y6</f>
        <v/>
      </c>
      <c r="Z8" s="9">
        <f>'IS DRIVERS'!Z6</f>
        <v/>
      </c>
      <c r="AA8" s="9">
        <f>'IS DRIVERS'!AA6</f>
        <v/>
      </c>
      <c r="AB8" s="9">
        <f>'IS DRIVERS'!AB6</f>
        <v/>
      </c>
      <c r="AC8" s="9">
        <f>'IS DRIVERS'!AC6</f>
        <v/>
      </c>
      <c r="AD8" s="9">
        <f>'IS DRIVERS'!AD6</f>
        <v/>
      </c>
      <c r="AE8" s="9">
        <f>'IS DRIVERS'!AE6</f>
        <v/>
      </c>
      <c r="AF8" s="9">
        <f>'IS DRIVERS'!AF6</f>
        <v/>
      </c>
      <c r="AG8" s="9">
        <f>'IS DRIVERS'!AG6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DRIVERS'!R7</f>
        <v/>
      </c>
      <c r="S9" s="9">
        <f>'IS DRIVERS'!S7</f>
        <v/>
      </c>
      <c r="T9" s="9">
        <f>'IS DRIVERS'!T7</f>
        <v/>
      </c>
      <c r="U9" s="9">
        <f>'IS DRIVERS'!U7</f>
        <v/>
      </c>
      <c r="V9" s="9">
        <f>'IS DRIVERS'!V7</f>
        <v/>
      </c>
      <c r="W9" s="9">
        <f>'IS DRIVERS'!W7</f>
        <v/>
      </c>
      <c r="X9" s="9">
        <f>'IS DRIVERS'!X7</f>
        <v/>
      </c>
      <c r="Y9" s="9">
        <f>'IS DRIVERS'!Y7</f>
        <v/>
      </c>
      <c r="Z9" s="9">
        <f>'IS DRIVERS'!Z7</f>
        <v/>
      </c>
      <c r="AA9" s="9">
        <f>'IS DRIVERS'!AA7</f>
        <v/>
      </c>
      <c r="AB9" s="9">
        <f>'IS DRIVERS'!AB7</f>
        <v/>
      </c>
      <c r="AC9" s="9">
        <f>'IS DRIVERS'!AC7</f>
        <v/>
      </c>
      <c r="AD9" s="9">
        <f>'IS DRIVERS'!AD7</f>
        <v/>
      </c>
      <c r="AE9" s="9">
        <f>'IS DRIVERS'!AE7</f>
        <v/>
      </c>
      <c r="AF9" s="9">
        <f>'IS DRIVERS'!AF7</f>
        <v/>
      </c>
      <c r="AG9" s="9">
        <f>'IS DRIVERS'!AG7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DRIVERS'!R8</f>
        <v/>
      </c>
      <c r="S10" s="9">
        <f>'IS DRIVERS'!S8</f>
        <v/>
      </c>
      <c r="T10" s="9">
        <f>'IS DRIVERS'!T8</f>
        <v/>
      </c>
      <c r="U10" s="9">
        <f>'IS DRIVERS'!U8</f>
        <v/>
      </c>
      <c r="V10" s="9">
        <f>'IS DRIVERS'!V8</f>
        <v/>
      </c>
      <c r="W10" s="9">
        <f>'IS DRIVERS'!W8</f>
        <v/>
      </c>
      <c r="X10" s="9">
        <f>'IS DRIVERS'!X8</f>
        <v/>
      </c>
      <c r="Y10" s="9">
        <f>'IS DRIVERS'!Y8</f>
        <v/>
      </c>
      <c r="Z10" s="9">
        <f>'IS DRIVERS'!Z8</f>
        <v/>
      </c>
      <c r="AA10" s="9">
        <f>'IS DRIVERS'!AA8</f>
        <v/>
      </c>
      <c r="AB10" s="9">
        <f>'IS DRIVERS'!AB8</f>
        <v/>
      </c>
      <c r="AC10" s="9">
        <f>'IS DRIVERS'!AC8</f>
        <v/>
      </c>
      <c r="AD10" s="9">
        <f>'IS DRIVERS'!AD8</f>
        <v/>
      </c>
      <c r="AE10" s="9">
        <f>'IS DRIVERS'!AE8</f>
        <v/>
      </c>
      <c r="AF10" s="9">
        <f>'IS DRIVERS'!AF8</f>
        <v/>
      </c>
      <c r="AG10" s="9">
        <f>'IS DRIVERS'!AG8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DRIVERS'!R9</f>
        <v/>
      </c>
      <c r="S12" s="9">
        <f>'QTR P&amp;L'!S11*'IS DRIVERS'!S9</f>
        <v/>
      </c>
      <c r="T12" s="9">
        <f>'QTR P&amp;L'!T11*'IS DRIVERS'!T9</f>
        <v/>
      </c>
      <c r="U12" s="9">
        <f>'QTR P&amp;L'!U11*'IS DRIVERS'!U9</f>
        <v/>
      </c>
      <c r="V12" s="9">
        <f>'QTR P&amp;L'!V11*'IS DRIVERS'!V9</f>
        <v/>
      </c>
      <c r="W12" s="9">
        <f>'QTR P&amp;L'!W11*'IS DRIVERS'!W9</f>
        <v/>
      </c>
      <c r="X12" s="9">
        <f>'QTR P&amp;L'!X11*'IS DRIVERS'!X9</f>
        <v/>
      </c>
      <c r="Y12" s="9">
        <f>'QTR P&amp;L'!Y11*'IS DRIVERS'!Y9</f>
        <v/>
      </c>
      <c r="Z12" s="9">
        <f>'QTR P&amp;L'!Z11*'IS DRIVERS'!Z9</f>
        <v/>
      </c>
      <c r="AA12" s="9">
        <f>'QTR P&amp;L'!AA11*'IS DRIVERS'!AA9</f>
        <v/>
      </c>
      <c r="AB12" s="9">
        <f>'QTR P&amp;L'!AB11*'IS DRIVERS'!AB9</f>
        <v/>
      </c>
      <c r="AC12" s="9">
        <f>'QTR P&amp;L'!AC11*'IS DRIVERS'!AC9</f>
        <v/>
      </c>
      <c r="AD12" s="9">
        <f>'QTR P&amp;L'!AD11*'IS DRIVERS'!AD9</f>
        <v/>
      </c>
      <c r="AE12" s="9">
        <f>'QTR P&amp;L'!AE11*'IS DRIVERS'!AE9</f>
        <v/>
      </c>
      <c r="AF12" s="9">
        <f>'QTR P&amp;L'!AF11*'IS DRIVERS'!AF9</f>
        <v/>
      </c>
      <c r="AG12" s="9">
        <f>'QTR P&amp;L'!AG11*'IS DRIVERS'!AG9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</row>
    <row r="16">
      <c r="A16" s="3" t="inlineStr">
        <is>
          <t>Net Income (Loss) Attributable to Common Shareholders</t>
        </is>
      </c>
      <c r="B16" s="4">
        <f>'YTD P&amp;L'!B16</f>
        <v/>
      </c>
      <c r="C16" s="4">
        <f>'YTD P&amp;L'!C16-'YTD P&amp;L'!B16</f>
        <v/>
      </c>
      <c r="D16" s="4">
        <f>'YTD P&amp;L'!D16-'YTD P&amp;L'!C16</f>
        <v/>
      </c>
      <c r="E16" s="4">
        <f>'ANNL P&amp;L'!C16-'YTD P&amp;L'!D16</f>
        <v/>
      </c>
      <c r="F16" s="4">
        <f>'YTD P&amp;L'!E16</f>
        <v/>
      </c>
      <c r="G16" s="4">
        <f>'YTD P&amp;L'!F16-'YTD P&amp;L'!E16</f>
        <v/>
      </c>
      <c r="H16" s="4">
        <f>'YTD P&amp;L'!G16-'YTD P&amp;L'!F16</f>
        <v/>
      </c>
      <c r="I16" s="4">
        <f>'ANNL P&amp;L'!D16-'YTD P&amp;L'!G16</f>
        <v/>
      </c>
      <c r="J16" s="4">
        <f>'YTD P&amp;L'!H16</f>
        <v/>
      </c>
      <c r="K16" s="4">
        <f>'YTD P&amp;L'!I16-'YTD P&amp;L'!H16</f>
        <v/>
      </c>
      <c r="L16" s="4">
        <f>'YTD P&amp;L'!J16-'YTD P&amp;L'!I16</f>
        <v/>
      </c>
      <c r="M16" s="4">
        <f>'ANNL P&amp;L'!E16-'YTD P&amp;L'!J16</f>
        <v/>
      </c>
      <c r="N16" s="4">
        <f>'YTD P&amp;L'!K16</f>
        <v/>
      </c>
      <c r="O16" s="4">
        <f>'YTD P&amp;L'!L16-'YTD P&amp;L'!K16</f>
        <v/>
      </c>
      <c r="P16" s="4">
        <f>'YTD P&amp;L'!M16-'YTD P&amp;L'!L16</f>
        <v/>
      </c>
      <c r="Q16" s="4">
        <f>'ANNL P&amp;L'!F16-'YTD P&amp;L'!M16</f>
        <v/>
      </c>
      <c r="R16" s="9">
        <f>'QTR P&amp;L'!R2*'IS DRIVERS'!R10</f>
        <v/>
      </c>
      <c r="S16" s="9">
        <f>'QTR P&amp;L'!S2*'IS DRIVERS'!S10</f>
        <v/>
      </c>
      <c r="T16" s="9">
        <f>'QTR P&amp;L'!T2*'IS DRIVERS'!T10</f>
        <v/>
      </c>
      <c r="U16" s="9">
        <f>'QTR P&amp;L'!U2*'IS DRIVERS'!U10</f>
        <v/>
      </c>
      <c r="V16" s="9">
        <f>'QTR P&amp;L'!V2*'IS DRIVERS'!V10</f>
        <v/>
      </c>
      <c r="W16" s="9">
        <f>'QTR P&amp;L'!W2*'IS DRIVERS'!W10</f>
        <v/>
      </c>
      <c r="X16" s="9">
        <f>'QTR P&amp;L'!X2*'IS DRIVERS'!X10</f>
        <v/>
      </c>
      <c r="Y16" s="9">
        <f>'QTR P&amp;L'!Y2*'IS DRIVERS'!Y10</f>
        <v/>
      </c>
      <c r="Z16" s="9">
        <f>'QTR P&amp;L'!Z2*'IS DRIVERS'!Z10</f>
        <v/>
      </c>
      <c r="AA16" s="9">
        <f>'QTR P&amp;L'!AA2*'IS DRIVERS'!AA10</f>
        <v/>
      </c>
      <c r="AB16" s="9">
        <f>'QTR P&amp;L'!AB2*'IS DRIVERS'!AB10</f>
        <v/>
      </c>
      <c r="AC16" s="9">
        <f>'QTR P&amp;L'!AC2*'IS DRIVERS'!AC10</f>
        <v/>
      </c>
      <c r="AD16" s="9">
        <f>'QTR P&amp;L'!AD2*'IS DRIVERS'!AD10</f>
        <v/>
      </c>
      <c r="AE16" s="9">
        <f>'QTR P&amp;L'!AE2*'IS DRIVERS'!AE10</f>
        <v/>
      </c>
      <c r="AF16" s="9">
        <f>'QTR P&amp;L'!AF2*'IS DRIVERS'!AF10</f>
        <v/>
      </c>
      <c r="AG16" s="9">
        <f>'QTR P&amp;L'!AG2*'IS DRIVERS'!AG10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R2</f>
        <v/>
      </c>
      <c r="T2" s="12">
        <f>R2</f>
        <v/>
      </c>
      <c r="U2" s="12">
        <f>R2</f>
        <v/>
      </c>
      <c r="V2" s="12">
        <f>R2</f>
        <v/>
      </c>
      <c r="W2" s="12">
        <f>R2</f>
        <v/>
      </c>
      <c r="X2" s="12">
        <f>R2</f>
        <v/>
      </c>
      <c r="Y2" s="12">
        <f>R2</f>
        <v/>
      </c>
      <c r="Z2" s="12">
        <f>R2</f>
        <v/>
      </c>
      <c r="AA2" s="12">
        <f>R2</f>
        <v/>
      </c>
      <c r="AB2" s="12">
        <f>R2</f>
        <v/>
      </c>
      <c r="AC2" s="12">
        <f>R2</f>
        <v/>
      </c>
      <c r="AD2" s="12">
        <f>R2</f>
        <v/>
      </c>
      <c r="AE2" s="12">
        <f>R2</f>
        <v/>
      </c>
      <c r="AF2" s="12">
        <f>R2</f>
        <v/>
      </c>
      <c r="AG2" s="12">
        <f>R2</f>
        <v/>
      </c>
      <c r="AH2" s="12">
        <f>R2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R3</f>
        <v/>
      </c>
      <c r="U3" s="12">
        <f>R3</f>
        <v/>
      </c>
      <c r="V3" s="12">
        <f>R3</f>
        <v/>
      </c>
      <c r="W3" s="12">
        <f>R3</f>
        <v/>
      </c>
      <c r="X3" s="12">
        <f>R3</f>
        <v/>
      </c>
      <c r="Y3" s="12">
        <f>R3</f>
        <v/>
      </c>
      <c r="Z3" s="12">
        <f>R3</f>
        <v/>
      </c>
      <c r="AA3" s="12">
        <f>R3</f>
        <v/>
      </c>
      <c r="AB3" s="12">
        <f>R3</f>
        <v/>
      </c>
      <c r="AC3" s="12">
        <f>R3</f>
        <v/>
      </c>
      <c r="AD3" s="12">
        <f>R3</f>
        <v/>
      </c>
      <c r="AE3" s="12">
        <f>R3</f>
        <v/>
      </c>
      <c r="AF3" s="12">
        <f>R3</f>
        <v/>
      </c>
      <c r="AG3" s="12">
        <f>R3</f>
        <v/>
      </c>
      <c r="AH3" s="12">
        <f>R3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R4</f>
        <v/>
      </c>
      <c r="U4" s="12">
        <f>R4</f>
        <v/>
      </c>
      <c r="V4" s="12">
        <f>R4</f>
        <v/>
      </c>
      <c r="W4" s="12">
        <f>R4</f>
        <v/>
      </c>
      <c r="X4" s="12">
        <f>R4</f>
        <v/>
      </c>
      <c r="Y4" s="12">
        <f>R4</f>
        <v/>
      </c>
      <c r="Z4" s="12">
        <f>R4</f>
        <v/>
      </c>
      <c r="AA4" s="12">
        <f>R4</f>
        <v/>
      </c>
      <c r="AB4" s="12">
        <f>R4</f>
        <v/>
      </c>
      <c r="AC4" s="12">
        <f>R4</f>
        <v/>
      </c>
      <c r="AD4" s="12">
        <f>R4</f>
        <v/>
      </c>
      <c r="AE4" s="12">
        <f>R4</f>
        <v/>
      </c>
      <c r="AF4" s="12">
        <f>R4</f>
        <v/>
      </c>
      <c r="AG4" s="12">
        <f>R4</f>
        <v/>
      </c>
      <c r="AH4" s="12">
        <f>R4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R6</f>
        <v/>
      </c>
      <c r="U6" s="13">
        <f>R6</f>
        <v/>
      </c>
      <c r="V6" s="13">
        <f>R6</f>
        <v/>
      </c>
      <c r="W6" s="13">
        <f>R6</f>
        <v/>
      </c>
      <c r="X6" s="13">
        <f>R6</f>
        <v/>
      </c>
      <c r="Y6" s="13">
        <f>R6</f>
        <v/>
      </c>
      <c r="Z6" s="13">
        <f>R6</f>
        <v/>
      </c>
      <c r="AA6" s="13">
        <f>R6</f>
        <v/>
      </c>
      <c r="AB6" s="13">
        <f>R6</f>
        <v/>
      </c>
      <c r="AC6" s="13">
        <f>R6</f>
        <v/>
      </c>
      <c r="AD6" s="13">
        <f>R6</f>
        <v/>
      </c>
      <c r="AE6" s="13">
        <f>R6</f>
        <v/>
      </c>
      <c r="AF6" s="13">
        <f>R6</f>
        <v/>
      </c>
      <c r="AG6" s="13">
        <f>R6</f>
        <v/>
      </c>
      <c r="AH6" s="13">
        <f>R6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R7</f>
        <v/>
      </c>
      <c r="U7" s="13">
        <f>R7</f>
        <v/>
      </c>
      <c r="V7" s="13">
        <f>R7</f>
        <v/>
      </c>
      <c r="W7" s="13">
        <f>R7</f>
        <v/>
      </c>
      <c r="X7" s="13">
        <f>R7</f>
        <v/>
      </c>
      <c r="Y7" s="13">
        <f>R7</f>
        <v/>
      </c>
      <c r="Z7" s="13">
        <f>R7</f>
        <v/>
      </c>
      <c r="AA7" s="13">
        <f>R7</f>
        <v/>
      </c>
      <c r="AB7" s="13">
        <f>R7</f>
        <v/>
      </c>
      <c r="AC7" s="13">
        <f>R7</f>
        <v/>
      </c>
      <c r="AD7" s="13">
        <f>R7</f>
        <v/>
      </c>
      <c r="AE7" s="13">
        <f>R7</f>
        <v/>
      </c>
      <c r="AF7" s="13">
        <f>R7</f>
        <v/>
      </c>
      <c r="AG7" s="13">
        <f>R7</f>
        <v/>
      </c>
      <c r="AH7" s="13">
        <f>R7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R8</f>
        <v/>
      </c>
      <c r="U8" s="13">
        <f>R8</f>
        <v/>
      </c>
      <c r="V8" s="13">
        <f>R8</f>
        <v/>
      </c>
      <c r="W8" s="13">
        <f>R8</f>
        <v/>
      </c>
      <c r="X8" s="13">
        <f>R8</f>
        <v/>
      </c>
      <c r="Y8" s="13">
        <f>R8</f>
        <v/>
      </c>
      <c r="Z8" s="13">
        <f>R8</f>
        <v/>
      </c>
      <c r="AA8" s="13">
        <f>R8</f>
        <v/>
      </c>
      <c r="AB8" s="13">
        <f>R8</f>
        <v/>
      </c>
      <c r="AC8" s="13">
        <f>R8</f>
        <v/>
      </c>
      <c r="AD8" s="13">
        <f>R8</f>
        <v/>
      </c>
      <c r="AE8" s="13">
        <f>R8</f>
        <v/>
      </c>
      <c r="AF8" s="13">
        <f>R8</f>
        <v/>
      </c>
      <c r="AG8" s="13">
        <f>R8</f>
        <v/>
      </c>
      <c r="AH8" s="13">
        <f>R8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R9</f>
        <v/>
      </c>
      <c r="U9" s="12">
        <f>R9</f>
        <v/>
      </c>
      <c r="V9" s="12">
        <f>R9</f>
        <v/>
      </c>
      <c r="W9" s="12">
        <f>R9</f>
        <v/>
      </c>
      <c r="X9" s="12">
        <f>R9</f>
        <v/>
      </c>
      <c r="Y9" s="12">
        <f>R9</f>
        <v/>
      </c>
      <c r="Z9" s="12">
        <f>R9</f>
        <v/>
      </c>
      <c r="AA9" s="12">
        <f>R9</f>
        <v/>
      </c>
      <c r="AB9" s="12">
        <f>R9</f>
        <v/>
      </c>
      <c r="AC9" s="12">
        <f>R9</f>
        <v/>
      </c>
      <c r="AD9" s="12">
        <f>R9</f>
        <v/>
      </c>
      <c r="AE9" s="12">
        <f>R9</f>
        <v/>
      </c>
      <c r="AF9" s="12">
        <f>R9</f>
        <v/>
      </c>
      <c r="AG9" s="12">
        <f>R9</f>
        <v/>
      </c>
      <c r="AH9" s="12">
        <f>R9</f>
        <v/>
      </c>
    </row>
    <row r="10">
      <c r="A10" s="3" t="inlineStr">
        <is>
          <t>Net Income (Loss) Attributable to Common Shareholders — % of Revenue</t>
        </is>
      </c>
      <c r="C10" s="11">
        <f>IFERROR('QTR P&amp;L'!B16/'QTR P&amp;L'!B2,"")</f>
        <v/>
      </c>
      <c r="D10" s="11">
        <f>IFERROR('QTR P&amp;L'!C16/'QTR P&amp;L'!C2,"")</f>
        <v/>
      </c>
      <c r="E10" s="11">
        <f>IFERROR('QTR P&amp;L'!D16/'QTR P&amp;L'!D2,"")</f>
        <v/>
      </c>
      <c r="F10" s="11">
        <f>IFERROR('QTR P&amp;L'!E16/'QTR P&amp;L'!E2,"")</f>
        <v/>
      </c>
      <c r="G10" s="11">
        <f>IFERROR('QTR P&amp;L'!F16/'QTR P&amp;L'!F2,"")</f>
        <v/>
      </c>
      <c r="H10" s="11">
        <f>IFERROR('QTR P&amp;L'!G16/'QTR P&amp;L'!G2,"")</f>
        <v/>
      </c>
      <c r="I10" s="11">
        <f>IFERROR('QTR P&amp;L'!H16/'QTR P&amp;L'!H2,"")</f>
        <v/>
      </c>
      <c r="J10" s="11">
        <f>IFERROR('QTR P&amp;L'!I16/'QTR P&amp;L'!I2,"")</f>
        <v/>
      </c>
      <c r="K10" s="11">
        <f>IFERROR('QTR P&amp;L'!J16/'QTR P&amp;L'!J2,"")</f>
        <v/>
      </c>
      <c r="L10" s="11">
        <f>IFERROR('QTR P&amp;L'!K16/'QTR P&amp;L'!K2,"")</f>
        <v/>
      </c>
      <c r="M10" s="11">
        <f>IFERROR('QTR P&amp;L'!L16/'QTR P&amp;L'!L2,"")</f>
        <v/>
      </c>
      <c r="N10" s="11">
        <f>IFERROR('QTR P&amp;L'!M16/'QTR P&amp;L'!M2,"")</f>
        <v/>
      </c>
      <c r="O10" s="11">
        <f>IFERROR('QTR P&amp;L'!N16/'QTR P&amp;L'!N2,"")</f>
        <v/>
      </c>
      <c r="P10" s="11">
        <f>IFERROR('QTR P&amp;L'!O16/'QTR P&amp;L'!O2,"")</f>
        <v/>
      </c>
      <c r="Q10" s="11">
        <f>IFERROR('QTR P&amp;L'!P16/'QTR P&amp;L'!P2,"")</f>
        <v/>
      </c>
      <c r="R10" s="11">
        <f>IFERROR('QTR P&amp;L'!Q16/'QTR P&amp;L'!Q2,"")</f>
        <v/>
      </c>
      <c r="S10" s="12">
        <f>R10</f>
        <v/>
      </c>
      <c r="T10" s="12">
        <f>R10</f>
        <v/>
      </c>
      <c r="U10" s="12">
        <f>R10</f>
        <v/>
      </c>
      <c r="V10" s="12">
        <f>R10</f>
        <v/>
      </c>
      <c r="W10" s="12">
        <f>R10</f>
        <v/>
      </c>
      <c r="X10" s="12">
        <f>R10</f>
        <v/>
      </c>
      <c r="Y10" s="12">
        <f>R10</f>
        <v/>
      </c>
      <c r="Z10" s="12">
        <f>R10</f>
        <v/>
      </c>
      <c r="AA10" s="12">
        <f>R10</f>
        <v/>
      </c>
      <c r="AB10" s="12">
        <f>R10</f>
        <v/>
      </c>
      <c r="AC10" s="12">
        <f>R10</f>
        <v/>
      </c>
      <c r="AD10" s="12">
        <f>R10</f>
        <v/>
      </c>
      <c r="AE10" s="12">
        <f>R10</f>
        <v/>
      </c>
      <c r="AF10" s="12">
        <f>R10</f>
        <v/>
      </c>
      <c r="AG10" s="12">
        <f>R10</f>
        <v/>
      </c>
      <c r="AH10" s="12">
        <f>R10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N3</f>
        <v/>
      </c>
      <c r="Q3" s="13">
        <f>N3</f>
        <v/>
      </c>
      <c r="R3" s="13">
        <f>N3</f>
        <v/>
      </c>
      <c r="S3" s="13">
        <f>N3</f>
        <v/>
      </c>
      <c r="T3" s="13">
        <f>N3</f>
        <v/>
      </c>
      <c r="U3" s="13">
        <f>N3</f>
        <v/>
      </c>
      <c r="V3" s="13">
        <f>N3</f>
        <v/>
      </c>
      <c r="W3" s="13">
        <f>N3</f>
        <v/>
      </c>
      <c r="X3" s="13">
        <f>N3</f>
        <v/>
      </c>
      <c r="Y3" s="13">
        <f>N3</f>
        <v/>
      </c>
      <c r="Z3" s="13">
        <f>N3</f>
        <v/>
      </c>
      <c r="AA3" s="13">
        <f>N3</f>
        <v/>
      </c>
      <c r="AB3" s="13">
        <f>N3</f>
        <v/>
      </c>
      <c r="AC3" s="13">
        <f>N3</f>
        <v/>
      </c>
      <c r="AD3" s="13">
        <f>N3</f>
        <v/>
      </c>
    </row>
    <row r="4">
      <c r="A4" s="3" t="inlineStr">
        <is>
          <t>Accounts Receivable — DSO (days)</t>
        </is>
      </c>
      <c r="B4" s="14">
        <f>IFERROR('QTR BS'!B4/'QTR P&amp;L'!B2*ASSUMPTIONS!$B$2,"")</f>
        <v/>
      </c>
      <c r="C4" s="14">
        <f>IFERROR('QTR BS'!C4/'QTR P&amp;L'!C2*ASSUMPTIONS!$B$2,"")</f>
        <v/>
      </c>
      <c r="D4" s="14">
        <f>IFERROR('QTR BS'!D4/'QTR P&amp;L'!D2*ASSUMPTIONS!$B$2,"")</f>
        <v/>
      </c>
      <c r="E4" s="14">
        <f>IFERROR('QTR BS'!E4/'QTR P&amp;L'!E2*ASSUMPTIONS!$B$2,"")</f>
        <v/>
      </c>
      <c r="F4" s="14">
        <f>IFERROR('QTR BS'!F4/'QTR P&amp;L'!F2*ASSUMPTIONS!$B$2,"")</f>
        <v/>
      </c>
      <c r="G4" s="14">
        <f>IFERROR('QTR BS'!G4/'QTR P&amp;L'!G2*ASSUMPTIONS!$B$2,"")</f>
        <v/>
      </c>
      <c r="H4" s="14">
        <f>IFERROR('QTR BS'!H4/'QTR P&amp;L'!H2*ASSUMPTIONS!$B$2,"")</f>
        <v/>
      </c>
      <c r="I4" s="14">
        <f>IFERROR('QTR BS'!I4/'QTR P&amp;L'!I2*ASSUMPTIONS!$B$2,"")</f>
        <v/>
      </c>
      <c r="J4" s="14">
        <f>IFERROR('QTR BS'!J4/'QTR P&amp;L'!J2*ASSUMPTIONS!$B$2,"")</f>
        <v/>
      </c>
      <c r="K4" s="14">
        <f>IFERROR('QTR BS'!K4/'QTR P&amp;L'!K2*ASSUMPTIONS!$B$2,"")</f>
        <v/>
      </c>
      <c r="L4" s="14">
        <f>IFERROR('QTR BS'!L4/'QTR P&amp;L'!L2*ASSUMPTIONS!$B$2,"")</f>
        <v/>
      </c>
      <c r="M4" s="14">
        <f>IFERROR('QTR BS'!M4/'QTR P&amp;L'!M2*ASSUMPTIONS!$B$2,"")</f>
        <v/>
      </c>
      <c r="N4" s="14">
        <f>IFERROR('QTR BS'!N4/'QTR P&amp;L'!N2*ASSUMPTIONS!$B$2,"")</f>
        <v/>
      </c>
      <c r="O4" s="15">
        <f>N4</f>
        <v/>
      </c>
      <c r="P4" s="15">
        <f>N4</f>
        <v/>
      </c>
      <c r="Q4" s="15">
        <f>N4</f>
        <v/>
      </c>
      <c r="R4" s="15">
        <f>N4</f>
        <v/>
      </c>
      <c r="S4" s="15">
        <f>N4</f>
        <v/>
      </c>
      <c r="T4" s="15">
        <f>N4</f>
        <v/>
      </c>
      <c r="U4" s="15">
        <f>N4</f>
        <v/>
      </c>
      <c r="V4" s="15">
        <f>N4</f>
        <v/>
      </c>
      <c r="W4" s="15">
        <f>N4</f>
        <v/>
      </c>
      <c r="X4" s="15">
        <f>N4</f>
        <v/>
      </c>
      <c r="Y4" s="15">
        <f>N4</f>
        <v/>
      </c>
      <c r="Z4" s="15">
        <f>N4</f>
        <v/>
      </c>
      <c r="AA4" s="15">
        <f>N4</f>
        <v/>
      </c>
      <c r="AB4" s="15">
        <f>N4</f>
        <v/>
      </c>
      <c r="AC4" s="15">
        <f>N4</f>
        <v/>
      </c>
      <c r="AD4" s="15">
        <f>N4</f>
        <v/>
      </c>
    </row>
    <row r="5">
      <c r="A5" s="3" t="inlineStr">
        <is>
          <t>Note Receivable - Current — DSO (days)</t>
        </is>
      </c>
      <c r="B5" s="14">
        <f>IFERROR('QTR BS'!B5/'QTR P&amp;L'!B2*ASSUMPTIONS!$B$2,"")</f>
        <v/>
      </c>
      <c r="C5" s="14">
        <f>IFERROR('QTR BS'!C5/'QTR P&amp;L'!C2*ASSUMPTIONS!$B$2,"")</f>
        <v/>
      </c>
      <c r="D5" s="14">
        <f>IFERROR('QTR BS'!D5/'QTR P&amp;L'!D2*ASSUMPTIONS!$B$2,"")</f>
        <v/>
      </c>
      <c r="E5" s="14">
        <f>IFERROR('QTR BS'!E5/'QTR P&amp;L'!E2*ASSUMPTIONS!$B$2,"")</f>
        <v/>
      </c>
      <c r="F5" s="14">
        <f>IFERROR('QTR BS'!F5/'QTR P&amp;L'!F2*ASSUMPTIONS!$B$2,"")</f>
        <v/>
      </c>
      <c r="G5" s="14">
        <f>IFERROR('QTR BS'!G5/'QTR P&amp;L'!G2*ASSUMPTIONS!$B$2,"")</f>
        <v/>
      </c>
      <c r="H5" s="14">
        <f>IFERROR('QTR BS'!H5/'QTR P&amp;L'!H2*ASSUMPTIONS!$B$2,"")</f>
        <v/>
      </c>
      <c r="I5" s="14">
        <f>IFERROR('QTR BS'!I5/'QTR P&amp;L'!I2*ASSUMPTIONS!$B$2,"")</f>
        <v/>
      </c>
      <c r="J5" s="14">
        <f>IFERROR('QTR BS'!J5/'QTR P&amp;L'!J2*ASSUMPTIONS!$B$2,"")</f>
        <v/>
      </c>
      <c r="K5" s="14">
        <f>IFERROR('QTR BS'!K5/'QTR P&amp;L'!K2*ASSUMPTIONS!$B$2,"")</f>
        <v/>
      </c>
      <c r="L5" s="14">
        <f>IFERROR('QTR BS'!L5/'QTR P&amp;L'!L2*ASSUMPTIONS!$B$2,"")</f>
        <v/>
      </c>
      <c r="M5" s="14">
        <f>IFERROR('QTR BS'!M5/'QTR P&amp;L'!M2*ASSUMPTIONS!$B$2,"")</f>
        <v/>
      </c>
      <c r="N5" s="14">
        <f>IFERROR('QTR BS'!N5/'QTR P&amp;L'!N2*ASSUMPTIONS!$B$2,"")</f>
        <v/>
      </c>
      <c r="O5" s="15">
        <f>N5</f>
        <v/>
      </c>
      <c r="P5" s="15">
        <f>N5</f>
        <v/>
      </c>
      <c r="Q5" s="15">
        <f>N5</f>
        <v/>
      </c>
      <c r="R5" s="15">
        <f>N5</f>
        <v/>
      </c>
      <c r="S5" s="15">
        <f>N5</f>
        <v/>
      </c>
      <c r="T5" s="15">
        <f>N5</f>
        <v/>
      </c>
      <c r="U5" s="15">
        <f>N5</f>
        <v/>
      </c>
      <c r="V5" s="15">
        <f>N5</f>
        <v/>
      </c>
      <c r="W5" s="15">
        <f>N5</f>
        <v/>
      </c>
      <c r="X5" s="15">
        <f>N5</f>
        <v/>
      </c>
      <c r="Y5" s="15">
        <f>N5</f>
        <v/>
      </c>
      <c r="Z5" s="15">
        <f>N5</f>
        <v/>
      </c>
      <c r="AA5" s="15">
        <f>N5</f>
        <v/>
      </c>
      <c r="AB5" s="15">
        <f>N5</f>
        <v/>
      </c>
      <c r="AC5" s="15">
        <f>N5</f>
        <v/>
      </c>
      <c r="AD5" s="15">
        <f>N5</f>
        <v/>
      </c>
    </row>
    <row r="6">
      <c r="A6" s="3" t="inlineStr">
        <is>
          <t>Inventories — DIO (days)</t>
        </is>
      </c>
      <c r="B6" s="14">
        <f>IFERROR('QTR BS'!B6/'QTR P&amp;L'!B3*ASSUMPTIONS!$B$2,"")</f>
        <v/>
      </c>
      <c r="C6" s="14">
        <f>IFERROR('QTR BS'!C6/'QTR P&amp;L'!C3*ASSUMPTIONS!$B$2,"")</f>
        <v/>
      </c>
      <c r="D6" s="14">
        <f>IFERROR('QTR BS'!D6/'QTR P&amp;L'!D3*ASSUMPTIONS!$B$2,"")</f>
        <v/>
      </c>
      <c r="E6" s="14">
        <f>IFERROR('QTR BS'!E6/'QTR P&amp;L'!E3*ASSUMPTIONS!$B$2,"")</f>
        <v/>
      </c>
      <c r="F6" s="14">
        <f>IFERROR('QTR BS'!F6/'QTR P&amp;L'!F3*ASSUMPTIONS!$B$2,"")</f>
        <v/>
      </c>
      <c r="G6" s="14">
        <f>IFERROR('QTR BS'!G6/'QTR P&amp;L'!G3*ASSUMPTIONS!$B$2,"")</f>
        <v/>
      </c>
      <c r="H6" s="14">
        <f>IFERROR('QTR BS'!H6/'QTR P&amp;L'!H3*ASSUMPTIONS!$B$2,"")</f>
        <v/>
      </c>
      <c r="I6" s="14">
        <f>IFERROR('QTR BS'!I6/'QTR P&amp;L'!I3*ASSUMPTIONS!$B$2,"")</f>
        <v/>
      </c>
      <c r="J6" s="14">
        <f>IFERROR('QTR BS'!J6/'QTR P&amp;L'!J3*ASSUMPTIONS!$B$2,"")</f>
        <v/>
      </c>
      <c r="K6" s="14">
        <f>IFERROR('QTR BS'!K6/'QTR P&amp;L'!K3*ASSUMPTIONS!$B$2,"")</f>
        <v/>
      </c>
      <c r="L6" s="14">
        <f>IFERROR('QTR BS'!L6/'QTR P&amp;L'!L3*ASSUMPTIONS!$B$2,"")</f>
        <v/>
      </c>
      <c r="M6" s="14">
        <f>IFERROR('QTR BS'!M6/'QTR P&amp;L'!M3*ASSUMPTIONS!$B$2,"")</f>
        <v/>
      </c>
      <c r="N6" s="14">
        <f>IFERROR('QTR BS'!N6/'QTR P&amp;L'!N3*ASSUMPTIONS!$B$2,"")</f>
        <v/>
      </c>
      <c r="O6" s="15">
        <f>N6</f>
        <v/>
      </c>
      <c r="P6" s="15">
        <f>N6</f>
        <v/>
      </c>
      <c r="Q6" s="15">
        <f>N6</f>
        <v/>
      </c>
      <c r="R6" s="15">
        <f>N6</f>
        <v/>
      </c>
      <c r="S6" s="15">
        <f>N6</f>
        <v/>
      </c>
      <c r="T6" s="15">
        <f>N6</f>
        <v/>
      </c>
      <c r="U6" s="15">
        <f>N6</f>
        <v/>
      </c>
      <c r="V6" s="15">
        <f>N6</f>
        <v/>
      </c>
      <c r="W6" s="15">
        <f>N6</f>
        <v/>
      </c>
      <c r="X6" s="15">
        <f>N6</f>
        <v/>
      </c>
      <c r="Y6" s="15">
        <f>N6</f>
        <v/>
      </c>
      <c r="Z6" s="15">
        <f>N6</f>
        <v/>
      </c>
      <c r="AA6" s="15">
        <f>N6</f>
        <v/>
      </c>
      <c r="AB6" s="15">
        <f>N6</f>
        <v/>
      </c>
      <c r="AC6" s="15">
        <f>N6</f>
        <v/>
      </c>
      <c r="AD6" s="15">
        <f>N6</f>
        <v/>
      </c>
    </row>
    <row r="7">
      <c r="A7" s="3" t="inlineStr">
        <is>
          <t>Prepaid Expenses — % of Revenue</t>
        </is>
      </c>
      <c r="B7" s="11">
        <f>IFERROR('QTR BS'!B7/'QTR P&amp;L'!B2,"")</f>
        <v/>
      </c>
      <c r="C7" s="11">
        <f>IFERROR('QTR BS'!C7/'QTR P&amp;L'!C2,"")</f>
        <v/>
      </c>
      <c r="D7" s="11">
        <f>IFERROR('QTR BS'!D7/'QTR P&amp;L'!D2,"")</f>
        <v/>
      </c>
      <c r="E7" s="11">
        <f>IFERROR('QTR BS'!E7/'QTR P&amp;L'!E2,"")</f>
        <v/>
      </c>
      <c r="F7" s="11">
        <f>IFERROR('QTR BS'!F7/'QTR P&amp;L'!F2,"")</f>
        <v/>
      </c>
      <c r="G7" s="11">
        <f>IFERROR('QTR BS'!G7/'QTR P&amp;L'!G2,"")</f>
        <v/>
      </c>
      <c r="H7" s="11">
        <f>IFERROR('QTR BS'!H7/'QTR P&amp;L'!H2,"")</f>
        <v/>
      </c>
      <c r="I7" s="11">
        <f>IFERROR('QTR BS'!I7/'QTR P&amp;L'!I2,"")</f>
        <v/>
      </c>
      <c r="J7" s="11">
        <f>IFERROR('QTR BS'!J7/'QTR P&amp;L'!J2,"")</f>
        <v/>
      </c>
      <c r="K7" s="11">
        <f>IFERROR('QTR BS'!K7/'QTR P&amp;L'!K2,"")</f>
        <v/>
      </c>
      <c r="L7" s="11">
        <f>IFERROR('QTR BS'!L7/'QTR P&amp;L'!L2,"")</f>
        <v/>
      </c>
      <c r="M7" s="11">
        <f>IFERROR('QTR BS'!M7/'QTR P&amp;L'!M2,"")</f>
        <v/>
      </c>
      <c r="N7" s="11">
        <f>IFERROR('QTR BS'!N7/'QTR P&amp;L'!N2,"")</f>
        <v/>
      </c>
      <c r="O7" s="12">
        <f>N7</f>
        <v/>
      </c>
      <c r="P7" s="12">
        <f>N7</f>
        <v/>
      </c>
      <c r="Q7" s="12">
        <f>N7</f>
        <v/>
      </c>
      <c r="R7" s="12">
        <f>N7</f>
        <v/>
      </c>
      <c r="S7" s="12">
        <f>N7</f>
        <v/>
      </c>
      <c r="T7" s="12">
        <f>N7</f>
        <v/>
      </c>
      <c r="U7" s="12">
        <f>N7</f>
        <v/>
      </c>
      <c r="V7" s="12">
        <f>N7</f>
        <v/>
      </c>
      <c r="W7" s="12">
        <f>N7</f>
        <v/>
      </c>
      <c r="X7" s="12">
        <f>N7</f>
        <v/>
      </c>
      <c r="Y7" s="12">
        <f>N7</f>
        <v/>
      </c>
      <c r="Z7" s="12">
        <f>N7</f>
        <v/>
      </c>
      <c r="AA7" s="12">
        <f>N7</f>
        <v/>
      </c>
      <c r="AB7" s="12">
        <f>N7</f>
        <v/>
      </c>
      <c r="AC7" s="12">
        <f>N7</f>
        <v/>
      </c>
      <c r="AD7" s="12">
        <f>N7</f>
        <v/>
      </c>
    </row>
    <row r="8">
      <c r="A8" s="3" t="inlineStr">
        <is>
          <t>Deferred Other Costs - Current — % of Revenue</t>
        </is>
      </c>
      <c r="B8" s="11">
        <f>IFERROR('QTR BS'!B8/'QTR P&amp;L'!B2,"")</f>
        <v/>
      </c>
      <c r="C8" s="11">
        <f>IFERROR('QTR BS'!C8/'QTR P&amp;L'!C2,"")</f>
        <v/>
      </c>
      <c r="D8" s="11">
        <f>IFERROR('QTR BS'!D8/'QTR P&amp;L'!D2,"")</f>
        <v/>
      </c>
      <c r="E8" s="11">
        <f>IFERROR('QTR BS'!E8/'QTR P&amp;L'!E2,"")</f>
        <v/>
      </c>
      <c r="F8" s="11">
        <f>IFERROR('QTR BS'!F8/'QTR P&amp;L'!F2,"")</f>
        <v/>
      </c>
      <c r="G8" s="11">
        <f>IFERROR('QTR BS'!G8/'QTR P&amp;L'!G2,"")</f>
        <v/>
      </c>
      <c r="H8" s="11">
        <f>IFERROR('QTR BS'!H8/'QTR P&amp;L'!H2,"")</f>
        <v/>
      </c>
      <c r="I8" s="11">
        <f>IFERROR('QTR BS'!I8/'QTR P&amp;L'!I2,"")</f>
        <v/>
      </c>
      <c r="J8" s="11">
        <f>IFERROR('QTR BS'!J8/'QTR P&amp;L'!J2,"")</f>
        <v/>
      </c>
      <c r="K8" s="11">
        <f>IFERROR('QTR BS'!K8/'QTR P&amp;L'!K2,"")</f>
        <v/>
      </c>
      <c r="L8" s="11">
        <f>IFERROR('QTR BS'!L8/'QTR P&amp;L'!L2,"")</f>
        <v/>
      </c>
      <c r="M8" s="11">
        <f>IFERROR('QTR BS'!M8/'QTR P&amp;L'!M2,"")</f>
        <v/>
      </c>
      <c r="N8" s="11">
        <f>IFERROR('QTR BS'!N8/'QTR P&amp;L'!N2,"")</f>
        <v/>
      </c>
      <c r="O8" s="12">
        <f>N8</f>
        <v/>
      </c>
      <c r="P8" s="12">
        <f>N8</f>
        <v/>
      </c>
      <c r="Q8" s="12">
        <f>N8</f>
        <v/>
      </c>
      <c r="R8" s="12">
        <f>N8</f>
        <v/>
      </c>
      <c r="S8" s="12">
        <f>N8</f>
        <v/>
      </c>
      <c r="T8" s="12">
        <f>N8</f>
        <v/>
      </c>
      <c r="U8" s="12">
        <f>N8</f>
        <v/>
      </c>
      <c r="V8" s="12">
        <f>N8</f>
        <v/>
      </c>
      <c r="W8" s="12">
        <f>N8</f>
        <v/>
      </c>
      <c r="X8" s="12">
        <f>N8</f>
        <v/>
      </c>
      <c r="Y8" s="12">
        <f>N8</f>
        <v/>
      </c>
      <c r="Z8" s="12">
        <f>N8</f>
        <v/>
      </c>
      <c r="AA8" s="12">
        <f>N8</f>
        <v/>
      </c>
      <c r="AB8" s="12">
        <f>N8</f>
        <v/>
      </c>
      <c r="AC8" s="12">
        <f>N8</f>
        <v/>
      </c>
      <c r="AD8" s="12">
        <f>N8</f>
        <v/>
      </c>
    </row>
    <row r="9">
      <c r="A9" s="3" t="inlineStr">
        <is>
          <t>Note Receivable - Non-Current — % of Revenue</t>
        </is>
      </c>
      <c r="B9" s="11">
        <f>IFERROR('QTR BS'!B10/'QTR P&amp;L'!B2,"")</f>
        <v/>
      </c>
      <c r="C9" s="11">
        <f>IFERROR('QTR BS'!C10/'QTR P&amp;L'!C2,"")</f>
        <v/>
      </c>
      <c r="D9" s="11">
        <f>IFERROR('QTR BS'!D10/'QTR P&amp;L'!D2,"")</f>
        <v/>
      </c>
      <c r="E9" s="11">
        <f>IFERROR('QTR BS'!E10/'QTR P&amp;L'!E2,"")</f>
        <v/>
      </c>
      <c r="F9" s="11">
        <f>IFERROR('QTR BS'!F10/'QTR P&amp;L'!F2,"")</f>
        <v/>
      </c>
      <c r="G9" s="11">
        <f>IFERROR('QTR BS'!G10/'QTR P&amp;L'!G2,"")</f>
        <v/>
      </c>
      <c r="H9" s="11">
        <f>IFERROR('QTR BS'!H10/'QTR P&amp;L'!H2,"")</f>
        <v/>
      </c>
      <c r="I9" s="11">
        <f>IFERROR('QTR BS'!I10/'QTR P&amp;L'!I2,"")</f>
        <v/>
      </c>
      <c r="J9" s="11">
        <f>IFERROR('QTR BS'!J10/'QTR P&amp;L'!J2,"")</f>
        <v/>
      </c>
      <c r="K9" s="11">
        <f>IFERROR('QTR BS'!K10/'QTR P&amp;L'!K2,"")</f>
        <v/>
      </c>
      <c r="L9" s="11">
        <f>IFERROR('QTR BS'!L10/'QTR P&amp;L'!L2,"")</f>
        <v/>
      </c>
      <c r="M9" s="11">
        <f>IFERROR('QTR BS'!M10/'QTR P&amp;L'!M2,"")</f>
        <v/>
      </c>
      <c r="N9" s="11">
        <f>IFERROR('QTR BS'!N10/'QTR P&amp;L'!N2,"")</f>
        <v/>
      </c>
      <c r="O9" s="12">
        <f>N9</f>
        <v/>
      </c>
      <c r="P9" s="12">
        <f>N9</f>
        <v/>
      </c>
      <c r="Q9" s="12">
        <f>N9</f>
        <v/>
      </c>
      <c r="R9" s="12">
        <f>N9</f>
        <v/>
      </c>
      <c r="S9" s="12">
        <f>N9</f>
        <v/>
      </c>
      <c r="T9" s="12">
        <f>N9</f>
        <v/>
      </c>
      <c r="U9" s="12">
        <f>N9</f>
        <v/>
      </c>
      <c r="V9" s="12">
        <f>N9</f>
        <v/>
      </c>
      <c r="W9" s="12">
        <f>N9</f>
        <v/>
      </c>
      <c r="X9" s="12">
        <f>N9</f>
        <v/>
      </c>
      <c r="Y9" s="12">
        <f>N9</f>
        <v/>
      </c>
      <c r="Z9" s="12">
        <f>N9</f>
        <v/>
      </c>
      <c r="AA9" s="12">
        <f>N9</f>
        <v/>
      </c>
      <c r="AB9" s="12">
        <f>N9</f>
        <v/>
      </c>
      <c r="AC9" s="12">
        <f>N9</f>
        <v/>
      </c>
      <c r="AD9" s="12">
        <f>N9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</row>
    <row r="11">
      <c r="A11" s="3" t="inlineStr">
        <is>
          <t>ROU Assets - Operating - Non-Current — % of Revenue</t>
        </is>
      </c>
      <c r="B11" s="11">
        <f>IFERROR('QTR BS'!B12/'QTR P&amp;L'!B2,"")</f>
        <v/>
      </c>
      <c r="C11" s="11">
        <f>IFERROR('QTR BS'!C12/'QTR P&amp;L'!C2,"")</f>
        <v/>
      </c>
      <c r="D11" s="11">
        <f>IFERROR('QTR BS'!D12/'QTR P&amp;L'!D2,"")</f>
        <v/>
      </c>
      <c r="E11" s="11">
        <f>IFERROR('QTR BS'!E12/'QTR P&amp;L'!E2,"")</f>
        <v/>
      </c>
      <c r="F11" s="11">
        <f>IFERROR('QTR BS'!F12/'QTR P&amp;L'!F2,"")</f>
        <v/>
      </c>
      <c r="G11" s="11">
        <f>IFERROR('QTR BS'!G12/'QTR P&amp;L'!G2,"")</f>
        <v/>
      </c>
      <c r="H11" s="11">
        <f>IFERROR('QTR BS'!H12/'QTR P&amp;L'!H2,"")</f>
        <v/>
      </c>
      <c r="I11" s="11">
        <f>IFERROR('QTR BS'!I12/'QTR P&amp;L'!I2,"")</f>
        <v/>
      </c>
      <c r="J11" s="11">
        <f>IFERROR('QTR BS'!J12/'QTR P&amp;L'!J2,"")</f>
        <v/>
      </c>
      <c r="K11" s="11">
        <f>IFERROR('QTR BS'!K12/'QTR P&amp;L'!K2,"")</f>
        <v/>
      </c>
      <c r="L11" s="11">
        <f>IFERROR('QTR BS'!L12/'QTR P&amp;L'!L2,"")</f>
        <v/>
      </c>
      <c r="M11" s="11">
        <f>IFERROR('QTR BS'!M12/'QTR P&amp;L'!M2,"")</f>
        <v/>
      </c>
      <c r="N11" s="11">
        <f>IFERROR('QTR BS'!N12/'QTR P&amp;L'!N2,"")</f>
        <v/>
      </c>
      <c r="O11" s="12">
        <f>N11</f>
        <v/>
      </c>
      <c r="P11" s="12">
        <f>N11</f>
        <v/>
      </c>
      <c r="Q11" s="12">
        <f>N11</f>
        <v/>
      </c>
      <c r="R11" s="12">
        <f>N11</f>
        <v/>
      </c>
      <c r="S11" s="12">
        <f>N11</f>
        <v/>
      </c>
      <c r="T11" s="12">
        <f>N11</f>
        <v/>
      </c>
      <c r="U11" s="12">
        <f>N11</f>
        <v/>
      </c>
      <c r="V11" s="12">
        <f>N11</f>
        <v/>
      </c>
      <c r="W11" s="12">
        <f>N11</f>
        <v/>
      </c>
      <c r="X11" s="12">
        <f>N11</f>
        <v/>
      </c>
      <c r="Y11" s="12">
        <f>N11</f>
        <v/>
      </c>
      <c r="Z11" s="12">
        <f>N11</f>
        <v/>
      </c>
      <c r="AA11" s="12">
        <f>N11</f>
        <v/>
      </c>
      <c r="AB11" s="12">
        <f>N11</f>
        <v/>
      </c>
      <c r="AC11" s="12">
        <f>N11</f>
        <v/>
      </c>
      <c r="AD11" s="12">
        <f>N11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N12</f>
        <v/>
      </c>
      <c r="Q12" s="13">
        <f>N12</f>
        <v/>
      </c>
      <c r="R12" s="13">
        <f>N12</f>
        <v/>
      </c>
      <c r="S12" s="13">
        <f>N12</f>
        <v/>
      </c>
      <c r="T12" s="13">
        <f>N12</f>
        <v/>
      </c>
      <c r="U12" s="13">
        <f>N12</f>
        <v/>
      </c>
      <c r="V12" s="13">
        <f>N12</f>
        <v/>
      </c>
      <c r="W12" s="13">
        <f>N12</f>
        <v/>
      </c>
      <c r="X12" s="13">
        <f>N12</f>
        <v/>
      </c>
      <c r="Y12" s="13">
        <f>N12</f>
        <v/>
      </c>
      <c r="Z12" s="13">
        <f>N12</f>
        <v/>
      </c>
      <c r="AA12" s="13">
        <f>N12</f>
        <v/>
      </c>
      <c r="AB12" s="13">
        <f>N12</f>
        <v/>
      </c>
      <c r="AC12" s="13">
        <f>N12</f>
        <v/>
      </c>
      <c r="AD12" s="13">
        <f>N12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N13</f>
        <v/>
      </c>
      <c r="Q13" s="13">
        <f>N13</f>
        <v/>
      </c>
      <c r="R13" s="13">
        <f>N13</f>
        <v/>
      </c>
      <c r="S13" s="13">
        <f>N13</f>
        <v/>
      </c>
      <c r="T13" s="13">
        <f>N13</f>
        <v/>
      </c>
      <c r="U13" s="13">
        <f>N13</f>
        <v/>
      </c>
      <c r="V13" s="13">
        <f>N13</f>
        <v/>
      </c>
      <c r="W13" s="13">
        <f>N13</f>
        <v/>
      </c>
      <c r="X13" s="13">
        <f>N13</f>
        <v/>
      </c>
      <c r="Y13" s="13">
        <f>N13</f>
        <v/>
      </c>
      <c r="Z13" s="13">
        <f>N13</f>
        <v/>
      </c>
      <c r="AA13" s="13">
        <f>N13</f>
        <v/>
      </c>
      <c r="AB13" s="13">
        <f>N13</f>
        <v/>
      </c>
      <c r="AC13" s="13">
        <f>N13</f>
        <v/>
      </c>
      <c r="AD13" s="13">
        <f>N13</f>
        <v/>
      </c>
    </row>
    <row r="14">
      <c r="A14" s="3" t="inlineStr">
        <is>
          <t>Deferred Other Costs - Non-Current — % of Revenue</t>
        </is>
      </c>
      <c r="B14" s="11">
        <f>IFERROR('QTR BS'!B15/'QTR P&amp;L'!B2,"")</f>
        <v/>
      </c>
      <c r="C14" s="11">
        <f>IFERROR('QTR BS'!C15/'QTR P&amp;L'!C2,"")</f>
        <v/>
      </c>
      <c r="D14" s="11">
        <f>IFERROR('QTR BS'!D15/'QTR P&amp;L'!D2,"")</f>
        <v/>
      </c>
      <c r="E14" s="11">
        <f>IFERROR('QTR BS'!E15/'QTR P&amp;L'!E2,"")</f>
        <v/>
      </c>
      <c r="F14" s="11">
        <f>IFERROR('QTR BS'!F15/'QTR P&amp;L'!F2,"")</f>
        <v/>
      </c>
      <c r="G14" s="11">
        <f>IFERROR('QTR BS'!G15/'QTR P&amp;L'!G2,"")</f>
        <v/>
      </c>
      <c r="H14" s="11">
        <f>IFERROR('QTR BS'!H15/'QTR P&amp;L'!H2,"")</f>
        <v/>
      </c>
      <c r="I14" s="11">
        <f>IFERROR('QTR BS'!I15/'QTR P&amp;L'!I2,"")</f>
        <v/>
      </c>
      <c r="J14" s="11">
        <f>IFERROR('QTR BS'!J15/'QTR P&amp;L'!J2,"")</f>
        <v/>
      </c>
      <c r="K14" s="11">
        <f>IFERROR('QTR BS'!K15/'QTR P&amp;L'!K2,"")</f>
        <v/>
      </c>
      <c r="L14" s="11">
        <f>IFERROR('QTR BS'!L15/'QTR P&amp;L'!L2,"")</f>
        <v/>
      </c>
      <c r="M14" s="11">
        <f>IFERROR('QTR BS'!M15/'QTR P&amp;L'!M2,"")</f>
        <v/>
      </c>
      <c r="N14" s="11">
        <f>IFERROR('QTR BS'!N15/'QTR P&amp;L'!N2,"")</f>
        <v/>
      </c>
      <c r="O14" s="12">
        <f>N14</f>
        <v/>
      </c>
      <c r="P14" s="12">
        <f>N14</f>
        <v/>
      </c>
      <c r="Q14" s="12">
        <f>N14</f>
        <v/>
      </c>
      <c r="R14" s="12">
        <f>N14</f>
        <v/>
      </c>
      <c r="S14" s="12">
        <f>N14</f>
        <v/>
      </c>
      <c r="T14" s="12">
        <f>N14</f>
        <v/>
      </c>
      <c r="U14" s="12">
        <f>N14</f>
        <v/>
      </c>
      <c r="V14" s="12">
        <f>N14</f>
        <v/>
      </c>
      <c r="W14" s="12">
        <f>N14</f>
        <v/>
      </c>
      <c r="X14" s="12">
        <f>N14</f>
        <v/>
      </c>
      <c r="Y14" s="12">
        <f>N14</f>
        <v/>
      </c>
      <c r="Z14" s="12">
        <f>N14</f>
        <v/>
      </c>
      <c r="AA14" s="12">
        <f>N14</f>
        <v/>
      </c>
      <c r="AB14" s="12">
        <f>N14</f>
        <v/>
      </c>
      <c r="AC14" s="12">
        <f>N14</f>
        <v/>
      </c>
      <c r="AD14" s="12">
        <f>N14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</row>
    <row r="16">
      <c r="A16" s="3" t="inlineStr">
        <is>
          <t>ROU Assets - Finance - Non-Current — % of Revenue</t>
        </is>
      </c>
      <c r="B16" s="11">
        <f>IFERROR('QTR BS'!B17/'QTR P&amp;L'!B2,"")</f>
        <v/>
      </c>
      <c r="C16" s="11">
        <f>IFERROR('QTR BS'!C17/'QTR P&amp;L'!C2,"")</f>
        <v/>
      </c>
      <c r="D16" s="11">
        <f>IFERROR('QTR BS'!D17/'QTR P&amp;L'!D2,"")</f>
        <v/>
      </c>
      <c r="E16" s="11">
        <f>IFERROR('QTR BS'!E17/'QTR P&amp;L'!E2,"")</f>
        <v/>
      </c>
      <c r="F16" s="11">
        <f>IFERROR('QTR BS'!F17/'QTR P&amp;L'!F2,"")</f>
        <v/>
      </c>
      <c r="G16" s="11">
        <f>IFERROR('QTR BS'!G17/'QTR P&amp;L'!G2,"")</f>
        <v/>
      </c>
      <c r="H16" s="11">
        <f>IFERROR('QTR BS'!H17/'QTR P&amp;L'!H2,"")</f>
        <v/>
      </c>
      <c r="I16" s="11">
        <f>IFERROR('QTR BS'!I17/'QTR P&amp;L'!I2,"")</f>
        <v/>
      </c>
      <c r="J16" s="11">
        <f>IFERROR('QTR BS'!J17/'QTR P&amp;L'!J2,"")</f>
        <v/>
      </c>
      <c r="K16" s="11">
        <f>IFERROR('QTR BS'!K17/'QTR P&amp;L'!K2,"")</f>
        <v/>
      </c>
      <c r="L16" s="11">
        <f>IFERROR('QTR BS'!L17/'QTR P&amp;L'!L2,"")</f>
        <v/>
      </c>
      <c r="M16" s="11">
        <f>IFERROR('QTR BS'!M17/'QTR P&amp;L'!M2,"")</f>
        <v/>
      </c>
      <c r="N16" s="11">
        <f>IFERROR('QTR BS'!N17/'QTR P&amp;L'!N2,"")</f>
        <v/>
      </c>
      <c r="O16" s="12">
        <f>N16</f>
        <v/>
      </c>
      <c r="P16" s="12">
        <f>N16</f>
        <v/>
      </c>
      <c r="Q16" s="12">
        <f>N16</f>
        <v/>
      </c>
      <c r="R16" s="12">
        <f>N16</f>
        <v/>
      </c>
      <c r="S16" s="12">
        <f>N16</f>
        <v/>
      </c>
      <c r="T16" s="12">
        <f>N16</f>
        <v/>
      </c>
      <c r="U16" s="12">
        <f>N16</f>
        <v/>
      </c>
      <c r="V16" s="12">
        <f>N16</f>
        <v/>
      </c>
      <c r="W16" s="12">
        <f>N16</f>
        <v/>
      </c>
      <c r="X16" s="12">
        <f>N16</f>
        <v/>
      </c>
      <c r="Y16" s="12">
        <f>N16</f>
        <v/>
      </c>
      <c r="Z16" s="12">
        <f>N16</f>
        <v/>
      </c>
      <c r="AA16" s="12">
        <f>N16</f>
        <v/>
      </c>
      <c r="AB16" s="12">
        <f>N16</f>
        <v/>
      </c>
      <c r="AC16" s="12">
        <f>N16</f>
        <v/>
      </c>
      <c r="AD16" s="12">
        <f>N16</f>
        <v/>
      </c>
    </row>
    <row r="17">
      <c r="A17" s="3" t="inlineStr">
        <is>
          <t>Other Non-Current Assets — % of Revenue</t>
        </is>
      </c>
      <c r="B17" s="11">
        <f>IFERROR('QTR BS'!B18/'QTR P&amp;L'!B2,"")</f>
        <v/>
      </c>
      <c r="C17" s="11">
        <f>IFERROR('QTR BS'!C18/'QTR P&amp;L'!C2,"")</f>
        <v/>
      </c>
      <c r="D17" s="11">
        <f>IFERROR('QTR BS'!D18/'QTR P&amp;L'!D2,"")</f>
        <v/>
      </c>
      <c r="E17" s="11">
        <f>IFERROR('QTR BS'!E18/'QTR P&amp;L'!E2,"")</f>
        <v/>
      </c>
      <c r="F17" s="11">
        <f>IFERROR('QTR BS'!F18/'QTR P&amp;L'!F2,"")</f>
        <v/>
      </c>
      <c r="G17" s="11">
        <f>IFERROR('QTR BS'!G18/'QTR P&amp;L'!G2,"")</f>
        <v/>
      </c>
      <c r="H17" s="11">
        <f>IFERROR('QTR BS'!H18/'QTR P&amp;L'!H2,"")</f>
        <v/>
      </c>
      <c r="I17" s="11">
        <f>IFERROR('QTR BS'!I18/'QTR P&amp;L'!I2,"")</f>
        <v/>
      </c>
      <c r="J17" s="11">
        <f>IFERROR('QTR BS'!J18/'QTR P&amp;L'!J2,"")</f>
        <v/>
      </c>
      <c r="K17" s="11">
        <f>IFERROR('QTR BS'!K18/'QTR P&amp;L'!K2,"")</f>
        <v/>
      </c>
      <c r="L17" s="11">
        <f>IFERROR('QTR BS'!L18/'QTR P&amp;L'!L2,"")</f>
        <v/>
      </c>
      <c r="M17" s="11">
        <f>IFERROR('QTR BS'!M18/'QTR P&amp;L'!M2,"")</f>
        <v/>
      </c>
      <c r="N17" s="11">
        <f>IFERROR('QTR BS'!N18/'QTR P&amp;L'!N2,"")</f>
        <v/>
      </c>
      <c r="O17" s="12">
        <f>N17</f>
        <v/>
      </c>
      <c r="P17" s="12">
        <f>N17</f>
        <v/>
      </c>
      <c r="Q17" s="12">
        <f>N17</f>
        <v/>
      </c>
      <c r="R17" s="12">
        <f>N17</f>
        <v/>
      </c>
      <c r="S17" s="12">
        <f>N17</f>
        <v/>
      </c>
      <c r="T17" s="12">
        <f>N17</f>
        <v/>
      </c>
      <c r="U17" s="12">
        <f>N17</f>
        <v/>
      </c>
      <c r="V17" s="12">
        <f>N17</f>
        <v/>
      </c>
      <c r="W17" s="12">
        <f>N17</f>
        <v/>
      </c>
      <c r="X17" s="12">
        <f>N17</f>
        <v/>
      </c>
      <c r="Y17" s="12">
        <f>N17</f>
        <v/>
      </c>
      <c r="Z17" s="12">
        <f>N17</f>
        <v/>
      </c>
      <c r="AA17" s="12">
        <f>N17</f>
        <v/>
      </c>
      <c r="AB17" s="12">
        <f>N17</f>
        <v/>
      </c>
      <c r="AC17" s="12">
        <f>N17</f>
        <v/>
      </c>
      <c r="AD17" s="12">
        <f>N17</f>
        <v/>
      </c>
    </row>
    <row r="18">
      <c r="A18" s="3" t="inlineStr">
        <is>
          <t>Accounts Payable — DPO (days)</t>
        </is>
      </c>
      <c r="B18" s="14">
        <f>IFERROR('QTR BS'!B20/'QTR P&amp;L'!B3*ASSUMPTIONS!$B$2,"")</f>
        <v/>
      </c>
      <c r="C18" s="14">
        <f>IFERROR('QTR BS'!C20/'QTR P&amp;L'!C3*ASSUMPTIONS!$B$2,"")</f>
        <v/>
      </c>
      <c r="D18" s="14">
        <f>IFERROR('QTR BS'!D20/'QTR P&amp;L'!D3*ASSUMPTIONS!$B$2,"")</f>
        <v/>
      </c>
      <c r="E18" s="14">
        <f>IFERROR('QTR BS'!E20/'QTR P&amp;L'!E3*ASSUMPTIONS!$B$2,"")</f>
        <v/>
      </c>
      <c r="F18" s="14">
        <f>IFERROR('QTR BS'!F20/'QTR P&amp;L'!F3*ASSUMPTIONS!$B$2,"")</f>
        <v/>
      </c>
      <c r="G18" s="14">
        <f>IFERROR('QTR BS'!G20/'QTR P&amp;L'!G3*ASSUMPTIONS!$B$2,"")</f>
        <v/>
      </c>
      <c r="H18" s="14">
        <f>IFERROR('QTR BS'!H20/'QTR P&amp;L'!H3*ASSUMPTIONS!$B$2,"")</f>
        <v/>
      </c>
      <c r="I18" s="14">
        <f>IFERROR('QTR BS'!I20/'QTR P&amp;L'!I3*ASSUMPTIONS!$B$2,"")</f>
        <v/>
      </c>
      <c r="J18" s="14">
        <f>IFERROR('QTR BS'!J20/'QTR P&amp;L'!J3*ASSUMPTIONS!$B$2,"")</f>
        <v/>
      </c>
      <c r="K18" s="14">
        <f>IFERROR('QTR BS'!K20/'QTR P&amp;L'!K3*ASSUMPTIONS!$B$2,"")</f>
        <v/>
      </c>
      <c r="L18" s="14">
        <f>IFERROR('QTR BS'!L20/'QTR P&amp;L'!L3*ASSUMPTIONS!$B$2,"")</f>
        <v/>
      </c>
      <c r="M18" s="14">
        <f>IFERROR('QTR BS'!M20/'QTR P&amp;L'!M3*ASSUMPTIONS!$B$2,"")</f>
        <v/>
      </c>
      <c r="N18" s="14">
        <f>IFERROR('QTR BS'!N20/'QTR P&amp;L'!N3*ASSUMPTIONS!$B$2,"")</f>
        <v/>
      </c>
      <c r="O18" s="15">
        <f>N18</f>
        <v/>
      </c>
      <c r="P18" s="15">
        <f>N18</f>
        <v/>
      </c>
      <c r="Q18" s="15">
        <f>N18</f>
        <v/>
      </c>
      <c r="R18" s="15">
        <f>N18</f>
        <v/>
      </c>
      <c r="S18" s="15">
        <f>N18</f>
        <v/>
      </c>
      <c r="T18" s="15">
        <f>N18</f>
        <v/>
      </c>
      <c r="U18" s="15">
        <f>N18</f>
        <v/>
      </c>
      <c r="V18" s="15">
        <f>N18</f>
        <v/>
      </c>
      <c r="W18" s="15">
        <f>N18</f>
        <v/>
      </c>
      <c r="X18" s="15">
        <f>N18</f>
        <v/>
      </c>
      <c r="Y18" s="15">
        <f>N18</f>
        <v/>
      </c>
      <c r="Z18" s="15">
        <f>N18</f>
        <v/>
      </c>
      <c r="AA18" s="15">
        <f>N18</f>
        <v/>
      </c>
      <c r="AB18" s="15">
        <f>N18</f>
        <v/>
      </c>
      <c r="AC18" s="15">
        <f>N18</f>
        <v/>
      </c>
      <c r="AD18" s="15">
        <f>N18</f>
        <v/>
      </c>
    </row>
    <row r="19">
      <c r="A19" s="3" t="inlineStr">
        <is>
          <t>Accrued Expenses — % of Revenue</t>
        </is>
      </c>
      <c r="B19" s="11">
        <f>IFERROR('QTR BS'!B21/'QTR P&amp;L'!B2,"")</f>
        <v/>
      </c>
      <c r="C19" s="11">
        <f>IFERROR('QTR BS'!C21/'QTR P&amp;L'!C2,"")</f>
        <v/>
      </c>
      <c r="D19" s="11">
        <f>IFERROR('QTR BS'!D21/'QTR P&amp;L'!D2,"")</f>
        <v/>
      </c>
      <c r="E19" s="11">
        <f>IFERROR('QTR BS'!E21/'QTR P&amp;L'!E2,"")</f>
        <v/>
      </c>
      <c r="F19" s="11">
        <f>IFERROR('QTR BS'!F21/'QTR P&amp;L'!F2,"")</f>
        <v/>
      </c>
      <c r="G19" s="11">
        <f>IFERROR('QTR BS'!G21/'QTR P&amp;L'!G2,"")</f>
        <v/>
      </c>
      <c r="H19" s="11">
        <f>IFERROR('QTR BS'!H21/'QTR P&amp;L'!H2,"")</f>
        <v/>
      </c>
      <c r="I19" s="11">
        <f>IFERROR('QTR BS'!I21/'QTR P&amp;L'!I2,"")</f>
        <v/>
      </c>
      <c r="J19" s="11">
        <f>IFERROR('QTR BS'!J21/'QTR P&amp;L'!J2,"")</f>
        <v/>
      </c>
      <c r="K19" s="11">
        <f>IFERROR('QTR BS'!K21/'QTR P&amp;L'!K2,"")</f>
        <v/>
      </c>
      <c r="L19" s="11">
        <f>IFERROR('QTR BS'!L21/'QTR P&amp;L'!L2,"")</f>
        <v/>
      </c>
      <c r="M19" s="11">
        <f>IFERROR('QTR BS'!M21/'QTR P&amp;L'!M2,"")</f>
        <v/>
      </c>
      <c r="N19" s="11">
        <f>IFERROR('QTR BS'!N21/'QTR P&amp;L'!N2,"")</f>
        <v/>
      </c>
      <c r="O19" s="12">
        <f>N19</f>
        <v/>
      </c>
      <c r="P19" s="12">
        <f>N19</f>
        <v/>
      </c>
      <c r="Q19" s="12">
        <f>N19</f>
        <v/>
      </c>
      <c r="R19" s="12">
        <f>N19</f>
        <v/>
      </c>
      <c r="S19" s="12">
        <f>N19</f>
        <v/>
      </c>
      <c r="T19" s="12">
        <f>N19</f>
        <v/>
      </c>
      <c r="U19" s="12">
        <f>N19</f>
        <v/>
      </c>
      <c r="V19" s="12">
        <f>N19</f>
        <v/>
      </c>
      <c r="W19" s="12">
        <f>N19</f>
        <v/>
      </c>
      <c r="X19" s="12">
        <f>N19</f>
        <v/>
      </c>
      <c r="Y19" s="12">
        <f>N19</f>
        <v/>
      </c>
      <c r="Z19" s="12">
        <f>N19</f>
        <v/>
      </c>
      <c r="AA19" s="12">
        <f>N19</f>
        <v/>
      </c>
      <c r="AB19" s="12">
        <f>N19</f>
        <v/>
      </c>
      <c r="AC19" s="12">
        <f>N19</f>
        <v/>
      </c>
      <c r="AD19" s="12">
        <f>N19</f>
        <v/>
      </c>
    </row>
    <row r="20">
      <c r="A20" s="3" t="inlineStr">
        <is>
          <t>Income Taxes Payable — % of Revenue</t>
        </is>
      </c>
      <c r="B20" s="11">
        <f>IFERROR('QTR BS'!B22/'QTR P&amp;L'!B2,"")</f>
        <v/>
      </c>
      <c r="C20" s="11">
        <f>IFERROR('QTR BS'!C22/'QTR P&amp;L'!C2,"")</f>
        <v/>
      </c>
      <c r="D20" s="11">
        <f>IFERROR('QTR BS'!D22/'QTR P&amp;L'!D2,"")</f>
        <v/>
      </c>
      <c r="E20" s="11">
        <f>IFERROR('QTR BS'!E22/'QTR P&amp;L'!E2,"")</f>
        <v/>
      </c>
      <c r="F20" s="11">
        <f>IFERROR('QTR BS'!F22/'QTR P&amp;L'!F2,"")</f>
        <v/>
      </c>
      <c r="G20" s="11">
        <f>IFERROR('QTR BS'!G22/'QTR P&amp;L'!G2,"")</f>
        <v/>
      </c>
      <c r="H20" s="11">
        <f>IFERROR('QTR BS'!H22/'QTR P&amp;L'!H2,"")</f>
        <v/>
      </c>
      <c r="I20" s="11">
        <f>IFERROR('QTR BS'!I22/'QTR P&amp;L'!I2,"")</f>
        <v/>
      </c>
      <c r="J20" s="11">
        <f>IFERROR('QTR BS'!J22/'QTR P&amp;L'!J2,"")</f>
        <v/>
      </c>
      <c r="K20" s="11">
        <f>IFERROR('QTR BS'!K22/'QTR P&amp;L'!K2,"")</f>
        <v/>
      </c>
      <c r="L20" s="11">
        <f>IFERROR('QTR BS'!L22/'QTR P&amp;L'!L2,"")</f>
        <v/>
      </c>
      <c r="M20" s="11">
        <f>IFERROR('QTR BS'!M22/'QTR P&amp;L'!M2,"")</f>
        <v/>
      </c>
      <c r="N20" s="11">
        <f>IFERROR('QTR BS'!N22/'QTR P&amp;L'!N2,"")</f>
        <v/>
      </c>
      <c r="O20" s="12">
        <f>N20</f>
        <v/>
      </c>
      <c r="P20" s="12">
        <f>N20</f>
        <v/>
      </c>
      <c r="Q20" s="12">
        <f>N20</f>
        <v/>
      </c>
      <c r="R20" s="12">
        <f>N20</f>
        <v/>
      </c>
      <c r="S20" s="12">
        <f>N20</f>
        <v/>
      </c>
      <c r="T20" s="12">
        <f>N20</f>
        <v/>
      </c>
      <c r="U20" s="12">
        <f>N20</f>
        <v/>
      </c>
      <c r="V20" s="12">
        <f>N20</f>
        <v/>
      </c>
      <c r="W20" s="12">
        <f>N20</f>
        <v/>
      </c>
      <c r="X20" s="12">
        <f>N20</f>
        <v/>
      </c>
      <c r="Y20" s="12">
        <f>N20</f>
        <v/>
      </c>
      <c r="Z20" s="12">
        <f>N20</f>
        <v/>
      </c>
      <c r="AA20" s="12">
        <f>N20</f>
        <v/>
      </c>
      <c r="AB20" s="12">
        <f>N20</f>
        <v/>
      </c>
      <c r="AC20" s="12">
        <f>N20</f>
        <v/>
      </c>
      <c r="AD20" s="12">
        <f>N20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P&amp;L'!B2,"")</f>
        <v/>
      </c>
      <c r="C22" s="11">
        <f>IFERROR('QTR BS'!C24/'QTR P&amp;L'!C2,"")</f>
        <v/>
      </c>
      <c r="D22" s="11">
        <f>IFERROR('QTR BS'!D24/'QTR P&amp;L'!D2,"")</f>
        <v/>
      </c>
      <c r="E22" s="11">
        <f>IFERROR('QTR BS'!E24/'QTR P&amp;L'!E2,"")</f>
        <v/>
      </c>
      <c r="F22" s="11">
        <f>IFERROR('QTR BS'!F24/'QTR P&amp;L'!F2,"")</f>
        <v/>
      </c>
      <c r="G22" s="11">
        <f>IFERROR('QTR BS'!G24/'QTR P&amp;L'!G2,"")</f>
        <v/>
      </c>
      <c r="H22" s="11">
        <f>IFERROR('QTR BS'!H24/'QTR P&amp;L'!H2,"")</f>
        <v/>
      </c>
      <c r="I22" s="11">
        <f>IFERROR('QTR BS'!I24/'QTR P&amp;L'!I2,"")</f>
        <v/>
      </c>
      <c r="J22" s="11">
        <f>IFERROR('QTR BS'!J24/'QTR P&amp;L'!J2,"")</f>
        <v/>
      </c>
      <c r="K22" s="11">
        <f>IFERROR('QTR BS'!K24/'QTR P&amp;L'!K2,"")</f>
        <v/>
      </c>
      <c r="L22" s="11">
        <f>IFERROR('QTR BS'!L24/'QTR P&amp;L'!L2,"")</f>
        <v/>
      </c>
      <c r="M22" s="11">
        <f>IFERROR('QTR BS'!M24/'QTR P&amp;L'!M2,"")</f>
        <v/>
      </c>
      <c r="N22" s="11">
        <f>IFERROR('QTR BS'!N24/'QTR P&amp;L'!N2,"")</f>
        <v/>
      </c>
      <c r="O22" s="12">
        <f>N22</f>
        <v/>
      </c>
      <c r="P22" s="12">
        <f>N22</f>
        <v/>
      </c>
      <c r="Q22" s="12">
        <f>N22</f>
        <v/>
      </c>
      <c r="R22" s="12">
        <f>N22</f>
        <v/>
      </c>
      <c r="S22" s="12">
        <f>N22</f>
        <v/>
      </c>
      <c r="T22" s="12">
        <f>N22</f>
        <v/>
      </c>
      <c r="U22" s="12">
        <f>N22</f>
        <v/>
      </c>
      <c r="V22" s="12">
        <f>N22</f>
        <v/>
      </c>
      <c r="W22" s="12">
        <f>N22</f>
        <v/>
      </c>
      <c r="X22" s="12">
        <f>N22</f>
        <v/>
      </c>
      <c r="Y22" s="12">
        <f>N22</f>
        <v/>
      </c>
      <c r="Z22" s="12">
        <f>N22</f>
        <v/>
      </c>
      <c r="AA22" s="12">
        <f>N22</f>
        <v/>
      </c>
      <c r="AB22" s="12">
        <f>N22</f>
        <v/>
      </c>
      <c r="AC22" s="12">
        <f>N22</f>
        <v/>
      </c>
      <c r="AD22" s="12">
        <f>N22</f>
        <v/>
      </c>
    </row>
    <row r="23">
      <c r="A23" s="3" t="inlineStr">
        <is>
          <t>Lease Liability - Operating - Current — % of Revenue</t>
        </is>
      </c>
      <c r="B23" s="11">
        <f>IFERROR('QTR BS'!B25/'QTR P&amp;L'!B2,"")</f>
        <v/>
      </c>
      <c r="C23" s="11">
        <f>IFERROR('QTR BS'!C25/'QTR P&amp;L'!C2,"")</f>
        <v/>
      </c>
      <c r="D23" s="11">
        <f>IFERROR('QTR BS'!D25/'QTR P&amp;L'!D2,"")</f>
        <v/>
      </c>
      <c r="E23" s="11">
        <f>IFERROR('QTR BS'!E25/'QTR P&amp;L'!E2,"")</f>
        <v/>
      </c>
      <c r="F23" s="11">
        <f>IFERROR('QTR BS'!F25/'QTR P&amp;L'!F2,"")</f>
        <v/>
      </c>
      <c r="G23" s="11">
        <f>IFERROR('QTR BS'!G25/'QTR P&amp;L'!G2,"")</f>
        <v/>
      </c>
      <c r="H23" s="11">
        <f>IFERROR('QTR BS'!H25/'QTR P&amp;L'!H2,"")</f>
        <v/>
      </c>
      <c r="I23" s="11">
        <f>IFERROR('QTR BS'!I25/'QTR P&amp;L'!I2,"")</f>
        <v/>
      </c>
      <c r="J23" s="11">
        <f>IFERROR('QTR BS'!J25/'QTR P&amp;L'!J2,"")</f>
        <v/>
      </c>
      <c r="K23" s="11">
        <f>IFERROR('QTR BS'!K25/'QTR P&amp;L'!K2,"")</f>
        <v/>
      </c>
      <c r="L23" s="11">
        <f>IFERROR('QTR BS'!L25/'QTR P&amp;L'!L2,"")</f>
        <v/>
      </c>
      <c r="M23" s="11">
        <f>IFERROR('QTR BS'!M25/'QTR P&amp;L'!M2,"")</f>
        <v/>
      </c>
      <c r="N23" s="11">
        <f>IFERROR('QTR BS'!N25/'QTR P&amp;L'!N2,"")</f>
        <v/>
      </c>
      <c r="O23" s="12">
        <f>N23</f>
        <v/>
      </c>
      <c r="P23" s="12">
        <f>N23</f>
        <v/>
      </c>
      <c r="Q23" s="12">
        <f>N23</f>
        <v/>
      </c>
      <c r="R23" s="12">
        <f>N23</f>
        <v/>
      </c>
      <c r="S23" s="12">
        <f>N23</f>
        <v/>
      </c>
      <c r="T23" s="12">
        <f>N23</f>
        <v/>
      </c>
      <c r="U23" s="12">
        <f>N23</f>
        <v/>
      </c>
      <c r="V23" s="12">
        <f>N23</f>
        <v/>
      </c>
      <c r="W23" s="12">
        <f>N23</f>
        <v/>
      </c>
      <c r="X23" s="12">
        <f>N23</f>
        <v/>
      </c>
      <c r="Y23" s="12">
        <f>N23</f>
        <v/>
      </c>
      <c r="Z23" s="12">
        <f>N23</f>
        <v/>
      </c>
      <c r="AA23" s="12">
        <f>N23</f>
        <v/>
      </c>
      <c r="AB23" s="12">
        <f>N23</f>
        <v/>
      </c>
      <c r="AC23" s="12">
        <f>N23</f>
        <v/>
      </c>
      <c r="AD23" s="12">
        <f>N23</f>
        <v/>
      </c>
    </row>
    <row r="24">
      <c r="A24" s="3" t="inlineStr">
        <is>
          <t>Lease Liability - Finance - Current — % of Revenue</t>
        </is>
      </c>
      <c r="B24" s="11">
        <f>IFERROR('QTR BS'!B26/'QTR P&amp;L'!B2,"")</f>
        <v/>
      </c>
      <c r="C24" s="11">
        <f>IFERROR('QTR BS'!C26/'QTR P&amp;L'!C2,"")</f>
        <v/>
      </c>
      <c r="D24" s="11">
        <f>IFERROR('QTR BS'!D26/'QTR P&amp;L'!D2,"")</f>
        <v/>
      </c>
      <c r="E24" s="11">
        <f>IFERROR('QTR BS'!E26/'QTR P&amp;L'!E2,"")</f>
        <v/>
      </c>
      <c r="F24" s="11">
        <f>IFERROR('QTR BS'!F26/'QTR P&amp;L'!F2,"")</f>
        <v/>
      </c>
      <c r="G24" s="11">
        <f>IFERROR('QTR BS'!G26/'QTR P&amp;L'!G2,"")</f>
        <v/>
      </c>
      <c r="H24" s="11">
        <f>IFERROR('QTR BS'!H26/'QTR P&amp;L'!H2,"")</f>
        <v/>
      </c>
      <c r="I24" s="11">
        <f>IFERROR('QTR BS'!I26/'QTR P&amp;L'!I2,"")</f>
        <v/>
      </c>
      <c r="J24" s="11">
        <f>IFERROR('QTR BS'!J26/'QTR P&amp;L'!J2,"")</f>
        <v/>
      </c>
      <c r="K24" s="11">
        <f>IFERROR('QTR BS'!K26/'QTR P&amp;L'!K2,"")</f>
        <v/>
      </c>
      <c r="L24" s="11">
        <f>IFERROR('QTR BS'!L26/'QTR P&amp;L'!L2,"")</f>
        <v/>
      </c>
      <c r="M24" s="11">
        <f>IFERROR('QTR BS'!M26/'QTR P&amp;L'!M2,"")</f>
        <v/>
      </c>
      <c r="N24" s="11">
        <f>IFERROR('QTR BS'!N26/'QTR P&amp;L'!N2,"")</f>
        <v/>
      </c>
      <c r="O24" s="12">
        <f>N24</f>
        <v/>
      </c>
      <c r="P24" s="12">
        <f>N24</f>
        <v/>
      </c>
      <c r="Q24" s="12">
        <f>N24</f>
        <v/>
      </c>
      <c r="R24" s="12">
        <f>N24</f>
        <v/>
      </c>
      <c r="S24" s="12">
        <f>N24</f>
        <v/>
      </c>
      <c r="T24" s="12">
        <f>N24</f>
        <v/>
      </c>
      <c r="U24" s="12">
        <f>N24</f>
        <v/>
      </c>
      <c r="V24" s="12">
        <f>N24</f>
        <v/>
      </c>
      <c r="W24" s="12">
        <f>N24</f>
        <v/>
      </c>
      <c r="X24" s="12">
        <f>N24</f>
        <v/>
      </c>
      <c r="Y24" s="12">
        <f>N24</f>
        <v/>
      </c>
      <c r="Z24" s="12">
        <f>N24</f>
        <v/>
      </c>
      <c r="AA24" s="12">
        <f>N24</f>
        <v/>
      </c>
      <c r="AB24" s="12">
        <f>N24</f>
        <v/>
      </c>
      <c r="AC24" s="12">
        <f>N24</f>
        <v/>
      </c>
      <c r="AD24" s="12">
        <f>N24</f>
        <v/>
      </c>
    </row>
    <row r="25">
      <c r="A25" s="3" t="inlineStr">
        <is>
          <t>Contingent Consideration - Current — % of Revenue</t>
        </is>
      </c>
      <c r="B25" s="11">
        <f>IFERROR('QTR BS'!B27/'QTR P&amp;L'!B2,"")</f>
        <v/>
      </c>
      <c r="C25" s="11">
        <f>IFERROR('QTR BS'!C27/'QTR P&amp;L'!C2,"")</f>
        <v/>
      </c>
      <c r="D25" s="11">
        <f>IFERROR('QTR BS'!D27/'QTR P&amp;L'!D2,"")</f>
        <v/>
      </c>
      <c r="E25" s="11">
        <f>IFERROR('QTR BS'!E27/'QTR P&amp;L'!E2,"")</f>
        <v/>
      </c>
      <c r="F25" s="11">
        <f>IFERROR('QTR BS'!F27/'QTR P&amp;L'!F2,"")</f>
        <v/>
      </c>
      <c r="G25" s="11">
        <f>IFERROR('QTR BS'!G27/'QTR P&amp;L'!G2,"")</f>
        <v/>
      </c>
      <c r="H25" s="11">
        <f>IFERROR('QTR BS'!H27/'QTR P&amp;L'!H2,"")</f>
        <v/>
      </c>
      <c r="I25" s="11">
        <f>IFERROR('QTR BS'!I27/'QTR P&amp;L'!I2,"")</f>
        <v/>
      </c>
      <c r="J25" s="11">
        <f>IFERROR('QTR BS'!J27/'QTR P&amp;L'!J2,"")</f>
        <v/>
      </c>
      <c r="K25" s="11">
        <f>IFERROR('QTR BS'!K27/'QTR P&amp;L'!K2,"")</f>
        <v/>
      </c>
      <c r="L25" s="11">
        <f>IFERROR('QTR BS'!L27/'QTR P&amp;L'!L2,"")</f>
        <v/>
      </c>
      <c r="M25" s="11">
        <f>IFERROR('QTR BS'!M27/'QTR P&amp;L'!M2,"")</f>
        <v/>
      </c>
      <c r="N25" s="11">
        <f>IFERROR('QTR BS'!N27/'QTR P&amp;L'!N2,"")</f>
        <v/>
      </c>
      <c r="O25" s="12">
        <f>N25</f>
        <v/>
      </c>
      <c r="P25" s="12">
        <f>N25</f>
        <v/>
      </c>
      <c r="Q25" s="12">
        <f>N25</f>
        <v/>
      </c>
      <c r="R25" s="12">
        <f>N25</f>
        <v/>
      </c>
      <c r="S25" s="12">
        <f>N25</f>
        <v/>
      </c>
      <c r="T25" s="12">
        <f>N25</f>
        <v/>
      </c>
      <c r="U25" s="12">
        <f>N25</f>
        <v/>
      </c>
      <c r="V25" s="12">
        <f>N25</f>
        <v/>
      </c>
      <c r="W25" s="12">
        <f>N25</f>
        <v/>
      </c>
      <c r="X25" s="12">
        <f>N25</f>
        <v/>
      </c>
      <c r="Y25" s="12">
        <f>N25</f>
        <v/>
      </c>
      <c r="Z25" s="12">
        <f>N25</f>
        <v/>
      </c>
      <c r="AA25" s="12">
        <f>N25</f>
        <v/>
      </c>
      <c r="AB25" s="12">
        <f>N25</f>
        <v/>
      </c>
      <c r="AC25" s="12">
        <f>N25</f>
        <v/>
      </c>
      <c r="AD25" s="12">
        <f>N25</f>
        <v/>
      </c>
    </row>
    <row r="26">
      <c r="A26" s="3" t="inlineStr">
        <is>
          <t>Deferred Revenue - Current — % of Revenue</t>
        </is>
      </c>
      <c r="B26" s="11">
        <f>IFERROR('QTR BS'!B28/'QTR P&amp;L'!B2,"")</f>
        <v/>
      </c>
      <c r="C26" s="11">
        <f>IFERROR('QTR BS'!C28/'QTR P&amp;L'!C2,"")</f>
        <v/>
      </c>
      <c r="D26" s="11">
        <f>IFERROR('QTR BS'!D28/'QTR P&amp;L'!D2,"")</f>
        <v/>
      </c>
      <c r="E26" s="11">
        <f>IFERROR('QTR BS'!E28/'QTR P&amp;L'!E2,"")</f>
        <v/>
      </c>
      <c r="F26" s="11">
        <f>IFERROR('QTR BS'!F28/'QTR P&amp;L'!F2,"")</f>
        <v/>
      </c>
      <c r="G26" s="11">
        <f>IFERROR('QTR BS'!G28/'QTR P&amp;L'!G2,"")</f>
        <v/>
      </c>
      <c r="H26" s="11">
        <f>IFERROR('QTR BS'!H28/'QTR P&amp;L'!H2,"")</f>
        <v/>
      </c>
      <c r="I26" s="11">
        <f>IFERROR('QTR BS'!I28/'QTR P&amp;L'!I2,"")</f>
        <v/>
      </c>
      <c r="J26" s="11">
        <f>IFERROR('QTR BS'!J28/'QTR P&amp;L'!J2,"")</f>
        <v/>
      </c>
      <c r="K26" s="11">
        <f>IFERROR('QTR BS'!K28/'QTR P&amp;L'!K2,"")</f>
        <v/>
      </c>
      <c r="L26" s="11">
        <f>IFERROR('QTR BS'!L28/'QTR P&amp;L'!L2,"")</f>
        <v/>
      </c>
      <c r="M26" s="11">
        <f>IFERROR('QTR BS'!M28/'QTR P&amp;L'!M2,"")</f>
        <v/>
      </c>
      <c r="N26" s="11">
        <f>IFERROR('QTR BS'!N28/'QTR P&amp;L'!N2,"")</f>
        <v/>
      </c>
      <c r="O26" s="12">
        <f>N26</f>
        <v/>
      </c>
      <c r="P26" s="12">
        <f>N26</f>
        <v/>
      </c>
      <c r="Q26" s="12">
        <f>N26</f>
        <v/>
      </c>
      <c r="R26" s="12">
        <f>N26</f>
        <v/>
      </c>
      <c r="S26" s="12">
        <f>N26</f>
        <v/>
      </c>
      <c r="T26" s="12">
        <f>N26</f>
        <v/>
      </c>
      <c r="U26" s="12">
        <f>N26</f>
        <v/>
      </c>
      <c r="V26" s="12">
        <f>N26</f>
        <v/>
      </c>
      <c r="W26" s="12">
        <f>N26</f>
        <v/>
      </c>
      <c r="X26" s="12">
        <f>N26</f>
        <v/>
      </c>
      <c r="Y26" s="12">
        <f>N26</f>
        <v/>
      </c>
      <c r="Z26" s="12">
        <f>N26</f>
        <v/>
      </c>
      <c r="AA26" s="12">
        <f>N26</f>
        <v/>
      </c>
      <c r="AB26" s="12">
        <f>N26</f>
        <v/>
      </c>
      <c r="AC26" s="12">
        <f>N26</f>
        <v/>
      </c>
      <c r="AD26" s="12">
        <f>N26</f>
        <v/>
      </c>
    </row>
    <row r="27">
      <c r="A27" s="3" t="inlineStr">
        <is>
          <t>Other Current Liabilities — % of Revenue</t>
        </is>
      </c>
      <c r="B27" s="11">
        <f>IFERROR('QTR BS'!B29/'QTR P&amp;L'!B2,"")</f>
        <v/>
      </c>
      <c r="C27" s="11">
        <f>IFERROR('QTR BS'!C29/'QTR P&amp;L'!C2,"")</f>
        <v/>
      </c>
      <c r="D27" s="11">
        <f>IFERROR('QTR BS'!D29/'QTR P&amp;L'!D2,"")</f>
        <v/>
      </c>
      <c r="E27" s="11">
        <f>IFERROR('QTR BS'!E29/'QTR P&amp;L'!E2,"")</f>
        <v/>
      </c>
      <c r="F27" s="11">
        <f>IFERROR('QTR BS'!F29/'QTR P&amp;L'!F2,"")</f>
        <v/>
      </c>
      <c r="G27" s="11">
        <f>IFERROR('QTR BS'!G29/'QTR P&amp;L'!G2,"")</f>
        <v/>
      </c>
      <c r="H27" s="11">
        <f>IFERROR('QTR BS'!H29/'QTR P&amp;L'!H2,"")</f>
        <v/>
      </c>
      <c r="I27" s="11">
        <f>IFERROR('QTR BS'!I29/'QTR P&amp;L'!I2,"")</f>
        <v/>
      </c>
      <c r="J27" s="11">
        <f>IFERROR('QTR BS'!J29/'QTR P&amp;L'!J2,"")</f>
        <v/>
      </c>
      <c r="K27" s="11">
        <f>IFERROR('QTR BS'!K29/'QTR P&amp;L'!K2,"")</f>
        <v/>
      </c>
      <c r="L27" s="11">
        <f>IFERROR('QTR BS'!L29/'QTR P&amp;L'!L2,"")</f>
        <v/>
      </c>
      <c r="M27" s="11">
        <f>IFERROR('QTR BS'!M29/'QTR P&amp;L'!M2,"")</f>
        <v/>
      </c>
      <c r="N27" s="11">
        <f>IFERROR('QTR BS'!N29/'QTR P&amp;L'!N2,"")</f>
        <v/>
      </c>
      <c r="O27" s="12">
        <f>N27</f>
        <v/>
      </c>
      <c r="P27" s="12">
        <f>N27</f>
        <v/>
      </c>
      <c r="Q27" s="12">
        <f>N27</f>
        <v/>
      </c>
      <c r="R27" s="12">
        <f>N27</f>
        <v/>
      </c>
      <c r="S27" s="12">
        <f>N27</f>
        <v/>
      </c>
      <c r="T27" s="12">
        <f>N27</f>
        <v/>
      </c>
      <c r="U27" s="12">
        <f>N27</f>
        <v/>
      </c>
      <c r="V27" s="12">
        <f>N27</f>
        <v/>
      </c>
      <c r="W27" s="12">
        <f>N27</f>
        <v/>
      </c>
      <c r="X27" s="12">
        <f>N27</f>
        <v/>
      </c>
      <c r="Y27" s="12">
        <f>N27</f>
        <v/>
      </c>
      <c r="Z27" s="12">
        <f>N27</f>
        <v/>
      </c>
      <c r="AA27" s="12">
        <f>N27</f>
        <v/>
      </c>
      <c r="AB27" s="12">
        <f>N27</f>
        <v/>
      </c>
      <c r="AC27" s="12">
        <f>N27</f>
        <v/>
      </c>
      <c r="AD27" s="12">
        <f>N27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P&amp;L'!B2,"")</f>
        <v/>
      </c>
      <c r="C28" s="11">
        <f>IFERROR('QTR BS'!C31/'QTR P&amp;L'!C2,"")</f>
        <v/>
      </c>
      <c r="D28" s="11">
        <f>IFERROR('QTR BS'!D31/'QTR P&amp;L'!D2,"")</f>
        <v/>
      </c>
      <c r="E28" s="11">
        <f>IFERROR('QTR BS'!E31/'QTR P&amp;L'!E2,"")</f>
        <v/>
      </c>
      <c r="F28" s="11">
        <f>IFERROR('QTR BS'!F31/'QTR P&amp;L'!F2,"")</f>
        <v/>
      </c>
      <c r="G28" s="11">
        <f>IFERROR('QTR BS'!G31/'QTR P&amp;L'!G2,"")</f>
        <v/>
      </c>
      <c r="H28" s="11">
        <f>IFERROR('QTR BS'!H31/'QTR P&amp;L'!H2,"")</f>
        <v/>
      </c>
      <c r="I28" s="11">
        <f>IFERROR('QTR BS'!I31/'QTR P&amp;L'!I2,"")</f>
        <v/>
      </c>
      <c r="J28" s="11">
        <f>IFERROR('QTR BS'!J31/'QTR P&amp;L'!J2,"")</f>
        <v/>
      </c>
      <c r="K28" s="11">
        <f>IFERROR('QTR BS'!K31/'QTR P&amp;L'!K2,"")</f>
        <v/>
      </c>
      <c r="L28" s="11">
        <f>IFERROR('QTR BS'!L31/'QTR P&amp;L'!L2,"")</f>
        <v/>
      </c>
      <c r="M28" s="11">
        <f>IFERROR('QTR BS'!M31/'QTR P&amp;L'!M2,"")</f>
        <v/>
      </c>
      <c r="N28" s="11">
        <f>IFERROR('QTR BS'!N31/'QTR P&amp;L'!N2,"")</f>
        <v/>
      </c>
      <c r="O28" s="12">
        <f>N28</f>
        <v/>
      </c>
      <c r="P28" s="12">
        <f>N28</f>
        <v/>
      </c>
      <c r="Q28" s="12">
        <f>N28</f>
        <v/>
      </c>
      <c r="R28" s="12">
        <f>N28</f>
        <v/>
      </c>
      <c r="S28" s="12">
        <f>N28</f>
        <v/>
      </c>
      <c r="T28" s="12">
        <f>N28</f>
        <v/>
      </c>
      <c r="U28" s="12">
        <f>N28</f>
        <v/>
      </c>
      <c r="V28" s="12">
        <f>N28</f>
        <v/>
      </c>
      <c r="W28" s="12">
        <f>N28</f>
        <v/>
      </c>
      <c r="X28" s="12">
        <f>N28</f>
        <v/>
      </c>
      <c r="Y28" s="12">
        <f>N28</f>
        <v/>
      </c>
      <c r="Z28" s="12">
        <f>N28</f>
        <v/>
      </c>
      <c r="AA28" s="12">
        <f>N28</f>
        <v/>
      </c>
      <c r="AB28" s="12">
        <f>N28</f>
        <v/>
      </c>
      <c r="AC28" s="12">
        <f>N28</f>
        <v/>
      </c>
      <c r="AD28" s="12">
        <f>N28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P&amp;L'!B2,"")</f>
        <v/>
      </c>
      <c r="C29" s="11">
        <f>IFERROR('QTR BS'!C32/'QTR P&amp;L'!C2,"")</f>
        <v/>
      </c>
      <c r="D29" s="11">
        <f>IFERROR('QTR BS'!D32/'QTR P&amp;L'!D2,"")</f>
        <v/>
      </c>
      <c r="E29" s="11">
        <f>IFERROR('QTR BS'!E32/'QTR P&amp;L'!E2,"")</f>
        <v/>
      </c>
      <c r="F29" s="11">
        <f>IFERROR('QTR BS'!F32/'QTR P&amp;L'!F2,"")</f>
        <v/>
      </c>
      <c r="G29" s="11">
        <f>IFERROR('QTR BS'!G32/'QTR P&amp;L'!G2,"")</f>
        <v/>
      </c>
      <c r="H29" s="11">
        <f>IFERROR('QTR BS'!H32/'QTR P&amp;L'!H2,"")</f>
        <v/>
      </c>
      <c r="I29" s="11">
        <f>IFERROR('QTR BS'!I32/'QTR P&amp;L'!I2,"")</f>
        <v/>
      </c>
      <c r="J29" s="11">
        <f>IFERROR('QTR BS'!J32/'QTR P&amp;L'!J2,"")</f>
        <v/>
      </c>
      <c r="K29" s="11">
        <f>IFERROR('QTR BS'!K32/'QTR P&amp;L'!K2,"")</f>
        <v/>
      </c>
      <c r="L29" s="11">
        <f>IFERROR('QTR BS'!L32/'QTR P&amp;L'!L2,"")</f>
        <v/>
      </c>
      <c r="M29" s="11">
        <f>IFERROR('QTR BS'!M32/'QTR P&amp;L'!M2,"")</f>
        <v/>
      </c>
      <c r="N29" s="11">
        <f>IFERROR('QTR BS'!N32/'QTR P&amp;L'!N2,"")</f>
        <v/>
      </c>
      <c r="O29" s="12">
        <f>N29</f>
        <v/>
      </c>
      <c r="P29" s="12">
        <f>N29</f>
        <v/>
      </c>
      <c r="Q29" s="12">
        <f>N29</f>
        <v/>
      </c>
      <c r="R29" s="12">
        <f>N29</f>
        <v/>
      </c>
      <c r="S29" s="12">
        <f>N29</f>
        <v/>
      </c>
      <c r="T29" s="12">
        <f>N29</f>
        <v/>
      </c>
      <c r="U29" s="12">
        <f>N29</f>
        <v/>
      </c>
      <c r="V29" s="12">
        <f>N29</f>
        <v/>
      </c>
      <c r="W29" s="12">
        <f>N29</f>
        <v/>
      </c>
      <c r="X29" s="12">
        <f>N29</f>
        <v/>
      </c>
      <c r="Y29" s="12">
        <f>N29</f>
        <v/>
      </c>
      <c r="Z29" s="12">
        <f>N29</f>
        <v/>
      </c>
      <c r="AA29" s="12">
        <f>N29</f>
        <v/>
      </c>
      <c r="AB29" s="12">
        <f>N29</f>
        <v/>
      </c>
      <c r="AC29" s="12">
        <f>N29</f>
        <v/>
      </c>
      <c r="AD29" s="12">
        <f>N29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N30</f>
        <v/>
      </c>
      <c r="Q30" s="13">
        <f>N30</f>
        <v/>
      </c>
      <c r="R30" s="13">
        <f>N30</f>
        <v/>
      </c>
      <c r="S30" s="13">
        <f>N30</f>
        <v/>
      </c>
      <c r="T30" s="13">
        <f>N30</f>
        <v/>
      </c>
      <c r="U30" s="13">
        <f>N30</f>
        <v/>
      </c>
      <c r="V30" s="13">
        <f>N30</f>
        <v/>
      </c>
      <c r="W30" s="13">
        <f>N30</f>
        <v/>
      </c>
      <c r="X30" s="13">
        <f>N30</f>
        <v/>
      </c>
      <c r="Y30" s="13">
        <f>N30</f>
        <v/>
      </c>
      <c r="Z30" s="13">
        <f>N30</f>
        <v/>
      </c>
      <c r="AA30" s="13">
        <f>N30</f>
        <v/>
      </c>
      <c r="AB30" s="13">
        <f>N30</f>
        <v/>
      </c>
      <c r="AC30" s="13">
        <f>N30</f>
        <v/>
      </c>
      <c r="AD30" s="13">
        <f>N30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N31</f>
        <v/>
      </c>
      <c r="Q31" s="13">
        <f>N31</f>
        <v/>
      </c>
      <c r="R31" s="13">
        <f>N31</f>
        <v/>
      </c>
      <c r="S31" s="13">
        <f>N31</f>
        <v/>
      </c>
      <c r="T31" s="13">
        <f>N31</f>
        <v/>
      </c>
      <c r="U31" s="13">
        <f>N31</f>
        <v/>
      </c>
      <c r="V31" s="13">
        <f>N31</f>
        <v/>
      </c>
      <c r="W31" s="13">
        <f>N31</f>
        <v/>
      </c>
      <c r="X31" s="13">
        <f>N31</f>
        <v/>
      </c>
      <c r="Y31" s="13">
        <f>N31</f>
        <v/>
      </c>
      <c r="Z31" s="13">
        <f>N31</f>
        <v/>
      </c>
      <c r="AA31" s="13">
        <f>N31</f>
        <v/>
      </c>
      <c r="AB31" s="13">
        <f>N31</f>
        <v/>
      </c>
      <c r="AC31" s="13">
        <f>N31</f>
        <v/>
      </c>
      <c r="AD31" s="13">
        <f>N31</f>
        <v/>
      </c>
    </row>
    <row r="32">
      <c r="A32" s="3" t="inlineStr">
        <is>
          <t>Deferred Revenue - Non-Current — % of Revenue</t>
        </is>
      </c>
      <c r="B32" s="11">
        <f>IFERROR('QTR BS'!B35/'QTR P&amp;L'!B2,"")</f>
        <v/>
      </c>
      <c r="C32" s="11">
        <f>IFERROR('QTR BS'!C35/'QTR P&amp;L'!C2,"")</f>
        <v/>
      </c>
      <c r="D32" s="11">
        <f>IFERROR('QTR BS'!D35/'QTR P&amp;L'!D2,"")</f>
        <v/>
      </c>
      <c r="E32" s="11">
        <f>IFERROR('QTR BS'!E35/'QTR P&amp;L'!E2,"")</f>
        <v/>
      </c>
      <c r="F32" s="11">
        <f>IFERROR('QTR BS'!F35/'QTR P&amp;L'!F2,"")</f>
        <v/>
      </c>
      <c r="G32" s="11">
        <f>IFERROR('QTR BS'!G35/'QTR P&amp;L'!G2,"")</f>
        <v/>
      </c>
      <c r="H32" s="11">
        <f>IFERROR('QTR BS'!H35/'QTR P&amp;L'!H2,"")</f>
        <v/>
      </c>
      <c r="I32" s="11">
        <f>IFERROR('QTR BS'!I35/'QTR P&amp;L'!I2,"")</f>
        <v/>
      </c>
      <c r="J32" s="11">
        <f>IFERROR('QTR BS'!J35/'QTR P&amp;L'!J2,"")</f>
        <v/>
      </c>
      <c r="K32" s="11">
        <f>IFERROR('QTR BS'!K35/'QTR P&amp;L'!K2,"")</f>
        <v/>
      </c>
      <c r="L32" s="11">
        <f>IFERROR('QTR BS'!L35/'QTR P&amp;L'!L2,"")</f>
        <v/>
      </c>
      <c r="M32" s="11">
        <f>IFERROR('QTR BS'!M35/'QTR P&amp;L'!M2,"")</f>
        <v/>
      </c>
      <c r="N32" s="11">
        <f>IFERROR('QTR BS'!N35/'QTR P&amp;L'!N2,"")</f>
        <v/>
      </c>
      <c r="O32" s="12">
        <f>N32</f>
        <v/>
      </c>
      <c r="P32" s="12">
        <f>N32</f>
        <v/>
      </c>
      <c r="Q32" s="12">
        <f>N32</f>
        <v/>
      </c>
      <c r="R32" s="12">
        <f>N32</f>
        <v/>
      </c>
      <c r="S32" s="12">
        <f>N32</f>
        <v/>
      </c>
      <c r="T32" s="12">
        <f>N32</f>
        <v/>
      </c>
      <c r="U32" s="12">
        <f>N32</f>
        <v/>
      </c>
      <c r="V32" s="12">
        <f>N32</f>
        <v/>
      </c>
      <c r="W32" s="12">
        <f>N32</f>
        <v/>
      </c>
      <c r="X32" s="12">
        <f>N32</f>
        <v/>
      </c>
      <c r="Y32" s="12">
        <f>N32</f>
        <v/>
      </c>
      <c r="Z32" s="12">
        <f>N32</f>
        <v/>
      </c>
      <c r="AA32" s="12">
        <f>N32</f>
        <v/>
      </c>
      <c r="AB32" s="12">
        <f>N32</f>
        <v/>
      </c>
      <c r="AC32" s="12">
        <f>N32</f>
        <v/>
      </c>
      <c r="AD32" s="12">
        <f>N32</f>
        <v/>
      </c>
    </row>
    <row r="33">
      <c r="A33" s="3" t="inlineStr">
        <is>
          <t>Other Non-Current Liabilities — % of Revenue</t>
        </is>
      </c>
      <c r="B33" s="11">
        <f>IFERROR('QTR BS'!B36/'QTR P&amp;L'!B2,"")</f>
        <v/>
      </c>
      <c r="C33" s="11">
        <f>IFERROR('QTR BS'!C36/'QTR P&amp;L'!C2,"")</f>
        <v/>
      </c>
      <c r="D33" s="11">
        <f>IFERROR('QTR BS'!D36/'QTR P&amp;L'!D2,"")</f>
        <v/>
      </c>
      <c r="E33" s="11">
        <f>IFERROR('QTR BS'!E36/'QTR P&amp;L'!E2,"")</f>
        <v/>
      </c>
      <c r="F33" s="11">
        <f>IFERROR('QTR BS'!F36/'QTR P&amp;L'!F2,"")</f>
        <v/>
      </c>
      <c r="G33" s="11">
        <f>IFERROR('QTR BS'!G36/'QTR P&amp;L'!G2,"")</f>
        <v/>
      </c>
      <c r="H33" s="11">
        <f>IFERROR('QTR BS'!H36/'QTR P&amp;L'!H2,"")</f>
        <v/>
      </c>
      <c r="I33" s="11">
        <f>IFERROR('QTR BS'!I36/'QTR P&amp;L'!I2,"")</f>
        <v/>
      </c>
      <c r="J33" s="11">
        <f>IFERROR('QTR BS'!J36/'QTR P&amp;L'!J2,"")</f>
        <v/>
      </c>
      <c r="K33" s="11">
        <f>IFERROR('QTR BS'!K36/'QTR P&amp;L'!K2,"")</f>
        <v/>
      </c>
      <c r="L33" s="11">
        <f>IFERROR('QTR BS'!L36/'QTR P&amp;L'!L2,"")</f>
        <v/>
      </c>
      <c r="M33" s="11">
        <f>IFERROR('QTR BS'!M36/'QTR P&amp;L'!M2,"")</f>
        <v/>
      </c>
      <c r="N33" s="11">
        <f>IFERROR('QTR BS'!N36/'QTR P&amp;L'!N2,"")</f>
        <v/>
      </c>
      <c r="O33" s="12">
        <f>N33</f>
        <v/>
      </c>
      <c r="P33" s="12">
        <f>N33</f>
        <v/>
      </c>
      <c r="Q33" s="12">
        <f>N33</f>
        <v/>
      </c>
      <c r="R33" s="12">
        <f>N33</f>
        <v/>
      </c>
      <c r="S33" s="12">
        <f>N33</f>
        <v/>
      </c>
      <c r="T33" s="12">
        <f>N33</f>
        <v/>
      </c>
      <c r="U33" s="12">
        <f>N33</f>
        <v/>
      </c>
      <c r="V33" s="12">
        <f>N33</f>
        <v/>
      </c>
      <c r="W33" s="12">
        <f>N33</f>
        <v/>
      </c>
      <c r="X33" s="12">
        <f>N33</f>
        <v/>
      </c>
      <c r="Y33" s="12">
        <f>N33</f>
        <v/>
      </c>
      <c r="Z33" s="12">
        <f>N33</f>
        <v/>
      </c>
      <c r="AA33" s="12">
        <f>N33</f>
        <v/>
      </c>
      <c r="AB33" s="12">
        <f>N33</f>
        <v/>
      </c>
      <c r="AC33" s="12">
        <f>N33</f>
        <v/>
      </c>
      <c r="AD33" s="12">
        <f>N33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N34</f>
        <v/>
      </c>
      <c r="Q34" s="13">
        <f>N34</f>
        <v/>
      </c>
      <c r="R34" s="13">
        <f>N34</f>
        <v/>
      </c>
      <c r="S34" s="13">
        <f>N34</f>
        <v/>
      </c>
      <c r="T34" s="13">
        <f>N34</f>
        <v/>
      </c>
      <c r="U34" s="13">
        <f>N34</f>
        <v/>
      </c>
      <c r="V34" s="13">
        <f>N34</f>
        <v/>
      </c>
      <c r="W34" s="13">
        <f>N34</f>
        <v/>
      </c>
      <c r="X34" s="13">
        <f>N34</f>
        <v/>
      </c>
      <c r="Y34" s="13">
        <f>N34</f>
        <v/>
      </c>
      <c r="Z34" s="13">
        <f>N34</f>
        <v/>
      </c>
      <c r="AA34" s="13">
        <f>N34</f>
        <v/>
      </c>
      <c r="AB34" s="13">
        <f>N34</f>
        <v/>
      </c>
      <c r="AC34" s="13">
        <f>N34</f>
        <v/>
      </c>
      <c r="AD34" s="13">
        <f>N34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N35</f>
        <v/>
      </c>
      <c r="Q35" s="13">
        <f>N35</f>
        <v/>
      </c>
      <c r="R35" s="13">
        <f>N35</f>
        <v/>
      </c>
      <c r="S35" s="13">
        <f>N35</f>
        <v/>
      </c>
      <c r="T35" s="13">
        <f>N35</f>
        <v/>
      </c>
      <c r="U35" s="13">
        <f>N35</f>
        <v/>
      </c>
      <c r="V35" s="13">
        <f>N35</f>
        <v/>
      </c>
      <c r="W35" s="13">
        <f>N35</f>
        <v/>
      </c>
      <c r="X35" s="13">
        <f>N35</f>
        <v/>
      </c>
      <c r="Y35" s="13">
        <f>N35</f>
        <v/>
      </c>
      <c r="Z35" s="13">
        <f>N35</f>
        <v/>
      </c>
      <c r="AA35" s="13">
        <f>N35</f>
        <v/>
      </c>
      <c r="AB35" s="13">
        <f>N35</f>
        <v/>
      </c>
      <c r="AC35" s="13">
        <f>N35</f>
        <v/>
      </c>
      <c r="AD35" s="13">
        <f>N35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N36</f>
        <v/>
      </c>
      <c r="Q36" s="13">
        <f>N36</f>
        <v/>
      </c>
      <c r="R36" s="13">
        <f>N36</f>
        <v/>
      </c>
      <c r="S36" s="13">
        <f>N36</f>
        <v/>
      </c>
      <c r="T36" s="13">
        <f>N36</f>
        <v/>
      </c>
      <c r="U36" s="13">
        <f>N36</f>
        <v/>
      </c>
      <c r="V36" s="13">
        <f>N36</f>
        <v/>
      </c>
      <c r="W36" s="13">
        <f>N36</f>
        <v/>
      </c>
      <c r="X36" s="13">
        <f>N36</f>
        <v/>
      </c>
      <c r="Y36" s="13">
        <f>N36</f>
        <v/>
      </c>
      <c r="Z36" s="13">
        <f>N36</f>
        <v/>
      </c>
      <c r="AA36" s="13">
        <f>N36</f>
        <v/>
      </c>
      <c r="AB36" s="13">
        <f>N36</f>
        <v/>
      </c>
      <c r="AC36" s="13">
        <f>N36</f>
        <v/>
      </c>
      <c r="AD36" s="13">
        <f>N36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Q6</f>
        <v/>
      </c>
      <c r="T6" s="12">
        <f>Q6</f>
        <v/>
      </c>
      <c r="U6" s="12">
        <f>Q6</f>
        <v/>
      </c>
      <c r="V6" s="12">
        <f>Q6</f>
        <v/>
      </c>
      <c r="W6" s="12">
        <f>Q6</f>
        <v/>
      </c>
      <c r="X6" s="12">
        <f>Q6</f>
        <v/>
      </c>
      <c r="Y6" s="12">
        <f>Q6</f>
        <v/>
      </c>
      <c r="Z6" s="12">
        <f>Q6</f>
        <v/>
      </c>
      <c r="AA6" s="12">
        <f>Q6</f>
        <v/>
      </c>
      <c r="AB6" s="12">
        <f>Q6</f>
        <v/>
      </c>
      <c r="AC6" s="12">
        <f>Q6</f>
        <v/>
      </c>
      <c r="AD6" s="12">
        <f>Q6</f>
        <v/>
      </c>
      <c r="AE6" s="12">
        <f>Q6</f>
        <v/>
      </c>
      <c r="AF6" s="12">
        <f>Q6</f>
        <v/>
      </c>
      <c r="AG6" s="12">
        <f>Q6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Q11</f>
        <v/>
      </c>
      <c r="T11" s="12">
        <f>Q11</f>
        <v/>
      </c>
      <c r="U11" s="12">
        <f>Q11</f>
        <v/>
      </c>
      <c r="V11" s="12">
        <f>Q11</f>
        <v/>
      </c>
      <c r="W11" s="12">
        <f>Q11</f>
        <v/>
      </c>
      <c r="X11" s="12">
        <f>Q11</f>
        <v/>
      </c>
      <c r="Y11" s="12">
        <f>Q11</f>
        <v/>
      </c>
      <c r="Z11" s="12">
        <f>Q11</f>
        <v/>
      </c>
      <c r="AA11" s="12">
        <f>Q11</f>
        <v/>
      </c>
      <c r="AB11" s="12">
        <f>Q11</f>
        <v/>
      </c>
      <c r="AC11" s="12">
        <f>Q11</f>
        <v/>
      </c>
      <c r="AD11" s="12">
        <f>Q11</f>
        <v/>
      </c>
      <c r="AE11" s="12">
        <f>Q11</f>
        <v/>
      </c>
      <c r="AF11" s="12">
        <f>Q11</f>
        <v/>
      </c>
      <c r="AG11" s="12">
        <f>Q11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Q12</f>
        <v/>
      </c>
      <c r="T12" s="13">
        <f>Q12</f>
        <v/>
      </c>
      <c r="U12" s="13">
        <f>Q12</f>
        <v/>
      </c>
      <c r="V12" s="13">
        <f>Q12</f>
        <v/>
      </c>
      <c r="W12" s="13">
        <f>Q12</f>
        <v/>
      </c>
      <c r="X12" s="13">
        <f>Q12</f>
        <v/>
      </c>
      <c r="Y12" s="13">
        <f>Q12</f>
        <v/>
      </c>
      <c r="Z12" s="13">
        <f>Q12</f>
        <v/>
      </c>
      <c r="AA12" s="13">
        <f>Q12</f>
        <v/>
      </c>
      <c r="AB12" s="13">
        <f>Q12</f>
        <v/>
      </c>
      <c r="AC12" s="13">
        <f>Q12</f>
        <v/>
      </c>
      <c r="AD12" s="13">
        <f>Q12</f>
        <v/>
      </c>
      <c r="AE12" s="13">
        <f>Q12</f>
        <v/>
      </c>
      <c r="AF12" s="13">
        <f>Q12</f>
        <v/>
      </c>
      <c r="AG12" s="13">
        <f>Q12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Q33</f>
        <v/>
      </c>
      <c r="T33" s="12">
        <f>Q33</f>
        <v/>
      </c>
      <c r="U33" s="12">
        <f>Q33</f>
        <v/>
      </c>
      <c r="V33" s="12">
        <f>Q33</f>
        <v/>
      </c>
      <c r="W33" s="12">
        <f>Q33</f>
        <v/>
      </c>
      <c r="X33" s="12">
        <f>Q33</f>
        <v/>
      </c>
      <c r="Y33" s="12">
        <f>Q33</f>
        <v/>
      </c>
      <c r="Z33" s="12">
        <f>Q33</f>
        <v/>
      </c>
      <c r="AA33" s="12">
        <f>Q33</f>
        <v/>
      </c>
      <c r="AB33" s="12">
        <f>Q33</f>
        <v/>
      </c>
      <c r="AC33" s="12">
        <f>Q33</f>
        <v/>
      </c>
      <c r="AD33" s="12">
        <f>Q33</f>
        <v/>
      </c>
      <c r="AE33" s="12">
        <f>Q33</f>
        <v/>
      </c>
      <c r="AF33" s="12">
        <f>Q33</f>
        <v/>
      </c>
      <c r="AG33" s="12">
        <f>Q33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Q42</f>
        <v/>
      </c>
      <c r="T42" s="13">
        <f>Q42</f>
        <v/>
      </c>
      <c r="U42" s="13">
        <f>Q42</f>
        <v/>
      </c>
      <c r="V42" s="13">
        <f>Q42</f>
        <v/>
      </c>
      <c r="W42" s="13">
        <f>Q42</f>
        <v/>
      </c>
      <c r="X42" s="13">
        <f>Q42</f>
        <v/>
      </c>
      <c r="Y42" s="13">
        <f>Q42</f>
        <v/>
      </c>
      <c r="Z42" s="13">
        <f>Q42</f>
        <v/>
      </c>
      <c r="AA42" s="13">
        <f>Q42</f>
        <v/>
      </c>
      <c r="AB42" s="13">
        <f>Q42</f>
        <v/>
      </c>
      <c r="AC42" s="13">
        <f>Q42</f>
        <v/>
      </c>
      <c r="AD42" s="13">
        <f>Q42</f>
        <v/>
      </c>
      <c r="AE42" s="13">
        <f>Q42</f>
        <v/>
      </c>
      <c r="AF42" s="13">
        <f>Q42</f>
        <v/>
      </c>
      <c r="AG42" s="13">
        <f>Q42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Q48</f>
        <v/>
      </c>
      <c r="T48" s="13">
        <f>Q48</f>
        <v/>
      </c>
      <c r="U48" s="13">
        <f>Q48</f>
        <v/>
      </c>
      <c r="V48" s="13">
        <f>Q48</f>
        <v/>
      </c>
      <c r="W48" s="13">
        <f>Q48</f>
        <v/>
      </c>
      <c r="X48" s="13">
        <f>Q48</f>
        <v/>
      </c>
      <c r="Y48" s="13">
        <f>Q48</f>
        <v/>
      </c>
      <c r="Z48" s="13">
        <f>Q48</f>
        <v/>
      </c>
      <c r="AA48" s="13">
        <f>Q48</f>
        <v/>
      </c>
      <c r="AB48" s="13">
        <f>Q48</f>
        <v/>
      </c>
      <c r="AC48" s="13">
        <f>Q48</f>
        <v/>
      </c>
      <c r="AD48" s="13">
        <f>Q48</f>
        <v/>
      </c>
      <c r="AE48" s="13">
        <f>Q48</f>
        <v/>
      </c>
      <c r="AF48" s="13">
        <f>Q48</f>
        <v/>
      </c>
      <c r="AG48" s="13">
        <f>Q48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2026-04-28T18:39:05Z</dcterms:created>
  <dcterms:modified xmlns:dcterms="http://purl.org/dc/terms/" xmlns:xsi="http://www.w3.org/2001/XMLSchema-instance" xsi:type="dcterms:W3CDTF">2026-04-28T18:39:13Z</dcterms:modified>
</cp:coreProperties>
</file>