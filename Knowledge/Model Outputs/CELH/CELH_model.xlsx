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2" activeTab="13" autoFilterDateGrouping="1"/>
  </bookViews>
  <sheets>
    <sheet xmlns:r="http://schemas.openxmlformats.org/officeDocument/2006/relationships" name="MD&amp;A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ANNL P&amp;L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YTD P&amp;L" sheetId="6" state="hidden" r:id="rId6"/>
    <sheet xmlns:r="http://schemas.openxmlformats.org/officeDocument/2006/relationships" name="YTD BS" sheetId="7" state="hidden" r:id="rId7"/>
    <sheet xmlns:r="http://schemas.openxmlformats.org/officeDocument/2006/relationships" name="YTD CF" sheetId="8" state="hidden" r:id="rId8"/>
    <sheet xmlns:r="http://schemas.openxmlformats.org/officeDocument/2006/relationships" name="QTR P&amp;L" sheetId="9" state="visible" r:id="rId9"/>
    <sheet xmlns:r="http://schemas.openxmlformats.org/officeDocument/2006/relationships" name="QTR BS" sheetId="10" state="visible" r:id="rId10"/>
    <sheet xmlns:r="http://schemas.openxmlformats.org/officeDocument/2006/relationships" name="QTR CF" sheetId="11" state="visible" r:id="rId11"/>
    <sheet xmlns:r="http://schemas.openxmlformats.org/officeDocument/2006/relationships" name="IS DRIVERS" sheetId="12" state="visible" r:id="rId12"/>
    <sheet xmlns:r="http://schemas.openxmlformats.org/officeDocument/2006/relationships" name="BS DRIVERS" sheetId="13" state="visible" r:id="rId13"/>
    <sheet xmlns:r="http://schemas.openxmlformats.org/officeDocument/2006/relationships" name="CF DRIVERS" sheetId="14" state="visible" r:id="rId14"/>
    <sheet xmlns:r="http://schemas.openxmlformats.org/officeDocument/2006/relationships" name="Revenue Driver" sheetId="15" state="visible" r:id="rId15"/>
  </sheets>
  <externalReferences>
    <externalReference xmlns:r="http://schemas.openxmlformats.org/officeDocument/2006/relationships" r:id="rId16"/>
  </externalReferences>
  <definedNames/>
  <calcPr calcId="191029" fullCalcOnLoad="1" iterate="1"/>
</workbook>
</file>

<file path=xl/styles.xml><?xml version="1.0" encoding="utf-8"?>
<styleSheet xmlns="http://schemas.openxmlformats.org/spreadsheetml/2006/main">
  <numFmts count="12">
    <numFmt numFmtId="164" formatCode="#,##0;\(#,##0\);&quot;--&quot;"/>
    <numFmt numFmtId="165" formatCode="\$#,##0_);\(\$#,##0\);&quot;$--&quot;_)"/>
    <numFmt numFmtId="166" formatCode="0.0%;\(0.0%\);&quot;--&quot;"/>
    <numFmt numFmtId="167" formatCode="0.0_);\(0.0\)"/>
    <numFmt numFmtId="168" formatCode="0.0%"/>
    <numFmt numFmtId="169" formatCode="0.0%;\(0.0%\)"/>
    <numFmt numFmtId="170" formatCode="\$#,##0.00"/>
    <numFmt numFmtId="171" formatCode="&quot;$&quot;#,##0"/>
    <numFmt numFmtId="172" formatCode="#,##0.0"/>
    <numFmt numFmtId="173" formatCode="&quot;$&quot;#,##0.00"/>
    <numFmt numFmtId="174" formatCode="#,##0;(#,##0);&quot;--&quot;"/>
    <numFmt numFmtId="175" formatCode="0.0%;(0.0%);&quot;--&quot;"/>
  </numFmts>
  <fonts count="3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color rgb="FF000000"/>
      <sz val="12"/>
    </font>
    <font>
      <name val="Arial"/>
      <family val="2"/>
      <color theme="1"/>
      <sz val="11"/>
    </font>
    <font>
      <name val="Arial"/>
      <family val="2"/>
      <b val="1"/>
      <color rgb="FF000000"/>
      <sz val="10"/>
    </font>
    <font>
      <name val="Arial"/>
      <family val="2"/>
      <color rgb="FF0000FF"/>
      <sz val="10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i val="1"/>
      <color rgb="FF444444"/>
      <sz val="9"/>
    </font>
    <font>
      <name val="Arial"/>
      <family val="2"/>
      <color rgb="FF000000"/>
      <sz val="8"/>
    </font>
    <font>
      <name val="Arial"/>
      <family val="2"/>
      <color rgb="FF0000FF"/>
      <sz val="8"/>
    </font>
    <font>
      <name val="Arial"/>
      <family val="2"/>
      <sz val="8"/>
    </font>
    <font>
      <name val="Arial"/>
      <family val="2"/>
      <color theme="1"/>
      <sz val="8"/>
    </font>
    <font>
      <name val="Arial"/>
      <family val="2"/>
      <color theme="1"/>
      <sz val="10"/>
    </font>
    <font>
      <b val="1"/>
      <sz val="14"/>
    </font>
    <font>
      <i val="1"/>
      <color rgb="00595959"/>
      <sz val="9"/>
    </font>
    <font>
      <b val="1"/>
      <color rgb="001F4E79"/>
      <sz val="11"/>
    </font>
    <font>
      <b val="1"/>
      <sz val="10"/>
    </font>
    <font>
      <sz val="10"/>
    </font>
    <font>
      <i val="1"/>
      <color rgb="00595959"/>
      <sz val="10"/>
    </font>
    <font>
      <i val="1"/>
      <color rgb="00808080"/>
      <sz val="9"/>
    </font>
    <font>
      <b val="1"/>
      <i val="1"/>
      <color rgb="00595959"/>
      <sz val="10"/>
    </font>
    <font>
      <b val="1"/>
      <i val="1"/>
      <color rgb="00808080"/>
      <sz val="10"/>
    </font>
    <font>
      <i val="1"/>
      <color rgb="00808080"/>
      <sz val="10"/>
    </font>
    <font>
      <b val="1"/>
      <color theme="1"/>
      <sz val="10"/>
    </font>
    <font>
      <b val="1"/>
      <color rgb="002E7D32"/>
      <sz val="11"/>
    </font>
    <font>
      <b val="1"/>
      <color rgb="00C62828"/>
      <sz val="11"/>
    </font>
    <font>
      <b val="1"/>
      <i val="1"/>
      <color rgb="001F4E79"/>
      <sz val="10"/>
    </font>
    <font>
      <b val="1"/>
      <color rgb="001F4E79"/>
      <sz val="10"/>
    </font>
  </fonts>
  <fills count="6">
    <fill>
      <patternFill/>
    </fill>
    <fill>
      <patternFill patternType="gray125"/>
    </fill>
    <fill>
      <patternFill patternType="solid">
        <fgColor rgb="FF203864"/>
        <bgColor rgb="FF2038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theme="1" tint="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indexed="64"/>
      </top>
      <bottom/>
      <diagonal/>
    </border>
    <border>
      <top style="thin">
        <color rgb="00000000"/>
      </top>
    </border>
    <border>
      <bottom style="thin">
        <color rgb="00000000"/>
      </bottom>
    </border>
    <border>
      <left/>
      <right/>
      <top style="thin">
        <color rgb="00000000"/>
      </top>
      <bottom/>
      <diagonal/>
    </border>
    <border>
      <right/>
      <top style="thin">
        <color rgb="00000000"/>
      </top>
      <bottom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3" fillId="5" borderId="0" pivotButton="0" quotePrefix="0" xfId="0"/>
    <xf numFmtId="0" fontId="4" fillId="5" borderId="0" pivotButton="0" quotePrefix="0" xfId="0"/>
    <xf numFmtId="3" fontId="8" fillId="0" borderId="2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68" fontId="10" fillId="0" borderId="2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168" fontId="10" fillId="0" borderId="2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/>
    </xf>
    <xf numFmtId="168" fontId="8" fillId="0" borderId="0" applyAlignment="1" pivotButton="0" quotePrefix="0" xfId="0">
      <alignment horizontal="right"/>
    </xf>
    <xf numFmtId="10" fontId="10" fillId="0" borderId="0" applyAlignment="1" pivotButton="0" quotePrefix="0" xfId="0">
      <alignment horizontal="center" vertical="center"/>
    </xf>
    <xf numFmtId="3" fontId="8" fillId="0" borderId="0" pivotButton="0" quotePrefix="0" xfId="0"/>
    <xf numFmtId="3" fontId="9" fillId="0" borderId="0" pivotButton="0" quotePrefix="0" xfId="0"/>
    <xf numFmtId="168" fontId="10" fillId="0" borderId="0" pivotButton="0" quotePrefix="0" xfId="0"/>
    <xf numFmtId="0" fontId="11" fillId="0" borderId="0" pivotButton="0" quotePrefix="0" xfId="0"/>
    <xf numFmtId="169" fontId="12" fillId="0" borderId="0" applyAlignment="1" pivotButton="0" quotePrefix="0" xfId="0">
      <alignment horizontal="right"/>
    </xf>
    <xf numFmtId="169" fontId="12" fillId="0" borderId="2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/>
    </xf>
    <xf numFmtId="169" fontId="14" fillId="0" borderId="0" applyAlignment="1" pivotButton="0" quotePrefix="0" xfId="0">
      <alignment horizontal="right"/>
    </xf>
    <xf numFmtId="170" fontId="10" fillId="0" borderId="0" pivotButton="0" quotePrefix="0" xfId="0"/>
    <xf numFmtId="168" fontId="12" fillId="0" borderId="0" pivotButton="0" quotePrefix="0" xfId="0"/>
    <xf numFmtId="10" fontId="10" fillId="0" borderId="2" applyAlignment="1" pivotButton="0" quotePrefix="0" xfId="0">
      <alignment horizontal="center" vertical="center"/>
    </xf>
    <xf numFmtId="171" fontId="9" fillId="0" borderId="0" pivotButton="0" quotePrefix="0" xfId="0"/>
    <xf numFmtId="3" fontId="10" fillId="0" borderId="0" pivotButton="0" quotePrefix="0" xfId="0"/>
    <xf numFmtId="172" fontId="10" fillId="0" borderId="0" pivotButton="0" quotePrefix="0" xfId="0"/>
    <xf numFmtId="3" fontId="13" fillId="0" borderId="0" pivotButton="0" quotePrefix="0" xfId="0"/>
    <xf numFmtId="3" fontId="15" fillId="0" borderId="0" pivotButton="0" quotePrefix="0" xfId="0"/>
    <xf numFmtId="3" fontId="7" fillId="0" borderId="0" pivotButton="0" quotePrefix="0" xfId="0"/>
    <xf numFmtId="3" fontId="16" fillId="0" borderId="3" pivotButton="0" quotePrefix="0" xfId="0"/>
    <xf numFmtId="9" fontId="16" fillId="0" borderId="0" pivotButton="0" quotePrefix="0" xfId="0"/>
    <xf numFmtId="168" fontId="8" fillId="0" borderId="0" pivotButton="0" quotePrefix="0" xfId="0"/>
    <xf numFmtId="0" fontId="1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left" vertical="center"/>
    </xf>
    <xf numFmtId="9" fontId="8" fillId="0" borderId="0" pivotButton="0" quotePrefix="0" xfId="0"/>
    <xf numFmtId="3" fontId="8" fillId="0" borderId="0" applyAlignment="1" pivotButton="0" quotePrefix="1" xfId="0">
      <alignment horizontal="right"/>
    </xf>
    <xf numFmtId="173" fontId="8" fillId="0" borderId="0" pivotButton="0" quotePrefix="0" xfId="0"/>
    <xf numFmtId="169" fontId="12" fillId="0" borderId="0" applyAlignment="1" pivotButton="0" quotePrefix="0" xfId="0">
      <alignment horizontal="right" vertical="center"/>
    </xf>
    <xf numFmtId="0" fontId="17" fillId="0" borderId="0" pivotButton="0" quotePrefix="0" xfId="0"/>
    <xf numFmtId="0" fontId="18" fillId="0" borderId="0" pivotButton="0" quotePrefix="0" xfId="0"/>
    <xf numFmtId="0" fontId="19" fillId="0" borderId="4" pivotButton="0" quotePrefix="0" xfId="0"/>
    <xf numFmtId="0" fontId="20" fillId="0" borderId="5" applyAlignment="1" pivotButton="0" quotePrefix="0" xfId="0">
      <alignment horizontal="center"/>
    </xf>
    <xf numFmtId="0" fontId="21" fillId="0" borderId="0" pivotButton="0" quotePrefix="0" xfId="0"/>
    <xf numFmtId="174" fontId="21" fillId="0" borderId="0" pivotButton="0" quotePrefix="0" xfId="0"/>
    <xf numFmtId="174" fontId="22" fillId="0" borderId="0" pivotButton="0" quotePrefix="0" xfId="0"/>
    <xf numFmtId="0" fontId="23" fillId="0" borderId="0" pivotButton="0" quotePrefix="0" xfId="0"/>
    <xf numFmtId="0" fontId="20" fillId="0" borderId="4" pivotButton="0" quotePrefix="0" xfId="0"/>
    <xf numFmtId="174" fontId="20" fillId="0" borderId="4" pivotButton="0" quotePrefix="0" xfId="0"/>
    <xf numFmtId="174" fontId="24" fillId="0" borderId="4" pivotButton="0" quotePrefix="0" xfId="0"/>
    <xf numFmtId="0" fontId="25" fillId="0" borderId="4" pivotButton="0" quotePrefix="0" xfId="0"/>
    <xf numFmtId="175" fontId="21" fillId="0" borderId="0" pivotButton="0" quotePrefix="0" xfId="0"/>
    <xf numFmtId="175" fontId="22" fillId="0" borderId="0" pivotButton="0" quotePrefix="0" xfId="0"/>
    <xf numFmtId="0" fontId="26" fillId="0" borderId="0" applyAlignment="1" pivotButton="0" quotePrefix="0" xfId="0">
      <alignment horizontal="right"/>
    </xf>
    <xf numFmtId="175" fontId="20" fillId="0" borderId="4" pivotButton="0" quotePrefix="0" xfId="0"/>
    <xf numFmtId="175" fontId="24" fillId="0" borderId="4" pivotButton="0" quotePrefix="0" xfId="0"/>
    <xf numFmtId="0" fontId="25" fillId="0" borderId="4" applyAlignment="1" pivotButton="0" quotePrefix="0" xfId="0">
      <alignment horizontal="right"/>
    </xf>
    <xf numFmtId="175" fontId="21" fillId="0" borderId="4" pivotButton="0" quotePrefix="0" xfId="0"/>
    <xf numFmtId="0" fontId="0" fillId="0" borderId="4" pivotButton="0" quotePrefix="0" xfId="0"/>
    <xf numFmtId="0" fontId="18" fillId="0" borderId="4" pivotButton="0" quotePrefix="0" xfId="0"/>
    <xf numFmtId="0" fontId="23" fillId="0" borderId="4" pivotButton="0" quotePrefix="0" xfId="0"/>
    <xf numFmtId="0" fontId="27" fillId="0" borderId="4" pivotButton="0" quotePrefix="0" xfId="0"/>
    <xf numFmtId="0" fontId="0" fillId="0" borderId="6" pivotButton="0" quotePrefix="0" xfId="0"/>
    <xf numFmtId="0" fontId="20" fillId="0" borderId="5" applyAlignment="1" pivotButton="0" quotePrefix="0" xfId="0">
      <alignment horizontal="center" wrapText="1"/>
    </xf>
    <xf numFmtId="174" fontId="21" fillId="0" borderId="4" pivotButton="0" quotePrefix="0" xfId="0"/>
    <xf numFmtId="174" fontId="22" fillId="0" borderId="4" pivotButton="0" quotePrefix="0" xfId="0"/>
    <xf numFmtId="0" fontId="18" fillId="0" borderId="0" applyAlignment="1" pivotButton="0" quotePrefix="0" xfId="0">
      <alignment vertical="top" wrapText="1"/>
    </xf>
    <xf numFmtId="0" fontId="28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28" fillId="0" borderId="4" applyAlignment="1" pivotButton="0" quotePrefix="0" xfId="0">
      <alignment horizontal="center"/>
    </xf>
    <xf numFmtId="0" fontId="29" fillId="0" borderId="4" applyAlignment="1" pivotButton="0" quotePrefix="0" xfId="0">
      <alignment horizontal="center"/>
    </xf>
    <xf numFmtId="0" fontId="20" fillId="0" borderId="0" pivotButton="0" quotePrefix="0" xfId="0"/>
    <xf numFmtId="0" fontId="30" fillId="0" borderId="5" applyAlignment="1" pivotButton="0" quotePrefix="0" xfId="0">
      <alignment horizontal="center"/>
    </xf>
    <xf numFmtId="0" fontId="31" fillId="0" borderId="5" applyAlignment="1" pivotButton="0" quotePrefix="0" xfId="0">
      <alignment horizontal="center"/>
    </xf>
    <xf numFmtId="0" fontId="26" fillId="0" borderId="4" applyAlignment="1" pivotButton="0" quotePrefix="0" xfId="0">
      <alignment horizontal="right"/>
    </xf>
    <xf numFmtId="174" fontId="20" fillId="0" borderId="0" pivotButton="0" quotePrefix="0" xfId="0"/>
    <xf numFmtId="174" fontId="24" fillId="0" borderId="0" pivotButton="0" quotePrefix="0" xfId="0"/>
    <xf numFmtId="0" fontId="21" fillId="0" borderId="4" pivotButton="0" quotePrefix="0" xfId="0"/>
    <xf numFmtId="175" fontId="2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externalLink" Target="/xl/externalLinks/externalLink1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Source</author>
  </authors>
  <commentList>
    <comment ref="B6" authorId="0" shapeId="0">
      <text>
        <t>Q1 2024 10-Q comparable column</t>
      </text>
    </comment>
    <comment ref="C6" authorId="0" shapeId="0">
      <text>
        <t>Q2 2024 10-Q comparable column</t>
      </text>
    </comment>
    <comment ref="D6" authorId="0" shapeId="0">
      <text>
        <t>Q3 2023 10-Q Note 4</t>
      </text>
    </comment>
    <comment ref="E6" authorId="0" shapeId="0">
      <text>
        <t>Q4 North America derived as FY minus Q1+Q2+Q3.</t>
      </text>
    </comment>
    <comment ref="F6" authorId="0" shapeId="0">
      <text>
        <t>FY2023 10-K MD&amp;A geography table</t>
      </text>
    </comment>
    <comment ref="G6" authorId="0" shapeId="0">
      <text>
        <t>Q1 2024 10-Q MD&amp;A geography table</t>
      </text>
    </comment>
    <comment ref="H6" authorId="0" shapeId="0">
      <text>
        <t>Q2 2024 10-Q MD&amp;A geography table</t>
      </text>
    </comment>
    <comment ref="I6" authorId="0" shapeId="0">
      <text>
        <t>Q3 2024 10-Q MD&amp;A geography table</t>
      </text>
    </comment>
    <comment ref="J6" authorId="0" shapeId="0">
      <text>
        <t>Q4 North America derived as FY minus Q1+Q2+Q3.</t>
      </text>
    </comment>
    <comment ref="K6" authorId="0" shapeId="0">
      <text>
        <t>FY2024 10-K MD&amp;A geography table</t>
      </text>
    </comment>
    <comment ref="L6" authorId="0" shapeId="0">
      <text>
        <t>Q1 2025 10-Q Note 4</t>
      </text>
    </comment>
    <comment ref="M6" authorId="0" shapeId="0">
      <text>
        <t>Q2 2025 10-Q Note 4</t>
      </text>
    </comment>
    <comment ref="N6" authorId="0" shapeId="0">
      <text>
        <t>Q3 2025 10-Q Note 4</t>
      </text>
    </comment>
    <comment ref="O6" authorId="0" shapeId="0">
      <text>
        <t>Q4 North America derived as FY minus Q1+Q2+Q3.</t>
      </text>
    </comment>
    <comment ref="P6" authorId="0" shapeId="0">
      <text>
        <t>FY2025 10-K MD&amp;A geography table</t>
      </text>
    </comment>
    <comment ref="B7" authorId="0" shapeId="0">
      <text>
        <t>Q1 2024 10-Q comparable</t>
      </text>
    </comment>
    <comment ref="C7" authorId="0" shapeId="0">
      <text>
        <t>Q2 2024 10-Q comparable</t>
      </text>
    </comment>
    <comment ref="D7" authorId="0" shapeId="0">
      <text>
        <t>Q3 2023 10-Q Note 4</t>
      </text>
    </comment>
    <comment ref="E7" authorId="0" shapeId="0">
      <text>
        <t>Q4 Europe derived as FY minus Q1+Q2+Q3.</t>
      </text>
    </comment>
    <comment ref="F7" authorId="0" shapeId="0">
      <text>
        <t>FY2023 10-K</t>
      </text>
    </comment>
    <comment ref="G7" authorId="0" shapeId="0">
      <text>
        <t>Q1 2024 10-Q</t>
      </text>
    </comment>
    <comment ref="H7" authorId="0" shapeId="0">
      <text>
        <t>Q2 2024 10-Q</t>
      </text>
    </comment>
    <comment ref="I7" authorId="0" shapeId="0">
      <text>
        <t>Q3 2024 10-Q. Sweden largest foreign country at $9.5M Q3.</t>
      </text>
    </comment>
    <comment ref="J7" authorId="0" shapeId="0">
      <text>
        <t>Q4 Europe derived as FY minus Q1+Q2+Q3.</t>
      </text>
    </comment>
    <comment ref="K7" authorId="0" shapeId="0">
      <text>
        <t>FY2024 10-K</t>
      </text>
    </comment>
    <comment ref="L7" authorId="0" shapeId="0">
      <text>
        <t>Q1 2025 10-Q</t>
      </text>
    </comment>
    <comment ref="M7" authorId="0" shapeId="0">
      <text>
        <t>Q2 2025 10-Q</t>
      </text>
    </comment>
    <comment ref="N7" authorId="0" shapeId="0">
      <text>
        <t>Q3 2025 10-Q</t>
      </text>
    </comment>
    <comment ref="O7" authorId="0" shapeId="0">
      <text>
        <t>Q4 Europe derived as FY minus Q1+Q2+Q3.</t>
      </text>
    </comment>
    <comment ref="P7" authorId="0" shapeId="0">
      <text>
        <t>FY2025 10-K</t>
      </text>
    </comment>
    <comment ref="B8" authorId="0" shapeId="0">
      <text>
        <t>Q1 2024 10-Q comparable</t>
      </text>
    </comment>
    <comment ref="C8" authorId="0" shapeId="0">
      <text>
        <t>Q2 2024 10-Q comparable</t>
      </text>
    </comment>
    <comment ref="D8" authorId="0" shapeId="0">
      <text>
        <t>Q3 2023 10-Q Note 4</t>
      </text>
    </comment>
    <comment ref="E8" authorId="0" shapeId="0">
      <text>
        <t>Q4 Asia-Pacific derived as FY minus Q1+Q2+Q3.</t>
      </text>
    </comment>
    <comment ref="F8" authorId="0" shapeId="0">
      <text>
        <t>FY2023 10-K</t>
      </text>
    </comment>
    <comment ref="G8" authorId="0" shapeId="0">
      <text>
        <t>Q1 2024 10-Q</t>
      </text>
    </comment>
    <comment ref="H8" authorId="0" shapeId="0">
      <text>
        <t>Q2 2024 10-Q</t>
      </text>
    </comment>
    <comment ref="I8" authorId="0" shapeId="0">
      <text>
        <t>Q3 2024 10-Q</t>
      </text>
    </comment>
    <comment ref="J8" authorId="0" shapeId="0">
      <text>
        <t>Q4 Asia-Pacific derived as FY minus Q1+Q2+Q3.</t>
      </text>
    </comment>
    <comment ref="K8" authorId="0" shapeId="0">
      <text>
        <t>FY2024 10-K</t>
      </text>
    </comment>
    <comment ref="L8" authorId="0" shapeId="0">
      <text>
        <t>Q1 2025 10-Q</t>
      </text>
    </comment>
    <comment ref="M8" authorId="0" shapeId="0">
      <text>
        <t>Q2 2025 10-Q</t>
      </text>
    </comment>
    <comment ref="N8" authorId="0" shapeId="0">
      <text>
        <t>Q3 2025 10-Q</t>
      </text>
    </comment>
    <comment ref="O8" authorId="0" shapeId="0">
      <text>
        <t>Q4 Asia-Pacific derived as FY minus Q1+Q2+Q3.</t>
      </text>
    </comment>
    <comment ref="P8" authorId="0" shapeId="0">
      <text>
        <t>FY2025 10-K</t>
      </text>
    </comment>
    <comment ref="B9" authorId="0" shapeId="0">
      <text>
        <t>Q1 2024 10-Q comparable</t>
      </text>
    </comment>
    <comment ref="C9" authorId="0" shapeId="0">
      <text>
        <t>Q2 2024 10-Q comparable</t>
      </text>
    </comment>
    <comment ref="D9" authorId="0" shapeId="0">
      <text>
        <t>Q3 2023 10-Q Note 4</t>
      </text>
    </comment>
    <comment ref="E9" authorId="0" shapeId="0">
      <text>
        <t>Q4 Other derived as FY minus Q1+Q2+Q3.</t>
      </text>
    </comment>
    <comment ref="F9" authorId="0" shapeId="0">
      <text>
        <t>FY2023 10-K</t>
      </text>
    </comment>
    <comment ref="G9" authorId="0" shapeId="0">
      <text>
        <t>Q1 2024 10-Q</t>
      </text>
    </comment>
    <comment ref="H9" authorId="0" shapeId="0">
      <text>
        <t>Q2 2024 10-Q</t>
      </text>
    </comment>
    <comment ref="I9" authorId="0" shapeId="0">
      <text>
        <t>Q3 2024 10-Q</t>
      </text>
    </comment>
    <comment ref="J9" authorId="0" shapeId="0">
      <text>
        <t>Q4 Other derived as FY minus Q1+Q2+Q3.</t>
      </text>
    </comment>
    <comment ref="K9" authorId="0" shapeId="0">
      <text>
        <t>FY2024 10-K</t>
      </text>
    </comment>
    <comment ref="L9" authorId="0" shapeId="0">
      <text>
        <t>Q1 2025 10-Q. Puerto Rico in Other.</t>
      </text>
    </comment>
    <comment ref="M9" authorId="0" shapeId="0">
      <text>
        <t>Q2 2025 10-Q</t>
      </text>
    </comment>
    <comment ref="N9" authorId="0" shapeId="0">
      <text>
        <t>Q3 2025 10-Q</t>
      </text>
    </comment>
    <comment ref="O9" authorId="0" shapeId="0">
      <text>
        <t>Q4 Other derived as FY minus Q1+Q2+Q3.</t>
      </text>
    </comment>
    <comment ref="P9" authorId="0" shapeId="0">
      <text>
        <t>Computed: FY2025 - 9M 2025 = 7264 - 5864 = 1400.</t>
      </text>
    </comment>
    <comment ref="B10" authorId="0" shapeId="0">
      <text>
        <t>Total = NA + Europe + Asia-Pac + Other</t>
      </text>
    </comment>
    <comment ref="C10" authorId="0" shapeId="0">
      <text>
        <t>Total = NA + Europe + Asia-Pac + Other</t>
      </text>
    </comment>
    <comment ref="D10" authorId="0" shapeId="0">
      <text>
        <t>Total = NA + Europe + Asia-Pac + Other</t>
      </text>
    </comment>
    <comment ref="E10" authorId="0" shapeId="0">
      <text>
        <t>Total = NA + Europe + Asia-Pac + Other</t>
      </text>
    </comment>
    <comment ref="F10" authorId="0" shapeId="0">
      <text>
        <t>Total = NA + Europe + Asia-Pac + Other</t>
      </text>
    </comment>
    <comment ref="G10" authorId="0" shapeId="0">
      <text>
        <t>Total = NA + Europe + Asia-Pac + Other</t>
      </text>
    </comment>
    <comment ref="H10" authorId="0" shapeId="0">
      <text>
        <t>Total = NA + Europe + Asia-Pac + Other</t>
      </text>
    </comment>
    <comment ref="I10" authorId="0" shapeId="0">
      <text>
        <t>Total = NA + Europe + Asia-Pac + Other</t>
      </text>
    </comment>
    <comment ref="J10" authorId="0" shapeId="0">
      <text>
        <t>Total = NA + Europe + Asia-Pac + Other</t>
      </text>
    </comment>
    <comment ref="K10" authorId="0" shapeId="0">
      <text>
        <t>Total = NA + Europe + Asia-Pac + Other</t>
      </text>
    </comment>
    <comment ref="L10" authorId="0" shapeId="0">
      <text>
        <t>Total = NA + Europe + Asia-Pac + Other</t>
      </text>
    </comment>
    <comment ref="M10" authorId="0" shapeId="0">
      <text>
        <t>Total = NA + Europe + Asia-Pac + Other</t>
      </text>
    </comment>
    <comment ref="N10" authorId="0" shapeId="0">
      <text>
        <t>Total = NA + Europe + Asia-Pac + Other</t>
      </text>
    </comment>
    <comment ref="O10" authorId="0" shapeId="0">
      <text>
        <t>Total = NA + Europe + Asia-Pac + Other</t>
      </text>
    </comment>
    <comment ref="P10" authorId="0" shapeId="0">
      <text>
        <t>Total = NA + Europe + Asia-Pac + Other</t>
      </text>
    </comment>
    <comment ref="B15" authorId="0" shapeId="0">
      <text>
        <t>Q1 2023 10-Q</t>
      </text>
    </comment>
    <comment ref="C15" authorId="0" shapeId="0">
      <text>
        <t>Q2 2023 10-Q</t>
      </text>
    </comment>
    <comment ref="D15" authorId="0" shapeId="0">
      <text>
        <t>Q3 2023 10-Q</t>
      </text>
    </comment>
    <comment ref="E15" authorId="0" shapeId="0">
      <text>
        <t>Q4 NOT derivable: percentages cannot be subtracted.</t>
      </text>
    </comment>
    <comment ref="F15" authorId="0" shapeId="0">
      <text>
        <t>FY2023 10-K</t>
      </text>
    </comment>
    <comment ref="G15" authorId="0" shapeId="0">
      <text>
        <t>Q1 2024 10-Q</t>
      </text>
    </comment>
    <comment ref="H15" authorId="0" shapeId="0">
      <text>
        <t>Q2 2024 10-Q</t>
      </text>
    </comment>
    <comment ref="I15" authorId="0" shapeId="0">
      <text>
        <t>Q3 2024 10-Q</t>
      </text>
    </comment>
    <comment ref="J15" authorId="0" shapeId="0">
      <text>
        <t>Q4 NOT derivable: percentages cannot be subtracted.</t>
      </text>
    </comment>
    <comment ref="K15" authorId="0" shapeId="0">
      <text>
        <t>FY2024 10-K</t>
      </text>
    </comment>
    <comment ref="L15" authorId="0" shapeId="0">
      <text>
        <t>Q1 2025 10-Q</t>
      </text>
    </comment>
    <comment ref="M15" authorId="0" shapeId="0">
      <text>
        <t>Q2 2025 10-Q</t>
      </text>
    </comment>
    <comment ref="N15" authorId="0" shapeId="0">
      <text>
        <t>Q3 2025 10-Q</t>
      </text>
    </comment>
    <comment ref="O15" authorId="0" shapeId="0">
      <text>
        <t>Q4 NOT derivable: percentages cannot be subtracted.</t>
      </text>
    </comment>
    <comment ref="P15" authorId="0" shapeId="0">
      <text>
        <t>FY2025 10-K</t>
      </text>
    </comment>
    <comment ref="B16" authorId="0" shapeId="0">
      <text>
        <t>Q1 2023 10-Q</t>
      </text>
    </comment>
    <comment ref="C16" authorId="0" shapeId="0">
      <text>
        <t>Q2 2023 10-Q</t>
      </text>
    </comment>
    <comment ref="D16" authorId="0" shapeId="0">
      <text>
        <t>Q3 2023 10-Q</t>
      </text>
    </comment>
    <comment ref="E16" authorId="0" shapeId="0">
      <text>
        <t>Q4 NOT derivable: percentages cannot be subtracted.</t>
      </text>
    </comment>
    <comment ref="F16" authorId="0" shapeId="0">
      <text>
        <t>FY2023 10-K</t>
      </text>
    </comment>
    <comment ref="G16" authorId="0" shapeId="0">
      <text>
        <t>Q1 2024 10-Q</t>
      </text>
    </comment>
    <comment ref="H16" authorId="0" shapeId="0">
      <text>
        <t>Q2 2024 10-Q</t>
      </text>
    </comment>
    <comment ref="I16" authorId="0" shapeId="0">
      <text>
        <t>Q3 2024 10-Q</t>
      </text>
    </comment>
    <comment ref="J16" authorId="0" shapeId="0">
      <text>
        <t>Q4 NOT derivable: percentages cannot be subtracted.</t>
      </text>
    </comment>
    <comment ref="K16" authorId="0" shapeId="0">
      <text>
        <t>FY2024 10-K</t>
      </text>
    </comment>
    <comment ref="L16" authorId="0" shapeId="0">
      <text>
        <t>Q1 2025 10-Q</t>
      </text>
    </comment>
    <comment ref="M16" authorId="0" shapeId="0">
      <text>
        <t>Q2 2025 10-Q</t>
      </text>
    </comment>
    <comment ref="N16" authorId="0" shapeId="0">
      <text>
        <t>Q3 2025 10-Q</t>
      </text>
    </comment>
    <comment ref="O16" authorId="0" shapeId="0">
      <text>
        <t>Q4 NOT derivable: percentages cannot be subtracted.</t>
      </text>
    </comment>
    <comment ref="P16" authorId="0" shapeId="0">
      <text>
        <t>FY2025 10-K</t>
      </text>
    </comment>
    <comment ref="B17" authorId="0" shapeId="0">
      <text>
        <t>Q1 2023 10-Q</t>
      </text>
    </comment>
    <comment ref="C17" authorId="0" shapeId="0">
      <text>
        <t>Amazon below 10% disclosure threshold for this period.</t>
      </text>
    </comment>
    <comment ref="D17" authorId="0" shapeId="0">
      <text>
        <t>Amazon below 10% disclosure threshold for this period.</t>
      </text>
    </comment>
    <comment ref="E17" authorId="0" shapeId="0">
      <text>
        <t>Q4 NOT derivable: percentages cannot be subtracted.</t>
      </text>
    </comment>
    <comment ref="F17" authorId="0" shapeId="0">
      <text>
        <t>FY2023 10-K</t>
      </text>
    </comment>
    <comment ref="G17" authorId="0" shapeId="0">
      <text>
        <t>Amazon below 10% disclosure threshold for this period.</t>
      </text>
    </comment>
    <comment ref="H17" authorId="0" shapeId="0">
      <text>
        <t>Amazon below 10% disclosure threshold for this period.</t>
      </text>
    </comment>
    <comment ref="I17" authorId="0" shapeId="0">
      <text>
        <t>Q3 2024 10-Q</t>
      </text>
    </comment>
    <comment ref="J17" authorId="0" shapeId="0">
      <text>
        <t>Q4 NOT derivable: percentages cannot be subtracted.</t>
      </text>
    </comment>
    <comment ref="K17" authorId="0" shapeId="0">
      <text>
        <t>Amazon below 10% disclosure threshold for this period.</t>
      </text>
    </comment>
    <comment ref="L17" authorId="0" shapeId="0">
      <text>
        <t>Q1 2025 10-Q</t>
      </text>
    </comment>
    <comment ref="M17" authorId="0" shapeId="0">
      <text>
        <t>Amazon below 10% disclosure threshold for this period.</t>
      </text>
    </comment>
    <comment ref="N17" authorId="0" shapeId="0">
      <text>
        <t>Q3 2025 10-Q</t>
      </text>
    </comment>
    <comment ref="O17" authorId="0" shapeId="0">
      <text>
        <t>Q4 NOT derivable: percentages cannot be subtracted.</t>
      </text>
    </comment>
    <comment ref="P17" authorId="0" shapeId="0">
      <text>
        <t>Amazon below 10% disclosure threshold for this period.</t>
      </text>
    </comment>
    <comment ref="B18" authorId="0" shapeId="0">
      <text>
        <t>Q1 2023 10-Q</t>
      </text>
    </comment>
    <comment ref="C18" authorId="0" shapeId="0">
      <text>
        <t>Q2 2023 10-Q</t>
      </text>
    </comment>
    <comment ref="D18" authorId="0" shapeId="0">
      <text>
        <t>Q3 2023 10-Q</t>
      </text>
    </comment>
    <comment ref="E18" authorId="0" shapeId="0">
      <text>
        <t>Q4 NOT derivable: percentages cannot be subtracted.</t>
      </text>
    </comment>
    <comment ref="F18" authorId="0" shapeId="0">
      <text>
        <t>FY2023 10-K</t>
      </text>
    </comment>
    <comment ref="G18" authorId="0" shapeId="0">
      <text>
        <t>Q1 2024 10-Q</t>
      </text>
    </comment>
    <comment ref="H18" authorId="0" shapeId="0">
      <text>
        <t>Q2 2024 10-Q</t>
      </text>
    </comment>
    <comment ref="I18" authorId="0" shapeId="0">
      <text>
        <t>Q3 2024 10-Q</t>
      </text>
    </comment>
    <comment ref="J18" authorId="0" shapeId="0">
      <text>
        <t>Q4 NOT derivable: percentages cannot be subtracted.</t>
      </text>
    </comment>
    <comment ref="K18" authorId="0" shapeId="0">
      <text>
        <t>FY2024 10-K</t>
      </text>
    </comment>
    <comment ref="L18" authorId="0" shapeId="0">
      <text>
        <t>Q1 2025 10-Q</t>
      </text>
    </comment>
    <comment ref="M18" authorId="0" shapeId="0">
      <text>
        <t>Q2 2025 10-Q</t>
      </text>
    </comment>
    <comment ref="N18" authorId="0" shapeId="0">
      <text>
        <t>Q3 2025 10-Q</t>
      </text>
    </comment>
    <comment ref="O18" authorId="0" shapeId="0">
      <text>
        <t>Q4 NOT derivable: percentages cannot be subtracted.</t>
      </text>
    </comment>
    <comment ref="P18" authorId="0" shapeId="0">
      <text>
        <t>FY2025 10-K</t>
      </text>
    </comment>
    <comment ref="B19" authorId="0" shapeId="0">
      <text>
        <t>Should sum to 100%; n/d cells treated as 0.</t>
      </text>
    </comment>
    <comment ref="C19" authorId="0" shapeId="0">
      <text>
        <t>Should sum to 100%; n/d cells treated as 0.</t>
      </text>
    </comment>
    <comment ref="D19" authorId="0" shapeId="0">
      <text>
        <t>Should sum to 100%; n/d cells treated as 0.</t>
      </text>
    </comment>
    <comment ref="F19" authorId="0" shapeId="0">
      <text>
        <t>Should sum to 100%; n/d cells treated as 0.</t>
      </text>
    </comment>
    <comment ref="G19" authorId="0" shapeId="0">
      <text>
        <t>Should sum to 100%; n/d cells treated as 0.</t>
      </text>
    </comment>
    <comment ref="H19" authorId="0" shapeId="0">
      <text>
        <t>Should sum to 100%; n/d cells treated as 0.</t>
      </text>
    </comment>
    <comment ref="I19" authorId="0" shapeId="0">
      <text>
        <t>Should sum to 100%; n/d cells treated as 0.</t>
      </text>
    </comment>
    <comment ref="K19" authorId="0" shapeId="0">
      <text>
        <t>Should sum to 100%; n/d cells treated as 0.</t>
      </text>
    </comment>
    <comment ref="L19" authorId="0" shapeId="0">
      <text>
        <t>Should sum to 100%; n/d cells treated as 0.</t>
      </text>
    </comment>
    <comment ref="M19" authorId="0" shapeId="0">
      <text>
        <t>Should sum to 100%; n/d cells treated as 0.</t>
      </text>
    </comment>
    <comment ref="N19" authorId="0" shapeId="0">
      <text>
        <t>Should sum to 100%; n/d cells treated as 0.</t>
      </text>
    </comment>
    <comment ref="P19" authorId="0" shapeId="0">
      <text>
        <t>Should sum to 100%; n/d cells treated as 0.</t>
      </text>
    </comment>
    <comment ref="E24" authorId="0" shapeId="0">
      <text>
        <t>Q4 NOT derivable from period %.</t>
      </text>
    </comment>
    <comment ref="F24" authorId="0" shapeId="0">
      <text>
        <t>FY2023 10-K</t>
      </text>
    </comment>
    <comment ref="I24" authorId="0" shapeId="0">
      <text>
        <t>Q3 2024 10-Q</t>
      </text>
    </comment>
    <comment ref="J24" authorId="0" shapeId="0">
      <text>
        <t>Q4 NOT derivable from period %.</t>
      </text>
    </comment>
    <comment ref="K24" authorId="0" shapeId="0">
      <text>
        <t>FY2024 10-K</t>
      </text>
    </comment>
    <comment ref="M24" authorId="0" shapeId="0">
      <text>
        <t>Q2 2025 10-Q</t>
      </text>
    </comment>
    <comment ref="N24" authorId="0" shapeId="0">
      <text>
        <t>Q3 2025 10-Q</t>
      </text>
    </comment>
    <comment ref="O24" authorId="0" shapeId="0">
      <text>
        <t>Q4 NOT derivable from period %.</t>
      </text>
    </comment>
    <comment ref="P24" authorId="0" shapeId="0">
      <text>
        <t>FY2025 10-K</t>
      </text>
    </comment>
    <comment ref="E25" authorId="0" shapeId="0">
      <text>
        <t>Q4 NOT derivable from period %.</t>
      </text>
    </comment>
    <comment ref="I25" authorId="0" shapeId="0">
      <text>
        <t>Q3 2024 10-Q (9M)</t>
      </text>
    </comment>
    <comment ref="J25" authorId="0" shapeId="0">
      <text>
        <t>Q4 NOT derivable from period %.</t>
      </text>
    </comment>
    <comment ref="M25" authorId="0" shapeId="0">
      <text>
        <t>Q2 2025 10-Q (6M)</t>
      </text>
    </comment>
    <comment ref="N25" authorId="0" shapeId="0">
      <text>
        <t>Q3 2025 10-Q (9M)</t>
      </text>
    </comment>
    <comment ref="O25" authorId="0" shapeId="0">
      <text>
        <t>Q4 NOT derivable from period %.</t>
      </text>
    </comment>
    <comment ref="L30" authorId="0" shapeId="0">
      <text>
        <t>Celsius = Total Revenue (Section 1) - Alani - Rockstar (residual).</t>
      </text>
    </comment>
    <comment ref="M30" authorId="0" shapeId="0">
      <text>
        <t>Celsius = Total Revenue (Section 1) - Alani - Rockstar (residual).</t>
      </text>
    </comment>
    <comment ref="N30" authorId="0" shapeId="0">
      <text>
        <t>Celsius = Total Revenue (Section 1) - Alani - Rockstar (residual).</t>
      </text>
    </comment>
    <comment ref="O30" authorId="0" shapeId="0">
      <text>
        <t>Celsius = Total Revenue (Section 1) - Alani - Rockstar (residual).</t>
      </text>
    </comment>
    <comment ref="P30" authorId="0" shapeId="0">
      <text>
        <t>Celsius = Total Revenue (Section 1) - Alani - Rockstar (residual).</t>
      </text>
    </comment>
    <comment ref="L31" authorId="0" shapeId="0">
      <text>
        <t>Pre-acquisition (closed April 1, 2025).</t>
      </text>
    </comment>
    <comment ref="M31" authorId="0" shapeId="0">
      <text>
        <t>Q2 2025 10-Q Note 5: "$301.2 million from Closing Date through June 30, 2025."</t>
      </text>
    </comment>
    <comment ref="N31" authorId="0" shapeId="0">
      <text>
        <t>Q3 2025 10-Q MD&amp;A: "Alani Nu Acquisition contributed approximately $332.0 million." Cross-check: Item 4 = 35.3% x 9M revenue.</t>
      </text>
    </comment>
    <comment ref="O31" authorId="0" shapeId="0">
      <text>
        <t>Q4 Alani Nu derived as FY - Q1 - Q2 - Q3.</t>
      </text>
    </comment>
    <comment ref="P31" authorId="0" shapeId="0">
      <text>
        <t>FY2025 10-K Note 5: "$1,001.9 million for the period from Closing Date through December 31, 2025." Item 9A: 39.8% of consolidated revenue.</t>
      </text>
    </comment>
    <comment ref="L32" authorId="0" shapeId="0">
      <text>
        <t>Pre-acquisition (closed August 28, 2025).</t>
      </text>
    </comment>
    <comment ref="M32" authorId="0" shapeId="0">
      <text>
        <t>Pre-acquisition.</t>
      </text>
    </comment>
    <comment ref="N32" authorId="0" shapeId="0">
      <text>
        <t>Q3 2025 10-Q Note 5: "$12.2 million for the period from Aug 28 through Sep 30, 2025."</t>
      </text>
    </comment>
    <comment ref="O32" authorId="0" shapeId="0">
      <text>
        <t>Q4 Rockstar derived as FY - Q1 - Q2 - Q3.</t>
      </text>
    </comment>
    <comment ref="P32" authorId="0" shapeId="0">
      <text>
        <t>FY2025 10-K Note 5: "$55.6 million for the period from Closing Date through December 31, 2025." Item 9A: 2.2% of consolidated revenue.</t>
      </text>
    </comment>
    <comment ref="L33" authorId="0" shapeId="0">
      <text>
        <t>Links to Section 1 Total (L10).</t>
      </text>
    </comment>
    <comment ref="M33" authorId="0" shapeId="0">
      <text>
        <t>Links to Section 1 Total (M10).</t>
      </text>
    </comment>
    <comment ref="N33" authorId="0" shapeId="0">
      <text>
        <t>Links to Section 1 Total (N10).</t>
      </text>
    </comment>
    <comment ref="O33" authorId="0" shapeId="0">
      <text>
        <t>Links to Section 1 Total (O10).</t>
      </text>
    </comment>
    <comment ref="P33" authorId="0" shapeId="0">
      <text>
        <t>Links to Section 1 Total (P10).</t>
      </text>
    </comment>
    <comment ref="L34" authorId="0" shapeId="0">
      <text>
        <t>% Alani.</t>
      </text>
    </comment>
    <comment ref="M34" authorId="0" shapeId="0">
      <text>
        <t>% Alani.</t>
      </text>
    </comment>
    <comment ref="N34" authorId="0" shapeId="0">
      <text>
        <t>% Alani.</t>
      </text>
    </comment>
    <comment ref="O34" authorId="0" shapeId="0">
      <text>
        <t>% Alani.</t>
      </text>
    </comment>
    <comment ref="P34" authorId="0" shapeId="0">
      <text>
        <t>% Alani.</t>
      </text>
    </comment>
    <comment ref="B39" authorId="0" shapeId="0">
      <text>
        <t>Q3 2025 10-Q N5: actual reported revenue.</t>
      </text>
    </comment>
    <comment ref="C39" authorId="0" shapeId="0">
      <text>
        <t>Q3 2025 10-Q N5. Diff = ~2 missing months Rockstar.: actual reported revenue.</t>
      </text>
    </comment>
    <comment ref="D39" authorId="0" shapeId="0">
      <text>
        <t>Q3 2025 10-Q N5: actual reported revenue.</t>
      </text>
    </comment>
    <comment ref="E39" authorId="0" shapeId="0">
      <text>
        <t>Q3 2025 10-Q N5. Diff = Alani Q1 + Rockstar Jan-Aug 27.: actual reported revenue.</t>
      </text>
    </comment>
    <comment ref="F39" authorId="0" shapeId="0">
      <text>
        <t>FY2025 10-K N5. Implied: ~$962M full-year Alani + Rockstar in 2024.: actual reported revenue.</t>
      </text>
    </comment>
    <comment ref="G39" authorId="0" shapeId="0">
      <text>
        <t>FY2025 10-K N5. Implied: ~$488M additional from full-year ownership.: actual reported revenue.</t>
      </text>
    </comment>
    <comment ref="B40" authorId="0" shapeId="0">
      <text>
        <t>Q3 2025 10-Q N5: pro forma revenue.</t>
      </text>
    </comment>
    <comment ref="C40" authorId="0" shapeId="0">
      <text>
        <t>Q3 2025 10-Q N5. Diff = ~2 missing months Rockstar.: pro forma revenue.</t>
      </text>
    </comment>
    <comment ref="D40" authorId="0" shapeId="0">
      <text>
        <t>Q3 2025 10-Q N5: pro forma revenue.</t>
      </text>
    </comment>
    <comment ref="E40" authorId="0" shapeId="0">
      <text>
        <t>Q3 2025 10-Q N5. Diff = Alani Q1 + Rockstar Jan-Aug 27.: pro forma revenue.</t>
      </text>
    </comment>
    <comment ref="F40" authorId="0" shapeId="0">
      <text>
        <t>FY2025 10-K N5. Implied: ~$962M full-year Alani + Rockstar in 2024.: pro forma revenue.</t>
      </text>
    </comment>
    <comment ref="G40" authorId="0" shapeId="0">
      <text>
        <t>FY2025 10-K N5. Implied: ~$488M additional from full-year ownership.: pro forma revenue.</t>
      </text>
    </comment>
    <comment ref="B41" authorId="0" shapeId="0">
      <text>
        <t>Pro forma - actual = revenue from acquisitions in periods CELH did not yet own them.</t>
      </text>
    </comment>
    <comment ref="C41" authorId="0" shapeId="0">
      <text>
        <t>Pro forma - actual = revenue from acquisitions in periods CELH did not yet own them.</t>
      </text>
    </comment>
    <comment ref="D41" authorId="0" shapeId="0">
      <text>
        <t>Pro forma - actual = revenue from acquisitions in periods CELH did not yet own them.</t>
      </text>
    </comment>
    <comment ref="E41" authorId="0" shapeId="0">
      <text>
        <t>Pro forma - actual = revenue from acquisitions in periods CELH did not yet own them.</t>
      </text>
    </comment>
    <comment ref="F41" authorId="0" shapeId="0">
      <text>
        <t>Pro forma - actual = revenue from acquisitions in periods CELH did not yet own them.</t>
      </text>
    </comment>
    <comment ref="G41" authorId="0" shapeId="0">
      <text>
        <t>Pro forma - actual = revenue from acquisitions in periods CELH did not yet own them.</t>
      </text>
    </comment>
    <comment ref="C42" authorId="0" shapeId="0">
      <text>
        <t>Pro forma YoY growth (apples-to-apples).</t>
      </text>
    </comment>
    <comment ref="E42" authorId="0" shapeId="0">
      <text>
        <t>Pro forma YoY growth (apples-to-apples).</t>
      </text>
    </comment>
    <comment ref="G42" authorId="0" shapeId="0">
      <text>
        <t>Pro forma YoY growth (apples-to-apples).</t>
      </text>
    </comment>
    <comment ref="B47" authorId="0" shapeId="0">
      <text>
        <t>Q1 2023 10-Q MD&amp;A</t>
      </text>
    </comment>
    <comment ref="C47" authorId="0" shapeId="0">
      <text>
        <t>Q2 2023 10-Q</t>
      </text>
    </comment>
    <comment ref="D47" authorId="0" shapeId="0">
      <text>
        <t>Q3 2023 10-Q</t>
      </text>
    </comment>
    <comment ref="E47" authorId="0" shapeId="0">
      <text>
        <t>Q4 2023 SG&amp;A = FY - Q1 - Q2 - Q3.</t>
      </text>
    </comment>
    <comment ref="F47" authorId="0" shapeId="0">
      <text>
        <t>FY2023 10-K</t>
      </text>
    </comment>
    <comment ref="G47" authorId="0" shapeId="0">
      <text>
        <t>Q1 2024 10-Q</t>
      </text>
    </comment>
    <comment ref="H47" authorId="0" shapeId="0">
      <text>
        <t>Q2 2024 10-Q</t>
      </text>
    </comment>
    <comment ref="I47" authorId="0" shapeId="0">
      <text>
        <t>Q3 2024 10-Q</t>
      </text>
    </comment>
    <comment ref="J47" authorId="0" shapeId="0">
      <text>
        <t>Q4 2024 SG&amp;A = FY - Q1 - Q2 - Q3.</t>
      </text>
    </comment>
    <comment ref="K47" authorId="0" shapeId="0">
      <text>
        <t>FY2024 10-K</t>
      </text>
    </comment>
    <comment ref="L47" authorId="0" shapeId="0">
      <text>
        <t>Q1 2025 10-Q</t>
      </text>
    </comment>
    <comment ref="M47" authorId="0" shapeId="0">
      <text>
        <t>Q2 2025 10-Q</t>
      </text>
    </comment>
    <comment ref="N47" authorId="0" shapeId="0">
      <text>
        <t>Q3 2025 10-Q</t>
      </text>
    </comment>
    <comment ref="O47" authorId="0" shapeId="0">
      <text>
        <t>Q4 2025 SG&amp;A = FY - Q1 - Q2 - Q3.</t>
      </text>
    </comment>
    <comment ref="P47" authorId="0" shapeId="0">
      <text>
        <t>FY2025 10-K</t>
      </text>
    </comment>
    <comment ref="G48" authorId="0" shapeId="0">
      <text>
        <t>YoY Δ vs Q1 2023.</t>
      </text>
    </comment>
    <comment ref="H48" authorId="0" shapeId="0">
      <text>
        <t>YoY Δ vs Q2 2023.</t>
      </text>
    </comment>
    <comment ref="I48" authorId="0" shapeId="0">
      <text>
        <t>YoY Δ vs Q3 2023.</t>
      </text>
    </comment>
    <comment ref="J48" authorId="0" shapeId="0">
      <text>
        <t>YoY Δ vs Q4 2023.</t>
      </text>
    </comment>
    <comment ref="K48" authorId="0" shapeId="0">
      <text>
        <t>YoY Δ vs FY2023.</t>
      </text>
    </comment>
    <comment ref="L48" authorId="0" shapeId="0">
      <text>
        <t>YoY Δ vs Q1 2024.</t>
      </text>
    </comment>
    <comment ref="M48" authorId="0" shapeId="0">
      <text>
        <t>YoY Δ vs Q2 2024.</t>
      </text>
    </comment>
    <comment ref="N48" authorId="0" shapeId="0">
      <text>
        <t>YoY Δ vs Q3 2024.</t>
      </text>
    </comment>
    <comment ref="O48" authorId="0" shapeId="0">
      <text>
        <t>YoY Δ vs Q4 2024.</t>
      </text>
    </comment>
    <comment ref="P48" authorId="0" shapeId="0">
      <text>
        <t>YoY Δ vs FY2024.</t>
      </text>
    </comment>
    <comment ref="B49" authorId="0" shapeId="0">
      <text>
        <t>Q1 2023 10-Q MD&amp;A</t>
      </text>
    </comment>
    <comment ref="C49" authorId="0" shapeId="0">
      <text>
        <t>Q2 2023 10-Q MD&amp;A</t>
      </text>
    </comment>
    <comment ref="D49" authorId="0" shapeId="0">
      <text>
        <t>Q3 2023 10-Q MD&amp;A. Distrib term: -$149.5M as 2022 had $193.8M one-time.</t>
      </text>
    </comment>
    <comment ref="E49" authorId="0" shapeId="0">
      <text>
        <t>Q4 2023 derived: FY2023 walk - 9M 2023 walk. FY src: FY2023 10-K MD&amp;A; 9M src: Q3 2023 10-Q 9M walk.</t>
      </text>
    </comment>
    <comment ref="F49" authorId="0" shapeId="0">
      <text>
        <t>FY2023 10-K MD&amp;A</t>
      </text>
    </comment>
    <comment ref="G49" authorId="0" shapeId="0">
      <text>
        <t>Q1 2024 10-Q MD&amp;A</t>
      </text>
    </comment>
    <comment ref="H49" authorId="0" shapeId="0">
      <text>
        <t>Q2 2024 10-Q MD&amp;A. Admin -$10.4M (lower consulting fees).</t>
      </text>
    </comment>
    <comment ref="I49" authorId="0" shapeId="0">
      <text>
        <t>Q3 2024 10-Q MD&amp;A. Less granular bucket breakdown.</t>
      </text>
    </comment>
    <comment ref="J49" authorId="0" shapeId="0">
      <text>
        <t>Q4 2024 derived: FY2024 walk - 9M 2024 walk. FY src: FY2024 10-K MD&amp;A. Legal accrual +$52.8M one-time.; 9M src: Q3 2024 10-Q 9M walk.</t>
      </text>
    </comment>
    <comment ref="K49" authorId="0" shapeId="0">
      <text>
        <t>FY2024 10-K MD&amp;A. Legal accrual +$52.8M one-time.</t>
      </text>
    </comment>
    <comment ref="L49" authorId="0" shapeId="0">
      <text>
        <t>Q1 2025 10-Q MD&amp;A. G&amp;A primarily acquisition costs.</t>
      </text>
    </comment>
    <comment ref="M49" authorId="0" shapeId="0">
      <text>
        <t>Q2 2025 10-Q MD&amp;A. Marketing &amp; selling +$60.6M; G&amp;A +$62.4M. Alani-attrib $29.7M selling + $15.8M G&amp;A = $45.5M.</t>
      </text>
    </comment>
    <comment ref="N49" authorId="0" shapeId="0">
      <text>
        <t>Q3 2025 10-Q MD&amp;A. Marketing &amp; selling +$47.9M; G&amp;A +$32.3M. Alani-attrib $19.3M + $12.5M = $31.8M.</t>
      </text>
    </comment>
    <comment ref="O49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49" authorId="0" shapeId="0">
      <text>
        <t>FY2025 10-K MD&amp;A. M&amp;S +$200.6M; G&amp;A +$73.7M (incl -$46M legal reversal). Alani-attrib $65.0M M&amp;S + $53.4M G&amp;A = $118.4M.</t>
      </text>
    </comment>
    <comment ref="B50" authorId="0" shapeId="0">
      <text>
        <t>Q1 2023 10-Q MD&amp;A</t>
      </text>
    </comment>
    <comment ref="C50" authorId="0" shapeId="0">
      <text>
        <t>Q2 2023 10-Q MD&amp;A</t>
      </text>
    </comment>
    <comment ref="D50" authorId="0" shapeId="0">
      <text>
        <t>Q3 2023 10-Q MD&amp;A. Distrib term: -$149.5M as 2022 had $193.8M one-time.</t>
      </text>
    </comment>
    <comment ref="E50" authorId="0" shapeId="0">
      <text>
        <t>Q4 2023 derived: FY2023 walk - 9M 2023 walk. FY src: FY2023 10-K MD&amp;A; 9M src: Q3 2023 10-Q 9M walk.</t>
      </text>
    </comment>
    <comment ref="F50" authorId="0" shapeId="0">
      <text>
        <t>FY2023 10-K MD&amp;A</t>
      </text>
    </comment>
    <comment ref="G50" authorId="0" shapeId="0">
      <text>
        <t>Q1 2024 10-Q MD&amp;A</t>
      </text>
    </comment>
    <comment ref="B51" authorId="0" shapeId="0">
      <text>
        <t>Q1 2023 10-Q MD&amp;A</t>
      </text>
    </comment>
    <comment ref="C51" authorId="0" shapeId="0">
      <text>
        <t>Q2 2023 10-Q MD&amp;A</t>
      </text>
    </comment>
    <comment ref="D51" authorId="0" shapeId="0">
      <text>
        <t>Q3 2023 10-Q MD&amp;A. Distrib term: -$149.5M as 2022 had $193.8M one-time.</t>
      </text>
    </comment>
    <comment ref="E51" authorId="0" shapeId="0">
      <text>
        <t>Q4 2023 derived: FY2023 walk - 9M 2023 walk. FY src: FY2023 10-K MD&amp;A; 9M src: Q3 2023 10-Q 9M walk.</t>
      </text>
    </comment>
    <comment ref="F51" authorId="0" shapeId="0">
      <text>
        <t>FY2023 10-K MD&amp;A</t>
      </text>
    </comment>
    <comment ref="G51" authorId="0" shapeId="0">
      <text>
        <t>Q1 2024 10-Q MD&amp;A</t>
      </text>
    </comment>
    <comment ref="H51" authorId="0" shapeId="0">
      <text>
        <t>Q2 2024 10-Q MD&amp;A. Admin -$10.4M (lower consulting fees).</t>
      </text>
    </comment>
    <comment ref="I51" authorId="0" shapeId="0">
      <text>
        <t>Q3 2024 10-Q MD&amp;A. Less granular bucket breakdown.</t>
      </text>
    </comment>
    <comment ref="J51" authorId="0" shapeId="0">
      <text>
        <t>Q4 2024 derived: FY2024 walk - 9M 2024 walk. FY src: FY2024 10-K MD&amp;A. Legal accrual +$52.8M one-time.; 9M src: Q3 2024 10-Q 9M walk.</t>
      </text>
    </comment>
    <comment ref="K51" authorId="0" shapeId="0">
      <text>
        <t>FY2024 10-K MD&amp;A. Legal accrual +$52.8M one-time.</t>
      </text>
    </comment>
    <comment ref="L51" authorId="0" shapeId="0">
      <text>
        <t>Q1 2025 10-Q MD&amp;A. G&amp;A primarily acquisition costs.</t>
      </text>
    </comment>
    <comment ref="M51" authorId="0" shapeId="0">
      <text>
        <t>Q2 2025 10-Q MD&amp;A. Marketing &amp; selling +$60.6M; G&amp;A +$62.4M. Alani-attrib $29.7M selling + $15.8M G&amp;A = $45.5M.</t>
      </text>
    </comment>
    <comment ref="N51" authorId="0" shapeId="0">
      <text>
        <t>Q3 2025 10-Q MD&amp;A. Marketing &amp; selling +$47.9M; G&amp;A +$32.3M. Alani-attrib $19.3M + $12.5M = $31.8M.</t>
      </text>
    </comment>
    <comment ref="O51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51" authorId="0" shapeId="0">
      <text>
        <t>FY2025 10-K MD&amp;A. M&amp;S +$200.6M; G&amp;A +$73.7M (incl -$46M legal reversal). Alani-attrib $65.0M M&amp;S + $53.4M G&amp;A = $118.4M.</t>
      </text>
    </comment>
    <comment ref="B52" authorId="0" shapeId="0">
      <text>
        <t>Q1 2023 10-Q MD&amp;A</t>
      </text>
    </comment>
    <comment ref="C52" authorId="0" shapeId="0">
      <text>
        <t>Q2 2023 10-Q MD&amp;A</t>
      </text>
    </comment>
    <comment ref="D52" authorId="0" shapeId="0">
      <text>
        <t>Q3 2023 10-Q MD&amp;A. Distrib term: -$149.5M as 2022 had $193.8M one-time.</t>
      </text>
    </comment>
    <comment ref="E52" authorId="0" shapeId="0">
      <text>
        <t>Q4 2023 derived: FY2023 walk - 9M 2023 walk. FY src: FY2023 10-K MD&amp;A; 9M src: Q3 2023 10-Q 9M walk.</t>
      </text>
    </comment>
    <comment ref="F52" authorId="0" shapeId="0">
      <text>
        <t>FY2023 10-K MD&amp;A</t>
      </text>
    </comment>
    <comment ref="G52" authorId="0" shapeId="0">
      <text>
        <t>Q1 2024 10-Q MD&amp;A</t>
      </text>
    </comment>
    <comment ref="H52" authorId="0" shapeId="0">
      <text>
        <t>Q2 2024 10-Q MD&amp;A. Admin -$10.4M (lower consulting fees).</t>
      </text>
    </comment>
    <comment ref="L52" authorId="0" shapeId="0">
      <text>
        <t>Q1 2025 10-Q MD&amp;A. G&amp;A primarily acquisition costs.</t>
      </text>
    </comment>
    <comment ref="M52" authorId="0" shapeId="0">
      <text>
        <t>Q2 2025 10-Q MD&amp;A. Marketing &amp; selling +$60.6M; G&amp;A +$62.4M. Alani-attrib $29.7M selling + $15.8M G&amp;A = $45.5M.</t>
      </text>
    </comment>
    <comment ref="N52" authorId="0" shapeId="0">
      <text>
        <t>Q3 2025 10-Q MD&amp;A. Marketing &amp; selling +$47.9M; G&amp;A +$32.3M. Alani-attrib $19.3M + $12.5M = $31.8M.</t>
      </text>
    </comment>
    <comment ref="O52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52" authorId="0" shapeId="0">
      <text>
        <t>FY2025 10-K MD&amp;A. M&amp;S +$200.6M; G&amp;A +$73.7M (incl -$46M legal reversal). Alani-attrib $65.0M M&amp;S + $53.4M G&amp;A = $118.4M.</t>
      </text>
    </comment>
    <comment ref="B53" authorId="0" shapeId="0">
      <text>
        <t>Q1 2023 10-Q MD&amp;A</t>
      </text>
    </comment>
    <comment ref="C53" authorId="0" shapeId="0">
      <text>
        <t>Q2 2023 10-Q MD&amp;A</t>
      </text>
    </comment>
    <comment ref="D53" authorId="0" shapeId="0">
      <text>
        <t>Q3 2023 10-Q MD&amp;A. Distrib term: -$149.5M as 2022 had $193.8M one-time.</t>
      </text>
    </comment>
    <comment ref="E53" authorId="0" shapeId="0">
      <text>
        <t>Q4 2023 derived: FY2023 walk - 9M 2023 walk. FY src: FY2023 10-K MD&amp;A; 9M src: Q3 2023 10-Q 9M walk.</t>
      </text>
    </comment>
    <comment ref="F53" authorId="0" shapeId="0">
      <text>
        <t>FY2023 10-K MD&amp;A</t>
      </text>
    </comment>
    <comment ref="G53" authorId="0" shapeId="0">
      <text>
        <t>Q1 2024 10-Q MD&amp;A</t>
      </text>
    </comment>
    <comment ref="H53" authorId="0" shapeId="0">
      <text>
        <t>Q2 2024 10-Q MD&amp;A. Admin -$10.4M (lower consulting fees).</t>
      </text>
    </comment>
    <comment ref="D54" authorId="0" shapeId="0">
      <text>
        <t>Q3 2023 10-Q MD&amp;A. Distrib term: -$149.5M as 2022 had $193.8M one-time.</t>
      </text>
    </comment>
    <comment ref="E54" authorId="0" shapeId="0">
      <text>
        <t>Q4 2023 derived: FY2023 walk - 9M 2023 walk. FY src: FY2023 10-K MD&amp;A; 9M src: Q3 2023 10-Q 9M walk.</t>
      </text>
    </comment>
    <comment ref="F54" authorId="0" shapeId="0">
      <text>
        <t>FY2023 10-K MD&amp;A</t>
      </text>
    </comment>
    <comment ref="M55" authorId="0" shapeId="0">
      <text>
        <t>Q2 2025 10-Q MD&amp;A. Marketing &amp; selling +$60.6M; G&amp;A +$62.4M. Alani-attrib $29.7M selling + $15.8M G&amp;A = $45.5M.</t>
      </text>
    </comment>
    <comment ref="N55" authorId="0" shapeId="0">
      <text>
        <t>Q3 2025 10-Q MD&amp;A. Marketing &amp; selling +$47.9M; G&amp;A +$32.3M. Alani-attrib $19.3M + $12.5M = $31.8M.</t>
      </text>
    </comment>
    <comment ref="O55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55" authorId="0" shapeId="0">
      <text>
        <t>FY2025 10-K MD&amp;A. M&amp;S +$200.6M; G&amp;A +$73.7M (incl -$46M legal reversal). Alani-attrib $65.0M M&amp;S + $53.4M G&amp;A = $118.4M.</t>
      </text>
    </comment>
    <comment ref="M56" authorId="0" shapeId="0">
      <text>
        <t>Q2 2025 10-Q MD&amp;A. Marketing &amp; selling +$60.6M; G&amp;A +$62.4M. Alani-attrib $29.7M selling + $15.8M G&amp;A = $45.5M.</t>
      </text>
    </comment>
    <comment ref="N56" authorId="0" shapeId="0">
      <text>
        <t>Q3 2025 10-Q MD&amp;A. Marketing &amp; selling +$47.9M; G&amp;A +$32.3M. Alani-attrib $19.3M + $12.5M = $31.8M.</t>
      </text>
    </comment>
    <comment ref="O56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56" authorId="0" shapeId="0">
      <text>
        <t>FY2025 10-K MD&amp;A. M&amp;S +$200.6M; G&amp;A +$73.7M (incl -$46M legal reversal). Alani-attrib $65.0M M&amp;S + $53.4M G&amp;A = $118.4M.</t>
      </text>
    </comment>
    <comment ref="M57" authorId="0" shapeId="0">
      <text>
        <t>Q2 2025 10-Q MD&amp;A. Marketing &amp; selling +$60.6M; G&amp;A +$62.4M. Alani-attrib $29.7M selling + $15.8M G&amp;A = $45.5M.</t>
      </text>
    </comment>
    <comment ref="P57" authorId="0" shapeId="0">
      <text>
        <t>FY2025 10-K MD&amp;A. M&amp;S +$200.6M; G&amp;A +$73.7M (incl -$46M legal reversal). Alani-attrib $65.0M M&amp;S + $53.4M G&amp;A = $118.4M.</t>
      </text>
    </comment>
    <comment ref="J58" authorId="0" shapeId="0">
      <text>
        <t>Q4 2024 derived: FY2024 walk - 9M 2024 walk. FY src: FY2024 10-K MD&amp;A. Legal accrual +$52.8M one-time.; 9M src: Q3 2024 10-Q 9M walk.</t>
      </text>
    </comment>
    <comment ref="K58" authorId="0" shapeId="0">
      <text>
        <t>FY2024 10-K MD&amp;A. Legal accrual +$52.8M one-time.</t>
      </text>
    </comment>
    <comment ref="O58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58" authorId="0" shapeId="0">
      <text>
        <t>FY2025 10-K MD&amp;A. M&amp;S +$200.6M; G&amp;A +$73.7M (incl -$46M legal reversal). Alani-attrib $65.0M M&amp;S + $53.4M G&amp;A = $118.4M.</t>
      </text>
    </comment>
    <comment ref="B59" authorId="0" shapeId="0">
      <text>
        <t>Q1 2023 10-Q MD&amp;A</t>
      </text>
    </comment>
    <comment ref="C59" authorId="0" shapeId="0">
      <text>
        <t>Q2 2023 10-Q MD&amp;A</t>
      </text>
    </comment>
    <comment ref="G59" authorId="0" shapeId="0">
      <text>
        <t>Q1 2024 10-Q MD&amp;A</t>
      </text>
    </comment>
    <comment ref="H59" authorId="0" shapeId="0">
      <text>
        <t>Q2 2024 10-Q MD&amp;A. Admin -$10.4M (lower consulting fees).</t>
      </text>
    </comment>
    <comment ref="I59" authorId="0" shapeId="0">
      <text>
        <t>Q3 2024 10-Q MD&amp;A. Less granular bucket breakdown.</t>
      </text>
    </comment>
    <comment ref="J59" authorId="0" shapeId="0">
      <text>
        <t>Q4 2024 derived: FY2024 walk - 9M 2024 walk. FY src: FY2024 10-K MD&amp;A. Legal accrual +$52.8M one-time.; 9M src: Q3 2024 10-Q 9M walk.</t>
      </text>
    </comment>
    <comment ref="K59" authorId="0" shapeId="0">
      <text>
        <t>FY2024 10-K MD&amp;A. Legal accrual +$52.8M one-time.</t>
      </text>
    </comment>
    <comment ref="L59" authorId="0" shapeId="0">
      <text>
        <t>Q1 2025 10-Q MD&amp;A. G&amp;A primarily acquisition costs.</t>
      </text>
    </comment>
    <comment ref="N59" authorId="0" shapeId="0">
      <text>
        <t>Q3 2025 10-Q MD&amp;A. Marketing &amp; selling +$47.9M; G&amp;A +$32.3M. Alani-attrib $19.3M + $12.5M = $31.8M.</t>
      </text>
    </comment>
    <comment ref="O59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P59" authorId="0" shapeId="0">
      <text>
        <t>FY2025 10-K MD&amp;A. M&amp;S +$200.6M; G&amp;A +$73.7M (incl -$46M legal reversal). Alani-attrib $65.0M M&amp;S + $53.4M G&amp;A = $118.4M.</t>
      </text>
    </comment>
    <comment ref="J60" authorId="0" shapeId="0">
      <text>
        <t>Q4 2024 derived: FY2024 walk - 9M 2024 walk. FY src: FY2024 10-K MD&amp;A. Legal accrual +$52.8M one-time.; 9M src: Q3 2024 10-Q 9M walk.</t>
      </text>
    </comment>
    <comment ref="K60" authorId="0" shapeId="0">
      <text>
        <t>FY2024 10-K MD&amp;A. Legal accrual +$52.8M one-time.</t>
      </text>
    </comment>
    <comment ref="O60" authorId="0" shapeId="0">
      <text>
        <t>Q4 2025 derived: FY2025 walk - 9M 2025 walk. FY src: FY2025 10-K MD&amp;A. M&amp;S +$200.6M; G&amp;A +$73.7M (incl -$46M legal reversal). Alani-attrib $65.0M M&amp;S + $53.4M G&amp;A = $118.4M.; 9M src: Q3 2025 10-Q 9M walk. Alani-attrib $49.0M M&amp;S + $28.3M G&amp;A = $77.3M..</t>
      </text>
    </comment>
    <comment ref="B61" authorId="0" shapeId="0">
      <text>
        <t>Sum of disclosed driver buckets. Should approximate YoY Total Δ row above.</t>
      </text>
    </comment>
    <comment ref="C61" authorId="0" shapeId="0">
      <text>
        <t>Sum of disclosed driver buckets. Should approximate YoY Total Δ row above.</t>
      </text>
    </comment>
    <comment ref="D61" authorId="0" shapeId="0">
      <text>
        <t>Sum of disclosed driver buckets. Should approximate YoY Total Δ row above.</t>
      </text>
    </comment>
    <comment ref="E61" authorId="0" shapeId="0">
      <text>
        <t>Sum of disclosed driver buckets. Should approximate YoY Total Δ row above.</t>
      </text>
    </comment>
    <comment ref="F61" authorId="0" shapeId="0">
      <text>
        <t>Sum of disclosed driver buckets. Should approximate YoY Total Δ row above.</t>
      </text>
    </comment>
    <comment ref="G61" authorId="0" shapeId="0">
      <text>
        <t>Sum of disclosed driver buckets. Should approximate YoY Total Δ row above.</t>
      </text>
    </comment>
    <comment ref="H61" authorId="0" shapeId="0">
      <text>
        <t>Sum of disclosed driver buckets. Should approximate YoY Total Δ row above.</t>
      </text>
    </comment>
    <comment ref="I61" authorId="0" shapeId="0">
      <text>
        <t>Sum of disclosed driver buckets. Should approximate YoY Total Δ row above.</t>
      </text>
    </comment>
    <comment ref="J61" authorId="0" shapeId="0">
      <text>
        <t>Sum of disclosed driver buckets. Should approximate YoY Total Δ row above.</t>
      </text>
    </comment>
    <comment ref="K61" authorId="0" shapeId="0">
      <text>
        <t>Sum of disclosed driver buckets. Should approximate YoY Total Δ row above.</t>
      </text>
    </comment>
    <comment ref="L61" authorId="0" shapeId="0">
      <text>
        <t>Sum of disclosed driver buckets. Should approximate YoY Total Δ row above.</t>
      </text>
    </comment>
    <comment ref="M61" authorId="0" shapeId="0">
      <text>
        <t>Sum of disclosed driver buckets. Should approximate YoY Total Δ row above.</t>
      </text>
    </comment>
    <comment ref="N61" authorId="0" shapeId="0">
      <text>
        <t>Sum of disclosed driver buckets. Should approximate YoY Total Δ row above.</t>
      </text>
    </comment>
    <comment ref="O61" authorId="0" shapeId="0">
      <text>
        <t>Sum of disclosed driver buckets. Should approximate YoY Total Δ row above.</t>
      </text>
    </comment>
    <comment ref="P61" authorId="0" shapeId="0">
      <text>
        <t>Sum of disclosed driver buckets. Should approximate YoY Total Δ row above.</t>
      </text>
    </comment>
    <comment ref="N63" authorId="0" shapeId="0">
      <text>
        <t>Q3 2025 10-Q. Separate IS line: $246.7M.</t>
      </text>
    </comment>
    <comment ref="O63" authorId="0" shapeId="0">
      <text>
        <t>Q4 2025 = FY - Q3 (Q1, Q2 had $0).</t>
      </text>
    </comment>
    <comment ref="P63" authorId="0" shapeId="0">
      <text>
        <t>FY2025 10-K. Separate IS line: $327.5M.</t>
      </text>
    </comment>
    <comment ref="B68" authorId="0" shapeId="0">
      <text>
        <t>Q1 2023 10-Q</t>
      </text>
    </comment>
    <comment ref="C68" authorId="0" shapeId="0">
      <text>
        <t>Q2 2023 10-Q</t>
      </text>
    </comment>
    <comment ref="D68" authorId="0" shapeId="0">
      <text>
        <t>Q3 2023 10-Q</t>
      </text>
    </comment>
    <comment ref="E68" authorId="0" shapeId="0">
      <text>
        <t>Q4 GP $ = FY - Q1 - Q2 - Q3.</t>
      </text>
    </comment>
    <comment ref="F68" authorId="0" shapeId="0">
      <text>
        <t>FY2023 10-K</t>
      </text>
    </comment>
    <comment ref="G68" authorId="0" shapeId="0">
      <text>
        <t>Q1 2024 10-Q</t>
      </text>
    </comment>
    <comment ref="H68" authorId="0" shapeId="0">
      <text>
        <t>Q2 2024 10-Q</t>
      </text>
    </comment>
    <comment ref="I68" authorId="0" shapeId="0">
      <text>
        <t>Q3 2024 10-Q</t>
      </text>
    </comment>
    <comment ref="J68" authorId="0" shapeId="0">
      <text>
        <t>Q4 GP $ = FY - Q1 - Q2 - Q3.</t>
      </text>
    </comment>
    <comment ref="K68" authorId="0" shapeId="0">
      <text>
        <t>FY2024 10-K</t>
      </text>
    </comment>
    <comment ref="L68" authorId="0" shapeId="0">
      <text>
        <t>Q1 2025 10-Q</t>
      </text>
    </comment>
    <comment ref="M68" authorId="0" shapeId="0">
      <text>
        <t>Q2 2025 10-Q</t>
      </text>
    </comment>
    <comment ref="N68" authorId="0" shapeId="0">
      <text>
        <t>Q3 2025 10-Q</t>
      </text>
    </comment>
    <comment ref="O68" authorId="0" shapeId="0">
      <text>
        <t>Q4 GP $ = FY - Q1 - Q2 - Q3.</t>
      </text>
    </comment>
    <comment ref="P68" authorId="0" shapeId="0">
      <text>
        <t>FY2025 10-K</t>
      </text>
    </comment>
    <comment ref="B69" authorId="0" shapeId="0">
      <text>
        <t>GP Margin = Gross Profit $ / Total Revenue (Section 1 row 10).</t>
      </text>
    </comment>
    <comment ref="C69" authorId="0" shapeId="0">
      <text>
        <t>GP Margin = Gross Profit $ / Total Revenue (Section 1 row 10).</t>
      </text>
    </comment>
    <comment ref="D69" authorId="0" shapeId="0">
      <text>
        <t>GP Margin = Gross Profit $ / Total Revenue (Section 1 row 10).</t>
      </text>
    </comment>
    <comment ref="E69" authorId="0" shapeId="0">
      <text>
        <t>GP Margin = Gross Profit $ / Total Revenue (Section 1 row 10).</t>
      </text>
    </comment>
    <comment ref="F69" authorId="0" shapeId="0">
      <text>
        <t>GP Margin = Gross Profit $ / Total Revenue (Section 1 row 10).</t>
      </text>
    </comment>
    <comment ref="G69" authorId="0" shapeId="0">
      <text>
        <t>GP Margin = Gross Profit $ / Total Revenue (Section 1 row 10).</t>
      </text>
    </comment>
    <comment ref="H69" authorId="0" shapeId="0">
      <text>
        <t>GP Margin = Gross Profit $ / Total Revenue (Section 1 row 10).</t>
      </text>
    </comment>
    <comment ref="I69" authorId="0" shapeId="0">
      <text>
        <t>GP Margin = Gross Profit $ / Total Revenue (Section 1 row 10).</t>
      </text>
    </comment>
    <comment ref="J69" authorId="0" shapeId="0">
      <text>
        <t>GP Margin = Gross Profit $ / Total Revenue (Section 1 row 10).</t>
      </text>
    </comment>
    <comment ref="K69" authorId="0" shapeId="0">
      <text>
        <t>GP Margin = Gross Profit $ / Total Revenue (Section 1 row 10).</t>
      </text>
    </comment>
    <comment ref="L69" authorId="0" shapeId="0">
      <text>
        <t>GP Margin = Gross Profit $ / Total Revenue (Section 1 row 10).</t>
      </text>
    </comment>
    <comment ref="M69" authorId="0" shapeId="0">
      <text>
        <t>GP Margin = Gross Profit $ / Total Revenue (Section 1 row 10).</t>
      </text>
    </comment>
    <comment ref="N69" authorId="0" shapeId="0">
      <text>
        <t>GP Margin = Gross Profit $ / Total Revenue (Section 1 row 10).</t>
      </text>
    </comment>
    <comment ref="O69" authorId="0" shapeId="0">
      <text>
        <t>GP Margin = Gross Profit $ / Total Revenue (Section 1 row 10).</t>
      </text>
    </comment>
    <comment ref="P69" authorId="0" shapeId="0">
      <text>
        <t>GP Margin = Gross Profit $ / Total Revenue (Section 1 row 10).</t>
      </text>
    </comment>
    <comment ref="G70" authorId="0" shapeId="0">
      <text>
        <t>YoY pts Δ vs Q1 2023.</t>
      </text>
    </comment>
    <comment ref="H70" authorId="0" shapeId="0">
      <text>
        <t>YoY pts Δ vs Q2 2023.</t>
      </text>
    </comment>
    <comment ref="I70" authorId="0" shapeId="0">
      <text>
        <t>YoY pts Δ vs Q3 2023.</t>
      </text>
    </comment>
    <comment ref="J70" authorId="0" shapeId="0">
      <text>
        <t>YoY pts Δ vs Q4 2023.</t>
      </text>
    </comment>
    <comment ref="K70" authorId="0" shapeId="0">
      <text>
        <t>YoY pts Δ vs FY2023.</t>
      </text>
    </comment>
    <comment ref="L70" authorId="0" shapeId="0">
      <text>
        <t>YoY pts Δ vs Q1 2024.</t>
      </text>
    </comment>
    <comment ref="M70" authorId="0" shapeId="0">
      <text>
        <t>YoY pts Δ vs Q2 2024.</t>
      </text>
    </comment>
    <comment ref="N70" authorId="0" shapeId="0">
      <text>
        <t>YoY pts Δ vs Q3 2024.</t>
      </text>
    </comment>
    <comment ref="O70" authorId="0" shapeId="0">
      <text>
        <t>YoY pts Δ vs Q4 2024.</t>
      </text>
    </comment>
    <comment ref="P70" authorId="0" shapeId="0">
      <text>
        <t>YoY pts Δ vs FY2024.</t>
      </text>
    </comment>
    <comment ref="B71" authorId="0" shapeId="0">
      <text>
        <t>Q1 2023 10-Q: Volume leverage; reduced mix of higher-cost intl cans (+); offset by inventory write-offs and freight from Pepsi distribution integration (-).</t>
      </text>
    </comment>
    <comment ref="C71" authorId="0" shapeId="0">
      <text>
        <t>Q2 2023 10-Q: Lower packaging/raw material cost; reduced waste; improved freight efficiencies.</t>
      </text>
    </comment>
    <comment ref="D71" authorId="0" shapeId="0">
      <text>
        <t>Q3 2023 10-Q: Packaging/raw material savings; waste reduction; freight lane efficiency; improved leverage on promotional allowances.</t>
      </text>
    </comment>
    <comment ref="F71" authorId="0" shapeId="0">
      <text>
        <t>FY2023 10-K: Efficiencies in raw material sourcing; product waste reduction.</t>
      </text>
    </comment>
    <comment ref="G71" authorId="0" shapeId="0">
      <text>
        <t>Q1 2024 10-Q: Decreases in raw/package material unit cost; reduced outbound freight as % of sales.</t>
      </text>
    </comment>
    <comment ref="H71" authorId="0" shapeId="0">
      <text>
        <t>Q2 2024 10-Q: Same drivers: raw/package material cost; freight efficiency.</t>
      </text>
    </comment>
    <comment ref="I71" authorId="0" shapeId="0">
      <text>
        <t>Q3 2024 10-Q: Promotional allowances/incentives/billbacks UP as % of gross revenue (-) due to supply chain optimization by Pepsi (sell-through to retail not correlating with sell-in to distributors). Partially offset by lower outbound freight and materials (+).</t>
      </text>
    </comment>
    <comment ref="K71" authorId="0" shapeId="0">
      <text>
        <t>FY2024 10-K: Decreases in raw/package material unit cost; reduced outbound freight; partially offset by increased promotional allowances as % of revenue.</t>
      </text>
    </comment>
    <comment ref="L71" authorId="0" shapeId="0">
      <text>
        <t>Q1 2025 10-Q: Decreases in raw/package material unit costs (+); partially offset by increased promotional allowances as % of revenue (-).</t>
      </text>
    </comment>
    <comment ref="M71" authorId="0" shapeId="0">
      <text>
        <t>Q2 2025 10-Q: Material cost savings; product mix and scale efficiencies (+); offset by lower GM profile of Alani Nu (Brand Mix Drag); one-time inventory valuation step-up adjustment.</t>
      </text>
    </comment>
    <comment ref="N71" authorId="0" shapeId="0">
      <text>
        <t>Q3 2025 10-Q: Lower net portfolio promotional spend; pack mix; favorable channel mix; scale benefits on raw materials from higher volume; tariffs (-); comparatively lower margin from Alani Nu and Rockstar (Brand Mix Drag).</t>
      </text>
    </comment>
    <comment ref="P71" authorId="0" shapeId="0">
      <text>
        <t>FY2025 10-K: Comparatively lower margin contributions from Alani Nu and Rockstar (Brand Mix Drag); offset by product and pack mix; ongoing improvements to COGS. Inventory step-up adjustments transitional.</t>
      </text>
    </comment>
    <comment ref="D72" authorId="0" shapeId="0">
      <text>
        <t>Q3 2023 10-Q: Packaging/raw material savings; waste reduction; freight lane efficiency; improved leverage on promotional allowances.</t>
      </text>
    </comment>
    <comment ref="I72" authorId="0" shapeId="0">
      <text>
        <t>Q3 2024 10-Q: Promotional allowances/incentives/billbacks UP as % of gross revenue (-) due to supply chain optimization by Pepsi (sell-through to retail not correlating with sell-in to distributors). Partially offset by lower outbound freight and materials (+).</t>
      </text>
    </comment>
    <comment ref="K72" authorId="0" shapeId="0">
      <text>
        <t>FY2024 10-K: Decreases in raw/package material unit cost; reduced outbound freight; partially offset by increased promotional allowances as % of revenue.</t>
      </text>
    </comment>
    <comment ref="L72" authorId="0" shapeId="0">
      <text>
        <t>Q1 2025 10-Q: Decreases in raw/package material unit costs (+); partially offset by increased promotional allowances as % of revenue (-).</t>
      </text>
    </comment>
    <comment ref="N72" authorId="0" shapeId="0">
      <text>
        <t>Q3 2025 10-Q: Lower net portfolio promotional spend; pack mix; favorable channel mix; scale benefits on raw materials from higher volume; tariffs (-); comparatively lower margin from Alani Nu and Rockstar (Brand Mix Drag).</t>
      </text>
    </comment>
    <comment ref="P72" authorId="0" shapeId="0">
      <text>
        <t>FY2025 10-K: Comparatively lower margin contributions from Alani Nu and Rockstar (Brand Mix Drag); offset by product and pack mix; ongoing improvements to COGS. Inventory step-up adjustments transitional.</t>
      </text>
    </comment>
    <comment ref="B73" authorId="0" shapeId="0">
      <text>
        <t>Q1 2023 10-Q: Volume leverage; reduced mix of higher-cost intl cans (+); offset by inventory write-offs and freight from Pepsi distribution integration (-).</t>
      </text>
    </comment>
    <comment ref="C73" authorId="0" shapeId="0">
      <text>
        <t>Q2 2023 10-Q: Lower packaging/raw material cost; reduced waste; improved freight efficiencies.</t>
      </text>
    </comment>
    <comment ref="D73" authorId="0" shapeId="0">
      <text>
        <t>Q3 2023 10-Q: Packaging/raw material savings; waste reduction; freight lane efficiency; improved leverage on promotional allowances.</t>
      </text>
    </comment>
    <comment ref="G73" authorId="0" shapeId="0">
      <text>
        <t>Q1 2024 10-Q: Decreases in raw/package material unit cost; reduced outbound freight as % of sales.</t>
      </text>
    </comment>
    <comment ref="H73" authorId="0" shapeId="0">
      <text>
        <t>Q2 2024 10-Q: Same drivers: raw/package material cost; freight efficiency.</t>
      </text>
    </comment>
    <comment ref="I73" authorId="0" shapeId="0">
      <text>
        <t>Q3 2024 10-Q: Promotional allowances/incentives/billbacks UP as % of gross revenue (-) due to supply chain optimization by Pepsi (sell-through to retail not correlating with sell-in to distributors). Partially offset by lower outbound freight and materials (+).</t>
      </text>
    </comment>
    <comment ref="K73" authorId="0" shapeId="0">
      <text>
        <t>FY2024 10-K: Decreases in raw/package material unit cost; reduced outbound freight; partially offset by increased promotional allowances as % of revenue.</t>
      </text>
    </comment>
    <comment ref="B74" authorId="0" shapeId="0">
      <text>
        <t>Q1 2023 10-Q: Volume leverage; reduced mix of higher-cost intl cans (+); offset by inventory write-offs and freight from Pepsi distribution integration (-).</t>
      </text>
    </comment>
    <comment ref="M74" authorId="0" shapeId="0">
      <text>
        <t>Q2 2025 10-Q: Material cost savings; product mix and scale efficiencies (+); offset by lower GM profile of Alani Nu (Brand Mix Drag); one-time inventory valuation step-up adjustment.</t>
      </text>
    </comment>
    <comment ref="N74" authorId="0" shapeId="0">
      <text>
        <t>Q3 2025 10-Q: Lower net portfolio promotional spend; pack mix; favorable channel mix; scale benefits on raw materials from higher volume; tariffs (-); comparatively lower margin from Alani Nu and Rockstar (Brand Mix Drag).</t>
      </text>
    </comment>
    <comment ref="P74" authorId="0" shapeId="0">
      <text>
        <t>FY2025 10-K: Comparatively lower margin contributions from Alani Nu and Rockstar (Brand Mix Drag); offset by product and pack mix; ongoing improvements to COGS. Inventory step-up adjustments transitional.</t>
      </text>
    </comment>
    <comment ref="M75" authorId="0" shapeId="0">
      <text>
        <t>Q2 2025 10-Q: Material cost savings; product mix and scale efficiencies (+); offset by lower GM profile of Alani Nu (Brand Mix Drag); one-time inventory valuation step-up adjustment.</t>
      </text>
    </comment>
    <comment ref="N75" authorId="0" shapeId="0">
      <text>
        <t>Q3 2025 10-Q: Lower net portfolio promotional spend; pack mix; favorable channel mix; scale benefits on raw materials from higher volume; tariffs (-); comparatively lower margin from Alani Nu and Rockstar (Brand Mix Drag).</t>
      </text>
    </comment>
    <comment ref="P75" authorId="0" shapeId="0">
      <text>
        <t>FY2025 10-K: Comparatively lower margin contributions from Alani Nu and Rockstar (Brand Mix Drag); offset by product and pack mix; ongoing improvements to COGS. Inventory step-up adjustments transitional.</t>
      </text>
    </comment>
    <comment ref="M76" authorId="0" shapeId="0">
      <text>
        <t>Q2 2025 10-Q: Material cost savings; product mix and scale efficiencies (+); offset by lower GM profile of Alani Nu (Brand Mix Drag); one-time inventory valuation step-up adjustment.</t>
      </text>
    </comment>
    <comment ref="P76" authorId="0" shapeId="0">
      <text>
        <t>FY2025 10-K: Comparatively lower margin contributions from Alani Nu and Rockstar (Brand Mix Drag); offset by product and pack mix; ongoing improvements to COGS. Inventory step-up adjustments transitional.</t>
      </text>
    </comment>
    <comment ref="N77" authorId="0" shapeId="0">
      <text>
        <t>Q3 2025 10-Q: Lower net portfolio promotional spend; pack mix; favorable channel mix; scale benefits on raw materials from higher volume; tariffs (-); comparatively lower margin from Alani Nu and Rockstar (Brand Mix Drag).</t>
      </text>
    </comment>
    <comment ref="B82" authorId="0" shapeId="0">
      <text>
        <t>Q1 2023 10-Q</t>
      </text>
    </comment>
    <comment ref="C82" authorId="0" shapeId="0">
      <text>
        <t>Q2 2023 10-Q</t>
      </text>
    </comment>
    <comment ref="D82" authorId="0" shapeId="0">
      <text>
        <t>Q3 2023 10-Q</t>
      </text>
    </comment>
    <comment ref="E82" authorId="0" shapeId="0">
      <text>
        <t>Q4 = FY - Q1 - Q2 - Q3.</t>
      </text>
    </comment>
    <comment ref="F82" authorId="0" shapeId="0">
      <text>
        <t>FY2023 10-K</t>
      </text>
    </comment>
    <comment ref="G82" authorId="0" shapeId="0">
      <text>
        <t>Q1 2024 10-Q</t>
      </text>
    </comment>
    <comment ref="H82" authorId="0" shapeId="0">
      <text>
        <t>Q2 2024 10-Q</t>
      </text>
    </comment>
    <comment ref="I82" authorId="0" shapeId="0">
      <text>
        <t>Q3 2024 10-Q</t>
      </text>
    </comment>
    <comment ref="J82" authorId="0" shapeId="0">
      <text>
        <t>Q4 = FY - Q1 - Q2 - Q3.</t>
      </text>
    </comment>
    <comment ref="K82" authorId="0" shapeId="0">
      <text>
        <t>FY2024 10-K</t>
      </text>
    </comment>
    <comment ref="L82" authorId="0" shapeId="0">
      <text>
        <t>Q1 2025 10-Q</t>
      </text>
    </comment>
    <comment ref="M82" authorId="0" shapeId="0">
      <text>
        <t>Q2 2025: implied from 9M 2025 Other (-$12.6M per Q3 2025 10-Q) minus Q1 (+$9.0M) minus Q3 (-$8.0M). Detail of Q2 walk not separately extracted.</t>
      </text>
    </comment>
    <comment ref="N82" authorId="0" shapeId="0">
      <text>
        <t>Q3 2025 10-Q. Net Other Expense (debt issued April 2025).</t>
      </text>
    </comment>
    <comment ref="O82" authorId="0" shapeId="0">
      <text>
        <t>Q4 2025 = FY (-16,000) - 9M (-12,600 per Q3 2025 10-Q 9M Other Inc/Exp) = -3,400. Hardcoded 9M value used.</t>
      </text>
    </comment>
    <comment ref="P82" authorId="0" shapeId="0">
      <text>
        <t>FY2025 10-K. Net Other Expense.</t>
      </text>
    </comment>
    <comment ref="P83" authorId="0" shapeId="0">
      <text>
        <t>FY2025 10-K full walk: +$49M interest expense (new $900M term loan); -$18.2M interest income (lower cash balance); +$12.6M Rockstar transition agency income; -$0.7M FX/other.</t>
      </text>
    </comment>
    <comment ref="N84" authorId="0" shapeId="0">
      <text>
        <t>Q3 2025 10-Q. Interest expense $18.2M (no debt prior year).</t>
      </text>
    </comment>
    <comment ref="P84" authorId="0" shapeId="0">
      <text>
        <t>FY2025 10-K full walk: +$49M interest expense (new $900M term loan); -$18.2M interest income (lower cash balance); +$12.6M Rockstar transition agency income; -$0.7M FX/other.</t>
      </text>
    </comment>
    <comment ref="P85" authorId="0" shapeId="0">
      <text>
        <t>FY2025 10-K full walk: +$49M interest expense (new $900M term loan); -$18.2M interest income (lower cash balance); +$12.6M Rockstar transition agency income; -$0.7M FX/other.</t>
      </text>
    </comment>
    <comment ref="P86" authorId="0" shapeId="0">
      <text>
        <t>FY2025 10-K full walk: +$49M interest expense (new $900M term loan); -$18.2M interest income (lower cash balance); +$12.6M Rockstar transition agency income; -$0.7M FX/other.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../../../../Pl3%20Celsius%20Case%20Study/data/derived/Celsius_SNAP%20Data_GR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le"/>
      <sheetName val="Female"/>
      <sheetName val="Growth by Race"/>
      <sheetName val="SNAP Base Case"/>
      <sheetName val="SNAP Recession"/>
      <sheetName val="TAM &amp; Brand Share"/>
      <sheetName val="Demographic Data"/>
      <sheetName val="National Summary"/>
      <sheetName val="Snap Usage"/>
      <sheetName val="Energy Drink Consumption"/>
      <sheetName val="COVID SNAP Impact"/>
      <sheetName val="SNAP Ban Impact"/>
      <sheetName val="Total Market_Celsius Output"/>
      <sheetName val="GLP-1 Share Impact"/>
      <sheetName val="Cohort Aging Mode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3">
          <cell r="D33">
            <v>113.36679374999999</v>
          </cell>
          <cell r="E33">
            <v>115.23408749999999</v>
          </cell>
          <cell r="F33">
            <v>117.18209999999999</v>
          </cell>
          <cell r="G33">
            <v>119.20544999999998</v>
          </cell>
          <cell r="H33">
            <v>121.31489999999998</v>
          </cell>
        </row>
        <row r="34">
          <cell r="D34">
            <v>21.448251138864567</v>
          </cell>
          <cell r="E34">
            <v>22.038453748142427</v>
          </cell>
          <cell r="F34">
            <v>22.883234775552697</v>
          </cell>
          <cell r="G34">
            <v>23.742292271505907</v>
          </cell>
          <cell r="H34">
            <v>24.619670147589872</v>
          </cell>
        </row>
      </sheetData>
      <sheetData sheetId="12"/>
      <sheetData sheetId="13">
        <row r="22">
          <cell r="C22">
            <v>68.911914840907883</v>
          </cell>
          <cell r="D22">
            <v>82.534532405551772</v>
          </cell>
          <cell r="E22">
            <v>95.991953898519981</v>
          </cell>
          <cell r="F22">
            <v>110.09995327741292</v>
          </cell>
          <cell r="G22">
            <v>124.02447744606826</v>
          </cell>
        </row>
      </sheetData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40" customWidth="1" min="17" max="17"/>
  </cols>
  <sheetData>
    <row r="1">
      <c r="A1" s="60" t="inlineStr">
        <is>
          <t>CELH -- MD&amp;A Revenue &amp; P&amp;L Disaggregation</t>
        </is>
      </c>
    </row>
    <row r="2">
      <c r="A2" s="61" t="inlineStr">
        <is>
          <t>Source: CELH 10-Q (Q1 2023 - Q3 2025) + 10-K (FY2023, FY2024, FY2025). $ in thousands. Q4 derived as FY - 9M YTD where derivable. Hover any cell for source note.</t>
        </is>
      </c>
    </row>
    <row r="4">
      <c r="A4" s="62" t="inlineStr">
        <is>
          <t>1. GEOGRAPHY -- Revenue ($ thousands, single-period)</t>
        </is>
      </c>
    </row>
    <row r="5">
      <c r="A5" s="92" t="inlineStr">
        <is>
          <t>Metric</t>
        </is>
      </c>
      <c r="B5" s="63" t="inlineStr">
        <is>
          <t>Q1 2023</t>
        </is>
      </c>
      <c r="C5" s="63" t="inlineStr">
        <is>
          <t>Q2 2023</t>
        </is>
      </c>
      <c r="D5" s="63" t="inlineStr">
        <is>
          <t>Q3 2023</t>
        </is>
      </c>
      <c r="E5" s="93" t="inlineStr">
        <is>
          <t>Q4 2023</t>
        </is>
      </c>
      <c r="F5" s="94" t="inlineStr">
        <is>
          <t>FY2023</t>
        </is>
      </c>
      <c r="G5" s="63" t="inlineStr">
        <is>
          <t>Q1 2024</t>
        </is>
      </c>
      <c r="H5" s="63" t="inlineStr">
        <is>
          <t>Q2 2024</t>
        </is>
      </c>
      <c r="I5" s="63" t="inlineStr">
        <is>
          <t>Q3 2024</t>
        </is>
      </c>
      <c r="J5" s="93" t="inlineStr">
        <is>
          <t>Q4 2024</t>
        </is>
      </c>
      <c r="K5" s="94" t="inlineStr">
        <is>
          <t>FY2024</t>
        </is>
      </c>
      <c r="L5" s="63" t="inlineStr">
        <is>
          <t>Q1 2025</t>
        </is>
      </c>
      <c r="M5" s="63" t="inlineStr">
        <is>
          <t>Q2 2025</t>
        </is>
      </c>
      <c r="N5" s="63" t="inlineStr">
        <is>
          <t>Q3 2025</t>
        </is>
      </c>
      <c r="O5" s="93" t="inlineStr">
        <is>
          <t>Q4 2025</t>
        </is>
      </c>
      <c r="P5" s="94" t="inlineStr">
        <is>
          <t>FY2025</t>
        </is>
      </c>
      <c r="Q5" s="92" t="inlineStr">
        <is>
          <t>Notes</t>
        </is>
      </c>
    </row>
    <row r="6">
      <c r="A6" s="64" t="inlineStr">
        <is>
          <t>North America</t>
        </is>
      </c>
      <c r="B6" s="65" t="n">
        <v>248552</v>
      </c>
      <c r="C6" s="65" t="n">
        <v>310815</v>
      </c>
      <c r="D6" s="65" t="n">
        <v>371178</v>
      </c>
      <c r="E6" s="66">
        <f>F6-D6-C6-B6</f>
        <v/>
      </c>
      <c r="F6" s="65" t="n">
        <v>1263341</v>
      </c>
      <c r="G6" s="65" t="n">
        <v>339512</v>
      </c>
      <c r="H6" s="65" t="n">
        <v>382351</v>
      </c>
      <c r="I6" s="65" t="n">
        <v>247125</v>
      </c>
      <c r="J6" s="66">
        <f>K6-I6-H6-G6</f>
        <v/>
      </c>
      <c r="K6" s="65" t="n">
        <v>1280894</v>
      </c>
      <c r="L6" s="65" t="n">
        <v>306534</v>
      </c>
      <c r="M6" s="65" t="n">
        <v>714459</v>
      </c>
      <c r="N6" s="65" t="n">
        <v>701990</v>
      </c>
      <c r="O6" s="66">
        <f>P6-N6-M6-L6</f>
        <v/>
      </c>
      <c r="P6" s="65" t="n">
        <v>2422490</v>
      </c>
    </row>
    <row r="7">
      <c r="A7" s="64" t="inlineStr">
        <is>
          <t>Europe</t>
        </is>
      </c>
      <c r="B7" s="65" t="n">
        <v>8652</v>
      </c>
      <c r="C7" s="65" t="n">
        <v>11909</v>
      </c>
      <c r="D7" s="65" t="n">
        <v>11038</v>
      </c>
      <c r="E7" s="66">
        <f>F7-D7-C7-B7</f>
        <v/>
      </c>
      <c r="F7" s="65" t="n">
        <v>43722</v>
      </c>
      <c r="G7" s="65" t="n">
        <v>14142</v>
      </c>
      <c r="H7" s="65" t="n">
        <v>16684</v>
      </c>
      <c r="I7" s="65" t="n">
        <v>16243</v>
      </c>
      <c r="J7" s="66">
        <f>K7-I7-H7-G7</f>
        <v/>
      </c>
      <c r="K7" s="65" t="n">
        <v>61696</v>
      </c>
      <c r="L7" s="65" t="n">
        <v>18659</v>
      </c>
      <c r="M7" s="65" t="n">
        <v>18301</v>
      </c>
      <c r="N7" s="65" t="n">
        <v>17691</v>
      </c>
      <c r="O7" s="66">
        <f>P7-N7-M7-L7</f>
        <v/>
      </c>
      <c r="P7" s="65" t="n">
        <v>72544</v>
      </c>
    </row>
    <row r="8">
      <c r="A8" s="64" t="inlineStr">
        <is>
          <t>Asia-Pacific</t>
        </is>
      </c>
      <c r="B8" s="65" t="n">
        <v>1258</v>
      </c>
      <c r="C8" s="65" t="n">
        <v>1606</v>
      </c>
      <c r="D8" s="65" t="n">
        <v>1247</v>
      </c>
      <c r="E8" s="66">
        <f>F8-D8-C8-B8</f>
        <v/>
      </c>
      <c r="F8" s="65" t="n">
        <v>4755</v>
      </c>
      <c r="G8" s="65" t="n">
        <v>675</v>
      </c>
      <c r="H8" s="65" t="n">
        <v>860</v>
      </c>
      <c r="I8" s="65" t="n">
        <v>594</v>
      </c>
      <c r="J8" s="66">
        <f>K8-I8-H8-G8</f>
        <v/>
      </c>
      <c r="K8" s="65" t="n">
        <v>5658</v>
      </c>
      <c r="L8" s="65" t="n">
        <v>2244</v>
      </c>
      <c r="M8" s="65" t="n">
        <v>4381</v>
      </c>
      <c r="N8" s="65" t="n">
        <v>3518</v>
      </c>
      <c r="O8" s="66">
        <f>P8-N8-M8-L8</f>
        <v/>
      </c>
      <c r="P8" s="65" t="n">
        <v>12971</v>
      </c>
    </row>
    <row r="9">
      <c r="A9" s="64" t="inlineStr">
        <is>
          <t>Other</t>
        </is>
      </c>
      <c r="B9" s="65" t="n">
        <v>1477</v>
      </c>
      <c r="C9" s="65" t="n">
        <v>1553</v>
      </c>
      <c r="D9" s="65" t="n">
        <v>1294</v>
      </c>
      <c r="E9" s="66">
        <f>F9-D9-C9-B9</f>
        <v/>
      </c>
      <c r="F9" s="65" t="n">
        <v>6196</v>
      </c>
      <c r="G9" s="65" t="n">
        <v>1379</v>
      </c>
      <c r="H9" s="65" t="n">
        <v>2082</v>
      </c>
      <c r="I9" s="65" t="n">
        <v>1786</v>
      </c>
      <c r="J9" s="66">
        <f>K9-I9-H9-G9</f>
        <v/>
      </c>
      <c r="K9" s="65" t="n">
        <v>7382</v>
      </c>
      <c r="L9" s="65" t="n">
        <v>1839</v>
      </c>
      <c r="M9" s="65" t="n">
        <v>2118</v>
      </c>
      <c r="N9" s="65" t="n">
        <v>1907</v>
      </c>
      <c r="O9" s="66">
        <f>P9-N9-M9-L9</f>
        <v/>
      </c>
      <c r="P9" s="65" t="n">
        <v>1400</v>
      </c>
    </row>
    <row r="10">
      <c r="A10" s="68" t="inlineStr">
        <is>
          <t>Total Revenue</t>
        </is>
      </c>
      <c r="B10" s="69">
        <f>SUM(B6:B9)</f>
        <v/>
      </c>
      <c r="C10" s="69">
        <f>SUM(C6:C9)</f>
        <v/>
      </c>
      <c r="D10" s="69">
        <f>SUM(D6:D9)</f>
        <v/>
      </c>
      <c r="E10" s="69">
        <f>SUM(E6:E9)</f>
        <v/>
      </c>
      <c r="F10" s="69">
        <f>SUM(F6:F9)</f>
        <v/>
      </c>
      <c r="G10" s="69">
        <f>SUM(G6:G9)</f>
        <v/>
      </c>
      <c r="H10" s="69">
        <f>SUM(H6:H9)</f>
        <v/>
      </c>
      <c r="I10" s="69">
        <f>SUM(I6:I9)</f>
        <v/>
      </c>
      <c r="J10" s="69">
        <f>SUM(J6:J9)</f>
        <v/>
      </c>
      <c r="K10" s="69">
        <f>SUM(K6:K9)</f>
        <v/>
      </c>
      <c r="L10" s="69">
        <f>SUM(L6:L9)</f>
        <v/>
      </c>
      <c r="M10" s="69">
        <f>SUM(M6:M9)</f>
        <v/>
      </c>
      <c r="N10" s="69">
        <f>SUM(N6:N9)</f>
        <v/>
      </c>
      <c r="O10" s="69">
        <f>SUM(O6:O9)</f>
        <v/>
      </c>
      <c r="P10" s="69">
        <f>SUM(P6:P9)</f>
        <v/>
      </c>
    </row>
    <row r="13">
      <c r="A13" s="62" t="inlineStr">
        <is>
          <t>2. CUSTOMER CONCENTRATION -- % of single-period revenue (only customers &gt; 10% disclosed). Q4 NOT derivable from FY/9M %.</t>
        </is>
      </c>
    </row>
    <row r="14">
      <c r="A14" s="92" t="inlineStr">
        <is>
          <t>Metric</t>
        </is>
      </c>
      <c r="B14" s="63" t="inlineStr">
        <is>
          <t>Q1 2023</t>
        </is>
      </c>
      <c r="C14" s="63" t="inlineStr">
        <is>
          <t>Q2 2023</t>
        </is>
      </c>
      <c r="D14" s="63" t="inlineStr">
        <is>
          <t>Q3 2023</t>
        </is>
      </c>
      <c r="E14" s="93" t="inlineStr">
        <is>
          <t>Q4 2023</t>
        </is>
      </c>
      <c r="F14" s="94" t="inlineStr">
        <is>
          <t>FY2023</t>
        </is>
      </c>
      <c r="G14" s="63" t="inlineStr">
        <is>
          <t>Q1 2024</t>
        </is>
      </c>
      <c r="H14" s="63" t="inlineStr">
        <is>
          <t>Q2 2024</t>
        </is>
      </c>
      <c r="I14" s="63" t="inlineStr">
        <is>
          <t>Q3 2024</t>
        </is>
      </c>
      <c r="J14" s="93" t="inlineStr">
        <is>
          <t>Q4 2024</t>
        </is>
      </c>
      <c r="K14" s="94" t="inlineStr">
        <is>
          <t>FY2024</t>
        </is>
      </c>
      <c r="L14" s="63" t="inlineStr">
        <is>
          <t>Q1 2025</t>
        </is>
      </c>
      <c r="M14" s="63" t="inlineStr">
        <is>
          <t>Q2 2025</t>
        </is>
      </c>
      <c r="N14" s="63" t="inlineStr">
        <is>
          <t>Q3 2025</t>
        </is>
      </c>
      <c r="O14" s="93" t="inlineStr">
        <is>
          <t>Q4 2025</t>
        </is>
      </c>
      <c r="P14" s="94" t="inlineStr">
        <is>
          <t>FY2025</t>
        </is>
      </c>
      <c r="Q14" s="92" t="inlineStr">
        <is>
          <t>Notes</t>
        </is>
      </c>
    </row>
    <row r="15">
      <c r="A15" s="64" t="inlineStr">
        <is>
          <t>Pepsi</t>
        </is>
      </c>
      <c r="B15" s="72" t="n">
        <v>0.602</v>
      </c>
      <c r="C15" s="72" t="n">
        <v>0.5669999999999999</v>
      </c>
      <c r="D15" s="72" t="n">
        <v>0.646</v>
      </c>
      <c r="E15" s="74" t="inlineStr">
        <is>
          <t>n/d</t>
        </is>
      </c>
      <c r="F15" s="72" t="n">
        <v>0.594</v>
      </c>
      <c r="G15" s="72" t="n">
        <v>0.592</v>
      </c>
      <c r="H15" s="72" t="n">
        <v>0.529</v>
      </c>
      <c r="I15" s="72" t="n">
        <v>0.47</v>
      </c>
      <c r="J15" s="74" t="inlineStr">
        <is>
          <t>n/d</t>
        </is>
      </c>
      <c r="K15" s="72" t="n">
        <v>0.547</v>
      </c>
      <c r="L15" s="72" t="n">
        <v>0.576</v>
      </c>
      <c r="M15" s="72" t="n">
        <v>0.333</v>
      </c>
      <c r="N15" s="72" t="n">
        <v>0.354</v>
      </c>
      <c r="O15" s="74" t="inlineStr">
        <is>
          <t>n/d</t>
        </is>
      </c>
      <c r="P15" s="72" t="n">
        <v>0.432</v>
      </c>
    </row>
    <row r="16">
      <c r="A16" s="64" t="inlineStr">
        <is>
          <t>Costco</t>
        </is>
      </c>
      <c r="B16" s="72" t="n">
        <v>0.129</v>
      </c>
      <c r="C16" s="72" t="n">
        <v>0.13</v>
      </c>
      <c r="D16" s="72" t="n">
        <v>0.089</v>
      </c>
      <c r="E16" s="74" t="inlineStr">
        <is>
          <t>n/d</t>
        </is>
      </c>
      <c r="F16" s="72" t="n">
        <v>0.12</v>
      </c>
      <c r="G16" s="72" t="n">
        <v>0.102</v>
      </c>
      <c r="H16" s="72" t="n">
        <v>0.121</v>
      </c>
      <c r="I16" s="72" t="n">
        <v>0.149</v>
      </c>
      <c r="J16" s="74" t="inlineStr">
        <is>
          <t>n/d</t>
        </is>
      </c>
      <c r="K16" s="72" t="n">
        <v>0.116</v>
      </c>
      <c r="L16" s="72" t="n">
        <v>0.059</v>
      </c>
      <c r="M16" s="72" t="n">
        <v>0.117</v>
      </c>
      <c r="N16" s="72" t="n">
        <v>0.111</v>
      </c>
      <c r="O16" s="74" t="inlineStr">
        <is>
          <t>n/d</t>
        </is>
      </c>
      <c r="P16" s="72" t="n">
        <v>0.108</v>
      </c>
    </row>
    <row r="17">
      <c r="A17" s="64" t="inlineStr">
        <is>
          <t>Amazon</t>
        </is>
      </c>
      <c r="B17" s="72" t="n">
        <v>0.08400000000000001</v>
      </c>
      <c r="C17" s="74" t="inlineStr">
        <is>
          <t>n/d</t>
        </is>
      </c>
      <c r="D17" s="74" t="inlineStr">
        <is>
          <t>n/d</t>
        </is>
      </c>
      <c r="E17" s="74" t="inlineStr">
        <is>
          <t>n/d</t>
        </is>
      </c>
      <c r="F17" s="72" t="n">
        <v>0.076</v>
      </c>
      <c r="G17" s="74" t="inlineStr">
        <is>
          <t>n/d</t>
        </is>
      </c>
      <c r="H17" s="74" t="inlineStr">
        <is>
          <t>n/d</t>
        </is>
      </c>
      <c r="I17" s="72" t="n">
        <v>0.102</v>
      </c>
      <c r="J17" s="74" t="inlineStr">
        <is>
          <t>n/d</t>
        </is>
      </c>
      <c r="K17" s="74" t="inlineStr">
        <is>
          <t>n/d</t>
        </is>
      </c>
      <c r="L17" s="72" t="n">
        <v>0.121</v>
      </c>
      <c r="M17" s="74" t="inlineStr">
        <is>
          <t>n/d</t>
        </is>
      </c>
      <c r="N17" s="72" t="n">
        <v>0.055</v>
      </c>
      <c r="O17" s="74" t="inlineStr">
        <is>
          <t>n/d</t>
        </is>
      </c>
      <c r="P17" s="74" t="inlineStr">
        <is>
          <t>n/d</t>
        </is>
      </c>
    </row>
    <row r="18">
      <c r="A18" s="64" t="inlineStr">
        <is>
          <t>All others</t>
        </is>
      </c>
      <c r="B18" s="72" t="n">
        <v>0.185</v>
      </c>
      <c r="C18" s="72" t="n">
        <v>0.303</v>
      </c>
      <c r="D18" s="72" t="n">
        <v>0.265</v>
      </c>
      <c r="E18" s="74" t="inlineStr">
        <is>
          <t>n/d</t>
        </is>
      </c>
      <c r="F18" s="72" t="n">
        <v>0.21</v>
      </c>
      <c r="G18" s="72" t="n">
        <v>0.306</v>
      </c>
      <c r="H18" s="72" t="n">
        <v>0.35</v>
      </c>
      <c r="I18" s="72" t="n">
        <v>0.279</v>
      </c>
      <c r="J18" s="74" t="inlineStr">
        <is>
          <t>n/d</t>
        </is>
      </c>
      <c r="K18" s="72" t="n">
        <v>0.337</v>
      </c>
      <c r="L18" s="72" t="n">
        <v>0.244</v>
      </c>
      <c r="M18" s="72" t="n">
        <v>0.55</v>
      </c>
      <c r="N18" s="72" t="n">
        <v>0.48</v>
      </c>
      <c r="O18" s="74" t="inlineStr">
        <is>
          <t>n/d</t>
        </is>
      </c>
      <c r="P18" s="72" t="n">
        <v>0.46</v>
      </c>
    </row>
    <row r="19">
      <c r="A19" s="68" t="inlineStr">
        <is>
          <t>Total</t>
        </is>
      </c>
      <c r="B19" s="75">
        <f>SUM(B15:B18)</f>
        <v/>
      </c>
      <c r="C19" s="75">
        <f>SUM(C15:C18)</f>
        <v/>
      </c>
      <c r="D19" s="75">
        <f>SUM(D15:D18)</f>
        <v/>
      </c>
      <c r="E19" s="95" t="inlineStr">
        <is>
          <t>n/d</t>
        </is>
      </c>
      <c r="F19" s="75">
        <f>SUM(F15:F18)</f>
        <v/>
      </c>
      <c r="G19" s="75">
        <f>SUM(G15:G18)</f>
        <v/>
      </c>
      <c r="H19" s="75">
        <f>SUM(H15:H18)</f>
        <v/>
      </c>
      <c r="I19" s="75">
        <f>SUM(I15:I18)</f>
        <v/>
      </c>
      <c r="J19" s="95" t="inlineStr">
        <is>
          <t>n/d</t>
        </is>
      </c>
      <c r="K19" s="75">
        <f>SUM(K15:K18)</f>
        <v/>
      </c>
      <c r="L19" s="75">
        <f>SUM(L15:L18)</f>
        <v/>
      </c>
      <c r="M19" s="75">
        <f>SUM(M15:M18)</f>
        <v/>
      </c>
      <c r="N19" s="75">
        <f>SUM(N15:N18)</f>
        <v/>
      </c>
      <c r="O19" s="95" t="inlineStr">
        <is>
          <t>n/d</t>
        </is>
      </c>
      <c r="P19" s="75">
        <f>SUM(P15:P18)</f>
        <v/>
      </c>
    </row>
    <row r="22">
      <c r="A22" s="62" t="inlineStr">
        <is>
          <t>3. FUNCTIONAL ENERGY DRINK PRODUCT CONCENTRATION -- % of revenue. Q4 NOT derivable (percentages).</t>
        </is>
      </c>
    </row>
    <row r="23">
      <c r="A23" s="92" t="inlineStr">
        <is>
          <t>Metric</t>
        </is>
      </c>
      <c r="B23" s="63" t="inlineStr">
        <is>
          <t>Q1 2023</t>
        </is>
      </c>
      <c r="C23" s="63" t="inlineStr">
        <is>
          <t>Q2 2023</t>
        </is>
      </c>
      <c r="D23" s="63" t="inlineStr">
        <is>
          <t>Q3 2023</t>
        </is>
      </c>
      <c r="E23" s="93" t="inlineStr">
        <is>
          <t>Q4 2023</t>
        </is>
      </c>
      <c r="F23" s="94" t="inlineStr">
        <is>
          <t>FY2023</t>
        </is>
      </c>
      <c r="G23" s="63" t="inlineStr">
        <is>
          <t>Q1 2024</t>
        </is>
      </c>
      <c r="H23" s="63" t="inlineStr">
        <is>
          <t>Q2 2024</t>
        </is>
      </c>
      <c r="I23" s="63" t="inlineStr">
        <is>
          <t>Q3 2024</t>
        </is>
      </c>
      <c r="J23" s="93" t="inlineStr">
        <is>
          <t>Q4 2024</t>
        </is>
      </c>
      <c r="K23" s="94" t="inlineStr">
        <is>
          <t>FY2024</t>
        </is>
      </c>
      <c r="L23" s="63" t="inlineStr">
        <is>
          <t>Q1 2025</t>
        </is>
      </c>
      <c r="M23" s="63" t="inlineStr">
        <is>
          <t>Q2 2025</t>
        </is>
      </c>
      <c r="N23" s="63" t="inlineStr">
        <is>
          <t>Q3 2025</t>
        </is>
      </c>
      <c r="O23" s="93" t="inlineStr">
        <is>
          <t>Q4 2025</t>
        </is>
      </c>
      <c r="P23" s="94" t="inlineStr">
        <is>
          <t>FY2025</t>
        </is>
      </c>
      <c r="Q23" s="92" t="inlineStr">
        <is>
          <t>Notes</t>
        </is>
      </c>
    </row>
    <row r="24">
      <c r="A24" s="64" t="inlineStr">
        <is>
          <t>Single-Period %</t>
        </is>
      </c>
      <c r="E24" s="74" t="inlineStr">
        <is>
          <t>n/d</t>
        </is>
      </c>
      <c r="F24" s="72" t="n">
        <v>0.961</v>
      </c>
      <c r="I24" s="72" t="n">
        <v>0.945</v>
      </c>
      <c r="J24" s="74" t="inlineStr">
        <is>
          <t>n/d</t>
        </is>
      </c>
      <c r="K24" s="72" t="n">
        <v>0.953</v>
      </c>
      <c r="M24" s="72" t="n">
        <v>0.926</v>
      </c>
      <c r="N24" s="72" t="n">
        <v>0.95</v>
      </c>
      <c r="O24" s="74" t="inlineStr">
        <is>
          <t>n/d</t>
        </is>
      </c>
      <c r="P24" s="72" t="n">
        <v>0.929</v>
      </c>
    </row>
    <row r="25">
      <c r="A25" s="64" t="inlineStr">
        <is>
          <t>YTD %</t>
        </is>
      </c>
      <c r="E25" s="74" t="inlineStr">
        <is>
          <t>n/d</t>
        </is>
      </c>
      <c r="I25" s="72" t="n">
        <v>0.954</v>
      </c>
      <c r="J25" s="74" t="inlineStr">
        <is>
          <t>n/d</t>
        </is>
      </c>
      <c r="M25" s="72" t="n">
        <v>0.9350000000000001</v>
      </c>
      <c r="N25" s="72" t="n">
        <v>0.9409999999999999</v>
      </c>
      <c r="O25" s="74" t="inlineStr">
        <is>
          <t>n/d</t>
        </is>
      </c>
    </row>
    <row r="28">
      <c r="A28" s="62" t="inlineStr">
        <is>
          <t>4. BRAND CONTRIBUTION -- Revenue ($ thousands, 2025 only). Pre-2025 = 100% Celsius.</t>
        </is>
      </c>
    </row>
    <row r="29">
      <c r="A29" s="92" t="inlineStr">
        <is>
          <t>Metric</t>
        </is>
      </c>
      <c r="B29" s="63" t="inlineStr">
        <is>
          <t>Q1 2023</t>
        </is>
      </c>
      <c r="C29" s="63" t="inlineStr">
        <is>
          <t>Q2 2023</t>
        </is>
      </c>
      <c r="D29" s="63" t="inlineStr">
        <is>
          <t>Q3 2023</t>
        </is>
      </c>
      <c r="E29" s="93" t="inlineStr">
        <is>
          <t>Q4 2023</t>
        </is>
      </c>
      <c r="F29" s="94" t="inlineStr">
        <is>
          <t>FY2023</t>
        </is>
      </c>
      <c r="G29" s="63" t="inlineStr">
        <is>
          <t>Q1 2024</t>
        </is>
      </c>
      <c r="H29" s="63" t="inlineStr">
        <is>
          <t>Q2 2024</t>
        </is>
      </c>
      <c r="I29" s="63" t="inlineStr">
        <is>
          <t>Q3 2024</t>
        </is>
      </c>
      <c r="J29" s="93" t="inlineStr">
        <is>
          <t>Q4 2024</t>
        </is>
      </c>
      <c r="K29" s="94" t="inlineStr">
        <is>
          <t>FY2024</t>
        </is>
      </c>
      <c r="L29" s="63" t="inlineStr">
        <is>
          <t>Q1 2025</t>
        </is>
      </c>
      <c r="M29" s="63" t="inlineStr">
        <is>
          <t>Q2 2025</t>
        </is>
      </c>
      <c r="N29" s="63" t="inlineStr">
        <is>
          <t>Q3 2025</t>
        </is>
      </c>
      <c r="O29" s="93" t="inlineStr">
        <is>
          <t>Q4 2025</t>
        </is>
      </c>
      <c r="P29" s="94" t="inlineStr">
        <is>
          <t>FY2025</t>
        </is>
      </c>
      <c r="Q29" s="92" t="inlineStr">
        <is>
          <t>Notes</t>
        </is>
      </c>
    </row>
    <row r="30">
      <c r="A30" s="64" t="inlineStr">
        <is>
          <t>Celsius (residual)</t>
        </is>
      </c>
      <c r="L30" s="66">
        <f>L10-L31-L32</f>
        <v/>
      </c>
      <c r="M30" s="66">
        <f>M10-M31-M32</f>
        <v/>
      </c>
      <c r="N30" s="66">
        <f>N10-N31-N32</f>
        <v/>
      </c>
      <c r="O30" s="66">
        <f>O10-O31-O32</f>
        <v/>
      </c>
      <c r="P30" s="66">
        <f>P10-P31-P32</f>
        <v/>
      </c>
    </row>
    <row r="31">
      <c r="A31" s="64" t="inlineStr">
        <is>
          <t>Alani Nu</t>
        </is>
      </c>
      <c r="L31" s="65" t="n">
        <v>0</v>
      </c>
      <c r="M31" s="65" t="n">
        <v>301200</v>
      </c>
      <c r="N31" s="65" t="n">
        <v>332000</v>
      </c>
      <c r="O31" s="66">
        <f>P31-L31-M31-N31</f>
        <v/>
      </c>
      <c r="P31" s="65" t="n">
        <v>1001900</v>
      </c>
    </row>
    <row r="32">
      <c r="A32" s="64" t="inlineStr">
        <is>
          <t>Rockstar</t>
        </is>
      </c>
      <c r="L32" s="65" t="n">
        <v>0</v>
      </c>
      <c r="M32" s="65" t="n">
        <v>0</v>
      </c>
      <c r="N32" s="65" t="n">
        <v>12200</v>
      </c>
      <c r="O32" s="66">
        <f>P32-L32-M32-N32</f>
        <v/>
      </c>
      <c r="P32" s="65" t="n">
        <v>55600</v>
      </c>
    </row>
    <row r="33">
      <c r="A33" s="68" t="inlineStr">
        <is>
          <t>Total Revenue (link)</t>
        </is>
      </c>
      <c r="L33" s="69">
        <f>L10</f>
        <v/>
      </c>
      <c r="M33" s="69">
        <f>M10</f>
        <v/>
      </c>
      <c r="N33" s="69">
        <f>N10</f>
        <v/>
      </c>
      <c r="O33" s="69">
        <f>O10</f>
        <v/>
      </c>
      <c r="P33" s="69">
        <f>P10</f>
        <v/>
      </c>
    </row>
    <row r="34">
      <c r="A34" s="64" t="inlineStr">
        <is>
          <t>% Alani of Revenue</t>
        </is>
      </c>
      <c r="L34" s="73">
        <f>IFERROR(L31/L33, 0)</f>
        <v/>
      </c>
      <c r="M34" s="73">
        <f>IFERROR(M31/M33, 0)</f>
        <v/>
      </c>
      <c r="N34" s="73">
        <f>IFERROR(N31/N33, 0)</f>
        <v/>
      </c>
      <c r="O34" s="73">
        <f>IFERROR(O31/O33, 0)</f>
        <v/>
      </c>
      <c r="P34" s="73">
        <f>IFERROR(P31/P33, 0)</f>
        <v/>
      </c>
    </row>
    <row r="37">
      <c r="A37" s="62" t="inlineStr">
        <is>
          <t>5. PRO FORMA vs AS-REPORTED -- Revenue ($ thousands). Pro forma = as if both Alani + Rockstar acquisitions closed Jan 1, 2024.</t>
        </is>
      </c>
    </row>
    <row r="38">
      <c r="A38" s="92" t="inlineStr">
        <is>
          <t>Metric</t>
        </is>
      </c>
      <c r="B38" s="63" t="inlineStr">
        <is>
          <t>Q3 2024</t>
        </is>
      </c>
      <c r="C38" s="63" t="inlineStr">
        <is>
          <t>Q3 2025</t>
        </is>
      </c>
      <c r="D38" s="63" t="inlineStr">
        <is>
          <t>9M 2024</t>
        </is>
      </c>
      <c r="E38" s="63" t="inlineStr">
        <is>
          <t>9M 2025</t>
        </is>
      </c>
      <c r="F38" s="94" t="inlineStr">
        <is>
          <t>FY2024</t>
        </is>
      </c>
      <c r="G38" s="94" t="inlineStr">
        <is>
          <t>FY2025</t>
        </is>
      </c>
    </row>
    <row r="39">
      <c r="A39" s="64" t="inlineStr">
        <is>
          <t>As-Reported Revenue</t>
        </is>
      </c>
      <c r="B39" s="65" t="n">
        <v>265748</v>
      </c>
      <c r="C39" s="65" t="n">
        <v>725106</v>
      </c>
      <c r="D39" s="65" t="n">
        <v>1023433</v>
      </c>
      <c r="E39" s="65" t="n">
        <v>1793641</v>
      </c>
      <c r="F39" s="65" t="n">
        <v>1355630</v>
      </c>
      <c r="G39" s="65" t="n">
        <v>2515269</v>
      </c>
    </row>
    <row r="40">
      <c r="A40" s="64" t="inlineStr">
        <is>
          <t>Pro Forma Revenue</t>
        </is>
      </c>
      <c r="B40" s="65" t="n">
        <v>513912</v>
      </c>
      <c r="C40" s="65" t="n">
        <v>798496</v>
      </c>
      <c r="D40" s="65" t="n">
        <v>1737287</v>
      </c>
      <c r="E40" s="65" t="n">
        <v>2271993</v>
      </c>
      <c r="F40" s="65" t="n">
        <v>2317965</v>
      </c>
      <c r="G40" s="65" t="n">
        <v>3003677</v>
      </c>
    </row>
    <row r="41">
      <c r="A41" s="64" t="inlineStr">
        <is>
          <t>Implied "Missing"</t>
        </is>
      </c>
      <c r="B41" s="66">
        <f>B40-B39</f>
        <v/>
      </c>
      <c r="C41" s="66">
        <f>C40-C39</f>
        <v/>
      </c>
      <c r="D41" s="66">
        <f>D40-D39</f>
        <v/>
      </c>
      <c r="E41" s="66">
        <f>E40-E39</f>
        <v/>
      </c>
      <c r="F41" s="66">
        <f>F40-F39</f>
        <v/>
      </c>
      <c r="G41" s="66">
        <f>G40-G39</f>
        <v/>
      </c>
    </row>
    <row r="42">
      <c r="A42" s="64" t="inlineStr">
        <is>
          <t>Pro Forma Y/Y %</t>
        </is>
      </c>
      <c r="C42" s="73">
        <f>C40/B40-1</f>
        <v/>
      </c>
      <c r="E42" s="73">
        <f>E40/D40-1</f>
        <v/>
      </c>
      <c r="G42" s="73">
        <f>G40/F40-1</f>
        <v/>
      </c>
    </row>
    <row r="45">
      <c r="A45" s="62" t="inlineStr">
        <is>
          <t>6. SG&amp;A WALK -- $ thousands. Driver Δ rows are period-over-period change. Q4 columns derived from FY - 9M (CELH does not publish Q4 walks).</t>
        </is>
      </c>
    </row>
    <row r="46">
      <c r="A46" s="92" t="inlineStr">
        <is>
          <t>Metric</t>
        </is>
      </c>
      <c r="B46" s="63" t="inlineStr">
        <is>
          <t>Q1 2023</t>
        </is>
      </c>
      <c r="C46" s="63" t="inlineStr">
        <is>
          <t>Q2 2023</t>
        </is>
      </c>
      <c r="D46" s="63" t="inlineStr">
        <is>
          <t>Q3 2023</t>
        </is>
      </c>
      <c r="E46" s="93" t="inlineStr">
        <is>
          <t>Q4 2023</t>
        </is>
      </c>
      <c r="F46" s="94" t="inlineStr">
        <is>
          <t>FY2023</t>
        </is>
      </c>
      <c r="G46" s="63" t="inlineStr">
        <is>
          <t>Q1 2024</t>
        </is>
      </c>
      <c r="H46" s="63" t="inlineStr">
        <is>
          <t>Q2 2024</t>
        </is>
      </c>
      <c r="I46" s="63" t="inlineStr">
        <is>
          <t>Q3 2024</t>
        </is>
      </c>
      <c r="J46" s="93" t="inlineStr">
        <is>
          <t>Q4 2024</t>
        </is>
      </c>
      <c r="K46" s="94" t="inlineStr">
        <is>
          <t>FY2024</t>
        </is>
      </c>
      <c r="L46" s="63" t="inlineStr">
        <is>
          <t>Q1 2025</t>
        </is>
      </c>
      <c r="M46" s="63" t="inlineStr">
        <is>
          <t>Q2 2025</t>
        </is>
      </c>
      <c r="N46" s="63" t="inlineStr">
        <is>
          <t>Q3 2025</t>
        </is>
      </c>
      <c r="O46" s="93" t="inlineStr">
        <is>
          <t>Q4 2025</t>
        </is>
      </c>
      <c r="P46" s="94" t="inlineStr">
        <is>
          <t>FY2025</t>
        </is>
      </c>
      <c r="Q46" s="92" t="inlineStr">
        <is>
          <t>Notes</t>
        </is>
      </c>
    </row>
    <row r="47">
      <c r="A47" s="92" t="inlineStr">
        <is>
          <t>Total SG&amp;A</t>
        </is>
      </c>
      <c r="B47" s="96" t="n">
        <v>68900</v>
      </c>
      <c r="C47" s="96" t="n">
        <v>94200</v>
      </c>
      <c r="D47" s="96" t="n">
        <v>96400</v>
      </c>
      <c r="E47" s="97">
        <f>F47-D47-C47-B47</f>
        <v/>
      </c>
      <c r="F47" s="96" t="n">
        <v>366800</v>
      </c>
      <c r="G47" s="96" t="n">
        <v>99000</v>
      </c>
      <c r="H47" s="96" t="n">
        <v>114900</v>
      </c>
      <c r="I47" s="96" t="n">
        <v>125400</v>
      </c>
      <c r="J47" s="97">
        <f>K47-I47-H47-G47</f>
        <v/>
      </c>
      <c r="K47" s="96" t="n">
        <v>524500</v>
      </c>
      <c r="L47" s="96" t="n">
        <v>120300</v>
      </c>
      <c r="M47" s="96" t="n">
        <v>237900</v>
      </c>
      <c r="N47" s="96" t="n">
        <v>205600</v>
      </c>
      <c r="O47" s="97">
        <f>P47-N47-M47-L47</f>
        <v/>
      </c>
      <c r="P47" s="96" t="n">
        <v>798800</v>
      </c>
    </row>
    <row r="48">
      <c r="A48" s="64" t="inlineStr">
        <is>
          <t>YoY Total Δ</t>
        </is>
      </c>
      <c r="G48" s="66">
        <f>G47-B47</f>
        <v/>
      </c>
      <c r="H48" s="66">
        <f>H47-C47</f>
        <v/>
      </c>
      <c r="I48" s="66">
        <f>I47-D47</f>
        <v/>
      </c>
      <c r="J48" s="66">
        <f>J47-E47</f>
        <v/>
      </c>
      <c r="K48" s="66">
        <f>K47-F47</f>
        <v/>
      </c>
      <c r="L48" s="66">
        <f>L47-G47</f>
        <v/>
      </c>
      <c r="M48" s="66">
        <f>M47-H47</f>
        <v/>
      </c>
      <c r="N48" s="66">
        <f>N47-I47</f>
        <v/>
      </c>
      <c r="O48" s="66">
        <f>O47-J47</f>
        <v/>
      </c>
      <c r="P48" s="66">
        <f>P47-K47</f>
        <v/>
      </c>
    </row>
    <row r="49">
      <c r="A49" s="64" t="inlineStr">
        <is>
          <t>Marketing Δ</t>
        </is>
      </c>
      <c r="B49" s="65" t="n">
        <v>16500</v>
      </c>
      <c r="C49" s="65" t="n">
        <v>21700</v>
      </c>
      <c r="D49" s="65" t="n">
        <v>21200</v>
      </c>
      <c r="E49" s="65" t="n">
        <v>15700</v>
      </c>
      <c r="F49" s="65" t="n">
        <v>75000</v>
      </c>
      <c r="G49" s="65" t="n">
        <v>14400</v>
      </c>
      <c r="H49" s="65" t="n">
        <v>22900</v>
      </c>
      <c r="I49" s="65" t="n">
        <v>17500</v>
      </c>
      <c r="J49" s="65" t="n">
        <v>5500</v>
      </c>
      <c r="K49" s="65" t="n">
        <v>61500</v>
      </c>
      <c r="L49" s="65" t="n">
        <v>2800</v>
      </c>
      <c r="M49" s="65" t="n">
        <v>17500</v>
      </c>
      <c r="N49" s="65" t="n">
        <v>17800</v>
      </c>
      <c r="O49" s="65" t="n">
        <v>38500</v>
      </c>
      <c r="P49" s="65" t="n">
        <v>76600</v>
      </c>
    </row>
    <row r="50">
      <c r="A50" s="64" t="inlineStr">
        <is>
          <t>Storage/Distrib Δ</t>
        </is>
      </c>
      <c r="B50" s="65" t="n">
        <v>-3000</v>
      </c>
      <c r="C50" s="65" t="n">
        <v>3000</v>
      </c>
      <c r="D50" s="65" t="n">
        <v>2200</v>
      </c>
      <c r="E50" s="65" t="n">
        <v>12100</v>
      </c>
      <c r="F50" s="65" t="n">
        <v>12100</v>
      </c>
      <c r="G50" s="65" t="n">
        <v>4500</v>
      </c>
    </row>
    <row r="51">
      <c r="A51" s="64" t="inlineStr">
        <is>
          <t>Employee Δ</t>
        </is>
      </c>
      <c r="B51" s="65" t="n">
        <v>3600</v>
      </c>
      <c r="C51" s="65" t="n">
        <v>1800</v>
      </c>
      <c r="D51" s="65" t="n">
        <v>3900</v>
      </c>
      <c r="E51" s="65" t="n">
        <v>4100</v>
      </c>
      <c r="F51" s="65" t="n">
        <v>13400</v>
      </c>
      <c r="G51" s="65" t="n">
        <v>7600</v>
      </c>
      <c r="H51" s="65" t="n">
        <v>9700</v>
      </c>
      <c r="I51" s="65" t="n">
        <v>9300</v>
      </c>
      <c r="J51" s="65" t="n">
        <v>8900</v>
      </c>
      <c r="K51" s="65" t="n">
        <v>35500</v>
      </c>
      <c r="L51" s="65" t="n">
        <v>4900</v>
      </c>
      <c r="M51" s="65" t="n">
        <v>7900</v>
      </c>
      <c r="N51" s="65" t="n">
        <v>4800</v>
      </c>
      <c r="O51" s="65" t="n">
        <v>13200</v>
      </c>
      <c r="P51" s="65" t="n">
        <v>29100</v>
      </c>
    </row>
    <row r="52">
      <c r="A52" s="64" t="inlineStr">
        <is>
          <t>G&amp;A/Admin Δ</t>
        </is>
      </c>
      <c r="B52" s="65" t="n">
        <v>5500</v>
      </c>
      <c r="C52" s="65" t="n">
        <v>15000</v>
      </c>
      <c r="D52" s="65" t="n">
        <v>-6300</v>
      </c>
      <c r="E52" s="65" t="n">
        <v>3900</v>
      </c>
      <c r="F52" s="65" t="n">
        <v>18000</v>
      </c>
      <c r="G52" s="65" t="n">
        <v>2800</v>
      </c>
      <c r="H52" s="65" t="n">
        <v>-10400</v>
      </c>
      <c r="L52" s="65" t="n">
        <v>12100</v>
      </c>
      <c r="M52" s="65" t="n">
        <v>16800</v>
      </c>
      <c r="N52" s="65" t="n">
        <v>4500</v>
      </c>
      <c r="O52" s="65" t="n">
        <v>-4400</v>
      </c>
      <c r="P52" s="65" t="n">
        <v>7600</v>
      </c>
    </row>
    <row r="53">
      <c r="A53" s="64" t="inlineStr">
        <is>
          <t>Stock Comp Δ</t>
        </is>
      </c>
      <c r="B53" s="65" t="n">
        <v>1200</v>
      </c>
      <c r="C53" s="65" t="n">
        <v>1500</v>
      </c>
      <c r="D53" s="65" t="n">
        <v>-1300</v>
      </c>
      <c r="E53" s="65" t="n">
        <v>-800</v>
      </c>
      <c r="F53" s="65" t="n">
        <v>600</v>
      </c>
      <c r="G53" s="65" t="n">
        <v>-1900</v>
      </c>
      <c r="H53" s="65" t="n">
        <v>-1000</v>
      </c>
    </row>
    <row r="54">
      <c r="A54" s="64" t="inlineStr">
        <is>
          <t>Distributor Term Δ</t>
        </is>
      </c>
      <c r="D54" s="65" t="n">
        <v>-149500</v>
      </c>
      <c r="E54" s="65" t="n">
        <v>-39400</v>
      </c>
      <c r="F54" s="65" t="n">
        <v>-181000</v>
      </c>
    </row>
    <row r="55">
      <c r="A55" s="64" t="inlineStr">
        <is>
          <t>Alani-attributable Δ</t>
        </is>
      </c>
      <c r="M55" s="65" t="n">
        <v>45500</v>
      </c>
      <c r="N55" s="65" t="n">
        <v>31800</v>
      </c>
      <c r="O55" s="65" t="n">
        <v>41100</v>
      </c>
      <c r="P55" s="65" t="n">
        <v>118400</v>
      </c>
    </row>
    <row r="56">
      <c r="A56" s="64" t="inlineStr">
        <is>
          <t>Acquisition/Integration Δ</t>
        </is>
      </c>
      <c r="M56" s="65" t="n">
        <v>16000</v>
      </c>
      <c r="N56" s="65" t="n">
        <v>15300</v>
      </c>
      <c r="O56" s="65" t="n">
        <v>4500</v>
      </c>
      <c r="P56" s="65" t="n">
        <v>44900</v>
      </c>
    </row>
    <row r="57">
      <c r="A57" s="64" t="inlineStr">
        <is>
          <t>Contingent Consid Δ</t>
        </is>
      </c>
      <c r="M57" s="65" t="n">
        <v>13800</v>
      </c>
      <c r="P57" s="65" t="n">
        <v>13800</v>
      </c>
    </row>
    <row r="58">
      <c r="A58" s="64" t="inlineStr">
        <is>
          <t>Legal Accrual Δ</t>
        </is>
      </c>
      <c r="J58" s="65" t="n">
        <v>52800</v>
      </c>
      <c r="K58" s="65" t="n">
        <v>52800</v>
      </c>
      <c r="O58" s="65" t="n">
        <v>-46000</v>
      </c>
      <c r="P58" s="65" t="n">
        <v>-46000</v>
      </c>
    </row>
    <row r="59">
      <c r="A59" s="64" t="inlineStr">
        <is>
          <t>Other Δ</t>
        </is>
      </c>
      <c r="B59" s="65" t="n">
        <v>1400</v>
      </c>
      <c r="C59" s="65" t="n">
        <v>4300</v>
      </c>
      <c r="G59" s="65" t="n">
        <v>2700</v>
      </c>
      <c r="H59" s="65" t="n">
        <v>-500</v>
      </c>
      <c r="I59" s="65" t="n">
        <v>2200</v>
      </c>
      <c r="J59" s="65" t="n">
        <v>23100</v>
      </c>
      <c r="K59" s="65" t="n">
        <v>20300</v>
      </c>
      <c r="L59" s="65" t="n">
        <v>1500</v>
      </c>
      <c r="N59" s="65" t="n">
        <v>6000</v>
      </c>
      <c r="O59" s="65" t="n">
        <v>19300</v>
      </c>
      <c r="P59" s="65" t="n">
        <v>29900</v>
      </c>
    </row>
    <row r="60">
      <c r="A60" s="64" t="inlineStr">
        <is>
          <t>Other (offset) Δ</t>
        </is>
      </c>
      <c r="J60" s="65" t="n">
        <v>-12400</v>
      </c>
      <c r="K60" s="65" t="n">
        <v>-12400</v>
      </c>
      <c r="O60" s="65" t="n">
        <v>-16400</v>
      </c>
    </row>
    <row r="61">
      <c r="A61" s="98" t="inlineStr">
        <is>
          <t>Σ Buckets (check)</t>
        </is>
      </c>
      <c r="B61" s="66">
        <f>SUM(B49:B60)</f>
        <v/>
      </c>
      <c r="C61" s="66">
        <f>SUM(C49:C60)</f>
        <v/>
      </c>
      <c r="D61" s="66">
        <f>SUM(D49:D60)</f>
        <v/>
      </c>
      <c r="E61" s="66">
        <f>SUM(E49:E60)</f>
        <v/>
      </c>
      <c r="F61" s="66">
        <f>SUM(F49:F60)</f>
        <v/>
      </c>
      <c r="G61" s="66">
        <f>SUM(G49:G60)</f>
        <v/>
      </c>
      <c r="H61" s="66">
        <f>SUM(H49:H60)</f>
        <v/>
      </c>
      <c r="I61" s="66">
        <f>SUM(I49:I60)</f>
        <v/>
      </c>
      <c r="J61" s="66">
        <f>SUM(J49:J60)</f>
        <v/>
      </c>
      <c r="K61" s="66">
        <f>SUM(K49:K60)</f>
        <v/>
      </c>
      <c r="L61" s="66">
        <f>SUM(L49:L60)</f>
        <v/>
      </c>
      <c r="M61" s="66">
        <f>SUM(M49:M60)</f>
        <v/>
      </c>
      <c r="N61" s="66">
        <f>SUM(N49:N60)</f>
        <v/>
      </c>
      <c r="O61" s="66">
        <f>SUM(O49:O60)</f>
        <v/>
      </c>
      <c r="P61" s="66">
        <f>SUM(P49:P60)</f>
        <v/>
      </c>
    </row>
    <row r="63">
      <c r="A63" s="92" t="inlineStr">
        <is>
          <t>Distributor Term Fees (IS line)</t>
        </is>
      </c>
      <c r="N63" s="96" t="n">
        <v>246700</v>
      </c>
      <c r="O63" s="66">
        <f>P63-N63-0-0</f>
        <v/>
      </c>
      <c r="P63" s="96" t="n">
        <v>327500</v>
      </c>
    </row>
    <row r="66">
      <c r="A66" s="62" t="inlineStr">
        <is>
          <t>7. GROSS PROFIT &amp; MARGIN -- $ thousands + %. Drivers are qualitative (CELH does NOT disclose $ bridges for GP).</t>
        </is>
      </c>
    </row>
    <row r="67">
      <c r="A67" s="92" t="inlineStr">
        <is>
          <t>Metric</t>
        </is>
      </c>
      <c r="B67" s="63" t="inlineStr">
        <is>
          <t>Q1 2023</t>
        </is>
      </c>
      <c r="C67" s="63" t="inlineStr">
        <is>
          <t>Q2 2023</t>
        </is>
      </c>
      <c r="D67" s="63" t="inlineStr">
        <is>
          <t>Q3 2023</t>
        </is>
      </c>
      <c r="E67" s="93" t="inlineStr">
        <is>
          <t>Q4 2023</t>
        </is>
      </c>
      <c r="F67" s="94" t="inlineStr">
        <is>
          <t>FY2023</t>
        </is>
      </c>
      <c r="G67" s="63" t="inlineStr">
        <is>
          <t>Q1 2024</t>
        </is>
      </c>
      <c r="H67" s="63" t="inlineStr">
        <is>
          <t>Q2 2024</t>
        </is>
      </c>
      <c r="I67" s="63" t="inlineStr">
        <is>
          <t>Q3 2024</t>
        </is>
      </c>
      <c r="J67" s="93" t="inlineStr">
        <is>
          <t>Q4 2024</t>
        </is>
      </c>
      <c r="K67" s="94" t="inlineStr">
        <is>
          <t>FY2024</t>
        </is>
      </c>
      <c r="L67" s="63" t="inlineStr">
        <is>
          <t>Q1 2025</t>
        </is>
      </c>
      <c r="M67" s="63" t="inlineStr">
        <is>
          <t>Q2 2025</t>
        </is>
      </c>
      <c r="N67" s="63" t="inlineStr">
        <is>
          <t>Q3 2025</t>
        </is>
      </c>
      <c r="O67" s="93" t="inlineStr">
        <is>
          <t>Q4 2025</t>
        </is>
      </c>
      <c r="P67" s="94" t="inlineStr">
        <is>
          <t>FY2025</t>
        </is>
      </c>
      <c r="Q67" s="92" t="inlineStr">
        <is>
          <t>Notes</t>
        </is>
      </c>
    </row>
    <row r="68">
      <c r="A68" s="64" t="inlineStr">
        <is>
          <t>Gross Profit $</t>
        </is>
      </c>
      <c r="B68" s="65" t="n">
        <v>113800</v>
      </c>
      <c r="C68" s="65" t="n">
        <v>159000</v>
      </c>
      <c r="D68" s="65" t="n">
        <v>194100</v>
      </c>
      <c r="E68" s="66">
        <f>F68-D68-C68-B68</f>
        <v/>
      </c>
      <c r="F68" s="65" t="n">
        <v>633100</v>
      </c>
      <c r="G68" s="65" t="n">
        <v>182200</v>
      </c>
      <c r="H68" s="65" t="n">
        <v>209100</v>
      </c>
      <c r="I68" s="65" t="n">
        <v>122200</v>
      </c>
      <c r="J68" s="66">
        <f>K68-I68-H68-G68</f>
        <v/>
      </c>
      <c r="K68" s="65" t="n">
        <v>680200</v>
      </c>
      <c r="L68" s="65" t="n">
        <v>172400</v>
      </c>
      <c r="M68" s="65" t="n">
        <v>380900</v>
      </c>
      <c r="N68" s="65" t="n">
        <v>372300</v>
      </c>
      <c r="O68" s="66">
        <f>P68-N68-M68-L68</f>
        <v/>
      </c>
      <c r="P68" s="65" t="n">
        <v>1267300</v>
      </c>
    </row>
    <row r="69">
      <c r="A69" s="92" t="inlineStr">
        <is>
          <t>GP Margin %</t>
        </is>
      </c>
      <c r="B69" s="99">
        <f>IFERROR(B68/B10, 0)</f>
        <v/>
      </c>
      <c r="C69" s="99">
        <f>IFERROR(C68/C10, 0)</f>
        <v/>
      </c>
      <c r="D69" s="99">
        <f>IFERROR(D68/D10, 0)</f>
        <v/>
      </c>
      <c r="E69" s="99">
        <f>IFERROR(E68/E10, 0)</f>
        <v/>
      </c>
      <c r="F69" s="99">
        <f>IFERROR(F68/F10, 0)</f>
        <v/>
      </c>
      <c r="G69" s="99">
        <f>IFERROR(G68/G10, 0)</f>
        <v/>
      </c>
      <c r="H69" s="99">
        <f>IFERROR(H68/H10, 0)</f>
        <v/>
      </c>
      <c r="I69" s="99">
        <f>IFERROR(I68/I10, 0)</f>
        <v/>
      </c>
      <c r="J69" s="99">
        <f>IFERROR(J68/J10, 0)</f>
        <v/>
      </c>
      <c r="K69" s="99">
        <f>IFERROR(K68/K10, 0)</f>
        <v/>
      </c>
      <c r="L69" s="99">
        <f>IFERROR(L68/L10, 0)</f>
        <v/>
      </c>
      <c r="M69" s="99">
        <f>IFERROR(M68/M10, 0)</f>
        <v/>
      </c>
      <c r="N69" s="99">
        <f>IFERROR(N68/N10, 0)</f>
        <v/>
      </c>
      <c r="O69" s="99">
        <f>IFERROR(O68/O10, 0)</f>
        <v/>
      </c>
      <c r="P69" s="99">
        <f>IFERROR(P68/P10, 0)</f>
        <v/>
      </c>
    </row>
    <row r="70">
      <c r="A70" s="64" t="inlineStr">
        <is>
          <t>YoY Δ pts</t>
        </is>
      </c>
      <c r="G70" s="73">
        <f>G69-B69</f>
        <v/>
      </c>
      <c r="H70" s="73">
        <f>H69-C69</f>
        <v/>
      </c>
      <c r="I70" s="73">
        <f>I69-D69</f>
        <v/>
      </c>
      <c r="J70" s="73">
        <f>J69-E69</f>
        <v/>
      </c>
      <c r="K70" s="73">
        <f>K69-F69</f>
        <v/>
      </c>
      <c r="L70" s="73">
        <f>L69-G69</f>
        <v/>
      </c>
      <c r="M70" s="73">
        <f>M69-H69</f>
        <v/>
      </c>
      <c r="N70" s="73">
        <f>N69-I69</f>
        <v/>
      </c>
      <c r="O70" s="73">
        <f>O69-J69</f>
        <v/>
      </c>
      <c r="P70" s="73">
        <f>P69-K69</f>
        <v/>
      </c>
    </row>
    <row r="71">
      <c r="A71" s="64" t="inlineStr">
        <is>
          <t>Raw Mat / Pkg</t>
        </is>
      </c>
      <c r="B71" s="88" t="inlineStr">
        <is>
          <t>+</t>
        </is>
      </c>
      <c r="C71" s="88" t="inlineStr">
        <is>
          <t>+</t>
        </is>
      </c>
      <c r="D71" s="88" t="inlineStr">
        <is>
          <t>+</t>
        </is>
      </c>
      <c r="F71" s="88" t="inlineStr">
        <is>
          <t>+</t>
        </is>
      </c>
      <c r="G71" s="88" t="inlineStr">
        <is>
          <t>+</t>
        </is>
      </c>
      <c r="H71" s="88" t="inlineStr">
        <is>
          <t>+</t>
        </is>
      </c>
      <c r="I71" s="88" t="inlineStr">
        <is>
          <t>+</t>
        </is>
      </c>
      <c r="K71" s="88" t="inlineStr">
        <is>
          <t>+</t>
        </is>
      </c>
      <c r="L71" s="88" t="inlineStr">
        <is>
          <t>+</t>
        </is>
      </c>
      <c r="M71" s="88" t="inlineStr">
        <is>
          <t>+</t>
        </is>
      </c>
      <c r="N71" s="88" t="inlineStr">
        <is>
          <t>+</t>
        </is>
      </c>
      <c r="P71" s="88" t="inlineStr">
        <is>
          <t>+</t>
        </is>
      </c>
    </row>
    <row r="72">
      <c r="A72" s="64" t="inlineStr">
        <is>
          <t>Promo Spend</t>
        </is>
      </c>
      <c r="D72" s="88" t="inlineStr">
        <is>
          <t>+</t>
        </is>
      </c>
      <c r="I72" s="89" t="inlineStr">
        <is>
          <t>-</t>
        </is>
      </c>
      <c r="K72" s="89" t="inlineStr">
        <is>
          <t>-</t>
        </is>
      </c>
      <c r="L72" s="89" t="inlineStr">
        <is>
          <t>-</t>
        </is>
      </c>
      <c r="N72" s="88" t="inlineStr">
        <is>
          <t>+</t>
        </is>
      </c>
      <c r="P72" s="88" t="inlineStr">
        <is>
          <t>+</t>
        </is>
      </c>
    </row>
    <row r="73">
      <c r="A73" s="64" t="inlineStr">
        <is>
          <t>Freight</t>
        </is>
      </c>
      <c r="B73" s="89" t="inlineStr">
        <is>
          <t>-</t>
        </is>
      </c>
      <c r="C73" s="88" t="inlineStr">
        <is>
          <t>+</t>
        </is>
      </c>
      <c r="D73" s="88" t="inlineStr">
        <is>
          <t>+</t>
        </is>
      </c>
      <c r="G73" s="88" t="inlineStr">
        <is>
          <t>+</t>
        </is>
      </c>
      <c r="H73" s="88" t="inlineStr">
        <is>
          <t>+</t>
        </is>
      </c>
      <c r="I73" s="88" t="inlineStr">
        <is>
          <t>+</t>
        </is>
      </c>
      <c r="K73" s="88" t="inlineStr">
        <is>
          <t>+</t>
        </is>
      </c>
    </row>
    <row r="74">
      <c r="A74" s="64" t="inlineStr">
        <is>
          <t>Channel/Pack Mix</t>
        </is>
      </c>
      <c r="B74" s="88" t="inlineStr">
        <is>
          <t>+</t>
        </is>
      </c>
      <c r="M74" s="88" t="inlineStr">
        <is>
          <t>+</t>
        </is>
      </c>
      <c r="N74" s="88" t="inlineStr">
        <is>
          <t>+</t>
        </is>
      </c>
      <c r="P74" s="88" t="inlineStr">
        <is>
          <t>+</t>
        </is>
      </c>
    </row>
    <row r="75">
      <c r="A75" s="64" t="inlineStr">
        <is>
          <t>Brand Mix Drag</t>
        </is>
      </c>
      <c r="M75" s="89" t="inlineStr">
        <is>
          <t>-</t>
        </is>
      </c>
      <c r="N75" s="89" t="inlineStr">
        <is>
          <t>-</t>
        </is>
      </c>
      <c r="P75" s="89" t="inlineStr">
        <is>
          <t>-</t>
        </is>
      </c>
    </row>
    <row r="76">
      <c r="A76" s="64" t="inlineStr">
        <is>
          <t>Inv Step-Up</t>
        </is>
      </c>
      <c r="M76" s="89" t="inlineStr">
        <is>
          <t>-</t>
        </is>
      </c>
      <c r="P76" s="89" t="inlineStr">
        <is>
          <t>-</t>
        </is>
      </c>
    </row>
    <row r="77">
      <c r="A77" s="64" t="inlineStr">
        <is>
          <t>Tariffs</t>
        </is>
      </c>
      <c r="N77" s="89" t="inlineStr">
        <is>
          <t>-</t>
        </is>
      </c>
    </row>
    <row r="80">
      <c r="A80" s="62" t="inlineStr">
        <is>
          <t>8. OTHER (EXPENSE) / INCOME WALK -- $ thousands. Pre-Q1 2025 was almost entirely interest income (no debt). Apr 2025: $900M term loan + Rockstar transition agency income create new components.</t>
        </is>
      </c>
    </row>
    <row r="81">
      <c r="A81" s="92" t="inlineStr">
        <is>
          <t>Metric</t>
        </is>
      </c>
      <c r="B81" s="63" t="inlineStr">
        <is>
          <t>Q1 2023</t>
        </is>
      </c>
      <c r="C81" s="63" t="inlineStr">
        <is>
          <t>Q2 2023</t>
        </is>
      </c>
      <c r="D81" s="63" t="inlineStr">
        <is>
          <t>Q3 2023</t>
        </is>
      </c>
      <c r="E81" s="93" t="inlineStr">
        <is>
          <t>Q4 2023</t>
        </is>
      </c>
      <c r="F81" s="94" t="inlineStr">
        <is>
          <t>FY2023</t>
        </is>
      </c>
      <c r="G81" s="63" t="inlineStr">
        <is>
          <t>Q1 2024</t>
        </is>
      </c>
      <c r="H81" s="63" t="inlineStr">
        <is>
          <t>Q2 2024</t>
        </is>
      </c>
      <c r="I81" s="63" t="inlineStr">
        <is>
          <t>Q3 2024</t>
        </is>
      </c>
      <c r="J81" s="93" t="inlineStr">
        <is>
          <t>Q4 2024</t>
        </is>
      </c>
      <c r="K81" s="94" t="inlineStr">
        <is>
          <t>FY2024</t>
        </is>
      </c>
      <c r="L81" s="63" t="inlineStr">
        <is>
          <t>Q1 2025</t>
        </is>
      </c>
      <c r="M81" s="63" t="inlineStr">
        <is>
          <t>Q2 2025</t>
        </is>
      </c>
      <c r="N81" s="63" t="inlineStr">
        <is>
          <t>Q3 2025</t>
        </is>
      </c>
      <c r="O81" s="93" t="inlineStr">
        <is>
          <t>Q4 2025</t>
        </is>
      </c>
      <c r="P81" s="94" t="inlineStr">
        <is>
          <t>FY2025</t>
        </is>
      </c>
      <c r="Q81" s="92" t="inlineStr">
        <is>
          <t>Notes</t>
        </is>
      </c>
    </row>
    <row r="82">
      <c r="A82" s="92" t="inlineStr">
        <is>
          <t>Total Other Inc/(Exp)</t>
        </is>
      </c>
      <c r="B82" s="96" t="n">
        <v>4900</v>
      </c>
      <c r="C82" s="96" t="n">
        <v>4600</v>
      </c>
      <c r="D82" s="96" t="n">
        <v>7000</v>
      </c>
      <c r="E82" s="66">
        <f>F82-D82-C82-B82</f>
        <v/>
      </c>
      <c r="F82" s="96" t="n">
        <v>25400</v>
      </c>
      <c r="G82" s="96" t="n">
        <v>9300</v>
      </c>
      <c r="H82" s="96" t="n">
        <v>10400</v>
      </c>
      <c r="I82" s="96" t="n">
        <v>11400</v>
      </c>
      <c r="J82" s="66">
        <f>K82-I82-H82-G82</f>
        <v/>
      </c>
      <c r="K82" s="96" t="n">
        <v>39300</v>
      </c>
      <c r="L82" s="96" t="n">
        <v>9000</v>
      </c>
      <c r="M82" s="96" t="n">
        <v>-13600</v>
      </c>
      <c r="N82" s="96" t="n">
        <v>-8000</v>
      </c>
      <c r="O82" s="66">
        <f>P82-(-12600)</f>
        <v/>
      </c>
      <c r="P82" s="96" t="n">
        <v>-16000</v>
      </c>
    </row>
    <row r="83">
      <c r="A83" s="64" t="inlineStr">
        <is>
          <t>Interest Income Δ</t>
        </is>
      </c>
      <c r="P83" s="65" t="n">
        <v>-18200</v>
      </c>
    </row>
    <row r="84">
      <c r="A84" s="64" t="inlineStr">
        <is>
          <t>Interest Expense Δ</t>
        </is>
      </c>
      <c r="N84" s="65" t="n">
        <v>-18200</v>
      </c>
      <c r="P84" s="65" t="n">
        <v>-49000</v>
      </c>
    </row>
    <row r="85">
      <c r="A85" s="64" t="inlineStr">
        <is>
          <t>Rockstar Agency Inc Δ</t>
        </is>
      </c>
      <c r="P85" s="65" t="n">
        <v>12600</v>
      </c>
    </row>
    <row r="86">
      <c r="A86" s="64" t="inlineStr">
        <is>
          <t>FX / Other Δ</t>
        </is>
      </c>
      <c r="P86" s="65" t="n">
        <v>-700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G1" sqref="G1"/>
    </sheetView>
  </sheetViews>
  <sheetFormatPr baseColWidth="8" defaultRowHeight="15"/>
  <cols>
    <col width="42" customWidth="1" min="1" max="1"/>
    <col width="13" customWidth="1" min="2" max="12"/>
  </cols>
  <sheetData>
    <row r="1">
      <c r="A1" s="1" t="n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9">
        <f>'QTR P&amp;L'!R2+'QTR P&amp;L'!S2+'QTR P&amp;L'!T2+'QTR P&amp;L'!U2</f>
        <v/>
      </c>
      <c r="H2" s="9">
        <f>'QTR P&amp;L'!V2+'QTR P&amp;L'!W2+'QTR P&amp;L'!X2+'QTR P&amp;L'!Y2</f>
        <v/>
      </c>
      <c r="I2" s="9">
        <f>'QTR P&amp;L'!Z2+'QTR P&amp;L'!AA2+'QTR P&amp;L'!AB2+'QTR P&amp;L'!AC2</f>
        <v/>
      </c>
      <c r="J2" s="9">
        <f>'QTR P&amp;L'!AD2+'QTR P&amp;L'!AE2+'QTR P&amp;L'!AF2+'QTR P&amp;L'!AG2</f>
        <v/>
      </c>
      <c r="K2" s="9">
        <f>'QTR P&amp;L'!AH2+'QTR P&amp;L'!AI2+'QTR P&amp;L'!AJ2+'QTR P&amp;L'!AK2</f>
        <v/>
      </c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9">
        <f>'QTR P&amp;L'!R3+'QTR P&amp;L'!S3+'QTR P&amp;L'!T3+'QTR P&amp;L'!U3</f>
        <v/>
      </c>
      <c r="H3" s="9">
        <f>'QTR P&amp;L'!V3+'QTR P&amp;L'!W3+'QTR P&amp;L'!X3+'QTR P&amp;L'!Y3</f>
        <v/>
      </c>
      <c r="I3" s="9">
        <f>'QTR P&amp;L'!Z3+'QTR P&amp;L'!AA3+'QTR P&amp;L'!AB3+'QTR P&amp;L'!AC3</f>
        <v/>
      </c>
      <c r="J3" s="9">
        <f>'QTR P&amp;L'!AD3+'QTR P&amp;L'!AE3+'QTR P&amp;L'!AF3+'QTR P&amp;L'!AG3</f>
        <v/>
      </c>
      <c r="K3" s="9">
        <f>'QTR P&amp;L'!AH3+'QTR P&amp;L'!AI3+'QTR P&amp;L'!AJ3+'QTR P&amp;L'!AK3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9">
        <f>'QTR P&amp;L'!R5+'QTR P&amp;L'!S5+'QTR P&amp;L'!T5+'QTR P&amp;L'!U5</f>
        <v/>
      </c>
      <c r="H5" s="9">
        <f>'QTR P&amp;L'!V5+'QTR P&amp;L'!W5+'QTR P&amp;L'!X5+'QTR P&amp;L'!Y5</f>
        <v/>
      </c>
      <c r="I5" s="9">
        <f>'QTR P&amp;L'!Z5+'QTR P&amp;L'!AA5+'QTR P&amp;L'!AB5+'QTR P&amp;L'!AC5</f>
        <v/>
      </c>
      <c r="J5" s="9">
        <f>'QTR P&amp;L'!AD5+'QTR P&amp;L'!AE5+'QTR P&amp;L'!AF5+'QTR P&amp;L'!AG5</f>
        <v/>
      </c>
      <c r="K5" s="9">
        <f>'QTR P&amp;L'!AH5+'QTR P&amp;L'!AI5+'QTR P&amp;L'!AJ5+'QTR P&amp;L'!AK5</f>
        <v/>
      </c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9">
        <f>'QTR P&amp;L'!R6+'QTR P&amp;L'!S6+'QTR P&amp;L'!T6+'QTR P&amp;L'!U6</f>
        <v/>
      </c>
      <c r="H6" s="9">
        <f>'QTR P&amp;L'!V6+'QTR P&amp;L'!W6+'QTR P&amp;L'!X6+'QTR P&amp;L'!Y6</f>
        <v/>
      </c>
      <c r="I6" s="9">
        <f>'QTR P&amp;L'!Z6+'QTR P&amp;L'!AA6+'QTR P&amp;L'!AB6+'QTR P&amp;L'!AC6</f>
        <v/>
      </c>
      <c r="J6" s="9">
        <f>'QTR P&amp;L'!AD6+'QTR P&amp;L'!AE6+'QTR P&amp;L'!AF6+'QTR P&amp;L'!AG6</f>
        <v/>
      </c>
      <c r="K6" s="9">
        <f>'QTR P&amp;L'!AH6+'QTR P&amp;L'!AI6+'QTR P&amp;L'!AJ6+'QTR P&amp;L'!AK6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9">
        <f>'QTR P&amp;L'!R8+'QTR P&amp;L'!S8+'QTR P&amp;L'!T8+'QTR P&amp;L'!U8</f>
        <v/>
      </c>
      <c r="H8" s="9">
        <f>'QTR P&amp;L'!V8+'QTR P&amp;L'!W8+'QTR P&amp;L'!X8+'QTR P&amp;L'!Y8</f>
        <v/>
      </c>
      <c r="I8" s="9">
        <f>'QTR P&amp;L'!Z8+'QTR P&amp;L'!AA8+'QTR P&amp;L'!AB8+'QTR P&amp;L'!AC8</f>
        <v/>
      </c>
      <c r="J8" s="9">
        <f>'QTR P&amp;L'!AD8+'QTR P&amp;L'!AE8+'QTR P&amp;L'!AF8+'QTR P&amp;L'!AG8</f>
        <v/>
      </c>
      <c r="K8" s="9">
        <f>'QTR P&amp;L'!AH8+'QTR P&amp;L'!AI8+'QTR P&amp;L'!AJ8+'QTR P&amp;L'!AK8</f>
        <v/>
      </c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9">
        <f>'QTR P&amp;L'!R9+'QTR P&amp;L'!S9+'QTR P&amp;L'!T9+'QTR P&amp;L'!U9</f>
        <v/>
      </c>
      <c r="H9" s="9">
        <f>'QTR P&amp;L'!V9+'QTR P&amp;L'!W9+'QTR P&amp;L'!X9+'QTR P&amp;L'!Y9</f>
        <v/>
      </c>
      <c r="I9" s="9">
        <f>'QTR P&amp;L'!Z9+'QTR P&amp;L'!AA9+'QTR P&amp;L'!AB9+'QTR P&amp;L'!AC9</f>
        <v/>
      </c>
      <c r="J9" s="9">
        <f>'QTR P&amp;L'!AD9+'QTR P&amp;L'!AE9+'QTR P&amp;L'!AF9+'QTR P&amp;L'!AG9</f>
        <v/>
      </c>
      <c r="K9" s="9">
        <f>'QTR P&amp;L'!AH9+'QTR P&amp;L'!AI9+'QTR P&amp;L'!AJ9+'QTR P&amp;L'!AK9</f>
        <v/>
      </c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9">
        <f>'QTR P&amp;L'!R10+'QTR P&amp;L'!S10+'QTR P&amp;L'!T10+'QTR P&amp;L'!U10</f>
        <v/>
      </c>
      <c r="H10" s="9">
        <f>'QTR P&amp;L'!V10+'QTR P&amp;L'!W10+'QTR P&amp;L'!X10+'QTR P&amp;L'!Y10</f>
        <v/>
      </c>
      <c r="I10" s="9">
        <f>'QTR P&amp;L'!Z10+'QTR P&amp;L'!AA10+'QTR P&amp;L'!AB10+'QTR P&amp;L'!AC10</f>
        <v/>
      </c>
      <c r="J10" s="9">
        <f>'QTR P&amp;L'!AD10+'QTR P&amp;L'!AE10+'QTR P&amp;L'!AF10+'QTR P&amp;L'!AG10</f>
        <v/>
      </c>
      <c r="K10" s="9">
        <f>'QTR P&amp;L'!AH10+'QTR P&amp;L'!AI10+'QTR P&amp;L'!AJ10+'QTR P&amp;L'!AK10</f>
        <v/>
      </c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9">
        <f>'QTR P&amp;L'!R12+'QTR P&amp;L'!S12+'QTR P&amp;L'!T12+'QTR P&amp;L'!U12</f>
        <v/>
      </c>
      <c r="H12" s="9">
        <f>'QTR P&amp;L'!V12+'QTR P&amp;L'!W12+'QTR P&amp;L'!X12+'QTR P&amp;L'!Y12</f>
        <v/>
      </c>
      <c r="I12" s="9">
        <f>'QTR P&amp;L'!Z12+'QTR P&amp;L'!AA12+'QTR P&amp;L'!AB12+'QTR P&amp;L'!AC12</f>
        <v/>
      </c>
      <c r="J12" s="9">
        <f>'QTR P&amp;L'!AD12+'QTR P&amp;L'!AE12+'QTR P&amp;L'!AF12+'QTR P&amp;L'!AG12</f>
        <v/>
      </c>
      <c r="K12" s="9">
        <f>'QTR P&amp;L'!AH12+'QTR P&amp;L'!AI12+'QTR P&amp;L'!AJ12+'QTR P&amp;L'!AK12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9">
        <f>'QTR P&amp;L'!R14+'QTR P&amp;L'!S14+'QTR P&amp;L'!T14+'QTR P&amp;L'!U14</f>
        <v/>
      </c>
      <c r="H14" s="9">
        <f>'QTR P&amp;L'!V14+'QTR P&amp;L'!W14+'QTR P&amp;L'!X14+'QTR P&amp;L'!Y14</f>
        <v/>
      </c>
      <c r="I14" s="9">
        <f>'QTR P&amp;L'!Z14+'QTR P&amp;L'!AA14+'QTR P&amp;L'!AB14+'QTR P&amp;L'!AC14</f>
        <v/>
      </c>
      <c r="J14" s="9">
        <f>'QTR P&amp;L'!AD14+'QTR P&amp;L'!AE14+'QTR P&amp;L'!AF14+'QTR P&amp;L'!AG14</f>
        <v/>
      </c>
      <c r="K14" s="9">
        <f>'QTR P&amp;L'!AH14+'QTR P&amp;L'!AI14+'QTR P&amp;L'!AJ14+'QTR P&amp;L'!AK14</f>
        <v/>
      </c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4" t="n">
        <v>-6554</v>
      </c>
      <c r="G15" s="9">
        <f>'QTR P&amp;L'!R15+'QTR P&amp;L'!S15+'QTR P&amp;L'!T15+'QTR P&amp;L'!U15</f>
        <v/>
      </c>
      <c r="H15" s="9">
        <f>'QTR P&amp;L'!V15+'QTR P&amp;L'!W15+'QTR P&amp;L'!X15+'QTR P&amp;L'!Y15</f>
        <v/>
      </c>
      <c r="I15" s="9">
        <f>'QTR P&amp;L'!Z15+'QTR P&amp;L'!AA15+'QTR P&amp;L'!AB15+'QTR P&amp;L'!AC15</f>
        <v/>
      </c>
      <c r="J15" s="9">
        <f>'QTR P&amp;L'!AD15+'QTR P&amp;L'!AE15+'QTR P&amp;L'!AF15+'QTR P&amp;L'!AG15</f>
        <v/>
      </c>
      <c r="K15" s="9">
        <f>'QTR P&amp;L'!AH15+'QTR P&amp;L'!AI15+'QTR P&amp;L'!AJ15+'QTR P&amp;L'!AK15</f>
        <v/>
      </c>
      <c r="L15" s="5" t="n"/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7">
        <f>G13+G14+G15</f>
        <v/>
      </c>
      <c r="H16" s="7">
        <f>H13+H14+H15</f>
        <v/>
      </c>
      <c r="I16" s="7">
        <f>I13+I14+I15</f>
        <v/>
      </c>
      <c r="J16" s="7">
        <f>J13+J14+J15</f>
        <v/>
      </c>
      <c r="K16" s="7">
        <f>K13+K14+K15</f>
        <v/>
      </c>
      <c r="L16" s="7">
        <f>L13+L14+L15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14" activePane="bottomRight" state="frozen"/>
      <selection pane="topRight" activeCell="A1" sqref="A1"/>
      <selection pane="bottomLeft" activeCell="A1" sqref="A1"/>
      <selection pane="bottomRight" activeCell="A43" sqref="A43"/>
    </sheetView>
  </sheetViews>
  <sheetFormatPr baseColWidth="8" defaultRowHeight="15"/>
  <cols>
    <col width="42" customWidth="1" min="1" max="1"/>
    <col width="13" customWidth="1" min="2" max="11"/>
  </cols>
  <sheetData>
    <row r="1">
      <c r="A1" s="1" t="n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9">
        <f>'QTR BS'!R2</f>
        <v/>
      </c>
      <c r="G2" s="9">
        <f>'QTR BS'!V2</f>
        <v/>
      </c>
      <c r="H2" s="9">
        <f>'QTR BS'!Z2</f>
        <v/>
      </c>
      <c r="I2" s="9">
        <f>'QTR BS'!AD2</f>
        <v/>
      </c>
      <c r="J2" s="9">
        <f>'QTR BS'!AH2</f>
        <v/>
      </c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9">
        <f>'QTR BS'!R3</f>
        <v/>
      </c>
      <c r="G3" s="9">
        <f>'QTR BS'!V3</f>
        <v/>
      </c>
      <c r="H3" s="9">
        <f>'QTR BS'!Z3</f>
        <v/>
      </c>
      <c r="I3" s="9">
        <f>'QTR BS'!AD3</f>
        <v/>
      </c>
      <c r="J3" s="9">
        <f>'QTR BS'!AH3</f>
        <v/>
      </c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9">
        <f>'QTR BS'!R4</f>
        <v/>
      </c>
      <c r="G4" s="9">
        <f>'QTR BS'!V4</f>
        <v/>
      </c>
      <c r="H4" s="9">
        <f>'QTR BS'!Z4</f>
        <v/>
      </c>
      <c r="I4" s="9">
        <f>'QTR BS'!AD4</f>
        <v/>
      </c>
      <c r="J4" s="9">
        <f>'QTR BS'!AH4</f>
        <v/>
      </c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9">
        <f>'QTR BS'!R5</f>
        <v/>
      </c>
      <c r="G5" s="9">
        <f>'QTR BS'!V5</f>
        <v/>
      </c>
      <c r="H5" s="9">
        <f>'QTR BS'!Z5</f>
        <v/>
      </c>
      <c r="I5" s="9">
        <f>'QTR BS'!AD5</f>
        <v/>
      </c>
      <c r="J5" s="9">
        <f>'QTR BS'!AH5</f>
        <v/>
      </c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9">
        <f>'QTR BS'!R6</f>
        <v/>
      </c>
      <c r="G6" s="9">
        <f>'QTR BS'!V6</f>
        <v/>
      </c>
      <c r="H6" s="9">
        <f>'QTR BS'!Z6</f>
        <v/>
      </c>
      <c r="I6" s="9">
        <f>'QTR BS'!AD6</f>
        <v/>
      </c>
      <c r="J6" s="9">
        <f>'QTR BS'!AH6</f>
        <v/>
      </c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9">
        <f>'QTR BS'!R7</f>
        <v/>
      </c>
      <c r="G7" s="9">
        <f>'QTR BS'!V7</f>
        <v/>
      </c>
      <c r="H7" s="9">
        <f>'QTR BS'!Z7</f>
        <v/>
      </c>
      <c r="I7" s="9">
        <f>'QTR BS'!AD7</f>
        <v/>
      </c>
      <c r="J7" s="9">
        <f>'QTR BS'!AH7</f>
        <v/>
      </c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9">
        <f>'QTR BS'!R8</f>
        <v/>
      </c>
      <c r="G8" s="9">
        <f>'QTR BS'!V8</f>
        <v/>
      </c>
      <c r="H8" s="9">
        <f>'QTR BS'!Z8</f>
        <v/>
      </c>
      <c r="I8" s="9">
        <f>'QTR BS'!AD8</f>
        <v/>
      </c>
      <c r="J8" s="9">
        <f>'QTR BS'!AH8</f>
        <v/>
      </c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9">
        <f>'QTR BS'!R10</f>
        <v/>
      </c>
      <c r="G10" s="9">
        <f>'QTR BS'!V10</f>
        <v/>
      </c>
      <c r="H10" s="9">
        <f>'QTR BS'!Z10</f>
        <v/>
      </c>
      <c r="I10" s="9">
        <f>'QTR BS'!AD10</f>
        <v/>
      </c>
      <c r="J10" s="9">
        <f>'QTR BS'!AH10</f>
        <v/>
      </c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9">
        <f>'QTR BS'!R11</f>
        <v/>
      </c>
      <c r="G11" s="9">
        <f>'QTR BS'!V11</f>
        <v/>
      </c>
      <c r="H11" s="9">
        <f>'QTR BS'!Z11</f>
        <v/>
      </c>
      <c r="I11" s="9">
        <f>'QTR BS'!AD11</f>
        <v/>
      </c>
      <c r="J11" s="9">
        <f>'QTR BS'!AH11</f>
        <v/>
      </c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9">
        <f>'QTR BS'!R12</f>
        <v/>
      </c>
      <c r="G12" s="9">
        <f>'QTR BS'!V12</f>
        <v/>
      </c>
      <c r="H12" s="9">
        <f>'QTR BS'!Z12</f>
        <v/>
      </c>
      <c r="I12" s="9">
        <f>'QTR BS'!AD12</f>
        <v/>
      </c>
      <c r="J12" s="9">
        <f>'QTR BS'!AH12</f>
        <v/>
      </c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9">
        <f>'QTR BS'!R17</f>
        <v/>
      </c>
      <c r="G13" s="9">
        <f>'QTR BS'!V17</f>
        <v/>
      </c>
      <c r="H13" s="9">
        <f>'QTR BS'!Z17</f>
        <v/>
      </c>
      <c r="I13" s="9">
        <f>'QTR BS'!AD17</f>
        <v/>
      </c>
      <c r="J13" s="9">
        <f>'QTR BS'!AH17</f>
        <v/>
      </c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9">
        <f>'QTR BS'!R13</f>
        <v/>
      </c>
      <c r="G14" s="9">
        <f>'QTR BS'!V13</f>
        <v/>
      </c>
      <c r="H14" s="9">
        <f>'QTR BS'!Z13</f>
        <v/>
      </c>
      <c r="I14" s="9">
        <f>'QTR BS'!AD13</f>
        <v/>
      </c>
      <c r="J14" s="9">
        <f>'QTR BS'!AH13</f>
        <v/>
      </c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9">
        <f>'QTR BS'!R14</f>
        <v/>
      </c>
      <c r="G15" s="9">
        <f>'QTR BS'!V14</f>
        <v/>
      </c>
      <c r="H15" s="9">
        <f>'QTR BS'!Z14</f>
        <v/>
      </c>
      <c r="I15" s="9">
        <f>'QTR BS'!AD14</f>
        <v/>
      </c>
      <c r="J15" s="9">
        <f>'QTR BS'!AH14</f>
        <v/>
      </c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9">
        <f>'QTR BS'!R15</f>
        <v/>
      </c>
      <c r="G16" s="9">
        <f>'QTR BS'!V15</f>
        <v/>
      </c>
      <c r="H16" s="9">
        <f>'QTR BS'!Z15</f>
        <v/>
      </c>
      <c r="I16" s="9">
        <f>'QTR BS'!AD15</f>
        <v/>
      </c>
      <c r="J16" s="9">
        <f>'QTR BS'!AH15</f>
        <v/>
      </c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9">
        <f>'QTR BS'!R16</f>
        <v/>
      </c>
      <c r="G17" s="9">
        <f>'QTR BS'!V16</f>
        <v/>
      </c>
      <c r="H17" s="9">
        <f>'QTR BS'!Z16</f>
        <v/>
      </c>
      <c r="I17" s="9">
        <f>'QTR BS'!AD16</f>
        <v/>
      </c>
      <c r="J17" s="9">
        <f>'QTR BS'!AH16</f>
        <v/>
      </c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9">
        <f>'QTR BS'!R18</f>
        <v/>
      </c>
      <c r="G18" s="9">
        <f>'QTR BS'!V18</f>
        <v/>
      </c>
      <c r="H18" s="9">
        <f>'QTR BS'!Z18</f>
        <v/>
      </c>
      <c r="I18" s="9">
        <f>'QTR BS'!AD18</f>
        <v/>
      </c>
      <c r="J18" s="9">
        <f>'QTR BS'!AH18</f>
        <v/>
      </c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9">
        <f>'QTR BS'!R20</f>
        <v/>
      </c>
      <c r="G20" s="9">
        <f>'QTR BS'!V20</f>
        <v/>
      </c>
      <c r="H20" s="9">
        <f>'QTR BS'!Z20</f>
        <v/>
      </c>
      <c r="I20" s="9">
        <f>'QTR BS'!AD20</f>
        <v/>
      </c>
      <c r="J20" s="9">
        <f>'QTR BS'!AH20</f>
        <v/>
      </c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9">
        <f>'QTR BS'!R21</f>
        <v/>
      </c>
      <c r="G21" s="9">
        <f>'QTR BS'!V21</f>
        <v/>
      </c>
      <c r="H21" s="9">
        <f>'QTR BS'!Z21</f>
        <v/>
      </c>
      <c r="I21" s="9">
        <f>'QTR BS'!AD21</f>
        <v/>
      </c>
      <c r="J21" s="9">
        <f>'QTR BS'!AH21</f>
        <v/>
      </c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9">
        <f>'QTR BS'!R22</f>
        <v/>
      </c>
      <c r="G22" s="9">
        <f>'QTR BS'!V22</f>
        <v/>
      </c>
      <c r="H22" s="9">
        <f>'QTR BS'!Z22</f>
        <v/>
      </c>
      <c r="I22" s="9">
        <f>'QTR BS'!AD22</f>
        <v/>
      </c>
      <c r="J22" s="9">
        <f>'QTR BS'!AH22</f>
        <v/>
      </c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9">
        <f>'QTR BS'!R23</f>
        <v/>
      </c>
      <c r="G23" s="9">
        <f>'QTR BS'!V23</f>
        <v/>
      </c>
      <c r="H23" s="9">
        <f>'QTR BS'!Z23</f>
        <v/>
      </c>
      <c r="I23" s="9">
        <f>'QTR BS'!AD23</f>
        <v/>
      </c>
      <c r="J23" s="9">
        <f>'QTR BS'!AH23</f>
        <v/>
      </c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9">
        <f>'QTR BS'!R24</f>
        <v/>
      </c>
      <c r="G24" s="9">
        <f>'QTR BS'!V24</f>
        <v/>
      </c>
      <c r="H24" s="9">
        <f>'QTR BS'!Z24</f>
        <v/>
      </c>
      <c r="I24" s="9">
        <f>'QTR BS'!AD24</f>
        <v/>
      </c>
      <c r="J24" s="9">
        <f>'QTR BS'!AH24</f>
        <v/>
      </c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9">
        <f>'QTR BS'!R25</f>
        <v/>
      </c>
      <c r="G25" s="9">
        <f>'QTR BS'!V25</f>
        <v/>
      </c>
      <c r="H25" s="9">
        <f>'QTR BS'!Z25</f>
        <v/>
      </c>
      <c r="I25" s="9">
        <f>'QTR BS'!AD25</f>
        <v/>
      </c>
      <c r="J25" s="9">
        <f>'QTR BS'!AH25</f>
        <v/>
      </c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9">
        <f>'QTR BS'!R26</f>
        <v/>
      </c>
      <c r="G26" s="9">
        <f>'QTR BS'!V26</f>
        <v/>
      </c>
      <c r="H26" s="9">
        <f>'QTR BS'!Z26</f>
        <v/>
      </c>
      <c r="I26" s="9">
        <f>'QTR BS'!AD26</f>
        <v/>
      </c>
      <c r="J26" s="9">
        <f>'QTR BS'!AH26</f>
        <v/>
      </c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9">
        <f>'QTR BS'!R27</f>
        <v/>
      </c>
      <c r="G27" s="9">
        <f>'QTR BS'!V27</f>
        <v/>
      </c>
      <c r="H27" s="9">
        <f>'QTR BS'!Z27</f>
        <v/>
      </c>
      <c r="I27" s="9">
        <f>'QTR BS'!AD27</f>
        <v/>
      </c>
      <c r="J27" s="9">
        <f>'QTR BS'!AH27</f>
        <v/>
      </c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9">
        <f>'QTR BS'!R28</f>
        <v/>
      </c>
      <c r="G28" s="9">
        <f>'QTR BS'!V28</f>
        <v/>
      </c>
      <c r="H28" s="9">
        <f>'QTR BS'!Z28</f>
        <v/>
      </c>
      <c r="I28" s="9">
        <f>'QTR BS'!AD28</f>
        <v/>
      </c>
      <c r="J28" s="9">
        <f>'QTR BS'!AH28</f>
        <v/>
      </c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9">
        <f>'QTR BS'!R29</f>
        <v/>
      </c>
      <c r="G29" s="9">
        <f>'QTR BS'!V29</f>
        <v/>
      </c>
      <c r="H29" s="9">
        <f>'QTR BS'!Z29</f>
        <v/>
      </c>
      <c r="I29" s="9">
        <f>'QTR BS'!AD29</f>
        <v/>
      </c>
      <c r="J29" s="9">
        <f>'QTR BS'!AH29</f>
        <v/>
      </c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9">
        <f>'QTR BS'!R31</f>
        <v/>
      </c>
      <c r="G31" s="9">
        <f>'QTR BS'!V31</f>
        <v/>
      </c>
      <c r="H31" s="9">
        <f>'QTR BS'!Z31</f>
        <v/>
      </c>
      <c r="I31" s="9">
        <f>'QTR BS'!AD31</f>
        <v/>
      </c>
      <c r="J31" s="9">
        <f>'QTR BS'!AH31</f>
        <v/>
      </c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9">
        <f>'QTR BS'!R32</f>
        <v/>
      </c>
      <c r="G32" s="9">
        <f>'QTR BS'!V32</f>
        <v/>
      </c>
      <c r="H32" s="9">
        <f>'QTR BS'!Z32</f>
        <v/>
      </c>
      <c r="I32" s="9">
        <f>'QTR BS'!AD32</f>
        <v/>
      </c>
      <c r="J32" s="9">
        <f>'QTR BS'!AH32</f>
        <v/>
      </c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9">
        <f>'QTR BS'!R33</f>
        <v/>
      </c>
      <c r="G33" s="9">
        <f>'QTR BS'!V33</f>
        <v/>
      </c>
      <c r="H33" s="9">
        <f>'QTR BS'!Z33</f>
        <v/>
      </c>
      <c r="I33" s="9">
        <f>'QTR BS'!AD33</f>
        <v/>
      </c>
      <c r="J33" s="9">
        <f>'QTR BS'!AH33</f>
        <v/>
      </c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9">
        <f>'QTR BS'!R34</f>
        <v/>
      </c>
      <c r="G34" s="9">
        <f>'QTR BS'!V34</f>
        <v/>
      </c>
      <c r="H34" s="9">
        <f>'QTR BS'!Z34</f>
        <v/>
      </c>
      <c r="I34" s="9">
        <f>'QTR BS'!AD34</f>
        <v/>
      </c>
      <c r="J34" s="9">
        <f>'QTR BS'!AH34</f>
        <v/>
      </c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9">
        <f>'QTR BS'!R35</f>
        <v/>
      </c>
      <c r="G35" s="9">
        <f>'QTR BS'!V35</f>
        <v/>
      </c>
      <c r="H35" s="9">
        <f>'QTR BS'!Z35</f>
        <v/>
      </c>
      <c r="I35" s="9">
        <f>'QTR BS'!AD35</f>
        <v/>
      </c>
      <c r="J35" s="9">
        <f>'QTR BS'!AH35</f>
        <v/>
      </c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9">
        <f>'QTR BS'!R36</f>
        <v/>
      </c>
      <c r="G36" s="9">
        <f>'QTR BS'!V36</f>
        <v/>
      </c>
      <c r="H36" s="9">
        <f>'QTR BS'!Z36</f>
        <v/>
      </c>
      <c r="I36" s="9">
        <f>'QTR BS'!AD36</f>
        <v/>
      </c>
      <c r="J36" s="9">
        <f>'QTR BS'!AH36</f>
        <v/>
      </c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9">
        <f>'QTR BS'!R38</f>
        <v/>
      </c>
      <c r="G38" s="9">
        <f>'QTR BS'!V38</f>
        <v/>
      </c>
      <c r="H38" s="9">
        <f>'QTR BS'!Z38</f>
        <v/>
      </c>
      <c r="I38" s="9">
        <f>'QTR BS'!AD38</f>
        <v/>
      </c>
      <c r="J38" s="9">
        <f>'QTR BS'!AH38</f>
        <v/>
      </c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9">
        <f>'QTR BS'!R39</f>
        <v/>
      </c>
      <c r="G39" s="9">
        <f>'QTR BS'!V39</f>
        <v/>
      </c>
      <c r="H39" s="9">
        <f>'QTR BS'!Z39</f>
        <v/>
      </c>
      <c r="I39" s="9">
        <f>'QTR BS'!AD39</f>
        <v/>
      </c>
      <c r="J39" s="9">
        <f>'QTR BS'!AH39</f>
        <v/>
      </c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9">
        <f>'QTR BS'!R40</f>
        <v/>
      </c>
      <c r="G40" s="9">
        <f>'QTR BS'!V40</f>
        <v/>
      </c>
      <c r="H40" s="9">
        <f>'QTR BS'!Z40</f>
        <v/>
      </c>
      <c r="I40" s="9">
        <f>'QTR BS'!AD40</f>
        <v/>
      </c>
      <c r="J40" s="9">
        <f>'QTR BS'!AH40</f>
        <v/>
      </c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9">
        <f>'QTR BS'!R41</f>
        <v/>
      </c>
      <c r="G41" s="9">
        <f>'QTR BS'!V41</f>
        <v/>
      </c>
      <c r="H41" s="9">
        <f>'QTR BS'!Z41</f>
        <v/>
      </c>
      <c r="I41" s="9">
        <f>'QTR BS'!AD41</f>
        <v/>
      </c>
      <c r="J41" s="9">
        <f>'QTR BS'!AH41</f>
        <v/>
      </c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9">
        <f>'QTR BS'!R42</f>
        <v/>
      </c>
      <c r="G42" s="9">
        <f>'QTR BS'!V42</f>
        <v/>
      </c>
      <c r="H42" s="9">
        <f>'QTR BS'!Z42</f>
        <v/>
      </c>
      <c r="I42" s="9">
        <f>'QTR BS'!AD42</f>
        <v/>
      </c>
      <c r="J42" s="9">
        <f>'QTR BS'!AH42</f>
        <v/>
      </c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9">
        <f>'QTR BS'!R43</f>
        <v/>
      </c>
      <c r="G43" s="9">
        <f>'QTR BS'!V43</f>
        <v/>
      </c>
      <c r="H43" s="9">
        <f>'QTR BS'!Z43</f>
        <v/>
      </c>
      <c r="I43" s="9">
        <f>'QTR BS'!AD43</f>
        <v/>
      </c>
      <c r="J43" s="9">
        <f>'QTR BS'!AH43</f>
        <v/>
      </c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G1" sqref="G1"/>
    </sheetView>
  </sheetViews>
  <sheetFormatPr baseColWidth="8" defaultRowHeight="15"/>
  <cols>
    <col width="42" customWidth="1" min="1" max="1"/>
    <col width="13" customWidth="1" min="2" max="12"/>
  </cols>
  <sheetData>
    <row r="1">
      <c r="A1" s="1" t="n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9">
        <f>'QTR CF'!R2+'QTR CF'!S2+'QTR CF'!T2+'QTR CF'!U2</f>
        <v/>
      </c>
      <c r="H2" s="9">
        <f>'QTR CF'!V2+'QTR CF'!W2+'QTR CF'!X2+'QTR CF'!Y2</f>
        <v/>
      </c>
      <c r="I2" s="9">
        <f>'QTR CF'!Z2+'QTR CF'!AA2+'QTR CF'!AB2+'QTR CF'!AC2</f>
        <v/>
      </c>
      <c r="J2" s="9">
        <f>'QTR CF'!AD2+'QTR CF'!AE2+'QTR CF'!AF2+'QTR CF'!AG2</f>
        <v/>
      </c>
      <c r="K2" s="9">
        <f>'QTR CF'!AH2+'QTR CF'!AI2+'QTR CF'!AJ2+'QTR CF'!AK2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9">
        <f>'QTR CF'!R6+'QTR CF'!S6+'QTR CF'!T6+'QTR CF'!U6</f>
        <v/>
      </c>
      <c r="H3" s="9">
        <f>'QTR CF'!V6+'QTR CF'!W6+'QTR CF'!X6+'QTR CF'!Y6</f>
        <v/>
      </c>
      <c r="I3" s="9">
        <f>'QTR CF'!Z6+'QTR CF'!AA6+'QTR CF'!AB6+'QTR CF'!AC6</f>
        <v/>
      </c>
      <c r="J3" s="9">
        <f>'QTR CF'!AD6+'QTR CF'!AE6+'QTR CF'!AF6+'QTR CF'!AG6</f>
        <v/>
      </c>
      <c r="K3" s="9">
        <f>'QTR CF'!AH6+'QTR CF'!AI6+'QTR CF'!AJ6+'QTR CF'!AK6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9">
        <f>'QTR CF'!R5+'QTR CF'!S5+'QTR CF'!T5+'QTR CF'!U5</f>
        <v/>
      </c>
      <c r="H4" s="9">
        <f>'QTR CF'!V5+'QTR CF'!W5+'QTR CF'!X5+'QTR CF'!Y5</f>
        <v/>
      </c>
      <c r="I4" s="9">
        <f>'QTR CF'!Z5+'QTR CF'!AA5+'QTR CF'!AB5+'QTR CF'!AC5</f>
        <v/>
      </c>
      <c r="J4" s="9">
        <f>'QTR CF'!AD5+'QTR CF'!AE5+'QTR CF'!AF5+'QTR CF'!AG5</f>
        <v/>
      </c>
      <c r="K4" s="9">
        <f>'QTR CF'!AH5+'QTR CF'!AI5+'QTR CF'!AJ5+'QTR CF'!AK5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9">
        <f>'QTR CF'!R7+'QTR CF'!S7+'QTR CF'!T7+'QTR CF'!U7</f>
        <v/>
      </c>
      <c r="H5" s="9">
        <f>'QTR CF'!V7+'QTR CF'!W7+'QTR CF'!X7+'QTR CF'!Y7</f>
        <v/>
      </c>
      <c r="I5" s="9">
        <f>'QTR CF'!Z7+'QTR CF'!AA7+'QTR CF'!AB7+'QTR CF'!AC7</f>
        <v/>
      </c>
      <c r="J5" s="9">
        <f>'QTR CF'!AD7+'QTR CF'!AE7+'QTR CF'!AF7+'QTR CF'!AG7</f>
        <v/>
      </c>
      <c r="K5" s="9">
        <f>'QTR CF'!AH7+'QTR CF'!AI7+'QTR CF'!AJ7+'QTR CF'!AK7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9">
        <f>'QTR CF'!R8+'QTR CF'!S8+'QTR CF'!T8+'QTR CF'!U8</f>
        <v/>
      </c>
      <c r="H6" s="9">
        <f>'QTR CF'!V8+'QTR CF'!W8+'QTR CF'!X8+'QTR CF'!Y8</f>
        <v/>
      </c>
      <c r="I6" s="9">
        <f>'QTR CF'!Z8+'QTR CF'!AA8+'QTR CF'!AB8+'QTR CF'!AC8</f>
        <v/>
      </c>
      <c r="J6" s="9">
        <f>'QTR CF'!AD8+'QTR CF'!AE8+'QTR CF'!AF8+'QTR CF'!AG8</f>
        <v/>
      </c>
      <c r="K6" s="9">
        <f>'QTR CF'!AH8+'QTR CF'!AI8+'QTR CF'!AJ8+'QTR CF'!AK8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9">
        <f>'QTR CF'!R9+'QTR CF'!S9+'QTR CF'!T9+'QTR CF'!U9</f>
        <v/>
      </c>
      <c r="H7" s="9">
        <f>'QTR CF'!V9+'QTR CF'!W9+'QTR CF'!X9+'QTR CF'!Y9</f>
        <v/>
      </c>
      <c r="I7" s="9">
        <f>'QTR CF'!Z9+'QTR CF'!AA9+'QTR CF'!AB9+'QTR CF'!AC9</f>
        <v/>
      </c>
      <c r="J7" s="9">
        <f>'QTR CF'!AD9+'QTR CF'!AE9+'QTR CF'!AF9+'QTR CF'!AG9</f>
        <v/>
      </c>
      <c r="K7" s="9">
        <f>'QTR CF'!AH9+'QTR CF'!AI9+'QTR CF'!AJ9+'QTR CF'!AK9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9">
        <f>'QTR CF'!R10+'QTR CF'!S10+'QTR CF'!T10+'QTR CF'!U10</f>
        <v/>
      </c>
      <c r="H8" s="9">
        <f>'QTR CF'!V10+'QTR CF'!W10+'QTR CF'!X10+'QTR CF'!Y10</f>
        <v/>
      </c>
      <c r="I8" s="9">
        <f>'QTR CF'!Z10+'QTR CF'!AA10+'QTR CF'!AB10+'QTR CF'!AC10</f>
        <v/>
      </c>
      <c r="J8" s="9">
        <f>'QTR CF'!AD10+'QTR CF'!AE10+'QTR CF'!AF10+'QTR CF'!AG10</f>
        <v/>
      </c>
      <c r="K8" s="9">
        <f>'QTR CF'!AH10+'QTR CF'!AI10+'QTR CF'!AJ10+'QTR CF'!AK10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9">
        <f>'QTR CF'!R11+'QTR CF'!S11+'QTR CF'!T11+'QTR CF'!U11</f>
        <v/>
      </c>
      <c r="H9" s="9">
        <f>'QTR CF'!V11+'QTR CF'!W11+'QTR CF'!X11+'QTR CF'!Y11</f>
        <v/>
      </c>
      <c r="I9" s="9">
        <f>'QTR CF'!Z11+'QTR CF'!AA11+'QTR CF'!AB11+'QTR CF'!AC11</f>
        <v/>
      </c>
      <c r="J9" s="9">
        <f>'QTR CF'!AD11+'QTR CF'!AE11+'QTR CF'!AF11+'QTR CF'!AG11</f>
        <v/>
      </c>
      <c r="K9" s="9">
        <f>'QTR CF'!AH11+'QTR CF'!AI11+'QTR CF'!AJ11+'QTR CF'!AK11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9">
        <f>'QTR CF'!R12+'QTR CF'!S12+'QTR CF'!T12+'QTR CF'!U12</f>
        <v/>
      </c>
      <c r="H10" s="9">
        <f>'QTR CF'!V12+'QTR CF'!W12+'QTR CF'!X12+'QTR CF'!Y12</f>
        <v/>
      </c>
      <c r="I10" s="9">
        <f>'QTR CF'!Z12+'QTR CF'!AA12+'QTR CF'!AB12+'QTR CF'!AC12</f>
        <v/>
      </c>
      <c r="J10" s="9">
        <f>'QTR CF'!AD12+'QTR CF'!AE12+'QTR CF'!AF12+'QTR CF'!AG12</f>
        <v/>
      </c>
      <c r="K10" s="9">
        <f>'QTR CF'!AH12+'QTR CF'!AI12+'QTR CF'!AJ12+'QTR CF'!AK12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9">
        <f>'QTR CF'!R13+'QTR CF'!S13+'QTR CF'!T13+'QTR CF'!U13</f>
        <v/>
      </c>
      <c r="H11" s="9">
        <f>'QTR CF'!V13+'QTR CF'!W13+'QTR CF'!X13+'QTR CF'!Y13</f>
        <v/>
      </c>
      <c r="I11" s="9">
        <f>'QTR CF'!Z13+'QTR CF'!AA13+'QTR CF'!AB13+'QTR CF'!AC13</f>
        <v/>
      </c>
      <c r="J11" s="9">
        <f>'QTR CF'!AD13+'QTR CF'!AE13+'QTR CF'!AF13+'QTR CF'!AG13</f>
        <v/>
      </c>
      <c r="K11" s="9">
        <f>'QTR CF'!AH13+'QTR CF'!AI13+'QTR CF'!AJ13+'QTR CF'!AK13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9">
        <f>'QTR CF'!R14+'QTR CF'!S14+'QTR CF'!T14+'QTR CF'!U14</f>
        <v/>
      </c>
      <c r="H12" s="9">
        <f>'QTR CF'!V14+'QTR CF'!W14+'QTR CF'!X14+'QTR CF'!Y14</f>
        <v/>
      </c>
      <c r="I12" s="9">
        <f>'QTR CF'!Z14+'QTR CF'!AA14+'QTR CF'!AB14+'QTR CF'!AC14</f>
        <v/>
      </c>
      <c r="J12" s="9">
        <f>'QTR CF'!AD14+'QTR CF'!AE14+'QTR CF'!AF14+'QTR CF'!AG14</f>
        <v/>
      </c>
      <c r="K12" s="9">
        <f>'QTR CF'!AH14+'QTR CF'!AI14+'QTR CF'!AJ14+'QTR CF'!AK14</f>
        <v/>
      </c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9">
        <f>'QTR CF'!R15+'QTR CF'!S15+'QTR CF'!T15+'QTR CF'!U15</f>
        <v/>
      </c>
      <c r="H13" s="9">
        <f>'QTR CF'!V15+'QTR CF'!W15+'QTR CF'!X15+'QTR CF'!Y15</f>
        <v/>
      </c>
      <c r="I13" s="9">
        <f>'QTR CF'!Z15+'QTR CF'!AA15+'QTR CF'!AB15+'QTR CF'!AC15</f>
        <v/>
      </c>
      <c r="J13" s="9">
        <f>'QTR CF'!AD15+'QTR CF'!AE15+'QTR CF'!AF15+'QTR CF'!AG15</f>
        <v/>
      </c>
      <c r="K13" s="9">
        <f>'QTR CF'!AH15+'QTR CF'!AI15+'QTR CF'!AJ15+'QTR CF'!AK15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9">
        <f>'QTR CF'!R16+'QTR CF'!S16+'QTR CF'!T16+'QTR CF'!U16</f>
        <v/>
      </c>
      <c r="H14" s="9">
        <f>'QTR CF'!V16+'QTR CF'!W16+'QTR CF'!X16+'QTR CF'!Y16</f>
        <v/>
      </c>
      <c r="I14" s="9">
        <f>'QTR CF'!Z16+'QTR CF'!AA16+'QTR CF'!AB16+'QTR CF'!AC16</f>
        <v/>
      </c>
      <c r="J14" s="9">
        <f>'QTR CF'!AD16+'QTR CF'!AE16+'QTR CF'!AF16+'QTR CF'!AG16</f>
        <v/>
      </c>
      <c r="K14" s="9">
        <f>'QTR CF'!AH16+'QTR CF'!AI16+'QTR CF'!AJ16+'QTR CF'!AK16</f>
        <v/>
      </c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9">
        <f>'QTR CF'!R17+'QTR CF'!S17+'QTR CF'!T17+'QTR CF'!U17</f>
        <v/>
      </c>
      <c r="H15" s="9">
        <f>'QTR CF'!V17+'QTR CF'!W17+'QTR CF'!X17+'QTR CF'!Y17</f>
        <v/>
      </c>
      <c r="I15" s="9">
        <f>'QTR CF'!Z17+'QTR CF'!AA17+'QTR CF'!AB17+'QTR CF'!AC17</f>
        <v/>
      </c>
      <c r="J15" s="9">
        <f>'QTR CF'!AD17+'QTR CF'!AE17+'QTR CF'!AF17+'QTR CF'!AG17</f>
        <v/>
      </c>
      <c r="K15" s="9">
        <f>'QTR CF'!AH17+'QTR CF'!AI17+'QTR CF'!AJ17+'QTR CF'!AK17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9">
        <f>'QTR CF'!R18+'QTR CF'!S18+'QTR CF'!T18+'QTR CF'!U18</f>
        <v/>
      </c>
      <c r="H16" s="9">
        <f>'QTR CF'!V18+'QTR CF'!W18+'QTR CF'!X18+'QTR CF'!Y18</f>
        <v/>
      </c>
      <c r="I16" s="9">
        <f>'QTR CF'!Z18+'QTR CF'!AA18+'QTR CF'!AB18+'QTR CF'!AC18</f>
        <v/>
      </c>
      <c r="J16" s="9">
        <f>'QTR CF'!AD18+'QTR CF'!AE18+'QTR CF'!AF18+'QTR CF'!AG18</f>
        <v/>
      </c>
      <c r="K16" s="9">
        <f>'QTR CF'!AH18+'QTR CF'!AI18+'QTR CF'!AJ18+'QTR CF'!AK18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9">
        <f>'QTR CF'!R19+'QTR CF'!S19+'QTR CF'!T19+'QTR CF'!U19</f>
        <v/>
      </c>
      <c r="H17" s="9">
        <f>'QTR CF'!V19+'QTR CF'!W19+'QTR CF'!X19+'QTR CF'!Y19</f>
        <v/>
      </c>
      <c r="I17" s="9">
        <f>'QTR CF'!Z19+'QTR CF'!AA19+'QTR CF'!AB19+'QTR CF'!AC19</f>
        <v/>
      </c>
      <c r="J17" s="9">
        <f>'QTR CF'!AD19+'QTR CF'!AE19+'QTR CF'!AF19+'QTR CF'!AG19</f>
        <v/>
      </c>
      <c r="K17" s="9">
        <f>'QTR CF'!AH19+'QTR CF'!AI19+'QTR CF'!AJ19+'QTR CF'!AK19</f>
        <v/>
      </c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9">
        <f>'QTR CF'!R20+'QTR CF'!S20+'QTR CF'!T20+'QTR CF'!U20</f>
        <v/>
      </c>
      <c r="H18" s="9">
        <f>'QTR CF'!V20+'QTR CF'!W20+'QTR CF'!X20+'QTR CF'!Y20</f>
        <v/>
      </c>
      <c r="I18" s="9">
        <f>'QTR CF'!Z20+'QTR CF'!AA20+'QTR CF'!AB20+'QTR CF'!AC20</f>
        <v/>
      </c>
      <c r="J18" s="9">
        <f>'QTR CF'!AD20+'QTR CF'!AE20+'QTR CF'!AF20+'QTR CF'!AG20</f>
        <v/>
      </c>
      <c r="K18" s="9">
        <f>'QTR CF'!AH20+'QTR CF'!AI20+'QTR CF'!AJ20+'QTR CF'!AK20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9">
        <f>'QTR CF'!R21+'QTR CF'!S21+'QTR CF'!T21+'QTR CF'!U21</f>
        <v/>
      </c>
      <c r="H19" s="9">
        <f>'QTR CF'!V21+'QTR CF'!W21+'QTR CF'!X21+'QTR CF'!Y21</f>
        <v/>
      </c>
      <c r="I19" s="9">
        <f>'QTR CF'!Z21+'QTR CF'!AA21+'QTR CF'!AB21+'QTR CF'!AC21</f>
        <v/>
      </c>
      <c r="J19" s="9">
        <f>'QTR CF'!AD21+'QTR CF'!AE21+'QTR CF'!AF21+'QTR CF'!AG21</f>
        <v/>
      </c>
      <c r="K19" s="9">
        <f>'QTR CF'!AH21+'QTR CF'!AI21+'QTR CF'!AJ21+'QTR CF'!AK21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9">
        <f>'QTR CF'!R23+'QTR CF'!S23+'QTR CF'!T23+'QTR CF'!U23</f>
        <v/>
      </c>
      <c r="H20" s="9">
        <f>'QTR CF'!V23+'QTR CF'!W23+'QTR CF'!X23+'QTR CF'!Y23</f>
        <v/>
      </c>
      <c r="I20" s="9">
        <f>'QTR CF'!Z23+'QTR CF'!AA23+'QTR CF'!AB23+'QTR CF'!AC23</f>
        <v/>
      </c>
      <c r="J20" s="9">
        <f>'QTR CF'!AD23+'QTR CF'!AE23+'QTR CF'!AF23+'QTR CF'!AG23</f>
        <v/>
      </c>
      <c r="K20" s="9">
        <f>'QTR CF'!AH23+'QTR CF'!AI23+'QTR CF'!AJ23+'QTR CF'!AK23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9">
        <f>'QTR CF'!R24+'QTR CF'!S24+'QTR CF'!T24+'QTR CF'!U24</f>
        <v/>
      </c>
      <c r="H21" s="9">
        <f>'QTR CF'!V24+'QTR CF'!W24+'QTR CF'!X24+'QTR CF'!Y24</f>
        <v/>
      </c>
      <c r="I21" s="9">
        <f>'QTR CF'!Z24+'QTR CF'!AA24+'QTR CF'!AB24+'QTR CF'!AC24</f>
        <v/>
      </c>
      <c r="J21" s="9">
        <f>'QTR CF'!AD24+'QTR CF'!AE24+'QTR CF'!AF24+'QTR CF'!AG24</f>
        <v/>
      </c>
      <c r="K21" s="9">
        <f>'QTR CF'!AH24+'QTR CF'!AI24+'QTR CF'!AJ24+'QTR CF'!AK24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9">
        <f>'QTR CF'!R25+'QTR CF'!S25+'QTR CF'!T25+'QTR CF'!U25</f>
        <v/>
      </c>
      <c r="H22" s="9">
        <f>'QTR CF'!V25+'QTR CF'!W25+'QTR CF'!X25+'QTR CF'!Y25</f>
        <v/>
      </c>
      <c r="I22" s="9">
        <f>'QTR CF'!Z25+'QTR CF'!AA25+'QTR CF'!AB25+'QTR CF'!AC25</f>
        <v/>
      </c>
      <c r="J22" s="9">
        <f>'QTR CF'!AD25+'QTR CF'!AE25+'QTR CF'!AF25+'QTR CF'!AG25</f>
        <v/>
      </c>
      <c r="K22" s="9">
        <f>'QTR CF'!AH25+'QTR CF'!AI25+'QTR CF'!AJ25+'QTR CF'!AK25</f>
        <v/>
      </c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9">
        <f>'QTR CF'!R26+'QTR CF'!S26+'QTR CF'!T26+'QTR CF'!U26</f>
        <v/>
      </c>
      <c r="H23" s="9">
        <f>'QTR CF'!V26+'QTR CF'!W26+'QTR CF'!X26+'QTR CF'!Y26</f>
        <v/>
      </c>
      <c r="I23" s="9">
        <f>'QTR CF'!Z26+'QTR CF'!AA26+'QTR CF'!AB26+'QTR CF'!AC26</f>
        <v/>
      </c>
      <c r="J23" s="9">
        <f>'QTR CF'!AD26+'QTR CF'!AE26+'QTR CF'!AF26+'QTR CF'!AG26</f>
        <v/>
      </c>
      <c r="K23" s="9">
        <f>'QTR CF'!AH26+'QTR CF'!AI26+'QTR CF'!AJ26+'QTR CF'!AK26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9">
        <f>'QTR CF'!R27+'QTR CF'!S27+'QTR CF'!T27+'QTR CF'!U27</f>
        <v/>
      </c>
      <c r="H24" s="9">
        <f>'QTR CF'!V27+'QTR CF'!W27+'QTR CF'!X27+'QTR CF'!Y27</f>
        <v/>
      </c>
      <c r="I24" s="9">
        <f>'QTR CF'!Z27+'QTR CF'!AA27+'QTR CF'!AB27+'QTR CF'!AC27</f>
        <v/>
      </c>
      <c r="J24" s="9">
        <f>'QTR CF'!AD27+'QTR CF'!AE27+'QTR CF'!AF27+'QTR CF'!AG27</f>
        <v/>
      </c>
      <c r="K24" s="9">
        <f>'QTR CF'!AH27+'QTR CF'!AI27+'QTR CF'!AJ27+'QTR CF'!AK27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9">
        <f>'QTR CF'!R28+'QTR CF'!S28+'QTR CF'!T28+'QTR CF'!U28</f>
        <v/>
      </c>
      <c r="H25" s="9">
        <f>'QTR CF'!V28+'QTR CF'!W28+'QTR CF'!X28+'QTR CF'!Y28</f>
        <v/>
      </c>
      <c r="I25" s="9">
        <f>'QTR CF'!Z28+'QTR CF'!AA28+'QTR CF'!AB28+'QTR CF'!AC28</f>
        <v/>
      </c>
      <c r="J25" s="9">
        <f>'QTR CF'!AD28+'QTR CF'!AE28+'QTR CF'!AF28+'QTR CF'!AG28</f>
        <v/>
      </c>
      <c r="K25" s="9">
        <f>'QTR CF'!AH28+'QTR CF'!AI28+'QTR CF'!AJ28+'QTR CF'!AK28</f>
        <v/>
      </c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9">
        <f>'QTR CF'!R29+'QTR CF'!S29+'QTR CF'!T29+'QTR CF'!U29</f>
        <v/>
      </c>
      <c r="H26" s="9">
        <f>'QTR CF'!V29+'QTR CF'!W29+'QTR CF'!X29+'QTR CF'!Y29</f>
        <v/>
      </c>
      <c r="I26" s="9">
        <f>'QTR CF'!Z29+'QTR CF'!AA29+'QTR CF'!AB29+'QTR CF'!AC29</f>
        <v/>
      </c>
      <c r="J26" s="9">
        <f>'QTR CF'!AD29+'QTR CF'!AE29+'QTR CF'!AF29+'QTR CF'!AG29</f>
        <v/>
      </c>
      <c r="K26" s="9">
        <f>'QTR CF'!AH29+'QTR CF'!AI29+'QTR CF'!AJ29+'QTR CF'!AK29</f>
        <v/>
      </c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9">
        <f>'QTR CF'!R30+'QTR CF'!S30+'QTR CF'!T30+'QTR CF'!U30</f>
        <v/>
      </c>
      <c r="H27" s="9">
        <f>'QTR CF'!V30+'QTR CF'!W30+'QTR CF'!X30+'QTR CF'!Y30</f>
        <v/>
      </c>
      <c r="I27" s="9">
        <f>'QTR CF'!Z30+'QTR CF'!AA30+'QTR CF'!AB30+'QTR CF'!AC30</f>
        <v/>
      </c>
      <c r="J27" s="9">
        <f>'QTR CF'!AD30+'QTR CF'!AE30+'QTR CF'!AF30+'QTR CF'!AG30</f>
        <v/>
      </c>
      <c r="K27" s="9">
        <f>'QTR CF'!AH30+'QTR CF'!AI30+'QTR CF'!AJ30+'QTR CF'!AK30</f>
        <v/>
      </c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9">
        <f>'QTR CF'!R31+'QTR CF'!S31+'QTR CF'!T31+'QTR CF'!U31</f>
        <v/>
      </c>
      <c r="H28" s="9">
        <f>'QTR CF'!V31+'QTR CF'!W31+'QTR CF'!X31+'QTR CF'!Y31</f>
        <v/>
      </c>
      <c r="I28" s="9">
        <f>'QTR CF'!Z31+'QTR CF'!AA31+'QTR CF'!AB31+'QTR CF'!AC31</f>
        <v/>
      </c>
      <c r="J28" s="9">
        <f>'QTR CF'!AD31+'QTR CF'!AE31+'QTR CF'!AF31+'QTR CF'!AG31</f>
        <v/>
      </c>
      <c r="K28" s="9">
        <f>'QTR CF'!AH31+'QTR CF'!AI31+'QTR CF'!AJ31+'QTR CF'!AK31</f>
        <v/>
      </c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9">
        <f>'QTR CF'!R33+'QTR CF'!S33+'QTR CF'!T33+'QTR CF'!U33</f>
        <v/>
      </c>
      <c r="H30" s="9">
        <f>'QTR CF'!V33+'QTR CF'!W33+'QTR CF'!X33+'QTR CF'!Y33</f>
        <v/>
      </c>
      <c r="I30" s="9">
        <f>'QTR CF'!Z33+'QTR CF'!AA33+'QTR CF'!AB33+'QTR CF'!AC33</f>
        <v/>
      </c>
      <c r="J30" s="9">
        <f>'QTR CF'!AD33+'QTR CF'!AE33+'QTR CF'!AF33+'QTR CF'!AG33</f>
        <v/>
      </c>
      <c r="K30" s="9">
        <f>'QTR CF'!AH33+'QTR CF'!AI33+'QTR CF'!AJ33+'QTR CF'!AK33</f>
        <v/>
      </c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9">
        <f>'QTR CF'!R34+'QTR CF'!S34+'QTR CF'!T34+'QTR CF'!U34</f>
        <v/>
      </c>
      <c r="H31" s="9">
        <f>'QTR CF'!V34+'QTR CF'!W34+'QTR CF'!X34+'QTR CF'!Y34</f>
        <v/>
      </c>
      <c r="I31" s="9">
        <f>'QTR CF'!Z34+'QTR CF'!AA34+'QTR CF'!AB34+'QTR CF'!AC34</f>
        <v/>
      </c>
      <c r="J31" s="9">
        <f>'QTR CF'!AD34+'QTR CF'!AE34+'QTR CF'!AF34+'QTR CF'!AG34</f>
        <v/>
      </c>
      <c r="K31" s="9">
        <f>'QTR CF'!AH34+'QTR CF'!AI34+'QTR CF'!AJ34+'QTR CF'!AK34</f>
        <v/>
      </c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9">
        <f>'QTR CF'!R35+'QTR CF'!S35+'QTR CF'!T35+'QTR CF'!U35</f>
        <v/>
      </c>
      <c r="H32" s="9">
        <f>'QTR CF'!V35+'QTR CF'!W35+'QTR CF'!X35+'QTR CF'!Y35</f>
        <v/>
      </c>
      <c r="I32" s="9">
        <f>'QTR CF'!Z35+'QTR CF'!AA35+'QTR CF'!AB35+'QTR CF'!AC35</f>
        <v/>
      </c>
      <c r="J32" s="9">
        <f>'QTR CF'!AD35+'QTR CF'!AE35+'QTR CF'!AF35+'QTR CF'!AG35</f>
        <v/>
      </c>
      <c r="K32" s="9">
        <f>'QTR CF'!AH35+'QTR CF'!AI35+'QTR CF'!AJ35+'QTR CF'!AK35</f>
        <v/>
      </c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9">
        <f>'QTR CF'!R36+'QTR CF'!S36+'QTR CF'!T36+'QTR CF'!U36</f>
        <v/>
      </c>
      <c r="H33" s="9">
        <f>'QTR CF'!V36+'QTR CF'!W36+'QTR CF'!X36+'QTR CF'!Y36</f>
        <v/>
      </c>
      <c r="I33" s="9">
        <f>'QTR CF'!Z36+'QTR CF'!AA36+'QTR CF'!AB36+'QTR CF'!AC36</f>
        <v/>
      </c>
      <c r="J33" s="9">
        <f>'QTR CF'!AD36+'QTR CF'!AE36+'QTR CF'!AF36+'QTR CF'!AG36</f>
        <v/>
      </c>
      <c r="K33" s="9">
        <f>'QTR CF'!AH36+'QTR CF'!AI36+'QTR CF'!AJ36+'QTR CF'!AK36</f>
        <v/>
      </c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9">
        <f>'QTR CF'!R37+'QTR CF'!S37+'QTR CF'!T37+'QTR CF'!U37</f>
        <v/>
      </c>
      <c r="H34" s="9">
        <f>'QTR CF'!V37+'QTR CF'!W37+'QTR CF'!X37+'QTR CF'!Y37</f>
        <v/>
      </c>
      <c r="I34" s="9">
        <f>'QTR CF'!Z37+'QTR CF'!AA37+'QTR CF'!AB37+'QTR CF'!AC37</f>
        <v/>
      </c>
      <c r="J34" s="9">
        <f>'QTR CF'!AD37+'QTR CF'!AE37+'QTR CF'!AF37+'QTR CF'!AG37</f>
        <v/>
      </c>
      <c r="K34" s="9">
        <f>'QTR CF'!AH37+'QTR CF'!AI37+'QTR CF'!AJ37+'QTR CF'!AK37</f>
        <v/>
      </c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9">
        <f>'QTR CF'!R38+'QTR CF'!S38+'QTR CF'!T38+'QTR CF'!U38</f>
        <v/>
      </c>
      <c r="H35" s="9">
        <f>'QTR CF'!V38+'QTR CF'!W38+'QTR CF'!X38+'QTR CF'!Y38</f>
        <v/>
      </c>
      <c r="I35" s="9">
        <f>'QTR CF'!Z38+'QTR CF'!AA38+'QTR CF'!AB38+'QTR CF'!AC38</f>
        <v/>
      </c>
      <c r="J35" s="9">
        <f>'QTR CF'!AD38+'QTR CF'!AE38+'QTR CF'!AF38+'QTR CF'!AG38</f>
        <v/>
      </c>
      <c r="K35" s="9">
        <f>'QTR CF'!AH38+'QTR CF'!AI38+'QTR CF'!AJ38+'QTR CF'!AK38</f>
        <v/>
      </c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9">
        <f>'QTR CF'!R40+'QTR CF'!S40+'QTR CF'!T40+'QTR CF'!U40</f>
        <v/>
      </c>
      <c r="H37" s="9">
        <f>'QTR CF'!V40+'QTR CF'!W40+'QTR CF'!X40+'QTR CF'!Y40</f>
        <v/>
      </c>
      <c r="I37" s="9">
        <f>'QTR CF'!Z40+'QTR CF'!AA40+'QTR CF'!AB40+'QTR CF'!AC40</f>
        <v/>
      </c>
      <c r="J37" s="9">
        <f>'QTR CF'!AD40+'QTR CF'!AE40+'QTR CF'!AF40+'QTR CF'!AG40</f>
        <v/>
      </c>
      <c r="K37" s="9">
        <f>'QTR CF'!AH40+'QTR CF'!AI40+'QTR CF'!AJ40+'QTR CF'!AK40</f>
        <v/>
      </c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9">
        <f>'QTR CF'!R41+'QTR CF'!S41+'QTR CF'!T41+'QTR CF'!U41</f>
        <v/>
      </c>
      <c r="H38" s="9">
        <f>'QTR CF'!V41+'QTR CF'!W41+'QTR CF'!X41+'QTR CF'!Y41</f>
        <v/>
      </c>
      <c r="I38" s="9">
        <f>'QTR CF'!Z41+'QTR CF'!AA41+'QTR CF'!AB41+'QTR CF'!AC41</f>
        <v/>
      </c>
      <c r="J38" s="9">
        <f>'QTR CF'!AD41+'QTR CF'!AE41+'QTR CF'!AF41+'QTR CF'!AG41</f>
        <v/>
      </c>
      <c r="K38" s="9">
        <f>'QTR CF'!AH41+'QTR CF'!AI41+'QTR CF'!AJ41+'QTR CF'!AK41</f>
        <v/>
      </c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9">
        <f>'QTR CF'!R42+'QTR CF'!S42+'QTR CF'!T42+'QTR CF'!U42</f>
        <v/>
      </c>
      <c r="H39" s="9">
        <f>'QTR CF'!V42+'QTR CF'!W42+'QTR CF'!X42+'QTR CF'!Y42</f>
        <v/>
      </c>
      <c r="I39" s="9">
        <f>'QTR CF'!Z42+'QTR CF'!AA42+'QTR CF'!AB42+'QTR CF'!AC42</f>
        <v/>
      </c>
      <c r="J39" s="9">
        <f>'QTR CF'!AD42+'QTR CF'!AE42+'QTR CF'!AF42+'QTR CF'!AG42</f>
        <v/>
      </c>
      <c r="K39" s="9">
        <f>'QTR CF'!AH42+'QTR CF'!AI42+'QTR CF'!AJ42+'QTR CF'!AK42</f>
        <v/>
      </c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9">
        <f>'QTR CF'!R43+'QTR CF'!S43+'QTR CF'!T43+'QTR CF'!U43</f>
        <v/>
      </c>
      <c r="H40" s="9">
        <f>'QTR CF'!V43+'QTR CF'!W43+'QTR CF'!X43+'QTR CF'!Y43</f>
        <v/>
      </c>
      <c r="I40" s="9">
        <f>'QTR CF'!Z43+'QTR CF'!AA43+'QTR CF'!AB43+'QTR CF'!AC43</f>
        <v/>
      </c>
      <c r="J40" s="9">
        <f>'QTR CF'!AD43+'QTR CF'!AE43+'QTR CF'!AF43+'QTR CF'!AG43</f>
        <v/>
      </c>
      <c r="K40" s="9">
        <f>'QTR CF'!AH43+'QTR CF'!AI43+'QTR CF'!AJ43+'QTR CF'!AK43</f>
        <v/>
      </c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9">
        <f>'QTR CF'!R44+'QTR CF'!S44+'QTR CF'!T44+'QTR CF'!U44</f>
        <v/>
      </c>
      <c r="H41" s="9">
        <f>'QTR CF'!V44+'QTR CF'!W44+'QTR CF'!X44+'QTR CF'!Y44</f>
        <v/>
      </c>
      <c r="I41" s="9">
        <f>'QTR CF'!Z44+'QTR CF'!AA44+'QTR CF'!AB44+'QTR CF'!AC44</f>
        <v/>
      </c>
      <c r="J41" s="9">
        <f>'QTR CF'!AD44+'QTR CF'!AE44+'QTR CF'!AF44+'QTR CF'!AG44</f>
        <v/>
      </c>
      <c r="K41" s="9">
        <f>'QTR CF'!AH44+'QTR CF'!AI44+'QTR CF'!AJ44+'QTR CF'!AK44</f>
        <v/>
      </c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9">
        <f>'QTR CF'!R45+'QTR CF'!S45+'QTR CF'!T45+'QTR CF'!U45</f>
        <v/>
      </c>
      <c r="H42" s="9">
        <f>'QTR CF'!V45+'QTR CF'!W45+'QTR CF'!X45+'QTR CF'!Y45</f>
        <v/>
      </c>
      <c r="I42" s="9">
        <f>'QTR CF'!Z45+'QTR CF'!AA45+'QTR CF'!AB45+'QTR CF'!AC45</f>
        <v/>
      </c>
      <c r="J42" s="9">
        <f>'QTR CF'!AD45+'QTR CF'!AE45+'QTR CF'!AF45+'QTR CF'!AG45</f>
        <v/>
      </c>
      <c r="K42" s="9">
        <f>'QTR CF'!AH45+'QTR CF'!AI45+'QTR CF'!AJ45+'QTR CF'!AK45</f>
        <v/>
      </c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9">
        <f>'QTR CF'!R46+'QTR CF'!S46+'QTR CF'!T46+'QTR CF'!U46</f>
        <v/>
      </c>
      <c r="H43" s="9">
        <f>'QTR CF'!V46+'QTR CF'!W46+'QTR CF'!X46+'QTR CF'!Y46</f>
        <v/>
      </c>
      <c r="I43" s="9">
        <f>'QTR CF'!Z46+'QTR CF'!AA46+'QTR CF'!AB46+'QTR CF'!AC46</f>
        <v/>
      </c>
      <c r="J43" s="9">
        <f>'QTR CF'!AD46+'QTR CF'!AE46+'QTR CF'!AF46+'QTR CF'!AG46</f>
        <v/>
      </c>
      <c r="K43" s="9">
        <f>'QTR CF'!AH46+'QTR CF'!AI46+'QTR CF'!AJ46+'QTR CF'!AK46</f>
        <v/>
      </c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9">
        <f>'QTR CF'!R47+'QTR CF'!S47+'QTR CF'!T47+'QTR CF'!U47</f>
        <v/>
      </c>
      <c r="H44" s="9">
        <f>'QTR CF'!V47+'QTR CF'!W47+'QTR CF'!X47+'QTR CF'!Y47</f>
        <v/>
      </c>
      <c r="I44" s="9">
        <f>'QTR CF'!Z47+'QTR CF'!AA47+'QTR CF'!AB47+'QTR CF'!AC47</f>
        <v/>
      </c>
      <c r="J44" s="9">
        <f>'QTR CF'!AD47+'QTR CF'!AE47+'QTR CF'!AF47+'QTR CF'!AG47</f>
        <v/>
      </c>
      <c r="K44" s="9">
        <f>'QTR CF'!AH47+'QTR CF'!AI47+'QTR CF'!AJ47+'QTR CF'!AK47</f>
        <v/>
      </c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9">
        <f>'QTR CF'!R48+'QTR CF'!S48+'QTR CF'!T48+'QTR CF'!U48</f>
        <v/>
      </c>
      <c r="H45" s="9">
        <f>'QTR CF'!V48+'QTR CF'!W48+'QTR CF'!X48+'QTR CF'!Y48</f>
        <v/>
      </c>
      <c r="I45" s="9">
        <f>'QTR CF'!Z48+'QTR CF'!AA48+'QTR CF'!AB48+'QTR CF'!AC48</f>
        <v/>
      </c>
      <c r="J45" s="9">
        <f>'QTR CF'!AD48+'QTR CF'!AE48+'QTR CF'!AF48+'QTR CF'!AG48</f>
        <v/>
      </c>
      <c r="K45" s="9">
        <f>'QTR CF'!AH48+'QTR CF'!AI48+'QTR CF'!AJ48+'QTR CF'!AK48</f>
        <v/>
      </c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9">
        <f>'QTR CF'!R49+'QTR CF'!S49+'QTR CF'!T49+'QTR CF'!U49</f>
        <v/>
      </c>
      <c r="H46" s="9">
        <f>'QTR CF'!V49+'QTR CF'!W49+'QTR CF'!X49+'QTR CF'!Y49</f>
        <v/>
      </c>
      <c r="I46" s="9">
        <f>'QTR CF'!Z49+'QTR CF'!AA49+'QTR CF'!AB49+'QTR CF'!AC49</f>
        <v/>
      </c>
      <c r="J46" s="9">
        <f>'QTR CF'!AD49+'QTR CF'!AE49+'QTR CF'!AF49+'QTR CF'!AG49</f>
        <v/>
      </c>
      <c r="K46" s="9">
        <f>'QTR CF'!AH49+'QTR CF'!AI49+'QTR CF'!AJ49+'QTR CF'!AK49</f>
        <v/>
      </c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9">
        <f>'QTR CF'!R51+'QTR CF'!S51+'QTR CF'!T51+'QTR CF'!U51</f>
        <v/>
      </c>
      <c r="H48" s="9">
        <f>'QTR CF'!V51+'QTR CF'!W51+'QTR CF'!X51+'QTR CF'!Y51</f>
        <v/>
      </c>
      <c r="I48" s="9">
        <f>'QTR CF'!Z51+'QTR CF'!AA51+'QTR CF'!AB51+'QTR CF'!AC51</f>
        <v/>
      </c>
      <c r="J48" s="9">
        <f>'QTR CF'!AD51+'QTR CF'!AE51+'QTR CF'!AF51+'QTR CF'!AG51</f>
        <v/>
      </c>
      <c r="K48" s="9">
        <f>'QTR CF'!AH51+'QTR CF'!AI51+'QTR CF'!AJ51+'QTR CF'!AK51</f>
        <v/>
      </c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-6727</v>
      </c>
      <c r="G15" s="4" t="n">
        <v>-13263</v>
      </c>
      <c r="H15" s="4" t="n">
        <v>-6128</v>
      </c>
      <c r="I15" s="4" t="n">
        <v>-12417</v>
      </c>
      <c r="J15" s="4" t="n">
        <v>-12357</v>
      </c>
      <c r="K15" s="4" t="n">
        <v>-3219</v>
      </c>
      <c r="L15" s="4" t="n">
        <v>-10703</v>
      </c>
      <c r="M15" s="4" t="n">
        <v>-5272</v>
      </c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6">
        <f>G13+G14+G15</f>
        <v/>
      </c>
      <c r="H16" s="6">
        <f>H13+H14+H15</f>
        <v/>
      </c>
      <c r="I16" s="6">
        <f>I13+I14+I15</f>
        <v/>
      </c>
      <c r="J16" s="6">
        <f>J13+J14+J15</f>
        <v/>
      </c>
      <c r="K16" s="6">
        <f>K13+K14+K15</f>
        <v/>
      </c>
      <c r="L16" s="6">
        <f>L13+L14+L15</f>
        <v/>
      </c>
      <c r="M16" s="6">
        <f>M13+M14+M15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Additional Paid-in Capital</t>
        </is>
      </c>
      <c r="B41" s="4" t="n">
        <v>280668</v>
      </c>
      <c r="C41" s="4" t="n">
        <v>279872</v>
      </c>
      <c r="D41" s="4" t="n">
        <v>278980</v>
      </c>
      <c r="E41" s="4" t="n">
        <v>277980</v>
      </c>
      <c r="F41" s="4" t="n">
        <v>276717</v>
      </c>
      <c r="G41" s="4" t="n">
        <v>281247</v>
      </c>
      <c r="H41" s="4" t="n">
        <v>286173</v>
      </c>
      <c r="I41" s="4" t="n">
        <v>292576</v>
      </c>
      <c r="J41" s="4" t="n">
        <v>297579</v>
      </c>
      <c r="K41" s="4" t="n">
        <v>300877</v>
      </c>
      <c r="L41" s="4" t="n">
        <v>1028384</v>
      </c>
      <c r="M41" s="4" t="n">
        <v>1035021</v>
      </c>
    </row>
    <row r="42">
      <c r="A42" s="3" t="inlineStr">
        <is>
          <t>Accumulated Other Comprehensive Income (Loss)</t>
        </is>
      </c>
      <c r="B42" s="4" t="n">
        <v>-1881</v>
      </c>
      <c r="C42" s="4" t="n">
        <v>-1287</v>
      </c>
      <c r="D42" s="4" t="n">
        <v>-1877</v>
      </c>
      <c r="E42" s="4" t="n">
        <v>-2541</v>
      </c>
      <c r="F42" s="4" t="n">
        <v>-701</v>
      </c>
      <c r="G42" s="4" t="n">
        <v>-2055</v>
      </c>
      <c r="H42" s="4" t="n">
        <v>-2363</v>
      </c>
      <c r="I42" s="4" t="n">
        <v>-338</v>
      </c>
      <c r="J42" s="4" t="n">
        <v>-3250</v>
      </c>
      <c r="K42" s="4" t="n">
        <v>-1001</v>
      </c>
      <c r="L42" s="4" t="n">
        <v>2178</v>
      </c>
      <c r="M42" s="4" t="n">
        <v>2508</v>
      </c>
    </row>
    <row r="43">
      <c r="A43" s="3" t="inlineStr">
        <is>
          <t>Retained Earnings (Accumulated Deficit)</t>
        </is>
      </c>
      <c r="B43" s="4" t="n">
        <v>-238772</v>
      </c>
      <c r="C43" s="4" t="n">
        <v>-197627</v>
      </c>
      <c r="D43" s="4" t="n">
        <v>-146118</v>
      </c>
      <c r="E43" s="4" t="n">
        <v>-62169</v>
      </c>
      <c r="F43" s="4" t="n">
        <v>-12053</v>
      </c>
      <c r="G43" s="4" t="n">
        <v>58921</v>
      </c>
      <c r="H43" s="4" t="n">
        <v>131866</v>
      </c>
      <c r="I43" s="4" t="n">
        <v>131309</v>
      </c>
      <c r="J43" s="4" t="n">
        <v>105521</v>
      </c>
      <c r="K43" s="4" t="n">
        <v>143159</v>
      </c>
      <c r="L43" s="4" t="n">
        <v>236163</v>
      </c>
      <c r="M43" s="4" t="n">
        <v>165480</v>
      </c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6">
        <f>SUM(I38:I43)</f>
        <v/>
      </c>
      <c r="J44" s="6">
        <f>SUM(J38:J43)</f>
        <v/>
      </c>
      <c r="K44" s="6">
        <f>SUM(K38:K43)</f>
        <v/>
      </c>
      <c r="L44" s="6">
        <f>SUM(L38:L43)</f>
        <v/>
      </c>
      <c r="M44" s="6">
        <f>SUM(M38:M43)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6">
        <f>I37+I44</f>
        <v/>
      </c>
      <c r="J45" s="6">
        <f>J37+J44</f>
        <v/>
      </c>
      <c r="K45" s="6">
        <f>K37+K44</f>
        <v/>
      </c>
      <c r="L45" s="6">
        <f>L37+L44</f>
        <v/>
      </c>
      <c r="M45" s="6">
        <f>M37+M44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Gain (Loss) on Lease Cancellations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inlineStr">
        <is>
          <t>Change in Fair Value of Contingent Consideration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13800</v>
      </c>
      <c r="M15" s="4" t="n">
        <v>13800</v>
      </c>
    </row>
    <row r="16">
      <c r="A16" s="3" t="inlineStr">
        <is>
          <t>Gain (Loss) on Extinguishment of Debt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</row>
    <row r="17">
      <c r="A17" s="3" t="inlineStr">
        <is>
          <t>Other Operating Items</t>
        </is>
      </c>
      <c r="B17" s="4" t="n">
        <v>0</v>
      </c>
      <c r="C17" s="4" t="n">
        <v>0</v>
      </c>
      <c r="D17" s="4" t="n">
        <v>56</v>
      </c>
      <c r="E17" s="4" t="n">
        <v>-4</v>
      </c>
      <c r="F17" s="4" t="n">
        <v>8</v>
      </c>
      <c r="G17" s="4" t="n">
        <v>-2</v>
      </c>
      <c r="H17" s="4" t="n">
        <v>-7672</v>
      </c>
      <c r="I17" s="4" t="n">
        <v>0</v>
      </c>
      <c r="J17" s="4" t="n">
        <v>0</v>
      </c>
      <c r="K17" s="4" t="n">
        <v>-1014</v>
      </c>
      <c r="L17" s="4" t="n">
        <v>-257</v>
      </c>
      <c r="M17" s="4" t="n">
        <v>1964</v>
      </c>
    </row>
    <row r="18">
      <c r="A18" s="3" t="inlineStr">
        <is>
          <t>Accounts Receivable</t>
        </is>
      </c>
      <c r="B18" s="4" t="n">
        <v>-34420</v>
      </c>
      <c r="C18" s="4" t="n">
        <v>-27920</v>
      </c>
      <c r="D18" s="4" t="n">
        <v>-78967</v>
      </c>
      <c r="E18" s="4" t="n">
        <v>-109639</v>
      </c>
      <c r="F18" s="4" t="n">
        <v>-135600</v>
      </c>
      <c r="G18" s="4" t="n">
        <v>-153271</v>
      </c>
      <c r="H18" s="4" t="n">
        <v>-18664</v>
      </c>
      <c r="I18" s="4" t="n">
        <v>-82213</v>
      </c>
      <c r="J18" s="4" t="n">
        <v>-26529</v>
      </c>
      <c r="K18" s="4" t="n">
        <v>11841</v>
      </c>
      <c r="L18" s="4" t="n">
        <v>-143153</v>
      </c>
      <c r="M18" s="4" t="n">
        <v>-164133</v>
      </c>
    </row>
    <row r="19">
      <c r="A19" s="3" t="inlineStr">
        <is>
          <t>Note Receivable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Inventories</t>
        </is>
      </c>
      <c r="B20" s="4" t="n">
        <v>4531</v>
      </c>
      <c r="C20" s="4" t="n">
        <v>28753</v>
      </c>
      <c r="D20" s="4" t="n">
        <v>36211</v>
      </c>
      <c r="E20" s="4" t="n">
        <v>17338</v>
      </c>
      <c r="F20" s="4" t="n">
        <v>24632</v>
      </c>
      <c r="G20" s="4" t="n">
        <v>-28092</v>
      </c>
      <c r="H20" s="4" t="n">
        <v>29386</v>
      </c>
      <c r="I20" s="4" t="n">
        <v>37052</v>
      </c>
      <c r="J20" s="4" t="n">
        <v>14585</v>
      </c>
      <c r="K20" s="4" t="n">
        <v>4794</v>
      </c>
      <c r="L20" s="4" t="n">
        <v>23039</v>
      </c>
      <c r="M20" s="4" t="n">
        <v>31132</v>
      </c>
    </row>
    <row r="21">
      <c r="A21" s="3" t="inlineStr">
        <is>
          <t>Prepaid Expenses</t>
        </is>
      </c>
      <c r="B21" s="4" t="n">
        <v>3513</v>
      </c>
      <c r="C21" s="4" t="n">
        <v>1257</v>
      </c>
      <c r="D21" s="4" t="n">
        <v>1459</v>
      </c>
      <c r="E21" s="4" t="n">
        <v>-4166</v>
      </c>
      <c r="F21" s="4" t="n">
        <v>-12058</v>
      </c>
      <c r="G21" s="4" t="n">
        <v>-12406</v>
      </c>
      <c r="H21" s="4" t="n">
        <v>-2076</v>
      </c>
      <c r="I21" s="4" t="n">
        <v>-3469</v>
      </c>
      <c r="J21" s="4" t="n">
        <v>-20261</v>
      </c>
      <c r="K21" s="4" t="n">
        <v>-3687</v>
      </c>
      <c r="L21" s="4" t="n">
        <v>-20645</v>
      </c>
      <c r="M21" s="4" t="n">
        <v>-142920</v>
      </c>
    </row>
    <row r="22">
      <c r="A22" s="3" t="inlineStr">
        <is>
          <t>Change in A/P and Accrued (legacy)</t>
        </is>
      </c>
      <c r="B22" s="4" t="n">
        <v>5552</v>
      </c>
      <c r="C22" s="4" t="n">
        <v>-7176</v>
      </c>
      <c r="D22" s="4" t="n">
        <v>-3050</v>
      </c>
      <c r="E22" s="4" t="n">
        <v>182</v>
      </c>
      <c r="F22" s="4" t="n">
        <v>-12491</v>
      </c>
      <c r="G22" s="4" t="n">
        <v>14652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</row>
    <row r="23">
      <c r="A23" s="3" t="inlineStr">
        <is>
          <t>Other Non-Current Assets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-6362</v>
      </c>
      <c r="J23" s="4" t="n">
        <v>-5303</v>
      </c>
      <c r="K23" s="4" t="n">
        <v>-1700</v>
      </c>
      <c r="L23" s="4" t="n">
        <v>742</v>
      </c>
      <c r="M23" s="4" t="n">
        <v>1511</v>
      </c>
    </row>
    <row r="24">
      <c r="A24" s="3" t="inlineStr">
        <is>
          <t>Accounts Payable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-3013</v>
      </c>
      <c r="I24" s="4" t="n">
        <v>3950</v>
      </c>
      <c r="J24" s="4" t="n">
        <v>-12259</v>
      </c>
      <c r="K24" s="4" t="n">
        <v>11679</v>
      </c>
      <c r="L24" s="4" t="n">
        <v>20789</v>
      </c>
      <c r="M24" s="4" t="n">
        <v>4081</v>
      </c>
    </row>
    <row r="25">
      <c r="A25" s="3" t="inlineStr">
        <is>
          <t>Accrued Expenses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1998</v>
      </c>
      <c r="I25" s="4" t="n">
        <v>17760</v>
      </c>
      <c r="J25" s="4" t="n">
        <v>11151</v>
      </c>
      <c r="K25" s="4" t="n">
        <v>-8673</v>
      </c>
      <c r="L25" s="4" t="n">
        <v>-7013</v>
      </c>
      <c r="M25" s="4" t="n">
        <v>32961</v>
      </c>
    </row>
    <row r="26">
      <c r="A26" s="3" t="inlineStr">
        <is>
          <t>Other Current Liabilities</t>
        </is>
      </c>
      <c r="B26" s="4" t="n">
        <v>765</v>
      </c>
      <c r="C26" s="4" t="n">
        <v>1820</v>
      </c>
      <c r="D26" s="4" t="n">
        <v>32590</v>
      </c>
      <c r="E26" s="4" t="n">
        <v>1508</v>
      </c>
      <c r="F26" s="4" t="n">
        <v>61128</v>
      </c>
      <c r="G26" s="4" t="n">
        <v>62901</v>
      </c>
      <c r="H26" s="4" t="n">
        <v>10344</v>
      </c>
      <c r="I26" s="4" t="n">
        <v>-42094</v>
      </c>
      <c r="J26" s="4" t="n">
        <v>-45537</v>
      </c>
      <c r="K26" s="4" t="n">
        <v>13705</v>
      </c>
      <c r="L26" s="4" t="n">
        <v>12927</v>
      </c>
      <c r="M26" s="4" t="n">
        <v>42433</v>
      </c>
    </row>
    <row r="27">
      <c r="A27" s="3" t="inlineStr">
        <is>
          <t>Accrued Promotional Allowance</t>
        </is>
      </c>
      <c r="B27" s="4" t="n">
        <v>12190</v>
      </c>
      <c r="C27" s="4" t="n">
        <v>17512</v>
      </c>
      <c r="D27" s="4" t="n">
        <v>24213</v>
      </c>
      <c r="E27" s="4" t="n">
        <v>32248</v>
      </c>
      <c r="F27" s="4" t="n">
        <v>62995</v>
      </c>
      <c r="G27" s="4" t="n">
        <v>100580</v>
      </c>
      <c r="H27" s="4" t="n">
        <v>29414</v>
      </c>
      <c r="I27" s="4" t="n">
        <v>56692</v>
      </c>
      <c r="J27" s="4" t="n">
        <v>59023</v>
      </c>
      <c r="K27" s="4" t="n">
        <v>15379</v>
      </c>
      <c r="L27" s="4" t="n">
        <v>64221</v>
      </c>
      <c r="M27" s="4" t="n">
        <v>83276</v>
      </c>
    </row>
    <row r="28">
      <c r="A28" s="3" t="inlineStr">
        <is>
          <t>Accrued Distributor Termination</t>
        </is>
      </c>
      <c r="B28" s="4" t="n">
        <v>0</v>
      </c>
      <c r="C28" s="4" t="n">
        <v>0</v>
      </c>
      <c r="D28" s="4" t="n">
        <v>115551</v>
      </c>
      <c r="E28" s="4" t="n">
        <v>-2923</v>
      </c>
      <c r="F28" s="4" t="n">
        <v>-3986</v>
      </c>
      <c r="G28" s="4" t="n">
        <v>-3986</v>
      </c>
      <c r="H28" s="4" t="n">
        <v>-248</v>
      </c>
      <c r="I28" s="4" t="n">
        <v>-248</v>
      </c>
      <c r="J28" s="4" t="n">
        <v>-248</v>
      </c>
      <c r="K28" s="4" t="n">
        <v>0</v>
      </c>
      <c r="L28" s="4" t="n">
        <v>0</v>
      </c>
      <c r="M28" s="4" t="n">
        <v>252953</v>
      </c>
    </row>
    <row r="29">
      <c r="A29" s="3" t="inlineStr">
        <is>
          <t>ROU &amp; Lease Liability, Net</t>
        </is>
      </c>
      <c r="B29" s="4" t="n">
        <v>-78</v>
      </c>
      <c r="C29" s="4" t="n">
        <v>-95</v>
      </c>
      <c r="D29" s="4" t="n">
        <v>-126</v>
      </c>
      <c r="E29" s="4" t="n">
        <v>-15</v>
      </c>
      <c r="F29" s="4" t="n">
        <v>-38</v>
      </c>
      <c r="G29" s="4" t="n">
        <v>-64</v>
      </c>
      <c r="H29" s="4" t="n">
        <v>-23</v>
      </c>
      <c r="I29" s="4" t="n">
        <v>-34</v>
      </c>
      <c r="J29" s="4" t="n">
        <v>17</v>
      </c>
      <c r="K29" s="4" t="n">
        <v>0</v>
      </c>
      <c r="L29" s="4" t="n">
        <v>0</v>
      </c>
      <c r="M29" s="4" t="n">
        <v>0</v>
      </c>
    </row>
    <row r="30">
      <c r="A30" s="3" t="inlineStr">
        <is>
          <t>Deferred Revenue</t>
        </is>
      </c>
      <c r="B30" s="4" t="n">
        <v>0</v>
      </c>
      <c r="C30" s="4" t="n">
        <v>0</v>
      </c>
      <c r="D30" s="4" t="n">
        <v>154103</v>
      </c>
      <c r="E30" s="4" t="n">
        <v>-4625</v>
      </c>
      <c r="F30" s="4" t="n">
        <v>-8219</v>
      </c>
      <c r="G30" s="4" t="n">
        <v>-10593</v>
      </c>
      <c r="H30" s="4" t="n">
        <v>-2378</v>
      </c>
      <c r="I30" s="4" t="n">
        <v>-4757</v>
      </c>
      <c r="J30" s="4" t="n">
        <v>-7135</v>
      </c>
      <c r="K30" s="4" t="n">
        <v>-2378</v>
      </c>
      <c r="L30" s="4" t="n">
        <v>-7320</v>
      </c>
      <c r="M30" s="4" t="n">
        <v>233463</v>
      </c>
    </row>
    <row r="31">
      <c r="A31" s="3" t="inlineStr">
        <is>
          <t>Net Change in Other Working Capital</t>
        </is>
      </c>
      <c r="B31" s="4" t="n">
        <v>0</v>
      </c>
      <c r="C31" s="4" t="n">
        <v>488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148</v>
      </c>
      <c r="L31" s="4" t="n">
        <v>-1210</v>
      </c>
      <c r="M31" s="4" t="n">
        <v>-1786</v>
      </c>
    </row>
    <row r="32">
      <c r="A32" s="3" t="inlineStr">
        <is>
          <t>Cash Flow from Operations</t>
        </is>
      </c>
      <c r="B32" s="6">
        <f>SUM(B2:B31)</f>
        <v/>
      </c>
      <c r="C32" s="6">
        <f>SUM(C2:C31)</f>
        <v/>
      </c>
      <c r="D32" s="6">
        <f>SUM(D2:D31)</f>
        <v/>
      </c>
      <c r="E32" s="6">
        <f>SUM(E2:E31)</f>
        <v/>
      </c>
      <c r="F32" s="6">
        <f>SUM(F2:F31)</f>
        <v/>
      </c>
      <c r="G32" s="6">
        <f>SUM(G2:G31)</f>
        <v/>
      </c>
      <c r="H32" s="6">
        <f>SUM(H2:H31)</f>
        <v/>
      </c>
      <c r="I32" s="6">
        <f>SUM(I2:I31)</f>
        <v/>
      </c>
      <c r="J32" s="6">
        <f>SUM(J2:J31)</f>
        <v/>
      </c>
      <c r="K32" s="6">
        <f>SUM(K2:K31)</f>
        <v/>
      </c>
      <c r="L32" s="6">
        <f>SUM(L2:L31)</f>
        <v/>
      </c>
      <c r="M32" s="6">
        <f>SUM(M2:M31)</f>
        <v/>
      </c>
    </row>
    <row r="33">
      <c r="A33" s="3" t="inlineStr">
        <is>
          <t>Collections from Note Receivable</t>
        </is>
      </c>
      <c r="B33" s="4" t="n">
        <v>0</v>
      </c>
      <c r="C33" s="4" t="n">
        <v>2592</v>
      </c>
      <c r="D33" s="4" t="n">
        <v>2592</v>
      </c>
      <c r="E33" s="4" t="n">
        <v>3233</v>
      </c>
      <c r="F33" s="4" t="n">
        <v>3233</v>
      </c>
      <c r="G33" s="4" t="n">
        <v>3233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Purchase of PP&amp;E</t>
        </is>
      </c>
      <c r="B34" s="4" t="n">
        <v>-742</v>
      </c>
      <c r="C34" s="4" t="n">
        <v>-2456</v>
      </c>
      <c r="D34" s="4" t="n">
        <v>-3477</v>
      </c>
      <c r="E34" s="4" t="n">
        <v>-2253</v>
      </c>
      <c r="F34" s="4" t="n">
        <v>-6810</v>
      </c>
      <c r="G34" s="4" t="n">
        <v>-12687</v>
      </c>
      <c r="H34" s="4" t="n">
        <v>-4525</v>
      </c>
      <c r="I34" s="4" t="n">
        <v>-13739</v>
      </c>
      <c r="J34" s="4" t="n">
        <v>-17983</v>
      </c>
      <c r="K34" s="4" t="n">
        <v>-6944</v>
      </c>
      <c r="L34" s="4" t="n">
        <v>-15194</v>
      </c>
      <c r="M34" s="4" t="n">
        <v>-25539</v>
      </c>
    </row>
    <row r="35">
      <c r="A35" s="3" t="inlineStr">
        <is>
          <t>Purchase of Non-Marketable Equity Securities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-3000</v>
      </c>
      <c r="K35" s="4" t="n">
        <v>0</v>
      </c>
      <c r="L35" s="4" t="n">
        <v>-5000</v>
      </c>
      <c r="M35" s="4" t="n">
        <v>-5000</v>
      </c>
    </row>
    <row r="36">
      <c r="A36" s="3" t="inlineStr">
        <is>
          <t>Acquisition of Big Beverages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Acquisitions, Net of Cash Acquired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-1256351</v>
      </c>
      <c r="M37" s="4" t="n">
        <v>-1278769</v>
      </c>
    </row>
    <row r="38">
      <c r="A38" s="3" t="inlineStr">
        <is>
          <t>Working Capital Estimate from Pepsi (Rockstar)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30617</v>
      </c>
    </row>
    <row r="39">
      <c r="A39" s="3" t="inlineStr">
        <is>
          <t>Cash Flow from Investing</t>
        </is>
      </c>
      <c r="B39" s="6">
        <f>SUM(B33:B38)</f>
        <v/>
      </c>
      <c r="C39" s="6">
        <f>SUM(C33:C38)</f>
        <v/>
      </c>
      <c r="D39" s="6">
        <f>SUM(D33:D38)</f>
        <v/>
      </c>
      <c r="E39" s="6">
        <f>SUM(E33:E38)</f>
        <v/>
      </c>
      <c r="F39" s="6">
        <f>SUM(F33:F38)</f>
        <v/>
      </c>
      <c r="G39" s="6">
        <f>SUM(G33:G38)</f>
        <v/>
      </c>
      <c r="H39" s="6">
        <f>SUM(H33:H38)</f>
        <v/>
      </c>
      <c r="I39" s="6">
        <f>SUM(I33:I38)</f>
        <v/>
      </c>
      <c r="J39" s="6">
        <f>SUM(J33:J38)</f>
        <v/>
      </c>
      <c r="K39" s="6">
        <f>SUM(K33:K38)</f>
        <v/>
      </c>
      <c r="L39" s="6">
        <f>SUM(L33:L38)</f>
        <v/>
      </c>
      <c r="M39" s="6">
        <f>SUM(M33:M38)</f>
        <v/>
      </c>
    </row>
    <row r="40">
      <c r="A40" s="3" t="inlineStr">
        <is>
          <t>Finance Lease Payments</t>
        </is>
      </c>
      <c r="B40" s="4" t="n">
        <v>-20</v>
      </c>
      <c r="C40" s="4" t="n">
        <v>-37</v>
      </c>
      <c r="D40" s="4" t="n">
        <v>-49</v>
      </c>
      <c r="E40" s="4" t="n">
        <v>-11</v>
      </c>
      <c r="F40" s="4" t="n">
        <v>-22</v>
      </c>
      <c r="G40" s="4" t="n">
        <v>-33</v>
      </c>
      <c r="H40" s="4" t="n">
        <v>-15</v>
      </c>
      <c r="I40" s="4" t="n">
        <v>-30</v>
      </c>
      <c r="J40" s="4" t="n">
        <v>-46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Proceeds from Exercise of Stock Options</t>
        </is>
      </c>
      <c r="B41" s="4" t="n">
        <v>810</v>
      </c>
      <c r="C41" s="4" t="n">
        <v>1260</v>
      </c>
      <c r="D41" s="4" t="n">
        <v>3104</v>
      </c>
      <c r="E41" s="4" t="n">
        <v>478</v>
      </c>
      <c r="F41" s="4" t="n">
        <v>707</v>
      </c>
      <c r="G41" s="4" t="n">
        <v>1603</v>
      </c>
      <c r="H41" s="4" t="n">
        <v>967</v>
      </c>
      <c r="I41" s="4" t="n">
        <v>1147</v>
      </c>
      <c r="J41" s="4" t="n">
        <v>3832</v>
      </c>
      <c r="K41" s="4" t="n">
        <v>0</v>
      </c>
      <c r="L41" s="4" t="n">
        <v>0</v>
      </c>
      <c r="M41" s="4" t="n">
        <v>0</v>
      </c>
    </row>
    <row r="42">
      <c r="A42" s="3" t="inlineStr">
        <is>
          <t>Proceeds from Issuance of Common Stock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</row>
    <row r="43">
      <c r="A43" s="3" t="inlineStr">
        <is>
          <t>Proceeds from Issuance of Preferred Stock</t>
        </is>
      </c>
      <c r="B43" s="4" t="n">
        <v>0</v>
      </c>
      <c r="C43" s="4" t="n">
        <v>0</v>
      </c>
      <c r="D43" s="4" t="n">
        <v>542018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</row>
    <row r="44">
      <c r="A44" s="3" t="inlineStr">
        <is>
          <t>Preferred Dividends</t>
        </is>
      </c>
      <c r="B44" s="4" t="n">
        <v>0</v>
      </c>
      <c r="C44" s="4" t="n">
        <v>0</v>
      </c>
      <c r="D44" s="4" t="n">
        <v>-4596</v>
      </c>
      <c r="E44" s="4" t="n">
        <v>-6781</v>
      </c>
      <c r="F44" s="4" t="n">
        <v>-13637</v>
      </c>
      <c r="G44" s="4" t="n">
        <v>-20512</v>
      </c>
      <c r="H44" s="4" t="n">
        <v>-6837</v>
      </c>
      <c r="I44" s="4" t="n">
        <v>-13675</v>
      </c>
      <c r="J44" s="4" t="n">
        <v>-20588</v>
      </c>
      <c r="K44" s="4" t="n">
        <v>-6781</v>
      </c>
      <c r="L44" s="4" t="n">
        <v>-13632</v>
      </c>
      <c r="M44" s="4" t="n">
        <v>-23301</v>
      </c>
    </row>
    <row r="45">
      <c r="A45" s="3" t="inlineStr">
        <is>
          <t>Share Repurchases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-1658</v>
      </c>
      <c r="K45" s="4" t="n">
        <v>-1932</v>
      </c>
      <c r="L45" s="4" t="n">
        <v>-2811</v>
      </c>
      <c r="M45" s="4" t="n">
        <v>-3259</v>
      </c>
    </row>
    <row r="46">
      <c r="A46" s="3" t="inlineStr">
        <is>
          <t>Proceeds from Issuance of Long-Term Debt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900000</v>
      </c>
      <c r="M46" s="4" t="n">
        <v>900000</v>
      </c>
    </row>
    <row r="47">
      <c r="A47" s="3" t="inlineStr">
        <is>
          <t>Repayments of Long-Term Debt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-2250</v>
      </c>
    </row>
    <row r="48">
      <c r="A48" s="3" t="inlineStr">
        <is>
          <t>Debt Issuance Fees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-2195</v>
      </c>
      <c r="L48" s="4" t="n">
        <v>-31581</v>
      </c>
      <c r="M48" s="4" t="n">
        <v>-31581</v>
      </c>
    </row>
    <row r="49">
      <c r="A49" s="3" t="inlineStr">
        <is>
          <t>Other Financing Activities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321</v>
      </c>
      <c r="L49" s="4" t="n">
        <v>319</v>
      </c>
      <c r="M49" s="4" t="n">
        <v>301</v>
      </c>
    </row>
    <row r="50">
      <c r="A50" s="3" t="inlineStr">
        <is>
          <t>Cash Flow from Financing</t>
        </is>
      </c>
      <c r="B50" s="6">
        <f>SUM(B40:B49)</f>
        <v/>
      </c>
      <c r="C50" s="6">
        <f>SUM(C40:C49)</f>
        <v/>
      </c>
      <c r="D50" s="6">
        <f>SUM(D40:D49)</f>
        <v/>
      </c>
      <c r="E50" s="6">
        <f>SUM(E40:E49)</f>
        <v/>
      </c>
      <c r="F50" s="6">
        <f>SUM(F40:F49)</f>
        <v/>
      </c>
      <c r="G50" s="6">
        <f>SUM(G40:G49)</f>
        <v/>
      </c>
      <c r="H50" s="6">
        <f>SUM(H40:H49)</f>
        <v/>
      </c>
      <c r="I50" s="6">
        <f>SUM(I40:I49)</f>
        <v/>
      </c>
      <c r="J50" s="6">
        <f>SUM(J40:J49)</f>
        <v/>
      </c>
      <c r="K50" s="6">
        <f>SUM(K40:K49)</f>
        <v/>
      </c>
      <c r="L50" s="6">
        <f>SUM(L40:L49)</f>
        <v/>
      </c>
      <c r="M50" s="6">
        <f>SUM(M40:M49)</f>
        <v/>
      </c>
    </row>
    <row r="51">
      <c r="A51" s="3" t="inlineStr">
        <is>
          <t>FX Effect on Cash</t>
        </is>
      </c>
      <c r="B51" s="4" t="n">
        <v>104</v>
      </c>
      <c r="C51" s="4" t="n">
        <v>121</v>
      </c>
      <c r="D51" s="4" t="n">
        <v>158</v>
      </c>
      <c r="E51" s="4" t="n">
        <v>-181</v>
      </c>
      <c r="F51" s="4" t="n">
        <v>-555</v>
      </c>
      <c r="G51" s="4" t="n">
        <v>-555</v>
      </c>
      <c r="H51" s="4" t="n">
        <v>-722</v>
      </c>
      <c r="I51" s="4" t="n">
        <v>-766</v>
      </c>
      <c r="J51" s="4" t="n">
        <v>-16</v>
      </c>
      <c r="K51" s="4" t="n">
        <v>1259</v>
      </c>
      <c r="L51" s="4" t="n">
        <v>2214</v>
      </c>
      <c r="M51" s="4" t="n">
        <v>2174</v>
      </c>
    </row>
    <row r="52">
      <c r="A52" s="3" t="inlineStr">
        <is>
          <t>Net Change in Cash</t>
        </is>
      </c>
      <c r="B52" s="6">
        <f>B32+B39+B50+B51</f>
        <v/>
      </c>
      <c r="C52" s="6">
        <f>C32+C39+C50+C51</f>
        <v/>
      </c>
      <c r="D52" s="6">
        <f>D32+D39+D50+D51</f>
        <v/>
      </c>
      <c r="E52" s="6">
        <f>E32+E39+E50+E51</f>
        <v/>
      </c>
      <c r="F52" s="6">
        <f>F32+F39+F50+F51</f>
        <v/>
      </c>
      <c r="G52" s="6">
        <f>G32+G39+G50+G51</f>
        <v/>
      </c>
      <c r="H52" s="6">
        <f>H32+H39+H50+H51</f>
        <v/>
      </c>
      <c r="I52" s="6">
        <f>I32+I39+I50+I51</f>
        <v/>
      </c>
      <c r="J52" s="6">
        <f>J32+J39+J50+J51</f>
        <v/>
      </c>
      <c r="K52" s="6">
        <f>K32+K39+K50+K51</f>
        <v/>
      </c>
      <c r="L52" s="6">
        <f>L32+L39+L50+L51</f>
        <v/>
      </c>
      <c r="M52" s="6">
        <f>M32+M39+M50+M51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6"/>
  <sheetViews>
    <sheetView workbookViewId="0">
      <pane xSplit="1" ySplit="1" topLeftCell="I2" activePane="bottomRight" state="frozen"/>
      <selection pane="topRight" activeCell="A1" sqref="A1"/>
      <selection pane="bottomLeft" activeCell="A1" sqref="A1"/>
      <selection pane="bottomRight" activeCell="N12" sqref="N12"/>
    </sheetView>
  </sheetViews>
  <sheetFormatPr baseColWidth="8" defaultRowHeight="15"/>
  <cols>
    <col width="42" customWidth="1" min="1" max="1"/>
    <col width="13" customWidth="1" min="2" max="37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IF('IS DRIVERS'!$B2="QoQ",'QTR P&amp;L'!Q2,'QTR P&amp;L'!N2)*(1+'IS DRIVERS'!S2)</f>
        <v/>
      </c>
      <c r="S2" s="9">
        <f>IF('IS DRIVERS'!$B2="QoQ",'QTR P&amp;L'!R2,'QTR P&amp;L'!O2)*(1+'IS DRIVERS'!T2)</f>
        <v/>
      </c>
      <c r="T2" s="9">
        <f>IF('IS DRIVERS'!$B2="QoQ",'QTR P&amp;L'!S2,'QTR P&amp;L'!P2)*(1+'IS DRIVERS'!U2)</f>
        <v/>
      </c>
      <c r="U2" s="9">
        <f>IF('IS DRIVERS'!$B2="QoQ",'QTR P&amp;L'!T2,'QTR P&amp;L'!Q2)*(1+'IS DRIVERS'!V2)</f>
        <v/>
      </c>
      <c r="V2" s="9">
        <f>IF('IS DRIVERS'!$B2="QoQ",'QTR P&amp;L'!U2,'QTR P&amp;L'!R2)*(1+'IS DRIVERS'!W2)</f>
        <v/>
      </c>
      <c r="W2" s="9">
        <f>IF('IS DRIVERS'!$B2="QoQ",'QTR P&amp;L'!V2,'QTR P&amp;L'!S2)*(1+'IS DRIVERS'!X2)</f>
        <v/>
      </c>
      <c r="X2" s="9">
        <f>IF('IS DRIVERS'!$B2="QoQ",'QTR P&amp;L'!W2,'QTR P&amp;L'!T2)*(1+'IS DRIVERS'!Y2)</f>
        <v/>
      </c>
      <c r="Y2" s="9">
        <f>IF('IS DRIVERS'!$B2="QoQ",'QTR P&amp;L'!X2,'QTR P&amp;L'!U2)*(1+'IS DRIVERS'!Z2)</f>
        <v/>
      </c>
      <c r="Z2" s="9">
        <f>IF('IS DRIVERS'!$B2="QoQ",'QTR P&amp;L'!Y2,'QTR P&amp;L'!V2)*(1+'IS DRIVERS'!AA2)</f>
        <v/>
      </c>
      <c r="AA2" s="9">
        <f>IF('IS DRIVERS'!$B2="QoQ",'QTR P&amp;L'!Z2,'QTR P&amp;L'!W2)*(1+'IS DRIVERS'!AB2)</f>
        <v/>
      </c>
      <c r="AB2" s="9">
        <f>IF('IS DRIVERS'!$B2="QoQ",'QTR P&amp;L'!AA2,'QTR P&amp;L'!X2)*(1+'IS DRIVERS'!AC2)</f>
        <v/>
      </c>
      <c r="AC2" s="9">
        <f>IF('IS DRIVERS'!$B2="QoQ",'QTR P&amp;L'!AB2,'QTR P&amp;L'!Y2)*(1+'IS DRIVERS'!AD2)</f>
        <v/>
      </c>
      <c r="AD2" s="9">
        <f>IF('IS DRIVERS'!$B2="QoQ",'QTR P&amp;L'!AC2,'QTR P&amp;L'!Z2)*(1+'IS DRIVERS'!AE2)</f>
        <v/>
      </c>
      <c r="AE2" s="9">
        <f>IF('IS DRIVERS'!$B2="QoQ",'QTR P&amp;L'!AD2,'QTR P&amp;L'!AA2)*(1+'IS DRIVERS'!AF2)</f>
        <v/>
      </c>
      <c r="AF2" s="9">
        <f>IF('IS DRIVERS'!$B2="QoQ",'QTR P&amp;L'!AE2,'QTR P&amp;L'!AB2)*(1+'IS DRIVERS'!AG2)</f>
        <v/>
      </c>
      <c r="AG2" s="9">
        <f>IF('IS DRIVERS'!$B2="QoQ",'QTR P&amp;L'!AF2,'QTR P&amp;L'!AC2)*(1+'IS DRIVERS'!AH2)</f>
        <v/>
      </c>
      <c r="AH2" s="9">
        <f>IF('IS DRIVERS'!$B2="QoQ",'QTR P&amp;L'!AG2,'QTR P&amp;L'!AD2)*(1+'IS DRIVERS'!AI2)</f>
        <v/>
      </c>
      <c r="AI2" s="9">
        <f>IF('IS DRIVERS'!$B2="QoQ",'QTR P&amp;L'!AH2,'QTR P&amp;L'!AE2)*(1+'IS DRIVERS'!AJ2)</f>
        <v/>
      </c>
      <c r="AJ2" s="9">
        <f>IF('IS DRIVERS'!$B2="QoQ",'QTR P&amp;L'!AI2,'QTR P&amp;L'!AF2)*(1+'IS DRIVERS'!AK2)</f>
        <v/>
      </c>
      <c r="AK2" s="9">
        <f>IF('IS DRIVERS'!$B2="QoQ",'QTR P&amp;L'!AJ2,'QTR P&amp;L'!AG2)*(1+'IS DRIVERS'!AL2)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DRIVERS'!S3</f>
        <v/>
      </c>
      <c r="S3" s="9">
        <f>'QTR P&amp;L'!S2*'IS DRIVERS'!T3</f>
        <v/>
      </c>
      <c r="T3" s="9">
        <f>'QTR P&amp;L'!T2*'IS DRIVERS'!U3</f>
        <v/>
      </c>
      <c r="U3" s="9">
        <f>'QTR P&amp;L'!U2*'IS DRIVERS'!V3</f>
        <v/>
      </c>
      <c r="V3" s="9">
        <f>'QTR P&amp;L'!V2*'IS DRIVERS'!W3</f>
        <v/>
      </c>
      <c r="W3" s="9">
        <f>'QTR P&amp;L'!W2*'IS DRIVERS'!X3</f>
        <v/>
      </c>
      <c r="X3" s="9">
        <f>'QTR P&amp;L'!X2*'IS DRIVERS'!Y3</f>
        <v/>
      </c>
      <c r="Y3" s="9">
        <f>'QTR P&amp;L'!Y2*'IS DRIVERS'!Z3</f>
        <v/>
      </c>
      <c r="Z3" s="9">
        <f>'QTR P&amp;L'!Z2*'IS DRIVERS'!AA3</f>
        <v/>
      </c>
      <c r="AA3" s="9">
        <f>'QTR P&amp;L'!AA2*'IS DRIVERS'!AB3</f>
        <v/>
      </c>
      <c r="AB3" s="9">
        <f>'QTR P&amp;L'!AB2*'IS DRIVERS'!AC3</f>
        <v/>
      </c>
      <c r="AC3" s="9">
        <f>'QTR P&amp;L'!AC2*'IS DRIVERS'!AD3</f>
        <v/>
      </c>
      <c r="AD3" s="9">
        <f>'QTR P&amp;L'!AD2*'IS DRIVERS'!AE3</f>
        <v/>
      </c>
      <c r="AE3" s="9">
        <f>'QTR P&amp;L'!AE2*'IS DRIVERS'!AF3</f>
        <v/>
      </c>
      <c r="AF3" s="9">
        <f>'QTR P&amp;L'!AF2*'IS DRIVERS'!AG3</f>
        <v/>
      </c>
      <c r="AG3" s="9">
        <f>'QTR P&amp;L'!AG2*'IS DRIVERS'!AH3</f>
        <v/>
      </c>
      <c r="AH3" s="9">
        <f>'QTR P&amp;L'!AH2*'IS DRIVERS'!AI3</f>
        <v/>
      </c>
      <c r="AI3" s="9">
        <f>'QTR P&amp;L'!AI2*'IS DRIVERS'!AJ3</f>
        <v/>
      </c>
      <c r="AJ3" s="9">
        <f>'QTR P&amp;L'!AJ2*'IS DRIVERS'!AK3</f>
        <v/>
      </c>
      <c r="AK3" s="9">
        <f>'QTR P&amp;L'!AK2*'IS DRIVERS'!AL3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7">
        <f>R2+R3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DRIVERS'!S4</f>
        <v/>
      </c>
      <c r="S5" s="9">
        <f>'QTR P&amp;L'!S2*'IS DRIVERS'!T4</f>
        <v/>
      </c>
      <c r="T5" s="9">
        <f>'QTR P&amp;L'!T2*'IS DRIVERS'!U4</f>
        <v/>
      </c>
      <c r="U5" s="9">
        <f>'QTR P&amp;L'!U2*'IS DRIVERS'!V4</f>
        <v/>
      </c>
      <c r="V5" s="9">
        <f>'QTR P&amp;L'!V2*'IS DRIVERS'!W4</f>
        <v/>
      </c>
      <c r="W5" s="9">
        <f>'QTR P&amp;L'!W2*'IS DRIVERS'!X4</f>
        <v/>
      </c>
      <c r="X5" s="9">
        <f>'QTR P&amp;L'!X2*'IS DRIVERS'!Y4</f>
        <v/>
      </c>
      <c r="Y5" s="9">
        <f>'QTR P&amp;L'!Y2*'IS DRIVERS'!Z4</f>
        <v/>
      </c>
      <c r="Z5" s="9">
        <f>'QTR P&amp;L'!Z2*'IS DRIVERS'!AA4</f>
        <v/>
      </c>
      <c r="AA5" s="9">
        <f>'QTR P&amp;L'!AA2*'IS DRIVERS'!AB4</f>
        <v/>
      </c>
      <c r="AB5" s="9">
        <f>'QTR P&amp;L'!AB2*'IS DRIVERS'!AC4</f>
        <v/>
      </c>
      <c r="AC5" s="9">
        <f>'QTR P&amp;L'!AC2*'IS DRIVERS'!AD4</f>
        <v/>
      </c>
      <c r="AD5" s="9">
        <f>'QTR P&amp;L'!AD2*'IS DRIVERS'!AE4</f>
        <v/>
      </c>
      <c r="AE5" s="9">
        <f>'QTR P&amp;L'!AE2*'IS DRIVERS'!AF4</f>
        <v/>
      </c>
      <c r="AF5" s="9">
        <f>'QTR P&amp;L'!AF2*'IS DRIVERS'!AG4</f>
        <v/>
      </c>
      <c r="AG5" s="9">
        <f>'QTR P&amp;L'!AG2*'IS DRIVERS'!AH4</f>
        <v/>
      </c>
      <c r="AH5" s="9">
        <f>'QTR P&amp;L'!AH2*'IS DRIVERS'!AI4</f>
        <v/>
      </c>
      <c r="AI5" s="9">
        <f>'QTR P&amp;L'!AI2*'IS DRIVERS'!AJ4</f>
        <v/>
      </c>
      <c r="AJ5" s="9">
        <f>'QTR P&amp;L'!AJ2*'IS DRIVERS'!AK4</f>
        <v/>
      </c>
      <c r="AK5" s="9">
        <f>'QTR P&amp;L'!AK2*'IS DRIVERS'!AL4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DRIVERS'!S5</f>
        <v/>
      </c>
      <c r="S6" s="9">
        <f>'IS DRIVERS'!T5</f>
        <v/>
      </c>
      <c r="T6" s="9">
        <f>'IS DRIVERS'!U5</f>
        <v/>
      </c>
      <c r="U6" s="9">
        <f>'IS DRIVERS'!V5</f>
        <v/>
      </c>
      <c r="V6" s="9">
        <f>'IS DRIVERS'!W5</f>
        <v/>
      </c>
      <c r="W6" s="9">
        <f>'IS DRIVERS'!X5</f>
        <v/>
      </c>
      <c r="X6" s="9">
        <f>'IS DRIVERS'!Y5</f>
        <v/>
      </c>
      <c r="Y6" s="9">
        <f>'IS DRIVERS'!Z5</f>
        <v/>
      </c>
      <c r="Z6" s="9">
        <f>'IS DRIVERS'!AA5</f>
        <v/>
      </c>
      <c r="AA6" s="9">
        <f>'IS DRIVERS'!AB5</f>
        <v/>
      </c>
      <c r="AB6" s="9">
        <f>'IS DRIVERS'!AC5</f>
        <v/>
      </c>
      <c r="AC6" s="9">
        <f>'IS DRIVERS'!AD5</f>
        <v/>
      </c>
      <c r="AD6" s="9">
        <f>'IS DRIVERS'!AE5</f>
        <v/>
      </c>
      <c r="AE6" s="9">
        <f>'IS DRIVERS'!AF5</f>
        <v/>
      </c>
      <c r="AF6" s="9">
        <f>'IS DRIVERS'!AG5</f>
        <v/>
      </c>
      <c r="AG6" s="9">
        <f>'IS DRIVERS'!AH5</f>
        <v/>
      </c>
      <c r="AH6" s="9">
        <f>'IS DRIVERS'!AI5</f>
        <v/>
      </c>
      <c r="AI6" s="9">
        <f>'IS DRIVERS'!AJ5</f>
        <v/>
      </c>
      <c r="AJ6" s="9">
        <f>'IS DRIVERS'!AK5</f>
        <v/>
      </c>
      <c r="AK6" s="9">
        <f>'IS DRIVERS'!AL5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7">
        <f>R4+SUM(R5:R6)</f>
        <v/>
      </c>
      <c r="S7" s="7">
        <f>S4+SUM(S5:S6)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DRIVERS'!S6</f>
        <v/>
      </c>
      <c r="S8" s="9">
        <f>'IS DRIVERS'!T6</f>
        <v/>
      </c>
      <c r="T8" s="9">
        <f>'IS DRIVERS'!U6</f>
        <v/>
      </c>
      <c r="U8" s="9">
        <f>'IS DRIVERS'!V6</f>
        <v/>
      </c>
      <c r="V8" s="9">
        <f>'IS DRIVERS'!W6</f>
        <v/>
      </c>
      <c r="W8" s="9">
        <f>'IS DRIVERS'!X6</f>
        <v/>
      </c>
      <c r="X8" s="9">
        <f>'IS DRIVERS'!Y6</f>
        <v/>
      </c>
      <c r="Y8" s="9">
        <f>'IS DRIVERS'!Z6</f>
        <v/>
      </c>
      <c r="Z8" s="9">
        <f>'IS DRIVERS'!AA6</f>
        <v/>
      </c>
      <c r="AA8" s="9">
        <f>'IS DRIVERS'!AB6</f>
        <v/>
      </c>
      <c r="AB8" s="9">
        <f>'IS DRIVERS'!AC6</f>
        <v/>
      </c>
      <c r="AC8" s="9">
        <f>'IS DRIVERS'!AD6</f>
        <v/>
      </c>
      <c r="AD8" s="9">
        <f>'IS DRIVERS'!AE6</f>
        <v/>
      </c>
      <c r="AE8" s="9">
        <f>'IS DRIVERS'!AF6</f>
        <v/>
      </c>
      <c r="AF8" s="9">
        <f>'IS DRIVERS'!AG6</f>
        <v/>
      </c>
      <c r="AG8" s="9">
        <f>'IS DRIVERS'!AH6</f>
        <v/>
      </c>
      <c r="AH8" s="9">
        <f>'IS DRIVERS'!AI6</f>
        <v/>
      </c>
      <c r="AI8" s="9">
        <f>'IS DRIVERS'!AJ6</f>
        <v/>
      </c>
      <c r="AJ8" s="9">
        <f>'IS DRIVERS'!AK6</f>
        <v/>
      </c>
      <c r="AK8" s="9">
        <f>'IS DRIVERS'!AL6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DRIVERS'!S7</f>
        <v/>
      </c>
      <c r="S9" s="9">
        <f>'IS DRIVERS'!T7</f>
        <v/>
      </c>
      <c r="T9" s="9">
        <f>'IS DRIVERS'!U7</f>
        <v/>
      </c>
      <c r="U9" s="9">
        <f>'IS DRIVERS'!V7</f>
        <v/>
      </c>
      <c r="V9" s="9">
        <f>'IS DRIVERS'!W7</f>
        <v/>
      </c>
      <c r="W9" s="9">
        <f>'IS DRIVERS'!X7</f>
        <v/>
      </c>
      <c r="X9" s="9">
        <f>'IS DRIVERS'!Y7</f>
        <v/>
      </c>
      <c r="Y9" s="9">
        <f>'IS DRIVERS'!Z7</f>
        <v/>
      </c>
      <c r="Z9" s="9">
        <f>'IS DRIVERS'!AA7</f>
        <v/>
      </c>
      <c r="AA9" s="9">
        <f>'IS DRIVERS'!AB7</f>
        <v/>
      </c>
      <c r="AB9" s="9">
        <f>'IS DRIVERS'!AC7</f>
        <v/>
      </c>
      <c r="AC9" s="9">
        <f>'IS DRIVERS'!AD7</f>
        <v/>
      </c>
      <c r="AD9" s="9">
        <f>'IS DRIVERS'!AE7</f>
        <v/>
      </c>
      <c r="AE9" s="9">
        <f>'IS DRIVERS'!AF7</f>
        <v/>
      </c>
      <c r="AF9" s="9">
        <f>'IS DRIVERS'!AG7</f>
        <v/>
      </c>
      <c r="AG9" s="9">
        <f>'IS DRIVERS'!AH7</f>
        <v/>
      </c>
      <c r="AH9" s="9">
        <f>'IS DRIVERS'!AI7</f>
        <v/>
      </c>
      <c r="AI9" s="9">
        <f>'IS DRIVERS'!AJ7</f>
        <v/>
      </c>
      <c r="AJ9" s="9">
        <f>'IS DRIVERS'!AK7</f>
        <v/>
      </c>
      <c r="AK9" s="9">
        <f>'IS DRIVERS'!AL7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DRIVERS'!S8</f>
        <v/>
      </c>
      <c r="S10" s="9">
        <f>'IS DRIVERS'!T8</f>
        <v/>
      </c>
      <c r="T10" s="9">
        <f>'IS DRIVERS'!U8</f>
        <v/>
      </c>
      <c r="U10" s="9">
        <f>'IS DRIVERS'!V8</f>
        <v/>
      </c>
      <c r="V10" s="9">
        <f>'IS DRIVERS'!W8</f>
        <v/>
      </c>
      <c r="W10" s="9">
        <f>'IS DRIVERS'!X8</f>
        <v/>
      </c>
      <c r="X10" s="9">
        <f>'IS DRIVERS'!Y8</f>
        <v/>
      </c>
      <c r="Y10" s="9">
        <f>'IS DRIVERS'!Z8</f>
        <v/>
      </c>
      <c r="Z10" s="9">
        <f>'IS DRIVERS'!AA8</f>
        <v/>
      </c>
      <c r="AA10" s="9">
        <f>'IS DRIVERS'!AB8</f>
        <v/>
      </c>
      <c r="AB10" s="9">
        <f>'IS DRIVERS'!AC8</f>
        <v/>
      </c>
      <c r="AC10" s="9">
        <f>'IS DRIVERS'!AD8</f>
        <v/>
      </c>
      <c r="AD10" s="9">
        <f>'IS DRIVERS'!AE8</f>
        <v/>
      </c>
      <c r="AE10" s="9">
        <f>'IS DRIVERS'!AF8</f>
        <v/>
      </c>
      <c r="AF10" s="9">
        <f>'IS DRIVERS'!AG8</f>
        <v/>
      </c>
      <c r="AG10" s="9">
        <f>'IS DRIVERS'!AH8</f>
        <v/>
      </c>
      <c r="AH10" s="9">
        <f>'IS DRIVERS'!AI8</f>
        <v/>
      </c>
      <c r="AI10" s="9">
        <f>'IS DRIVERS'!AJ8</f>
        <v/>
      </c>
      <c r="AJ10" s="9">
        <f>'IS DRIVERS'!AK8</f>
        <v/>
      </c>
      <c r="AK10" s="9">
        <f>'IS DRIVERS'!AL8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7">
        <f>R7+SUM(R8:R10)</f>
        <v/>
      </c>
      <c r="S11" s="7">
        <f>S7+SUM(S8:S10)</f>
        <v/>
      </c>
      <c r="T11" s="7">
        <f>T7+SUM(T8:T10)</f>
        <v/>
      </c>
      <c r="U11" s="7">
        <f>U7+SUM(U8:U10)</f>
        <v/>
      </c>
      <c r="V11" s="7">
        <f>V7+SUM(V8:V10)</f>
        <v/>
      </c>
      <c r="W11" s="7">
        <f>W7+SUM(W8:W10)</f>
        <v/>
      </c>
      <c r="X11" s="7">
        <f>X7+SUM(X8:X10)</f>
        <v/>
      </c>
      <c r="Y11" s="7">
        <f>Y7+SUM(Y8:Y10)</f>
        <v/>
      </c>
      <c r="Z11" s="7">
        <f>Z7+SUM(Z8:Z10)</f>
        <v/>
      </c>
      <c r="AA11" s="7">
        <f>AA7+SUM(AA8:AA10)</f>
        <v/>
      </c>
      <c r="AB11" s="7">
        <f>AB7+SUM(AB8:AB10)</f>
        <v/>
      </c>
      <c r="AC11" s="7">
        <f>AC7+SUM(AC8:AC10)</f>
        <v/>
      </c>
      <c r="AD11" s="7">
        <f>AD7+SUM(AD8:AD10)</f>
        <v/>
      </c>
      <c r="AE11" s="7">
        <f>AE7+SUM(AE8:AE10)</f>
        <v/>
      </c>
      <c r="AF11" s="7">
        <f>AF7+SUM(AF8:AF10)</f>
        <v/>
      </c>
      <c r="AG11" s="7">
        <f>AG7+SUM(AG8:AG10)</f>
        <v/>
      </c>
      <c r="AH11" s="7">
        <f>AH7+SUM(AH8:AH10)</f>
        <v/>
      </c>
      <c r="AI11" s="7">
        <f>AI7+SUM(AI8:AI10)</f>
        <v/>
      </c>
      <c r="AJ11" s="7">
        <f>AJ7+SUM(AJ8:AJ10)</f>
        <v/>
      </c>
      <c r="AK11" s="7">
        <f>AK7+SUM(AK8:AK10)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DRIVERS'!S9</f>
        <v/>
      </c>
      <c r="S12" s="9">
        <f>'QTR P&amp;L'!S11*'IS DRIVERS'!T9</f>
        <v/>
      </c>
      <c r="T12" s="9">
        <f>'QTR P&amp;L'!T11*'IS DRIVERS'!U9</f>
        <v/>
      </c>
      <c r="U12" s="9">
        <f>'QTR P&amp;L'!U11*'IS DRIVERS'!V9</f>
        <v/>
      </c>
      <c r="V12" s="9">
        <f>'QTR P&amp;L'!V11*'IS DRIVERS'!W9</f>
        <v/>
      </c>
      <c r="W12" s="9">
        <f>'QTR P&amp;L'!W11*'IS DRIVERS'!X9</f>
        <v/>
      </c>
      <c r="X12" s="9">
        <f>'QTR P&amp;L'!X11*'IS DRIVERS'!Y9</f>
        <v/>
      </c>
      <c r="Y12" s="9">
        <f>'QTR P&amp;L'!Y11*'IS DRIVERS'!Z9</f>
        <v/>
      </c>
      <c r="Z12" s="9">
        <f>'QTR P&amp;L'!Z11*'IS DRIVERS'!AA9</f>
        <v/>
      </c>
      <c r="AA12" s="9">
        <f>'QTR P&amp;L'!AA11*'IS DRIVERS'!AB9</f>
        <v/>
      </c>
      <c r="AB12" s="9">
        <f>'QTR P&amp;L'!AB11*'IS DRIVERS'!AC9</f>
        <v/>
      </c>
      <c r="AC12" s="9">
        <f>'QTR P&amp;L'!AC11*'IS DRIVERS'!AD9</f>
        <v/>
      </c>
      <c r="AD12" s="9">
        <f>'QTR P&amp;L'!AD11*'IS DRIVERS'!AE9</f>
        <v/>
      </c>
      <c r="AE12" s="9">
        <f>'QTR P&amp;L'!AE11*'IS DRIVERS'!AF9</f>
        <v/>
      </c>
      <c r="AF12" s="9">
        <f>'QTR P&amp;L'!AF11*'IS DRIVERS'!AG9</f>
        <v/>
      </c>
      <c r="AG12" s="9">
        <f>'QTR P&amp;L'!AG11*'IS DRIVERS'!AH9</f>
        <v/>
      </c>
      <c r="AH12" s="9">
        <f>'QTR P&amp;L'!AH11*'IS DRIVERS'!AI9</f>
        <v/>
      </c>
      <c r="AI12" s="9">
        <f>'QTR P&amp;L'!AI11*'IS DRIVERS'!AJ9</f>
        <v/>
      </c>
      <c r="AJ12" s="9">
        <f>'QTR P&amp;L'!AJ11*'IS DRIVERS'!AK9</f>
        <v/>
      </c>
      <c r="AK12" s="9">
        <f>'QTR P&amp;L'!AK11*'IS DRIVERS'!AL9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7">
        <f>R11+R12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9">
        <f>'IS DRIVERS'!S10</f>
        <v/>
      </c>
      <c r="S14" s="9">
        <f>'IS DRIVERS'!T10</f>
        <v/>
      </c>
      <c r="T14" s="9">
        <f>'IS DRIVERS'!U10</f>
        <v/>
      </c>
      <c r="U14" s="9">
        <f>'IS DRIVERS'!V10</f>
        <v/>
      </c>
      <c r="V14" s="9">
        <f>'IS DRIVERS'!W10</f>
        <v/>
      </c>
      <c r="W14" s="9">
        <f>'IS DRIVERS'!X10</f>
        <v/>
      </c>
      <c r="X14" s="9">
        <f>'IS DRIVERS'!Y10</f>
        <v/>
      </c>
      <c r="Y14" s="9">
        <f>'IS DRIVERS'!Z10</f>
        <v/>
      </c>
      <c r="Z14" s="9">
        <f>'IS DRIVERS'!AA10</f>
        <v/>
      </c>
      <c r="AA14" s="9">
        <f>'IS DRIVERS'!AB10</f>
        <v/>
      </c>
      <c r="AB14" s="9">
        <f>'IS DRIVERS'!AC10</f>
        <v/>
      </c>
      <c r="AC14" s="9">
        <f>'IS DRIVERS'!AD10</f>
        <v/>
      </c>
      <c r="AD14" s="9">
        <f>'IS DRIVERS'!AE10</f>
        <v/>
      </c>
      <c r="AE14" s="9">
        <f>'IS DRIVERS'!AF10</f>
        <v/>
      </c>
      <c r="AF14" s="9">
        <f>'IS DRIVERS'!AG10</f>
        <v/>
      </c>
      <c r="AG14" s="9">
        <f>'IS DRIVERS'!AH10</f>
        <v/>
      </c>
      <c r="AH14" s="9">
        <f>'IS DRIVERS'!AI10</f>
        <v/>
      </c>
      <c r="AI14" s="9">
        <f>'IS DRIVERS'!AJ10</f>
        <v/>
      </c>
      <c r="AJ14" s="9">
        <f>'IS DRIVERS'!AK10</f>
        <v/>
      </c>
      <c r="AK14" s="9">
        <f>'IS DRIVERS'!AL10</f>
        <v/>
      </c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9">
        <f>'IS DRIVERS'!S11</f>
        <v/>
      </c>
      <c r="S15" s="9">
        <f>'IS DRIVERS'!T11</f>
        <v/>
      </c>
      <c r="T15" s="9">
        <f>'IS DRIVERS'!U11</f>
        <v/>
      </c>
      <c r="U15" s="9">
        <f>'IS DRIVERS'!V11</f>
        <v/>
      </c>
      <c r="V15" s="9">
        <f>'IS DRIVERS'!W11</f>
        <v/>
      </c>
      <c r="W15" s="9">
        <f>'IS DRIVERS'!X11</f>
        <v/>
      </c>
      <c r="X15" s="9">
        <f>'IS DRIVERS'!Y11</f>
        <v/>
      </c>
      <c r="Y15" s="9">
        <f>'IS DRIVERS'!Z11</f>
        <v/>
      </c>
      <c r="Z15" s="9">
        <f>'IS DRIVERS'!AA11</f>
        <v/>
      </c>
      <c r="AA15" s="9">
        <f>'IS DRIVERS'!AB11</f>
        <v/>
      </c>
      <c r="AB15" s="9">
        <f>'IS DRIVERS'!AC11</f>
        <v/>
      </c>
      <c r="AC15" s="9">
        <f>'IS DRIVERS'!AD11</f>
        <v/>
      </c>
      <c r="AD15" s="9">
        <f>'IS DRIVERS'!AE11</f>
        <v/>
      </c>
      <c r="AE15" s="9">
        <f>'IS DRIVERS'!AF11</f>
        <v/>
      </c>
      <c r="AF15" s="9">
        <f>'IS DRIVERS'!AG11</f>
        <v/>
      </c>
      <c r="AG15" s="9">
        <f>'IS DRIVERS'!AH11</f>
        <v/>
      </c>
      <c r="AH15" s="9">
        <f>'IS DRIVERS'!AI11</f>
        <v/>
      </c>
      <c r="AI15" s="9">
        <f>'IS DRIVERS'!AJ11</f>
        <v/>
      </c>
      <c r="AJ15" s="9">
        <f>'IS DRIVERS'!AK11</f>
        <v/>
      </c>
      <c r="AK15" s="9">
        <f>'IS DRIVERS'!AL11</f>
        <v/>
      </c>
    </row>
    <row r="16">
      <c r="A16" s="3" t="inlineStr">
        <is>
          <t>Net Income (Loss) Attributable to Common Shareholders</t>
        </is>
      </c>
      <c r="B16" s="6">
        <f>'YTD P&amp;L'!B16</f>
        <v/>
      </c>
      <c r="C16" s="6">
        <f>'YTD P&amp;L'!C16-'YTD P&amp;L'!B16</f>
        <v/>
      </c>
      <c r="D16" s="6">
        <f>'YTD P&amp;L'!D16-'YTD P&amp;L'!C16</f>
        <v/>
      </c>
      <c r="E16" s="6">
        <f>'ANNL P&amp;L'!C16-'YTD P&amp;L'!D16</f>
        <v/>
      </c>
      <c r="F16" s="6">
        <f>'YTD P&amp;L'!E16</f>
        <v/>
      </c>
      <c r="G16" s="6">
        <f>'YTD P&amp;L'!F16-'YTD P&amp;L'!E16</f>
        <v/>
      </c>
      <c r="H16" s="6">
        <f>'YTD P&amp;L'!G16-'YTD P&amp;L'!F16</f>
        <v/>
      </c>
      <c r="I16" s="6">
        <f>'ANNL P&amp;L'!D16-'YTD P&amp;L'!G16</f>
        <v/>
      </c>
      <c r="J16" s="6">
        <f>'YTD P&amp;L'!H16</f>
        <v/>
      </c>
      <c r="K16" s="6">
        <f>'YTD P&amp;L'!I16-'YTD P&amp;L'!H16</f>
        <v/>
      </c>
      <c r="L16" s="6">
        <f>'YTD P&amp;L'!J16-'YTD P&amp;L'!I16</f>
        <v/>
      </c>
      <c r="M16" s="6">
        <f>'ANNL P&amp;L'!E16-'YTD P&amp;L'!J16</f>
        <v/>
      </c>
      <c r="N16" s="6">
        <f>'YTD P&amp;L'!K16</f>
        <v/>
      </c>
      <c r="O16" s="6">
        <f>'YTD P&amp;L'!L16-'YTD P&amp;L'!K16</f>
        <v/>
      </c>
      <c r="P16" s="6">
        <f>'YTD P&amp;L'!M16-'YTD P&amp;L'!L16</f>
        <v/>
      </c>
      <c r="Q16" s="6">
        <f>'ANNL P&amp;L'!F16-'YTD P&amp;L'!M16</f>
        <v/>
      </c>
      <c r="R16" s="7">
        <f>R13+R14+R15</f>
        <v/>
      </c>
      <c r="S16" s="7">
        <f>S13+S14+S15</f>
        <v/>
      </c>
      <c r="T16" s="7">
        <f>T13+T14+T15</f>
        <v/>
      </c>
      <c r="U16" s="7">
        <f>U13+U14+U15</f>
        <v/>
      </c>
      <c r="V16" s="7">
        <f>V13+V14+V15</f>
        <v/>
      </c>
      <c r="W16" s="7">
        <f>W13+W14+W15</f>
        <v/>
      </c>
      <c r="X16" s="7">
        <f>X13+X14+X15</f>
        <v/>
      </c>
      <c r="Y16" s="7">
        <f>Y13+Y14+Y15</f>
        <v/>
      </c>
      <c r="Z16" s="7">
        <f>Z13+Z14+Z15</f>
        <v/>
      </c>
      <c r="AA16" s="7">
        <f>AA13+AA14+AA15</f>
        <v/>
      </c>
      <c r="AB16" s="7">
        <f>AB13+AB14+AB15</f>
        <v/>
      </c>
      <c r="AC16" s="7">
        <f>AC13+AC14+AC15</f>
        <v/>
      </c>
      <c r="AD16" s="7">
        <f>AD13+AD14+AD15</f>
        <v/>
      </c>
      <c r="AE16" s="7">
        <f>AE13+AE14+AE15</f>
        <v/>
      </c>
      <c r="AF16" s="7">
        <f>AF13+AF14+AF15</f>
        <v/>
      </c>
      <c r="AG16" s="7">
        <f>AG13+AG14+AG15</f>
        <v/>
      </c>
      <c r="AH16" s="7">
        <f>AH13+AH14+AH15</f>
        <v/>
      </c>
      <c r="AI16" s="7">
        <f>AI13+AI14+AI15</f>
        <v/>
      </c>
      <c r="AJ16" s="7">
        <f>AJ13+AJ14+AJ15</f>
        <v/>
      </c>
      <c r="AK16" s="7">
        <f>AK13+AK14+AK15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pane xSplit="1" ySplit="1" topLeftCell="H14" activePane="bottomRight" state="frozen"/>
      <selection pane="topRight" activeCell="A1" sqref="A1"/>
      <selection pane="bottomLeft" activeCell="A1" sqref="A1"/>
      <selection pane="bottomRight" activeCell="O43" sqref="O43"/>
    </sheetView>
  </sheetViews>
  <sheetFormatPr baseColWidth="8" defaultRowHeight="15"/>
  <cols>
    <col width="42" customWidth="1" min="1" max="1"/>
    <col width="13" customWidth="1" min="2" max="34"/>
  </cols>
  <sheetData>
    <row r="1">
      <c r="A1" s="1" t="n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  <c r="AE2" s="9">
        <f>'BS DRIVERS'!AE2</f>
        <v/>
      </c>
      <c r="AF2" s="9">
        <f>'BS DRIVERS'!AF2</f>
        <v/>
      </c>
      <c r="AG2" s="9">
        <f>'BS DRIVERS'!AG2</f>
        <v/>
      </c>
      <c r="AH2" s="9">
        <f>'BS DRIVERS'!AH2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  <c r="AE3" s="9">
        <f>'BS DRIVERS'!AE3</f>
        <v/>
      </c>
      <c r="AF3" s="9">
        <f>'BS DRIVERS'!AF3</f>
        <v/>
      </c>
      <c r="AG3" s="9">
        <f>'BS DRIVERS'!AG3</f>
        <v/>
      </c>
      <c r="AH3" s="9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  <c r="AE4" s="9">
        <f>'QTR P&amp;L'!AH2*'BS DRIVERS'!AE4/ASSUMPTIONS!$B$2</f>
        <v/>
      </c>
      <c r="AF4" s="9">
        <f>'QTR P&amp;L'!AI2*'BS DRIVERS'!AF4/ASSUMPTIONS!$B$2</f>
        <v/>
      </c>
      <c r="AG4" s="9">
        <f>'QTR P&amp;L'!AJ2*'BS DRIVERS'!AG4/ASSUMPTIONS!$B$2</f>
        <v/>
      </c>
      <c r="AH4" s="9">
        <f>'QTR P&amp;L'!AK2*'BS DRIVERS'!AH4/ASSUMPTIONS!$B$2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  <c r="AE5" s="9">
        <f>'QTR P&amp;L'!AH2*'BS DRIVERS'!AE5/ASSUMPTIONS!$B$2</f>
        <v/>
      </c>
      <c r="AF5" s="9">
        <f>'QTR P&amp;L'!AI2*'BS DRIVERS'!AF5/ASSUMPTIONS!$B$2</f>
        <v/>
      </c>
      <c r="AG5" s="9">
        <f>'QTR P&amp;L'!AJ2*'BS DRIVERS'!AG5/ASSUMPTIONS!$B$2</f>
        <v/>
      </c>
      <c r="AH5" s="9">
        <f>'QTR P&amp;L'!AK2*'BS DRIVERS'!AH5/ASSUMPTIONS!$B$2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  <c r="AE6" s="9">
        <f>'QTR P&amp;L'!AH3*'BS DRIVERS'!AE6/ASSUMPTIONS!$B$2</f>
        <v/>
      </c>
      <c r="AF6" s="9">
        <f>'QTR P&amp;L'!AI3*'BS DRIVERS'!AF6/ASSUMPTIONS!$B$2</f>
        <v/>
      </c>
      <c r="AG6" s="9">
        <f>'QTR P&amp;L'!AJ3*'BS DRIVERS'!AG6/ASSUMPTIONS!$B$2</f>
        <v/>
      </c>
      <c r="AH6" s="9">
        <f>'QTR P&amp;L'!AK3*'BS DRIVERS'!AH6/ASSUMPTIONS!$B$2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  <c r="AE7" s="9">
        <f>'QTR P&amp;L'!AH2*'BS DRIVERS'!AE7</f>
        <v/>
      </c>
      <c r="AF7" s="9">
        <f>'QTR P&amp;L'!AI2*'BS DRIVERS'!AF7</f>
        <v/>
      </c>
      <c r="AG7" s="9">
        <f>'QTR P&amp;L'!AJ2*'BS DRIVERS'!AG7</f>
        <v/>
      </c>
      <c r="AH7" s="9">
        <f>'QTR P&amp;L'!AK2*'BS DRIVERS'!AH7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  <c r="AE8" s="9">
        <f>'QTR P&amp;L'!AH2*'BS DRIVERS'!AE8</f>
        <v/>
      </c>
      <c r="AF8" s="9">
        <f>'QTR P&amp;L'!AI2*'BS DRIVERS'!AF8</f>
        <v/>
      </c>
      <c r="AG8" s="9">
        <f>'QTR P&amp;L'!AJ2*'BS DRIVERS'!AG8</f>
        <v/>
      </c>
      <c r="AH8" s="9">
        <f>'QTR P&amp;L'!AK2*'BS DRIVERS'!AH8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7">
        <f>SUM(O2:O8)</f>
        <v/>
      </c>
      <c r="P9" s="7">
        <f>SUM(P2:P8)</f>
        <v/>
      </c>
      <c r="Q9" s="7">
        <f>SUM(Q2:Q8)</f>
        <v/>
      </c>
      <c r="R9" s="7">
        <f>SUM(R2:R8)</f>
        <v/>
      </c>
      <c r="S9" s="7">
        <f>SUM(S2:S8)</f>
        <v/>
      </c>
      <c r="T9" s="7">
        <f>SUM(T2:T8)</f>
        <v/>
      </c>
      <c r="U9" s="7">
        <f>SUM(U2:U8)</f>
        <v/>
      </c>
      <c r="V9" s="7">
        <f>SUM(V2:V8)</f>
        <v/>
      </c>
      <c r="W9" s="7">
        <f>SUM(W2:W8)</f>
        <v/>
      </c>
      <c r="X9" s="7">
        <f>SUM(X2:X8)</f>
        <v/>
      </c>
      <c r="Y9" s="7">
        <f>SUM(Y2:Y8)</f>
        <v/>
      </c>
      <c r="Z9" s="7">
        <f>SUM(Z2:Z8)</f>
        <v/>
      </c>
      <c r="AA9" s="7">
        <f>SUM(AA2:AA8)</f>
        <v/>
      </c>
      <c r="AB9" s="7">
        <f>SUM(AB2:AB8)</f>
        <v/>
      </c>
      <c r="AC9" s="7">
        <f>SUM(AC2:AC8)</f>
        <v/>
      </c>
      <c r="AD9" s="7">
        <f>SUM(AD2:AD8)</f>
        <v/>
      </c>
      <c r="AE9" s="7">
        <f>SUM(AE2:AE8)</f>
        <v/>
      </c>
      <c r="AF9" s="7">
        <f>SUM(AF2:AF8)</f>
        <v/>
      </c>
      <c r="AG9" s="7">
        <f>SUM(AG2:AG8)</f>
        <v/>
      </c>
      <c r="AH9" s="7">
        <f>SUM(AH2:AH8)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  <c r="AE10" s="9">
        <f>'QTR P&amp;L'!AH2*'BS DRIVERS'!AE9</f>
        <v/>
      </c>
      <c r="AF10" s="9">
        <f>'QTR P&amp;L'!AI2*'BS DRIVERS'!AF9</f>
        <v/>
      </c>
      <c r="AG10" s="9">
        <f>'QTR P&amp;L'!AJ2*'BS DRIVERS'!AG9</f>
        <v/>
      </c>
      <c r="AH10" s="9">
        <f>'QTR P&amp;L'!AK2*'BS DRIVERS'!AH9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  <c r="AE11" s="9">
        <f>'BS DRIVERS'!AE10</f>
        <v/>
      </c>
      <c r="AF11" s="9">
        <f>'BS DRIVERS'!AF10</f>
        <v/>
      </c>
      <c r="AG11" s="9">
        <f>'BS DRIVERS'!AG10</f>
        <v/>
      </c>
      <c r="AH11" s="9">
        <f>'BS DRIVERS'!AH10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  <c r="AE12" s="9">
        <f>'QTR P&amp;L'!AH2*'BS DRIVERS'!AE11</f>
        <v/>
      </c>
      <c r="AF12" s="9">
        <f>'QTR P&amp;L'!AI2*'BS DRIVERS'!AF11</f>
        <v/>
      </c>
      <c r="AG12" s="9">
        <f>'QTR P&amp;L'!AJ2*'BS DRIVERS'!AG11</f>
        <v/>
      </c>
      <c r="AH12" s="9">
        <f>'QTR P&amp;L'!AK2*'BS DRIVERS'!AH11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  <c r="AE13" s="9">
        <f>'BS DRIVERS'!AE12</f>
        <v/>
      </c>
      <c r="AF13" s="9">
        <f>'BS DRIVERS'!AF12</f>
        <v/>
      </c>
      <c r="AG13" s="9">
        <f>'BS DRIVERS'!AG12</f>
        <v/>
      </c>
      <c r="AH13" s="9">
        <f>'BS DRIVERS'!AH12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  <c r="AE14" s="9">
        <f>'BS DRIVERS'!AE13</f>
        <v/>
      </c>
      <c r="AF14" s="9">
        <f>'BS DRIVERS'!AF13</f>
        <v/>
      </c>
      <c r="AG14" s="9">
        <f>'BS DRIVERS'!AG13</f>
        <v/>
      </c>
      <c r="AH14" s="9">
        <f>'BS DRIVERS'!AH13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  <c r="AE15" s="9">
        <f>'QTR P&amp;L'!AH2*'BS DRIVERS'!AE14</f>
        <v/>
      </c>
      <c r="AF15" s="9">
        <f>'QTR P&amp;L'!AI2*'BS DRIVERS'!AF14</f>
        <v/>
      </c>
      <c r="AG15" s="9">
        <f>'QTR P&amp;L'!AJ2*'BS DRIVERS'!AG14</f>
        <v/>
      </c>
      <c r="AH15" s="9">
        <f>'QTR P&amp;L'!AK2*'BS DRIVERS'!AH14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  <c r="AE16" s="9">
        <f>'BS DRIVERS'!AE15</f>
        <v/>
      </c>
      <c r="AF16" s="9">
        <f>'BS DRIVERS'!AF15</f>
        <v/>
      </c>
      <c r="AG16" s="9">
        <f>'BS DRIVERS'!AG15</f>
        <v/>
      </c>
      <c r="AH16" s="9">
        <f>'BS DRIVERS'!AH15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  <c r="AE17" s="9">
        <f>'QTR P&amp;L'!AH2*'BS DRIVERS'!AE16</f>
        <v/>
      </c>
      <c r="AF17" s="9">
        <f>'QTR P&amp;L'!AI2*'BS DRIVERS'!AF16</f>
        <v/>
      </c>
      <c r="AG17" s="9">
        <f>'QTR P&amp;L'!AJ2*'BS DRIVERS'!AG16</f>
        <v/>
      </c>
      <c r="AH17" s="9">
        <f>'QTR P&amp;L'!AK2*'BS DRIVERS'!AH16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  <c r="AE18" s="9">
        <f>'QTR P&amp;L'!AH2*'BS DRIVERS'!AE17</f>
        <v/>
      </c>
      <c r="AF18" s="9">
        <f>'QTR P&amp;L'!AI2*'BS DRIVERS'!AF17</f>
        <v/>
      </c>
      <c r="AG18" s="9">
        <f>'QTR P&amp;L'!AJ2*'BS DRIVERS'!AG17</f>
        <v/>
      </c>
      <c r="AH18" s="9">
        <f>'QTR P&amp;L'!AK2*'BS DRIVERS'!AH17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7">
        <f>O9+SUM(O10:O18)</f>
        <v/>
      </c>
      <c r="P19" s="7">
        <f>P9+SUM(P10:P18)</f>
        <v/>
      </c>
      <c r="Q19" s="7">
        <f>Q9+SUM(Q10:Q18)</f>
        <v/>
      </c>
      <c r="R19" s="7">
        <f>R9+SUM(R10:R18)</f>
        <v/>
      </c>
      <c r="S19" s="7">
        <f>S9+SUM(S10:S18)</f>
        <v/>
      </c>
      <c r="T19" s="7">
        <f>T9+SUM(T10:T18)</f>
        <v/>
      </c>
      <c r="U19" s="7">
        <f>U9+SUM(U10:U18)</f>
        <v/>
      </c>
      <c r="V19" s="7">
        <f>V9+SUM(V10:V18)</f>
        <v/>
      </c>
      <c r="W19" s="7">
        <f>W9+SUM(W10:W18)</f>
        <v/>
      </c>
      <c r="X19" s="7">
        <f>X9+SUM(X10:X18)</f>
        <v/>
      </c>
      <c r="Y19" s="7">
        <f>Y9+SUM(Y10:Y18)</f>
        <v/>
      </c>
      <c r="Z19" s="7">
        <f>Z9+SUM(Z10:Z18)</f>
        <v/>
      </c>
      <c r="AA19" s="7">
        <f>AA9+SUM(AA10:AA18)</f>
        <v/>
      </c>
      <c r="AB19" s="7">
        <f>AB9+SUM(AB10:AB18)</f>
        <v/>
      </c>
      <c r="AC19" s="7">
        <f>AC9+SUM(AC10:AC18)</f>
        <v/>
      </c>
      <c r="AD19" s="7">
        <f>AD9+SUM(AD10:AD18)</f>
        <v/>
      </c>
      <c r="AE19" s="7">
        <f>AE9+SUM(AE10:AE18)</f>
        <v/>
      </c>
      <c r="AF19" s="7">
        <f>AF9+SUM(AF10:AF18)</f>
        <v/>
      </c>
      <c r="AG19" s="7">
        <f>AG9+SUM(AG10:AG18)</f>
        <v/>
      </c>
      <c r="AH19" s="7">
        <f>AH9+SUM(AH10:AH18)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  <c r="AE20" s="9">
        <f>'QTR P&amp;L'!AH3*'BS DRIVERS'!AE18/ASSUMPTIONS!$B$2</f>
        <v/>
      </c>
      <c r="AF20" s="9">
        <f>'QTR P&amp;L'!AI3*'BS DRIVERS'!AF18/ASSUMPTIONS!$B$2</f>
        <v/>
      </c>
      <c r="AG20" s="9">
        <f>'QTR P&amp;L'!AJ3*'BS DRIVERS'!AG18/ASSUMPTIONS!$B$2</f>
        <v/>
      </c>
      <c r="AH20" s="9">
        <f>'QTR P&amp;L'!AK3*'BS DRIVERS'!AH18/ASSUMPTIONS!$B$2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  <c r="AE21" s="9">
        <f>'QTR P&amp;L'!AH2*'BS DRIVERS'!AE19</f>
        <v/>
      </c>
      <c r="AF21" s="9">
        <f>'QTR P&amp;L'!AI2*'BS DRIVERS'!AF19</f>
        <v/>
      </c>
      <c r="AG21" s="9">
        <f>'QTR P&amp;L'!AJ2*'BS DRIVERS'!AG19</f>
        <v/>
      </c>
      <c r="AH21" s="9">
        <f>'QTR P&amp;L'!AK2*'BS DRIVERS'!AH19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  <c r="AE22" s="9">
        <f>'QTR P&amp;L'!AH2*'BS DRIVERS'!AE20</f>
        <v/>
      </c>
      <c r="AF22" s="9">
        <f>'QTR P&amp;L'!AI2*'BS DRIVERS'!AF20</f>
        <v/>
      </c>
      <c r="AG22" s="9">
        <f>'QTR P&amp;L'!AJ2*'BS DRIVERS'!AG20</f>
        <v/>
      </c>
      <c r="AH22" s="9">
        <f>'QTR P&amp;L'!AK2*'BS DRIVERS'!AH20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  <c r="AE23" s="9">
        <f>'BS DRIVERS'!AE21</f>
        <v/>
      </c>
      <c r="AF23" s="9">
        <f>'BS DRIVERS'!AF21</f>
        <v/>
      </c>
      <c r="AG23" s="9">
        <f>'BS DRIVERS'!AG21</f>
        <v/>
      </c>
      <c r="AH23" s="9">
        <f>'BS DRIVERS'!AH21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  <c r="AE24" s="9">
        <f>'QTR P&amp;L'!AH2*'BS DRIVERS'!AE22</f>
        <v/>
      </c>
      <c r="AF24" s="9">
        <f>'QTR P&amp;L'!AI2*'BS DRIVERS'!AF22</f>
        <v/>
      </c>
      <c r="AG24" s="9">
        <f>'QTR P&amp;L'!AJ2*'BS DRIVERS'!AG22</f>
        <v/>
      </c>
      <c r="AH24" s="9">
        <f>'QTR P&amp;L'!AK2*'BS DRIVERS'!AH22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  <c r="AE25" s="9">
        <f>'QTR P&amp;L'!AH2*'BS DRIVERS'!AE23</f>
        <v/>
      </c>
      <c r="AF25" s="9">
        <f>'QTR P&amp;L'!AI2*'BS DRIVERS'!AF23</f>
        <v/>
      </c>
      <c r="AG25" s="9">
        <f>'QTR P&amp;L'!AJ2*'BS DRIVERS'!AG23</f>
        <v/>
      </c>
      <c r="AH25" s="9">
        <f>'QTR P&amp;L'!AK2*'BS DRIVERS'!AH23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  <c r="AE26" s="9">
        <f>'QTR P&amp;L'!AH2*'BS DRIVERS'!AE24</f>
        <v/>
      </c>
      <c r="AF26" s="9">
        <f>'QTR P&amp;L'!AI2*'BS DRIVERS'!AF24</f>
        <v/>
      </c>
      <c r="AG26" s="9">
        <f>'QTR P&amp;L'!AJ2*'BS DRIVERS'!AG24</f>
        <v/>
      </c>
      <c r="AH26" s="9">
        <f>'QTR P&amp;L'!AK2*'BS DRIVERS'!AH24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  <c r="AE27" s="9">
        <f>'QTR P&amp;L'!AH2*'BS DRIVERS'!AE25</f>
        <v/>
      </c>
      <c r="AF27" s="9">
        <f>'QTR P&amp;L'!AI2*'BS DRIVERS'!AF25</f>
        <v/>
      </c>
      <c r="AG27" s="9">
        <f>'QTR P&amp;L'!AJ2*'BS DRIVERS'!AG25</f>
        <v/>
      </c>
      <c r="AH27" s="9">
        <f>'QTR P&amp;L'!AK2*'BS DRIVERS'!AH25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  <c r="AE28" s="9">
        <f>'QTR P&amp;L'!AH2*'BS DRIVERS'!AE26</f>
        <v/>
      </c>
      <c r="AF28" s="9">
        <f>'QTR P&amp;L'!AI2*'BS DRIVERS'!AF26</f>
        <v/>
      </c>
      <c r="AG28" s="9">
        <f>'QTR P&amp;L'!AJ2*'BS DRIVERS'!AG26</f>
        <v/>
      </c>
      <c r="AH28" s="9">
        <f>'QTR P&amp;L'!AK2*'BS DRIVERS'!AH26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  <c r="AE29" s="9">
        <f>'QTR P&amp;L'!AH2*'BS DRIVERS'!AE27</f>
        <v/>
      </c>
      <c r="AF29" s="9">
        <f>'QTR P&amp;L'!AI2*'BS DRIVERS'!AF27</f>
        <v/>
      </c>
      <c r="AG29" s="9">
        <f>'QTR P&amp;L'!AJ2*'BS DRIVERS'!AG27</f>
        <v/>
      </c>
      <c r="AH29" s="9">
        <f>'QTR P&amp;L'!AK2*'BS DRIVERS'!AH27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7">
        <f>SUM(O20:O29)</f>
        <v/>
      </c>
      <c r="P30" s="7">
        <f>SUM(P20:P29)</f>
        <v/>
      </c>
      <c r="Q30" s="7">
        <f>SUM(Q20:Q29)</f>
        <v/>
      </c>
      <c r="R30" s="7">
        <f>SUM(R20:R29)</f>
        <v/>
      </c>
      <c r="S30" s="7">
        <f>SUM(S20:S29)</f>
        <v/>
      </c>
      <c r="T30" s="7">
        <f>SUM(T20:T29)</f>
        <v/>
      </c>
      <c r="U30" s="7">
        <f>SUM(U20:U29)</f>
        <v/>
      </c>
      <c r="V30" s="7">
        <f>SUM(V20:V29)</f>
        <v/>
      </c>
      <c r="W30" s="7">
        <f>SUM(W20:W29)</f>
        <v/>
      </c>
      <c r="X30" s="7">
        <f>SUM(X20:X29)</f>
        <v/>
      </c>
      <c r="Y30" s="7">
        <f>SUM(Y20:Y29)</f>
        <v/>
      </c>
      <c r="Z30" s="7">
        <f>SUM(Z20:Z29)</f>
        <v/>
      </c>
      <c r="AA30" s="7">
        <f>SUM(AA20:AA29)</f>
        <v/>
      </c>
      <c r="AB30" s="7">
        <f>SUM(AB20:AB29)</f>
        <v/>
      </c>
      <c r="AC30" s="7">
        <f>SUM(AC20:AC29)</f>
        <v/>
      </c>
      <c r="AD30" s="7">
        <f>SUM(AD20:AD29)</f>
        <v/>
      </c>
      <c r="AE30" s="7">
        <f>SUM(AE20:AE29)</f>
        <v/>
      </c>
      <c r="AF30" s="7">
        <f>SUM(AF20:AF29)</f>
        <v/>
      </c>
      <c r="AG30" s="7">
        <f>SUM(AG20:AG29)</f>
        <v/>
      </c>
      <c r="AH30" s="7">
        <f>SUM(AH20:AH29)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  <c r="AE31" s="9">
        <f>'QTR P&amp;L'!AH2*'BS DRIVERS'!AE28</f>
        <v/>
      </c>
      <c r="AF31" s="9">
        <f>'QTR P&amp;L'!AI2*'BS DRIVERS'!AF28</f>
        <v/>
      </c>
      <c r="AG31" s="9">
        <f>'QTR P&amp;L'!AJ2*'BS DRIVERS'!AG28</f>
        <v/>
      </c>
      <c r="AH31" s="9">
        <f>'QTR P&amp;L'!AK2*'BS DRIVERS'!AH28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  <c r="AE32" s="9">
        <f>'QTR P&amp;L'!AH2*'BS DRIVERS'!AE29</f>
        <v/>
      </c>
      <c r="AF32" s="9">
        <f>'QTR P&amp;L'!AI2*'BS DRIVERS'!AF29</f>
        <v/>
      </c>
      <c r="AG32" s="9">
        <f>'QTR P&amp;L'!AJ2*'BS DRIVERS'!AG29</f>
        <v/>
      </c>
      <c r="AH32" s="9">
        <f>'QTR P&amp;L'!AK2*'BS DRIVERS'!AH29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  <c r="AE33" s="9">
        <f>'BS DRIVERS'!AE30</f>
        <v/>
      </c>
      <c r="AF33" s="9">
        <f>'BS DRIVERS'!AF30</f>
        <v/>
      </c>
      <c r="AG33" s="9">
        <f>'BS DRIVERS'!AG30</f>
        <v/>
      </c>
      <c r="AH33" s="9">
        <f>'BS DRIVERS'!AH30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  <c r="AE34" s="9">
        <f>'BS DRIVERS'!AE31</f>
        <v/>
      </c>
      <c r="AF34" s="9">
        <f>'BS DRIVERS'!AF31</f>
        <v/>
      </c>
      <c r="AG34" s="9">
        <f>'BS DRIVERS'!AG31</f>
        <v/>
      </c>
      <c r="AH34" s="9">
        <f>'BS DRIVERS'!AH31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  <c r="AE35" s="9">
        <f>'QTR P&amp;L'!AH2*'BS DRIVERS'!AE32</f>
        <v/>
      </c>
      <c r="AF35" s="9">
        <f>'QTR P&amp;L'!AI2*'BS DRIVERS'!AF32</f>
        <v/>
      </c>
      <c r="AG35" s="9">
        <f>'QTR P&amp;L'!AJ2*'BS DRIVERS'!AG32</f>
        <v/>
      </c>
      <c r="AH35" s="9">
        <f>'QTR P&amp;L'!AK2*'BS DRIVERS'!AH32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  <c r="AE36" s="9">
        <f>'QTR P&amp;L'!AH2*'BS DRIVERS'!AE33</f>
        <v/>
      </c>
      <c r="AF36" s="9">
        <f>'QTR P&amp;L'!AI2*'BS DRIVERS'!AF33</f>
        <v/>
      </c>
      <c r="AG36" s="9">
        <f>'QTR P&amp;L'!AJ2*'BS DRIVERS'!AG33</f>
        <v/>
      </c>
      <c r="AH36" s="9">
        <f>'QTR P&amp;L'!AK2*'BS DRIVERS'!AH33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7">
        <f>O30+SUM(O31:O36)</f>
        <v/>
      </c>
      <c r="P37" s="7">
        <f>P30+SUM(P31:P36)</f>
        <v/>
      </c>
      <c r="Q37" s="7">
        <f>Q30+SUM(Q31:Q36)</f>
        <v/>
      </c>
      <c r="R37" s="7">
        <f>R30+SUM(R31:R36)</f>
        <v/>
      </c>
      <c r="S37" s="7">
        <f>S30+SUM(S31:S36)</f>
        <v/>
      </c>
      <c r="T37" s="7">
        <f>T30+SUM(T31:T36)</f>
        <v/>
      </c>
      <c r="U37" s="7">
        <f>U30+SUM(U31:U36)</f>
        <v/>
      </c>
      <c r="V37" s="7">
        <f>V30+SUM(V31:V36)</f>
        <v/>
      </c>
      <c r="W37" s="7">
        <f>W30+SUM(W31:W36)</f>
        <v/>
      </c>
      <c r="X37" s="7">
        <f>X30+SUM(X31:X36)</f>
        <v/>
      </c>
      <c r="Y37" s="7">
        <f>Y30+SUM(Y31:Y36)</f>
        <v/>
      </c>
      <c r="Z37" s="7">
        <f>Z30+SUM(Z31:Z36)</f>
        <v/>
      </c>
      <c r="AA37" s="7">
        <f>AA30+SUM(AA31:AA36)</f>
        <v/>
      </c>
      <c r="AB37" s="7">
        <f>AB30+SUM(AB31:AB36)</f>
        <v/>
      </c>
      <c r="AC37" s="7">
        <f>AC30+SUM(AC31:AC36)</f>
        <v/>
      </c>
      <c r="AD37" s="7">
        <f>AD30+SUM(AD31:AD36)</f>
        <v/>
      </c>
      <c r="AE37" s="7">
        <f>AE30+SUM(AE31:AE36)</f>
        <v/>
      </c>
      <c r="AF37" s="7">
        <f>AF30+SUM(AF31:AF36)</f>
        <v/>
      </c>
      <c r="AG37" s="7">
        <f>AG30+SUM(AG31:AG36)</f>
        <v/>
      </c>
      <c r="AH37" s="7">
        <f>AH30+SUM(AH31:AH36)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  <c r="AE38" s="9">
        <f>'BS DRIVERS'!AE34</f>
        <v/>
      </c>
      <c r="AF38" s="9">
        <f>'BS DRIVERS'!AF34</f>
        <v/>
      </c>
      <c r="AG38" s="9">
        <f>'BS DRIVERS'!AG34</f>
        <v/>
      </c>
      <c r="AH38" s="9">
        <f>'BS DRIVERS'!AH34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  <c r="AE39" s="9">
        <f>'BS DRIVERS'!AE35</f>
        <v/>
      </c>
      <c r="AF39" s="9">
        <f>'BS DRIVERS'!AF35</f>
        <v/>
      </c>
      <c r="AG39" s="9">
        <f>'BS DRIVERS'!AG35</f>
        <v/>
      </c>
      <c r="AH39" s="9">
        <f>'BS DRIVERS'!AH35</f>
        <v/>
      </c>
    </row>
    <row r="40">
      <c r="A40" s="3" t="inlineStr">
        <is>
          <t>Treasury Stock</t>
        </is>
      </c>
      <c r="B40" s="4">
        <f>'BALANCE SHEET'!B40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SHEET'!C40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SHEET'!D40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SHEET'!E40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  <c r="AE40" s="9">
        <f>'BS DRIVERS'!AE36</f>
        <v/>
      </c>
      <c r="AF40" s="9">
        <f>'BS DRIVERS'!AF36</f>
        <v/>
      </c>
      <c r="AG40" s="9">
        <f>'BS DRIVERS'!AG36</f>
        <v/>
      </c>
      <c r="AH40" s="9">
        <f>'BS DRIVERS'!AH36</f>
        <v/>
      </c>
    </row>
    <row r="41">
      <c r="A41" s="3" t="inlineStr">
        <is>
          <t>Additional Paid-in Capital</t>
        </is>
      </c>
      <c r="B41" s="4">
        <f>'BALANCE SHEET'!B41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SHEET'!C41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SHEET'!D41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SHEET'!E41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  <c r="AE41" s="9">
        <f>'BS DRIVERS'!AE37</f>
        <v/>
      </c>
      <c r="AF41" s="9">
        <f>'BS DRIVERS'!AF37</f>
        <v/>
      </c>
      <c r="AG41" s="9">
        <f>'BS DRIVERS'!AG37</f>
        <v/>
      </c>
      <c r="AH41" s="9">
        <f>'BS DRIVERS'!AH37</f>
        <v/>
      </c>
    </row>
    <row r="42">
      <c r="A42" s="3" t="inlineStr">
        <is>
          <t>Accumulated Other Comprehensive Income (Loss)</t>
        </is>
      </c>
      <c r="B42" s="4">
        <f>'BALANCE SHEET'!B42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SHEET'!C42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SHEET'!D42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SHEET'!E42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  <c r="AE42" s="9">
        <f>'BS DRIVERS'!AE38</f>
        <v/>
      </c>
      <c r="AF42" s="9">
        <f>'BS DRIVERS'!AF38</f>
        <v/>
      </c>
      <c r="AG42" s="9">
        <f>'BS DRIVERS'!AG38</f>
        <v/>
      </c>
      <c r="AH42" s="9">
        <f>'BS DRIVERS'!AH38</f>
        <v/>
      </c>
    </row>
    <row r="43">
      <c r="A43" s="3" t="inlineStr">
        <is>
          <t>Retained Earnings (Accumulated Deficit)</t>
        </is>
      </c>
      <c r="B43" s="4">
        <f>'BALANCE SHEET'!B43</f>
        <v/>
      </c>
      <c r="C43" s="4">
        <f>'YTD BS'!C43</f>
        <v/>
      </c>
      <c r="D43" s="4">
        <f>'YTD BS'!D43</f>
        <v/>
      </c>
      <c r="E43" s="4">
        <f>'YTD BS'!E43</f>
        <v/>
      </c>
      <c r="F43" s="4">
        <f>'BALANCE SHEET'!C43</f>
        <v/>
      </c>
      <c r="G43" s="4">
        <f>'YTD BS'!G43</f>
        <v/>
      </c>
      <c r="H43" s="4">
        <f>'YTD BS'!H43</f>
        <v/>
      </c>
      <c r="I43" s="4">
        <f>'YTD BS'!I43</f>
        <v/>
      </c>
      <c r="J43" s="4">
        <f>'BALANCE SHEET'!D43</f>
        <v/>
      </c>
      <c r="K43" s="4">
        <f>'YTD BS'!K43</f>
        <v/>
      </c>
      <c r="L43" s="4">
        <f>'YTD BS'!L43</f>
        <v/>
      </c>
      <c r="M43" s="4">
        <f>'YTD BS'!M43</f>
        <v/>
      </c>
      <c r="N43" s="4">
        <f>'BALANCE SHEET'!E43</f>
        <v/>
      </c>
      <c r="O43" s="9">
        <f>'BS DRIVERS'!O39</f>
        <v/>
      </c>
      <c r="P43" s="9">
        <f>'BS DRIVERS'!P39</f>
        <v/>
      </c>
      <c r="Q43" s="9">
        <f>'BS DRIVERS'!Q39</f>
        <v/>
      </c>
      <c r="R43" s="9">
        <f>'BS DRIVERS'!R39</f>
        <v/>
      </c>
      <c r="S43" s="9">
        <f>'BS DRIVERS'!S39</f>
        <v/>
      </c>
      <c r="T43" s="9">
        <f>'BS DRIVERS'!T39</f>
        <v/>
      </c>
      <c r="U43" s="9">
        <f>'BS DRIVERS'!U39</f>
        <v/>
      </c>
      <c r="V43" s="9">
        <f>'BS DRIVERS'!V39</f>
        <v/>
      </c>
      <c r="W43" s="9">
        <f>'BS DRIVERS'!W39</f>
        <v/>
      </c>
      <c r="X43" s="9">
        <f>'BS DRIVERS'!X39</f>
        <v/>
      </c>
      <c r="Y43" s="9">
        <f>'BS DRIVERS'!Y39</f>
        <v/>
      </c>
      <c r="Z43" s="9">
        <f>'BS DRIVERS'!Z39</f>
        <v/>
      </c>
      <c r="AA43" s="9">
        <f>'BS DRIVERS'!AA39</f>
        <v/>
      </c>
      <c r="AB43" s="9">
        <f>'BS DRIVERS'!AB39</f>
        <v/>
      </c>
      <c r="AC43" s="9">
        <f>'BS DRIVERS'!AC39</f>
        <v/>
      </c>
      <c r="AD43" s="9">
        <f>'BS DRIVERS'!AD39</f>
        <v/>
      </c>
      <c r="AE43" s="9">
        <f>'BS DRIVERS'!AE39</f>
        <v/>
      </c>
      <c r="AF43" s="9">
        <f>'BS DRIVERS'!AF39</f>
        <v/>
      </c>
      <c r="AG43" s="9">
        <f>'BS DRIVERS'!AG39</f>
        <v/>
      </c>
      <c r="AH43" s="9">
        <f>'BS DRIVERS'!AH39</f>
        <v/>
      </c>
    </row>
    <row r="44">
      <c r="A44" s="3" t="inlineStr">
        <is>
          <t>Total Stockholders' Equity</t>
        </is>
      </c>
      <c r="B44" s="6">
        <f>'BALANCE SHEET'!B44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SHEET'!C44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SHEET'!D44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SHEET'!E44</f>
        <v/>
      </c>
      <c r="O44" s="7">
        <f>SUM(O38:O43)</f>
        <v/>
      </c>
      <c r="P44" s="7">
        <f>SUM(P38:P43)</f>
        <v/>
      </c>
      <c r="Q44" s="7">
        <f>SUM(Q38:Q43)</f>
        <v/>
      </c>
      <c r="R44" s="7">
        <f>SUM(R38:R43)</f>
        <v/>
      </c>
      <c r="S44" s="7">
        <f>SUM(S38:S43)</f>
        <v/>
      </c>
      <c r="T44" s="7">
        <f>SUM(T38:T43)</f>
        <v/>
      </c>
      <c r="U44" s="7">
        <f>SUM(U38:U43)</f>
        <v/>
      </c>
      <c r="V44" s="7">
        <f>SUM(V38:V43)</f>
        <v/>
      </c>
      <c r="W44" s="7">
        <f>SUM(W38:W43)</f>
        <v/>
      </c>
      <c r="X44" s="7">
        <f>SUM(X38:X43)</f>
        <v/>
      </c>
      <c r="Y44" s="7">
        <f>SUM(Y38:Y43)</f>
        <v/>
      </c>
      <c r="Z44" s="7">
        <f>SUM(Z38:Z43)</f>
        <v/>
      </c>
      <c r="AA44" s="7">
        <f>SUM(AA38:AA43)</f>
        <v/>
      </c>
      <c r="AB44" s="7">
        <f>SUM(AB38:AB43)</f>
        <v/>
      </c>
      <c r="AC44" s="7">
        <f>SUM(AC38:AC43)</f>
        <v/>
      </c>
      <c r="AD44" s="7">
        <f>SUM(AD38:AD43)</f>
        <v/>
      </c>
      <c r="AE44" s="7">
        <f>SUM(AE38:AE43)</f>
        <v/>
      </c>
      <c r="AF44" s="7">
        <f>SUM(AF38:AF43)</f>
        <v/>
      </c>
      <c r="AG44" s="7">
        <f>SUM(AG38:AG43)</f>
        <v/>
      </c>
      <c r="AH44" s="7">
        <f>SUM(AH38:AH43)</f>
        <v/>
      </c>
    </row>
    <row r="45">
      <c r="A45" s="3" t="inlineStr">
        <is>
          <t>Total Liabilities, Mezzanine &amp; Stockholders' Equity</t>
        </is>
      </c>
      <c r="B45" s="6">
        <f>'BALANCE SHEET'!B45</f>
        <v/>
      </c>
      <c r="C45" s="6">
        <f>'YTD BS'!C45</f>
        <v/>
      </c>
      <c r="D45" s="6">
        <f>'YTD BS'!D45</f>
        <v/>
      </c>
      <c r="E45" s="6">
        <f>'YTD BS'!E45</f>
        <v/>
      </c>
      <c r="F45" s="6">
        <f>'BALANCE SHEET'!C45</f>
        <v/>
      </c>
      <c r="G45" s="6">
        <f>'YTD BS'!G45</f>
        <v/>
      </c>
      <c r="H45" s="6">
        <f>'YTD BS'!H45</f>
        <v/>
      </c>
      <c r="I45" s="6">
        <f>'YTD BS'!I45</f>
        <v/>
      </c>
      <c r="J45" s="6">
        <f>'BALANCE SHEET'!D45</f>
        <v/>
      </c>
      <c r="K45" s="6">
        <f>'YTD BS'!K45</f>
        <v/>
      </c>
      <c r="L45" s="6">
        <f>'YTD BS'!L45</f>
        <v/>
      </c>
      <c r="M45" s="6">
        <f>'YTD BS'!M45</f>
        <v/>
      </c>
      <c r="N45" s="6">
        <f>'BALANCE SHEET'!E45</f>
        <v/>
      </c>
      <c r="O45" s="7">
        <f>O37+O44</f>
        <v/>
      </c>
      <c r="P45" s="7">
        <f>P37+P44</f>
        <v/>
      </c>
      <c r="Q45" s="7">
        <f>Q37+Q44</f>
        <v/>
      </c>
      <c r="R45" s="7">
        <f>R37+R44</f>
        <v/>
      </c>
      <c r="S45" s="7">
        <f>S37+S44</f>
        <v/>
      </c>
      <c r="T45" s="7">
        <f>T37+T44</f>
        <v/>
      </c>
      <c r="U45" s="7">
        <f>U37+U44</f>
        <v/>
      </c>
      <c r="V45" s="7">
        <f>V37+V44</f>
        <v/>
      </c>
      <c r="W45" s="7">
        <f>W37+W44</f>
        <v/>
      </c>
      <c r="X45" s="7">
        <f>X37+X44</f>
        <v/>
      </c>
      <c r="Y45" s="7">
        <f>Y37+Y44</f>
        <v/>
      </c>
      <c r="Z45" s="7">
        <f>Z37+Z44</f>
        <v/>
      </c>
      <c r="AA45" s="7">
        <f>AA37+AA44</f>
        <v/>
      </c>
      <c r="AB45" s="7">
        <f>AB37+AB44</f>
        <v/>
      </c>
      <c r="AC45" s="7">
        <f>AC37+AC44</f>
        <v/>
      </c>
      <c r="AD45" s="7">
        <f>AD37+AD44</f>
        <v/>
      </c>
      <c r="AE45" s="7">
        <f>AE37+AE44</f>
        <v/>
      </c>
      <c r="AF45" s="7">
        <f>AF37+AF44</f>
        <v/>
      </c>
      <c r="AG45" s="7">
        <f>AG37+AG44</f>
        <v/>
      </c>
      <c r="AH45" s="7">
        <f>AH37+AH44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xSplit="1" ySplit="1" topLeftCell="G11" activePane="bottomRight" state="frozen"/>
      <selection pane="topRight" activeCell="A1" sqref="A1"/>
      <selection pane="bottomLeft" activeCell="A1" sqref="A1"/>
      <selection pane="bottomRight" activeCell="R44" sqref="R44"/>
    </sheetView>
  </sheetViews>
  <sheetFormatPr baseColWidth="8" defaultRowHeight="15"/>
  <cols>
    <col width="42" customWidth="1" min="1" max="1"/>
    <col width="13" customWidth="1" min="2" max="37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  <c r="AH2" s="9">
        <f>'CF DRIVERS'!AH2</f>
        <v/>
      </c>
      <c r="AI2" s="9">
        <f>'CF DRIVERS'!AI2</f>
        <v/>
      </c>
      <c r="AJ2" s="9">
        <f>'CF DRIVERS'!AJ2</f>
        <v/>
      </c>
      <c r="AK2" s="9">
        <f>'CF DRIVERS'!AK2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  <c r="AH3" s="9">
        <f>'CF DRIVERS'!AH3</f>
        <v/>
      </c>
      <c r="AI3" s="9">
        <f>'CF DRIVERS'!AI3</f>
        <v/>
      </c>
      <c r="AJ3" s="9">
        <f>'CF DRIVERS'!AJ3</f>
        <v/>
      </c>
      <c r="AK3" s="9">
        <f>'CF DRIVERS'!AK3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  <c r="AH4" s="9">
        <f>'CF DRIVERS'!AH4</f>
        <v/>
      </c>
      <c r="AI4" s="9">
        <f>'CF DRIVERS'!AI4</f>
        <v/>
      </c>
      <c r="AJ4" s="9">
        <f>'CF DRIVERS'!AJ4</f>
        <v/>
      </c>
      <c r="AK4" s="9">
        <f>'CF DRIVERS'!AK4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  <c r="AH5" s="9">
        <f>'CF DRIVERS'!AH5</f>
        <v/>
      </c>
      <c r="AI5" s="9">
        <f>'CF DRIVERS'!AI5</f>
        <v/>
      </c>
      <c r="AJ5" s="9">
        <f>'CF DRIVERS'!AJ5</f>
        <v/>
      </c>
      <c r="AK5" s="9">
        <f>'CF DRIVERS'!AK5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  <c r="AH6" s="9">
        <f>'QTR P&amp;L'!AH2*'CF DRIVERS'!AH6</f>
        <v/>
      </c>
      <c r="AI6" s="9">
        <f>'QTR P&amp;L'!AI2*'CF DRIVERS'!AI6</f>
        <v/>
      </c>
      <c r="AJ6" s="9">
        <f>'QTR P&amp;L'!AJ2*'CF DRIVERS'!AJ6</f>
        <v/>
      </c>
      <c r="AK6" s="9">
        <f>'QTR P&amp;L'!AK2*'CF DRIVERS'!AK6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  <c r="AH7" s="9">
        <f>'CF DRIVERS'!AH7</f>
        <v/>
      </c>
      <c r="AI7" s="9">
        <f>'CF DRIVERS'!AI7</f>
        <v/>
      </c>
      <c r="AJ7" s="9">
        <f>'CF DRIVERS'!AJ7</f>
        <v/>
      </c>
      <c r="AK7" s="9">
        <f>'CF DRIVERS'!AK7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  <c r="AH8" s="9">
        <f>'CF DRIVERS'!AH8</f>
        <v/>
      </c>
      <c r="AI8" s="9">
        <f>'CF DRIVERS'!AI8</f>
        <v/>
      </c>
      <c r="AJ8" s="9">
        <f>'CF DRIVERS'!AJ8</f>
        <v/>
      </c>
      <c r="AK8" s="9">
        <f>'CF DRIVERS'!AK8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  <c r="AH9" s="9">
        <f>'CF DRIVERS'!AH9</f>
        <v/>
      </c>
      <c r="AI9" s="9">
        <f>'CF DRIVERS'!AI9</f>
        <v/>
      </c>
      <c r="AJ9" s="9">
        <f>'CF DRIVERS'!AJ9</f>
        <v/>
      </c>
      <c r="AK9" s="9">
        <f>'CF DRIVERS'!AK9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  <c r="AH10" s="9">
        <f>'CF DRIVERS'!AH10</f>
        <v/>
      </c>
      <c r="AI10" s="9">
        <f>'CF DRIVERS'!AI10</f>
        <v/>
      </c>
      <c r="AJ10" s="9">
        <f>'CF DRIVERS'!AJ10</f>
        <v/>
      </c>
      <c r="AK10" s="9">
        <f>'CF DRIVERS'!AK10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  <c r="AH11" s="9">
        <f>'QTR P&amp;L'!AH2*'CF DRIVERS'!AH11</f>
        <v/>
      </c>
      <c r="AI11" s="9">
        <f>'QTR P&amp;L'!AI2*'CF DRIVERS'!AI11</f>
        <v/>
      </c>
      <c r="AJ11" s="9">
        <f>'QTR P&amp;L'!AJ2*'CF DRIVERS'!AJ11</f>
        <v/>
      </c>
      <c r="AK11" s="9">
        <f>'QTR P&amp;L'!AK2*'CF DRIVERS'!AK11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  <c r="AH12" s="9">
        <f>'CF DRIVERS'!AH12</f>
        <v/>
      </c>
      <c r="AI12" s="9">
        <f>'CF DRIVERS'!AI12</f>
        <v/>
      </c>
      <c r="AJ12" s="9">
        <f>'CF DRIVERS'!AJ12</f>
        <v/>
      </c>
      <c r="AK12" s="9">
        <f>'CF DRIVERS'!AK12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  <c r="AH13" s="9">
        <f>'CF DRIVERS'!AH13</f>
        <v/>
      </c>
      <c r="AI13" s="9">
        <f>'CF DRIVERS'!AI13</f>
        <v/>
      </c>
      <c r="AJ13" s="9">
        <f>'CF DRIVERS'!AJ13</f>
        <v/>
      </c>
      <c r="AK13" s="9">
        <f>'CF DRIVERS'!AK13</f>
        <v/>
      </c>
    </row>
    <row r="14">
      <c r="A14" s="3" t="inlineStr">
        <is>
          <t>Gain (Loss) on Lease Cancellations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FLOW'!C12-'YTD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FLOW'!D12-'YTD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FLOW'!E12-'YTD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FLOW'!F12-'YTD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  <c r="AH14" s="9">
        <f>'CF DRIVERS'!AH14</f>
        <v/>
      </c>
      <c r="AI14" s="9">
        <f>'CF DRIVERS'!AI14</f>
        <v/>
      </c>
      <c r="AJ14" s="9">
        <f>'CF DRIVERS'!AJ14</f>
        <v/>
      </c>
      <c r="AK14" s="9">
        <f>'CF DRIVERS'!AK14</f>
        <v/>
      </c>
    </row>
    <row r="15">
      <c r="A15" s="3" t="inlineStr">
        <is>
          <t>Change in Fair Value of Contingent Consideration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FLOW'!C13-'YTD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FLOW'!D13-'YTD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FLOW'!E13-'YTD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FLOW'!F13-'YTD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  <c r="AH15" s="9">
        <f>'CF DRIVERS'!AH15</f>
        <v/>
      </c>
      <c r="AI15" s="9">
        <f>'CF DRIVERS'!AI15</f>
        <v/>
      </c>
      <c r="AJ15" s="9">
        <f>'CF DRIVERS'!AJ15</f>
        <v/>
      </c>
      <c r="AK15" s="9">
        <f>'CF DRIVERS'!AK15</f>
        <v/>
      </c>
    </row>
    <row r="16">
      <c r="A16" s="3" t="inlineStr">
        <is>
          <t>Gain (Loss) on Extinguishment of Debt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FLOW'!C14-'YTD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FLOW'!D14-'YTD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FLOW'!E14-'YTD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FLOW'!F14-'YTD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  <c r="AH16" s="9">
        <f>'CF DRIVERS'!AH16</f>
        <v/>
      </c>
      <c r="AI16" s="9">
        <f>'CF DRIVERS'!AI16</f>
        <v/>
      </c>
      <c r="AJ16" s="9">
        <f>'CF DRIVERS'!AJ16</f>
        <v/>
      </c>
      <c r="AK16" s="9">
        <f>'CF DRIVERS'!AK16</f>
        <v/>
      </c>
    </row>
    <row r="17">
      <c r="A17" s="3" t="inlineStr">
        <is>
          <t>Other Operating Items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FLOW'!C15-'YTD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FLOW'!D15-'YTD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FLOW'!E15-'YTD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FLOW'!F15-'YTD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  <c r="AH17" s="9">
        <f>'CF DRIVERS'!AH17</f>
        <v/>
      </c>
      <c r="AI17" s="9">
        <f>'CF DRIVERS'!AI17</f>
        <v/>
      </c>
      <c r="AJ17" s="9">
        <f>'CF DRIVERS'!AJ17</f>
        <v/>
      </c>
      <c r="AK17" s="9">
        <f>'CF DRIVERS'!AK17</f>
        <v/>
      </c>
    </row>
    <row r="18">
      <c r="A18" s="3" t="inlineStr">
        <is>
          <t>Accounts Receivable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FLOW'!C16-'YTD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FLOW'!D16-'YTD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FLOW'!E16-'YTD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FLOW'!F16-'YTD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  <c r="AH18" s="9">
        <f>'CF DRIVERS'!AH18</f>
        <v/>
      </c>
      <c r="AI18" s="9">
        <f>'CF DRIVERS'!AI18</f>
        <v/>
      </c>
      <c r="AJ18" s="9">
        <f>'CF DRIVERS'!AJ18</f>
        <v/>
      </c>
      <c r="AK18" s="9">
        <f>'CF DRIVERS'!AK18</f>
        <v/>
      </c>
    </row>
    <row r="19">
      <c r="A19" s="3" t="inlineStr">
        <is>
          <t>Note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FLOW'!C17-'YTD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FLOW'!D17-'YTD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FLOW'!E17-'YTD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FLOW'!F17-'YTD CF'!M19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  <c r="AH19" s="9">
        <f>'CF DRIVERS'!AH19</f>
        <v/>
      </c>
      <c r="AI19" s="9">
        <f>'CF DRIVERS'!AI19</f>
        <v/>
      </c>
      <c r="AJ19" s="9">
        <f>'CF DRIVERS'!AJ19</f>
        <v/>
      </c>
      <c r="AK19" s="9">
        <f>'CF DRIVERS'!AK19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FLOW'!C18-'YTD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FLOW'!D18-'YTD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FLOW'!E18-'YTD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FLOW'!F18-'YTD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  <c r="AH20" s="9">
        <f>'CF DRIVERS'!AH20</f>
        <v/>
      </c>
      <c r="AI20" s="9">
        <f>'CF DRIVERS'!AI20</f>
        <v/>
      </c>
      <c r="AJ20" s="9">
        <f>'CF DRIVERS'!AJ20</f>
        <v/>
      </c>
      <c r="AK20" s="9">
        <f>'CF DRIVERS'!AK20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FLOW'!C19-'YTD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FLOW'!D19-'YTD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FLOW'!E19-'YTD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FLOW'!F19-'YTD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  <c r="AH21" s="9">
        <f>'CF DRIVERS'!AH21</f>
        <v/>
      </c>
      <c r="AI21" s="9">
        <f>'CF DRIVERS'!AI21</f>
        <v/>
      </c>
      <c r="AJ21" s="9">
        <f>'CF DRIVERS'!AJ21</f>
        <v/>
      </c>
      <c r="AK21" s="9">
        <f>'CF DRIVERS'!AK21</f>
        <v/>
      </c>
    </row>
    <row r="22">
      <c r="A22" s="3" t="inlineStr">
        <is>
          <t>Change in A/P and Accrued (legacy)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  <c r="AH22" s="9">
        <f>'CF DRIVERS'!AH22</f>
        <v/>
      </c>
      <c r="AI22" s="9">
        <f>'CF DRIVERS'!AI22</f>
        <v/>
      </c>
      <c r="AJ22" s="9">
        <f>'CF DRIVERS'!AJ22</f>
        <v/>
      </c>
      <c r="AK22" s="9">
        <f>'CF DRIVERS'!AK22</f>
        <v/>
      </c>
    </row>
    <row r="23">
      <c r="A23" s="3" t="inlineStr">
        <is>
          <t>Other Non-Current Assets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FLOW'!C20-'YTD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FLOW'!D20-'YTD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FLOW'!E20-'YTD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FLOW'!F20-'YTD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  <c r="AH23" s="9">
        <f>'CF DRIVERS'!AH23</f>
        <v/>
      </c>
      <c r="AI23" s="9">
        <f>'CF DRIVERS'!AI23</f>
        <v/>
      </c>
      <c r="AJ23" s="9">
        <f>'CF DRIVERS'!AJ23</f>
        <v/>
      </c>
      <c r="AK23" s="9">
        <f>'CF DRIVERS'!AK23</f>
        <v/>
      </c>
    </row>
    <row r="24">
      <c r="A24" s="3" t="inlineStr">
        <is>
          <t>Accounts Payable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FLOW'!C21-'YTD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FLOW'!D21-'YTD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FLOW'!E21-'YTD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FLOW'!F21-'YTD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  <c r="AH24" s="9">
        <f>'CF DRIVERS'!AH24</f>
        <v/>
      </c>
      <c r="AI24" s="9">
        <f>'CF DRIVERS'!AI24</f>
        <v/>
      </c>
      <c r="AJ24" s="9">
        <f>'CF DRIVERS'!AJ24</f>
        <v/>
      </c>
      <c r="AK24" s="9">
        <f>'CF DRIVERS'!AK24</f>
        <v/>
      </c>
    </row>
    <row r="25">
      <c r="A25" s="3" t="inlineStr">
        <is>
          <t>Accrued Expenses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FLOW'!C22-'YTD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FLOW'!D22-'YTD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FLOW'!E22-'YTD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FLOW'!F22-'YTD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  <c r="AH25" s="9">
        <f>'CF DRIVERS'!AH25</f>
        <v/>
      </c>
      <c r="AI25" s="9">
        <f>'CF DRIVERS'!AI25</f>
        <v/>
      </c>
      <c r="AJ25" s="9">
        <f>'CF DRIVERS'!AJ25</f>
        <v/>
      </c>
      <c r="AK25" s="9">
        <f>'CF DRIVERS'!AK25</f>
        <v/>
      </c>
    </row>
    <row r="26">
      <c r="A26" s="3" t="inlineStr">
        <is>
          <t>Other Current Liabilities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FLOW'!C23-'YTD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FLOW'!D23-'YTD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FLOW'!E23-'YTD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FLOW'!F23-'YTD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  <c r="AH26" s="9">
        <f>'CF DRIVERS'!AH26</f>
        <v/>
      </c>
      <c r="AI26" s="9">
        <f>'CF DRIVERS'!AI26</f>
        <v/>
      </c>
      <c r="AJ26" s="9">
        <f>'CF DRIVERS'!AJ26</f>
        <v/>
      </c>
      <c r="AK26" s="9">
        <f>'CF DRIVERS'!AK26</f>
        <v/>
      </c>
    </row>
    <row r="27">
      <c r="A27" s="3" t="inlineStr">
        <is>
          <t>Accrued Promotional Allowance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FLOW'!C24-'YTD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FLOW'!D24-'YTD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FLOW'!E24-'YTD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FLOW'!F24-'YTD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  <c r="AH27" s="9">
        <f>'CF DRIVERS'!AH27</f>
        <v/>
      </c>
      <c r="AI27" s="9">
        <f>'CF DRIVERS'!AI27</f>
        <v/>
      </c>
      <c r="AJ27" s="9">
        <f>'CF DRIVERS'!AJ27</f>
        <v/>
      </c>
      <c r="AK27" s="9">
        <f>'CF DRIVERS'!AK27</f>
        <v/>
      </c>
    </row>
    <row r="28">
      <c r="A28" s="3" t="inlineStr">
        <is>
          <t>Accrued Distributor Termination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FLOW'!C25-'YTD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FLOW'!D25-'YTD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FLOW'!E25-'YTD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FLOW'!F25-'YTD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  <c r="AH28" s="9">
        <f>'CF DRIVERS'!AH28</f>
        <v/>
      </c>
      <c r="AI28" s="9">
        <f>'CF DRIVERS'!AI28</f>
        <v/>
      </c>
      <c r="AJ28" s="9">
        <f>'CF DRIVERS'!AJ28</f>
        <v/>
      </c>
      <c r="AK28" s="9">
        <f>'CF DRIVERS'!AK28</f>
        <v/>
      </c>
    </row>
    <row r="29">
      <c r="A29" s="3" t="inlineStr">
        <is>
          <t>ROU &amp; Lease Liability, Net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FLOW'!C26-'YTD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FLOW'!D26-'YTD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FLOW'!E26-'YTD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FLOW'!F26-'YTD CF'!M29</f>
        <v/>
      </c>
      <c r="R29" s="9">
        <f>'CF DRIVERS'!R29</f>
        <v/>
      </c>
      <c r="S29" s="9">
        <f>'CF DRIVERS'!S29</f>
        <v/>
      </c>
      <c r="T29" s="9">
        <f>'CF DRIVERS'!T29</f>
        <v/>
      </c>
      <c r="U29" s="9">
        <f>'CF DRIVERS'!U29</f>
        <v/>
      </c>
      <c r="V29" s="9">
        <f>'CF DRIVERS'!V29</f>
        <v/>
      </c>
      <c r="W29" s="9">
        <f>'CF DRIVERS'!W29</f>
        <v/>
      </c>
      <c r="X29" s="9">
        <f>'CF DRIVERS'!X29</f>
        <v/>
      </c>
      <c r="Y29" s="9">
        <f>'CF DRIVERS'!Y29</f>
        <v/>
      </c>
      <c r="Z29" s="9">
        <f>'CF DRIVERS'!Z29</f>
        <v/>
      </c>
      <c r="AA29" s="9">
        <f>'CF DRIVERS'!AA29</f>
        <v/>
      </c>
      <c r="AB29" s="9">
        <f>'CF DRIVERS'!AB29</f>
        <v/>
      </c>
      <c r="AC29" s="9">
        <f>'CF DRIVERS'!AC29</f>
        <v/>
      </c>
      <c r="AD29" s="9">
        <f>'CF DRIVERS'!AD29</f>
        <v/>
      </c>
      <c r="AE29" s="9">
        <f>'CF DRIVERS'!AE29</f>
        <v/>
      </c>
      <c r="AF29" s="9">
        <f>'CF DRIVERS'!AF29</f>
        <v/>
      </c>
      <c r="AG29" s="9">
        <f>'CF DRIVERS'!AG29</f>
        <v/>
      </c>
      <c r="AH29" s="9">
        <f>'CF DRIVERS'!AH29</f>
        <v/>
      </c>
      <c r="AI29" s="9">
        <f>'CF DRIVERS'!AI29</f>
        <v/>
      </c>
      <c r="AJ29" s="9">
        <f>'CF DRIVERS'!AJ29</f>
        <v/>
      </c>
      <c r="AK29" s="9">
        <f>'CF DRIVERS'!AK29</f>
        <v/>
      </c>
    </row>
    <row r="30">
      <c r="A30" s="3" t="inlineStr">
        <is>
          <t>Deferred Revenue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FLOW'!C27-'YTD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FLOW'!D27-'YTD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FLOW'!E27-'YTD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FLOW'!F27-'YTD CF'!M30</f>
        <v/>
      </c>
      <c r="R30" s="9">
        <f>'CF DRIVERS'!R30</f>
        <v/>
      </c>
      <c r="S30" s="9">
        <f>'CF DRIVERS'!S30</f>
        <v/>
      </c>
      <c r="T30" s="9">
        <f>'CF DRIVERS'!T30</f>
        <v/>
      </c>
      <c r="U30" s="9">
        <f>'CF DRIVERS'!U30</f>
        <v/>
      </c>
      <c r="V30" s="9">
        <f>'CF DRIVERS'!V30</f>
        <v/>
      </c>
      <c r="W30" s="9">
        <f>'CF DRIVERS'!W30</f>
        <v/>
      </c>
      <c r="X30" s="9">
        <f>'CF DRIVERS'!X30</f>
        <v/>
      </c>
      <c r="Y30" s="9">
        <f>'CF DRIVERS'!Y30</f>
        <v/>
      </c>
      <c r="Z30" s="9">
        <f>'CF DRIVERS'!Z30</f>
        <v/>
      </c>
      <c r="AA30" s="9">
        <f>'CF DRIVERS'!AA30</f>
        <v/>
      </c>
      <c r="AB30" s="9">
        <f>'CF DRIVERS'!AB30</f>
        <v/>
      </c>
      <c r="AC30" s="9">
        <f>'CF DRIVERS'!AC30</f>
        <v/>
      </c>
      <c r="AD30" s="9">
        <f>'CF DRIVERS'!AD30</f>
        <v/>
      </c>
      <c r="AE30" s="9">
        <f>'CF DRIVERS'!AE30</f>
        <v/>
      </c>
      <c r="AF30" s="9">
        <f>'CF DRIVERS'!AF30</f>
        <v/>
      </c>
      <c r="AG30" s="9">
        <f>'CF DRIVERS'!AG30</f>
        <v/>
      </c>
      <c r="AH30" s="9">
        <f>'CF DRIVERS'!AH30</f>
        <v/>
      </c>
      <c r="AI30" s="9">
        <f>'CF DRIVERS'!AI30</f>
        <v/>
      </c>
      <c r="AJ30" s="9">
        <f>'CF DRIVERS'!AJ30</f>
        <v/>
      </c>
      <c r="AK30" s="9">
        <f>'CF DRIVERS'!AK30</f>
        <v/>
      </c>
    </row>
    <row r="31">
      <c r="A31" s="3" t="inlineStr">
        <is>
          <t>Net Change in Other Working Capital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FLOW'!C28-'YTD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FLOW'!D28-'YTD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FLOW'!E28-'YTD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FLOW'!F28-'YTD CF'!M31</f>
        <v/>
      </c>
      <c r="R31" s="9">
        <f>'CF DRIVERS'!R31</f>
        <v/>
      </c>
      <c r="S31" s="9">
        <f>'CF DRIVERS'!S31</f>
        <v/>
      </c>
      <c r="T31" s="9">
        <f>'CF DRIVERS'!T31</f>
        <v/>
      </c>
      <c r="U31" s="9">
        <f>'CF DRIVERS'!U31</f>
        <v/>
      </c>
      <c r="V31" s="9">
        <f>'CF DRIVERS'!V31</f>
        <v/>
      </c>
      <c r="W31" s="9">
        <f>'CF DRIVERS'!W31</f>
        <v/>
      </c>
      <c r="X31" s="9">
        <f>'CF DRIVERS'!X31</f>
        <v/>
      </c>
      <c r="Y31" s="9">
        <f>'CF DRIVERS'!Y31</f>
        <v/>
      </c>
      <c r="Z31" s="9">
        <f>'CF DRIVERS'!Z31</f>
        <v/>
      </c>
      <c r="AA31" s="9">
        <f>'CF DRIVERS'!AA31</f>
        <v/>
      </c>
      <c r="AB31" s="9">
        <f>'CF DRIVERS'!AB31</f>
        <v/>
      </c>
      <c r="AC31" s="9">
        <f>'CF DRIVERS'!AC31</f>
        <v/>
      </c>
      <c r="AD31" s="9">
        <f>'CF DRIVERS'!AD31</f>
        <v/>
      </c>
      <c r="AE31" s="9">
        <f>'CF DRIVERS'!AE31</f>
        <v/>
      </c>
      <c r="AF31" s="9">
        <f>'CF DRIVERS'!AF31</f>
        <v/>
      </c>
      <c r="AG31" s="9">
        <f>'CF DRIVERS'!AG31</f>
        <v/>
      </c>
      <c r="AH31" s="9">
        <f>'CF DRIVERS'!AH31</f>
        <v/>
      </c>
      <c r="AI31" s="9">
        <f>'CF DRIVERS'!AI31</f>
        <v/>
      </c>
      <c r="AJ31" s="9">
        <f>'CF DRIVERS'!AJ31</f>
        <v/>
      </c>
      <c r="AK31" s="9">
        <f>'CF DRIVERS'!AK31</f>
        <v/>
      </c>
    </row>
    <row r="32">
      <c r="A32" s="3" t="inlineStr">
        <is>
          <t>Cash Flow from Operations</t>
        </is>
      </c>
      <c r="B32" s="6">
        <f>'YTD CF'!B32</f>
        <v/>
      </c>
      <c r="C32" s="6">
        <f>'YTD CF'!C32-'YTD CF'!B32</f>
        <v/>
      </c>
      <c r="D32" s="6">
        <f>'YTD CF'!D32-'YTD CF'!C32</f>
        <v/>
      </c>
      <c r="E32" s="6">
        <f>'CASH FLOW'!C29-'YTD CF'!D32</f>
        <v/>
      </c>
      <c r="F32" s="6">
        <f>'YTD CF'!E32</f>
        <v/>
      </c>
      <c r="G32" s="6">
        <f>'YTD CF'!F32-'YTD CF'!E32</f>
        <v/>
      </c>
      <c r="H32" s="6">
        <f>'YTD CF'!G32-'YTD CF'!F32</f>
        <v/>
      </c>
      <c r="I32" s="6">
        <f>'CASH FLOW'!D29-'YTD CF'!G32</f>
        <v/>
      </c>
      <c r="J32" s="6">
        <f>'YTD CF'!H32</f>
        <v/>
      </c>
      <c r="K32" s="6">
        <f>'YTD CF'!I32-'YTD CF'!H32</f>
        <v/>
      </c>
      <c r="L32" s="6">
        <f>'YTD CF'!J32-'YTD CF'!I32</f>
        <v/>
      </c>
      <c r="M32" s="6">
        <f>'CASH FLOW'!E29-'YTD CF'!J32</f>
        <v/>
      </c>
      <c r="N32" s="6">
        <f>'YTD CF'!K32</f>
        <v/>
      </c>
      <c r="O32" s="6">
        <f>'YTD CF'!L32-'YTD CF'!K32</f>
        <v/>
      </c>
      <c r="P32" s="6">
        <f>'YTD CF'!M32-'YTD CF'!L32</f>
        <v/>
      </c>
      <c r="Q32" s="6">
        <f>'CASH FLOW'!F29-'YTD CF'!M32</f>
        <v/>
      </c>
      <c r="R32" s="7">
        <f>SUM(R2:R31)</f>
        <v/>
      </c>
      <c r="S32" s="7">
        <f>SUM(S2:S31)</f>
        <v/>
      </c>
      <c r="T32" s="7">
        <f>SUM(T2:T31)</f>
        <v/>
      </c>
      <c r="U32" s="7">
        <f>SUM(U2:U31)</f>
        <v/>
      </c>
      <c r="V32" s="7">
        <f>SUM(V2:V31)</f>
        <v/>
      </c>
      <c r="W32" s="7">
        <f>SUM(W2:W31)</f>
        <v/>
      </c>
      <c r="X32" s="7">
        <f>SUM(X2:X31)</f>
        <v/>
      </c>
      <c r="Y32" s="7">
        <f>SUM(Y2:Y31)</f>
        <v/>
      </c>
      <c r="Z32" s="7">
        <f>SUM(Z2:Z31)</f>
        <v/>
      </c>
      <c r="AA32" s="7">
        <f>SUM(AA2:AA31)</f>
        <v/>
      </c>
      <c r="AB32" s="7">
        <f>SUM(AB2:AB31)</f>
        <v/>
      </c>
      <c r="AC32" s="7">
        <f>SUM(AC2:AC31)</f>
        <v/>
      </c>
      <c r="AD32" s="7">
        <f>SUM(AD2:AD31)</f>
        <v/>
      </c>
      <c r="AE32" s="7">
        <f>SUM(AE2:AE31)</f>
        <v/>
      </c>
      <c r="AF32" s="7">
        <f>SUM(AF2:AF31)</f>
        <v/>
      </c>
      <c r="AG32" s="7">
        <f>SUM(AG2:AG31)</f>
        <v/>
      </c>
      <c r="AH32" s="7">
        <f>SUM(AH2:AH31)</f>
        <v/>
      </c>
      <c r="AI32" s="7">
        <f>SUM(AI2:AI31)</f>
        <v/>
      </c>
      <c r="AJ32" s="7">
        <f>SUM(AJ2:AJ31)</f>
        <v/>
      </c>
      <c r="AK32" s="7">
        <f>SUM(AK2:AK31)</f>
        <v/>
      </c>
    </row>
    <row r="33">
      <c r="A33" s="3" t="inlineStr">
        <is>
          <t>Collections from Note Receivable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FLOW'!C30-'YTD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FLOW'!D30-'YTD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FLOW'!E30-'YTD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FLOW'!F30-'YTD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  <c r="AH33" s="9">
        <f>'CF DRIVERS'!AH32</f>
        <v/>
      </c>
      <c r="AI33" s="9">
        <f>'CF DRIVERS'!AI32</f>
        <v/>
      </c>
      <c r="AJ33" s="9">
        <f>'CF DRIVERS'!AJ32</f>
        <v/>
      </c>
      <c r="AK33" s="9">
        <f>'CF DRIVERS'!AK32</f>
        <v/>
      </c>
    </row>
    <row r="34">
      <c r="A34" s="3" t="inlineStr">
        <is>
          <t>Purchase of PP&amp;E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FLOW'!C31-'YTD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FLOW'!D31-'YTD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FLOW'!E31-'YTD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FLOW'!F31-'YTD CF'!M34</f>
        <v/>
      </c>
      <c r="R34" s="9">
        <f>'QTR P&amp;L'!R2*'CF DRIVERS'!R33</f>
        <v/>
      </c>
      <c r="S34" s="9">
        <f>'QTR P&amp;L'!S2*'CF DRIVERS'!S33</f>
        <v/>
      </c>
      <c r="T34" s="9">
        <f>'QTR P&amp;L'!T2*'CF DRIVERS'!T33</f>
        <v/>
      </c>
      <c r="U34" s="9">
        <f>'QTR P&amp;L'!U2*'CF DRIVERS'!U33</f>
        <v/>
      </c>
      <c r="V34" s="9">
        <f>'QTR P&amp;L'!V2*'CF DRIVERS'!V33</f>
        <v/>
      </c>
      <c r="W34" s="9">
        <f>'QTR P&amp;L'!W2*'CF DRIVERS'!W33</f>
        <v/>
      </c>
      <c r="X34" s="9">
        <f>'QTR P&amp;L'!X2*'CF DRIVERS'!X33</f>
        <v/>
      </c>
      <c r="Y34" s="9">
        <f>'QTR P&amp;L'!Y2*'CF DRIVERS'!Y33</f>
        <v/>
      </c>
      <c r="Z34" s="9">
        <f>'QTR P&amp;L'!Z2*'CF DRIVERS'!Z33</f>
        <v/>
      </c>
      <c r="AA34" s="9">
        <f>'QTR P&amp;L'!AA2*'CF DRIVERS'!AA33</f>
        <v/>
      </c>
      <c r="AB34" s="9">
        <f>'QTR P&amp;L'!AB2*'CF DRIVERS'!AB33</f>
        <v/>
      </c>
      <c r="AC34" s="9">
        <f>'QTR P&amp;L'!AC2*'CF DRIVERS'!AC33</f>
        <v/>
      </c>
      <c r="AD34" s="9">
        <f>'QTR P&amp;L'!AD2*'CF DRIVERS'!AD33</f>
        <v/>
      </c>
      <c r="AE34" s="9">
        <f>'QTR P&amp;L'!AE2*'CF DRIVERS'!AE33</f>
        <v/>
      </c>
      <c r="AF34" s="9">
        <f>'QTR P&amp;L'!AF2*'CF DRIVERS'!AF33</f>
        <v/>
      </c>
      <c r="AG34" s="9">
        <f>'QTR P&amp;L'!AG2*'CF DRIVERS'!AG33</f>
        <v/>
      </c>
      <c r="AH34" s="9">
        <f>'QTR P&amp;L'!AH2*'CF DRIVERS'!AH33</f>
        <v/>
      </c>
      <c r="AI34" s="9">
        <f>'QTR P&amp;L'!AI2*'CF DRIVERS'!AI33</f>
        <v/>
      </c>
      <c r="AJ34" s="9">
        <f>'QTR P&amp;L'!AJ2*'CF DRIVERS'!AJ33</f>
        <v/>
      </c>
      <c r="AK34" s="9">
        <f>'QTR P&amp;L'!AK2*'CF DRIVERS'!AK33</f>
        <v/>
      </c>
    </row>
    <row r="35">
      <c r="A35" s="3" t="inlineStr">
        <is>
          <t>Purchase of Non-Marketable Equity Securities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FLOW'!C32-'YTD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FLOW'!D32-'YTD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FLOW'!E32-'YTD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FLOW'!F32-'YTD CF'!M35</f>
        <v/>
      </c>
      <c r="R35" s="9">
        <f>'CF DRIVERS'!R34</f>
        <v/>
      </c>
      <c r="S35" s="9">
        <f>'CF DRIVERS'!S34</f>
        <v/>
      </c>
      <c r="T35" s="9">
        <f>'CF DRIVERS'!T34</f>
        <v/>
      </c>
      <c r="U35" s="9">
        <f>'CF DRIVERS'!U34</f>
        <v/>
      </c>
      <c r="V35" s="9">
        <f>'CF DRIVERS'!V34</f>
        <v/>
      </c>
      <c r="W35" s="9">
        <f>'CF DRIVERS'!W34</f>
        <v/>
      </c>
      <c r="X35" s="9">
        <f>'CF DRIVERS'!X34</f>
        <v/>
      </c>
      <c r="Y35" s="9">
        <f>'CF DRIVERS'!Y34</f>
        <v/>
      </c>
      <c r="Z35" s="9">
        <f>'CF DRIVERS'!Z34</f>
        <v/>
      </c>
      <c r="AA35" s="9">
        <f>'CF DRIVERS'!AA34</f>
        <v/>
      </c>
      <c r="AB35" s="9">
        <f>'CF DRIVERS'!AB34</f>
        <v/>
      </c>
      <c r="AC35" s="9">
        <f>'CF DRIVERS'!AC34</f>
        <v/>
      </c>
      <c r="AD35" s="9">
        <f>'CF DRIVERS'!AD34</f>
        <v/>
      </c>
      <c r="AE35" s="9">
        <f>'CF DRIVERS'!AE34</f>
        <v/>
      </c>
      <c r="AF35" s="9">
        <f>'CF DRIVERS'!AF34</f>
        <v/>
      </c>
      <c r="AG35" s="9">
        <f>'CF DRIVERS'!AG34</f>
        <v/>
      </c>
      <c r="AH35" s="9">
        <f>'CF DRIVERS'!AH34</f>
        <v/>
      </c>
      <c r="AI35" s="9">
        <f>'CF DRIVERS'!AI34</f>
        <v/>
      </c>
      <c r="AJ35" s="9">
        <f>'CF DRIVERS'!AJ34</f>
        <v/>
      </c>
      <c r="AK35" s="9">
        <f>'CF DRIVERS'!AK34</f>
        <v/>
      </c>
    </row>
    <row r="36">
      <c r="A36" s="3" t="inlineStr">
        <is>
          <t>Acquisition of Big Beverages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FLOW'!C33-'YTD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FLOW'!D33-'YTD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FLOW'!E33-'YTD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FLOW'!F33-'YTD CF'!M36</f>
        <v/>
      </c>
      <c r="R36" s="9">
        <f>'CF DRIVERS'!R35</f>
        <v/>
      </c>
      <c r="S36" s="9">
        <f>'CF DRIVERS'!S35</f>
        <v/>
      </c>
      <c r="T36" s="9">
        <f>'CF DRIVERS'!T35</f>
        <v/>
      </c>
      <c r="U36" s="9">
        <f>'CF DRIVERS'!U35</f>
        <v/>
      </c>
      <c r="V36" s="9">
        <f>'CF DRIVERS'!V35</f>
        <v/>
      </c>
      <c r="W36" s="9">
        <f>'CF DRIVERS'!W35</f>
        <v/>
      </c>
      <c r="X36" s="9">
        <f>'CF DRIVERS'!X35</f>
        <v/>
      </c>
      <c r="Y36" s="9">
        <f>'CF DRIVERS'!Y35</f>
        <v/>
      </c>
      <c r="Z36" s="9">
        <f>'CF DRIVERS'!Z35</f>
        <v/>
      </c>
      <c r="AA36" s="9">
        <f>'CF DRIVERS'!AA35</f>
        <v/>
      </c>
      <c r="AB36" s="9">
        <f>'CF DRIVERS'!AB35</f>
        <v/>
      </c>
      <c r="AC36" s="9">
        <f>'CF DRIVERS'!AC35</f>
        <v/>
      </c>
      <c r="AD36" s="9">
        <f>'CF DRIVERS'!AD35</f>
        <v/>
      </c>
      <c r="AE36" s="9">
        <f>'CF DRIVERS'!AE35</f>
        <v/>
      </c>
      <c r="AF36" s="9">
        <f>'CF DRIVERS'!AF35</f>
        <v/>
      </c>
      <c r="AG36" s="9">
        <f>'CF DRIVERS'!AG35</f>
        <v/>
      </c>
      <c r="AH36" s="9">
        <f>'CF DRIVERS'!AH35</f>
        <v/>
      </c>
      <c r="AI36" s="9">
        <f>'CF DRIVERS'!AI35</f>
        <v/>
      </c>
      <c r="AJ36" s="9">
        <f>'CF DRIVERS'!AJ35</f>
        <v/>
      </c>
      <c r="AK36" s="9">
        <f>'CF DRIVERS'!AK35</f>
        <v/>
      </c>
    </row>
    <row r="37">
      <c r="A37" s="3" t="inlineStr">
        <is>
          <t>Acquisitions, Net of Cash Acquired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FLOW'!C34-'YTD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FLOW'!D34-'YTD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FLOW'!E34-'YTD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FLOW'!F34-'YTD CF'!M37</f>
        <v/>
      </c>
      <c r="R37" s="9">
        <f>'CF DRIVERS'!R36</f>
        <v/>
      </c>
      <c r="S37" s="9">
        <f>'CF DRIVERS'!S36</f>
        <v/>
      </c>
      <c r="T37" s="9">
        <f>'CF DRIVERS'!T36</f>
        <v/>
      </c>
      <c r="U37" s="9">
        <f>'CF DRIVERS'!U36</f>
        <v/>
      </c>
      <c r="V37" s="9">
        <f>'CF DRIVERS'!V36</f>
        <v/>
      </c>
      <c r="W37" s="9">
        <f>'CF DRIVERS'!W36</f>
        <v/>
      </c>
      <c r="X37" s="9">
        <f>'CF DRIVERS'!X36</f>
        <v/>
      </c>
      <c r="Y37" s="9">
        <f>'CF DRIVERS'!Y36</f>
        <v/>
      </c>
      <c r="Z37" s="9">
        <f>'CF DRIVERS'!Z36</f>
        <v/>
      </c>
      <c r="AA37" s="9">
        <f>'CF DRIVERS'!AA36</f>
        <v/>
      </c>
      <c r="AB37" s="9">
        <f>'CF DRIVERS'!AB36</f>
        <v/>
      </c>
      <c r="AC37" s="9">
        <f>'CF DRIVERS'!AC36</f>
        <v/>
      </c>
      <c r="AD37" s="9">
        <f>'CF DRIVERS'!AD36</f>
        <v/>
      </c>
      <c r="AE37" s="9">
        <f>'CF DRIVERS'!AE36</f>
        <v/>
      </c>
      <c r="AF37" s="9">
        <f>'CF DRIVERS'!AF36</f>
        <v/>
      </c>
      <c r="AG37" s="9">
        <f>'CF DRIVERS'!AG36</f>
        <v/>
      </c>
      <c r="AH37" s="9">
        <f>'CF DRIVERS'!AH36</f>
        <v/>
      </c>
      <c r="AI37" s="9">
        <f>'CF DRIVERS'!AI36</f>
        <v/>
      </c>
      <c r="AJ37" s="9">
        <f>'CF DRIVERS'!AJ36</f>
        <v/>
      </c>
      <c r="AK37" s="9">
        <f>'CF DRIVERS'!AK36</f>
        <v/>
      </c>
    </row>
    <row r="38">
      <c r="A38" s="3" t="inlineStr">
        <is>
          <t>Working Capital Estimate from Pepsi (Rockstar)</t>
        </is>
      </c>
      <c r="R38" s="9">
        <f>'CF DRIVERS'!R37</f>
        <v/>
      </c>
      <c r="S38" s="9">
        <f>'CF DRIVERS'!S37</f>
        <v/>
      </c>
      <c r="T38" s="9">
        <f>'CF DRIVERS'!T37</f>
        <v/>
      </c>
      <c r="U38" s="9">
        <f>'CF DRIVERS'!U37</f>
        <v/>
      </c>
      <c r="V38" s="9">
        <f>'CF DRIVERS'!V37</f>
        <v/>
      </c>
      <c r="W38" s="9">
        <f>'CF DRIVERS'!W37</f>
        <v/>
      </c>
      <c r="X38" s="9">
        <f>'CF DRIVERS'!X37</f>
        <v/>
      </c>
      <c r="Y38" s="9">
        <f>'CF DRIVERS'!Y37</f>
        <v/>
      </c>
      <c r="Z38" s="9">
        <f>'CF DRIVERS'!Z37</f>
        <v/>
      </c>
      <c r="AA38" s="9">
        <f>'CF DRIVERS'!AA37</f>
        <v/>
      </c>
      <c r="AB38" s="9">
        <f>'CF DRIVERS'!AB37</f>
        <v/>
      </c>
      <c r="AC38" s="9">
        <f>'CF DRIVERS'!AC37</f>
        <v/>
      </c>
      <c r="AD38" s="9">
        <f>'CF DRIVERS'!AD37</f>
        <v/>
      </c>
      <c r="AE38" s="9">
        <f>'CF DRIVERS'!AE37</f>
        <v/>
      </c>
      <c r="AF38" s="9">
        <f>'CF DRIVERS'!AF37</f>
        <v/>
      </c>
      <c r="AG38" s="9">
        <f>'CF DRIVERS'!AG37</f>
        <v/>
      </c>
      <c r="AH38" s="9">
        <f>'CF DRIVERS'!AH37</f>
        <v/>
      </c>
      <c r="AI38" s="9">
        <f>'CF DRIVERS'!AI37</f>
        <v/>
      </c>
      <c r="AJ38" s="9">
        <f>'CF DRIVERS'!AJ37</f>
        <v/>
      </c>
      <c r="AK38" s="9">
        <f>'CF DRIVERS'!AK37</f>
        <v/>
      </c>
    </row>
    <row r="39">
      <c r="A39" s="3" t="inlineStr">
        <is>
          <t>Cash Flow from Investing</t>
        </is>
      </c>
      <c r="B39" s="6">
        <f>'YTD CF'!B39</f>
        <v/>
      </c>
      <c r="C39" s="6">
        <f>'YTD CF'!C39-'YTD CF'!B39</f>
        <v/>
      </c>
      <c r="D39" s="6">
        <f>'YTD CF'!D39-'YTD CF'!C39</f>
        <v/>
      </c>
      <c r="E39" s="6">
        <f>'CASH FLOW'!C36-'YTD CF'!D39</f>
        <v/>
      </c>
      <c r="F39" s="6">
        <f>'YTD CF'!E39</f>
        <v/>
      </c>
      <c r="G39" s="6">
        <f>'YTD CF'!F39-'YTD CF'!E39</f>
        <v/>
      </c>
      <c r="H39" s="6">
        <f>'YTD CF'!G39-'YTD CF'!F39</f>
        <v/>
      </c>
      <c r="I39" s="6">
        <f>'CASH FLOW'!D36-'YTD CF'!G39</f>
        <v/>
      </c>
      <c r="J39" s="6">
        <f>'YTD CF'!H39</f>
        <v/>
      </c>
      <c r="K39" s="6">
        <f>'YTD CF'!I39-'YTD CF'!H39</f>
        <v/>
      </c>
      <c r="L39" s="6">
        <f>'YTD CF'!J39-'YTD CF'!I39</f>
        <v/>
      </c>
      <c r="M39" s="6">
        <f>'CASH FLOW'!E36-'YTD CF'!J39</f>
        <v/>
      </c>
      <c r="N39" s="6">
        <f>'YTD CF'!K39</f>
        <v/>
      </c>
      <c r="O39" s="6">
        <f>'YTD CF'!L39-'YTD CF'!K39</f>
        <v/>
      </c>
      <c r="P39" s="6">
        <f>'YTD CF'!M39-'YTD CF'!L39</f>
        <v/>
      </c>
      <c r="Q39" s="6">
        <f>'CASH FLOW'!F36-'YTD CF'!M39</f>
        <v/>
      </c>
      <c r="R39" s="7">
        <f>SUM(R33:R38)</f>
        <v/>
      </c>
      <c r="S39" s="7">
        <f>SUM(S33:S38)</f>
        <v/>
      </c>
      <c r="T39" s="7">
        <f>SUM(T33:T38)</f>
        <v/>
      </c>
      <c r="U39" s="7">
        <f>SUM(U33:U38)</f>
        <v/>
      </c>
      <c r="V39" s="7">
        <f>SUM(V33:V38)</f>
        <v/>
      </c>
      <c r="W39" s="7">
        <f>SUM(W33:W38)</f>
        <v/>
      </c>
      <c r="X39" s="7">
        <f>SUM(X33:X38)</f>
        <v/>
      </c>
      <c r="Y39" s="7">
        <f>SUM(Y33:Y38)</f>
        <v/>
      </c>
      <c r="Z39" s="7">
        <f>SUM(Z33:Z38)</f>
        <v/>
      </c>
      <c r="AA39" s="7">
        <f>SUM(AA33:AA38)</f>
        <v/>
      </c>
      <c r="AB39" s="7">
        <f>SUM(AB33:AB38)</f>
        <v/>
      </c>
      <c r="AC39" s="7">
        <f>SUM(AC33:AC38)</f>
        <v/>
      </c>
      <c r="AD39" s="7">
        <f>SUM(AD33:AD38)</f>
        <v/>
      </c>
      <c r="AE39" s="7">
        <f>SUM(AE33:AE38)</f>
        <v/>
      </c>
      <c r="AF39" s="7">
        <f>SUM(AF33:AF38)</f>
        <v/>
      </c>
      <c r="AG39" s="7">
        <f>SUM(AG33:AG38)</f>
        <v/>
      </c>
      <c r="AH39" s="7">
        <f>SUM(AH33:AH38)</f>
        <v/>
      </c>
      <c r="AI39" s="7">
        <f>SUM(AI33:AI38)</f>
        <v/>
      </c>
      <c r="AJ39" s="7">
        <f>SUM(AJ33:AJ38)</f>
        <v/>
      </c>
      <c r="AK39" s="7">
        <f>SUM(AK33:AK38)</f>
        <v/>
      </c>
    </row>
    <row r="40">
      <c r="A40" s="3" t="inlineStr">
        <is>
          <t>Finance Lease Payments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FLOW'!C37-'YTD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FLOW'!D37-'YTD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FLOW'!E37-'YTD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FLOW'!F37-'YTD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  <c r="AH40" s="9">
        <f>'CF DRIVERS'!AH38</f>
        <v/>
      </c>
      <c r="AI40" s="9">
        <f>'CF DRIVERS'!AI38</f>
        <v/>
      </c>
      <c r="AJ40" s="9">
        <f>'CF DRIVERS'!AJ38</f>
        <v/>
      </c>
      <c r="AK40" s="9">
        <f>'CF DRIVERS'!AK38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FLOW'!C38-'YTD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FLOW'!D38-'YTD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FLOW'!E38-'YTD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FLOW'!F38-'YTD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  <c r="AH41" s="9">
        <f>'CF DRIVERS'!AH39</f>
        <v/>
      </c>
      <c r="AI41" s="9">
        <f>'CF DRIVERS'!AI39</f>
        <v/>
      </c>
      <c r="AJ41" s="9">
        <f>'CF DRIVERS'!AJ39</f>
        <v/>
      </c>
      <c r="AK41" s="9">
        <f>'CF DRIVERS'!AK39</f>
        <v/>
      </c>
    </row>
    <row r="42">
      <c r="A42" s="3" t="inlineStr">
        <is>
          <t>Proceeds from Issuance of Common Stock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FLOW'!C39-'YTD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FLOW'!D39-'YTD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FLOW'!E39-'YTD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FLOW'!F39-'YTD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  <c r="AH42" s="9">
        <f>'CF DRIVERS'!AH40</f>
        <v/>
      </c>
      <c r="AI42" s="9">
        <f>'CF DRIVERS'!AI40</f>
        <v/>
      </c>
      <c r="AJ42" s="9">
        <f>'CF DRIVERS'!AJ40</f>
        <v/>
      </c>
      <c r="AK42" s="9">
        <f>'CF DRIVERS'!AK40</f>
        <v/>
      </c>
    </row>
    <row r="43">
      <c r="A43" s="3" t="inlineStr">
        <is>
          <t>Proceeds from Issuance of Preferred Stock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FLOW'!C40-'YTD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FLOW'!D40-'YTD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FLOW'!E40-'YTD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FLOW'!F40-'YTD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  <c r="AH43" s="9">
        <f>'CF DRIVERS'!AH41</f>
        <v/>
      </c>
      <c r="AI43" s="9">
        <f>'CF DRIVERS'!AI41</f>
        <v/>
      </c>
      <c r="AJ43" s="9">
        <f>'CF DRIVERS'!AJ41</f>
        <v/>
      </c>
      <c r="AK43" s="9">
        <f>'CF DRIVERS'!AK41</f>
        <v/>
      </c>
    </row>
    <row r="44">
      <c r="A44" s="3" t="inlineStr">
        <is>
          <t>Preferred Dividends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FLOW'!C41-'YTD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FLOW'!D41-'YTD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FLOW'!E41-'YTD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FLOW'!F41-'YTD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  <c r="AH44" s="9">
        <f>'CF DRIVERS'!AH42</f>
        <v/>
      </c>
      <c r="AI44" s="9">
        <f>'CF DRIVERS'!AI42</f>
        <v/>
      </c>
      <c r="AJ44" s="9">
        <f>'CF DRIVERS'!AJ42</f>
        <v/>
      </c>
      <c r="AK44" s="9">
        <f>'CF DRIVERS'!AK42</f>
        <v/>
      </c>
    </row>
    <row r="45">
      <c r="A45" s="3" t="inlineStr">
        <is>
          <t>Share Repurchases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FLOW'!C42-'YTD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FLOW'!D42-'YTD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FLOW'!E42-'YTD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FLOW'!F42-'YTD CF'!M45</f>
        <v/>
      </c>
      <c r="R45" s="9">
        <f>'CF DRIVERS'!R43</f>
        <v/>
      </c>
      <c r="S45" s="9">
        <f>'CF DRIVERS'!S43</f>
        <v/>
      </c>
      <c r="T45" s="9">
        <f>'CF DRIVERS'!T43</f>
        <v/>
      </c>
      <c r="U45" s="9">
        <f>'CF DRIVERS'!U43</f>
        <v/>
      </c>
      <c r="V45" s="9">
        <f>'CF DRIVERS'!V43</f>
        <v/>
      </c>
      <c r="W45" s="9">
        <f>'CF DRIVERS'!W43</f>
        <v/>
      </c>
      <c r="X45" s="9">
        <f>'CF DRIVERS'!X43</f>
        <v/>
      </c>
      <c r="Y45" s="9">
        <f>'CF DRIVERS'!Y43</f>
        <v/>
      </c>
      <c r="Z45" s="9">
        <f>'CF DRIVERS'!Z43</f>
        <v/>
      </c>
      <c r="AA45" s="9">
        <f>'CF DRIVERS'!AA43</f>
        <v/>
      </c>
      <c r="AB45" s="9">
        <f>'CF DRIVERS'!AB43</f>
        <v/>
      </c>
      <c r="AC45" s="9">
        <f>'CF DRIVERS'!AC43</f>
        <v/>
      </c>
      <c r="AD45" s="9">
        <f>'CF DRIVERS'!AD43</f>
        <v/>
      </c>
      <c r="AE45" s="9">
        <f>'CF DRIVERS'!AE43</f>
        <v/>
      </c>
      <c r="AF45" s="9">
        <f>'CF DRIVERS'!AF43</f>
        <v/>
      </c>
      <c r="AG45" s="9">
        <f>'CF DRIVERS'!AG43</f>
        <v/>
      </c>
      <c r="AH45" s="9">
        <f>'CF DRIVERS'!AH43</f>
        <v/>
      </c>
      <c r="AI45" s="9">
        <f>'CF DRIVERS'!AI43</f>
        <v/>
      </c>
      <c r="AJ45" s="9">
        <f>'CF DRIVERS'!AJ43</f>
        <v/>
      </c>
      <c r="AK45" s="9">
        <f>'CF DRIVERS'!AK43</f>
        <v/>
      </c>
    </row>
    <row r="46">
      <c r="A46" s="3" t="inlineStr">
        <is>
          <t>Proceeds from Issuance of Long-Term Debt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FLOW'!C43-'YTD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FLOW'!D43-'YTD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FLOW'!E43-'YTD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FLOW'!F43-'YTD CF'!M46</f>
        <v/>
      </c>
      <c r="R46" s="9">
        <f>'CF DRIVERS'!R44</f>
        <v/>
      </c>
      <c r="S46" s="9">
        <f>'CF DRIVERS'!S44</f>
        <v/>
      </c>
      <c r="T46" s="9">
        <f>'CF DRIVERS'!T44</f>
        <v/>
      </c>
      <c r="U46" s="9">
        <f>'CF DRIVERS'!U44</f>
        <v/>
      </c>
      <c r="V46" s="9">
        <f>'CF DRIVERS'!V44</f>
        <v/>
      </c>
      <c r="W46" s="9">
        <f>'CF DRIVERS'!W44</f>
        <v/>
      </c>
      <c r="X46" s="9">
        <f>'CF DRIVERS'!X44</f>
        <v/>
      </c>
      <c r="Y46" s="9">
        <f>'CF DRIVERS'!Y44</f>
        <v/>
      </c>
      <c r="Z46" s="9">
        <f>'CF DRIVERS'!Z44</f>
        <v/>
      </c>
      <c r="AA46" s="9">
        <f>'CF DRIVERS'!AA44</f>
        <v/>
      </c>
      <c r="AB46" s="9">
        <f>'CF DRIVERS'!AB44</f>
        <v/>
      </c>
      <c r="AC46" s="9">
        <f>'CF DRIVERS'!AC44</f>
        <v/>
      </c>
      <c r="AD46" s="9">
        <f>'CF DRIVERS'!AD44</f>
        <v/>
      </c>
      <c r="AE46" s="9">
        <f>'CF DRIVERS'!AE44</f>
        <v/>
      </c>
      <c r="AF46" s="9">
        <f>'CF DRIVERS'!AF44</f>
        <v/>
      </c>
      <c r="AG46" s="9">
        <f>'CF DRIVERS'!AG44</f>
        <v/>
      </c>
      <c r="AH46" s="9">
        <f>'CF DRIVERS'!AH44</f>
        <v/>
      </c>
      <c r="AI46" s="9">
        <f>'CF DRIVERS'!AI44</f>
        <v/>
      </c>
      <c r="AJ46" s="9">
        <f>'CF DRIVERS'!AJ44</f>
        <v/>
      </c>
      <c r="AK46" s="9">
        <f>'CF DRIVERS'!AK44</f>
        <v/>
      </c>
    </row>
    <row r="47">
      <c r="A47" s="3" t="inlineStr">
        <is>
          <t>Repayments of Long-Term Debt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FLOW'!C44-'YTD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FLOW'!D44-'YTD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FLOW'!E44-'YTD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FLOW'!F44-'YTD CF'!M47</f>
        <v/>
      </c>
      <c r="R47" s="9">
        <f>'CF DRIVERS'!R45</f>
        <v/>
      </c>
      <c r="S47" s="9">
        <f>'CF DRIVERS'!S45</f>
        <v/>
      </c>
      <c r="T47" s="9">
        <f>'CF DRIVERS'!T45</f>
        <v/>
      </c>
      <c r="U47" s="9">
        <f>'CF DRIVERS'!U45</f>
        <v/>
      </c>
      <c r="V47" s="9">
        <f>'CF DRIVERS'!V45</f>
        <v/>
      </c>
      <c r="W47" s="9">
        <f>'CF DRIVERS'!W45</f>
        <v/>
      </c>
      <c r="X47" s="9">
        <f>'CF DRIVERS'!X45</f>
        <v/>
      </c>
      <c r="Y47" s="9">
        <f>'CF DRIVERS'!Y45</f>
        <v/>
      </c>
      <c r="Z47" s="9">
        <f>'CF DRIVERS'!Z45</f>
        <v/>
      </c>
      <c r="AA47" s="9">
        <f>'CF DRIVERS'!AA45</f>
        <v/>
      </c>
      <c r="AB47" s="9">
        <f>'CF DRIVERS'!AB45</f>
        <v/>
      </c>
      <c r="AC47" s="9">
        <f>'CF DRIVERS'!AC45</f>
        <v/>
      </c>
      <c r="AD47" s="9">
        <f>'CF DRIVERS'!AD45</f>
        <v/>
      </c>
      <c r="AE47" s="9">
        <f>'CF DRIVERS'!AE45</f>
        <v/>
      </c>
      <c r="AF47" s="9">
        <f>'CF DRIVERS'!AF45</f>
        <v/>
      </c>
      <c r="AG47" s="9">
        <f>'CF DRIVERS'!AG45</f>
        <v/>
      </c>
      <c r="AH47" s="9">
        <f>'CF DRIVERS'!AH45</f>
        <v/>
      </c>
      <c r="AI47" s="9">
        <f>'CF DRIVERS'!AI45</f>
        <v/>
      </c>
      <c r="AJ47" s="9">
        <f>'CF DRIVERS'!AJ45</f>
        <v/>
      </c>
      <c r="AK47" s="9">
        <f>'CF DRIVERS'!AK45</f>
        <v/>
      </c>
    </row>
    <row r="48">
      <c r="A48" s="3" t="inlineStr">
        <is>
          <t>Debt Issuance Fees</t>
        </is>
      </c>
      <c r="B48" s="4">
        <f>'YTD CF'!B48</f>
        <v/>
      </c>
      <c r="C48" s="4">
        <f>'YTD CF'!C48-'YTD CF'!B48</f>
        <v/>
      </c>
      <c r="D48" s="4">
        <f>'YTD CF'!D48-'YTD CF'!C48</f>
        <v/>
      </c>
      <c r="E48" s="4">
        <f>'CASH FLOW'!C45-'YTD CF'!D48</f>
        <v/>
      </c>
      <c r="F48" s="4">
        <f>'YTD CF'!E48</f>
        <v/>
      </c>
      <c r="G48" s="4">
        <f>'YTD CF'!F48-'YTD CF'!E48</f>
        <v/>
      </c>
      <c r="H48" s="4">
        <f>'YTD CF'!G48-'YTD CF'!F48</f>
        <v/>
      </c>
      <c r="I48" s="4">
        <f>'CASH FLOW'!D45-'YTD CF'!G48</f>
        <v/>
      </c>
      <c r="J48" s="4">
        <f>'YTD CF'!H48</f>
        <v/>
      </c>
      <c r="K48" s="4">
        <f>'YTD CF'!I48-'YTD CF'!H48</f>
        <v/>
      </c>
      <c r="L48" s="4">
        <f>'YTD CF'!J48-'YTD CF'!I48</f>
        <v/>
      </c>
      <c r="M48" s="4">
        <f>'CASH FLOW'!E45-'YTD CF'!J48</f>
        <v/>
      </c>
      <c r="N48" s="4">
        <f>'YTD CF'!K48</f>
        <v/>
      </c>
      <c r="O48" s="4">
        <f>'YTD CF'!L48-'YTD CF'!K48</f>
        <v/>
      </c>
      <c r="P48" s="4">
        <f>'YTD CF'!M48-'YTD CF'!L48</f>
        <v/>
      </c>
      <c r="Q48" s="4">
        <f>'CASH FLOW'!F45-'YTD CF'!M48</f>
        <v/>
      </c>
      <c r="R48" s="9">
        <f>'CF DRIVERS'!R46</f>
        <v/>
      </c>
      <c r="S48" s="9">
        <f>'CF DRIVERS'!S46</f>
        <v/>
      </c>
      <c r="T48" s="9">
        <f>'CF DRIVERS'!T46</f>
        <v/>
      </c>
      <c r="U48" s="9">
        <f>'CF DRIVERS'!U46</f>
        <v/>
      </c>
      <c r="V48" s="9">
        <f>'CF DRIVERS'!V46</f>
        <v/>
      </c>
      <c r="W48" s="9">
        <f>'CF DRIVERS'!W46</f>
        <v/>
      </c>
      <c r="X48" s="9">
        <f>'CF DRIVERS'!X46</f>
        <v/>
      </c>
      <c r="Y48" s="9">
        <f>'CF DRIVERS'!Y46</f>
        <v/>
      </c>
      <c r="Z48" s="9">
        <f>'CF DRIVERS'!Z46</f>
        <v/>
      </c>
      <c r="AA48" s="9">
        <f>'CF DRIVERS'!AA46</f>
        <v/>
      </c>
      <c r="AB48" s="9">
        <f>'CF DRIVERS'!AB46</f>
        <v/>
      </c>
      <c r="AC48" s="9">
        <f>'CF DRIVERS'!AC46</f>
        <v/>
      </c>
      <c r="AD48" s="9">
        <f>'CF DRIVERS'!AD46</f>
        <v/>
      </c>
      <c r="AE48" s="9">
        <f>'CF DRIVERS'!AE46</f>
        <v/>
      </c>
      <c r="AF48" s="9">
        <f>'CF DRIVERS'!AF46</f>
        <v/>
      </c>
      <c r="AG48" s="9">
        <f>'CF DRIVERS'!AG46</f>
        <v/>
      </c>
      <c r="AH48" s="9">
        <f>'CF DRIVERS'!AH46</f>
        <v/>
      </c>
      <c r="AI48" s="9">
        <f>'CF DRIVERS'!AI46</f>
        <v/>
      </c>
      <c r="AJ48" s="9">
        <f>'CF DRIVERS'!AJ46</f>
        <v/>
      </c>
      <c r="AK48" s="9">
        <f>'CF DRIVERS'!AK46</f>
        <v/>
      </c>
    </row>
    <row r="49">
      <c r="A49" s="3" t="inlineStr">
        <is>
          <t>Other Financing Activities</t>
        </is>
      </c>
      <c r="B49" s="4">
        <f>'YTD CF'!B49</f>
        <v/>
      </c>
      <c r="C49" s="4">
        <f>'YTD CF'!C49-'YTD CF'!B49</f>
        <v/>
      </c>
      <c r="D49" s="4">
        <f>'YTD CF'!D49-'YTD CF'!C49</f>
        <v/>
      </c>
      <c r="E49" s="4">
        <f>'CASH FLOW'!C46-'YTD CF'!D49</f>
        <v/>
      </c>
      <c r="F49" s="4">
        <f>'YTD CF'!E49</f>
        <v/>
      </c>
      <c r="G49" s="4">
        <f>'YTD CF'!F49-'YTD CF'!E49</f>
        <v/>
      </c>
      <c r="H49" s="4">
        <f>'YTD CF'!G49-'YTD CF'!F49</f>
        <v/>
      </c>
      <c r="I49" s="4">
        <f>'CASH FLOW'!D46-'YTD CF'!G49</f>
        <v/>
      </c>
      <c r="J49" s="4">
        <f>'YTD CF'!H49</f>
        <v/>
      </c>
      <c r="K49" s="4">
        <f>'YTD CF'!I49-'YTD CF'!H49</f>
        <v/>
      </c>
      <c r="L49" s="4">
        <f>'YTD CF'!J49-'YTD CF'!I49</f>
        <v/>
      </c>
      <c r="M49" s="4">
        <f>'CASH FLOW'!E46-'YTD CF'!J49</f>
        <v/>
      </c>
      <c r="N49" s="4">
        <f>'YTD CF'!K49</f>
        <v/>
      </c>
      <c r="O49" s="4">
        <f>'YTD CF'!L49-'YTD CF'!K49</f>
        <v/>
      </c>
      <c r="P49" s="4">
        <f>'YTD CF'!M49-'YTD CF'!L49</f>
        <v/>
      </c>
      <c r="Q49" s="4">
        <f>'CASH FLOW'!F46-'YTD CF'!M49</f>
        <v/>
      </c>
      <c r="R49" s="9">
        <f>'CF DRIVERS'!R47</f>
        <v/>
      </c>
      <c r="S49" s="9">
        <f>'CF DRIVERS'!S47</f>
        <v/>
      </c>
      <c r="T49" s="9">
        <f>'CF DRIVERS'!T47</f>
        <v/>
      </c>
      <c r="U49" s="9">
        <f>'CF DRIVERS'!U47</f>
        <v/>
      </c>
      <c r="V49" s="9">
        <f>'CF DRIVERS'!V47</f>
        <v/>
      </c>
      <c r="W49" s="9">
        <f>'CF DRIVERS'!W47</f>
        <v/>
      </c>
      <c r="X49" s="9">
        <f>'CF DRIVERS'!X47</f>
        <v/>
      </c>
      <c r="Y49" s="9">
        <f>'CF DRIVERS'!Y47</f>
        <v/>
      </c>
      <c r="Z49" s="9">
        <f>'CF DRIVERS'!Z47</f>
        <v/>
      </c>
      <c r="AA49" s="9">
        <f>'CF DRIVERS'!AA47</f>
        <v/>
      </c>
      <c r="AB49" s="9">
        <f>'CF DRIVERS'!AB47</f>
        <v/>
      </c>
      <c r="AC49" s="9">
        <f>'CF DRIVERS'!AC47</f>
        <v/>
      </c>
      <c r="AD49" s="9">
        <f>'CF DRIVERS'!AD47</f>
        <v/>
      </c>
      <c r="AE49" s="9">
        <f>'CF DRIVERS'!AE47</f>
        <v/>
      </c>
      <c r="AF49" s="9">
        <f>'CF DRIVERS'!AF47</f>
        <v/>
      </c>
      <c r="AG49" s="9">
        <f>'CF DRIVERS'!AG47</f>
        <v/>
      </c>
      <c r="AH49" s="9">
        <f>'CF DRIVERS'!AH47</f>
        <v/>
      </c>
      <c r="AI49" s="9">
        <f>'CF DRIVERS'!AI47</f>
        <v/>
      </c>
      <c r="AJ49" s="9">
        <f>'CF DRIVERS'!AJ47</f>
        <v/>
      </c>
      <c r="AK49" s="9">
        <f>'CF DRIVERS'!AK47</f>
        <v/>
      </c>
    </row>
    <row r="50">
      <c r="A50" s="3" t="inlineStr">
        <is>
          <t>Cash Flow from Financing</t>
        </is>
      </c>
      <c r="B50" s="6">
        <f>'YTD CF'!B50</f>
        <v/>
      </c>
      <c r="C50" s="6">
        <f>'YTD CF'!C50-'YTD CF'!B50</f>
        <v/>
      </c>
      <c r="D50" s="6">
        <f>'YTD CF'!D50-'YTD CF'!C50</f>
        <v/>
      </c>
      <c r="E50" s="6">
        <f>'CASH FLOW'!C47-'YTD CF'!D50</f>
        <v/>
      </c>
      <c r="F50" s="6">
        <f>'YTD CF'!E50</f>
        <v/>
      </c>
      <c r="G50" s="6">
        <f>'YTD CF'!F50-'YTD CF'!E50</f>
        <v/>
      </c>
      <c r="H50" s="6">
        <f>'YTD CF'!G50-'YTD CF'!F50</f>
        <v/>
      </c>
      <c r="I50" s="6">
        <f>'CASH FLOW'!D47-'YTD CF'!G50</f>
        <v/>
      </c>
      <c r="J50" s="6">
        <f>'YTD CF'!H50</f>
        <v/>
      </c>
      <c r="K50" s="6">
        <f>'YTD CF'!I50-'YTD CF'!H50</f>
        <v/>
      </c>
      <c r="L50" s="6">
        <f>'YTD CF'!J50-'YTD CF'!I50</f>
        <v/>
      </c>
      <c r="M50" s="6">
        <f>'CASH FLOW'!E47-'YTD CF'!J50</f>
        <v/>
      </c>
      <c r="N50" s="6">
        <f>'YTD CF'!K50</f>
        <v/>
      </c>
      <c r="O50" s="6">
        <f>'YTD CF'!L50-'YTD CF'!K50</f>
        <v/>
      </c>
      <c r="P50" s="6">
        <f>'YTD CF'!M50-'YTD CF'!L50</f>
        <v/>
      </c>
      <c r="Q50" s="6">
        <f>'CASH FLOW'!F47-'YTD CF'!M50</f>
        <v/>
      </c>
      <c r="R50" s="7">
        <f>SUM(R40:R49)</f>
        <v/>
      </c>
      <c r="S50" s="7">
        <f>SUM(S40:S49)</f>
        <v/>
      </c>
      <c r="T50" s="7">
        <f>SUM(T40:T49)</f>
        <v/>
      </c>
      <c r="U50" s="7">
        <f>SUM(U40:U49)</f>
        <v/>
      </c>
      <c r="V50" s="7">
        <f>SUM(V40:V49)</f>
        <v/>
      </c>
      <c r="W50" s="7">
        <f>SUM(W40:W49)</f>
        <v/>
      </c>
      <c r="X50" s="7">
        <f>SUM(X40:X49)</f>
        <v/>
      </c>
      <c r="Y50" s="7">
        <f>SUM(Y40:Y49)</f>
        <v/>
      </c>
      <c r="Z50" s="7">
        <f>SUM(Z40:Z49)</f>
        <v/>
      </c>
      <c r="AA50" s="7">
        <f>SUM(AA40:AA49)</f>
        <v/>
      </c>
      <c r="AB50" s="7">
        <f>SUM(AB40:AB49)</f>
        <v/>
      </c>
      <c r="AC50" s="7">
        <f>SUM(AC40:AC49)</f>
        <v/>
      </c>
      <c r="AD50" s="7">
        <f>SUM(AD40:AD49)</f>
        <v/>
      </c>
      <c r="AE50" s="7">
        <f>SUM(AE40:AE49)</f>
        <v/>
      </c>
      <c r="AF50" s="7">
        <f>SUM(AF40:AF49)</f>
        <v/>
      </c>
      <c r="AG50" s="7">
        <f>SUM(AG40:AG49)</f>
        <v/>
      </c>
      <c r="AH50" s="7">
        <f>SUM(AH40:AH49)</f>
        <v/>
      </c>
      <c r="AI50" s="7">
        <f>SUM(AI40:AI49)</f>
        <v/>
      </c>
      <c r="AJ50" s="7">
        <f>SUM(AJ40:AJ49)</f>
        <v/>
      </c>
      <c r="AK50" s="7">
        <f>SUM(AK40:AK49)</f>
        <v/>
      </c>
    </row>
    <row r="51">
      <c r="A51" s="3" t="inlineStr">
        <is>
          <t>FX Effect on Cash</t>
        </is>
      </c>
      <c r="B51" s="4">
        <f>'YTD CF'!B51</f>
        <v/>
      </c>
      <c r="C51" s="4">
        <f>'YTD CF'!C51-'YTD CF'!B51</f>
        <v/>
      </c>
      <c r="D51" s="4">
        <f>'YTD CF'!D51-'YTD CF'!C51</f>
        <v/>
      </c>
      <c r="E51" s="4">
        <f>'CASH FLOW'!C48-'YTD CF'!D51</f>
        <v/>
      </c>
      <c r="F51" s="4">
        <f>'YTD CF'!E51</f>
        <v/>
      </c>
      <c r="G51" s="4">
        <f>'YTD CF'!F51-'YTD CF'!E51</f>
        <v/>
      </c>
      <c r="H51" s="4">
        <f>'YTD CF'!G51-'YTD CF'!F51</f>
        <v/>
      </c>
      <c r="I51" s="4">
        <f>'CASH FLOW'!D48-'YTD CF'!G51</f>
        <v/>
      </c>
      <c r="J51" s="4">
        <f>'YTD CF'!H51</f>
        <v/>
      </c>
      <c r="K51" s="4">
        <f>'YTD CF'!I51-'YTD CF'!H51</f>
        <v/>
      </c>
      <c r="L51" s="4">
        <f>'YTD CF'!J51-'YTD CF'!I51</f>
        <v/>
      </c>
      <c r="M51" s="4">
        <f>'CASH FLOW'!E48-'YTD CF'!J51</f>
        <v/>
      </c>
      <c r="N51" s="4">
        <f>'YTD CF'!K51</f>
        <v/>
      </c>
      <c r="O51" s="4">
        <f>'YTD CF'!L51-'YTD CF'!K51</f>
        <v/>
      </c>
      <c r="P51" s="4">
        <f>'YTD CF'!M51-'YTD CF'!L51</f>
        <v/>
      </c>
      <c r="Q51" s="4">
        <f>'CASH FLOW'!F48-'YTD CF'!M51</f>
        <v/>
      </c>
      <c r="R51" s="9">
        <f>'CF DRIVERS'!R48</f>
        <v/>
      </c>
      <c r="S51" s="9">
        <f>'CF DRIVERS'!S48</f>
        <v/>
      </c>
      <c r="T51" s="9">
        <f>'CF DRIVERS'!T48</f>
        <v/>
      </c>
      <c r="U51" s="9">
        <f>'CF DRIVERS'!U48</f>
        <v/>
      </c>
      <c r="V51" s="9">
        <f>'CF DRIVERS'!V48</f>
        <v/>
      </c>
      <c r="W51" s="9">
        <f>'CF DRIVERS'!W48</f>
        <v/>
      </c>
      <c r="X51" s="9">
        <f>'CF DRIVERS'!X48</f>
        <v/>
      </c>
      <c r="Y51" s="9">
        <f>'CF DRIVERS'!Y48</f>
        <v/>
      </c>
      <c r="Z51" s="9">
        <f>'CF DRIVERS'!Z48</f>
        <v/>
      </c>
      <c r="AA51" s="9">
        <f>'CF DRIVERS'!AA48</f>
        <v/>
      </c>
      <c r="AB51" s="9">
        <f>'CF DRIVERS'!AB48</f>
        <v/>
      </c>
      <c r="AC51" s="9">
        <f>'CF DRIVERS'!AC48</f>
        <v/>
      </c>
      <c r="AD51" s="9">
        <f>'CF DRIVERS'!AD48</f>
        <v/>
      </c>
      <c r="AE51" s="9">
        <f>'CF DRIVERS'!AE48</f>
        <v/>
      </c>
      <c r="AF51" s="9">
        <f>'CF DRIVERS'!AF48</f>
        <v/>
      </c>
      <c r="AG51" s="9">
        <f>'CF DRIVERS'!AG48</f>
        <v/>
      </c>
      <c r="AH51" s="9">
        <f>'CF DRIVERS'!AH48</f>
        <v/>
      </c>
      <c r="AI51" s="9">
        <f>'CF DRIVERS'!AI48</f>
        <v/>
      </c>
      <c r="AJ51" s="9">
        <f>'CF DRIVERS'!AJ48</f>
        <v/>
      </c>
      <c r="AK51" s="9">
        <f>'CF DRIVERS'!AK48</f>
        <v/>
      </c>
    </row>
    <row r="52">
      <c r="A52" s="3" t="inlineStr">
        <is>
          <t>Net Change in Cash</t>
        </is>
      </c>
      <c r="B52" s="6">
        <f>'YTD CF'!B52</f>
        <v/>
      </c>
      <c r="C52" s="6">
        <f>'YTD CF'!C52-'YTD CF'!B52</f>
        <v/>
      </c>
      <c r="D52" s="6">
        <f>'YTD CF'!D52-'YTD CF'!C52</f>
        <v/>
      </c>
      <c r="E52" s="6">
        <f>'CASH FLOW'!C49-'YTD CF'!D52</f>
        <v/>
      </c>
      <c r="F52" s="6">
        <f>'YTD CF'!E52</f>
        <v/>
      </c>
      <c r="G52" s="6">
        <f>'YTD CF'!F52-'YTD CF'!E52</f>
        <v/>
      </c>
      <c r="H52" s="6">
        <f>'YTD CF'!G52-'YTD CF'!F52</f>
        <v/>
      </c>
      <c r="I52" s="6">
        <f>'CASH FLOW'!D49-'YTD CF'!G52</f>
        <v/>
      </c>
      <c r="J52" s="6">
        <f>'YTD CF'!H52</f>
        <v/>
      </c>
      <c r="K52" s="6">
        <f>'YTD CF'!I52-'YTD CF'!H52</f>
        <v/>
      </c>
      <c r="L52" s="6">
        <f>'YTD CF'!J52-'YTD CF'!I52</f>
        <v/>
      </c>
      <c r="M52" s="6">
        <f>'CASH FLOW'!E49-'YTD CF'!J52</f>
        <v/>
      </c>
      <c r="N52" s="6">
        <f>'YTD CF'!K52</f>
        <v/>
      </c>
      <c r="O52" s="6">
        <f>'YTD CF'!L52-'YTD CF'!K52</f>
        <v/>
      </c>
      <c r="P52" s="6">
        <f>'YTD CF'!M52-'YTD CF'!L52</f>
        <v/>
      </c>
      <c r="Q52" s="6">
        <f>'CASH FLOW'!F49-'YTD CF'!M52</f>
        <v/>
      </c>
      <c r="R52" s="7">
        <f>R32+R39+R50+R51</f>
        <v/>
      </c>
      <c r="S52" s="7">
        <f>S32+S39+S50+S51</f>
        <v/>
      </c>
      <c r="T52" s="7">
        <f>T32+T39+T50+T51</f>
        <v/>
      </c>
      <c r="U52" s="7">
        <f>U32+U39+U50+U51</f>
        <v/>
      </c>
      <c r="V52" s="7">
        <f>V32+V39+V50+V51</f>
        <v/>
      </c>
      <c r="W52" s="7">
        <f>W32+W39+W50+W51</f>
        <v/>
      </c>
      <c r="X52" s="7">
        <f>X32+X39+X50+X51</f>
        <v/>
      </c>
      <c r="Y52" s="7">
        <f>Y32+Y39+Y50+Y51</f>
        <v/>
      </c>
      <c r="Z52" s="7">
        <f>Z32+Z39+Z50+Z51</f>
        <v/>
      </c>
      <c r="AA52" s="7">
        <f>AA32+AA39+AA50+AA51</f>
        <v/>
      </c>
      <c r="AB52" s="7">
        <f>AB32+AB39+AB50+AB51</f>
        <v/>
      </c>
      <c r="AC52" s="7">
        <f>AC32+AC39+AC50+AC51</f>
        <v/>
      </c>
      <c r="AD52" s="7">
        <f>AD32+AD39+AD50+AD51</f>
        <v/>
      </c>
      <c r="AE52" s="7">
        <f>AE32+AE39+AE50+AE51</f>
        <v/>
      </c>
      <c r="AF52" s="7">
        <f>AF32+AF39+AF50+AF51</f>
        <v/>
      </c>
      <c r="AG52" s="7">
        <f>AG32+AG39+AG50+AG51</f>
        <v/>
      </c>
      <c r="AH52" s="7">
        <f>AH32+AH39+AH50+AH51</f>
        <v/>
      </c>
      <c r="AI52" s="7">
        <f>AI32+AI39+AI50+AI51</f>
        <v/>
      </c>
      <c r="AJ52" s="7">
        <f>AJ32+AJ39+AJ50+AJ51</f>
        <v/>
      </c>
      <c r="AK52" s="7">
        <f>AK32+AK39+AK50+AK51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7"/>
  <sheetViews>
    <sheetView workbookViewId="0">
      <pane xSplit="2" ySplit="1" topLeftCell="I2" activePane="bottomRight" state="frozen"/>
      <selection pane="topRight" activeCell="A1" sqref="A1"/>
      <selection pane="bottomLeft" activeCell="A1" sqref="A1"/>
      <selection pane="bottomRight" activeCell="S10" sqref="S10"/>
    </sheetView>
  </sheetViews>
  <sheetFormatPr baseColWidth="8" defaultRowHeight="15"/>
  <cols>
    <col width="49.140625" bestFit="1" customWidth="1" min="1" max="1"/>
    <col width="8" customWidth="1" min="2" max="2"/>
    <col width="13" customWidth="1" min="3" max="38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FY2026E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</row>
    <row r="2">
      <c r="A2" s="3" t="inlineStr">
        <is>
          <t>Net Sales / Revenue — Growth %</t>
        </is>
      </c>
      <c r="B2" s="10" t="inlineStr">
        <is>
          <t>QoQ</t>
        </is>
      </c>
      <c r="D2" s="11">
        <f>IFERROR('QTR P&amp;L'!C2/'QTR P&amp;L'!B2-1,"")</f>
        <v/>
      </c>
      <c r="E2" s="11">
        <f>IFERROR('QTR P&amp;L'!D2/'QTR P&amp;L'!C2-1,"")</f>
        <v/>
      </c>
      <c r="F2" s="11">
        <f>IFERROR('QTR P&amp;L'!E2/'QTR P&amp;L'!D2-1,"")</f>
        <v/>
      </c>
      <c r="G2" s="11">
        <f>IFERROR('QTR P&amp;L'!F2/IF($B2="QoQ",'QTR P&amp;L'!E2,'QTR P&amp;L'!B2)-1,"")</f>
        <v/>
      </c>
      <c r="H2" s="11">
        <f>IFERROR('QTR P&amp;L'!G2/IF($B2="QoQ",'QTR P&amp;L'!F2,'QTR P&amp;L'!C2)-1,"")</f>
        <v/>
      </c>
      <c r="I2" s="11">
        <f>IFERROR('QTR P&amp;L'!H2/IF($B2="QoQ",'QTR P&amp;L'!G2,'QTR P&amp;L'!D2)-1,"")</f>
        <v/>
      </c>
      <c r="J2" s="11">
        <f>IFERROR('QTR P&amp;L'!I2/IF($B2="QoQ",'QTR P&amp;L'!H2,'QTR P&amp;L'!E2)-1,"")</f>
        <v/>
      </c>
      <c r="K2" s="11">
        <f>IFERROR('QTR P&amp;L'!J2/IF($B2="QoQ",'QTR P&amp;L'!I2,'QTR P&amp;L'!F2)-1,"")</f>
        <v/>
      </c>
      <c r="L2" s="11">
        <f>IFERROR('QTR P&amp;L'!K2/IF($B2="QoQ",'QTR P&amp;L'!J2,'QTR P&amp;L'!G2)-1,"")</f>
        <v/>
      </c>
      <c r="M2" s="11">
        <f>IFERROR('QTR P&amp;L'!L2/IF($B2="QoQ",'QTR P&amp;L'!K2,'QTR P&amp;L'!H2)-1,"")</f>
        <v/>
      </c>
      <c r="N2" s="11">
        <f>IFERROR('QTR P&amp;L'!M2/IF($B2="QoQ",'QTR P&amp;L'!L2,'QTR P&amp;L'!I2)-1,"")</f>
        <v/>
      </c>
      <c r="O2" s="11">
        <f>IFERROR('QTR P&amp;L'!N2/IF($B2="QoQ",'QTR P&amp;L'!M2,'QTR P&amp;L'!J2)-1,"")</f>
        <v/>
      </c>
      <c r="P2" s="11">
        <f>IFERROR('QTR P&amp;L'!O2/IF($B2="QoQ",'QTR P&amp;L'!N2,'QTR P&amp;L'!K2)-1,"")</f>
        <v/>
      </c>
      <c r="Q2" s="11">
        <f>IFERROR('QTR P&amp;L'!P2/IF($B2="QoQ",'QTR P&amp;L'!O2,'QTR P&amp;L'!L2)-1,"")</f>
        <v/>
      </c>
      <c r="R2" s="11">
        <f>IFERROR('QTR P&amp;L'!Q2/IF($B2="QoQ",'QTR P&amp;L'!P2,'QTR P&amp;L'!M2)-1,"")</f>
        <v/>
      </c>
      <c r="S2" s="12">
        <f>'Revenue Driver'!$H$14/4</f>
        <v/>
      </c>
      <c r="T2" s="12">
        <f>'Revenue Driver'!$H$14/4</f>
        <v/>
      </c>
      <c r="U2" s="12">
        <f>'Revenue Driver'!$H$14/4</f>
        <v/>
      </c>
      <c r="V2" s="12">
        <f>'Revenue Driver'!$H$14/4</f>
        <v/>
      </c>
      <c r="W2" s="12">
        <f>'Revenue Driver'!$I$14/4</f>
        <v/>
      </c>
      <c r="X2" s="12">
        <f>'Revenue Driver'!$I$14/4</f>
        <v/>
      </c>
      <c r="Y2" s="12">
        <f>'Revenue Driver'!$I$14/4</f>
        <v/>
      </c>
      <c r="Z2" s="12">
        <f>'Revenue Driver'!$I$14/4</f>
        <v/>
      </c>
      <c r="AA2" s="12">
        <f>'Revenue Driver'!$J$14/4</f>
        <v/>
      </c>
      <c r="AB2" s="12">
        <f>'Revenue Driver'!$J$14/4</f>
        <v/>
      </c>
      <c r="AC2" s="12">
        <f>'Revenue Driver'!$J$14/4</f>
        <v/>
      </c>
      <c r="AD2" s="12">
        <f>'Revenue Driver'!$J$14/4</f>
        <v/>
      </c>
      <c r="AE2" s="12">
        <f>'Revenue Driver'!$K$14/4</f>
        <v/>
      </c>
      <c r="AF2" s="12">
        <f>'Revenue Driver'!$K$14/4</f>
        <v/>
      </c>
      <c r="AG2" s="12">
        <f>'Revenue Driver'!$K$14/4</f>
        <v/>
      </c>
      <c r="AH2" s="12">
        <f>'Revenue Driver'!$K$14/4</f>
        <v/>
      </c>
      <c r="AI2" s="12">
        <f>'Revenue Driver'!$L$14/4</f>
        <v/>
      </c>
      <c r="AJ2" s="12">
        <f>'Revenue Driver'!$L$14/4</f>
        <v/>
      </c>
      <c r="AK2" s="12">
        <f>'Revenue Driver'!$L$14/4</f>
        <v/>
      </c>
      <c r="AL2" s="12">
        <f>'Revenue Driver'!$L$14/4</f>
        <v/>
      </c>
    </row>
    <row r="3">
      <c r="A3" s="3" t="inlineStr">
        <is>
          <t>COGS — % of Revenue</t>
        </is>
      </c>
      <c r="C3" s="11">
        <f>IFERROR('QTR P&amp;L'!B3/'QTR P&amp;L'!B2,"")</f>
        <v/>
      </c>
      <c r="D3" s="11">
        <f>IFERROR('QTR P&amp;L'!C3/'QTR P&amp;L'!C2,"")</f>
        <v/>
      </c>
      <c r="E3" s="11">
        <f>IFERROR('QTR P&amp;L'!D3/'QTR P&amp;L'!D2,"")</f>
        <v/>
      </c>
      <c r="F3" s="11">
        <f>IFERROR('QTR P&amp;L'!E3/'QTR P&amp;L'!E2,"")</f>
        <v/>
      </c>
      <c r="G3" s="11">
        <f>IFERROR('QTR P&amp;L'!F3/'QTR P&amp;L'!F2,"")</f>
        <v/>
      </c>
      <c r="H3" s="11">
        <f>IFERROR('QTR P&amp;L'!G3/'QTR P&amp;L'!G2,"")</f>
        <v/>
      </c>
      <c r="I3" s="11">
        <f>IFERROR('QTR P&amp;L'!H3/'QTR P&amp;L'!H2,"")</f>
        <v/>
      </c>
      <c r="J3" s="11">
        <f>IFERROR('QTR P&amp;L'!I3/'QTR P&amp;L'!I2,"")</f>
        <v/>
      </c>
      <c r="K3" s="11">
        <f>IFERROR('QTR P&amp;L'!J3/'QTR P&amp;L'!J2,"")</f>
        <v/>
      </c>
      <c r="L3" s="11">
        <f>IFERROR('QTR P&amp;L'!K3/'QTR P&amp;L'!K2,"")</f>
        <v/>
      </c>
      <c r="M3" s="11">
        <f>IFERROR('QTR P&amp;L'!L3/'QTR P&amp;L'!L2,"")</f>
        <v/>
      </c>
      <c r="N3" s="11">
        <f>IFERROR('QTR P&amp;L'!M3/'QTR P&amp;L'!M2,"")</f>
        <v/>
      </c>
      <c r="O3" s="11">
        <f>IFERROR('QTR P&amp;L'!N3/'QTR P&amp;L'!N2,"")</f>
        <v/>
      </c>
      <c r="P3" s="11">
        <f>IFERROR('QTR P&amp;L'!O3/'QTR P&amp;L'!O2,"")</f>
        <v/>
      </c>
      <c r="Q3" s="11">
        <f>IFERROR('QTR P&amp;L'!P3/'QTR P&amp;L'!P2,"")</f>
        <v/>
      </c>
      <c r="R3" s="11">
        <f>IFERROR('QTR P&amp;L'!Q3/'QTR P&amp;L'!Q2,"")</f>
        <v/>
      </c>
      <c r="S3" s="12">
        <f>R3</f>
        <v/>
      </c>
      <c r="T3" s="12">
        <f>S3</f>
        <v/>
      </c>
      <c r="U3" s="12">
        <f>T3</f>
        <v/>
      </c>
      <c r="V3" s="12">
        <f>U3</f>
        <v/>
      </c>
      <c r="W3" s="12">
        <f>V3</f>
        <v/>
      </c>
      <c r="X3" s="12">
        <f>W3</f>
        <v/>
      </c>
      <c r="Y3" s="12">
        <f>X3</f>
        <v/>
      </c>
      <c r="Z3" s="12">
        <f>Y3</f>
        <v/>
      </c>
      <c r="AA3" s="12">
        <f>Z3</f>
        <v/>
      </c>
      <c r="AB3" s="12">
        <f>AA3</f>
        <v/>
      </c>
      <c r="AC3" s="12">
        <f>AB3</f>
        <v/>
      </c>
      <c r="AD3" s="12">
        <f>AC3</f>
        <v/>
      </c>
      <c r="AE3" s="12">
        <f>AD3</f>
        <v/>
      </c>
      <c r="AF3" s="12">
        <f>AE3</f>
        <v/>
      </c>
      <c r="AG3" s="12">
        <f>AF3</f>
        <v/>
      </c>
      <c r="AH3" s="12">
        <f>AG3</f>
        <v/>
      </c>
      <c r="AI3" s="12">
        <f>AH3</f>
        <v/>
      </c>
      <c r="AJ3" s="12">
        <f>AI3</f>
        <v/>
      </c>
      <c r="AK3" s="12">
        <f>AJ3</f>
        <v/>
      </c>
      <c r="AL3" s="12">
        <f>AK3</f>
        <v/>
      </c>
    </row>
    <row r="4">
      <c r="A4" s="3" t="inlineStr">
        <is>
          <t>SG&amp;A — % of Revenue</t>
        </is>
      </c>
      <c r="C4" s="11">
        <f>IFERROR('QTR P&amp;L'!B5/'QTR P&amp;L'!B2,"")</f>
        <v/>
      </c>
      <c r="D4" s="11">
        <f>IFERROR('QTR P&amp;L'!C5/'QTR P&amp;L'!C2,"")</f>
        <v/>
      </c>
      <c r="E4" s="11">
        <f>IFERROR('QTR P&amp;L'!D5/'QTR P&amp;L'!D2,"")</f>
        <v/>
      </c>
      <c r="F4" s="11">
        <f>IFERROR('QTR P&amp;L'!E5/'QTR P&amp;L'!E2,"")</f>
        <v/>
      </c>
      <c r="G4" s="11">
        <f>IFERROR('QTR P&amp;L'!F5/'QTR P&amp;L'!F2,"")</f>
        <v/>
      </c>
      <c r="H4" s="11">
        <f>IFERROR('QTR P&amp;L'!G5/'QTR P&amp;L'!G2,"")</f>
        <v/>
      </c>
      <c r="I4" s="11">
        <f>IFERROR('QTR P&amp;L'!H5/'QTR P&amp;L'!H2,"")</f>
        <v/>
      </c>
      <c r="J4" s="11">
        <f>IFERROR('QTR P&amp;L'!I5/'QTR P&amp;L'!I2,"")</f>
        <v/>
      </c>
      <c r="K4" s="11">
        <f>IFERROR('QTR P&amp;L'!J5/'QTR P&amp;L'!J2,"")</f>
        <v/>
      </c>
      <c r="L4" s="11">
        <f>IFERROR('QTR P&amp;L'!K5/'QTR P&amp;L'!K2,"")</f>
        <v/>
      </c>
      <c r="M4" s="11">
        <f>IFERROR('QTR P&amp;L'!L5/'QTR P&amp;L'!L2,"")</f>
        <v/>
      </c>
      <c r="N4" s="11">
        <f>IFERROR('QTR P&amp;L'!M5/'QTR P&amp;L'!M2,"")</f>
        <v/>
      </c>
      <c r="O4" s="11">
        <f>IFERROR('QTR P&amp;L'!N5/'QTR P&amp;L'!N2,"")</f>
        <v/>
      </c>
      <c r="P4" s="11">
        <f>IFERROR('QTR P&amp;L'!O5/'QTR P&amp;L'!O2,"")</f>
        <v/>
      </c>
      <c r="Q4" s="11">
        <f>IFERROR('QTR P&amp;L'!P5/'QTR P&amp;L'!P2,"")</f>
        <v/>
      </c>
      <c r="R4" s="11">
        <f>IFERROR('QTR P&amp;L'!Q5/'QTR P&amp;L'!Q2,"")</f>
        <v/>
      </c>
      <c r="S4" s="12">
        <f>R4</f>
        <v/>
      </c>
      <c r="T4" s="12">
        <f>S4</f>
        <v/>
      </c>
      <c r="U4" s="12">
        <f>T4</f>
        <v/>
      </c>
      <c r="V4" s="12">
        <f>U4</f>
        <v/>
      </c>
      <c r="W4" s="12">
        <f>V4</f>
        <v/>
      </c>
      <c r="X4" s="12">
        <f>W4</f>
        <v/>
      </c>
      <c r="Y4" s="12">
        <f>X4</f>
        <v/>
      </c>
      <c r="Z4" s="12">
        <f>Y4</f>
        <v/>
      </c>
      <c r="AA4" s="12">
        <f>Z4</f>
        <v/>
      </c>
      <c r="AB4" s="12">
        <f>AA4</f>
        <v/>
      </c>
      <c r="AC4" s="12">
        <f>AB4</f>
        <v/>
      </c>
      <c r="AD4" s="12">
        <f>AC4</f>
        <v/>
      </c>
      <c r="AE4" s="12">
        <f>AD4</f>
        <v/>
      </c>
      <c r="AF4" s="12">
        <f>AE4</f>
        <v/>
      </c>
      <c r="AG4" s="12">
        <f>AF4</f>
        <v/>
      </c>
      <c r="AH4" s="12">
        <f>AG4</f>
        <v/>
      </c>
      <c r="AI4" s="12">
        <f>AH4</f>
        <v/>
      </c>
      <c r="AJ4" s="12">
        <f>AI4</f>
        <v/>
      </c>
      <c r="AK4" s="12">
        <f>AJ4</f>
        <v/>
      </c>
      <c r="AL4" s="12">
        <f>AK4</f>
        <v/>
      </c>
    </row>
    <row r="5">
      <c r="A5" s="3" t="inlineStr">
        <is>
          <t>Distributor Termination Fees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0</v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13">
        <f>R6</f>
        <v/>
      </c>
      <c r="T6" s="13">
        <f>S6</f>
        <v/>
      </c>
      <c r="U6" s="13">
        <f>T6</f>
        <v/>
      </c>
      <c r="V6" s="13">
        <f>U6</f>
        <v/>
      </c>
      <c r="W6" s="13">
        <f>V6</f>
        <v/>
      </c>
      <c r="X6" s="13">
        <f>W6</f>
        <v/>
      </c>
      <c r="Y6" s="13">
        <f>X6</f>
        <v/>
      </c>
      <c r="Z6" s="13">
        <f>Y6</f>
        <v/>
      </c>
      <c r="AA6" s="13">
        <f>Z6</f>
        <v/>
      </c>
      <c r="AB6" s="13">
        <f>AA6</f>
        <v/>
      </c>
      <c r="AC6" s="13">
        <f>AB6</f>
        <v/>
      </c>
      <c r="AD6" s="13">
        <f>AC6</f>
        <v/>
      </c>
      <c r="AE6" s="13">
        <f>AD6</f>
        <v/>
      </c>
      <c r="AF6" s="13">
        <f>AE6</f>
        <v/>
      </c>
      <c r="AG6" s="13">
        <f>AF6</f>
        <v/>
      </c>
      <c r="AH6" s="13">
        <f>AG6</f>
        <v/>
      </c>
      <c r="AI6" s="13">
        <f>AH6</f>
        <v/>
      </c>
      <c r="AJ6" s="13">
        <f>AI6</f>
        <v/>
      </c>
      <c r="AK6" s="13">
        <f>AJ6</f>
        <v/>
      </c>
      <c r="AL6" s="13">
        <f>AK6</f>
        <v/>
      </c>
    </row>
    <row r="7">
      <c r="A7" s="3" t="inlineStr">
        <is>
          <t>Foreign Currency Gain (Loss)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13">
        <f>R7</f>
        <v/>
      </c>
      <c r="T7" s="13">
        <f>S7</f>
        <v/>
      </c>
      <c r="U7" s="13">
        <f>T7</f>
        <v/>
      </c>
      <c r="V7" s="13">
        <f>U7</f>
        <v/>
      </c>
      <c r="W7" s="13">
        <f>V7</f>
        <v/>
      </c>
      <c r="X7" s="13">
        <f>W7</f>
        <v/>
      </c>
      <c r="Y7" s="13">
        <f>X7</f>
        <v/>
      </c>
      <c r="Z7" s="13">
        <f>Y7</f>
        <v/>
      </c>
      <c r="AA7" s="13">
        <f>Z7</f>
        <v/>
      </c>
      <c r="AB7" s="13">
        <f>AA7</f>
        <v/>
      </c>
      <c r="AC7" s="13">
        <f>AB7</f>
        <v/>
      </c>
      <c r="AD7" s="13">
        <f>AC7</f>
        <v/>
      </c>
      <c r="AE7" s="13">
        <f>AD7</f>
        <v/>
      </c>
      <c r="AF7" s="13">
        <f>AE7</f>
        <v/>
      </c>
      <c r="AG7" s="13">
        <f>AF7</f>
        <v/>
      </c>
      <c r="AH7" s="13">
        <f>AG7</f>
        <v/>
      </c>
      <c r="AI7" s="13">
        <f>AH7</f>
        <v/>
      </c>
      <c r="AJ7" s="13">
        <f>AI7</f>
        <v/>
      </c>
      <c r="AK7" s="13">
        <f>AJ7</f>
        <v/>
      </c>
      <c r="AL7" s="13">
        <f>AK7</f>
        <v/>
      </c>
    </row>
    <row r="8">
      <c r="A8" s="3" t="inlineStr">
        <is>
          <t>Other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13">
        <f>R8</f>
        <v/>
      </c>
      <c r="T8" s="13">
        <f>S8</f>
        <v/>
      </c>
      <c r="U8" s="13">
        <f>T8</f>
        <v/>
      </c>
      <c r="V8" s="13">
        <f>U8</f>
        <v/>
      </c>
      <c r="W8" s="13">
        <f>V8</f>
        <v/>
      </c>
      <c r="X8" s="13">
        <f>W8</f>
        <v/>
      </c>
      <c r="Y8" s="13">
        <f>X8</f>
        <v/>
      </c>
      <c r="Z8" s="13">
        <f>Y8</f>
        <v/>
      </c>
      <c r="AA8" s="13">
        <f>Z8</f>
        <v/>
      </c>
      <c r="AB8" s="13">
        <f>AA8</f>
        <v/>
      </c>
      <c r="AC8" s="13">
        <f>AB8</f>
        <v/>
      </c>
      <c r="AD8" s="13">
        <f>AC8</f>
        <v/>
      </c>
      <c r="AE8" s="13">
        <f>AD8</f>
        <v/>
      </c>
      <c r="AF8" s="13">
        <f>AE8</f>
        <v/>
      </c>
      <c r="AG8" s="13">
        <f>AF8</f>
        <v/>
      </c>
      <c r="AH8" s="13">
        <f>AG8</f>
        <v/>
      </c>
      <c r="AI8" s="13">
        <f>AH8</f>
        <v/>
      </c>
      <c r="AJ8" s="13">
        <f>AI8</f>
        <v/>
      </c>
      <c r="AK8" s="13">
        <f>AJ8</f>
        <v/>
      </c>
      <c r="AL8" s="13">
        <f>AK8</f>
        <v/>
      </c>
    </row>
    <row r="9">
      <c r="A9" s="3" t="inlineStr">
        <is>
          <t>Income Tax (Expense) Benefit — Effective Tax Rate %</t>
        </is>
      </c>
      <c r="C9" s="11">
        <f>IFERROR('QTR P&amp;L'!B12/'QTR P&amp;L'!B11,"")</f>
        <v/>
      </c>
      <c r="D9" s="11">
        <f>IFERROR('QTR P&amp;L'!C12/'QTR P&amp;L'!C11,"")</f>
        <v/>
      </c>
      <c r="E9" s="11">
        <f>IFERROR('QTR P&amp;L'!D12/'QTR P&amp;L'!D11,"")</f>
        <v/>
      </c>
      <c r="F9" s="11">
        <f>IFERROR('QTR P&amp;L'!E12/'QTR P&amp;L'!E11,"")</f>
        <v/>
      </c>
      <c r="G9" s="11">
        <f>IFERROR('QTR P&amp;L'!F12/'QTR P&amp;L'!F11,"")</f>
        <v/>
      </c>
      <c r="H9" s="11">
        <f>IFERROR('QTR P&amp;L'!G12/'QTR P&amp;L'!G11,"")</f>
        <v/>
      </c>
      <c r="I9" s="11">
        <f>IFERROR('QTR P&amp;L'!H12/'QTR P&amp;L'!H11,"")</f>
        <v/>
      </c>
      <c r="J9" s="11">
        <f>IFERROR('QTR P&amp;L'!I12/'QTR P&amp;L'!I11,"")</f>
        <v/>
      </c>
      <c r="K9" s="11">
        <f>IFERROR('QTR P&amp;L'!J12/'QTR P&amp;L'!J11,"")</f>
        <v/>
      </c>
      <c r="L9" s="11">
        <f>IFERROR('QTR P&amp;L'!K12/'QTR P&amp;L'!K11,"")</f>
        <v/>
      </c>
      <c r="M9" s="11">
        <f>IFERROR('QTR P&amp;L'!L12/'QTR P&amp;L'!L11,"")</f>
        <v/>
      </c>
      <c r="N9" s="11">
        <f>IFERROR('QTR P&amp;L'!M12/'QTR P&amp;L'!M11,"")</f>
        <v/>
      </c>
      <c r="O9" s="11">
        <f>IFERROR('QTR P&amp;L'!N12/'QTR P&amp;L'!N11,"")</f>
        <v/>
      </c>
      <c r="P9" s="11">
        <f>IFERROR('QTR P&amp;L'!O12/'QTR P&amp;L'!O11,"")</f>
        <v/>
      </c>
      <c r="Q9" s="11">
        <f>IFERROR('QTR P&amp;L'!P12/'QTR P&amp;L'!P11,"")</f>
        <v/>
      </c>
      <c r="R9" s="11">
        <f>IFERROR('QTR P&amp;L'!Q12/'QTR P&amp;L'!Q11,"")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  <c r="AI9" s="12">
        <f>AH9</f>
        <v/>
      </c>
      <c r="AJ9" s="12">
        <f>AI9</f>
        <v/>
      </c>
      <c r="AK9" s="12">
        <f>AJ9</f>
        <v/>
      </c>
      <c r="AL9" s="12">
        <f>AK9</f>
        <v/>
      </c>
    </row>
    <row r="10">
      <c r="A10" s="3" t="inlineStr">
        <is>
          <t>Preferred Dividends</t>
        </is>
      </c>
      <c r="S10" s="4">
        <f>'QTR CF'!R44</f>
        <v/>
      </c>
      <c r="T10" s="4">
        <f>'QTR CF'!S44</f>
        <v/>
      </c>
      <c r="U10" s="4">
        <f>'QTR CF'!T44</f>
        <v/>
      </c>
      <c r="V10" s="4">
        <f>'QTR CF'!U44</f>
        <v/>
      </c>
      <c r="W10" s="4">
        <f>'QTR CF'!V44</f>
        <v/>
      </c>
      <c r="X10" s="4">
        <f>'QTR CF'!W44</f>
        <v/>
      </c>
      <c r="Y10" s="4">
        <f>'QTR CF'!X44</f>
        <v/>
      </c>
      <c r="Z10" s="4">
        <f>'QTR CF'!Y44</f>
        <v/>
      </c>
      <c r="AA10" s="4">
        <f>'QTR CF'!Z44</f>
        <v/>
      </c>
      <c r="AB10" s="4">
        <f>'QTR CF'!AA44</f>
        <v/>
      </c>
      <c r="AC10" s="4">
        <f>'QTR CF'!AB44</f>
        <v/>
      </c>
      <c r="AD10" s="4">
        <f>'QTR CF'!AC44</f>
        <v/>
      </c>
      <c r="AE10" s="4">
        <f>'QTR CF'!AD44</f>
        <v/>
      </c>
      <c r="AF10" s="4">
        <f>'QTR CF'!AE44</f>
        <v/>
      </c>
      <c r="AG10" s="4">
        <f>'QTR CF'!AF44</f>
        <v/>
      </c>
      <c r="AH10" s="4">
        <f>'QTR CF'!AG44</f>
        <v/>
      </c>
      <c r="AI10" s="4">
        <f>'QTR CF'!AH44</f>
        <v/>
      </c>
      <c r="AJ10" s="4">
        <f>'QTR CF'!AI44</f>
        <v/>
      </c>
      <c r="AK10" s="4">
        <f>'QTR CF'!AJ44</f>
        <v/>
      </c>
      <c r="AL10" s="4">
        <f>'QTR CF'!AK44</f>
        <v/>
      </c>
    </row>
    <row r="11">
      <c r="A11" s="3" t="inlineStr">
        <is>
          <t>Income Allocated to Participating Preferred</t>
        </is>
      </c>
      <c r="C11" s="4">
        <f>'QTR P&amp;L'!B15</f>
        <v/>
      </c>
      <c r="D11" s="4">
        <f>'QTR P&amp;L'!C15</f>
        <v/>
      </c>
      <c r="E11" s="4">
        <f>'QTR P&amp;L'!D15</f>
        <v/>
      </c>
      <c r="F11" s="4">
        <f>'QTR P&amp;L'!E15</f>
        <v/>
      </c>
      <c r="G11" s="4">
        <f>'QTR P&amp;L'!F15</f>
        <v/>
      </c>
      <c r="H11" s="4">
        <f>'QTR P&amp;L'!G15</f>
        <v/>
      </c>
      <c r="I11" s="4">
        <f>'QTR P&amp;L'!H15</f>
        <v/>
      </c>
      <c r="J11" s="4">
        <f>'QTR P&amp;L'!I15</f>
        <v/>
      </c>
      <c r="K11" s="4">
        <f>'QTR P&amp;L'!J15</f>
        <v/>
      </c>
      <c r="L11" s="4">
        <f>'QTR P&amp;L'!K15</f>
        <v/>
      </c>
      <c r="M11" s="4">
        <f>'QTR P&amp;L'!L15</f>
        <v/>
      </c>
      <c r="N11" s="4">
        <f>'QTR P&amp;L'!M15</f>
        <v/>
      </c>
      <c r="O11" s="4">
        <f>'QTR P&amp;L'!N15</f>
        <v/>
      </c>
      <c r="P11" s="4">
        <f>'QTR P&amp;L'!O15</f>
        <v/>
      </c>
      <c r="Q11" s="4">
        <f>'QTR P&amp;L'!P15</f>
        <v/>
      </c>
      <c r="R11" s="4">
        <f>'QTR P&amp;L'!Q15</f>
        <v/>
      </c>
      <c r="S11" s="13">
        <f>R11</f>
        <v/>
      </c>
      <c r="T11" s="13">
        <f>S11</f>
        <v/>
      </c>
      <c r="U11" s="13">
        <f>T11</f>
        <v/>
      </c>
      <c r="V11" s="13">
        <f>U11</f>
        <v/>
      </c>
      <c r="W11" s="13">
        <f>V11</f>
        <v/>
      </c>
      <c r="X11" s="13">
        <f>W11</f>
        <v/>
      </c>
      <c r="Y11" s="13">
        <f>X11</f>
        <v/>
      </c>
      <c r="Z11" s="13">
        <f>Y11</f>
        <v/>
      </c>
      <c r="AA11" s="13">
        <f>Z11</f>
        <v/>
      </c>
      <c r="AB11" s="13">
        <f>AA11</f>
        <v/>
      </c>
      <c r="AC11" s="13">
        <f>AB11</f>
        <v/>
      </c>
      <c r="AD11" s="13">
        <f>AC11</f>
        <v/>
      </c>
      <c r="AE11" s="13">
        <f>AD11</f>
        <v/>
      </c>
      <c r="AF11" s="13">
        <f>AE11</f>
        <v/>
      </c>
      <c r="AG11" s="13">
        <f>AF11</f>
        <v/>
      </c>
      <c r="AH11" s="13">
        <f>AG11</f>
        <v/>
      </c>
      <c r="AI11" s="13">
        <f>AH11</f>
        <v/>
      </c>
      <c r="AJ11" s="13">
        <f>AI11</f>
        <v/>
      </c>
      <c r="AK11" s="13">
        <f>AJ11</f>
        <v/>
      </c>
      <c r="AL11" s="13">
        <f>AK11</f>
        <v/>
      </c>
    </row>
    <row r="20">
      <c r="A20" t="inlineStr">
        <is>
          <t>Put all comments and drivers for Income statement into attached sheet. Use quantitative and qualitative calcs to drive drivers</t>
        </is>
      </c>
    </row>
    <row r="21">
      <c r="A21" t="inlineStr">
        <is>
          <t>Pull quarterly and YTD breakdowns for SG&amp;A from MD&amp;A from financials</t>
        </is>
      </c>
    </row>
    <row r="22">
      <c r="A22" t="inlineStr">
        <is>
          <t>Report primarily by segment and geography</t>
        </is>
      </c>
    </row>
    <row r="23">
      <c r="A23" t="inlineStr">
        <is>
          <t>10k, 10q and press release</t>
        </is>
      </c>
    </row>
    <row r="24">
      <c r="A24" t="inlineStr">
        <is>
          <t>Build out sales bridge by region and then by segment</t>
        </is>
      </c>
    </row>
    <row r="25">
      <c r="A25" t="inlineStr">
        <is>
          <t xml:space="preserve">Structure IS top down tab by region themselves. </t>
        </is>
      </c>
    </row>
    <row r="26">
      <c r="A26" t="inlineStr">
        <is>
          <t>Look at unit economics information if possible (SG&amp;A bridge).</t>
        </is>
      </c>
    </row>
    <row r="27">
      <c r="A27" t="inlineStr">
        <is>
          <t>Read GB twitter post on Notion (pt 4)</t>
        </is>
      </c>
    </row>
  </sheetData>
  <dataValidations disablePrompts="1"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xSplit="1" ySplit="1" topLeftCell="F2" activePane="bottomRight" state="frozen"/>
      <selection pane="topRight" activeCell="A1" sqref="A1"/>
      <selection pane="bottomLeft" activeCell="A1" sqref="A1"/>
      <selection pane="bottomRight" activeCell="O2" sqref="O2"/>
    </sheetView>
  </sheetViews>
  <sheetFormatPr baseColWidth="8" defaultRowHeight="15"/>
  <cols>
    <col width="38" customWidth="1" min="1" max="1"/>
    <col width="13" customWidth="1" min="2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CF'!R52</f>
        <v/>
      </c>
      <c r="P2" s="4">
        <f>O2+'QTR CF'!S52</f>
        <v/>
      </c>
      <c r="Q2" s="4">
        <f>P2+'QTR CF'!T52</f>
        <v/>
      </c>
      <c r="R2" s="4">
        <f>Q2+'QTR CF'!U52</f>
        <v/>
      </c>
      <c r="S2" s="4">
        <f>R2+'QTR CF'!V52</f>
        <v/>
      </c>
      <c r="T2" s="4">
        <f>S2+'QTR CF'!W52</f>
        <v/>
      </c>
      <c r="U2" s="4">
        <f>T2+'QTR CF'!X52</f>
        <v/>
      </c>
      <c r="V2" s="4">
        <f>U2+'QTR CF'!Y52</f>
        <v/>
      </c>
      <c r="W2" s="4">
        <f>V2+'QTR CF'!Z52</f>
        <v/>
      </c>
      <c r="X2" s="4">
        <f>W2+'QTR CF'!AA52</f>
        <v/>
      </c>
      <c r="Y2" s="4">
        <f>X2+'QTR CF'!AB52</f>
        <v/>
      </c>
      <c r="Z2" s="4">
        <f>Y2+'QTR CF'!AC52</f>
        <v/>
      </c>
      <c r="AA2" s="4">
        <f>Z2+'QTR CF'!AD52</f>
        <v/>
      </c>
      <c r="AB2" s="4">
        <f>AA2+'QTR CF'!AE52</f>
        <v/>
      </c>
      <c r="AC2" s="4">
        <f>AB2+'QTR CF'!AF52</f>
        <v/>
      </c>
      <c r="AD2" s="4">
        <f>AC2+'QTR CF'!AG52</f>
        <v/>
      </c>
      <c r="AE2" s="4">
        <f>AD2+'QTR CF'!AH52</f>
        <v/>
      </c>
      <c r="AF2" s="4">
        <f>AE2+'QTR CF'!AI52</f>
        <v/>
      </c>
      <c r="AG2" s="4">
        <f>AF2+'QTR CF'!AJ52</f>
        <v/>
      </c>
      <c r="AH2" s="4">
        <f>AG2+'QTR CF'!AK52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O3</f>
        <v/>
      </c>
      <c r="Q3" s="13">
        <f>P3</f>
        <v/>
      </c>
      <c r="R3" s="13">
        <f>Q3</f>
        <v/>
      </c>
      <c r="S3" s="13">
        <f>R3</f>
        <v/>
      </c>
      <c r="T3" s="13">
        <f>S3</f>
        <v/>
      </c>
      <c r="U3" s="13">
        <f>T3</f>
        <v/>
      </c>
      <c r="V3" s="13">
        <f>U3</f>
        <v/>
      </c>
      <c r="W3" s="13">
        <f>V3</f>
        <v/>
      </c>
      <c r="X3" s="13">
        <f>W3</f>
        <v/>
      </c>
      <c r="Y3" s="13">
        <f>X3</f>
        <v/>
      </c>
      <c r="Z3" s="13">
        <f>Y3</f>
        <v/>
      </c>
      <c r="AA3" s="13">
        <f>Z3</f>
        <v/>
      </c>
      <c r="AB3" s="13">
        <f>AA3</f>
        <v/>
      </c>
      <c r="AC3" s="13">
        <f>AB3</f>
        <v/>
      </c>
      <c r="AD3" s="13">
        <f>AC3</f>
        <v/>
      </c>
      <c r="AE3" s="13">
        <f>AD3</f>
        <v/>
      </c>
      <c r="AF3" s="13">
        <f>AE3</f>
        <v/>
      </c>
      <c r="AG3" s="13">
        <f>AF3</f>
        <v/>
      </c>
      <c r="AH3" s="13">
        <f>AG3</f>
        <v/>
      </c>
    </row>
    <row r="4">
      <c r="A4" s="3" t="inlineStr">
        <is>
          <t>Accounts Receivable — DSO (days)</t>
        </is>
      </c>
      <c r="B4" s="14">
        <f>IFERROR('QTR BS'!B4/'QTR P&amp;L'!E2*ASSUMPTIONS!$B$2,"")</f>
        <v/>
      </c>
      <c r="C4" s="14">
        <f>IFERROR('QTR BS'!C4/'QTR P&amp;L'!F2*ASSUMPTIONS!$B$2,"")</f>
        <v/>
      </c>
      <c r="D4" s="14">
        <f>IFERROR('QTR BS'!D4/'QTR P&amp;L'!G2*ASSUMPTIONS!$B$2,"")</f>
        <v/>
      </c>
      <c r="E4" s="14">
        <f>IFERROR('QTR BS'!E4/'QTR P&amp;L'!H2*ASSUMPTIONS!$B$2,"")</f>
        <v/>
      </c>
      <c r="F4" s="14">
        <f>IFERROR('QTR BS'!F4/'QTR P&amp;L'!I2*ASSUMPTIONS!$B$2,"")</f>
        <v/>
      </c>
      <c r="G4" s="14">
        <f>IFERROR('QTR BS'!G4/'QTR P&amp;L'!J2*ASSUMPTIONS!$B$2,"")</f>
        <v/>
      </c>
      <c r="H4" s="14">
        <f>IFERROR('QTR BS'!H4/'QTR P&amp;L'!K2*ASSUMPTIONS!$B$2,"")</f>
        <v/>
      </c>
      <c r="I4" s="14">
        <f>IFERROR('QTR BS'!I4/'QTR P&amp;L'!L2*ASSUMPTIONS!$B$2,"")</f>
        <v/>
      </c>
      <c r="J4" s="14">
        <f>IFERROR('QTR BS'!J4/'QTR P&amp;L'!M2*ASSUMPTIONS!$B$2,"")</f>
        <v/>
      </c>
      <c r="K4" s="14">
        <f>IFERROR('QTR BS'!K4/'QTR P&amp;L'!N2*ASSUMPTIONS!$B$2,"")</f>
        <v/>
      </c>
      <c r="L4" s="14">
        <f>IFERROR('QTR BS'!L4/'QTR P&amp;L'!O2*ASSUMPTIONS!$B$2,"")</f>
        <v/>
      </c>
      <c r="M4" s="14">
        <f>IFERROR('QTR BS'!M4/'QTR P&amp;L'!P2*ASSUMPTIONS!$B$2,"")</f>
        <v/>
      </c>
      <c r="N4" s="14">
        <f>IFERROR('QTR BS'!N4/'QTR P&amp;L'!Q2*ASSUMPTIONS!$B$2,"")</f>
        <v/>
      </c>
      <c r="O4" s="15" t="n">
        <v>75</v>
      </c>
      <c r="P4" s="15">
        <f>O4</f>
        <v/>
      </c>
      <c r="Q4" s="15">
        <f>P4</f>
        <v/>
      </c>
      <c r="R4" s="15">
        <f>Q4</f>
        <v/>
      </c>
      <c r="S4" s="15">
        <f>R4</f>
        <v/>
      </c>
      <c r="T4" s="15">
        <f>S4</f>
        <v/>
      </c>
      <c r="U4" s="15">
        <f>T4</f>
        <v/>
      </c>
      <c r="V4" s="15">
        <f>U4</f>
        <v/>
      </c>
      <c r="W4" s="15">
        <f>V4</f>
        <v/>
      </c>
      <c r="X4" s="15">
        <f>W4</f>
        <v/>
      </c>
      <c r="Y4" s="15">
        <f>X4</f>
        <v/>
      </c>
      <c r="Z4" s="15">
        <f>Y4</f>
        <v/>
      </c>
      <c r="AA4" s="15">
        <f>Z4</f>
        <v/>
      </c>
      <c r="AB4" s="15">
        <f>AA4</f>
        <v/>
      </c>
      <c r="AC4" s="15">
        <f>AB4</f>
        <v/>
      </c>
      <c r="AD4" s="15">
        <f>AC4</f>
        <v/>
      </c>
      <c r="AE4" s="15">
        <f>AD4</f>
        <v/>
      </c>
      <c r="AF4" s="15">
        <f>AE4</f>
        <v/>
      </c>
      <c r="AG4" s="15">
        <f>AF4</f>
        <v/>
      </c>
      <c r="AH4" s="15">
        <f>AG4</f>
        <v/>
      </c>
    </row>
    <row r="5">
      <c r="A5" s="3" t="inlineStr">
        <is>
          <t>Note Receivable - Current — DSO (days)</t>
        </is>
      </c>
      <c r="B5" s="14">
        <f>IFERROR('QTR BS'!B5/'QTR P&amp;L'!E2*ASSUMPTIONS!$B$2,"")</f>
        <v/>
      </c>
      <c r="C5" s="14">
        <f>IFERROR('QTR BS'!C5/'QTR P&amp;L'!F2*ASSUMPTIONS!$B$2,"")</f>
        <v/>
      </c>
      <c r="D5" s="14">
        <f>IFERROR('QTR BS'!D5/'QTR P&amp;L'!G2*ASSUMPTIONS!$B$2,"")</f>
        <v/>
      </c>
      <c r="E5" s="14">
        <f>IFERROR('QTR BS'!E5/'QTR P&amp;L'!H2*ASSUMPTIONS!$B$2,"")</f>
        <v/>
      </c>
      <c r="F5" s="14">
        <f>IFERROR('QTR BS'!F5/'QTR P&amp;L'!I2*ASSUMPTIONS!$B$2,"")</f>
        <v/>
      </c>
      <c r="G5" s="14">
        <f>IFERROR('QTR BS'!G5/'QTR P&amp;L'!J2*ASSUMPTIONS!$B$2,"")</f>
        <v/>
      </c>
      <c r="H5" s="14">
        <f>IFERROR('QTR BS'!H5/'QTR P&amp;L'!K2*ASSUMPTIONS!$B$2,"")</f>
        <v/>
      </c>
      <c r="I5" s="14">
        <f>IFERROR('QTR BS'!I5/'QTR P&amp;L'!L2*ASSUMPTIONS!$B$2,"")</f>
        <v/>
      </c>
      <c r="J5" s="14">
        <f>IFERROR('QTR BS'!J5/'QTR P&amp;L'!M2*ASSUMPTIONS!$B$2,"")</f>
        <v/>
      </c>
      <c r="K5" s="14">
        <f>IFERROR('QTR BS'!K5/'QTR P&amp;L'!N2*ASSUMPTIONS!$B$2,"")</f>
        <v/>
      </c>
      <c r="L5" s="14">
        <f>IFERROR('QTR BS'!L5/'QTR P&amp;L'!O2*ASSUMPTIONS!$B$2,"")</f>
        <v/>
      </c>
      <c r="M5" s="14">
        <f>IFERROR('QTR BS'!M5/'QTR P&amp;L'!P2*ASSUMPTIONS!$B$2,"")</f>
        <v/>
      </c>
      <c r="N5" s="14">
        <f>IFERROR('QTR BS'!N5/'QTR P&amp;L'!Q2*ASSUMPTIONS!$B$2,"")</f>
        <v/>
      </c>
      <c r="O5" s="15">
        <f>N5</f>
        <v/>
      </c>
      <c r="P5" s="15">
        <f>O5</f>
        <v/>
      </c>
      <c r="Q5" s="15">
        <f>P5</f>
        <v/>
      </c>
      <c r="R5" s="15">
        <f>Q5</f>
        <v/>
      </c>
      <c r="S5" s="15">
        <f>R5</f>
        <v/>
      </c>
      <c r="T5" s="15">
        <f>S5</f>
        <v/>
      </c>
      <c r="U5" s="15">
        <f>T5</f>
        <v/>
      </c>
      <c r="V5" s="15">
        <f>U5</f>
        <v/>
      </c>
      <c r="W5" s="15">
        <f>V5</f>
        <v/>
      </c>
      <c r="X5" s="15">
        <f>W5</f>
        <v/>
      </c>
      <c r="Y5" s="15">
        <f>X5</f>
        <v/>
      </c>
      <c r="Z5" s="15">
        <f>Y5</f>
        <v/>
      </c>
      <c r="AA5" s="15">
        <f>Z5</f>
        <v/>
      </c>
      <c r="AB5" s="15">
        <f>AA5</f>
        <v/>
      </c>
      <c r="AC5" s="15">
        <f>AB5</f>
        <v/>
      </c>
      <c r="AD5" s="15">
        <f>AC5</f>
        <v/>
      </c>
      <c r="AE5" s="15">
        <f>AD5</f>
        <v/>
      </c>
      <c r="AF5" s="15">
        <f>AE5</f>
        <v/>
      </c>
      <c r="AG5" s="15">
        <f>AF5</f>
        <v/>
      </c>
      <c r="AH5" s="15">
        <f>AG5</f>
        <v/>
      </c>
    </row>
    <row r="6">
      <c r="A6" s="3" t="inlineStr">
        <is>
          <t>Inventories — DIO (days)</t>
        </is>
      </c>
      <c r="B6" s="14">
        <f>IFERROR('QTR BS'!B6/'QTR P&amp;L'!E3*ASSUMPTIONS!$B$2,"")</f>
        <v/>
      </c>
      <c r="C6" s="14">
        <f>IFERROR('QTR BS'!C6/'QTR P&amp;L'!F3*ASSUMPTIONS!$B$2,"")</f>
        <v/>
      </c>
      <c r="D6" s="14">
        <f>IFERROR('QTR BS'!D6/'QTR P&amp;L'!G3*ASSUMPTIONS!$B$2,"")</f>
        <v/>
      </c>
      <c r="E6" s="14">
        <f>IFERROR('QTR BS'!E6/'QTR P&amp;L'!H3*ASSUMPTIONS!$B$2,"")</f>
        <v/>
      </c>
      <c r="F6" s="14">
        <f>IFERROR('QTR BS'!F6/'QTR P&amp;L'!I3*ASSUMPTIONS!$B$2,"")</f>
        <v/>
      </c>
      <c r="G6" s="14">
        <f>IFERROR('QTR BS'!G6/'QTR P&amp;L'!J3*ASSUMPTIONS!$B$2,"")</f>
        <v/>
      </c>
      <c r="H6" s="14">
        <f>IFERROR('QTR BS'!H6/'QTR P&amp;L'!K3*ASSUMPTIONS!$B$2,"")</f>
        <v/>
      </c>
      <c r="I6" s="14">
        <f>IFERROR('QTR BS'!I6/'QTR P&amp;L'!L3*ASSUMPTIONS!$B$2,"")</f>
        <v/>
      </c>
      <c r="J6" s="14">
        <f>IFERROR('QTR BS'!J6/'QTR P&amp;L'!M3*ASSUMPTIONS!$B$2,"")</f>
        <v/>
      </c>
      <c r="K6" s="14">
        <f>IFERROR('QTR BS'!K6/'QTR P&amp;L'!N3*ASSUMPTIONS!$B$2,"")</f>
        <v/>
      </c>
      <c r="L6" s="14">
        <f>IFERROR('QTR BS'!L6/'QTR P&amp;L'!O3*ASSUMPTIONS!$B$2,"")</f>
        <v/>
      </c>
      <c r="M6" s="14">
        <f>IFERROR('QTR BS'!M6/'QTR P&amp;L'!P3*ASSUMPTIONS!$B$2,"")</f>
        <v/>
      </c>
      <c r="N6" s="14">
        <f>IFERROR('QTR BS'!N6/'QTR P&amp;L'!Q3*ASSUMPTIONS!$B$2,"")</f>
        <v/>
      </c>
      <c r="O6" s="15">
        <f>N6</f>
        <v/>
      </c>
      <c r="P6" s="15">
        <f>O6</f>
        <v/>
      </c>
      <c r="Q6" s="15">
        <f>P6</f>
        <v/>
      </c>
      <c r="R6" s="15">
        <f>Q6</f>
        <v/>
      </c>
      <c r="S6" s="15">
        <f>R6</f>
        <v/>
      </c>
      <c r="T6" s="15">
        <f>S6</f>
        <v/>
      </c>
      <c r="U6" s="15">
        <f>T6</f>
        <v/>
      </c>
      <c r="V6" s="15">
        <f>U6</f>
        <v/>
      </c>
      <c r="W6" s="15">
        <f>V6</f>
        <v/>
      </c>
      <c r="X6" s="15">
        <f>W6</f>
        <v/>
      </c>
      <c r="Y6" s="15">
        <f>X6</f>
        <v/>
      </c>
      <c r="Z6" s="15">
        <f>Y6</f>
        <v/>
      </c>
      <c r="AA6" s="15">
        <f>Z6</f>
        <v/>
      </c>
      <c r="AB6" s="15">
        <f>AA6</f>
        <v/>
      </c>
      <c r="AC6" s="15">
        <f>AB6</f>
        <v/>
      </c>
      <c r="AD6" s="15">
        <f>AC6</f>
        <v/>
      </c>
      <c r="AE6" s="15">
        <f>AD6</f>
        <v/>
      </c>
      <c r="AF6" s="15">
        <f>AE6</f>
        <v/>
      </c>
      <c r="AG6" s="15">
        <f>AF6</f>
        <v/>
      </c>
      <c r="AH6" s="15">
        <f>AG6</f>
        <v/>
      </c>
    </row>
    <row r="7">
      <c r="A7" s="3" t="inlineStr">
        <is>
          <t>Prepaid Expenses — % of Revenue</t>
        </is>
      </c>
      <c r="B7" s="11">
        <f>IFERROR('QTR BS'!B7/'QTR P&amp;L'!E2,"")</f>
        <v/>
      </c>
      <c r="C7" s="11">
        <f>IFERROR('QTR BS'!C7/'QTR P&amp;L'!F2,"")</f>
        <v/>
      </c>
      <c r="D7" s="11">
        <f>IFERROR('QTR BS'!D7/'QTR P&amp;L'!G2,"")</f>
        <v/>
      </c>
      <c r="E7" s="11">
        <f>IFERROR('QTR BS'!E7/'QTR P&amp;L'!H2,"")</f>
        <v/>
      </c>
      <c r="F7" s="11">
        <f>IFERROR('QTR BS'!F7/'QTR P&amp;L'!I2,"")</f>
        <v/>
      </c>
      <c r="G7" s="11">
        <f>IFERROR('QTR BS'!G7/'QTR P&amp;L'!J2,"")</f>
        <v/>
      </c>
      <c r="H7" s="11">
        <f>IFERROR('QTR BS'!H7/'QTR P&amp;L'!K2,"")</f>
        <v/>
      </c>
      <c r="I7" s="11">
        <f>IFERROR('QTR BS'!I7/'QTR P&amp;L'!L2,"")</f>
        <v/>
      </c>
      <c r="J7" s="11">
        <f>IFERROR('QTR BS'!J7/'QTR P&amp;L'!M2,"")</f>
        <v/>
      </c>
      <c r="K7" s="11">
        <f>IFERROR('QTR BS'!K7/'QTR P&amp;L'!N2,"")</f>
        <v/>
      </c>
      <c r="L7" s="11">
        <f>IFERROR('QTR BS'!L7/'QTR P&amp;L'!O2,"")</f>
        <v/>
      </c>
      <c r="M7" s="11">
        <f>IFERROR('QTR BS'!M7/'QTR P&amp;L'!P2,"")</f>
        <v/>
      </c>
      <c r="N7" s="11">
        <f>IFERROR('QTR BS'!N7/'QTR P&amp;L'!Q2,"")</f>
        <v/>
      </c>
      <c r="O7" s="12">
        <f>N7</f>
        <v/>
      </c>
      <c r="P7" s="12">
        <f>O7</f>
        <v/>
      </c>
      <c r="Q7" s="12">
        <f>P7</f>
        <v/>
      </c>
      <c r="R7" s="12">
        <f>Q7</f>
        <v/>
      </c>
      <c r="S7" s="12">
        <f>R7</f>
        <v/>
      </c>
      <c r="T7" s="12">
        <f>S7</f>
        <v/>
      </c>
      <c r="U7" s="12">
        <f>T7</f>
        <v/>
      </c>
      <c r="V7" s="12">
        <f>U7</f>
        <v/>
      </c>
      <c r="W7" s="12">
        <f>V7</f>
        <v/>
      </c>
      <c r="X7" s="12">
        <f>W7</f>
        <v/>
      </c>
      <c r="Y7" s="12">
        <f>X7</f>
        <v/>
      </c>
      <c r="Z7" s="12">
        <f>Y7</f>
        <v/>
      </c>
      <c r="AA7" s="12">
        <f>Z7</f>
        <v/>
      </c>
      <c r="AB7" s="12">
        <f>AA7</f>
        <v/>
      </c>
      <c r="AC7" s="12">
        <f>AB7</f>
        <v/>
      </c>
      <c r="AD7" s="12">
        <f>AC7</f>
        <v/>
      </c>
      <c r="AE7" s="12">
        <f>AD7</f>
        <v/>
      </c>
      <c r="AF7" s="12">
        <f>AE7</f>
        <v/>
      </c>
      <c r="AG7" s="12">
        <f>AF7</f>
        <v/>
      </c>
      <c r="AH7" s="12">
        <f>AG7</f>
        <v/>
      </c>
    </row>
    <row r="8">
      <c r="A8" s="3" t="inlineStr">
        <is>
          <t>Deferred Other Costs - Current — % of Revenue</t>
        </is>
      </c>
      <c r="B8" s="11">
        <f>IFERROR('QTR BS'!B8/'QTR P&amp;L'!E2,"")</f>
        <v/>
      </c>
      <c r="C8" s="11">
        <f>IFERROR('QTR BS'!C8/'QTR P&amp;L'!F2,"")</f>
        <v/>
      </c>
      <c r="D8" s="11">
        <f>IFERROR('QTR BS'!D8/'QTR P&amp;L'!G2,"")</f>
        <v/>
      </c>
      <c r="E8" s="11">
        <f>IFERROR('QTR BS'!E8/'QTR P&amp;L'!H2,"")</f>
        <v/>
      </c>
      <c r="F8" s="11">
        <f>IFERROR('QTR BS'!F8/'QTR P&amp;L'!I2,"")</f>
        <v/>
      </c>
      <c r="G8" s="11">
        <f>IFERROR('QTR BS'!G8/'QTR P&amp;L'!J2,"")</f>
        <v/>
      </c>
      <c r="H8" s="11">
        <f>IFERROR('QTR BS'!H8/'QTR P&amp;L'!K2,"")</f>
        <v/>
      </c>
      <c r="I8" s="11">
        <f>IFERROR('QTR BS'!I8/'QTR P&amp;L'!L2,"")</f>
        <v/>
      </c>
      <c r="J8" s="11">
        <f>IFERROR('QTR BS'!J8/'QTR P&amp;L'!M2,"")</f>
        <v/>
      </c>
      <c r="K8" s="11">
        <f>IFERROR('QTR BS'!K8/'QTR P&amp;L'!N2,"")</f>
        <v/>
      </c>
      <c r="L8" s="11">
        <f>IFERROR('QTR BS'!L8/'QTR P&amp;L'!O2,"")</f>
        <v/>
      </c>
      <c r="M8" s="11">
        <f>IFERROR('QTR BS'!M8/'QTR P&amp;L'!P2,"")</f>
        <v/>
      </c>
      <c r="N8" s="11">
        <f>IFERROR('QTR BS'!N8/'QTR P&amp;L'!Q2,"")</f>
        <v/>
      </c>
      <c r="O8" s="12">
        <f>N8</f>
        <v/>
      </c>
      <c r="P8" s="12">
        <f>O8</f>
        <v/>
      </c>
      <c r="Q8" s="12">
        <f>P8</f>
        <v/>
      </c>
      <c r="R8" s="12">
        <f>Q8</f>
        <v/>
      </c>
      <c r="S8" s="12">
        <f>R8</f>
        <v/>
      </c>
      <c r="T8" s="12">
        <f>S8</f>
        <v/>
      </c>
      <c r="U8" s="12">
        <f>T8</f>
        <v/>
      </c>
      <c r="V8" s="12">
        <f>U8</f>
        <v/>
      </c>
      <c r="W8" s="12">
        <f>V8</f>
        <v/>
      </c>
      <c r="X8" s="12">
        <f>W8</f>
        <v/>
      </c>
      <c r="Y8" s="12">
        <f>X8</f>
        <v/>
      </c>
      <c r="Z8" s="12">
        <f>Y8</f>
        <v/>
      </c>
      <c r="AA8" s="12">
        <f>Z8</f>
        <v/>
      </c>
      <c r="AB8" s="12">
        <f>AA8</f>
        <v/>
      </c>
      <c r="AC8" s="12">
        <f>AB8</f>
        <v/>
      </c>
      <c r="AD8" s="12">
        <f>AC8</f>
        <v/>
      </c>
      <c r="AE8" s="12">
        <f>AD8</f>
        <v/>
      </c>
      <c r="AF8" s="12">
        <f>AE8</f>
        <v/>
      </c>
      <c r="AG8" s="12">
        <f>AF8</f>
        <v/>
      </c>
      <c r="AH8" s="12">
        <f>AG8</f>
        <v/>
      </c>
    </row>
    <row r="9">
      <c r="A9" s="3" t="inlineStr">
        <is>
          <t>Note Receivable - Non-Current — % of Revenue</t>
        </is>
      </c>
      <c r="B9" s="11">
        <f>IFERROR('QTR BS'!B10/'QTR P&amp;L'!E2,"")</f>
        <v/>
      </c>
      <c r="C9" s="11">
        <f>IFERROR('QTR BS'!C10/'QTR P&amp;L'!F2,"")</f>
        <v/>
      </c>
      <c r="D9" s="11">
        <f>IFERROR('QTR BS'!D10/'QTR P&amp;L'!G2,"")</f>
        <v/>
      </c>
      <c r="E9" s="11">
        <f>IFERROR('QTR BS'!E10/'QTR P&amp;L'!H2,"")</f>
        <v/>
      </c>
      <c r="F9" s="11">
        <f>IFERROR('QTR BS'!F10/'QTR P&amp;L'!I2,"")</f>
        <v/>
      </c>
      <c r="G9" s="11">
        <f>IFERROR('QTR BS'!G10/'QTR P&amp;L'!J2,"")</f>
        <v/>
      </c>
      <c r="H9" s="11">
        <f>IFERROR('QTR BS'!H10/'QTR P&amp;L'!K2,"")</f>
        <v/>
      </c>
      <c r="I9" s="11">
        <f>IFERROR('QTR BS'!I10/'QTR P&amp;L'!L2,"")</f>
        <v/>
      </c>
      <c r="J9" s="11">
        <f>IFERROR('QTR BS'!J10/'QTR P&amp;L'!M2,"")</f>
        <v/>
      </c>
      <c r="K9" s="11">
        <f>IFERROR('QTR BS'!K10/'QTR P&amp;L'!N2,"")</f>
        <v/>
      </c>
      <c r="L9" s="11">
        <f>IFERROR('QTR BS'!L10/'QTR P&amp;L'!O2,"")</f>
        <v/>
      </c>
      <c r="M9" s="11">
        <f>IFERROR('QTR BS'!M10/'QTR P&amp;L'!P2,"")</f>
        <v/>
      </c>
      <c r="N9" s="11">
        <f>IFERROR('QTR BS'!N10/'QTR P&amp;L'!Q2,"")</f>
        <v/>
      </c>
      <c r="O9" s="12">
        <f>N9</f>
        <v/>
      </c>
      <c r="P9" s="12">
        <f>O9</f>
        <v/>
      </c>
      <c r="Q9" s="12">
        <f>P9</f>
        <v/>
      </c>
      <c r="R9" s="12">
        <f>Q9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CF'!R34-'QTR CF'!R6</f>
        <v/>
      </c>
      <c r="P10" s="4">
        <f>O10-'QTR CF'!S34-'QTR CF'!S6</f>
        <v/>
      </c>
      <c r="Q10" s="4">
        <f>P10-'QTR CF'!T34-'QTR CF'!T6</f>
        <v/>
      </c>
      <c r="R10" s="4">
        <f>Q10-'QTR CF'!U34-'QTR CF'!U6</f>
        <v/>
      </c>
      <c r="S10" s="4">
        <f>R10-'QTR CF'!V34-'QTR CF'!V6</f>
        <v/>
      </c>
      <c r="T10" s="4">
        <f>S10-'QTR CF'!W34-'QTR CF'!W6</f>
        <v/>
      </c>
      <c r="U10" s="4">
        <f>T10-'QTR CF'!X34-'QTR CF'!X6</f>
        <v/>
      </c>
      <c r="V10" s="4">
        <f>U10-'QTR CF'!Y34-'QTR CF'!Y6</f>
        <v/>
      </c>
      <c r="W10" s="4">
        <f>V10-'QTR CF'!Z34-'QTR CF'!Z6</f>
        <v/>
      </c>
      <c r="X10" s="4">
        <f>W10-'QTR CF'!AA34-'QTR CF'!AA6</f>
        <v/>
      </c>
      <c r="Y10" s="4">
        <f>X10-'QTR CF'!AB34-'QTR CF'!AB6</f>
        <v/>
      </c>
      <c r="Z10" s="4">
        <f>Y10-'QTR CF'!AC34-'QTR CF'!AC6</f>
        <v/>
      </c>
      <c r="AA10" s="4">
        <f>Z10-'QTR CF'!AD34-'QTR CF'!AD6</f>
        <v/>
      </c>
      <c r="AB10" s="4">
        <f>AA10-'QTR CF'!AE34-'QTR CF'!AE6</f>
        <v/>
      </c>
      <c r="AC10" s="4">
        <f>AB10-'QTR CF'!AF34-'QTR CF'!AF6</f>
        <v/>
      </c>
      <c r="AD10" s="4">
        <f>AC10-'QTR CF'!AG34-'QTR CF'!AG6</f>
        <v/>
      </c>
      <c r="AE10" s="4">
        <f>AD10-'QTR CF'!AH34-'QTR CF'!AH6</f>
        <v/>
      </c>
      <c r="AF10" s="4">
        <f>AE10-'QTR CF'!AI34-'QTR CF'!AI6</f>
        <v/>
      </c>
      <c r="AG10" s="4">
        <f>AF10-'QTR CF'!AJ34-'QTR CF'!AJ6</f>
        <v/>
      </c>
      <c r="AH10" s="4">
        <f>AG10-'QTR CF'!AK34-'QTR CF'!AK6</f>
        <v/>
      </c>
    </row>
    <row r="11">
      <c r="A11" s="3" t="inlineStr">
        <is>
          <t>ROU Assets - Operating - Non-Current — % of Revenue</t>
        </is>
      </c>
      <c r="B11" s="11">
        <f>IFERROR('QTR BS'!B12/'QTR P&amp;L'!E2,"")</f>
        <v/>
      </c>
      <c r="C11" s="11">
        <f>IFERROR('QTR BS'!C12/'QTR P&amp;L'!F2,"")</f>
        <v/>
      </c>
      <c r="D11" s="11">
        <f>IFERROR('QTR BS'!D12/'QTR P&amp;L'!G2,"")</f>
        <v/>
      </c>
      <c r="E11" s="11">
        <f>IFERROR('QTR BS'!E12/'QTR P&amp;L'!H2,"")</f>
        <v/>
      </c>
      <c r="F11" s="11">
        <f>IFERROR('QTR BS'!F12/'QTR P&amp;L'!I2,"")</f>
        <v/>
      </c>
      <c r="G11" s="11">
        <f>IFERROR('QTR BS'!G12/'QTR P&amp;L'!J2,"")</f>
        <v/>
      </c>
      <c r="H11" s="11">
        <f>IFERROR('QTR BS'!H12/'QTR P&amp;L'!K2,"")</f>
        <v/>
      </c>
      <c r="I11" s="11">
        <f>IFERROR('QTR BS'!I12/'QTR P&amp;L'!L2,"")</f>
        <v/>
      </c>
      <c r="J11" s="11">
        <f>IFERROR('QTR BS'!J12/'QTR P&amp;L'!M2,"")</f>
        <v/>
      </c>
      <c r="K11" s="11">
        <f>IFERROR('QTR BS'!K12/'QTR P&amp;L'!N2,"")</f>
        <v/>
      </c>
      <c r="L11" s="11">
        <f>IFERROR('QTR BS'!L12/'QTR P&amp;L'!O2,"")</f>
        <v/>
      </c>
      <c r="M11" s="11">
        <f>IFERROR('QTR BS'!M12/'QTR P&amp;L'!P2,"")</f>
        <v/>
      </c>
      <c r="N11" s="11">
        <f>IFERROR('QTR BS'!N12/'QTR P&amp;L'!Q2,"")</f>
        <v/>
      </c>
      <c r="O11" s="12">
        <f>N11</f>
        <v/>
      </c>
      <c r="P11" s="12">
        <f>O11</f>
        <v/>
      </c>
      <c r="Q11" s="12">
        <f>P11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O12</f>
        <v/>
      </c>
      <c r="Q12" s="13">
        <f>P12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O13</f>
        <v/>
      </c>
      <c r="Q13" s="13">
        <f>P13</f>
        <v/>
      </c>
      <c r="R13" s="13">
        <f>Q13</f>
        <v/>
      </c>
      <c r="S13" s="13">
        <f>R13</f>
        <v/>
      </c>
      <c r="T13" s="13">
        <f>S13</f>
        <v/>
      </c>
      <c r="U13" s="13">
        <f>T13</f>
        <v/>
      </c>
      <c r="V13" s="13">
        <f>U13</f>
        <v/>
      </c>
      <c r="W13" s="13">
        <f>V13</f>
        <v/>
      </c>
      <c r="X13" s="13">
        <f>W13</f>
        <v/>
      </c>
      <c r="Y13" s="13">
        <f>X13</f>
        <v/>
      </c>
      <c r="Z13" s="13">
        <f>Y13</f>
        <v/>
      </c>
      <c r="AA13" s="13">
        <f>Z13</f>
        <v/>
      </c>
      <c r="AB13" s="13">
        <f>AA13</f>
        <v/>
      </c>
      <c r="AC13" s="13">
        <f>AB13</f>
        <v/>
      </c>
      <c r="AD13" s="13">
        <f>AC13</f>
        <v/>
      </c>
      <c r="AE13" s="13">
        <f>AD13</f>
        <v/>
      </c>
      <c r="AF13" s="13">
        <f>AE13</f>
        <v/>
      </c>
      <c r="AG13" s="13">
        <f>AF13</f>
        <v/>
      </c>
      <c r="AH13" s="13">
        <f>AG13</f>
        <v/>
      </c>
    </row>
    <row r="14">
      <c r="A14" s="3" t="inlineStr">
        <is>
          <t>Deferred Other Costs - Non-Current — % of Revenue</t>
        </is>
      </c>
      <c r="B14" s="11">
        <f>IFERROR('QTR BS'!B15/'QTR P&amp;L'!E2,"")</f>
        <v/>
      </c>
      <c r="C14" s="11">
        <f>IFERROR('QTR BS'!C15/'QTR P&amp;L'!F2,"")</f>
        <v/>
      </c>
      <c r="D14" s="11">
        <f>IFERROR('QTR BS'!D15/'QTR P&amp;L'!G2,"")</f>
        <v/>
      </c>
      <c r="E14" s="11">
        <f>IFERROR('QTR BS'!E15/'QTR P&amp;L'!H2,"")</f>
        <v/>
      </c>
      <c r="F14" s="11">
        <f>IFERROR('QTR BS'!F15/'QTR P&amp;L'!I2,"")</f>
        <v/>
      </c>
      <c r="G14" s="11">
        <f>IFERROR('QTR BS'!G15/'QTR P&amp;L'!J2,"")</f>
        <v/>
      </c>
      <c r="H14" s="11">
        <f>IFERROR('QTR BS'!H15/'QTR P&amp;L'!K2,"")</f>
        <v/>
      </c>
      <c r="I14" s="11">
        <f>IFERROR('QTR BS'!I15/'QTR P&amp;L'!L2,"")</f>
        <v/>
      </c>
      <c r="J14" s="11">
        <f>IFERROR('QTR BS'!J15/'QTR P&amp;L'!M2,"")</f>
        <v/>
      </c>
      <c r="K14" s="11">
        <f>IFERROR('QTR BS'!K15/'QTR P&amp;L'!N2,"")</f>
        <v/>
      </c>
      <c r="L14" s="11">
        <f>IFERROR('QTR BS'!L15/'QTR P&amp;L'!O2,"")</f>
        <v/>
      </c>
      <c r="M14" s="11">
        <f>IFERROR('QTR BS'!M15/'QTR P&amp;L'!P2,"")</f>
        <v/>
      </c>
      <c r="N14" s="11">
        <f>IFERROR('QTR BS'!N15/'QTR P&amp;L'!Q2,"")</f>
        <v/>
      </c>
      <c r="O14" s="12">
        <f>N14</f>
        <v/>
      </c>
      <c r="P14" s="12">
        <f>O14</f>
        <v/>
      </c>
      <c r="Q14" s="12">
        <f>P14</f>
        <v/>
      </c>
      <c r="R14" s="12">
        <f>Q14</f>
        <v/>
      </c>
      <c r="S14" s="12">
        <f>R14</f>
        <v/>
      </c>
      <c r="T14" s="12">
        <f>S14</f>
        <v/>
      </c>
      <c r="U14" s="12">
        <f>T14</f>
        <v/>
      </c>
      <c r="V14" s="12">
        <f>U14</f>
        <v/>
      </c>
      <c r="W14" s="12">
        <f>V14</f>
        <v/>
      </c>
      <c r="X14" s="12">
        <f>W14</f>
        <v/>
      </c>
      <c r="Y14" s="12">
        <f>X14</f>
        <v/>
      </c>
      <c r="Z14" s="12">
        <f>Y14</f>
        <v/>
      </c>
      <c r="AA14" s="12">
        <f>Z14</f>
        <v/>
      </c>
      <c r="AB14" s="12">
        <f>AA14</f>
        <v/>
      </c>
      <c r="AC14" s="12">
        <f>AB14</f>
        <v/>
      </c>
      <c r="AD14" s="12">
        <f>AC14</f>
        <v/>
      </c>
      <c r="AE14" s="12">
        <f>AD14</f>
        <v/>
      </c>
      <c r="AF14" s="12">
        <f>AE14</f>
        <v/>
      </c>
      <c r="AG14" s="12">
        <f>AF14</f>
        <v/>
      </c>
      <c r="AH14" s="12">
        <f>AG14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  <c r="AE15" s="4">
        <f>AD15-'QTR CF'!AH12</f>
        <v/>
      </c>
      <c r="AF15" s="4">
        <f>AE15-'QTR CF'!AI12</f>
        <v/>
      </c>
      <c r="AG15" s="4">
        <f>AF15-'QTR CF'!AJ12</f>
        <v/>
      </c>
      <c r="AH15" s="4">
        <f>AG15-'QTR CF'!AK12</f>
        <v/>
      </c>
    </row>
    <row r="16">
      <c r="A16" s="3" t="inlineStr">
        <is>
          <t>ROU Assets - Finance - Non-Current — % of Revenue</t>
        </is>
      </c>
      <c r="B16" s="11">
        <f>IFERROR('QTR BS'!B17/'QTR P&amp;L'!E2,"")</f>
        <v/>
      </c>
      <c r="C16" s="11">
        <f>IFERROR('QTR BS'!C17/'QTR P&amp;L'!F2,"")</f>
        <v/>
      </c>
      <c r="D16" s="11">
        <f>IFERROR('QTR BS'!D17/'QTR P&amp;L'!G2,"")</f>
        <v/>
      </c>
      <c r="E16" s="11">
        <f>IFERROR('QTR BS'!E17/'QTR P&amp;L'!H2,"")</f>
        <v/>
      </c>
      <c r="F16" s="11">
        <f>IFERROR('QTR BS'!F17/'QTR P&amp;L'!I2,"")</f>
        <v/>
      </c>
      <c r="G16" s="11">
        <f>IFERROR('QTR BS'!G17/'QTR P&amp;L'!J2,"")</f>
        <v/>
      </c>
      <c r="H16" s="11">
        <f>IFERROR('QTR BS'!H17/'QTR P&amp;L'!K2,"")</f>
        <v/>
      </c>
      <c r="I16" s="11">
        <f>IFERROR('QTR BS'!I17/'QTR P&amp;L'!L2,"")</f>
        <v/>
      </c>
      <c r="J16" s="11">
        <f>IFERROR('QTR BS'!J17/'QTR P&amp;L'!M2,"")</f>
        <v/>
      </c>
      <c r="K16" s="11">
        <f>IFERROR('QTR BS'!K17/'QTR P&amp;L'!N2,"")</f>
        <v/>
      </c>
      <c r="L16" s="11">
        <f>IFERROR('QTR BS'!L17/'QTR P&amp;L'!O2,"")</f>
        <v/>
      </c>
      <c r="M16" s="11">
        <f>IFERROR('QTR BS'!M17/'QTR P&amp;L'!P2,"")</f>
        <v/>
      </c>
      <c r="N16" s="11">
        <f>IFERROR('QTR BS'!N17/'QTR P&amp;L'!Q2,"")</f>
        <v/>
      </c>
      <c r="O16" s="12">
        <f>N16</f>
        <v/>
      </c>
      <c r="P16" s="12">
        <f>O16</f>
        <v/>
      </c>
      <c r="Q16" s="12">
        <f>P16</f>
        <v/>
      </c>
      <c r="R16" s="12">
        <f>Q16</f>
        <v/>
      </c>
      <c r="S16" s="12">
        <f>R16</f>
        <v/>
      </c>
      <c r="T16" s="12">
        <f>S16</f>
        <v/>
      </c>
      <c r="U16" s="12">
        <f>T16</f>
        <v/>
      </c>
      <c r="V16" s="12">
        <f>U16</f>
        <v/>
      </c>
      <c r="W16" s="12">
        <f>V16</f>
        <v/>
      </c>
      <c r="X16" s="12">
        <f>W16</f>
        <v/>
      </c>
      <c r="Y16" s="12">
        <f>X16</f>
        <v/>
      </c>
      <c r="Z16" s="12">
        <f>Y16</f>
        <v/>
      </c>
      <c r="AA16" s="12">
        <f>Z16</f>
        <v/>
      </c>
      <c r="AB16" s="12">
        <f>AA16</f>
        <v/>
      </c>
      <c r="AC16" s="12">
        <f>AB16</f>
        <v/>
      </c>
      <c r="AD16" s="12">
        <f>AC16</f>
        <v/>
      </c>
      <c r="AE16" s="12">
        <f>AD16</f>
        <v/>
      </c>
      <c r="AF16" s="12">
        <f>AE16</f>
        <v/>
      </c>
      <c r="AG16" s="12">
        <f>AF16</f>
        <v/>
      </c>
      <c r="AH16" s="12">
        <f>AG16</f>
        <v/>
      </c>
    </row>
    <row r="17">
      <c r="A17" s="3" t="inlineStr">
        <is>
          <t>Other Non-Current Assets — % of Revenue</t>
        </is>
      </c>
      <c r="B17" s="11">
        <f>IFERROR('QTR BS'!B18/'QTR P&amp;L'!E2,"")</f>
        <v/>
      </c>
      <c r="C17" s="11">
        <f>IFERROR('QTR BS'!C18/'QTR P&amp;L'!F2,"")</f>
        <v/>
      </c>
      <c r="D17" s="11">
        <f>IFERROR('QTR BS'!D18/'QTR P&amp;L'!G2,"")</f>
        <v/>
      </c>
      <c r="E17" s="11">
        <f>IFERROR('QTR BS'!E18/'QTR P&amp;L'!H2,"")</f>
        <v/>
      </c>
      <c r="F17" s="11">
        <f>IFERROR('QTR BS'!F18/'QTR P&amp;L'!I2,"")</f>
        <v/>
      </c>
      <c r="G17" s="11">
        <f>IFERROR('QTR BS'!G18/'QTR P&amp;L'!J2,"")</f>
        <v/>
      </c>
      <c r="H17" s="11">
        <f>IFERROR('QTR BS'!H18/'QTR P&amp;L'!K2,"")</f>
        <v/>
      </c>
      <c r="I17" s="11">
        <f>IFERROR('QTR BS'!I18/'QTR P&amp;L'!L2,"")</f>
        <v/>
      </c>
      <c r="J17" s="11">
        <f>IFERROR('QTR BS'!J18/'QTR P&amp;L'!M2,"")</f>
        <v/>
      </c>
      <c r="K17" s="11">
        <f>IFERROR('QTR BS'!K18/'QTR P&amp;L'!N2,"")</f>
        <v/>
      </c>
      <c r="L17" s="11">
        <f>IFERROR('QTR BS'!L18/'QTR P&amp;L'!O2,"")</f>
        <v/>
      </c>
      <c r="M17" s="11">
        <f>IFERROR('QTR BS'!M18/'QTR P&amp;L'!P2,"")</f>
        <v/>
      </c>
      <c r="N17" s="11">
        <f>IFERROR('QTR BS'!N18/'QTR P&amp;L'!Q2,"")</f>
        <v/>
      </c>
      <c r="O17" s="12">
        <f>N17</f>
        <v/>
      </c>
      <c r="P17" s="12">
        <f>O17</f>
        <v/>
      </c>
      <c r="Q17" s="12">
        <f>P17</f>
        <v/>
      </c>
      <c r="R17" s="12">
        <f>Q17</f>
        <v/>
      </c>
      <c r="S17" s="12">
        <f>R17</f>
        <v/>
      </c>
      <c r="T17" s="12">
        <f>S17</f>
        <v/>
      </c>
      <c r="U17" s="12">
        <f>T17</f>
        <v/>
      </c>
      <c r="V17" s="12">
        <f>U17</f>
        <v/>
      </c>
      <c r="W17" s="12">
        <f>V17</f>
        <v/>
      </c>
      <c r="X17" s="12">
        <f>W17</f>
        <v/>
      </c>
      <c r="Y17" s="12">
        <f>X17</f>
        <v/>
      </c>
      <c r="Z17" s="12">
        <f>Y17</f>
        <v/>
      </c>
      <c r="AA17" s="12">
        <f>Z17</f>
        <v/>
      </c>
      <c r="AB17" s="12">
        <f>AA17</f>
        <v/>
      </c>
      <c r="AC17" s="12">
        <f>AB17</f>
        <v/>
      </c>
      <c r="AD17" s="12">
        <f>AC17</f>
        <v/>
      </c>
      <c r="AE17" s="12">
        <f>AD17</f>
        <v/>
      </c>
      <c r="AF17" s="12">
        <f>AE17</f>
        <v/>
      </c>
      <c r="AG17" s="12">
        <f>AF17</f>
        <v/>
      </c>
      <c r="AH17" s="12">
        <f>AG17</f>
        <v/>
      </c>
    </row>
    <row r="18">
      <c r="A18" s="3" t="inlineStr">
        <is>
          <t>Accounts Payable — DPO (days)</t>
        </is>
      </c>
      <c r="B18" s="14">
        <f>IFERROR('QTR BS'!B20/'QTR P&amp;L'!E3*ASSUMPTIONS!$B$2,"")</f>
        <v/>
      </c>
      <c r="C18" s="14">
        <f>IFERROR('QTR BS'!C20/'QTR P&amp;L'!F3*ASSUMPTIONS!$B$2,"")</f>
        <v/>
      </c>
      <c r="D18" s="14">
        <f>IFERROR('QTR BS'!D20/'QTR P&amp;L'!G3*ASSUMPTIONS!$B$2,"")</f>
        <v/>
      </c>
      <c r="E18" s="14">
        <f>IFERROR('QTR BS'!E20/'QTR P&amp;L'!H3*ASSUMPTIONS!$B$2,"")</f>
        <v/>
      </c>
      <c r="F18" s="14">
        <f>IFERROR('QTR BS'!F20/'QTR P&amp;L'!I3*ASSUMPTIONS!$B$2,"")</f>
        <v/>
      </c>
      <c r="G18" s="14">
        <f>IFERROR('QTR BS'!G20/'QTR P&amp;L'!J3*ASSUMPTIONS!$B$2,"")</f>
        <v/>
      </c>
      <c r="H18" s="14">
        <f>IFERROR('QTR BS'!H20/'QTR P&amp;L'!K3*ASSUMPTIONS!$B$2,"")</f>
        <v/>
      </c>
      <c r="I18" s="14">
        <f>IFERROR('QTR BS'!I20/'QTR P&amp;L'!L3*ASSUMPTIONS!$B$2,"")</f>
        <v/>
      </c>
      <c r="J18" s="14">
        <f>IFERROR('QTR BS'!J20/'QTR P&amp;L'!M3*ASSUMPTIONS!$B$2,"")</f>
        <v/>
      </c>
      <c r="K18" s="14">
        <f>IFERROR('QTR BS'!K20/'QTR P&amp;L'!N3*ASSUMPTIONS!$B$2,"")</f>
        <v/>
      </c>
      <c r="L18" s="14">
        <f>IFERROR('QTR BS'!L20/'QTR P&amp;L'!O3*ASSUMPTIONS!$B$2,"")</f>
        <v/>
      </c>
      <c r="M18" s="14">
        <f>IFERROR('QTR BS'!M20/'QTR P&amp;L'!P3*ASSUMPTIONS!$B$2,"")</f>
        <v/>
      </c>
      <c r="N18" s="14">
        <f>IFERROR('QTR BS'!N20/'QTR P&amp;L'!Q3*ASSUMPTIONS!$B$2,"")</f>
        <v/>
      </c>
      <c r="O18" s="15">
        <f>N18</f>
        <v/>
      </c>
      <c r="P18" s="15">
        <f>O18</f>
        <v/>
      </c>
      <c r="Q18" s="15">
        <f>P18</f>
        <v/>
      </c>
      <c r="R18" s="15">
        <f>Q18</f>
        <v/>
      </c>
      <c r="S18" s="15">
        <f>R18</f>
        <v/>
      </c>
      <c r="T18" s="15">
        <f>S18</f>
        <v/>
      </c>
      <c r="U18" s="15">
        <f>T18</f>
        <v/>
      </c>
      <c r="V18" s="15">
        <f>U18</f>
        <v/>
      </c>
      <c r="W18" s="15">
        <f>V18</f>
        <v/>
      </c>
      <c r="X18" s="15">
        <f>W18</f>
        <v/>
      </c>
      <c r="Y18" s="15">
        <f>X18</f>
        <v/>
      </c>
      <c r="Z18" s="15">
        <f>Y18</f>
        <v/>
      </c>
      <c r="AA18" s="15">
        <f>Z18</f>
        <v/>
      </c>
      <c r="AB18" s="15">
        <f>AA18</f>
        <v/>
      </c>
      <c r="AC18" s="15">
        <f>AB18</f>
        <v/>
      </c>
      <c r="AD18" s="15">
        <f>AC18</f>
        <v/>
      </c>
      <c r="AE18" s="15">
        <f>AD18</f>
        <v/>
      </c>
      <c r="AF18" s="15">
        <f>AE18</f>
        <v/>
      </c>
      <c r="AG18" s="15">
        <f>AF18</f>
        <v/>
      </c>
      <c r="AH18" s="15">
        <f>AG18</f>
        <v/>
      </c>
    </row>
    <row r="19">
      <c r="A19" s="3" t="inlineStr">
        <is>
          <t>Accrued Expenses — % of Revenue</t>
        </is>
      </c>
      <c r="B19" s="11">
        <f>IFERROR('QTR BS'!B21/'QTR P&amp;L'!E2,"")</f>
        <v/>
      </c>
      <c r="C19" s="11">
        <f>IFERROR('QTR BS'!C21/'QTR P&amp;L'!F2,"")</f>
        <v/>
      </c>
      <c r="D19" s="11">
        <f>IFERROR('QTR BS'!D21/'QTR P&amp;L'!G2,"")</f>
        <v/>
      </c>
      <c r="E19" s="11">
        <f>IFERROR('QTR BS'!E21/'QTR P&amp;L'!H2,"")</f>
        <v/>
      </c>
      <c r="F19" s="11">
        <f>IFERROR('QTR BS'!F21/'QTR P&amp;L'!I2,"")</f>
        <v/>
      </c>
      <c r="G19" s="11">
        <f>IFERROR('QTR BS'!G21/'QTR P&amp;L'!J2,"")</f>
        <v/>
      </c>
      <c r="H19" s="11">
        <f>IFERROR('QTR BS'!H21/'QTR P&amp;L'!K2,"")</f>
        <v/>
      </c>
      <c r="I19" s="11">
        <f>IFERROR('QTR BS'!I21/'QTR P&amp;L'!L2,"")</f>
        <v/>
      </c>
      <c r="J19" s="11">
        <f>IFERROR('QTR BS'!J21/'QTR P&amp;L'!M2,"")</f>
        <v/>
      </c>
      <c r="K19" s="11">
        <f>IFERROR('QTR BS'!K21/'QTR P&amp;L'!N2,"")</f>
        <v/>
      </c>
      <c r="L19" s="11">
        <f>IFERROR('QTR BS'!L21/'QTR P&amp;L'!O2,"")</f>
        <v/>
      </c>
      <c r="M19" s="11">
        <f>IFERROR('QTR BS'!M21/'QTR P&amp;L'!P2,"")</f>
        <v/>
      </c>
      <c r="N19" s="11">
        <f>IFERROR('QTR BS'!N21/'QTR P&amp;L'!Q2,"")</f>
        <v/>
      </c>
      <c r="O19" s="12">
        <f>N19</f>
        <v/>
      </c>
      <c r="P19" s="12">
        <f>O19</f>
        <v/>
      </c>
      <c r="Q19" s="12">
        <f>P19</f>
        <v/>
      </c>
      <c r="R19" s="12">
        <f>Q19</f>
        <v/>
      </c>
      <c r="S19" s="12">
        <f>R19</f>
        <v/>
      </c>
      <c r="T19" s="12">
        <f>S19</f>
        <v/>
      </c>
      <c r="U19" s="12">
        <f>T19</f>
        <v/>
      </c>
      <c r="V19" s="12">
        <f>U19</f>
        <v/>
      </c>
      <c r="W19" s="12">
        <f>V19</f>
        <v/>
      </c>
      <c r="X19" s="12">
        <f>W19</f>
        <v/>
      </c>
      <c r="Y19" s="12">
        <f>X19</f>
        <v/>
      </c>
      <c r="Z19" s="12">
        <f>Y19</f>
        <v/>
      </c>
      <c r="AA19" s="12">
        <f>Z19</f>
        <v/>
      </c>
      <c r="AB19" s="12">
        <f>AA19</f>
        <v/>
      </c>
      <c r="AC19" s="12">
        <f>AB19</f>
        <v/>
      </c>
      <c r="AD19" s="12">
        <f>AC19</f>
        <v/>
      </c>
      <c r="AE19" s="12">
        <f>AD19</f>
        <v/>
      </c>
      <c r="AF19" s="12">
        <f>AE19</f>
        <v/>
      </c>
      <c r="AG19" s="12">
        <f>AF19</f>
        <v/>
      </c>
      <c r="AH19" s="12">
        <f>AG19</f>
        <v/>
      </c>
    </row>
    <row r="20">
      <c r="A20" s="3" t="inlineStr">
        <is>
          <t>Income Taxes Payable — % of Revenue</t>
        </is>
      </c>
      <c r="B20" s="11">
        <f>IFERROR('QTR BS'!B22/'QTR P&amp;L'!E2,"")</f>
        <v/>
      </c>
      <c r="C20" s="11">
        <f>IFERROR('QTR BS'!C22/'QTR P&amp;L'!F2,"")</f>
        <v/>
      </c>
      <c r="D20" s="11">
        <f>IFERROR('QTR BS'!D22/'QTR P&amp;L'!G2,"")</f>
        <v/>
      </c>
      <c r="E20" s="11">
        <f>IFERROR('QTR BS'!E22/'QTR P&amp;L'!H2,"")</f>
        <v/>
      </c>
      <c r="F20" s="11">
        <f>IFERROR('QTR BS'!F22/'QTR P&amp;L'!I2,"")</f>
        <v/>
      </c>
      <c r="G20" s="11">
        <f>IFERROR('QTR BS'!G22/'QTR P&amp;L'!J2,"")</f>
        <v/>
      </c>
      <c r="H20" s="11">
        <f>IFERROR('QTR BS'!H22/'QTR P&amp;L'!K2,"")</f>
        <v/>
      </c>
      <c r="I20" s="11">
        <f>IFERROR('QTR BS'!I22/'QTR P&amp;L'!L2,"")</f>
        <v/>
      </c>
      <c r="J20" s="11">
        <f>IFERROR('QTR BS'!J22/'QTR P&amp;L'!M2,"")</f>
        <v/>
      </c>
      <c r="K20" s="11">
        <f>IFERROR('QTR BS'!K22/'QTR P&amp;L'!N2,"")</f>
        <v/>
      </c>
      <c r="L20" s="11">
        <f>IFERROR('QTR BS'!L22/'QTR P&amp;L'!O2,"")</f>
        <v/>
      </c>
      <c r="M20" s="11">
        <f>IFERROR('QTR BS'!M22/'QTR P&amp;L'!P2,"")</f>
        <v/>
      </c>
      <c r="N20" s="11">
        <f>IFERROR('QTR BS'!N22/'QTR P&amp;L'!Q2,"")</f>
        <v/>
      </c>
      <c r="O20" s="12">
        <f>N20</f>
        <v/>
      </c>
      <c r="P20" s="12">
        <f>O20</f>
        <v/>
      </c>
      <c r="Q20" s="12">
        <f>P20</f>
        <v/>
      </c>
      <c r="R20" s="12">
        <f>Q20</f>
        <v/>
      </c>
      <c r="S20" s="12">
        <f>R20</f>
        <v/>
      </c>
      <c r="T20" s="12">
        <f>S20</f>
        <v/>
      </c>
      <c r="U20" s="12">
        <f>T20</f>
        <v/>
      </c>
      <c r="V20" s="12">
        <f>U20</f>
        <v/>
      </c>
      <c r="W20" s="12">
        <f>V20</f>
        <v/>
      </c>
      <c r="X20" s="12">
        <f>W20</f>
        <v/>
      </c>
      <c r="Y20" s="12">
        <f>X20</f>
        <v/>
      </c>
      <c r="Z20" s="12">
        <f>Y20</f>
        <v/>
      </c>
      <c r="AA20" s="12">
        <f>Z20</f>
        <v/>
      </c>
      <c r="AB20" s="12">
        <f>AA20</f>
        <v/>
      </c>
      <c r="AC20" s="12">
        <f>AB20</f>
        <v/>
      </c>
      <c r="AD20" s="12">
        <f>AC20</f>
        <v/>
      </c>
      <c r="AE20" s="12">
        <f>AD20</f>
        <v/>
      </c>
      <c r="AF20" s="12">
        <f>AE20</f>
        <v/>
      </c>
      <c r="AG20" s="12">
        <f>AF20</f>
        <v/>
      </c>
      <c r="AH20" s="12">
        <f>AG20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  <c r="AE21" s="13" t="n">
        <v>0</v>
      </c>
      <c r="AF21" s="13" t="n">
        <v>0</v>
      </c>
      <c r="AG21" s="13" t="n">
        <v>0</v>
      </c>
      <c r="AH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P&amp;L'!E2,"")</f>
        <v/>
      </c>
      <c r="C22" s="11">
        <f>IFERROR('QTR BS'!C24/'QTR P&amp;L'!F2,"")</f>
        <v/>
      </c>
      <c r="D22" s="11">
        <f>IFERROR('QTR BS'!D24/'QTR P&amp;L'!G2,"")</f>
        <v/>
      </c>
      <c r="E22" s="11">
        <f>IFERROR('QTR BS'!E24/'QTR P&amp;L'!H2,"")</f>
        <v/>
      </c>
      <c r="F22" s="11">
        <f>IFERROR('QTR BS'!F24/'QTR P&amp;L'!I2,"")</f>
        <v/>
      </c>
      <c r="G22" s="11">
        <f>IFERROR('QTR BS'!G24/'QTR P&amp;L'!J2,"")</f>
        <v/>
      </c>
      <c r="H22" s="11">
        <f>IFERROR('QTR BS'!H24/'QTR P&amp;L'!K2,"")</f>
        <v/>
      </c>
      <c r="I22" s="11">
        <f>IFERROR('QTR BS'!I24/'QTR P&amp;L'!L2,"")</f>
        <v/>
      </c>
      <c r="J22" s="11">
        <f>IFERROR('QTR BS'!J24/'QTR P&amp;L'!M2,"")</f>
        <v/>
      </c>
      <c r="K22" s="11">
        <f>IFERROR('QTR BS'!K24/'QTR P&amp;L'!N2,"")</f>
        <v/>
      </c>
      <c r="L22" s="11">
        <f>IFERROR('QTR BS'!L24/'QTR P&amp;L'!O2,"")</f>
        <v/>
      </c>
      <c r="M22" s="11">
        <f>IFERROR('QTR BS'!M24/'QTR P&amp;L'!P2,"")</f>
        <v/>
      </c>
      <c r="N22" s="11">
        <f>IFERROR('QTR BS'!N24/'QTR P&amp;L'!Q2,"")</f>
        <v/>
      </c>
      <c r="O22" s="12" t="n">
        <v>0.3</v>
      </c>
      <c r="P22" s="12">
        <f>O22</f>
        <v/>
      </c>
      <c r="Q22" s="12">
        <f>P22</f>
        <v/>
      </c>
      <c r="R22" s="12">
        <f>Q22</f>
        <v/>
      </c>
      <c r="S22" s="12">
        <f>R22</f>
        <v/>
      </c>
      <c r="T22" s="12">
        <f>S22</f>
        <v/>
      </c>
      <c r="U22" s="12">
        <f>T22</f>
        <v/>
      </c>
      <c r="V22" s="12">
        <f>U22</f>
        <v/>
      </c>
      <c r="W22" s="12">
        <f>V22</f>
        <v/>
      </c>
      <c r="X22" s="12">
        <f>W22</f>
        <v/>
      </c>
      <c r="Y22" s="12">
        <f>X22</f>
        <v/>
      </c>
      <c r="Z22" s="12">
        <f>Y22</f>
        <v/>
      </c>
      <c r="AA22" s="12">
        <f>Z22</f>
        <v/>
      </c>
      <c r="AB22" s="12">
        <f>AA22</f>
        <v/>
      </c>
      <c r="AC22" s="12">
        <f>AB22</f>
        <v/>
      </c>
      <c r="AD22" s="12">
        <f>AC22</f>
        <v/>
      </c>
      <c r="AE22" s="12">
        <f>AD22</f>
        <v/>
      </c>
      <c r="AF22" s="12">
        <f>AE22</f>
        <v/>
      </c>
      <c r="AG22" s="12">
        <f>AF22</f>
        <v/>
      </c>
      <c r="AH22" s="12">
        <f>AG22</f>
        <v/>
      </c>
    </row>
    <row r="23">
      <c r="A23" s="3" t="inlineStr">
        <is>
          <t>Lease Liability - Operating - Current — % of Revenue</t>
        </is>
      </c>
      <c r="B23" s="11">
        <f>IFERROR('QTR BS'!B25/'QTR P&amp;L'!E2,"")</f>
        <v/>
      </c>
      <c r="C23" s="11">
        <f>IFERROR('QTR BS'!C25/'QTR P&amp;L'!F2,"")</f>
        <v/>
      </c>
      <c r="D23" s="11">
        <f>IFERROR('QTR BS'!D25/'QTR P&amp;L'!G2,"")</f>
        <v/>
      </c>
      <c r="E23" s="11">
        <f>IFERROR('QTR BS'!E25/'QTR P&amp;L'!H2,"")</f>
        <v/>
      </c>
      <c r="F23" s="11">
        <f>IFERROR('QTR BS'!F25/'QTR P&amp;L'!I2,"")</f>
        <v/>
      </c>
      <c r="G23" s="11">
        <f>IFERROR('QTR BS'!G25/'QTR P&amp;L'!J2,"")</f>
        <v/>
      </c>
      <c r="H23" s="11">
        <f>IFERROR('QTR BS'!H25/'QTR P&amp;L'!K2,"")</f>
        <v/>
      </c>
      <c r="I23" s="11">
        <f>IFERROR('QTR BS'!I25/'QTR P&amp;L'!L2,"")</f>
        <v/>
      </c>
      <c r="J23" s="11">
        <f>IFERROR('QTR BS'!J25/'QTR P&amp;L'!M2,"")</f>
        <v/>
      </c>
      <c r="K23" s="11">
        <f>IFERROR('QTR BS'!K25/'QTR P&amp;L'!N2,"")</f>
        <v/>
      </c>
      <c r="L23" s="11">
        <f>IFERROR('QTR BS'!L25/'QTR P&amp;L'!O2,"")</f>
        <v/>
      </c>
      <c r="M23" s="11">
        <f>IFERROR('QTR BS'!M25/'QTR P&amp;L'!P2,"")</f>
        <v/>
      </c>
      <c r="N23" s="11">
        <f>IFERROR('QTR BS'!N25/'QTR P&amp;L'!Q2,"")</f>
        <v/>
      </c>
      <c r="O23" s="12">
        <f>N23</f>
        <v/>
      </c>
      <c r="P23" s="12">
        <f>O23</f>
        <v/>
      </c>
      <c r="Q23" s="12">
        <f>P23</f>
        <v/>
      </c>
      <c r="R23" s="12">
        <f>Q23</f>
        <v/>
      </c>
      <c r="S23" s="12">
        <f>R23</f>
        <v/>
      </c>
      <c r="T23" s="12">
        <f>S23</f>
        <v/>
      </c>
      <c r="U23" s="12">
        <f>T23</f>
        <v/>
      </c>
      <c r="V23" s="12">
        <f>U23</f>
        <v/>
      </c>
      <c r="W23" s="12">
        <f>V23</f>
        <v/>
      </c>
      <c r="X23" s="12">
        <f>W23</f>
        <v/>
      </c>
      <c r="Y23" s="12">
        <f>X23</f>
        <v/>
      </c>
      <c r="Z23" s="12">
        <f>Y23</f>
        <v/>
      </c>
      <c r="AA23" s="12">
        <f>Z23</f>
        <v/>
      </c>
      <c r="AB23" s="12">
        <f>AA23</f>
        <v/>
      </c>
      <c r="AC23" s="12">
        <f>AB23</f>
        <v/>
      </c>
      <c r="AD23" s="12">
        <f>AC23</f>
        <v/>
      </c>
      <c r="AE23" s="12">
        <f>AD23</f>
        <v/>
      </c>
      <c r="AF23" s="12">
        <f>AE23</f>
        <v/>
      </c>
      <c r="AG23" s="12">
        <f>AF23</f>
        <v/>
      </c>
      <c r="AH23" s="12">
        <f>AG23</f>
        <v/>
      </c>
    </row>
    <row r="24">
      <c r="A24" s="3" t="inlineStr">
        <is>
          <t>Lease Liability - Finance - Current — % of Revenue</t>
        </is>
      </c>
      <c r="B24" s="11">
        <f>IFERROR('QTR BS'!B26/'QTR P&amp;L'!E2,"")</f>
        <v/>
      </c>
      <c r="C24" s="11">
        <f>IFERROR('QTR BS'!C26/'QTR P&amp;L'!F2,"")</f>
        <v/>
      </c>
      <c r="D24" s="11">
        <f>IFERROR('QTR BS'!D26/'QTR P&amp;L'!G2,"")</f>
        <v/>
      </c>
      <c r="E24" s="11">
        <f>IFERROR('QTR BS'!E26/'QTR P&amp;L'!H2,"")</f>
        <v/>
      </c>
      <c r="F24" s="11">
        <f>IFERROR('QTR BS'!F26/'QTR P&amp;L'!I2,"")</f>
        <v/>
      </c>
      <c r="G24" s="11">
        <f>IFERROR('QTR BS'!G26/'QTR P&amp;L'!J2,"")</f>
        <v/>
      </c>
      <c r="H24" s="11">
        <f>IFERROR('QTR BS'!H26/'QTR P&amp;L'!K2,"")</f>
        <v/>
      </c>
      <c r="I24" s="11">
        <f>IFERROR('QTR BS'!I26/'QTR P&amp;L'!L2,"")</f>
        <v/>
      </c>
      <c r="J24" s="11">
        <f>IFERROR('QTR BS'!J26/'QTR P&amp;L'!M2,"")</f>
        <v/>
      </c>
      <c r="K24" s="11">
        <f>IFERROR('QTR BS'!K26/'QTR P&amp;L'!N2,"")</f>
        <v/>
      </c>
      <c r="L24" s="11">
        <f>IFERROR('QTR BS'!L26/'QTR P&amp;L'!O2,"")</f>
        <v/>
      </c>
      <c r="M24" s="11">
        <f>IFERROR('QTR BS'!M26/'QTR P&amp;L'!P2,"")</f>
        <v/>
      </c>
      <c r="N24" s="11">
        <f>IFERROR('QTR BS'!N26/'QTR P&amp;L'!Q2,"")</f>
        <v/>
      </c>
      <c r="O24" s="12">
        <f>N24</f>
        <v/>
      </c>
      <c r="P24" s="12">
        <f>O24</f>
        <v/>
      </c>
      <c r="Q24" s="12">
        <f>P24</f>
        <v/>
      </c>
      <c r="R24" s="12">
        <f>Q24</f>
        <v/>
      </c>
      <c r="S24" s="12">
        <f>R24</f>
        <v/>
      </c>
      <c r="T24" s="12">
        <f>S24</f>
        <v/>
      </c>
      <c r="U24" s="12">
        <f>T24</f>
        <v/>
      </c>
      <c r="V24" s="12">
        <f>U24</f>
        <v/>
      </c>
      <c r="W24" s="12">
        <f>V24</f>
        <v/>
      </c>
      <c r="X24" s="12">
        <f>W24</f>
        <v/>
      </c>
      <c r="Y24" s="12">
        <f>X24</f>
        <v/>
      </c>
      <c r="Z24" s="12">
        <f>Y24</f>
        <v/>
      </c>
      <c r="AA24" s="12">
        <f>Z24</f>
        <v/>
      </c>
      <c r="AB24" s="12">
        <f>AA24</f>
        <v/>
      </c>
      <c r="AC24" s="12">
        <f>AB24</f>
        <v/>
      </c>
      <c r="AD24" s="12">
        <f>AC24</f>
        <v/>
      </c>
      <c r="AE24" s="12">
        <f>AD24</f>
        <v/>
      </c>
      <c r="AF24" s="12">
        <f>AE24</f>
        <v/>
      </c>
      <c r="AG24" s="12">
        <f>AF24</f>
        <v/>
      </c>
      <c r="AH24" s="12">
        <f>AG24</f>
        <v/>
      </c>
    </row>
    <row r="25">
      <c r="A25" s="3" t="inlineStr">
        <is>
          <t>Contingent Consideration - Current — % of Revenue</t>
        </is>
      </c>
      <c r="B25" s="11">
        <f>IFERROR('QTR BS'!B27/'QTR P&amp;L'!E2,"")</f>
        <v/>
      </c>
      <c r="C25" s="11">
        <f>IFERROR('QTR BS'!C27/'QTR P&amp;L'!F2,"")</f>
        <v/>
      </c>
      <c r="D25" s="11">
        <f>IFERROR('QTR BS'!D27/'QTR P&amp;L'!G2,"")</f>
        <v/>
      </c>
      <c r="E25" s="11">
        <f>IFERROR('QTR BS'!E27/'QTR P&amp;L'!H2,"")</f>
        <v/>
      </c>
      <c r="F25" s="11">
        <f>IFERROR('QTR BS'!F27/'QTR P&amp;L'!I2,"")</f>
        <v/>
      </c>
      <c r="G25" s="11">
        <f>IFERROR('QTR BS'!G27/'QTR P&amp;L'!J2,"")</f>
        <v/>
      </c>
      <c r="H25" s="11">
        <f>IFERROR('QTR BS'!H27/'QTR P&amp;L'!K2,"")</f>
        <v/>
      </c>
      <c r="I25" s="11">
        <f>IFERROR('QTR BS'!I27/'QTR P&amp;L'!L2,"")</f>
        <v/>
      </c>
      <c r="J25" s="11">
        <f>IFERROR('QTR BS'!J27/'QTR P&amp;L'!M2,"")</f>
        <v/>
      </c>
      <c r="K25" s="11">
        <f>IFERROR('QTR BS'!K27/'QTR P&amp;L'!N2,"")</f>
        <v/>
      </c>
      <c r="L25" s="11">
        <f>IFERROR('QTR BS'!L27/'QTR P&amp;L'!O2,"")</f>
        <v/>
      </c>
      <c r="M25" s="11">
        <f>IFERROR('QTR BS'!M27/'QTR P&amp;L'!P2,"")</f>
        <v/>
      </c>
      <c r="N25" s="11">
        <f>IFERROR('QTR BS'!N27/'QTR P&amp;L'!Q2,"")</f>
        <v/>
      </c>
      <c r="O25" s="12">
        <f>N25</f>
        <v/>
      </c>
      <c r="P25" s="12">
        <f>O25</f>
        <v/>
      </c>
      <c r="Q25" s="12">
        <f>P25</f>
        <v/>
      </c>
      <c r="R25" s="12">
        <f>Q25</f>
        <v/>
      </c>
      <c r="S25" s="12">
        <f>R25</f>
        <v/>
      </c>
      <c r="T25" s="12">
        <f>S25</f>
        <v/>
      </c>
      <c r="U25" s="12">
        <f>T25</f>
        <v/>
      </c>
      <c r="V25" s="12">
        <f>U25</f>
        <v/>
      </c>
      <c r="W25" s="12">
        <f>V25</f>
        <v/>
      </c>
      <c r="X25" s="12">
        <f>W25</f>
        <v/>
      </c>
      <c r="Y25" s="12">
        <f>X25</f>
        <v/>
      </c>
      <c r="Z25" s="12">
        <f>Y25</f>
        <v/>
      </c>
      <c r="AA25" s="12">
        <f>Z25</f>
        <v/>
      </c>
      <c r="AB25" s="12">
        <f>AA25</f>
        <v/>
      </c>
      <c r="AC25" s="12">
        <f>AB25</f>
        <v/>
      </c>
      <c r="AD25" s="12">
        <f>AC25</f>
        <v/>
      </c>
      <c r="AE25" s="12">
        <f>AD25</f>
        <v/>
      </c>
      <c r="AF25" s="12">
        <f>AE25</f>
        <v/>
      </c>
      <c r="AG25" s="12">
        <f>AF25</f>
        <v/>
      </c>
      <c r="AH25" s="12">
        <f>AG25</f>
        <v/>
      </c>
    </row>
    <row r="26">
      <c r="A26" s="3" t="inlineStr">
        <is>
          <t>Deferred Revenue - Current — % of Revenue</t>
        </is>
      </c>
      <c r="B26" s="11">
        <f>IFERROR('QTR BS'!B28/'QTR P&amp;L'!E2,"")</f>
        <v/>
      </c>
      <c r="C26" s="11">
        <f>IFERROR('QTR BS'!C28/'QTR P&amp;L'!F2,"")</f>
        <v/>
      </c>
      <c r="D26" s="11">
        <f>IFERROR('QTR BS'!D28/'QTR P&amp;L'!G2,"")</f>
        <v/>
      </c>
      <c r="E26" s="11">
        <f>IFERROR('QTR BS'!E28/'QTR P&amp;L'!H2,"")</f>
        <v/>
      </c>
      <c r="F26" s="11">
        <f>IFERROR('QTR BS'!F28/'QTR P&amp;L'!I2,"")</f>
        <v/>
      </c>
      <c r="G26" s="11">
        <f>IFERROR('QTR BS'!G28/'QTR P&amp;L'!J2,"")</f>
        <v/>
      </c>
      <c r="H26" s="11">
        <f>IFERROR('QTR BS'!H28/'QTR P&amp;L'!K2,"")</f>
        <v/>
      </c>
      <c r="I26" s="11">
        <f>IFERROR('QTR BS'!I28/'QTR P&amp;L'!L2,"")</f>
        <v/>
      </c>
      <c r="J26" s="11">
        <f>IFERROR('QTR BS'!J28/'QTR P&amp;L'!M2,"")</f>
        <v/>
      </c>
      <c r="K26" s="11">
        <f>IFERROR('QTR BS'!K28/'QTR P&amp;L'!N2,"")</f>
        <v/>
      </c>
      <c r="L26" s="11">
        <f>IFERROR('QTR BS'!L28/'QTR P&amp;L'!O2,"")</f>
        <v/>
      </c>
      <c r="M26" s="11">
        <f>IFERROR('QTR BS'!M28/'QTR P&amp;L'!P2,"")</f>
        <v/>
      </c>
      <c r="N26" s="11">
        <f>IFERROR('QTR BS'!N28/'QTR P&amp;L'!Q2,"")</f>
        <v/>
      </c>
      <c r="O26" s="12">
        <f>N26</f>
        <v/>
      </c>
      <c r="P26" s="12">
        <f>O26</f>
        <v/>
      </c>
      <c r="Q26" s="12">
        <f>P26</f>
        <v/>
      </c>
      <c r="R26" s="12">
        <f>Q26</f>
        <v/>
      </c>
      <c r="S26" s="12">
        <f>R26</f>
        <v/>
      </c>
      <c r="T26" s="12">
        <f>S26</f>
        <v/>
      </c>
      <c r="U26" s="12">
        <f>T26</f>
        <v/>
      </c>
      <c r="V26" s="12">
        <f>U26</f>
        <v/>
      </c>
      <c r="W26" s="12">
        <f>V26</f>
        <v/>
      </c>
      <c r="X26" s="12">
        <f>W26</f>
        <v/>
      </c>
      <c r="Y26" s="12">
        <f>X26</f>
        <v/>
      </c>
      <c r="Z26" s="12">
        <f>Y26</f>
        <v/>
      </c>
      <c r="AA26" s="12">
        <f>Z26</f>
        <v/>
      </c>
      <c r="AB26" s="12">
        <f>AA26</f>
        <v/>
      </c>
      <c r="AC26" s="12">
        <f>AB26</f>
        <v/>
      </c>
      <c r="AD26" s="12">
        <f>AC26</f>
        <v/>
      </c>
      <c r="AE26" s="12">
        <f>AD26</f>
        <v/>
      </c>
      <c r="AF26" s="12">
        <f>AE26</f>
        <v/>
      </c>
      <c r="AG26" s="12">
        <f>AF26</f>
        <v/>
      </c>
      <c r="AH26" s="12">
        <f>AG26</f>
        <v/>
      </c>
    </row>
    <row r="27">
      <c r="A27" s="3" t="inlineStr">
        <is>
          <t>Other Current Liabilities — % of Revenue</t>
        </is>
      </c>
      <c r="B27" s="11">
        <f>IFERROR('QTR BS'!B29/'QTR P&amp;L'!E2,"")</f>
        <v/>
      </c>
      <c r="C27" s="11">
        <f>IFERROR('QTR BS'!C29/'QTR P&amp;L'!F2,"")</f>
        <v/>
      </c>
      <c r="D27" s="11">
        <f>IFERROR('QTR BS'!D29/'QTR P&amp;L'!G2,"")</f>
        <v/>
      </c>
      <c r="E27" s="11">
        <f>IFERROR('QTR BS'!E29/'QTR P&amp;L'!H2,"")</f>
        <v/>
      </c>
      <c r="F27" s="11">
        <f>IFERROR('QTR BS'!F29/'QTR P&amp;L'!I2,"")</f>
        <v/>
      </c>
      <c r="G27" s="11">
        <f>IFERROR('QTR BS'!G29/'QTR P&amp;L'!J2,"")</f>
        <v/>
      </c>
      <c r="H27" s="11">
        <f>IFERROR('QTR BS'!H29/'QTR P&amp;L'!K2,"")</f>
        <v/>
      </c>
      <c r="I27" s="11">
        <f>IFERROR('QTR BS'!I29/'QTR P&amp;L'!L2,"")</f>
        <v/>
      </c>
      <c r="J27" s="11">
        <f>IFERROR('QTR BS'!J29/'QTR P&amp;L'!M2,"")</f>
        <v/>
      </c>
      <c r="K27" s="11">
        <f>IFERROR('QTR BS'!K29/'QTR P&amp;L'!N2,"")</f>
        <v/>
      </c>
      <c r="L27" s="11">
        <f>IFERROR('QTR BS'!L29/'QTR P&amp;L'!O2,"")</f>
        <v/>
      </c>
      <c r="M27" s="11">
        <f>IFERROR('QTR BS'!M29/'QTR P&amp;L'!P2,"")</f>
        <v/>
      </c>
      <c r="N27" s="11">
        <f>IFERROR('QTR BS'!N29/'QTR P&amp;L'!Q2,"")</f>
        <v/>
      </c>
      <c r="O27" s="12">
        <f>N27</f>
        <v/>
      </c>
      <c r="P27" s="12">
        <f>O27</f>
        <v/>
      </c>
      <c r="Q27" s="12">
        <f>P27</f>
        <v/>
      </c>
      <c r="R27" s="12">
        <f>Q27</f>
        <v/>
      </c>
      <c r="S27" s="12">
        <f>R27</f>
        <v/>
      </c>
      <c r="T27" s="12">
        <f>S27</f>
        <v/>
      </c>
      <c r="U27" s="12">
        <f>T27</f>
        <v/>
      </c>
      <c r="V27" s="12">
        <f>U27</f>
        <v/>
      </c>
      <c r="W27" s="12">
        <f>V27</f>
        <v/>
      </c>
      <c r="X27" s="12">
        <f>W27</f>
        <v/>
      </c>
      <c r="Y27" s="12">
        <f>X27</f>
        <v/>
      </c>
      <c r="Z27" s="12">
        <f>Y27</f>
        <v/>
      </c>
      <c r="AA27" s="12">
        <f>Z27</f>
        <v/>
      </c>
      <c r="AB27" s="12">
        <f>AA27</f>
        <v/>
      </c>
      <c r="AC27" s="12">
        <f>AB27</f>
        <v/>
      </c>
      <c r="AD27" s="12">
        <f>AC27</f>
        <v/>
      </c>
      <c r="AE27" s="12">
        <f>AD27</f>
        <v/>
      </c>
      <c r="AF27" s="12">
        <f>AE27</f>
        <v/>
      </c>
      <c r="AG27" s="12">
        <f>AF27</f>
        <v/>
      </c>
      <c r="AH27" s="12">
        <f>AG27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P&amp;L'!E2,"")</f>
        <v/>
      </c>
      <c r="C28" s="11">
        <f>IFERROR('QTR BS'!C31/'QTR P&amp;L'!F2,"")</f>
        <v/>
      </c>
      <c r="D28" s="11">
        <f>IFERROR('QTR BS'!D31/'QTR P&amp;L'!G2,"")</f>
        <v/>
      </c>
      <c r="E28" s="11">
        <f>IFERROR('QTR BS'!E31/'QTR P&amp;L'!H2,"")</f>
        <v/>
      </c>
      <c r="F28" s="11">
        <f>IFERROR('QTR BS'!F31/'QTR P&amp;L'!I2,"")</f>
        <v/>
      </c>
      <c r="G28" s="11">
        <f>IFERROR('QTR BS'!G31/'QTR P&amp;L'!J2,"")</f>
        <v/>
      </c>
      <c r="H28" s="11">
        <f>IFERROR('QTR BS'!H31/'QTR P&amp;L'!K2,"")</f>
        <v/>
      </c>
      <c r="I28" s="11">
        <f>IFERROR('QTR BS'!I31/'QTR P&amp;L'!L2,"")</f>
        <v/>
      </c>
      <c r="J28" s="11">
        <f>IFERROR('QTR BS'!J31/'QTR P&amp;L'!M2,"")</f>
        <v/>
      </c>
      <c r="K28" s="11">
        <f>IFERROR('QTR BS'!K31/'QTR P&amp;L'!N2,"")</f>
        <v/>
      </c>
      <c r="L28" s="11">
        <f>IFERROR('QTR BS'!L31/'QTR P&amp;L'!O2,"")</f>
        <v/>
      </c>
      <c r="M28" s="11">
        <f>IFERROR('QTR BS'!M31/'QTR P&amp;L'!P2,"")</f>
        <v/>
      </c>
      <c r="N28" s="11">
        <f>IFERROR('QTR BS'!N31/'QTR P&amp;L'!Q2,"")</f>
        <v/>
      </c>
      <c r="O28" s="12">
        <f>N28</f>
        <v/>
      </c>
      <c r="P28" s="12">
        <f>O28</f>
        <v/>
      </c>
      <c r="Q28" s="12">
        <f>P28</f>
        <v/>
      </c>
      <c r="R28" s="12">
        <f>Q28</f>
        <v/>
      </c>
      <c r="S28" s="12">
        <f>R28</f>
        <v/>
      </c>
      <c r="T28" s="12">
        <f>S28</f>
        <v/>
      </c>
      <c r="U28" s="12">
        <f>T28</f>
        <v/>
      </c>
      <c r="V28" s="12">
        <f>U28</f>
        <v/>
      </c>
      <c r="W28" s="12">
        <f>V28</f>
        <v/>
      </c>
      <c r="X28" s="12">
        <f>W28</f>
        <v/>
      </c>
      <c r="Y28" s="12">
        <f>X28</f>
        <v/>
      </c>
      <c r="Z28" s="12">
        <f>Y28</f>
        <v/>
      </c>
      <c r="AA28" s="12">
        <f>Z28</f>
        <v/>
      </c>
      <c r="AB28" s="12">
        <f>AA28</f>
        <v/>
      </c>
      <c r="AC28" s="12">
        <f>AB28</f>
        <v/>
      </c>
      <c r="AD28" s="12">
        <f>AC28</f>
        <v/>
      </c>
      <c r="AE28" s="12">
        <f>AD28</f>
        <v/>
      </c>
      <c r="AF28" s="12">
        <f>AE28</f>
        <v/>
      </c>
      <c r="AG28" s="12">
        <f>AF28</f>
        <v/>
      </c>
      <c r="AH28" s="12">
        <f>AG28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P&amp;L'!E2,"")</f>
        <v/>
      </c>
      <c r="C29" s="11">
        <f>IFERROR('QTR BS'!C32/'QTR P&amp;L'!F2,"")</f>
        <v/>
      </c>
      <c r="D29" s="11">
        <f>IFERROR('QTR BS'!D32/'QTR P&amp;L'!G2,"")</f>
        <v/>
      </c>
      <c r="E29" s="11">
        <f>IFERROR('QTR BS'!E32/'QTR P&amp;L'!H2,"")</f>
        <v/>
      </c>
      <c r="F29" s="11">
        <f>IFERROR('QTR BS'!F32/'QTR P&amp;L'!I2,"")</f>
        <v/>
      </c>
      <c r="G29" s="11">
        <f>IFERROR('QTR BS'!G32/'QTR P&amp;L'!J2,"")</f>
        <v/>
      </c>
      <c r="H29" s="11">
        <f>IFERROR('QTR BS'!H32/'QTR P&amp;L'!K2,"")</f>
        <v/>
      </c>
      <c r="I29" s="11">
        <f>IFERROR('QTR BS'!I32/'QTR P&amp;L'!L2,"")</f>
        <v/>
      </c>
      <c r="J29" s="11">
        <f>IFERROR('QTR BS'!J32/'QTR P&amp;L'!M2,"")</f>
        <v/>
      </c>
      <c r="K29" s="11">
        <f>IFERROR('QTR BS'!K32/'QTR P&amp;L'!N2,"")</f>
        <v/>
      </c>
      <c r="L29" s="11">
        <f>IFERROR('QTR BS'!L32/'QTR P&amp;L'!O2,"")</f>
        <v/>
      </c>
      <c r="M29" s="11">
        <f>IFERROR('QTR BS'!M32/'QTR P&amp;L'!P2,"")</f>
        <v/>
      </c>
      <c r="N29" s="11">
        <f>IFERROR('QTR BS'!N32/'QTR P&amp;L'!Q2,"")</f>
        <v/>
      </c>
      <c r="O29" s="12">
        <f>N29</f>
        <v/>
      </c>
      <c r="P29" s="12">
        <f>O29</f>
        <v/>
      </c>
      <c r="Q29" s="12">
        <f>P29</f>
        <v/>
      </c>
      <c r="R29" s="12">
        <f>Q29</f>
        <v/>
      </c>
      <c r="S29" s="12">
        <f>R29</f>
        <v/>
      </c>
      <c r="T29" s="12">
        <f>S29</f>
        <v/>
      </c>
      <c r="U29" s="12">
        <f>T29</f>
        <v/>
      </c>
      <c r="V29" s="12">
        <f>U29</f>
        <v/>
      </c>
      <c r="W29" s="12">
        <f>V29</f>
        <v/>
      </c>
      <c r="X29" s="12">
        <f>W29</f>
        <v/>
      </c>
      <c r="Y29" s="12">
        <f>X29</f>
        <v/>
      </c>
      <c r="Z29" s="12">
        <f>Y29</f>
        <v/>
      </c>
      <c r="AA29" s="12">
        <f>Z29</f>
        <v/>
      </c>
      <c r="AB29" s="12">
        <f>AA29</f>
        <v/>
      </c>
      <c r="AC29" s="12">
        <f>AB29</f>
        <v/>
      </c>
      <c r="AD29" s="12">
        <f>AC29</f>
        <v/>
      </c>
      <c r="AE29" s="12">
        <f>AD29</f>
        <v/>
      </c>
      <c r="AF29" s="12">
        <f>AE29</f>
        <v/>
      </c>
      <c r="AG29" s="12">
        <f>AF29</f>
        <v/>
      </c>
      <c r="AH29" s="12">
        <f>AG29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O30</f>
        <v/>
      </c>
      <c r="Q30" s="13">
        <f>P30</f>
        <v/>
      </c>
      <c r="R30" s="13">
        <f>Q30</f>
        <v/>
      </c>
      <c r="S30" s="13">
        <f>R30</f>
        <v/>
      </c>
      <c r="T30" s="13">
        <f>S30</f>
        <v/>
      </c>
      <c r="U30" s="13">
        <f>T30</f>
        <v/>
      </c>
      <c r="V30" s="13">
        <f>U30</f>
        <v/>
      </c>
      <c r="W30" s="13">
        <f>V30</f>
        <v/>
      </c>
      <c r="X30" s="13">
        <f>W30</f>
        <v/>
      </c>
      <c r="Y30" s="13">
        <f>X30</f>
        <v/>
      </c>
      <c r="Z30" s="13">
        <f>Y30</f>
        <v/>
      </c>
      <c r="AA30" s="13">
        <f>Z30</f>
        <v/>
      </c>
      <c r="AB30" s="13">
        <f>AA30</f>
        <v/>
      </c>
      <c r="AC30" s="13">
        <f>AB30</f>
        <v/>
      </c>
      <c r="AD30" s="13">
        <f>AC30</f>
        <v/>
      </c>
      <c r="AE30" s="13">
        <f>AD30</f>
        <v/>
      </c>
      <c r="AF30" s="13">
        <f>AE30</f>
        <v/>
      </c>
      <c r="AG30" s="13">
        <f>AF30</f>
        <v/>
      </c>
      <c r="AH30" s="13">
        <f>AG30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O31</f>
        <v/>
      </c>
      <c r="Q31" s="13">
        <f>P31</f>
        <v/>
      </c>
      <c r="R31" s="13">
        <f>Q31</f>
        <v/>
      </c>
      <c r="S31" s="13">
        <f>R31</f>
        <v/>
      </c>
      <c r="T31" s="13">
        <f>S31</f>
        <v/>
      </c>
      <c r="U31" s="13">
        <f>T31</f>
        <v/>
      </c>
      <c r="V31" s="13">
        <f>U31</f>
        <v/>
      </c>
      <c r="W31" s="13">
        <f>V31</f>
        <v/>
      </c>
      <c r="X31" s="13">
        <f>W31</f>
        <v/>
      </c>
      <c r="Y31" s="13">
        <f>X31</f>
        <v/>
      </c>
      <c r="Z31" s="13">
        <f>Y31</f>
        <v/>
      </c>
      <c r="AA31" s="13">
        <f>Z31</f>
        <v/>
      </c>
      <c r="AB31" s="13">
        <f>AA31</f>
        <v/>
      </c>
      <c r="AC31" s="13">
        <f>AB31</f>
        <v/>
      </c>
      <c r="AD31" s="13">
        <f>AC31</f>
        <v/>
      </c>
      <c r="AE31" s="13">
        <f>AD31</f>
        <v/>
      </c>
      <c r="AF31" s="13">
        <f>AE31</f>
        <v/>
      </c>
      <c r="AG31" s="13">
        <f>AF31</f>
        <v/>
      </c>
      <c r="AH31" s="13">
        <f>AG31</f>
        <v/>
      </c>
    </row>
    <row r="32">
      <c r="A32" s="3" t="inlineStr">
        <is>
          <t>Deferred Revenue - Non-Current — % of Revenue</t>
        </is>
      </c>
      <c r="B32" s="11">
        <f>IFERROR('QTR BS'!B35/'QTR P&amp;L'!E2,"")</f>
        <v/>
      </c>
      <c r="C32" s="11">
        <f>IFERROR('QTR BS'!C35/'QTR P&amp;L'!F2,"")</f>
        <v/>
      </c>
      <c r="D32" s="11">
        <f>IFERROR('QTR BS'!D35/'QTR P&amp;L'!G2,"")</f>
        <v/>
      </c>
      <c r="E32" s="11">
        <f>IFERROR('QTR BS'!E35/'QTR P&amp;L'!H2,"")</f>
        <v/>
      </c>
      <c r="F32" s="11">
        <f>IFERROR('QTR BS'!F35/'QTR P&amp;L'!I2,"")</f>
        <v/>
      </c>
      <c r="G32" s="11">
        <f>IFERROR('QTR BS'!G35/'QTR P&amp;L'!J2,"")</f>
        <v/>
      </c>
      <c r="H32" s="11">
        <f>IFERROR('QTR BS'!H35/'QTR P&amp;L'!K2,"")</f>
        <v/>
      </c>
      <c r="I32" s="11">
        <f>IFERROR('QTR BS'!I35/'QTR P&amp;L'!L2,"")</f>
        <v/>
      </c>
      <c r="J32" s="11">
        <f>IFERROR('QTR BS'!J35/'QTR P&amp;L'!M2,"")</f>
        <v/>
      </c>
      <c r="K32" s="11">
        <f>IFERROR('QTR BS'!K35/'QTR P&amp;L'!N2,"")</f>
        <v/>
      </c>
      <c r="L32" s="11">
        <f>IFERROR('QTR BS'!L35/'QTR P&amp;L'!O2,"")</f>
        <v/>
      </c>
      <c r="M32" s="11">
        <f>IFERROR('QTR BS'!M35/'QTR P&amp;L'!P2,"")</f>
        <v/>
      </c>
      <c r="N32" s="11">
        <f>IFERROR('QTR BS'!N35/'QTR P&amp;L'!Q2,"")</f>
        <v/>
      </c>
      <c r="O32" s="12">
        <f>N32</f>
        <v/>
      </c>
      <c r="P32" s="12">
        <f>O32</f>
        <v/>
      </c>
      <c r="Q32" s="12">
        <f>P32</f>
        <v/>
      </c>
      <c r="R32" s="12">
        <f>Q32</f>
        <v/>
      </c>
      <c r="S32" s="12">
        <f>R32</f>
        <v/>
      </c>
      <c r="T32" s="12">
        <f>S32</f>
        <v/>
      </c>
      <c r="U32" s="12">
        <f>T32</f>
        <v/>
      </c>
      <c r="V32" s="12">
        <f>U32</f>
        <v/>
      </c>
      <c r="W32" s="12">
        <f>V32</f>
        <v/>
      </c>
      <c r="X32" s="12">
        <f>W32</f>
        <v/>
      </c>
      <c r="Y32" s="12">
        <f>X32</f>
        <v/>
      </c>
      <c r="Z32" s="12">
        <f>Y32</f>
        <v/>
      </c>
      <c r="AA32" s="12">
        <f>Z32</f>
        <v/>
      </c>
      <c r="AB32" s="12">
        <f>AA32</f>
        <v/>
      </c>
      <c r="AC32" s="12">
        <f>AB32</f>
        <v/>
      </c>
      <c r="AD32" s="12">
        <f>AC32</f>
        <v/>
      </c>
      <c r="AE32" s="12">
        <f>AD32</f>
        <v/>
      </c>
      <c r="AF32" s="12">
        <f>AE32</f>
        <v/>
      </c>
      <c r="AG32" s="12">
        <f>AF32</f>
        <v/>
      </c>
      <c r="AH32" s="12">
        <f>AG32</f>
        <v/>
      </c>
    </row>
    <row r="33">
      <c r="A33" s="3" t="inlineStr">
        <is>
          <t>Other Non-Current Liabilities — % of Revenue</t>
        </is>
      </c>
      <c r="B33" s="11">
        <f>IFERROR('QTR BS'!B36/'QTR P&amp;L'!E2,"")</f>
        <v/>
      </c>
      <c r="C33" s="11">
        <f>IFERROR('QTR BS'!C36/'QTR P&amp;L'!F2,"")</f>
        <v/>
      </c>
      <c r="D33" s="11">
        <f>IFERROR('QTR BS'!D36/'QTR P&amp;L'!G2,"")</f>
        <v/>
      </c>
      <c r="E33" s="11">
        <f>IFERROR('QTR BS'!E36/'QTR P&amp;L'!H2,"")</f>
        <v/>
      </c>
      <c r="F33" s="11">
        <f>IFERROR('QTR BS'!F36/'QTR P&amp;L'!I2,"")</f>
        <v/>
      </c>
      <c r="G33" s="11">
        <f>IFERROR('QTR BS'!G36/'QTR P&amp;L'!J2,"")</f>
        <v/>
      </c>
      <c r="H33" s="11">
        <f>IFERROR('QTR BS'!H36/'QTR P&amp;L'!K2,"")</f>
        <v/>
      </c>
      <c r="I33" s="11">
        <f>IFERROR('QTR BS'!I36/'QTR P&amp;L'!L2,"")</f>
        <v/>
      </c>
      <c r="J33" s="11">
        <f>IFERROR('QTR BS'!J36/'QTR P&amp;L'!M2,"")</f>
        <v/>
      </c>
      <c r="K33" s="11">
        <f>IFERROR('QTR BS'!K36/'QTR P&amp;L'!N2,"")</f>
        <v/>
      </c>
      <c r="L33" s="11">
        <f>IFERROR('QTR BS'!L36/'QTR P&amp;L'!O2,"")</f>
        <v/>
      </c>
      <c r="M33" s="11">
        <f>IFERROR('QTR BS'!M36/'QTR P&amp;L'!P2,"")</f>
        <v/>
      </c>
      <c r="N33" s="11">
        <f>IFERROR('QTR BS'!N36/'QTR P&amp;L'!Q2,"")</f>
        <v/>
      </c>
      <c r="O33" s="12">
        <f>N33</f>
        <v/>
      </c>
      <c r="P33" s="12">
        <f>O33</f>
        <v/>
      </c>
      <c r="Q33" s="12">
        <f>P33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O34</f>
        <v/>
      </c>
      <c r="Q34" s="13">
        <f>P34</f>
        <v/>
      </c>
      <c r="R34" s="13">
        <f>Q34</f>
        <v/>
      </c>
      <c r="S34" s="13">
        <f>R34</f>
        <v/>
      </c>
      <c r="T34" s="13">
        <f>S34</f>
        <v/>
      </c>
      <c r="U34" s="13">
        <f>T34</f>
        <v/>
      </c>
      <c r="V34" s="13">
        <f>U34</f>
        <v/>
      </c>
      <c r="W34" s="13">
        <f>V34</f>
        <v/>
      </c>
      <c r="X34" s="13">
        <f>W34</f>
        <v/>
      </c>
      <c r="Y34" s="13">
        <f>X34</f>
        <v/>
      </c>
      <c r="Z34" s="13">
        <f>Y34</f>
        <v/>
      </c>
      <c r="AA34" s="13">
        <f>Z34</f>
        <v/>
      </c>
      <c r="AB34" s="13">
        <f>AA34</f>
        <v/>
      </c>
      <c r="AC34" s="13">
        <f>AB34</f>
        <v/>
      </c>
      <c r="AD34" s="13">
        <f>AC34</f>
        <v/>
      </c>
      <c r="AE34" s="13">
        <f>AD34</f>
        <v/>
      </c>
      <c r="AF34" s="13">
        <f>AE34</f>
        <v/>
      </c>
      <c r="AG34" s="13">
        <f>AF34</f>
        <v/>
      </c>
      <c r="AH34" s="13">
        <f>AG34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O35</f>
        <v/>
      </c>
      <c r="Q35" s="13">
        <f>P35</f>
        <v/>
      </c>
      <c r="R35" s="13">
        <f>Q35</f>
        <v/>
      </c>
      <c r="S35" s="13">
        <f>R35</f>
        <v/>
      </c>
      <c r="T35" s="13">
        <f>S35</f>
        <v/>
      </c>
      <c r="U35" s="13">
        <f>T35</f>
        <v/>
      </c>
      <c r="V35" s="13">
        <f>U35</f>
        <v/>
      </c>
      <c r="W35" s="13">
        <f>V35</f>
        <v/>
      </c>
      <c r="X35" s="13">
        <f>W35</f>
        <v/>
      </c>
      <c r="Y35" s="13">
        <f>X35</f>
        <v/>
      </c>
      <c r="Z35" s="13">
        <f>Y35</f>
        <v/>
      </c>
      <c r="AA35" s="13">
        <f>Z35</f>
        <v/>
      </c>
      <c r="AB35" s="13">
        <f>AA35</f>
        <v/>
      </c>
      <c r="AC35" s="13">
        <f>AB35</f>
        <v/>
      </c>
      <c r="AD35" s="13">
        <f>AC35</f>
        <v/>
      </c>
      <c r="AE35" s="13">
        <f>AD35</f>
        <v/>
      </c>
      <c r="AF35" s="13">
        <f>AE35</f>
        <v/>
      </c>
      <c r="AG35" s="13">
        <f>AF35</f>
        <v/>
      </c>
      <c r="AH35" s="13">
        <f>AG35</f>
        <v/>
      </c>
    </row>
    <row r="36">
      <c r="A36" s="3" t="inlineStr">
        <is>
          <t>Treasury Stock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13">
        <f>N36</f>
        <v/>
      </c>
      <c r="P36" s="13">
        <f>O36</f>
        <v/>
      </c>
      <c r="Q36" s="13">
        <f>P36</f>
        <v/>
      </c>
      <c r="R36" s="13">
        <f>Q36</f>
        <v/>
      </c>
      <c r="S36" s="13">
        <f>R36</f>
        <v/>
      </c>
      <c r="T36" s="13">
        <f>S36</f>
        <v/>
      </c>
      <c r="U36" s="13">
        <f>T36</f>
        <v/>
      </c>
      <c r="V36" s="13">
        <f>U36</f>
        <v/>
      </c>
      <c r="W36" s="13">
        <f>V36</f>
        <v/>
      </c>
      <c r="X36" s="13">
        <f>W36</f>
        <v/>
      </c>
      <c r="Y36" s="13">
        <f>X36</f>
        <v/>
      </c>
      <c r="Z36" s="13">
        <f>Y36</f>
        <v/>
      </c>
      <c r="AA36" s="13">
        <f>Z36</f>
        <v/>
      </c>
      <c r="AB36" s="13">
        <f>AA36</f>
        <v/>
      </c>
      <c r="AC36" s="13">
        <f>AB36</f>
        <v/>
      </c>
      <c r="AD36" s="13">
        <f>AC36</f>
        <v/>
      </c>
      <c r="AE36" s="13">
        <f>AD36</f>
        <v/>
      </c>
      <c r="AF36" s="13">
        <f>AE36</f>
        <v/>
      </c>
      <c r="AG36" s="13">
        <f>AF36</f>
        <v/>
      </c>
      <c r="AH36" s="13">
        <f>AG36</f>
        <v/>
      </c>
    </row>
    <row r="37">
      <c r="A37" s="3" t="inlineStr">
        <is>
          <t>Additional Paid-in Capital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CF'!R11</f>
        <v/>
      </c>
      <c r="P37" s="4">
        <f>O37+'QTR CF'!S11</f>
        <v/>
      </c>
      <c r="Q37" s="4">
        <f>P37+'QTR CF'!T11</f>
        <v/>
      </c>
      <c r="R37" s="4">
        <f>Q37+'QTR CF'!U11</f>
        <v/>
      </c>
      <c r="S37" s="4">
        <f>R37+'QTR CF'!V11</f>
        <v/>
      </c>
      <c r="T37" s="4">
        <f>S37+'QTR CF'!W11</f>
        <v/>
      </c>
      <c r="U37" s="4">
        <f>T37+'QTR CF'!X11</f>
        <v/>
      </c>
      <c r="V37" s="4">
        <f>U37+'QTR CF'!Y11</f>
        <v/>
      </c>
      <c r="W37" s="4">
        <f>V37+'QTR CF'!Z11</f>
        <v/>
      </c>
      <c r="X37" s="4">
        <f>W37+'QTR CF'!AA11</f>
        <v/>
      </c>
      <c r="Y37" s="4">
        <f>X37+'QTR CF'!AB11</f>
        <v/>
      </c>
      <c r="Z37" s="4">
        <f>Y37+'QTR CF'!AC11</f>
        <v/>
      </c>
      <c r="AA37" s="4">
        <f>Z37+'QTR CF'!AD11</f>
        <v/>
      </c>
      <c r="AB37" s="4">
        <f>AA37+'QTR CF'!AE11</f>
        <v/>
      </c>
      <c r="AC37" s="4">
        <f>AB37+'QTR CF'!AF11</f>
        <v/>
      </c>
      <c r="AD37" s="4">
        <f>AC37+'QTR CF'!AG11</f>
        <v/>
      </c>
      <c r="AE37" s="4">
        <f>AD37+'QTR CF'!AH11</f>
        <v/>
      </c>
      <c r="AF37" s="4">
        <f>AE37+'QTR CF'!AI11</f>
        <v/>
      </c>
      <c r="AG37" s="4">
        <f>AF37+'QTR CF'!AJ11</f>
        <v/>
      </c>
      <c r="AH37" s="4">
        <f>AG37+'QTR CF'!AK11</f>
        <v/>
      </c>
    </row>
    <row r="38">
      <c r="A38" s="3" t="inlineStr">
        <is>
          <t>Accumulated Other Comprehensive Income (Loss)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CF'!R51</f>
        <v/>
      </c>
      <c r="P38" s="4">
        <f>O38+'QTR CF'!S51</f>
        <v/>
      </c>
      <c r="Q38" s="4">
        <f>P38+'QTR CF'!T51</f>
        <v/>
      </c>
      <c r="R38" s="4">
        <f>Q38+'QTR CF'!U51</f>
        <v/>
      </c>
      <c r="S38" s="4">
        <f>R38+'QTR CF'!V51</f>
        <v/>
      </c>
      <c r="T38" s="4">
        <f>S38+'QTR CF'!W51</f>
        <v/>
      </c>
      <c r="U38" s="4">
        <f>T38+'QTR CF'!X51</f>
        <v/>
      </c>
      <c r="V38" s="4">
        <f>U38+'QTR CF'!Y51</f>
        <v/>
      </c>
      <c r="W38" s="4">
        <f>V38+'QTR CF'!Z51</f>
        <v/>
      </c>
      <c r="X38" s="4">
        <f>W38+'QTR CF'!AA51</f>
        <v/>
      </c>
      <c r="Y38" s="4">
        <f>X38+'QTR CF'!AB51</f>
        <v/>
      </c>
      <c r="Z38" s="4">
        <f>Y38+'QTR CF'!AC51</f>
        <v/>
      </c>
      <c r="AA38" s="4">
        <f>Z38+'QTR CF'!AD51</f>
        <v/>
      </c>
      <c r="AB38" s="4">
        <f>AA38+'QTR CF'!AE51</f>
        <v/>
      </c>
      <c r="AC38" s="4">
        <f>AB38+'QTR CF'!AF51</f>
        <v/>
      </c>
      <c r="AD38" s="4">
        <f>AC38+'QTR CF'!AG51</f>
        <v/>
      </c>
      <c r="AE38" s="4">
        <f>AD38+'QTR CF'!AH51</f>
        <v/>
      </c>
      <c r="AF38" s="4">
        <f>AE38+'QTR CF'!AI51</f>
        <v/>
      </c>
      <c r="AG38" s="4">
        <f>AF38+'QTR CF'!AJ51</f>
        <v/>
      </c>
      <c r="AH38" s="4">
        <f>AG38+'QTR CF'!AK51</f>
        <v/>
      </c>
    </row>
    <row r="39">
      <c r="A39" s="3" t="inlineStr">
        <is>
          <t>Retained Earnings (Accumulated Deficit)</t>
        </is>
      </c>
      <c r="B39" s="4">
        <f>'QTR BS'!B43</f>
        <v/>
      </c>
      <c r="C39" s="4">
        <f>'QTR BS'!C43</f>
        <v/>
      </c>
      <c r="D39" s="4">
        <f>'QTR BS'!D43</f>
        <v/>
      </c>
      <c r="E39" s="4">
        <f>'QTR BS'!E43</f>
        <v/>
      </c>
      <c r="F39" s="4">
        <f>'QTR BS'!F43</f>
        <v/>
      </c>
      <c r="G39" s="4">
        <f>'QTR BS'!G43</f>
        <v/>
      </c>
      <c r="H39" s="4">
        <f>'QTR BS'!H43</f>
        <v/>
      </c>
      <c r="I39" s="4">
        <f>'QTR BS'!I43</f>
        <v/>
      </c>
      <c r="J39" s="4">
        <f>'QTR BS'!J43</f>
        <v/>
      </c>
      <c r="K39" s="4">
        <f>'QTR BS'!K43</f>
        <v/>
      </c>
      <c r="L39" s="4">
        <f>'QTR BS'!L43</f>
        <v/>
      </c>
      <c r="M39" s="4">
        <f>'QTR BS'!M43</f>
        <v/>
      </c>
      <c r="N39" s="4">
        <f>'QTR BS'!N43</f>
        <v/>
      </c>
      <c r="O39" s="4">
        <f>N39+'QTR P&amp;L'!R13+'QTR CF'!R44</f>
        <v/>
      </c>
      <c r="P39" s="4">
        <f>O39+'QTR P&amp;L'!S13+'QTR CF'!S44</f>
        <v/>
      </c>
      <c r="Q39" s="4">
        <f>P39+'QTR P&amp;L'!T13+'QTR CF'!T44</f>
        <v/>
      </c>
      <c r="R39" s="4">
        <f>Q39+'QTR P&amp;L'!U13+'QTR CF'!U44</f>
        <v/>
      </c>
      <c r="S39" s="4">
        <f>R39+'QTR P&amp;L'!V13+'QTR CF'!V44</f>
        <v/>
      </c>
      <c r="T39" s="4">
        <f>S39+'QTR P&amp;L'!W13+'QTR CF'!W44</f>
        <v/>
      </c>
      <c r="U39" s="4">
        <f>T39+'QTR P&amp;L'!X13+'QTR CF'!X44</f>
        <v/>
      </c>
      <c r="V39" s="4">
        <f>U39+'QTR P&amp;L'!Y13+'QTR CF'!Y44</f>
        <v/>
      </c>
      <c r="W39" s="4">
        <f>V39+'QTR P&amp;L'!Z13+'QTR CF'!Z44</f>
        <v/>
      </c>
      <c r="X39" s="4">
        <f>W39+'QTR P&amp;L'!AA13+'QTR CF'!AA44</f>
        <v/>
      </c>
      <c r="Y39" s="4">
        <f>X39+'QTR P&amp;L'!AB13+'QTR CF'!AB44</f>
        <v/>
      </c>
      <c r="Z39" s="4">
        <f>Y39+'QTR P&amp;L'!AC13+'QTR CF'!AC44</f>
        <v/>
      </c>
      <c r="AA39" s="4">
        <f>Z39+'QTR P&amp;L'!AD13+'QTR CF'!AD44</f>
        <v/>
      </c>
      <c r="AB39" s="4">
        <f>AA39+'QTR P&amp;L'!AE13+'QTR CF'!AE44</f>
        <v/>
      </c>
      <c r="AC39" s="4">
        <f>AB39+'QTR P&amp;L'!AF13+'QTR CF'!AF44</f>
        <v/>
      </c>
      <c r="AD39" s="4">
        <f>AC39+'QTR P&amp;L'!AG13+'QTR CF'!AG44</f>
        <v/>
      </c>
      <c r="AE39" s="4">
        <f>AD39+'QTR P&amp;L'!AH13+'QTR CF'!AH44</f>
        <v/>
      </c>
      <c r="AF39" s="4">
        <f>AE39+'QTR P&amp;L'!AI13+'QTR CF'!AI44</f>
        <v/>
      </c>
      <c r="AG39" s="4">
        <f>AF39+'QTR P&amp;L'!AJ13+'QTR CF'!AJ44</f>
        <v/>
      </c>
      <c r="AH39" s="4">
        <f>AG39+'QTR P&amp;L'!AK13+'QTR CF'!AK44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K48"/>
  <sheetViews>
    <sheetView workbookViewId="0">
      <pane xSplit="1" ySplit="1" topLeftCell="F2" activePane="bottomRight" state="frozen"/>
      <selection pane="topRight" activeCell="A1" sqref="A1"/>
      <selection pane="bottomLeft" activeCell="A1" sqref="A1"/>
      <selection pane="bottomRight" activeCell="R2" sqref="R2"/>
    </sheetView>
  </sheetViews>
  <sheetFormatPr baseColWidth="8" defaultRowHeight="15"/>
  <cols>
    <col width="38" customWidth="1" min="1" max="1"/>
    <col width="13" customWidth="1" min="2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  <c r="AH3" s="13" t="n">
        <v>0</v>
      </c>
      <c r="AI3" s="13" t="n">
        <v>0</v>
      </c>
      <c r="AJ3" s="13" t="n">
        <v>0</v>
      </c>
      <c r="AK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  <c r="AH4" s="13" t="n">
        <v>0</v>
      </c>
      <c r="AI4" s="13" t="n">
        <v>0</v>
      </c>
      <c r="AJ4" s="13" t="n">
        <v>0</v>
      </c>
      <c r="AK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R6</f>
        <v/>
      </c>
      <c r="T6" s="12">
        <f>S6</f>
        <v/>
      </c>
      <c r="U6" s="12">
        <f>T6</f>
        <v/>
      </c>
      <c r="V6" s="12">
        <f>U6</f>
        <v/>
      </c>
      <c r="W6" s="12">
        <f>V6</f>
        <v/>
      </c>
      <c r="X6" s="12">
        <f>W6</f>
        <v/>
      </c>
      <c r="Y6" s="12">
        <f>X6</f>
        <v/>
      </c>
      <c r="Z6" s="12">
        <f>Y6</f>
        <v/>
      </c>
      <c r="AA6" s="12">
        <f>Z6</f>
        <v/>
      </c>
      <c r="AB6" s="12">
        <f>AA6</f>
        <v/>
      </c>
      <c r="AC6" s="12">
        <f>AB6</f>
        <v/>
      </c>
      <c r="AD6" s="12">
        <f>AC6</f>
        <v/>
      </c>
      <c r="AE6" s="12">
        <f>AD6</f>
        <v/>
      </c>
      <c r="AF6" s="12">
        <f>AE6</f>
        <v/>
      </c>
      <c r="AG6" s="12">
        <f>AF6</f>
        <v/>
      </c>
      <c r="AH6" s="12">
        <f>AG6</f>
        <v/>
      </c>
      <c r="AI6" s="12">
        <f>AH6</f>
        <v/>
      </c>
      <c r="AJ6" s="12">
        <f>AI6</f>
        <v/>
      </c>
      <c r="AK6" s="12">
        <f>AJ6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  <c r="AH7" s="13" t="n">
        <v>0</v>
      </c>
      <c r="AI7" s="13" t="n">
        <v>0</v>
      </c>
      <c r="AJ7" s="13" t="n">
        <v>0</v>
      </c>
      <c r="AK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  <c r="AH8" s="13" t="n">
        <v>0</v>
      </c>
      <c r="AI8" s="13" t="n">
        <v>0</v>
      </c>
      <c r="AJ8" s="13" t="n">
        <v>0</v>
      </c>
      <c r="AK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  <c r="AI11" s="12">
        <f>AH11</f>
        <v/>
      </c>
      <c r="AJ11" s="12">
        <f>AI11</f>
        <v/>
      </c>
      <c r="AK11" s="12">
        <f>AJ11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  <c r="AI12" s="13">
        <f>AH12</f>
        <v/>
      </c>
      <c r="AJ12" s="13">
        <f>AI12</f>
        <v/>
      </c>
      <c r="AK12" s="13">
        <f>AJ12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  <c r="AH13" s="13" t="n">
        <v>0</v>
      </c>
      <c r="AI13" s="13" t="n">
        <v>0</v>
      </c>
      <c r="AJ13" s="13" t="n">
        <v>0</v>
      </c>
      <c r="AK13" s="13" t="n">
        <v>0</v>
      </c>
    </row>
    <row r="14">
      <c r="A14" s="3" t="inlineStr">
        <is>
          <t>Gain (Loss) on Lease Cancellations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</v>
      </c>
      <c r="AK14" s="13" t="n">
        <v>0</v>
      </c>
    </row>
    <row r="15">
      <c r="A15" s="3" t="inlineStr">
        <is>
          <t>Change in Fair Value of Contingent Consideration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13" t="n">
        <v>0</v>
      </c>
      <c r="S15" s="13" t="n">
        <v>0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0</v>
      </c>
      <c r="Y15" s="13" t="n">
        <v>0</v>
      </c>
      <c r="Z15" s="13" t="n">
        <v>0</v>
      </c>
      <c r="AA15" s="13" t="n">
        <v>0</v>
      </c>
      <c r="AB15" s="13" t="n">
        <v>0</v>
      </c>
      <c r="AC15" s="13" t="n">
        <v>0</v>
      </c>
      <c r="AD15" s="13" t="n">
        <v>0</v>
      </c>
      <c r="AE15" s="13" t="n">
        <v>0</v>
      </c>
      <c r="AF15" s="13" t="n">
        <v>0</v>
      </c>
      <c r="AG15" s="13" t="n">
        <v>0</v>
      </c>
      <c r="AH15" s="13" t="n">
        <v>0</v>
      </c>
      <c r="AI15" s="13" t="n">
        <v>0</v>
      </c>
      <c r="AJ15" s="13" t="n">
        <v>0</v>
      </c>
      <c r="AK15" s="13" t="n">
        <v>0</v>
      </c>
    </row>
    <row r="16">
      <c r="A16" s="3" t="inlineStr">
        <is>
          <t>Gain (Loss) on Extinguishment of Debt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</row>
    <row r="17">
      <c r="A17" s="3" t="inlineStr">
        <is>
          <t>Other Operating Items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BS'!N39)+('QTR BS'!O40-'QTR BS'!N40)</f>
        <v/>
      </c>
      <c r="S17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BS'!O39)+('QTR BS'!P40-'QTR BS'!O40)</f>
        <v/>
      </c>
      <c r="T17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BS'!P39)+('QTR BS'!Q40-'QTR BS'!P40)</f>
        <v/>
      </c>
      <c r="U17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BS'!Q39)+('QTR BS'!R40-'QTR BS'!Q40)</f>
        <v/>
      </c>
      <c r="V17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BS'!R39)+('QTR BS'!S40-'QTR BS'!R40)</f>
        <v/>
      </c>
      <c r="W17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BS'!S39)+('QTR BS'!T40-'QTR BS'!S40)</f>
        <v/>
      </c>
      <c r="X17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BS'!T39)+('QTR BS'!U40-'QTR BS'!T40)</f>
        <v/>
      </c>
      <c r="Y17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BS'!U39)+('QTR BS'!V40-'QTR BS'!U40)</f>
        <v/>
      </c>
      <c r="Z17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BS'!V39)+('QTR BS'!W40-'QTR BS'!V40)</f>
        <v/>
      </c>
      <c r="AA17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BS'!W39)+('QTR BS'!X40-'QTR BS'!W40)</f>
        <v/>
      </c>
      <c r="AB17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BS'!X39)+('QTR BS'!Y40-'QTR BS'!X40)</f>
        <v/>
      </c>
      <c r="AC17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BS'!Y39)+('QTR BS'!Z40-'QTR BS'!Y40)</f>
        <v/>
      </c>
      <c r="AD17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BS'!Z39)+('QTR BS'!AA40-'QTR BS'!Z40)</f>
        <v/>
      </c>
      <c r="AE17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BS'!AA39)+('QTR BS'!AB40-'QTR BS'!AA40)</f>
        <v/>
      </c>
      <c r="AF17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BS'!AB39)+('QTR BS'!AC40-'QTR BS'!AB40)</f>
        <v/>
      </c>
      <c r="AG17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BS'!AC39)+('QTR BS'!AD40-'QTR BS'!AC40)</f>
        <v/>
      </c>
      <c r="AH17" s="4">
        <f>-('QTR BS'!AE5-'QTR BS'!AD5)-('QTR BS'!AE8-'QTR BS'!AD8)-('QTR BS'!AE10-'QTR BS'!AD10)-('QTR BS'!AE12-'QTR BS'!AD12)-('QTR BS'!AE15-'QTR BS'!AD15)-('QTR BS'!AE17-'QTR BS'!AD17)+('QTR BS'!AE22-'QTR BS'!AD22)+('QTR BS'!AE25-'QTR BS'!AD25)+('QTR BS'!AE26-'QTR BS'!AD26)+('QTR BS'!AE27-'QTR BS'!AD27)+('QTR BS'!AE28-'QTR BS'!AD28)+('QTR BS'!AE31-'QTR BS'!AD31)+('QTR BS'!AE32-'QTR BS'!AD32)+('QTR BS'!AE35-'QTR BS'!AD35)+('QTR BS'!AE36-'QTR BS'!AD36)-('QTR BS'!AE3-'QTR BS'!AD3)-('QTR BS'!AE13-'QTR BS'!AD13)-('QTR BS'!AE14-'QTR BS'!AD14)+('QTR BS'!AE23-'QTR BS'!AD23)+('QTR BS'!AE33-'QTR BS'!AD33)+('QTR BS'!AE34-'QTR BS'!AD34)+('QTR BS'!AE39-'QTR BS'!AD39)+('QTR BS'!AE40-'QTR BS'!AD40)</f>
        <v/>
      </c>
      <c r="AI17" s="4">
        <f>-('QTR BS'!AF5-'QTR BS'!AE5)-('QTR BS'!AF8-'QTR BS'!AE8)-('QTR BS'!AF10-'QTR BS'!AE10)-('QTR BS'!AF12-'QTR BS'!AE12)-('QTR BS'!AF15-'QTR BS'!AE15)-('QTR BS'!AF17-'QTR BS'!AE17)+('QTR BS'!AF22-'QTR BS'!AE22)+('QTR BS'!AF25-'QTR BS'!AE25)+('QTR BS'!AF26-'QTR BS'!AE26)+('QTR BS'!AF27-'QTR BS'!AE27)+('QTR BS'!AF28-'QTR BS'!AE28)+('QTR BS'!AF31-'QTR BS'!AE31)+('QTR BS'!AF32-'QTR BS'!AE32)+('QTR BS'!AF35-'QTR BS'!AE35)+('QTR BS'!AF36-'QTR BS'!AE36)-('QTR BS'!AF3-'QTR BS'!AE3)-('QTR BS'!AF13-'QTR BS'!AE13)-('QTR BS'!AF14-'QTR BS'!AE14)+('QTR BS'!AF23-'QTR BS'!AE23)+('QTR BS'!AF33-'QTR BS'!AE33)+('QTR BS'!AF34-'QTR BS'!AE34)+('QTR BS'!AF39-'QTR BS'!AE39)+('QTR BS'!AF40-'QTR BS'!AE40)</f>
        <v/>
      </c>
      <c r="AJ17" s="4">
        <f>-('QTR BS'!AG5-'QTR BS'!AF5)-('QTR BS'!AG8-'QTR BS'!AF8)-('QTR BS'!AG10-'QTR BS'!AF10)-('QTR BS'!AG12-'QTR BS'!AF12)-('QTR BS'!AG15-'QTR BS'!AF15)-('QTR BS'!AG17-'QTR BS'!AF17)+('QTR BS'!AG22-'QTR BS'!AF22)+('QTR BS'!AG25-'QTR BS'!AF25)+('QTR BS'!AG26-'QTR BS'!AF26)+('QTR BS'!AG27-'QTR BS'!AF27)+('QTR BS'!AG28-'QTR BS'!AF28)+('QTR BS'!AG31-'QTR BS'!AF31)+('QTR BS'!AG32-'QTR BS'!AF32)+('QTR BS'!AG35-'QTR BS'!AF35)+('QTR BS'!AG36-'QTR BS'!AF36)-('QTR BS'!AG3-'QTR BS'!AF3)-('QTR BS'!AG13-'QTR BS'!AF13)-('QTR BS'!AG14-'QTR BS'!AF14)+('QTR BS'!AG23-'QTR BS'!AF23)+('QTR BS'!AG33-'QTR BS'!AF33)+('QTR BS'!AG34-'QTR BS'!AF34)+('QTR BS'!AG39-'QTR BS'!AF39)+('QTR BS'!AG40-'QTR BS'!AF40)</f>
        <v/>
      </c>
      <c r="AK17" s="4">
        <f>-('QTR BS'!AH5-'QTR BS'!AG5)-('QTR BS'!AH8-'QTR BS'!AG8)-('QTR BS'!AH10-'QTR BS'!AG10)-('QTR BS'!AH12-'QTR BS'!AG12)-('QTR BS'!AH15-'QTR BS'!AG15)-('QTR BS'!AH17-'QTR BS'!AG17)+('QTR BS'!AH22-'QTR BS'!AG22)+('QTR BS'!AH25-'QTR BS'!AG25)+('QTR BS'!AH26-'QTR BS'!AG26)+('QTR BS'!AH27-'QTR BS'!AG27)+('QTR BS'!AH28-'QTR BS'!AG28)+('QTR BS'!AH31-'QTR BS'!AG31)+('QTR BS'!AH32-'QTR BS'!AG32)+('QTR BS'!AH35-'QTR BS'!AG35)+('QTR BS'!AH36-'QTR BS'!AG36)-('QTR BS'!AH3-'QTR BS'!AG3)-('QTR BS'!AH13-'QTR BS'!AG13)-('QTR BS'!AH14-'QTR BS'!AG14)+('QTR BS'!AH23-'QTR BS'!AG23)+('QTR BS'!AH33-'QTR BS'!AG33)+('QTR BS'!AH34-'QTR BS'!AG34)+('QTR BS'!AH39-'QTR BS'!AG39)+('QTR BS'!AH40-'QTR BS'!AG40)</f>
        <v/>
      </c>
    </row>
    <row r="18">
      <c r="A18" s="3" t="inlineStr">
        <is>
          <t>Accounts Receivable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BS'!O4-'QTR BS'!N4)</f>
        <v/>
      </c>
      <c r="S18" s="4">
        <f>-('QTR BS'!P4-'QTR BS'!O4)</f>
        <v/>
      </c>
      <c r="T18" s="4">
        <f>-('QTR BS'!Q4-'QTR BS'!P4)</f>
        <v/>
      </c>
      <c r="U18" s="4">
        <f>-('QTR BS'!R4-'QTR BS'!Q4)</f>
        <v/>
      </c>
      <c r="V18" s="4">
        <f>-('QTR BS'!S4-'QTR BS'!R4)</f>
        <v/>
      </c>
      <c r="W18" s="4">
        <f>-('QTR BS'!T4-'QTR BS'!S4)</f>
        <v/>
      </c>
      <c r="X18" s="4">
        <f>-('QTR BS'!U4-'QTR BS'!T4)</f>
        <v/>
      </c>
      <c r="Y18" s="4">
        <f>-('QTR BS'!V4-'QTR BS'!U4)</f>
        <v/>
      </c>
      <c r="Z18" s="4">
        <f>-('QTR BS'!W4-'QTR BS'!V4)</f>
        <v/>
      </c>
      <c r="AA18" s="4">
        <f>-('QTR BS'!X4-'QTR BS'!W4)</f>
        <v/>
      </c>
      <c r="AB18" s="4">
        <f>-('QTR BS'!Y4-'QTR BS'!X4)</f>
        <v/>
      </c>
      <c r="AC18" s="4">
        <f>-('QTR BS'!Z4-'QTR BS'!Y4)</f>
        <v/>
      </c>
      <c r="AD18" s="4">
        <f>-('QTR BS'!AA4-'QTR BS'!Z4)</f>
        <v/>
      </c>
      <c r="AE18" s="4">
        <f>-('QTR BS'!AB4-'QTR BS'!AA4)</f>
        <v/>
      </c>
      <c r="AF18" s="4">
        <f>-('QTR BS'!AC4-'QTR BS'!AB4)</f>
        <v/>
      </c>
      <c r="AG18" s="4">
        <f>-('QTR BS'!AD4-'QTR BS'!AC4)</f>
        <v/>
      </c>
      <c r="AH18" s="4">
        <f>-('QTR BS'!AE4-'QTR BS'!AD4)</f>
        <v/>
      </c>
      <c r="AI18" s="4">
        <f>-('QTR BS'!AF4-'QTR BS'!AE4)</f>
        <v/>
      </c>
      <c r="AJ18" s="4">
        <f>-('QTR BS'!AG4-'QTR BS'!AF4)</f>
        <v/>
      </c>
      <c r="AK18" s="4">
        <f>-('QTR BS'!AH4-'QTR BS'!AG4)</f>
        <v/>
      </c>
    </row>
    <row r="19">
      <c r="A19" s="3" t="inlineStr">
        <is>
          <t>Note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  <c r="AH19" s="13" t="n">
        <v>0</v>
      </c>
      <c r="AI19" s="13" t="n">
        <v>0</v>
      </c>
      <c r="AJ19" s="13" t="n">
        <v>0</v>
      </c>
      <c r="AK19" s="13" t="n">
        <v>0</v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BS'!O6-'QTR BS'!N6)</f>
        <v/>
      </c>
      <c r="S20" s="4">
        <f>-('QTR BS'!P6-'QTR BS'!O6)</f>
        <v/>
      </c>
      <c r="T20" s="4">
        <f>-('QTR BS'!Q6-'QTR BS'!P6)</f>
        <v/>
      </c>
      <c r="U20" s="4">
        <f>-('QTR BS'!R6-'QTR BS'!Q6)</f>
        <v/>
      </c>
      <c r="V20" s="4">
        <f>-('QTR BS'!S6-'QTR BS'!R6)</f>
        <v/>
      </c>
      <c r="W20" s="4">
        <f>-('QTR BS'!T6-'QTR BS'!S6)</f>
        <v/>
      </c>
      <c r="X20" s="4">
        <f>-('QTR BS'!U6-'QTR BS'!T6)</f>
        <v/>
      </c>
      <c r="Y20" s="4">
        <f>-('QTR BS'!V6-'QTR BS'!U6)</f>
        <v/>
      </c>
      <c r="Z20" s="4">
        <f>-('QTR BS'!W6-'QTR BS'!V6)</f>
        <v/>
      </c>
      <c r="AA20" s="4">
        <f>-('QTR BS'!X6-'QTR BS'!W6)</f>
        <v/>
      </c>
      <c r="AB20" s="4">
        <f>-('QTR BS'!Y6-'QTR BS'!X6)</f>
        <v/>
      </c>
      <c r="AC20" s="4">
        <f>-('QTR BS'!Z6-'QTR BS'!Y6)</f>
        <v/>
      </c>
      <c r="AD20" s="4">
        <f>-('QTR BS'!AA6-'QTR BS'!Z6)</f>
        <v/>
      </c>
      <c r="AE20" s="4">
        <f>-('QTR BS'!AB6-'QTR BS'!AA6)</f>
        <v/>
      </c>
      <c r="AF20" s="4">
        <f>-('QTR BS'!AC6-'QTR BS'!AB6)</f>
        <v/>
      </c>
      <c r="AG20" s="4">
        <f>-('QTR BS'!AD6-'QTR BS'!AC6)</f>
        <v/>
      </c>
      <c r="AH20" s="4">
        <f>-('QTR BS'!AE6-'QTR BS'!AD6)</f>
        <v/>
      </c>
      <c r="AI20" s="4">
        <f>-('QTR BS'!AF6-'QTR BS'!AE6)</f>
        <v/>
      </c>
      <c r="AJ20" s="4">
        <f>-('QTR BS'!AG6-'QTR BS'!AF6)</f>
        <v/>
      </c>
      <c r="AK20" s="4">
        <f>-('QTR BS'!AH6-'QTR BS'!AG6)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-('QTR BS'!O7-'QTR BS'!N7)</f>
        <v/>
      </c>
      <c r="S21" s="4">
        <f>-('QTR BS'!P7-'QTR BS'!O7)</f>
        <v/>
      </c>
      <c r="T21" s="4">
        <f>-('QTR BS'!Q7-'QTR BS'!P7)</f>
        <v/>
      </c>
      <c r="U21" s="4">
        <f>-('QTR BS'!R7-'QTR BS'!Q7)</f>
        <v/>
      </c>
      <c r="V21" s="4">
        <f>-('QTR BS'!S7-'QTR BS'!R7)</f>
        <v/>
      </c>
      <c r="W21" s="4">
        <f>-('QTR BS'!T7-'QTR BS'!S7)</f>
        <v/>
      </c>
      <c r="X21" s="4">
        <f>-('QTR BS'!U7-'QTR BS'!T7)</f>
        <v/>
      </c>
      <c r="Y21" s="4">
        <f>-('QTR BS'!V7-'QTR BS'!U7)</f>
        <v/>
      </c>
      <c r="Z21" s="4">
        <f>-('QTR BS'!W7-'QTR BS'!V7)</f>
        <v/>
      </c>
      <c r="AA21" s="4">
        <f>-('QTR BS'!X7-'QTR BS'!W7)</f>
        <v/>
      </c>
      <c r="AB21" s="4">
        <f>-('QTR BS'!Y7-'QTR BS'!X7)</f>
        <v/>
      </c>
      <c r="AC21" s="4">
        <f>-('QTR BS'!Z7-'QTR BS'!Y7)</f>
        <v/>
      </c>
      <c r="AD21" s="4">
        <f>-('QTR BS'!AA7-'QTR BS'!Z7)</f>
        <v/>
      </c>
      <c r="AE21" s="4">
        <f>-('QTR BS'!AB7-'QTR BS'!AA7)</f>
        <v/>
      </c>
      <c r="AF21" s="4">
        <f>-('QTR BS'!AC7-'QTR BS'!AB7)</f>
        <v/>
      </c>
      <c r="AG21" s="4">
        <f>-('QTR BS'!AD7-'QTR BS'!AC7)</f>
        <v/>
      </c>
      <c r="AH21" s="4">
        <f>-('QTR BS'!AE7-'QTR BS'!AD7)</f>
        <v/>
      </c>
      <c r="AI21" s="4">
        <f>-('QTR BS'!AF7-'QTR BS'!AE7)</f>
        <v/>
      </c>
      <c r="AJ21" s="4">
        <f>-('QTR BS'!AG7-'QTR BS'!AF7)</f>
        <v/>
      </c>
      <c r="AK21" s="4">
        <f>-('QTR BS'!AH7-'QTR BS'!AG7)</f>
        <v/>
      </c>
    </row>
    <row r="22">
      <c r="A22" s="3" t="inlineStr">
        <is>
          <t>Change in A/P and Accrued (legacy)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</row>
    <row r="23">
      <c r="A23" s="3" t="inlineStr">
        <is>
          <t>Other Non-Current Assets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-('QTR BS'!O18-'QTR BS'!N18)</f>
        <v/>
      </c>
      <c r="S23" s="4">
        <f>-('QTR BS'!P18-'QTR BS'!O18)</f>
        <v/>
      </c>
      <c r="T23" s="4">
        <f>-('QTR BS'!Q18-'QTR BS'!P18)</f>
        <v/>
      </c>
      <c r="U23" s="4">
        <f>-('QTR BS'!R18-'QTR BS'!Q18)</f>
        <v/>
      </c>
      <c r="V23" s="4">
        <f>-('QTR BS'!S18-'QTR BS'!R18)</f>
        <v/>
      </c>
      <c r="W23" s="4">
        <f>-('QTR BS'!T18-'QTR BS'!S18)</f>
        <v/>
      </c>
      <c r="X23" s="4">
        <f>-('QTR BS'!U18-'QTR BS'!T18)</f>
        <v/>
      </c>
      <c r="Y23" s="4">
        <f>-('QTR BS'!V18-'QTR BS'!U18)</f>
        <v/>
      </c>
      <c r="Z23" s="4">
        <f>-('QTR BS'!W18-'QTR BS'!V18)</f>
        <v/>
      </c>
      <c r="AA23" s="4">
        <f>-('QTR BS'!X18-'QTR BS'!W18)</f>
        <v/>
      </c>
      <c r="AB23" s="4">
        <f>-('QTR BS'!Y18-'QTR BS'!X18)</f>
        <v/>
      </c>
      <c r="AC23" s="4">
        <f>-('QTR BS'!Z18-'QTR BS'!Y18)</f>
        <v/>
      </c>
      <c r="AD23" s="4">
        <f>-('QTR BS'!AA18-'QTR BS'!Z18)</f>
        <v/>
      </c>
      <c r="AE23" s="4">
        <f>-('QTR BS'!AB18-'QTR BS'!AA18)</f>
        <v/>
      </c>
      <c r="AF23" s="4">
        <f>-('QTR BS'!AC18-'QTR BS'!AB18)</f>
        <v/>
      </c>
      <c r="AG23" s="4">
        <f>-('QTR BS'!AD18-'QTR BS'!AC18)</f>
        <v/>
      </c>
      <c r="AH23" s="4">
        <f>-('QTR BS'!AE18-'QTR BS'!AD18)</f>
        <v/>
      </c>
      <c r="AI23" s="4">
        <f>-('QTR BS'!AF18-'QTR BS'!AE18)</f>
        <v/>
      </c>
      <c r="AJ23" s="4">
        <f>-('QTR BS'!AG18-'QTR BS'!AF18)</f>
        <v/>
      </c>
      <c r="AK23" s="4">
        <f>-('QTR BS'!AH18-'QTR BS'!AG18)</f>
        <v/>
      </c>
    </row>
    <row r="24">
      <c r="A24" s="3" t="inlineStr">
        <is>
          <t>Accounts Payable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BS'!O20-'QTR BS'!N20)</f>
        <v/>
      </c>
      <c r="S24" s="4">
        <f>('QTR BS'!P20-'QTR BS'!O20)</f>
        <v/>
      </c>
      <c r="T24" s="4">
        <f>('QTR BS'!Q20-'QTR BS'!P20)</f>
        <v/>
      </c>
      <c r="U24" s="4">
        <f>('QTR BS'!R20-'QTR BS'!Q20)</f>
        <v/>
      </c>
      <c r="V24" s="4">
        <f>('QTR BS'!S20-'QTR BS'!R20)</f>
        <v/>
      </c>
      <c r="W24" s="4">
        <f>('QTR BS'!T20-'QTR BS'!S20)</f>
        <v/>
      </c>
      <c r="X24" s="4">
        <f>('QTR BS'!U20-'QTR BS'!T20)</f>
        <v/>
      </c>
      <c r="Y24" s="4">
        <f>('QTR BS'!V20-'QTR BS'!U20)</f>
        <v/>
      </c>
      <c r="Z24" s="4">
        <f>('QTR BS'!W20-'QTR BS'!V20)</f>
        <v/>
      </c>
      <c r="AA24" s="4">
        <f>('QTR BS'!X20-'QTR BS'!W20)</f>
        <v/>
      </c>
      <c r="AB24" s="4">
        <f>('QTR BS'!Y20-'QTR BS'!X20)</f>
        <v/>
      </c>
      <c r="AC24" s="4">
        <f>('QTR BS'!Z20-'QTR BS'!Y20)</f>
        <v/>
      </c>
      <c r="AD24" s="4">
        <f>('QTR BS'!AA20-'QTR BS'!Z20)</f>
        <v/>
      </c>
      <c r="AE24" s="4">
        <f>('QTR BS'!AB20-'QTR BS'!AA20)</f>
        <v/>
      </c>
      <c r="AF24" s="4">
        <f>('QTR BS'!AC20-'QTR BS'!AB20)</f>
        <v/>
      </c>
      <c r="AG24" s="4">
        <f>('QTR BS'!AD20-'QTR BS'!AC20)</f>
        <v/>
      </c>
      <c r="AH24" s="4">
        <f>('QTR BS'!AE20-'QTR BS'!AD20)</f>
        <v/>
      </c>
      <c r="AI24" s="4">
        <f>('QTR BS'!AF20-'QTR BS'!AE20)</f>
        <v/>
      </c>
      <c r="AJ24" s="4">
        <f>('QTR BS'!AG20-'QTR BS'!AF20)</f>
        <v/>
      </c>
      <c r="AK24" s="4">
        <f>('QTR BS'!AH20-'QTR BS'!AG20)</f>
        <v/>
      </c>
    </row>
    <row r="25">
      <c r="A25" s="3" t="inlineStr">
        <is>
          <t>Accrued Expenses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('QTR BS'!O21-'QTR BS'!N21)</f>
        <v/>
      </c>
      <c r="S25" s="4">
        <f>('QTR BS'!P21-'QTR BS'!O21)</f>
        <v/>
      </c>
      <c r="T25" s="4">
        <f>('QTR BS'!Q21-'QTR BS'!P21)</f>
        <v/>
      </c>
      <c r="U25" s="4">
        <f>('QTR BS'!R21-'QTR BS'!Q21)</f>
        <v/>
      </c>
      <c r="V25" s="4">
        <f>('QTR BS'!S21-'QTR BS'!R21)</f>
        <v/>
      </c>
      <c r="W25" s="4">
        <f>('QTR BS'!T21-'QTR BS'!S21)</f>
        <v/>
      </c>
      <c r="X25" s="4">
        <f>('QTR BS'!U21-'QTR BS'!T21)</f>
        <v/>
      </c>
      <c r="Y25" s="4">
        <f>('QTR BS'!V21-'QTR BS'!U21)</f>
        <v/>
      </c>
      <c r="Z25" s="4">
        <f>('QTR BS'!W21-'QTR BS'!V21)</f>
        <v/>
      </c>
      <c r="AA25" s="4">
        <f>('QTR BS'!X21-'QTR BS'!W21)</f>
        <v/>
      </c>
      <c r="AB25" s="4">
        <f>('QTR BS'!Y21-'QTR BS'!X21)</f>
        <v/>
      </c>
      <c r="AC25" s="4">
        <f>('QTR BS'!Z21-'QTR BS'!Y21)</f>
        <v/>
      </c>
      <c r="AD25" s="4">
        <f>('QTR BS'!AA21-'QTR BS'!Z21)</f>
        <v/>
      </c>
      <c r="AE25" s="4">
        <f>('QTR BS'!AB21-'QTR BS'!AA21)</f>
        <v/>
      </c>
      <c r="AF25" s="4">
        <f>('QTR BS'!AC21-'QTR BS'!AB21)</f>
        <v/>
      </c>
      <c r="AG25" s="4">
        <f>('QTR BS'!AD21-'QTR BS'!AC21)</f>
        <v/>
      </c>
      <c r="AH25" s="4">
        <f>('QTR BS'!AE21-'QTR BS'!AD21)</f>
        <v/>
      </c>
      <c r="AI25" s="4">
        <f>('QTR BS'!AF21-'QTR BS'!AE21)</f>
        <v/>
      </c>
      <c r="AJ25" s="4">
        <f>('QTR BS'!AG21-'QTR BS'!AF21)</f>
        <v/>
      </c>
      <c r="AK25" s="4">
        <f>('QTR BS'!AH21-'QTR BS'!AG21)</f>
        <v/>
      </c>
    </row>
    <row r="26">
      <c r="A26" s="3" t="inlineStr">
        <is>
          <t>Other Current Liabilities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('QTR BS'!O29-'QTR BS'!N29)</f>
        <v/>
      </c>
      <c r="S26" s="4">
        <f>('QTR BS'!P29-'QTR BS'!O29)</f>
        <v/>
      </c>
      <c r="T26" s="4">
        <f>('QTR BS'!Q29-'QTR BS'!P29)</f>
        <v/>
      </c>
      <c r="U26" s="4">
        <f>('QTR BS'!R29-'QTR BS'!Q29)</f>
        <v/>
      </c>
      <c r="V26" s="4">
        <f>('QTR BS'!S29-'QTR BS'!R29)</f>
        <v/>
      </c>
      <c r="W26" s="4">
        <f>('QTR BS'!T29-'QTR BS'!S29)</f>
        <v/>
      </c>
      <c r="X26" s="4">
        <f>('QTR BS'!U29-'QTR BS'!T29)</f>
        <v/>
      </c>
      <c r="Y26" s="4">
        <f>('QTR BS'!V29-'QTR BS'!U29)</f>
        <v/>
      </c>
      <c r="Z26" s="4">
        <f>('QTR BS'!W29-'QTR BS'!V29)</f>
        <v/>
      </c>
      <c r="AA26" s="4">
        <f>('QTR BS'!X29-'QTR BS'!W29)</f>
        <v/>
      </c>
      <c r="AB26" s="4">
        <f>('QTR BS'!Y29-'QTR BS'!X29)</f>
        <v/>
      </c>
      <c r="AC26" s="4">
        <f>('QTR BS'!Z29-'QTR BS'!Y29)</f>
        <v/>
      </c>
      <c r="AD26" s="4">
        <f>('QTR BS'!AA29-'QTR BS'!Z29)</f>
        <v/>
      </c>
      <c r="AE26" s="4">
        <f>('QTR BS'!AB29-'QTR BS'!AA29)</f>
        <v/>
      </c>
      <c r="AF26" s="4">
        <f>('QTR BS'!AC29-'QTR BS'!AB29)</f>
        <v/>
      </c>
      <c r="AG26" s="4">
        <f>('QTR BS'!AD29-'QTR BS'!AC29)</f>
        <v/>
      </c>
      <c r="AH26" s="4">
        <f>('QTR BS'!AE29-'QTR BS'!AD29)</f>
        <v/>
      </c>
      <c r="AI26" s="4">
        <f>('QTR BS'!AF29-'QTR BS'!AE29)</f>
        <v/>
      </c>
      <c r="AJ26" s="4">
        <f>('QTR BS'!AG29-'QTR BS'!AF29)</f>
        <v/>
      </c>
      <c r="AK26" s="4">
        <f>('QTR BS'!AH29-'QTR BS'!AG29)</f>
        <v/>
      </c>
    </row>
    <row r="27">
      <c r="A27" s="3" t="inlineStr">
        <is>
          <t>Accrued Promotional Allowance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('QTR BS'!O24-'QTR BS'!N24)</f>
        <v/>
      </c>
      <c r="S27" s="4">
        <f>('QTR BS'!P24-'QTR BS'!O24)</f>
        <v/>
      </c>
      <c r="T27" s="4">
        <f>('QTR BS'!Q24-'QTR BS'!P24)</f>
        <v/>
      </c>
      <c r="U27" s="4">
        <f>('QTR BS'!R24-'QTR BS'!Q24)</f>
        <v/>
      </c>
      <c r="V27" s="4">
        <f>('QTR BS'!S24-'QTR BS'!R24)</f>
        <v/>
      </c>
      <c r="W27" s="4">
        <f>('QTR BS'!T24-'QTR BS'!S24)</f>
        <v/>
      </c>
      <c r="X27" s="4">
        <f>('QTR BS'!U24-'QTR BS'!T24)</f>
        <v/>
      </c>
      <c r="Y27" s="4">
        <f>('QTR BS'!V24-'QTR BS'!U24)</f>
        <v/>
      </c>
      <c r="Z27" s="4">
        <f>('QTR BS'!W24-'QTR BS'!V24)</f>
        <v/>
      </c>
      <c r="AA27" s="4">
        <f>('QTR BS'!X24-'QTR BS'!W24)</f>
        <v/>
      </c>
      <c r="AB27" s="4">
        <f>('QTR BS'!Y24-'QTR BS'!X24)</f>
        <v/>
      </c>
      <c r="AC27" s="4">
        <f>('QTR BS'!Z24-'QTR BS'!Y24)</f>
        <v/>
      </c>
      <c r="AD27" s="4">
        <f>('QTR BS'!AA24-'QTR BS'!Z24)</f>
        <v/>
      </c>
      <c r="AE27" s="4">
        <f>('QTR BS'!AB24-'QTR BS'!AA24)</f>
        <v/>
      </c>
      <c r="AF27" s="4">
        <f>('QTR BS'!AC24-'QTR BS'!AB24)</f>
        <v/>
      </c>
      <c r="AG27" s="4">
        <f>('QTR BS'!AD24-'QTR BS'!AC24)</f>
        <v/>
      </c>
      <c r="AH27" s="4">
        <f>('QTR BS'!AE24-'QTR BS'!AD24)</f>
        <v/>
      </c>
      <c r="AI27" s="4">
        <f>('QTR BS'!AF24-'QTR BS'!AE24)</f>
        <v/>
      </c>
      <c r="AJ27" s="4">
        <f>('QTR BS'!AG24-'QTR BS'!AF24)</f>
        <v/>
      </c>
      <c r="AK27" s="4">
        <f>('QTR BS'!AH24-'QTR BS'!AG24)</f>
        <v/>
      </c>
    </row>
    <row r="28">
      <c r="A28" s="3" t="inlineStr">
        <is>
          <t>Accrued Distributor Termination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</row>
    <row r="29">
      <c r="A29" s="3" t="inlineStr">
        <is>
          <t>ROU &amp; Lease Liability, Net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  <c r="AH29" s="13" t="n">
        <v>0</v>
      </c>
      <c r="AI29" s="13" t="n">
        <v>0</v>
      </c>
      <c r="AJ29" s="13" t="n">
        <v>0</v>
      </c>
      <c r="AK29" s="13" t="n">
        <v>0</v>
      </c>
    </row>
    <row r="30">
      <c r="A30" s="3" t="inlineStr">
        <is>
          <t>Deferred Revenue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</row>
    <row r="31">
      <c r="A31" s="3" t="inlineStr">
        <is>
          <t>Net Change in Other Working Capital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4">
        <f>0</f>
        <v/>
      </c>
      <c r="S31" s="4">
        <f>0</f>
        <v/>
      </c>
      <c r="T31" s="4">
        <f>0</f>
        <v/>
      </c>
      <c r="U31" s="4">
        <f>0</f>
        <v/>
      </c>
      <c r="V31" s="4">
        <f>0</f>
        <v/>
      </c>
      <c r="W31" s="4">
        <f>0</f>
        <v/>
      </c>
      <c r="X31" s="4">
        <f>0</f>
        <v/>
      </c>
      <c r="Y31" s="4">
        <f>0</f>
        <v/>
      </c>
      <c r="Z31" s="4">
        <f>0</f>
        <v/>
      </c>
      <c r="AA31" s="4">
        <f>0</f>
        <v/>
      </c>
      <c r="AB31" s="4">
        <f>0</f>
        <v/>
      </c>
      <c r="AC31" s="4">
        <f>0</f>
        <v/>
      </c>
      <c r="AD31" s="4">
        <f>0</f>
        <v/>
      </c>
      <c r="AE31" s="4">
        <f>0</f>
        <v/>
      </c>
      <c r="AF31" s="4">
        <f>0</f>
        <v/>
      </c>
      <c r="AG31" s="4">
        <f>0</f>
        <v/>
      </c>
      <c r="AH31" s="4">
        <f>0</f>
        <v/>
      </c>
      <c r="AI31" s="4">
        <f>0</f>
        <v/>
      </c>
      <c r="AJ31" s="4">
        <f>0</f>
        <v/>
      </c>
      <c r="AK31" s="4">
        <f>0</f>
        <v/>
      </c>
    </row>
    <row r="32">
      <c r="A32" s="3" t="inlineStr">
        <is>
          <t>Collections from Note Receivable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s="3" t="inlineStr">
        <is>
          <t>Purchase of PP&amp;E — % of Revenue</t>
        </is>
      </c>
      <c r="B33" s="11">
        <f>IFERROR('QTR CF'!B34/'QTR P&amp;L'!B2,"")</f>
        <v/>
      </c>
      <c r="C33" s="11">
        <f>IFERROR('QTR CF'!C34/'QTR P&amp;L'!C2,"")</f>
        <v/>
      </c>
      <c r="D33" s="11">
        <f>IFERROR('QTR CF'!D34/'QTR P&amp;L'!D2,"")</f>
        <v/>
      </c>
      <c r="E33" s="11">
        <f>IFERROR('QTR CF'!E34/'QTR P&amp;L'!E2,"")</f>
        <v/>
      </c>
      <c r="F33" s="11">
        <f>IFERROR('QTR CF'!F34/'QTR P&amp;L'!F2,"")</f>
        <v/>
      </c>
      <c r="G33" s="11">
        <f>IFERROR('QTR CF'!G34/'QTR P&amp;L'!G2,"")</f>
        <v/>
      </c>
      <c r="H33" s="11">
        <f>IFERROR('QTR CF'!H34/'QTR P&amp;L'!H2,"")</f>
        <v/>
      </c>
      <c r="I33" s="11">
        <f>IFERROR('QTR CF'!I34/'QTR P&amp;L'!I2,"")</f>
        <v/>
      </c>
      <c r="J33" s="11">
        <f>IFERROR('QTR CF'!J34/'QTR P&amp;L'!J2,"")</f>
        <v/>
      </c>
      <c r="K33" s="11">
        <f>IFERROR('QTR CF'!K34/'QTR P&amp;L'!K2,"")</f>
        <v/>
      </c>
      <c r="L33" s="11">
        <f>IFERROR('QTR CF'!L34/'QTR P&amp;L'!L2,"")</f>
        <v/>
      </c>
      <c r="M33" s="11">
        <f>IFERROR('QTR CF'!M34/'QTR P&amp;L'!M2,"")</f>
        <v/>
      </c>
      <c r="N33" s="11">
        <f>IFERROR('QTR CF'!N34/'QTR P&amp;L'!N2,"")</f>
        <v/>
      </c>
      <c r="O33" s="11">
        <f>IFERROR('QTR CF'!O34/'QTR P&amp;L'!O2,"")</f>
        <v/>
      </c>
      <c r="P33" s="11">
        <f>IFERROR('QTR CF'!P34/'QTR P&amp;L'!P2,"")</f>
        <v/>
      </c>
      <c r="Q33" s="11">
        <f>IFERROR('QTR CF'!Q34/'QTR P&amp;L'!Q2,"")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  <c r="AI33" s="12">
        <f>AH33</f>
        <v/>
      </c>
      <c r="AJ33" s="12">
        <f>AI33</f>
        <v/>
      </c>
      <c r="AK33" s="12">
        <f>AJ33</f>
        <v/>
      </c>
    </row>
    <row r="34">
      <c r="A34" s="3" t="inlineStr">
        <is>
          <t>Purchase of Non-Marketable Equity Securities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</row>
    <row r="35">
      <c r="A35" s="3" t="inlineStr">
        <is>
          <t>Acquisition of Big Beverages</t>
        </is>
      </c>
      <c r="B35" s="4">
        <f>'QTR CF'!B36</f>
        <v/>
      </c>
      <c r="C35" s="4">
        <f>'QTR CF'!C36</f>
        <v/>
      </c>
      <c r="D35" s="4">
        <f>'QTR CF'!D36</f>
        <v/>
      </c>
      <c r="E35" s="4">
        <f>'QTR CF'!E36</f>
        <v/>
      </c>
      <c r="F35" s="4">
        <f>'QTR CF'!F36</f>
        <v/>
      </c>
      <c r="G35" s="4">
        <f>'QTR CF'!G36</f>
        <v/>
      </c>
      <c r="H35" s="4">
        <f>'QTR CF'!H36</f>
        <v/>
      </c>
      <c r="I35" s="4">
        <f>'QTR CF'!I36</f>
        <v/>
      </c>
      <c r="J35" s="4">
        <f>'QTR CF'!J36</f>
        <v/>
      </c>
      <c r="K35" s="4">
        <f>'QTR CF'!K36</f>
        <v/>
      </c>
      <c r="L35" s="4">
        <f>'QTR CF'!L36</f>
        <v/>
      </c>
      <c r="M35" s="4">
        <f>'QTR CF'!M36</f>
        <v/>
      </c>
      <c r="N35" s="4">
        <f>'QTR CF'!N36</f>
        <v/>
      </c>
      <c r="O35" s="4">
        <f>'QTR CF'!O36</f>
        <v/>
      </c>
      <c r="P35" s="4">
        <f>'QTR CF'!P36</f>
        <v/>
      </c>
      <c r="Q35" s="4">
        <f>'QTR CF'!Q36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  <c r="AH35" s="13" t="n">
        <v>0</v>
      </c>
      <c r="AI35" s="13" t="n">
        <v>0</v>
      </c>
      <c r="AJ35" s="13" t="n">
        <v>0</v>
      </c>
      <c r="AK35" s="13" t="n">
        <v>0</v>
      </c>
    </row>
    <row r="36">
      <c r="A36" s="3" t="inlineStr">
        <is>
          <t>Acquisitions, Net of Cash Acquired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</row>
    <row r="37">
      <c r="A37" s="3" t="inlineStr">
        <is>
          <t>Working Capital Estimate from Pepsi (Rockstar)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13" t="n">
        <v>0</v>
      </c>
      <c r="S37" s="13" t="n">
        <v>0</v>
      </c>
      <c r="T37" s="13" t="n">
        <v>0</v>
      </c>
      <c r="U37" s="13" t="n">
        <v>0</v>
      </c>
      <c r="V37" s="13" t="n">
        <v>0</v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  <c r="AC37" s="13" t="n">
        <v>0</v>
      </c>
      <c r="AD37" s="13" t="n">
        <v>0</v>
      </c>
      <c r="AE37" s="13" t="n">
        <v>0</v>
      </c>
      <c r="AF37" s="13" t="n">
        <v>0</v>
      </c>
      <c r="AG37" s="13" t="n">
        <v>0</v>
      </c>
      <c r="AH37" s="13" t="n">
        <v>0</v>
      </c>
      <c r="AI37" s="13" t="n">
        <v>0</v>
      </c>
      <c r="AJ37" s="13" t="n">
        <v>0</v>
      </c>
      <c r="AK37" s="13" t="n">
        <v>0</v>
      </c>
    </row>
    <row r="38">
      <c r="A38" s="3" t="inlineStr">
        <is>
          <t>Finance Lease Payments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  <c r="AH39" s="13" t="n">
        <v>0</v>
      </c>
      <c r="AI39" s="13" t="n">
        <v>0</v>
      </c>
      <c r="AJ39" s="13" t="n">
        <v>0</v>
      </c>
      <c r="AK39" s="13" t="n">
        <v>0</v>
      </c>
    </row>
    <row r="40">
      <c r="A40" s="3" t="inlineStr">
        <is>
          <t>Proceeds from Issuance of Common Stock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</row>
    <row r="41">
      <c r="A41" s="3" t="inlineStr">
        <is>
          <t>Proceeds from Issuance of Preferred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  <c r="AH41" s="13" t="n">
        <v>0</v>
      </c>
      <c r="AI41" s="13" t="n">
        <v>0</v>
      </c>
      <c r="AJ41" s="13" t="n">
        <v>0</v>
      </c>
      <c r="AK41" s="13" t="n">
        <v>0</v>
      </c>
    </row>
    <row r="42">
      <c r="A42" s="3" t="inlineStr">
        <is>
          <t>Preferred Dividends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>
        <f>Q42</f>
        <v/>
      </c>
      <c r="S42" s="13">
        <f>R42</f>
        <v/>
      </c>
      <c r="T42" s="13">
        <f>S42</f>
        <v/>
      </c>
      <c r="U42" s="13">
        <f>T42</f>
        <v/>
      </c>
      <c r="V42" s="13">
        <f>U42</f>
        <v/>
      </c>
      <c r="W42" s="13">
        <f>V42</f>
        <v/>
      </c>
      <c r="X42" s="13">
        <f>W42</f>
        <v/>
      </c>
      <c r="Y42" s="13">
        <f>X42</f>
        <v/>
      </c>
      <c r="Z42" s="13">
        <f>Y42</f>
        <v/>
      </c>
      <c r="AA42" s="13">
        <f>Z42</f>
        <v/>
      </c>
      <c r="AB42" s="13">
        <f>AA42</f>
        <v/>
      </c>
      <c r="AC42" s="13">
        <f>AB42</f>
        <v/>
      </c>
      <c r="AD42" s="13">
        <f>AC42</f>
        <v/>
      </c>
      <c r="AE42" s="13">
        <f>AD42</f>
        <v/>
      </c>
      <c r="AF42" s="13">
        <f>AE42</f>
        <v/>
      </c>
      <c r="AG42" s="13">
        <f>AF42</f>
        <v/>
      </c>
      <c r="AH42" s="13">
        <f>AG42</f>
        <v/>
      </c>
      <c r="AI42" s="13">
        <f>AH42</f>
        <v/>
      </c>
      <c r="AJ42" s="13">
        <f>AI42</f>
        <v/>
      </c>
      <c r="AK42" s="13">
        <f>AJ42</f>
        <v/>
      </c>
    </row>
    <row r="43">
      <c r="A43" s="3" t="inlineStr">
        <is>
          <t>Share Repurchases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13" t="n">
        <v>0</v>
      </c>
      <c r="S43" s="13" t="n">
        <v>0</v>
      </c>
      <c r="T43" s="13" t="n">
        <v>0</v>
      </c>
      <c r="U43" s="13" t="n">
        <v>0</v>
      </c>
      <c r="V43" s="13" t="n">
        <v>0</v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  <c r="AC43" s="13" t="n">
        <v>0</v>
      </c>
      <c r="AD43" s="13" t="n">
        <v>0</v>
      </c>
      <c r="AE43" s="13" t="n">
        <v>0</v>
      </c>
      <c r="AF43" s="13" t="n">
        <v>0</v>
      </c>
      <c r="AG43" s="13" t="n">
        <v>0</v>
      </c>
      <c r="AH43" s="13" t="n">
        <v>0</v>
      </c>
      <c r="AI43" s="13" t="n">
        <v>0</v>
      </c>
      <c r="AJ43" s="13" t="n">
        <v>0</v>
      </c>
      <c r="AK43" s="13" t="n">
        <v>0</v>
      </c>
    </row>
    <row r="44">
      <c r="A44" s="3" t="inlineStr">
        <is>
          <t>Proceeds from Issuance of Long-Term Debt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</row>
    <row r="45">
      <c r="A45" s="3" t="inlineStr">
        <is>
          <t>Repayments of Long-Term Debt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13" t="n">
        <v>0</v>
      </c>
      <c r="S45" s="13" t="n">
        <v>0</v>
      </c>
      <c r="T45" s="13" t="n">
        <v>0</v>
      </c>
      <c r="U45" s="13" t="n">
        <v>0</v>
      </c>
      <c r="V45" s="13" t="n">
        <v>0</v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  <c r="AC45" s="13" t="n">
        <v>0</v>
      </c>
      <c r="AD45" s="13" t="n">
        <v>0</v>
      </c>
      <c r="AE45" s="13" t="n">
        <v>0</v>
      </c>
      <c r="AF45" s="13" t="n">
        <v>0</v>
      </c>
      <c r="AG45" s="13" t="n">
        <v>0</v>
      </c>
      <c r="AH45" s="13" t="n">
        <v>0</v>
      </c>
      <c r="AI45" s="13" t="n">
        <v>0</v>
      </c>
      <c r="AJ45" s="13" t="n">
        <v>0</v>
      </c>
      <c r="AK45" s="13" t="n">
        <v>0</v>
      </c>
    </row>
    <row r="46">
      <c r="A46" s="3" t="inlineStr">
        <is>
          <t>Debt Issuance Fees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</row>
    <row r="47">
      <c r="A47" s="3" t="inlineStr">
        <is>
          <t>Other Financing Activities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13" t="n">
        <v>0</v>
      </c>
      <c r="S47" s="13" t="n">
        <v>0</v>
      </c>
      <c r="T47" s="13" t="n">
        <v>0</v>
      </c>
      <c r="U47" s="13" t="n">
        <v>0</v>
      </c>
      <c r="V47" s="13" t="n">
        <v>0</v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  <c r="AC47" s="13" t="n">
        <v>0</v>
      </c>
      <c r="AD47" s="13" t="n">
        <v>0</v>
      </c>
      <c r="AE47" s="13" t="n">
        <v>0</v>
      </c>
      <c r="AF47" s="13" t="n">
        <v>0</v>
      </c>
      <c r="AG47" s="13" t="n">
        <v>0</v>
      </c>
      <c r="AH47" s="13" t="n">
        <v>0</v>
      </c>
      <c r="AI47" s="13" t="n">
        <v>0</v>
      </c>
      <c r="AJ47" s="13" t="n">
        <v>0</v>
      </c>
      <c r="AK47" s="13" t="n">
        <v>0</v>
      </c>
    </row>
    <row r="48">
      <c r="A48" s="3" t="inlineStr">
        <is>
          <t>FX Effect on Cash</t>
        </is>
      </c>
      <c r="B48" s="4">
        <f>'QTR CF'!B51</f>
        <v/>
      </c>
      <c r="C48" s="4">
        <f>'QTR CF'!C51</f>
        <v/>
      </c>
      <c r="D48" s="4">
        <f>'QTR CF'!D51</f>
        <v/>
      </c>
      <c r="E48" s="4">
        <f>'QTR CF'!E51</f>
        <v/>
      </c>
      <c r="F48" s="4">
        <f>'QTR CF'!F51</f>
        <v/>
      </c>
      <c r="G48" s="4">
        <f>'QTR CF'!G51</f>
        <v/>
      </c>
      <c r="H48" s="4">
        <f>'QTR CF'!H51</f>
        <v/>
      </c>
      <c r="I48" s="4">
        <f>'QTR CF'!I51</f>
        <v/>
      </c>
      <c r="J48" s="4">
        <f>'QTR CF'!J51</f>
        <v/>
      </c>
      <c r="K48" s="4">
        <f>'QTR CF'!K51</f>
        <v/>
      </c>
      <c r="L48" s="4">
        <f>'QTR CF'!L51</f>
        <v/>
      </c>
      <c r="M48" s="4">
        <f>'QTR CF'!M51</f>
        <v/>
      </c>
      <c r="N48" s="4">
        <f>'QTR CF'!N51</f>
        <v/>
      </c>
      <c r="O48" s="4">
        <f>'QTR CF'!O51</f>
        <v/>
      </c>
      <c r="P48" s="4">
        <f>'QTR CF'!P51</f>
        <v/>
      </c>
      <c r="Q48" s="4">
        <f>'QTR CF'!Q51</f>
        <v/>
      </c>
      <c r="R48" s="13">
        <f>Q48</f>
        <v/>
      </c>
      <c r="S48" s="13">
        <f>R48</f>
        <v/>
      </c>
      <c r="T48" s="13">
        <f>S48</f>
        <v/>
      </c>
      <c r="U48" s="13">
        <f>T48</f>
        <v/>
      </c>
      <c r="V48" s="13">
        <f>U48</f>
        <v/>
      </c>
      <c r="W48" s="13">
        <f>V48</f>
        <v/>
      </c>
      <c r="X48" s="13">
        <f>W48</f>
        <v/>
      </c>
      <c r="Y48" s="13">
        <f>X48</f>
        <v/>
      </c>
      <c r="Z48" s="13">
        <f>Y48</f>
        <v/>
      </c>
      <c r="AA48" s="13">
        <f>Z48</f>
        <v/>
      </c>
      <c r="AB48" s="13">
        <f>AA48</f>
        <v/>
      </c>
      <c r="AC48" s="13">
        <f>AB48</f>
        <v/>
      </c>
      <c r="AD48" s="13">
        <f>AC48</f>
        <v/>
      </c>
      <c r="AE48" s="13">
        <f>AD48</f>
        <v/>
      </c>
      <c r="AF48" s="13">
        <f>AE48</f>
        <v/>
      </c>
      <c r="AG48" s="13">
        <f>AF48</f>
        <v/>
      </c>
      <c r="AH48" s="13">
        <f>AG48</f>
        <v/>
      </c>
      <c r="AI48" s="13">
        <f>AH48</f>
        <v/>
      </c>
      <c r="AJ48" s="13">
        <f>AI48</f>
        <v/>
      </c>
      <c r="AK48" s="13">
        <f>AJ48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52"/>
  <sheetViews>
    <sheetView tabSelected="1" topLeftCell="A32" workbookViewId="0">
      <selection activeCell="A52" sqref="A52"/>
    </sheetView>
  </sheetViews>
  <sheetFormatPr baseColWidth="8" defaultRowHeight="15"/>
  <cols>
    <col width="40.28515625" bestFit="1" customWidth="1" min="1" max="1"/>
    <col hidden="1" outlineLevel="1" width="9.140625" customWidth="1" min="2" max="2"/>
    <col collapsed="1" width="9.140625" customWidth="1" min="3" max="3"/>
  </cols>
  <sheetData>
    <row r="1">
      <c r="A1" s="1" t="inlineStr">
        <is>
          <t>(in Millions)</t>
        </is>
      </c>
      <c r="B1" s="2" t="n">
        <v>2020</v>
      </c>
      <c r="C1" s="2" t="inlineStr">
        <is>
          <t>2021</t>
        </is>
      </c>
      <c r="D1" s="2" t="inlineStr">
        <is>
          <t>2022</t>
        </is>
      </c>
      <c r="E1" s="2" t="inlineStr">
        <is>
          <t>2023</t>
        </is>
      </c>
      <c r="F1" s="2" t="inlineStr">
        <is>
          <t>2024</t>
        </is>
      </c>
      <c r="G1" s="2" t="n">
        <v>2025</v>
      </c>
      <c r="H1" s="2" t="inlineStr">
        <is>
          <t>2026E</t>
        </is>
      </c>
      <c r="I1" s="2" t="inlineStr">
        <is>
          <t>2027E</t>
        </is>
      </c>
      <c r="J1" s="2" t="inlineStr">
        <is>
          <t>2028E</t>
        </is>
      </c>
      <c r="K1" s="2" t="inlineStr">
        <is>
          <t>2029E</t>
        </is>
      </c>
      <c r="L1" s="2" t="inlineStr">
        <is>
          <t>2030E</t>
        </is>
      </c>
      <c r="M1" s="49" t="n"/>
      <c r="N1" s="17" t="inlineStr">
        <is>
          <t>Source</t>
        </is>
      </c>
    </row>
    <row r="2">
      <c r="A2" s="18" t="inlineStr">
        <is>
          <t>Total Energy Drink Overview</t>
        </is>
      </c>
      <c r="C2" s="18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6" t="n"/>
      <c r="N2" s="16" t="n"/>
    </row>
    <row r="3">
      <c r="A3" s="16" t="inlineStr">
        <is>
          <t>Total Energy Drink Sector TAM ($)</t>
        </is>
      </c>
      <c r="B3" s="20" t="n">
        <v>14520</v>
      </c>
      <c r="C3" s="20" t="n">
        <v>16713</v>
      </c>
      <c r="D3" s="20" t="n">
        <v>18534</v>
      </c>
      <c r="E3" s="20" t="n">
        <v>19998</v>
      </c>
      <c r="F3" s="20" t="n">
        <v>20638</v>
      </c>
      <c r="G3" s="21" t="n">
        <v>22814</v>
      </c>
      <c r="H3" s="22">
        <f>G3*(1+H4)</f>
        <v/>
      </c>
      <c r="I3" s="22">
        <f>H3*(1+I4)</f>
        <v/>
      </c>
      <c r="J3" s="22">
        <f>I3*(1+J4)</f>
        <v/>
      </c>
      <c r="K3" s="22">
        <f>J3*(1+K4)</f>
        <v/>
      </c>
      <c r="L3" s="22">
        <f>K3*(1+L4)</f>
        <v/>
      </c>
      <c r="M3" s="23" t="n"/>
      <c r="N3" s="24" t="inlineStr">
        <is>
          <t>2024: MNST Jan 2025 Pres (17.7% x $116.6B); 2025: MNST Dec 2025 Pres (18.7% x $122B); 2020-23 back-calc</t>
        </is>
      </c>
    </row>
    <row r="4">
      <c r="A4" s="50" t="inlineStr">
        <is>
          <t>Total TAM Growth</t>
        </is>
      </c>
      <c r="B4" s="16" t="n"/>
      <c r="C4" s="25">
        <f>C3/B3-1</f>
        <v/>
      </c>
      <c r="D4" s="25">
        <f>D3/C3-1</f>
        <v/>
      </c>
      <c r="E4" s="25">
        <f>E3/D3-1</f>
        <v/>
      </c>
      <c r="F4" s="25">
        <f>F3/E3-1</f>
        <v/>
      </c>
      <c r="G4" s="26">
        <f>G3/F3-1</f>
        <v/>
      </c>
      <c r="H4" s="27" t="n">
        <v>0.091</v>
      </c>
      <c r="I4" s="27" t="n">
        <v>0.07000000000000001</v>
      </c>
      <c r="J4" s="27" t="n">
        <v>0.07000000000000001</v>
      </c>
      <c r="K4" s="27" t="n">
        <v>0.07000000000000001</v>
      </c>
      <c r="L4" s="27" t="n">
        <v>0.07000000000000001</v>
      </c>
      <c r="M4" s="28" t="n"/>
      <c r="N4" s="24" t="inlineStr">
        <is>
          <t>Goldman Equity Research</t>
        </is>
      </c>
    </row>
    <row r="5">
      <c r="A5" s="51" t="inlineStr">
        <is>
          <t>Total Units</t>
        </is>
      </c>
      <c r="B5" s="29" t="n">
        <v>5330</v>
      </c>
      <c r="C5" s="29" t="n">
        <v>5882</v>
      </c>
      <c r="D5" s="29" t="n">
        <v>6026</v>
      </c>
      <c r="E5" s="29" t="n">
        <v>6396</v>
      </c>
      <c r="F5" s="29" t="n">
        <v>6336</v>
      </c>
      <c r="G5" s="29" t="n">
        <v>6843</v>
      </c>
      <c r="H5" s="30">
        <f>((1+H7)*G5)-H6</f>
        <v/>
      </c>
      <c r="I5" s="30">
        <f>((1+I7)*H5)-I6</f>
        <v/>
      </c>
      <c r="J5" s="30">
        <f>((1+J7)*I5)-J6</f>
        <v/>
      </c>
      <c r="K5" s="30">
        <f>((1+K7)*J5)-K6</f>
        <v/>
      </c>
      <c r="L5" s="30">
        <f>((1+L7)*K5)-L6</f>
        <v/>
      </c>
      <c r="M5" s="31" t="n"/>
      <c r="N5" s="32" t="inlineStr">
        <is>
          <t>NielsenIQ xAOC+C via MNST Pres (2020-24A); GS vol est (2025-30E)</t>
        </is>
      </c>
    </row>
    <row r="6">
      <c r="A6" s="51" t="inlineStr">
        <is>
          <t>Total Units Lost Snap Ban</t>
        </is>
      </c>
      <c r="B6" s="29" t="n"/>
      <c r="C6" s="29" t="n"/>
      <c r="D6" s="29" t="n"/>
      <c r="E6" s="29" t="n"/>
      <c r="F6" s="29" t="n"/>
      <c r="G6" s="29" t="n"/>
      <c r="H6" s="30">
        <f>'[1]SNAP Ban Impact'!D33</f>
        <v/>
      </c>
      <c r="I6" s="30">
        <f>'[1]SNAP Ban Impact'!E33</f>
        <v/>
      </c>
      <c r="J6" s="30">
        <f>'[1]SNAP Ban Impact'!F33</f>
        <v/>
      </c>
      <c r="K6" s="30">
        <f>'[1]SNAP Ban Impact'!G33</f>
        <v/>
      </c>
      <c r="L6" s="30">
        <f>'[1]SNAP Ban Impact'!H33</f>
        <v/>
      </c>
      <c r="M6" s="31" t="n"/>
      <c r="N6" s="32" t="n"/>
    </row>
    <row r="7">
      <c r="A7" s="50" t="inlineStr">
        <is>
          <t>Unit Sales Growth (Pre Snap Ban)</t>
        </is>
      </c>
      <c r="B7" s="50" t="n"/>
      <c r="C7" s="33">
        <f>C5/B5-1</f>
        <v/>
      </c>
      <c r="D7" s="33">
        <f>D5/C5-1</f>
        <v/>
      </c>
      <c r="E7" s="34">
        <f>E5/D5-1</f>
        <v/>
      </c>
      <c r="F7" s="34">
        <f>F5/E5-1</f>
        <v/>
      </c>
      <c r="G7" s="35" t="n">
        <v>0.099</v>
      </c>
      <c r="H7" s="35" t="n">
        <v>0.06</v>
      </c>
      <c r="I7" s="36">
        <f>H7</f>
        <v/>
      </c>
      <c r="J7" s="36">
        <f>I7</f>
        <v/>
      </c>
      <c r="K7" s="36">
        <f>J7</f>
        <v/>
      </c>
      <c r="L7" s="36">
        <f>K7</f>
        <v/>
      </c>
      <c r="M7" s="16" t="n"/>
      <c r="N7" s="24" t="inlineStr">
        <is>
          <t>Hardcodes are assumption, couldn't find projection on total unit growth 9.9% from page 7 of GS ER</t>
        </is>
      </c>
    </row>
    <row r="8">
      <c r="A8" s="50" t="n"/>
      <c r="B8" s="50" t="n"/>
      <c r="C8" s="33" t="n"/>
      <c r="D8" s="33" t="n"/>
      <c r="E8" s="59" t="n"/>
      <c r="F8" s="59" t="n"/>
      <c r="G8" s="35" t="n"/>
      <c r="H8" s="35" t="n"/>
      <c r="I8" s="36" t="n"/>
      <c r="J8" s="36" t="n"/>
      <c r="K8" s="36" t="n"/>
      <c r="L8" s="36" t="n"/>
      <c r="M8" s="16" t="n"/>
      <c r="N8" s="24" t="n"/>
    </row>
    <row r="9">
      <c r="A9" s="51" t="inlineStr">
        <is>
          <t>Average Cost per Unit</t>
        </is>
      </c>
      <c r="B9" s="37">
        <f>B3/B5</f>
        <v/>
      </c>
      <c r="C9" s="37">
        <f>C3/C5</f>
        <v/>
      </c>
      <c r="D9" s="37">
        <f>D3/D5</f>
        <v/>
      </c>
      <c r="E9" s="37">
        <f>E3/E5</f>
        <v/>
      </c>
      <c r="F9" s="37">
        <f>F3/F5</f>
        <v/>
      </c>
      <c r="G9" s="37">
        <f>G3/G5</f>
        <v/>
      </c>
      <c r="H9" s="37">
        <f>H3/H5</f>
        <v/>
      </c>
      <c r="I9" s="37">
        <f>I3/I5</f>
        <v/>
      </c>
      <c r="J9" s="37">
        <f>J3/J5</f>
        <v/>
      </c>
      <c r="K9" s="37">
        <f>K3/K5</f>
        <v/>
      </c>
      <c r="L9" s="37">
        <f>L3/L5</f>
        <v/>
      </c>
      <c r="M9" s="16" t="n"/>
      <c r="N9" s="32" t="inlineStr">
        <is>
          <t>Calculated: TAM / Volume</t>
        </is>
      </c>
    </row>
    <row r="10">
      <c r="A10" s="50" t="inlineStr">
        <is>
          <t>Unit Cost Growth</t>
        </is>
      </c>
      <c r="B10" s="16" t="n"/>
      <c r="C10" s="38">
        <f>C9/B9-1</f>
        <v/>
      </c>
      <c r="D10" s="38">
        <f>D9/C9-1</f>
        <v/>
      </c>
      <c r="E10" s="38">
        <f>E9/D9-1</f>
        <v/>
      </c>
      <c r="F10" s="38">
        <f>F9/E9-1</f>
        <v/>
      </c>
      <c r="G10" s="38">
        <f>G9/F9-1</f>
        <v/>
      </c>
      <c r="H10" s="38">
        <f>H9/G9-1</f>
        <v/>
      </c>
      <c r="I10" s="38">
        <f>I9/H9-1</f>
        <v/>
      </c>
      <c r="J10" s="38">
        <f>J9/I9-1</f>
        <v/>
      </c>
      <c r="K10" s="38">
        <f>K9/J9-1</f>
        <v/>
      </c>
      <c r="L10" s="38">
        <f>L9/K9-1</f>
        <v/>
      </c>
      <c r="M10" s="39" t="n"/>
      <c r="N10" s="16" t="n"/>
    </row>
    <row r="11">
      <c r="A11" s="18" t="inlineStr">
        <is>
          <t>Revenue Overivew</t>
        </is>
      </c>
      <c r="B11" s="18" t="n"/>
      <c r="C11" s="18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6" t="n"/>
      <c r="N11" s="16" t="n"/>
    </row>
    <row r="12">
      <c r="A12" s="51" t="inlineStr">
        <is>
          <t>Celsius Revenue</t>
        </is>
      </c>
      <c r="B12" s="58" t="n">
        <v>130.726</v>
      </c>
      <c r="C12" s="40">
        <f>'ANNL P&amp;L'!B2/1000</f>
        <v/>
      </c>
      <c r="D12" s="40">
        <f>'ANNL P&amp;L'!C2/1000</f>
        <v/>
      </c>
      <c r="E12" s="40">
        <f>'ANNL P&amp;L'!D2/1000</f>
        <v/>
      </c>
      <c r="F12" s="40">
        <f>'ANNL P&amp;L'!E2/1000</f>
        <v/>
      </c>
      <c r="G12" s="40">
        <f>'ANNL P&amp;L'!F2/1000</f>
        <v/>
      </c>
      <c r="H12" s="40">
        <f>H30*H27</f>
        <v/>
      </c>
      <c r="I12" s="40">
        <f>I30*I27</f>
        <v/>
      </c>
      <c r="J12" s="40">
        <f>J30*J27</f>
        <v/>
      </c>
      <c r="K12" s="40">
        <f>K30*K27</f>
        <v/>
      </c>
      <c r="L12" s="40">
        <f>L30*L27</f>
        <v/>
      </c>
      <c r="M12" s="23" t="n"/>
      <c r="N12" s="24" t="inlineStr">
        <is>
          <t>10-K Filings (2020-25A); GS est (2026-27E) not using GS estimates because don't think they include GLP1 and SNAP analysis</t>
        </is>
      </c>
    </row>
    <row r="13">
      <c r="A13" s="51" t="inlineStr">
        <is>
          <t>Celsius Market Share</t>
        </is>
      </c>
      <c r="B13" s="16" t="n"/>
      <c r="C13" s="31">
        <f>C27/C5</f>
        <v/>
      </c>
      <c r="D13" s="31">
        <f>D27/D5</f>
        <v/>
      </c>
      <c r="E13" s="31">
        <f>E27/E5</f>
        <v/>
      </c>
      <c r="F13" s="31">
        <f>F27/F5</f>
        <v/>
      </c>
      <c r="G13" s="31">
        <f>G27/G5</f>
        <v/>
      </c>
      <c r="H13" s="31">
        <f>H27/H5</f>
        <v/>
      </c>
      <c r="I13" s="31">
        <f>I27/I5</f>
        <v/>
      </c>
      <c r="J13" s="31">
        <f>J27/J5</f>
        <v/>
      </c>
      <c r="K13" s="31">
        <f>K27/K5</f>
        <v/>
      </c>
      <c r="L13" s="31">
        <f>L27/L5</f>
        <v/>
      </c>
      <c r="M13" s="16" t="n"/>
      <c r="N13" s="16" t="n"/>
    </row>
    <row r="14">
      <c r="A14" s="50" t="inlineStr">
        <is>
          <t>Celsius Revenue Growth</t>
        </is>
      </c>
      <c r="B14" s="16" t="n"/>
      <c r="C14" s="38" t="n"/>
      <c r="D14" s="38">
        <f>(D12-C12)/C12</f>
        <v/>
      </c>
      <c r="E14" s="38">
        <f>(E12-D12)/D12</f>
        <v/>
      </c>
      <c r="F14" s="38">
        <f>(F12-E12)/E12</f>
        <v/>
      </c>
      <c r="G14" s="38">
        <f>(G12-F12)/F12</f>
        <v/>
      </c>
      <c r="H14" s="38">
        <f>(H12-G12)/G12</f>
        <v/>
      </c>
      <c r="I14" s="38">
        <f>(I12-H12)/H12</f>
        <v/>
      </c>
      <c r="J14" s="38">
        <f>(J12-I12)/I12</f>
        <v/>
      </c>
      <c r="K14" s="38">
        <f>(K12-J12)/J12</f>
        <v/>
      </c>
      <c r="L14" s="38">
        <f>(L12-K12)/K12</f>
        <v/>
      </c>
      <c r="M14" s="39" t="n"/>
      <c r="N14" s="16" t="n"/>
    </row>
    <row r="15">
      <c r="A15" s="18" t="inlineStr">
        <is>
          <t>CELH Portfolio Volume</t>
        </is>
      </c>
      <c r="B15" s="18" t="n"/>
      <c r="C15" s="18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6" t="n"/>
      <c r="N15" s="16" t="n"/>
    </row>
    <row r="16">
      <c r="A16" s="51" t="inlineStr">
        <is>
          <t>Celsius Unit Volume</t>
        </is>
      </c>
      <c r="B16" s="29" t="n">
        <v>46</v>
      </c>
      <c r="C16" s="29" t="n">
        <v>146</v>
      </c>
      <c r="D16" s="29" t="n">
        <v>281</v>
      </c>
      <c r="E16" s="29" t="n">
        <v>605</v>
      </c>
      <c r="F16" s="29" t="n">
        <v>597</v>
      </c>
      <c r="G16" s="30">
        <f>F16*(1+G17)</f>
        <v/>
      </c>
      <c r="H16" s="30">
        <f>G16*(1+H17)</f>
        <v/>
      </c>
      <c r="I16" s="30">
        <f>H16*(1+I17)</f>
        <v/>
      </c>
      <c r="J16" s="30">
        <f>I16*(1+J17)</f>
        <v/>
      </c>
      <c r="K16" s="30">
        <f>J16*(1+K17)</f>
        <v/>
      </c>
      <c r="L16" s="30">
        <f>K16*(1+L17)</f>
        <v/>
      </c>
      <c r="M16" s="28" t="n"/>
      <c r="N16" s="32" t="inlineStr">
        <is>
          <t>NielsenIQ retail units (annualized 13-wk x4) via MNST Pres; Celsius brand only</t>
        </is>
      </c>
    </row>
    <row r="17">
      <c r="A17" s="50" t="inlineStr">
        <is>
          <t>Volume Growth</t>
        </is>
      </c>
      <c r="B17" s="29" t="n"/>
      <c r="C17" s="31" t="n"/>
      <c r="D17" s="36">
        <f>D16/C16-1</f>
        <v/>
      </c>
      <c r="E17" s="36">
        <f>E16/D16-1</f>
        <v/>
      </c>
      <c r="F17" s="36">
        <f>F16/E16-1</f>
        <v/>
      </c>
      <c r="G17" s="36">
        <f>G7</f>
        <v/>
      </c>
      <c r="H17" s="36">
        <f>H7</f>
        <v/>
      </c>
      <c r="I17" s="36">
        <f>I7</f>
        <v/>
      </c>
      <c r="J17" s="36">
        <f>J7</f>
        <v/>
      </c>
      <c r="K17" s="36">
        <f>K7</f>
        <v/>
      </c>
      <c r="L17" s="36">
        <f>L7</f>
        <v/>
      </c>
      <c r="M17" s="28" t="n"/>
      <c r="N17" s="32" t="inlineStr">
        <is>
          <t xml:space="preserve"> vc vdf</t>
        </is>
      </c>
    </row>
    <row r="18">
      <c r="A18" s="51" t="inlineStr">
        <is>
          <t>Alani Unit Volume</t>
        </is>
      </c>
      <c r="B18" s="29" t="n">
        <v>10</v>
      </c>
      <c r="C18" s="29" t="n">
        <v>62</v>
      </c>
      <c r="D18" s="29" t="n">
        <v>102</v>
      </c>
      <c r="E18" s="29" t="n">
        <v>167</v>
      </c>
      <c r="F18" s="29" t="n">
        <v>272</v>
      </c>
      <c r="G18" s="30">
        <f>F18*(1+G20)</f>
        <v/>
      </c>
      <c r="H18" s="30">
        <f>G18*(1+H20)</f>
        <v/>
      </c>
      <c r="I18" s="30">
        <f>H18*(1+I20)</f>
        <v/>
      </c>
      <c r="J18" s="30">
        <f>I18*(1+J20)</f>
        <v/>
      </c>
      <c r="K18" s="30">
        <f>J18*(1+K20)</f>
        <v/>
      </c>
      <c r="L18" s="30">
        <f>K18*(1+L20)</f>
        <v/>
      </c>
      <c r="M18" s="28" t="n"/>
      <c r="N18" s="32" t="inlineStr">
        <is>
          <t>NielsenIQ retail units annualized 13-wk x4 via MNST Pres; 2020 back-calc from 2021 YoY</t>
        </is>
      </c>
    </row>
    <row r="19">
      <c r="A19" s="52" t="inlineStr">
        <is>
          <t>Alani Sell In Units</t>
        </is>
      </c>
      <c r="B19" s="41" t="n">
        <v>0</v>
      </c>
      <c r="C19" s="42" t="n">
        <v>0</v>
      </c>
      <c r="D19" s="42" t="n">
        <v>0</v>
      </c>
      <c r="E19" s="42" t="n">
        <v>0</v>
      </c>
      <c r="F19" s="42" t="n">
        <v>0</v>
      </c>
      <c r="G19" s="42" t="n">
        <v>0</v>
      </c>
      <c r="H19" s="42">
        <f>IF($D$41&gt;=3,$D$45/$D$41,0)</f>
        <v/>
      </c>
      <c r="I19" s="42">
        <f>IF($D$41&gt;=3,$D$45/$D$41,0)</f>
        <v/>
      </c>
      <c r="J19" s="42">
        <f>IF($D$41&gt;=3,$D$45/$D$41,0)</f>
        <v/>
      </c>
      <c r="K19" s="42" t="n">
        <v>0</v>
      </c>
      <c r="L19" s="42" t="n">
        <v>0</v>
      </c>
      <c r="M19" s="16" t="n"/>
      <c r="N19" s="32" t="inlineStr">
        <is>
          <t>Formula: Pipeline fill (Yr 1) + ACV new door stocking / transition duration. All inputs in rows 39-45.</t>
        </is>
      </c>
    </row>
    <row r="20">
      <c r="A20" s="50" t="inlineStr">
        <is>
          <t>Volume Growth</t>
        </is>
      </c>
      <c r="B20" s="29" t="n"/>
      <c r="C20" s="57" t="inlineStr">
        <is>
          <t>--</t>
        </is>
      </c>
      <c r="D20" s="36">
        <f>D18/C18-1</f>
        <v/>
      </c>
      <c r="E20" s="36">
        <f>E18/D18-1</f>
        <v/>
      </c>
      <c r="F20" s="36">
        <f>F18/E18-1</f>
        <v/>
      </c>
      <c r="G20" s="36">
        <f>G17</f>
        <v/>
      </c>
      <c r="H20" s="36">
        <f>H17</f>
        <v/>
      </c>
      <c r="I20" s="36">
        <f>I17</f>
        <v/>
      </c>
      <c r="J20" s="36">
        <f>J17</f>
        <v/>
      </c>
      <c r="K20" s="36">
        <f>K17</f>
        <v/>
      </c>
      <c r="L20" s="36">
        <f>L17</f>
        <v/>
      </c>
      <c r="M20" s="28" t="n"/>
      <c r="N20" s="32" t="inlineStr">
        <is>
          <t>Assuming growth at rate of market (consider adjusting for GLP1 use)</t>
        </is>
      </c>
    </row>
    <row r="21">
      <c r="A21" s="50" t="inlineStr">
        <is>
          <t>% of Year Owned</t>
        </is>
      </c>
      <c r="B21" s="29" t="n"/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0.75</v>
      </c>
      <c r="H21" s="35" t="n">
        <v>1</v>
      </c>
      <c r="I21" s="35" t="n">
        <v>1</v>
      </c>
      <c r="J21" s="35" t="n">
        <v>1</v>
      </c>
      <c r="K21" s="35" t="n">
        <v>1</v>
      </c>
      <c r="L21" s="35" t="n">
        <v>1</v>
      </c>
      <c r="M21" s="28" t="n"/>
      <c r="N21" s="32" t="inlineStr">
        <is>
          <t>2024 assuming 75% Alani volume since acquired april 1 and 33% rockstar since acquired August 29</t>
        </is>
      </c>
    </row>
    <row r="22">
      <c r="A22" s="51" t="inlineStr">
        <is>
          <t>Rockstar Unit Volume</t>
        </is>
      </c>
      <c r="B22" s="29" t="n">
        <v>371</v>
      </c>
      <c r="C22" s="29" t="n">
        <v>340</v>
      </c>
      <c r="D22" s="29" t="n">
        <v>313</v>
      </c>
      <c r="E22" s="29" t="n">
        <v>290</v>
      </c>
      <c r="F22" s="29" t="n">
        <v>236</v>
      </c>
      <c r="G22" s="41">
        <f>F22*(1+G23)</f>
        <v/>
      </c>
      <c r="H22" s="41">
        <f>G22*(1+H23)</f>
        <v/>
      </c>
      <c r="I22" s="41">
        <f>H22*(1+I23)</f>
        <v/>
      </c>
      <c r="J22" s="41">
        <f>I22*(1+J23)</f>
        <v/>
      </c>
      <c r="K22" s="41">
        <f>J22*(1+K23)</f>
        <v/>
      </c>
      <c r="L22" s="41">
        <f>K22*(1+L23)</f>
        <v/>
      </c>
      <c r="M22" s="28" t="n"/>
      <c r="N22" s="32" t="inlineStr">
        <is>
          <t>NielsenIQ retail units annualized 13-wk x4 via MNST Pres; 2020 back-calc from 2021 YoY</t>
        </is>
      </c>
    </row>
    <row r="23">
      <c r="A23" s="50" t="inlineStr">
        <is>
          <t>Volume Growth</t>
        </is>
      </c>
      <c r="B23" s="50" t="n"/>
      <c r="C23" s="29" t="n"/>
      <c r="D23" s="36">
        <f>D22/C22-1</f>
        <v/>
      </c>
      <c r="E23" s="36">
        <f>E22/D22-1</f>
        <v/>
      </c>
      <c r="F23" s="36">
        <f>F22/E22-1</f>
        <v/>
      </c>
      <c r="G23" s="36">
        <f>G20</f>
        <v/>
      </c>
      <c r="H23" s="36">
        <f>H20</f>
        <v/>
      </c>
      <c r="I23" s="36">
        <f>I20</f>
        <v/>
      </c>
      <c r="J23" s="36">
        <f>J20</f>
        <v/>
      </c>
      <c r="K23" s="36">
        <f>K20</f>
        <v/>
      </c>
      <c r="L23" s="36">
        <f>L20</f>
        <v/>
      </c>
      <c r="M23" s="28" t="n"/>
      <c r="N23" s="32" t="inlineStr">
        <is>
          <t>Assuming growth at rate of market (consider adjusting for GLP1 use)</t>
        </is>
      </c>
    </row>
    <row r="24">
      <c r="A24" s="50" t="inlineStr">
        <is>
          <t>% of Year Owned</t>
        </is>
      </c>
      <c r="B24" s="50" t="n"/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0.33</v>
      </c>
      <c r="H24" s="35" t="n">
        <v>1</v>
      </c>
      <c r="I24" s="35" t="n">
        <v>1</v>
      </c>
      <c r="J24" s="35" t="n">
        <v>1</v>
      </c>
      <c r="K24" s="35" t="n">
        <v>1</v>
      </c>
      <c r="L24" s="35" t="n">
        <v>1</v>
      </c>
      <c r="M24" s="28" t="n"/>
      <c r="N24" s="32" t="n"/>
    </row>
    <row r="25">
      <c r="A25" s="50" t="inlineStr">
        <is>
          <t>GLP1 Unit Adjustment</t>
        </is>
      </c>
      <c r="B25" s="50" t="n"/>
      <c r="C25" s="43" t="n"/>
      <c r="D25" s="43" t="n"/>
      <c r="E25" s="43" t="n"/>
      <c r="F25" s="43" t="n"/>
      <c r="G25" s="43" t="n"/>
      <c r="H25" s="44">
        <f>'[1]GLP-1 Share Impact'!C22</f>
        <v/>
      </c>
      <c r="I25" s="44">
        <f>'[1]GLP-1 Share Impact'!D22</f>
        <v/>
      </c>
      <c r="J25" s="44">
        <f>'[1]GLP-1 Share Impact'!E22</f>
        <v/>
      </c>
      <c r="K25" s="44">
        <f>'[1]GLP-1 Share Impact'!F22</f>
        <v/>
      </c>
      <c r="L25" s="44">
        <f>'[1]GLP-1 Share Impact'!G22</f>
        <v/>
      </c>
      <c r="M25" s="28" t="n"/>
      <c r="N25" s="32" t="n"/>
    </row>
    <row r="26">
      <c r="A26" s="50" t="inlineStr">
        <is>
          <t>Celsius Units Lost SNAP Ban</t>
        </is>
      </c>
      <c r="B26" s="50" t="n"/>
      <c r="C26" s="43" t="n"/>
      <c r="D26" s="43" t="n"/>
      <c r="E26" s="43" t="n"/>
      <c r="F26" s="43" t="n"/>
      <c r="G26" s="43" t="n"/>
      <c r="H26" s="44">
        <f>'[1]SNAP Ban Impact'!D34</f>
        <v/>
      </c>
      <c r="I26" s="44">
        <f>'[1]SNAP Ban Impact'!E34</f>
        <v/>
      </c>
      <c r="J26" s="44">
        <f>'[1]SNAP Ban Impact'!F34</f>
        <v/>
      </c>
      <c r="K26" s="44">
        <f>'[1]SNAP Ban Impact'!G34</f>
        <v/>
      </c>
      <c r="L26" s="44">
        <f>'[1]SNAP Ban Impact'!H34</f>
        <v/>
      </c>
      <c r="M26" s="28" t="n"/>
      <c r="N26" s="32" t="n"/>
    </row>
    <row r="27" ht="15.75" customHeight="1">
      <c r="A27" s="53" t="inlineStr">
        <is>
          <t>Total Celsius Unit Volume</t>
        </is>
      </c>
      <c r="B27" s="53" t="n"/>
      <c r="C27" s="45">
        <f>C16+C21*(C18+C19)+C24*C22+C25</f>
        <v/>
      </c>
      <c r="D27" s="45">
        <f>D16+D21*(D18+D19)+D24*D22+D25</f>
        <v/>
      </c>
      <c r="E27" s="45">
        <f>E16+E21*(E18+E19)+E24*E22+E25</f>
        <v/>
      </c>
      <c r="F27" s="45">
        <f>F16+F21*(F18+F19)+F24*F22+F25</f>
        <v/>
      </c>
      <c r="G27" s="45">
        <f>G16+G21*(G18+G19)+G24*G22+G25</f>
        <v/>
      </c>
      <c r="H27" s="45">
        <f>H16+H21*(H18+H19)+H24*H22+H25-H26</f>
        <v/>
      </c>
      <c r="I27" s="45">
        <f>I16+I21*(I18+I19)+I24*I22+I25-I26</f>
        <v/>
      </c>
      <c r="J27" s="45">
        <f>J16+J21*(J18+J19)+J24*J22+J25-J26</f>
        <v/>
      </c>
      <c r="K27" s="45">
        <f>K16+K21*(K18+K19)+K24*K22+K25-K26</f>
        <v/>
      </c>
      <c r="L27" s="45">
        <f>L16+L21*(L18+L19)+L24*L22+L25-L26</f>
        <v/>
      </c>
      <c r="M27" s="16" t="n"/>
      <c r="N27" s="16" t="inlineStr">
        <is>
          <t xml:space="preserve">For projections consider factoring in GLP-1 usage as reason for taking market share (0 cal health focused brand vs monster / red bull). </t>
        </is>
      </c>
    </row>
    <row r="28">
      <c r="A28" s="51" t="inlineStr">
        <is>
          <t>Est. Retail Revenue</t>
        </is>
      </c>
      <c r="B28" s="51" t="n"/>
      <c r="C28" s="46">
        <f>C27*C9</f>
        <v/>
      </c>
      <c r="D28" s="46">
        <f>D27*D9</f>
        <v/>
      </c>
      <c r="E28" s="46">
        <f>E27*E9</f>
        <v/>
      </c>
      <c r="F28" s="46">
        <f>F27*F9</f>
        <v/>
      </c>
      <c r="G28" s="46">
        <f>G27*G9</f>
        <v/>
      </c>
      <c r="H28" s="46">
        <f>H27*H9</f>
        <v/>
      </c>
      <c r="I28" s="46">
        <f>I27*I9</f>
        <v/>
      </c>
      <c r="J28" s="46">
        <f>J27*J9</f>
        <v/>
      </c>
      <c r="K28" s="46">
        <f>K27*K9</f>
        <v/>
      </c>
      <c r="L28" s="46">
        <f>L27*L9</f>
        <v/>
      </c>
      <c r="M28" s="16" t="n"/>
      <c r="N28" s="16" t="n"/>
    </row>
    <row r="29">
      <c r="A29" s="51" t="inlineStr">
        <is>
          <t>Wholesale / Retail Ratio</t>
        </is>
      </c>
      <c r="B29" s="51" t="n"/>
      <c r="C29" s="47">
        <f>C12/C28</f>
        <v/>
      </c>
      <c r="D29" s="47">
        <f>D12/D28</f>
        <v/>
      </c>
      <c r="E29" s="47">
        <f>E12/E28</f>
        <v/>
      </c>
      <c r="F29" s="47">
        <f>F12/F28</f>
        <v/>
      </c>
      <c r="G29" s="47">
        <f>G12/G28</f>
        <v/>
      </c>
      <c r="H29" s="47">
        <f>AVERAGE(C29:G29)</f>
        <v/>
      </c>
      <c r="I29" s="47">
        <f>H29</f>
        <v/>
      </c>
      <c r="J29" s="47">
        <f>I29</f>
        <v/>
      </c>
      <c r="K29" s="47">
        <f>J29</f>
        <v/>
      </c>
      <c r="L29" s="47">
        <f>K29</f>
        <v/>
      </c>
      <c r="M29" s="16" t="n"/>
      <c r="N29" s="16" t="n"/>
    </row>
    <row r="30">
      <c r="A30" s="51" t="inlineStr">
        <is>
          <t>Approximate Wholesale Cost per Unit</t>
        </is>
      </c>
      <c r="B30" s="51" t="n"/>
      <c r="C30" s="37">
        <f>C29*C9</f>
        <v/>
      </c>
      <c r="D30" s="37">
        <f>D29*D9</f>
        <v/>
      </c>
      <c r="E30" s="37">
        <f>E29*E9</f>
        <v/>
      </c>
      <c r="F30" s="37">
        <f>F29*F9</f>
        <v/>
      </c>
      <c r="G30" s="37">
        <f>G29*G9</f>
        <v/>
      </c>
      <c r="H30" s="37">
        <f>H29*H9</f>
        <v/>
      </c>
      <c r="I30" s="37">
        <f>I29*I9</f>
        <v/>
      </c>
      <c r="J30" s="37">
        <f>J29*J9</f>
        <v/>
      </c>
      <c r="K30" s="37">
        <f>K29*K9</f>
        <v/>
      </c>
      <c r="L30" s="37">
        <f>L29*L9</f>
        <v/>
      </c>
      <c r="M30" s="16" t="n"/>
      <c r="N30" s="32" t="inlineStr">
        <is>
          <t>Going to be slightly off given the way we are forecasting (explains reason it drops slightly in projection period</t>
        </is>
      </c>
    </row>
    <row r="31">
      <c r="A31" s="51" t="inlineStr">
        <is>
          <t>Celsius Total TAM</t>
        </is>
      </c>
      <c r="B31" s="51" t="n"/>
      <c r="C31" s="31" t="n"/>
      <c r="D31" s="31" t="n"/>
      <c r="E31" s="31" t="n"/>
      <c r="F31" s="31">
        <f>F27/F5</f>
        <v/>
      </c>
      <c r="G31" s="31">
        <f>G27/G5</f>
        <v/>
      </c>
      <c r="H31" s="31">
        <f>H27/H5</f>
        <v/>
      </c>
      <c r="I31" s="31">
        <f>I27/I5</f>
        <v/>
      </c>
      <c r="J31" s="31">
        <f>J27/J5</f>
        <v/>
      </c>
      <c r="K31" s="31">
        <f>K27/K5</f>
        <v/>
      </c>
      <c r="L31" s="31">
        <f>L27/L5</f>
        <v/>
      </c>
      <c r="M31" s="16" t="n"/>
      <c r="N31" s="16" t="n"/>
    </row>
    <row r="32">
      <c r="A32" s="52" t="inlineStr">
        <is>
          <t>Celsius 0 Sugar TAM</t>
        </is>
      </c>
      <c r="B32" s="52" t="n"/>
      <c r="C32" s="16" t="n"/>
      <c r="D32" s="16" t="n"/>
      <c r="E32" s="16" t="n"/>
      <c r="F32" s="48" t="n"/>
      <c r="G32" s="48" t="n">
        <v>0.33</v>
      </c>
      <c r="H32" s="48" t="n"/>
      <c r="I32" s="48" t="n"/>
      <c r="J32" s="48" t="n"/>
      <c r="K32" s="48" t="n"/>
      <c r="L32" s="48" t="n"/>
      <c r="M32" s="16" t="n"/>
      <c r="N32" s="32" t="n"/>
    </row>
    <row r="33">
      <c r="G33" s="41" t="n">
        <v>0</v>
      </c>
    </row>
    <row r="38">
      <c r="A38" s="54" t="inlineStr">
        <is>
          <t>ALANI SELL-IN ASSUMPTIONS</t>
        </is>
      </c>
      <c r="B38" s="54" t="n"/>
      <c r="C38" s="16" t="n"/>
      <c r="D38" s="16" t="n"/>
    </row>
    <row r="39">
      <c r="A39" s="55" t="inlineStr">
        <is>
          <t>Avg Units per New Door (initial stock)</t>
        </is>
      </c>
      <c r="B39" s="55" t="n"/>
      <c r="C39" s="16" t="n"/>
      <c r="D39" s="29" t="n">
        <v>50</v>
      </c>
    </row>
    <row r="40">
      <c r="A40" s="55" t="inlineStr">
        <is>
          <t>Pipeline Fill (weeks of sell-through)</t>
        </is>
      </c>
      <c r="B40" s="55" t="n"/>
      <c r="C40" s="16" t="n"/>
      <c r="D40" s="29" t="n">
        <v>3</v>
      </c>
    </row>
    <row r="41">
      <c r="A41" s="55" t="inlineStr">
        <is>
          <t>Transition Duration (years to target ACV)</t>
        </is>
      </c>
      <c r="B41" s="55" t="n"/>
      <c r="C41" s="16" t="n"/>
      <c r="D41" s="29" t="n">
        <v>3</v>
      </c>
    </row>
    <row r="42">
      <c r="A42" s="55" t="n"/>
      <c r="B42" s="55" t="n"/>
      <c r="C42" s="16" t="n"/>
      <c r="D42" s="56" t="n">
        <v>0.9399999999999999</v>
      </c>
    </row>
    <row r="43">
      <c r="A43" s="55" t="n"/>
      <c r="B43" s="55" t="n"/>
      <c r="C43" s="16" t="n"/>
      <c r="D43" s="56" t="n">
        <v>0.86</v>
      </c>
    </row>
    <row r="44">
      <c r="A44" s="55" t="inlineStr">
        <is>
          <t>ACV Gap (new doors to stock)</t>
        </is>
      </c>
      <c r="B44" s="55" t="n"/>
      <c r="C44" s="16" t="n"/>
      <c r="D44" s="41">
        <f>($D$42-$D$43)*350000</f>
        <v/>
      </c>
    </row>
    <row r="45">
      <c r="A45" s="55" t="inlineStr">
        <is>
          <t>New Door Sell-In (M units, total over transition)</t>
        </is>
      </c>
      <c r="B45" s="55" t="n"/>
      <c r="C45" s="16" t="n"/>
      <c r="D45" s="42">
        <f>$D$44*$D$39/1000000</f>
        <v/>
      </c>
    </row>
    <row r="46">
      <c r="A46" s="55" t="inlineStr">
        <is>
          <t>Pipeline Fill (M units, one-time in Year 1)</t>
        </is>
      </c>
      <c r="B46" s="55" t="n"/>
      <c r="C46" s="16" t="n"/>
      <c r="D46" s="42">
        <f>$D$47/52*$D$40</f>
        <v/>
      </c>
    </row>
    <row r="47">
      <c r="A47" s="55" t="inlineStr">
        <is>
          <t>Alani Annual Sell-Through Volume (M units)</t>
        </is>
      </c>
      <c r="B47" s="55" t="n"/>
      <c r="C47" s="16" t="n"/>
      <c r="D47" s="41">
        <f>G21</f>
        <v/>
      </c>
    </row>
    <row r="49">
      <c r="A49" s="55" t="inlineStr">
        <is>
          <t>Look in tables and footnotes to see if they report change in sales form Rockstar and Alani and geography</t>
        </is>
      </c>
    </row>
    <row r="50">
      <c r="A50" s="55" t="inlineStr">
        <is>
          <t>MD&amp;A will be most of this</t>
        </is>
      </c>
    </row>
    <row r="51">
      <c r="A51" s="55" t="inlineStr">
        <is>
          <t>Celsiyus 10K Alani &amp; Rockstar Total Consolidated Asset and Revenue breakdown</t>
        </is>
      </c>
    </row>
    <row r="52">
      <c r="A52" s="55" t="inlineStr">
        <is>
          <t>SG&amp;A and Gross Margin Bridge in 10K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2026-04-29T16:25:01Z</dcterms:created>
  <dcterms:modified xmlns:dcterms="http://purl.org/dc/terms/" xmlns:xsi="http://www.w3.org/2001/XMLSchema-instance" xsi:type="dcterms:W3CDTF">2026-05-05T21:55:30Z</dcterms:modified>
  <cp:lastModifiedBy>Gabriel Rodino</cp:lastModifiedBy>
</cp:coreProperties>
</file>