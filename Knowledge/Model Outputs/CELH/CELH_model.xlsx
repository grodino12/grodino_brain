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" activeTab="13" autoFilterDateGrouping="1"/>
  </bookViews>
  <sheets>
    <sheet xmlns:r="http://schemas.openxmlformats.org/officeDocument/2006/relationships" name="MD&amp;A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ANNL P&amp;L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YTD P&amp;L" sheetId="6" state="hidden" r:id="rId6"/>
    <sheet xmlns:r="http://schemas.openxmlformats.org/officeDocument/2006/relationships" name="YTD BS" sheetId="7" state="hidden" r:id="rId7"/>
    <sheet xmlns:r="http://schemas.openxmlformats.org/officeDocument/2006/relationships" name="YTD CF" sheetId="8" state="hidden" r:id="rId8"/>
    <sheet xmlns:r="http://schemas.openxmlformats.org/officeDocument/2006/relationships" name="QTR P&amp;L" sheetId="9" state="visible" r:id="rId9"/>
    <sheet xmlns:r="http://schemas.openxmlformats.org/officeDocument/2006/relationships" name="QTR BS" sheetId="10" state="visible" r:id="rId10"/>
    <sheet xmlns:r="http://schemas.openxmlformats.org/officeDocument/2006/relationships" name="QTR CF" sheetId="11" state="visible" r:id="rId11"/>
    <sheet xmlns:r="http://schemas.openxmlformats.org/officeDocument/2006/relationships" name="IS DRIVERS" sheetId="12" state="visible" r:id="rId12"/>
    <sheet xmlns:r="http://schemas.openxmlformats.org/officeDocument/2006/relationships" name="BS DRIVERS" sheetId="13" state="visible" r:id="rId13"/>
    <sheet xmlns:r="http://schemas.openxmlformats.org/officeDocument/2006/relationships" name="CF DRIVERS" sheetId="14" state="visible" r:id="rId14"/>
    <sheet xmlns:r="http://schemas.openxmlformats.org/officeDocument/2006/relationships" name="Revenue Driver" sheetId="15" state="visible" r:id="rId15"/>
  </sheets>
  <externalReferences>
    <externalReference xmlns:r="http://schemas.openxmlformats.org/officeDocument/2006/relationships" r:id="rId16"/>
  </externalReferences>
  <definedNames/>
  <calcPr calcId="191029" fullCalcOnLoad="1" iterate="1"/>
</workbook>
</file>

<file path=xl/styles.xml><?xml version="1.0" encoding="utf-8"?>
<styleSheet xmlns="http://schemas.openxmlformats.org/spreadsheetml/2006/main">
  <numFmts count="12">
    <numFmt numFmtId="164" formatCode="#,##0;\(#,##0\);&quot;--&quot;"/>
    <numFmt numFmtId="165" formatCode="\$#,##0_);\(\$#,##0\);&quot;$--&quot;_)"/>
    <numFmt numFmtId="166" formatCode="0.0%;\(0.0%\);&quot;--&quot;"/>
    <numFmt numFmtId="167" formatCode="0.0_);\(0.0\)"/>
    <numFmt numFmtId="168" formatCode="0.0%"/>
    <numFmt numFmtId="169" formatCode="0.0%;\(0.0%\)"/>
    <numFmt numFmtId="170" formatCode="\$#,##0.00"/>
    <numFmt numFmtId="171" formatCode="&quot;$&quot;#,##0"/>
    <numFmt numFmtId="172" formatCode="#,##0.0"/>
    <numFmt numFmtId="173" formatCode="&quot;$&quot;#,##0.00"/>
    <numFmt numFmtId="174" formatCode="#,##0;(#,##0);&quot;--&quot;"/>
    <numFmt numFmtId="175" formatCode="0.0%;(0.0%);&quot;--&quot;"/>
  </numFmts>
  <fonts count="28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color rgb="FF000000"/>
      <sz val="12"/>
    </font>
    <font>
      <name val="Arial"/>
      <family val="2"/>
      <color theme="1"/>
      <sz val="11"/>
    </font>
    <font>
      <name val="Arial"/>
      <family val="2"/>
      <b val="1"/>
      <color rgb="FF000000"/>
      <sz val="10"/>
    </font>
    <font>
      <name val="Arial"/>
      <family val="2"/>
      <color rgb="FF0000FF"/>
      <sz val="10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i val="1"/>
      <color rgb="FF444444"/>
      <sz val="9"/>
    </font>
    <font>
      <name val="Arial"/>
      <family val="2"/>
      <color rgb="FF000000"/>
      <sz val="8"/>
    </font>
    <font>
      <name val="Arial"/>
      <family val="2"/>
      <color rgb="FF0000FF"/>
      <sz val="8"/>
    </font>
    <font>
      <name val="Arial"/>
      <family val="2"/>
      <sz val="8"/>
    </font>
    <font>
      <name val="Arial"/>
      <family val="2"/>
      <color theme="1"/>
      <sz val="8"/>
    </font>
    <font>
      <name val="Arial"/>
      <family val="2"/>
      <color theme="1"/>
      <sz val="10"/>
    </font>
    <font>
      <b val="1"/>
      <sz val="14"/>
    </font>
    <font>
      <i val="1"/>
      <color rgb="00595959"/>
      <sz val="9"/>
    </font>
    <font>
      <b val="1"/>
      <color rgb="001F4E79"/>
      <sz val="11"/>
    </font>
    <font>
      <b val="1"/>
      <sz val="10"/>
    </font>
    <font>
      <sz val="10"/>
    </font>
    <font>
      <i val="1"/>
      <color rgb="00595959"/>
      <sz val="10"/>
    </font>
    <font>
      <i val="1"/>
      <color rgb="00808080"/>
      <sz val="9"/>
    </font>
    <font>
      <b val="1"/>
      <i val="1"/>
      <color rgb="00595959"/>
      <sz val="10"/>
    </font>
    <font>
      <b val="1"/>
      <i val="1"/>
      <color rgb="00808080"/>
      <sz val="10"/>
    </font>
    <font>
      <i val="1"/>
      <color rgb="00808080"/>
      <sz val="10"/>
    </font>
    <font>
      <b val="1"/>
      <color theme="1"/>
      <sz val="10"/>
    </font>
  </fonts>
  <fills count="6">
    <fill>
      <patternFill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theme="1" tint="0.249977111117893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indexed="64"/>
      </top>
      <bottom/>
      <diagonal/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3" fillId="5" borderId="0" pivotButton="0" quotePrefix="0" xfId="0"/>
    <xf numFmtId="0" fontId="4" fillId="5" borderId="0" pivotButton="0" quotePrefix="0" xfId="0"/>
    <xf numFmtId="3" fontId="8" fillId="0" borderId="2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68" fontId="10" fillId="0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68" fontId="10" fillId="0" borderId="2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/>
    </xf>
    <xf numFmtId="168" fontId="8" fillId="0" borderId="0" applyAlignment="1" pivotButton="0" quotePrefix="0" xfId="0">
      <alignment horizontal="right"/>
    </xf>
    <xf numFmtId="10" fontId="10" fillId="0" borderId="0" applyAlignment="1" pivotButton="0" quotePrefix="0" xfId="0">
      <alignment horizontal="center" vertical="center"/>
    </xf>
    <xf numFmtId="3" fontId="8" fillId="0" borderId="0" pivotButton="0" quotePrefix="0" xfId="0"/>
    <xf numFmtId="3" fontId="9" fillId="0" borderId="0" pivotButton="0" quotePrefix="0" xfId="0"/>
    <xf numFmtId="168" fontId="10" fillId="0" borderId="0" pivotButton="0" quotePrefix="0" xfId="0"/>
    <xf numFmtId="0" fontId="11" fillId="0" borderId="0" pivotButton="0" quotePrefix="0" xfId="0"/>
    <xf numFmtId="169" fontId="12" fillId="0" borderId="0" applyAlignment="1" pivotButton="0" quotePrefix="0" xfId="0">
      <alignment horizontal="right"/>
    </xf>
    <xf numFmtId="169" fontId="12" fillId="0" borderId="2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/>
    </xf>
    <xf numFmtId="169" fontId="14" fillId="0" borderId="0" applyAlignment="1" pivotButton="0" quotePrefix="0" xfId="0">
      <alignment horizontal="right"/>
    </xf>
    <xf numFmtId="170" fontId="10" fillId="0" borderId="0" pivotButton="0" quotePrefix="0" xfId="0"/>
    <xf numFmtId="168" fontId="12" fillId="0" borderId="0" pivotButton="0" quotePrefix="0" xfId="0"/>
    <xf numFmtId="10" fontId="10" fillId="0" borderId="2" applyAlignment="1" pivotButton="0" quotePrefix="0" xfId="0">
      <alignment horizontal="center" vertical="center"/>
    </xf>
    <xf numFmtId="171" fontId="9" fillId="0" borderId="0" pivotButton="0" quotePrefix="0" xfId="0"/>
    <xf numFmtId="3" fontId="10" fillId="0" borderId="0" pivotButton="0" quotePrefix="0" xfId="0"/>
    <xf numFmtId="172" fontId="10" fillId="0" borderId="0" pivotButton="0" quotePrefix="0" xfId="0"/>
    <xf numFmtId="3" fontId="13" fillId="0" borderId="0" pivotButton="0" quotePrefix="0" xfId="0"/>
    <xf numFmtId="3" fontId="15" fillId="0" borderId="0" pivotButton="0" quotePrefix="0" xfId="0"/>
    <xf numFmtId="3" fontId="7" fillId="0" borderId="0" pivotButton="0" quotePrefix="0" xfId="0"/>
    <xf numFmtId="3" fontId="16" fillId="0" borderId="3" pivotButton="0" quotePrefix="0" xfId="0"/>
    <xf numFmtId="9" fontId="16" fillId="0" borderId="0" pivotButton="0" quotePrefix="0" xfId="0"/>
    <xf numFmtId="168" fontId="8" fillId="0" borderId="0" pivotButton="0" quotePrefix="0" xfId="0"/>
    <xf numFmtId="0" fontId="1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left" vertical="center"/>
    </xf>
    <xf numFmtId="9" fontId="8" fillId="0" borderId="0" pivotButton="0" quotePrefix="0" xfId="0"/>
    <xf numFmtId="3" fontId="8" fillId="0" borderId="0" applyAlignment="1" pivotButton="0" quotePrefix="1" xfId="0">
      <alignment horizontal="right"/>
    </xf>
    <xf numFmtId="173" fontId="8" fillId="0" borderId="0" pivotButton="0" quotePrefix="0" xfId="0"/>
    <xf numFmtId="169" fontId="12" fillId="0" borderId="0" applyAlignment="1" pivotButton="0" quotePrefix="0" xfId="0">
      <alignment horizontal="right" vertical="center"/>
    </xf>
    <xf numFmtId="0" fontId="17" fillId="0" borderId="0" pivotButton="0" quotePrefix="0" xfId="0"/>
    <xf numFmtId="0" fontId="18" fillId="0" borderId="0" pivotButton="0" quotePrefix="0" xfId="0"/>
    <xf numFmtId="0" fontId="19" fillId="0" borderId="4" pivotButton="0" quotePrefix="0" xfId="0"/>
    <xf numFmtId="0" fontId="20" fillId="0" borderId="5" applyAlignment="1" pivotButton="0" quotePrefix="0" xfId="0">
      <alignment horizontal="center"/>
    </xf>
    <xf numFmtId="0" fontId="21" fillId="0" borderId="0" pivotButton="0" quotePrefix="0" xfId="0"/>
    <xf numFmtId="174" fontId="21" fillId="0" borderId="0" pivotButton="0" quotePrefix="0" xfId="0"/>
    <xf numFmtId="174" fontId="22" fillId="0" borderId="0" pivotButton="0" quotePrefix="0" xfId="0"/>
    <xf numFmtId="0" fontId="23" fillId="0" borderId="0" pivotButton="0" quotePrefix="0" xfId="0"/>
    <xf numFmtId="0" fontId="20" fillId="0" borderId="4" pivotButton="0" quotePrefix="0" xfId="0"/>
    <xf numFmtId="174" fontId="20" fillId="0" borderId="4" pivotButton="0" quotePrefix="0" xfId="0"/>
    <xf numFmtId="174" fontId="24" fillId="0" borderId="4" pivotButton="0" quotePrefix="0" xfId="0"/>
    <xf numFmtId="0" fontId="25" fillId="0" borderId="4" pivotButton="0" quotePrefix="0" xfId="0"/>
    <xf numFmtId="175" fontId="21" fillId="0" borderId="0" pivotButton="0" quotePrefix="0" xfId="0"/>
    <xf numFmtId="175" fontId="22" fillId="0" borderId="0" pivotButton="0" quotePrefix="0" xfId="0"/>
    <xf numFmtId="0" fontId="26" fillId="0" borderId="0" applyAlignment="1" pivotButton="0" quotePrefix="0" xfId="0">
      <alignment horizontal="right"/>
    </xf>
    <xf numFmtId="175" fontId="20" fillId="0" borderId="4" pivotButton="0" quotePrefix="0" xfId="0"/>
    <xf numFmtId="175" fontId="24" fillId="0" borderId="4" pivotButton="0" quotePrefix="0" xfId="0"/>
    <xf numFmtId="0" fontId="25" fillId="0" borderId="4" applyAlignment="1" pivotButton="0" quotePrefix="0" xfId="0">
      <alignment horizontal="right"/>
    </xf>
    <xf numFmtId="175" fontId="21" fillId="0" borderId="4" pivotButton="0" quotePrefix="0" xfId="0"/>
    <xf numFmtId="0" fontId="0" fillId="0" borderId="4" pivotButton="0" quotePrefix="0" xfId="0"/>
    <xf numFmtId="0" fontId="18" fillId="0" borderId="4" pivotButton="0" quotePrefix="0" xfId="0"/>
    <xf numFmtId="0" fontId="23" fillId="0" borderId="4" pivotButton="0" quotePrefix="0" xfId="0"/>
    <xf numFmtId="0" fontId="27" fillId="0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externalLink" Target="/xl/externalLinks/externalLink1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Source</author>
  </authors>
  <commentList>
    <comment ref="B6" authorId="0" shapeId="0">
      <text>
        <t>Q1 2024 10-Q Note 4 (Revenue), comparable-period column. Q1 2023 10-Q itself did not disclose disaggregation.</t>
      </text>
    </comment>
    <comment ref="C6" authorId="0" shapeId="0">
      <text>
        <t>Q1 2024 10-Q Note 4 (Revenue), comparable-period column. Q1 2023 10-Q itself did not disclose disaggregation.</t>
      </text>
    </comment>
    <comment ref="D6" authorId="0" shapeId="0">
      <text>
        <t>Q1 2024 10-Q Note 4 (Revenue), comparable-period column. Q1 2023 10-Q itself did not disclose disaggregation.</t>
      </text>
    </comment>
    <comment ref="E6" authorId="0" shapeId="0">
      <text>
        <t>Q1 2024 10-Q Note 4 (Revenue), comparable-period column. Q1 2023 10-Q itself did not disclose disaggregation.</t>
      </text>
    </comment>
    <comment ref="F6" authorId="0" shapeId="0">
      <text>
        <t>Total = SUM(NA + Europe + Asia-Pac + Other)</t>
      </text>
    </comment>
    <comment ref="B7" authorId="0" shapeId="0">
      <text>
        <t>Q2 2024 10-Q MD&amp;A geography table, comparable-period column. Q2 2023 10-Q did not disclose disaggregation.</t>
      </text>
    </comment>
    <comment ref="C7" authorId="0" shapeId="0">
      <text>
        <t>Q2 2024 10-Q MD&amp;A geography table, comparable-period column. Q2 2023 10-Q did not disclose disaggregation.</t>
      </text>
    </comment>
    <comment ref="D7" authorId="0" shapeId="0">
      <text>
        <t>Q2 2024 10-Q MD&amp;A geography table, comparable-period column. Q2 2023 10-Q did not disclose disaggregation.</t>
      </text>
    </comment>
    <comment ref="E7" authorId="0" shapeId="0">
      <text>
        <t>Q2 2024 10-Q MD&amp;A geography table, comparable-period column. Q2 2023 10-Q did not disclose disaggregation.</t>
      </text>
    </comment>
    <comment ref="F7" authorId="0" shapeId="0">
      <text>
        <t>Total = SUM(NA + Europe + Asia-Pac + Other)</t>
      </text>
    </comment>
    <comment ref="B8" authorId="0" shapeId="0">
      <text>
        <t>Q3 2023 10-Q MD&amp;A: "amount of revenues by geographical location for the three months ended September 30, 2023".</t>
      </text>
    </comment>
    <comment ref="C8" authorId="0" shapeId="0">
      <text>
        <t>Q3 2023 10-Q MD&amp;A: "amount of revenues by geographical location for the three months ended September 30, 2023".</t>
      </text>
    </comment>
    <comment ref="D8" authorId="0" shapeId="0">
      <text>
        <t>Q3 2023 10-Q MD&amp;A: "amount of revenues by geographical location for the three months ended September 30, 2023".</t>
      </text>
    </comment>
    <comment ref="E8" authorId="0" shapeId="0">
      <text>
        <t>Q3 2023 10-Q MD&amp;A: "amount of revenues by geographical location for the three months ended September 30, 2023".</t>
      </text>
    </comment>
    <comment ref="F8" authorId="0" shapeId="0">
      <text>
        <t>Total = SUM(NA + Europe + Asia-Pac + Other)</t>
      </text>
    </comment>
    <comment ref="B9" authorId="0" shapeId="0">
      <text>
        <t>Q4 derived as FY minus Q1+Q2+Q3 of same year (CELH does not disclose Q4 directly).</t>
      </text>
    </comment>
    <comment ref="C9" authorId="0" shapeId="0">
      <text>
        <t>Q4 derived as FY minus Q1+Q2+Q3 of same year (CELH does not disclose Q4 directly).</t>
      </text>
    </comment>
    <comment ref="D9" authorId="0" shapeId="0">
      <text>
        <t>Q4 derived as FY minus Q1+Q2+Q3 of same year (CELH does not disclose Q4 directly).</t>
      </text>
    </comment>
    <comment ref="E9" authorId="0" shapeId="0">
      <text>
        <t>Q4 derived as FY minus Q1+Q2+Q3 of same year (CELH does not disclose Q4 directly).</t>
      </text>
    </comment>
    <comment ref="F9" authorId="0" shapeId="0">
      <text>
        <t>Total = SUM</t>
      </text>
    </comment>
    <comment ref="B10" authorId="0" shapeId="0">
      <text>
        <t>FY2023 10-K MD&amp;A: "amount of revenues by geographical location for the years ended December 31, 2023 and December 31, 2022".</t>
      </text>
    </comment>
    <comment ref="C10" authorId="0" shapeId="0">
      <text>
        <t>FY2023 10-K MD&amp;A: "amount of revenues by geographical location for the years ended December 31, 2023 and December 31, 2022".</t>
      </text>
    </comment>
    <comment ref="D10" authorId="0" shapeId="0">
      <text>
        <t>FY2023 10-K MD&amp;A: "amount of revenues by geographical location for the years ended December 31, 2023 and December 31, 2022".</t>
      </text>
    </comment>
    <comment ref="E10" authorId="0" shapeId="0">
      <text>
        <t>FY2023 10-K MD&amp;A: "amount of revenues by geographical location for the years ended December 31, 2023 and December 31, 2022".</t>
      </text>
    </comment>
    <comment ref="F10" authorId="0" shapeId="0">
      <text>
        <t>Total = SUM(NA + Europe + Asia-Pac + Other)</t>
      </text>
    </comment>
    <comment ref="B11" authorId="0" shapeId="0">
      <text>
        <t>Q1 2024 10-Q MD&amp;A geography table.</t>
      </text>
    </comment>
    <comment ref="C11" authorId="0" shapeId="0">
      <text>
        <t>Q1 2024 10-Q MD&amp;A geography table.</t>
      </text>
    </comment>
    <comment ref="D11" authorId="0" shapeId="0">
      <text>
        <t>Q1 2024 10-Q MD&amp;A geography table.</t>
      </text>
    </comment>
    <comment ref="E11" authorId="0" shapeId="0">
      <text>
        <t>Q1 2024 10-Q MD&amp;A geography table.</t>
      </text>
    </comment>
    <comment ref="F11" authorId="0" shapeId="0">
      <text>
        <t>Total = SUM(NA + Europe + Asia-Pac + Other)</t>
      </text>
    </comment>
    <comment ref="B12" authorId="0" shapeId="0">
      <text>
        <t>Q2 2024 10-Q MD&amp;A geography table (3M).</t>
      </text>
    </comment>
    <comment ref="C12" authorId="0" shapeId="0">
      <text>
        <t>Q2 2024 10-Q MD&amp;A geography table (3M).</t>
      </text>
    </comment>
    <comment ref="D12" authorId="0" shapeId="0">
      <text>
        <t>Q2 2024 10-Q MD&amp;A geography table (3M).</t>
      </text>
    </comment>
    <comment ref="E12" authorId="0" shapeId="0">
      <text>
        <t>Q2 2024 10-Q MD&amp;A geography table (3M).</t>
      </text>
    </comment>
    <comment ref="F12" authorId="0" shapeId="0">
      <text>
        <t>Total = SUM(NA + Europe + Asia-Pac + Other)</t>
      </text>
    </comment>
    <comment ref="B13" authorId="0" shapeId="0">
      <text>
        <t>Q3 2024 10-Q MD&amp;A geography table. Sweden was largest foreign country at $9.5M Q3.</t>
      </text>
    </comment>
    <comment ref="C13" authorId="0" shapeId="0">
      <text>
        <t>Q3 2024 10-Q MD&amp;A geography table. Sweden was largest foreign country at $9.5M Q3.</t>
      </text>
    </comment>
    <comment ref="D13" authorId="0" shapeId="0">
      <text>
        <t>Q3 2024 10-Q MD&amp;A geography table. Sweden was largest foreign country at $9.5M Q3.</t>
      </text>
    </comment>
    <comment ref="E13" authorId="0" shapeId="0">
      <text>
        <t>Q3 2024 10-Q MD&amp;A geography table. Sweden was largest foreign country at $9.5M Q3.</t>
      </text>
    </comment>
    <comment ref="F13" authorId="0" shapeId="0">
      <text>
        <t>Total = SUM(NA + Europe + Asia-Pac + Other)</t>
      </text>
    </comment>
    <comment ref="B14" authorId="0" shapeId="0">
      <text>
        <t>Q4 derived as FY minus Q1+Q2+Q3 of same year (CELH does not disclose Q4 directly).</t>
      </text>
    </comment>
    <comment ref="C14" authorId="0" shapeId="0">
      <text>
        <t>Q4 derived as FY minus Q1+Q2+Q3 of same year (CELH does not disclose Q4 directly).</t>
      </text>
    </comment>
    <comment ref="D14" authorId="0" shapeId="0">
      <text>
        <t>Q4 derived as FY minus Q1+Q2+Q3 of same year (CELH does not disclose Q4 directly).</t>
      </text>
    </comment>
    <comment ref="E14" authorId="0" shapeId="0">
      <text>
        <t>Q4 derived as FY minus Q1+Q2+Q3 of same year (CELH does not disclose Q4 directly).</t>
      </text>
    </comment>
    <comment ref="F14" authorId="0" shapeId="0">
      <text>
        <t>Total = SUM</t>
      </text>
    </comment>
    <comment ref="B15" authorId="0" shapeId="0">
      <text>
        <t>FY2024 10-K MD&amp;A geography table.</t>
      </text>
    </comment>
    <comment ref="C15" authorId="0" shapeId="0">
      <text>
        <t>FY2024 10-K MD&amp;A geography table.</t>
      </text>
    </comment>
    <comment ref="D15" authorId="0" shapeId="0">
      <text>
        <t>FY2024 10-K MD&amp;A geography table.</t>
      </text>
    </comment>
    <comment ref="E15" authorId="0" shapeId="0">
      <text>
        <t>FY2024 10-K MD&amp;A geography table.</t>
      </text>
    </comment>
    <comment ref="F15" authorId="0" shapeId="0">
      <text>
        <t>Total = SUM(NA + Europe + Asia-Pac + Other)</t>
      </text>
    </comment>
    <comment ref="B16" authorId="0" shapeId="0">
      <text>
        <t>Q1 2025 10-Q Note 4 (Revenue). Puerto Rico revenue included in "Other".</t>
      </text>
    </comment>
    <comment ref="C16" authorId="0" shapeId="0">
      <text>
        <t>Q1 2025 10-Q Note 4 (Revenue). Puerto Rico revenue included in "Other".</t>
      </text>
    </comment>
    <comment ref="D16" authorId="0" shapeId="0">
      <text>
        <t>Q1 2025 10-Q Note 4 (Revenue). Puerto Rico revenue included in "Other".</t>
      </text>
    </comment>
    <comment ref="E16" authorId="0" shapeId="0">
      <text>
        <t>Q1 2025 10-Q Note 4 (Revenue). Puerto Rico revenue included in "Other".</t>
      </text>
    </comment>
    <comment ref="F16" authorId="0" shapeId="0">
      <text>
        <t>Total = SUM(NA + Europe + Asia-Pac + Other)</t>
      </text>
    </comment>
    <comment ref="B17" authorId="0" shapeId="0">
      <text>
        <t>Q2 2025 10-Q Note 4 (Revenue). First quarter post-Alani close (April 1, 2025).</t>
      </text>
    </comment>
    <comment ref="C17" authorId="0" shapeId="0">
      <text>
        <t>Q2 2025 10-Q Note 4 (Revenue). First quarter post-Alani close (April 1, 2025).</t>
      </text>
    </comment>
    <comment ref="D17" authorId="0" shapeId="0">
      <text>
        <t>Q2 2025 10-Q Note 4 (Revenue). First quarter post-Alani close (April 1, 2025).</t>
      </text>
    </comment>
    <comment ref="E17" authorId="0" shapeId="0">
      <text>
        <t>Q2 2025 10-Q Note 4 (Revenue). First quarter post-Alani close (April 1, 2025).</t>
      </text>
    </comment>
    <comment ref="F17" authorId="0" shapeId="0">
      <text>
        <t>Total = SUM(NA + Europe + Asia-Pac + Other)</t>
      </text>
    </comment>
    <comment ref="B18" authorId="0" shapeId="0">
      <text>
        <t>Q3 2025 10-Q Note 4 (Revenue). Includes ~33 days of Rockstar (closed Aug 28).</t>
      </text>
    </comment>
    <comment ref="C18" authorId="0" shapeId="0">
      <text>
        <t>Q3 2025 10-Q Note 4 (Revenue). Includes ~33 days of Rockstar (closed Aug 28).</t>
      </text>
    </comment>
    <comment ref="D18" authorId="0" shapeId="0">
      <text>
        <t>Q3 2025 10-Q Note 4 (Revenue). Includes ~33 days of Rockstar (closed Aug 28).</t>
      </text>
    </comment>
    <comment ref="E18" authorId="0" shapeId="0">
      <text>
        <t>Q3 2025 10-Q Note 4 (Revenue). Includes ~33 days of Rockstar (closed Aug 28).</t>
      </text>
    </comment>
    <comment ref="F18" authorId="0" shapeId="0">
      <text>
        <t>Total = SUM(NA + Europe + Asia-Pac + Other)</t>
      </text>
    </comment>
    <comment ref="B19" authorId="0" shapeId="0">
      <text>
        <t>Q4 derived as FY minus Q1+Q2+Q3 of same year (CELH does not disclose Q4 directly).</t>
      </text>
    </comment>
    <comment ref="C19" authorId="0" shapeId="0">
      <text>
        <t>Q4 derived as FY minus Q1+Q2+Q3 of same year (CELH does not disclose Q4 directly).</t>
      </text>
    </comment>
    <comment ref="D19" authorId="0" shapeId="0">
      <text>
        <t>Q4 derived as FY minus Q1+Q2+Q3 of same year (CELH does not disclose Q4 directly).</t>
      </text>
    </comment>
    <comment ref="E19" authorId="0" shapeId="0">
      <text>
        <t>Q4 derived as FY minus Q1+Q2+Q3 of same year (CELH does not disclose Q4 directly).</t>
      </text>
    </comment>
    <comment ref="F19" authorId="0" shapeId="0">
      <text>
        <t>Total = SUM</t>
      </text>
    </comment>
    <comment ref="B20" authorId="0" shapeId="0">
      <text>
        <t>FY2025 10-K MD&amp;A geography table. Full year of Celsius + 9 months of Alani + ~4 months of Rockstar.</t>
      </text>
    </comment>
    <comment ref="C20" authorId="0" shapeId="0">
      <text>
        <t>FY2025 10-K MD&amp;A geography table. Full year of Celsius + 9 months of Alani + ~4 months of Rockstar.</t>
      </text>
    </comment>
    <comment ref="D20" authorId="0" shapeId="0">
      <text>
        <t>FY2025 10-K MD&amp;A geography table. Full year of Celsius + 9 months of Alani + ~4 months of Rockstar.</t>
      </text>
    </comment>
    <comment ref="E20" authorId="0" shapeId="0">
      <text>
        <t>FY2025 10-K MD&amp;A geography table. Full year of Celsius + 9 months of Alani + ~4 months of Rockstar.</t>
      </text>
    </comment>
    <comment ref="F20" authorId="0" shapeId="0">
      <text>
        <t>Total = SUM(NA + Europe + Asia-Pac + Other)</t>
      </text>
    </comment>
    <comment ref="B25" authorId="0" shapeId="0">
      <text>
        <t>Q1 2023 10-Q -- "Revenue from customers accounting for more than 10.0% of total revenue" table. n/d = below 10% threshold (lumped into "All others").</t>
      </text>
    </comment>
    <comment ref="C25" authorId="0" shapeId="0">
      <text>
        <t>Q1 2023 10-Q -- "Revenue from customers accounting for more than 10.0% of total revenue" table. n/d = below 10% threshold (lumped into "All others").</t>
      </text>
    </comment>
    <comment ref="D25" authorId="0" shapeId="0">
      <text>
        <t>Q1 2023 10-Q -- "Revenue from customers accounting for more than 10.0% of total revenue" table. n/d = below 10% threshold (lumped into "All others").</t>
      </text>
    </comment>
    <comment ref="E25" authorId="0" shapeId="0">
      <text>
        <t>Q1 2023 10-Q -- "Revenue from customers accounting for more than 10.0% of total revenue" table. n/d = below 10% threshold (lumped into "All others").</t>
      </text>
    </comment>
    <comment ref="F25" authorId="0" shapeId="0">
      <text>
        <t>Total = SUM (n/d cells treated as 0; should equal 100%).</t>
      </text>
    </comment>
    <comment ref="B26" authorId="0" shapeId="0">
      <text>
        <t>Q2 2023 10-Q -- "Revenue from customers accounting for more than 10.0% of total revenue" table. n/d = below 10% threshold (lumped into "All others").</t>
      </text>
    </comment>
    <comment ref="C26" authorId="0" shapeId="0">
      <text>
        <t>Q2 2023 10-Q -- "Revenue from customers accounting for more than 10.0% of total revenue" table. n/d = below 10% threshold (lumped into "All others").</t>
      </text>
    </comment>
    <comment ref="D26" authorId="0" shapeId="0">
      <text>
        <t>Q2 2023 10-Q -- customer below 10% threshold; not separately disclosed.</t>
      </text>
    </comment>
    <comment ref="E26" authorId="0" shapeId="0">
      <text>
        <t>Q2 2023 10-Q -- "Revenue from customers accounting for more than 10.0% of total revenue" table. n/d = below 10% threshold (lumped into "All others").</t>
      </text>
    </comment>
    <comment ref="F26" authorId="0" shapeId="0">
      <text>
        <t>Total = SUM (n/d cells treated as 0; should equal 100%).</t>
      </text>
    </comment>
    <comment ref="B27" authorId="0" shapeId="0">
      <text>
        <t>Q3 2023 10-Q -- "Revenue from customers accounting for more than 10.0% of total revenue" table. n/d = below 10% threshold (lumped into "All others").</t>
      </text>
    </comment>
    <comment ref="C27" authorId="0" shapeId="0">
      <text>
        <t>Q3 2023 10-Q -- "Revenue from customers accounting for more than 10.0% of total revenue" table. n/d = below 10% threshold (lumped into "All others").</t>
      </text>
    </comment>
    <comment ref="D27" authorId="0" shapeId="0">
      <text>
        <t>Q3 2023 10-Q -- customer below 10% threshold; not separately disclosed.</t>
      </text>
    </comment>
    <comment ref="E27" authorId="0" shapeId="0">
      <text>
        <t>Q3 2023 10-Q -- "Revenue from customers accounting for more than 10.0% of total revenue" table. n/d = below 10% threshold (lumped into "All others").</t>
      </text>
    </comment>
    <comment ref="F27" authorId="0" shapeId="0">
      <text>
        <t>Total = SUM (n/d cells treated as 0; should equal 100%).</t>
      </text>
    </comment>
    <comment ref="B28" authorId="0" shapeId="0">
      <text>
        <t>FY2023 10-K -- "Revenue from customers accounting for more than 10.0% of total revenue" table. n/d = below 10% threshold (lumped into "All others").</t>
      </text>
    </comment>
    <comment ref="C28" authorId="0" shapeId="0">
      <text>
        <t>FY2023 10-K -- "Revenue from customers accounting for more than 10.0% of total revenue" table. n/d = below 10% threshold (lumped into "All others").</t>
      </text>
    </comment>
    <comment ref="D28" authorId="0" shapeId="0">
      <text>
        <t>FY2023 10-K -- "Revenue from customers accounting for more than 10.0% of total revenue" table. n/d = below 10% threshold (lumped into "All others").</t>
      </text>
    </comment>
    <comment ref="E28" authorId="0" shapeId="0">
      <text>
        <t>FY2023 10-K -- "Revenue from customers accounting for more than 10.0% of total revenue" table. n/d = below 10% threshold (lumped into "All others").</t>
      </text>
    </comment>
    <comment ref="F28" authorId="0" shapeId="0">
      <text>
        <t>Total = SUM (n/d cells treated as 0; should equal 100%).</t>
      </text>
    </comment>
    <comment ref="B29" authorId="0" shapeId="0">
      <text>
        <t>Q1 2024 10-Q -- "Revenue from customers accounting for more than 10.0% of total revenue" table. n/d = below 10% threshold (lumped into "All others").</t>
      </text>
    </comment>
    <comment ref="C29" authorId="0" shapeId="0">
      <text>
        <t>Q1 2024 10-Q -- "Revenue from customers accounting for more than 10.0% of total revenue" table. n/d = below 10% threshold (lumped into "All others").</t>
      </text>
    </comment>
    <comment ref="D29" authorId="0" shapeId="0">
      <text>
        <t>Q1 2024 10-Q -- customer below 10% threshold; not separately disclosed.</t>
      </text>
    </comment>
    <comment ref="E29" authorId="0" shapeId="0">
      <text>
        <t>Q1 2024 10-Q -- "Revenue from customers accounting for more than 10.0% of total revenue" table. n/d = below 10% threshold (lumped into "All others").</t>
      </text>
    </comment>
    <comment ref="F29" authorId="0" shapeId="0">
      <text>
        <t>Total = SUM (n/d cells treated as 0; should equal 100%).</t>
      </text>
    </comment>
    <comment ref="B30" authorId="0" shapeId="0">
      <text>
        <t>Q2 2024 10-Q -- "Revenue from customers accounting for more than 10.0% of total revenue" table. n/d = below 10% threshold (lumped into "All others").</t>
      </text>
    </comment>
    <comment ref="C30" authorId="0" shapeId="0">
      <text>
        <t>Q2 2024 10-Q -- "Revenue from customers accounting for more than 10.0% of total revenue" table. n/d = below 10% threshold (lumped into "All others").</t>
      </text>
    </comment>
    <comment ref="D30" authorId="0" shapeId="0">
      <text>
        <t>Q2 2024 10-Q -- customer below 10% threshold; not separately disclosed.</t>
      </text>
    </comment>
    <comment ref="E30" authorId="0" shapeId="0">
      <text>
        <t>Q2 2024 10-Q -- "Revenue from customers accounting for more than 10.0% of total revenue" table. n/d = below 10% threshold (lumped into "All others").</t>
      </text>
    </comment>
    <comment ref="F30" authorId="0" shapeId="0">
      <text>
        <t>Total = SUM (n/d cells treated as 0; should equal 100%).</t>
      </text>
    </comment>
    <comment ref="B31" authorId="0" shapeId="0">
      <text>
        <t>Q3 2024 10-Q -- "Revenue from customers accounting for more than 10.0% of total revenue" table. n/d = below 10% threshold (lumped into "All others").</t>
      </text>
    </comment>
    <comment ref="C31" authorId="0" shapeId="0">
      <text>
        <t>Q3 2024 10-Q -- "Revenue from customers accounting for more than 10.0% of total revenue" table. n/d = below 10% threshold (lumped into "All others").</t>
      </text>
    </comment>
    <comment ref="D31" authorId="0" shapeId="0">
      <text>
        <t>Q3 2024 10-Q -- "Revenue from customers accounting for more than 10.0% of total revenue" table. n/d = below 10% threshold (lumped into "All others").</t>
      </text>
    </comment>
    <comment ref="E31" authorId="0" shapeId="0">
      <text>
        <t>Q3 2024 10-Q -- "Revenue from customers accounting for more than 10.0% of total revenue" table. n/d = below 10% threshold (lumped into "All others").</t>
      </text>
    </comment>
    <comment ref="F31" authorId="0" shapeId="0">
      <text>
        <t>Total = SUM (n/d cells treated as 0; should equal 100%).</t>
      </text>
    </comment>
    <comment ref="B32" authorId="0" shapeId="0">
      <text>
        <t>FY2024 10-K -- "Revenue from customers accounting for more than 10.0% of total revenue" table. n/d = below 10% threshold (lumped into "All others").</t>
      </text>
    </comment>
    <comment ref="C32" authorId="0" shapeId="0">
      <text>
        <t>FY2024 10-K -- "Revenue from customers accounting for more than 10.0% of total revenue" table. n/d = below 10% threshold (lumped into "All others").</t>
      </text>
    </comment>
    <comment ref="D32" authorId="0" shapeId="0">
      <text>
        <t>FY2024 10-K -- customer below 10% threshold; not separately disclosed.</t>
      </text>
    </comment>
    <comment ref="E32" authorId="0" shapeId="0">
      <text>
        <t>FY2024 10-K -- "Revenue from customers accounting for more than 10.0% of total revenue" table. n/d = below 10% threshold (lumped into "All others").</t>
      </text>
    </comment>
    <comment ref="F32" authorId="0" shapeId="0">
      <text>
        <t>Total = SUM (n/d cells treated as 0; should equal 100%).</t>
      </text>
    </comment>
    <comment ref="B33" authorId="0" shapeId="0">
      <text>
        <t>Q1 2025 10-Q -- "Revenue from customers accounting for more than 10.0% of total revenue" table. n/d = below 10% threshold (lumped into "All others").</t>
      </text>
    </comment>
    <comment ref="C33" authorId="0" shapeId="0">
      <text>
        <t>Q1 2025 10-Q -- "Revenue from customers accounting for more than 10.0% of total revenue" table. n/d = below 10% threshold (lumped into "All others").</t>
      </text>
    </comment>
    <comment ref="D33" authorId="0" shapeId="0">
      <text>
        <t>Q1 2025 10-Q -- "Revenue from customers accounting for more than 10.0% of total revenue" table. n/d = below 10% threshold (lumped into "All others").</t>
      </text>
    </comment>
    <comment ref="E33" authorId="0" shapeId="0">
      <text>
        <t>Q1 2025 10-Q -- "Revenue from customers accounting for more than 10.0% of total revenue" table. n/d = below 10% threshold (lumped into "All others").</t>
      </text>
    </comment>
    <comment ref="F33" authorId="0" shapeId="0">
      <text>
        <t>Total = SUM (n/d cells treated as 0; should equal 100%).</t>
      </text>
    </comment>
    <comment ref="B34" authorId="0" shapeId="0">
      <text>
        <t>Q2 2025 10-Q -- "Revenue from customers accounting for more than 10.0% of total revenue" table. n/d = below 10% threshold (lumped into "All others").</t>
      </text>
    </comment>
    <comment ref="C34" authorId="0" shapeId="0">
      <text>
        <t>Q2 2025 10-Q -- "Revenue from customers accounting for more than 10.0% of total revenue" table. n/d = below 10% threshold (lumped into "All others").</t>
      </text>
    </comment>
    <comment ref="D34" authorId="0" shapeId="0">
      <text>
        <t>Q2 2025 10-Q -- customer below 10% threshold; not separately disclosed.</t>
      </text>
    </comment>
    <comment ref="E34" authorId="0" shapeId="0">
      <text>
        <t>Q2 2025 10-Q -- "Revenue from customers accounting for more than 10.0% of total revenue" table. n/d = below 10% threshold (lumped into "All others").</t>
      </text>
    </comment>
    <comment ref="F34" authorId="0" shapeId="0">
      <text>
        <t>Total = SUM (n/d cells treated as 0; should equal 100%).</t>
      </text>
    </comment>
    <comment ref="B35" authorId="0" shapeId="0">
      <text>
        <t>Q3 2025 10-Q -- "Revenue from customers accounting for more than 10.0% of total revenue" table. n/d = below 10% threshold (lumped into "All others").</t>
      </text>
    </comment>
    <comment ref="C35" authorId="0" shapeId="0">
      <text>
        <t>Q3 2025 10-Q -- "Revenue from customers accounting for more than 10.0% of total revenue" table. n/d = below 10% threshold (lumped into "All others").</t>
      </text>
    </comment>
    <comment ref="D35" authorId="0" shapeId="0">
      <text>
        <t>Q3 2025 10-Q -- "Revenue from customers accounting for more than 10.0% of total revenue" table. n/d = below 10% threshold (lumped into "All others").</t>
      </text>
    </comment>
    <comment ref="E35" authorId="0" shapeId="0">
      <text>
        <t>Q3 2025 10-Q -- "Revenue from customers accounting for more than 10.0% of total revenue" table. n/d = below 10% threshold (lumped into "All others").</t>
      </text>
    </comment>
    <comment ref="F35" authorId="0" shapeId="0">
      <text>
        <t>Total = SUM (n/d cells treated as 0; should equal 100%).</t>
      </text>
    </comment>
    <comment ref="B36" authorId="0" shapeId="0">
      <text>
        <t>FY2025 10-K -- "Revenue from customers accounting for more than 10.0% of total revenue" table. n/d = below 10% threshold (lumped into "All others").</t>
      </text>
    </comment>
    <comment ref="C36" authorId="0" shapeId="0">
      <text>
        <t>FY2025 10-K -- "Revenue from customers accounting for more than 10.0% of total revenue" table. n/d = below 10% threshold (lumped into "All others").</t>
      </text>
    </comment>
    <comment ref="D36" authorId="0" shapeId="0">
      <text>
        <t>FY2025 10-K -- customer below 10% threshold; not separately disclosed.</t>
      </text>
    </comment>
    <comment ref="E36" authorId="0" shapeId="0">
      <text>
        <t>FY2025 10-K -- "Revenue from customers accounting for more than 10.0% of total revenue" table. n/d = below 10% threshold (lumped into "All others").</t>
      </text>
    </comment>
    <comment ref="F36" authorId="0" shapeId="0">
      <text>
        <t>Total = SUM (n/d cells treated as 0; should equal 100%).</t>
      </text>
    </comment>
    <comment ref="B41" authorId="0" shapeId="0">
      <text>
        <t>FY2023 10-K -- "Functional energy drink product revenue accounted for approximately X% of revenue" disclosure in Concentrations of Risk note.</t>
      </text>
    </comment>
    <comment ref="B42" authorId="0" shapeId="0">
      <text>
        <t>Q3 2024 10-Q -- "Functional energy drink product revenue accounted for approximately X% of revenue" disclosure in Concentrations of Risk note.</t>
      </text>
    </comment>
    <comment ref="C42" authorId="0" shapeId="0">
      <text>
        <t>Q3 2024 10-Q -- "Functional energy drink product revenue accounted for approximately X% of revenue" disclosure in Concentrations of Risk note.</t>
      </text>
    </comment>
    <comment ref="B43" authorId="0" shapeId="0">
      <text>
        <t>FY2024 10-K -- "Functional energy drink product revenue accounted for approximately X% of revenue" disclosure in Concentrations of Risk note.</t>
      </text>
    </comment>
    <comment ref="B44" authorId="0" shapeId="0">
      <text>
        <t>Q2 2025 10-Q -- "Functional energy drink product revenue accounted for approximately X% of revenue" disclosure in Concentrations of Risk note.</t>
      </text>
    </comment>
    <comment ref="C44" authorId="0" shapeId="0">
      <text>
        <t>Q2 2025 10-Q -- "Functional energy drink product revenue accounted for approximately X% of revenue" disclosure in Concentrations of Risk note.</t>
      </text>
    </comment>
    <comment ref="B45" authorId="0" shapeId="0">
      <text>
        <t>Q3 2025 10-Q -- "Functional energy drink product revenue accounted for approximately X% of revenue" disclosure in Concentrations of Risk note.</t>
      </text>
    </comment>
    <comment ref="C45" authorId="0" shapeId="0">
      <text>
        <t>Q3 2025 10-Q -- "Functional energy drink product revenue accounted for approximately X% of revenue" disclosure in Concentrations of Risk note.</t>
      </text>
    </comment>
    <comment ref="B46" authorId="0" shapeId="0">
      <text>
        <t>FY2025 10-K -- "Functional energy drink product revenue accounted for approximately X% of revenue" disclosure in Concentrations of Risk note.</t>
      </text>
    </comment>
    <comment ref="B51" authorId="0" shapeId="0">
      <text>
        <t>Celsius brand = Total - Alani - Rockstar (residual; CELH does not disclose Celsius brand directly).</t>
      </text>
    </comment>
    <comment ref="C51" authorId="0" shapeId="0">
      <text>
        <t>Pre-acquisition. Alani closed April 1, 2025; Rockstar closed August 28, 2025.</t>
      </text>
    </comment>
    <comment ref="D51" authorId="0" shapeId="0">
      <text>
        <t>Pre-acquisition. Alani closed April 1, 2025; Rockstar closed August 28, 2025.</t>
      </text>
    </comment>
    <comment ref="E51" authorId="0" shapeId="0">
      <text>
        <t>Total revenue links to Geography section (F16); change there propagates here.</t>
      </text>
    </comment>
    <comment ref="F51" authorId="0" shapeId="0">
      <text>
        <t>% Alani of total single-period revenue.</t>
      </text>
    </comment>
    <comment ref="B52" authorId="0" shapeId="0">
      <text>
        <t>Celsius brand = Total - Alani - Rockstar (residual; CELH does not disclose Celsius brand directly).</t>
      </text>
    </comment>
    <comment ref="C52" authorId="0" shapeId="0">
      <text>
        <t>Alani Nu Operations: "generated approximately $301.2 million of revenue ... from the Closing Date through June 30, 2025."</t>
      </text>
    </comment>
    <comment ref="D52" authorId="0" shapeId="0">
      <text>
        <t>Alani Nu Operations: "generated approximately $301.2 million of revenue ... from the Closing Date through June 30, 2025."</t>
      </text>
    </comment>
    <comment ref="E52" authorId="0" shapeId="0">
      <text>
        <t>Total revenue links to Geography section (F17); change there propagates here.</t>
      </text>
    </comment>
    <comment ref="F52" authorId="0" shapeId="0">
      <text>
        <t>% Alani of total single-period revenue.</t>
      </text>
    </comment>
    <comment ref="B53" authorId="0" shapeId="0">
      <text>
        <t>Celsius brand = Total - Alani - Rockstar (residual; CELH does not disclose Celsius brand directly).</t>
      </text>
    </comment>
    <comment ref="C53" authorId="0" shapeId="0">
      <text>
        <t>Alani $332.0M from MD&amp;A narrative; cross-checked via Item 4 (35.3% x 9M rev). Rockstar $12.2M from Note 5 (Aug 28 - Sep 30 partial).</t>
      </text>
    </comment>
    <comment ref="D53" authorId="0" shapeId="0">
      <text>
        <t>Alani $332.0M from MD&amp;A narrative; cross-checked via Item 4 (35.3% x 9M rev). Rockstar $12.2M from Note 5 (Aug 28 - Sep 30 partial).</t>
      </text>
    </comment>
    <comment ref="E53" authorId="0" shapeId="0">
      <text>
        <t>Total revenue links to Geography section (F18); change there propagates here.</t>
      </text>
    </comment>
    <comment ref="F53" authorId="0" shapeId="0">
      <text>
        <t>% Alani of total single-period revenue.</t>
      </text>
    </comment>
    <comment ref="B54" authorId="0" shapeId="0">
      <text>
        <t>Celsius brand = Total - Alani - Rockstar (residual; CELH does not disclose Celsius brand directly).</t>
      </text>
    </comment>
    <comment ref="C54" authorId="0" shapeId="0">
      <text>
        <t>Q4 Alani = FY - (Q1 + Q2 + Q3). Q1 = 0 (pre-acquisition).</t>
      </text>
    </comment>
    <comment ref="D54" authorId="0" shapeId="0">
      <text>
        <t>Q4 Rockstar = FY - (Q1 + Q2 + Q3). First full quarter of ownership.</t>
      </text>
    </comment>
    <comment ref="E54" authorId="0" shapeId="0">
      <text>
        <t>Total revenue links to Geography section (F19); change there propagates here.</t>
      </text>
    </comment>
    <comment ref="F54" authorId="0" shapeId="0">
      <text>
        <t>% Alani of total single-period revenue.</t>
      </text>
    </comment>
    <comment ref="B55" authorId="0" shapeId="0">
      <text>
        <t>Celsius brand = Total - Alani - Rockstar (residual; CELH does not disclose Celsius brand directly).</t>
      </text>
    </comment>
    <comment ref="C55" authorId="0" shapeId="0">
      <text>
        <t>Alani Nu Operations: "$1,001.9 million of revenue for the period from the Closing Date of Alani Nu through December 31, 2025." Rockstar Operations: "$55.6 million of revenue ... from the Closing Date of the Pepsi Transactions through December 31, 2025." Cross-checks: Item 9A confirms 39.8% (Alani) and 2.2% (Rockstar) of consolidated revenue.</t>
      </text>
    </comment>
    <comment ref="D55" authorId="0" shapeId="0">
      <text>
        <t>Alani Nu Operations: "$1,001.9 million of revenue for the period from the Closing Date of Alani Nu through December 31, 2025." Rockstar Operations: "$55.6 million of revenue ... from the Closing Date of the Pepsi Transactions through December 31, 2025." Cross-checks: Item 9A confirms 39.8% (Alani) and 2.2% (Rockstar) of consolidated revenue.</t>
      </text>
    </comment>
    <comment ref="E55" authorId="0" shapeId="0">
      <text>
        <t>Total revenue links to Geography section (F20); change there propagates here.</t>
      </text>
    </comment>
    <comment ref="F55" authorId="0" shapeId="0">
      <text>
        <t>% Alani of total single-period revenue.</t>
      </text>
    </comment>
    <comment ref="B60" authorId="0" shapeId="0">
      <text>
        <t>Q3 2025 10-Q N5 -- Actual reported revenue.</t>
      </text>
    </comment>
    <comment ref="C60" authorId="0" shapeId="0">
      <text>
        <t>Pro forma 3M Sep-2024 (as if both acquisitions closed Jan 1, 2024).</t>
      </text>
    </comment>
    <comment ref="D60" authorId="0" shapeId="0">
      <text>
        <t>Pro forma minus Actual = revenue from acquisitions in periods CELH did not yet own them.</t>
      </text>
    </comment>
    <comment ref="B61" authorId="0" shapeId="0">
      <text>
        <t>Q3 2025 10-Q N5 -- Actual reported revenue.</t>
      </text>
    </comment>
    <comment ref="C61" authorId="0" shapeId="0">
      <text>
        <t>Pro forma 3M Sep-2025. Difference vs actual = ~2 months missing Rockstar (pre-Aug-28).</t>
      </text>
    </comment>
    <comment ref="D61" authorId="0" shapeId="0">
      <text>
        <t>Pro forma minus Actual = revenue from acquisitions in periods CELH did not yet own them.</t>
      </text>
    </comment>
    <comment ref="E61" authorId="0" shapeId="0">
      <text>
        <t>Pro forma YoY growth (apples-to-apples; both years assume acquisitions owned).</t>
      </text>
    </comment>
    <comment ref="B62" authorId="0" shapeId="0">
      <text>
        <t>Q3 2025 10-Q N5 -- Actual reported revenue.</t>
      </text>
    </comment>
    <comment ref="C62" authorId="0" shapeId="0">
      <text>
        <t>Pro forma 9M Sep-2024. Difference vs actual = full 9M of Alani + Rockstar.</t>
      </text>
    </comment>
    <comment ref="D62" authorId="0" shapeId="0">
      <text>
        <t>Pro forma minus Actual = revenue from acquisitions in periods CELH did not yet own them.</t>
      </text>
    </comment>
    <comment ref="B63" authorId="0" shapeId="0">
      <text>
        <t>Q3 2025 10-Q N5 -- Actual reported revenue.</t>
      </text>
    </comment>
    <comment ref="C63" authorId="0" shapeId="0">
      <text>
        <t>Pro forma 9M Sep-2025. Difference vs actual = Alani Q1 (Jan-Mar) + Rockstar Jan-Aug 27.</t>
      </text>
    </comment>
    <comment ref="D63" authorId="0" shapeId="0">
      <text>
        <t>Pro forma minus Actual = revenue from acquisitions in periods CELH did not yet own them.</t>
      </text>
    </comment>
    <comment ref="E63" authorId="0" shapeId="0">
      <text>
        <t>Pro forma YoY growth (apples-to-apples; both years assume acquisitions owned).</t>
      </text>
    </comment>
    <comment ref="B64" authorId="0" shapeId="0">
      <text>
        <t>FY2025 10-K N5 -- Actual reported revenue.</t>
      </text>
    </comment>
    <comment ref="C64" authorId="0" shapeId="0">
      <text>
        <t>Pro forma FY2024. Implied: full-year Alani + Rockstar combined ~$962M in 2024.</t>
      </text>
    </comment>
    <comment ref="D64" authorId="0" shapeId="0">
      <text>
        <t>Pro forma minus Actual = revenue from acquisitions in periods CELH did not yet own them.</t>
      </text>
    </comment>
    <comment ref="B65" authorId="0" shapeId="0">
      <text>
        <t>FY2025 10-K N5 -- Actual reported revenue.</t>
      </text>
    </comment>
    <comment ref="C65" authorId="0" shapeId="0">
      <text>
        <t>Pro forma FY2025. Implied: ~$488M of additional Alani + Rockstar revenue if owned entire year.</t>
      </text>
    </comment>
    <comment ref="D65" authorId="0" shapeId="0">
      <text>
        <t>Pro forma minus Actual = revenue from acquisitions in periods CELH did not yet own them.</t>
      </text>
    </comment>
    <comment ref="E65" authorId="0" shapeId="0">
      <text>
        <t>Pro forma YoY growth (apples-to-apples; both years assume acquisitions owned).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../../../../Pl3%20Celsius%20Case%20Study/data/derived/Celsius_SNAP%20Data_GR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le"/>
      <sheetName val="Female"/>
      <sheetName val="Growth by Race"/>
      <sheetName val="SNAP Base Case"/>
      <sheetName val="SNAP Recession"/>
      <sheetName val="TAM &amp; Brand Share"/>
      <sheetName val="Demographic Data"/>
      <sheetName val="National Summary"/>
      <sheetName val="Snap Usage"/>
      <sheetName val="Energy Drink Consumption"/>
      <sheetName val="COVID SNAP Impact"/>
      <sheetName val="SNAP Ban Impact"/>
      <sheetName val="Total Market_Celsius Output"/>
      <sheetName val="GLP-1 Share Impact"/>
      <sheetName val="Cohort Aging 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3">
          <cell r="D33">
            <v>113.36679374999999</v>
          </cell>
          <cell r="E33">
            <v>115.23408749999999</v>
          </cell>
          <cell r="F33">
            <v>117.18209999999999</v>
          </cell>
          <cell r="G33">
            <v>119.20544999999998</v>
          </cell>
          <cell r="H33">
            <v>121.31489999999998</v>
          </cell>
        </row>
        <row r="34">
          <cell r="D34">
            <v>21.448251138864567</v>
          </cell>
          <cell r="E34">
            <v>22.038453748142427</v>
          </cell>
          <cell r="F34">
            <v>22.883234775552697</v>
          </cell>
          <cell r="G34">
            <v>23.742292271505907</v>
          </cell>
          <cell r="H34">
            <v>24.619670147589872</v>
          </cell>
        </row>
      </sheetData>
      <sheetData sheetId="12"/>
      <sheetData sheetId="13">
        <row r="22">
          <cell r="C22">
            <v>68.911914840907883</v>
          </cell>
          <cell r="D22">
            <v>82.534532405551772</v>
          </cell>
          <cell r="E22">
            <v>95.991953898519981</v>
          </cell>
          <cell r="F22">
            <v>110.09995327741292</v>
          </cell>
          <cell r="G22">
            <v>124.02447744606826</v>
          </cell>
        </row>
      </sheetData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28" customWidth="1" min="7" max="7"/>
  </cols>
  <sheetData>
    <row r="1">
      <c r="A1" s="60" t="inlineStr">
        <is>
          <t>CELH - MD&amp;A Revenue Disaggregation</t>
        </is>
      </c>
    </row>
    <row r="2">
      <c r="A2" s="61" t="inlineStr">
        <is>
          <t>Source: CELH 10-Q (Q1 2023 - Q3 2025) + 10-K (FY2023, FY2024, FY2025). All $ in thousands. Hover any cell for source citation.</t>
        </is>
      </c>
    </row>
    <row r="4">
      <c r="A4" s="62" t="inlineStr">
        <is>
          <t>1. GEOGRAPHY -- Revenue ($ thousands, single-period)</t>
        </is>
      </c>
    </row>
    <row r="5">
      <c r="A5" s="63" t="inlineStr">
        <is>
          <t>Period</t>
        </is>
      </c>
      <c r="B5" s="63" t="inlineStr">
        <is>
          <t>North America</t>
        </is>
      </c>
      <c r="C5" s="63" t="inlineStr">
        <is>
          <t>Europe</t>
        </is>
      </c>
      <c r="D5" s="63" t="inlineStr">
        <is>
          <t>Asia-Pacific</t>
        </is>
      </c>
      <c r="E5" s="63" t="inlineStr">
        <is>
          <t>Other</t>
        </is>
      </c>
      <c r="F5" s="63" t="inlineStr">
        <is>
          <t>Total</t>
        </is>
      </c>
      <c r="G5" s="63" t="inlineStr">
        <is>
          <t>Source</t>
        </is>
      </c>
    </row>
    <row r="6">
      <c r="A6" s="64" t="inlineStr">
        <is>
          <t>Q1 2023</t>
        </is>
      </c>
      <c r="B6" s="65" t="n">
        <v>248552</v>
      </c>
      <c r="C6" s="65" t="n">
        <v>8652</v>
      </c>
      <c r="D6" s="65" t="n">
        <v>1258</v>
      </c>
      <c r="E6" s="65" t="n">
        <v>1477</v>
      </c>
      <c r="F6" s="66">
        <f>SUM(B6:E6)</f>
        <v/>
      </c>
      <c r="G6" s="67" t="inlineStr">
        <is>
          <t>Q1 2024 10-Q (comparable)</t>
        </is>
      </c>
    </row>
    <row r="7">
      <c r="A7" s="64" t="inlineStr">
        <is>
          <t>Q2 2023</t>
        </is>
      </c>
      <c r="B7" s="65" t="n">
        <v>310815</v>
      </c>
      <c r="C7" s="65" t="n">
        <v>11909</v>
      </c>
      <c r="D7" s="65" t="n">
        <v>1606</v>
      </c>
      <c r="E7" s="65" t="n">
        <v>1553</v>
      </c>
      <c r="F7" s="66">
        <f>SUM(B7:E7)</f>
        <v/>
      </c>
      <c r="G7" s="67" t="inlineStr">
        <is>
          <t>Q2 2024 10-Q (comparable)</t>
        </is>
      </c>
    </row>
    <row r="8">
      <c r="A8" s="64" t="inlineStr">
        <is>
          <t>Q3 2023</t>
        </is>
      </c>
      <c r="B8" s="65" t="n">
        <v>371178</v>
      </c>
      <c r="C8" s="65" t="n">
        <v>11038</v>
      </c>
      <c r="D8" s="65" t="n">
        <v>1247</v>
      </c>
      <c r="E8" s="65" t="n">
        <v>1294</v>
      </c>
      <c r="F8" s="66">
        <f>SUM(B8:E8)</f>
        <v/>
      </c>
      <c r="G8" s="67" t="inlineStr">
        <is>
          <t>Q3 2023 10-Q</t>
        </is>
      </c>
    </row>
    <row r="9">
      <c r="A9" s="64" t="inlineStr">
        <is>
          <t>Q4 2023</t>
        </is>
      </c>
      <c r="B9" s="66">
        <f>B10-B8-B7-B6</f>
        <v/>
      </c>
      <c r="C9" s="66">
        <f>C10-C8-C7-C6</f>
        <v/>
      </c>
      <c r="D9" s="66">
        <f>D10-D8-D7-D6</f>
        <v/>
      </c>
      <c r="E9" s="66">
        <f>E10-E8-E7-E6</f>
        <v/>
      </c>
      <c r="F9" s="66">
        <f>SUM(B9:E9)</f>
        <v/>
      </c>
      <c r="G9" s="67" t="inlineStr">
        <is>
          <t>derived: FY - 9M</t>
        </is>
      </c>
    </row>
    <row r="10">
      <c r="A10" s="68" t="inlineStr">
        <is>
          <t>FY2023</t>
        </is>
      </c>
      <c r="B10" s="69" t="n">
        <v>1263341</v>
      </c>
      <c r="C10" s="69" t="n">
        <v>43722</v>
      </c>
      <c r="D10" s="69" t="n">
        <v>4755</v>
      </c>
      <c r="E10" s="69" t="n">
        <v>6196</v>
      </c>
      <c r="F10" s="70">
        <f>SUM(B10:E10)</f>
        <v/>
      </c>
      <c r="G10" s="71" t="inlineStr">
        <is>
          <t>FY2023 10-K</t>
        </is>
      </c>
    </row>
    <row r="11">
      <c r="A11" s="64" t="inlineStr">
        <is>
          <t>Q1 2024</t>
        </is>
      </c>
      <c r="B11" s="65" t="n">
        <v>339512</v>
      </c>
      <c r="C11" s="65" t="n">
        <v>14142</v>
      </c>
      <c r="D11" s="65" t="n">
        <v>675</v>
      </c>
      <c r="E11" s="65" t="n">
        <v>1379</v>
      </c>
      <c r="F11" s="66">
        <f>SUM(B11:E11)</f>
        <v/>
      </c>
      <c r="G11" s="67" t="inlineStr">
        <is>
          <t>Q1 2024 10-Q</t>
        </is>
      </c>
    </row>
    <row r="12">
      <c r="A12" s="64" t="inlineStr">
        <is>
          <t>Q2 2024</t>
        </is>
      </c>
      <c r="B12" s="65" t="n">
        <v>382351</v>
      </c>
      <c r="C12" s="65" t="n">
        <v>16684</v>
      </c>
      <c r="D12" s="65" t="n">
        <v>860</v>
      </c>
      <c r="E12" s="65" t="n">
        <v>2082</v>
      </c>
      <c r="F12" s="66">
        <f>SUM(B12:E12)</f>
        <v/>
      </c>
      <c r="G12" s="67" t="inlineStr">
        <is>
          <t>Q2 2024 10-Q</t>
        </is>
      </c>
    </row>
    <row r="13">
      <c r="A13" s="64" t="inlineStr">
        <is>
          <t>Q3 2024</t>
        </is>
      </c>
      <c r="B13" s="65" t="n">
        <v>247125</v>
      </c>
      <c r="C13" s="65" t="n">
        <v>16243</v>
      </c>
      <c r="D13" s="65" t="n">
        <v>594</v>
      </c>
      <c r="E13" s="65" t="n">
        <v>1786</v>
      </c>
      <c r="F13" s="66">
        <f>SUM(B13:E13)</f>
        <v/>
      </c>
      <c r="G13" s="67" t="inlineStr">
        <is>
          <t>Q3 2024 10-Q</t>
        </is>
      </c>
    </row>
    <row r="14">
      <c r="A14" s="64" t="inlineStr">
        <is>
          <t>Q4 2024</t>
        </is>
      </c>
      <c r="B14" s="66">
        <f>B15-B13-B12-B11</f>
        <v/>
      </c>
      <c r="C14" s="66">
        <f>C15-C13-C12-C11</f>
        <v/>
      </c>
      <c r="D14" s="66">
        <f>D15-D13-D12-D11</f>
        <v/>
      </c>
      <c r="E14" s="66">
        <f>E15-E13-E12-E11</f>
        <v/>
      </c>
      <c r="F14" s="66">
        <f>SUM(B14:E14)</f>
        <v/>
      </c>
      <c r="G14" s="67" t="inlineStr">
        <is>
          <t>derived: FY - 9M</t>
        </is>
      </c>
    </row>
    <row r="15">
      <c r="A15" s="68" t="inlineStr">
        <is>
          <t>FY2024</t>
        </is>
      </c>
      <c r="B15" s="69" t="n">
        <v>1280894</v>
      </c>
      <c r="C15" s="69" t="n">
        <v>61696</v>
      </c>
      <c r="D15" s="69" t="n">
        <v>5658</v>
      </c>
      <c r="E15" s="69" t="n">
        <v>7382</v>
      </c>
      <c r="F15" s="70">
        <f>SUM(B15:E15)</f>
        <v/>
      </c>
      <c r="G15" s="71" t="inlineStr">
        <is>
          <t>FY2024 10-K</t>
        </is>
      </c>
    </row>
    <row r="16">
      <c r="A16" s="64" t="inlineStr">
        <is>
          <t>Q1 2025</t>
        </is>
      </c>
      <c r="B16" s="65" t="n">
        <v>306534</v>
      </c>
      <c r="C16" s="65" t="n">
        <v>18659</v>
      </c>
      <c r="D16" s="65" t="n">
        <v>2244</v>
      </c>
      <c r="E16" s="65" t="n">
        <v>1839</v>
      </c>
      <c r="F16" s="66">
        <f>SUM(B16:E16)</f>
        <v/>
      </c>
      <c r="G16" s="67" t="inlineStr">
        <is>
          <t>Q1 2025 10-Q</t>
        </is>
      </c>
    </row>
    <row r="17">
      <c r="A17" s="64" t="inlineStr">
        <is>
          <t>Q2 2025</t>
        </is>
      </c>
      <c r="B17" s="65" t="n">
        <v>714459</v>
      </c>
      <c r="C17" s="65" t="n">
        <v>18301</v>
      </c>
      <c r="D17" s="65" t="n">
        <v>4381</v>
      </c>
      <c r="E17" s="65" t="n">
        <v>2118</v>
      </c>
      <c r="F17" s="66">
        <f>SUM(B17:E17)</f>
        <v/>
      </c>
      <c r="G17" s="67" t="inlineStr">
        <is>
          <t>Q2 2025 10-Q</t>
        </is>
      </c>
    </row>
    <row r="18">
      <c r="A18" s="64" t="inlineStr">
        <is>
          <t>Q3 2025</t>
        </is>
      </c>
      <c r="B18" s="65" t="n">
        <v>701990</v>
      </c>
      <c r="C18" s="65" t="n">
        <v>17691</v>
      </c>
      <c r="D18" s="65" t="n">
        <v>3518</v>
      </c>
      <c r="E18" s="65" t="n">
        <v>1907</v>
      </c>
      <c r="F18" s="66">
        <f>SUM(B18:E18)</f>
        <v/>
      </c>
      <c r="G18" s="67" t="inlineStr">
        <is>
          <t>Q3 2025 10-Q</t>
        </is>
      </c>
    </row>
    <row r="19">
      <c r="A19" s="64" t="inlineStr">
        <is>
          <t>Q4 2025</t>
        </is>
      </c>
      <c r="B19" s="66">
        <f>B20-B18-B17-B16</f>
        <v/>
      </c>
      <c r="C19" s="66">
        <f>C20-C18-C17-C16</f>
        <v/>
      </c>
      <c r="D19" s="66">
        <f>D20-D18-D17-D16</f>
        <v/>
      </c>
      <c r="E19" s="66">
        <f>E20-E18-E17-E16</f>
        <v/>
      </c>
      <c r="F19" s="66">
        <f>SUM(B19:E19)</f>
        <v/>
      </c>
      <c r="G19" s="67" t="inlineStr">
        <is>
          <t>derived: FY - 9M</t>
        </is>
      </c>
    </row>
    <row r="20">
      <c r="A20" s="68" t="inlineStr">
        <is>
          <t>FY2025</t>
        </is>
      </c>
      <c r="B20" s="69" t="n">
        <v>2422490</v>
      </c>
      <c r="C20" s="69" t="n">
        <v>72544</v>
      </c>
      <c r="D20" s="69" t="n">
        <v>12971</v>
      </c>
      <c r="E20" s="69" t="n">
        <v>7264</v>
      </c>
      <c r="F20" s="70">
        <f>SUM(B20:E20)</f>
        <v/>
      </c>
      <c r="G20" s="71" t="inlineStr">
        <is>
          <t>FY2025 10-K</t>
        </is>
      </c>
    </row>
    <row r="23">
      <c r="A23" s="62" t="inlineStr">
        <is>
          <t>2. CUSTOMER CONCENTRATION -- % of single-period revenue (only customers &gt; 10% disclosed)</t>
        </is>
      </c>
    </row>
    <row r="24">
      <c r="A24" s="63" t="inlineStr">
        <is>
          <t>Period</t>
        </is>
      </c>
      <c r="B24" s="63" t="inlineStr">
        <is>
          <t>Pepsi</t>
        </is>
      </c>
      <c r="C24" s="63" t="inlineStr">
        <is>
          <t>Costco</t>
        </is>
      </c>
      <c r="D24" s="63" t="inlineStr">
        <is>
          <t>Amazon</t>
        </is>
      </c>
      <c r="E24" s="63" t="inlineStr">
        <is>
          <t>All others</t>
        </is>
      </c>
      <c r="F24" s="63" t="inlineStr">
        <is>
          <t>Total</t>
        </is>
      </c>
      <c r="G24" s="63" t="inlineStr">
        <is>
          <t>Source</t>
        </is>
      </c>
    </row>
    <row r="25">
      <c r="A25" s="64" t="inlineStr">
        <is>
          <t>Q1 2023</t>
        </is>
      </c>
      <c r="B25" s="72" t="n">
        <v>0.602</v>
      </c>
      <c r="C25" s="72" t="n">
        <v>0.129</v>
      </c>
      <c r="D25" s="72" t="n">
        <v>0.08400000000000001</v>
      </c>
      <c r="E25" s="72" t="n">
        <v>0.185</v>
      </c>
      <c r="F25" s="73">
        <f>SUM(B25:E25)</f>
        <v/>
      </c>
      <c r="G25" s="67" t="inlineStr">
        <is>
          <t>Q1 2023 10-Q</t>
        </is>
      </c>
    </row>
    <row r="26">
      <c r="A26" s="64" t="inlineStr">
        <is>
          <t>Q2 2023</t>
        </is>
      </c>
      <c r="B26" s="72" t="n">
        <v>0.5669999999999999</v>
      </c>
      <c r="C26" s="72" t="n">
        <v>0.13</v>
      </c>
      <c r="D26" s="74" t="inlineStr">
        <is>
          <t>n/d</t>
        </is>
      </c>
      <c r="E26" s="72" t="n">
        <v>0.303</v>
      </c>
      <c r="F26" s="73">
        <f>SUM(B26:E26)</f>
        <v/>
      </c>
      <c r="G26" s="67" t="inlineStr">
        <is>
          <t>Q2 2023 10-Q</t>
        </is>
      </c>
    </row>
    <row r="27">
      <c r="A27" s="64" t="inlineStr">
        <is>
          <t>Q3 2023</t>
        </is>
      </c>
      <c r="B27" s="72" t="n">
        <v>0.646</v>
      </c>
      <c r="C27" s="72" t="n">
        <v>0.089</v>
      </c>
      <c r="D27" s="74" t="inlineStr">
        <is>
          <t>n/d</t>
        </is>
      </c>
      <c r="E27" s="72" t="n">
        <v>0.265</v>
      </c>
      <c r="F27" s="73">
        <f>SUM(B27:E27)</f>
        <v/>
      </c>
      <c r="G27" s="67" t="inlineStr">
        <is>
          <t>Q3 2023 10-Q</t>
        </is>
      </c>
    </row>
    <row r="28">
      <c r="A28" s="68" t="inlineStr">
        <is>
          <t>FY2023</t>
        </is>
      </c>
      <c r="B28" s="75" t="n">
        <v>0.594</v>
      </c>
      <c r="C28" s="75" t="n">
        <v>0.12</v>
      </c>
      <c r="D28" s="75" t="n">
        <v>0.076</v>
      </c>
      <c r="E28" s="75" t="n">
        <v>0.21</v>
      </c>
      <c r="F28" s="76">
        <f>SUM(B28:E28)</f>
        <v/>
      </c>
      <c r="G28" s="71" t="inlineStr">
        <is>
          <t>FY2023 10-K</t>
        </is>
      </c>
    </row>
    <row r="29">
      <c r="A29" s="64" t="inlineStr">
        <is>
          <t>Q1 2024</t>
        </is>
      </c>
      <c r="B29" s="72" t="n">
        <v>0.592</v>
      </c>
      <c r="C29" s="72" t="n">
        <v>0.102</v>
      </c>
      <c r="D29" s="74" t="inlineStr">
        <is>
          <t>n/d</t>
        </is>
      </c>
      <c r="E29" s="72" t="n">
        <v>0.306</v>
      </c>
      <c r="F29" s="73">
        <f>SUM(B29:E29)</f>
        <v/>
      </c>
      <c r="G29" s="67" t="inlineStr">
        <is>
          <t>Q1 2024 10-Q</t>
        </is>
      </c>
    </row>
    <row r="30">
      <c r="A30" s="64" t="inlineStr">
        <is>
          <t>Q2 2024</t>
        </is>
      </c>
      <c r="B30" s="72" t="n">
        <v>0.529</v>
      </c>
      <c r="C30" s="72" t="n">
        <v>0.121</v>
      </c>
      <c r="D30" s="74" t="inlineStr">
        <is>
          <t>n/d</t>
        </is>
      </c>
      <c r="E30" s="72" t="n">
        <v>0.35</v>
      </c>
      <c r="F30" s="73">
        <f>SUM(B30:E30)</f>
        <v/>
      </c>
      <c r="G30" s="67" t="inlineStr">
        <is>
          <t>Q2 2024 10-Q</t>
        </is>
      </c>
    </row>
    <row r="31">
      <c r="A31" s="64" t="inlineStr">
        <is>
          <t>Q3 2024</t>
        </is>
      </c>
      <c r="B31" s="72" t="n">
        <v>0.47</v>
      </c>
      <c r="C31" s="72" t="n">
        <v>0.149</v>
      </c>
      <c r="D31" s="72" t="n">
        <v>0.102</v>
      </c>
      <c r="E31" s="72" t="n">
        <v>0.279</v>
      </c>
      <c r="F31" s="73">
        <f>SUM(B31:E31)</f>
        <v/>
      </c>
      <c r="G31" s="67" t="inlineStr">
        <is>
          <t>Q3 2024 10-Q</t>
        </is>
      </c>
    </row>
    <row r="32">
      <c r="A32" s="68" t="inlineStr">
        <is>
          <t>FY2024</t>
        </is>
      </c>
      <c r="B32" s="75" t="n">
        <v>0.547</v>
      </c>
      <c r="C32" s="75" t="n">
        <v>0.116</v>
      </c>
      <c r="D32" s="77" t="inlineStr">
        <is>
          <t>n/d</t>
        </is>
      </c>
      <c r="E32" s="75" t="n">
        <v>0.337</v>
      </c>
      <c r="F32" s="76">
        <f>SUM(B32:E32)</f>
        <v/>
      </c>
      <c r="G32" s="71" t="inlineStr">
        <is>
          <t>FY2024 10-K</t>
        </is>
      </c>
    </row>
    <row r="33">
      <c r="A33" s="64" t="inlineStr">
        <is>
          <t>Q1 2025</t>
        </is>
      </c>
      <c r="B33" s="72" t="n">
        <v>0.576</v>
      </c>
      <c r="C33" s="72" t="n">
        <v>0.059</v>
      </c>
      <c r="D33" s="72" t="n">
        <v>0.121</v>
      </c>
      <c r="E33" s="72" t="n">
        <v>0.244</v>
      </c>
      <c r="F33" s="73">
        <f>SUM(B33:E33)</f>
        <v/>
      </c>
      <c r="G33" s="67" t="inlineStr">
        <is>
          <t>Q1 2025 10-Q</t>
        </is>
      </c>
    </row>
    <row r="34">
      <c r="A34" s="64" t="inlineStr">
        <is>
          <t>Q2 2025</t>
        </is>
      </c>
      <c r="B34" s="72" t="n">
        <v>0.333</v>
      </c>
      <c r="C34" s="72" t="n">
        <v>0.117</v>
      </c>
      <c r="D34" s="74" t="inlineStr">
        <is>
          <t>n/d</t>
        </is>
      </c>
      <c r="E34" s="72" t="n">
        <v>0.55</v>
      </c>
      <c r="F34" s="73">
        <f>SUM(B34:E34)</f>
        <v/>
      </c>
      <c r="G34" s="67" t="inlineStr">
        <is>
          <t>Q2 2025 10-Q</t>
        </is>
      </c>
    </row>
    <row r="35">
      <c r="A35" s="64" t="inlineStr">
        <is>
          <t>Q3 2025</t>
        </is>
      </c>
      <c r="B35" s="72" t="n">
        <v>0.354</v>
      </c>
      <c r="C35" s="72" t="n">
        <v>0.111</v>
      </c>
      <c r="D35" s="72" t="n">
        <v>0.055</v>
      </c>
      <c r="E35" s="72" t="n">
        <v>0.48</v>
      </c>
      <c r="F35" s="73">
        <f>SUM(B35:E35)</f>
        <v/>
      </c>
      <c r="G35" s="67" t="inlineStr">
        <is>
          <t>Q3 2025 10-Q</t>
        </is>
      </c>
    </row>
    <row r="36">
      <c r="A36" s="68" t="inlineStr">
        <is>
          <t>FY2025</t>
        </is>
      </c>
      <c r="B36" s="75" t="n">
        <v>0.432</v>
      </c>
      <c r="C36" s="75" t="n">
        <v>0.108</v>
      </c>
      <c r="D36" s="77" t="inlineStr">
        <is>
          <t>n/d</t>
        </is>
      </c>
      <c r="E36" s="75" t="n">
        <v>0.46</v>
      </c>
      <c r="F36" s="76">
        <f>SUM(B36:E36)</f>
        <v/>
      </c>
      <c r="G36" s="71" t="inlineStr">
        <is>
          <t>FY2025 10-K</t>
        </is>
      </c>
    </row>
    <row r="39">
      <c r="A39" s="62" t="inlineStr">
        <is>
          <t>3. FUNCTIONAL ENERGY DRINK PRODUCT CONCENTRATION -- % of revenue</t>
        </is>
      </c>
    </row>
    <row r="40">
      <c r="A40" s="63" t="inlineStr">
        <is>
          <t>Period</t>
        </is>
      </c>
      <c r="B40" s="63" t="inlineStr">
        <is>
          <t>Single-Period %</t>
        </is>
      </c>
      <c r="C40" s="63" t="inlineStr">
        <is>
          <t>YTD %</t>
        </is>
      </c>
      <c r="D40" s="63" t="inlineStr"/>
      <c r="E40" s="63" t="inlineStr"/>
      <c r="F40" s="63" t="inlineStr">
        <is>
          <t>Notes</t>
        </is>
      </c>
      <c r="G40" s="63" t="inlineStr">
        <is>
          <t>Source</t>
        </is>
      </c>
    </row>
    <row r="41">
      <c r="A41" s="68" t="inlineStr">
        <is>
          <t>FY2023</t>
        </is>
      </c>
      <c r="B41" s="78" t="n">
        <v>0.961</v>
      </c>
      <c r="C41" s="79" t="n"/>
      <c r="D41" s="79" t="n"/>
      <c r="E41" s="79" t="n"/>
      <c r="F41" s="80" t="inlineStr">
        <is>
          <t>Annual disclosure only</t>
        </is>
      </c>
      <c r="G41" s="81" t="inlineStr">
        <is>
          <t>FY2023 10-K</t>
        </is>
      </c>
    </row>
    <row r="42">
      <c r="A42" s="64" t="inlineStr">
        <is>
          <t>Q3 2024</t>
        </is>
      </c>
      <c r="B42" s="72" t="n">
        <v>0.945</v>
      </c>
      <c r="C42" s="72" t="n">
        <v>0.954</v>
      </c>
      <c r="F42" s="61" t="inlineStr">
        <is>
          <t>3M / 9M</t>
        </is>
      </c>
      <c r="G42" s="67" t="inlineStr">
        <is>
          <t>Q3 2024 10-Q</t>
        </is>
      </c>
    </row>
    <row r="43">
      <c r="A43" s="68" t="inlineStr">
        <is>
          <t>FY2024</t>
        </is>
      </c>
      <c r="B43" s="78" t="n">
        <v>0.953</v>
      </c>
      <c r="C43" s="79" t="n"/>
      <c r="D43" s="79" t="n"/>
      <c r="E43" s="79" t="n"/>
      <c r="F43" s="80" t="inlineStr">
        <is>
          <t>Annual disclosure only</t>
        </is>
      </c>
      <c r="G43" s="81" t="inlineStr">
        <is>
          <t>FY2024 10-K</t>
        </is>
      </c>
    </row>
    <row r="44">
      <c r="A44" s="64" t="inlineStr">
        <is>
          <t>Q2 2025</t>
        </is>
      </c>
      <c r="B44" s="72" t="n">
        <v>0.926</v>
      </c>
      <c r="C44" s="72" t="n">
        <v>0.9350000000000001</v>
      </c>
      <c r="F44" s="61" t="inlineStr">
        <is>
          <t>3M / 6M</t>
        </is>
      </c>
      <c r="G44" s="67" t="inlineStr">
        <is>
          <t>Q2 2025 10-Q</t>
        </is>
      </c>
    </row>
    <row r="45">
      <c r="A45" s="64" t="inlineStr">
        <is>
          <t>Q3 2025</t>
        </is>
      </c>
      <c r="B45" s="72" t="n">
        <v>0.95</v>
      </c>
      <c r="C45" s="72" t="n">
        <v>0.9409999999999999</v>
      </c>
      <c r="F45" s="61" t="inlineStr">
        <is>
          <t>3M / 9M</t>
        </is>
      </c>
      <c r="G45" s="67" t="inlineStr">
        <is>
          <t>Q3 2025 10-Q</t>
        </is>
      </c>
    </row>
    <row r="46">
      <c r="A46" s="68" t="inlineStr">
        <is>
          <t>FY2025</t>
        </is>
      </c>
      <c r="B46" s="78" t="n">
        <v>0.929</v>
      </c>
      <c r="C46" s="79" t="n"/>
      <c r="D46" s="79" t="n"/>
      <c r="E46" s="79" t="n"/>
      <c r="F46" s="80" t="inlineStr">
        <is>
          <t>Annual disclosure only</t>
        </is>
      </c>
      <c r="G46" s="81" t="inlineStr">
        <is>
          <t>FY2025 10-K</t>
        </is>
      </c>
    </row>
    <row r="49">
      <c r="A49" s="62" t="inlineStr">
        <is>
          <t>4. BRAND CONTRIBUTION -- Revenue ($ thousands, single-period)</t>
        </is>
      </c>
    </row>
    <row r="50">
      <c r="A50" s="63" t="inlineStr">
        <is>
          <t>Period</t>
        </is>
      </c>
      <c r="B50" s="63" t="inlineStr">
        <is>
          <t>Celsius (residual)</t>
        </is>
      </c>
      <c r="C50" s="63" t="inlineStr">
        <is>
          <t>Alani Nu</t>
        </is>
      </c>
      <c r="D50" s="63" t="inlineStr">
        <is>
          <t>Rockstar</t>
        </is>
      </c>
      <c r="E50" s="63" t="inlineStr">
        <is>
          <t>Total</t>
        </is>
      </c>
      <c r="F50" s="63" t="inlineStr">
        <is>
          <t>% Alani</t>
        </is>
      </c>
      <c r="G50" s="63" t="inlineStr">
        <is>
          <t>Source</t>
        </is>
      </c>
    </row>
    <row r="51">
      <c r="A51" s="64" t="inlineStr">
        <is>
          <t>Q1 2025</t>
        </is>
      </c>
      <c r="B51" s="66">
        <f>E51-C51-D51</f>
        <v/>
      </c>
      <c r="C51" s="65" t="n">
        <v>0</v>
      </c>
      <c r="D51" s="65" t="n">
        <v>0</v>
      </c>
      <c r="E51" s="66">
        <f>F16</f>
        <v/>
      </c>
      <c r="F51" s="73">
        <f>IFERROR(C51/E51,0)</f>
        <v/>
      </c>
      <c r="G51" s="67" t="inlineStr">
        <is>
          <t>Q1 2025 10-Q</t>
        </is>
      </c>
    </row>
    <row r="52">
      <c r="A52" s="64" t="inlineStr">
        <is>
          <t>Q2 2025</t>
        </is>
      </c>
      <c r="B52" s="66">
        <f>E52-C52-D52</f>
        <v/>
      </c>
      <c r="C52" s="65" t="n">
        <v>301200</v>
      </c>
      <c r="D52" s="65" t="n">
        <v>0</v>
      </c>
      <c r="E52" s="66">
        <f>F17</f>
        <v/>
      </c>
      <c r="F52" s="73">
        <f>IFERROR(C52/E52,0)</f>
        <v/>
      </c>
      <c r="G52" s="67" t="inlineStr">
        <is>
          <t>Q2 2025 10-Q N5</t>
        </is>
      </c>
    </row>
    <row r="53">
      <c r="A53" s="64" t="inlineStr">
        <is>
          <t>Q3 2025</t>
        </is>
      </c>
      <c r="B53" s="66">
        <f>E53-C53-D53</f>
        <v/>
      </c>
      <c r="C53" s="65" t="n">
        <v>332000</v>
      </c>
      <c r="D53" s="65" t="n">
        <v>12200</v>
      </c>
      <c r="E53" s="66">
        <f>F18</f>
        <v/>
      </c>
      <c r="F53" s="73">
        <f>IFERROR(C53/E53,0)</f>
        <v/>
      </c>
      <c r="G53" s="67" t="inlineStr">
        <is>
          <t>Q3 2025 10-Q</t>
        </is>
      </c>
    </row>
    <row r="54">
      <c r="A54" s="64" t="inlineStr">
        <is>
          <t>Q4 2025</t>
        </is>
      </c>
      <c r="B54" s="66">
        <f>E54-C54-D54</f>
        <v/>
      </c>
      <c r="C54" s="66">
        <f>C55-C51-C52-C53</f>
        <v/>
      </c>
      <c r="D54" s="66">
        <f>D55-D51-D52-D53</f>
        <v/>
      </c>
      <c r="E54" s="66">
        <f>F19</f>
        <v/>
      </c>
      <c r="F54" s="73">
        <f>IFERROR(C54/E54,0)</f>
        <v/>
      </c>
      <c r="G54" s="67" t="inlineStr">
        <is>
          <t>derived: FY - 9M</t>
        </is>
      </c>
    </row>
    <row r="55">
      <c r="A55" s="68" t="inlineStr">
        <is>
          <t>FY2025</t>
        </is>
      </c>
      <c r="B55" s="70">
        <f>E55-C55-D55</f>
        <v/>
      </c>
      <c r="C55" s="69" t="n">
        <v>1001900</v>
      </c>
      <c r="D55" s="69" t="n">
        <v>55600</v>
      </c>
      <c r="E55" s="70">
        <f>F20</f>
        <v/>
      </c>
      <c r="F55" s="76">
        <f>IFERROR(C55/E55,0)</f>
        <v/>
      </c>
      <c r="G55" s="71" t="inlineStr">
        <is>
          <t>FY2025 10-K N5</t>
        </is>
      </c>
    </row>
    <row r="58">
      <c r="A58" s="62" t="inlineStr">
        <is>
          <t>5. PRO FORMA vs AS-REPORTED -- Revenue ($ thousands)</t>
        </is>
      </c>
    </row>
    <row r="59">
      <c r="A59" s="63" t="inlineStr">
        <is>
          <t>Period</t>
        </is>
      </c>
      <c r="B59" s="63" t="inlineStr">
        <is>
          <t>As-Reported</t>
        </is>
      </c>
      <c r="C59" s="63" t="inlineStr">
        <is>
          <t>Pro Forma</t>
        </is>
      </c>
      <c r="D59" s="63" t="inlineStr">
        <is>
          <t>Implied "missing"</t>
        </is>
      </c>
      <c r="E59" s="63" t="inlineStr">
        <is>
          <t>Pro Forma % Y/Y</t>
        </is>
      </c>
      <c r="F59" s="63" t="inlineStr"/>
      <c r="G59" s="63" t="inlineStr">
        <is>
          <t>Source</t>
        </is>
      </c>
    </row>
    <row r="60">
      <c r="A60" s="64" t="inlineStr">
        <is>
          <t>Q3 2024</t>
        </is>
      </c>
      <c r="B60" s="65" t="n">
        <v>265748</v>
      </c>
      <c r="C60" s="65" t="n">
        <v>513912</v>
      </c>
      <c r="D60" s="66">
        <f>C60-B60</f>
        <v/>
      </c>
      <c r="G60" s="67" t="inlineStr">
        <is>
          <t>Q3 2025 10-Q N5</t>
        </is>
      </c>
    </row>
    <row r="61">
      <c r="A61" s="64" t="inlineStr">
        <is>
          <t>Q3 2025</t>
        </is>
      </c>
      <c r="B61" s="65" t="n">
        <v>725106</v>
      </c>
      <c r="C61" s="65" t="n">
        <v>798496</v>
      </c>
      <c r="D61" s="66">
        <f>C61-B61</f>
        <v/>
      </c>
      <c r="E61" s="73">
        <f>C61/C60-1</f>
        <v/>
      </c>
      <c r="G61" s="67" t="inlineStr">
        <is>
          <t>Q3 2025 10-Q N5</t>
        </is>
      </c>
    </row>
    <row r="62">
      <c r="A62" s="64" t="inlineStr">
        <is>
          <t>9M 2024</t>
        </is>
      </c>
      <c r="B62" s="65" t="n">
        <v>1023433</v>
      </c>
      <c r="C62" s="65" t="n">
        <v>1737287</v>
      </c>
      <c r="D62" s="66">
        <f>C62-B62</f>
        <v/>
      </c>
      <c r="G62" s="67" t="inlineStr">
        <is>
          <t>Q3 2025 10-Q N5</t>
        </is>
      </c>
    </row>
    <row r="63">
      <c r="A63" s="64" t="inlineStr">
        <is>
          <t>9M 2025</t>
        </is>
      </c>
      <c r="B63" s="65" t="n">
        <v>1793641</v>
      </c>
      <c r="C63" s="65" t="n">
        <v>2271993</v>
      </c>
      <c r="D63" s="66">
        <f>C63-B63</f>
        <v/>
      </c>
      <c r="E63" s="73">
        <f>C63/C62-1</f>
        <v/>
      </c>
      <c r="G63" s="67" t="inlineStr">
        <is>
          <t>Q3 2025 10-Q N5</t>
        </is>
      </c>
    </row>
    <row r="64">
      <c r="A64" s="68" t="inlineStr">
        <is>
          <t>FY2024</t>
        </is>
      </c>
      <c r="B64" s="69" t="n">
        <v>1355630</v>
      </c>
      <c r="C64" s="69" t="n">
        <v>2317965</v>
      </c>
      <c r="D64" s="70">
        <f>C64-B64</f>
        <v/>
      </c>
      <c r="E64" s="82" t="n"/>
      <c r="F64" s="82" t="n"/>
      <c r="G64" s="71" t="inlineStr">
        <is>
          <t>FY2025 10-K N5</t>
        </is>
      </c>
    </row>
    <row r="65">
      <c r="A65" s="68" t="inlineStr">
        <is>
          <t>FY2025</t>
        </is>
      </c>
      <c r="B65" s="69" t="n">
        <v>2515269</v>
      </c>
      <c r="C65" s="69" t="n">
        <v>3003677</v>
      </c>
      <c r="D65" s="70">
        <f>C65-B65</f>
        <v/>
      </c>
      <c r="E65" s="76">
        <f>C65/C64-1</f>
        <v/>
      </c>
      <c r="F65" s="82" t="n"/>
      <c r="G65" s="71" t="inlineStr">
        <is>
          <t>FY2025 10-K N5</t>
        </is>
      </c>
    </row>
  </sheetData>
  <mergeCells count="1">
    <mergeCell ref="A2:G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G1" sqref="G1"/>
    </sheetView>
  </sheetViews>
  <sheetFormatPr baseColWidth="8" defaultRowHeight="15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9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9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9">
        <f>'QTR P&amp;L'!AH5+'QTR P&amp;L'!AI5+'QTR P&amp;L'!AJ5+'QTR P&amp;L'!AK5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9">
        <f>'QTR P&amp;L'!AH6+'QTR P&amp;L'!AI6+'QTR P&amp;L'!AJ6+'QTR P&amp;L'!AK6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9">
        <f>'QTR P&amp;L'!AH8+'QTR P&amp;L'!AI8+'QTR P&amp;L'!AJ8+'QTR P&amp;L'!AK8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9">
        <f>'QTR P&amp;L'!AH9+'QTR P&amp;L'!AI9+'QTR P&amp;L'!AJ9+'QTR P&amp;L'!AK9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9">
        <f>'QTR P&amp;L'!AH10+'QTR P&amp;L'!AI10+'QTR P&amp;L'!AJ10+'QTR P&amp;L'!AK10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9">
        <f>'QTR P&amp;L'!AH12+'QTR P&amp;L'!AI12+'QTR P&amp;L'!AJ12+'QTR P&amp;L'!AK12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9">
        <f>'QTR P&amp;L'!AH14+'QTR P&amp;L'!AI14+'QTR P&amp;L'!AJ14+'QTR P&amp;L'!AK14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4" t="n">
        <v>-6554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9">
        <f>'QTR P&amp;L'!AH15+'QTR P&amp;L'!AI15+'QTR P&amp;L'!AJ15+'QTR P&amp;L'!AK15</f>
        <v/>
      </c>
      <c r="L15" s="5" t="n"/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7">
        <f>G13+G14+G15</f>
        <v/>
      </c>
      <c r="H16" s="7">
        <f>H13+H14+H15</f>
        <v/>
      </c>
      <c r="I16" s="7">
        <f>I13+I14+I15</f>
        <v/>
      </c>
      <c r="J16" s="7">
        <f>J13+J14+J15</f>
        <v/>
      </c>
      <c r="K16" s="7">
        <f>K13+K14+K15</f>
        <v/>
      </c>
      <c r="L16" s="7">
        <f>L13+L14+L15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14" activePane="bottomRight" state="frozen"/>
      <selection pane="topRight" activeCell="A1" sqref="A1"/>
      <selection pane="bottomLeft" activeCell="A1" sqref="A1"/>
      <selection pane="bottomRight" activeCell="A43" sqref="A43"/>
    </sheetView>
  </sheetViews>
  <sheetFormatPr baseColWidth="8" defaultRowHeight="15"/>
  <cols>
    <col width="42" customWidth="1" min="1" max="1"/>
    <col width="13" customWidth="1" min="2" max="11"/>
  </cols>
  <sheetData>
    <row r="1">
      <c r="A1" s="1" t="n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9">
        <f>'QTR BS'!AH2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9">
        <f>'QTR BS'!AH3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9">
        <f>'QTR BS'!AH4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9">
        <f>'QTR BS'!AH5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9">
        <f>'QTR BS'!AH6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9">
        <f>'QTR BS'!AH7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9">
        <f>'QTR BS'!AH8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9">
        <f>'QTR BS'!AH10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9">
        <f>'QTR BS'!AH11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9">
        <f>'QTR BS'!AH12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9">
        <f>'QTR BS'!AH17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9">
        <f>'QTR BS'!AH13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9">
        <f>'QTR BS'!AH14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9">
        <f>'QTR BS'!AH15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9">
        <f>'QTR BS'!AH16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9">
        <f>'QTR BS'!AH18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9">
        <f>'QTR BS'!AH20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9">
        <f>'QTR BS'!AH21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9">
        <f>'QTR BS'!AH22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9">
        <f>'QTR BS'!AH23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9">
        <f>'QTR BS'!AH24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9">
        <f>'QTR BS'!AH25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9">
        <f>'QTR BS'!AH26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9">
        <f>'QTR BS'!AH27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9">
        <f>'QTR BS'!AH28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9">
        <f>'QTR BS'!AH29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9">
        <f>'QTR BS'!AH31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9">
        <f>'QTR BS'!AH32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9">
        <f>'QTR BS'!AH33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9">
        <f>'QTR BS'!AH34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9">
        <f>'QTR BS'!AH35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9">
        <f>'QTR BS'!AH36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9">
        <f>'QTR BS'!AH38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9">
        <f>'QTR BS'!AH39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9">
        <f>'QTR BS'!AH40</f>
        <v/>
      </c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9">
        <f>'QTR BS'!AH41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9">
        <f>'QTR BS'!AH42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9">
        <f>'QTR BS'!AH43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G1" sqref="G1"/>
    </sheetView>
  </sheetViews>
  <sheetFormatPr baseColWidth="8" defaultRowHeight="15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9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9">
        <f>'QTR CF'!AH6+'QTR CF'!AI6+'QTR CF'!AJ6+'QTR CF'!AK6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9">
        <f>'QTR CF'!AH5+'QTR CF'!AI5+'QTR CF'!AJ5+'QTR CF'!AK5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9">
        <f>'QTR CF'!AH7+'QTR CF'!AI7+'QTR CF'!AJ7+'QTR CF'!AK7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9">
        <f>'QTR CF'!AH8+'QTR CF'!AI8+'QTR CF'!AJ8+'QTR CF'!AK8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9">
        <f>'QTR CF'!AH9+'QTR CF'!AI9+'QTR CF'!AJ9+'QTR CF'!AK9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9">
        <f>'QTR CF'!AH10+'QTR CF'!AI10+'QTR CF'!AJ10+'QTR CF'!AK10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9">
        <f>'QTR CF'!AH11+'QTR CF'!AI11+'QTR CF'!AJ11+'QTR CF'!AK11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9">
        <f>'QTR CF'!AH12+'QTR CF'!AI12+'QTR CF'!AJ12+'QTR CF'!AK12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9">
        <f>'QTR CF'!AH13+'QTR CF'!AI13+'QTR CF'!AJ13+'QTR CF'!AK13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9">
        <f>'QTR CF'!AH14+'QTR CF'!AI14+'QTR CF'!AJ14+'QTR CF'!AK14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9">
        <f>'QTR CF'!AH15+'QTR CF'!AI15+'QTR CF'!AJ15+'QTR CF'!AK15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9">
        <f>'QTR CF'!AH16+'QTR CF'!AI16+'QTR CF'!AJ16+'QTR CF'!AK16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9">
        <f>'QTR CF'!AH17+'QTR CF'!AI17+'QTR CF'!AJ17+'QTR CF'!AK17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9">
        <f>'QTR CF'!AH18+'QTR CF'!AI18+'QTR CF'!AJ18+'QTR CF'!AK18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9">
        <f>'QTR CF'!AH19+'QTR CF'!AI19+'QTR CF'!AJ19+'QTR CF'!AK19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9">
        <f>'QTR CF'!AH20+'QTR CF'!AI20+'QTR CF'!AJ20+'QTR CF'!AK20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9">
        <f>'QTR CF'!AH21+'QTR CF'!AI21+'QTR CF'!AJ21+'QTR CF'!AK21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9">
        <f>'QTR CF'!AH23+'QTR CF'!AI23+'QTR CF'!AJ23+'QTR CF'!AK23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9">
        <f>'QTR CF'!AH24+'QTR CF'!AI24+'QTR CF'!AJ24+'QTR CF'!AK24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9">
        <f>'QTR CF'!AH25+'QTR CF'!AI25+'QTR CF'!AJ25+'QTR CF'!AK25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9">
        <f>'QTR CF'!AH26+'QTR CF'!AI26+'QTR CF'!AJ26+'QTR CF'!AK26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9">
        <f>'QTR CF'!AH27+'QTR CF'!AI27+'QTR CF'!AJ27+'QTR CF'!AK27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9">
        <f>'QTR CF'!AH28+'QTR CF'!AI28+'QTR CF'!AJ28+'QTR CF'!AK28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9">
        <f>'QTR CF'!AH29+'QTR CF'!AI29+'QTR CF'!AJ29+'QTR CF'!AK29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9">
        <f>'QTR CF'!AH30+'QTR CF'!AI30+'QTR CF'!AJ30+'QTR CF'!AK30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9">
        <f>'QTR CF'!AH31+'QTR CF'!AI31+'QTR CF'!AJ31+'QTR CF'!AK31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9">
        <f>'QTR CF'!AH33+'QTR CF'!AI33+'QTR CF'!AJ33+'QTR CF'!AK33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9">
        <f>'QTR CF'!AH34+'QTR CF'!AI34+'QTR CF'!AJ34+'QTR CF'!AK34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9">
        <f>'QTR CF'!AH35+'QTR CF'!AI35+'QTR CF'!AJ35+'QTR CF'!AK35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9">
        <f>'QTR CF'!AH36+'QTR CF'!AI36+'QTR CF'!AJ36+'QTR CF'!AK36</f>
        <v/>
      </c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9">
        <f>'QTR CF'!AH37+'QTR CF'!AI37+'QTR CF'!AJ37+'QTR CF'!AK37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9">
        <f>'QTR CF'!AH38+'QTR CF'!AI38+'QTR CF'!AJ38+'QTR CF'!AK38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9">
        <f>'QTR CF'!AH40+'QTR CF'!AI40+'QTR CF'!AJ40+'QTR CF'!AK40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9">
        <f>'QTR CF'!AH41+'QTR CF'!AI41+'QTR CF'!AJ41+'QTR CF'!AK41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9">
        <f>'QTR CF'!AH42+'QTR CF'!AI42+'QTR CF'!AJ42+'QTR CF'!AK42</f>
        <v/>
      </c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9">
        <f>'QTR CF'!AH43+'QTR CF'!AI43+'QTR CF'!AJ43+'QTR CF'!AK43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9">
        <f>'QTR CF'!AH44+'QTR CF'!AI44+'QTR CF'!AJ44+'QTR CF'!AK44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9">
        <f>'QTR CF'!AH45+'QTR CF'!AI45+'QTR CF'!AJ45+'QTR CF'!AK45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9">
        <f>'QTR CF'!AH46+'QTR CF'!AI46+'QTR CF'!AJ46+'QTR CF'!AK46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9">
        <f>'QTR CF'!AH47+'QTR CF'!AI47+'QTR CF'!AJ47+'QTR CF'!AK47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9">
        <f>'QTR CF'!AH48+'QTR CF'!AI48+'QTR CF'!AJ48+'QTR CF'!AK48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9">
        <f>'QTR CF'!AH49+'QTR CF'!AI49+'QTR CF'!AJ49+'QTR CF'!AK49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9">
        <f>'QTR CF'!AH51+'QTR CF'!AI51+'QTR CF'!AJ51+'QTR CF'!AK51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-6727</v>
      </c>
      <c r="G15" s="4" t="n">
        <v>-13263</v>
      </c>
      <c r="H15" s="4" t="n">
        <v>-6128</v>
      </c>
      <c r="I15" s="4" t="n">
        <v>-12417</v>
      </c>
      <c r="J15" s="4" t="n">
        <v>-12357</v>
      </c>
      <c r="K15" s="4" t="n">
        <v>-3219</v>
      </c>
      <c r="L15" s="4" t="n">
        <v>-10703</v>
      </c>
      <c r="M15" s="4" t="n">
        <v>-5272</v>
      </c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6">
        <f>G13+G14+G15</f>
        <v/>
      </c>
      <c r="H16" s="6">
        <f>H13+H14+H15</f>
        <v/>
      </c>
      <c r="I16" s="6">
        <f>I13+I14+I15</f>
        <v/>
      </c>
      <c r="J16" s="6">
        <f>J13+J14+J15</f>
        <v/>
      </c>
      <c r="K16" s="6">
        <f>K13+K14+K15</f>
        <v/>
      </c>
      <c r="L16" s="6">
        <f>L13+L14+L15</f>
        <v/>
      </c>
      <c r="M16" s="6">
        <f>M13+M14+M15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6"/>
  <sheetViews>
    <sheetView workbookViewId="0">
      <pane xSplit="1" ySplit="1" topLeftCell="I2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5"/>
  <cols>
    <col width="42" customWidth="1" min="1" max="1"/>
    <col width="13" customWidth="1" min="2" max="37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DRIVERS'!S2)</f>
        <v/>
      </c>
      <c r="S2" s="9">
        <f>IF('IS DRIVERS'!$B2="QoQ",'QTR P&amp;L'!R2,'QTR P&amp;L'!O2)*(1+'IS DRIVERS'!T2)</f>
        <v/>
      </c>
      <c r="T2" s="9">
        <f>IF('IS DRIVERS'!$B2="QoQ",'QTR P&amp;L'!S2,'QTR P&amp;L'!P2)*(1+'IS DRIVERS'!U2)</f>
        <v/>
      </c>
      <c r="U2" s="9">
        <f>IF('IS DRIVERS'!$B2="QoQ",'QTR P&amp;L'!T2,'QTR P&amp;L'!Q2)*(1+'IS DRIVERS'!V2)</f>
        <v/>
      </c>
      <c r="V2" s="9">
        <f>IF('IS DRIVERS'!$B2="QoQ",'QTR P&amp;L'!U2,'QTR P&amp;L'!R2)*(1+'IS DRIVERS'!W2)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  <c r="AH2" s="9">
        <f>IF('IS DRIVERS'!$B2="QoQ",'QTR P&amp;L'!AG2,'QTR P&amp;L'!AD2)*(1+'IS DRIVERS'!AI2)</f>
        <v/>
      </c>
      <c r="AI2" s="9">
        <f>IF('IS DRIVERS'!$B2="QoQ",'QTR P&amp;L'!AH2,'QTR P&amp;L'!AE2)*(1+'IS DRIVERS'!AJ2)</f>
        <v/>
      </c>
      <c r="AJ2" s="9">
        <f>IF('IS DRIVERS'!$B2="QoQ",'QTR P&amp;L'!AI2,'QTR P&amp;L'!AF2)*(1+'IS DRIVERS'!AK2)</f>
        <v/>
      </c>
      <c r="AK2" s="9">
        <f>IF('IS DRIVERS'!$B2="QoQ",'QTR P&amp;L'!AJ2,'QTR P&amp;L'!AG2)*(1+'IS DRIVERS'!AL2)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DRIVERS'!S3</f>
        <v/>
      </c>
      <c r="S3" s="9">
        <f>'QTR P&amp;L'!S2*'IS DRIVERS'!T3</f>
        <v/>
      </c>
      <c r="T3" s="9">
        <f>'QTR P&amp;L'!T2*'IS DRIVERS'!U3</f>
        <v/>
      </c>
      <c r="U3" s="9">
        <f>'QTR P&amp;L'!U2*'IS DRIVERS'!V3</f>
        <v/>
      </c>
      <c r="V3" s="9">
        <f>'QTR P&amp;L'!V2*'IS DRIVERS'!W3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  <c r="AH3" s="9">
        <f>'QTR P&amp;L'!AH2*'IS DRIVERS'!AI3</f>
        <v/>
      </c>
      <c r="AI3" s="9">
        <f>'QTR P&amp;L'!AI2*'IS DRIVERS'!AJ3</f>
        <v/>
      </c>
      <c r="AJ3" s="9">
        <f>'QTR P&amp;L'!AJ2*'IS DRIVERS'!AK3</f>
        <v/>
      </c>
      <c r="AK3" s="9">
        <f>'QTR P&amp;L'!AK2*'IS DRIVERS'!AL3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DRIVERS'!S4</f>
        <v/>
      </c>
      <c r="S5" s="9">
        <f>'QTR P&amp;L'!S2*'IS DRIVERS'!T4</f>
        <v/>
      </c>
      <c r="T5" s="9">
        <f>'QTR P&amp;L'!T2*'IS DRIVERS'!U4</f>
        <v/>
      </c>
      <c r="U5" s="9">
        <f>'QTR P&amp;L'!U2*'IS DRIVERS'!V4</f>
        <v/>
      </c>
      <c r="V5" s="9">
        <f>'QTR P&amp;L'!V2*'IS DRIVERS'!W4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  <c r="AH5" s="9">
        <f>'QTR P&amp;L'!AH2*'IS DRIVERS'!AI4</f>
        <v/>
      </c>
      <c r="AI5" s="9">
        <f>'QTR P&amp;L'!AI2*'IS DRIVERS'!AJ4</f>
        <v/>
      </c>
      <c r="AJ5" s="9">
        <f>'QTR P&amp;L'!AJ2*'IS DRIVERS'!AK4</f>
        <v/>
      </c>
      <c r="AK5" s="9">
        <f>'QTR P&amp;L'!AK2*'IS DRIVERS'!AL4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DRIVERS'!S5</f>
        <v/>
      </c>
      <c r="S6" s="9">
        <f>'IS DRIVERS'!T5</f>
        <v/>
      </c>
      <c r="T6" s="9">
        <f>'IS DRIVERS'!U5</f>
        <v/>
      </c>
      <c r="U6" s="9">
        <f>'IS DRIVERS'!V5</f>
        <v/>
      </c>
      <c r="V6" s="9">
        <f>'IS DRIVERS'!W5</f>
        <v/>
      </c>
      <c r="W6" s="9">
        <f>'IS DRIVERS'!X5</f>
        <v/>
      </c>
      <c r="X6" s="9">
        <f>'IS DRIVERS'!Y5</f>
        <v/>
      </c>
      <c r="Y6" s="9">
        <f>'IS DRIVERS'!Z5</f>
        <v/>
      </c>
      <c r="Z6" s="9">
        <f>'IS DRIVERS'!AA5</f>
        <v/>
      </c>
      <c r="AA6" s="9">
        <f>'IS DRIVERS'!AB5</f>
        <v/>
      </c>
      <c r="AB6" s="9">
        <f>'IS DRIVERS'!AC5</f>
        <v/>
      </c>
      <c r="AC6" s="9">
        <f>'IS DRIVERS'!AD5</f>
        <v/>
      </c>
      <c r="AD6" s="9">
        <f>'IS DRIVERS'!AE5</f>
        <v/>
      </c>
      <c r="AE6" s="9">
        <f>'IS DRIVERS'!AF5</f>
        <v/>
      </c>
      <c r="AF6" s="9">
        <f>'IS DRIVERS'!AG5</f>
        <v/>
      </c>
      <c r="AG6" s="9">
        <f>'IS DRIVERS'!AH5</f>
        <v/>
      </c>
      <c r="AH6" s="9">
        <f>'IS DRIVERS'!AI5</f>
        <v/>
      </c>
      <c r="AI6" s="9">
        <f>'IS DRIVERS'!AJ5</f>
        <v/>
      </c>
      <c r="AJ6" s="9">
        <f>'IS DRIVERS'!AK5</f>
        <v/>
      </c>
      <c r="AK6" s="9">
        <f>'IS DRIVERS'!AL5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DRIVERS'!S6</f>
        <v/>
      </c>
      <c r="S8" s="9">
        <f>'IS DRIVERS'!T6</f>
        <v/>
      </c>
      <c r="T8" s="9">
        <f>'IS DRIVERS'!U6</f>
        <v/>
      </c>
      <c r="U8" s="9">
        <f>'IS DRIVERS'!V6</f>
        <v/>
      </c>
      <c r="V8" s="9">
        <f>'IS DRIVERS'!W6</f>
        <v/>
      </c>
      <c r="W8" s="9">
        <f>'IS DRIVERS'!X6</f>
        <v/>
      </c>
      <c r="X8" s="9">
        <f>'IS DRIVERS'!Y6</f>
        <v/>
      </c>
      <c r="Y8" s="9">
        <f>'IS DRIVERS'!Z6</f>
        <v/>
      </c>
      <c r="Z8" s="9">
        <f>'IS DRIVERS'!AA6</f>
        <v/>
      </c>
      <c r="AA8" s="9">
        <f>'IS DRIVERS'!AB6</f>
        <v/>
      </c>
      <c r="AB8" s="9">
        <f>'IS DRIVERS'!AC6</f>
        <v/>
      </c>
      <c r="AC8" s="9">
        <f>'IS DRIVERS'!AD6</f>
        <v/>
      </c>
      <c r="AD8" s="9">
        <f>'IS DRIVERS'!AE6</f>
        <v/>
      </c>
      <c r="AE8" s="9">
        <f>'IS DRIVERS'!AF6</f>
        <v/>
      </c>
      <c r="AF8" s="9">
        <f>'IS DRIVERS'!AG6</f>
        <v/>
      </c>
      <c r="AG8" s="9">
        <f>'IS DRIVERS'!AH6</f>
        <v/>
      </c>
      <c r="AH8" s="9">
        <f>'IS DRIVERS'!AI6</f>
        <v/>
      </c>
      <c r="AI8" s="9">
        <f>'IS DRIVERS'!AJ6</f>
        <v/>
      </c>
      <c r="AJ8" s="9">
        <f>'IS DRIVERS'!AK6</f>
        <v/>
      </c>
      <c r="AK8" s="9">
        <f>'IS DRIVERS'!AL6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DRIVERS'!S7</f>
        <v/>
      </c>
      <c r="S9" s="9">
        <f>'IS DRIVERS'!T7</f>
        <v/>
      </c>
      <c r="T9" s="9">
        <f>'IS DRIVERS'!U7</f>
        <v/>
      </c>
      <c r="U9" s="9">
        <f>'IS DRIVERS'!V7</f>
        <v/>
      </c>
      <c r="V9" s="9">
        <f>'IS DRIVERS'!W7</f>
        <v/>
      </c>
      <c r="W9" s="9">
        <f>'IS DRIVERS'!X7</f>
        <v/>
      </c>
      <c r="X9" s="9">
        <f>'IS DRIVERS'!Y7</f>
        <v/>
      </c>
      <c r="Y9" s="9">
        <f>'IS DRIVERS'!Z7</f>
        <v/>
      </c>
      <c r="Z9" s="9">
        <f>'IS DRIVERS'!AA7</f>
        <v/>
      </c>
      <c r="AA9" s="9">
        <f>'IS DRIVERS'!AB7</f>
        <v/>
      </c>
      <c r="AB9" s="9">
        <f>'IS DRIVERS'!AC7</f>
        <v/>
      </c>
      <c r="AC9" s="9">
        <f>'IS DRIVERS'!AD7</f>
        <v/>
      </c>
      <c r="AD9" s="9">
        <f>'IS DRIVERS'!AE7</f>
        <v/>
      </c>
      <c r="AE9" s="9">
        <f>'IS DRIVERS'!AF7</f>
        <v/>
      </c>
      <c r="AF9" s="9">
        <f>'IS DRIVERS'!AG7</f>
        <v/>
      </c>
      <c r="AG9" s="9">
        <f>'IS DRIVERS'!AH7</f>
        <v/>
      </c>
      <c r="AH9" s="9">
        <f>'IS DRIVERS'!AI7</f>
        <v/>
      </c>
      <c r="AI9" s="9">
        <f>'IS DRIVERS'!AJ7</f>
        <v/>
      </c>
      <c r="AJ9" s="9">
        <f>'IS DRIVERS'!AK7</f>
        <v/>
      </c>
      <c r="AK9" s="9">
        <f>'IS DRIVERS'!AL7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DRIVERS'!S8</f>
        <v/>
      </c>
      <c r="S10" s="9">
        <f>'IS DRIVERS'!T8</f>
        <v/>
      </c>
      <c r="T10" s="9">
        <f>'IS DRIVERS'!U8</f>
        <v/>
      </c>
      <c r="U10" s="9">
        <f>'IS DRIVERS'!V8</f>
        <v/>
      </c>
      <c r="V10" s="9">
        <f>'IS DRIVERS'!W8</f>
        <v/>
      </c>
      <c r="W10" s="9">
        <f>'IS DRIVERS'!X8</f>
        <v/>
      </c>
      <c r="X10" s="9">
        <f>'IS DRIVERS'!Y8</f>
        <v/>
      </c>
      <c r="Y10" s="9">
        <f>'IS DRIVERS'!Z8</f>
        <v/>
      </c>
      <c r="Z10" s="9">
        <f>'IS DRIVERS'!AA8</f>
        <v/>
      </c>
      <c r="AA10" s="9">
        <f>'IS DRIVERS'!AB8</f>
        <v/>
      </c>
      <c r="AB10" s="9">
        <f>'IS DRIVERS'!AC8</f>
        <v/>
      </c>
      <c r="AC10" s="9">
        <f>'IS DRIVERS'!AD8</f>
        <v/>
      </c>
      <c r="AD10" s="9">
        <f>'IS DRIVERS'!AE8</f>
        <v/>
      </c>
      <c r="AE10" s="9">
        <f>'IS DRIVERS'!AF8</f>
        <v/>
      </c>
      <c r="AF10" s="9">
        <f>'IS DRIVERS'!AG8</f>
        <v/>
      </c>
      <c r="AG10" s="9">
        <f>'IS DRIVERS'!AH8</f>
        <v/>
      </c>
      <c r="AH10" s="9">
        <f>'IS DRIVERS'!AI8</f>
        <v/>
      </c>
      <c r="AI10" s="9">
        <f>'IS DRIVERS'!AJ8</f>
        <v/>
      </c>
      <c r="AJ10" s="9">
        <f>'IS DRIVERS'!AK8</f>
        <v/>
      </c>
      <c r="AK10" s="9">
        <f>'IS DRIVERS'!AL8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  <c r="AH11" s="7">
        <f>AH7+SUM(AH8:AH10)</f>
        <v/>
      </c>
      <c r="AI11" s="7">
        <f>AI7+SUM(AI8:AI10)</f>
        <v/>
      </c>
      <c r="AJ11" s="7">
        <f>AJ7+SUM(AJ8:AJ10)</f>
        <v/>
      </c>
      <c r="AK11" s="7">
        <f>AK7+SUM(AK8:AK10)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DRIVERS'!S9</f>
        <v/>
      </c>
      <c r="S12" s="9">
        <f>'QTR P&amp;L'!S11*'IS DRIVERS'!T9</f>
        <v/>
      </c>
      <c r="T12" s="9">
        <f>'QTR P&amp;L'!T11*'IS DRIVERS'!U9</f>
        <v/>
      </c>
      <c r="U12" s="9">
        <f>'QTR P&amp;L'!U11*'IS DRIVERS'!V9</f>
        <v/>
      </c>
      <c r="V12" s="9">
        <f>'QTR P&amp;L'!V11*'IS DRIVERS'!W9</f>
        <v/>
      </c>
      <c r="W12" s="9">
        <f>'QTR P&amp;L'!W11*'IS DRIVERS'!X9</f>
        <v/>
      </c>
      <c r="X12" s="9">
        <f>'QTR P&amp;L'!X11*'IS DRIVERS'!Y9</f>
        <v/>
      </c>
      <c r="Y12" s="9">
        <f>'QTR P&amp;L'!Y11*'IS DRIVERS'!Z9</f>
        <v/>
      </c>
      <c r="Z12" s="9">
        <f>'QTR P&amp;L'!Z11*'IS DRIVERS'!AA9</f>
        <v/>
      </c>
      <c r="AA12" s="9">
        <f>'QTR P&amp;L'!AA11*'IS DRIVERS'!AB9</f>
        <v/>
      </c>
      <c r="AB12" s="9">
        <f>'QTR P&amp;L'!AB11*'IS DRIVERS'!AC9</f>
        <v/>
      </c>
      <c r="AC12" s="9">
        <f>'QTR P&amp;L'!AC11*'IS DRIVERS'!AD9</f>
        <v/>
      </c>
      <c r="AD12" s="9">
        <f>'QTR P&amp;L'!AD11*'IS DRIVERS'!AE9</f>
        <v/>
      </c>
      <c r="AE12" s="9">
        <f>'QTR P&amp;L'!AE11*'IS DRIVERS'!AF9</f>
        <v/>
      </c>
      <c r="AF12" s="9">
        <f>'QTR P&amp;L'!AF11*'IS DRIVERS'!AG9</f>
        <v/>
      </c>
      <c r="AG12" s="9">
        <f>'QTR P&amp;L'!AG11*'IS DRIVERS'!AH9</f>
        <v/>
      </c>
      <c r="AH12" s="9">
        <f>'QTR P&amp;L'!AH11*'IS DRIVERS'!AI9</f>
        <v/>
      </c>
      <c r="AI12" s="9">
        <f>'QTR P&amp;L'!AI11*'IS DRIVERS'!AJ9</f>
        <v/>
      </c>
      <c r="AJ12" s="9">
        <f>'QTR P&amp;L'!AJ11*'IS DRIVERS'!AK9</f>
        <v/>
      </c>
      <c r="AK12" s="9">
        <f>'QTR P&amp;L'!AK11*'IS DRIVERS'!AL9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9">
        <f>'IS DRIVERS'!S10</f>
        <v/>
      </c>
      <c r="S14" s="9">
        <f>'IS DRIVERS'!T10</f>
        <v/>
      </c>
      <c r="T14" s="9">
        <f>'IS DRIVERS'!U10</f>
        <v/>
      </c>
      <c r="U14" s="9">
        <f>'IS DRIVERS'!V10</f>
        <v/>
      </c>
      <c r="V14" s="9">
        <f>'IS DRIVERS'!W10</f>
        <v/>
      </c>
      <c r="W14" s="9">
        <f>'IS DRIVERS'!X10</f>
        <v/>
      </c>
      <c r="X14" s="9">
        <f>'IS DRIVERS'!Y10</f>
        <v/>
      </c>
      <c r="Y14" s="9">
        <f>'IS DRIVERS'!Z10</f>
        <v/>
      </c>
      <c r="Z14" s="9">
        <f>'IS DRIVERS'!AA10</f>
        <v/>
      </c>
      <c r="AA14" s="9">
        <f>'IS DRIVERS'!AB10</f>
        <v/>
      </c>
      <c r="AB14" s="9">
        <f>'IS DRIVERS'!AC10</f>
        <v/>
      </c>
      <c r="AC14" s="9">
        <f>'IS DRIVERS'!AD10</f>
        <v/>
      </c>
      <c r="AD14" s="9">
        <f>'IS DRIVERS'!AE10</f>
        <v/>
      </c>
      <c r="AE14" s="9">
        <f>'IS DRIVERS'!AF10</f>
        <v/>
      </c>
      <c r="AF14" s="9">
        <f>'IS DRIVERS'!AG10</f>
        <v/>
      </c>
      <c r="AG14" s="9">
        <f>'IS DRIVERS'!AH10</f>
        <v/>
      </c>
      <c r="AH14" s="9">
        <f>'IS DRIVERS'!AI10</f>
        <v/>
      </c>
      <c r="AI14" s="9">
        <f>'IS DRIVERS'!AJ10</f>
        <v/>
      </c>
      <c r="AJ14" s="9">
        <f>'IS DRIVERS'!AK10</f>
        <v/>
      </c>
      <c r="AK14" s="9">
        <f>'IS DRIVERS'!AL10</f>
        <v/>
      </c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9">
        <f>'IS DRIVERS'!S11</f>
        <v/>
      </c>
      <c r="S15" s="9">
        <f>'IS DRIVERS'!T11</f>
        <v/>
      </c>
      <c r="T15" s="9">
        <f>'IS DRIVERS'!U11</f>
        <v/>
      </c>
      <c r="U15" s="9">
        <f>'IS DRIVERS'!V11</f>
        <v/>
      </c>
      <c r="V15" s="9">
        <f>'IS DRIVERS'!W11</f>
        <v/>
      </c>
      <c r="W15" s="9">
        <f>'IS DRIVERS'!X11</f>
        <v/>
      </c>
      <c r="X15" s="9">
        <f>'IS DRIVERS'!Y11</f>
        <v/>
      </c>
      <c r="Y15" s="9">
        <f>'IS DRIVERS'!Z11</f>
        <v/>
      </c>
      <c r="Z15" s="9">
        <f>'IS DRIVERS'!AA11</f>
        <v/>
      </c>
      <c r="AA15" s="9">
        <f>'IS DRIVERS'!AB11</f>
        <v/>
      </c>
      <c r="AB15" s="9">
        <f>'IS DRIVERS'!AC11</f>
        <v/>
      </c>
      <c r="AC15" s="9">
        <f>'IS DRIVERS'!AD11</f>
        <v/>
      </c>
      <c r="AD15" s="9">
        <f>'IS DRIVERS'!AE11</f>
        <v/>
      </c>
      <c r="AE15" s="9">
        <f>'IS DRIVERS'!AF11</f>
        <v/>
      </c>
      <c r="AF15" s="9">
        <f>'IS DRIVERS'!AG11</f>
        <v/>
      </c>
      <c r="AG15" s="9">
        <f>'IS DRIVERS'!AH11</f>
        <v/>
      </c>
      <c r="AH15" s="9">
        <f>'IS DRIVERS'!AI11</f>
        <v/>
      </c>
      <c r="AI15" s="9">
        <f>'IS DRIVERS'!AJ11</f>
        <v/>
      </c>
      <c r="AJ15" s="9">
        <f>'IS DRIVERS'!AK11</f>
        <v/>
      </c>
      <c r="AK15" s="9">
        <f>'IS DRIVERS'!AL11</f>
        <v/>
      </c>
    </row>
    <row r="16">
      <c r="A16" s="3" t="inlineStr">
        <is>
          <t>Net Income (Loss) Attributable to Common Shareholders</t>
        </is>
      </c>
      <c r="B16" s="6">
        <f>'YTD P&amp;L'!B16</f>
        <v/>
      </c>
      <c r="C16" s="6">
        <f>'YTD P&amp;L'!C16-'YTD P&amp;L'!B16</f>
        <v/>
      </c>
      <c r="D16" s="6">
        <f>'YTD P&amp;L'!D16-'YTD P&amp;L'!C16</f>
        <v/>
      </c>
      <c r="E16" s="6">
        <f>'ANNL P&amp;L'!C16-'YTD P&amp;L'!D16</f>
        <v/>
      </c>
      <c r="F16" s="6">
        <f>'YTD P&amp;L'!E16</f>
        <v/>
      </c>
      <c r="G16" s="6">
        <f>'YTD P&amp;L'!F16-'YTD P&amp;L'!E16</f>
        <v/>
      </c>
      <c r="H16" s="6">
        <f>'YTD P&amp;L'!G16-'YTD P&amp;L'!F16</f>
        <v/>
      </c>
      <c r="I16" s="6">
        <f>'ANNL P&amp;L'!D16-'YTD P&amp;L'!G16</f>
        <v/>
      </c>
      <c r="J16" s="6">
        <f>'YTD P&amp;L'!H16</f>
        <v/>
      </c>
      <c r="K16" s="6">
        <f>'YTD P&amp;L'!I16-'YTD P&amp;L'!H16</f>
        <v/>
      </c>
      <c r="L16" s="6">
        <f>'YTD P&amp;L'!J16-'YTD P&amp;L'!I16</f>
        <v/>
      </c>
      <c r="M16" s="6">
        <f>'ANNL P&amp;L'!E16-'YTD P&amp;L'!J16</f>
        <v/>
      </c>
      <c r="N16" s="6">
        <f>'YTD P&amp;L'!K16</f>
        <v/>
      </c>
      <c r="O16" s="6">
        <f>'YTD P&amp;L'!L16-'YTD P&amp;L'!K16</f>
        <v/>
      </c>
      <c r="P16" s="6">
        <f>'YTD P&amp;L'!M16-'YTD P&amp;L'!L16</f>
        <v/>
      </c>
      <c r="Q16" s="6">
        <f>'ANNL P&amp;L'!F16-'YTD P&amp;L'!M16</f>
        <v/>
      </c>
      <c r="R16" s="7">
        <f>R13+R14+R15</f>
        <v/>
      </c>
      <c r="S16" s="7">
        <f>S13+S14+S15</f>
        <v/>
      </c>
      <c r="T16" s="7">
        <f>T13+T14+T15</f>
        <v/>
      </c>
      <c r="U16" s="7">
        <f>U13+U14+U15</f>
        <v/>
      </c>
      <c r="V16" s="7">
        <f>V13+V14+V15</f>
        <v/>
      </c>
      <c r="W16" s="7">
        <f>W13+W14+W15</f>
        <v/>
      </c>
      <c r="X16" s="7">
        <f>X13+X14+X15</f>
        <v/>
      </c>
      <c r="Y16" s="7">
        <f>Y13+Y14+Y15</f>
        <v/>
      </c>
      <c r="Z16" s="7">
        <f>Z13+Z14+Z15</f>
        <v/>
      </c>
      <c r="AA16" s="7">
        <f>AA13+AA14+AA15</f>
        <v/>
      </c>
      <c r="AB16" s="7">
        <f>AB13+AB14+AB15</f>
        <v/>
      </c>
      <c r="AC16" s="7">
        <f>AC13+AC14+AC15</f>
        <v/>
      </c>
      <c r="AD16" s="7">
        <f>AD13+AD14+AD15</f>
        <v/>
      </c>
      <c r="AE16" s="7">
        <f>AE13+AE14+AE15</f>
        <v/>
      </c>
      <c r="AF16" s="7">
        <f>AF13+AF14+AF15</f>
        <v/>
      </c>
      <c r="AG16" s="7">
        <f>AG13+AG14+AG15</f>
        <v/>
      </c>
      <c r="AH16" s="7">
        <f>AH13+AH14+AH15</f>
        <v/>
      </c>
      <c r="AI16" s="7">
        <f>AI13+AI14+AI15</f>
        <v/>
      </c>
      <c r="AJ16" s="7">
        <f>AJ13+AJ14+AJ15</f>
        <v/>
      </c>
      <c r="AK16" s="7">
        <f>AK13+AK14+AK15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1" ySplit="1" topLeftCell="H14" activePane="bottomRight" state="frozen"/>
      <selection pane="topRight" activeCell="A1" sqref="A1"/>
      <selection pane="bottomLeft" activeCell="A1" sqref="A1"/>
      <selection pane="bottomRight" activeCell="O43" sqref="O43"/>
    </sheetView>
  </sheetViews>
  <sheetFormatPr baseColWidth="8" defaultRowHeight="15"/>
  <cols>
    <col width="42" customWidth="1" min="1" max="1"/>
    <col width="13" customWidth="1" min="2" max="34"/>
  </cols>
  <sheetData>
    <row r="1">
      <c r="A1" s="1" t="n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  <c r="AE2" s="9">
        <f>'BS DRIVERS'!AE2</f>
        <v/>
      </c>
      <c r="AF2" s="9">
        <f>'BS DRIVERS'!AF2</f>
        <v/>
      </c>
      <c r="AG2" s="9">
        <f>'BS DRIVERS'!AG2</f>
        <v/>
      </c>
      <c r="AH2" s="9">
        <f>'BS DRIVERS'!AH2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  <c r="AE3" s="9">
        <f>'BS DRIVERS'!AE3</f>
        <v/>
      </c>
      <c r="AF3" s="9">
        <f>'BS DRIVERS'!AF3</f>
        <v/>
      </c>
      <c r="AG3" s="9">
        <f>'BS DRIVERS'!AG3</f>
        <v/>
      </c>
      <c r="AH3" s="9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  <c r="AE4" s="9">
        <f>'QTR P&amp;L'!AH2*'BS DRIVERS'!AE4/ASSUMPTIONS!$B$2</f>
        <v/>
      </c>
      <c r="AF4" s="9">
        <f>'QTR P&amp;L'!AI2*'BS DRIVERS'!AF4/ASSUMPTIONS!$B$2</f>
        <v/>
      </c>
      <c r="AG4" s="9">
        <f>'QTR P&amp;L'!AJ2*'BS DRIVERS'!AG4/ASSUMPTIONS!$B$2</f>
        <v/>
      </c>
      <c r="AH4" s="9">
        <f>'QTR P&amp;L'!AK2*'BS DRIVERS'!AH4/ASSUMPTIONS!$B$2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  <c r="AE5" s="9">
        <f>'QTR P&amp;L'!AH2*'BS DRIVERS'!AE5/ASSUMPTIONS!$B$2</f>
        <v/>
      </c>
      <c r="AF5" s="9">
        <f>'QTR P&amp;L'!AI2*'BS DRIVERS'!AF5/ASSUMPTIONS!$B$2</f>
        <v/>
      </c>
      <c r="AG5" s="9">
        <f>'QTR P&amp;L'!AJ2*'BS DRIVERS'!AG5/ASSUMPTIONS!$B$2</f>
        <v/>
      </c>
      <c r="AH5" s="9">
        <f>'QTR P&amp;L'!AK2*'BS DRIVERS'!AH5/ASSUMPTIONS!$B$2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  <c r="AE6" s="9">
        <f>'QTR P&amp;L'!AH3*'BS DRIVERS'!AE6/ASSUMPTIONS!$B$2</f>
        <v/>
      </c>
      <c r="AF6" s="9">
        <f>'QTR P&amp;L'!AI3*'BS DRIVERS'!AF6/ASSUMPTIONS!$B$2</f>
        <v/>
      </c>
      <c r="AG6" s="9">
        <f>'QTR P&amp;L'!AJ3*'BS DRIVERS'!AG6/ASSUMPTIONS!$B$2</f>
        <v/>
      </c>
      <c r="AH6" s="9">
        <f>'QTR P&amp;L'!AK3*'BS DRIVERS'!AH6/ASSUMPTIONS!$B$2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  <c r="AE7" s="9">
        <f>'QTR P&amp;L'!AH2*'BS DRIVERS'!AE7</f>
        <v/>
      </c>
      <c r="AF7" s="9">
        <f>'QTR P&amp;L'!AI2*'BS DRIVERS'!AF7</f>
        <v/>
      </c>
      <c r="AG7" s="9">
        <f>'QTR P&amp;L'!AJ2*'BS DRIVERS'!AG7</f>
        <v/>
      </c>
      <c r="AH7" s="9">
        <f>'QTR P&amp;L'!AK2*'BS DRIVERS'!AH7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  <c r="AE8" s="9">
        <f>'QTR P&amp;L'!AH2*'BS DRIVERS'!AE8</f>
        <v/>
      </c>
      <c r="AF8" s="9">
        <f>'QTR P&amp;L'!AI2*'BS DRIVERS'!AF8</f>
        <v/>
      </c>
      <c r="AG8" s="9">
        <f>'QTR P&amp;L'!AJ2*'BS DRIVERS'!AG8</f>
        <v/>
      </c>
      <c r="AH8" s="9">
        <f>'QTR P&amp;L'!AK2*'BS DRIVERS'!AH8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  <c r="AE9" s="7">
        <f>SUM(AE2:AE8)</f>
        <v/>
      </c>
      <c r="AF9" s="7">
        <f>SUM(AF2:AF8)</f>
        <v/>
      </c>
      <c r="AG9" s="7">
        <f>SUM(AG2:AG8)</f>
        <v/>
      </c>
      <c r="AH9" s="7">
        <f>SUM(AH2:AH8)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  <c r="AE10" s="9">
        <f>'QTR P&amp;L'!AH2*'BS DRIVERS'!AE9</f>
        <v/>
      </c>
      <c r="AF10" s="9">
        <f>'QTR P&amp;L'!AI2*'BS DRIVERS'!AF9</f>
        <v/>
      </c>
      <c r="AG10" s="9">
        <f>'QTR P&amp;L'!AJ2*'BS DRIVERS'!AG9</f>
        <v/>
      </c>
      <c r="AH10" s="9">
        <f>'QTR P&amp;L'!AK2*'BS DRIVERS'!AH9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  <c r="AE11" s="9">
        <f>'BS DRIVERS'!AE10</f>
        <v/>
      </c>
      <c r="AF11" s="9">
        <f>'BS DRIVERS'!AF10</f>
        <v/>
      </c>
      <c r="AG11" s="9">
        <f>'BS DRIVERS'!AG10</f>
        <v/>
      </c>
      <c r="AH11" s="9">
        <f>'BS DRIVERS'!AH10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  <c r="AE12" s="9">
        <f>'QTR P&amp;L'!AH2*'BS DRIVERS'!AE11</f>
        <v/>
      </c>
      <c r="AF12" s="9">
        <f>'QTR P&amp;L'!AI2*'BS DRIVERS'!AF11</f>
        <v/>
      </c>
      <c r="AG12" s="9">
        <f>'QTR P&amp;L'!AJ2*'BS DRIVERS'!AG11</f>
        <v/>
      </c>
      <c r="AH12" s="9">
        <f>'QTR P&amp;L'!AK2*'BS DRIVERS'!AH11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  <c r="AE13" s="9">
        <f>'BS DRIVERS'!AE12</f>
        <v/>
      </c>
      <c r="AF13" s="9">
        <f>'BS DRIVERS'!AF12</f>
        <v/>
      </c>
      <c r="AG13" s="9">
        <f>'BS DRIVERS'!AG12</f>
        <v/>
      </c>
      <c r="AH13" s="9">
        <f>'BS DRIVERS'!AH12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  <c r="AE14" s="9">
        <f>'BS DRIVERS'!AE13</f>
        <v/>
      </c>
      <c r="AF14" s="9">
        <f>'BS DRIVERS'!AF13</f>
        <v/>
      </c>
      <c r="AG14" s="9">
        <f>'BS DRIVERS'!AG13</f>
        <v/>
      </c>
      <c r="AH14" s="9">
        <f>'BS DRIVERS'!AH13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  <c r="AE15" s="9">
        <f>'QTR P&amp;L'!AH2*'BS DRIVERS'!AE14</f>
        <v/>
      </c>
      <c r="AF15" s="9">
        <f>'QTR P&amp;L'!AI2*'BS DRIVERS'!AF14</f>
        <v/>
      </c>
      <c r="AG15" s="9">
        <f>'QTR P&amp;L'!AJ2*'BS DRIVERS'!AG14</f>
        <v/>
      </c>
      <c r="AH15" s="9">
        <f>'QTR P&amp;L'!AK2*'BS DRIVERS'!AH14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  <c r="AE16" s="9">
        <f>'BS DRIVERS'!AE15</f>
        <v/>
      </c>
      <c r="AF16" s="9">
        <f>'BS DRIVERS'!AF15</f>
        <v/>
      </c>
      <c r="AG16" s="9">
        <f>'BS DRIVERS'!AG15</f>
        <v/>
      </c>
      <c r="AH16" s="9">
        <f>'BS DRIVERS'!AH15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  <c r="AE17" s="9">
        <f>'QTR P&amp;L'!AH2*'BS DRIVERS'!AE16</f>
        <v/>
      </c>
      <c r="AF17" s="9">
        <f>'QTR P&amp;L'!AI2*'BS DRIVERS'!AF16</f>
        <v/>
      </c>
      <c r="AG17" s="9">
        <f>'QTR P&amp;L'!AJ2*'BS DRIVERS'!AG16</f>
        <v/>
      </c>
      <c r="AH17" s="9">
        <f>'QTR P&amp;L'!AK2*'BS DRIVERS'!AH16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  <c r="AE18" s="9">
        <f>'QTR P&amp;L'!AH2*'BS DRIVERS'!AE17</f>
        <v/>
      </c>
      <c r="AF18" s="9">
        <f>'QTR P&amp;L'!AI2*'BS DRIVERS'!AF17</f>
        <v/>
      </c>
      <c r="AG18" s="9">
        <f>'QTR P&amp;L'!AJ2*'BS DRIVERS'!AG17</f>
        <v/>
      </c>
      <c r="AH18" s="9">
        <f>'QTR P&amp;L'!AK2*'BS DRIVERS'!AH17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  <c r="AE19" s="7">
        <f>AE9+SUM(AE10:AE18)</f>
        <v/>
      </c>
      <c r="AF19" s="7">
        <f>AF9+SUM(AF10:AF18)</f>
        <v/>
      </c>
      <c r="AG19" s="7">
        <f>AG9+SUM(AG10:AG18)</f>
        <v/>
      </c>
      <c r="AH19" s="7">
        <f>AH9+SUM(AH10:AH18)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  <c r="AE20" s="9">
        <f>'QTR P&amp;L'!AH3*'BS DRIVERS'!AE18/ASSUMPTIONS!$B$2</f>
        <v/>
      </c>
      <c r="AF20" s="9">
        <f>'QTR P&amp;L'!AI3*'BS DRIVERS'!AF18/ASSUMPTIONS!$B$2</f>
        <v/>
      </c>
      <c r="AG20" s="9">
        <f>'QTR P&amp;L'!AJ3*'BS DRIVERS'!AG18/ASSUMPTIONS!$B$2</f>
        <v/>
      </c>
      <c r="AH20" s="9">
        <f>'QTR P&amp;L'!AK3*'BS DRIVERS'!AH18/ASSUMPTIONS!$B$2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  <c r="AE21" s="9">
        <f>'QTR P&amp;L'!AH2*'BS DRIVERS'!AE19</f>
        <v/>
      </c>
      <c r="AF21" s="9">
        <f>'QTR P&amp;L'!AI2*'BS DRIVERS'!AF19</f>
        <v/>
      </c>
      <c r="AG21" s="9">
        <f>'QTR P&amp;L'!AJ2*'BS DRIVERS'!AG19</f>
        <v/>
      </c>
      <c r="AH21" s="9">
        <f>'QTR P&amp;L'!AK2*'BS DRIVERS'!AH19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  <c r="AE22" s="9">
        <f>'QTR P&amp;L'!AH2*'BS DRIVERS'!AE20</f>
        <v/>
      </c>
      <c r="AF22" s="9">
        <f>'QTR P&amp;L'!AI2*'BS DRIVERS'!AF20</f>
        <v/>
      </c>
      <c r="AG22" s="9">
        <f>'QTR P&amp;L'!AJ2*'BS DRIVERS'!AG20</f>
        <v/>
      </c>
      <c r="AH22" s="9">
        <f>'QTR P&amp;L'!AK2*'BS DRIVERS'!AH20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  <c r="AE23" s="9">
        <f>'BS DRIVERS'!AE21</f>
        <v/>
      </c>
      <c r="AF23" s="9">
        <f>'BS DRIVERS'!AF21</f>
        <v/>
      </c>
      <c r="AG23" s="9">
        <f>'BS DRIVERS'!AG21</f>
        <v/>
      </c>
      <c r="AH23" s="9">
        <f>'BS DRIVERS'!AH21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  <c r="AE24" s="9">
        <f>'QTR P&amp;L'!AH2*'BS DRIVERS'!AE22</f>
        <v/>
      </c>
      <c r="AF24" s="9">
        <f>'QTR P&amp;L'!AI2*'BS DRIVERS'!AF22</f>
        <v/>
      </c>
      <c r="AG24" s="9">
        <f>'QTR P&amp;L'!AJ2*'BS DRIVERS'!AG22</f>
        <v/>
      </c>
      <c r="AH24" s="9">
        <f>'QTR P&amp;L'!AK2*'BS DRIVERS'!AH22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  <c r="AE25" s="9">
        <f>'QTR P&amp;L'!AH2*'BS DRIVERS'!AE23</f>
        <v/>
      </c>
      <c r="AF25" s="9">
        <f>'QTR P&amp;L'!AI2*'BS DRIVERS'!AF23</f>
        <v/>
      </c>
      <c r="AG25" s="9">
        <f>'QTR P&amp;L'!AJ2*'BS DRIVERS'!AG23</f>
        <v/>
      </c>
      <c r="AH25" s="9">
        <f>'QTR P&amp;L'!AK2*'BS DRIVERS'!AH23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  <c r="AE26" s="9">
        <f>'QTR P&amp;L'!AH2*'BS DRIVERS'!AE24</f>
        <v/>
      </c>
      <c r="AF26" s="9">
        <f>'QTR P&amp;L'!AI2*'BS DRIVERS'!AF24</f>
        <v/>
      </c>
      <c r="AG26" s="9">
        <f>'QTR P&amp;L'!AJ2*'BS DRIVERS'!AG24</f>
        <v/>
      </c>
      <c r="AH26" s="9">
        <f>'QTR P&amp;L'!AK2*'BS DRIVERS'!AH24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  <c r="AE27" s="9">
        <f>'QTR P&amp;L'!AH2*'BS DRIVERS'!AE25</f>
        <v/>
      </c>
      <c r="AF27" s="9">
        <f>'QTR P&amp;L'!AI2*'BS DRIVERS'!AF25</f>
        <v/>
      </c>
      <c r="AG27" s="9">
        <f>'QTR P&amp;L'!AJ2*'BS DRIVERS'!AG25</f>
        <v/>
      </c>
      <c r="AH27" s="9">
        <f>'QTR P&amp;L'!AK2*'BS DRIVERS'!AH25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  <c r="AE28" s="9">
        <f>'QTR P&amp;L'!AH2*'BS DRIVERS'!AE26</f>
        <v/>
      </c>
      <c r="AF28" s="9">
        <f>'QTR P&amp;L'!AI2*'BS DRIVERS'!AF26</f>
        <v/>
      </c>
      <c r="AG28" s="9">
        <f>'QTR P&amp;L'!AJ2*'BS DRIVERS'!AG26</f>
        <v/>
      </c>
      <c r="AH28" s="9">
        <f>'QTR P&amp;L'!AK2*'BS DRIVERS'!AH26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  <c r="AE29" s="9">
        <f>'QTR P&amp;L'!AH2*'BS DRIVERS'!AE27</f>
        <v/>
      </c>
      <c r="AF29" s="9">
        <f>'QTR P&amp;L'!AI2*'BS DRIVERS'!AF27</f>
        <v/>
      </c>
      <c r="AG29" s="9">
        <f>'QTR P&amp;L'!AJ2*'BS DRIVERS'!AG27</f>
        <v/>
      </c>
      <c r="AH29" s="9">
        <f>'QTR P&amp;L'!AK2*'BS DRIVERS'!AH27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  <c r="AE30" s="7">
        <f>SUM(AE20:AE29)</f>
        <v/>
      </c>
      <c r="AF30" s="7">
        <f>SUM(AF20:AF29)</f>
        <v/>
      </c>
      <c r="AG30" s="7">
        <f>SUM(AG20:AG29)</f>
        <v/>
      </c>
      <c r="AH30" s="7">
        <f>SUM(AH20:AH29)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  <c r="AE31" s="9">
        <f>'QTR P&amp;L'!AH2*'BS DRIVERS'!AE28</f>
        <v/>
      </c>
      <c r="AF31" s="9">
        <f>'QTR P&amp;L'!AI2*'BS DRIVERS'!AF28</f>
        <v/>
      </c>
      <c r="AG31" s="9">
        <f>'QTR P&amp;L'!AJ2*'BS DRIVERS'!AG28</f>
        <v/>
      </c>
      <c r="AH31" s="9">
        <f>'QTR P&amp;L'!AK2*'BS DRIVERS'!AH28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  <c r="AE32" s="9">
        <f>'QTR P&amp;L'!AH2*'BS DRIVERS'!AE29</f>
        <v/>
      </c>
      <c r="AF32" s="9">
        <f>'QTR P&amp;L'!AI2*'BS DRIVERS'!AF29</f>
        <v/>
      </c>
      <c r="AG32" s="9">
        <f>'QTR P&amp;L'!AJ2*'BS DRIVERS'!AG29</f>
        <v/>
      </c>
      <c r="AH32" s="9">
        <f>'QTR P&amp;L'!AK2*'BS DRIVERS'!AH29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  <c r="AE33" s="9">
        <f>'BS DRIVERS'!AE30</f>
        <v/>
      </c>
      <c r="AF33" s="9">
        <f>'BS DRIVERS'!AF30</f>
        <v/>
      </c>
      <c r="AG33" s="9">
        <f>'BS DRIVERS'!AG30</f>
        <v/>
      </c>
      <c r="AH33" s="9">
        <f>'BS DRIVERS'!AH30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  <c r="AE34" s="9">
        <f>'BS DRIVERS'!AE31</f>
        <v/>
      </c>
      <c r="AF34" s="9">
        <f>'BS DRIVERS'!AF31</f>
        <v/>
      </c>
      <c r="AG34" s="9">
        <f>'BS DRIVERS'!AG31</f>
        <v/>
      </c>
      <c r="AH34" s="9">
        <f>'BS DRIVERS'!AH31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  <c r="AE35" s="9">
        <f>'QTR P&amp;L'!AH2*'BS DRIVERS'!AE32</f>
        <v/>
      </c>
      <c r="AF35" s="9">
        <f>'QTR P&amp;L'!AI2*'BS DRIVERS'!AF32</f>
        <v/>
      </c>
      <c r="AG35" s="9">
        <f>'QTR P&amp;L'!AJ2*'BS DRIVERS'!AG32</f>
        <v/>
      </c>
      <c r="AH35" s="9">
        <f>'QTR P&amp;L'!AK2*'BS DRIVERS'!AH32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  <c r="AE36" s="9">
        <f>'QTR P&amp;L'!AH2*'BS DRIVERS'!AE33</f>
        <v/>
      </c>
      <c r="AF36" s="9">
        <f>'QTR P&amp;L'!AI2*'BS DRIVERS'!AF33</f>
        <v/>
      </c>
      <c r="AG36" s="9">
        <f>'QTR P&amp;L'!AJ2*'BS DRIVERS'!AG33</f>
        <v/>
      </c>
      <c r="AH36" s="9">
        <f>'QTR P&amp;L'!AK2*'BS DRIVERS'!AH33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  <c r="AE37" s="7">
        <f>AE30+SUM(AE31:AE36)</f>
        <v/>
      </c>
      <c r="AF37" s="7">
        <f>AF30+SUM(AF31:AF36)</f>
        <v/>
      </c>
      <c r="AG37" s="7">
        <f>AG30+SUM(AG31:AG36)</f>
        <v/>
      </c>
      <c r="AH37" s="7">
        <f>AH30+SUM(AH31:AH36)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  <c r="AE38" s="9">
        <f>'BS DRIVERS'!AE34</f>
        <v/>
      </c>
      <c r="AF38" s="9">
        <f>'BS DRIVERS'!AF34</f>
        <v/>
      </c>
      <c r="AG38" s="9">
        <f>'BS DRIVERS'!AG34</f>
        <v/>
      </c>
      <c r="AH38" s="9">
        <f>'BS DRIVERS'!AH34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  <c r="AE39" s="9">
        <f>'BS DRIVERS'!AE35</f>
        <v/>
      </c>
      <c r="AF39" s="9">
        <f>'BS DRIVERS'!AF35</f>
        <v/>
      </c>
      <c r="AG39" s="9">
        <f>'BS DRIVERS'!AG35</f>
        <v/>
      </c>
      <c r="AH39" s="9">
        <f>'BS DRIVERS'!AH35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  <c r="AE40" s="9">
        <f>'BS DRIVERS'!AE36</f>
        <v/>
      </c>
      <c r="AF40" s="9">
        <f>'BS DRIVERS'!AF36</f>
        <v/>
      </c>
      <c r="AG40" s="9">
        <f>'BS DRIVERS'!AG36</f>
        <v/>
      </c>
      <c r="AH40" s="9">
        <f>'BS DRIVERS'!AH36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  <c r="AE41" s="9">
        <f>'BS DRIVERS'!AE37</f>
        <v/>
      </c>
      <c r="AF41" s="9">
        <f>'BS DRIVERS'!AF37</f>
        <v/>
      </c>
      <c r="AG41" s="9">
        <f>'BS DRIVERS'!AG37</f>
        <v/>
      </c>
      <c r="AH41" s="9">
        <f>'BS DRIVERS'!AH37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  <c r="AE42" s="9">
        <f>'BS DRIVERS'!AE38</f>
        <v/>
      </c>
      <c r="AF42" s="9">
        <f>'BS DRIVERS'!AF38</f>
        <v/>
      </c>
      <c r="AG42" s="9">
        <f>'BS DRIVERS'!AG38</f>
        <v/>
      </c>
      <c r="AH42" s="9">
        <f>'BS DRIVERS'!AH38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  <c r="AE43" s="9">
        <f>'BS DRIVERS'!AE39</f>
        <v/>
      </c>
      <c r="AF43" s="9">
        <f>'BS DRIVERS'!AF39</f>
        <v/>
      </c>
      <c r="AG43" s="9">
        <f>'BS DRIVERS'!AG39</f>
        <v/>
      </c>
      <c r="AH43" s="9">
        <f>'BS DRIVERS'!AH39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  <c r="AE44" s="7">
        <f>SUM(AE38:AE43)</f>
        <v/>
      </c>
      <c r="AF44" s="7">
        <f>SUM(AF38:AF43)</f>
        <v/>
      </c>
      <c r="AG44" s="7">
        <f>SUM(AG38:AG43)</f>
        <v/>
      </c>
      <c r="AH44" s="7">
        <f>SUM(AH38:AH43)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  <c r="AE45" s="7">
        <f>AE37+AE44</f>
        <v/>
      </c>
      <c r="AF45" s="7">
        <f>AF37+AF44</f>
        <v/>
      </c>
      <c r="AG45" s="7">
        <f>AG37+AG44</f>
        <v/>
      </c>
      <c r="AH45" s="7">
        <f>AH37+AH44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1" ySplit="1" topLeftCell="G11" activePane="bottomRight" state="frozen"/>
      <selection pane="topRight" activeCell="A1" sqref="A1"/>
      <selection pane="bottomLeft" activeCell="A1" sqref="A1"/>
      <selection pane="bottomRight" activeCell="R44" sqref="R44"/>
    </sheetView>
  </sheetViews>
  <sheetFormatPr baseColWidth="8" defaultRowHeight="15"/>
  <cols>
    <col width="42" customWidth="1" min="1" max="1"/>
    <col width="13" customWidth="1" min="2" max="37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  <c r="AH2" s="9">
        <f>'CF DRIVERS'!AH2</f>
        <v/>
      </c>
      <c r="AI2" s="9">
        <f>'CF DRIVERS'!AI2</f>
        <v/>
      </c>
      <c r="AJ2" s="9">
        <f>'CF DRIVERS'!AJ2</f>
        <v/>
      </c>
      <c r="AK2" s="9">
        <f>'CF DRIVERS'!AK2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  <c r="AH3" s="9">
        <f>'CF DRIVERS'!AH3</f>
        <v/>
      </c>
      <c r="AI3" s="9">
        <f>'CF DRIVERS'!AI3</f>
        <v/>
      </c>
      <c r="AJ3" s="9">
        <f>'CF DRIVERS'!AJ3</f>
        <v/>
      </c>
      <c r="AK3" s="9">
        <f>'CF DRIVERS'!AK3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  <c r="AH4" s="9">
        <f>'CF DRIVERS'!AH4</f>
        <v/>
      </c>
      <c r="AI4" s="9">
        <f>'CF DRIVERS'!AI4</f>
        <v/>
      </c>
      <c r="AJ4" s="9">
        <f>'CF DRIVERS'!AJ4</f>
        <v/>
      </c>
      <c r="AK4" s="9">
        <f>'CF DRIVERS'!AK4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  <c r="AH5" s="9">
        <f>'CF DRIVERS'!AH5</f>
        <v/>
      </c>
      <c r="AI5" s="9">
        <f>'CF DRIVERS'!AI5</f>
        <v/>
      </c>
      <c r="AJ5" s="9">
        <f>'CF DRIVERS'!AJ5</f>
        <v/>
      </c>
      <c r="AK5" s="9">
        <f>'CF DRIVERS'!AK5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  <c r="AH6" s="9">
        <f>'QTR P&amp;L'!AH2*'CF DRIVERS'!AH6</f>
        <v/>
      </c>
      <c r="AI6" s="9">
        <f>'QTR P&amp;L'!AI2*'CF DRIVERS'!AI6</f>
        <v/>
      </c>
      <c r="AJ6" s="9">
        <f>'QTR P&amp;L'!AJ2*'CF DRIVERS'!AJ6</f>
        <v/>
      </c>
      <c r="AK6" s="9">
        <f>'QTR P&amp;L'!AK2*'CF DRIVERS'!AK6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  <c r="AH7" s="9">
        <f>'CF DRIVERS'!AH7</f>
        <v/>
      </c>
      <c r="AI7" s="9">
        <f>'CF DRIVERS'!AI7</f>
        <v/>
      </c>
      <c r="AJ7" s="9">
        <f>'CF DRIVERS'!AJ7</f>
        <v/>
      </c>
      <c r="AK7" s="9">
        <f>'CF DRIVERS'!AK7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  <c r="AH8" s="9">
        <f>'CF DRIVERS'!AH8</f>
        <v/>
      </c>
      <c r="AI8" s="9">
        <f>'CF DRIVERS'!AI8</f>
        <v/>
      </c>
      <c r="AJ8" s="9">
        <f>'CF DRIVERS'!AJ8</f>
        <v/>
      </c>
      <c r="AK8" s="9">
        <f>'CF DRIVERS'!AK8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  <c r="AH9" s="9">
        <f>'CF DRIVERS'!AH9</f>
        <v/>
      </c>
      <c r="AI9" s="9">
        <f>'CF DRIVERS'!AI9</f>
        <v/>
      </c>
      <c r="AJ9" s="9">
        <f>'CF DRIVERS'!AJ9</f>
        <v/>
      </c>
      <c r="AK9" s="9">
        <f>'CF DRIVERS'!AK9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  <c r="AH10" s="9">
        <f>'CF DRIVERS'!AH10</f>
        <v/>
      </c>
      <c r="AI10" s="9">
        <f>'CF DRIVERS'!AI10</f>
        <v/>
      </c>
      <c r="AJ10" s="9">
        <f>'CF DRIVERS'!AJ10</f>
        <v/>
      </c>
      <c r="AK10" s="9">
        <f>'CF DRIVERS'!AK10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  <c r="AH11" s="9">
        <f>'QTR P&amp;L'!AH2*'CF DRIVERS'!AH11</f>
        <v/>
      </c>
      <c r="AI11" s="9">
        <f>'QTR P&amp;L'!AI2*'CF DRIVERS'!AI11</f>
        <v/>
      </c>
      <c r="AJ11" s="9">
        <f>'QTR P&amp;L'!AJ2*'CF DRIVERS'!AJ11</f>
        <v/>
      </c>
      <c r="AK11" s="9">
        <f>'QTR P&amp;L'!AK2*'CF DRIVERS'!AK11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  <c r="AH12" s="9">
        <f>'CF DRIVERS'!AH12</f>
        <v/>
      </c>
      <c r="AI12" s="9">
        <f>'CF DRIVERS'!AI12</f>
        <v/>
      </c>
      <c r="AJ12" s="9">
        <f>'CF DRIVERS'!AJ12</f>
        <v/>
      </c>
      <c r="AK12" s="9">
        <f>'CF DRIVERS'!AK12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  <c r="AH13" s="9">
        <f>'CF DRIVERS'!AH13</f>
        <v/>
      </c>
      <c r="AI13" s="9">
        <f>'CF DRIVERS'!AI13</f>
        <v/>
      </c>
      <c r="AJ13" s="9">
        <f>'CF DRIVERS'!AJ13</f>
        <v/>
      </c>
      <c r="AK13" s="9">
        <f>'CF DRIVERS'!AK13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  <c r="AH14" s="9">
        <f>'CF DRIVERS'!AH14</f>
        <v/>
      </c>
      <c r="AI14" s="9">
        <f>'CF DRIVERS'!AI14</f>
        <v/>
      </c>
      <c r="AJ14" s="9">
        <f>'CF DRIVERS'!AJ14</f>
        <v/>
      </c>
      <c r="AK14" s="9">
        <f>'CF DRIVERS'!AK14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  <c r="AH15" s="9">
        <f>'CF DRIVERS'!AH15</f>
        <v/>
      </c>
      <c r="AI15" s="9">
        <f>'CF DRIVERS'!AI15</f>
        <v/>
      </c>
      <c r="AJ15" s="9">
        <f>'CF DRIVERS'!AJ15</f>
        <v/>
      </c>
      <c r="AK15" s="9">
        <f>'CF DRIVERS'!AK15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  <c r="AH16" s="9">
        <f>'CF DRIVERS'!AH16</f>
        <v/>
      </c>
      <c r="AI16" s="9">
        <f>'CF DRIVERS'!AI16</f>
        <v/>
      </c>
      <c r="AJ16" s="9">
        <f>'CF DRIVERS'!AJ16</f>
        <v/>
      </c>
      <c r="AK16" s="9">
        <f>'CF DRIVERS'!AK16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  <c r="AH17" s="9">
        <f>'CF DRIVERS'!AH17</f>
        <v/>
      </c>
      <c r="AI17" s="9">
        <f>'CF DRIVERS'!AI17</f>
        <v/>
      </c>
      <c r="AJ17" s="9">
        <f>'CF DRIVERS'!AJ17</f>
        <v/>
      </c>
      <c r="AK17" s="9">
        <f>'CF DRIVERS'!AK17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  <c r="AH18" s="9">
        <f>'CF DRIVERS'!AH18</f>
        <v/>
      </c>
      <c r="AI18" s="9">
        <f>'CF DRIVERS'!AI18</f>
        <v/>
      </c>
      <c r="AJ18" s="9">
        <f>'CF DRIVERS'!AJ18</f>
        <v/>
      </c>
      <c r="AK18" s="9">
        <f>'CF DRIVERS'!AK18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  <c r="AH19" s="9">
        <f>'CF DRIVERS'!AH19</f>
        <v/>
      </c>
      <c r="AI19" s="9">
        <f>'CF DRIVERS'!AI19</f>
        <v/>
      </c>
      <c r="AJ19" s="9">
        <f>'CF DRIVERS'!AJ19</f>
        <v/>
      </c>
      <c r="AK19" s="9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  <c r="AH20" s="9">
        <f>'CF DRIVERS'!AH20</f>
        <v/>
      </c>
      <c r="AI20" s="9">
        <f>'CF DRIVERS'!AI20</f>
        <v/>
      </c>
      <c r="AJ20" s="9">
        <f>'CF DRIVERS'!AJ20</f>
        <v/>
      </c>
      <c r="AK20" s="9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  <c r="AH21" s="9">
        <f>'CF DRIVERS'!AH21</f>
        <v/>
      </c>
      <c r="AI21" s="9">
        <f>'CF DRIVERS'!AI21</f>
        <v/>
      </c>
      <c r="AJ21" s="9">
        <f>'CF DRIVERS'!AJ21</f>
        <v/>
      </c>
      <c r="AK21" s="9">
        <f>'CF DRIVERS'!AK21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  <c r="AH22" s="9">
        <f>'CF DRIVERS'!AH22</f>
        <v/>
      </c>
      <c r="AI22" s="9">
        <f>'CF DRIVERS'!AI22</f>
        <v/>
      </c>
      <c r="AJ22" s="9">
        <f>'CF DRIVERS'!AJ22</f>
        <v/>
      </c>
      <c r="AK22" s="9">
        <f>'CF DRIVERS'!AK22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  <c r="AH23" s="9">
        <f>'CF DRIVERS'!AH23</f>
        <v/>
      </c>
      <c r="AI23" s="9">
        <f>'CF DRIVERS'!AI23</f>
        <v/>
      </c>
      <c r="AJ23" s="9">
        <f>'CF DRIVERS'!AJ23</f>
        <v/>
      </c>
      <c r="AK23" s="9">
        <f>'CF DRIVERS'!AK23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  <c r="AH24" s="9">
        <f>'CF DRIVERS'!AH24</f>
        <v/>
      </c>
      <c r="AI24" s="9">
        <f>'CF DRIVERS'!AI24</f>
        <v/>
      </c>
      <c r="AJ24" s="9">
        <f>'CF DRIVERS'!AJ24</f>
        <v/>
      </c>
      <c r="AK24" s="9">
        <f>'CF DRIVERS'!AK24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  <c r="AH25" s="9">
        <f>'CF DRIVERS'!AH25</f>
        <v/>
      </c>
      <c r="AI25" s="9">
        <f>'CF DRIVERS'!AI25</f>
        <v/>
      </c>
      <c r="AJ25" s="9">
        <f>'CF DRIVERS'!AJ25</f>
        <v/>
      </c>
      <c r="AK25" s="9">
        <f>'CF DRIVERS'!AK25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  <c r="AH26" s="9">
        <f>'CF DRIVERS'!AH26</f>
        <v/>
      </c>
      <c r="AI26" s="9">
        <f>'CF DRIVERS'!AI26</f>
        <v/>
      </c>
      <c r="AJ26" s="9">
        <f>'CF DRIVERS'!AJ26</f>
        <v/>
      </c>
      <c r="AK26" s="9">
        <f>'CF DRIVERS'!AK26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  <c r="AH27" s="9">
        <f>'CF DRIVERS'!AH27</f>
        <v/>
      </c>
      <c r="AI27" s="9">
        <f>'CF DRIVERS'!AI27</f>
        <v/>
      </c>
      <c r="AJ27" s="9">
        <f>'CF DRIVERS'!AJ27</f>
        <v/>
      </c>
      <c r="AK27" s="9">
        <f>'CF DRIVERS'!AK27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  <c r="AH28" s="9">
        <f>'CF DRIVERS'!AH28</f>
        <v/>
      </c>
      <c r="AI28" s="9">
        <f>'CF DRIVERS'!AI28</f>
        <v/>
      </c>
      <c r="AJ28" s="9">
        <f>'CF DRIVERS'!AJ28</f>
        <v/>
      </c>
      <c r="AK28" s="9">
        <f>'CF DRIVERS'!AK28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  <c r="AH29" s="9">
        <f>'CF DRIVERS'!AH29</f>
        <v/>
      </c>
      <c r="AI29" s="9">
        <f>'CF DRIVERS'!AI29</f>
        <v/>
      </c>
      <c r="AJ29" s="9">
        <f>'CF DRIVERS'!AJ29</f>
        <v/>
      </c>
      <c r="AK29" s="9">
        <f>'CF DRIVERS'!AK29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  <c r="AH30" s="9">
        <f>'CF DRIVERS'!AH30</f>
        <v/>
      </c>
      <c r="AI30" s="9">
        <f>'CF DRIVERS'!AI30</f>
        <v/>
      </c>
      <c r="AJ30" s="9">
        <f>'CF DRIVERS'!AJ30</f>
        <v/>
      </c>
      <c r="AK30" s="9">
        <f>'CF DRIVERS'!AK30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  <c r="AH31" s="9">
        <f>'CF DRIVERS'!AH31</f>
        <v/>
      </c>
      <c r="AI31" s="9">
        <f>'CF DRIVERS'!AI31</f>
        <v/>
      </c>
      <c r="AJ31" s="9">
        <f>'CF DRIVERS'!AJ31</f>
        <v/>
      </c>
      <c r="AK31" s="9">
        <f>'CF DRIVERS'!AK31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  <c r="AH32" s="7">
        <f>SUM(AH2:AH31)</f>
        <v/>
      </c>
      <c r="AI32" s="7">
        <f>SUM(AI2:AI31)</f>
        <v/>
      </c>
      <c r="AJ32" s="7">
        <f>SUM(AJ2:AJ31)</f>
        <v/>
      </c>
      <c r="AK32" s="7">
        <f>SUM(AK2:AK31)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  <c r="AH33" s="9">
        <f>'CF DRIVERS'!AH32</f>
        <v/>
      </c>
      <c r="AI33" s="9">
        <f>'CF DRIVERS'!AI32</f>
        <v/>
      </c>
      <c r="AJ33" s="9">
        <f>'CF DRIVERS'!AJ32</f>
        <v/>
      </c>
      <c r="AK33" s="9">
        <f>'CF DRIVERS'!AK32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  <c r="AH34" s="9">
        <f>'QTR P&amp;L'!AH2*'CF DRIVERS'!AH33</f>
        <v/>
      </c>
      <c r="AI34" s="9">
        <f>'QTR P&amp;L'!AI2*'CF DRIVERS'!AI33</f>
        <v/>
      </c>
      <c r="AJ34" s="9">
        <f>'QTR P&amp;L'!AJ2*'CF DRIVERS'!AJ33</f>
        <v/>
      </c>
      <c r="AK34" s="9">
        <f>'QTR P&amp;L'!AK2*'CF DRIVERS'!AK33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  <c r="AH35" s="9">
        <f>'CF DRIVERS'!AH34</f>
        <v/>
      </c>
      <c r="AI35" s="9">
        <f>'CF DRIVERS'!AI34</f>
        <v/>
      </c>
      <c r="AJ35" s="9">
        <f>'CF DRIVERS'!AJ34</f>
        <v/>
      </c>
      <c r="AK35" s="9">
        <f>'CF DRIVERS'!AK34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  <c r="AH36" s="9">
        <f>'CF DRIVERS'!AH35</f>
        <v/>
      </c>
      <c r="AI36" s="9">
        <f>'CF DRIVERS'!AI35</f>
        <v/>
      </c>
      <c r="AJ36" s="9">
        <f>'CF DRIVERS'!AJ35</f>
        <v/>
      </c>
      <c r="AK36" s="9">
        <f>'CF DRIVERS'!AK35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  <c r="AH37" s="9">
        <f>'CF DRIVERS'!AH36</f>
        <v/>
      </c>
      <c r="AI37" s="9">
        <f>'CF DRIVERS'!AI36</f>
        <v/>
      </c>
      <c r="AJ37" s="9">
        <f>'CF DRIVERS'!AJ36</f>
        <v/>
      </c>
      <c r="AK37" s="9">
        <f>'CF DRIVERS'!AK36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  <c r="AH38" s="9">
        <f>'CF DRIVERS'!AH37</f>
        <v/>
      </c>
      <c r="AI38" s="9">
        <f>'CF DRIVERS'!AI37</f>
        <v/>
      </c>
      <c r="AJ38" s="9">
        <f>'CF DRIVERS'!AJ37</f>
        <v/>
      </c>
      <c r="AK38" s="9">
        <f>'CF DRIVERS'!AK37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  <c r="AH39" s="7">
        <f>SUM(AH33:AH38)</f>
        <v/>
      </c>
      <c r="AI39" s="7">
        <f>SUM(AI33:AI38)</f>
        <v/>
      </c>
      <c r="AJ39" s="7">
        <f>SUM(AJ33:AJ38)</f>
        <v/>
      </c>
      <c r="AK39" s="7">
        <f>SUM(AK33:AK38)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  <c r="AH40" s="9">
        <f>'CF DRIVERS'!AH38</f>
        <v/>
      </c>
      <c r="AI40" s="9">
        <f>'CF DRIVERS'!AI38</f>
        <v/>
      </c>
      <c r="AJ40" s="9">
        <f>'CF DRIVERS'!AJ38</f>
        <v/>
      </c>
      <c r="AK40" s="9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  <c r="AH41" s="9">
        <f>'CF DRIVERS'!AH39</f>
        <v/>
      </c>
      <c r="AI41" s="9">
        <f>'CF DRIVERS'!AI39</f>
        <v/>
      </c>
      <c r="AJ41" s="9">
        <f>'CF DRIVERS'!AJ39</f>
        <v/>
      </c>
      <c r="AK41" s="9">
        <f>'CF DRIVERS'!AK39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  <c r="AH42" s="9">
        <f>'CF DRIVERS'!AH40</f>
        <v/>
      </c>
      <c r="AI42" s="9">
        <f>'CF DRIVERS'!AI40</f>
        <v/>
      </c>
      <c r="AJ42" s="9">
        <f>'CF DRIVERS'!AJ40</f>
        <v/>
      </c>
      <c r="AK42" s="9">
        <f>'CF DRIVERS'!AK40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  <c r="AH43" s="9">
        <f>'CF DRIVERS'!AH41</f>
        <v/>
      </c>
      <c r="AI43" s="9">
        <f>'CF DRIVERS'!AI41</f>
        <v/>
      </c>
      <c r="AJ43" s="9">
        <f>'CF DRIVERS'!AJ41</f>
        <v/>
      </c>
      <c r="AK43" s="9">
        <f>'CF DRIVERS'!AK41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  <c r="AH44" s="9">
        <f>'CF DRIVERS'!AH42</f>
        <v/>
      </c>
      <c r="AI44" s="9">
        <f>'CF DRIVERS'!AI42</f>
        <v/>
      </c>
      <c r="AJ44" s="9">
        <f>'CF DRIVERS'!AJ42</f>
        <v/>
      </c>
      <c r="AK44" s="9">
        <f>'CF DRIVERS'!AK42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  <c r="AH45" s="9">
        <f>'CF DRIVERS'!AH43</f>
        <v/>
      </c>
      <c r="AI45" s="9">
        <f>'CF DRIVERS'!AI43</f>
        <v/>
      </c>
      <c r="AJ45" s="9">
        <f>'CF DRIVERS'!AJ43</f>
        <v/>
      </c>
      <c r="AK45" s="9">
        <f>'CF DRIVERS'!AK43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  <c r="AH46" s="9">
        <f>'CF DRIVERS'!AH44</f>
        <v/>
      </c>
      <c r="AI46" s="9">
        <f>'CF DRIVERS'!AI44</f>
        <v/>
      </c>
      <c r="AJ46" s="9">
        <f>'CF DRIVERS'!AJ44</f>
        <v/>
      </c>
      <c r="AK46" s="9">
        <f>'CF DRIVERS'!AK44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  <c r="AH47" s="9">
        <f>'CF DRIVERS'!AH45</f>
        <v/>
      </c>
      <c r="AI47" s="9">
        <f>'CF DRIVERS'!AI45</f>
        <v/>
      </c>
      <c r="AJ47" s="9">
        <f>'CF DRIVERS'!AJ45</f>
        <v/>
      </c>
      <c r="AK47" s="9">
        <f>'CF DRIVERS'!AK45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  <c r="AH48" s="9">
        <f>'CF DRIVERS'!AH46</f>
        <v/>
      </c>
      <c r="AI48" s="9">
        <f>'CF DRIVERS'!AI46</f>
        <v/>
      </c>
      <c r="AJ48" s="9">
        <f>'CF DRIVERS'!AJ46</f>
        <v/>
      </c>
      <c r="AK48" s="9">
        <f>'CF DRIVERS'!AK46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  <c r="AH49" s="9">
        <f>'CF DRIVERS'!AH47</f>
        <v/>
      </c>
      <c r="AI49" s="9">
        <f>'CF DRIVERS'!AI47</f>
        <v/>
      </c>
      <c r="AJ49" s="9">
        <f>'CF DRIVERS'!AJ47</f>
        <v/>
      </c>
      <c r="AK49" s="9">
        <f>'CF DRIVERS'!AK47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  <c r="AH50" s="7">
        <f>SUM(AH40:AH49)</f>
        <v/>
      </c>
      <c r="AI50" s="7">
        <f>SUM(AI40:AI49)</f>
        <v/>
      </c>
      <c r="AJ50" s="7">
        <f>SUM(AJ40:AJ49)</f>
        <v/>
      </c>
      <c r="AK50" s="7">
        <f>SUM(AK40:AK49)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  <c r="AH51" s="9">
        <f>'CF DRIVERS'!AH48</f>
        <v/>
      </c>
      <c r="AI51" s="9">
        <f>'CF DRIVERS'!AI48</f>
        <v/>
      </c>
      <c r="AJ51" s="9">
        <f>'CF DRIVERS'!AJ48</f>
        <v/>
      </c>
      <c r="AK51" s="9">
        <f>'CF DRIVERS'!AK48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  <c r="AH52" s="7">
        <f>AH32+AH39+AH50+AH51</f>
        <v/>
      </c>
      <c r="AI52" s="7">
        <f>AI32+AI39+AI50+AI51</f>
        <v/>
      </c>
      <c r="AJ52" s="7">
        <f>AJ32+AJ39+AJ50+AJ51</f>
        <v/>
      </c>
      <c r="AK52" s="7">
        <f>AK32+AK39+AK50+AK51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7"/>
  <sheetViews>
    <sheetView workbookViewId="0">
      <pane xSplit="2" ySplit="1" topLeftCell="I2" activePane="bottomRight" state="frozen"/>
      <selection pane="topRight" activeCell="A1" sqref="A1"/>
      <selection pane="bottomLeft" activeCell="A1" sqref="A1"/>
      <selection pane="bottomRight" activeCell="S10" sqref="S10"/>
    </sheetView>
  </sheetViews>
  <sheetFormatPr baseColWidth="8" defaultRowHeight="15"/>
  <cols>
    <col width="49.140625" bestFit="1" customWidth="1" min="1" max="1"/>
    <col width="8" customWidth="1" min="2" max="2"/>
    <col width="13" customWidth="1" min="3" max="38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'Revenue Driver'!$H$14/4</f>
        <v/>
      </c>
      <c r="T2" s="12">
        <f>'Revenue Driver'!$H$14/4</f>
        <v/>
      </c>
      <c r="U2" s="12">
        <f>'Revenue Driver'!$H$14/4</f>
        <v/>
      </c>
      <c r="V2" s="12">
        <f>'Revenue Driver'!$H$14/4</f>
        <v/>
      </c>
      <c r="W2" s="12">
        <f>'Revenue Driver'!$I$14/4</f>
        <v/>
      </c>
      <c r="X2" s="12">
        <f>'Revenue Driver'!$I$14/4</f>
        <v/>
      </c>
      <c r="Y2" s="12">
        <f>'Revenue Driver'!$I$14/4</f>
        <v/>
      </c>
      <c r="Z2" s="12">
        <f>'Revenue Driver'!$I$14/4</f>
        <v/>
      </c>
      <c r="AA2" s="12">
        <f>'Revenue Driver'!$J$14/4</f>
        <v/>
      </c>
      <c r="AB2" s="12">
        <f>'Revenue Driver'!$J$14/4</f>
        <v/>
      </c>
      <c r="AC2" s="12">
        <f>'Revenue Driver'!$J$14/4</f>
        <v/>
      </c>
      <c r="AD2" s="12">
        <f>'Revenue Driver'!$J$14/4</f>
        <v/>
      </c>
      <c r="AE2" s="12">
        <f>'Revenue Driver'!$K$14/4</f>
        <v/>
      </c>
      <c r="AF2" s="12">
        <f>'Revenue Driver'!$K$14/4</f>
        <v/>
      </c>
      <c r="AG2" s="12">
        <f>'Revenue Driver'!$K$14/4</f>
        <v/>
      </c>
      <c r="AH2" s="12">
        <f>'Revenue Driver'!$K$14/4</f>
        <v/>
      </c>
      <c r="AI2" s="12">
        <f>'Revenue Driver'!$L$14/4</f>
        <v/>
      </c>
      <c r="AJ2" s="12">
        <f>'Revenue Driver'!$L$14/4</f>
        <v/>
      </c>
      <c r="AK2" s="12">
        <f>'Revenue Driver'!$L$14/4</f>
        <v/>
      </c>
      <c r="AL2" s="12">
        <f>'Revenue Driver'!$L$14/4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S3</f>
        <v/>
      </c>
      <c r="U3" s="12">
        <f>T3</f>
        <v/>
      </c>
      <c r="V3" s="12">
        <f>U3</f>
        <v/>
      </c>
      <c r="W3" s="12">
        <f>V3</f>
        <v/>
      </c>
      <c r="X3" s="12">
        <f>W3</f>
        <v/>
      </c>
      <c r="Y3" s="12">
        <f>X3</f>
        <v/>
      </c>
      <c r="Z3" s="12">
        <f>Y3</f>
        <v/>
      </c>
      <c r="AA3" s="12">
        <f>Z3</f>
        <v/>
      </c>
      <c r="AB3" s="12">
        <f>AA3</f>
        <v/>
      </c>
      <c r="AC3" s="12">
        <f>AB3</f>
        <v/>
      </c>
      <c r="AD3" s="12">
        <f>AC3</f>
        <v/>
      </c>
      <c r="AE3" s="12">
        <f>AD3</f>
        <v/>
      </c>
      <c r="AF3" s="12">
        <f>AE3</f>
        <v/>
      </c>
      <c r="AG3" s="12">
        <f>AF3</f>
        <v/>
      </c>
      <c r="AH3" s="12">
        <f>AG3</f>
        <v/>
      </c>
      <c r="AI3" s="12">
        <f>AH3</f>
        <v/>
      </c>
      <c r="AJ3" s="12">
        <f>AI3</f>
        <v/>
      </c>
      <c r="AK3" s="12">
        <f>AJ3</f>
        <v/>
      </c>
      <c r="AL3" s="12">
        <f>AK3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S4</f>
        <v/>
      </c>
      <c r="U4" s="12">
        <f>T4</f>
        <v/>
      </c>
      <c r="V4" s="12">
        <f>U4</f>
        <v/>
      </c>
      <c r="W4" s="12">
        <f>V4</f>
        <v/>
      </c>
      <c r="X4" s="12">
        <f>W4</f>
        <v/>
      </c>
      <c r="Y4" s="12">
        <f>X4</f>
        <v/>
      </c>
      <c r="Z4" s="12">
        <f>Y4</f>
        <v/>
      </c>
      <c r="AA4" s="12">
        <f>Z4</f>
        <v/>
      </c>
      <c r="AB4" s="12">
        <f>AA4</f>
        <v/>
      </c>
      <c r="AC4" s="12">
        <f>AB4</f>
        <v/>
      </c>
      <c r="AD4" s="12">
        <f>AC4</f>
        <v/>
      </c>
      <c r="AE4" s="12">
        <f>AD4</f>
        <v/>
      </c>
      <c r="AF4" s="12">
        <f>AE4</f>
        <v/>
      </c>
      <c r="AG4" s="12">
        <f>AF4</f>
        <v/>
      </c>
      <c r="AH4" s="12">
        <f>AG4</f>
        <v/>
      </c>
      <c r="AI4" s="12">
        <f>AH4</f>
        <v/>
      </c>
      <c r="AJ4" s="12">
        <f>AI4</f>
        <v/>
      </c>
      <c r="AK4" s="12">
        <f>AJ4</f>
        <v/>
      </c>
      <c r="AL4" s="12">
        <f>AK4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S6</f>
        <v/>
      </c>
      <c r="U6" s="13">
        <f>T6</f>
        <v/>
      </c>
      <c r="V6" s="13">
        <f>U6</f>
        <v/>
      </c>
      <c r="W6" s="13">
        <f>V6</f>
        <v/>
      </c>
      <c r="X6" s="13">
        <f>W6</f>
        <v/>
      </c>
      <c r="Y6" s="13">
        <f>X6</f>
        <v/>
      </c>
      <c r="Z6" s="13">
        <f>Y6</f>
        <v/>
      </c>
      <c r="AA6" s="13">
        <f>Z6</f>
        <v/>
      </c>
      <c r="AB6" s="13">
        <f>AA6</f>
        <v/>
      </c>
      <c r="AC6" s="13">
        <f>AB6</f>
        <v/>
      </c>
      <c r="AD6" s="13">
        <f>AC6</f>
        <v/>
      </c>
      <c r="AE6" s="13">
        <f>AD6</f>
        <v/>
      </c>
      <c r="AF6" s="13">
        <f>AE6</f>
        <v/>
      </c>
      <c r="AG6" s="13">
        <f>AF6</f>
        <v/>
      </c>
      <c r="AH6" s="13">
        <f>AG6</f>
        <v/>
      </c>
      <c r="AI6" s="13">
        <f>AH6</f>
        <v/>
      </c>
      <c r="AJ6" s="13">
        <f>AI6</f>
        <v/>
      </c>
      <c r="AK6" s="13">
        <f>AJ6</f>
        <v/>
      </c>
      <c r="AL6" s="13">
        <f>AK6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S7</f>
        <v/>
      </c>
      <c r="U7" s="13">
        <f>T7</f>
        <v/>
      </c>
      <c r="V7" s="13">
        <f>U7</f>
        <v/>
      </c>
      <c r="W7" s="13">
        <f>V7</f>
        <v/>
      </c>
      <c r="X7" s="13">
        <f>W7</f>
        <v/>
      </c>
      <c r="Y7" s="13">
        <f>X7</f>
        <v/>
      </c>
      <c r="Z7" s="13">
        <f>Y7</f>
        <v/>
      </c>
      <c r="AA7" s="13">
        <f>Z7</f>
        <v/>
      </c>
      <c r="AB7" s="13">
        <f>AA7</f>
        <v/>
      </c>
      <c r="AC7" s="13">
        <f>AB7</f>
        <v/>
      </c>
      <c r="AD7" s="13">
        <f>AC7</f>
        <v/>
      </c>
      <c r="AE7" s="13">
        <f>AD7</f>
        <v/>
      </c>
      <c r="AF7" s="13">
        <f>AE7</f>
        <v/>
      </c>
      <c r="AG7" s="13">
        <f>AF7</f>
        <v/>
      </c>
      <c r="AH7" s="13">
        <f>AG7</f>
        <v/>
      </c>
      <c r="AI7" s="13">
        <f>AH7</f>
        <v/>
      </c>
      <c r="AJ7" s="13">
        <f>AI7</f>
        <v/>
      </c>
      <c r="AK7" s="13">
        <f>AJ7</f>
        <v/>
      </c>
      <c r="AL7" s="13">
        <f>AK7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S8</f>
        <v/>
      </c>
      <c r="U8" s="13">
        <f>T8</f>
        <v/>
      </c>
      <c r="V8" s="13">
        <f>U8</f>
        <v/>
      </c>
      <c r="W8" s="13">
        <f>V8</f>
        <v/>
      </c>
      <c r="X8" s="13">
        <f>W8</f>
        <v/>
      </c>
      <c r="Y8" s="13">
        <f>X8</f>
        <v/>
      </c>
      <c r="Z8" s="13">
        <f>Y8</f>
        <v/>
      </c>
      <c r="AA8" s="13">
        <f>Z8</f>
        <v/>
      </c>
      <c r="AB8" s="13">
        <f>AA8</f>
        <v/>
      </c>
      <c r="AC8" s="13">
        <f>AB8</f>
        <v/>
      </c>
      <c r="AD8" s="13">
        <f>AC8</f>
        <v/>
      </c>
      <c r="AE8" s="13">
        <f>AD8</f>
        <v/>
      </c>
      <c r="AF8" s="13">
        <f>AE8</f>
        <v/>
      </c>
      <c r="AG8" s="13">
        <f>AF8</f>
        <v/>
      </c>
      <c r="AH8" s="13">
        <f>AG8</f>
        <v/>
      </c>
      <c r="AI8" s="13">
        <f>AH8</f>
        <v/>
      </c>
      <c r="AJ8" s="13">
        <f>AI8</f>
        <v/>
      </c>
      <c r="AK8" s="13">
        <f>AJ8</f>
        <v/>
      </c>
      <c r="AL8" s="13">
        <f>AK8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  <c r="AI9" s="12">
        <f>AH9</f>
        <v/>
      </c>
      <c r="AJ9" s="12">
        <f>AI9</f>
        <v/>
      </c>
      <c r="AK9" s="12">
        <f>AJ9</f>
        <v/>
      </c>
      <c r="AL9" s="12">
        <f>AK9</f>
        <v/>
      </c>
    </row>
    <row r="10">
      <c r="A10" s="3" t="inlineStr">
        <is>
          <t>Preferred Dividends</t>
        </is>
      </c>
      <c r="S10" s="4">
        <f>'QTR CF'!R44</f>
        <v/>
      </c>
      <c r="T10" s="4">
        <f>'QTR CF'!S44</f>
        <v/>
      </c>
      <c r="U10" s="4">
        <f>'QTR CF'!T44</f>
        <v/>
      </c>
      <c r="V10" s="4">
        <f>'QTR CF'!U44</f>
        <v/>
      </c>
      <c r="W10" s="4">
        <f>'QTR CF'!V44</f>
        <v/>
      </c>
      <c r="X10" s="4">
        <f>'QTR CF'!W44</f>
        <v/>
      </c>
      <c r="Y10" s="4">
        <f>'QTR CF'!X44</f>
        <v/>
      </c>
      <c r="Z10" s="4">
        <f>'QTR CF'!Y44</f>
        <v/>
      </c>
      <c r="AA10" s="4">
        <f>'QTR CF'!Z44</f>
        <v/>
      </c>
      <c r="AB10" s="4">
        <f>'QTR CF'!AA44</f>
        <v/>
      </c>
      <c r="AC10" s="4">
        <f>'QTR CF'!AB44</f>
        <v/>
      </c>
      <c r="AD10" s="4">
        <f>'QTR CF'!AC44</f>
        <v/>
      </c>
      <c r="AE10" s="4">
        <f>'QTR CF'!AD44</f>
        <v/>
      </c>
      <c r="AF10" s="4">
        <f>'QTR CF'!AE44</f>
        <v/>
      </c>
      <c r="AG10" s="4">
        <f>'QTR CF'!AF44</f>
        <v/>
      </c>
      <c r="AH10" s="4">
        <f>'QTR CF'!AG44</f>
        <v/>
      </c>
      <c r="AI10" s="4">
        <f>'QTR CF'!AH44</f>
        <v/>
      </c>
      <c r="AJ10" s="4">
        <f>'QTR CF'!AI44</f>
        <v/>
      </c>
      <c r="AK10" s="4">
        <f>'QTR CF'!AJ44</f>
        <v/>
      </c>
      <c r="AL10" s="4">
        <f>'QTR CF'!AK44</f>
        <v/>
      </c>
    </row>
    <row r="11">
      <c r="A11" s="3" t="inlineStr">
        <is>
          <t>Income Allocated to Participating Preferred</t>
        </is>
      </c>
      <c r="C11" s="4">
        <f>'QTR P&amp;L'!B15</f>
        <v/>
      </c>
      <c r="D11" s="4">
        <f>'QTR P&amp;L'!C15</f>
        <v/>
      </c>
      <c r="E11" s="4">
        <f>'QTR P&amp;L'!D15</f>
        <v/>
      </c>
      <c r="F11" s="4">
        <f>'QTR P&amp;L'!E15</f>
        <v/>
      </c>
      <c r="G11" s="4">
        <f>'QTR P&amp;L'!F15</f>
        <v/>
      </c>
      <c r="H11" s="4">
        <f>'QTR P&amp;L'!G15</f>
        <v/>
      </c>
      <c r="I11" s="4">
        <f>'QTR P&amp;L'!H15</f>
        <v/>
      </c>
      <c r="J11" s="4">
        <f>'QTR P&amp;L'!I15</f>
        <v/>
      </c>
      <c r="K11" s="4">
        <f>'QTR P&amp;L'!J15</f>
        <v/>
      </c>
      <c r="L11" s="4">
        <f>'QTR P&amp;L'!K15</f>
        <v/>
      </c>
      <c r="M11" s="4">
        <f>'QTR P&amp;L'!L15</f>
        <v/>
      </c>
      <c r="N11" s="4">
        <f>'QTR P&amp;L'!M15</f>
        <v/>
      </c>
      <c r="O11" s="4">
        <f>'QTR P&amp;L'!N15</f>
        <v/>
      </c>
      <c r="P11" s="4">
        <f>'QTR P&amp;L'!O15</f>
        <v/>
      </c>
      <c r="Q11" s="4">
        <f>'QTR P&amp;L'!P15</f>
        <v/>
      </c>
      <c r="R11" s="4">
        <f>'QTR P&amp;L'!Q15</f>
        <v/>
      </c>
      <c r="S11" s="13">
        <f>R11</f>
        <v/>
      </c>
      <c r="T11" s="13">
        <f>S11</f>
        <v/>
      </c>
      <c r="U11" s="13">
        <f>T11</f>
        <v/>
      </c>
      <c r="V11" s="13">
        <f>U11</f>
        <v/>
      </c>
      <c r="W11" s="13">
        <f>V11</f>
        <v/>
      </c>
      <c r="X11" s="13">
        <f>W11</f>
        <v/>
      </c>
      <c r="Y11" s="13">
        <f>X11</f>
        <v/>
      </c>
      <c r="Z11" s="13">
        <f>Y11</f>
        <v/>
      </c>
      <c r="AA11" s="13">
        <f>Z11</f>
        <v/>
      </c>
      <c r="AB11" s="13">
        <f>AA11</f>
        <v/>
      </c>
      <c r="AC11" s="13">
        <f>AB11</f>
        <v/>
      </c>
      <c r="AD11" s="13">
        <f>AC11</f>
        <v/>
      </c>
      <c r="AE11" s="13">
        <f>AD11</f>
        <v/>
      </c>
      <c r="AF11" s="13">
        <f>AE11</f>
        <v/>
      </c>
      <c r="AG11" s="13">
        <f>AF11</f>
        <v/>
      </c>
      <c r="AH11" s="13">
        <f>AG11</f>
        <v/>
      </c>
      <c r="AI11" s="13">
        <f>AH11</f>
        <v/>
      </c>
      <c r="AJ11" s="13">
        <f>AI11</f>
        <v/>
      </c>
      <c r="AK11" s="13">
        <f>AJ11</f>
        <v/>
      </c>
      <c r="AL11" s="13">
        <f>AK11</f>
        <v/>
      </c>
    </row>
    <row r="20">
      <c r="A20" t="inlineStr">
        <is>
          <t>Put all comments and drivers for Income statement into attached sheet. Use quantitative and qualitative calcs to drive drivers</t>
        </is>
      </c>
    </row>
    <row r="21">
      <c r="A21" t="inlineStr">
        <is>
          <t>Pull quarterly and YTD breakdowns for SG&amp;A from MD&amp;A from financials</t>
        </is>
      </c>
    </row>
    <row r="22">
      <c r="A22" t="inlineStr">
        <is>
          <t>Report primarily by segment and geography</t>
        </is>
      </c>
    </row>
    <row r="23">
      <c r="A23" t="inlineStr">
        <is>
          <t>10k, 10q and press release</t>
        </is>
      </c>
    </row>
    <row r="24">
      <c r="A24" t="inlineStr">
        <is>
          <t>Build out sales bridge by region and then by segment</t>
        </is>
      </c>
    </row>
    <row r="25">
      <c r="A25" t="inlineStr">
        <is>
          <t xml:space="preserve">Structure IS top down tab by region themselves. </t>
        </is>
      </c>
    </row>
    <row r="26">
      <c r="A26" t="inlineStr">
        <is>
          <t>Look at unit economics information if possible (SG&amp;A bridge).</t>
        </is>
      </c>
    </row>
    <row r="27">
      <c r="A27" t="inlineStr">
        <is>
          <t>Read GB twitter post on Notion (pt 4)</t>
        </is>
      </c>
    </row>
  </sheetData>
  <dataValidations disablePrompts="1"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1" ySplit="1" topLeftCell="F2" activePane="bottomRight" state="frozen"/>
      <selection pane="topRight" activeCell="A1" sqref="A1"/>
      <selection pane="bottomLeft" activeCell="A1" sqref="A1"/>
      <selection pane="bottomRight" activeCell="O2" sqref="O2"/>
    </sheetView>
  </sheetViews>
  <sheetFormatPr baseColWidth="8" defaultRowHeight="15"/>
  <cols>
    <col width="38" customWidth="1" min="1" max="1"/>
    <col width="13" customWidth="1" min="2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  <c r="AE2" s="4">
        <f>AD2+'QTR CF'!AH52</f>
        <v/>
      </c>
      <c r="AF2" s="4">
        <f>AE2+'QTR CF'!AI52</f>
        <v/>
      </c>
      <c r="AG2" s="4">
        <f>AF2+'QTR CF'!AJ52</f>
        <v/>
      </c>
      <c r="AH2" s="4">
        <f>AG2+'QTR CF'!AK52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O3</f>
        <v/>
      </c>
      <c r="Q3" s="13">
        <f>P3</f>
        <v/>
      </c>
      <c r="R3" s="13">
        <f>Q3</f>
        <v/>
      </c>
      <c r="S3" s="13">
        <f>R3</f>
        <v/>
      </c>
      <c r="T3" s="13">
        <f>S3</f>
        <v/>
      </c>
      <c r="U3" s="13">
        <f>T3</f>
        <v/>
      </c>
      <c r="V3" s="13">
        <f>U3</f>
        <v/>
      </c>
      <c r="W3" s="13">
        <f>V3</f>
        <v/>
      </c>
      <c r="X3" s="13">
        <f>W3</f>
        <v/>
      </c>
      <c r="Y3" s="13">
        <f>X3</f>
        <v/>
      </c>
      <c r="Z3" s="13">
        <f>Y3</f>
        <v/>
      </c>
      <c r="AA3" s="13">
        <f>Z3</f>
        <v/>
      </c>
      <c r="AB3" s="13">
        <f>AA3</f>
        <v/>
      </c>
      <c r="AC3" s="13">
        <f>AB3</f>
        <v/>
      </c>
      <c r="AD3" s="13">
        <f>AC3</f>
        <v/>
      </c>
      <c r="AE3" s="13">
        <f>AD3</f>
        <v/>
      </c>
      <c r="AF3" s="13">
        <f>AE3</f>
        <v/>
      </c>
      <c r="AG3" s="13">
        <f>AF3</f>
        <v/>
      </c>
      <c r="AH3" s="13">
        <f>AG3</f>
        <v/>
      </c>
    </row>
    <row r="4">
      <c r="A4" s="3" t="inlineStr">
        <is>
          <t>Accounts Receivable — DSO (days)</t>
        </is>
      </c>
      <c r="B4" s="14">
        <f>IFERROR('QTR BS'!B4/'QTR P&amp;L'!E2*ASSUMPTIONS!$B$2,"")</f>
        <v/>
      </c>
      <c r="C4" s="14">
        <f>IFERROR('QTR BS'!C4/'QTR P&amp;L'!F2*ASSUMPTIONS!$B$2,"")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5" t="n">
        <v>75</v>
      </c>
      <c r="P4" s="15">
        <f>O4</f>
        <v/>
      </c>
      <c r="Q4" s="15">
        <f>P4</f>
        <v/>
      </c>
      <c r="R4" s="15">
        <f>Q4</f>
        <v/>
      </c>
      <c r="S4" s="15">
        <f>R4</f>
        <v/>
      </c>
      <c r="T4" s="15">
        <f>S4</f>
        <v/>
      </c>
      <c r="U4" s="15">
        <f>T4</f>
        <v/>
      </c>
      <c r="V4" s="15">
        <f>U4</f>
        <v/>
      </c>
      <c r="W4" s="15">
        <f>V4</f>
        <v/>
      </c>
      <c r="X4" s="15">
        <f>W4</f>
        <v/>
      </c>
      <c r="Y4" s="15">
        <f>X4</f>
        <v/>
      </c>
      <c r="Z4" s="15">
        <f>Y4</f>
        <v/>
      </c>
      <c r="AA4" s="15">
        <f>Z4</f>
        <v/>
      </c>
      <c r="AB4" s="15">
        <f>AA4</f>
        <v/>
      </c>
      <c r="AC4" s="15">
        <f>AB4</f>
        <v/>
      </c>
      <c r="AD4" s="15">
        <f>AC4</f>
        <v/>
      </c>
      <c r="AE4" s="15">
        <f>AD4</f>
        <v/>
      </c>
      <c r="AF4" s="15">
        <f>AE4</f>
        <v/>
      </c>
      <c r="AG4" s="15">
        <f>AF4</f>
        <v/>
      </c>
      <c r="AH4" s="15">
        <f>AG4</f>
        <v/>
      </c>
    </row>
    <row r="5">
      <c r="A5" s="3" t="inlineStr">
        <is>
          <t>Note Receivable - Current — DSO (days)</t>
        </is>
      </c>
      <c r="B5" s="14">
        <f>IFERROR('QTR BS'!B5/'QTR P&amp;L'!E2*ASSUMPTIONS!$B$2,"")</f>
        <v/>
      </c>
      <c r="C5" s="14">
        <f>IFERROR('QTR BS'!C5/'QTR P&amp;L'!F2*ASSUMPTIONS!$B$2,"")</f>
        <v/>
      </c>
      <c r="D5" s="14">
        <f>IFERROR('QTR BS'!D5/'QTR P&amp;L'!G2*ASSUMPTIONS!$B$2,"")</f>
        <v/>
      </c>
      <c r="E5" s="14">
        <f>IFERROR('QTR BS'!E5/'QTR P&amp;L'!H2*ASSUMPTIONS!$B$2,"")</f>
        <v/>
      </c>
      <c r="F5" s="14">
        <f>IFERROR('QTR BS'!F5/'QTR P&amp;L'!I2*ASSUMPTIONS!$B$2,"")</f>
        <v/>
      </c>
      <c r="G5" s="14">
        <f>IFERROR('QTR BS'!G5/'QTR P&amp;L'!J2*ASSUMPTIONS!$B$2,"")</f>
        <v/>
      </c>
      <c r="H5" s="14">
        <f>IFERROR('QTR BS'!H5/'QTR P&amp;L'!K2*ASSUMPTIONS!$B$2,"")</f>
        <v/>
      </c>
      <c r="I5" s="14">
        <f>IFERROR('QTR BS'!I5/'QTR P&amp;L'!L2*ASSUMPTIONS!$B$2,"")</f>
        <v/>
      </c>
      <c r="J5" s="14">
        <f>IFERROR('QTR BS'!J5/'QTR P&amp;L'!M2*ASSUMPTIONS!$B$2,"")</f>
        <v/>
      </c>
      <c r="K5" s="14">
        <f>IFERROR('QTR BS'!K5/'QTR P&amp;L'!N2*ASSUMPTIONS!$B$2,"")</f>
        <v/>
      </c>
      <c r="L5" s="14">
        <f>IFERROR('QTR BS'!L5/'QTR P&amp;L'!O2*ASSUMPTIONS!$B$2,"")</f>
        <v/>
      </c>
      <c r="M5" s="14">
        <f>IFERROR('QTR BS'!M5/'QTR P&amp;L'!P2*ASSUMPTIONS!$B$2,"")</f>
        <v/>
      </c>
      <c r="N5" s="14">
        <f>IFERROR('QTR BS'!N5/'QTR P&amp;L'!Q2*ASSUMPTIONS!$B$2,"")</f>
        <v/>
      </c>
      <c r="O5" s="15">
        <f>N5</f>
        <v/>
      </c>
      <c r="P5" s="15">
        <f>O5</f>
        <v/>
      </c>
      <c r="Q5" s="15">
        <f>P5</f>
        <v/>
      </c>
      <c r="R5" s="15">
        <f>Q5</f>
        <v/>
      </c>
      <c r="S5" s="15">
        <f>R5</f>
        <v/>
      </c>
      <c r="T5" s="15">
        <f>S5</f>
        <v/>
      </c>
      <c r="U5" s="15">
        <f>T5</f>
        <v/>
      </c>
      <c r="V5" s="15">
        <f>U5</f>
        <v/>
      </c>
      <c r="W5" s="15">
        <f>V5</f>
        <v/>
      </c>
      <c r="X5" s="15">
        <f>W5</f>
        <v/>
      </c>
      <c r="Y5" s="15">
        <f>X5</f>
        <v/>
      </c>
      <c r="Z5" s="15">
        <f>Y5</f>
        <v/>
      </c>
      <c r="AA5" s="15">
        <f>Z5</f>
        <v/>
      </c>
      <c r="AB5" s="15">
        <f>AA5</f>
        <v/>
      </c>
      <c r="AC5" s="15">
        <f>AB5</f>
        <v/>
      </c>
      <c r="AD5" s="15">
        <f>AC5</f>
        <v/>
      </c>
      <c r="AE5" s="15">
        <f>AD5</f>
        <v/>
      </c>
      <c r="AF5" s="15">
        <f>AE5</f>
        <v/>
      </c>
      <c r="AG5" s="15">
        <f>AF5</f>
        <v/>
      </c>
      <c r="AH5" s="15">
        <f>AG5</f>
        <v/>
      </c>
    </row>
    <row r="6">
      <c r="A6" s="3" t="inlineStr">
        <is>
          <t>Inventories — DIO (days)</t>
        </is>
      </c>
      <c r="B6" s="14">
        <f>IFERROR('QTR BS'!B6/'QTR P&amp;L'!E3*ASSUMPTIONS!$B$2,"")</f>
        <v/>
      </c>
      <c r="C6" s="14">
        <f>IFERROR('QTR BS'!C6/'QTR P&amp;L'!F3*ASSUMPTIONS!$B$2,"")</f>
        <v/>
      </c>
      <c r="D6" s="14">
        <f>IFERROR('QTR BS'!D6/'QTR P&amp;L'!G3*ASSUMPTIONS!$B$2,"")</f>
        <v/>
      </c>
      <c r="E6" s="14">
        <f>IFERROR('QTR BS'!E6/'QTR P&amp;L'!H3*ASSUMPTIONS!$B$2,"")</f>
        <v/>
      </c>
      <c r="F6" s="14">
        <f>IFERROR('QTR BS'!F6/'QTR P&amp;L'!I3*ASSUMPTIONS!$B$2,"")</f>
        <v/>
      </c>
      <c r="G6" s="14">
        <f>IFERROR('QTR BS'!G6/'QTR P&amp;L'!J3*ASSUMPTIONS!$B$2,"")</f>
        <v/>
      </c>
      <c r="H6" s="14">
        <f>IFERROR('QTR BS'!H6/'QTR P&amp;L'!K3*ASSUMPTIONS!$B$2,"")</f>
        <v/>
      </c>
      <c r="I6" s="14">
        <f>IFERROR('QTR BS'!I6/'QTR P&amp;L'!L3*ASSUMPTIONS!$B$2,"")</f>
        <v/>
      </c>
      <c r="J6" s="14">
        <f>IFERROR('QTR BS'!J6/'QTR P&amp;L'!M3*ASSUMPTIONS!$B$2,"")</f>
        <v/>
      </c>
      <c r="K6" s="14">
        <f>IFERROR('QTR BS'!K6/'QTR P&amp;L'!N3*ASSUMPTIONS!$B$2,"")</f>
        <v/>
      </c>
      <c r="L6" s="14">
        <f>IFERROR('QTR BS'!L6/'QTR P&amp;L'!O3*ASSUMPTIONS!$B$2,"")</f>
        <v/>
      </c>
      <c r="M6" s="14">
        <f>IFERROR('QTR BS'!M6/'QTR P&amp;L'!P3*ASSUMPTIONS!$B$2,"")</f>
        <v/>
      </c>
      <c r="N6" s="14">
        <f>IFERROR('QTR BS'!N6/'QTR P&amp;L'!Q3*ASSUMPTIONS!$B$2,"")</f>
        <v/>
      </c>
      <c r="O6" s="15">
        <f>N6</f>
        <v/>
      </c>
      <c r="P6" s="15">
        <f>O6</f>
        <v/>
      </c>
      <c r="Q6" s="15">
        <f>P6</f>
        <v/>
      </c>
      <c r="R6" s="15">
        <f>Q6</f>
        <v/>
      </c>
      <c r="S6" s="15">
        <f>R6</f>
        <v/>
      </c>
      <c r="T6" s="15">
        <f>S6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</row>
    <row r="7">
      <c r="A7" s="3" t="inlineStr">
        <is>
          <t>Prepaid Expenses — % of Revenue</t>
        </is>
      </c>
      <c r="B7" s="11">
        <f>IFERROR('QTR BS'!B7/'QTR P&amp;L'!E2,"")</f>
        <v/>
      </c>
      <c r="C7" s="11">
        <f>IFERROR('QTR BS'!C7/'QTR P&amp;L'!F2,"")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2">
        <f>N7</f>
        <v/>
      </c>
      <c r="P7" s="12">
        <f>O7</f>
        <v/>
      </c>
      <c r="Q7" s="12">
        <f>P7</f>
        <v/>
      </c>
      <c r="R7" s="12">
        <f>Q7</f>
        <v/>
      </c>
      <c r="S7" s="12">
        <f>R7</f>
        <v/>
      </c>
      <c r="T7" s="12">
        <f>S7</f>
        <v/>
      </c>
      <c r="U7" s="12">
        <f>T7</f>
        <v/>
      </c>
      <c r="V7" s="12">
        <f>U7</f>
        <v/>
      </c>
      <c r="W7" s="12">
        <f>V7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</row>
    <row r="8">
      <c r="A8" s="3" t="inlineStr">
        <is>
          <t>Deferred Other Costs - Current — % of Revenue</t>
        </is>
      </c>
      <c r="B8" s="11">
        <f>IFERROR('QTR BS'!B8/'QTR P&amp;L'!E2,"")</f>
        <v/>
      </c>
      <c r="C8" s="11">
        <f>IFERROR('QTR BS'!C8/'QTR P&amp;L'!F2,"")</f>
        <v/>
      </c>
      <c r="D8" s="11">
        <f>IFERROR('QTR BS'!D8/'QTR P&amp;L'!G2,"")</f>
        <v/>
      </c>
      <c r="E8" s="11">
        <f>IFERROR('QTR BS'!E8/'QTR P&amp;L'!H2,"")</f>
        <v/>
      </c>
      <c r="F8" s="11">
        <f>IFERROR('QTR BS'!F8/'QTR P&amp;L'!I2,"")</f>
        <v/>
      </c>
      <c r="G8" s="11">
        <f>IFERROR('QTR BS'!G8/'QTR P&amp;L'!J2,"")</f>
        <v/>
      </c>
      <c r="H8" s="11">
        <f>IFERROR('QTR BS'!H8/'QTR P&amp;L'!K2,"")</f>
        <v/>
      </c>
      <c r="I8" s="11">
        <f>IFERROR('QTR BS'!I8/'QTR P&amp;L'!L2,"")</f>
        <v/>
      </c>
      <c r="J8" s="11">
        <f>IFERROR('QTR BS'!J8/'QTR P&amp;L'!M2,"")</f>
        <v/>
      </c>
      <c r="K8" s="11">
        <f>IFERROR('QTR BS'!K8/'QTR P&amp;L'!N2,"")</f>
        <v/>
      </c>
      <c r="L8" s="11">
        <f>IFERROR('QTR BS'!L8/'QTR P&amp;L'!O2,"")</f>
        <v/>
      </c>
      <c r="M8" s="11">
        <f>IFERROR('QTR BS'!M8/'QTR P&amp;L'!P2,"")</f>
        <v/>
      </c>
      <c r="N8" s="11">
        <f>IFERROR('QTR BS'!N8/'QTR P&amp;L'!Q2,"")</f>
        <v/>
      </c>
      <c r="O8" s="12">
        <f>N8</f>
        <v/>
      </c>
      <c r="P8" s="12">
        <f>O8</f>
        <v/>
      </c>
      <c r="Q8" s="12">
        <f>P8</f>
        <v/>
      </c>
      <c r="R8" s="12">
        <f>Q8</f>
        <v/>
      </c>
      <c r="S8" s="12">
        <f>R8</f>
        <v/>
      </c>
      <c r="T8" s="12">
        <f>S8</f>
        <v/>
      </c>
      <c r="U8" s="12">
        <f>T8</f>
        <v/>
      </c>
      <c r="V8" s="12">
        <f>U8</f>
        <v/>
      </c>
      <c r="W8" s="12">
        <f>V8</f>
        <v/>
      </c>
      <c r="X8" s="12">
        <f>W8</f>
        <v/>
      </c>
      <c r="Y8" s="12">
        <f>X8</f>
        <v/>
      </c>
      <c r="Z8" s="12">
        <f>Y8</f>
        <v/>
      </c>
      <c r="AA8" s="12">
        <f>Z8</f>
        <v/>
      </c>
      <c r="AB8" s="12">
        <f>AA8</f>
        <v/>
      </c>
      <c r="AC8" s="12">
        <f>AB8</f>
        <v/>
      </c>
      <c r="AD8" s="12">
        <f>AC8</f>
        <v/>
      </c>
      <c r="AE8" s="12">
        <f>AD8</f>
        <v/>
      </c>
      <c r="AF8" s="12">
        <f>AE8</f>
        <v/>
      </c>
      <c r="AG8" s="12">
        <f>AF8</f>
        <v/>
      </c>
      <c r="AH8" s="12">
        <f>AG8</f>
        <v/>
      </c>
    </row>
    <row r="9">
      <c r="A9" s="3" t="inlineStr">
        <is>
          <t>Note Receivable - Non-Current — % of Revenue</t>
        </is>
      </c>
      <c r="B9" s="11">
        <f>IFERROR('QTR BS'!B10/'QTR P&amp;L'!E2,"")</f>
        <v/>
      </c>
      <c r="C9" s="11">
        <f>IFERROR('QTR BS'!C10/'QTR P&amp;L'!F2,"")</f>
        <v/>
      </c>
      <c r="D9" s="11">
        <f>IFERROR('QTR BS'!D10/'QTR P&amp;L'!G2,"")</f>
        <v/>
      </c>
      <c r="E9" s="11">
        <f>IFERROR('QTR BS'!E10/'QTR P&amp;L'!H2,"")</f>
        <v/>
      </c>
      <c r="F9" s="11">
        <f>IFERROR('QTR BS'!F10/'QTR P&amp;L'!I2,"")</f>
        <v/>
      </c>
      <c r="G9" s="11">
        <f>IFERROR('QTR BS'!G10/'QTR P&amp;L'!J2,"")</f>
        <v/>
      </c>
      <c r="H9" s="11">
        <f>IFERROR('QTR BS'!H10/'QTR P&amp;L'!K2,"")</f>
        <v/>
      </c>
      <c r="I9" s="11">
        <f>IFERROR('QTR BS'!I10/'QTR P&amp;L'!L2,"")</f>
        <v/>
      </c>
      <c r="J9" s="11">
        <f>IFERROR('QTR BS'!J10/'QTR P&amp;L'!M2,"")</f>
        <v/>
      </c>
      <c r="K9" s="11">
        <f>IFERROR('QTR BS'!K10/'QTR P&amp;L'!N2,"")</f>
        <v/>
      </c>
      <c r="L9" s="11">
        <f>IFERROR('QTR BS'!L10/'QTR P&amp;L'!O2,"")</f>
        <v/>
      </c>
      <c r="M9" s="11">
        <f>IFERROR('QTR BS'!M10/'QTR P&amp;L'!P2,"")</f>
        <v/>
      </c>
      <c r="N9" s="11">
        <f>IFERROR('QTR BS'!N10/'QTR P&amp;L'!Q2,"")</f>
        <v/>
      </c>
      <c r="O9" s="12">
        <f>N9</f>
        <v/>
      </c>
      <c r="P9" s="12">
        <f>O9</f>
        <v/>
      </c>
      <c r="Q9" s="12">
        <f>P9</f>
        <v/>
      </c>
      <c r="R9" s="12">
        <f>Q9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  <c r="AE10" s="4">
        <f>AD10-'QTR CF'!AH34-'QTR CF'!AH6</f>
        <v/>
      </c>
      <c r="AF10" s="4">
        <f>AE10-'QTR CF'!AI34-'QTR CF'!AI6</f>
        <v/>
      </c>
      <c r="AG10" s="4">
        <f>AF10-'QTR CF'!AJ34-'QTR CF'!AJ6</f>
        <v/>
      </c>
      <c r="AH10" s="4">
        <f>AG10-'QTR CF'!AK34-'QTR CF'!AK6</f>
        <v/>
      </c>
    </row>
    <row r="11">
      <c r="A11" s="3" t="inlineStr">
        <is>
          <t>ROU Assets - Operating - Non-Current — % of Revenue</t>
        </is>
      </c>
      <c r="B11" s="11">
        <f>IFERROR('QTR BS'!B12/'QTR P&amp;L'!E2,"")</f>
        <v/>
      </c>
      <c r="C11" s="11">
        <f>IFERROR('QTR BS'!C12/'QTR P&amp;L'!F2,"")</f>
        <v/>
      </c>
      <c r="D11" s="11">
        <f>IFERROR('QTR BS'!D12/'QTR P&amp;L'!G2,"")</f>
        <v/>
      </c>
      <c r="E11" s="11">
        <f>IFERROR('QTR BS'!E12/'QTR P&amp;L'!H2,"")</f>
        <v/>
      </c>
      <c r="F11" s="11">
        <f>IFERROR('QTR BS'!F12/'QTR P&amp;L'!I2,"")</f>
        <v/>
      </c>
      <c r="G11" s="11">
        <f>IFERROR('QTR BS'!G12/'QTR P&amp;L'!J2,"")</f>
        <v/>
      </c>
      <c r="H11" s="11">
        <f>IFERROR('QTR BS'!H12/'QTR P&amp;L'!K2,"")</f>
        <v/>
      </c>
      <c r="I11" s="11">
        <f>IFERROR('QTR BS'!I12/'QTR P&amp;L'!L2,"")</f>
        <v/>
      </c>
      <c r="J11" s="11">
        <f>IFERROR('QTR BS'!J12/'QTR P&amp;L'!M2,"")</f>
        <v/>
      </c>
      <c r="K11" s="11">
        <f>IFERROR('QTR BS'!K12/'QTR P&amp;L'!N2,"")</f>
        <v/>
      </c>
      <c r="L11" s="11">
        <f>IFERROR('QTR BS'!L12/'QTR P&amp;L'!O2,"")</f>
        <v/>
      </c>
      <c r="M11" s="11">
        <f>IFERROR('QTR BS'!M12/'QTR P&amp;L'!P2,"")</f>
        <v/>
      </c>
      <c r="N11" s="11">
        <f>IFERROR('QTR BS'!N12/'QTR P&amp;L'!Q2,"")</f>
        <v/>
      </c>
      <c r="O11" s="12">
        <f>N11</f>
        <v/>
      </c>
      <c r="P11" s="12">
        <f>O11</f>
        <v/>
      </c>
      <c r="Q11" s="12">
        <f>P11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O12</f>
        <v/>
      </c>
      <c r="Q12" s="13">
        <f>P12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O13</f>
        <v/>
      </c>
      <c r="Q13" s="13">
        <f>P13</f>
        <v/>
      </c>
      <c r="R13" s="13">
        <f>Q13</f>
        <v/>
      </c>
      <c r="S13" s="13">
        <f>R13</f>
        <v/>
      </c>
      <c r="T13" s="13">
        <f>S13</f>
        <v/>
      </c>
      <c r="U13" s="13">
        <f>T13</f>
        <v/>
      </c>
      <c r="V13" s="13">
        <f>U13</f>
        <v/>
      </c>
      <c r="W13" s="13">
        <f>V13</f>
        <v/>
      </c>
      <c r="X13" s="13">
        <f>W13</f>
        <v/>
      </c>
      <c r="Y13" s="13">
        <f>X13</f>
        <v/>
      </c>
      <c r="Z13" s="13">
        <f>Y13</f>
        <v/>
      </c>
      <c r="AA13" s="13">
        <f>Z13</f>
        <v/>
      </c>
      <c r="AB13" s="13">
        <f>AA13</f>
        <v/>
      </c>
      <c r="AC13" s="13">
        <f>AB13</f>
        <v/>
      </c>
      <c r="AD13" s="13">
        <f>AC13</f>
        <v/>
      </c>
      <c r="AE13" s="13">
        <f>AD13</f>
        <v/>
      </c>
      <c r="AF13" s="13">
        <f>AE13</f>
        <v/>
      </c>
      <c r="AG13" s="13">
        <f>AF13</f>
        <v/>
      </c>
      <c r="AH13" s="13">
        <f>AG13</f>
        <v/>
      </c>
    </row>
    <row r="14">
      <c r="A14" s="3" t="inlineStr">
        <is>
          <t>Deferred Other Costs - Non-Current — % of Revenue</t>
        </is>
      </c>
      <c r="B14" s="11">
        <f>IFERROR('QTR BS'!B15/'QTR P&amp;L'!E2,"")</f>
        <v/>
      </c>
      <c r="C14" s="11">
        <f>IFERROR('QTR BS'!C15/'QTR P&amp;L'!F2,"")</f>
        <v/>
      </c>
      <c r="D14" s="11">
        <f>IFERROR('QTR BS'!D15/'QTR P&amp;L'!G2,"")</f>
        <v/>
      </c>
      <c r="E14" s="11">
        <f>IFERROR('QTR BS'!E15/'QTR P&amp;L'!H2,"")</f>
        <v/>
      </c>
      <c r="F14" s="11">
        <f>IFERROR('QTR BS'!F15/'QTR P&amp;L'!I2,"")</f>
        <v/>
      </c>
      <c r="G14" s="11">
        <f>IFERROR('QTR BS'!G15/'QTR P&amp;L'!J2,"")</f>
        <v/>
      </c>
      <c r="H14" s="11">
        <f>IFERROR('QTR BS'!H15/'QTR P&amp;L'!K2,"")</f>
        <v/>
      </c>
      <c r="I14" s="11">
        <f>IFERROR('QTR BS'!I15/'QTR P&amp;L'!L2,"")</f>
        <v/>
      </c>
      <c r="J14" s="11">
        <f>IFERROR('QTR BS'!J15/'QTR P&amp;L'!M2,"")</f>
        <v/>
      </c>
      <c r="K14" s="11">
        <f>IFERROR('QTR BS'!K15/'QTR P&amp;L'!N2,"")</f>
        <v/>
      </c>
      <c r="L14" s="11">
        <f>IFERROR('QTR BS'!L15/'QTR P&amp;L'!O2,"")</f>
        <v/>
      </c>
      <c r="M14" s="11">
        <f>IFERROR('QTR BS'!M15/'QTR P&amp;L'!P2,"")</f>
        <v/>
      </c>
      <c r="N14" s="11">
        <f>IFERROR('QTR BS'!N15/'QTR P&amp;L'!Q2,"")</f>
        <v/>
      </c>
      <c r="O14" s="12">
        <f>N14</f>
        <v/>
      </c>
      <c r="P14" s="12">
        <f>O14</f>
        <v/>
      </c>
      <c r="Q14" s="12">
        <f>P14</f>
        <v/>
      </c>
      <c r="R14" s="12">
        <f>Q14</f>
        <v/>
      </c>
      <c r="S14" s="12">
        <f>R14</f>
        <v/>
      </c>
      <c r="T14" s="12">
        <f>S14</f>
        <v/>
      </c>
      <c r="U14" s="12">
        <f>T14</f>
        <v/>
      </c>
      <c r="V14" s="12">
        <f>U14</f>
        <v/>
      </c>
      <c r="W14" s="12">
        <f>V14</f>
        <v/>
      </c>
      <c r="X14" s="12">
        <f>W14</f>
        <v/>
      </c>
      <c r="Y14" s="12">
        <f>X14</f>
        <v/>
      </c>
      <c r="Z14" s="12">
        <f>Y14</f>
        <v/>
      </c>
      <c r="AA14" s="12">
        <f>Z14</f>
        <v/>
      </c>
      <c r="AB14" s="12">
        <f>AA14</f>
        <v/>
      </c>
      <c r="AC14" s="12">
        <f>AB14</f>
        <v/>
      </c>
      <c r="AD14" s="12">
        <f>AC14</f>
        <v/>
      </c>
      <c r="AE14" s="12">
        <f>AD14</f>
        <v/>
      </c>
      <c r="AF14" s="12">
        <f>AE14</f>
        <v/>
      </c>
      <c r="AG14" s="12">
        <f>AF14</f>
        <v/>
      </c>
      <c r="AH14" s="12">
        <f>AG14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  <c r="AE15" s="4">
        <f>AD15-'QTR CF'!AH12</f>
        <v/>
      </c>
      <c r="AF15" s="4">
        <f>AE15-'QTR CF'!AI12</f>
        <v/>
      </c>
      <c r="AG15" s="4">
        <f>AF15-'QTR CF'!AJ12</f>
        <v/>
      </c>
      <c r="AH15" s="4">
        <f>AG15-'QTR CF'!AK12</f>
        <v/>
      </c>
    </row>
    <row r="16">
      <c r="A16" s="3" t="inlineStr">
        <is>
          <t>ROU Assets - Finance - Non-Current — % of Revenue</t>
        </is>
      </c>
      <c r="B16" s="11">
        <f>IFERROR('QTR BS'!B17/'QTR P&amp;L'!E2,"")</f>
        <v/>
      </c>
      <c r="C16" s="11">
        <f>IFERROR('QTR BS'!C17/'QTR P&amp;L'!F2,"")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2">
        <f>N16</f>
        <v/>
      </c>
      <c r="P16" s="12">
        <f>O16</f>
        <v/>
      </c>
      <c r="Q16" s="12">
        <f>P16</f>
        <v/>
      </c>
      <c r="R16" s="12">
        <f>Q16</f>
        <v/>
      </c>
      <c r="S16" s="12">
        <f>R16</f>
        <v/>
      </c>
      <c r="T16" s="12">
        <f>S16</f>
        <v/>
      </c>
      <c r="U16" s="12">
        <f>T16</f>
        <v/>
      </c>
      <c r="V16" s="12">
        <f>U16</f>
        <v/>
      </c>
      <c r="W16" s="12">
        <f>V16</f>
        <v/>
      </c>
      <c r="X16" s="12">
        <f>W16</f>
        <v/>
      </c>
      <c r="Y16" s="12">
        <f>X16</f>
        <v/>
      </c>
      <c r="Z16" s="12">
        <f>Y16</f>
        <v/>
      </c>
      <c r="AA16" s="12">
        <f>Z16</f>
        <v/>
      </c>
      <c r="AB16" s="12">
        <f>AA16</f>
        <v/>
      </c>
      <c r="AC16" s="12">
        <f>AB16</f>
        <v/>
      </c>
      <c r="AD16" s="12">
        <f>AC16</f>
        <v/>
      </c>
      <c r="AE16" s="12">
        <f>AD16</f>
        <v/>
      </c>
      <c r="AF16" s="12">
        <f>AE16</f>
        <v/>
      </c>
      <c r="AG16" s="12">
        <f>AF16</f>
        <v/>
      </c>
      <c r="AH16" s="12">
        <f>AG16</f>
        <v/>
      </c>
    </row>
    <row r="17">
      <c r="A17" s="3" t="inlineStr">
        <is>
          <t>Other Non-Current Assets — % of Revenue</t>
        </is>
      </c>
      <c r="B17" s="11">
        <f>IFERROR('QTR BS'!B18/'QTR P&amp;L'!E2,"")</f>
        <v/>
      </c>
      <c r="C17" s="11">
        <f>IFERROR('QTR BS'!C18/'QTR P&amp;L'!F2,"")</f>
        <v/>
      </c>
      <c r="D17" s="11">
        <f>IFERROR('QTR BS'!D18/'QTR P&amp;L'!G2,"")</f>
        <v/>
      </c>
      <c r="E17" s="11">
        <f>IFERROR('QTR BS'!E18/'QTR P&amp;L'!H2,"")</f>
        <v/>
      </c>
      <c r="F17" s="11">
        <f>IFERROR('QTR BS'!F18/'QTR P&amp;L'!I2,"")</f>
        <v/>
      </c>
      <c r="G17" s="11">
        <f>IFERROR('QTR BS'!G18/'QTR P&amp;L'!J2,"")</f>
        <v/>
      </c>
      <c r="H17" s="11">
        <f>IFERROR('QTR BS'!H18/'QTR P&amp;L'!K2,"")</f>
        <v/>
      </c>
      <c r="I17" s="11">
        <f>IFERROR('QTR BS'!I18/'QTR P&amp;L'!L2,"")</f>
        <v/>
      </c>
      <c r="J17" s="11">
        <f>IFERROR('QTR BS'!J18/'QTR P&amp;L'!M2,"")</f>
        <v/>
      </c>
      <c r="K17" s="11">
        <f>IFERROR('QTR BS'!K18/'QTR P&amp;L'!N2,"")</f>
        <v/>
      </c>
      <c r="L17" s="11">
        <f>IFERROR('QTR BS'!L18/'QTR P&amp;L'!O2,"")</f>
        <v/>
      </c>
      <c r="M17" s="11">
        <f>IFERROR('QTR BS'!M18/'QTR P&amp;L'!P2,"")</f>
        <v/>
      </c>
      <c r="N17" s="11">
        <f>IFERROR('QTR BS'!N18/'QTR P&amp;L'!Q2,"")</f>
        <v/>
      </c>
      <c r="O17" s="12">
        <f>N17</f>
        <v/>
      </c>
      <c r="P17" s="12">
        <f>O17</f>
        <v/>
      </c>
      <c r="Q17" s="12">
        <f>P17</f>
        <v/>
      </c>
      <c r="R17" s="12">
        <f>Q17</f>
        <v/>
      </c>
      <c r="S17" s="12">
        <f>R17</f>
        <v/>
      </c>
      <c r="T17" s="12">
        <f>S17</f>
        <v/>
      </c>
      <c r="U17" s="12">
        <f>T17</f>
        <v/>
      </c>
      <c r="V17" s="12">
        <f>U17</f>
        <v/>
      </c>
      <c r="W17" s="12">
        <f>V17</f>
        <v/>
      </c>
      <c r="X17" s="12">
        <f>W17</f>
        <v/>
      </c>
      <c r="Y17" s="12">
        <f>X17</f>
        <v/>
      </c>
      <c r="Z17" s="12">
        <f>Y17</f>
        <v/>
      </c>
      <c r="AA17" s="12">
        <f>Z17</f>
        <v/>
      </c>
      <c r="AB17" s="12">
        <f>AA17</f>
        <v/>
      </c>
      <c r="AC17" s="12">
        <f>AB17</f>
        <v/>
      </c>
      <c r="AD17" s="12">
        <f>AC17</f>
        <v/>
      </c>
      <c r="AE17" s="12">
        <f>AD17</f>
        <v/>
      </c>
      <c r="AF17" s="12">
        <f>AE17</f>
        <v/>
      </c>
      <c r="AG17" s="12">
        <f>AF17</f>
        <v/>
      </c>
      <c r="AH17" s="12">
        <f>AG17</f>
        <v/>
      </c>
    </row>
    <row r="18">
      <c r="A18" s="3" t="inlineStr">
        <is>
          <t>Accounts Payable — DPO (days)</t>
        </is>
      </c>
      <c r="B18" s="14">
        <f>IFERROR('QTR BS'!B20/'QTR P&amp;L'!E3*ASSUMPTIONS!$B$2,"")</f>
        <v/>
      </c>
      <c r="C18" s="14">
        <f>IFERROR('QTR BS'!C20/'QTR P&amp;L'!F3*ASSUMPTIONS!$B$2,"")</f>
        <v/>
      </c>
      <c r="D18" s="14">
        <f>IFERROR('QTR BS'!D20/'QTR P&amp;L'!G3*ASSUMPTIONS!$B$2,"")</f>
        <v/>
      </c>
      <c r="E18" s="14">
        <f>IFERROR('QTR BS'!E20/'QTR P&amp;L'!H3*ASSUMPTIONS!$B$2,"")</f>
        <v/>
      </c>
      <c r="F18" s="14">
        <f>IFERROR('QTR BS'!F20/'QTR P&amp;L'!I3*ASSUMPTIONS!$B$2,"")</f>
        <v/>
      </c>
      <c r="G18" s="14">
        <f>IFERROR('QTR BS'!G20/'QTR P&amp;L'!J3*ASSUMPTIONS!$B$2,"")</f>
        <v/>
      </c>
      <c r="H18" s="14">
        <f>IFERROR('QTR BS'!H20/'QTR P&amp;L'!K3*ASSUMPTIONS!$B$2,"")</f>
        <v/>
      </c>
      <c r="I18" s="14">
        <f>IFERROR('QTR BS'!I20/'QTR P&amp;L'!L3*ASSUMPTIONS!$B$2,"")</f>
        <v/>
      </c>
      <c r="J18" s="14">
        <f>IFERROR('QTR BS'!J20/'QTR P&amp;L'!M3*ASSUMPTIONS!$B$2,"")</f>
        <v/>
      </c>
      <c r="K18" s="14">
        <f>IFERROR('QTR BS'!K20/'QTR P&amp;L'!N3*ASSUMPTIONS!$B$2,"")</f>
        <v/>
      </c>
      <c r="L18" s="14">
        <f>IFERROR('QTR BS'!L20/'QTR P&amp;L'!O3*ASSUMPTIONS!$B$2,"")</f>
        <v/>
      </c>
      <c r="M18" s="14">
        <f>IFERROR('QTR BS'!M20/'QTR P&amp;L'!P3*ASSUMPTIONS!$B$2,"")</f>
        <v/>
      </c>
      <c r="N18" s="14">
        <f>IFERROR('QTR BS'!N20/'QTR P&amp;L'!Q3*ASSUMPTIONS!$B$2,"")</f>
        <v/>
      </c>
      <c r="O18" s="15">
        <f>N18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</row>
    <row r="19">
      <c r="A19" s="3" t="inlineStr">
        <is>
          <t>Accrued Expenses — % of Revenue</t>
        </is>
      </c>
      <c r="B19" s="11">
        <f>IFERROR('QTR BS'!B21/'QTR P&amp;L'!E2,"")</f>
        <v/>
      </c>
      <c r="C19" s="11">
        <f>IFERROR('QTR BS'!C21/'QTR P&amp;L'!F2,"")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2">
        <f>N19</f>
        <v/>
      </c>
      <c r="P19" s="12">
        <f>O19</f>
        <v/>
      </c>
      <c r="Q19" s="12">
        <f>P19</f>
        <v/>
      </c>
      <c r="R19" s="12">
        <f>Q19</f>
        <v/>
      </c>
      <c r="S19" s="12">
        <f>R19</f>
        <v/>
      </c>
      <c r="T19" s="12">
        <f>S19</f>
        <v/>
      </c>
      <c r="U19" s="12">
        <f>T19</f>
        <v/>
      </c>
      <c r="V19" s="12">
        <f>U19</f>
        <v/>
      </c>
      <c r="W19" s="12">
        <f>V19</f>
        <v/>
      </c>
      <c r="X19" s="12">
        <f>W19</f>
        <v/>
      </c>
      <c r="Y19" s="12">
        <f>X19</f>
        <v/>
      </c>
      <c r="Z19" s="12">
        <f>Y19</f>
        <v/>
      </c>
      <c r="AA19" s="12">
        <f>Z19</f>
        <v/>
      </c>
      <c r="AB19" s="12">
        <f>AA19</f>
        <v/>
      </c>
      <c r="AC19" s="12">
        <f>AB19</f>
        <v/>
      </c>
      <c r="AD19" s="12">
        <f>AC19</f>
        <v/>
      </c>
      <c r="AE19" s="12">
        <f>AD19</f>
        <v/>
      </c>
      <c r="AF19" s="12">
        <f>AE19</f>
        <v/>
      </c>
      <c r="AG19" s="12">
        <f>AF19</f>
        <v/>
      </c>
      <c r="AH19" s="12">
        <f>AG19</f>
        <v/>
      </c>
    </row>
    <row r="20">
      <c r="A20" s="3" t="inlineStr">
        <is>
          <t>Income Taxes Payable — % of Revenue</t>
        </is>
      </c>
      <c r="B20" s="11">
        <f>IFERROR('QTR BS'!B22/'QTR P&amp;L'!E2,"")</f>
        <v/>
      </c>
      <c r="C20" s="11">
        <f>IFERROR('QTR BS'!C22/'QTR P&amp;L'!F2,"")</f>
        <v/>
      </c>
      <c r="D20" s="11">
        <f>IFERROR('QTR BS'!D22/'QTR P&amp;L'!G2,"")</f>
        <v/>
      </c>
      <c r="E20" s="11">
        <f>IFERROR('QTR BS'!E22/'QTR P&amp;L'!H2,"")</f>
        <v/>
      </c>
      <c r="F20" s="11">
        <f>IFERROR('QTR BS'!F22/'QTR P&amp;L'!I2,"")</f>
        <v/>
      </c>
      <c r="G20" s="11">
        <f>IFERROR('QTR BS'!G22/'QTR P&amp;L'!J2,"")</f>
        <v/>
      </c>
      <c r="H20" s="11">
        <f>IFERROR('QTR BS'!H22/'QTR P&amp;L'!K2,"")</f>
        <v/>
      </c>
      <c r="I20" s="11">
        <f>IFERROR('QTR BS'!I22/'QTR P&amp;L'!L2,"")</f>
        <v/>
      </c>
      <c r="J20" s="11">
        <f>IFERROR('QTR BS'!J22/'QTR P&amp;L'!M2,"")</f>
        <v/>
      </c>
      <c r="K20" s="11">
        <f>IFERROR('QTR BS'!K22/'QTR P&amp;L'!N2,"")</f>
        <v/>
      </c>
      <c r="L20" s="11">
        <f>IFERROR('QTR BS'!L22/'QTR P&amp;L'!O2,"")</f>
        <v/>
      </c>
      <c r="M20" s="11">
        <f>IFERROR('QTR BS'!M22/'QTR P&amp;L'!P2,"")</f>
        <v/>
      </c>
      <c r="N20" s="11">
        <f>IFERROR('QTR BS'!N22/'QTR P&amp;L'!Q2,"")</f>
        <v/>
      </c>
      <c r="O20" s="12">
        <f>N20</f>
        <v/>
      </c>
      <c r="P20" s="12">
        <f>O20</f>
        <v/>
      </c>
      <c r="Q20" s="12">
        <f>P20</f>
        <v/>
      </c>
      <c r="R20" s="12">
        <f>Q20</f>
        <v/>
      </c>
      <c r="S20" s="12">
        <f>R20</f>
        <v/>
      </c>
      <c r="T20" s="12">
        <f>S20</f>
        <v/>
      </c>
      <c r="U20" s="12">
        <f>T20</f>
        <v/>
      </c>
      <c r="V20" s="12">
        <f>U20</f>
        <v/>
      </c>
      <c r="W20" s="12">
        <f>V20</f>
        <v/>
      </c>
      <c r="X20" s="12">
        <f>W20</f>
        <v/>
      </c>
      <c r="Y20" s="12">
        <f>X20</f>
        <v/>
      </c>
      <c r="Z20" s="12">
        <f>Y20</f>
        <v/>
      </c>
      <c r="AA20" s="12">
        <f>Z20</f>
        <v/>
      </c>
      <c r="AB20" s="12">
        <f>AA20</f>
        <v/>
      </c>
      <c r="AC20" s="12">
        <f>AB20</f>
        <v/>
      </c>
      <c r="AD20" s="12">
        <f>AC20</f>
        <v/>
      </c>
      <c r="AE20" s="12">
        <f>AD20</f>
        <v/>
      </c>
      <c r="AF20" s="12">
        <f>AE20</f>
        <v/>
      </c>
      <c r="AG20" s="12">
        <f>AF20</f>
        <v/>
      </c>
      <c r="AH20" s="12">
        <f>AG20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  <c r="AE21" s="13" t="n">
        <v>0</v>
      </c>
      <c r="AF21" s="13" t="n">
        <v>0</v>
      </c>
      <c r="AG21" s="13" t="n">
        <v>0</v>
      </c>
      <c r="AH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P&amp;L'!E2,"")</f>
        <v/>
      </c>
      <c r="C22" s="11">
        <f>IFERROR('QTR BS'!C24/'QTR P&amp;L'!F2,"")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2" t="n">
        <v>0.3</v>
      </c>
      <c r="P22" s="12">
        <f>O22</f>
        <v/>
      </c>
      <c r="Q22" s="12">
        <f>P22</f>
        <v/>
      </c>
      <c r="R22" s="12">
        <f>Q22</f>
        <v/>
      </c>
      <c r="S22" s="12">
        <f>R22</f>
        <v/>
      </c>
      <c r="T22" s="12">
        <f>S22</f>
        <v/>
      </c>
      <c r="U22" s="12">
        <f>T22</f>
        <v/>
      </c>
      <c r="V22" s="12">
        <f>U22</f>
        <v/>
      </c>
      <c r="W22" s="12">
        <f>V22</f>
        <v/>
      </c>
      <c r="X22" s="12">
        <f>W22</f>
        <v/>
      </c>
      <c r="Y22" s="12">
        <f>X22</f>
        <v/>
      </c>
      <c r="Z22" s="12">
        <f>Y22</f>
        <v/>
      </c>
      <c r="AA22" s="12">
        <f>Z22</f>
        <v/>
      </c>
      <c r="AB22" s="12">
        <f>AA22</f>
        <v/>
      </c>
      <c r="AC22" s="12">
        <f>AB22</f>
        <v/>
      </c>
      <c r="AD22" s="12">
        <f>AC22</f>
        <v/>
      </c>
      <c r="AE22" s="12">
        <f>AD22</f>
        <v/>
      </c>
      <c r="AF22" s="12">
        <f>AE22</f>
        <v/>
      </c>
      <c r="AG22" s="12">
        <f>AF22</f>
        <v/>
      </c>
      <c r="AH22" s="12">
        <f>AG22</f>
        <v/>
      </c>
    </row>
    <row r="23">
      <c r="A23" s="3" t="inlineStr">
        <is>
          <t>Lease Liability - Operating - Current — % of Revenue</t>
        </is>
      </c>
      <c r="B23" s="11">
        <f>IFERROR('QTR BS'!B25/'QTR P&amp;L'!E2,"")</f>
        <v/>
      </c>
      <c r="C23" s="11">
        <f>IFERROR('QTR BS'!C25/'QTR P&amp;L'!F2,"")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2">
        <f>N23</f>
        <v/>
      </c>
      <c r="P23" s="12">
        <f>O23</f>
        <v/>
      </c>
      <c r="Q23" s="12">
        <f>P23</f>
        <v/>
      </c>
      <c r="R23" s="12">
        <f>Q23</f>
        <v/>
      </c>
      <c r="S23" s="12">
        <f>R23</f>
        <v/>
      </c>
      <c r="T23" s="12">
        <f>S23</f>
        <v/>
      </c>
      <c r="U23" s="12">
        <f>T23</f>
        <v/>
      </c>
      <c r="V23" s="12">
        <f>U23</f>
        <v/>
      </c>
      <c r="W23" s="12">
        <f>V23</f>
        <v/>
      </c>
      <c r="X23" s="12">
        <f>W23</f>
        <v/>
      </c>
      <c r="Y23" s="12">
        <f>X23</f>
        <v/>
      </c>
      <c r="Z23" s="12">
        <f>Y23</f>
        <v/>
      </c>
      <c r="AA23" s="12">
        <f>Z23</f>
        <v/>
      </c>
      <c r="AB23" s="12">
        <f>AA23</f>
        <v/>
      </c>
      <c r="AC23" s="12">
        <f>AB23</f>
        <v/>
      </c>
      <c r="AD23" s="12">
        <f>AC23</f>
        <v/>
      </c>
      <c r="AE23" s="12">
        <f>AD23</f>
        <v/>
      </c>
      <c r="AF23" s="12">
        <f>AE23</f>
        <v/>
      </c>
      <c r="AG23" s="12">
        <f>AF23</f>
        <v/>
      </c>
      <c r="AH23" s="12">
        <f>AG23</f>
        <v/>
      </c>
    </row>
    <row r="24">
      <c r="A24" s="3" t="inlineStr">
        <is>
          <t>Lease Liability - Finance - Current — % of Revenue</t>
        </is>
      </c>
      <c r="B24" s="11">
        <f>IFERROR('QTR BS'!B26/'QTR P&amp;L'!E2,"")</f>
        <v/>
      </c>
      <c r="C24" s="11">
        <f>IFERROR('QTR BS'!C26/'QTR P&amp;L'!F2,"")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U24" s="12">
        <f>T24</f>
        <v/>
      </c>
      <c r="V24" s="12">
        <f>U24</f>
        <v/>
      </c>
      <c r="W24" s="12">
        <f>V24</f>
        <v/>
      </c>
      <c r="X24" s="12">
        <f>W24</f>
        <v/>
      </c>
      <c r="Y24" s="12">
        <f>X24</f>
        <v/>
      </c>
      <c r="Z24" s="12">
        <f>Y24</f>
        <v/>
      </c>
      <c r="AA24" s="12">
        <f>Z24</f>
        <v/>
      </c>
      <c r="AB24" s="12">
        <f>AA24</f>
        <v/>
      </c>
      <c r="AC24" s="12">
        <f>AB24</f>
        <v/>
      </c>
      <c r="AD24" s="12">
        <f>AC24</f>
        <v/>
      </c>
      <c r="AE24" s="12">
        <f>AD24</f>
        <v/>
      </c>
      <c r="AF24" s="12">
        <f>AE24</f>
        <v/>
      </c>
      <c r="AG24" s="12">
        <f>AF24</f>
        <v/>
      </c>
      <c r="AH24" s="12">
        <f>AG24</f>
        <v/>
      </c>
    </row>
    <row r="25">
      <c r="A25" s="3" t="inlineStr">
        <is>
          <t>Contingent Consideration - Current — % of Revenue</t>
        </is>
      </c>
      <c r="B25" s="11">
        <f>IFERROR('QTR BS'!B27/'QTR P&amp;L'!E2,"")</f>
        <v/>
      </c>
      <c r="C25" s="11">
        <f>IFERROR('QTR BS'!C27/'QTR P&amp;L'!F2,"")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2">
        <f>N25</f>
        <v/>
      </c>
      <c r="P25" s="12">
        <f>O25</f>
        <v/>
      </c>
      <c r="Q25" s="12">
        <f>P25</f>
        <v/>
      </c>
      <c r="R25" s="12">
        <f>Q25</f>
        <v/>
      </c>
      <c r="S25" s="12">
        <f>R25</f>
        <v/>
      </c>
      <c r="T25" s="12">
        <f>S25</f>
        <v/>
      </c>
      <c r="U25" s="12">
        <f>T25</f>
        <v/>
      </c>
      <c r="V25" s="12">
        <f>U25</f>
        <v/>
      </c>
      <c r="W25" s="12">
        <f>V25</f>
        <v/>
      </c>
      <c r="X25" s="12">
        <f>W25</f>
        <v/>
      </c>
      <c r="Y25" s="12">
        <f>X25</f>
        <v/>
      </c>
      <c r="Z25" s="12">
        <f>Y25</f>
        <v/>
      </c>
      <c r="AA25" s="12">
        <f>Z25</f>
        <v/>
      </c>
      <c r="AB25" s="12">
        <f>AA25</f>
        <v/>
      </c>
      <c r="AC25" s="12">
        <f>AB25</f>
        <v/>
      </c>
      <c r="AD25" s="12">
        <f>AC25</f>
        <v/>
      </c>
      <c r="AE25" s="12">
        <f>AD25</f>
        <v/>
      </c>
      <c r="AF25" s="12">
        <f>AE25</f>
        <v/>
      </c>
      <c r="AG25" s="12">
        <f>AF25</f>
        <v/>
      </c>
      <c r="AH25" s="12">
        <f>AG25</f>
        <v/>
      </c>
    </row>
    <row r="26">
      <c r="A26" s="3" t="inlineStr">
        <is>
          <t>Deferred Revenue - Current — % of Revenue</t>
        </is>
      </c>
      <c r="B26" s="11">
        <f>IFERROR('QTR BS'!B28/'QTR P&amp;L'!E2,"")</f>
        <v/>
      </c>
      <c r="C26" s="11">
        <f>IFERROR('QTR BS'!C28/'QTR P&amp;L'!F2,"")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2">
        <f>N26</f>
        <v/>
      </c>
      <c r="P26" s="12">
        <f>O26</f>
        <v/>
      </c>
      <c r="Q26" s="12">
        <f>P26</f>
        <v/>
      </c>
      <c r="R26" s="12">
        <f>Q26</f>
        <v/>
      </c>
      <c r="S26" s="12">
        <f>R26</f>
        <v/>
      </c>
      <c r="T26" s="12">
        <f>S26</f>
        <v/>
      </c>
      <c r="U26" s="12">
        <f>T26</f>
        <v/>
      </c>
      <c r="V26" s="12">
        <f>U26</f>
        <v/>
      </c>
      <c r="W26" s="12">
        <f>V26</f>
        <v/>
      </c>
      <c r="X26" s="12">
        <f>W26</f>
        <v/>
      </c>
      <c r="Y26" s="12">
        <f>X26</f>
        <v/>
      </c>
      <c r="Z26" s="12">
        <f>Y26</f>
        <v/>
      </c>
      <c r="AA26" s="12">
        <f>Z26</f>
        <v/>
      </c>
      <c r="AB26" s="12">
        <f>AA26</f>
        <v/>
      </c>
      <c r="AC26" s="12">
        <f>AB26</f>
        <v/>
      </c>
      <c r="AD26" s="12">
        <f>AC26</f>
        <v/>
      </c>
      <c r="AE26" s="12">
        <f>AD26</f>
        <v/>
      </c>
      <c r="AF26" s="12">
        <f>AE26</f>
        <v/>
      </c>
      <c r="AG26" s="12">
        <f>AF26</f>
        <v/>
      </c>
      <c r="AH26" s="12">
        <f>AG26</f>
        <v/>
      </c>
    </row>
    <row r="27">
      <c r="A27" s="3" t="inlineStr">
        <is>
          <t>Other Current Liabilities — % of Revenue</t>
        </is>
      </c>
      <c r="B27" s="11">
        <f>IFERROR('QTR BS'!B29/'QTR P&amp;L'!E2,"")</f>
        <v/>
      </c>
      <c r="C27" s="11">
        <f>IFERROR('QTR BS'!C29/'QTR P&amp;L'!F2,"")</f>
        <v/>
      </c>
      <c r="D27" s="11">
        <f>IFERROR('QTR BS'!D29/'QTR P&amp;L'!G2,"")</f>
        <v/>
      </c>
      <c r="E27" s="11">
        <f>IFERROR('QTR BS'!E29/'QTR P&amp;L'!H2,"")</f>
        <v/>
      </c>
      <c r="F27" s="11">
        <f>IFERROR('QTR BS'!F29/'QTR P&amp;L'!I2,"")</f>
        <v/>
      </c>
      <c r="G27" s="11">
        <f>IFERROR('QTR BS'!G29/'QTR P&amp;L'!J2,"")</f>
        <v/>
      </c>
      <c r="H27" s="11">
        <f>IFERROR('QTR BS'!H29/'QTR P&amp;L'!K2,"")</f>
        <v/>
      </c>
      <c r="I27" s="11">
        <f>IFERROR('QTR BS'!I29/'QTR P&amp;L'!L2,"")</f>
        <v/>
      </c>
      <c r="J27" s="11">
        <f>IFERROR('QTR BS'!J29/'QTR P&amp;L'!M2,"")</f>
        <v/>
      </c>
      <c r="K27" s="11">
        <f>IFERROR('QTR BS'!K29/'QTR P&amp;L'!N2,"")</f>
        <v/>
      </c>
      <c r="L27" s="11">
        <f>IFERROR('QTR BS'!L29/'QTR P&amp;L'!O2,"")</f>
        <v/>
      </c>
      <c r="M27" s="11">
        <f>IFERROR('QTR BS'!M29/'QTR P&amp;L'!P2,"")</f>
        <v/>
      </c>
      <c r="N27" s="11">
        <f>IFERROR('QTR BS'!N29/'QTR P&amp;L'!Q2,"")</f>
        <v/>
      </c>
      <c r="O27" s="12">
        <f>N27</f>
        <v/>
      </c>
      <c r="P27" s="12">
        <f>O27</f>
        <v/>
      </c>
      <c r="Q27" s="12">
        <f>P27</f>
        <v/>
      </c>
      <c r="R27" s="12">
        <f>Q27</f>
        <v/>
      </c>
      <c r="S27" s="12">
        <f>R27</f>
        <v/>
      </c>
      <c r="T27" s="12">
        <f>S27</f>
        <v/>
      </c>
      <c r="U27" s="12">
        <f>T27</f>
        <v/>
      </c>
      <c r="V27" s="12">
        <f>U27</f>
        <v/>
      </c>
      <c r="W27" s="12">
        <f>V27</f>
        <v/>
      </c>
      <c r="X27" s="12">
        <f>W27</f>
        <v/>
      </c>
      <c r="Y27" s="12">
        <f>X27</f>
        <v/>
      </c>
      <c r="Z27" s="12">
        <f>Y27</f>
        <v/>
      </c>
      <c r="AA27" s="12">
        <f>Z27</f>
        <v/>
      </c>
      <c r="AB27" s="12">
        <f>AA27</f>
        <v/>
      </c>
      <c r="AC27" s="12">
        <f>AB27</f>
        <v/>
      </c>
      <c r="AD27" s="12">
        <f>AC27</f>
        <v/>
      </c>
      <c r="AE27" s="12">
        <f>AD27</f>
        <v/>
      </c>
      <c r="AF27" s="12">
        <f>AE27</f>
        <v/>
      </c>
      <c r="AG27" s="12">
        <f>AF27</f>
        <v/>
      </c>
      <c r="AH27" s="12">
        <f>AG27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P&amp;L'!E2,"")</f>
        <v/>
      </c>
      <c r="C28" s="11">
        <f>IFERROR('QTR BS'!C31/'QTR P&amp;L'!F2,"")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2">
        <f>N28</f>
        <v/>
      </c>
      <c r="P28" s="12">
        <f>O28</f>
        <v/>
      </c>
      <c r="Q28" s="12">
        <f>P28</f>
        <v/>
      </c>
      <c r="R28" s="12">
        <f>Q28</f>
        <v/>
      </c>
      <c r="S28" s="12">
        <f>R28</f>
        <v/>
      </c>
      <c r="T28" s="12">
        <f>S28</f>
        <v/>
      </c>
      <c r="U28" s="12">
        <f>T28</f>
        <v/>
      </c>
      <c r="V28" s="12">
        <f>U28</f>
        <v/>
      </c>
      <c r="W28" s="12">
        <f>V28</f>
        <v/>
      </c>
      <c r="X28" s="12">
        <f>W28</f>
        <v/>
      </c>
      <c r="Y28" s="12">
        <f>X28</f>
        <v/>
      </c>
      <c r="Z28" s="12">
        <f>Y28</f>
        <v/>
      </c>
      <c r="AA28" s="12">
        <f>Z28</f>
        <v/>
      </c>
      <c r="AB28" s="12">
        <f>AA28</f>
        <v/>
      </c>
      <c r="AC28" s="12">
        <f>AB28</f>
        <v/>
      </c>
      <c r="AD28" s="12">
        <f>AC28</f>
        <v/>
      </c>
      <c r="AE28" s="12">
        <f>AD28</f>
        <v/>
      </c>
      <c r="AF28" s="12">
        <f>AE28</f>
        <v/>
      </c>
      <c r="AG28" s="12">
        <f>AF28</f>
        <v/>
      </c>
      <c r="AH28" s="12">
        <f>AG28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P&amp;L'!E2,"")</f>
        <v/>
      </c>
      <c r="C29" s="11">
        <f>IFERROR('QTR BS'!C32/'QTR P&amp;L'!F2,"")</f>
        <v/>
      </c>
      <c r="D29" s="11">
        <f>IFERROR('QTR BS'!D32/'QTR P&amp;L'!G2,"")</f>
        <v/>
      </c>
      <c r="E29" s="11">
        <f>IFERROR('QTR BS'!E32/'QTR P&amp;L'!H2,"")</f>
        <v/>
      </c>
      <c r="F29" s="11">
        <f>IFERROR('QTR BS'!F32/'QTR P&amp;L'!I2,"")</f>
        <v/>
      </c>
      <c r="G29" s="11">
        <f>IFERROR('QTR BS'!G32/'QTR P&amp;L'!J2,"")</f>
        <v/>
      </c>
      <c r="H29" s="11">
        <f>IFERROR('QTR BS'!H32/'QTR P&amp;L'!K2,"")</f>
        <v/>
      </c>
      <c r="I29" s="11">
        <f>IFERROR('QTR BS'!I32/'QTR P&amp;L'!L2,"")</f>
        <v/>
      </c>
      <c r="J29" s="11">
        <f>IFERROR('QTR BS'!J32/'QTR P&amp;L'!M2,"")</f>
        <v/>
      </c>
      <c r="K29" s="11">
        <f>IFERROR('QTR BS'!K32/'QTR P&amp;L'!N2,"")</f>
        <v/>
      </c>
      <c r="L29" s="11">
        <f>IFERROR('QTR BS'!L32/'QTR P&amp;L'!O2,"")</f>
        <v/>
      </c>
      <c r="M29" s="11">
        <f>IFERROR('QTR BS'!M32/'QTR P&amp;L'!P2,"")</f>
        <v/>
      </c>
      <c r="N29" s="11">
        <f>IFERROR('QTR BS'!N32/'QTR P&amp;L'!Q2,"")</f>
        <v/>
      </c>
      <c r="O29" s="12">
        <f>N29</f>
        <v/>
      </c>
      <c r="P29" s="12">
        <f>O29</f>
        <v/>
      </c>
      <c r="Q29" s="12">
        <f>P29</f>
        <v/>
      </c>
      <c r="R29" s="12">
        <f>Q29</f>
        <v/>
      </c>
      <c r="S29" s="12">
        <f>R29</f>
        <v/>
      </c>
      <c r="T29" s="12">
        <f>S29</f>
        <v/>
      </c>
      <c r="U29" s="12">
        <f>T29</f>
        <v/>
      </c>
      <c r="V29" s="12">
        <f>U29</f>
        <v/>
      </c>
      <c r="W29" s="12">
        <f>V29</f>
        <v/>
      </c>
      <c r="X29" s="12">
        <f>W29</f>
        <v/>
      </c>
      <c r="Y29" s="12">
        <f>X29</f>
        <v/>
      </c>
      <c r="Z29" s="12">
        <f>Y29</f>
        <v/>
      </c>
      <c r="AA29" s="12">
        <f>Z29</f>
        <v/>
      </c>
      <c r="AB29" s="12">
        <f>AA29</f>
        <v/>
      </c>
      <c r="AC29" s="12">
        <f>AB29</f>
        <v/>
      </c>
      <c r="AD29" s="12">
        <f>AC29</f>
        <v/>
      </c>
      <c r="AE29" s="12">
        <f>AD29</f>
        <v/>
      </c>
      <c r="AF29" s="12">
        <f>AE29</f>
        <v/>
      </c>
      <c r="AG29" s="12">
        <f>AF29</f>
        <v/>
      </c>
      <c r="AH29" s="12">
        <f>AG29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O30</f>
        <v/>
      </c>
      <c r="Q30" s="13">
        <f>P30</f>
        <v/>
      </c>
      <c r="R30" s="13">
        <f>Q30</f>
        <v/>
      </c>
      <c r="S30" s="13">
        <f>R30</f>
        <v/>
      </c>
      <c r="T30" s="13">
        <f>S30</f>
        <v/>
      </c>
      <c r="U30" s="13">
        <f>T30</f>
        <v/>
      </c>
      <c r="V30" s="13">
        <f>U30</f>
        <v/>
      </c>
      <c r="W30" s="13">
        <f>V30</f>
        <v/>
      </c>
      <c r="X30" s="13">
        <f>W30</f>
        <v/>
      </c>
      <c r="Y30" s="13">
        <f>X30</f>
        <v/>
      </c>
      <c r="Z30" s="13">
        <f>Y30</f>
        <v/>
      </c>
      <c r="AA30" s="13">
        <f>Z30</f>
        <v/>
      </c>
      <c r="AB30" s="13">
        <f>AA30</f>
        <v/>
      </c>
      <c r="AC30" s="13">
        <f>AB30</f>
        <v/>
      </c>
      <c r="AD30" s="13">
        <f>AC30</f>
        <v/>
      </c>
      <c r="AE30" s="13">
        <f>AD30</f>
        <v/>
      </c>
      <c r="AF30" s="13">
        <f>AE30</f>
        <v/>
      </c>
      <c r="AG30" s="13">
        <f>AF30</f>
        <v/>
      </c>
      <c r="AH30" s="13">
        <f>AG30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O31</f>
        <v/>
      </c>
      <c r="Q31" s="13">
        <f>P31</f>
        <v/>
      </c>
      <c r="R31" s="13">
        <f>Q31</f>
        <v/>
      </c>
      <c r="S31" s="13">
        <f>R31</f>
        <v/>
      </c>
      <c r="T31" s="13">
        <f>S31</f>
        <v/>
      </c>
      <c r="U31" s="13">
        <f>T31</f>
        <v/>
      </c>
      <c r="V31" s="13">
        <f>U31</f>
        <v/>
      </c>
      <c r="W31" s="13">
        <f>V31</f>
        <v/>
      </c>
      <c r="X31" s="13">
        <f>W31</f>
        <v/>
      </c>
      <c r="Y31" s="13">
        <f>X31</f>
        <v/>
      </c>
      <c r="Z31" s="13">
        <f>Y31</f>
        <v/>
      </c>
      <c r="AA31" s="13">
        <f>Z31</f>
        <v/>
      </c>
      <c r="AB31" s="13">
        <f>AA31</f>
        <v/>
      </c>
      <c r="AC31" s="13">
        <f>AB31</f>
        <v/>
      </c>
      <c r="AD31" s="13">
        <f>AC31</f>
        <v/>
      </c>
      <c r="AE31" s="13">
        <f>AD31</f>
        <v/>
      </c>
      <c r="AF31" s="13">
        <f>AE31</f>
        <v/>
      </c>
      <c r="AG31" s="13">
        <f>AF31</f>
        <v/>
      </c>
      <c r="AH31" s="13">
        <f>AG31</f>
        <v/>
      </c>
    </row>
    <row r="32">
      <c r="A32" s="3" t="inlineStr">
        <is>
          <t>Deferred Revenue - Non-Current — % of Revenue</t>
        </is>
      </c>
      <c r="B32" s="11">
        <f>IFERROR('QTR BS'!B35/'QTR P&amp;L'!E2,"")</f>
        <v/>
      </c>
      <c r="C32" s="11">
        <f>IFERROR('QTR BS'!C35/'QTR P&amp;L'!F2,"")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2">
        <f>N32</f>
        <v/>
      </c>
      <c r="P32" s="12">
        <f>O32</f>
        <v/>
      </c>
      <c r="Q32" s="12">
        <f>P32</f>
        <v/>
      </c>
      <c r="R32" s="12">
        <f>Q32</f>
        <v/>
      </c>
      <c r="S32" s="12">
        <f>R32</f>
        <v/>
      </c>
      <c r="T32" s="12">
        <f>S32</f>
        <v/>
      </c>
      <c r="U32" s="12">
        <f>T32</f>
        <v/>
      </c>
      <c r="V32" s="12">
        <f>U32</f>
        <v/>
      </c>
      <c r="W32" s="12">
        <f>V32</f>
        <v/>
      </c>
      <c r="X32" s="12">
        <f>W32</f>
        <v/>
      </c>
      <c r="Y32" s="12">
        <f>X32</f>
        <v/>
      </c>
      <c r="Z32" s="12">
        <f>Y32</f>
        <v/>
      </c>
      <c r="AA32" s="12">
        <f>Z32</f>
        <v/>
      </c>
      <c r="AB32" s="12">
        <f>AA32</f>
        <v/>
      </c>
      <c r="AC32" s="12">
        <f>AB32</f>
        <v/>
      </c>
      <c r="AD32" s="12">
        <f>AC32</f>
        <v/>
      </c>
      <c r="AE32" s="12">
        <f>AD32</f>
        <v/>
      </c>
      <c r="AF32" s="12">
        <f>AE32</f>
        <v/>
      </c>
      <c r="AG32" s="12">
        <f>AF32</f>
        <v/>
      </c>
      <c r="AH32" s="12">
        <f>AG32</f>
        <v/>
      </c>
    </row>
    <row r="33">
      <c r="A33" s="3" t="inlineStr">
        <is>
          <t>Other Non-Current Liabilities — % of Revenue</t>
        </is>
      </c>
      <c r="B33" s="11">
        <f>IFERROR('QTR BS'!B36/'QTR P&amp;L'!E2,"")</f>
        <v/>
      </c>
      <c r="C33" s="11">
        <f>IFERROR('QTR BS'!C36/'QTR P&amp;L'!F2,"")</f>
        <v/>
      </c>
      <c r="D33" s="11">
        <f>IFERROR('QTR BS'!D36/'QTR P&amp;L'!G2,"")</f>
        <v/>
      </c>
      <c r="E33" s="11">
        <f>IFERROR('QTR BS'!E36/'QTR P&amp;L'!H2,"")</f>
        <v/>
      </c>
      <c r="F33" s="11">
        <f>IFERROR('QTR BS'!F36/'QTR P&amp;L'!I2,"")</f>
        <v/>
      </c>
      <c r="G33" s="11">
        <f>IFERROR('QTR BS'!G36/'QTR P&amp;L'!J2,"")</f>
        <v/>
      </c>
      <c r="H33" s="11">
        <f>IFERROR('QTR BS'!H36/'QTR P&amp;L'!K2,"")</f>
        <v/>
      </c>
      <c r="I33" s="11">
        <f>IFERROR('QTR BS'!I36/'QTR P&amp;L'!L2,"")</f>
        <v/>
      </c>
      <c r="J33" s="11">
        <f>IFERROR('QTR BS'!J36/'QTR P&amp;L'!M2,"")</f>
        <v/>
      </c>
      <c r="K33" s="11">
        <f>IFERROR('QTR BS'!K36/'QTR P&amp;L'!N2,"")</f>
        <v/>
      </c>
      <c r="L33" s="11">
        <f>IFERROR('QTR BS'!L36/'QTR P&amp;L'!O2,"")</f>
        <v/>
      </c>
      <c r="M33" s="11">
        <f>IFERROR('QTR BS'!M36/'QTR P&amp;L'!P2,"")</f>
        <v/>
      </c>
      <c r="N33" s="11">
        <f>IFERROR('QTR BS'!N36/'QTR P&amp;L'!Q2,"")</f>
        <v/>
      </c>
      <c r="O33" s="12">
        <f>N33</f>
        <v/>
      </c>
      <c r="P33" s="12">
        <f>O33</f>
        <v/>
      </c>
      <c r="Q33" s="12">
        <f>P33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O34</f>
        <v/>
      </c>
      <c r="Q34" s="13">
        <f>P34</f>
        <v/>
      </c>
      <c r="R34" s="13">
        <f>Q34</f>
        <v/>
      </c>
      <c r="S34" s="13">
        <f>R34</f>
        <v/>
      </c>
      <c r="T34" s="13">
        <f>S34</f>
        <v/>
      </c>
      <c r="U34" s="13">
        <f>T34</f>
        <v/>
      </c>
      <c r="V34" s="13">
        <f>U34</f>
        <v/>
      </c>
      <c r="W34" s="13">
        <f>V34</f>
        <v/>
      </c>
      <c r="X34" s="13">
        <f>W34</f>
        <v/>
      </c>
      <c r="Y34" s="13">
        <f>X34</f>
        <v/>
      </c>
      <c r="Z34" s="13">
        <f>Y34</f>
        <v/>
      </c>
      <c r="AA34" s="13">
        <f>Z34</f>
        <v/>
      </c>
      <c r="AB34" s="13">
        <f>AA34</f>
        <v/>
      </c>
      <c r="AC34" s="13">
        <f>AB34</f>
        <v/>
      </c>
      <c r="AD34" s="13">
        <f>AC34</f>
        <v/>
      </c>
      <c r="AE34" s="13">
        <f>AD34</f>
        <v/>
      </c>
      <c r="AF34" s="13">
        <f>AE34</f>
        <v/>
      </c>
      <c r="AG34" s="13">
        <f>AF34</f>
        <v/>
      </c>
      <c r="AH34" s="13">
        <f>AG34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O35</f>
        <v/>
      </c>
      <c r="Q35" s="13">
        <f>P35</f>
        <v/>
      </c>
      <c r="R35" s="13">
        <f>Q35</f>
        <v/>
      </c>
      <c r="S35" s="13">
        <f>R35</f>
        <v/>
      </c>
      <c r="T35" s="13">
        <f>S35</f>
        <v/>
      </c>
      <c r="U35" s="13">
        <f>T35</f>
        <v/>
      </c>
      <c r="V35" s="13">
        <f>U35</f>
        <v/>
      </c>
      <c r="W35" s="13">
        <f>V35</f>
        <v/>
      </c>
      <c r="X35" s="13">
        <f>W35</f>
        <v/>
      </c>
      <c r="Y35" s="13">
        <f>X35</f>
        <v/>
      </c>
      <c r="Z35" s="13">
        <f>Y35</f>
        <v/>
      </c>
      <c r="AA35" s="13">
        <f>Z35</f>
        <v/>
      </c>
      <c r="AB35" s="13">
        <f>AA35</f>
        <v/>
      </c>
      <c r="AC35" s="13">
        <f>AB35</f>
        <v/>
      </c>
      <c r="AD35" s="13">
        <f>AC35</f>
        <v/>
      </c>
      <c r="AE35" s="13">
        <f>AD35</f>
        <v/>
      </c>
      <c r="AF35" s="13">
        <f>AE35</f>
        <v/>
      </c>
      <c r="AG35" s="13">
        <f>AF35</f>
        <v/>
      </c>
      <c r="AH35" s="13">
        <f>AG35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O36</f>
        <v/>
      </c>
      <c r="Q36" s="13">
        <f>P36</f>
        <v/>
      </c>
      <c r="R36" s="13">
        <f>Q36</f>
        <v/>
      </c>
      <c r="S36" s="13">
        <f>R36</f>
        <v/>
      </c>
      <c r="T36" s="13">
        <f>S36</f>
        <v/>
      </c>
      <c r="U36" s="13">
        <f>T36</f>
        <v/>
      </c>
      <c r="V36" s="13">
        <f>U36</f>
        <v/>
      </c>
      <c r="W36" s="13">
        <f>V36</f>
        <v/>
      </c>
      <c r="X36" s="13">
        <f>W36</f>
        <v/>
      </c>
      <c r="Y36" s="13">
        <f>X36</f>
        <v/>
      </c>
      <c r="Z36" s="13">
        <f>Y36</f>
        <v/>
      </c>
      <c r="AA36" s="13">
        <f>Z36</f>
        <v/>
      </c>
      <c r="AB36" s="13">
        <f>AA36</f>
        <v/>
      </c>
      <c r="AC36" s="13">
        <f>AB36</f>
        <v/>
      </c>
      <c r="AD36" s="13">
        <f>AC36</f>
        <v/>
      </c>
      <c r="AE36" s="13">
        <f>AD36</f>
        <v/>
      </c>
      <c r="AF36" s="13">
        <f>AE36</f>
        <v/>
      </c>
      <c r="AG36" s="13">
        <f>AF36</f>
        <v/>
      </c>
      <c r="AH36" s="13">
        <f>AG36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  <c r="AE37" s="4">
        <f>AD37+'QTR CF'!AH11</f>
        <v/>
      </c>
      <c r="AF37" s="4">
        <f>AE37+'QTR CF'!AI11</f>
        <v/>
      </c>
      <c r="AG37" s="4">
        <f>AF37+'QTR CF'!AJ11</f>
        <v/>
      </c>
      <c r="AH37" s="4">
        <f>AG37+'QTR CF'!AK11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  <c r="AE38" s="4">
        <f>AD38+'QTR CF'!AH51</f>
        <v/>
      </c>
      <c r="AF38" s="4">
        <f>AE38+'QTR CF'!AI51</f>
        <v/>
      </c>
      <c r="AG38" s="4">
        <f>AF38+'QTR CF'!AJ51</f>
        <v/>
      </c>
      <c r="AH38" s="4">
        <f>AG38+'QTR CF'!AK51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  <c r="AE39" s="4">
        <f>AD39+'QTR P&amp;L'!AH13+'QTR CF'!AH44</f>
        <v/>
      </c>
      <c r="AF39" s="4">
        <f>AE39+'QTR P&amp;L'!AI13+'QTR CF'!AI44</f>
        <v/>
      </c>
      <c r="AG39" s="4">
        <f>AF39+'QTR P&amp;L'!AJ13+'QTR CF'!AJ44</f>
        <v/>
      </c>
      <c r="AH39" s="4">
        <f>AG39+'QTR P&amp;L'!AK13+'QTR CF'!AK44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K48"/>
  <sheetViews>
    <sheetView workbookViewId="0">
      <pane xSplit="1" ySplit="1" topLeftCell="F2" activePane="bottomRight" state="frozen"/>
      <selection pane="topRight" activeCell="A1" sqref="A1"/>
      <selection pane="bottomLeft" activeCell="A1" sqref="A1"/>
      <selection pane="bottomRight" activeCell="R2" sqref="R2"/>
    </sheetView>
  </sheetViews>
  <sheetFormatPr baseColWidth="8" defaultRowHeight="15"/>
  <cols>
    <col width="38" customWidth="1" min="1" max="1"/>
    <col width="13" customWidth="1" min="2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  <c r="AH4" s="13" t="n">
        <v>0</v>
      </c>
      <c r="AI4" s="13" t="n">
        <v>0</v>
      </c>
      <c r="AJ4" s="13" t="n">
        <v>0</v>
      </c>
      <c r="AK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R6</f>
        <v/>
      </c>
      <c r="T6" s="12">
        <f>S6</f>
        <v/>
      </c>
      <c r="U6" s="12">
        <f>T6</f>
        <v/>
      </c>
      <c r="V6" s="12">
        <f>U6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  <c r="AH7" s="13" t="n">
        <v>0</v>
      </c>
      <c r="AI7" s="13" t="n">
        <v>0</v>
      </c>
      <c r="AJ7" s="13" t="n">
        <v>0</v>
      </c>
      <c r="AK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  <c r="AI11" s="12">
        <f>AH11</f>
        <v/>
      </c>
      <c r="AJ11" s="12">
        <f>AI11</f>
        <v/>
      </c>
      <c r="AK11" s="12">
        <f>AJ11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  <c r="AH13" s="13" t="n">
        <v>0</v>
      </c>
      <c r="AI13" s="13" t="n">
        <v>0</v>
      </c>
      <c r="AJ13" s="13" t="n">
        <v>0</v>
      </c>
      <c r="AK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  <c r="AH15" s="13" t="n">
        <v>0</v>
      </c>
      <c r="AI15" s="13" t="n">
        <v>0</v>
      </c>
      <c r="AJ15" s="13" t="n">
        <v>0</v>
      </c>
      <c r="AK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  <c r="AH17" s="4">
        <f>-('QTR BS'!AE5-'QTR BS'!AD5)-('QTR BS'!AE8-'QTR BS'!AD8)-('QTR BS'!AE10-'QTR BS'!AD10)-('QTR BS'!AE12-'QTR BS'!AD12)-('QTR BS'!AE15-'QTR BS'!AD15)-('QTR BS'!AE17-'QTR BS'!AD17)+('QTR BS'!AE22-'QTR BS'!AD22)+('QTR BS'!AE25-'QTR BS'!AD25)+('QTR BS'!AE26-'QTR BS'!AD26)+('QTR BS'!AE27-'QTR BS'!AD27)+('QTR BS'!AE28-'QTR BS'!AD28)+('QTR BS'!AE31-'QTR BS'!AD31)+('QTR BS'!AE32-'QTR BS'!AD32)+('QTR BS'!AE35-'QTR BS'!AD35)+('QTR BS'!AE36-'QTR BS'!AD36)-('QTR BS'!AE3-'QTR BS'!AD3)-('QTR BS'!AE13-'QTR BS'!AD13)-('QTR BS'!AE14-'QTR BS'!AD14)+('QTR BS'!AE23-'QTR BS'!AD23)+('QTR BS'!AE33-'QTR BS'!AD33)+('QTR BS'!AE34-'QTR BS'!AD34)+('QTR BS'!AE39-'QTR BS'!AD39)+('QTR BS'!AE40-'QTR BS'!AD40)</f>
        <v/>
      </c>
      <c r="AI17" s="4">
        <f>-('QTR BS'!AF5-'QTR BS'!AE5)-('QTR BS'!AF8-'QTR BS'!AE8)-('QTR BS'!AF10-'QTR BS'!AE10)-('QTR BS'!AF12-'QTR BS'!AE12)-('QTR BS'!AF15-'QTR BS'!AE15)-('QTR BS'!AF17-'QTR BS'!AE17)+('QTR BS'!AF22-'QTR BS'!AE22)+('QTR BS'!AF25-'QTR BS'!AE25)+('QTR BS'!AF26-'QTR BS'!AE26)+('QTR BS'!AF27-'QTR BS'!AE27)+('QTR BS'!AF28-'QTR BS'!AE28)+('QTR BS'!AF31-'QTR BS'!AE31)+('QTR BS'!AF32-'QTR BS'!AE32)+('QTR BS'!AF35-'QTR BS'!AE35)+('QTR BS'!AF36-'QTR BS'!AE36)-('QTR BS'!AF3-'QTR BS'!AE3)-('QTR BS'!AF13-'QTR BS'!AE13)-('QTR BS'!AF14-'QTR BS'!AE14)+('QTR BS'!AF23-'QTR BS'!AE23)+('QTR BS'!AF33-'QTR BS'!AE33)+('QTR BS'!AF34-'QTR BS'!AE34)+('QTR BS'!AF39-'QTR BS'!AE39)+('QTR BS'!AF40-'QTR BS'!AE40)</f>
        <v/>
      </c>
      <c r="AJ17" s="4">
        <f>-('QTR BS'!AG5-'QTR BS'!AF5)-('QTR BS'!AG8-'QTR BS'!AF8)-('QTR BS'!AG10-'QTR BS'!AF10)-('QTR BS'!AG12-'QTR BS'!AF12)-('QTR BS'!AG15-'QTR BS'!AF15)-('QTR BS'!AG17-'QTR BS'!AF17)+('QTR BS'!AG22-'QTR BS'!AF22)+('QTR BS'!AG25-'QTR BS'!AF25)+('QTR BS'!AG26-'QTR BS'!AF26)+('QTR BS'!AG27-'QTR BS'!AF27)+('QTR BS'!AG28-'QTR BS'!AF28)+('QTR BS'!AG31-'QTR BS'!AF31)+('QTR BS'!AG32-'QTR BS'!AF32)+('QTR BS'!AG35-'QTR BS'!AF35)+('QTR BS'!AG36-'QTR BS'!AF36)-('QTR BS'!AG3-'QTR BS'!AF3)-('QTR BS'!AG13-'QTR BS'!AF13)-('QTR BS'!AG14-'QTR BS'!AF14)+('QTR BS'!AG23-'QTR BS'!AF23)+('QTR BS'!AG33-'QTR BS'!AF33)+('QTR BS'!AG34-'QTR BS'!AF34)+('QTR BS'!AG39-'QTR BS'!AF39)+('QTR BS'!AG40-'QTR BS'!AF40)</f>
        <v/>
      </c>
      <c r="AK17" s="4">
        <f>-('QTR BS'!AH5-'QTR BS'!AG5)-('QTR BS'!AH8-'QTR BS'!AG8)-('QTR BS'!AH10-'QTR BS'!AG10)-('QTR BS'!AH12-'QTR BS'!AG12)-('QTR BS'!AH15-'QTR BS'!AG15)-('QTR BS'!AH17-'QTR BS'!AG17)+('QTR BS'!AH22-'QTR BS'!AG22)+('QTR BS'!AH25-'QTR BS'!AG25)+('QTR BS'!AH26-'QTR BS'!AG26)+('QTR BS'!AH27-'QTR BS'!AG27)+('QTR BS'!AH28-'QTR BS'!AG28)+('QTR BS'!AH31-'QTR BS'!AG31)+('QTR BS'!AH32-'QTR BS'!AG32)+('QTR BS'!AH35-'QTR BS'!AG35)+('QTR BS'!AH36-'QTR BS'!AG36)-('QTR BS'!AH3-'QTR BS'!AG3)-('QTR BS'!AH13-'QTR BS'!AG13)-('QTR BS'!AH14-'QTR BS'!AG14)+('QTR BS'!AH23-'QTR BS'!AG23)+('QTR BS'!AH33-'QTR BS'!AG33)+('QTR BS'!AH34-'QTR BS'!AG34)+('QTR BS'!AH39-'QTR BS'!AG39)+('QTR BS'!AH40-'QTR BS'!AG40)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  <c r="AH18" s="4">
        <f>-('QTR BS'!AE4-'QTR BS'!AD4)</f>
        <v/>
      </c>
      <c r="AI18" s="4">
        <f>-('QTR BS'!AF4-'QTR BS'!AE4)</f>
        <v/>
      </c>
      <c r="AJ18" s="4">
        <f>-('QTR BS'!AG4-'QTR BS'!AF4)</f>
        <v/>
      </c>
      <c r="AK18" s="4">
        <f>-('QTR BS'!AH4-'QTR BS'!AG4)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  <c r="AH19" s="13" t="n">
        <v>0</v>
      </c>
      <c r="AI19" s="13" t="n">
        <v>0</v>
      </c>
      <c r="AJ19" s="13" t="n">
        <v>0</v>
      </c>
      <c r="AK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  <c r="AH20" s="4">
        <f>-('QTR BS'!AE6-'QTR BS'!AD6)</f>
        <v/>
      </c>
      <c r="AI20" s="4">
        <f>-('QTR BS'!AF6-'QTR BS'!AE6)</f>
        <v/>
      </c>
      <c r="AJ20" s="4">
        <f>-('QTR BS'!AG6-'QTR BS'!AF6)</f>
        <v/>
      </c>
      <c r="AK20" s="4">
        <f>-('QTR BS'!AH6-'QTR BS'!AG6)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  <c r="AH21" s="4">
        <f>-('QTR BS'!AE7-'QTR BS'!AD7)</f>
        <v/>
      </c>
      <c r="AI21" s="4">
        <f>-('QTR BS'!AF7-'QTR BS'!AE7)</f>
        <v/>
      </c>
      <c r="AJ21" s="4">
        <f>-('QTR BS'!AG7-'QTR BS'!AF7)</f>
        <v/>
      </c>
      <c r="AK21" s="4">
        <f>-('QTR BS'!AH7-'QTR BS'!AG7)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  <c r="AH23" s="4">
        <f>-('QTR BS'!AE18-'QTR BS'!AD18)</f>
        <v/>
      </c>
      <c r="AI23" s="4">
        <f>-('QTR BS'!AF18-'QTR BS'!AE18)</f>
        <v/>
      </c>
      <c r="AJ23" s="4">
        <f>-('QTR BS'!AG18-'QTR BS'!AF18)</f>
        <v/>
      </c>
      <c r="AK23" s="4">
        <f>-('QTR BS'!AH18-'QTR BS'!AG18)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  <c r="AH24" s="4">
        <f>('QTR BS'!AE20-'QTR BS'!AD20)</f>
        <v/>
      </c>
      <c r="AI24" s="4">
        <f>('QTR BS'!AF20-'QTR BS'!AE20)</f>
        <v/>
      </c>
      <c r="AJ24" s="4">
        <f>('QTR BS'!AG20-'QTR BS'!AF20)</f>
        <v/>
      </c>
      <c r="AK24" s="4">
        <f>('QTR BS'!AH20-'QTR BS'!AG20)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  <c r="AH25" s="4">
        <f>('QTR BS'!AE21-'QTR BS'!AD21)</f>
        <v/>
      </c>
      <c r="AI25" s="4">
        <f>('QTR BS'!AF21-'QTR BS'!AE21)</f>
        <v/>
      </c>
      <c r="AJ25" s="4">
        <f>('QTR BS'!AG21-'QTR BS'!AF21)</f>
        <v/>
      </c>
      <c r="AK25" s="4">
        <f>('QTR BS'!AH21-'QTR BS'!AG21)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  <c r="AH26" s="4">
        <f>('QTR BS'!AE29-'QTR BS'!AD29)</f>
        <v/>
      </c>
      <c r="AI26" s="4">
        <f>('QTR BS'!AF29-'QTR BS'!AE29)</f>
        <v/>
      </c>
      <c r="AJ26" s="4">
        <f>('QTR BS'!AG29-'QTR BS'!AF29)</f>
        <v/>
      </c>
      <c r="AK26" s="4">
        <f>('QTR BS'!AH29-'QTR BS'!AG29)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  <c r="AH27" s="4">
        <f>('QTR BS'!AE24-'QTR BS'!AD24)</f>
        <v/>
      </c>
      <c r="AI27" s="4">
        <f>('QTR BS'!AF24-'QTR BS'!AE24)</f>
        <v/>
      </c>
      <c r="AJ27" s="4">
        <f>('QTR BS'!AG24-'QTR BS'!AF24)</f>
        <v/>
      </c>
      <c r="AK27" s="4">
        <f>('QTR BS'!AH24-'QTR BS'!AG24)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  <c r="AH29" s="13" t="n">
        <v>0</v>
      </c>
      <c r="AI29" s="13" t="n">
        <v>0</v>
      </c>
      <c r="AJ29" s="13" t="n">
        <v>0</v>
      </c>
      <c r="AK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4">
        <f>0</f>
        <v/>
      </c>
      <c r="S31" s="4">
        <f>0</f>
        <v/>
      </c>
      <c r="T31" s="4">
        <f>0</f>
        <v/>
      </c>
      <c r="U31" s="4">
        <f>0</f>
        <v/>
      </c>
      <c r="V31" s="4">
        <f>0</f>
        <v/>
      </c>
      <c r="W31" s="4">
        <f>0</f>
        <v/>
      </c>
      <c r="X31" s="4">
        <f>0</f>
        <v/>
      </c>
      <c r="Y31" s="4">
        <f>0</f>
        <v/>
      </c>
      <c r="Z31" s="4">
        <f>0</f>
        <v/>
      </c>
      <c r="AA31" s="4">
        <f>0</f>
        <v/>
      </c>
      <c r="AB31" s="4">
        <f>0</f>
        <v/>
      </c>
      <c r="AC31" s="4">
        <f>0</f>
        <v/>
      </c>
      <c r="AD31" s="4">
        <f>0</f>
        <v/>
      </c>
      <c r="AE31" s="4">
        <f>0</f>
        <v/>
      </c>
      <c r="AF31" s="4">
        <f>0</f>
        <v/>
      </c>
      <c r="AG31" s="4">
        <f>0</f>
        <v/>
      </c>
      <c r="AH31" s="4">
        <f>0</f>
        <v/>
      </c>
      <c r="AI31" s="4">
        <f>0</f>
        <v/>
      </c>
      <c r="AJ31" s="4">
        <f>0</f>
        <v/>
      </c>
      <c r="AK31" s="4">
        <f>0</f>
        <v/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  <c r="AI33" s="12">
        <f>AH33</f>
        <v/>
      </c>
      <c r="AJ33" s="12">
        <f>AI33</f>
        <v/>
      </c>
      <c r="AK33" s="12">
        <f>AJ33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  <c r="AH35" s="13" t="n">
        <v>0</v>
      </c>
      <c r="AI35" s="13" t="n">
        <v>0</v>
      </c>
      <c r="AJ35" s="13" t="n">
        <v>0</v>
      </c>
      <c r="AK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  <c r="AH37" s="13" t="n">
        <v>0</v>
      </c>
      <c r="AI37" s="13" t="n">
        <v>0</v>
      </c>
      <c r="AJ37" s="13" t="n">
        <v>0</v>
      </c>
      <c r="AK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  <c r="AH39" s="13" t="n">
        <v>0</v>
      </c>
      <c r="AI39" s="13" t="n">
        <v>0</v>
      </c>
      <c r="AJ39" s="13" t="n">
        <v>0</v>
      </c>
      <c r="AK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R42</f>
        <v/>
      </c>
      <c r="T42" s="13">
        <f>S42</f>
        <v/>
      </c>
      <c r="U42" s="13">
        <f>T42</f>
        <v/>
      </c>
      <c r="V42" s="13">
        <f>U42</f>
        <v/>
      </c>
      <c r="W42" s="13">
        <f>V42</f>
        <v/>
      </c>
      <c r="X42" s="13">
        <f>W42</f>
        <v/>
      </c>
      <c r="Y42" s="13">
        <f>X42</f>
        <v/>
      </c>
      <c r="Z42" s="13">
        <f>Y42</f>
        <v/>
      </c>
      <c r="AA42" s="13">
        <f>Z42</f>
        <v/>
      </c>
      <c r="AB42" s="13">
        <f>AA42</f>
        <v/>
      </c>
      <c r="AC42" s="13">
        <f>AB42</f>
        <v/>
      </c>
      <c r="AD42" s="13">
        <f>AC42</f>
        <v/>
      </c>
      <c r="AE42" s="13">
        <f>AD42</f>
        <v/>
      </c>
      <c r="AF42" s="13">
        <f>AE42</f>
        <v/>
      </c>
      <c r="AG42" s="13">
        <f>AF42</f>
        <v/>
      </c>
      <c r="AH42" s="13">
        <f>AG42</f>
        <v/>
      </c>
      <c r="AI42" s="13">
        <f>AH42</f>
        <v/>
      </c>
      <c r="AJ42" s="13">
        <f>AI42</f>
        <v/>
      </c>
      <c r="AK42" s="13">
        <f>AJ42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  <c r="AH43" s="13" t="n">
        <v>0</v>
      </c>
      <c r="AI43" s="13" t="n">
        <v>0</v>
      </c>
      <c r="AJ43" s="13" t="n">
        <v>0</v>
      </c>
      <c r="AK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  <c r="AH45" s="13" t="n">
        <v>0</v>
      </c>
      <c r="AI45" s="13" t="n">
        <v>0</v>
      </c>
      <c r="AJ45" s="13" t="n">
        <v>0</v>
      </c>
      <c r="AK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  <c r="AH47" s="13" t="n">
        <v>0</v>
      </c>
      <c r="AI47" s="13" t="n">
        <v>0</v>
      </c>
      <c r="AJ47" s="13" t="n">
        <v>0</v>
      </c>
      <c r="AK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R48</f>
        <v/>
      </c>
      <c r="T48" s="13">
        <f>S48</f>
        <v/>
      </c>
      <c r="U48" s="13">
        <f>T48</f>
        <v/>
      </c>
      <c r="V48" s="13">
        <f>U48</f>
        <v/>
      </c>
      <c r="W48" s="13">
        <f>V48</f>
        <v/>
      </c>
      <c r="X48" s="13">
        <f>W48</f>
        <v/>
      </c>
      <c r="Y48" s="13">
        <f>X48</f>
        <v/>
      </c>
      <c r="Z48" s="13">
        <f>Y48</f>
        <v/>
      </c>
      <c r="AA48" s="13">
        <f>Z48</f>
        <v/>
      </c>
      <c r="AB48" s="13">
        <f>AA48</f>
        <v/>
      </c>
      <c r="AC48" s="13">
        <f>AB48</f>
        <v/>
      </c>
      <c r="AD48" s="13">
        <f>AC48</f>
        <v/>
      </c>
      <c r="AE48" s="13">
        <f>AD48</f>
        <v/>
      </c>
      <c r="AF48" s="13">
        <f>AE48</f>
        <v/>
      </c>
      <c r="AG48" s="13">
        <f>AF48</f>
        <v/>
      </c>
      <c r="AH48" s="13">
        <f>AG48</f>
        <v/>
      </c>
      <c r="AI48" s="13">
        <f>AH48</f>
        <v/>
      </c>
      <c r="AJ48" s="13">
        <f>AI48</f>
        <v/>
      </c>
      <c r="AK48" s="13">
        <f>AJ48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52"/>
  <sheetViews>
    <sheetView tabSelected="1" topLeftCell="A32" workbookViewId="0">
      <selection activeCell="A52" sqref="A52"/>
    </sheetView>
  </sheetViews>
  <sheetFormatPr baseColWidth="8" defaultRowHeight="15"/>
  <cols>
    <col width="40.28515625" bestFit="1" customWidth="1" min="1" max="1"/>
    <col hidden="1" outlineLevel="1" width="9.140625" customWidth="1" min="2" max="2"/>
    <col collapsed="1" width="9.140625" customWidth="1" min="3" max="3"/>
  </cols>
  <sheetData>
    <row r="1">
      <c r="A1" s="1" t="inlineStr">
        <is>
          <t>(in Millions)</t>
        </is>
      </c>
      <c r="B1" s="2" t="n">
        <v>2020</v>
      </c>
      <c r="C1" s="2" t="inlineStr">
        <is>
          <t>2021</t>
        </is>
      </c>
      <c r="D1" s="2" t="inlineStr">
        <is>
          <t>2022</t>
        </is>
      </c>
      <c r="E1" s="2" t="inlineStr">
        <is>
          <t>2023</t>
        </is>
      </c>
      <c r="F1" s="2" t="inlineStr">
        <is>
          <t>2024</t>
        </is>
      </c>
      <c r="G1" s="2" t="n">
        <v>2025</v>
      </c>
      <c r="H1" s="2" t="inlineStr">
        <is>
          <t>2026E</t>
        </is>
      </c>
      <c r="I1" s="2" t="inlineStr">
        <is>
          <t>2027E</t>
        </is>
      </c>
      <c r="J1" s="2" t="inlineStr">
        <is>
          <t>2028E</t>
        </is>
      </c>
      <c r="K1" s="2" t="inlineStr">
        <is>
          <t>2029E</t>
        </is>
      </c>
      <c r="L1" s="2" t="inlineStr">
        <is>
          <t>2030E</t>
        </is>
      </c>
      <c r="M1" s="49" t="n"/>
      <c r="N1" s="17" t="inlineStr">
        <is>
          <t>Source</t>
        </is>
      </c>
    </row>
    <row r="2">
      <c r="A2" s="18" t="inlineStr">
        <is>
          <t>Total Energy Drink Overview</t>
        </is>
      </c>
      <c r="C2" s="18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6" t="n"/>
      <c r="N2" s="16" t="n"/>
    </row>
    <row r="3">
      <c r="A3" s="16" t="inlineStr">
        <is>
          <t>Total Energy Drink Sector TAM ($)</t>
        </is>
      </c>
      <c r="B3" s="20" t="n">
        <v>14520</v>
      </c>
      <c r="C3" s="20" t="n">
        <v>16713</v>
      </c>
      <c r="D3" s="20" t="n">
        <v>18534</v>
      </c>
      <c r="E3" s="20" t="n">
        <v>19998</v>
      </c>
      <c r="F3" s="20" t="n">
        <v>20638</v>
      </c>
      <c r="G3" s="21" t="n">
        <v>22814</v>
      </c>
      <c r="H3" s="22">
        <f>G3*(1+H4)</f>
        <v/>
      </c>
      <c r="I3" s="22">
        <f>H3*(1+I4)</f>
        <v/>
      </c>
      <c r="J3" s="22">
        <f>I3*(1+J4)</f>
        <v/>
      </c>
      <c r="K3" s="22">
        <f>J3*(1+K4)</f>
        <v/>
      </c>
      <c r="L3" s="22">
        <f>K3*(1+L4)</f>
        <v/>
      </c>
      <c r="M3" s="23" t="n"/>
      <c r="N3" s="24" t="inlineStr">
        <is>
          <t>2024: MNST Jan 2025 Pres (17.7% x $116.6B); 2025: MNST Dec 2025 Pres (18.7% x $122B); 2020-23 back-calc</t>
        </is>
      </c>
    </row>
    <row r="4">
      <c r="A4" s="50" t="inlineStr">
        <is>
          <t>Total TAM Growth</t>
        </is>
      </c>
      <c r="B4" s="16" t="n"/>
      <c r="C4" s="25">
        <f>C3/B3-1</f>
        <v/>
      </c>
      <c r="D4" s="25">
        <f>D3/C3-1</f>
        <v/>
      </c>
      <c r="E4" s="25">
        <f>E3/D3-1</f>
        <v/>
      </c>
      <c r="F4" s="25">
        <f>F3/E3-1</f>
        <v/>
      </c>
      <c r="G4" s="26">
        <f>G3/F3-1</f>
        <v/>
      </c>
      <c r="H4" s="27" t="n">
        <v>0.091</v>
      </c>
      <c r="I4" s="27" t="n">
        <v>0.07000000000000001</v>
      </c>
      <c r="J4" s="27" t="n">
        <v>0.07000000000000001</v>
      </c>
      <c r="K4" s="27" t="n">
        <v>0.07000000000000001</v>
      </c>
      <c r="L4" s="27" t="n">
        <v>0.07000000000000001</v>
      </c>
      <c r="M4" s="28" t="n"/>
      <c r="N4" s="24" t="inlineStr">
        <is>
          <t>Goldman Equity Research</t>
        </is>
      </c>
    </row>
    <row r="5">
      <c r="A5" s="51" t="inlineStr">
        <is>
          <t>Total Units</t>
        </is>
      </c>
      <c r="B5" s="29" t="n">
        <v>5330</v>
      </c>
      <c r="C5" s="29" t="n">
        <v>5882</v>
      </c>
      <c r="D5" s="29" t="n">
        <v>6026</v>
      </c>
      <c r="E5" s="29" t="n">
        <v>6396</v>
      </c>
      <c r="F5" s="29" t="n">
        <v>6336</v>
      </c>
      <c r="G5" s="29" t="n">
        <v>6843</v>
      </c>
      <c r="H5" s="30">
        <f>((1+H7)*G5)-H6</f>
        <v/>
      </c>
      <c r="I5" s="30">
        <f>((1+I7)*H5)-I6</f>
        <v/>
      </c>
      <c r="J5" s="30">
        <f>((1+J7)*I5)-J6</f>
        <v/>
      </c>
      <c r="K5" s="30">
        <f>((1+K7)*J5)-K6</f>
        <v/>
      </c>
      <c r="L5" s="30">
        <f>((1+L7)*K5)-L6</f>
        <v/>
      </c>
      <c r="M5" s="31" t="n"/>
      <c r="N5" s="32" t="inlineStr">
        <is>
          <t>NielsenIQ xAOC+C via MNST Pres (2020-24A); GS vol est (2025-30E)</t>
        </is>
      </c>
    </row>
    <row r="6">
      <c r="A6" s="51" t="inlineStr">
        <is>
          <t>Total Units Lost Snap Ban</t>
        </is>
      </c>
      <c r="B6" s="29" t="n"/>
      <c r="C6" s="29" t="n"/>
      <c r="D6" s="29" t="n"/>
      <c r="E6" s="29" t="n"/>
      <c r="F6" s="29" t="n"/>
      <c r="G6" s="29" t="n"/>
      <c r="H6" s="30">
        <f>'[1]SNAP Ban Impact'!D33</f>
        <v/>
      </c>
      <c r="I6" s="30">
        <f>'[1]SNAP Ban Impact'!E33</f>
        <v/>
      </c>
      <c r="J6" s="30">
        <f>'[1]SNAP Ban Impact'!F33</f>
        <v/>
      </c>
      <c r="K6" s="30">
        <f>'[1]SNAP Ban Impact'!G33</f>
        <v/>
      </c>
      <c r="L6" s="30">
        <f>'[1]SNAP Ban Impact'!H33</f>
        <v/>
      </c>
      <c r="M6" s="31" t="n"/>
      <c r="N6" s="32" t="n"/>
    </row>
    <row r="7">
      <c r="A7" s="50" t="inlineStr">
        <is>
          <t>Unit Sales Growth (Pre Snap Ban)</t>
        </is>
      </c>
      <c r="B7" s="50" t="n"/>
      <c r="C7" s="33">
        <f>C5/B5-1</f>
        <v/>
      </c>
      <c r="D7" s="33">
        <f>D5/C5-1</f>
        <v/>
      </c>
      <c r="E7" s="34">
        <f>E5/D5-1</f>
        <v/>
      </c>
      <c r="F7" s="34">
        <f>F5/E5-1</f>
        <v/>
      </c>
      <c r="G7" s="35" t="n">
        <v>0.099</v>
      </c>
      <c r="H7" s="35" t="n">
        <v>0.06</v>
      </c>
      <c r="I7" s="36">
        <f>H7</f>
        <v/>
      </c>
      <c r="J7" s="36">
        <f>I7</f>
        <v/>
      </c>
      <c r="K7" s="36">
        <f>J7</f>
        <v/>
      </c>
      <c r="L7" s="36">
        <f>K7</f>
        <v/>
      </c>
      <c r="M7" s="16" t="n"/>
      <c r="N7" s="24" t="inlineStr">
        <is>
          <t>Hardcodes are assumption, couldn't find projection on total unit growth 9.9% from page 7 of GS ER</t>
        </is>
      </c>
    </row>
    <row r="8">
      <c r="A8" s="50" t="n"/>
      <c r="B8" s="50" t="n"/>
      <c r="C8" s="33" t="n"/>
      <c r="D8" s="33" t="n"/>
      <c r="E8" s="59" t="n"/>
      <c r="F8" s="59" t="n"/>
      <c r="G8" s="35" t="n"/>
      <c r="H8" s="35" t="n"/>
      <c r="I8" s="36" t="n"/>
      <c r="J8" s="36" t="n"/>
      <c r="K8" s="36" t="n"/>
      <c r="L8" s="36" t="n"/>
      <c r="M8" s="16" t="n"/>
      <c r="N8" s="24" t="n"/>
    </row>
    <row r="9">
      <c r="A9" s="51" t="inlineStr">
        <is>
          <t>Average Cost per Unit</t>
        </is>
      </c>
      <c r="B9" s="37">
        <f>B3/B5</f>
        <v/>
      </c>
      <c r="C9" s="37">
        <f>C3/C5</f>
        <v/>
      </c>
      <c r="D9" s="37">
        <f>D3/D5</f>
        <v/>
      </c>
      <c r="E9" s="37">
        <f>E3/E5</f>
        <v/>
      </c>
      <c r="F9" s="37">
        <f>F3/F5</f>
        <v/>
      </c>
      <c r="G9" s="37">
        <f>G3/G5</f>
        <v/>
      </c>
      <c r="H9" s="37">
        <f>H3/H5</f>
        <v/>
      </c>
      <c r="I9" s="37">
        <f>I3/I5</f>
        <v/>
      </c>
      <c r="J9" s="37">
        <f>J3/J5</f>
        <v/>
      </c>
      <c r="K9" s="37">
        <f>K3/K5</f>
        <v/>
      </c>
      <c r="L9" s="37">
        <f>L3/L5</f>
        <v/>
      </c>
      <c r="M9" s="16" t="n"/>
      <c r="N9" s="32" t="inlineStr">
        <is>
          <t>Calculated: TAM / Volume</t>
        </is>
      </c>
    </row>
    <row r="10">
      <c r="A10" s="50" t="inlineStr">
        <is>
          <t>Unit Cost Growth</t>
        </is>
      </c>
      <c r="B10" s="16" t="n"/>
      <c r="C10" s="38">
        <f>C9/B9-1</f>
        <v/>
      </c>
      <c r="D10" s="38">
        <f>D9/C9-1</f>
        <v/>
      </c>
      <c r="E10" s="38">
        <f>E9/D9-1</f>
        <v/>
      </c>
      <c r="F10" s="38">
        <f>F9/E9-1</f>
        <v/>
      </c>
      <c r="G10" s="38">
        <f>G9/F9-1</f>
        <v/>
      </c>
      <c r="H10" s="38">
        <f>H9/G9-1</f>
        <v/>
      </c>
      <c r="I10" s="38">
        <f>I9/H9-1</f>
        <v/>
      </c>
      <c r="J10" s="38">
        <f>J9/I9-1</f>
        <v/>
      </c>
      <c r="K10" s="38">
        <f>K9/J9-1</f>
        <v/>
      </c>
      <c r="L10" s="38">
        <f>L9/K9-1</f>
        <v/>
      </c>
      <c r="M10" s="39" t="n"/>
      <c r="N10" s="16" t="n"/>
    </row>
    <row r="11">
      <c r="A11" s="18" t="inlineStr">
        <is>
          <t>Revenue Overivew</t>
        </is>
      </c>
      <c r="B11" s="18" t="n"/>
      <c r="C11" s="18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6" t="n"/>
      <c r="N11" s="16" t="n"/>
    </row>
    <row r="12">
      <c r="A12" s="51" t="inlineStr">
        <is>
          <t>Celsius Revenue</t>
        </is>
      </c>
      <c r="B12" s="58" t="n">
        <v>130.726</v>
      </c>
      <c r="C12" s="40">
        <f>'ANNL P&amp;L'!B2/1000</f>
        <v/>
      </c>
      <c r="D12" s="40">
        <f>'ANNL P&amp;L'!C2/1000</f>
        <v/>
      </c>
      <c r="E12" s="40">
        <f>'ANNL P&amp;L'!D2/1000</f>
        <v/>
      </c>
      <c r="F12" s="40">
        <f>'ANNL P&amp;L'!E2/1000</f>
        <v/>
      </c>
      <c r="G12" s="40">
        <f>'ANNL P&amp;L'!F2/1000</f>
        <v/>
      </c>
      <c r="H12" s="40">
        <f>H30*H27</f>
        <v/>
      </c>
      <c r="I12" s="40">
        <f>I30*I27</f>
        <v/>
      </c>
      <c r="J12" s="40">
        <f>J30*J27</f>
        <v/>
      </c>
      <c r="K12" s="40">
        <f>K30*K27</f>
        <v/>
      </c>
      <c r="L12" s="40">
        <f>L30*L27</f>
        <v/>
      </c>
      <c r="M12" s="23" t="n"/>
      <c r="N12" s="24" t="inlineStr">
        <is>
          <t>10-K Filings (2020-25A); GS est (2026-27E) not using GS estimates because don't think they include GLP1 and SNAP analysis</t>
        </is>
      </c>
    </row>
    <row r="13">
      <c r="A13" s="51" t="inlineStr">
        <is>
          <t>Celsius Market Share</t>
        </is>
      </c>
      <c r="B13" s="16" t="n"/>
      <c r="C13" s="31">
        <f>C27/C5</f>
        <v/>
      </c>
      <c r="D13" s="31">
        <f>D27/D5</f>
        <v/>
      </c>
      <c r="E13" s="31">
        <f>E27/E5</f>
        <v/>
      </c>
      <c r="F13" s="31">
        <f>F27/F5</f>
        <v/>
      </c>
      <c r="G13" s="31">
        <f>G27/G5</f>
        <v/>
      </c>
      <c r="H13" s="31">
        <f>H27/H5</f>
        <v/>
      </c>
      <c r="I13" s="31">
        <f>I27/I5</f>
        <v/>
      </c>
      <c r="J13" s="31">
        <f>J27/J5</f>
        <v/>
      </c>
      <c r="K13" s="31">
        <f>K27/K5</f>
        <v/>
      </c>
      <c r="L13" s="31">
        <f>L27/L5</f>
        <v/>
      </c>
      <c r="M13" s="16" t="n"/>
      <c r="N13" s="16" t="n"/>
    </row>
    <row r="14">
      <c r="A14" s="50" t="inlineStr">
        <is>
          <t>Celsius Revenue Growth</t>
        </is>
      </c>
      <c r="B14" s="16" t="n"/>
      <c r="C14" s="38" t="n"/>
      <c r="D14" s="38">
        <f>(D12-C12)/C12</f>
        <v/>
      </c>
      <c r="E14" s="38">
        <f>(E12-D12)/D12</f>
        <v/>
      </c>
      <c r="F14" s="38">
        <f>(F12-E12)/E12</f>
        <v/>
      </c>
      <c r="G14" s="38">
        <f>(G12-F12)/F12</f>
        <v/>
      </c>
      <c r="H14" s="38">
        <f>(H12-G12)/G12</f>
        <v/>
      </c>
      <c r="I14" s="38">
        <f>(I12-H12)/H12</f>
        <v/>
      </c>
      <c r="J14" s="38">
        <f>(J12-I12)/I12</f>
        <v/>
      </c>
      <c r="K14" s="38">
        <f>(K12-J12)/J12</f>
        <v/>
      </c>
      <c r="L14" s="38">
        <f>(L12-K12)/K12</f>
        <v/>
      </c>
      <c r="M14" s="39" t="n"/>
      <c r="N14" s="16" t="n"/>
    </row>
    <row r="15">
      <c r="A15" s="18" t="inlineStr">
        <is>
          <t>CELH Portfolio Volume</t>
        </is>
      </c>
      <c r="B15" s="18" t="n"/>
      <c r="C15" s="18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6" t="n"/>
      <c r="N15" s="16" t="n"/>
    </row>
    <row r="16">
      <c r="A16" s="51" t="inlineStr">
        <is>
          <t>Celsius Unit Volume</t>
        </is>
      </c>
      <c r="B16" s="29" t="n">
        <v>46</v>
      </c>
      <c r="C16" s="29" t="n">
        <v>146</v>
      </c>
      <c r="D16" s="29" t="n">
        <v>281</v>
      </c>
      <c r="E16" s="29" t="n">
        <v>605</v>
      </c>
      <c r="F16" s="29" t="n">
        <v>597</v>
      </c>
      <c r="G16" s="30">
        <f>F16*(1+G17)</f>
        <v/>
      </c>
      <c r="H16" s="30">
        <f>G16*(1+H17)</f>
        <v/>
      </c>
      <c r="I16" s="30">
        <f>H16*(1+I17)</f>
        <v/>
      </c>
      <c r="J16" s="30">
        <f>I16*(1+J17)</f>
        <v/>
      </c>
      <c r="K16" s="30">
        <f>J16*(1+K17)</f>
        <v/>
      </c>
      <c r="L16" s="30">
        <f>K16*(1+L17)</f>
        <v/>
      </c>
      <c r="M16" s="28" t="n"/>
      <c r="N16" s="32" t="inlineStr">
        <is>
          <t>NielsenIQ retail units (annualized 13-wk x4) via MNST Pres; Celsius brand only</t>
        </is>
      </c>
    </row>
    <row r="17">
      <c r="A17" s="50" t="inlineStr">
        <is>
          <t>Volume Growth</t>
        </is>
      </c>
      <c r="B17" s="29" t="n"/>
      <c r="C17" s="31" t="n"/>
      <c r="D17" s="36">
        <f>D16/C16-1</f>
        <v/>
      </c>
      <c r="E17" s="36">
        <f>E16/D16-1</f>
        <v/>
      </c>
      <c r="F17" s="36">
        <f>F16/E16-1</f>
        <v/>
      </c>
      <c r="G17" s="36">
        <f>G7</f>
        <v/>
      </c>
      <c r="H17" s="36">
        <f>H7</f>
        <v/>
      </c>
      <c r="I17" s="36">
        <f>I7</f>
        <v/>
      </c>
      <c r="J17" s="36">
        <f>J7</f>
        <v/>
      </c>
      <c r="K17" s="36">
        <f>K7</f>
        <v/>
      </c>
      <c r="L17" s="36">
        <f>L7</f>
        <v/>
      </c>
      <c r="M17" s="28" t="n"/>
      <c r="N17" s="32" t="inlineStr">
        <is>
          <t xml:space="preserve"> vc vdf</t>
        </is>
      </c>
    </row>
    <row r="18">
      <c r="A18" s="51" t="inlineStr">
        <is>
          <t>Alani Unit Volume</t>
        </is>
      </c>
      <c r="B18" s="29" t="n">
        <v>10</v>
      </c>
      <c r="C18" s="29" t="n">
        <v>62</v>
      </c>
      <c r="D18" s="29" t="n">
        <v>102</v>
      </c>
      <c r="E18" s="29" t="n">
        <v>167</v>
      </c>
      <c r="F18" s="29" t="n">
        <v>272</v>
      </c>
      <c r="G18" s="30">
        <f>F18*(1+G20)</f>
        <v/>
      </c>
      <c r="H18" s="30">
        <f>G18*(1+H20)</f>
        <v/>
      </c>
      <c r="I18" s="30">
        <f>H18*(1+I20)</f>
        <v/>
      </c>
      <c r="J18" s="30">
        <f>I18*(1+J20)</f>
        <v/>
      </c>
      <c r="K18" s="30">
        <f>J18*(1+K20)</f>
        <v/>
      </c>
      <c r="L18" s="30">
        <f>K18*(1+L20)</f>
        <v/>
      </c>
      <c r="M18" s="28" t="n"/>
      <c r="N18" s="32" t="inlineStr">
        <is>
          <t>NielsenIQ retail units annualized 13-wk x4 via MNST Pres; 2020 back-calc from 2021 YoY</t>
        </is>
      </c>
    </row>
    <row r="19">
      <c r="A19" s="52" t="inlineStr">
        <is>
          <t>Alani Sell In Units</t>
        </is>
      </c>
      <c r="B19" s="41" t="n">
        <v>0</v>
      </c>
      <c r="C19" s="42" t="n">
        <v>0</v>
      </c>
      <c r="D19" s="42" t="n">
        <v>0</v>
      </c>
      <c r="E19" s="42" t="n">
        <v>0</v>
      </c>
      <c r="F19" s="42" t="n">
        <v>0</v>
      </c>
      <c r="G19" s="42" t="n">
        <v>0</v>
      </c>
      <c r="H19" s="42">
        <f>IF($D$41&gt;=3,$D$45/$D$41,0)</f>
        <v/>
      </c>
      <c r="I19" s="42">
        <f>IF($D$41&gt;=3,$D$45/$D$41,0)</f>
        <v/>
      </c>
      <c r="J19" s="42">
        <f>IF($D$41&gt;=3,$D$45/$D$41,0)</f>
        <v/>
      </c>
      <c r="K19" s="42" t="n">
        <v>0</v>
      </c>
      <c r="L19" s="42" t="n">
        <v>0</v>
      </c>
      <c r="M19" s="16" t="n"/>
      <c r="N19" s="32" t="inlineStr">
        <is>
          <t>Formula: Pipeline fill (Yr 1) + ACV new door stocking / transition duration. All inputs in rows 39-45.</t>
        </is>
      </c>
    </row>
    <row r="20">
      <c r="A20" s="50" t="inlineStr">
        <is>
          <t>Volume Growth</t>
        </is>
      </c>
      <c r="B20" s="29" t="n"/>
      <c r="C20" s="57" t="inlineStr">
        <is>
          <t>--</t>
        </is>
      </c>
      <c r="D20" s="36">
        <f>D18/C18-1</f>
        <v/>
      </c>
      <c r="E20" s="36">
        <f>E18/D18-1</f>
        <v/>
      </c>
      <c r="F20" s="36">
        <f>F18/E18-1</f>
        <v/>
      </c>
      <c r="G20" s="36">
        <f>G17</f>
        <v/>
      </c>
      <c r="H20" s="36">
        <f>H17</f>
        <v/>
      </c>
      <c r="I20" s="36">
        <f>I17</f>
        <v/>
      </c>
      <c r="J20" s="36">
        <f>J17</f>
        <v/>
      </c>
      <c r="K20" s="36">
        <f>K17</f>
        <v/>
      </c>
      <c r="L20" s="36">
        <f>L17</f>
        <v/>
      </c>
      <c r="M20" s="28" t="n"/>
      <c r="N20" s="32" t="inlineStr">
        <is>
          <t>Assuming growth at rate of market (consider adjusting for GLP1 use)</t>
        </is>
      </c>
    </row>
    <row r="21">
      <c r="A21" s="50" t="inlineStr">
        <is>
          <t>% of Year Owned</t>
        </is>
      </c>
      <c r="B21" s="29" t="n"/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0.75</v>
      </c>
      <c r="H21" s="35" t="n">
        <v>1</v>
      </c>
      <c r="I21" s="35" t="n">
        <v>1</v>
      </c>
      <c r="J21" s="35" t="n">
        <v>1</v>
      </c>
      <c r="K21" s="35" t="n">
        <v>1</v>
      </c>
      <c r="L21" s="35" t="n">
        <v>1</v>
      </c>
      <c r="M21" s="28" t="n"/>
      <c r="N21" s="32" t="inlineStr">
        <is>
          <t>2024 assuming 75% Alani volume since acquired april 1 and 33% rockstar since acquired August 29</t>
        </is>
      </c>
    </row>
    <row r="22">
      <c r="A22" s="51" t="inlineStr">
        <is>
          <t>Rockstar Unit Volume</t>
        </is>
      </c>
      <c r="B22" s="29" t="n">
        <v>371</v>
      </c>
      <c r="C22" s="29" t="n">
        <v>340</v>
      </c>
      <c r="D22" s="29" t="n">
        <v>313</v>
      </c>
      <c r="E22" s="29" t="n">
        <v>290</v>
      </c>
      <c r="F22" s="29" t="n">
        <v>236</v>
      </c>
      <c r="G22" s="41">
        <f>F22*(1+G23)</f>
        <v/>
      </c>
      <c r="H22" s="41">
        <f>G22*(1+H23)</f>
        <v/>
      </c>
      <c r="I22" s="41">
        <f>H22*(1+I23)</f>
        <v/>
      </c>
      <c r="J22" s="41">
        <f>I22*(1+J23)</f>
        <v/>
      </c>
      <c r="K22" s="41">
        <f>J22*(1+K23)</f>
        <v/>
      </c>
      <c r="L22" s="41">
        <f>K22*(1+L23)</f>
        <v/>
      </c>
      <c r="M22" s="28" t="n"/>
      <c r="N22" s="32" t="inlineStr">
        <is>
          <t>NielsenIQ retail units annualized 13-wk x4 via MNST Pres; 2020 back-calc from 2021 YoY</t>
        </is>
      </c>
    </row>
    <row r="23">
      <c r="A23" s="50" t="inlineStr">
        <is>
          <t>Volume Growth</t>
        </is>
      </c>
      <c r="B23" s="50" t="n"/>
      <c r="C23" s="29" t="n"/>
      <c r="D23" s="36">
        <f>D22/C22-1</f>
        <v/>
      </c>
      <c r="E23" s="36">
        <f>E22/D22-1</f>
        <v/>
      </c>
      <c r="F23" s="36">
        <f>F22/E22-1</f>
        <v/>
      </c>
      <c r="G23" s="36">
        <f>G20</f>
        <v/>
      </c>
      <c r="H23" s="36">
        <f>H20</f>
        <v/>
      </c>
      <c r="I23" s="36">
        <f>I20</f>
        <v/>
      </c>
      <c r="J23" s="36">
        <f>J20</f>
        <v/>
      </c>
      <c r="K23" s="36">
        <f>K20</f>
        <v/>
      </c>
      <c r="L23" s="36">
        <f>L20</f>
        <v/>
      </c>
      <c r="M23" s="28" t="n"/>
      <c r="N23" s="32" t="inlineStr">
        <is>
          <t>Assuming growth at rate of market (consider adjusting for GLP1 use)</t>
        </is>
      </c>
    </row>
    <row r="24">
      <c r="A24" s="50" t="inlineStr">
        <is>
          <t>% of Year Owned</t>
        </is>
      </c>
      <c r="B24" s="50" t="n"/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0.33</v>
      </c>
      <c r="H24" s="35" t="n">
        <v>1</v>
      </c>
      <c r="I24" s="35" t="n">
        <v>1</v>
      </c>
      <c r="J24" s="35" t="n">
        <v>1</v>
      </c>
      <c r="K24" s="35" t="n">
        <v>1</v>
      </c>
      <c r="L24" s="35" t="n">
        <v>1</v>
      </c>
      <c r="M24" s="28" t="n"/>
      <c r="N24" s="32" t="n"/>
    </row>
    <row r="25">
      <c r="A25" s="50" t="inlineStr">
        <is>
          <t>GLP1 Unit Adjustment</t>
        </is>
      </c>
      <c r="B25" s="50" t="n"/>
      <c r="C25" s="43" t="n"/>
      <c r="D25" s="43" t="n"/>
      <c r="E25" s="43" t="n"/>
      <c r="F25" s="43" t="n"/>
      <c r="G25" s="43" t="n"/>
      <c r="H25" s="44">
        <f>'[1]GLP-1 Share Impact'!C22</f>
        <v/>
      </c>
      <c r="I25" s="44">
        <f>'[1]GLP-1 Share Impact'!D22</f>
        <v/>
      </c>
      <c r="J25" s="44">
        <f>'[1]GLP-1 Share Impact'!E22</f>
        <v/>
      </c>
      <c r="K25" s="44">
        <f>'[1]GLP-1 Share Impact'!F22</f>
        <v/>
      </c>
      <c r="L25" s="44">
        <f>'[1]GLP-1 Share Impact'!G22</f>
        <v/>
      </c>
      <c r="M25" s="28" t="n"/>
      <c r="N25" s="32" t="n"/>
    </row>
    <row r="26">
      <c r="A26" s="50" t="inlineStr">
        <is>
          <t>Celsius Units Lost SNAP Ban</t>
        </is>
      </c>
      <c r="B26" s="50" t="n"/>
      <c r="C26" s="43" t="n"/>
      <c r="D26" s="43" t="n"/>
      <c r="E26" s="43" t="n"/>
      <c r="F26" s="43" t="n"/>
      <c r="G26" s="43" t="n"/>
      <c r="H26" s="44">
        <f>'[1]SNAP Ban Impact'!D34</f>
        <v/>
      </c>
      <c r="I26" s="44">
        <f>'[1]SNAP Ban Impact'!E34</f>
        <v/>
      </c>
      <c r="J26" s="44">
        <f>'[1]SNAP Ban Impact'!F34</f>
        <v/>
      </c>
      <c r="K26" s="44">
        <f>'[1]SNAP Ban Impact'!G34</f>
        <v/>
      </c>
      <c r="L26" s="44">
        <f>'[1]SNAP Ban Impact'!H34</f>
        <v/>
      </c>
      <c r="M26" s="28" t="n"/>
      <c r="N26" s="32" t="n"/>
    </row>
    <row r="27" ht="15.75" customHeight="1">
      <c r="A27" s="53" t="inlineStr">
        <is>
          <t>Total Celsius Unit Volume</t>
        </is>
      </c>
      <c r="B27" s="53" t="n"/>
      <c r="C27" s="45">
        <f>C16+C21*(C18+C19)+C24*C22+C25</f>
        <v/>
      </c>
      <c r="D27" s="45">
        <f>D16+D21*(D18+D19)+D24*D22+D25</f>
        <v/>
      </c>
      <c r="E27" s="45">
        <f>E16+E21*(E18+E19)+E24*E22+E25</f>
        <v/>
      </c>
      <c r="F27" s="45">
        <f>F16+F21*(F18+F19)+F24*F22+F25</f>
        <v/>
      </c>
      <c r="G27" s="45">
        <f>G16+G21*(G18+G19)+G24*G22+G25</f>
        <v/>
      </c>
      <c r="H27" s="45">
        <f>H16+H21*(H18+H19)+H24*H22+H25-H26</f>
        <v/>
      </c>
      <c r="I27" s="45">
        <f>I16+I21*(I18+I19)+I24*I22+I25-I26</f>
        <v/>
      </c>
      <c r="J27" s="45">
        <f>J16+J21*(J18+J19)+J24*J22+J25-J26</f>
        <v/>
      </c>
      <c r="K27" s="45">
        <f>K16+K21*(K18+K19)+K24*K22+K25-K26</f>
        <v/>
      </c>
      <c r="L27" s="45">
        <f>L16+L21*(L18+L19)+L24*L22+L25-L26</f>
        <v/>
      </c>
      <c r="M27" s="16" t="n"/>
      <c r="N27" s="16" t="inlineStr">
        <is>
          <t xml:space="preserve">For projections consider factoring in GLP-1 usage as reason for taking market share (0 cal health focused brand vs monster / red bull). </t>
        </is>
      </c>
    </row>
    <row r="28">
      <c r="A28" s="51" t="inlineStr">
        <is>
          <t>Est. Retail Revenue</t>
        </is>
      </c>
      <c r="B28" s="51" t="n"/>
      <c r="C28" s="46">
        <f>C27*C9</f>
        <v/>
      </c>
      <c r="D28" s="46">
        <f>D27*D9</f>
        <v/>
      </c>
      <c r="E28" s="46">
        <f>E27*E9</f>
        <v/>
      </c>
      <c r="F28" s="46">
        <f>F27*F9</f>
        <v/>
      </c>
      <c r="G28" s="46">
        <f>G27*G9</f>
        <v/>
      </c>
      <c r="H28" s="46">
        <f>H27*H9</f>
        <v/>
      </c>
      <c r="I28" s="46">
        <f>I27*I9</f>
        <v/>
      </c>
      <c r="J28" s="46">
        <f>J27*J9</f>
        <v/>
      </c>
      <c r="K28" s="46">
        <f>K27*K9</f>
        <v/>
      </c>
      <c r="L28" s="46">
        <f>L27*L9</f>
        <v/>
      </c>
      <c r="M28" s="16" t="n"/>
      <c r="N28" s="16" t="n"/>
    </row>
    <row r="29">
      <c r="A29" s="51" t="inlineStr">
        <is>
          <t>Wholesale / Retail Ratio</t>
        </is>
      </c>
      <c r="B29" s="51" t="n"/>
      <c r="C29" s="47">
        <f>C12/C28</f>
        <v/>
      </c>
      <c r="D29" s="47">
        <f>D12/D28</f>
        <v/>
      </c>
      <c r="E29" s="47">
        <f>E12/E28</f>
        <v/>
      </c>
      <c r="F29" s="47">
        <f>F12/F28</f>
        <v/>
      </c>
      <c r="G29" s="47">
        <f>G12/G28</f>
        <v/>
      </c>
      <c r="H29" s="47">
        <f>AVERAGE(C29:G29)</f>
        <v/>
      </c>
      <c r="I29" s="47">
        <f>H29</f>
        <v/>
      </c>
      <c r="J29" s="47">
        <f>I29</f>
        <v/>
      </c>
      <c r="K29" s="47">
        <f>J29</f>
        <v/>
      </c>
      <c r="L29" s="47">
        <f>K29</f>
        <v/>
      </c>
      <c r="M29" s="16" t="n"/>
      <c r="N29" s="16" t="n"/>
    </row>
    <row r="30">
      <c r="A30" s="51" t="inlineStr">
        <is>
          <t>Approximate Wholesale Cost per Unit</t>
        </is>
      </c>
      <c r="B30" s="51" t="n"/>
      <c r="C30" s="37">
        <f>C29*C9</f>
        <v/>
      </c>
      <c r="D30" s="37">
        <f>D29*D9</f>
        <v/>
      </c>
      <c r="E30" s="37">
        <f>E29*E9</f>
        <v/>
      </c>
      <c r="F30" s="37">
        <f>F29*F9</f>
        <v/>
      </c>
      <c r="G30" s="37">
        <f>G29*G9</f>
        <v/>
      </c>
      <c r="H30" s="37">
        <f>H29*H9</f>
        <v/>
      </c>
      <c r="I30" s="37">
        <f>I29*I9</f>
        <v/>
      </c>
      <c r="J30" s="37">
        <f>J29*J9</f>
        <v/>
      </c>
      <c r="K30" s="37">
        <f>K29*K9</f>
        <v/>
      </c>
      <c r="L30" s="37">
        <f>L29*L9</f>
        <v/>
      </c>
      <c r="M30" s="16" t="n"/>
      <c r="N30" s="32" t="inlineStr">
        <is>
          <t>Going to be slightly off given the way we are forecasting (explains reason it drops slightly in projection period</t>
        </is>
      </c>
    </row>
    <row r="31">
      <c r="A31" s="51" t="inlineStr">
        <is>
          <t>Celsius Total TAM</t>
        </is>
      </c>
      <c r="B31" s="51" t="n"/>
      <c r="C31" s="31" t="n"/>
      <c r="D31" s="31" t="n"/>
      <c r="E31" s="31" t="n"/>
      <c r="F31" s="31">
        <f>F27/F5</f>
        <v/>
      </c>
      <c r="G31" s="31">
        <f>G27/G5</f>
        <v/>
      </c>
      <c r="H31" s="31">
        <f>H27/H5</f>
        <v/>
      </c>
      <c r="I31" s="31">
        <f>I27/I5</f>
        <v/>
      </c>
      <c r="J31" s="31">
        <f>J27/J5</f>
        <v/>
      </c>
      <c r="K31" s="31">
        <f>K27/K5</f>
        <v/>
      </c>
      <c r="L31" s="31">
        <f>L27/L5</f>
        <v/>
      </c>
      <c r="M31" s="16" t="n"/>
      <c r="N31" s="16" t="n"/>
    </row>
    <row r="32">
      <c r="A32" s="52" t="inlineStr">
        <is>
          <t>Celsius 0 Sugar TAM</t>
        </is>
      </c>
      <c r="B32" s="52" t="n"/>
      <c r="C32" s="16" t="n"/>
      <c r="D32" s="16" t="n"/>
      <c r="E32" s="16" t="n"/>
      <c r="F32" s="48" t="n"/>
      <c r="G32" s="48" t="n">
        <v>0.33</v>
      </c>
      <c r="H32" s="48" t="n"/>
      <c r="I32" s="48" t="n"/>
      <c r="J32" s="48" t="n"/>
      <c r="K32" s="48" t="n"/>
      <c r="L32" s="48" t="n"/>
      <c r="M32" s="16" t="n"/>
      <c r="N32" s="32" t="n"/>
    </row>
    <row r="33">
      <c r="G33" s="41" t="n">
        <v>0</v>
      </c>
    </row>
    <row r="38">
      <c r="A38" s="54" t="inlineStr">
        <is>
          <t>ALANI SELL-IN ASSUMPTIONS</t>
        </is>
      </c>
      <c r="B38" s="54" t="n"/>
      <c r="C38" s="16" t="n"/>
      <c r="D38" s="16" t="n"/>
    </row>
    <row r="39">
      <c r="A39" s="55" t="inlineStr">
        <is>
          <t>Avg Units per New Door (initial stock)</t>
        </is>
      </c>
      <c r="B39" s="55" t="n"/>
      <c r="C39" s="16" t="n"/>
      <c r="D39" s="29" t="n">
        <v>50</v>
      </c>
    </row>
    <row r="40">
      <c r="A40" s="55" t="inlineStr">
        <is>
          <t>Pipeline Fill (weeks of sell-through)</t>
        </is>
      </c>
      <c r="B40" s="55" t="n"/>
      <c r="C40" s="16" t="n"/>
      <c r="D40" s="29" t="n">
        <v>3</v>
      </c>
    </row>
    <row r="41">
      <c r="A41" s="55" t="inlineStr">
        <is>
          <t>Transition Duration (years to target ACV)</t>
        </is>
      </c>
      <c r="B41" s="55" t="n"/>
      <c r="C41" s="16" t="n"/>
      <c r="D41" s="29" t="n">
        <v>3</v>
      </c>
    </row>
    <row r="42">
      <c r="A42" s="55" t="n"/>
      <c r="B42" s="55" t="n"/>
      <c r="C42" s="16" t="n"/>
      <c r="D42" s="56" t="n">
        <v>0.9399999999999999</v>
      </c>
    </row>
    <row r="43">
      <c r="A43" s="55" t="n"/>
      <c r="B43" s="55" t="n"/>
      <c r="C43" s="16" t="n"/>
      <c r="D43" s="56" t="n">
        <v>0.86</v>
      </c>
    </row>
    <row r="44">
      <c r="A44" s="55" t="inlineStr">
        <is>
          <t>ACV Gap (new doors to stock)</t>
        </is>
      </c>
      <c r="B44" s="55" t="n"/>
      <c r="C44" s="16" t="n"/>
      <c r="D44" s="41">
        <f>($D$42-$D$43)*350000</f>
        <v/>
      </c>
    </row>
    <row r="45">
      <c r="A45" s="55" t="inlineStr">
        <is>
          <t>New Door Sell-In (M units, total over transition)</t>
        </is>
      </c>
      <c r="B45" s="55" t="n"/>
      <c r="C45" s="16" t="n"/>
      <c r="D45" s="42">
        <f>$D$44*$D$39/1000000</f>
        <v/>
      </c>
    </row>
    <row r="46">
      <c r="A46" s="55" t="inlineStr">
        <is>
          <t>Pipeline Fill (M units, one-time in Year 1)</t>
        </is>
      </c>
      <c r="B46" s="55" t="n"/>
      <c r="C46" s="16" t="n"/>
      <c r="D46" s="42">
        <f>$D$47/52*$D$40</f>
        <v/>
      </c>
    </row>
    <row r="47">
      <c r="A47" s="55" t="inlineStr">
        <is>
          <t>Alani Annual Sell-Through Volume (M units)</t>
        </is>
      </c>
      <c r="B47" s="55" t="n"/>
      <c r="C47" s="16" t="n"/>
      <c r="D47" s="41">
        <f>G21</f>
        <v/>
      </c>
    </row>
    <row r="49">
      <c r="A49" s="55" t="inlineStr">
        <is>
          <t>Look in tables and footnotes to see if they report change in sales form Rockstar and Alani and geography</t>
        </is>
      </c>
    </row>
    <row r="50">
      <c r="A50" s="55" t="inlineStr">
        <is>
          <t>MD&amp;A will be most of this</t>
        </is>
      </c>
    </row>
    <row r="51">
      <c r="A51" s="55" t="inlineStr">
        <is>
          <t>Celsiyus 10K Alani &amp; Rockstar Total Consolidated Asset and Revenue breakdown</t>
        </is>
      </c>
    </row>
    <row r="52">
      <c r="A52" s="55" t="inlineStr">
        <is>
          <t>SG&amp;A and Gross Margin Bridge in 10K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2026-04-29T16:25:01Z</dcterms:created>
  <dcterms:modified xmlns:dcterms="http://purl.org/dc/terms/" xmlns:xsi="http://www.w3.org/2001/XMLSchema-instance" xsi:type="dcterms:W3CDTF">2026-05-05T02:34:24Z</dcterms:modified>
  <cp:lastModifiedBy>Gabriel Rodino</cp:lastModifiedBy>
</cp:coreProperties>
</file>