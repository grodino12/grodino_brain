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visible" r:id="rId5"/>
    <sheet xmlns:r="http://schemas.openxmlformats.org/officeDocument/2006/relationships" name="YTD BS" sheetId="6" state="visible" r:id="rId6"/>
    <sheet xmlns:r="http://schemas.openxmlformats.org/officeDocument/2006/relationships" name="YTD CF" sheetId="7" state="visible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-&quot;"/>
    <numFmt numFmtId="165" formatCode="$#,##0_);($#,##0);&quot;$--&quot;_)"/>
    <numFmt numFmtId="166" formatCode="0.0%;(0.0%);&quot;--&quot;"/>
    <numFmt numFmtId="167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0" fontId="0" fillId="4" borderId="0" pivotButton="0" quotePrefix="0" xfId="0"/>
    <xf numFmtId="164" fontId="0" fillId="3" borderId="0" pivotButton="0" quotePrefix="0" xfId="0"/>
    <xf numFmtId="166" fontId="0" fillId="0" borderId="0" pivotButton="0" quotePrefix="0" xfId="0"/>
    <xf numFmtId="166" fontId="0" fillId="4" borderId="0" pivotButton="0" quotePrefix="0" xfId="0"/>
    <xf numFmtId="164" fontId="0" fillId="4" borderId="0" pivotButton="0" quotePrefix="0" xfId="0"/>
    <xf numFmtId="167" fontId="0" fillId="0" borderId="0" pivotButton="0" quotePrefix="0" xfId="0"/>
    <xf numFmtId="167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8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Sales / Revenue</t>
        </is>
      </c>
      <c r="B2" s="4" t="n">
        <v>314272</v>
      </c>
      <c r="C2" s="4" t="n">
        <v>653604</v>
      </c>
      <c r="D2" s="4" t="n">
        <v>1318014</v>
      </c>
      <c r="E2" s="4" t="n">
        <v>1355630</v>
      </c>
      <c r="F2" s="4" t="n">
        <v>2515269</v>
      </c>
      <c r="G2" s="9">
        <f>'QTR P&amp;L'!R2+'QTR P&amp;L'!S2+'QTR P&amp;L'!T2+'QTR P&amp;L'!U2</f>
        <v/>
      </c>
      <c r="H2" s="9">
        <f>'QTR P&amp;L'!V2+'QTR P&amp;L'!W2+'QTR P&amp;L'!X2+'QTR P&amp;L'!Y2</f>
        <v/>
      </c>
      <c r="I2" s="9">
        <f>'QTR P&amp;L'!Z2+'QTR P&amp;L'!AA2+'QTR P&amp;L'!AB2+'QTR P&amp;L'!AC2</f>
        <v/>
      </c>
      <c r="J2" s="9">
        <f>'QTR P&amp;L'!AD2+'QTR P&amp;L'!AE2+'QTR P&amp;L'!AF2+'QTR P&amp;L'!AG2</f>
        <v/>
      </c>
      <c r="K2" s="5" t="n"/>
      <c r="L2" s="5" t="n"/>
    </row>
    <row r="3">
      <c r="A3" s="3" t="inlineStr">
        <is>
          <t>COGS</t>
        </is>
      </c>
      <c r="B3" s="4" t="n">
        <v>-186103</v>
      </c>
      <c r="C3" s="4" t="n">
        <v>-382735</v>
      </c>
      <c r="D3" s="4" t="n">
        <v>-684875</v>
      </c>
      <c r="E3" s="4" t="n">
        <v>-675423</v>
      </c>
      <c r="F3" s="4" t="n">
        <v>-1247936</v>
      </c>
      <c r="G3" s="9">
        <f>'QTR P&amp;L'!R3+'QTR P&amp;L'!S3+'QTR P&amp;L'!T3+'QTR P&amp;L'!U3</f>
        <v/>
      </c>
      <c r="H3" s="9">
        <f>'QTR P&amp;L'!V3+'QTR P&amp;L'!W3+'QTR P&amp;L'!X3+'QTR P&amp;L'!Y3</f>
        <v/>
      </c>
      <c r="I3" s="9">
        <f>'QTR P&amp;L'!Z3+'QTR P&amp;L'!AA3+'QTR P&amp;L'!AB3+'QTR P&amp;L'!AC3</f>
        <v/>
      </c>
      <c r="J3" s="9">
        <f>'QTR P&amp;L'!AD3+'QTR P&amp;L'!AE3+'QTR P&amp;L'!AF3+'QTR P&amp;L'!AG3</f>
        <v/>
      </c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-132259</v>
      </c>
      <c r="C5" s="4" t="n">
        <v>-428670</v>
      </c>
      <c r="D5" s="4" t="n">
        <v>-366773</v>
      </c>
      <c r="E5" s="4" t="n">
        <v>-524479</v>
      </c>
      <c r="F5" s="4" t="n">
        <v>-798810</v>
      </c>
      <c r="G5" s="9">
        <f>'QTR P&amp;L'!R5+'QTR P&amp;L'!S5+'QTR P&amp;L'!T5+'QTR P&amp;L'!U5</f>
        <v/>
      </c>
      <c r="H5" s="9">
        <f>'QTR P&amp;L'!V5+'QTR P&amp;L'!W5+'QTR P&amp;L'!X5+'QTR P&amp;L'!Y5</f>
        <v/>
      </c>
      <c r="I5" s="9">
        <f>'QTR P&amp;L'!Z5+'QTR P&amp;L'!AA5+'QTR P&amp;L'!AB5+'QTR P&amp;L'!AC5</f>
        <v/>
      </c>
      <c r="J5" s="9">
        <f>'QTR P&amp;L'!AD5+'QTR P&amp;L'!AE5+'QTR P&amp;L'!AF5+'QTR P&amp;L'!AG5</f>
        <v/>
      </c>
      <c r="K5" s="5" t="n"/>
      <c r="L5" s="5" t="n"/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-327461</v>
      </c>
      <c r="G6" s="9">
        <f>'QTR P&amp;L'!R6+'QTR P&amp;L'!S6+'QTR P&amp;L'!T6+'QTR P&amp;L'!U6</f>
        <v/>
      </c>
      <c r="H6" s="9">
        <f>'QTR P&amp;L'!V6+'QTR P&amp;L'!W6+'QTR P&amp;L'!X6+'QTR P&amp;L'!Y6</f>
        <v/>
      </c>
      <c r="I6" s="9">
        <f>'QTR P&amp;L'!Z6+'QTR P&amp;L'!AA6+'QTR P&amp;L'!AB6+'QTR P&amp;L'!AC6</f>
        <v/>
      </c>
      <c r="J6" s="9">
        <f>'QTR P&amp;L'!AD6+'QTR P&amp;L'!AE6+'QTR P&amp;L'!AF6+'QTR P&amp;L'!AG6</f>
        <v/>
      </c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307</v>
      </c>
      <c r="C8" s="4" t="n">
        <v>5529</v>
      </c>
      <c r="D8" s="4" t="n">
        <v>26629</v>
      </c>
      <c r="E8" s="4" t="n">
        <v>39263</v>
      </c>
      <c r="F8" s="4" t="n">
        <v>-27892</v>
      </c>
      <c r="G8" s="9">
        <f>'QTR P&amp;L'!R8+'QTR P&amp;L'!S8+'QTR P&amp;L'!T8+'QTR P&amp;L'!U8</f>
        <v/>
      </c>
      <c r="H8" s="9">
        <f>'QTR P&amp;L'!V8+'QTR P&amp;L'!W8+'QTR P&amp;L'!X8+'QTR P&amp;L'!Y8</f>
        <v/>
      </c>
      <c r="I8" s="9">
        <f>'QTR P&amp;L'!Z8+'QTR P&amp;L'!AA8+'QTR P&amp;L'!AB8+'QTR P&amp;L'!AC8</f>
        <v/>
      </c>
      <c r="J8" s="9">
        <f>'QTR P&amp;L'!AD8+'QTR P&amp;L'!AE8+'QTR P&amp;L'!AF8+'QTR P&amp;L'!AG8</f>
        <v/>
      </c>
      <c r="K8" s="5" t="n"/>
      <c r="L8" s="5" t="n"/>
    </row>
    <row r="9">
      <c r="A9" s="3" t="inlineStr">
        <is>
          <t>Foreign Currency Gain (Loss)</t>
        </is>
      </c>
      <c r="B9" s="4" t="n">
        <v>-276</v>
      </c>
      <c r="C9" s="4" t="n">
        <v>-392</v>
      </c>
      <c r="D9" s="4" t="n">
        <v>-1246</v>
      </c>
      <c r="E9" s="4" t="n">
        <v>-1734</v>
      </c>
      <c r="F9" s="4" t="n">
        <v>0</v>
      </c>
      <c r="G9" s="9">
        <f>'QTR P&amp;L'!R9+'QTR P&amp;L'!S9+'QTR P&amp;L'!T9+'QTR P&amp;L'!U9</f>
        <v/>
      </c>
      <c r="H9" s="9">
        <f>'QTR P&amp;L'!V9+'QTR P&amp;L'!W9+'QTR P&amp;L'!X9+'QTR P&amp;L'!Y9</f>
        <v/>
      </c>
      <c r="I9" s="9">
        <f>'QTR P&amp;L'!Z9+'QTR P&amp;L'!AA9+'QTR P&amp;L'!AB9+'QTR P&amp;L'!AC9</f>
        <v/>
      </c>
      <c r="J9" s="9">
        <f>'QTR P&amp;L'!AD9+'QTR P&amp;L'!AE9+'QTR P&amp;L'!AF9+'QTR P&amp;L'!AG9</f>
        <v/>
      </c>
      <c r="K9" s="5" t="n"/>
      <c r="L9" s="5" t="n"/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1793</v>
      </c>
      <c r="F10" s="4" t="n">
        <v>11863</v>
      </c>
      <c r="G10" s="9">
        <f>'QTR P&amp;L'!R10+'QTR P&amp;L'!S10+'QTR P&amp;L'!T10+'QTR P&amp;L'!U10</f>
        <v/>
      </c>
      <c r="H10" s="9">
        <f>'QTR P&amp;L'!V10+'QTR P&amp;L'!W10+'QTR P&amp;L'!X10+'QTR P&amp;L'!Y10</f>
        <v/>
      </c>
      <c r="I10" s="9">
        <f>'QTR P&amp;L'!Z10+'QTR P&amp;L'!AA10+'QTR P&amp;L'!AB10+'QTR P&amp;L'!AC10</f>
        <v/>
      </c>
      <c r="J10" s="9">
        <f>'QTR P&amp;L'!AD10+'QTR P&amp;L'!AE10+'QTR P&amp;L'!AF10+'QTR P&amp;L'!AG10</f>
        <v/>
      </c>
      <c r="K10" s="5" t="n"/>
      <c r="L10" s="5" t="n"/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7">
        <f>G7+SUM(G8:G10)</f>
        <v/>
      </c>
      <c r="H11" s="7">
        <f>H7+SUM(H8:H10)</f>
        <v/>
      </c>
      <c r="I11" s="7">
        <f>I7+SUM(I8:I10)</f>
        <v/>
      </c>
      <c r="J11" s="7">
        <f>J7+SUM(J8:J10)</f>
        <v/>
      </c>
      <c r="K11" s="7">
        <f>K7+SUM(K8:K10)</f>
        <v/>
      </c>
      <c r="L11" s="7">
        <f>L7+SUM(L8:L10)</f>
        <v/>
      </c>
    </row>
    <row r="12">
      <c r="A12" s="3" t="inlineStr">
        <is>
          <t>Income Tax (Expense) Benefit</t>
        </is>
      </c>
      <c r="B12" s="4" t="n">
        <v>7996</v>
      </c>
      <c r="C12" s="4" t="n">
        <v>-34618</v>
      </c>
      <c r="D12" s="4" t="n">
        <v>-64948</v>
      </c>
      <c r="E12" s="4" t="n">
        <v>-49976</v>
      </c>
      <c r="F12" s="4" t="n">
        <v>-17034</v>
      </c>
      <c r="G12" s="9">
        <f>'QTR P&amp;L'!R12+'QTR P&amp;L'!S12+'QTR P&amp;L'!T12+'QTR P&amp;L'!U12</f>
        <v/>
      </c>
      <c r="H12" s="9">
        <f>'QTR P&amp;L'!V12+'QTR P&amp;L'!W12+'QTR P&amp;L'!X12+'QTR P&amp;L'!Y12</f>
        <v/>
      </c>
      <c r="I12" s="9">
        <f>'QTR P&amp;L'!Z12+'QTR P&amp;L'!AA12+'QTR P&amp;L'!AB12+'QTR P&amp;L'!AC12</f>
        <v/>
      </c>
      <c r="J12" s="9">
        <f>'QTR P&amp;L'!AD12+'QTR P&amp;L'!AE12+'QTR P&amp;L'!AF12+'QTR P&amp;L'!AG12</f>
        <v/>
      </c>
      <c r="K12" s="5" t="n"/>
      <c r="L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7">
        <f>G11+G12</f>
        <v/>
      </c>
      <c r="H13" s="7">
        <f>H11+H12</f>
        <v/>
      </c>
      <c r="I13" s="7">
        <f>I11+I12</f>
        <v/>
      </c>
      <c r="J13" s="7">
        <f>J11+J12</f>
        <v/>
      </c>
      <c r="K13" s="7">
        <f>K11+K12</f>
        <v/>
      </c>
      <c r="L13" s="7">
        <f>L11+L12</f>
        <v/>
      </c>
    </row>
    <row r="14">
      <c r="A14" s="3" t="inlineStr">
        <is>
          <t>Preferred Dividends</t>
        </is>
      </c>
      <c r="B14" s="4" t="n">
        <v>0</v>
      </c>
      <c r="C14" s="4" t="n">
        <v>-11526</v>
      </c>
      <c r="D14" s="4" t="n">
        <v>-27462</v>
      </c>
      <c r="E14" s="4" t="n">
        <v>-27500</v>
      </c>
      <c r="F14" s="4" t="n">
        <v>-37608</v>
      </c>
      <c r="G14" s="9">
        <f>'QTR P&amp;L'!R14+'QTR P&amp;L'!S14+'QTR P&amp;L'!T14+'QTR P&amp;L'!U14</f>
        <v/>
      </c>
      <c r="H14" s="9">
        <f>'QTR P&amp;L'!V14+'QTR P&amp;L'!W14+'QTR P&amp;L'!X14+'QTR P&amp;L'!Y14</f>
        <v/>
      </c>
      <c r="I14" s="9">
        <f>'QTR P&amp;L'!Z14+'QTR P&amp;L'!AA14+'QTR P&amp;L'!AB14+'QTR P&amp;L'!AC14</f>
        <v/>
      </c>
      <c r="J14" s="9">
        <f>'QTR P&amp;L'!AD14+'QTR P&amp;L'!AE14+'QTR P&amp;L'!AF14+'QTR P&amp;L'!AG14</f>
        <v/>
      </c>
      <c r="K14" s="5" t="n"/>
      <c r="L14" s="5" t="n"/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17348</v>
      </c>
      <c r="E15" s="4" t="n">
        <v>10117</v>
      </c>
      <c r="F15" s="4" t="n">
        <v>6554</v>
      </c>
      <c r="G15" s="9">
        <f>'QTR P&amp;L'!R15+'QTR P&amp;L'!S15+'QTR P&amp;L'!T15+'QTR P&amp;L'!U15</f>
        <v/>
      </c>
      <c r="H15" s="9">
        <f>'QTR P&amp;L'!V15+'QTR P&amp;L'!W15+'QTR P&amp;L'!X15+'QTR P&amp;L'!Y15</f>
        <v/>
      </c>
      <c r="I15" s="9">
        <f>'QTR P&amp;L'!Z15+'QTR P&amp;L'!AA15+'QTR P&amp;L'!AB15+'QTR P&amp;L'!AC15</f>
        <v/>
      </c>
      <c r="J15" s="9">
        <f>'QTR P&amp;L'!AD15+'QTR P&amp;L'!AE15+'QTR P&amp;L'!AF15+'QTR P&amp;L'!AG15</f>
        <v/>
      </c>
      <c r="K15" s="5" t="n"/>
      <c r="L15" s="5" t="n"/>
    </row>
    <row r="16">
      <c r="A16" s="3" t="inlineStr">
        <is>
          <t>Net Income (Loss) Attributable to Common Shareholders</t>
        </is>
      </c>
      <c r="B16" s="4" t="n">
        <v>3937</v>
      </c>
      <c r="C16" s="4" t="n">
        <v>-198808</v>
      </c>
      <c r="D16" s="4" t="n">
        <v>181991</v>
      </c>
      <c r="E16" s="4" t="n">
        <v>107457</v>
      </c>
      <c r="F16" s="4" t="n">
        <v>63837</v>
      </c>
      <c r="G16" s="9">
        <f>'QTR P&amp;L'!R16+'QTR P&amp;L'!S16+'QTR P&amp;L'!T16+'QTR P&amp;L'!U16</f>
        <v/>
      </c>
      <c r="H16" s="9">
        <f>'QTR P&amp;L'!V16+'QTR P&amp;L'!W16+'QTR P&amp;L'!X16+'QTR P&amp;L'!Y16</f>
        <v/>
      </c>
      <c r="I16" s="9">
        <f>'QTR P&amp;L'!Z16+'QTR P&amp;L'!AA16+'QTR P&amp;L'!AB16+'QTR P&amp;L'!AC16</f>
        <v/>
      </c>
      <c r="J16" s="9">
        <f>'QTR P&amp;L'!AD16+'QTR P&amp;L'!AE16+'QTR P&amp;L'!AF16+'QTR P&amp;L'!AG16</f>
        <v/>
      </c>
      <c r="K16" s="5" t="n"/>
      <c r="L16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FY2026E</t>
        </is>
      </c>
      <c r="G1" s="2" t="inlineStr">
        <is>
          <t>FY2027E</t>
        </is>
      </c>
      <c r="H1" s="2" t="inlineStr">
        <is>
          <t>FY2028E</t>
        </is>
      </c>
      <c r="I1" s="2" t="inlineStr">
        <is>
          <t>FY2029E</t>
        </is>
      </c>
      <c r="J1" s="2" t="inlineStr">
        <is>
          <t>FY2030E</t>
        </is>
      </c>
      <c r="K1" s="2" t="inlineStr">
        <is>
          <t>FY2031E</t>
        </is>
      </c>
    </row>
    <row r="2">
      <c r="A2" s="3" t="inlineStr">
        <is>
          <t>Cash &amp; Cash Equivalents</t>
        </is>
      </c>
      <c r="B2" s="4" t="n">
        <v>614159</v>
      </c>
      <c r="C2" s="4" t="n">
        <v>755981</v>
      </c>
      <c r="D2" s="4" t="n">
        <v>890190</v>
      </c>
      <c r="E2" s="4" t="n">
        <v>398866</v>
      </c>
      <c r="F2" s="9">
        <f>'QTR BS'!R2</f>
        <v/>
      </c>
      <c r="G2" s="9">
        <f>'QTR BS'!V2</f>
        <v/>
      </c>
      <c r="H2" s="9">
        <f>'QTR BS'!Z2</f>
        <v/>
      </c>
      <c r="I2" s="9">
        <f>'QTR BS'!AD2</f>
        <v/>
      </c>
      <c r="J2" s="5" t="n"/>
      <c r="K2" s="5" t="n"/>
    </row>
    <row r="3">
      <c r="A3" s="3" t="inlineStr">
        <is>
          <t>Restricted Cash</t>
        </is>
      </c>
      <c r="B3" s="4" t="n">
        <v>38768</v>
      </c>
      <c r="C3" s="4" t="n">
        <v>0</v>
      </c>
      <c r="D3" s="4" t="n">
        <v>0</v>
      </c>
      <c r="E3" s="4" t="n">
        <v>141121</v>
      </c>
      <c r="F3" s="9">
        <f>'QTR BS'!R3</f>
        <v/>
      </c>
      <c r="G3" s="9">
        <f>'QTR BS'!V3</f>
        <v/>
      </c>
      <c r="H3" s="9">
        <f>'QTR BS'!Z3</f>
        <v/>
      </c>
      <c r="I3" s="9">
        <f>'QTR BS'!AD3</f>
        <v/>
      </c>
      <c r="J3" s="5" t="n"/>
      <c r="K3" s="5" t="n"/>
    </row>
    <row r="4">
      <c r="A4" s="3" t="inlineStr">
        <is>
          <t>Accounts Receivable</t>
        </is>
      </c>
      <c r="B4" s="4" t="n">
        <v>63311</v>
      </c>
      <c r="C4" s="4" t="n">
        <v>183703</v>
      </c>
      <c r="D4" s="4" t="n">
        <v>270342</v>
      </c>
      <c r="E4" s="4" t="n">
        <v>755499</v>
      </c>
      <c r="F4" s="9">
        <f>'QTR BS'!R4</f>
        <v/>
      </c>
      <c r="G4" s="9">
        <f>'QTR BS'!V4</f>
        <v/>
      </c>
      <c r="H4" s="9">
        <f>'QTR BS'!Z4</f>
        <v/>
      </c>
      <c r="I4" s="9">
        <f>'QTR BS'!AD4</f>
        <v/>
      </c>
      <c r="J4" s="5" t="n"/>
      <c r="K4" s="5" t="n"/>
    </row>
    <row r="5">
      <c r="A5" s="3" t="inlineStr">
        <is>
          <t>Note Receivable - Current</t>
        </is>
      </c>
      <c r="B5" s="4" t="n">
        <v>2979</v>
      </c>
      <c r="C5" s="4" t="n">
        <v>2318</v>
      </c>
      <c r="D5" s="4" t="n">
        <v>0</v>
      </c>
      <c r="E5" s="4" t="n">
        <v>0</v>
      </c>
      <c r="F5" s="9">
        <f>'QTR BS'!R5</f>
        <v/>
      </c>
      <c r="G5" s="9">
        <f>'QTR BS'!V5</f>
        <v/>
      </c>
      <c r="H5" s="9">
        <f>'QTR BS'!Z5</f>
        <v/>
      </c>
      <c r="I5" s="9">
        <f>'QTR BS'!AD5</f>
        <v/>
      </c>
      <c r="J5" s="5" t="n"/>
      <c r="K5" s="5" t="n"/>
    </row>
    <row r="6">
      <c r="A6" s="3" t="inlineStr">
        <is>
          <t>Inventories</t>
        </is>
      </c>
      <c r="B6" s="4" t="n">
        <v>173289</v>
      </c>
      <c r="C6" s="4" t="n">
        <v>229275</v>
      </c>
      <c r="D6" s="4" t="n">
        <v>131165</v>
      </c>
      <c r="E6" s="4" t="n">
        <v>337698</v>
      </c>
      <c r="F6" s="9">
        <f>'QTR BS'!R6</f>
        <v/>
      </c>
      <c r="G6" s="9">
        <f>'QTR BS'!V6</f>
        <v/>
      </c>
      <c r="H6" s="9">
        <f>'QTR BS'!Z6</f>
        <v/>
      </c>
      <c r="I6" s="9">
        <f>'QTR BS'!AD6</f>
        <v/>
      </c>
      <c r="J6" s="5" t="n"/>
      <c r="K6" s="5" t="n"/>
    </row>
    <row r="7">
      <c r="A7" s="3" t="inlineStr">
        <is>
          <t>Prepaid Expenses</t>
        </is>
      </c>
      <c r="B7" s="4" t="n">
        <v>11341</v>
      </c>
      <c r="C7" s="4" t="n">
        <v>19503</v>
      </c>
      <c r="D7" s="4" t="n">
        <v>18759</v>
      </c>
      <c r="E7" s="4" t="n">
        <v>128806</v>
      </c>
      <c r="F7" s="9">
        <f>'QTR BS'!R7</f>
        <v/>
      </c>
      <c r="G7" s="9">
        <f>'QTR BS'!V7</f>
        <v/>
      </c>
      <c r="H7" s="9">
        <f>'QTR BS'!Z7</f>
        <v/>
      </c>
      <c r="I7" s="9">
        <f>'QTR BS'!AD7</f>
        <v/>
      </c>
      <c r="J7" s="5" t="n"/>
      <c r="K7" s="5" t="n"/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49164</v>
      </c>
      <c r="F8" s="9">
        <f>'QTR BS'!R8</f>
        <v/>
      </c>
      <c r="G8" s="9">
        <f>'QTR BS'!V8</f>
        <v/>
      </c>
      <c r="H8" s="9">
        <f>'QTR BS'!Z8</f>
        <v/>
      </c>
      <c r="I8" s="9">
        <f>'QTR BS'!AD8</f>
        <v/>
      </c>
      <c r="J8" s="5" t="n"/>
      <c r="K8" s="5" t="n"/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7">
        <f>SUM(F2:F8)</f>
        <v/>
      </c>
      <c r="G9" s="7">
        <f>SUM(G2:G8)</f>
        <v/>
      </c>
      <c r="H9" s="7">
        <f>SUM(H2:H8)</f>
        <v/>
      </c>
      <c r="I9" s="7">
        <f>SUM(I2:I8)</f>
        <v/>
      </c>
      <c r="J9" s="7">
        <f>SUM(J2:J8)</f>
        <v/>
      </c>
      <c r="K9" s="7">
        <f>SUM(K2:K8)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9">
        <f>'QTR BS'!R10</f>
        <v/>
      </c>
      <c r="G10" s="9">
        <f>'QTR BS'!V10</f>
        <v/>
      </c>
      <c r="H10" s="9">
        <f>'QTR BS'!Z10</f>
        <v/>
      </c>
      <c r="I10" s="9">
        <f>'QTR BS'!AD10</f>
        <v/>
      </c>
      <c r="J10" s="5" t="n"/>
      <c r="K10" s="5" t="n"/>
    </row>
    <row r="11">
      <c r="A11" s="3" t="inlineStr">
        <is>
          <t>Net PP&amp;E</t>
        </is>
      </c>
      <c r="B11" s="4" t="n">
        <v>10185</v>
      </c>
      <c r="C11" s="4" t="n">
        <v>24868</v>
      </c>
      <c r="D11" s="4" t="n">
        <v>55602</v>
      </c>
      <c r="E11" s="4" t="n">
        <v>87910</v>
      </c>
      <c r="F11" s="9">
        <f>'QTR BS'!R11</f>
        <v/>
      </c>
      <c r="G11" s="9">
        <f>'QTR BS'!V11</f>
        <v/>
      </c>
      <c r="H11" s="9">
        <f>'QTR BS'!Z11</f>
        <v/>
      </c>
      <c r="I11" s="9">
        <f>'QTR BS'!AD11</f>
        <v/>
      </c>
      <c r="J11" s="5" t="n"/>
      <c r="K11" s="5" t="n"/>
    </row>
    <row r="12">
      <c r="A12" s="3" t="inlineStr">
        <is>
          <t>ROU Assets - Operating - Non-Current</t>
        </is>
      </c>
      <c r="B12" s="4" t="n">
        <v>972</v>
      </c>
      <c r="C12" s="4" t="n">
        <v>1957</v>
      </c>
      <c r="D12" s="4" t="n">
        <v>21606</v>
      </c>
      <c r="E12" s="4" t="n">
        <v>0</v>
      </c>
      <c r="F12" s="9">
        <f>'QTR BS'!R12</f>
        <v/>
      </c>
      <c r="G12" s="9">
        <f>'QTR BS'!V12</f>
        <v/>
      </c>
      <c r="H12" s="9">
        <f>'QTR BS'!Z12</f>
        <v/>
      </c>
      <c r="I12" s="9">
        <f>'QTR BS'!AD12</f>
        <v/>
      </c>
      <c r="J12" s="5" t="n"/>
      <c r="K12" s="5" t="n"/>
    </row>
    <row r="13">
      <c r="A13" s="3" t="inlineStr">
        <is>
          <t>ROU Assets - Finance - Non-Current</t>
        </is>
      </c>
      <c r="B13" s="4" t="n">
        <v>208</v>
      </c>
      <c r="C13" s="4" t="n">
        <v>208</v>
      </c>
      <c r="D13" s="4" t="n">
        <v>230</v>
      </c>
      <c r="E13" s="4" t="n">
        <v>0</v>
      </c>
      <c r="F13" s="9">
        <f>'QTR BS'!R17</f>
        <v/>
      </c>
      <c r="G13" s="9">
        <f>'QTR BS'!V17</f>
        <v/>
      </c>
      <c r="H13" s="9">
        <f>'QTR BS'!Z17</f>
        <v/>
      </c>
      <c r="I13" s="9">
        <f>'QTR BS'!AD17</f>
        <v/>
      </c>
      <c r="J13" s="5" t="n"/>
      <c r="K13" s="5" t="n"/>
    </row>
    <row r="14">
      <c r="A14" s="3" t="inlineStr">
        <is>
          <t>Intangible Assets</t>
        </is>
      </c>
      <c r="B14" s="4" t="n">
        <v>12254</v>
      </c>
      <c r="C14" s="4" t="n">
        <v>12139</v>
      </c>
      <c r="D14" s="4" t="n">
        <v>12213</v>
      </c>
      <c r="E14" s="4" t="n">
        <v>1391915</v>
      </c>
      <c r="F14" s="9">
        <f>'QTR BS'!R13</f>
        <v/>
      </c>
      <c r="G14" s="9">
        <f>'QTR BS'!V13</f>
        <v/>
      </c>
      <c r="H14" s="9">
        <f>'QTR BS'!Z13</f>
        <v/>
      </c>
      <c r="I14" s="9">
        <f>'QTR BS'!AD13</f>
        <v/>
      </c>
      <c r="J14" s="5" t="n"/>
      <c r="K14" s="5" t="n"/>
    </row>
    <row r="15">
      <c r="A15" s="3" t="inlineStr">
        <is>
          <t>Goodwill</t>
        </is>
      </c>
      <c r="B15" s="4" t="n">
        <v>13679</v>
      </c>
      <c r="C15" s="4" t="n">
        <v>14173</v>
      </c>
      <c r="D15" s="4" t="n">
        <v>71582</v>
      </c>
      <c r="E15" s="4" t="n">
        <v>917560</v>
      </c>
      <c r="F15" s="9">
        <f>'QTR BS'!R14</f>
        <v/>
      </c>
      <c r="G15" s="9">
        <f>'QTR BS'!V14</f>
        <v/>
      </c>
      <c r="H15" s="9">
        <f>'QTR BS'!Z14</f>
        <v/>
      </c>
      <c r="I15" s="9">
        <f>'QTR BS'!AD14</f>
        <v/>
      </c>
      <c r="J15" s="5" t="n"/>
      <c r="K15" s="5" t="n"/>
    </row>
    <row r="16">
      <c r="A16" s="3" t="inlineStr">
        <is>
          <t>Deferred Other Costs - Non-Current</t>
        </is>
      </c>
      <c r="B16" s="4" t="n">
        <v>262462</v>
      </c>
      <c r="C16" s="4" t="n">
        <v>248338</v>
      </c>
      <c r="D16" s="4" t="n">
        <v>234215</v>
      </c>
      <c r="E16" s="4" t="n">
        <v>771635</v>
      </c>
      <c r="F16" s="9">
        <f>'QTR BS'!R15</f>
        <v/>
      </c>
      <c r="G16" s="9">
        <f>'QTR BS'!V15</f>
        <v/>
      </c>
      <c r="H16" s="9">
        <f>'QTR BS'!Z15</f>
        <v/>
      </c>
      <c r="I16" s="9">
        <f>'QTR BS'!AD15</f>
        <v/>
      </c>
      <c r="J16" s="5" t="n"/>
      <c r="K16" s="5" t="n"/>
    </row>
    <row r="17">
      <c r="A17" s="3" t="inlineStr">
        <is>
          <t>Deferred Tax Assets</t>
        </is>
      </c>
      <c r="B17" s="4" t="n">
        <v>501</v>
      </c>
      <c r="C17" s="4" t="n">
        <v>29518</v>
      </c>
      <c r="D17" s="4" t="n">
        <v>38699</v>
      </c>
      <c r="E17" s="4" t="n">
        <v>96013</v>
      </c>
      <c r="F17" s="9">
        <f>'QTR BS'!R16</f>
        <v/>
      </c>
      <c r="G17" s="9">
        <f>'QTR BS'!V16</f>
        <v/>
      </c>
      <c r="H17" s="9">
        <f>'QTR BS'!Z16</f>
        <v/>
      </c>
      <c r="I17" s="9">
        <f>'QTR BS'!AD16</f>
        <v/>
      </c>
      <c r="J17" s="5" t="n"/>
      <c r="K17" s="5" t="n"/>
    </row>
    <row r="18">
      <c r="A18" s="3" t="inlineStr">
        <is>
          <t>Other Non-Current Assets</t>
        </is>
      </c>
      <c r="B18" s="4" t="n">
        <v>263</v>
      </c>
      <c r="C18" s="4" t="n">
        <v>291</v>
      </c>
      <c r="D18" s="4" t="n">
        <v>8154</v>
      </c>
      <c r="E18" s="4" t="n">
        <v>43434</v>
      </c>
      <c r="F18" s="9">
        <f>'QTR BS'!R18</f>
        <v/>
      </c>
      <c r="G18" s="9">
        <f>'QTR BS'!V18</f>
        <v/>
      </c>
      <c r="H18" s="9">
        <f>'QTR BS'!Z18</f>
        <v/>
      </c>
      <c r="I18" s="9">
        <f>'QTR BS'!AD18</f>
        <v/>
      </c>
      <c r="J18" s="5" t="n"/>
      <c r="K18" s="5" t="n"/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7">
        <f>F9+SUM(F10:F18)</f>
        <v/>
      </c>
      <c r="G19" s="7">
        <f>G9+SUM(G10:G18)</f>
        <v/>
      </c>
      <c r="H19" s="7">
        <f>H9+SUM(H10:H18)</f>
        <v/>
      </c>
      <c r="I19" s="7">
        <f>I9+SUM(I10:I18)</f>
        <v/>
      </c>
      <c r="J19" s="7">
        <f>J9+SUM(J10:J18)</f>
        <v/>
      </c>
      <c r="K19" s="7">
        <f>K9+SUM(K10:K18)</f>
        <v/>
      </c>
    </row>
    <row r="20">
      <c r="A20" s="3" t="inlineStr">
        <is>
          <t>Accounts Payable</t>
        </is>
      </c>
      <c r="B20" s="4" t="n">
        <v>36248</v>
      </c>
      <c r="C20" s="4" t="n">
        <v>42840</v>
      </c>
      <c r="D20" s="4" t="n">
        <v>41287</v>
      </c>
      <c r="E20" s="4" t="n">
        <v>137930</v>
      </c>
      <c r="F20" s="9">
        <f>'QTR BS'!R20</f>
        <v/>
      </c>
      <c r="G20" s="9">
        <f>'QTR BS'!V20</f>
        <v/>
      </c>
      <c r="H20" s="9">
        <f>'QTR BS'!Z20</f>
        <v/>
      </c>
      <c r="I20" s="9">
        <f>'QTR BS'!AD20</f>
        <v/>
      </c>
      <c r="J20" s="5" t="n"/>
      <c r="K20" s="5" t="n"/>
    </row>
    <row r="21">
      <c r="A21" s="3" t="inlineStr">
        <is>
          <t>Accrued Expenses</t>
        </is>
      </c>
      <c r="B21" s="4" t="n">
        <v>69899</v>
      </c>
      <c r="C21" s="4" t="n">
        <v>62120</v>
      </c>
      <c r="D21" s="4" t="n">
        <v>148780</v>
      </c>
      <c r="E21" s="4" t="n">
        <v>230721</v>
      </c>
      <c r="F21" s="9">
        <f>'QTR BS'!R21</f>
        <v/>
      </c>
      <c r="G21" s="9">
        <f>'QTR BS'!V21</f>
        <v/>
      </c>
      <c r="H21" s="9">
        <f>'QTR BS'!Z21</f>
        <v/>
      </c>
      <c r="I21" s="9">
        <f>'QTR BS'!AD21</f>
        <v/>
      </c>
      <c r="J21" s="5" t="n"/>
      <c r="K21" s="5" t="n"/>
    </row>
    <row r="22">
      <c r="A22" s="3" t="inlineStr">
        <is>
          <t>Income Taxes Payable</t>
        </is>
      </c>
      <c r="B22" s="4" t="n">
        <v>1193</v>
      </c>
      <c r="C22" s="4" t="n">
        <v>50424</v>
      </c>
      <c r="D22" s="4" t="n">
        <v>10834</v>
      </c>
      <c r="E22" s="4" t="n">
        <v>49612</v>
      </c>
      <c r="F22" s="9">
        <f>'QTR BS'!R22</f>
        <v/>
      </c>
      <c r="G22" s="9">
        <f>'QTR BS'!V22</f>
        <v/>
      </c>
      <c r="H22" s="9">
        <f>'QTR BS'!Z22</f>
        <v/>
      </c>
      <c r="I22" s="9">
        <f>'QTR BS'!AD22</f>
        <v/>
      </c>
      <c r="J22" s="5" t="n"/>
      <c r="K22" s="5" t="n"/>
    </row>
    <row r="23">
      <c r="A23" s="3" t="inlineStr">
        <is>
          <t>Accrued Distributor Termination Fees</t>
        </is>
      </c>
      <c r="B23" s="4" t="n">
        <v>3986</v>
      </c>
      <c r="C23" s="4" t="n">
        <v>0</v>
      </c>
      <c r="D23" s="4" t="n">
        <v>0</v>
      </c>
      <c r="E23" s="4" t="n">
        <v>264088</v>
      </c>
      <c r="F23" s="9">
        <f>'QTR BS'!R23</f>
        <v/>
      </c>
      <c r="G23" s="9">
        <f>'QTR BS'!V23</f>
        <v/>
      </c>
      <c r="H23" s="9">
        <f>'QTR BS'!Z23</f>
        <v/>
      </c>
      <c r="I23" s="9">
        <f>'QTR BS'!AD23</f>
        <v/>
      </c>
      <c r="J23" s="5" t="n"/>
      <c r="K23" s="5" t="n"/>
    </row>
    <row r="24">
      <c r="A24" s="3" t="inlineStr">
        <is>
          <t>Accrued Promotional Allowance</t>
        </is>
      </c>
      <c r="B24" s="4" t="n">
        <v>35977</v>
      </c>
      <c r="C24" s="4" t="n">
        <v>99787</v>
      </c>
      <c r="D24" s="4" t="n">
        <v>135948</v>
      </c>
      <c r="E24" s="4" t="n">
        <v>307922</v>
      </c>
      <c r="F24" s="9">
        <f>'QTR BS'!R24</f>
        <v/>
      </c>
      <c r="G24" s="9">
        <f>'QTR BS'!V24</f>
        <v/>
      </c>
      <c r="H24" s="9">
        <f>'QTR BS'!Z24</f>
        <v/>
      </c>
      <c r="I24" s="9">
        <f>'QTR BS'!AD24</f>
        <v/>
      </c>
      <c r="J24" s="5" t="n"/>
      <c r="K24" s="5" t="n"/>
    </row>
    <row r="25">
      <c r="A25" s="3" t="inlineStr">
        <is>
          <t>Lease Liability - Operating - Current</t>
        </is>
      </c>
      <c r="B25" s="4" t="n">
        <v>661</v>
      </c>
      <c r="C25" s="4" t="n">
        <v>980</v>
      </c>
      <c r="D25" s="4" t="n">
        <v>3265</v>
      </c>
      <c r="E25" s="4" t="n">
        <v>0</v>
      </c>
      <c r="F25" s="9">
        <f>'QTR BS'!R25</f>
        <v/>
      </c>
      <c r="G25" s="9">
        <f>'QTR BS'!V25</f>
        <v/>
      </c>
      <c r="H25" s="9">
        <f>'QTR BS'!Z25</f>
        <v/>
      </c>
      <c r="I25" s="9">
        <f>'QTR BS'!AD25</f>
        <v/>
      </c>
      <c r="J25" s="5" t="n"/>
      <c r="K25" s="5" t="n"/>
    </row>
    <row r="26">
      <c r="A26" s="3" t="inlineStr">
        <is>
          <t>Lease Liability - Finance - Current</t>
        </is>
      </c>
      <c r="B26" s="4" t="n">
        <v>70</v>
      </c>
      <c r="C26" s="4" t="n">
        <v>59</v>
      </c>
      <c r="D26" s="4" t="n">
        <v>100</v>
      </c>
      <c r="E26" s="4" t="n">
        <v>0</v>
      </c>
      <c r="F26" s="9">
        <f>'QTR BS'!R26</f>
        <v/>
      </c>
      <c r="G26" s="9">
        <f>'QTR BS'!V26</f>
        <v/>
      </c>
      <c r="H26" s="9">
        <f>'QTR BS'!Z26</f>
        <v/>
      </c>
      <c r="I26" s="9">
        <f>'QTR BS'!AD26</f>
        <v/>
      </c>
      <c r="J26" s="5" t="n"/>
      <c r="K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25000</v>
      </c>
      <c r="F27" s="9">
        <f>'QTR BS'!R27</f>
        <v/>
      </c>
      <c r="G27" s="9">
        <f>'QTR BS'!V27</f>
        <v/>
      </c>
      <c r="H27" s="9">
        <f>'QTR BS'!Z27</f>
        <v/>
      </c>
      <c r="I27" s="9">
        <f>'QTR BS'!AD27</f>
        <v/>
      </c>
      <c r="J27" s="5" t="n"/>
      <c r="K27" s="5" t="n"/>
    </row>
    <row r="28">
      <c r="A28" s="3" t="inlineStr">
        <is>
          <t>Deferred Revenue - Current</t>
        </is>
      </c>
      <c r="B28" s="4" t="n">
        <v>9675</v>
      </c>
      <c r="C28" s="4" t="n">
        <v>9513</v>
      </c>
      <c r="D28" s="4" t="n">
        <v>9513</v>
      </c>
      <c r="E28" s="4" t="n">
        <v>26988</v>
      </c>
      <c r="F28" s="9">
        <f>'QTR BS'!R28</f>
        <v/>
      </c>
      <c r="G28" s="9">
        <f>'QTR BS'!V28</f>
        <v/>
      </c>
      <c r="H28" s="9">
        <f>'QTR BS'!Z28</f>
        <v/>
      </c>
      <c r="I28" s="9">
        <f>'QTR BS'!AD28</f>
        <v/>
      </c>
      <c r="J28" s="5" t="n"/>
      <c r="K28" s="5" t="n"/>
    </row>
    <row r="29">
      <c r="A29" s="3" t="inlineStr">
        <is>
          <t>Other Current Liabilities</t>
        </is>
      </c>
      <c r="B29" s="4" t="n">
        <v>3586</v>
      </c>
      <c r="C29" s="4" t="n">
        <v>10890</v>
      </c>
      <c r="D29" s="4" t="n">
        <v>15808</v>
      </c>
      <c r="E29" s="4" t="n">
        <v>36465</v>
      </c>
      <c r="F29" s="9">
        <f>'QTR BS'!R29</f>
        <v/>
      </c>
      <c r="G29" s="9">
        <f>'QTR BS'!V29</f>
        <v/>
      </c>
      <c r="H29" s="9">
        <f>'QTR BS'!Z29</f>
        <v/>
      </c>
      <c r="I29" s="9">
        <f>'QTR BS'!AD29</f>
        <v/>
      </c>
      <c r="J29" s="5" t="n"/>
      <c r="K29" s="5" t="n"/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7">
        <f>SUM(F20:F29)</f>
        <v/>
      </c>
      <c r="G30" s="7">
        <f>SUM(G20:G29)</f>
        <v/>
      </c>
      <c r="H30" s="7">
        <f>SUM(H20:H29)</f>
        <v/>
      </c>
      <c r="I30" s="7">
        <f>SUM(I20:I29)</f>
        <v/>
      </c>
      <c r="J30" s="7">
        <f>SUM(J20:J29)</f>
        <v/>
      </c>
      <c r="K30" s="7">
        <f>SUM(K20:K29)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955</v>
      </c>
      <c r="D31" s="4" t="n">
        <v>16674</v>
      </c>
      <c r="E31" s="4" t="n">
        <v>0</v>
      </c>
      <c r="F31" s="9">
        <f>'QTR BS'!R31</f>
        <v/>
      </c>
      <c r="G31" s="9">
        <f>'QTR BS'!V31</f>
        <v/>
      </c>
      <c r="H31" s="9">
        <f>'QTR BS'!Z31</f>
        <v/>
      </c>
      <c r="I31" s="9">
        <f>'QTR BS'!AD31</f>
        <v/>
      </c>
      <c r="J31" s="5" t="n"/>
      <c r="K31" s="5" t="n"/>
    </row>
    <row r="32">
      <c r="A32" s="3" t="inlineStr">
        <is>
          <t>Lease Liability - Finance - Non-Current</t>
        </is>
      </c>
      <c r="B32" s="4" t="n">
        <v>162</v>
      </c>
      <c r="C32" s="4" t="n">
        <v>193</v>
      </c>
      <c r="D32" s="4" t="n">
        <v>211</v>
      </c>
      <c r="E32" s="4" t="n">
        <v>0</v>
      </c>
      <c r="F32" s="9">
        <f>'QTR BS'!R32</f>
        <v/>
      </c>
      <c r="G32" s="9">
        <f>'QTR BS'!V32</f>
        <v/>
      </c>
      <c r="H32" s="9">
        <f>'QTR BS'!Z32</f>
        <v/>
      </c>
      <c r="I32" s="9">
        <f>'QTR BS'!AD32</f>
        <v/>
      </c>
      <c r="J32" s="5" t="n"/>
      <c r="K32" s="5" t="n"/>
    </row>
    <row r="33">
      <c r="A33" s="3" t="inlineStr">
        <is>
          <t>Deferred Tax Liability</t>
        </is>
      </c>
      <c r="B33" s="4" t="n">
        <v>15919</v>
      </c>
      <c r="C33" s="4" t="n">
        <v>2880</v>
      </c>
      <c r="D33" s="4" t="n">
        <v>2330</v>
      </c>
      <c r="E33" s="4" t="n">
        <v>0</v>
      </c>
      <c r="F33" s="9">
        <f>'QTR BS'!R33</f>
        <v/>
      </c>
      <c r="G33" s="9">
        <f>'QTR BS'!V33</f>
        <v/>
      </c>
      <c r="H33" s="9">
        <f>'QTR BS'!Z33</f>
        <v/>
      </c>
      <c r="I33" s="9">
        <f>'QTR BS'!AD33</f>
        <v/>
      </c>
      <c r="J33" s="5" t="n"/>
      <c r="K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669926</v>
      </c>
      <c r="F34" s="9">
        <f>'QTR BS'!R34</f>
        <v/>
      </c>
      <c r="G34" s="9">
        <f>'QTR BS'!V34</f>
        <v/>
      </c>
      <c r="H34" s="9">
        <f>'QTR BS'!Z34</f>
        <v/>
      </c>
      <c r="I34" s="9">
        <f>'QTR BS'!AD34</f>
        <v/>
      </c>
      <c r="J34" s="5" t="n"/>
      <c r="K34" s="5" t="n"/>
    </row>
    <row r="35">
      <c r="A35" s="3" t="inlineStr">
        <is>
          <t>Deferred Revenue - Non-Current</t>
        </is>
      </c>
      <c r="B35" s="4" t="n">
        <v>179788</v>
      </c>
      <c r="C35" s="4" t="n">
        <v>167227</v>
      </c>
      <c r="D35" s="4" t="n">
        <v>157714</v>
      </c>
      <c r="E35" s="4" t="n">
        <v>401155</v>
      </c>
      <c r="F35" s="9">
        <f>'QTR BS'!R35</f>
        <v/>
      </c>
      <c r="G35" s="9">
        <f>'QTR BS'!V35</f>
        <v/>
      </c>
      <c r="H35" s="9">
        <f>'QTR BS'!Z35</f>
        <v/>
      </c>
      <c r="I35" s="9">
        <f>'QTR BS'!AD35</f>
        <v/>
      </c>
      <c r="J35" s="5" t="n"/>
      <c r="K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28372</v>
      </c>
      <c r="F36" s="9">
        <f>'QTR BS'!R36</f>
        <v/>
      </c>
      <c r="G36" s="9">
        <f>'QTR BS'!V36</f>
        <v/>
      </c>
      <c r="H36" s="9">
        <f>'QTR BS'!Z36</f>
        <v/>
      </c>
      <c r="I36" s="9">
        <f>'QTR BS'!AD36</f>
        <v/>
      </c>
      <c r="J36" s="5" t="n"/>
      <c r="K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7">
        <f>F30+SUM(F31:F36)</f>
        <v/>
      </c>
      <c r="G37" s="7">
        <f>G30+SUM(G31:G36)</f>
        <v/>
      </c>
      <c r="H37" s="7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1759975</v>
      </c>
      <c r="F38" s="9">
        <f>'QTR BS'!R38</f>
        <v/>
      </c>
      <c r="G38" s="9">
        <f>'QTR BS'!V38</f>
        <v/>
      </c>
      <c r="H38" s="9">
        <f>'QTR BS'!Z38</f>
        <v/>
      </c>
      <c r="I38" s="9">
        <f>'QTR BS'!AD38</f>
        <v/>
      </c>
      <c r="J38" s="5" t="n"/>
      <c r="K38" s="5" t="n"/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79</v>
      </c>
      <c r="E39" s="4" t="n">
        <v>101</v>
      </c>
      <c r="F39" s="9">
        <f>'QTR BS'!R39</f>
        <v/>
      </c>
      <c r="G39" s="9">
        <f>'QTR BS'!V39</f>
        <v/>
      </c>
      <c r="H39" s="9">
        <f>'QTR BS'!Z39</f>
        <v/>
      </c>
      <c r="I39" s="9">
        <f>'QTR BS'!AD39</f>
        <v/>
      </c>
      <c r="J39" s="5" t="n"/>
      <c r="K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-48226</v>
      </c>
      <c r="F40" s="9">
        <f>'QTR BS'!R40</f>
        <v/>
      </c>
      <c r="G40" s="9">
        <f>'QTR BS'!V40</f>
        <v/>
      </c>
      <c r="H40" s="9">
        <f>'QTR BS'!Z40</f>
        <v/>
      </c>
      <c r="I40" s="9">
        <f>'QTR BS'!AD40</f>
        <v/>
      </c>
      <c r="J40" s="5" t="n"/>
      <c r="K40" s="5" t="n"/>
    </row>
    <row r="41">
      <c r="A41" s="3" t="inlineStr">
        <is>
          <t>Additional Paid-in Capital</t>
        </is>
      </c>
      <c r="B41" s="4" t="n">
        <v>280668</v>
      </c>
      <c r="C41" s="4" t="n">
        <v>276717</v>
      </c>
      <c r="D41" s="4" t="n">
        <v>297579</v>
      </c>
      <c r="E41" s="4" t="n">
        <v>1050518</v>
      </c>
      <c r="F41" s="9">
        <f>'QTR BS'!R41</f>
        <v/>
      </c>
      <c r="G41" s="9">
        <f>'QTR BS'!V41</f>
        <v/>
      </c>
      <c r="H41" s="9">
        <f>'QTR BS'!Z41</f>
        <v/>
      </c>
      <c r="I41" s="9">
        <f>'QTR BS'!AD41</f>
        <v/>
      </c>
      <c r="J41" s="5" t="n"/>
      <c r="K41" s="5" t="n"/>
    </row>
    <row r="42">
      <c r="A42" s="3" t="inlineStr">
        <is>
          <t>Accumulated Other Comprehensive Income (Loss)</t>
        </is>
      </c>
      <c r="B42" s="4" t="n">
        <v>-1881</v>
      </c>
      <c r="C42" s="4" t="n">
        <v>-701</v>
      </c>
      <c r="D42" s="4" t="n">
        <v>-3250</v>
      </c>
      <c r="E42" s="4" t="n">
        <v>3162</v>
      </c>
      <c r="F42" s="9">
        <f>'QTR BS'!R42</f>
        <v/>
      </c>
      <c r="G42" s="9">
        <f>'QTR BS'!V42</f>
        <v/>
      </c>
      <c r="H42" s="9">
        <f>'QTR BS'!Z42</f>
        <v/>
      </c>
      <c r="I42" s="9">
        <f>'QTR BS'!AD42</f>
        <v/>
      </c>
      <c r="J42" s="5" t="n"/>
      <c r="K42" s="5" t="n"/>
    </row>
    <row r="43">
      <c r="A43" s="3" t="inlineStr">
        <is>
          <t>Retained Earnings (Accumulated Deficit)</t>
        </is>
      </c>
      <c r="B43" s="4" t="n">
        <v>-238772</v>
      </c>
      <c r="C43" s="4" t="n">
        <v>-12053</v>
      </c>
      <c r="D43" s="4" t="n">
        <v>105521</v>
      </c>
      <c r="E43" s="4" t="n">
        <v>175912</v>
      </c>
      <c r="F43" s="9">
        <f>'QTR BS'!R43</f>
        <v/>
      </c>
      <c r="G43" s="9">
        <f>'QTR BS'!V43</f>
        <v/>
      </c>
      <c r="H43" s="9">
        <f>'QTR BS'!Z43</f>
        <v/>
      </c>
      <c r="I43" s="9">
        <f>'QTR BS'!AD43</f>
        <v/>
      </c>
      <c r="J43" s="5" t="n"/>
      <c r="K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7">
        <f>SUM(F38:F43)</f>
        <v/>
      </c>
      <c r="G44" s="7">
        <f>SUM(G38:G43)</f>
        <v/>
      </c>
      <c r="H44" s="7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7">
        <f>F37+F44</f>
        <v/>
      </c>
      <c r="G45" s="7">
        <f>G37+G44</f>
        <v/>
      </c>
      <c r="H45" s="7">
        <f>H37+H44</f>
        <v/>
      </c>
      <c r="I45" s="7">
        <f>I37+I44</f>
        <v/>
      </c>
      <c r="J45" s="7">
        <f>J37+J44</f>
        <v/>
      </c>
      <c r="K45" s="7">
        <f>K37+K44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  <c r="L1" s="2" t="inlineStr">
        <is>
          <t>FY2031E</t>
        </is>
      </c>
    </row>
    <row r="2">
      <c r="A2" s="3" t="inlineStr">
        <is>
          <t>Net Income (Loss)</t>
        </is>
      </c>
      <c r="B2" s="4" t="n">
        <v>3937</v>
      </c>
      <c r="C2" s="4" t="n">
        <v>-187282</v>
      </c>
      <c r="D2" s="4" t="n">
        <v>226801</v>
      </c>
      <c r="E2" s="4" t="n">
        <v>145074</v>
      </c>
      <c r="F2" s="4" t="n">
        <v>107999</v>
      </c>
      <c r="G2" s="9">
        <f>'QTR CF'!R2+'QTR CF'!S2+'QTR CF'!T2+'QTR CF'!U2</f>
        <v/>
      </c>
      <c r="H2" s="9">
        <f>'QTR CF'!V2+'QTR CF'!W2+'QTR CF'!X2+'QTR CF'!Y2</f>
        <v/>
      </c>
      <c r="I2" s="9">
        <f>'QTR CF'!Z2+'QTR CF'!AA2+'QTR CF'!AB2+'QTR CF'!AC2</f>
        <v/>
      </c>
      <c r="J2" s="9">
        <f>'QTR CF'!AD2+'QTR CF'!AE2+'QTR CF'!AF2+'QTR CF'!AG2</f>
        <v/>
      </c>
      <c r="K2" s="5" t="n"/>
      <c r="L2" s="5" t="n"/>
    </row>
    <row r="3">
      <c r="A3" s="3" t="inlineStr">
        <is>
          <t>Depreciation &amp; Amortization</t>
        </is>
      </c>
      <c r="B3" s="4" t="n">
        <v>1264</v>
      </c>
      <c r="C3" s="4" t="n">
        <v>1917</v>
      </c>
      <c r="D3" s="4" t="n">
        <v>3226</v>
      </c>
      <c r="E3" s="4" t="n">
        <v>7274</v>
      </c>
      <c r="F3" s="4" t="n">
        <v>29451</v>
      </c>
      <c r="G3" s="9">
        <f>'QTR CF'!R6+'QTR CF'!S6+'QTR CF'!T6+'QTR CF'!U6</f>
        <v/>
      </c>
      <c r="H3" s="9">
        <f>'QTR CF'!V6+'QTR CF'!W6+'QTR CF'!X6+'QTR CF'!Y6</f>
        <v/>
      </c>
      <c r="I3" s="9">
        <f>'QTR CF'!Z6+'QTR CF'!AA6+'QTR CF'!AB6+'QTR CF'!AC6</f>
        <v/>
      </c>
      <c r="J3" s="9">
        <f>'QTR CF'!AD6+'QTR CF'!AE6+'QTR CF'!AF6+'QTR CF'!AG6</f>
        <v/>
      </c>
      <c r="K3" s="5" t="n"/>
      <c r="L3" s="5" t="n"/>
    </row>
    <row r="4">
      <c r="A4" s="3" t="inlineStr">
        <is>
          <t>Impairment of Intangibles</t>
        </is>
      </c>
      <c r="B4" s="4" t="n">
        <v>0</v>
      </c>
      <c r="C4" s="4" t="n">
        <v>2379</v>
      </c>
      <c r="D4" s="4" t="n">
        <v>0</v>
      </c>
      <c r="E4" s="4" t="n">
        <v>0</v>
      </c>
      <c r="F4" s="4" t="n">
        <v>0</v>
      </c>
      <c r="G4" s="9">
        <f>'QTR CF'!R5+'QTR CF'!S5+'QTR CF'!T5+'QTR CF'!U5</f>
        <v/>
      </c>
      <c r="H4" s="9">
        <f>'QTR CF'!V5+'QTR CF'!W5+'QTR CF'!X5+'QTR CF'!Y5</f>
        <v/>
      </c>
      <c r="I4" s="9">
        <f>'QTR CF'!Z5+'QTR CF'!AA5+'QTR CF'!AB5+'QTR CF'!AC5</f>
        <v/>
      </c>
      <c r="J4" s="9">
        <f>'QTR CF'!AD5+'QTR CF'!AE5+'QTR CF'!AF5+'QTR CF'!AG5</f>
        <v/>
      </c>
      <c r="K4" s="5" t="n"/>
      <c r="L4" s="5" t="n"/>
    </row>
    <row r="5">
      <c r="A5" s="3" t="inlineStr">
        <is>
          <t>Allowance for Credit Losses</t>
        </is>
      </c>
      <c r="B5" s="4" t="n">
        <v>1494</v>
      </c>
      <c r="C5" s="4" t="n">
        <v>2352</v>
      </c>
      <c r="D5" s="4" t="n">
        <v>2128</v>
      </c>
      <c r="E5" s="4" t="n">
        <v>3294</v>
      </c>
      <c r="F5" s="4" t="n">
        <v>10600</v>
      </c>
      <c r="G5" s="9">
        <f>'QTR CF'!R7+'QTR CF'!S7+'QTR CF'!T7+'QTR CF'!U7</f>
        <v/>
      </c>
      <c r="H5" s="9">
        <f>'QTR CF'!V7+'QTR CF'!W7+'QTR CF'!X7+'QTR CF'!Y7</f>
        <v/>
      </c>
      <c r="I5" s="9">
        <f>'QTR CF'!Z7+'QTR CF'!AA7+'QTR CF'!AB7+'QTR CF'!AC7</f>
        <v/>
      </c>
      <c r="J5" s="9">
        <f>'QTR CF'!AD7+'QTR CF'!AE7+'QTR CF'!AF7+'QTR CF'!AG7</f>
        <v/>
      </c>
      <c r="K5" s="5" t="n"/>
      <c r="L5" s="5" t="n"/>
    </row>
    <row r="6">
      <c r="A6" s="3" t="inlineStr">
        <is>
          <t>Amortization of Deferred Other Costs</t>
        </is>
      </c>
      <c r="B6" s="4" t="n">
        <v>0</v>
      </c>
      <c r="C6" s="4" t="n">
        <v>5885</v>
      </c>
      <c r="D6" s="4" t="n">
        <v>14124</v>
      </c>
      <c r="E6" s="4" t="n">
        <v>14124</v>
      </c>
      <c r="F6" s="4" t="n">
        <v>26326</v>
      </c>
      <c r="G6" s="9">
        <f>'QTR CF'!R8+'QTR CF'!S8+'QTR CF'!T8+'QTR CF'!U8</f>
        <v/>
      </c>
      <c r="H6" s="9">
        <f>'QTR CF'!V8+'QTR CF'!W8+'QTR CF'!X8+'QTR CF'!Y8</f>
        <v/>
      </c>
      <c r="I6" s="9">
        <f>'QTR CF'!Z8+'QTR CF'!AA8+'QTR CF'!AB8+'QTR CF'!AC8</f>
        <v/>
      </c>
      <c r="J6" s="9">
        <f>'QTR CF'!AD8+'QTR CF'!AE8+'QTR CF'!AF8+'QTR CF'!AG8</f>
        <v/>
      </c>
      <c r="K6" s="5" t="n"/>
      <c r="L6" s="5" t="n"/>
    </row>
    <row r="7">
      <c r="A7" s="3" t="inlineStr">
        <is>
          <t>Inventory Write-Down</t>
        </is>
      </c>
      <c r="B7" s="4" t="n">
        <v>2355</v>
      </c>
      <c r="C7" s="4" t="n">
        <v>6131</v>
      </c>
      <c r="D7" s="4" t="n">
        <v>7312</v>
      </c>
      <c r="E7" s="4" t="n">
        <v>19086</v>
      </c>
      <c r="F7" s="4" t="n">
        <v>29190</v>
      </c>
      <c r="G7" s="9">
        <f>'QTR CF'!R9+'QTR CF'!S9+'QTR CF'!T9+'QTR CF'!U9</f>
        <v/>
      </c>
      <c r="H7" s="9">
        <f>'QTR CF'!V9+'QTR CF'!W9+'QTR CF'!X9+'QTR CF'!Y9</f>
        <v/>
      </c>
      <c r="I7" s="9">
        <f>'QTR CF'!Z9+'QTR CF'!AA9+'QTR CF'!AB9+'QTR CF'!AC9</f>
        <v/>
      </c>
      <c r="J7" s="9">
        <f>'QTR CF'!AD9+'QTR CF'!AE9+'QTR CF'!AF9+'QTR CF'!AG9</f>
        <v/>
      </c>
      <c r="K7" s="5" t="n"/>
      <c r="L7" s="5" t="n"/>
    </row>
    <row r="8">
      <c r="A8" s="3" t="inlineStr">
        <is>
          <t>Gain (Loss) on Disposal of PP&amp;E</t>
        </is>
      </c>
      <c r="B8" s="4" t="n">
        <v>0</v>
      </c>
      <c r="C8" s="4" t="n">
        <v>0</v>
      </c>
      <c r="D8" s="4" t="n">
        <v>198</v>
      </c>
      <c r="E8" s="4" t="n">
        <v>173</v>
      </c>
      <c r="F8" s="4" t="n">
        <v>0</v>
      </c>
      <c r="G8" s="9">
        <f>'QTR CF'!R10+'QTR CF'!S10+'QTR CF'!T10+'QTR CF'!U10</f>
        <v/>
      </c>
      <c r="H8" s="9">
        <f>'QTR CF'!V10+'QTR CF'!W10+'QTR CF'!X10+'QTR CF'!Y10</f>
        <v/>
      </c>
      <c r="I8" s="9">
        <f>'QTR CF'!Z10+'QTR CF'!AA10+'QTR CF'!AB10+'QTR CF'!AC10</f>
        <v/>
      </c>
      <c r="J8" s="9">
        <f>'QTR CF'!AD10+'QTR CF'!AE10+'QTR CF'!AF10+'QTR CF'!AG10</f>
        <v/>
      </c>
      <c r="K8" s="5" t="n"/>
      <c r="L8" s="5" t="n"/>
    </row>
    <row r="9">
      <c r="A9" s="3" t="inlineStr">
        <is>
          <t>Stock-Based Compensation</t>
        </is>
      </c>
      <c r="B9" s="4" t="n">
        <v>36475</v>
      </c>
      <c r="C9" s="4" t="n">
        <v>20665</v>
      </c>
      <c r="D9" s="4" t="n">
        <v>21226</v>
      </c>
      <c r="E9" s="4" t="n">
        <v>19591</v>
      </c>
      <c r="F9" s="4" t="n">
        <v>28050</v>
      </c>
      <c r="G9" s="9">
        <f>'QTR CF'!R11+'QTR CF'!S11+'QTR CF'!T11+'QTR CF'!U11</f>
        <v/>
      </c>
      <c r="H9" s="9">
        <f>'QTR CF'!V11+'QTR CF'!W11+'QTR CF'!X11+'QTR CF'!Y11</f>
        <v/>
      </c>
      <c r="I9" s="9">
        <f>'QTR CF'!Z11+'QTR CF'!AA11+'QTR CF'!AB11+'QTR CF'!AC11</f>
        <v/>
      </c>
      <c r="J9" s="9">
        <f>'QTR CF'!AD11+'QTR CF'!AE11+'QTR CF'!AF11+'QTR CF'!AG11</f>
        <v/>
      </c>
      <c r="K9" s="5" t="n"/>
      <c r="L9" s="5" t="n"/>
    </row>
    <row r="10">
      <c r="A10" s="3" t="inlineStr">
        <is>
          <t>(Benefit) Provision for Deferred Income Taxes</t>
        </is>
      </c>
      <c r="B10" s="4" t="n">
        <v>-9201</v>
      </c>
      <c r="C10" s="4" t="n">
        <v>20244</v>
      </c>
      <c r="D10" s="4" t="n">
        <v>-42055</v>
      </c>
      <c r="E10" s="4" t="n">
        <v>-9730</v>
      </c>
      <c r="F10" s="4" t="n">
        <v>-57336</v>
      </c>
      <c r="G10" s="9">
        <f>'QTR CF'!R12+'QTR CF'!S12+'QTR CF'!T12+'QTR CF'!U12</f>
        <v/>
      </c>
      <c r="H10" s="9">
        <f>'QTR CF'!V12+'QTR CF'!W12+'QTR CF'!X12+'QTR CF'!Y12</f>
        <v/>
      </c>
      <c r="I10" s="9">
        <f>'QTR CF'!Z12+'QTR CF'!AA12+'QTR CF'!AB12+'QTR CF'!AC12</f>
        <v/>
      </c>
      <c r="J10" s="9">
        <f>'QTR CF'!AD12+'QTR CF'!AE12+'QTR CF'!AF12+'QTR CF'!AG12</f>
        <v/>
      </c>
      <c r="K10" s="5" t="n"/>
      <c r="L10" s="5" t="n"/>
    </row>
    <row r="11">
      <c r="A11" s="3" t="inlineStr">
        <is>
          <t>Foreign Currency Gain (Loss)</t>
        </is>
      </c>
      <c r="B11" s="4" t="n">
        <v>880</v>
      </c>
      <c r="C11" s="4" t="n">
        <v>483</v>
      </c>
      <c r="D11" s="4" t="n">
        <v>1246</v>
      </c>
      <c r="E11" s="4" t="n">
        <v>1734</v>
      </c>
      <c r="F11" s="4" t="n">
        <v>0</v>
      </c>
      <c r="G11" s="9">
        <f>'QTR CF'!R13+'QTR CF'!S13+'QTR CF'!T13+'QTR CF'!U13</f>
        <v/>
      </c>
      <c r="H11" s="9">
        <f>'QTR CF'!V13+'QTR CF'!W13+'QTR CF'!X13+'QTR CF'!Y13</f>
        <v/>
      </c>
      <c r="I11" s="9">
        <f>'QTR CF'!Z13+'QTR CF'!AA13+'QTR CF'!AB13+'QTR CF'!AC13</f>
        <v/>
      </c>
      <c r="J11" s="9">
        <f>'QTR CF'!AD13+'QTR CF'!AE13+'QTR CF'!AF13+'QTR CF'!AG13</f>
        <v/>
      </c>
      <c r="K11" s="5" t="n"/>
      <c r="L11" s="5" t="n"/>
    </row>
    <row r="12">
      <c r="A12" s="3" t="inlineStr">
        <is>
          <t>Gain (Loss) on Lease Cancellations</t>
        </is>
      </c>
      <c r="B12" s="4" t="n">
        <v>-28</v>
      </c>
      <c r="C12" s="4" t="n">
        <v>0</v>
      </c>
      <c r="D12" s="4" t="n">
        <v>0</v>
      </c>
      <c r="E12" s="4" t="n">
        <v>0</v>
      </c>
      <c r="F12" s="4" t="n">
        <v>0</v>
      </c>
      <c r="G12" s="9">
        <f>'QTR CF'!R14+'QTR CF'!S14+'QTR CF'!T14+'QTR CF'!U14</f>
        <v/>
      </c>
      <c r="H12" s="9">
        <f>'QTR CF'!V14+'QTR CF'!W14+'QTR CF'!X14+'QTR CF'!Y14</f>
        <v/>
      </c>
      <c r="I12" s="9">
        <f>'QTR CF'!Z14+'QTR CF'!AA14+'QTR CF'!AB14+'QTR CF'!AC14</f>
        <v/>
      </c>
      <c r="J12" s="9">
        <f>'QTR CF'!AD14+'QTR CF'!AE14+'QTR CF'!AF14+'QTR CF'!AG14</f>
        <v/>
      </c>
      <c r="K12" s="5" t="n"/>
      <c r="L12" s="5" t="n"/>
    </row>
    <row r="13">
      <c r="A13" s="3" t="inlineStr">
        <is>
          <t>Change in Fair Value of Contingent Consideration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13800</v>
      </c>
      <c r="G13" s="9">
        <f>'QTR CF'!R15+'QTR CF'!S15+'QTR CF'!T15+'QTR CF'!U15</f>
        <v/>
      </c>
      <c r="H13" s="9">
        <f>'QTR CF'!V15+'QTR CF'!W15+'QTR CF'!X15+'QTR CF'!Y15</f>
        <v/>
      </c>
      <c r="I13" s="9">
        <f>'QTR CF'!Z15+'QTR CF'!AA15+'QTR CF'!AB15+'QTR CF'!AC15</f>
        <v/>
      </c>
      <c r="J13" s="9">
        <f>'QTR CF'!AD15+'QTR CF'!AE15+'QTR CF'!AF15+'QTR CF'!AG15</f>
        <v/>
      </c>
      <c r="K13" s="5" t="n"/>
      <c r="L13" s="5" t="n"/>
    </row>
    <row r="14">
      <c r="A14" s="3" t="inlineStr">
        <is>
          <t>Gain (Loss) on Extinguishment of Debt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6003</v>
      </c>
      <c r="G14" s="9">
        <f>'QTR CF'!R16+'QTR CF'!S16+'QTR CF'!T16+'QTR CF'!U16</f>
        <v/>
      </c>
      <c r="H14" s="9">
        <f>'QTR CF'!V16+'QTR CF'!W16+'QTR CF'!X16+'QTR CF'!Y16</f>
        <v/>
      </c>
      <c r="I14" s="9">
        <f>'QTR CF'!Z16+'QTR CF'!AA16+'QTR CF'!AB16+'QTR CF'!AC16</f>
        <v/>
      </c>
      <c r="J14" s="9">
        <f>'QTR CF'!AD16+'QTR CF'!AE16+'QTR CF'!AF16+'QTR CF'!AG16</f>
        <v/>
      </c>
      <c r="K14" s="5" t="n"/>
      <c r="L14" s="5" t="n"/>
    </row>
    <row r="15">
      <c r="A15" s="3" t="inlineStr">
        <is>
          <t>Other Operating Items</t>
        </is>
      </c>
      <c r="B15" s="4" t="n">
        <v>0</v>
      </c>
      <c r="C15" s="4" t="n">
        <v>37</v>
      </c>
      <c r="D15" s="4" t="n">
        <v>-28</v>
      </c>
      <c r="E15" s="4" t="n">
        <v>-324</v>
      </c>
      <c r="F15" s="4" t="n">
        <v>-1687</v>
      </c>
      <c r="G15" s="9">
        <f>'QTR CF'!R17+'QTR CF'!S17+'QTR CF'!T17+'QTR CF'!U17</f>
        <v/>
      </c>
      <c r="H15" s="9">
        <f>'QTR CF'!V17+'QTR CF'!W17+'QTR CF'!X17+'QTR CF'!Y17</f>
        <v/>
      </c>
      <c r="I15" s="9">
        <f>'QTR CF'!Z17+'QTR CF'!AA17+'QTR CF'!AB17+'QTR CF'!AC17</f>
        <v/>
      </c>
      <c r="J15" s="9">
        <f>'QTR CF'!AD17+'QTR CF'!AE17+'QTR CF'!AF17+'QTR CF'!AG17</f>
        <v/>
      </c>
      <c r="K15" s="5" t="n"/>
      <c r="L15" s="5" t="n"/>
    </row>
    <row r="16">
      <c r="A16" s="3" t="inlineStr">
        <is>
          <t>Accounts Receivable</t>
        </is>
      </c>
      <c r="B16" s="4" t="n">
        <v>-25249</v>
      </c>
      <c r="C16" s="4" t="n">
        <v>-26369</v>
      </c>
      <c r="D16" s="4" t="n">
        <v>-121558</v>
      </c>
      <c r="E16" s="4" t="n">
        <v>-89665</v>
      </c>
      <c r="F16" s="4" t="n">
        <v>-412091</v>
      </c>
      <c r="G16" s="9">
        <f>'QTR CF'!R18+'QTR CF'!S18+'QTR CF'!T18+'QTR CF'!U18</f>
        <v/>
      </c>
      <c r="H16" s="9">
        <f>'QTR CF'!V18+'QTR CF'!W18+'QTR CF'!X18+'QTR CF'!Y18</f>
        <v/>
      </c>
      <c r="I16" s="9">
        <f>'QTR CF'!Z18+'QTR CF'!AA18+'QTR CF'!AB18+'QTR CF'!AC18</f>
        <v/>
      </c>
      <c r="J16" s="9">
        <f>'QTR CF'!AD18+'QTR CF'!AE18+'QTR CF'!AF18+'QTR CF'!AG18</f>
        <v/>
      </c>
      <c r="K16" s="5" t="n"/>
      <c r="L16" s="5" t="n"/>
    </row>
    <row r="17">
      <c r="A17" s="3" t="inlineStr">
        <is>
          <t>Note Receivable</t>
        </is>
      </c>
      <c r="B17" s="4" t="n">
        <v>0</v>
      </c>
      <c r="C17" s="4" t="n">
        <v>0</v>
      </c>
      <c r="D17" s="4" t="n">
        <v>0</v>
      </c>
      <c r="E17" s="4" t="n">
        <v>2318</v>
      </c>
      <c r="F17" s="4" t="n">
        <v>0</v>
      </c>
      <c r="G17" s="9">
        <f>'QTR CF'!R19+'QTR CF'!S19+'QTR CF'!T19+'QTR CF'!U19</f>
        <v/>
      </c>
      <c r="H17" s="9">
        <f>'QTR CF'!V19+'QTR CF'!W19+'QTR CF'!X19+'QTR CF'!Y19</f>
        <v/>
      </c>
      <c r="I17" s="9">
        <f>'QTR CF'!Z19+'QTR CF'!AA19+'QTR CF'!AB19+'QTR CF'!AC19</f>
        <v/>
      </c>
      <c r="J17" s="9">
        <f>'QTR CF'!AD19+'QTR CF'!AE19+'QTR CF'!AF19+'QTR CF'!AG19</f>
        <v/>
      </c>
      <c r="K17" s="5" t="n"/>
      <c r="L17" s="5" t="n"/>
    </row>
    <row r="18">
      <c r="A18" s="3" t="inlineStr">
        <is>
          <t>Inventories</t>
        </is>
      </c>
      <c r="B18" s="4" t="n">
        <v>-175174</v>
      </c>
      <c r="C18" s="4" t="n">
        <v>11802</v>
      </c>
      <c r="D18" s="4" t="n">
        <v>-63299</v>
      </c>
      <c r="E18" s="4" t="n">
        <v>77190</v>
      </c>
      <c r="F18" s="4" t="n">
        <v>-129777</v>
      </c>
      <c r="G18" s="9">
        <f>'QTR CF'!R20+'QTR CF'!S20+'QTR CF'!T20+'QTR CF'!U20</f>
        <v/>
      </c>
      <c r="H18" s="9">
        <f>'QTR CF'!V20+'QTR CF'!W20+'QTR CF'!X20+'QTR CF'!Y20</f>
        <v/>
      </c>
      <c r="I18" s="9">
        <f>'QTR CF'!Z20+'QTR CF'!AA20+'QTR CF'!AB20+'QTR CF'!AC20</f>
        <v/>
      </c>
      <c r="J18" s="9">
        <f>'QTR CF'!AD20+'QTR CF'!AE20+'QTR CF'!AF20+'QTR CF'!AG20</f>
        <v/>
      </c>
      <c r="K18" s="5" t="n"/>
      <c r="L18" s="5" t="n"/>
    </row>
    <row r="19">
      <c r="A19" s="3" t="inlineStr">
        <is>
          <t>Prepaid Expenses</t>
        </is>
      </c>
      <c r="B19" s="4" t="n">
        <v>1072</v>
      </c>
      <c r="C19" s="4" t="n">
        <v>2214</v>
      </c>
      <c r="D19" s="4" t="n">
        <v>-7980</v>
      </c>
      <c r="E19" s="4" t="n">
        <v>1074</v>
      </c>
      <c r="F19" s="4" t="n">
        <v>-108321</v>
      </c>
      <c r="G19" s="9">
        <f>'QTR CF'!R21+'QTR CF'!S21+'QTR CF'!T21+'QTR CF'!U21</f>
        <v/>
      </c>
      <c r="H19" s="9">
        <f>'QTR CF'!V21+'QTR CF'!W21+'QTR CF'!X21+'QTR CF'!Y21</f>
        <v/>
      </c>
      <c r="I19" s="9">
        <f>'QTR CF'!Z21+'QTR CF'!AA21+'QTR CF'!AB21+'QTR CF'!AC21</f>
        <v/>
      </c>
      <c r="J19" s="9">
        <f>'QTR CF'!AD21+'QTR CF'!AE21+'QTR CF'!AF21+'QTR CF'!AG21</f>
        <v/>
      </c>
      <c r="K19" s="5" t="n"/>
      <c r="L19" s="5" t="n"/>
    </row>
    <row r="20">
      <c r="A20" s="3" t="inlineStr">
        <is>
          <t>Other Non-Current Assets</t>
        </is>
      </c>
      <c r="B20" s="4" t="n">
        <v>0</v>
      </c>
      <c r="C20" s="4" t="n">
        <v>0</v>
      </c>
      <c r="D20" s="4" t="n">
        <v>0</v>
      </c>
      <c r="E20" s="4" t="n">
        <v>-4862</v>
      </c>
      <c r="F20" s="4" t="n">
        <v>2857</v>
      </c>
      <c r="G20" s="9">
        <f>'QTR CF'!R23+'QTR CF'!S23+'QTR CF'!T23+'QTR CF'!U23</f>
        <v/>
      </c>
      <c r="H20" s="9">
        <f>'QTR CF'!V23+'QTR CF'!W23+'QTR CF'!X23+'QTR CF'!Y23</f>
        <v/>
      </c>
      <c r="I20" s="9">
        <f>'QTR CF'!Z23+'QTR CF'!AA23+'QTR CF'!AB23+'QTR CF'!AC23</f>
        <v/>
      </c>
      <c r="J20" s="9">
        <f>'QTR CF'!AD23+'QTR CF'!AE23+'QTR CF'!AF23+'QTR CF'!AG23</f>
        <v/>
      </c>
      <c r="K20" s="5" t="n"/>
      <c r="L20" s="5" t="n"/>
    </row>
    <row r="21">
      <c r="A21" s="3" t="inlineStr">
        <is>
          <t>Accounts Payable</t>
        </is>
      </c>
      <c r="B21" s="4" t="n">
        <v>23966</v>
      </c>
      <c r="C21" s="4" t="n">
        <v>428</v>
      </c>
      <c r="D21" s="4" t="n">
        <v>5249</v>
      </c>
      <c r="E21" s="4" t="n">
        <v>-1170</v>
      </c>
      <c r="F21" s="4" t="n">
        <v>51252</v>
      </c>
      <c r="G21" s="9">
        <f>'QTR CF'!R24+'QTR CF'!S24+'QTR CF'!T24+'QTR CF'!U24</f>
        <v/>
      </c>
      <c r="H21" s="9">
        <f>'QTR CF'!V24+'QTR CF'!W24+'QTR CF'!X24+'QTR CF'!Y24</f>
        <v/>
      </c>
      <c r="I21" s="9">
        <f>'QTR CF'!Z24+'QTR CF'!AA24+'QTR CF'!AB24+'QTR CF'!AC24</f>
        <v/>
      </c>
      <c r="J21" s="9">
        <f>'QTR CF'!AD24+'QTR CF'!AE24+'QTR CF'!AF24+'QTR CF'!AG24</f>
        <v/>
      </c>
      <c r="K21" s="5" t="n"/>
      <c r="L21" s="5" t="n"/>
    </row>
    <row r="22">
      <c r="A22" s="3" t="inlineStr">
        <is>
          <t>Accrued Expenses</t>
        </is>
      </c>
      <c r="B22" s="4" t="n">
        <v>26484</v>
      </c>
      <c r="C22" s="4" t="n">
        <v>34644</v>
      </c>
      <c r="D22" s="4" t="n">
        <v>-8025</v>
      </c>
      <c r="E22" s="4" t="n">
        <v>85398</v>
      </c>
      <c r="F22" s="4" t="n">
        <v>45618</v>
      </c>
      <c r="G22" s="9">
        <f>'QTR CF'!R25+'QTR CF'!S25+'QTR CF'!T25+'QTR CF'!U25</f>
        <v/>
      </c>
      <c r="H22" s="9">
        <f>'QTR CF'!V25+'QTR CF'!W25+'QTR CF'!X25+'QTR CF'!Y25</f>
        <v/>
      </c>
      <c r="I22" s="9">
        <f>'QTR CF'!Z25+'QTR CF'!AA25+'QTR CF'!AB25+'QTR CF'!AC25</f>
        <v/>
      </c>
      <c r="J22" s="9">
        <f>'QTR CF'!AD25+'QTR CF'!AE25+'QTR CF'!AF25+'QTR CF'!AG25</f>
        <v/>
      </c>
      <c r="K22" s="5" t="n"/>
      <c r="L22" s="5" t="n"/>
    </row>
    <row r="23">
      <c r="A23" s="3" t="inlineStr">
        <is>
          <t>Other Current Liabilities</t>
        </is>
      </c>
      <c r="B23" s="4" t="n">
        <v>1731</v>
      </c>
      <c r="C23" s="4" t="n">
        <v>2446</v>
      </c>
      <c r="D23" s="4" t="n">
        <v>55407</v>
      </c>
      <c r="E23" s="4" t="n">
        <v>-34616</v>
      </c>
      <c r="F23" s="4" t="n">
        <v>48687</v>
      </c>
      <c r="G23" s="9">
        <f>'QTR CF'!R26+'QTR CF'!S26+'QTR CF'!T26+'QTR CF'!U26</f>
        <v/>
      </c>
      <c r="H23" s="9">
        <f>'QTR CF'!V26+'QTR CF'!W26+'QTR CF'!X26+'QTR CF'!Y26</f>
        <v/>
      </c>
      <c r="I23" s="9">
        <f>'QTR CF'!Z26+'QTR CF'!AA26+'QTR CF'!AB26+'QTR CF'!AC26</f>
        <v/>
      </c>
      <c r="J23" s="9">
        <f>'QTR CF'!AD26+'QTR CF'!AE26+'QTR CF'!AF26+'QTR CF'!AG26</f>
        <v/>
      </c>
      <c r="K23" s="5" t="n"/>
      <c r="L23" s="5" t="n"/>
    </row>
    <row r="24">
      <c r="A24" s="3" t="inlineStr">
        <is>
          <t>Accrued Promotional Allowance</t>
        </is>
      </c>
      <c r="B24" s="4" t="n">
        <v>13379</v>
      </c>
      <c r="C24" s="4" t="n">
        <v>16940</v>
      </c>
      <c r="D24" s="4" t="n">
        <v>63810</v>
      </c>
      <c r="E24" s="4" t="n">
        <v>36161</v>
      </c>
      <c r="F24" s="4" t="n">
        <v>153635</v>
      </c>
      <c r="G24" s="9">
        <f>'QTR CF'!R27+'QTR CF'!S27+'QTR CF'!T27+'QTR CF'!U27</f>
        <v/>
      </c>
      <c r="H24" s="9">
        <f>'QTR CF'!V27+'QTR CF'!W27+'QTR CF'!X27+'QTR CF'!Y27</f>
        <v/>
      </c>
      <c r="I24" s="9">
        <f>'QTR CF'!Z27+'QTR CF'!AA27+'QTR CF'!AB27+'QTR CF'!AC27</f>
        <v/>
      </c>
      <c r="J24" s="9">
        <f>'QTR CF'!AD27+'QTR CF'!AE27+'QTR CF'!AF27+'QTR CF'!AG27</f>
        <v/>
      </c>
      <c r="K24" s="5" t="n"/>
      <c r="L24" s="5" t="n"/>
    </row>
    <row r="25">
      <c r="A25" s="3" t="inlineStr">
        <is>
          <t>Accrued Distributor Termination</t>
        </is>
      </c>
      <c r="B25" s="4" t="n">
        <v>0</v>
      </c>
      <c r="C25" s="4" t="n">
        <v>3986</v>
      </c>
      <c r="D25" s="4" t="n">
        <v>-3739</v>
      </c>
      <c r="E25" s="4" t="n">
        <v>-248</v>
      </c>
      <c r="F25" s="4" t="n">
        <v>257595</v>
      </c>
      <c r="G25" s="9">
        <f>'QTR CF'!R28+'QTR CF'!S28+'QTR CF'!T28+'QTR CF'!U28</f>
        <v/>
      </c>
      <c r="H25" s="9">
        <f>'QTR CF'!V28+'QTR CF'!W28+'QTR CF'!X28+'QTR CF'!Y28</f>
        <v/>
      </c>
      <c r="I25" s="9">
        <f>'QTR CF'!Z28+'QTR CF'!AA28+'QTR CF'!AB28+'QTR CF'!AC28</f>
        <v/>
      </c>
      <c r="J25" s="9">
        <f>'QTR CF'!AD28+'QTR CF'!AE28+'QTR CF'!AF28+'QTR CF'!AG28</f>
        <v/>
      </c>
      <c r="K25" s="5" t="n"/>
      <c r="L25" s="5" t="n"/>
    </row>
    <row r="26">
      <c r="A26" s="3" t="inlineStr">
        <is>
          <t>ROU &amp; Lease Liability, Net</t>
        </is>
      </c>
      <c r="B26" s="4" t="n">
        <v>29</v>
      </c>
      <c r="C26" s="4" t="n">
        <v>-183</v>
      </c>
      <c r="D26" s="4" t="n">
        <v>-102</v>
      </c>
      <c r="E26" s="4" t="n">
        <v>535</v>
      </c>
      <c r="F26" s="4" t="n">
        <v>0</v>
      </c>
      <c r="G26" s="9">
        <f>'QTR CF'!R29+'QTR CF'!S29+'QTR CF'!T29+'QTR CF'!U29</f>
        <v/>
      </c>
      <c r="H26" s="9">
        <f>'QTR CF'!V29+'QTR CF'!W29+'QTR CF'!X29+'QTR CF'!Y29</f>
        <v/>
      </c>
      <c r="I26" s="9">
        <f>'QTR CF'!Z29+'QTR CF'!AA29+'QTR CF'!AB29+'QTR CF'!AC29</f>
        <v/>
      </c>
      <c r="J26" s="9">
        <f>'QTR CF'!AD29+'QTR CF'!AE29+'QTR CF'!AF29+'QTR CF'!AG29</f>
        <v/>
      </c>
      <c r="K26" s="5" t="n"/>
      <c r="L26" s="5" t="n"/>
    </row>
    <row r="27">
      <c r="A27" s="3" t="inlineStr">
        <is>
          <t>Deferred Revenue</t>
        </is>
      </c>
      <c r="B27" s="4" t="n">
        <v>0</v>
      </c>
      <c r="C27" s="4" t="n">
        <v>189463</v>
      </c>
      <c r="D27" s="4" t="n">
        <v>-12723</v>
      </c>
      <c r="E27" s="4" t="n">
        <v>-9513</v>
      </c>
      <c r="F27" s="4" t="n">
        <v>255110</v>
      </c>
      <c r="G27" s="9">
        <f>'QTR CF'!R30+'QTR CF'!S30+'QTR CF'!T30+'QTR CF'!U30</f>
        <v/>
      </c>
      <c r="H27" s="9">
        <f>'QTR CF'!V30+'QTR CF'!W30+'QTR CF'!X30+'QTR CF'!Y30</f>
        <v/>
      </c>
      <c r="I27" s="9">
        <f>'QTR CF'!Z30+'QTR CF'!AA30+'QTR CF'!AB30+'QTR CF'!AC30</f>
        <v/>
      </c>
      <c r="J27" s="9">
        <f>'QTR CF'!AD30+'QTR CF'!AE30+'QTR CF'!AF30+'QTR CF'!AG30</f>
        <v/>
      </c>
      <c r="K27" s="5" t="n"/>
      <c r="L27" s="5" t="n"/>
    </row>
    <row r="28">
      <c r="A28" s="3" t="inlineStr">
        <is>
          <t>Net Change in Other Working Capital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2481</v>
      </c>
      <c r="G28" s="9">
        <f>'QTR CF'!R31+'QTR CF'!S31+'QTR CF'!T31+'QTR CF'!U31</f>
        <v/>
      </c>
      <c r="H28" s="9">
        <f>'QTR CF'!V31+'QTR CF'!W31+'QTR CF'!X31+'QTR CF'!Y31</f>
        <v/>
      </c>
      <c r="I28" s="9">
        <f>'QTR CF'!Z31+'QTR CF'!AA31+'QTR CF'!AB31+'QTR CF'!AC31</f>
        <v/>
      </c>
      <c r="J28" s="9">
        <f>'QTR CF'!AD31+'QTR CF'!AE31+'QTR CF'!AF31+'QTR CF'!AG31</f>
        <v/>
      </c>
      <c r="K28" s="5" t="n"/>
      <c r="L28" s="5" t="n"/>
    </row>
    <row r="29">
      <c r="A29" s="3" t="inlineStr">
        <is>
          <t>Cash Flow from Operations</t>
        </is>
      </c>
      <c r="B29" s="6">
        <f>SUM(B2:B28)</f>
        <v/>
      </c>
      <c r="C29" s="6">
        <f>SUM(C2:C28)</f>
        <v/>
      </c>
      <c r="D29" s="6">
        <f>SUM(D2:D28)</f>
        <v/>
      </c>
      <c r="E29" s="6">
        <f>SUM(E2:E28)</f>
        <v/>
      </c>
      <c r="F29" s="6">
        <f>SUM(F2:F28)</f>
        <v/>
      </c>
      <c r="G29" s="7">
        <f>SUM(G2:G28)</f>
        <v/>
      </c>
      <c r="H29" s="7">
        <f>SUM(H2:H28)</f>
        <v/>
      </c>
      <c r="I29" s="7">
        <f>SUM(I2:I28)</f>
        <v/>
      </c>
      <c r="J29" s="7">
        <f>SUM(J2:J28)</f>
        <v/>
      </c>
      <c r="K29" s="7">
        <f>SUM(K2:K28)</f>
        <v/>
      </c>
      <c r="L29" s="7">
        <f>SUM(L2:L28)</f>
        <v/>
      </c>
    </row>
    <row r="30">
      <c r="A30" s="3" t="inlineStr">
        <is>
          <t>Collections from Note Receivable</t>
        </is>
      </c>
      <c r="B30" s="4" t="n">
        <v>1886</v>
      </c>
      <c r="C30" s="4" t="n">
        <v>2592</v>
      </c>
      <c r="D30" s="4" t="n">
        <v>3233</v>
      </c>
      <c r="E30" s="4" t="n">
        <v>0</v>
      </c>
      <c r="F30" s="4" t="n">
        <v>0</v>
      </c>
      <c r="G30" s="9">
        <f>'QTR CF'!R33+'QTR CF'!S33+'QTR CF'!T33+'QTR CF'!U33</f>
        <v/>
      </c>
      <c r="H30" s="9">
        <f>'QTR CF'!V33+'QTR CF'!W33+'QTR CF'!X33+'QTR CF'!Y33</f>
        <v/>
      </c>
      <c r="I30" s="9">
        <f>'QTR CF'!Z33+'QTR CF'!AA33+'QTR CF'!AB33+'QTR CF'!AC33</f>
        <v/>
      </c>
      <c r="J30" s="9">
        <f>'QTR CF'!AD33+'QTR CF'!AE33+'QTR CF'!AF33+'QTR CF'!AG33</f>
        <v/>
      </c>
      <c r="K30" s="5" t="n"/>
      <c r="L30" s="5" t="n"/>
    </row>
    <row r="31">
      <c r="A31" s="3" t="inlineStr">
        <is>
          <t>Purchase of PP&amp;E</t>
        </is>
      </c>
      <c r="B31" s="4" t="n">
        <v>-3150</v>
      </c>
      <c r="C31" s="4" t="n">
        <v>-8264</v>
      </c>
      <c r="D31" s="4" t="n">
        <v>-17433</v>
      </c>
      <c r="E31" s="4" t="n">
        <v>-23390</v>
      </c>
      <c r="F31" s="4" t="n">
        <v>-36067</v>
      </c>
      <c r="G31" s="9">
        <f>'QTR CF'!R34+'QTR CF'!S34+'QTR CF'!T34+'QTR CF'!U34</f>
        <v/>
      </c>
      <c r="H31" s="9">
        <f>'QTR CF'!V34+'QTR CF'!W34+'QTR CF'!X34+'QTR CF'!Y34</f>
        <v/>
      </c>
      <c r="I31" s="9">
        <f>'QTR CF'!Z34+'QTR CF'!AA34+'QTR CF'!AB34+'QTR CF'!AC34</f>
        <v/>
      </c>
      <c r="J31" s="9">
        <f>'QTR CF'!AD34+'QTR CF'!AE34+'QTR CF'!AF34+'QTR CF'!AG34</f>
        <v/>
      </c>
      <c r="K31" s="5" t="n"/>
      <c r="L31" s="5" t="n"/>
    </row>
    <row r="32">
      <c r="A32" s="3" t="inlineStr">
        <is>
          <t>Purchase of Non-Marketable Equity Securities</t>
        </is>
      </c>
      <c r="B32" s="4" t="n">
        <v>0</v>
      </c>
      <c r="C32" s="4" t="n">
        <v>0</v>
      </c>
      <c r="D32" s="4" t="n">
        <v>0</v>
      </c>
      <c r="E32" s="4" t="n">
        <v>-3000</v>
      </c>
      <c r="F32" s="4" t="n">
        <v>-10000</v>
      </c>
      <c r="G32" s="9">
        <f>'QTR CF'!R35+'QTR CF'!S35+'QTR CF'!T35+'QTR CF'!U35</f>
        <v/>
      </c>
      <c r="H32" s="9">
        <f>'QTR CF'!V35+'QTR CF'!W35+'QTR CF'!X35+'QTR CF'!Y35</f>
        <v/>
      </c>
      <c r="I32" s="9">
        <f>'QTR CF'!Z35+'QTR CF'!AA35+'QTR CF'!AB35+'QTR CF'!AC35</f>
        <v/>
      </c>
      <c r="J32" s="9">
        <f>'QTR CF'!AD35+'QTR CF'!AE35+'QTR CF'!AF35+'QTR CF'!AG35</f>
        <v/>
      </c>
      <c r="K32" s="5" t="n"/>
      <c r="L32" s="5" t="n"/>
    </row>
    <row r="33">
      <c r="A33" s="3" t="inlineStr">
        <is>
          <t>Acquisition of Big Beverages</t>
        </is>
      </c>
      <c r="B33" s="4" t="n">
        <v>0</v>
      </c>
      <c r="C33" s="4" t="n">
        <v>0</v>
      </c>
      <c r="D33" s="4" t="n">
        <v>0</v>
      </c>
      <c r="E33" s="4" t="n">
        <v>-75336</v>
      </c>
      <c r="F33" s="4" t="n">
        <v>0</v>
      </c>
      <c r="G33" s="9">
        <f>'QTR CF'!R36+'QTR CF'!S36+'QTR CF'!T36+'QTR CF'!U36</f>
        <v/>
      </c>
      <c r="H33" s="9">
        <f>'QTR CF'!V36+'QTR CF'!W36+'QTR CF'!X36+'QTR CF'!Y36</f>
        <v/>
      </c>
      <c r="I33" s="9">
        <f>'QTR CF'!Z36+'QTR CF'!AA36+'QTR CF'!AB36+'QTR CF'!AC36</f>
        <v/>
      </c>
      <c r="J33" s="9">
        <f>'QTR CF'!AD36+'QTR CF'!AE36+'QTR CF'!AF36+'QTR CF'!AG36</f>
        <v/>
      </c>
      <c r="K33" s="5" t="n"/>
      <c r="L33" s="5" t="n"/>
    </row>
    <row r="34">
      <c r="A34" s="3" t="inlineStr">
        <is>
          <t>Acquisitions, Net of Cash Acquired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-1278769</v>
      </c>
      <c r="G34" s="9">
        <f>'QTR CF'!R37+'QTR CF'!S37+'QTR CF'!T37+'QTR CF'!U37</f>
        <v/>
      </c>
      <c r="H34" s="9">
        <f>'QTR CF'!V37+'QTR CF'!W37+'QTR CF'!X37+'QTR CF'!Y37</f>
        <v/>
      </c>
      <c r="I34" s="9">
        <f>'QTR CF'!Z37+'QTR CF'!AA37+'QTR CF'!AB37+'QTR CF'!AC37</f>
        <v/>
      </c>
      <c r="J34" s="9">
        <f>'QTR CF'!AD37+'QTR CF'!AE37+'QTR CF'!AF37+'QTR CF'!AG37</f>
        <v/>
      </c>
      <c r="K34" s="5" t="n"/>
      <c r="L34" s="5" t="n"/>
    </row>
    <row r="35">
      <c r="A35" s="3" t="inlineStr">
        <is>
          <t>Working Capital Estimate from Pepsi (Rockstar)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29156</v>
      </c>
      <c r="G35" s="9">
        <f>'QTR CF'!R38+'QTR CF'!S38+'QTR CF'!T38+'QTR CF'!U38</f>
        <v/>
      </c>
      <c r="H35" s="9">
        <f>'QTR CF'!V38+'QTR CF'!W38+'QTR CF'!X38+'QTR CF'!Y38</f>
        <v/>
      </c>
      <c r="I35" s="9">
        <f>'QTR CF'!Z38+'QTR CF'!AA38+'QTR CF'!AB38+'QTR CF'!AC38</f>
        <v/>
      </c>
      <c r="J35" s="9">
        <f>'QTR CF'!AD38+'QTR CF'!AE38+'QTR CF'!AF38+'QTR CF'!AG38</f>
        <v/>
      </c>
      <c r="K35" s="5" t="n"/>
      <c r="L35" s="5" t="n"/>
    </row>
    <row r="36">
      <c r="A36" s="3" t="inlineStr">
        <is>
          <t>Cash Flow from Investing</t>
        </is>
      </c>
      <c r="B36" s="6">
        <f>SUM(B30:B35)</f>
        <v/>
      </c>
      <c r="C36" s="6">
        <f>SUM(C30:C35)</f>
        <v/>
      </c>
      <c r="D36" s="6">
        <f>SUM(D30:D35)</f>
        <v/>
      </c>
      <c r="E36" s="6">
        <f>SUM(E30:E35)</f>
        <v/>
      </c>
      <c r="F36" s="6">
        <f>SUM(F30:F35)</f>
        <v/>
      </c>
      <c r="G36" s="7">
        <f>SUM(G30:G35)</f>
        <v/>
      </c>
      <c r="H36" s="7">
        <f>SUM(H30:H35)</f>
        <v/>
      </c>
      <c r="I36" s="7">
        <f>SUM(I30:I35)</f>
        <v/>
      </c>
      <c r="J36" s="7">
        <f>SUM(J30:J35)</f>
        <v/>
      </c>
      <c r="K36" s="7">
        <f>SUM(K30:K35)</f>
        <v/>
      </c>
      <c r="L36" s="7">
        <f>SUM(L30:L35)</f>
        <v/>
      </c>
    </row>
    <row r="37">
      <c r="A37" s="3" t="inlineStr">
        <is>
          <t>Finance Lease Payments</t>
        </is>
      </c>
      <c r="B37" s="4" t="n">
        <v>-94</v>
      </c>
      <c r="C37" s="4" t="n">
        <v>-63</v>
      </c>
      <c r="D37" s="4" t="n">
        <v>-44</v>
      </c>
      <c r="E37" s="4" t="n">
        <v>-61</v>
      </c>
      <c r="F37" s="4" t="n">
        <v>0</v>
      </c>
      <c r="G37" s="9">
        <f>'QTR CF'!R40+'QTR CF'!S40+'QTR CF'!T40+'QTR CF'!U40</f>
        <v/>
      </c>
      <c r="H37" s="9">
        <f>'QTR CF'!V40+'QTR CF'!W40+'QTR CF'!X40+'QTR CF'!Y40</f>
        <v/>
      </c>
      <c r="I37" s="9">
        <f>'QTR CF'!Z40+'QTR CF'!AA40+'QTR CF'!AB40+'QTR CF'!AC40</f>
        <v/>
      </c>
      <c r="J37" s="9">
        <f>'QTR CF'!AD40+'QTR CF'!AE40+'QTR CF'!AF40+'QTR CF'!AG40</f>
        <v/>
      </c>
      <c r="K37" s="5" t="n"/>
      <c r="L37" s="5" t="n"/>
    </row>
    <row r="38">
      <c r="A38" s="3" t="inlineStr">
        <is>
          <t>Proceeds from Exercise of Stock Options</t>
        </is>
      </c>
      <c r="B38" s="4" t="n">
        <v>3720</v>
      </c>
      <c r="C38" s="4" t="n">
        <v>3683</v>
      </c>
      <c r="D38" s="4" t="n">
        <v>2285</v>
      </c>
      <c r="E38" s="4" t="n">
        <v>3856</v>
      </c>
      <c r="F38" s="4" t="n">
        <v>0</v>
      </c>
      <c r="G38" s="9">
        <f>'QTR CF'!R41+'QTR CF'!S41+'QTR CF'!T41+'QTR CF'!U41</f>
        <v/>
      </c>
      <c r="H38" s="9">
        <f>'QTR CF'!V41+'QTR CF'!W41+'QTR CF'!X41+'QTR CF'!Y41</f>
        <v/>
      </c>
      <c r="I38" s="9">
        <f>'QTR CF'!Z41+'QTR CF'!AA41+'QTR CF'!AB41+'QTR CF'!AC41</f>
        <v/>
      </c>
      <c r="J38" s="9">
        <f>'QTR CF'!AD41+'QTR CF'!AE41+'QTR CF'!AF41+'QTR CF'!AG41</f>
        <v/>
      </c>
      <c r="K38" s="5" t="n"/>
      <c r="L38" s="5" t="n"/>
    </row>
    <row r="39">
      <c r="A39" s="3" t="inlineStr">
        <is>
          <t>Proceeds from Issuance of Common Stock</t>
        </is>
      </c>
      <c r="B39" s="4" t="n">
        <v>67769</v>
      </c>
      <c r="C39" s="4" t="n">
        <v>0</v>
      </c>
      <c r="D39" s="4" t="n">
        <v>0</v>
      </c>
      <c r="E39" s="4" t="n">
        <v>0</v>
      </c>
      <c r="F39" s="4" t="n">
        <v>0</v>
      </c>
      <c r="G39" s="9">
        <f>'QTR CF'!R42+'QTR CF'!S42+'QTR CF'!T42+'QTR CF'!U42</f>
        <v/>
      </c>
      <c r="H39" s="9">
        <f>'QTR CF'!V42+'QTR CF'!W42+'QTR CF'!X42+'QTR CF'!Y42</f>
        <v/>
      </c>
      <c r="I39" s="9">
        <f>'QTR CF'!Z42+'QTR CF'!AA42+'QTR CF'!AB42+'QTR CF'!AC42</f>
        <v/>
      </c>
      <c r="J39" s="9">
        <f>'QTR CF'!AD42+'QTR CF'!AE42+'QTR CF'!AF42+'QTR CF'!AG42</f>
        <v/>
      </c>
      <c r="K39" s="5" t="n"/>
      <c r="L39" s="5" t="n"/>
    </row>
    <row r="40">
      <c r="A40" s="3" t="inlineStr">
        <is>
          <t>Proceeds from Issuance of Preferred Stock</t>
        </is>
      </c>
      <c r="B40" s="4" t="n">
        <v>0</v>
      </c>
      <c r="C40" s="4" t="n">
        <v>542018</v>
      </c>
      <c r="D40" s="4" t="n">
        <v>0</v>
      </c>
      <c r="E40" s="4" t="n">
        <v>0</v>
      </c>
      <c r="F40" s="4" t="n">
        <v>0</v>
      </c>
      <c r="G40" s="9">
        <f>'QTR CF'!R43+'QTR CF'!S43+'QTR CF'!T43+'QTR CF'!U43</f>
        <v/>
      </c>
      <c r="H40" s="9">
        <f>'QTR CF'!V43+'QTR CF'!W43+'QTR CF'!X43+'QTR CF'!Y43</f>
        <v/>
      </c>
      <c r="I40" s="9">
        <f>'QTR CF'!Z43+'QTR CF'!AA43+'QTR CF'!AB43+'QTR CF'!AC43</f>
        <v/>
      </c>
      <c r="J40" s="9">
        <f>'QTR CF'!AD43+'QTR CF'!AE43+'QTR CF'!AF43+'QTR CF'!AG43</f>
        <v/>
      </c>
      <c r="K40" s="5" t="n"/>
      <c r="L40" s="5" t="n"/>
    </row>
    <row r="41">
      <c r="A41" s="3" t="inlineStr">
        <is>
          <t>Preferred Dividends</t>
        </is>
      </c>
      <c r="B41" s="4" t="n">
        <v>0</v>
      </c>
      <c r="C41" s="4" t="n">
        <v>-11526</v>
      </c>
      <c r="D41" s="4" t="n">
        <v>-27462</v>
      </c>
      <c r="E41" s="4" t="n">
        <v>-27500</v>
      </c>
      <c r="F41" s="4" t="n">
        <v>-37608</v>
      </c>
      <c r="G41" s="9">
        <f>'QTR CF'!R44+'QTR CF'!S44+'QTR CF'!T44+'QTR CF'!U44</f>
        <v/>
      </c>
      <c r="H41" s="9">
        <f>'QTR CF'!V44+'QTR CF'!W44+'QTR CF'!X44+'QTR CF'!Y44</f>
        <v/>
      </c>
      <c r="I41" s="9">
        <f>'QTR CF'!Z44+'QTR CF'!AA44+'QTR CF'!AB44+'QTR CF'!AC44</f>
        <v/>
      </c>
      <c r="J41" s="9">
        <f>'QTR CF'!AD44+'QTR CF'!AE44+'QTR CF'!AF44+'QTR CF'!AG44</f>
        <v/>
      </c>
      <c r="K41" s="5" t="n"/>
      <c r="L41" s="5" t="n"/>
    </row>
    <row r="42">
      <c r="A42" s="3" t="inlineStr">
        <is>
          <t>Share Repurchases</t>
        </is>
      </c>
      <c r="B42" s="4" t="n">
        <v>0</v>
      </c>
      <c r="C42" s="4" t="n">
        <v>0</v>
      </c>
      <c r="D42" s="4" t="n">
        <v>0</v>
      </c>
      <c r="E42" s="4" t="n">
        <v>-2261</v>
      </c>
      <c r="F42" s="4" t="n">
        <v>-45504</v>
      </c>
      <c r="G42" s="9">
        <f>'QTR CF'!R45+'QTR CF'!S45+'QTR CF'!T45+'QTR CF'!U45</f>
        <v/>
      </c>
      <c r="H42" s="9">
        <f>'QTR CF'!V45+'QTR CF'!W45+'QTR CF'!X45+'QTR CF'!Y45</f>
        <v/>
      </c>
      <c r="I42" s="9">
        <f>'QTR CF'!Z45+'QTR CF'!AA45+'QTR CF'!AB45+'QTR CF'!AC45</f>
        <v/>
      </c>
      <c r="J42" s="9">
        <f>'QTR CF'!AD45+'QTR CF'!AE45+'QTR CF'!AF45+'QTR CF'!AG45</f>
        <v/>
      </c>
      <c r="K42" s="5" t="n"/>
      <c r="L42" s="5" t="n"/>
    </row>
    <row r="43">
      <c r="A43" s="3" t="inlineStr">
        <is>
          <t>Proceeds from Issuance of Long-Term Debt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900000</v>
      </c>
      <c r="G43" s="9">
        <f>'QTR CF'!R46+'QTR CF'!S46+'QTR CF'!T46+'QTR CF'!U46</f>
        <v/>
      </c>
      <c r="H43" s="9">
        <f>'QTR CF'!V46+'QTR CF'!W46+'QTR CF'!X46+'QTR CF'!Y46</f>
        <v/>
      </c>
      <c r="I43" s="9">
        <f>'QTR CF'!Z46+'QTR CF'!AA46+'QTR CF'!AB46+'QTR CF'!AC46</f>
        <v/>
      </c>
      <c r="J43" s="9">
        <f>'QTR CF'!AD46+'QTR CF'!AE46+'QTR CF'!AF46+'QTR CF'!AG46</f>
        <v/>
      </c>
      <c r="K43" s="5" t="n"/>
      <c r="L43" s="5" t="n"/>
    </row>
    <row r="44">
      <c r="A44" s="3" t="inlineStr">
        <is>
          <t>Repayments of Long-Term Debt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-201750</v>
      </c>
      <c r="G44" s="9">
        <f>'QTR CF'!R47+'QTR CF'!S47+'QTR CF'!T47+'QTR CF'!U47</f>
        <v/>
      </c>
      <c r="H44" s="9">
        <f>'QTR CF'!V47+'QTR CF'!W47+'QTR CF'!X47+'QTR CF'!Y47</f>
        <v/>
      </c>
      <c r="I44" s="9">
        <f>'QTR CF'!Z47+'QTR CF'!AA47+'QTR CF'!AB47+'QTR CF'!AC47</f>
        <v/>
      </c>
      <c r="J44" s="9">
        <f>'QTR CF'!AD47+'QTR CF'!AE47+'QTR CF'!AF47+'QTR CF'!AG47</f>
        <v/>
      </c>
      <c r="K44" s="5" t="n"/>
      <c r="L44" s="5" t="n"/>
    </row>
    <row r="45">
      <c r="A45" s="3" t="inlineStr">
        <is>
          <t>Debt Issuance Fees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-32367</v>
      </c>
      <c r="G45" s="9">
        <f>'QTR CF'!R48+'QTR CF'!S48+'QTR CF'!T48+'QTR CF'!U48</f>
        <v/>
      </c>
      <c r="H45" s="9">
        <f>'QTR CF'!V48+'QTR CF'!W48+'QTR CF'!X48+'QTR CF'!Y48</f>
        <v/>
      </c>
      <c r="I45" s="9">
        <f>'QTR CF'!Z48+'QTR CF'!AA48+'QTR CF'!AB48+'QTR CF'!AC48</f>
        <v/>
      </c>
      <c r="J45" s="9">
        <f>'QTR CF'!AD48+'QTR CF'!AE48+'QTR CF'!AF48+'QTR CF'!AG48</f>
        <v/>
      </c>
      <c r="K45" s="5" t="n"/>
      <c r="L45" s="5" t="n"/>
    </row>
    <row r="46">
      <c r="A46" s="3" t="inlineStr">
        <is>
          <t>Other Financing Activities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-7</v>
      </c>
      <c r="G46" s="9">
        <f>'QTR CF'!R49+'QTR CF'!S49+'QTR CF'!T49+'QTR CF'!U49</f>
        <v/>
      </c>
      <c r="H46" s="9">
        <f>'QTR CF'!V49+'QTR CF'!W49+'QTR CF'!X49+'QTR CF'!Y49</f>
        <v/>
      </c>
      <c r="I46" s="9">
        <f>'QTR CF'!Z49+'QTR CF'!AA49+'QTR CF'!AB49+'QTR CF'!AC49</f>
        <v/>
      </c>
      <c r="J46" s="9">
        <f>'QTR CF'!AD49+'QTR CF'!AE49+'QTR CF'!AF49+'QTR CF'!AG49</f>
        <v/>
      </c>
      <c r="K46" s="5" t="n"/>
      <c r="L46" s="5" t="n"/>
    </row>
    <row r="47">
      <c r="A47" s="3" t="inlineStr">
        <is>
          <t>Cash Flow from Financing</t>
        </is>
      </c>
      <c r="B47" s="6">
        <f>SUM(B37:B46)</f>
        <v/>
      </c>
      <c r="C47" s="6">
        <f>SUM(C37:C46)</f>
        <v/>
      </c>
      <c r="D47" s="6">
        <f>SUM(D37:D46)</f>
        <v/>
      </c>
      <c r="E47" s="6">
        <f>SUM(E37:E46)</f>
        <v/>
      </c>
      <c r="F47" s="6">
        <f>SUM(F37:F46)</f>
        <v/>
      </c>
      <c r="G47" s="7">
        <f>SUM(G37:G46)</f>
        <v/>
      </c>
      <c r="H47" s="7">
        <f>SUM(H37:H46)</f>
        <v/>
      </c>
      <c r="I47" s="7">
        <f>SUM(I37:I46)</f>
        <v/>
      </c>
      <c r="J47" s="7">
        <f>SUM(J37:J46)</f>
        <v/>
      </c>
      <c r="K47" s="7">
        <f>SUM(K37:K46)</f>
        <v/>
      </c>
      <c r="L47" s="7">
        <f>SUM(L37:L46)</f>
        <v/>
      </c>
    </row>
    <row r="48">
      <c r="A48" s="3" t="inlineStr">
        <is>
          <t>FX Effect on Cash</t>
        </is>
      </c>
      <c r="B48" s="4" t="n">
        <v>-538</v>
      </c>
      <c r="C48" s="4" t="n">
        <v>50</v>
      </c>
      <c r="D48" s="4" t="n">
        <v>1257</v>
      </c>
      <c r="E48" s="4" t="n">
        <v>-997</v>
      </c>
      <c r="F48" s="4" t="n">
        <v>3271</v>
      </c>
      <c r="G48" s="9">
        <f>'QTR CF'!R51+'QTR CF'!S51+'QTR CF'!T51+'QTR CF'!U51</f>
        <v/>
      </c>
      <c r="H48" s="9">
        <f>'QTR CF'!V51+'QTR CF'!W51+'QTR CF'!X51+'QTR CF'!Y51</f>
        <v/>
      </c>
      <c r="I48" s="9">
        <f>'QTR CF'!Z51+'QTR CF'!AA51+'QTR CF'!AB51+'QTR CF'!AC51</f>
        <v/>
      </c>
      <c r="J48" s="9">
        <f>'QTR CF'!AD51+'QTR CF'!AE51+'QTR CF'!AF51+'QTR CF'!AG51</f>
        <v/>
      </c>
      <c r="K48" s="5" t="n"/>
      <c r="L48" s="5" t="n"/>
    </row>
    <row r="49">
      <c r="A49" s="3" t="inlineStr">
        <is>
          <t>Net Change in Cash</t>
        </is>
      </c>
      <c r="B49" s="6">
        <f>B29+B36+B47+B48</f>
        <v/>
      </c>
      <c r="C49" s="6">
        <f>C29+C36+C47+C48</f>
        <v/>
      </c>
      <c r="D49" s="6">
        <f>D29+D36+D47+D48</f>
        <v/>
      </c>
      <c r="E49" s="6">
        <f>E29+E36+E47+E48</f>
        <v/>
      </c>
      <c r="F49" s="6">
        <f>F29+F36+F47+F48</f>
        <v/>
      </c>
      <c r="G49" s="7">
        <f>G29+G36+G47+G48</f>
        <v/>
      </c>
      <c r="H49" s="7">
        <f>H29+H36+H47+H48</f>
        <v/>
      </c>
      <c r="I49" s="7">
        <f>I29+I36+I47+I48</f>
        <v/>
      </c>
      <c r="J49" s="7">
        <f>J29+J36+J47+J48</f>
        <v/>
      </c>
      <c r="K49" s="7">
        <f>K29+K36+K47+K48</f>
        <v/>
      </c>
      <c r="L49" s="7">
        <f>L29+L36+L47+L48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Sales / Revenue</t>
        </is>
      </c>
      <c r="B2" s="4" t="n">
        <v>133388</v>
      </c>
      <c r="C2" s="4" t="n">
        <v>287408</v>
      </c>
      <c r="D2" s="4" t="n">
        <v>475640</v>
      </c>
      <c r="E2" s="4" t="n">
        <v>259939</v>
      </c>
      <c r="F2" s="4" t="n">
        <v>585822</v>
      </c>
      <c r="G2" s="4" t="n">
        <v>970579</v>
      </c>
      <c r="H2" s="4" t="n">
        <v>355708</v>
      </c>
      <c r="I2" s="4" t="n">
        <v>757685</v>
      </c>
      <c r="J2" s="4" t="n">
        <v>1023433</v>
      </c>
      <c r="K2" s="4" t="n">
        <v>329276</v>
      </c>
      <c r="L2" s="4" t="n">
        <v>1068535</v>
      </c>
      <c r="M2" s="4" t="n">
        <v>1793641</v>
      </c>
    </row>
    <row r="3">
      <c r="A3" s="3" t="inlineStr">
        <is>
          <t>COGS</t>
        </is>
      </c>
      <c r="B3" s="4" t="n">
        <v>-79494</v>
      </c>
      <c r="C3" s="4" t="n">
        <v>-174195</v>
      </c>
      <c r="D3" s="4" t="n">
        <v>-283778</v>
      </c>
      <c r="E3" s="4" t="n">
        <v>-146121</v>
      </c>
      <c r="F3" s="4" t="n">
        <v>-313010</v>
      </c>
      <c r="G3" s="4" t="n">
        <v>-503685</v>
      </c>
      <c r="H3" s="4" t="n">
        <v>-173501</v>
      </c>
      <c r="I3" s="4" t="n">
        <v>-366380</v>
      </c>
      <c r="J3" s="4" t="n">
        <v>-509899</v>
      </c>
      <c r="K3" s="4" t="n">
        <v>-156903</v>
      </c>
      <c r="L3" s="4" t="n">
        <v>-515311</v>
      </c>
      <c r="M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</row>
    <row r="5">
      <c r="A5" s="3" t="inlineStr">
        <is>
          <t>SG&amp;A</t>
        </is>
      </c>
      <c r="B5" s="4" t="n">
        <v>-43778</v>
      </c>
      <c r="C5" s="4" t="n">
        <v>-90667</v>
      </c>
      <c r="D5" s="4" t="n">
        <v>-316917</v>
      </c>
      <c r="E5" s="4" t="n">
        <v>-68905</v>
      </c>
      <c r="F5" s="4" t="n">
        <v>-163086</v>
      </c>
      <c r="G5" s="4" t="n">
        <v>-259471</v>
      </c>
      <c r="H5" s="4" t="n">
        <v>-99017</v>
      </c>
      <c r="I5" s="4" t="n">
        <v>-213867</v>
      </c>
      <c r="J5" s="4" t="n">
        <v>-339310</v>
      </c>
      <c r="K5" s="4" t="n">
        <v>-120342</v>
      </c>
      <c r="L5" s="4" t="n">
        <v>-358228</v>
      </c>
      <c r="M5" s="4" t="n">
        <v>-563799</v>
      </c>
    </row>
    <row r="6">
      <c r="A6" s="3" t="inlineStr">
        <is>
          <t>Distributor Termination Fees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-246707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</row>
    <row r="8">
      <c r="A8" s="3" t="inlineStr">
        <is>
          <t>Interest Income (Expense)</t>
        </is>
      </c>
      <c r="B8" s="4" t="n">
        <v>76</v>
      </c>
      <c r="C8" s="4" t="n">
        <v>129</v>
      </c>
      <c r="D8" s="4" t="n">
        <v>1579</v>
      </c>
      <c r="E8" s="4" t="n">
        <v>4969</v>
      </c>
      <c r="F8" s="4" t="n">
        <v>10542</v>
      </c>
      <c r="G8" s="4" t="n">
        <v>17767</v>
      </c>
      <c r="H8" s="4" t="n">
        <v>9640</v>
      </c>
      <c r="I8" s="4" t="n">
        <v>20287</v>
      </c>
      <c r="J8" s="4" t="n">
        <v>31399</v>
      </c>
      <c r="K8" s="4" t="n">
        <v>7846</v>
      </c>
      <c r="L8" s="4" t="n">
        <v>-6196</v>
      </c>
      <c r="M8" s="4" t="n">
        <v>-19592</v>
      </c>
    </row>
    <row r="9">
      <c r="A9" s="3" t="inlineStr">
        <is>
          <t>Foreign Currency Gain (Loss)</t>
        </is>
      </c>
      <c r="B9" s="4" t="n">
        <v>-162</v>
      </c>
      <c r="C9" s="4" t="n">
        <v>-676</v>
      </c>
      <c r="D9" s="4" t="n">
        <v>-930</v>
      </c>
      <c r="E9" s="4" t="n">
        <v>-118</v>
      </c>
      <c r="F9" s="4" t="n">
        <v>-1049</v>
      </c>
      <c r="G9" s="4" t="n">
        <v>-1226</v>
      </c>
      <c r="H9" s="4" t="n">
        <v>-369</v>
      </c>
      <c r="I9" s="4" t="n">
        <v>-633</v>
      </c>
      <c r="J9" s="4" t="n">
        <v>-356</v>
      </c>
      <c r="K9" s="4" t="n">
        <v>0</v>
      </c>
      <c r="L9" s="4" t="n">
        <v>0</v>
      </c>
      <c r="M9" s="4" t="n">
        <v>0</v>
      </c>
    </row>
    <row r="10">
      <c r="A10" s="3" t="inlineStr">
        <is>
          <t>Other Income (Expense)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1116</v>
      </c>
      <c r="L10" s="4" t="n">
        <v>1658</v>
      </c>
      <c r="M10" s="4" t="n">
        <v>7022</v>
      </c>
    </row>
    <row r="11">
      <c r="A11" s="3" t="inlineStr">
        <is>
          <t>Pre-Tax Income (Loss)</t>
        </is>
      </c>
      <c r="B11" s="6">
        <f>B7+SUM(B8:B10)</f>
        <v/>
      </c>
      <c r="C11" s="6">
        <f>C7+SUM(C8:C10)</f>
        <v/>
      </c>
      <c r="D11" s="6">
        <f>D7+SUM(D8:D10)</f>
        <v/>
      </c>
      <c r="E11" s="6">
        <f>E7+SUM(E8:E10)</f>
        <v/>
      </c>
      <c r="F11" s="6">
        <f>F7+SUM(F8:F10)</f>
        <v/>
      </c>
      <c r="G11" s="6">
        <f>G7+SUM(G8:G10)</f>
        <v/>
      </c>
      <c r="H11" s="6">
        <f>H7+SUM(H8:H10)</f>
        <v/>
      </c>
      <c r="I11" s="6">
        <f>I7+SUM(I8:I10)</f>
        <v/>
      </c>
      <c r="J11" s="6">
        <f>J7+SUM(J8:J10)</f>
        <v/>
      </c>
      <c r="K11" s="6">
        <f>K7+SUM(K8:K10)</f>
        <v/>
      </c>
      <c r="L11" s="6">
        <f>L7+SUM(L8:L10)</f>
        <v/>
      </c>
      <c r="M11" s="6">
        <f>M7+SUM(M8:M10)</f>
        <v/>
      </c>
    </row>
    <row r="12">
      <c r="A12" s="3" t="inlineStr">
        <is>
          <t>Income Tax (Expense) Benefit</t>
        </is>
      </c>
      <c r="B12" s="4" t="n">
        <v>-3351</v>
      </c>
      <c r="C12" s="4" t="n">
        <v>-6161</v>
      </c>
      <c r="D12" s="4" t="n">
        <v>-41653</v>
      </c>
      <c r="E12" s="4" t="n">
        <v>-8537</v>
      </c>
      <c r="F12" s="4" t="n">
        <v>-26483</v>
      </c>
      <c r="G12" s="4" t="n">
        <v>-47279</v>
      </c>
      <c r="H12" s="4" t="n">
        <v>-14650</v>
      </c>
      <c r="I12" s="4" t="n">
        <v>-39498</v>
      </c>
      <c r="J12" s="4" t="n">
        <v>-41317</v>
      </c>
      <c r="K12" s="4" t="n">
        <v>-16574</v>
      </c>
      <c r="L12" s="4" t="n">
        <v>-46184</v>
      </c>
      <c r="M12" s="4" t="n">
        <v>-19167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</row>
    <row r="14">
      <c r="A14" s="3" t="inlineStr">
        <is>
          <t>Preferred Dividends</t>
        </is>
      </c>
      <c r="B14" s="4" t="n">
        <v>0</v>
      </c>
      <c r="C14" s="4" t="n">
        <v>0</v>
      </c>
      <c r="D14" s="4" t="n">
        <v>-4596</v>
      </c>
      <c r="E14" s="4" t="n">
        <v>-6781</v>
      </c>
      <c r="F14" s="4" t="n">
        <v>-13637</v>
      </c>
      <c r="G14" s="4" t="n">
        <v>-20512</v>
      </c>
      <c r="H14" s="4" t="n">
        <v>-6837</v>
      </c>
      <c r="I14" s="4" t="n">
        <v>-13675</v>
      </c>
      <c r="J14" s="4" t="n">
        <v>-20588</v>
      </c>
      <c r="K14" s="4" t="n">
        <v>-6781</v>
      </c>
      <c r="L14" s="4" t="n">
        <v>-13632</v>
      </c>
      <c r="M14" s="4" t="n">
        <v>-23289</v>
      </c>
    </row>
    <row r="15">
      <c r="A15" s="3" t="inlineStr">
        <is>
          <t>Income Allocated to Participating Preferred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6727</v>
      </c>
      <c r="G15" s="4" t="n">
        <v>13263</v>
      </c>
      <c r="H15" s="4" t="n">
        <v>6128</v>
      </c>
      <c r="I15" s="4" t="n">
        <v>12417</v>
      </c>
      <c r="J15" s="4" t="n">
        <v>12357</v>
      </c>
      <c r="K15" s="4" t="n">
        <v>3219</v>
      </c>
      <c r="L15" s="4" t="n">
        <v>10703</v>
      </c>
      <c r="M15" s="4" t="n">
        <v>5272</v>
      </c>
    </row>
    <row r="16">
      <c r="A16" s="3" t="inlineStr">
        <is>
          <t>Net Income (Loss) Attributable to Common Shareholders</t>
        </is>
      </c>
      <c r="B16" s="4" t="n">
        <v>6679</v>
      </c>
      <c r="C16" s="4" t="n">
        <v>15838</v>
      </c>
      <c r="D16" s="4" t="n">
        <v>-170655</v>
      </c>
      <c r="E16" s="4" t="n">
        <v>34446</v>
      </c>
      <c r="F16" s="4" t="n">
        <v>72372</v>
      </c>
      <c r="G16" s="4" t="n">
        <v>142910</v>
      </c>
      <c r="H16" s="4" t="n">
        <v>64846</v>
      </c>
      <c r="I16" s="4" t="n">
        <v>131502</v>
      </c>
      <c r="J16" s="4" t="n">
        <v>131005</v>
      </c>
      <c r="K16" s="4" t="n">
        <v>34419</v>
      </c>
      <c r="L16" s="4" t="n">
        <v>119939</v>
      </c>
      <c r="M16" s="4" t="n">
        <v>54699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Cash &amp; Cash Equivalents</t>
        </is>
      </c>
      <c r="B2" s="4" t="n">
        <v>614159</v>
      </c>
      <c r="C2" s="4" t="n">
        <v>595476</v>
      </c>
      <c r="D2" s="4" t="n">
        <v>681054</v>
      </c>
      <c r="E2" s="4" t="n">
        <v>760022</v>
      </c>
      <c r="F2" s="4" t="n">
        <v>755981</v>
      </c>
      <c r="G2" s="4" t="n">
        <v>879498</v>
      </c>
      <c r="H2" s="4" t="n">
        <v>903210</v>
      </c>
      <c r="I2" s="4" t="n">
        <v>903748</v>
      </c>
      <c r="J2" s="4" t="n">
        <v>890190</v>
      </c>
      <c r="K2" s="4" t="n">
        <v>977285</v>
      </c>
      <c r="L2" s="4" t="n">
        <v>615233</v>
      </c>
      <c r="M2" s="4" t="n">
        <v>805955</v>
      </c>
    </row>
    <row r="3">
      <c r="A3" s="3" t="inlineStr">
        <is>
          <t>Restricted Cash</t>
        </is>
      </c>
      <c r="B3" s="4" t="n">
        <v>38768</v>
      </c>
      <c r="C3" s="4" t="n">
        <v>38105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126508</v>
      </c>
    </row>
    <row r="4">
      <c r="A4" s="3" t="inlineStr">
        <is>
          <t>Accounts Receivable</t>
        </is>
      </c>
      <c r="B4" s="4" t="n">
        <v>63311</v>
      </c>
      <c r="C4" s="4" t="n">
        <v>172032</v>
      </c>
      <c r="D4" s="4" t="n">
        <v>197811</v>
      </c>
      <c r="E4" s="4" t="n">
        <v>215243</v>
      </c>
      <c r="F4" s="4" t="n">
        <v>183703</v>
      </c>
      <c r="G4" s="4" t="n">
        <v>200117</v>
      </c>
      <c r="H4" s="4" t="n">
        <v>262920</v>
      </c>
      <c r="I4" s="4" t="n">
        <v>208774</v>
      </c>
      <c r="J4" s="4" t="n">
        <v>270342</v>
      </c>
      <c r="K4" s="4" t="n">
        <v>256424</v>
      </c>
      <c r="L4" s="4" t="n">
        <v>490389</v>
      </c>
      <c r="M4" s="4" t="n">
        <v>513682</v>
      </c>
    </row>
    <row r="5">
      <c r="A5" s="3" t="inlineStr">
        <is>
          <t>Note Receivable - Current</t>
        </is>
      </c>
      <c r="B5" s="4" t="n">
        <v>2979</v>
      </c>
      <c r="C5" s="4" t="n">
        <v>3587</v>
      </c>
      <c r="D5" s="4" t="n">
        <v>3323</v>
      </c>
      <c r="E5" s="4" t="n">
        <v>3309</v>
      </c>
      <c r="F5" s="4" t="n">
        <v>2318</v>
      </c>
      <c r="G5" s="4" t="n">
        <v>2259</v>
      </c>
      <c r="H5" s="4" t="n">
        <v>1166</v>
      </c>
      <c r="I5" s="4" t="n">
        <v>1025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Inventories</t>
        </is>
      </c>
      <c r="B6" s="4" t="n">
        <v>173289</v>
      </c>
      <c r="C6" s="4" t="n">
        <v>154280</v>
      </c>
      <c r="D6" s="4" t="n">
        <v>152545</v>
      </c>
      <c r="E6" s="4" t="n">
        <v>198704</v>
      </c>
      <c r="F6" s="4" t="n">
        <v>229275</v>
      </c>
      <c r="G6" s="4" t="n">
        <v>197504</v>
      </c>
      <c r="H6" s="4" t="n">
        <v>180669</v>
      </c>
      <c r="I6" s="4" t="n">
        <v>197572</v>
      </c>
      <c r="J6" s="4" t="n">
        <v>131165</v>
      </c>
      <c r="K6" s="4" t="n">
        <v>141159</v>
      </c>
      <c r="L6" s="4" t="n">
        <v>230046</v>
      </c>
      <c r="M6" s="4" t="n">
        <v>282514</v>
      </c>
    </row>
    <row r="7">
      <c r="A7" s="3" t="inlineStr">
        <is>
          <t>Prepaid Expenses</t>
        </is>
      </c>
      <c r="B7" s="4" t="n">
        <v>11341</v>
      </c>
      <c r="C7" s="4" t="n">
        <v>15507</v>
      </c>
      <c r="D7" s="4" t="n">
        <v>23398</v>
      </c>
      <c r="E7" s="4" t="n">
        <v>23747</v>
      </c>
      <c r="F7" s="4" t="n">
        <v>19503</v>
      </c>
      <c r="G7" s="4" t="n">
        <v>21523</v>
      </c>
      <c r="H7" s="4" t="n">
        <v>22900</v>
      </c>
      <c r="I7" s="4" t="n">
        <v>38227</v>
      </c>
      <c r="J7" s="4" t="n">
        <v>18759</v>
      </c>
      <c r="K7" s="4" t="n">
        <v>22464</v>
      </c>
      <c r="L7" s="4" t="n">
        <v>41420</v>
      </c>
      <c r="M7" s="4" t="n">
        <v>163395</v>
      </c>
    </row>
    <row r="8">
      <c r="A8" s="3" t="inlineStr">
        <is>
          <t>Deferred Other Costs - Current</t>
        </is>
      </c>
      <c r="B8" s="4" t="n">
        <v>14124</v>
      </c>
      <c r="C8" s="4" t="n">
        <v>14124</v>
      </c>
      <c r="D8" s="4" t="n">
        <v>14124</v>
      </c>
      <c r="E8" s="4" t="n">
        <v>14124</v>
      </c>
      <c r="F8" s="4" t="n">
        <v>14124</v>
      </c>
      <c r="G8" s="4" t="n">
        <v>14124</v>
      </c>
      <c r="H8" s="4" t="n">
        <v>14124</v>
      </c>
      <c r="I8" s="4" t="n">
        <v>14124</v>
      </c>
      <c r="J8" s="4" t="n">
        <v>14124</v>
      </c>
      <c r="K8" s="4" t="n">
        <v>14124</v>
      </c>
      <c r="L8" s="4" t="n">
        <v>14124</v>
      </c>
      <c r="M8" s="4" t="n">
        <v>49520</v>
      </c>
    </row>
    <row r="9">
      <c r="A9" s="3" t="inlineStr">
        <is>
          <t>Total Current Assets</t>
        </is>
      </c>
      <c r="B9" s="6">
        <f>SUM(B2:B8)</f>
        <v/>
      </c>
      <c r="C9" s="6">
        <f>SUM(C2:C8)</f>
        <v/>
      </c>
      <c r="D9" s="6">
        <f>SUM(D2:D8)</f>
        <v/>
      </c>
      <c r="E9" s="6">
        <f>SUM(E2:E8)</f>
        <v/>
      </c>
      <c r="F9" s="6">
        <f>SUM(F2:F8)</f>
        <v/>
      </c>
      <c r="G9" s="6">
        <f>SUM(G2:G8)</f>
        <v/>
      </c>
      <c r="H9" s="6">
        <f>SUM(H2:H8)</f>
        <v/>
      </c>
      <c r="I9" s="6">
        <f>SUM(I2:I8)</f>
        <v/>
      </c>
      <c r="J9" s="6">
        <f>SUM(J2:J8)</f>
        <v/>
      </c>
      <c r="K9" s="6">
        <f>SUM(K2:K8)</f>
        <v/>
      </c>
      <c r="L9" s="6">
        <f>SUM(L2:L8)</f>
        <v/>
      </c>
      <c r="M9" s="6">
        <f>SUM(M2:M8)</f>
        <v/>
      </c>
    </row>
    <row r="10">
      <c r="A10" s="3" t="inlineStr">
        <is>
          <t>Note Receivable - Non-Current</t>
        </is>
      </c>
      <c r="B10" s="4" t="n">
        <v>3574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Net PP&amp;E</t>
        </is>
      </c>
      <c r="B11" s="4" t="n">
        <v>10185</v>
      </c>
      <c r="C11" s="4" t="n">
        <v>12054</v>
      </c>
      <c r="D11" s="4" t="n">
        <v>15892</v>
      </c>
      <c r="E11" s="4" t="n">
        <v>21061</v>
      </c>
      <c r="F11" s="4" t="n">
        <v>24868</v>
      </c>
      <c r="G11" s="4" t="n">
        <v>28350</v>
      </c>
      <c r="H11" s="4" t="n">
        <v>36282</v>
      </c>
      <c r="I11" s="4" t="n">
        <v>38370</v>
      </c>
      <c r="J11" s="4" t="n">
        <v>55602</v>
      </c>
      <c r="K11" s="4" t="n">
        <v>58698</v>
      </c>
      <c r="L11" s="4" t="n">
        <v>72516</v>
      </c>
      <c r="M11" s="4" t="n">
        <v>80925</v>
      </c>
    </row>
    <row r="12">
      <c r="A12" s="3" t="inlineStr">
        <is>
          <t>ROU Assets - Operating - Non-Current</t>
        </is>
      </c>
      <c r="B12" s="4" t="n">
        <v>972</v>
      </c>
      <c r="C12" s="4" t="n">
        <v>931</v>
      </c>
      <c r="D12" s="4" t="n">
        <v>756</v>
      </c>
      <c r="E12" s="4" t="n">
        <v>1152</v>
      </c>
      <c r="F12" s="4" t="n">
        <v>1957</v>
      </c>
      <c r="G12" s="4" t="n">
        <v>1688</v>
      </c>
      <c r="H12" s="4" t="n">
        <v>1507</v>
      </c>
      <c r="I12" s="4" t="n">
        <v>5506</v>
      </c>
      <c r="J12" s="4" t="n">
        <v>21606</v>
      </c>
      <c r="K12" s="4" t="n">
        <v>20866</v>
      </c>
      <c r="L12" s="4" t="n">
        <v>0</v>
      </c>
      <c r="M12" s="4" t="n">
        <v>0</v>
      </c>
    </row>
    <row r="13">
      <c r="A13" s="3" t="inlineStr">
        <is>
          <t>Intangible Assets</t>
        </is>
      </c>
      <c r="B13" s="4" t="n">
        <v>12254</v>
      </c>
      <c r="C13" s="4" t="n">
        <v>12359</v>
      </c>
      <c r="D13" s="4" t="n">
        <v>12211</v>
      </c>
      <c r="E13" s="4" t="n">
        <v>11772</v>
      </c>
      <c r="F13" s="4" t="n">
        <v>12139</v>
      </c>
      <c r="G13" s="4" t="n">
        <v>11741</v>
      </c>
      <c r="H13" s="4" t="n">
        <v>11491</v>
      </c>
      <c r="I13" s="4" t="n">
        <v>11877</v>
      </c>
      <c r="J13" s="4" t="n">
        <v>12213</v>
      </c>
      <c r="K13" s="4" t="n">
        <v>12444</v>
      </c>
      <c r="L13" s="4" t="n">
        <v>1222115</v>
      </c>
      <c r="M13" s="4" t="n">
        <v>1397819</v>
      </c>
    </row>
    <row r="14">
      <c r="A14" s="3" t="inlineStr">
        <is>
          <t>Goodwill</t>
        </is>
      </c>
      <c r="B14" s="4" t="n">
        <v>13679</v>
      </c>
      <c r="C14" s="4" t="n">
        <v>13949</v>
      </c>
      <c r="D14" s="4" t="n">
        <v>13937</v>
      </c>
      <c r="E14" s="4" t="n">
        <v>13588</v>
      </c>
      <c r="F14" s="4" t="n">
        <v>14173</v>
      </c>
      <c r="G14" s="4" t="n">
        <v>13866</v>
      </c>
      <c r="H14" s="4" t="n">
        <v>13730</v>
      </c>
      <c r="I14" s="4" t="n">
        <v>14360</v>
      </c>
      <c r="J14" s="4" t="n">
        <v>71582</v>
      </c>
      <c r="K14" s="4" t="n">
        <v>72128</v>
      </c>
      <c r="L14" s="4" t="n">
        <v>802234</v>
      </c>
      <c r="M14" s="4" t="n">
        <v>914957</v>
      </c>
    </row>
    <row r="15">
      <c r="A15" s="3" t="inlineStr">
        <is>
          <t>Deferred Other Costs - Non-Current</t>
        </is>
      </c>
      <c r="B15" s="4" t="n">
        <v>262462</v>
      </c>
      <c r="C15" s="4" t="n">
        <v>258931</v>
      </c>
      <c r="D15" s="4" t="n">
        <v>255400</v>
      </c>
      <c r="E15" s="4" t="n">
        <v>251869</v>
      </c>
      <c r="F15" s="4" t="n">
        <v>248338</v>
      </c>
      <c r="G15" s="4" t="n">
        <v>244807</v>
      </c>
      <c r="H15" s="4" t="n">
        <v>241276</v>
      </c>
      <c r="I15" s="4" t="n">
        <v>237746</v>
      </c>
      <c r="J15" s="4" t="n">
        <v>234215</v>
      </c>
      <c r="K15" s="4" t="n">
        <v>230684</v>
      </c>
      <c r="L15" s="4" t="n">
        <v>227153</v>
      </c>
      <c r="M15" s="4" t="n">
        <v>784214</v>
      </c>
    </row>
    <row r="16">
      <c r="A16" s="3" t="inlineStr">
        <is>
          <t>Deferred Tax Assets</t>
        </is>
      </c>
      <c r="B16" s="4" t="n">
        <v>501</v>
      </c>
      <c r="C16" s="4" t="n">
        <v>482</v>
      </c>
      <c r="D16" s="4" t="n">
        <v>28373</v>
      </c>
      <c r="E16" s="4" t="n">
        <v>30614</v>
      </c>
      <c r="F16" s="4" t="n">
        <v>29518</v>
      </c>
      <c r="G16" s="4" t="n">
        <v>22437</v>
      </c>
      <c r="H16" s="4" t="n">
        <v>22727</v>
      </c>
      <c r="I16" s="4" t="n">
        <v>24186</v>
      </c>
      <c r="J16" s="4" t="n">
        <v>38699</v>
      </c>
      <c r="K16" s="4" t="n">
        <v>38525</v>
      </c>
      <c r="L16" s="4" t="n">
        <v>43158</v>
      </c>
      <c r="M16" s="4" t="n">
        <v>110410</v>
      </c>
    </row>
    <row r="17">
      <c r="A17" s="3" t="inlineStr">
        <is>
          <t>ROU Assets - Finance - Non-Current</t>
        </is>
      </c>
      <c r="B17" s="4" t="n">
        <v>208</v>
      </c>
      <c r="C17" s="4" t="n">
        <v>191</v>
      </c>
      <c r="D17" s="4" t="n">
        <v>171</v>
      </c>
      <c r="E17" s="4" t="n">
        <v>148</v>
      </c>
      <c r="F17" s="4" t="n">
        <v>208</v>
      </c>
      <c r="G17" s="4" t="n">
        <v>263</v>
      </c>
      <c r="H17" s="4" t="n">
        <v>233</v>
      </c>
      <c r="I17" s="4" t="n">
        <v>214</v>
      </c>
      <c r="J17" s="4" t="n">
        <v>0</v>
      </c>
      <c r="K17" s="4" t="n">
        <v>0</v>
      </c>
      <c r="L17" s="4" t="n">
        <v>0</v>
      </c>
      <c r="M17" s="4" t="n">
        <v>0</v>
      </c>
    </row>
    <row r="18">
      <c r="A18" s="3" t="inlineStr">
        <is>
          <t>Other Non-Current Assets</t>
        </is>
      </c>
      <c r="B18" s="4" t="n">
        <v>263</v>
      </c>
      <c r="C18" s="4" t="n">
        <v>263</v>
      </c>
      <c r="D18" s="4" t="n">
        <v>254</v>
      </c>
      <c r="E18" s="4" t="n">
        <v>265</v>
      </c>
      <c r="F18" s="4" t="n">
        <v>291</v>
      </c>
      <c r="G18" s="4" t="n">
        <v>7963</v>
      </c>
      <c r="H18" s="4" t="n">
        <v>6653</v>
      </c>
      <c r="I18" s="4" t="n">
        <v>8594</v>
      </c>
      <c r="J18" s="4" t="n">
        <v>8384</v>
      </c>
      <c r="K18" s="4" t="n">
        <v>14717</v>
      </c>
      <c r="L18" s="4" t="n">
        <v>36755</v>
      </c>
      <c r="M18" s="4" t="n">
        <v>35809</v>
      </c>
    </row>
    <row r="19">
      <c r="A19" s="3" t="inlineStr">
        <is>
          <t>Total Assets</t>
        </is>
      </c>
      <c r="B19" s="6">
        <f>B9+SUM(B10:B18)</f>
        <v/>
      </c>
      <c r="C19" s="6">
        <f>C9+SUM(C10:C18)</f>
        <v/>
      </c>
      <c r="D19" s="6">
        <f>D9+SUM(D10:D18)</f>
        <v/>
      </c>
      <c r="E19" s="6">
        <f>E9+SUM(E10:E18)</f>
        <v/>
      </c>
      <c r="F19" s="6">
        <f>F9+SUM(F10:F18)</f>
        <v/>
      </c>
      <c r="G19" s="6">
        <f>G9+SUM(G10:G18)</f>
        <v/>
      </c>
      <c r="H19" s="6">
        <f>H9+SUM(H10:H18)</f>
        <v/>
      </c>
      <c r="I19" s="6">
        <f>I9+SUM(I10:I18)</f>
        <v/>
      </c>
      <c r="J19" s="6">
        <f>J9+SUM(J10:J18)</f>
        <v/>
      </c>
      <c r="K19" s="6">
        <f>K9+SUM(K10:K18)</f>
        <v/>
      </c>
      <c r="L19" s="6">
        <f>L9+SUM(L10:L18)</f>
        <v/>
      </c>
      <c r="M19" s="6">
        <f>M9+SUM(M10:M18)</f>
        <v/>
      </c>
    </row>
    <row r="20">
      <c r="A20" s="3" t="inlineStr">
        <is>
          <t>Accounts Payable</t>
        </is>
      </c>
      <c r="B20" s="4" t="n">
        <v>107340</v>
      </c>
      <c r="C20" s="4" t="n">
        <v>107112</v>
      </c>
      <c r="D20" s="4" t="n">
        <v>94313</v>
      </c>
      <c r="E20" s="4" t="n">
        <v>121088</v>
      </c>
      <c r="F20" s="4" t="n">
        <v>42840</v>
      </c>
      <c r="G20" s="4" t="n">
        <v>40196</v>
      </c>
      <c r="H20" s="4" t="n">
        <v>47423</v>
      </c>
      <c r="I20" s="4" t="n">
        <v>30938</v>
      </c>
      <c r="J20" s="4" t="n">
        <v>41287</v>
      </c>
      <c r="K20" s="4" t="n">
        <v>61052</v>
      </c>
      <c r="L20" s="4" t="n">
        <v>120962</v>
      </c>
      <c r="M20" s="4" t="n">
        <v>97794</v>
      </c>
    </row>
    <row r="21">
      <c r="A21" s="3" t="inlineStr">
        <is>
          <t>Accrued Expenses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62120</v>
      </c>
      <c r="G21" s="4" t="n">
        <v>63871</v>
      </c>
      <c r="H21" s="4" t="n">
        <v>79633</v>
      </c>
      <c r="I21" s="4" t="n">
        <v>73024</v>
      </c>
      <c r="J21" s="4" t="n">
        <v>148780</v>
      </c>
      <c r="K21" s="4" t="n">
        <v>152046</v>
      </c>
      <c r="L21" s="4" t="n">
        <v>225859</v>
      </c>
      <c r="M21" s="4" t="n">
        <v>311768</v>
      </c>
    </row>
    <row r="22">
      <c r="A22" s="3" t="inlineStr">
        <is>
          <t>Income Taxes Payable</t>
        </is>
      </c>
      <c r="B22" s="4" t="n">
        <v>0</v>
      </c>
      <c r="C22" s="4" t="n">
        <v>0</v>
      </c>
      <c r="D22" s="4" t="n">
        <v>58798</v>
      </c>
      <c r="E22" s="4" t="n">
        <v>58855</v>
      </c>
      <c r="F22" s="4" t="n">
        <v>50424</v>
      </c>
      <c r="G22" s="4" t="n">
        <v>58619</v>
      </c>
      <c r="H22" s="4" t="n">
        <v>5374</v>
      </c>
      <c r="I22" s="4" t="n">
        <v>739</v>
      </c>
      <c r="J22" s="4" t="n">
        <v>10834</v>
      </c>
      <c r="K22" s="4" t="n">
        <v>26206</v>
      </c>
      <c r="L22" s="4" t="n">
        <v>21765</v>
      </c>
      <c r="M22" s="4" t="n">
        <v>49590</v>
      </c>
    </row>
    <row r="23">
      <c r="A23" s="3" t="inlineStr">
        <is>
          <t>Accrued Distributor Termination Fees</t>
        </is>
      </c>
      <c r="B23" s="4" t="n">
        <v>3986</v>
      </c>
      <c r="C23" s="4" t="n">
        <v>1063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252953</v>
      </c>
    </row>
    <row r="24">
      <c r="A24" s="3" t="inlineStr">
        <is>
          <t>Accrued Promotional Allowance</t>
        </is>
      </c>
      <c r="B24" s="4" t="n">
        <v>35977</v>
      </c>
      <c r="C24" s="4" t="n">
        <v>68225</v>
      </c>
      <c r="D24" s="4" t="n">
        <v>98933</v>
      </c>
      <c r="E24" s="4" t="n">
        <v>136557</v>
      </c>
      <c r="F24" s="4" t="n">
        <v>99787</v>
      </c>
      <c r="G24" s="4" t="n">
        <v>129201</v>
      </c>
      <c r="H24" s="4" t="n">
        <v>156479</v>
      </c>
      <c r="I24" s="4" t="n">
        <v>158810</v>
      </c>
      <c r="J24" s="4" t="n">
        <v>135948</v>
      </c>
      <c r="K24" s="4" t="n">
        <v>151327</v>
      </c>
      <c r="L24" s="4" t="n">
        <v>200169</v>
      </c>
      <c r="M24" s="4" t="n">
        <v>234068</v>
      </c>
    </row>
    <row r="25">
      <c r="A25" s="3" t="inlineStr">
        <is>
          <t>Lease Liability - Operating - Current</t>
        </is>
      </c>
      <c r="B25" s="4" t="n">
        <v>661</v>
      </c>
      <c r="C25" s="4" t="n">
        <v>605</v>
      </c>
      <c r="D25" s="4" t="n">
        <v>505</v>
      </c>
      <c r="E25" s="4" t="n">
        <v>628</v>
      </c>
      <c r="F25" s="4" t="n">
        <v>980</v>
      </c>
      <c r="G25" s="4" t="n">
        <v>821</v>
      </c>
      <c r="H25" s="4" t="n">
        <v>729</v>
      </c>
      <c r="I25" s="4" t="n">
        <v>1358</v>
      </c>
      <c r="J25" s="4" t="n">
        <v>3265</v>
      </c>
      <c r="K25" s="4" t="n">
        <v>3550</v>
      </c>
      <c r="L25" s="4" t="n">
        <v>0</v>
      </c>
      <c r="M25" s="4" t="n">
        <v>0</v>
      </c>
    </row>
    <row r="26">
      <c r="A26" s="3" t="inlineStr">
        <is>
          <t>Lease Liability - Finance - Current</t>
        </is>
      </c>
      <c r="B26" s="4" t="n">
        <v>70</v>
      </c>
      <c r="C26" s="4" t="n">
        <v>69</v>
      </c>
      <c r="D26" s="4" t="n">
        <v>67</v>
      </c>
      <c r="E26" s="4" t="n">
        <v>63</v>
      </c>
      <c r="F26" s="4" t="n">
        <v>59</v>
      </c>
      <c r="G26" s="4" t="n">
        <v>61</v>
      </c>
      <c r="H26" s="4" t="n">
        <v>61</v>
      </c>
      <c r="I26" s="4" t="n">
        <v>99</v>
      </c>
      <c r="J26" s="4" t="n">
        <v>0</v>
      </c>
      <c r="K26" s="4" t="n">
        <v>0</v>
      </c>
      <c r="L26" s="4" t="n">
        <v>0</v>
      </c>
      <c r="M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25000</v>
      </c>
      <c r="M27" s="4" t="n">
        <v>25000</v>
      </c>
    </row>
    <row r="28">
      <c r="A28" s="3" t="inlineStr">
        <is>
          <t>Deferred Revenue - Current</t>
        </is>
      </c>
      <c r="B28" s="4" t="n">
        <v>9675</v>
      </c>
      <c r="C28" s="4" t="n">
        <v>9563</v>
      </c>
      <c r="D28" s="4" t="n">
        <v>9500</v>
      </c>
      <c r="E28" s="4" t="n">
        <v>9500</v>
      </c>
      <c r="F28" s="4" t="n">
        <v>9513</v>
      </c>
      <c r="G28" s="4" t="n">
        <v>9513</v>
      </c>
      <c r="H28" s="4" t="n">
        <v>9513</v>
      </c>
      <c r="I28" s="4" t="n">
        <v>9513</v>
      </c>
      <c r="J28" s="4" t="n">
        <v>9513</v>
      </c>
      <c r="K28" s="4" t="n">
        <v>9513</v>
      </c>
      <c r="L28" s="4" t="n">
        <v>16071</v>
      </c>
      <c r="M28" s="4" t="n">
        <v>25557</v>
      </c>
    </row>
    <row r="29">
      <c r="A29" s="3" t="inlineStr">
        <is>
          <t>Other Current Liabilities</t>
        </is>
      </c>
      <c r="B29" s="4" t="n">
        <v>3586</v>
      </c>
      <c r="C29" s="4" t="n">
        <v>5094</v>
      </c>
      <c r="D29" s="4" t="n">
        <v>7109</v>
      </c>
      <c r="E29" s="4" t="n">
        <v>8826</v>
      </c>
      <c r="F29" s="4" t="n">
        <v>10890</v>
      </c>
      <c r="G29" s="4" t="n">
        <v>12987</v>
      </c>
      <c r="H29" s="4" t="n">
        <v>13772</v>
      </c>
      <c r="I29" s="4" t="n">
        <v>14979</v>
      </c>
      <c r="J29" s="4" t="n">
        <v>15908</v>
      </c>
      <c r="K29" s="4" t="n">
        <v>14160</v>
      </c>
      <c r="L29" s="4" t="n">
        <v>49949</v>
      </c>
      <c r="M29" s="4" t="n">
        <v>32258</v>
      </c>
    </row>
    <row r="30">
      <c r="A30" s="3" t="inlineStr">
        <is>
          <t>Total Current Liabilities</t>
        </is>
      </c>
      <c r="B30" s="6">
        <f>SUM(B20:B29)</f>
        <v/>
      </c>
      <c r="C30" s="6">
        <f>SUM(C20:C29)</f>
        <v/>
      </c>
      <c r="D30" s="6">
        <f>SUM(D20:D29)</f>
        <v/>
      </c>
      <c r="E30" s="6">
        <f>SUM(E20:E29)</f>
        <v/>
      </c>
      <c r="F30" s="6">
        <f>SUM(F20:F29)</f>
        <v/>
      </c>
      <c r="G30" s="6">
        <f>SUM(G20:G29)</f>
        <v/>
      </c>
      <c r="H30" s="6">
        <f>SUM(H20:H29)</f>
        <v/>
      </c>
      <c r="I30" s="6">
        <f>SUM(I20:I29)</f>
        <v/>
      </c>
      <c r="J30" s="6">
        <f>SUM(J20:J29)</f>
        <v/>
      </c>
      <c r="K30" s="6">
        <f>SUM(K20:K29)</f>
        <v/>
      </c>
      <c r="L30" s="6">
        <f>SUM(L20:L29)</f>
        <v/>
      </c>
      <c r="M30" s="6">
        <f>SUM(M20:M29)</f>
        <v/>
      </c>
    </row>
    <row r="31">
      <c r="A31" s="3" t="inlineStr">
        <is>
          <t>Lease Liability - Operating - Non-Current</t>
        </is>
      </c>
      <c r="B31" s="4" t="n">
        <v>326</v>
      </c>
      <c r="C31" s="4" t="n">
        <v>336</v>
      </c>
      <c r="D31" s="4" t="n">
        <v>249</v>
      </c>
      <c r="E31" s="4" t="n">
        <v>512</v>
      </c>
      <c r="F31" s="4" t="n">
        <v>955</v>
      </c>
      <c r="G31" s="4" t="n">
        <v>850</v>
      </c>
      <c r="H31" s="4" t="n">
        <v>762</v>
      </c>
      <c r="I31" s="4" t="n">
        <v>4193</v>
      </c>
      <c r="J31" s="4" t="n">
        <v>16674</v>
      </c>
      <c r="K31" s="4" t="n">
        <v>16152</v>
      </c>
      <c r="L31" s="4" t="n">
        <v>0</v>
      </c>
      <c r="M31" s="4" t="n">
        <v>0</v>
      </c>
    </row>
    <row r="32">
      <c r="A32" s="3" t="inlineStr">
        <is>
          <t>Lease Liability - Finance - Non-Current</t>
        </is>
      </c>
      <c r="B32" s="4" t="n">
        <v>162</v>
      </c>
      <c r="C32" s="4" t="n">
        <v>156</v>
      </c>
      <c r="D32" s="4" t="n">
        <v>147</v>
      </c>
      <c r="E32" s="4" t="n">
        <v>135</v>
      </c>
      <c r="F32" s="4" t="n">
        <v>193</v>
      </c>
      <c r="G32" s="4" t="n">
        <v>245</v>
      </c>
      <c r="H32" s="4" t="n">
        <v>228</v>
      </c>
      <c r="I32" s="4" t="n">
        <v>189</v>
      </c>
      <c r="J32" s="4" t="n">
        <v>0</v>
      </c>
      <c r="K32" s="4" t="n">
        <v>0</v>
      </c>
      <c r="L32" s="4" t="n">
        <v>0</v>
      </c>
      <c r="M32" s="4" t="n">
        <v>0</v>
      </c>
    </row>
    <row r="33">
      <c r="A33" s="3" t="inlineStr">
        <is>
          <t>Deferred Tax Liability</t>
        </is>
      </c>
      <c r="B33" s="4" t="n">
        <v>15919</v>
      </c>
      <c r="C33" s="4" t="n">
        <v>19250</v>
      </c>
      <c r="D33" s="4" t="n">
        <v>2333</v>
      </c>
      <c r="E33" s="4" t="n">
        <v>2249</v>
      </c>
      <c r="F33" s="4" t="n">
        <v>2880</v>
      </c>
      <c r="G33" s="4" t="n">
        <v>2248</v>
      </c>
      <c r="H33" s="4" t="n">
        <v>2201</v>
      </c>
      <c r="I33" s="4" t="n">
        <v>2275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862917</v>
      </c>
      <c r="M34" s="4" t="n">
        <v>861472</v>
      </c>
    </row>
    <row r="35">
      <c r="A35" s="3" t="inlineStr">
        <is>
          <t>Deferred Revenue - Non-Current</t>
        </is>
      </c>
      <c r="B35" s="4" t="n">
        <v>179788</v>
      </c>
      <c r="C35" s="4" t="n">
        <v>175275</v>
      </c>
      <c r="D35" s="4" t="n">
        <v>171745</v>
      </c>
      <c r="E35" s="4" t="n">
        <v>169370</v>
      </c>
      <c r="F35" s="4" t="n">
        <v>167227</v>
      </c>
      <c r="G35" s="4" t="n">
        <v>164849</v>
      </c>
      <c r="H35" s="4" t="n">
        <v>162471</v>
      </c>
      <c r="I35" s="4" t="n">
        <v>160092</v>
      </c>
      <c r="J35" s="4" t="n">
        <v>157714</v>
      </c>
      <c r="K35" s="4" t="n">
        <v>155336</v>
      </c>
      <c r="L35" s="4" t="n">
        <v>156135</v>
      </c>
      <c r="M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2541</v>
      </c>
      <c r="K36" s="4" t="n">
        <v>2574</v>
      </c>
      <c r="L36" s="4" t="n">
        <v>25002</v>
      </c>
      <c r="M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</row>
    <row r="38">
      <c r="A38" s="3" t="inlineStr">
        <is>
          <t>Convertible Preferred Stock</t>
        </is>
      </c>
      <c r="B38" s="4" t="n">
        <v>824488</v>
      </c>
      <c r="C38" s="4" t="n">
        <v>824488</v>
      </c>
      <c r="D38" s="4" t="n">
        <v>824488</v>
      </c>
      <c r="E38" s="4" t="n">
        <v>824488</v>
      </c>
      <c r="F38" s="4" t="n">
        <v>824488</v>
      </c>
      <c r="G38" s="4" t="n">
        <v>824488</v>
      </c>
      <c r="H38" s="4" t="n">
        <v>824488</v>
      </c>
      <c r="I38" s="4" t="n">
        <v>824488</v>
      </c>
      <c r="J38" s="4" t="n">
        <v>824488</v>
      </c>
      <c r="K38" s="4" t="n">
        <v>824488</v>
      </c>
      <c r="L38" s="4" t="n">
        <v>824488</v>
      </c>
      <c r="M38" s="4" t="n">
        <v>1760275</v>
      </c>
    </row>
    <row r="39">
      <c r="A39" s="3" t="inlineStr">
        <is>
          <t>Common Stock</t>
        </is>
      </c>
      <c r="B39" s="4" t="n">
        <v>76</v>
      </c>
      <c r="C39" s="4" t="n">
        <v>77</v>
      </c>
      <c r="D39" s="4" t="n">
        <v>77</v>
      </c>
      <c r="E39" s="4" t="n">
        <v>77</v>
      </c>
      <c r="F39" s="4" t="n">
        <v>77</v>
      </c>
      <c r="G39" s="4" t="n">
        <v>78</v>
      </c>
      <c r="H39" s="4" t="n">
        <v>78</v>
      </c>
      <c r="I39" s="4" t="n">
        <v>79</v>
      </c>
      <c r="J39" s="4" t="n">
        <v>79</v>
      </c>
      <c r="K39" s="4" t="n">
        <v>79</v>
      </c>
      <c r="L39" s="4" t="n">
        <v>101</v>
      </c>
      <c r="M39" s="4" t="n">
        <v>101</v>
      </c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</row>
    <row r="41">
      <c r="A41" s="3" t="inlineStr">
        <is>
          <t>Additional Paid-in Capital</t>
        </is>
      </c>
      <c r="B41" s="4" t="n">
        <v>280668</v>
      </c>
      <c r="C41" s="4" t="n">
        <v>279872</v>
      </c>
      <c r="D41" s="4" t="n">
        <v>278980</v>
      </c>
      <c r="E41" s="4" t="n">
        <v>277980</v>
      </c>
      <c r="F41" s="4" t="n">
        <v>276717</v>
      </c>
      <c r="G41" s="4" t="n">
        <v>281247</v>
      </c>
      <c r="H41" s="4" t="n">
        <v>286173</v>
      </c>
      <c r="I41" s="4" t="n">
        <v>292576</v>
      </c>
      <c r="J41" s="4" t="n">
        <v>297579</v>
      </c>
      <c r="K41" s="4" t="n">
        <v>300877</v>
      </c>
      <c r="L41" s="4" t="n">
        <v>1028384</v>
      </c>
      <c r="M41" s="4" t="n">
        <v>1035021</v>
      </c>
    </row>
    <row r="42">
      <c r="A42" s="3" t="inlineStr">
        <is>
          <t>Accumulated Other Comprehensive Income (Loss)</t>
        </is>
      </c>
      <c r="B42" s="4" t="n">
        <v>-1881</v>
      </c>
      <c r="C42" s="4" t="n">
        <v>-1287</v>
      </c>
      <c r="D42" s="4" t="n">
        <v>-1877</v>
      </c>
      <c r="E42" s="4" t="n">
        <v>-2541</v>
      </c>
      <c r="F42" s="4" t="n">
        <v>-701</v>
      </c>
      <c r="G42" s="4" t="n">
        <v>-2055</v>
      </c>
      <c r="H42" s="4" t="n">
        <v>-2363</v>
      </c>
      <c r="I42" s="4" t="n">
        <v>-338</v>
      </c>
      <c r="J42" s="4" t="n">
        <v>-3250</v>
      </c>
      <c r="K42" s="4" t="n">
        <v>-1001</v>
      </c>
      <c r="L42" s="4" t="n">
        <v>2178</v>
      </c>
      <c r="M42" s="4" t="n">
        <v>2508</v>
      </c>
    </row>
    <row r="43">
      <c r="A43" s="3" t="inlineStr">
        <is>
          <t>Retained Earnings (Accumulated Deficit)</t>
        </is>
      </c>
      <c r="B43" s="4" t="n">
        <v>-238772</v>
      </c>
      <c r="C43" s="4" t="n">
        <v>-197627</v>
      </c>
      <c r="D43" s="4" t="n">
        <v>-146118</v>
      </c>
      <c r="E43" s="4" t="n">
        <v>-62169</v>
      </c>
      <c r="F43" s="4" t="n">
        <v>-12053</v>
      </c>
      <c r="G43" s="4" t="n">
        <v>58921</v>
      </c>
      <c r="H43" s="4" t="n">
        <v>131866</v>
      </c>
      <c r="I43" s="4" t="n">
        <v>131309</v>
      </c>
      <c r="J43" s="4" t="n">
        <v>105521</v>
      </c>
      <c r="K43" s="4" t="n">
        <v>143159</v>
      </c>
      <c r="L43" s="4" t="n">
        <v>236163</v>
      </c>
      <c r="M43" s="4" t="n">
        <v>165480</v>
      </c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6">
        <f>SUM(F38:F43)</f>
        <v/>
      </c>
      <c r="G44" s="6">
        <f>SUM(G38:G43)</f>
        <v/>
      </c>
      <c r="H44" s="6">
        <f>SUM(H38:H43)</f>
        <v/>
      </c>
      <c r="I44" s="6">
        <f>SUM(I38:I43)</f>
        <v/>
      </c>
      <c r="J44" s="6">
        <f>SUM(J38:J43)</f>
        <v/>
      </c>
      <c r="K44" s="6">
        <f>SUM(K38:K43)</f>
        <v/>
      </c>
      <c r="L44" s="6">
        <f>SUM(L38:L43)</f>
        <v/>
      </c>
      <c r="M44" s="6">
        <f>SUM(M38:M43)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6">
        <f>F37+F44</f>
        <v/>
      </c>
      <c r="G45" s="6">
        <f>G37+G44</f>
        <v/>
      </c>
      <c r="H45" s="6">
        <f>H37+H44</f>
        <v/>
      </c>
      <c r="I45" s="6">
        <f>I37+I44</f>
        <v/>
      </c>
      <c r="J45" s="6">
        <f>J37+J44</f>
        <v/>
      </c>
      <c r="K45" s="6">
        <f>K37+K44</f>
        <v/>
      </c>
      <c r="L45" s="6">
        <f>L37+L44</f>
        <v/>
      </c>
      <c r="M45" s="6">
        <f>M37+M44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</row>
    <row r="2">
      <c r="A2" s="3" t="inlineStr">
        <is>
          <t>Net Income (Loss)</t>
        </is>
      </c>
      <c r="B2" s="4" t="n">
        <v>6679</v>
      </c>
      <c r="C2" s="4" t="n">
        <v>15838</v>
      </c>
      <c r="D2" s="4" t="n">
        <v>-166059</v>
      </c>
      <c r="E2" s="4" t="n">
        <v>41227</v>
      </c>
      <c r="F2" s="4" t="n">
        <v>92736</v>
      </c>
      <c r="G2" s="4" t="n">
        <v>176685</v>
      </c>
      <c r="H2" s="4" t="n">
        <v>77811</v>
      </c>
      <c r="I2" s="4" t="n">
        <v>157594</v>
      </c>
      <c r="J2" s="4" t="n">
        <v>163950</v>
      </c>
      <c r="K2" s="4" t="n">
        <v>44419</v>
      </c>
      <c r="L2" s="4" t="n">
        <v>144274</v>
      </c>
      <c r="M2" s="4" t="n">
        <v>83260</v>
      </c>
    </row>
    <row r="3">
      <c r="A3" s="3" t="inlineStr">
        <is>
          <t>Depreciation</t>
        </is>
      </c>
      <c r="B3" s="4" t="n">
        <v>245</v>
      </c>
      <c r="C3" s="4" t="n">
        <v>556</v>
      </c>
      <c r="D3" s="4" t="n">
        <v>952</v>
      </c>
      <c r="E3" s="4" t="n">
        <v>404</v>
      </c>
      <c r="F3" s="4" t="n">
        <v>953</v>
      </c>
      <c r="G3" s="4" t="n">
        <v>1676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</row>
    <row r="4">
      <c r="A4" s="3" t="inlineStr">
        <is>
          <t>Amortization</t>
        </is>
      </c>
      <c r="B4" s="4" t="n">
        <v>141</v>
      </c>
      <c r="C4" s="4" t="n">
        <v>275</v>
      </c>
      <c r="D4" s="4" t="n">
        <v>402</v>
      </c>
      <c r="E4" s="4" t="n">
        <v>145</v>
      </c>
      <c r="F4" s="4" t="n">
        <v>294</v>
      </c>
      <c r="G4" s="4" t="n">
        <v>445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2379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1229</v>
      </c>
      <c r="I6" s="4" t="n">
        <v>2648</v>
      </c>
      <c r="J6" s="4" t="n">
        <v>4888</v>
      </c>
      <c r="K6" s="4" t="n">
        <v>2611</v>
      </c>
      <c r="L6" s="4" t="n">
        <v>11730</v>
      </c>
      <c r="M6" s="4" t="n">
        <v>20516</v>
      </c>
    </row>
    <row r="7">
      <c r="A7" s="3" t="inlineStr">
        <is>
          <t>Allowance for Credit Losses</t>
        </is>
      </c>
      <c r="B7" s="4" t="n">
        <v>455</v>
      </c>
      <c r="C7" s="4" t="n">
        <v>466</v>
      </c>
      <c r="D7" s="4" t="n">
        <v>705</v>
      </c>
      <c r="E7" s="4" t="n">
        <v>837</v>
      </c>
      <c r="F7" s="4" t="n">
        <v>1088</v>
      </c>
      <c r="G7" s="4" t="n">
        <v>1880</v>
      </c>
      <c r="H7" s="4" t="n">
        <v>2250</v>
      </c>
      <c r="I7" s="4" t="n">
        <v>4072</v>
      </c>
      <c r="J7" s="4" t="n">
        <v>4279</v>
      </c>
      <c r="K7" s="4" t="n">
        <v>2077</v>
      </c>
      <c r="L7" s="4" t="n">
        <v>5529</v>
      </c>
      <c r="M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2354</v>
      </c>
      <c r="E8" s="4" t="n">
        <v>3531</v>
      </c>
      <c r="F8" s="4" t="n">
        <v>7062</v>
      </c>
      <c r="G8" s="4" t="n">
        <v>10593</v>
      </c>
      <c r="H8" s="4" t="n">
        <v>3531</v>
      </c>
      <c r="I8" s="4" t="n">
        <v>7062</v>
      </c>
      <c r="J8" s="4" t="n">
        <v>10593</v>
      </c>
      <c r="K8" s="4" t="n">
        <v>3531</v>
      </c>
      <c r="L8" s="4" t="n">
        <v>7062</v>
      </c>
      <c r="M8" s="4" t="n">
        <v>13391</v>
      </c>
    </row>
    <row r="9">
      <c r="A9" s="3" t="inlineStr">
        <is>
          <t>Inventory Write-Down</t>
        </is>
      </c>
      <c r="B9" s="4" t="n">
        <v>2596</v>
      </c>
      <c r="C9" s="4" t="n">
        <v>331</v>
      </c>
      <c r="D9" s="4" t="n">
        <v>1078</v>
      </c>
      <c r="E9" s="4" t="n">
        <v>1672</v>
      </c>
      <c r="F9" s="4" t="n">
        <v>-3888</v>
      </c>
      <c r="G9" s="4" t="n">
        <v>2677</v>
      </c>
      <c r="H9" s="4" t="n">
        <v>2386</v>
      </c>
      <c r="I9" s="4" t="n">
        <v>11554</v>
      </c>
      <c r="J9" s="4" t="n">
        <v>17118</v>
      </c>
      <c r="K9" s="4" t="n">
        <v>5337</v>
      </c>
      <c r="L9" s="4" t="n">
        <v>15262</v>
      </c>
      <c r="M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191</v>
      </c>
      <c r="G10" s="4" t="n">
        <v>195</v>
      </c>
      <c r="H10" s="4" t="n">
        <v>-8</v>
      </c>
      <c r="I10" s="4" t="n">
        <v>31</v>
      </c>
      <c r="J10" s="4" t="n">
        <v>126</v>
      </c>
      <c r="K10" s="4" t="n">
        <v>0</v>
      </c>
      <c r="L10" s="4" t="n">
        <v>0</v>
      </c>
      <c r="M10" s="4" t="n">
        <v>0</v>
      </c>
    </row>
    <row r="11">
      <c r="A11" s="3" t="inlineStr">
        <is>
          <t>Stock-Based Compensation</t>
        </is>
      </c>
      <c r="B11" s="4" t="n">
        <v>4310</v>
      </c>
      <c r="C11" s="4" t="n">
        <v>8517</v>
      </c>
      <c r="D11" s="4" t="n">
        <v>14780</v>
      </c>
      <c r="E11" s="4" t="n">
        <v>5507</v>
      </c>
      <c r="F11" s="4" t="n">
        <v>11242</v>
      </c>
      <c r="G11" s="4" t="n">
        <v>16221</v>
      </c>
      <c r="H11" s="4" t="n">
        <v>3563</v>
      </c>
      <c r="I11" s="4" t="n">
        <v>8309</v>
      </c>
      <c r="J11" s="4" t="n">
        <v>13685</v>
      </c>
      <c r="K11" s="4" t="n">
        <v>5029</v>
      </c>
      <c r="L11" s="4" t="n">
        <v>11463</v>
      </c>
      <c r="M11" s="4" t="n">
        <v>18847</v>
      </c>
    </row>
    <row r="12">
      <c r="A12" s="3" t="inlineStr">
        <is>
          <t>(Benefit) Provision for Deferred Income Taxes</t>
        </is>
      </c>
      <c r="B12" s="4" t="n">
        <v>2561</v>
      </c>
      <c r="C12" s="4" t="n">
        <v>1072</v>
      </c>
      <c r="D12" s="4" t="n">
        <v>31329</v>
      </c>
      <c r="E12" s="4" t="n">
        <v>2873</v>
      </c>
      <c r="F12" s="4" t="n">
        <v>-41044</v>
      </c>
      <c r="G12" s="4" t="n">
        <v>-44303</v>
      </c>
      <c r="H12" s="4" t="n">
        <v>6450</v>
      </c>
      <c r="I12" s="4" t="n">
        <v>6112</v>
      </c>
      <c r="J12" s="4" t="n">
        <v>4727</v>
      </c>
      <c r="K12" s="4" t="n">
        <v>269</v>
      </c>
      <c r="L12" s="4" t="n">
        <v>-4161</v>
      </c>
      <c r="M12" s="4" t="n">
        <v>-71408</v>
      </c>
    </row>
    <row r="13">
      <c r="A13" s="3" t="inlineStr">
        <is>
          <t>Foreign Currency Gain (Loss)</t>
        </is>
      </c>
      <c r="B13" s="4" t="n">
        <v>85</v>
      </c>
      <c r="C13" s="4" t="n">
        <v>602</v>
      </c>
      <c r="D13" s="4" t="n">
        <v>1007</v>
      </c>
      <c r="E13" s="4" t="n">
        <v>69</v>
      </c>
      <c r="F13" s="4" t="n">
        <v>206</v>
      </c>
      <c r="G13" s="4" t="n">
        <v>258</v>
      </c>
      <c r="H13" s="4" t="n">
        <v>369</v>
      </c>
      <c r="I13" s="4" t="n">
        <v>633</v>
      </c>
      <c r="J13" s="4" t="n">
        <v>356</v>
      </c>
      <c r="K13" s="4" t="n">
        <v>0</v>
      </c>
      <c r="L13" s="4" t="n">
        <v>0</v>
      </c>
      <c r="M13" s="4" t="n">
        <v>0</v>
      </c>
    </row>
    <row r="14">
      <c r="A14" s="3" t="inlineStr">
        <is>
          <t>Gain (Loss) on Lease Cancellations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</row>
    <row r="15">
      <c r="A15" s="3" t="inlineStr">
        <is>
          <t>Change in Fair Value of Contingent Consideration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13800</v>
      </c>
      <c r="M15" s="4" t="n">
        <v>13800</v>
      </c>
    </row>
    <row r="16">
      <c r="A16" s="3" t="inlineStr">
        <is>
          <t>Gain (Loss) on Extinguishment of Debt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</row>
    <row r="17">
      <c r="A17" s="3" t="inlineStr">
        <is>
          <t>Other Operating Items</t>
        </is>
      </c>
      <c r="B17" s="4" t="n">
        <v>0</v>
      </c>
      <c r="C17" s="4" t="n">
        <v>0</v>
      </c>
      <c r="D17" s="4" t="n">
        <v>56</v>
      </c>
      <c r="E17" s="4" t="n">
        <v>-4</v>
      </c>
      <c r="F17" s="4" t="n">
        <v>8</v>
      </c>
      <c r="G17" s="4" t="n">
        <v>-2</v>
      </c>
      <c r="H17" s="4" t="n">
        <v>-7672</v>
      </c>
      <c r="I17" s="4" t="n">
        <v>0</v>
      </c>
      <c r="J17" s="4" t="n">
        <v>0</v>
      </c>
      <c r="K17" s="4" t="n">
        <v>-1014</v>
      </c>
      <c r="L17" s="4" t="n">
        <v>-257</v>
      </c>
      <c r="M17" s="4" t="n">
        <v>1964</v>
      </c>
    </row>
    <row r="18">
      <c r="A18" s="3" t="inlineStr">
        <is>
          <t>Accounts Receivable</t>
        </is>
      </c>
      <c r="B18" s="4" t="n">
        <v>-34420</v>
      </c>
      <c r="C18" s="4" t="n">
        <v>-27920</v>
      </c>
      <c r="D18" s="4" t="n">
        <v>-78967</v>
      </c>
      <c r="E18" s="4" t="n">
        <v>-109639</v>
      </c>
      <c r="F18" s="4" t="n">
        <v>-135600</v>
      </c>
      <c r="G18" s="4" t="n">
        <v>-153271</v>
      </c>
      <c r="H18" s="4" t="n">
        <v>-18664</v>
      </c>
      <c r="I18" s="4" t="n">
        <v>-82213</v>
      </c>
      <c r="J18" s="4" t="n">
        <v>-26529</v>
      </c>
      <c r="K18" s="4" t="n">
        <v>11841</v>
      </c>
      <c r="L18" s="4" t="n">
        <v>-143153</v>
      </c>
      <c r="M18" s="4" t="n">
        <v>-164133</v>
      </c>
    </row>
    <row r="19">
      <c r="A19" s="3" t="inlineStr">
        <is>
          <t>Note Receivable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</row>
    <row r="20">
      <c r="A20" s="3" t="inlineStr">
        <is>
          <t>Inventories</t>
        </is>
      </c>
      <c r="B20" s="4" t="n">
        <v>4531</v>
      </c>
      <c r="C20" s="4" t="n">
        <v>28753</v>
      </c>
      <c r="D20" s="4" t="n">
        <v>36211</v>
      </c>
      <c r="E20" s="4" t="n">
        <v>17338</v>
      </c>
      <c r="F20" s="4" t="n">
        <v>24632</v>
      </c>
      <c r="G20" s="4" t="n">
        <v>-28092</v>
      </c>
      <c r="H20" s="4" t="n">
        <v>29386</v>
      </c>
      <c r="I20" s="4" t="n">
        <v>37052</v>
      </c>
      <c r="J20" s="4" t="n">
        <v>14585</v>
      </c>
      <c r="K20" s="4" t="n">
        <v>4794</v>
      </c>
      <c r="L20" s="4" t="n">
        <v>23039</v>
      </c>
      <c r="M20" s="4" t="n">
        <v>31132</v>
      </c>
    </row>
    <row r="21">
      <c r="A21" s="3" t="inlineStr">
        <is>
          <t>Prepaid Expenses</t>
        </is>
      </c>
      <c r="B21" s="4" t="n">
        <v>3513</v>
      </c>
      <c r="C21" s="4" t="n">
        <v>1257</v>
      </c>
      <c r="D21" s="4" t="n">
        <v>1459</v>
      </c>
      <c r="E21" s="4" t="n">
        <v>-4166</v>
      </c>
      <c r="F21" s="4" t="n">
        <v>-12058</v>
      </c>
      <c r="G21" s="4" t="n">
        <v>-12406</v>
      </c>
      <c r="H21" s="4" t="n">
        <v>-2076</v>
      </c>
      <c r="I21" s="4" t="n">
        <v>-3469</v>
      </c>
      <c r="J21" s="4" t="n">
        <v>-20261</v>
      </c>
      <c r="K21" s="4" t="n">
        <v>-3687</v>
      </c>
      <c r="L21" s="4" t="n">
        <v>-20645</v>
      </c>
      <c r="M21" s="4" t="n">
        <v>-142920</v>
      </c>
    </row>
    <row r="22">
      <c r="A22" s="3" t="inlineStr">
        <is>
          <t>Change in A/P and Accrued (legacy)</t>
        </is>
      </c>
      <c r="B22" s="4" t="n">
        <v>5552</v>
      </c>
      <c r="C22" s="4" t="n">
        <v>-7176</v>
      </c>
      <c r="D22" s="4" t="n">
        <v>-3050</v>
      </c>
      <c r="E22" s="4" t="n">
        <v>182</v>
      </c>
      <c r="F22" s="4" t="n">
        <v>-12491</v>
      </c>
      <c r="G22" s="4" t="n">
        <v>14652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</row>
    <row r="23">
      <c r="A23" s="3" t="inlineStr">
        <is>
          <t>Other Non-Current Assets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-6362</v>
      </c>
      <c r="J23" s="4" t="n">
        <v>-5303</v>
      </c>
      <c r="K23" s="4" t="n">
        <v>-1700</v>
      </c>
      <c r="L23" s="4" t="n">
        <v>742</v>
      </c>
      <c r="M23" s="4" t="n">
        <v>1511</v>
      </c>
    </row>
    <row r="24">
      <c r="A24" s="3" t="inlineStr">
        <is>
          <t>Accounts Payable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-3013</v>
      </c>
      <c r="I24" s="4" t="n">
        <v>3950</v>
      </c>
      <c r="J24" s="4" t="n">
        <v>-12259</v>
      </c>
      <c r="K24" s="4" t="n">
        <v>11679</v>
      </c>
      <c r="L24" s="4" t="n">
        <v>20789</v>
      </c>
      <c r="M24" s="4" t="n">
        <v>4081</v>
      </c>
    </row>
    <row r="25">
      <c r="A25" s="3" t="inlineStr">
        <is>
          <t>Accrued Expenses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1998</v>
      </c>
      <c r="I25" s="4" t="n">
        <v>17760</v>
      </c>
      <c r="J25" s="4" t="n">
        <v>11151</v>
      </c>
      <c r="K25" s="4" t="n">
        <v>-8673</v>
      </c>
      <c r="L25" s="4" t="n">
        <v>-7013</v>
      </c>
      <c r="M25" s="4" t="n">
        <v>32961</v>
      </c>
    </row>
    <row r="26">
      <c r="A26" s="3" t="inlineStr">
        <is>
          <t>Other Current Liabilities</t>
        </is>
      </c>
      <c r="B26" s="4" t="n">
        <v>765</v>
      </c>
      <c r="C26" s="4" t="n">
        <v>1820</v>
      </c>
      <c r="D26" s="4" t="n">
        <v>32590</v>
      </c>
      <c r="E26" s="4" t="n">
        <v>1508</v>
      </c>
      <c r="F26" s="4" t="n">
        <v>61128</v>
      </c>
      <c r="G26" s="4" t="n">
        <v>62901</v>
      </c>
      <c r="H26" s="4" t="n">
        <v>10344</v>
      </c>
      <c r="I26" s="4" t="n">
        <v>-42094</v>
      </c>
      <c r="J26" s="4" t="n">
        <v>-45537</v>
      </c>
      <c r="K26" s="4" t="n">
        <v>13705</v>
      </c>
      <c r="L26" s="4" t="n">
        <v>12927</v>
      </c>
      <c r="M26" s="4" t="n">
        <v>42433</v>
      </c>
    </row>
    <row r="27">
      <c r="A27" s="3" t="inlineStr">
        <is>
          <t>Accrued Promotional Allowance</t>
        </is>
      </c>
      <c r="B27" s="4" t="n">
        <v>12190</v>
      </c>
      <c r="C27" s="4" t="n">
        <v>17512</v>
      </c>
      <c r="D27" s="4" t="n">
        <v>24213</v>
      </c>
      <c r="E27" s="4" t="n">
        <v>32248</v>
      </c>
      <c r="F27" s="4" t="n">
        <v>62995</v>
      </c>
      <c r="G27" s="4" t="n">
        <v>100580</v>
      </c>
      <c r="H27" s="4" t="n">
        <v>29414</v>
      </c>
      <c r="I27" s="4" t="n">
        <v>56692</v>
      </c>
      <c r="J27" s="4" t="n">
        <v>59023</v>
      </c>
      <c r="K27" s="4" t="n">
        <v>15379</v>
      </c>
      <c r="L27" s="4" t="n">
        <v>64221</v>
      </c>
      <c r="M27" s="4" t="n">
        <v>83276</v>
      </c>
    </row>
    <row r="28">
      <c r="A28" s="3" t="inlineStr">
        <is>
          <t>Accrued Distributor Termination</t>
        </is>
      </c>
      <c r="B28" s="4" t="n">
        <v>0</v>
      </c>
      <c r="C28" s="4" t="n">
        <v>0</v>
      </c>
      <c r="D28" s="4" t="n">
        <v>115551</v>
      </c>
      <c r="E28" s="4" t="n">
        <v>-2923</v>
      </c>
      <c r="F28" s="4" t="n">
        <v>-3986</v>
      </c>
      <c r="G28" s="4" t="n">
        <v>-3986</v>
      </c>
      <c r="H28" s="4" t="n">
        <v>-248</v>
      </c>
      <c r="I28" s="4" t="n">
        <v>-248</v>
      </c>
      <c r="J28" s="4" t="n">
        <v>-248</v>
      </c>
      <c r="K28" s="4" t="n">
        <v>0</v>
      </c>
      <c r="L28" s="4" t="n">
        <v>0</v>
      </c>
      <c r="M28" s="4" t="n">
        <v>252953</v>
      </c>
    </row>
    <row r="29">
      <c r="A29" s="3" t="inlineStr">
        <is>
          <t>ROU &amp; Lease Liability, Net</t>
        </is>
      </c>
      <c r="B29" s="4" t="n">
        <v>-78</v>
      </c>
      <c r="C29" s="4" t="n">
        <v>-95</v>
      </c>
      <c r="D29" s="4" t="n">
        <v>-126</v>
      </c>
      <c r="E29" s="4" t="n">
        <v>-15</v>
      </c>
      <c r="F29" s="4" t="n">
        <v>-38</v>
      </c>
      <c r="G29" s="4" t="n">
        <v>-64</v>
      </c>
      <c r="H29" s="4" t="n">
        <v>-23</v>
      </c>
      <c r="I29" s="4" t="n">
        <v>-34</v>
      </c>
      <c r="J29" s="4" t="n">
        <v>17</v>
      </c>
      <c r="K29" s="4" t="n">
        <v>0</v>
      </c>
      <c r="L29" s="4" t="n">
        <v>0</v>
      </c>
      <c r="M29" s="4" t="n">
        <v>0</v>
      </c>
    </row>
    <row r="30">
      <c r="A30" s="3" t="inlineStr">
        <is>
          <t>Deferred Revenue</t>
        </is>
      </c>
      <c r="B30" s="4" t="n">
        <v>0</v>
      </c>
      <c r="C30" s="4" t="n">
        <v>0</v>
      </c>
      <c r="D30" s="4" t="n">
        <v>154103</v>
      </c>
      <c r="E30" s="4" t="n">
        <v>-4625</v>
      </c>
      <c r="F30" s="4" t="n">
        <v>-8219</v>
      </c>
      <c r="G30" s="4" t="n">
        <v>-10593</v>
      </c>
      <c r="H30" s="4" t="n">
        <v>-2378</v>
      </c>
      <c r="I30" s="4" t="n">
        <v>-4757</v>
      </c>
      <c r="J30" s="4" t="n">
        <v>-7135</v>
      </c>
      <c r="K30" s="4" t="n">
        <v>-2378</v>
      </c>
      <c r="L30" s="4" t="n">
        <v>-7320</v>
      </c>
      <c r="M30" s="4" t="n">
        <v>233463</v>
      </c>
    </row>
    <row r="31">
      <c r="A31" s="3" t="inlineStr">
        <is>
          <t>Net Change in Other Working Capital</t>
        </is>
      </c>
      <c r="B31" s="4" t="n">
        <v>0</v>
      </c>
      <c r="C31" s="4" t="n">
        <v>488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148</v>
      </c>
      <c r="L31" s="4" t="n">
        <v>-1210</v>
      </c>
      <c r="M31" s="4" t="n">
        <v>-1786</v>
      </c>
    </row>
    <row r="32">
      <c r="A32" s="3" t="inlineStr">
        <is>
          <t>Cash Flow from Operations</t>
        </is>
      </c>
      <c r="B32" s="6">
        <f>SUM(B2:B31)</f>
        <v/>
      </c>
      <c r="C32" s="6">
        <f>SUM(C2:C31)</f>
        <v/>
      </c>
      <c r="D32" s="6">
        <f>SUM(D2:D31)</f>
        <v/>
      </c>
      <c r="E32" s="6">
        <f>SUM(E2:E31)</f>
        <v/>
      </c>
      <c r="F32" s="6">
        <f>SUM(F2:F31)</f>
        <v/>
      </c>
      <c r="G32" s="6">
        <f>SUM(G2:G31)</f>
        <v/>
      </c>
      <c r="H32" s="6">
        <f>SUM(H2:H31)</f>
        <v/>
      </c>
      <c r="I32" s="6">
        <f>SUM(I2:I31)</f>
        <v/>
      </c>
      <c r="J32" s="6">
        <f>SUM(J2:J31)</f>
        <v/>
      </c>
      <c r="K32" s="6">
        <f>SUM(K2:K31)</f>
        <v/>
      </c>
      <c r="L32" s="6">
        <f>SUM(L2:L31)</f>
        <v/>
      </c>
      <c r="M32" s="6">
        <f>SUM(M2:M31)</f>
        <v/>
      </c>
    </row>
    <row r="33">
      <c r="A33" s="3" t="inlineStr">
        <is>
          <t>Collections from Note Receivable</t>
        </is>
      </c>
      <c r="B33" s="4" t="n">
        <v>0</v>
      </c>
      <c r="C33" s="4" t="n">
        <v>2592</v>
      </c>
      <c r="D33" s="4" t="n">
        <v>2592</v>
      </c>
      <c r="E33" s="4" t="n">
        <v>3233</v>
      </c>
      <c r="F33" s="4" t="n">
        <v>3233</v>
      </c>
      <c r="G33" s="4" t="n">
        <v>3233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3" t="inlineStr">
        <is>
          <t>Purchase of PP&amp;E</t>
        </is>
      </c>
      <c r="B34" s="4" t="n">
        <v>-742</v>
      </c>
      <c r="C34" s="4" t="n">
        <v>-2456</v>
      </c>
      <c r="D34" s="4" t="n">
        <v>-3477</v>
      </c>
      <c r="E34" s="4" t="n">
        <v>-2253</v>
      </c>
      <c r="F34" s="4" t="n">
        <v>-6810</v>
      </c>
      <c r="G34" s="4" t="n">
        <v>-12687</v>
      </c>
      <c r="H34" s="4" t="n">
        <v>-4525</v>
      </c>
      <c r="I34" s="4" t="n">
        <v>-13739</v>
      </c>
      <c r="J34" s="4" t="n">
        <v>-17983</v>
      </c>
      <c r="K34" s="4" t="n">
        <v>-6944</v>
      </c>
      <c r="L34" s="4" t="n">
        <v>-15194</v>
      </c>
      <c r="M34" s="4" t="n">
        <v>-25539</v>
      </c>
    </row>
    <row r="35">
      <c r="A35" s="3" t="inlineStr">
        <is>
          <t>Purchase of Non-Marketable Equity Securities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-3000</v>
      </c>
      <c r="K35" s="4" t="n">
        <v>0</v>
      </c>
      <c r="L35" s="4" t="n">
        <v>-5000</v>
      </c>
      <c r="M35" s="4" t="n">
        <v>-5000</v>
      </c>
    </row>
    <row r="36">
      <c r="A36" s="3" t="inlineStr">
        <is>
          <t>Acquisition of Big Beverages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</row>
    <row r="37">
      <c r="A37" s="3" t="inlineStr">
        <is>
          <t>Acquisitions, Net of Cash Acquired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-1256351</v>
      </c>
      <c r="M37" s="4" t="n">
        <v>-1278769</v>
      </c>
    </row>
    <row r="38">
      <c r="A38" s="3" t="inlineStr">
        <is>
          <t>Working Capital Estimate from Pepsi (Rockstar)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30617</v>
      </c>
    </row>
    <row r="39">
      <c r="A39" s="3" t="inlineStr">
        <is>
          <t>Cash Flow from Investing</t>
        </is>
      </c>
      <c r="B39" s="6">
        <f>SUM(B33:B38)</f>
        <v/>
      </c>
      <c r="C39" s="6">
        <f>SUM(C33:C38)</f>
        <v/>
      </c>
      <c r="D39" s="6">
        <f>SUM(D33:D38)</f>
        <v/>
      </c>
      <c r="E39" s="6">
        <f>SUM(E33:E38)</f>
        <v/>
      </c>
      <c r="F39" s="6">
        <f>SUM(F33:F38)</f>
        <v/>
      </c>
      <c r="G39" s="6">
        <f>SUM(G33:G38)</f>
        <v/>
      </c>
      <c r="H39" s="6">
        <f>SUM(H33:H38)</f>
        <v/>
      </c>
      <c r="I39" s="6">
        <f>SUM(I33:I38)</f>
        <v/>
      </c>
      <c r="J39" s="6">
        <f>SUM(J33:J38)</f>
        <v/>
      </c>
      <c r="K39" s="6">
        <f>SUM(K33:K38)</f>
        <v/>
      </c>
      <c r="L39" s="6">
        <f>SUM(L33:L38)</f>
        <v/>
      </c>
      <c r="M39" s="6">
        <f>SUM(M33:M38)</f>
        <v/>
      </c>
    </row>
    <row r="40">
      <c r="A40" s="3" t="inlineStr">
        <is>
          <t>Finance Lease Payments</t>
        </is>
      </c>
      <c r="B40" s="4" t="n">
        <v>-20</v>
      </c>
      <c r="C40" s="4" t="n">
        <v>-37</v>
      </c>
      <c r="D40" s="4" t="n">
        <v>-49</v>
      </c>
      <c r="E40" s="4" t="n">
        <v>-11</v>
      </c>
      <c r="F40" s="4" t="n">
        <v>-22</v>
      </c>
      <c r="G40" s="4" t="n">
        <v>-33</v>
      </c>
      <c r="H40" s="4" t="n">
        <v>-15</v>
      </c>
      <c r="I40" s="4" t="n">
        <v>-30</v>
      </c>
      <c r="J40" s="4" t="n">
        <v>-46</v>
      </c>
      <c r="K40" s="4" t="n">
        <v>0</v>
      </c>
      <c r="L40" s="4" t="n">
        <v>0</v>
      </c>
      <c r="M40" s="4" t="n">
        <v>0</v>
      </c>
    </row>
    <row r="41">
      <c r="A41" s="3" t="inlineStr">
        <is>
          <t>Proceeds from Exercise of Stock Options</t>
        </is>
      </c>
      <c r="B41" s="4" t="n">
        <v>810</v>
      </c>
      <c r="C41" s="4" t="n">
        <v>1260</v>
      </c>
      <c r="D41" s="4" t="n">
        <v>3104</v>
      </c>
      <c r="E41" s="4" t="n">
        <v>478</v>
      </c>
      <c r="F41" s="4" t="n">
        <v>707</v>
      </c>
      <c r="G41" s="4" t="n">
        <v>1603</v>
      </c>
      <c r="H41" s="4" t="n">
        <v>967</v>
      </c>
      <c r="I41" s="4" t="n">
        <v>1147</v>
      </c>
      <c r="J41" s="4" t="n">
        <v>3832</v>
      </c>
      <c r="K41" s="4" t="n">
        <v>0</v>
      </c>
      <c r="L41" s="4" t="n">
        <v>0</v>
      </c>
      <c r="M41" s="4" t="n">
        <v>0</v>
      </c>
    </row>
    <row r="42">
      <c r="A42" s="3" t="inlineStr">
        <is>
          <t>Proceeds from Issuance of Common Stock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</row>
    <row r="43">
      <c r="A43" s="3" t="inlineStr">
        <is>
          <t>Proceeds from Issuance of Preferred Stock</t>
        </is>
      </c>
      <c r="B43" s="4" t="n">
        <v>0</v>
      </c>
      <c r="C43" s="4" t="n">
        <v>0</v>
      </c>
      <c r="D43" s="4" t="n">
        <v>542018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</row>
    <row r="44">
      <c r="A44" s="3" t="inlineStr">
        <is>
          <t>Preferred Dividends</t>
        </is>
      </c>
      <c r="B44" s="4" t="n">
        <v>0</v>
      </c>
      <c r="C44" s="4" t="n">
        <v>0</v>
      </c>
      <c r="D44" s="4" t="n">
        <v>-4596</v>
      </c>
      <c r="E44" s="4" t="n">
        <v>-6781</v>
      </c>
      <c r="F44" s="4" t="n">
        <v>-13637</v>
      </c>
      <c r="G44" s="4" t="n">
        <v>-20512</v>
      </c>
      <c r="H44" s="4" t="n">
        <v>-6837</v>
      </c>
      <c r="I44" s="4" t="n">
        <v>-13675</v>
      </c>
      <c r="J44" s="4" t="n">
        <v>-20588</v>
      </c>
      <c r="K44" s="4" t="n">
        <v>-6781</v>
      </c>
      <c r="L44" s="4" t="n">
        <v>-13632</v>
      </c>
      <c r="M44" s="4" t="n">
        <v>-23301</v>
      </c>
    </row>
    <row r="45">
      <c r="A45" s="3" t="inlineStr">
        <is>
          <t>Share Repurchases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-1658</v>
      </c>
      <c r="K45" s="4" t="n">
        <v>-1932</v>
      </c>
      <c r="L45" s="4" t="n">
        <v>-2811</v>
      </c>
      <c r="M45" s="4" t="n">
        <v>-3259</v>
      </c>
    </row>
    <row r="46">
      <c r="A46" s="3" t="inlineStr">
        <is>
          <t>Proceeds from Issuance of Long-Term Debt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900000</v>
      </c>
      <c r="M46" s="4" t="n">
        <v>900000</v>
      </c>
    </row>
    <row r="47">
      <c r="A47" s="3" t="inlineStr">
        <is>
          <t>Repayments of Long-Term Debt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-2250</v>
      </c>
    </row>
    <row r="48">
      <c r="A48" s="3" t="inlineStr">
        <is>
          <t>Debt Issuance Fees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-2195</v>
      </c>
      <c r="L48" s="4" t="n">
        <v>-31581</v>
      </c>
      <c r="M48" s="4" t="n">
        <v>-31581</v>
      </c>
    </row>
    <row r="49">
      <c r="A49" s="3" t="inlineStr">
        <is>
          <t>Other Financing Activities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321</v>
      </c>
      <c r="L49" s="4" t="n">
        <v>319</v>
      </c>
      <c r="M49" s="4" t="n">
        <v>301</v>
      </c>
    </row>
    <row r="50">
      <c r="A50" s="3" t="inlineStr">
        <is>
          <t>Cash Flow from Financing</t>
        </is>
      </c>
      <c r="B50" s="6">
        <f>SUM(B40:B49)</f>
        <v/>
      </c>
      <c r="C50" s="6">
        <f>SUM(C40:C49)</f>
        <v/>
      </c>
      <c r="D50" s="6">
        <f>SUM(D40:D49)</f>
        <v/>
      </c>
      <c r="E50" s="6">
        <f>SUM(E40:E49)</f>
        <v/>
      </c>
      <c r="F50" s="6">
        <f>SUM(F40:F49)</f>
        <v/>
      </c>
      <c r="G50" s="6">
        <f>SUM(G40:G49)</f>
        <v/>
      </c>
      <c r="H50" s="6">
        <f>SUM(H40:H49)</f>
        <v/>
      </c>
      <c r="I50" s="6">
        <f>SUM(I40:I49)</f>
        <v/>
      </c>
      <c r="J50" s="6">
        <f>SUM(J40:J49)</f>
        <v/>
      </c>
      <c r="K50" s="6">
        <f>SUM(K40:K49)</f>
        <v/>
      </c>
      <c r="L50" s="6">
        <f>SUM(L40:L49)</f>
        <v/>
      </c>
      <c r="M50" s="6">
        <f>SUM(M40:M49)</f>
        <v/>
      </c>
    </row>
    <row r="51">
      <c r="A51" s="3" t="inlineStr">
        <is>
          <t>FX Effect on Cash</t>
        </is>
      </c>
      <c r="B51" s="4" t="n">
        <v>104</v>
      </c>
      <c r="C51" s="4" t="n">
        <v>121</v>
      </c>
      <c r="D51" s="4" t="n">
        <v>158</v>
      </c>
      <c r="E51" s="4" t="n">
        <v>-181</v>
      </c>
      <c r="F51" s="4" t="n">
        <v>-555</v>
      </c>
      <c r="G51" s="4" t="n">
        <v>-555</v>
      </c>
      <c r="H51" s="4" t="n">
        <v>-722</v>
      </c>
      <c r="I51" s="4" t="n">
        <v>-766</v>
      </c>
      <c r="J51" s="4" t="n">
        <v>-16</v>
      </c>
      <c r="K51" s="4" t="n">
        <v>1259</v>
      </c>
      <c r="L51" s="4" t="n">
        <v>2214</v>
      </c>
      <c r="M51" s="4" t="n">
        <v>2174</v>
      </c>
    </row>
    <row r="52">
      <c r="A52" s="3" t="inlineStr">
        <is>
          <t>Net Change in Cash</t>
        </is>
      </c>
      <c r="B52" s="6">
        <f>B32+B39+B50+B51</f>
        <v/>
      </c>
      <c r="C52" s="6">
        <f>C32+C39+C50+C51</f>
        <v/>
      </c>
      <c r="D52" s="6">
        <f>D32+D39+D50+D51</f>
        <v/>
      </c>
      <c r="E52" s="6">
        <f>E32+E39+E50+E51</f>
        <v/>
      </c>
      <c r="F52" s="6">
        <f>F32+F39+F50+F51</f>
        <v/>
      </c>
      <c r="G52" s="6">
        <f>G32+G39+G50+G51</f>
        <v/>
      </c>
      <c r="H52" s="6">
        <f>H32+H39+H50+H51</f>
        <v/>
      </c>
      <c r="I52" s="6">
        <f>I32+I39+I50+I51</f>
        <v/>
      </c>
      <c r="J52" s="6">
        <f>J32+J39+J50+J51</f>
        <v/>
      </c>
      <c r="K52" s="6">
        <f>K32+K39+K50+K51</f>
        <v/>
      </c>
      <c r="L52" s="6">
        <f>L32+L39+L50+L51</f>
        <v/>
      </c>
      <c r="M52" s="6">
        <f>M32+M39+M50+M51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P&amp;L'!C2-'YTD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P&amp;L'!D2-'YTD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P&amp;L'!E2-'YTD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P&amp;L'!F2-'YTD P&amp;L'!M2</f>
        <v/>
      </c>
      <c r="R2" s="9">
        <f>'QTR P&amp;L'!N2*(1+'IS DRIVERS'!R2)</f>
        <v/>
      </c>
      <c r="S2" s="9">
        <f>'QTR P&amp;L'!O2*(1+'IS DRIVERS'!S2)</f>
        <v/>
      </c>
      <c r="T2" s="9">
        <f>'QTR P&amp;L'!P2*(1+'IS DRIVERS'!T2)</f>
        <v/>
      </c>
      <c r="U2" s="9">
        <f>'QTR P&amp;L'!Q2*(1+'IS DRIVERS'!U2)</f>
        <v/>
      </c>
      <c r="V2" s="9">
        <f>'QTR P&amp;L'!R2*(1+'IS DRIVERS'!V2)</f>
        <v/>
      </c>
      <c r="W2" s="9">
        <f>'QTR P&amp;L'!S2*(1+'IS DRIVERS'!W2)</f>
        <v/>
      </c>
      <c r="X2" s="9">
        <f>'QTR P&amp;L'!T2*(1+'IS DRIVERS'!X2)</f>
        <v/>
      </c>
      <c r="Y2" s="9">
        <f>'QTR P&amp;L'!U2*(1+'IS DRIVERS'!Y2)</f>
        <v/>
      </c>
      <c r="Z2" s="9">
        <f>'QTR P&amp;L'!V2*(1+'IS DRIVERS'!Z2)</f>
        <v/>
      </c>
      <c r="AA2" s="9">
        <f>'QTR P&amp;L'!W2*(1+'IS DRIVERS'!AA2)</f>
        <v/>
      </c>
      <c r="AB2" s="9">
        <f>'QTR P&amp;L'!X2*(1+'IS DRIVERS'!AB2)</f>
        <v/>
      </c>
      <c r="AC2" s="9">
        <f>'QTR P&amp;L'!Y2*(1+'IS DRIVERS'!AC2)</f>
        <v/>
      </c>
      <c r="AD2" s="9">
        <f>'QTR P&amp;L'!Z2*(1+'IS DRIVERS'!AD2)</f>
        <v/>
      </c>
      <c r="AE2" s="9">
        <f>'QTR P&amp;L'!AA2*(1+'IS DRIVERS'!AE2)</f>
        <v/>
      </c>
      <c r="AF2" s="9">
        <f>'QTR P&amp;L'!AB2*(1+'IS DRIVERS'!AF2)</f>
        <v/>
      </c>
      <c r="AG2" s="9">
        <f>'QTR P&amp;L'!AC2*(1+'IS DRIVERS'!AG2)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P&amp;L'!C3-'YTD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P&amp;L'!D3-'YTD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P&amp;L'!E3-'YTD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P&amp;L'!F3-'YTD P&amp;L'!M3</f>
        <v/>
      </c>
      <c r="R3" s="9">
        <f>'QTR P&amp;L'!R2*'IS DRIVERS'!R3</f>
        <v/>
      </c>
      <c r="S3" s="9">
        <f>'QTR P&amp;L'!S2*'IS DRIVERS'!S3</f>
        <v/>
      </c>
      <c r="T3" s="9">
        <f>'QTR P&amp;L'!T2*'IS DRIVERS'!T3</f>
        <v/>
      </c>
      <c r="U3" s="9">
        <f>'QTR P&amp;L'!U2*'IS DRIVERS'!U3</f>
        <v/>
      </c>
      <c r="V3" s="9">
        <f>'QTR P&amp;L'!V2*'IS DRIVERS'!V3</f>
        <v/>
      </c>
      <c r="W3" s="9">
        <f>'QTR P&amp;L'!W2*'IS DRIVERS'!W3</f>
        <v/>
      </c>
      <c r="X3" s="9">
        <f>'QTR P&amp;L'!X2*'IS DRIVERS'!X3</f>
        <v/>
      </c>
      <c r="Y3" s="9">
        <f>'QTR P&amp;L'!Y2*'IS DRIVERS'!Y3</f>
        <v/>
      </c>
      <c r="Z3" s="9">
        <f>'QTR P&amp;L'!Z2*'IS DRIVERS'!Z3</f>
        <v/>
      </c>
      <c r="AA3" s="9">
        <f>'QTR P&amp;L'!AA2*'IS DRIVERS'!AA3</f>
        <v/>
      </c>
      <c r="AB3" s="9">
        <f>'QTR P&amp;L'!AB2*'IS DRIVERS'!AB3</f>
        <v/>
      </c>
      <c r="AC3" s="9">
        <f>'QTR P&amp;L'!AC2*'IS DRIVERS'!AC3</f>
        <v/>
      </c>
      <c r="AD3" s="9">
        <f>'QTR P&amp;L'!AD2*'IS DRIVERS'!AD3</f>
        <v/>
      </c>
      <c r="AE3" s="9">
        <f>'QTR P&amp;L'!AE2*'IS DRIVERS'!AE3</f>
        <v/>
      </c>
      <c r="AF3" s="9">
        <f>'QTR P&amp;L'!AF2*'IS DRIVERS'!AF3</f>
        <v/>
      </c>
      <c r="AG3" s="9">
        <f>'QTR P&amp;L'!AG2*'IS DRIVERS'!AG3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P&amp;L'!C4-'YTD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P&amp;L'!D4-'YTD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P&amp;L'!E4-'YTD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P&amp;L'!F4-'YTD P&amp;L'!M4</f>
        <v/>
      </c>
      <c r="R4" s="7">
        <f>R2+R3</f>
        <v/>
      </c>
      <c r="S4" s="7">
        <f>S2+S3</f>
        <v/>
      </c>
      <c r="T4" s="7">
        <f>T2+T3</f>
        <v/>
      </c>
      <c r="U4" s="7">
        <f>U2+U3</f>
        <v/>
      </c>
      <c r="V4" s="7">
        <f>V2+V3</f>
        <v/>
      </c>
      <c r="W4" s="7">
        <f>W2+W3</f>
        <v/>
      </c>
      <c r="X4" s="7">
        <f>X2+X3</f>
        <v/>
      </c>
      <c r="Y4" s="7">
        <f>Y2+Y3</f>
        <v/>
      </c>
      <c r="Z4" s="7">
        <f>Z2+Z3</f>
        <v/>
      </c>
      <c r="AA4" s="7">
        <f>AA2+AA3</f>
        <v/>
      </c>
      <c r="AB4" s="7">
        <f>AB2+AB3</f>
        <v/>
      </c>
      <c r="AC4" s="7">
        <f>AC2+AC3</f>
        <v/>
      </c>
      <c r="AD4" s="7">
        <f>AD2+AD3</f>
        <v/>
      </c>
      <c r="AE4" s="7">
        <f>AE2+AE3</f>
        <v/>
      </c>
      <c r="AF4" s="7">
        <f>AF2+AF3</f>
        <v/>
      </c>
      <c r="AG4" s="7">
        <f>AG2+AG3</f>
        <v/>
      </c>
    </row>
    <row r="5">
      <c r="A5" s="3" t="inlineStr">
        <is>
          <t>SG&amp;A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P&amp;L'!C5-'YTD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P&amp;L'!D5-'YTD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P&amp;L'!E5-'YTD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P&amp;L'!F5-'YTD P&amp;L'!M5</f>
        <v/>
      </c>
      <c r="R5" s="9">
        <f>'QTR P&amp;L'!R2*'IS DRIVERS'!R4</f>
        <v/>
      </c>
      <c r="S5" s="9">
        <f>'QTR P&amp;L'!S2*'IS DRIVERS'!S4</f>
        <v/>
      </c>
      <c r="T5" s="9">
        <f>'QTR P&amp;L'!T2*'IS DRIVERS'!T4</f>
        <v/>
      </c>
      <c r="U5" s="9">
        <f>'QTR P&amp;L'!U2*'IS DRIVERS'!U4</f>
        <v/>
      </c>
      <c r="V5" s="9">
        <f>'QTR P&amp;L'!V2*'IS DRIVERS'!V4</f>
        <v/>
      </c>
      <c r="W5" s="9">
        <f>'QTR P&amp;L'!W2*'IS DRIVERS'!W4</f>
        <v/>
      </c>
      <c r="X5" s="9">
        <f>'QTR P&amp;L'!X2*'IS DRIVERS'!X4</f>
        <v/>
      </c>
      <c r="Y5" s="9">
        <f>'QTR P&amp;L'!Y2*'IS DRIVERS'!Y4</f>
        <v/>
      </c>
      <c r="Z5" s="9">
        <f>'QTR P&amp;L'!Z2*'IS DRIVERS'!Z4</f>
        <v/>
      </c>
      <c r="AA5" s="9">
        <f>'QTR P&amp;L'!AA2*'IS DRIVERS'!AA4</f>
        <v/>
      </c>
      <c r="AB5" s="9">
        <f>'QTR P&amp;L'!AB2*'IS DRIVERS'!AB4</f>
        <v/>
      </c>
      <c r="AC5" s="9">
        <f>'QTR P&amp;L'!AC2*'IS DRIVERS'!AC4</f>
        <v/>
      </c>
      <c r="AD5" s="9">
        <f>'QTR P&amp;L'!AD2*'IS DRIVERS'!AD4</f>
        <v/>
      </c>
      <c r="AE5" s="9">
        <f>'QTR P&amp;L'!AE2*'IS DRIVERS'!AE4</f>
        <v/>
      </c>
      <c r="AF5" s="9">
        <f>'QTR P&amp;L'!AF2*'IS DRIVERS'!AF4</f>
        <v/>
      </c>
      <c r="AG5" s="9">
        <f>'QTR P&amp;L'!AG2*'IS DRIVERS'!AG4</f>
        <v/>
      </c>
    </row>
    <row r="6">
      <c r="A6" s="3" t="inlineStr">
        <is>
          <t>Distributor Termination Fees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P&amp;L'!C6-'YTD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P&amp;L'!D6-'YTD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P&amp;L'!E6-'YTD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P&amp;L'!F6-'YTD P&amp;L'!M6</f>
        <v/>
      </c>
      <c r="R6" s="9">
        <f>'IS DRIVERS'!R5</f>
        <v/>
      </c>
      <c r="S6" s="9">
        <f>'IS DRIVERS'!S5</f>
        <v/>
      </c>
      <c r="T6" s="9">
        <f>'IS DRIVERS'!T5</f>
        <v/>
      </c>
      <c r="U6" s="9">
        <f>'IS DRIVERS'!U5</f>
        <v/>
      </c>
      <c r="V6" s="9">
        <f>'IS DRIVERS'!V5</f>
        <v/>
      </c>
      <c r="W6" s="9">
        <f>'IS DRIVERS'!W5</f>
        <v/>
      </c>
      <c r="X6" s="9">
        <f>'IS DRIVERS'!X5</f>
        <v/>
      </c>
      <c r="Y6" s="9">
        <f>'IS DRIVERS'!Y5</f>
        <v/>
      </c>
      <c r="Z6" s="9">
        <f>'IS DRIVERS'!Z5</f>
        <v/>
      </c>
      <c r="AA6" s="9">
        <f>'IS DRIVERS'!AA5</f>
        <v/>
      </c>
      <c r="AB6" s="9">
        <f>'IS DRIVERS'!AB5</f>
        <v/>
      </c>
      <c r="AC6" s="9">
        <f>'IS DRIVERS'!AC5</f>
        <v/>
      </c>
      <c r="AD6" s="9">
        <f>'IS DRIVERS'!AD5</f>
        <v/>
      </c>
      <c r="AE6" s="9">
        <f>'IS DRIVERS'!AE5</f>
        <v/>
      </c>
      <c r="AF6" s="9">
        <f>'IS DRIVERS'!AF5</f>
        <v/>
      </c>
      <c r="AG6" s="9">
        <f>'IS DRIVERS'!AG5</f>
        <v/>
      </c>
    </row>
    <row r="7">
      <c r="A7" s="3" t="inlineStr">
        <is>
          <t>Income (Loss) from Operations</t>
        </is>
      </c>
      <c r="B7" s="6">
        <f>'YTD P&amp;L'!B7</f>
        <v/>
      </c>
      <c r="C7" s="6">
        <f>'YTD P&amp;L'!C7-'YTD P&amp;L'!B7</f>
        <v/>
      </c>
      <c r="D7" s="6">
        <f>'YTD P&amp;L'!D7-'YTD P&amp;L'!C7</f>
        <v/>
      </c>
      <c r="E7" s="6">
        <f>'ANNL P&amp;L'!C7-'YTD P&amp;L'!D7</f>
        <v/>
      </c>
      <c r="F7" s="6">
        <f>'YTD P&amp;L'!E7</f>
        <v/>
      </c>
      <c r="G7" s="6">
        <f>'YTD P&amp;L'!F7-'YTD P&amp;L'!E7</f>
        <v/>
      </c>
      <c r="H7" s="6">
        <f>'YTD P&amp;L'!G7-'YTD P&amp;L'!F7</f>
        <v/>
      </c>
      <c r="I7" s="6">
        <f>'ANNL P&amp;L'!D7-'YTD P&amp;L'!G7</f>
        <v/>
      </c>
      <c r="J7" s="6">
        <f>'YTD P&amp;L'!H7</f>
        <v/>
      </c>
      <c r="K7" s="6">
        <f>'YTD P&amp;L'!I7-'YTD P&amp;L'!H7</f>
        <v/>
      </c>
      <c r="L7" s="6">
        <f>'YTD P&amp;L'!J7-'YTD P&amp;L'!I7</f>
        <v/>
      </c>
      <c r="M7" s="6">
        <f>'ANNL P&amp;L'!E7-'YTD P&amp;L'!J7</f>
        <v/>
      </c>
      <c r="N7" s="6">
        <f>'YTD P&amp;L'!K7</f>
        <v/>
      </c>
      <c r="O7" s="6">
        <f>'YTD P&amp;L'!L7-'YTD P&amp;L'!K7</f>
        <v/>
      </c>
      <c r="P7" s="6">
        <f>'YTD P&amp;L'!M7-'YTD P&amp;L'!L7</f>
        <v/>
      </c>
      <c r="Q7" s="6">
        <f>'ANNL P&amp;L'!F7-'YTD P&amp;L'!M7</f>
        <v/>
      </c>
      <c r="R7" s="7">
        <f>R4+SUM(R5:R6)</f>
        <v/>
      </c>
      <c r="S7" s="7">
        <f>S4+SUM(S5:S6)</f>
        <v/>
      </c>
      <c r="T7" s="7">
        <f>T4+SUM(T5:T6)</f>
        <v/>
      </c>
      <c r="U7" s="7">
        <f>U4+SUM(U5:U6)</f>
        <v/>
      </c>
      <c r="V7" s="7">
        <f>V4+SUM(V5:V6)</f>
        <v/>
      </c>
      <c r="W7" s="7">
        <f>W4+SUM(W5:W6)</f>
        <v/>
      </c>
      <c r="X7" s="7">
        <f>X4+SUM(X5:X6)</f>
        <v/>
      </c>
      <c r="Y7" s="7">
        <f>Y4+SUM(Y5:Y6)</f>
        <v/>
      </c>
      <c r="Z7" s="7">
        <f>Z4+SUM(Z5:Z6)</f>
        <v/>
      </c>
      <c r="AA7" s="7">
        <f>AA4+SUM(AA5:AA6)</f>
        <v/>
      </c>
      <c r="AB7" s="7">
        <f>AB4+SUM(AB5:AB6)</f>
        <v/>
      </c>
      <c r="AC7" s="7">
        <f>AC4+SUM(AC5:AC6)</f>
        <v/>
      </c>
      <c r="AD7" s="7">
        <f>AD4+SUM(AD5:AD6)</f>
        <v/>
      </c>
      <c r="AE7" s="7">
        <f>AE4+SUM(AE5:AE6)</f>
        <v/>
      </c>
      <c r="AF7" s="7">
        <f>AF4+SUM(AF5:AF6)</f>
        <v/>
      </c>
      <c r="AG7" s="7">
        <f>AG4+SUM(AG5:AG6)</f>
        <v/>
      </c>
    </row>
    <row r="8">
      <c r="A8" s="3" t="inlineStr">
        <is>
          <t>Interest Income (Expense)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P&amp;L'!C8-'YTD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P&amp;L'!D8-'YTD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P&amp;L'!E8-'YTD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P&amp;L'!F8-'YTD P&amp;L'!M8</f>
        <v/>
      </c>
      <c r="R8" s="9">
        <f>'IS DRIVERS'!R6</f>
        <v/>
      </c>
      <c r="S8" s="9">
        <f>'IS DRIVERS'!S6</f>
        <v/>
      </c>
      <c r="T8" s="9">
        <f>'IS DRIVERS'!T6</f>
        <v/>
      </c>
      <c r="U8" s="9">
        <f>'IS DRIVERS'!U6</f>
        <v/>
      </c>
      <c r="V8" s="9">
        <f>'IS DRIVERS'!V6</f>
        <v/>
      </c>
      <c r="W8" s="9">
        <f>'IS DRIVERS'!W6</f>
        <v/>
      </c>
      <c r="X8" s="9">
        <f>'IS DRIVERS'!X6</f>
        <v/>
      </c>
      <c r="Y8" s="9">
        <f>'IS DRIVERS'!Y6</f>
        <v/>
      </c>
      <c r="Z8" s="9">
        <f>'IS DRIVERS'!Z6</f>
        <v/>
      </c>
      <c r="AA8" s="9">
        <f>'IS DRIVERS'!AA6</f>
        <v/>
      </c>
      <c r="AB8" s="9">
        <f>'IS DRIVERS'!AB6</f>
        <v/>
      </c>
      <c r="AC8" s="9">
        <f>'IS DRIVERS'!AC6</f>
        <v/>
      </c>
      <c r="AD8" s="9">
        <f>'IS DRIVERS'!AD6</f>
        <v/>
      </c>
      <c r="AE8" s="9">
        <f>'IS DRIVERS'!AE6</f>
        <v/>
      </c>
      <c r="AF8" s="9">
        <f>'IS DRIVERS'!AF6</f>
        <v/>
      </c>
      <c r="AG8" s="9">
        <f>'IS DRIVERS'!AG6</f>
        <v/>
      </c>
    </row>
    <row r="9">
      <c r="A9" s="3" t="inlineStr">
        <is>
          <t>Foreign Currency Gain (Loss)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P&amp;L'!C9-'YTD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P&amp;L'!D9-'YTD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P&amp;L'!E9-'YTD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P&amp;L'!F9-'YTD P&amp;L'!M9</f>
        <v/>
      </c>
      <c r="R9" s="9">
        <f>'IS DRIVERS'!R7</f>
        <v/>
      </c>
      <c r="S9" s="9">
        <f>'IS DRIVERS'!S7</f>
        <v/>
      </c>
      <c r="T9" s="9">
        <f>'IS DRIVERS'!T7</f>
        <v/>
      </c>
      <c r="U9" s="9">
        <f>'IS DRIVERS'!U7</f>
        <v/>
      </c>
      <c r="V9" s="9">
        <f>'IS DRIVERS'!V7</f>
        <v/>
      </c>
      <c r="W9" s="9">
        <f>'IS DRIVERS'!W7</f>
        <v/>
      </c>
      <c r="X9" s="9">
        <f>'IS DRIVERS'!X7</f>
        <v/>
      </c>
      <c r="Y9" s="9">
        <f>'IS DRIVERS'!Y7</f>
        <v/>
      </c>
      <c r="Z9" s="9">
        <f>'IS DRIVERS'!Z7</f>
        <v/>
      </c>
      <c r="AA9" s="9">
        <f>'IS DRIVERS'!AA7</f>
        <v/>
      </c>
      <c r="AB9" s="9">
        <f>'IS DRIVERS'!AB7</f>
        <v/>
      </c>
      <c r="AC9" s="9">
        <f>'IS DRIVERS'!AC7</f>
        <v/>
      </c>
      <c r="AD9" s="9">
        <f>'IS DRIVERS'!AD7</f>
        <v/>
      </c>
      <c r="AE9" s="9">
        <f>'IS DRIVERS'!AE7</f>
        <v/>
      </c>
      <c r="AF9" s="9">
        <f>'IS DRIVERS'!AF7</f>
        <v/>
      </c>
      <c r="AG9" s="9">
        <f>'IS DRIVERS'!AG7</f>
        <v/>
      </c>
    </row>
    <row r="10">
      <c r="A10" s="3" t="inlineStr">
        <is>
          <t>Other Income (Expense)</t>
        </is>
      </c>
      <c r="B10" s="4">
        <f>'YTD P&amp;L'!B10</f>
        <v/>
      </c>
      <c r="C10" s="4">
        <f>'YTD P&amp;L'!C10-'YTD P&amp;L'!B10</f>
        <v/>
      </c>
      <c r="D10" s="4">
        <f>'YTD P&amp;L'!D10-'YTD P&amp;L'!C10</f>
        <v/>
      </c>
      <c r="E10" s="4">
        <f>'ANNL P&amp;L'!C10-'YTD P&amp;L'!D10</f>
        <v/>
      </c>
      <c r="F10" s="4">
        <f>'YTD P&amp;L'!E10</f>
        <v/>
      </c>
      <c r="G10" s="4">
        <f>'YTD P&amp;L'!F10-'YTD P&amp;L'!E10</f>
        <v/>
      </c>
      <c r="H10" s="4">
        <f>'YTD P&amp;L'!G10-'YTD P&amp;L'!F10</f>
        <v/>
      </c>
      <c r="I10" s="4">
        <f>'ANNL P&amp;L'!D10-'YTD P&amp;L'!G10</f>
        <v/>
      </c>
      <c r="J10" s="4">
        <f>'YTD P&amp;L'!H10</f>
        <v/>
      </c>
      <c r="K10" s="4">
        <f>'YTD P&amp;L'!I10-'YTD P&amp;L'!H10</f>
        <v/>
      </c>
      <c r="L10" s="4">
        <f>'YTD P&amp;L'!J10-'YTD P&amp;L'!I10</f>
        <v/>
      </c>
      <c r="M10" s="4">
        <f>'ANNL P&amp;L'!E10-'YTD P&amp;L'!J10</f>
        <v/>
      </c>
      <c r="N10" s="4">
        <f>'YTD P&amp;L'!K10</f>
        <v/>
      </c>
      <c r="O10" s="4">
        <f>'YTD P&amp;L'!L10-'YTD P&amp;L'!K10</f>
        <v/>
      </c>
      <c r="P10" s="4">
        <f>'YTD P&amp;L'!M10-'YTD P&amp;L'!L10</f>
        <v/>
      </c>
      <c r="Q10" s="4">
        <f>'ANNL P&amp;L'!F10-'YTD P&amp;L'!M10</f>
        <v/>
      </c>
      <c r="R10" s="9">
        <f>'IS DRIVERS'!R8</f>
        <v/>
      </c>
      <c r="S10" s="9">
        <f>'IS DRIVERS'!S8</f>
        <v/>
      </c>
      <c r="T10" s="9">
        <f>'IS DRIVERS'!T8</f>
        <v/>
      </c>
      <c r="U10" s="9">
        <f>'IS DRIVERS'!U8</f>
        <v/>
      </c>
      <c r="V10" s="9">
        <f>'IS DRIVERS'!V8</f>
        <v/>
      </c>
      <c r="W10" s="9">
        <f>'IS DRIVERS'!W8</f>
        <v/>
      </c>
      <c r="X10" s="9">
        <f>'IS DRIVERS'!X8</f>
        <v/>
      </c>
      <c r="Y10" s="9">
        <f>'IS DRIVERS'!Y8</f>
        <v/>
      </c>
      <c r="Z10" s="9">
        <f>'IS DRIVERS'!Z8</f>
        <v/>
      </c>
      <c r="AA10" s="9">
        <f>'IS DRIVERS'!AA8</f>
        <v/>
      </c>
      <c r="AB10" s="9">
        <f>'IS DRIVERS'!AB8</f>
        <v/>
      </c>
      <c r="AC10" s="9">
        <f>'IS DRIVERS'!AC8</f>
        <v/>
      </c>
      <c r="AD10" s="9">
        <f>'IS DRIVERS'!AD8</f>
        <v/>
      </c>
      <c r="AE10" s="9">
        <f>'IS DRIVERS'!AE8</f>
        <v/>
      </c>
      <c r="AF10" s="9">
        <f>'IS DRIVERS'!AF8</f>
        <v/>
      </c>
      <c r="AG10" s="9">
        <f>'IS DRIVERS'!AG8</f>
        <v/>
      </c>
    </row>
    <row r="11">
      <c r="A11" s="3" t="inlineStr">
        <is>
          <t>Pre-Tax Income (Loss)</t>
        </is>
      </c>
      <c r="B11" s="6">
        <f>'YTD P&amp;L'!B11</f>
        <v/>
      </c>
      <c r="C11" s="6">
        <f>'YTD P&amp;L'!C11-'YTD P&amp;L'!B11</f>
        <v/>
      </c>
      <c r="D11" s="6">
        <f>'YTD P&amp;L'!D11-'YTD P&amp;L'!C11</f>
        <v/>
      </c>
      <c r="E11" s="6">
        <f>'ANNL P&amp;L'!C11-'YTD P&amp;L'!D11</f>
        <v/>
      </c>
      <c r="F11" s="6">
        <f>'YTD P&amp;L'!E11</f>
        <v/>
      </c>
      <c r="G11" s="6">
        <f>'YTD P&amp;L'!F11-'YTD P&amp;L'!E11</f>
        <v/>
      </c>
      <c r="H11" s="6">
        <f>'YTD P&amp;L'!G11-'YTD P&amp;L'!F11</f>
        <v/>
      </c>
      <c r="I11" s="6">
        <f>'ANNL P&amp;L'!D11-'YTD P&amp;L'!G11</f>
        <v/>
      </c>
      <c r="J11" s="6">
        <f>'YTD P&amp;L'!H11</f>
        <v/>
      </c>
      <c r="K11" s="6">
        <f>'YTD P&amp;L'!I11-'YTD P&amp;L'!H11</f>
        <v/>
      </c>
      <c r="L11" s="6">
        <f>'YTD P&amp;L'!J11-'YTD P&amp;L'!I11</f>
        <v/>
      </c>
      <c r="M11" s="6">
        <f>'ANNL P&amp;L'!E11-'YTD P&amp;L'!J11</f>
        <v/>
      </c>
      <c r="N11" s="6">
        <f>'YTD P&amp;L'!K11</f>
        <v/>
      </c>
      <c r="O11" s="6">
        <f>'YTD P&amp;L'!L11-'YTD P&amp;L'!K11</f>
        <v/>
      </c>
      <c r="P11" s="6">
        <f>'YTD P&amp;L'!M11-'YTD P&amp;L'!L11</f>
        <v/>
      </c>
      <c r="Q11" s="6">
        <f>'ANNL P&amp;L'!F11-'YTD P&amp;L'!M11</f>
        <v/>
      </c>
      <c r="R11" s="7">
        <f>R7+SUM(R8:R10)</f>
        <v/>
      </c>
      <c r="S11" s="7">
        <f>S7+SUM(S8:S10)</f>
        <v/>
      </c>
      <c r="T11" s="7">
        <f>T7+SUM(T8:T10)</f>
        <v/>
      </c>
      <c r="U11" s="7">
        <f>U7+SUM(U8:U10)</f>
        <v/>
      </c>
      <c r="V11" s="7">
        <f>V7+SUM(V8:V10)</f>
        <v/>
      </c>
      <c r="W11" s="7">
        <f>W7+SUM(W8:W10)</f>
        <v/>
      </c>
      <c r="X11" s="7">
        <f>X7+SUM(X8:X10)</f>
        <v/>
      </c>
      <c r="Y11" s="7">
        <f>Y7+SUM(Y8:Y10)</f>
        <v/>
      </c>
      <c r="Z11" s="7">
        <f>Z7+SUM(Z8:Z10)</f>
        <v/>
      </c>
      <c r="AA11" s="7">
        <f>AA7+SUM(AA8:AA10)</f>
        <v/>
      </c>
      <c r="AB11" s="7">
        <f>AB7+SUM(AB8:AB10)</f>
        <v/>
      </c>
      <c r="AC11" s="7">
        <f>AC7+SUM(AC8:AC10)</f>
        <v/>
      </c>
      <c r="AD11" s="7">
        <f>AD7+SUM(AD8:AD10)</f>
        <v/>
      </c>
      <c r="AE11" s="7">
        <f>AE7+SUM(AE8:AE10)</f>
        <v/>
      </c>
      <c r="AF11" s="7">
        <f>AF7+SUM(AF8:AF10)</f>
        <v/>
      </c>
      <c r="AG11" s="7">
        <f>AG7+SUM(AG8:AG10)</f>
        <v/>
      </c>
    </row>
    <row r="12">
      <c r="A12" s="3" t="inlineStr">
        <is>
          <t>Income Tax (Expense) Benefit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P&amp;L'!C12-'YTD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P&amp;L'!D12-'YTD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P&amp;L'!E12-'YTD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P&amp;L'!F12-'YTD P&amp;L'!M12</f>
        <v/>
      </c>
      <c r="R12" s="9">
        <f>'QTR P&amp;L'!R11*'IS DRIVERS'!R9</f>
        <v/>
      </c>
      <c r="S12" s="9">
        <f>'QTR P&amp;L'!S11*'IS DRIVERS'!S9</f>
        <v/>
      </c>
      <c r="T12" s="9">
        <f>'QTR P&amp;L'!T11*'IS DRIVERS'!T9</f>
        <v/>
      </c>
      <c r="U12" s="9">
        <f>'QTR P&amp;L'!U11*'IS DRIVERS'!U9</f>
        <v/>
      </c>
      <c r="V12" s="9">
        <f>'QTR P&amp;L'!V11*'IS DRIVERS'!V9</f>
        <v/>
      </c>
      <c r="W12" s="9">
        <f>'QTR P&amp;L'!W11*'IS DRIVERS'!W9</f>
        <v/>
      </c>
      <c r="X12" s="9">
        <f>'QTR P&amp;L'!X11*'IS DRIVERS'!X9</f>
        <v/>
      </c>
      <c r="Y12" s="9">
        <f>'QTR P&amp;L'!Y11*'IS DRIVERS'!Y9</f>
        <v/>
      </c>
      <c r="Z12" s="9">
        <f>'QTR P&amp;L'!Z11*'IS DRIVERS'!Z9</f>
        <v/>
      </c>
      <c r="AA12" s="9">
        <f>'QTR P&amp;L'!AA11*'IS DRIVERS'!AA9</f>
        <v/>
      </c>
      <c r="AB12" s="9">
        <f>'QTR P&amp;L'!AB11*'IS DRIVERS'!AB9</f>
        <v/>
      </c>
      <c r="AC12" s="9">
        <f>'QTR P&amp;L'!AC11*'IS DRIVERS'!AC9</f>
        <v/>
      </c>
      <c r="AD12" s="9">
        <f>'QTR P&amp;L'!AD11*'IS DRIVERS'!AD9</f>
        <v/>
      </c>
      <c r="AE12" s="9">
        <f>'QTR P&amp;L'!AE11*'IS DRIVERS'!AE9</f>
        <v/>
      </c>
      <c r="AF12" s="9">
        <f>'QTR P&amp;L'!AF11*'IS DRIVERS'!AF9</f>
        <v/>
      </c>
      <c r="AG12" s="9">
        <f>'QTR P&amp;L'!AG11*'IS DRIVERS'!AG9</f>
        <v/>
      </c>
    </row>
    <row r="13">
      <c r="A13" s="3" t="inlineStr">
        <is>
          <t>Net Income (Loss)</t>
        </is>
      </c>
      <c r="B13" s="6">
        <f>'YTD P&amp;L'!B13</f>
        <v/>
      </c>
      <c r="C13" s="6">
        <f>'YTD P&amp;L'!C13-'YTD P&amp;L'!B13</f>
        <v/>
      </c>
      <c r="D13" s="6">
        <f>'YTD P&amp;L'!D13-'YTD P&amp;L'!C13</f>
        <v/>
      </c>
      <c r="E13" s="6">
        <f>'ANNL P&amp;L'!C13-'YTD P&amp;L'!D13</f>
        <v/>
      </c>
      <c r="F13" s="6">
        <f>'YTD P&amp;L'!E13</f>
        <v/>
      </c>
      <c r="G13" s="6">
        <f>'YTD P&amp;L'!F13-'YTD P&amp;L'!E13</f>
        <v/>
      </c>
      <c r="H13" s="6">
        <f>'YTD P&amp;L'!G13-'YTD P&amp;L'!F13</f>
        <v/>
      </c>
      <c r="I13" s="6">
        <f>'ANNL P&amp;L'!D13-'YTD P&amp;L'!G13</f>
        <v/>
      </c>
      <c r="J13" s="6">
        <f>'YTD P&amp;L'!H13</f>
        <v/>
      </c>
      <c r="K13" s="6">
        <f>'YTD P&amp;L'!I13-'YTD P&amp;L'!H13</f>
        <v/>
      </c>
      <c r="L13" s="6">
        <f>'YTD P&amp;L'!J13-'YTD P&amp;L'!I13</f>
        <v/>
      </c>
      <c r="M13" s="6">
        <f>'ANNL P&amp;L'!E13-'YTD P&amp;L'!J13</f>
        <v/>
      </c>
      <c r="N13" s="6">
        <f>'YTD P&amp;L'!K13</f>
        <v/>
      </c>
      <c r="O13" s="6">
        <f>'YTD P&amp;L'!L13-'YTD P&amp;L'!K13</f>
        <v/>
      </c>
      <c r="P13" s="6">
        <f>'YTD P&amp;L'!M13-'YTD P&amp;L'!L13</f>
        <v/>
      </c>
      <c r="Q13" s="6">
        <f>'ANNL P&amp;L'!F13-'YTD P&amp;L'!M13</f>
        <v/>
      </c>
      <c r="R13" s="7">
        <f>R11+R12</f>
        <v/>
      </c>
      <c r="S13" s="7">
        <f>S11+S12</f>
        <v/>
      </c>
      <c r="T13" s="7">
        <f>T11+T12</f>
        <v/>
      </c>
      <c r="U13" s="7">
        <f>U11+U12</f>
        <v/>
      </c>
      <c r="V13" s="7">
        <f>V11+V12</f>
        <v/>
      </c>
      <c r="W13" s="7">
        <f>W11+W12</f>
        <v/>
      </c>
      <c r="X13" s="7">
        <f>X11+X12</f>
        <v/>
      </c>
      <c r="Y13" s="7">
        <f>Y11+Y12</f>
        <v/>
      </c>
      <c r="Z13" s="7">
        <f>Z11+Z12</f>
        <v/>
      </c>
      <c r="AA13" s="7">
        <f>AA11+AA12</f>
        <v/>
      </c>
      <c r="AB13" s="7">
        <f>AB11+AB12</f>
        <v/>
      </c>
      <c r="AC13" s="7">
        <f>AC11+AC12</f>
        <v/>
      </c>
      <c r="AD13" s="7">
        <f>AD11+AD12</f>
        <v/>
      </c>
      <c r="AE13" s="7">
        <f>AE11+AE12</f>
        <v/>
      </c>
      <c r="AF13" s="7">
        <f>AF11+AF12</f>
        <v/>
      </c>
      <c r="AG13" s="7">
        <f>AG11+AG12</f>
        <v/>
      </c>
    </row>
    <row r="14">
      <c r="A14" s="3" t="inlineStr">
        <is>
          <t>Preferred Dividends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P&amp;L'!C14-'YTD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P&amp;L'!D14-'YTD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P&amp;L'!E14-'YTD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P&amp;L'!F14-'YTD P&amp;L'!M14</f>
        <v/>
      </c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</row>
    <row r="15">
      <c r="A15" s="3" t="inlineStr">
        <is>
          <t>Income Allocated to Participating Preferred</t>
        </is>
      </c>
      <c r="B15" s="4">
        <f>'YTD P&amp;L'!B15</f>
        <v/>
      </c>
      <c r="C15" s="4">
        <f>'YTD P&amp;L'!C15-'YTD P&amp;L'!B15</f>
        <v/>
      </c>
      <c r="D15" s="4">
        <f>'YTD P&amp;L'!D15-'YTD P&amp;L'!C15</f>
        <v/>
      </c>
      <c r="E15" s="4">
        <f>'ANNL P&amp;L'!C15-'YTD P&amp;L'!D15</f>
        <v/>
      </c>
      <c r="F15" s="4">
        <f>'YTD P&amp;L'!E15</f>
        <v/>
      </c>
      <c r="G15" s="4">
        <f>'YTD P&amp;L'!F15-'YTD P&amp;L'!E15</f>
        <v/>
      </c>
      <c r="H15" s="4">
        <f>'YTD P&amp;L'!G15-'YTD P&amp;L'!F15</f>
        <v/>
      </c>
      <c r="I15" s="4">
        <f>'ANNL P&amp;L'!D15-'YTD P&amp;L'!G15</f>
        <v/>
      </c>
      <c r="J15" s="4">
        <f>'YTD P&amp;L'!H15</f>
        <v/>
      </c>
      <c r="K15" s="4">
        <f>'YTD P&amp;L'!I15-'YTD P&amp;L'!H15</f>
        <v/>
      </c>
      <c r="L15" s="4">
        <f>'YTD P&amp;L'!J15-'YTD P&amp;L'!I15</f>
        <v/>
      </c>
      <c r="M15" s="4">
        <f>'ANNL P&amp;L'!E15-'YTD P&amp;L'!J15</f>
        <v/>
      </c>
      <c r="N15" s="4">
        <f>'YTD P&amp;L'!K15</f>
        <v/>
      </c>
      <c r="O15" s="4">
        <f>'YTD P&amp;L'!L15-'YTD P&amp;L'!K15</f>
        <v/>
      </c>
      <c r="P15" s="4">
        <f>'YTD P&amp;L'!M15-'YTD P&amp;L'!L15</f>
        <v/>
      </c>
      <c r="Q15" s="4">
        <f>'ANNL P&amp;L'!F15-'YTD P&amp;L'!M15</f>
        <v/>
      </c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</row>
    <row r="16">
      <c r="A16" s="3" t="inlineStr">
        <is>
          <t>Net Income (Loss) Attributable to Common Shareholders</t>
        </is>
      </c>
      <c r="B16" s="4">
        <f>'YTD P&amp;L'!B16</f>
        <v/>
      </c>
      <c r="C16" s="4">
        <f>'YTD P&amp;L'!C16-'YTD P&amp;L'!B16</f>
        <v/>
      </c>
      <c r="D16" s="4">
        <f>'YTD P&amp;L'!D16-'YTD P&amp;L'!C16</f>
        <v/>
      </c>
      <c r="E16" s="4">
        <f>'ANNL P&amp;L'!C16-'YTD P&amp;L'!D16</f>
        <v/>
      </c>
      <c r="F16" s="4">
        <f>'YTD P&amp;L'!E16</f>
        <v/>
      </c>
      <c r="G16" s="4">
        <f>'YTD P&amp;L'!F16-'YTD P&amp;L'!E16</f>
        <v/>
      </c>
      <c r="H16" s="4">
        <f>'YTD P&amp;L'!G16-'YTD P&amp;L'!F16</f>
        <v/>
      </c>
      <c r="I16" s="4">
        <f>'ANNL P&amp;L'!D16-'YTD P&amp;L'!G16</f>
        <v/>
      </c>
      <c r="J16" s="4">
        <f>'YTD P&amp;L'!H16</f>
        <v/>
      </c>
      <c r="K16" s="4">
        <f>'YTD P&amp;L'!I16-'YTD P&amp;L'!H16</f>
        <v/>
      </c>
      <c r="L16" s="4">
        <f>'YTD P&amp;L'!J16-'YTD P&amp;L'!I16</f>
        <v/>
      </c>
      <c r="M16" s="4">
        <f>'ANNL P&amp;L'!E16-'YTD P&amp;L'!J16</f>
        <v/>
      </c>
      <c r="N16" s="4">
        <f>'YTD P&amp;L'!K16</f>
        <v/>
      </c>
      <c r="O16" s="4">
        <f>'YTD P&amp;L'!L16-'YTD P&amp;L'!K16</f>
        <v/>
      </c>
      <c r="P16" s="4">
        <f>'YTD P&amp;L'!M16-'YTD P&amp;L'!L16</f>
        <v/>
      </c>
      <c r="Q16" s="4">
        <f>'ANNL P&amp;L'!F16-'YTD P&amp;L'!M16</f>
        <v/>
      </c>
      <c r="R16" s="9">
        <f>'QTR P&amp;L'!R2*'IS DRIVERS'!R10</f>
        <v/>
      </c>
      <c r="S16" s="9">
        <f>'QTR P&amp;L'!S2*'IS DRIVERS'!S10</f>
        <v/>
      </c>
      <c r="T16" s="9">
        <f>'QTR P&amp;L'!T2*'IS DRIVERS'!T10</f>
        <v/>
      </c>
      <c r="U16" s="9">
        <f>'QTR P&amp;L'!U2*'IS DRIVERS'!U10</f>
        <v/>
      </c>
      <c r="V16" s="9">
        <f>'QTR P&amp;L'!V2*'IS DRIVERS'!V10</f>
        <v/>
      </c>
      <c r="W16" s="9">
        <f>'QTR P&amp;L'!W2*'IS DRIVERS'!W10</f>
        <v/>
      </c>
      <c r="X16" s="9">
        <f>'QTR P&amp;L'!X2*'IS DRIVERS'!X10</f>
        <v/>
      </c>
      <c r="Y16" s="9">
        <f>'QTR P&amp;L'!Y2*'IS DRIVERS'!Y10</f>
        <v/>
      </c>
      <c r="Z16" s="9">
        <f>'QTR P&amp;L'!Z2*'IS DRIVERS'!Z10</f>
        <v/>
      </c>
      <c r="AA16" s="9">
        <f>'QTR P&amp;L'!AA2*'IS DRIVERS'!AA10</f>
        <v/>
      </c>
      <c r="AB16" s="9">
        <f>'QTR P&amp;L'!AB2*'IS DRIVERS'!AB10</f>
        <v/>
      </c>
      <c r="AC16" s="9">
        <f>'QTR P&amp;L'!AC2*'IS DRIVERS'!AC10</f>
        <v/>
      </c>
      <c r="AD16" s="9">
        <f>'QTR P&amp;L'!AD2*'IS DRIVERS'!AD10</f>
        <v/>
      </c>
      <c r="AE16" s="9">
        <f>'QTR P&amp;L'!AE2*'IS DRIVERS'!AE10</f>
        <v/>
      </c>
      <c r="AF16" s="9">
        <f>'QTR P&amp;L'!AF2*'IS DRIVERS'!AF10</f>
        <v/>
      </c>
      <c r="AG16" s="9">
        <f>'QTR P&amp;L'!AG2*'IS DRIVERS'!AG10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FY2026E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</row>
    <row r="2">
      <c r="A2" s="3" t="inlineStr">
        <is>
          <t>Cash &amp; Cash Equivalents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9">
        <f>'BS DRIVERS'!O2</f>
        <v/>
      </c>
      <c r="P2" s="9">
        <f>'BS DRIVERS'!P2</f>
        <v/>
      </c>
      <c r="Q2" s="9">
        <f>'BS DRIVERS'!Q2</f>
        <v/>
      </c>
      <c r="R2" s="9">
        <f>'BS DRIVERS'!R2</f>
        <v/>
      </c>
      <c r="S2" s="9">
        <f>'BS DRIVERS'!S2</f>
        <v/>
      </c>
      <c r="T2" s="9">
        <f>'BS DRIVERS'!T2</f>
        <v/>
      </c>
      <c r="U2" s="9">
        <f>'BS DRIVERS'!U2</f>
        <v/>
      </c>
      <c r="V2" s="9">
        <f>'BS DRIVERS'!V2</f>
        <v/>
      </c>
      <c r="W2" s="9">
        <f>'BS DRIVERS'!W2</f>
        <v/>
      </c>
      <c r="X2" s="9">
        <f>'BS DRIVERS'!X2</f>
        <v/>
      </c>
      <c r="Y2" s="9">
        <f>'BS DRIVERS'!Y2</f>
        <v/>
      </c>
      <c r="Z2" s="9">
        <f>'BS DRIVERS'!Z2</f>
        <v/>
      </c>
      <c r="AA2" s="9">
        <f>'BS DRIVERS'!AA2</f>
        <v/>
      </c>
      <c r="AB2" s="9">
        <f>'BS DRIVERS'!AB2</f>
        <v/>
      </c>
      <c r="AC2" s="9">
        <f>'BS DRIVERS'!AC2</f>
        <v/>
      </c>
      <c r="AD2" s="9">
        <f>'BS DRIVERS'!AD2</f>
        <v/>
      </c>
    </row>
    <row r="3">
      <c r="A3" s="3" t="inlineStr">
        <is>
          <t>Restricted Cash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9">
        <f>'BS DRIVERS'!O3</f>
        <v/>
      </c>
      <c r="P3" s="9">
        <f>'BS DRIVERS'!P3</f>
        <v/>
      </c>
      <c r="Q3" s="9">
        <f>'BS DRIVERS'!Q3</f>
        <v/>
      </c>
      <c r="R3" s="9">
        <f>'BS DRIVERS'!R3</f>
        <v/>
      </c>
      <c r="S3" s="9">
        <f>'BS DRIVERS'!S3</f>
        <v/>
      </c>
      <c r="T3" s="9">
        <f>'BS DRIVERS'!T3</f>
        <v/>
      </c>
      <c r="U3" s="9">
        <f>'BS DRIVERS'!U3</f>
        <v/>
      </c>
      <c r="V3" s="9">
        <f>'BS DRIVERS'!V3</f>
        <v/>
      </c>
      <c r="W3" s="9">
        <f>'BS DRIVERS'!W3</f>
        <v/>
      </c>
      <c r="X3" s="9">
        <f>'BS DRIVERS'!X3</f>
        <v/>
      </c>
      <c r="Y3" s="9">
        <f>'BS DRIVERS'!Y3</f>
        <v/>
      </c>
      <c r="Z3" s="9">
        <f>'BS DRIVERS'!Z3</f>
        <v/>
      </c>
      <c r="AA3" s="9">
        <f>'BS DRIVERS'!AA3</f>
        <v/>
      </c>
      <c r="AB3" s="9">
        <f>'BS DRIVERS'!AB3</f>
        <v/>
      </c>
      <c r="AC3" s="9">
        <f>'BS DRIVERS'!AC3</f>
        <v/>
      </c>
      <c r="AD3" s="9">
        <f>'BS DRIVERS'!AD3</f>
        <v/>
      </c>
    </row>
    <row r="4">
      <c r="A4" s="3" t="inlineStr">
        <is>
          <t>Accounts Receivable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9">
        <f>'QTR P&amp;L'!R2*'BS DRIVERS'!O4/ASSUMPTIONS!$B$2</f>
        <v/>
      </c>
      <c r="P4" s="9">
        <f>'QTR P&amp;L'!S2*'BS DRIVERS'!P4/ASSUMPTIONS!$B$2</f>
        <v/>
      </c>
      <c r="Q4" s="9">
        <f>'QTR P&amp;L'!T2*'BS DRIVERS'!Q4/ASSUMPTIONS!$B$2</f>
        <v/>
      </c>
      <c r="R4" s="9">
        <f>'QTR P&amp;L'!U2*'BS DRIVERS'!R4/ASSUMPTIONS!$B$2</f>
        <v/>
      </c>
      <c r="S4" s="9">
        <f>'QTR P&amp;L'!V2*'BS DRIVERS'!S4/ASSUMPTIONS!$B$2</f>
        <v/>
      </c>
      <c r="T4" s="9">
        <f>'QTR P&amp;L'!W2*'BS DRIVERS'!T4/ASSUMPTIONS!$B$2</f>
        <v/>
      </c>
      <c r="U4" s="9">
        <f>'QTR P&amp;L'!X2*'BS DRIVERS'!U4/ASSUMPTIONS!$B$2</f>
        <v/>
      </c>
      <c r="V4" s="9">
        <f>'QTR P&amp;L'!Y2*'BS DRIVERS'!V4/ASSUMPTIONS!$B$2</f>
        <v/>
      </c>
      <c r="W4" s="9">
        <f>'QTR P&amp;L'!Z2*'BS DRIVERS'!W4/ASSUMPTIONS!$B$2</f>
        <v/>
      </c>
      <c r="X4" s="9">
        <f>'QTR P&amp;L'!AA2*'BS DRIVERS'!X4/ASSUMPTIONS!$B$2</f>
        <v/>
      </c>
      <c r="Y4" s="9">
        <f>'QTR P&amp;L'!AB2*'BS DRIVERS'!Y4/ASSUMPTIONS!$B$2</f>
        <v/>
      </c>
      <c r="Z4" s="9">
        <f>'QTR P&amp;L'!AC2*'BS DRIVERS'!Z4/ASSUMPTIONS!$B$2</f>
        <v/>
      </c>
      <c r="AA4" s="9">
        <f>'QTR P&amp;L'!AD2*'BS DRIVERS'!AA4/ASSUMPTIONS!$B$2</f>
        <v/>
      </c>
      <c r="AB4" s="9">
        <f>'QTR P&amp;L'!AE2*'BS DRIVERS'!AB4/ASSUMPTIONS!$B$2</f>
        <v/>
      </c>
      <c r="AC4" s="9">
        <f>'QTR P&amp;L'!AF2*'BS DRIVERS'!AC4/ASSUMPTIONS!$B$2</f>
        <v/>
      </c>
      <c r="AD4" s="9">
        <f>'QTR P&amp;L'!AG2*'BS DRIVERS'!AD4/ASSUMPTIONS!$B$2</f>
        <v/>
      </c>
    </row>
    <row r="5">
      <c r="A5" s="3" t="inlineStr">
        <is>
          <t>Note Receivable - Current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9">
        <f>'QTR P&amp;L'!R2*'BS DRIVERS'!O5/ASSUMPTIONS!$B$2</f>
        <v/>
      </c>
      <c r="P5" s="9">
        <f>'QTR P&amp;L'!S2*'BS DRIVERS'!P5/ASSUMPTIONS!$B$2</f>
        <v/>
      </c>
      <c r="Q5" s="9">
        <f>'QTR P&amp;L'!T2*'BS DRIVERS'!Q5/ASSUMPTIONS!$B$2</f>
        <v/>
      </c>
      <c r="R5" s="9">
        <f>'QTR P&amp;L'!U2*'BS DRIVERS'!R5/ASSUMPTIONS!$B$2</f>
        <v/>
      </c>
      <c r="S5" s="9">
        <f>'QTR P&amp;L'!V2*'BS DRIVERS'!S5/ASSUMPTIONS!$B$2</f>
        <v/>
      </c>
      <c r="T5" s="9">
        <f>'QTR P&amp;L'!W2*'BS DRIVERS'!T5/ASSUMPTIONS!$B$2</f>
        <v/>
      </c>
      <c r="U5" s="9">
        <f>'QTR P&amp;L'!X2*'BS DRIVERS'!U5/ASSUMPTIONS!$B$2</f>
        <v/>
      </c>
      <c r="V5" s="9">
        <f>'QTR P&amp;L'!Y2*'BS DRIVERS'!V5/ASSUMPTIONS!$B$2</f>
        <v/>
      </c>
      <c r="W5" s="9">
        <f>'QTR P&amp;L'!Z2*'BS DRIVERS'!W5/ASSUMPTIONS!$B$2</f>
        <v/>
      </c>
      <c r="X5" s="9">
        <f>'QTR P&amp;L'!AA2*'BS DRIVERS'!X5/ASSUMPTIONS!$B$2</f>
        <v/>
      </c>
      <c r="Y5" s="9">
        <f>'QTR P&amp;L'!AB2*'BS DRIVERS'!Y5/ASSUMPTIONS!$B$2</f>
        <v/>
      </c>
      <c r="Z5" s="9">
        <f>'QTR P&amp;L'!AC2*'BS DRIVERS'!Z5/ASSUMPTIONS!$B$2</f>
        <v/>
      </c>
      <c r="AA5" s="9">
        <f>'QTR P&amp;L'!AD2*'BS DRIVERS'!AA5/ASSUMPTIONS!$B$2</f>
        <v/>
      </c>
      <c r="AB5" s="9">
        <f>'QTR P&amp;L'!AE2*'BS DRIVERS'!AB5/ASSUMPTIONS!$B$2</f>
        <v/>
      </c>
      <c r="AC5" s="9">
        <f>'QTR P&amp;L'!AF2*'BS DRIVERS'!AC5/ASSUMPTIONS!$B$2</f>
        <v/>
      </c>
      <c r="AD5" s="9">
        <f>'QTR P&amp;L'!AG2*'BS DRIVERS'!AD5/ASSUMPTIONS!$B$2</f>
        <v/>
      </c>
    </row>
    <row r="6">
      <c r="A6" s="3" t="inlineStr">
        <is>
          <t>Inventories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9">
        <f>'QTR P&amp;L'!R3*'BS DRIVERS'!O6/ASSUMPTIONS!$B$2</f>
        <v/>
      </c>
      <c r="P6" s="9">
        <f>'QTR P&amp;L'!S3*'BS DRIVERS'!P6/ASSUMPTIONS!$B$2</f>
        <v/>
      </c>
      <c r="Q6" s="9">
        <f>'QTR P&amp;L'!T3*'BS DRIVERS'!Q6/ASSUMPTIONS!$B$2</f>
        <v/>
      </c>
      <c r="R6" s="9">
        <f>'QTR P&amp;L'!U3*'BS DRIVERS'!R6/ASSUMPTIONS!$B$2</f>
        <v/>
      </c>
      <c r="S6" s="9">
        <f>'QTR P&amp;L'!V3*'BS DRIVERS'!S6/ASSUMPTIONS!$B$2</f>
        <v/>
      </c>
      <c r="T6" s="9">
        <f>'QTR P&amp;L'!W3*'BS DRIVERS'!T6/ASSUMPTIONS!$B$2</f>
        <v/>
      </c>
      <c r="U6" s="9">
        <f>'QTR P&amp;L'!X3*'BS DRIVERS'!U6/ASSUMPTIONS!$B$2</f>
        <v/>
      </c>
      <c r="V6" s="9">
        <f>'QTR P&amp;L'!Y3*'BS DRIVERS'!V6/ASSUMPTIONS!$B$2</f>
        <v/>
      </c>
      <c r="W6" s="9">
        <f>'QTR P&amp;L'!Z3*'BS DRIVERS'!W6/ASSUMPTIONS!$B$2</f>
        <v/>
      </c>
      <c r="X6" s="9">
        <f>'QTR P&amp;L'!AA3*'BS DRIVERS'!X6/ASSUMPTIONS!$B$2</f>
        <v/>
      </c>
      <c r="Y6" s="9">
        <f>'QTR P&amp;L'!AB3*'BS DRIVERS'!Y6/ASSUMPTIONS!$B$2</f>
        <v/>
      </c>
      <c r="Z6" s="9">
        <f>'QTR P&amp;L'!AC3*'BS DRIVERS'!Z6/ASSUMPTIONS!$B$2</f>
        <v/>
      </c>
      <c r="AA6" s="9">
        <f>'QTR P&amp;L'!AD3*'BS DRIVERS'!AA6/ASSUMPTIONS!$B$2</f>
        <v/>
      </c>
      <c r="AB6" s="9">
        <f>'QTR P&amp;L'!AE3*'BS DRIVERS'!AB6/ASSUMPTIONS!$B$2</f>
        <v/>
      </c>
      <c r="AC6" s="9">
        <f>'QTR P&amp;L'!AF3*'BS DRIVERS'!AC6/ASSUMPTIONS!$B$2</f>
        <v/>
      </c>
      <c r="AD6" s="9">
        <f>'QTR P&amp;L'!AG3*'BS DRIVERS'!AD6/ASSUMPTIONS!$B$2</f>
        <v/>
      </c>
    </row>
    <row r="7">
      <c r="A7" s="3" t="inlineStr">
        <is>
          <t>Prepaid Expenses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9">
        <f>'QTR P&amp;L'!R2*'BS DRIVERS'!O7</f>
        <v/>
      </c>
      <c r="P7" s="9">
        <f>'QTR P&amp;L'!S2*'BS DRIVERS'!P7</f>
        <v/>
      </c>
      <c r="Q7" s="9">
        <f>'QTR P&amp;L'!T2*'BS DRIVERS'!Q7</f>
        <v/>
      </c>
      <c r="R7" s="9">
        <f>'QTR P&amp;L'!U2*'BS DRIVERS'!R7</f>
        <v/>
      </c>
      <c r="S7" s="9">
        <f>'QTR P&amp;L'!V2*'BS DRIVERS'!S7</f>
        <v/>
      </c>
      <c r="T7" s="9">
        <f>'QTR P&amp;L'!W2*'BS DRIVERS'!T7</f>
        <v/>
      </c>
      <c r="U7" s="9">
        <f>'QTR P&amp;L'!X2*'BS DRIVERS'!U7</f>
        <v/>
      </c>
      <c r="V7" s="9">
        <f>'QTR P&amp;L'!Y2*'BS DRIVERS'!V7</f>
        <v/>
      </c>
      <c r="W7" s="9">
        <f>'QTR P&amp;L'!Z2*'BS DRIVERS'!W7</f>
        <v/>
      </c>
      <c r="X7" s="9">
        <f>'QTR P&amp;L'!AA2*'BS DRIVERS'!X7</f>
        <v/>
      </c>
      <c r="Y7" s="9">
        <f>'QTR P&amp;L'!AB2*'BS DRIVERS'!Y7</f>
        <v/>
      </c>
      <c r="Z7" s="9">
        <f>'QTR P&amp;L'!AC2*'BS DRIVERS'!Z7</f>
        <v/>
      </c>
      <c r="AA7" s="9">
        <f>'QTR P&amp;L'!AD2*'BS DRIVERS'!AA7</f>
        <v/>
      </c>
      <c r="AB7" s="9">
        <f>'QTR P&amp;L'!AE2*'BS DRIVERS'!AB7</f>
        <v/>
      </c>
      <c r="AC7" s="9">
        <f>'QTR P&amp;L'!AF2*'BS DRIVERS'!AC7</f>
        <v/>
      </c>
      <c r="AD7" s="9">
        <f>'QTR P&amp;L'!AG2*'BS DRIVERS'!AD7</f>
        <v/>
      </c>
    </row>
    <row r="8">
      <c r="A8" s="3" t="inlineStr">
        <is>
          <t>Deferred Other Costs - Current</t>
        </is>
      </c>
      <c r="B8" s="4">
        <f>'BALANCE SHEET'!B8</f>
        <v/>
      </c>
      <c r="C8" s="4">
        <f>'YTD BS'!C8</f>
        <v/>
      </c>
      <c r="D8" s="4">
        <f>'YTD BS'!D8</f>
        <v/>
      </c>
      <c r="E8" s="4">
        <f>'YTD BS'!E8</f>
        <v/>
      </c>
      <c r="F8" s="4">
        <f>'BALANCE SHEET'!C8</f>
        <v/>
      </c>
      <c r="G8" s="4">
        <f>'YTD BS'!G8</f>
        <v/>
      </c>
      <c r="H8" s="4">
        <f>'YTD BS'!H8</f>
        <v/>
      </c>
      <c r="I8" s="4">
        <f>'YTD BS'!I8</f>
        <v/>
      </c>
      <c r="J8" s="4">
        <f>'BALANCE SHEET'!D8</f>
        <v/>
      </c>
      <c r="K8" s="4">
        <f>'YTD BS'!K8</f>
        <v/>
      </c>
      <c r="L8" s="4">
        <f>'YTD BS'!L8</f>
        <v/>
      </c>
      <c r="M8" s="4">
        <f>'YTD BS'!M8</f>
        <v/>
      </c>
      <c r="N8" s="4">
        <f>'BALANCE SHEET'!E8</f>
        <v/>
      </c>
      <c r="O8" s="9">
        <f>'QTR P&amp;L'!R2*'BS DRIVERS'!O8</f>
        <v/>
      </c>
      <c r="P8" s="9">
        <f>'QTR P&amp;L'!S2*'BS DRIVERS'!P8</f>
        <v/>
      </c>
      <c r="Q8" s="9">
        <f>'QTR P&amp;L'!T2*'BS DRIVERS'!Q8</f>
        <v/>
      </c>
      <c r="R8" s="9">
        <f>'QTR P&amp;L'!U2*'BS DRIVERS'!R8</f>
        <v/>
      </c>
      <c r="S8" s="9">
        <f>'QTR P&amp;L'!V2*'BS DRIVERS'!S8</f>
        <v/>
      </c>
      <c r="T8" s="9">
        <f>'QTR P&amp;L'!W2*'BS DRIVERS'!T8</f>
        <v/>
      </c>
      <c r="U8" s="9">
        <f>'QTR P&amp;L'!X2*'BS DRIVERS'!U8</f>
        <v/>
      </c>
      <c r="V8" s="9">
        <f>'QTR P&amp;L'!Y2*'BS DRIVERS'!V8</f>
        <v/>
      </c>
      <c r="W8" s="9">
        <f>'QTR P&amp;L'!Z2*'BS DRIVERS'!W8</f>
        <v/>
      </c>
      <c r="X8" s="9">
        <f>'QTR P&amp;L'!AA2*'BS DRIVERS'!X8</f>
        <v/>
      </c>
      <c r="Y8" s="9">
        <f>'QTR P&amp;L'!AB2*'BS DRIVERS'!Y8</f>
        <v/>
      </c>
      <c r="Z8" s="9">
        <f>'QTR P&amp;L'!AC2*'BS DRIVERS'!Z8</f>
        <v/>
      </c>
      <c r="AA8" s="9">
        <f>'QTR P&amp;L'!AD2*'BS DRIVERS'!AA8</f>
        <v/>
      </c>
      <c r="AB8" s="9">
        <f>'QTR P&amp;L'!AE2*'BS DRIVERS'!AB8</f>
        <v/>
      </c>
      <c r="AC8" s="9">
        <f>'QTR P&amp;L'!AF2*'BS DRIVERS'!AC8</f>
        <v/>
      </c>
      <c r="AD8" s="9">
        <f>'QTR P&amp;L'!AG2*'BS DRIVERS'!AD8</f>
        <v/>
      </c>
    </row>
    <row r="9">
      <c r="A9" s="3" t="inlineStr">
        <is>
          <t>Total Current Assets</t>
        </is>
      </c>
      <c r="B9" s="6">
        <f>'BALANCE SHEET'!B9</f>
        <v/>
      </c>
      <c r="C9" s="6">
        <f>'YTD BS'!C9</f>
        <v/>
      </c>
      <c r="D9" s="6">
        <f>'YTD BS'!D9</f>
        <v/>
      </c>
      <c r="E9" s="6">
        <f>'YTD BS'!E9</f>
        <v/>
      </c>
      <c r="F9" s="6">
        <f>'BALANCE SHEET'!C9</f>
        <v/>
      </c>
      <c r="G9" s="6">
        <f>'YTD BS'!G9</f>
        <v/>
      </c>
      <c r="H9" s="6">
        <f>'YTD BS'!H9</f>
        <v/>
      </c>
      <c r="I9" s="6">
        <f>'YTD BS'!I9</f>
        <v/>
      </c>
      <c r="J9" s="6">
        <f>'BALANCE SHEET'!D9</f>
        <v/>
      </c>
      <c r="K9" s="6">
        <f>'YTD BS'!K9</f>
        <v/>
      </c>
      <c r="L9" s="6">
        <f>'YTD BS'!L9</f>
        <v/>
      </c>
      <c r="M9" s="6">
        <f>'YTD BS'!M9</f>
        <v/>
      </c>
      <c r="N9" s="6">
        <f>'BALANCE SHEET'!E9</f>
        <v/>
      </c>
      <c r="O9" s="7">
        <f>SUM(O2:O8)</f>
        <v/>
      </c>
      <c r="P9" s="7">
        <f>SUM(P2:P8)</f>
        <v/>
      </c>
      <c r="Q9" s="7">
        <f>SUM(Q2:Q8)</f>
        <v/>
      </c>
      <c r="R9" s="7">
        <f>SUM(R2:R8)</f>
        <v/>
      </c>
      <c r="S9" s="7">
        <f>SUM(S2:S8)</f>
        <v/>
      </c>
      <c r="T9" s="7">
        <f>SUM(T2:T8)</f>
        <v/>
      </c>
      <c r="U9" s="7">
        <f>SUM(U2:U8)</f>
        <v/>
      </c>
      <c r="V9" s="7">
        <f>SUM(V2:V8)</f>
        <v/>
      </c>
      <c r="W9" s="7">
        <f>SUM(W2:W8)</f>
        <v/>
      </c>
      <c r="X9" s="7">
        <f>SUM(X2:X8)</f>
        <v/>
      </c>
      <c r="Y9" s="7">
        <f>SUM(Y2:Y8)</f>
        <v/>
      </c>
      <c r="Z9" s="7">
        <f>SUM(Z2:Z8)</f>
        <v/>
      </c>
      <c r="AA9" s="7">
        <f>SUM(AA2:AA8)</f>
        <v/>
      </c>
      <c r="AB9" s="7">
        <f>SUM(AB2:AB8)</f>
        <v/>
      </c>
      <c r="AC9" s="7">
        <f>SUM(AC2:AC8)</f>
        <v/>
      </c>
      <c r="AD9" s="7">
        <f>SUM(AD2:AD8)</f>
        <v/>
      </c>
    </row>
    <row r="10">
      <c r="A10" s="3" t="inlineStr">
        <is>
          <t>Note Receivable - Non-Current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9">
        <f>'QTR P&amp;L'!R2*'BS DRIVERS'!O9</f>
        <v/>
      </c>
      <c r="P10" s="9">
        <f>'QTR P&amp;L'!S2*'BS DRIVERS'!P9</f>
        <v/>
      </c>
      <c r="Q10" s="9">
        <f>'QTR P&amp;L'!T2*'BS DRIVERS'!Q9</f>
        <v/>
      </c>
      <c r="R10" s="9">
        <f>'QTR P&amp;L'!U2*'BS DRIVERS'!R9</f>
        <v/>
      </c>
      <c r="S10" s="9">
        <f>'QTR P&amp;L'!V2*'BS DRIVERS'!S9</f>
        <v/>
      </c>
      <c r="T10" s="9">
        <f>'QTR P&amp;L'!W2*'BS DRIVERS'!T9</f>
        <v/>
      </c>
      <c r="U10" s="9">
        <f>'QTR P&amp;L'!X2*'BS DRIVERS'!U9</f>
        <v/>
      </c>
      <c r="V10" s="9">
        <f>'QTR P&amp;L'!Y2*'BS DRIVERS'!V9</f>
        <v/>
      </c>
      <c r="W10" s="9">
        <f>'QTR P&amp;L'!Z2*'BS DRIVERS'!W9</f>
        <v/>
      </c>
      <c r="X10" s="9">
        <f>'QTR P&amp;L'!AA2*'BS DRIVERS'!X9</f>
        <v/>
      </c>
      <c r="Y10" s="9">
        <f>'QTR P&amp;L'!AB2*'BS DRIVERS'!Y9</f>
        <v/>
      </c>
      <c r="Z10" s="9">
        <f>'QTR P&amp;L'!AC2*'BS DRIVERS'!Z9</f>
        <v/>
      </c>
      <c r="AA10" s="9">
        <f>'QTR P&amp;L'!AD2*'BS DRIVERS'!AA9</f>
        <v/>
      </c>
      <c r="AB10" s="9">
        <f>'QTR P&amp;L'!AE2*'BS DRIVERS'!AB9</f>
        <v/>
      </c>
      <c r="AC10" s="9">
        <f>'QTR P&amp;L'!AF2*'BS DRIVERS'!AC9</f>
        <v/>
      </c>
      <c r="AD10" s="9">
        <f>'QTR P&amp;L'!AG2*'BS DRIVERS'!AD9</f>
        <v/>
      </c>
    </row>
    <row r="11">
      <c r="A11" s="3" t="inlineStr">
        <is>
          <t>Net PP&amp;E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9">
        <f>'BS DRIVERS'!O10</f>
        <v/>
      </c>
      <c r="P11" s="9">
        <f>'BS DRIVERS'!P10</f>
        <v/>
      </c>
      <c r="Q11" s="9">
        <f>'BS DRIVERS'!Q10</f>
        <v/>
      </c>
      <c r="R11" s="9">
        <f>'BS DRIVERS'!R10</f>
        <v/>
      </c>
      <c r="S11" s="9">
        <f>'BS DRIVERS'!S10</f>
        <v/>
      </c>
      <c r="T11" s="9">
        <f>'BS DRIVERS'!T10</f>
        <v/>
      </c>
      <c r="U11" s="9">
        <f>'BS DRIVERS'!U10</f>
        <v/>
      </c>
      <c r="V11" s="9">
        <f>'BS DRIVERS'!V10</f>
        <v/>
      </c>
      <c r="W11" s="9">
        <f>'BS DRIVERS'!W10</f>
        <v/>
      </c>
      <c r="X11" s="9">
        <f>'BS DRIVERS'!X10</f>
        <v/>
      </c>
      <c r="Y11" s="9">
        <f>'BS DRIVERS'!Y10</f>
        <v/>
      </c>
      <c r="Z11" s="9">
        <f>'BS DRIVERS'!Z10</f>
        <v/>
      </c>
      <c r="AA11" s="9">
        <f>'BS DRIVERS'!AA10</f>
        <v/>
      </c>
      <c r="AB11" s="9">
        <f>'BS DRIVERS'!AB10</f>
        <v/>
      </c>
      <c r="AC11" s="9">
        <f>'BS DRIVERS'!AC10</f>
        <v/>
      </c>
      <c r="AD11" s="9">
        <f>'BS DRIVERS'!AD10</f>
        <v/>
      </c>
    </row>
    <row r="12">
      <c r="A12" s="3" t="inlineStr">
        <is>
          <t>ROU Assets - Operating - Non-Current</t>
        </is>
      </c>
      <c r="B12" s="4">
        <f>'BALANCE SHEET'!B12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SHEET'!C12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SHEET'!D12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SHEET'!E12</f>
        <v/>
      </c>
      <c r="O12" s="9">
        <f>'QTR P&amp;L'!R2*'BS DRIVERS'!O11</f>
        <v/>
      </c>
      <c r="P12" s="9">
        <f>'QTR P&amp;L'!S2*'BS DRIVERS'!P11</f>
        <v/>
      </c>
      <c r="Q12" s="9">
        <f>'QTR P&amp;L'!T2*'BS DRIVERS'!Q11</f>
        <v/>
      </c>
      <c r="R12" s="9">
        <f>'QTR P&amp;L'!U2*'BS DRIVERS'!R11</f>
        <v/>
      </c>
      <c r="S12" s="9">
        <f>'QTR P&amp;L'!V2*'BS DRIVERS'!S11</f>
        <v/>
      </c>
      <c r="T12" s="9">
        <f>'QTR P&amp;L'!W2*'BS DRIVERS'!T11</f>
        <v/>
      </c>
      <c r="U12" s="9">
        <f>'QTR P&amp;L'!X2*'BS DRIVERS'!U11</f>
        <v/>
      </c>
      <c r="V12" s="9">
        <f>'QTR P&amp;L'!Y2*'BS DRIVERS'!V11</f>
        <v/>
      </c>
      <c r="W12" s="9">
        <f>'QTR P&amp;L'!Z2*'BS DRIVERS'!W11</f>
        <v/>
      </c>
      <c r="X12" s="9">
        <f>'QTR P&amp;L'!AA2*'BS DRIVERS'!X11</f>
        <v/>
      </c>
      <c r="Y12" s="9">
        <f>'QTR P&amp;L'!AB2*'BS DRIVERS'!Y11</f>
        <v/>
      </c>
      <c r="Z12" s="9">
        <f>'QTR P&amp;L'!AC2*'BS DRIVERS'!Z11</f>
        <v/>
      </c>
      <c r="AA12" s="9">
        <f>'QTR P&amp;L'!AD2*'BS DRIVERS'!AA11</f>
        <v/>
      </c>
      <c r="AB12" s="9">
        <f>'QTR P&amp;L'!AE2*'BS DRIVERS'!AB11</f>
        <v/>
      </c>
      <c r="AC12" s="9">
        <f>'QTR P&amp;L'!AF2*'BS DRIVERS'!AC11</f>
        <v/>
      </c>
      <c r="AD12" s="9">
        <f>'QTR P&amp;L'!AG2*'BS DRIVERS'!AD11</f>
        <v/>
      </c>
    </row>
    <row r="13">
      <c r="A13" s="3" t="inlineStr">
        <is>
          <t>Intangible Assets</t>
        </is>
      </c>
      <c r="B13" s="4">
        <f>'BALANCE SHEET'!B14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SHEET'!C14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SHEET'!D14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SHEET'!E14</f>
        <v/>
      </c>
      <c r="O13" s="9">
        <f>'BS DRIVERS'!O12</f>
        <v/>
      </c>
      <c r="P13" s="9">
        <f>'BS DRIVERS'!P12</f>
        <v/>
      </c>
      <c r="Q13" s="9">
        <f>'BS DRIVERS'!Q12</f>
        <v/>
      </c>
      <c r="R13" s="9">
        <f>'BS DRIVERS'!R12</f>
        <v/>
      </c>
      <c r="S13" s="9">
        <f>'BS DRIVERS'!S12</f>
        <v/>
      </c>
      <c r="T13" s="9">
        <f>'BS DRIVERS'!T12</f>
        <v/>
      </c>
      <c r="U13" s="9">
        <f>'BS DRIVERS'!U12</f>
        <v/>
      </c>
      <c r="V13" s="9">
        <f>'BS DRIVERS'!V12</f>
        <v/>
      </c>
      <c r="W13" s="9">
        <f>'BS DRIVERS'!W12</f>
        <v/>
      </c>
      <c r="X13" s="9">
        <f>'BS DRIVERS'!X12</f>
        <v/>
      </c>
      <c r="Y13" s="9">
        <f>'BS DRIVERS'!Y12</f>
        <v/>
      </c>
      <c r="Z13" s="9">
        <f>'BS DRIVERS'!Z12</f>
        <v/>
      </c>
      <c r="AA13" s="9">
        <f>'BS DRIVERS'!AA12</f>
        <v/>
      </c>
      <c r="AB13" s="9">
        <f>'BS DRIVERS'!AB12</f>
        <v/>
      </c>
      <c r="AC13" s="9">
        <f>'BS DRIVERS'!AC12</f>
        <v/>
      </c>
      <c r="AD13" s="9">
        <f>'BS DRIVERS'!AD12</f>
        <v/>
      </c>
    </row>
    <row r="14">
      <c r="A14" s="3" t="inlineStr">
        <is>
          <t>Goodwill</t>
        </is>
      </c>
      <c r="B14" s="4">
        <f>'BALANCE SHEET'!B15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SHEET'!C15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SHEET'!D15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SHEET'!E15</f>
        <v/>
      </c>
      <c r="O14" s="9">
        <f>'BS DRIVERS'!O13</f>
        <v/>
      </c>
      <c r="P14" s="9">
        <f>'BS DRIVERS'!P13</f>
        <v/>
      </c>
      <c r="Q14" s="9">
        <f>'BS DRIVERS'!Q13</f>
        <v/>
      </c>
      <c r="R14" s="9">
        <f>'BS DRIVERS'!R13</f>
        <v/>
      </c>
      <c r="S14" s="9">
        <f>'BS DRIVERS'!S13</f>
        <v/>
      </c>
      <c r="T14" s="9">
        <f>'BS DRIVERS'!T13</f>
        <v/>
      </c>
      <c r="U14" s="9">
        <f>'BS DRIVERS'!U13</f>
        <v/>
      </c>
      <c r="V14" s="9">
        <f>'BS DRIVERS'!V13</f>
        <v/>
      </c>
      <c r="W14" s="9">
        <f>'BS DRIVERS'!W13</f>
        <v/>
      </c>
      <c r="X14" s="9">
        <f>'BS DRIVERS'!X13</f>
        <v/>
      </c>
      <c r="Y14" s="9">
        <f>'BS DRIVERS'!Y13</f>
        <v/>
      </c>
      <c r="Z14" s="9">
        <f>'BS DRIVERS'!Z13</f>
        <v/>
      </c>
      <c r="AA14" s="9">
        <f>'BS DRIVERS'!AA13</f>
        <v/>
      </c>
      <c r="AB14" s="9">
        <f>'BS DRIVERS'!AB13</f>
        <v/>
      </c>
      <c r="AC14" s="9">
        <f>'BS DRIVERS'!AC13</f>
        <v/>
      </c>
      <c r="AD14" s="9">
        <f>'BS DRIVERS'!AD13</f>
        <v/>
      </c>
    </row>
    <row r="15">
      <c r="A15" s="3" t="inlineStr">
        <is>
          <t>Deferred Other Costs - Non-Current</t>
        </is>
      </c>
      <c r="B15" s="4">
        <f>'BALANCE SHEET'!B16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SHEET'!C16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SHEET'!D16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SHEET'!E16</f>
        <v/>
      </c>
      <c r="O15" s="9">
        <f>'QTR P&amp;L'!R2*'BS DRIVERS'!O14</f>
        <v/>
      </c>
      <c r="P15" s="9">
        <f>'QTR P&amp;L'!S2*'BS DRIVERS'!P14</f>
        <v/>
      </c>
      <c r="Q15" s="9">
        <f>'QTR P&amp;L'!T2*'BS DRIVERS'!Q14</f>
        <v/>
      </c>
      <c r="R15" s="9">
        <f>'QTR P&amp;L'!U2*'BS DRIVERS'!R14</f>
        <v/>
      </c>
      <c r="S15" s="9">
        <f>'QTR P&amp;L'!V2*'BS DRIVERS'!S14</f>
        <v/>
      </c>
      <c r="T15" s="9">
        <f>'QTR P&amp;L'!W2*'BS DRIVERS'!T14</f>
        <v/>
      </c>
      <c r="U15" s="9">
        <f>'QTR P&amp;L'!X2*'BS DRIVERS'!U14</f>
        <v/>
      </c>
      <c r="V15" s="9">
        <f>'QTR P&amp;L'!Y2*'BS DRIVERS'!V14</f>
        <v/>
      </c>
      <c r="W15" s="9">
        <f>'QTR P&amp;L'!Z2*'BS DRIVERS'!W14</f>
        <v/>
      </c>
      <c r="X15" s="9">
        <f>'QTR P&amp;L'!AA2*'BS DRIVERS'!X14</f>
        <v/>
      </c>
      <c r="Y15" s="9">
        <f>'QTR P&amp;L'!AB2*'BS DRIVERS'!Y14</f>
        <v/>
      </c>
      <c r="Z15" s="9">
        <f>'QTR P&amp;L'!AC2*'BS DRIVERS'!Z14</f>
        <v/>
      </c>
      <c r="AA15" s="9">
        <f>'QTR P&amp;L'!AD2*'BS DRIVERS'!AA14</f>
        <v/>
      </c>
      <c r="AB15" s="9">
        <f>'QTR P&amp;L'!AE2*'BS DRIVERS'!AB14</f>
        <v/>
      </c>
      <c r="AC15" s="9">
        <f>'QTR P&amp;L'!AF2*'BS DRIVERS'!AC14</f>
        <v/>
      </c>
      <c r="AD15" s="9">
        <f>'QTR P&amp;L'!AG2*'BS DRIVERS'!AD14</f>
        <v/>
      </c>
    </row>
    <row r="16">
      <c r="A16" s="3" t="inlineStr">
        <is>
          <t>Deferred Tax Assets</t>
        </is>
      </c>
      <c r="B16" s="4">
        <f>'BALANCE SHEET'!B17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SHEET'!C17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SHEET'!D17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SHEET'!E17</f>
        <v/>
      </c>
      <c r="O16" s="9">
        <f>'BS DRIVERS'!O15</f>
        <v/>
      </c>
      <c r="P16" s="9">
        <f>'BS DRIVERS'!P15</f>
        <v/>
      </c>
      <c r="Q16" s="9">
        <f>'BS DRIVERS'!Q15</f>
        <v/>
      </c>
      <c r="R16" s="9">
        <f>'BS DRIVERS'!R15</f>
        <v/>
      </c>
      <c r="S16" s="9">
        <f>'BS DRIVERS'!S15</f>
        <v/>
      </c>
      <c r="T16" s="9">
        <f>'BS DRIVERS'!T15</f>
        <v/>
      </c>
      <c r="U16" s="9">
        <f>'BS DRIVERS'!U15</f>
        <v/>
      </c>
      <c r="V16" s="9">
        <f>'BS DRIVERS'!V15</f>
        <v/>
      </c>
      <c r="W16" s="9">
        <f>'BS DRIVERS'!W15</f>
        <v/>
      </c>
      <c r="X16" s="9">
        <f>'BS DRIVERS'!X15</f>
        <v/>
      </c>
      <c r="Y16" s="9">
        <f>'BS DRIVERS'!Y15</f>
        <v/>
      </c>
      <c r="Z16" s="9">
        <f>'BS DRIVERS'!Z15</f>
        <v/>
      </c>
      <c r="AA16" s="9">
        <f>'BS DRIVERS'!AA15</f>
        <v/>
      </c>
      <c r="AB16" s="9">
        <f>'BS DRIVERS'!AB15</f>
        <v/>
      </c>
      <c r="AC16" s="9">
        <f>'BS DRIVERS'!AC15</f>
        <v/>
      </c>
      <c r="AD16" s="9">
        <f>'BS DRIVERS'!AD15</f>
        <v/>
      </c>
    </row>
    <row r="17">
      <c r="A17" s="3" t="inlineStr">
        <is>
          <t>ROU Assets - Finance - Non-Current</t>
        </is>
      </c>
      <c r="B17" s="4">
        <f>'BALANCE SHEET'!B13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SHEET'!C13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SHEET'!D13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SHEET'!E13</f>
        <v/>
      </c>
      <c r="O17" s="9">
        <f>'QTR P&amp;L'!R2*'BS DRIVERS'!O16</f>
        <v/>
      </c>
      <c r="P17" s="9">
        <f>'QTR P&amp;L'!S2*'BS DRIVERS'!P16</f>
        <v/>
      </c>
      <c r="Q17" s="9">
        <f>'QTR P&amp;L'!T2*'BS DRIVERS'!Q16</f>
        <v/>
      </c>
      <c r="R17" s="9">
        <f>'QTR P&amp;L'!U2*'BS DRIVERS'!R16</f>
        <v/>
      </c>
      <c r="S17" s="9">
        <f>'QTR P&amp;L'!V2*'BS DRIVERS'!S16</f>
        <v/>
      </c>
      <c r="T17" s="9">
        <f>'QTR P&amp;L'!W2*'BS DRIVERS'!T16</f>
        <v/>
      </c>
      <c r="U17" s="9">
        <f>'QTR P&amp;L'!X2*'BS DRIVERS'!U16</f>
        <v/>
      </c>
      <c r="V17" s="9">
        <f>'QTR P&amp;L'!Y2*'BS DRIVERS'!V16</f>
        <v/>
      </c>
      <c r="W17" s="9">
        <f>'QTR P&amp;L'!Z2*'BS DRIVERS'!W16</f>
        <v/>
      </c>
      <c r="X17" s="9">
        <f>'QTR P&amp;L'!AA2*'BS DRIVERS'!X16</f>
        <v/>
      </c>
      <c r="Y17" s="9">
        <f>'QTR P&amp;L'!AB2*'BS DRIVERS'!Y16</f>
        <v/>
      </c>
      <c r="Z17" s="9">
        <f>'QTR P&amp;L'!AC2*'BS DRIVERS'!Z16</f>
        <v/>
      </c>
      <c r="AA17" s="9">
        <f>'QTR P&amp;L'!AD2*'BS DRIVERS'!AA16</f>
        <v/>
      </c>
      <c r="AB17" s="9">
        <f>'QTR P&amp;L'!AE2*'BS DRIVERS'!AB16</f>
        <v/>
      </c>
      <c r="AC17" s="9">
        <f>'QTR P&amp;L'!AF2*'BS DRIVERS'!AC16</f>
        <v/>
      </c>
      <c r="AD17" s="9">
        <f>'QTR P&amp;L'!AG2*'BS DRIVERS'!AD16</f>
        <v/>
      </c>
    </row>
    <row r="18">
      <c r="A18" s="3" t="inlineStr">
        <is>
          <t>Other Non-Current Assets</t>
        </is>
      </c>
      <c r="B18" s="4">
        <f>'BALANCE SHEET'!B18</f>
        <v/>
      </c>
      <c r="C18" s="4">
        <f>'YTD BS'!C18</f>
        <v/>
      </c>
      <c r="D18" s="4">
        <f>'YTD BS'!D18</f>
        <v/>
      </c>
      <c r="E18" s="4">
        <f>'YTD BS'!E18</f>
        <v/>
      </c>
      <c r="F18" s="4">
        <f>'BALANCE SHEET'!C18</f>
        <v/>
      </c>
      <c r="G18" s="4">
        <f>'YTD BS'!G18</f>
        <v/>
      </c>
      <c r="H18" s="4">
        <f>'YTD BS'!H18</f>
        <v/>
      </c>
      <c r="I18" s="4">
        <f>'YTD BS'!I18</f>
        <v/>
      </c>
      <c r="J18" s="4">
        <f>'BALANCE SHEET'!D18</f>
        <v/>
      </c>
      <c r="K18" s="4">
        <f>'YTD BS'!K18</f>
        <v/>
      </c>
      <c r="L18" s="4">
        <f>'YTD BS'!L18</f>
        <v/>
      </c>
      <c r="M18" s="4">
        <f>'YTD BS'!M18</f>
        <v/>
      </c>
      <c r="N18" s="4">
        <f>'BALANCE SHEET'!E18</f>
        <v/>
      </c>
      <c r="O18" s="9">
        <f>'QTR P&amp;L'!R2*'BS DRIVERS'!O17</f>
        <v/>
      </c>
      <c r="P18" s="9">
        <f>'QTR P&amp;L'!S2*'BS DRIVERS'!P17</f>
        <v/>
      </c>
      <c r="Q18" s="9">
        <f>'QTR P&amp;L'!T2*'BS DRIVERS'!Q17</f>
        <v/>
      </c>
      <c r="R18" s="9">
        <f>'QTR P&amp;L'!U2*'BS DRIVERS'!R17</f>
        <v/>
      </c>
      <c r="S18" s="9">
        <f>'QTR P&amp;L'!V2*'BS DRIVERS'!S17</f>
        <v/>
      </c>
      <c r="T18" s="9">
        <f>'QTR P&amp;L'!W2*'BS DRIVERS'!T17</f>
        <v/>
      </c>
      <c r="U18" s="9">
        <f>'QTR P&amp;L'!X2*'BS DRIVERS'!U17</f>
        <v/>
      </c>
      <c r="V18" s="9">
        <f>'QTR P&amp;L'!Y2*'BS DRIVERS'!V17</f>
        <v/>
      </c>
      <c r="W18" s="9">
        <f>'QTR P&amp;L'!Z2*'BS DRIVERS'!W17</f>
        <v/>
      </c>
      <c r="X18" s="9">
        <f>'QTR P&amp;L'!AA2*'BS DRIVERS'!X17</f>
        <v/>
      </c>
      <c r="Y18" s="9">
        <f>'QTR P&amp;L'!AB2*'BS DRIVERS'!Y17</f>
        <v/>
      </c>
      <c r="Z18" s="9">
        <f>'QTR P&amp;L'!AC2*'BS DRIVERS'!Z17</f>
        <v/>
      </c>
      <c r="AA18" s="9">
        <f>'QTR P&amp;L'!AD2*'BS DRIVERS'!AA17</f>
        <v/>
      </c>
      <c r="AB18" s="9">
        <f>'QTR P&amp;L'!AE2*'BS DRIVERS'!AB17</f>
        <v/>
      </c>
      <c r="AC18" s="9">
        <f>'QTR P&amp;L'!AF2*'BS DRIVERS'!AC17</f>
        <v/>
      </c>
      <c r="AD18" s="9">
        <f>'QTR P&amp;L'!AG2*'BS DRIVERS'!AD17</f>
        <v/>
      </c>
    </row>
    <row r="19">
      <c r="A19" s="3" t="inlineStr">
        <is>
          <t>Total Assets</t>
        </is>
      </c>
      <c r="B19" s="6">
        <f>'BALANCE SHEET'!B19</f>
        <v/>
      </c>
      <c r="C19" s="6">
        <f>'YTD BS'!C19</f>
        <v/>
      </c>
      <c r="D19" s="6">
        <f>'YTD BS'!D19</f>
        <v/>
      </c>
      <c r="E19" s="6">
        <f>'YTD BS'!E19</f>
        <v/>
      </c>
      <c r="F19" s="6">
        <f>'BALANCE SHEET'!C19</f>
        <v/>
      </c>
      <c r="G19" s="6">
        <f>'YTD BS'!G19</f>
        <v/>
      </c>
      <c r="H19" s="6">
        <f>'YTD BS'!H19</f>
        <v/>
      </c>
      <c r="I19" s="6">
        <f>'YTD BS'!I19</f>
        <v/>
      </c>
      <c r="J19" s="6">
        <f>'BALANCE SHEET'!D19</f>
        <v/>
      </c>
      <c r="K19" s="6">
        <f>'YTD BS'!K19</f>
        <v/>
      </c>
      <c r="L19" s="6">
        <f>'YTD BS'!L19</f>
        <v/>
      </c>
      <c r="M19" s="6">
        <f>'YTD BS'!M19</f>
        <v/>
      </c>
      <c r="N19" s="6">
        <f>'BALANCE SHEET'!E19</f>
        <v/>
      </c>
      <c r="O19" s="7">
        <f>O9+SUM(O10:O18)</f>
        <v/>
      </c>
      <c r="P19" s="7">
        <f>P9+SUM(P10:P18)</f>
        <v/>
      </c>
      <c r="Q19" s="7">
        <f>Q9+SUM(Q10:Q18)</f>
        <v/>
      </c>
      <c r="R19" s="7">
        <f>R9+SUM(R10:R18)</f>
        <v/>
      </c>
      <c r="S19" s="7">
        <f>S9+SUM(S10:S18)</f>
        <v/>
      </c>
      <c r="T19" s="7">
        <f>T9+SUM(T10:T18)</f>
        <v/>
      </c>
      <c r="U19" s="7">
        <f>U9+SUM(U10:U18)</f>
        <v/>
      </c>
      <c r="V19" s="7">
        <f>V9+SUM(V10:V18)</f>
        <v/>
      </c>
      <c r="W19" s="7">
        <f>W9+SUM(W10:W18)</f>
        <v/>
      </c>
      <c r="X19" s="7">
        <f>X9+SUM(X10:X18)</f>
        <v/>
      </c>
      <c r="Y19" s="7">
        <f>Y9+SUM(Y10:Y18)</f>
        <v/>
      </c>
      <c r="Z19" s="7">
        <f>Z9+SUM(Z10:Z18)</f>
        <v/>
      </c>
      <c r="AA19" s="7">
        <f>AA9+SUM(AA10:AA18)</f>
        <v/>
      </c>
      <c r="AB19" s="7">
        <f>AB9+SUM(AB10:AB18)</f>
        <v/>
      </c>
      <c r="AC19" s="7">
        <f>AC9+SUM(AC10:AC18)</f>
        <v/>
      </c>
      <c r="AD19" s="7">
        <f>AD9+SUM(AD10:AD18)</f>
        <v/>
      </c>
    </row>
    <row r="20">
      <c r="A20" s="3" t="inlineStr">
        <is>
          <t>Accounts Payable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9">
        <f>'QTR P&amp;L'!R3*'BS DRIVERS'!O18/ASSUMPTIONS!$B$2</f>
        <v/>
      </c>
      <c r="P20" s="9">
        <f>'QTR P&amp;L'!S3*'BS DRIVERS'!P18/ASSUMPTIONS!$B$2</f>
        <v/>
      </c>
      <c r="Q20" s="9">
        <f>'QTR P&amp;L'!T3*'BS DRIVERS'!Q18/ASSUMPTIONS!$B$2</f>
        <v/>
      </c>
      <c r="R20" s="9">
        <f>'QTR P&amp;L'!U3*'BS DRIVERS'!R18/ASSUMPTIONS!$B$2</f>
        <v/>
      </c>
      <c r="S20" s="9">
        <f>'QTR P&amp;L'!V3*'BS DRIVERS'!S18/ASSUMPTIONS!$B$2</f>
        <v/>
      </c>
      <c r="T20" s="9">
        <f>'QTR P&amp;L'!W3*'BS DRIVERS'!T18/ASSUMPTIONS!$B$2</f>
        <v/>
      </c>
      <c r="U20" s="9">
        <f>'QTR P&amp;L'!X3*'BS DRIVERS'!U18/ASSUMPTIONS!$B$2</f>
        <v/>
      </c>
      <c r="V20" s="9">
        <f>'QTR P&amp;L'!Y3*'BS DRIVERS'!V18/ASSUMPTIONS!$B$2</f>
        <v/>
      </c>
      <c r="W20" s="9">
        <f>'QTR P&amp;L'!Z3*'BS DRIVERS'!W18/ASSUMPTIONS!$B$2</f>
        <v/>
      </c>
      <c r="X20" s="9">
        <f>'QTR P&amp;L'!AA3*'BS DRIVERS'!X18/ASSUMPTIONS!$B$2</f>
        <v/>
      </c>
      <c r="Y20" s="9">
        <f>'QTR P&amp;L'!AB3*'BS DRIVERS'!Y18/ASSUMPTIONS!$B$2</f>
        <v/>
      </c>
      <c r="Z20" s="9">
        <f>'QTR P&amp;L'!AC3*'BS DRIVERS'!Z18/ASSUMPTIONS!$B$2</f>
        <v/>
      </c>
      <c r="AA20" s="9">
        <f>'QTR P&amp;L'!AD3*'BS DRIVERS'!AA18/ASSUMPTIONS!$B$2</f>
        <v/>
      </c>
      <c r="AB20" s="9">
        <f>'QTR P&amp;L'!AE3*'BS DRIVERS'!AB18/ASSUMPTIONS!$B$2</f>
        <v/>
      </c>
      <c r="AC20" s="9">
        <f>'QTR P&amp;L'!AF3*'BS DRIVERS'!AC18/ASSUMPTIONS!$B$2</f>
        <v/>
      </c>
      <c r="AD20" s="9">
        <f>'QTR P&amp;L'!AG3*'BS DRIVERS'!AD18/ASSUMPTIONS!$B$2</f>
        <v/>
      </c>
    </row>
    <row r="21">
      <c r="A21" s="3" t="inlineStr">
        <is>
          <t>Accrued Expenses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9">
        <f>'QTR P&amp;L'!R2*'BS DRIVERS'!O19</f>
        <v/>
      </c>
      <c r="P21" s="9">
        <f>'QTR P&amp;L'!S2*'BS DRIVERS'!P19</f>
        <v/>
      </c>
      <c r="Q21" s="9">
        <f>'QTR P&amp;L'!T2*'BS DRIVERS'!Q19</f>
        <v/>
      </c>
      <c r="R21" s="9">
        <f>'QTR P&amp;L'!U2*'BS DRIVERS'!R19</f>
        <v/>
      </c>
      <c r="S21" s="9">
        <f>'QTR P&amp;L'!V2*'BS DRIVERS'!S19</f>
        <v/>
      </c>
      <c r="T21" s="9">
        <f>'QTR P&amp;L'!W2*'BS DRIVERS'!T19</f>
        <v/>
      </c>
      <c r="U21" s="9">
        <f>'QTR P&amp;L'!X2*'BS DRIVERS'!U19</f>
        <v/>
      </c>
      <c r="V21" s="9">
        <f>'QTR P&amp;L'!Y2*'BS DRIVERS'!V19</f>
        <v/>
      </c>
      <c r="W21" s="9">
        <f>'QTR P&amp;L'!Z2*'BS DRIVERS'!W19</f>
        <v/>
      </c>
      <c r="X21" s="9">
        <f>'QTR P&amp;L'!AA2*'BS DRIVERS'!X19</f>
        <v/>
      </c>
      <c r="Y21" s="9">
        <f>'QTR P&amp;L'!AB2*'BS DRIVERS'!Y19</f>
        <v/>
      </c>
      <c r="Z21" s="9">
        <f>'QTR P&amp;L'!AC2*'BS DRIVERS'!Z19</f>
        <v/>
      </c>
      <c r="AA21" s="9">
        <f>'QTR P&amp;L'!AD2*'BS DRIVERS'!AA19</f>
        <v/>
      </c>
      <c r="AB21" s="9">
        <f>'QTR P&amp;L'!AE2*'BS DRIVERS'!AB19</f>
        <v/>
      </c>
      <c r="AC21" s="9">
        <f>'QTR P&amp;L'!AF2*'BS DRIVERS'!AC19</f>
        <v/>
      </c>
      <c r="AD21" s="9">
        <f>'QTR P&amp;L'!AG2*'BS DRIVERS'!AD19</f>
        <v/>
      </c>
    </row>
    <row r="22">
      <c r="A22" s="3" t="inlineStr">
        <is>
          <t>Income Taxes Payable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9">
        <f>'QTR P&amp;L'!R2*'BS DRIVERS'!O20</f>
        <v/>
      </c>
      <c r="P22" s="9">
        <f>'QTR P&amp;L'!S2*'BS DRIVERS'!P20</f>
        <v/>
      </c>
      <c r="Q22" s="9">
        <f>'QTR P&amp;L'!T2*'BS DRIVERS'!Q20</f>
        <v/>
      </c>
      <c r="R22" s="9">
        <f>'QTR P&amp;L'!U2*'BS DRIVERS'!R20</f>
        <v/>
      </c>
      <c r="S22" s="9">
        <f>'QTR P&amp;L'!V2*'BS DRIVERS'!S20</f>
        <v/>
      </c>
      <c r="T22" s="9">
        <f>'QTR P&amp;L'!W2*'BS DRIVERS'!T20</f>
        <v/>
      </c>
      <c r="U22" s="9">
        <f>'QTR P&amp;L'!X2*'BS DRIVERS'!U20</f>
        <v/>
      </c>
      <c r="V22" s="9">
        <f>'QTR P&amp;L'!Y2*'BS DRIVERS'!V20</f>
        <v/>
      </c>
      <c r="W22" s="9">
        <f>'QTR P&amp;L'!Z2*'BS DRIVERS'!W20</f>
        <v/>
      </c>
      <c r="X22" s="9">
        <f>'QTR P&amp;L'!AA2*'BS DRIVERS'!X20</f>
        <v/>
      </c>
      <c r="Y22" s="9">
        <f>'QTR P&amp;L'!AB2*'BS DRIVERS'!Y20</f>
        <v/>
      </c>
      <c r="Z22" s="9">
        <f>'QTR P&amp;L'!AC2*'BS DRIVERS'!Z20</f>
        <v/>
      </c>
      <c r="AA22" s="9">
        <f>'QTR P&amp;L'!AD2*'BS DRIVERS'!AA20</f>
        <v/>
      </c>
      <c r="AB22" s="9">
        <f>'QTR P&amp;L'!AE2*'BS DRIVERS'!AB20</f>
        <v/>
      </c>
      <c r="AC22" s="9">
        <f>'QTR P&amp;L'!AF2*'BS DRIVERS'!AC20</f>
        <v/>
      </c>
      <c r="AD22" s="9">
        <f>'QTR P&amp;L'!AG2*'BS DRIVERS'!AD20</f>
        <v/>
      </c>
    </row>
    <row r="23">
      <c r="A23" s="3" t="inlineStr">
        <is>
          <t>Accrued Distributor Termination Fees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9">
        <f>'BS DRIVERS'!O21</f>
        <v/>
      </c>
      <c r="P23" s="9">
        <f>'BS DRIVERS'!P21</f>
        <v/>
      </c>
      <c r="Q23" s="9">
        <f>'BS DRIVERS'!Q21</f>
        <v/>
      </c>
      <c r="R23" s="9">
        <f>'BS DRIVERS'!R21</f>
        <v/>
      </c>
      <c r="S23" s="9">
        <f>'BS DRIVERS'!S21</f>
        <v/>
      </c>
      <c r="T23" s="9">
        <f>'BS DRIVERS'!T21</f>
        <v/>
      </c>
      <c r="U23" s="9">
        <f>'BS DRIVERS'!U21</f>
        <v/>
      </c>
      <c r="V23" s="9">
        <f>'BS DRIVERS'!V21</f>
        <v/>
      </c>
      <c r="W23" s="9">
        <f>'BS DRIVERS'!W21</f>
        <v/>
      </c>
      <c r="X23" s="9">
        <f>'BS DRIVERS'!X21</f>
        <v/>
      </c>
      <c r="Y23" s="9">
        <f>'BS DRIVERS'!Y21</f>
        <v/>
      </c>
      <c r="Z23" s="9">
        <f>'BS DRIVERS'!Z21</f>
        <v/>
      </c>
      <c r="AA23" s="9">
        <f>'BS DRIVERS'!AA21</f>
        <v/>
      </c>
      <c r="AB23" s="9">
        <f>'BS DRIVERS'!AB21</f>
        <v/>
      </c>
      <c r="AC23" s="9">
        <f>'BS DRIVERS'!AC21</f>
        <v/>
      </c>
      <c r="AD23" s="9">
        <f>'BS DRIVERS'!AD21</f>
        <v/>
      </c>
    </row>
    <row r="24">
      <c r="A24" s="3" t="inlineStr">
        <is>
          <t>Accrued Promotional Allowance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9">
        <f>'QTR P&amp;L'!R2*'BS DRIVERS'!O22</f>
        <v/>
      </c>
      <c r="P24" s="9">
        <f>'QTR P&amp;L'!S2*'BS DRIVERS'!P22</f>
        <v/>
      </c>
      <c r="Q24" s="9">
        <f>'QTR P&amp;L'!T2*'BS DRIVERS'!Q22</f>
        <v/>
      </c>
      <c r="R24" s="9">
        <f>'QTR P&amp;L'!U2*'BS DRIVERS'!R22</f>
        <v/>
      </c>
      <c r="S24" s="9">
        <f>'QTR P&amp;L'!V2*'BS DRIVERS'!S22</f>
        <v/>
      </c>
      <c r="T24" s="9">
        <f>'QTR P&amp;L'!W2*'BS DRIVERS'!T22</f>
        <v/>
      </c>
      <c r="U24" s="9">
        <f>'QTR P&amp;L'!X2*'BS DRIVERS'!U22</f>
        <v/>
      </c>
      <c r="V24" s="9">
        <f>'QTR P&amp;L'!Y2*'BS DRIVERS'!V22</f>
        <v/>
      </c>
      <c r="W24" s="9">
        <f>'QTR P&amp;L'!Z2*'BS DRIVERS'!W22</f>
        <v/>
      </c>
      <c r="X24" s="9">
        <f>'QTR P&amp;L'!AA2*'BS DRIVERS'!X22</f>
        <v/>
      </c>
      <c r="Y24" s="9">
        <f>'QTR P&amp;L'!AB2*'BS DRIVERS'!Y22</f>
        <v/>
      </c>
      <c r="Z24" s="9">
        <f>'QTR P&amp;L'!AC2*'BS DRIVERS'!Z22</f>
        <v/>
      </c>
      <c r="AA24" s="9">
        <f>'QTR P&amp;L'!AD2*'BS DRIVERS'!AA22</f>
        <v/>
      </c>
      <c r="AB24" s="9">
        <f>'QTR P&amp;L'!AE2*'BS DRIVERS'!AB22</f>
        <v/>
      </c>
      <c r="AC24" s="9">
        <f>'QTR P&amp;L'!AF2*'BS DRIVERS'!AC22</f>
        <v/>
      </c>
      <c r="AD24" s="9">
        <f>'QTR P&amp;L'!AG2*'BS DRIVERS'!AD22</f>
        <v/>
      </c>
    </row>
    <row r="25">
      <c r="A25" s="3" t="inlineStr">
        <is>
          <t>Lease Liability - Operating - Current</t>
        </is>
      </c>
      <c r="B25" s="4">
        <f>'BALANCE SHEET'!B25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SHEET'!C25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SHEET'!D25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SHEET'!E25</f>
        <v/>
      </c>
      <c r="O25" s="9">
        <f>'QTR P&amp;L'!R2*'BS DRIVERS'!O23</f>
        <v/>
      </c>
      <c r="P25" s="9">
        <f>'QTR P&amp;L'!S2*'BS DRIVERS'!P23</f>
        <v/>
      </c>
      <c r="Q25" s="9">
        <f>'QTR P&amp;L'!T2*'BS DRIVERS'!Q23</f>
        <v/>
      </c>
      <c r="R25" s="9">
        <f>'QTR P&amp;L'!U2*'BS DRIVERS'!R23</f>
        <v/>
      </c>
      <c r="S25" s="9">
        <f>'QTR P&amp;L'!V2*'BS DRIVERS'!S23</f>
        <v/>
      </c>
      <c r="T25" s="9">
        <f>'QTR P&amp;L'!W2*'BS DRIVERS'!T23</f>
        <v/>
      </c>
      <c r="U25" s="9">
        <f>'QTR P&amp;L'!X2*'BS DRIVERS'!U23</f>
        <v/>
      </c>
      <c r="V25" s="9">
        <f>'QTR P&amp;L'!Y2*'BS DRIVERS'!V23</f>
        <v/>
      </c>
      <c r="W25" s="9">
        <f>'QTR P&amp;L'!Z2*'BS DRIVERS'!W23</f>
        <v/>
      </c>
      <c r="X25" s="9">
        <f>'QTR P&amp;L'!AA2*'BS DRIVERS'!X23</f>
        <v/>
      </c>
      <c r="Y25" s="9">
        <f>'QTR P&amp;L'!AB2*'BS DRIVERS'!Y23</f>
        <v/>
      </c>
      <c r="Z25" s="9">
        <f>'QTR P&amp;L'!AC2*'BS DRIVERS'!Z23</f>
        <v/>
      </c>
      <c r="AA25" s="9">
        <f>'QTR P&amp;L'!AD2*'BS DRIVERS'!AA23</f>
        <v/>
      </c>
      <c r="AB25" s="9">
        <f>'QTR P&amp;L'!AE2*'BS DRIVERS'!AB23</f>
        <v/>
      </c>
      <c r="AC25" s="9">
        <f>'QTR P&amp;L'!AF2*'BS DRIVERS'!AC23</f>
        <v/>
      </c>
      <c r="AD25" s="9">
        <f>'QTR P&amp;L'!AG2*'BS DRIVERS'!AD23</f>
        <v/>
      </c>
    </row>
    <row r="26">
      <c r="A26" s="3" t="inlineStr">
        <is>
          <t>Lease Liability - Finance - Current</t>
        </is>
      </c>
      <c r="B26" s="4">
        <f>'BALANCE SHEET'!B26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SHEET'!C26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SHEET'!D26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SHEET'!E26</f>
        <v/>
      </c>
      <c r="O26" s="9">
        <f>'QTR P&amp;L'!R2*'BS DRIVERS'!O24</f>
        <v/>
      </c>
      <c r="P26" s="9">
        <f>'QTR P&amp;L'!S2*'BS DRIVERS'!P24</f>
        <v/>
      </c>
      <c r="Q26" s="9">
        <f>'QTR P&amp;L'!T2*'BS DRIVERS'!Q24</f>
        <v/>
      </c>
      <c r="R26" s="9">
        <f>'QTR P&amp;L'!U2*'BS DRIVERS'!R24</f>
        <v/>
      </c>
      <c r="S26" s="9">
        <f>'QTR P&amp;L'!V2*'BS DRIVERS'!S24</f>
        <v/>
      </c>
      <c r="T26" s="9">
        <f>'QTR P&amp;L'!W2*'BS DRIVERS'!T24</f>
        <v/>
      </c>
      <c r="U26" s="9">
        <f>'QTR P&amp;L'!X2*'BS DRIVERS'!U24</f>
        <v/>
      </c>
      <c r="V26" s="9">
        <f>'QTR P&amp;L'!Y2*'BS DRIVERS'!V24</f>
        <v/>
      </c>
      <c r="W26" s="9">
        <f>'QTR P&amp;L'!Z2*'BS DRIVERS'!W24</f>
        <v/>
      </c>
      <c r="X26" s="9">
        <f>'QTR P&amp;L'!AA2*'BS DRIVERS'!X24</f>
        <v/>
      </c>
      <c r="Y26" s="9">
        <f>'QTR P&amp;L'!AB2*'BS DRIVERS'!Y24</f>
        <v/>
      </c>
      <c r="Z26" s="9">
        <f>'QTR P&amp;L'!AC2*'BS DRIVERS'!Z24</f>
        <v/>
      </c>
      <c r="AA26" s="9">
        <f>'QTR P&amp;L'!AD2*'BS DRIVERS'!AA24</f>
        <v/>
      </c>
      <c r="AB26" s="9">
        <f>'QTR P&amp;L'!AE2*'BS DRIVERS'!AB24</f>
        <v/>
      </c>
      <c r="AC26" s="9">
        <f>'QTR P&amp;L'!AF2*'BS DRIVERS'!AC24</f>
        <v/>
      </c>
      <c r="AD26" s="9">
        <f>'QTR P&amp;L'!AG2*'BS DRIVERS'!AD24</f>
        <v/>
      </c>
    </row>
    <row r="27">
      <c r="A27" s="3" t="inlineStr">
        <is>
          <t>Contingent Consideration - Current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9">
        <f>'QTR P&amp;L'!R2*'BS DRIVERS'!O25</f>
        <v/>
      </c>
      <c r="P27" s="9">
        <f>'QTR P&amp;L'!S2*'BS DRIVERS'!P25</f>
        <v/>
      </c>
      <c r="Q27" s="9">
        <f>'QTR P&amp;L'!T2*'BS DRIVERS'!Q25</f>
        <v/>
      </c>
      <c r="R27" s="9">
        <f>'QTR P&amp;L'!U2*'BS DRIVERS'!R25</f>
        <v/>
      </c>
      <c r="S27" s="9">
        <f>'QTR P&amp;L'!V2*'BS DRIVERS'!S25</f>
        <v/>
      </c>
      <c r="T27" s="9">
        <f>'QTR P&amp;L'!W2*'BS DRIVERS'!T25</f>
        <v/>
      </c>
      <c r="U27" s="9">
        <f>'QTR P&amp;L'!X2*'BS DRIVERS'!U25</f>
        <v/>
      </c>
      <c r="V27" s="9">
        <f>'QTR P&amp;L'!Y2*'BS DRIVERS'!V25</f>
        <v/>
      </c>
      <c r="W27" s="9">
        <f>'QTR P&amp;L'!Z2*'BS DRIVERS'!W25</f>
        <v/>
      </c>
      <c r="X27" s="9">
        <f>'QTR P&amp;L'!AA2*'BS DRIVERS'!X25</f>
        <v/>
      </c>
      <c r="Y27" s="9">
        <f>'QTR P&amp;L'!AB2*'BS DRIVERS'!Y25</f>
        <v/>
      </c>
      <c r="Z27" s="9">
        <f>'QTR P&amp;L'!AC2*'BS DRIVERS'!Z25</f>
        <v/>
      </c>
      <c r="AA27" s="9">
        <f>'QTR P&amp;L'!AD2*'BS DRIVERS'!AA25</f>
        <v/>
      </c>
      <c r="AB27" s="9">
        <f>'QTR P&amp;L'!AE2*'BS DRIVERS'!AB25</f>
        <v/>
      </c>
      <c r="AC27" s="9">
        <f>'QTR P&amp;L'!AF2*'BS DRIVERS'!AC25</f>
        <v/>
      </c>
      <c r="AD27" s="9">
        <f>'QTR P&amp;L'!AG2*'BS DRIVERS'!AD25</f>
        <v/>
      </c>
    </row>
    <row r="28">
      <c r="A28" s="3" t="inlineStr">
        <is>
          <t>Deferred Revenue - Current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  <c r="O28" s="9">
        <f>'QTR P&amp;L'!R2*'BS DRIVERS'!O26</f>
        <v/>
      </c>
      <c r="P28" s="9">
        <f>'QTR P&amp;L'!S2*'BS DRIVERS'!P26</f>
        <v/>
      </c>
      <c r="Q28" s="9">
        <f>'QTR P&amp;L'!T2*'BS DRIVERS'!Q26</f>
        <v/>
      </c>
      <c r="R28" s="9">
        <f>'QTR P&amp;L'!U2*'BS DRIVERS'!R26</f>
        <v/>
      </c>
      <c r="S28" s="9">
        <f>'QTR P&amp;L'!V2*'BS DRIVERS'!S26</f>
        <v/>
      </c>
      <c r="T28" s="9">
        <f>'QTR P&amp;L'!W2*'BS DRIVERS'!T26</f>
        <v/>
      </c>
      <c r="U28" s="9">
        <f>'QTR P&amp;L'!X2*'BS DRIVERS'!U26</f>
        <v/>
      </c>
      <c r="V28" s="9">
        <f>'QTR P&amp;L'!Y2*'BS DRIVERS'!V26</f>
        <v/>
      </c>
      <c r="W28" s="9">
        <f>'QTR P&amp;L'!Z2*'BS DRIVERS'!W26</f>
        <v/>
      </c>
      <c r="X28" s="9">
        <f>'QTR P&amp;L'!AA2*'BS DRIVERS'!X26</f>
        <v/>
      </c>
      <c r="Y28" s="9">
        <f>'QTR P&amp;L'!AB2*'BS DRIVERS'!Y26</f>
        <v/>
      </c>
      <c r="Z28" s="9">
        <f>'QTR P&amp;L'!AC2*'BS DRIVERS'!Z26</f>
        <v/>
      </c>
      <c r="AA28" s="9">
        <f>'QTR P&amp;L'!AD2*'BS DRIVERS'!AA26</f>
        <v/>
      </c>
      <c r="AB28" s="9">
        <f>'QTR P&amp;L'!AE2*'BS DRIVERS'!AB26</f>
        <v/>
      </c>
      <c r="AC28" s="9">
        <f>'QTR P&amp;L'!AF2*'BS DRIVERS'!AC26</f>
        <v/>
      </c>
      <c r="AD28" s="9">
        <f>'QTR P&amp;L'!AG2*'BS DRIVERS'!AD26</f>
        <v/>
      </c>
    </row>
    <row r="29">
      <c r="A29" s="3" t="inlineStr">
        <is>
          <t>Other Current Liabilities</t>
        </is>
      </c>
      <c r="B29" s="4">
        <f>'BALANCE SHEET'!B29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SHEET'!C29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SHEET'!D29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SHEET'!E29</f>
        <v/>
      </c>
      <c r="O29" s="9">
        <f>'QTR P&amp;L'!R2*'BS DRIVERS'!O27</f>
        <v/>
      </c>
      <c r="P29" s="9">
        <f>'QTR P&amp;L'!S2*'BS DRIVERS'!P27</f>
        <v/>
      </c>
      <c r="Q29" s="9">
        <f>'QTR P&amp;L'!T2*'BS DRIVERS'!Q27</f>
        <v/>
      </c>
      <c r="R29" s="9">
        <f>'QTR P&amp;L'!U2*'BS DRIVERS'!R27</f>
        <v/>
      </c>
      <c r="S29" s="9">
        <f>'QTR P&amp;L'!V2*'BS DRIVERS'!S27</f>
        <v/>
      </c>
      <c r="T29" s="9">
        <f>'QTR P&amp;L'!W2*'BS DRIVERS'!T27</f>
        <v/>
      </c>
      <c r="U29" s="9">
        <f>'QTR P&amp;L'!X2*'BS DRIVERS'!U27</f>
        <v/>
      </c>
      <c r="V29" s="9">
        <f>'QTR P&amp;L'!Y2*'BS DRIVERS'!V27</f>
        <v/>
      </c>
      <c r="W29" s="9">
        <f>'QTR P&amp;L'!Z2*'BS DRIVERS'!W27</f>
        <v/>
      </c>
      <c r="X29" s="9">
        <f>'QTR P&amp;L'!AA2*'BS DRIVERS'!X27</f>
        <v/>
      </c>
      <c r="Y29" s="9">
        <f>'QTR P&amp;L'!AB2*'BS DRIVERS'!Y27</f>
        <v/>
      </c>
      <c r="Z29" s="9">
        <f>'QTR P&amp;L'!AC2*'BS DRIVERS'!Z27</f>
        <v/>
      </c>
      <c r="AA29" s="9">
        <f>'QTR P&amp;L'!AD2*'BS DRIVERS'!AA27</f>
        <v/>
      </c>
      <c r="AB29" s="9">
        <f>'QTR P&amp;L'!AE2*'BS DRIVERS'!AB27</f>
        <v/>
      </c>
      <c r="AC29" s="9">
        <f>'QTR P&amp;L'!AF2*'BS DRIVERS'!AC27</f>
        <v/>
      </c>
      <c r="AD29" s="9">
        <f>'QTR P&amp;L'!AG2*'BS DRIVERS'!AD27</f>
        <v/>
      </c>
    </row>
    <row r="30">
      <c r="A30" s="3" t="inlineStr">
        <is>
          <t>Total Current Liabilities</t>
        </is>
      </c>
      <c r="B30" s="6">
        <f>'BALANCE SHEET'!B30</f>
        <v/>
      </c>
      <c r="C30" s="6">
        <f>'YTD BS'!C30</f>
        <v/>
      </c>
      <c r="D30" s="6">
        <f>'YTD BS'!D30</f>
        <v/>
      </c>
      <c r="E30" s="6">
        <f>'YTD BS'!E30</f>
        <v/>
      </c>
      <c r="F30" s="6">
        <f>'BALANCE SHEET'!C30</f>
        <v/>
      </c>
      <c r="G30" s="6">
        <f>'YTD BS'!G30</f>
        <v/>
      </c>
      <c r="H30" s="6">
        <f>'YTD BS'!H30</f>
        <v/>
      </c>
      <c r="I30" s="6">
        <f>'YTD BS'!I30</f>
        <v/>
      </c>
      <c r="J30" s="6">
        <f>'BALANCE SHEET'!D30</f>
        <v/>
      </c>
      <c r="K30" s="6">
        <f>'YTD BS'!K30</f>
        <v/>
      </c>
      <c r="L30" s="6">
        <f>'YTD BS'!L30</f>
        <v/>
      </c>
      <c r="M30" s="6">
        <f>'YTD BS'!M30</f>
        <v/>
      </c>
      <c r="N30" s="6">
        <f>'BALANCE SHEET'!E30</f>
        <v/>
      </c>
      <c r="O30" s="7">
        <f>SUM(O20:O29)</f>
        <v/>
      </c>
      <c r="P30" s="7">
        <f>SUM(P20:P29)</f>
        <v/>
      </c>
      <c r="Q30" s="7">
        <f>SUM(Q20:Q29)</f>
        <v/>
      </c>
      <c r="R30" s="7">
        <f>SUM(R20:R29)</f>
        <v/>
      </c>
      <c r="S30" s="7">
        <f>SUM(S20:S29)</f>
        <v/>
      </c>
      <c r="T30" s="7">
        <f>SUM(T20:T29)</f>
        <v/>
      </c>
      <c r="U30" s="7">
        <f>SUM(U20:U29)</f>
        <v/>
      </c>
      <c r="V30" s="7">
        <f>SUM(V20:V29)</f>
        <v/>
      </c>
      <c r="W30" s="7">
        <f>SUM(W20:W29)</f>
        <v/>
      </c>
      <c r="X30" s="7">
        <f>SUM(X20:X29)</f>
        <v/>
      </c>
      <c r="Y30" s="7">
        <f>SUM(Y20:Y29)</f>
        <v/>
      </c>
      <c r="Z30" s="7">
        <f>SUM(Z20:Z29)</f>
        <v/>
      </c>
      <c r="AA30" s="7">
        <f>SUM(AA20:AA29)</f>
        <v/>
      </c>
      <c r="AB30" s="7">
        <f>SUM(AB20:AB29)</f>
        <v/>
      </c>
      <c r="AC30" s="7">
        <f>SUM(AC20:AC29)</f>
        <v/>
      </c>
      <c r="AD30" s="7">
        <f>SUM(AD20:AD29)</f>
        <v/>
      </c>
    </row>
    <row r="31">
      <c r="A31" s="3" t="inlineStr">
        <is>
          <t>Lease Liability - Operating - Non-Current</t>
        </is>
      </c>
      <c r="B31" s="4">
        <f>'BALANCE SHEET'!B31</f>
        <v/>
      </c>
      <c r="C31" s="4">
        <f>'YTD BS'!C31</f>
        <v/>
      </c>
      <c r="D31" s="4">
        <f>'YTD BS'!D31</f>
        <v/>
      </c>
      <c r="E31" s="4">
        <f>'YTD BS'!E31</f>
        <v/>
      </c>
      <c r="F31" s="4">
        <f>'BALANCE SHEET'!C31</f>
        <v/>
      </c>
      <c r="G31" s="4">
        <f>'YTD BS'!G31</f>
        <v/>
      </c>
      <c r="H31" s="4">
        <f>'YTD BS'!H31</f>
        <v/>
      </c>
      <c r="I31" s="4">
        <f>'YTD BS'!I31</f>
        <v/>
      </c>
      <c r="J31" s="4">
        <f>'BALANCE SHEET'!D31</f>
        <v/>
      </c>
      <c r="K31" s="4">
        <f>'YTD BS'!K31</f>
        <v/>
      </c>
      <c r="L31" s="4">
        <f>'YTD BS'!L31</f>
        <v/>
      </c>
      <c r="M31" s="4">
        <f>'YTD BS'!M31</f>
        <v/>
      </c>
      <c r="N31" s="4">
        <f>'BALANCE SHEET'!E31</f>
        <v/>
      </c>
      <c r="O31" s="9">
        <f>'QTR P&amp;L'!R2*'BS DRIVERS'!O28</f>
        <v/>
      </c>
      <c r="P31" s="9">
        <f>'QTR P&amp;L'!S2*'BS DRIVERS'!P28</f>
        <v/>
      </c>
      <c r="Q31" s="9">
        <f>'QTR P&amp;L'!T2*'BS DRIVERS'!Q28</f>
        <v/>
      </c>
      <c r="R31" s="9">
        <f>'QTR P&amp;L'!U2*'BS DRIVERS'!R28</f>
        <v/>
      </c>
      <c r="S31" s="9">
        <f>'QTR P&amp;L'!V2*'BS DRIVERS'!S28</f>
        <v/>
      </c>
      <c r="T31" s="9">
        <f>'QTR P&amp;L'!W2*'BS DRIVERS'!T28</f>
        <v/>
      </c>
      <c r="U31" s="9">
        <f>'QTR P&amp;L'!X2*'BS DRIVERS'!U28</f>
        <v/>
      </c>
      <c r="V31" s="9">
        <f>'QTR P&amp;L'!Y2*'BS DRIVERS'!V28</f>
        <v/>
      </c>
      <c r="W31" s="9">
        <f>'QTR P&amp;L'!Z2*'BS DRIVERS'!W28</f>
        <v/>
      </c>
      <c r="X31" s="9">
        <f>'QTR P&amp;L'!AA2*'BS DRIVERS'!X28</f>
        <v/>
      </c>
      <c r="Y31" s="9">
        <f>'QTR P&amp;L'!AB2*'BS DRIVERS'!Y28</f>
        <v/>
      </c>
      <c r="Z31" s="9">
        <f>'QTR P&amp;L'!AC2*'BS DRIVERS'!Z28</f>
        <v/>
      </c>
      <c r="AA31" s="9">
        <f>'QTR P&amp;L'!AD2*'BS DRIVERS'!AA28</f>
        <v/>
      </c>
      <c r="AB31" s="9">
        <f>'QTR P&amp;L'!AE2*'BS DRIVERS'!AB28</f>
        <v/>
      </c>
      <c r="AC31" s="9">
        <f>'QTR P&amp;L'!AF2*'BS DRIVERS'!AC28</f>
        <v/>
      </c>
      <c r="AD31" s="9">
        <f>'QTR P&amp;L'!AG2*'BS DRIVERS'!AD28</f>
        <v/>
      </c>
    </row>
    <row r="32">
      <c r="A32" s="3" t="inlineStr">
        <is>
          <t>Lease Liability - Finance - Non-Current</t>
        </is>
      </c>
      <c r="B32" s="4">
        <f>'BALANCE SHEET'!B32</f>
        <v/>
      </c>
      <c r="C32" s="4">
        <f>'YTD BS'!C32</f>
        <v/>
      </c>
      <c r="D32" s="4">
        <f>'YTD BS'!D32</f>
        <v/>
      </c>
      <c r="E32" s="4">
        <f>'YTD BS'!E32</f>
        <v/>
      </c>
      <c r="F32" s="4">
        <f>'BALANCE SHEET'!C32</f>
        <v/>
      </c>
      <c r="G32" s="4">
        <f>'YTD BS'!G32</f>
        <v/>
      </c>
      <c r="H32" s="4">
        <f>'YTD BS'!H32</f>
        <v/>
      </c>
      <c r="I32" s="4">
        <f>'YTD BS'!I32</f>
        <v/>
      </c>
      <c r="J32" s="4">
        <f>'BALANCE SHEET'!D32</f>
        <v/>
      </c>
      <c r="K32" s="4">
        <f>'YTD BS'!K32</f>
        <v/>
      </c>
      <c r="L32" s="4">
        <f>'YTD BS'!L32</f>
        <v/>
      </c>
      <c r="M32" s="4">
        <f>'YTD BS'!M32</f>
        <v/>
      </c>
      <c r="N32" s="4">
        <f>'BALANCE SHEET'!E32</f>
        <v/>
      </c>
      <c r="O32" s="9">
        <f>'QTR P&amp;L'!R2*'BS DRIVERS'!O29</f>
        <v/>
      </c>
      <c r="P32" s="9">
        <f>'QTR P&amp;L'!S2*'BS DRIVERS'!P29</f>
        <v/>
      </c>
      <c r="Q32" s="9">
        <f>'QTR P&amp;L'!T2*'BS DRIVERS'!Q29</f>
        <v/>
      </c>
      <c r="R32" s="9">
        <f>'QTR P&amp;L'!U2*'BS DRIVERS'!R29</f>
        <v/>
      </c>
      <c r="S32" s="9">
        <f>'QTR P&amp;L'!V2*'BS DRIVERS'!S29</f>
        <v/>
      </c>
      <c r="T32" s="9">
        <f>'QTR P&amp;L'!W2*'BS DRIVERS'!T29</f>
        <v/>
      </c>
      <c r="U32" s="9">
        <f>'QTR P&amp;L'!X2*'BS DRIVERS'!U29</f>
        <v/>
      </c>
      <c r="V32" s="9">
        <f>'QTR P&amp;L'!Y2*'BS DRIVERS'!V29</f>
        <v/>
      </c>
      <c r="W32" s="9">
        <f>'QTR P&amp;L'!Z2*'BS DRIVERS'!W29</f>
        <v/>
      </c>
      <c r="X32" s="9">
        <f>'QTR P&amp;L'!AA2*'BS DRIVERS'!X29</f>
        <v/>
      </c>
      <c r="Y32" s="9">
        <f>'QTR P&amp;L'!AB2*'BS DRIVERS'!Y29</f>
        <v/>
      </c>
      <c r="Z32" s="9">
        <f>'QTR P&amp;L'!AC2*'BS DRIVERS'!Z29</f>
        <v/>
      </c>
      <c r="AA32" s="9">
        <f>'QTR P&amp;L'!AD2*'BS DRIVERS'!AA29</f>
        <v/>
      </c>
      <c r="AB32" s="9">
        <f>'QTR P&amp;L'!AE2*'BS DRIVERS'!AB29</f>
        <v/>
      </c>
      <c r="AC32" s="9">
        <f>'QTR P&amp;L'!AF2*'BS DRIVERS'!AC29</f>
        <v/>
      </c>
      <c r="AD32" s="9">
        <f>'QTR P&amp;L'!AG2*'BS DRIVERS'!AD29</f>
        <v/>
      </c>
    </row>
    <row r="33">
      <c r="A33" s="3" t="inlineStr">
        <is>
          <t>Deferred Tax Liability</t>
        </is>
      </c>
      <c r="B33" s="4">
        <f>'BALANCE SHEET'!B33</f>
        <v/>
      </c>
      <c r="C33" s="4">
        <f>'YTD BS'!C33</f>
        <v/>
      </c>
      <c r="D33" s="4">
        <f>'YTD BS'!D33</f>
        <v/>
      </c>
      <c r="E33" s="4">
        <f>'YTD BS'!E33</f>
        <v/>
      </c>
      <c r="F33" s="4">
        <f>'BALANCE SHEET'!C33</f>
        <v/>
      </c>
      <c r="G33" s="4">
        <f>'YTD BS'!G33</f>
        <v/>
      </c>
      <c r="H33" s="4">
        <f>'YTD BS'!H33</f>
        <v/>
      </c>
      <c r="I33" s="4">
        <f>'YTD BS'!I33</f>
        <v/>
      </c>
      <c r="J33" s="4">
        <f>'BALANCE SHEET'!D33</f>
        <v/>
      </c>
      <c r="K33" s="4">
        <f>'YTD BS'!K33</f>
        <v/>
      </c>
      <c r="L33" s="4">
        <f>'YTD BS'!L33</f>
        <v/>
      </c>
      <c r="M33" s="4">
        <f>'YTD BS'!M33</f>
        <v/>
      </c>
      <c r="N33" s="4">
        <f>'BALANCE SHEET'!E33</f>
        <v/>
      </c>
      <c r="O33" s="9">
        <f>'BS DRIVERS'!O30</f>
        <v/>
      </c>
      <c r="P33" s="9">
        <f>'BS DRIVERS'!P30</f>
        <v/>
      </c>
      <c r="Q33" s="9">
        <f>'BS DRIVERS'!Q30</f>
        <v/>
      </c>
      <c r="R33" s="9">
        <f>'BS DRIVERS'!R30</f>
        <v/>
      </c>
      <c r="S33" s="9">
        <f>'BS DRIVERS'!S30</f>
        <v/>
      </c>
      <c r="T33" s="9">
        <f>'BS DRIVERS'!T30</f>
        <v/>
      </c>
      <c r="U33" s="9">
        <f>'BS DRIVERS'!U30</f>
        <v/>
      </c>
      <c r="V33" s="9">
        <f>'BS DRIVERS'!V30</f>
        <v/>
      </c>
      <c r="W33" s="9">
        <f>'BS DRIVERS'!W30</f>
        <v/>
      </c>
      <c r="X33" s="9">
        <f>'BS DRIVERS'!X30</f>
        <v/>
      </c>
      <c r="Y33" s="9">
        <f>'BS DRIVERS'!Y30</f>
        <v/>
      </c>
      <c r="Z33" s="9">
        <f>'BS DRIVERS'!Z30</f>
        <v/>
      </c>
      <c r="AA33" s="9">
        <f>'BS DRIVERS'!AA30</f>
        <v/>
      </c>
      <c r="AB33" s="9">
        <f>'BS DRIVERS'!AB30</f>
        <v/>
      </c>
      <c r="AC33" s="9">
        <f>'BS DRIVERS'!AC30</f>
        <v/>
      </c>
      <c r="AD33" s="9">
        <f>'BS DRIVERS'!AD30</f>
        <v/>
      </c>
    </row>
    <row r="34">
      <c r="A34" s="3" t="inlineStr">
        <is>
          <t>Long-Term Debt</t>
        </is>
      </c>
      <c r="B34" s="4">
        <f>'BALANCE SHEET'!B34</f>
        <v/>
      </c>
      <c r="C34" s="4">
        <f>'YTD BS'!C34</f>
        <v/>
      </c>
      <c r="D34" s="4">
        <f>'YTD BS'!D34</f>
        <v/>
      </c>
      <c r="E34" s="4">
        <f>'YTD BS'!E34</f>
        <v/>
      </c>
      <c r="F34" s="4">
        <f>'BALANCE SHEET'!C34</f>
        <v/>
      </c>
      <c r="G34" s="4">
        <f>'YTD BS'!G34</f>
        <v/>
      </c>
      <c r="H34" s="4">
        <f>'YTD BS'!H34</f>
        <v/>
      </c>
      <c r="I34" s="4">
        <f>'YTD BS'!I34</f>
        <v/>
      </c>
      <c r="J34" s="4">
        <f>'BALANCE SHEET'!D34</f>
        <v/>
      </c>
      <c r="K34" s="4">
        <f>'YTD BS'!K34</f>
        <v/>
      </c>
      <c r="L34" s="4">
        <f>'YTD BS'!L34</f>
        <v/>
      </c>
      <c r="M34" s="4">
        <f>'YTD BS'!M34</f>
        <v/>
      </c>
      <c r="N34" s="4">
        <f>'BALANCE SHEET'!E34</f>
        <v/>
      </c>
      <c r="O34" s="9">
        <f>'BS DRIVERS'!O31</f>
        <v/>
      </c>
      <c r="P34" s="9">
        <f>'BS DRIVERS'!P31</f>
        <v/>
      </c>
      <c r="Q34" s="9">
        <f>'BS DRIVERS'!Q31</f>
        <v/>
      </c>
      <c r="R34" s="9">
        <f>'BS DRIVERS'!R31</f>
        <v/>
      </c>
      <c r="S34" s="9">
        <f>'BS DRIVERS'!S31</f>
        <v/>
      </c>
      <c r="T34" s="9">
        <f>'BS DRIVERS'!T31</f>
        <v/>
      </c>
      <c r="U34" s="9">
        <f>'BS DRIVERS'!U31</f>
        <v/>
      </c>
      <c r="V34" s="9">
        <f>'BS DRIVERS'!V31</f>
        <v/>
      </c>
      <c r="W34" s="9">
        <f>'BS DRIVERS'!W31</f>
        <v/>
      </c>
      <c r="X34" s="9">
        <f>'BS DRIVERS'!X31</f>
        <v/>
      </c>
      <c r="Y34" s="9">
        <f>'BS DRIVERS'!Y31</f>
        <v/>
      </c>
      <c r="Z34" s="9">
        <f>'BS DRIVERS'!Z31</f>
        <v/>
      </c>
      <c r="AA34" s="9">
        <f>'BS DRIVERS'!AA31</f>
        <v/>
      </c>
      <c r="AB34" s="9">
        <f>'BS DRIVERS'!AB31</f>
        <v/>
      </c>
      <c r="AC34" s="9">
        <f>'BS DRIVERS'!AC31</f>
        <v/>
      </c>
      <c r="AD34" s="9">
        <f>'BS DRIVERS'!AD31</f>
        <v/>
      </c>
    </row>
    <row r="35">
      <c r="A35" s="3" t="inlineStr">
        <is>
          <t>Deferred Revenue - Non-Current</t>
        </is>
      </c>
      <c r="B35" s="4">
        <f>'BALANCE SHEET'!B35</f>
        <v/>
      </c>
      <c r="C35" s="4">
        <f>'YTD BS'!C35</f>
        <v/>
      </c>
      <c r="D35" s="4">
        <f>'YTD BS'!D35</f>
        <v/>
      </c>
      <c r="E35" s="4">
        <f>'YTD BS'!E35</f>
        <v/>
      </c>
      <c r="F35" s="4">
        <f>'BALANCE SHEET'!C35</f>
        <v/>
      </c>
      <c r="G35" s="4">
        <f>'YTD BS'!G35</f>
        <v/>
      </c>
      <c r="H35" s="4">
        <f>'YTD BS'!H35</f>
        <v/>
      </c>
      <c r="I35" s="4">
        <f>'YTD BS'!I35</f>
        <v/>
      </c>
      <c r="J35" s="4">
        <f>'BALANCE SHEET'!D35</f>
        <v/>
      </c>
      <c r="K35" s="4">
        <f>'YTD BS'!K35</f>
        <v/>
      </c>
      <c r="L35" s="4">
        <f>'YTD BS'!L35</f>
        <v/>
      </c>
      <c r="M35" s="4">
        <f>'YTD BS'!M35</f>
        <v/>
      </c>
      <c r="N35" s="4">
        <f>'BALANCE SHEET'!E35</f>
        <v/>
      </c>
      <c r="O35" s="9">
        <f>'QTR P&amp;L'!R2*'BS DRIVERS'!O32</f>
        <v/>
      </c>
      <c r="P35" s="9">
        <f>'QTR P&amp;L'!S2*'BS DRIVERS'!P32</f>
        <v/>
      </c>
      <c r="Q35" s="9">
        <f>'QTR P&amp;L'!T2*'BS DRIVERS'!Q32</f>
        <v/>
      </c>
      <c r="R35" s="9">
        <f>'QTR P&amp;L'!U2*'BS DRIVERS'!R32</f>
        <v/>
      </c>
      <c r="S35" s="9">
        <f>'QTR P&amp;L'!V2*'BS DRIVERS'!S32</f>
        <v/>
      </c>
      <c r="T35" s="9">
        <f>'QTR P&amp;L'!W2*'BS DRIVERS'!T32</f>
        <v/>
      </c>
      <c r="U35" s="9">
        <f>'QTR P&amp;L'!X2*'BS DRIVERS'!U32</f>
        <v/>
      </c>
      <c r="V35" s="9">
        <f>'QTR P&amp;L'!Y2*'BS DRIVERS'!V32</f>
        <v/>
      </c>
      <c r="W35" s="9">
        <f>'QTR P&amp;L'!Z2*'BS DRIVERS'!W32</f>
        <v/>
      </c>
      <c r="X35" s="9">
        <f>'QTR P&amp;L'!AA2*'BS DRIVERS'!X32</f>
        <v/>
      </c>
      <c r="Y35" s="9">
        <f>'QTR P&amp;L'!AB2*'BS DRIVERS'!Y32</f>
        <v/>
      </c>
      <c r="Z35" s="9">
        <f>'QTR P&amp;L'!AC2*'BS DRIVERS'!Z32</f>
        <v/>
      </c>
      <c r="AA35" s="9">
        <f>'QTR P&amp;L'!AD2*'BS DRIVERS'!AA32</f>
        <v/>
      </c>
      <c r="AB35" s="9">
        <f>'QTR P&amp;L'!AE2*'BS DRIVERS'!AB32</f>
        <v/>
      </c>
      <c r="AC35" s="9">
        <f>'QTR P&amp;L'!AF2*'BS DRIVERS'!AC32</f>
        <v/>
      </c>
      <c r="AD35" s="9">
        <f>'QTR P&amp;L'!AG2*'BS DRIVERS'!AD32</f>
        <v/>
      </c>
    </row>
    <row r="36">
      <c r="A36" s="3" t="inlineStr">
        <is>
          <t>Other Non-Current Liabilities</t>
        </is>
      </c>
      <c r="B36" s="4">
        <f>'BALANCE SHEET'!B36</f>
        <v/>
      </c>
      <c r="C36" s="4">
        <f>'YTD BS'!C36</f>
        <v/>
      </c>
      <c r="D36" s="4">
        <f>'YTD BS'!D36</f>
        <v/>
      </c>
      <c r="E36" s="4">
        <f>'YTD BS'!E36</f>
        <v/>
      </c>
      <c r="F36" s="4">
        <f>'BALANCE SHEET'!C36</f>
        <v/>
      </c>
      <c r="G36" s="4">
        <f>'YTD BS'!G36</f>
        <v/>
      </c>
      <c r="H36" s="4">
        <f>'YTD BS'!H36</f>
        <v/>
      </c>
      <c r="I36" s="4">
        <f>'YTD BS'!I36</f>
        <v/>
      </c>
      <c r="J36" s="4">
        <f>'BALANCE SHEET'!D36</f>
        <v/>
      </c>
      <c r="K36" s="4">
        <f>'YTD BS'!K36</f>
        <v/>
      </c>
      <c r="L36" s="4">
        <f>'YTD BS'!L36</f>
        <v/>
      </c>
      <c r="M36" s="4">
        <f>'YTD BS'!M36</f>
        <v/>
      </c>
      <c r="N36" s="4">
        <f>'BALANCE SHEET'!E36</f>
        <v/>
      </c>
      <c r="O36" s="9">
        <f>'QTR P&amp;L'!R2*'BS DRIVERS'!O33</f>
        <v/>
      </c>
      <c r="P36" s="9">
        <f>'QTR P&amp;L'!S2*'BS DRIVERS'!P33</f>
        <v/>
      </c>
      <c r="Q36" s="9">
        <f>'QTR P&amp;L'!T2*'BS DRIVERS'!Q33</f>
        <v/>
      </c>
      <c r="R36" s="9">
        <f>'QTR P&amp;L'!U2*'BS DRIVERS'!R33</f>
        <v/>
      </c>
      <c r="S36" s="9">
        <f>'QTR P&amp;L'!V2*'BS DRIVERS'!S33</f>
        <v/>
      </c>
      <c r="T36" s="9">
        <f>'QTR P&amp;L'!W2*'BS DRIVERS'!T33</f>
        <v/>
      </c>
      <c r="U36" s="9">
        <f>'QTR P&amp;L'!X2*'BS DRIVERS'!U33</f>
        <v/>
      </c>
      <c r="V36" s="9">
        <f>'QTR P&amp;L'!Y2*'BS DRIVERS'!V33</f>
        <v/>
      </c>
      <c r="W36" s="9">
        <f>'QTR P&amp;L'!Z2*'BS DRIVERS'!W33</f>
        <v/>
      </c>
      <c r="X36" s="9">
        <f>'QTR P&amp;L'!AA2*'BS DRIVERS'!X33</f>
        <v/>
      </c>
      <c r="Y36" s="9">
        <f>'QTR P&amp;L'!AB2*'BS DRIVERS'!Y33</f>
        <v/>
      </c>
      <c r="Z36" s="9">
        <f>'QTR P&amp;L'!AC2*'BS DRIVERS'!Z33</f>
        <v/>
      </c>
      <c r="AA36" s="9">
        <f>'QTR P&amp;L'!AD2*'BS DRIVERS'!AA33</f>
        <v/>
      </c>
      <c r="AB36" s="9">
        <f>'QTR P&amp;L'!AE2*'BS DRIVERS'!AB33</f>
        <v/>
      </c>
      <c r="AC36" s="9">
        <f>'QTR P&amp;L'!AF2*'BS DRIVERS'!AC33</f>
        <v/>
      </c>
      <c r="AD36" s="9">
        <f>'QTR P&amp;L'!AG2*'BS DRIVERS'!AD33</f>
        <v/>
      </c>
    </row>
    <row r="37">
      <c r="A37" s="3" t="inlineStr">
        <is>
          <t>Total Liabilities</t>
        </is>
      </c>
      <c r="B37" s="6">
        <f>'BALANCE SHEET'!B37</f>
        <v/>
      </c>
      <c r="C37" s="6">
        <f>'YTD BS'!C37</f>
        <v/>
      </c>
      <c r="D37" s="6">
        <f>'YTD BS'!D37</f>
        <v/>
      </c>
      <c r="E37" s="6">
        <f>'YTD BS'!E37</f>
        <v/>
      </c>
      <c r="F37" s="6">
        <f>'BALANCE SHEET'!C37</f>
        <v/>
      </c>
      <c r="G37" s="6">
        <f>'YTD BS'!G37</f>
        <v/>
      </c>
      <c r="H37" s="6">
        <f>'YTD BS'!H37</f>
        <v/>
      </c>
      <c r="I37" s="6">
        <f>'YTD BS'!I37</f>
        <v/>
      </c>
      <c r="J37" s="6">
        <f>'BALANCE SHEET'!D37</f>
        <v/>
      </c>
      <c r="K37" s="6">
        <f>'YTD BS'!K37</f>
        <v/>
      </c>
      <c r="L37" s="6">
        <f>'YTD BS'!L37</f>
        <v/>
      </c>
      <c r="M37" s="6">
        <f>'YTD BS'!M37</f>
        <v/>
      </c>
      <c r="N37" s="6">
        <f>'BALANCE SHEET'!E37</f>
        <v/>
      </c>
      <c r="O37" s="7">
        <f>O30+SUM(O31:O36)</f>
        <v/>
      </c>
      <c r="P37" s="7">
        <f>P30+SUM(P31:P36)</f>
        <v/>
      </c>
      <c r="Q37" s="7">
        <f>Q30+SUM(Q31:Q36)</f>
        <v/>
      </c>
      <c r="R37" s="7">
        <f>R30+SUM(R31:R36)</f>
        <v/>
      </c>
      <c r="S37" s="7">
        <f>S30+SUM(S31:S36)</f>
        <v/>
      </c>
      <c r="T37" s="7">
        <f>T30+SUM(T31:T36)</f>
        <v/>
      </c>
      <c r="U37" s="7">
        <f>U30+SUM(U31:U36)</f>
        <v/>
      </c>
      <c r="V37" s="7">
        <f>V30+SUM(V31:V36)</f>
        <v/>
      </c>
      <c r="W37" s="7">
        <f>W30+SUM(W31:W36)</f>
        <v/>
      </c>
      <c r="X37" s="7">
        <f>X30+SUM(X31:X36)</f>
        <v/>
      </c>
      <c r="Y37" s="7">
        <f>Y30+SUM(Y31:Y36)</f>
        <v/>
      </c>
      <c r="Z37" s="7">
        <f>Z30+SUM(Z31:Z36)</f>
        <v/>
      </c>
      <c r="AA37" s="7">
        <f>AA30+SUM(AA31:AA36)</f>
        <v/>
      </c>
      <c r="AB37" s="7">
        <f>AB30+SUM(AB31:AB36)</f>
        <v/>
      </c>
      <c r="AC37" s="7">
        <f>AC30+SUM(AC31:AC36)</f>
        <v/>
      </c>
      <c r="AD37" s="7">
        <f>AD30+SUM(AD31:AD36)</f>
        <v/>
      </c>
    </row>
    <row r="38">
      <c r="A38" s="3" t="inlineStr">
        <is>
          <t>Convertible Preferred Stock</t>
        </is>
      </c>
      <c r="B38" s="4">
        <f>'BALANCE SHEET'!B38</f>
        <v/>
      </c>
      <c r="C38" s="4">
        <f>'YTD BS'!C38</f>
        <v/>
      </c>
      <c r="D38" s="4">
        <f>'YTD BS'!D38</f>
        <v/>
      </c>
      <c r="E38" s="4">
        <f>'YTD BS'!E38</f>
        <v/>
      </c>
      <c r="F38" s="4">
        <f>'BALANCE SHEET'!C38</f>
        <v/>
      </c>
      <c r="G38" s="4">
        <f>'YTD BS'!G38</f>
        <v/>
      </c>
      <c r="H38" s="4">
        <f>'YTD BS'!H38</f>
        <v/>
      </c>
      <c r="I38" s="4">
        <f>'YTD BS'!I38</f>
        <v/>
      </c>
      <c r="J38" s="4">
        <f>'BALANCE SHEET'!D38</f>
        <v/>
      </c>
      <c r="K38" s="4">
        <f>'YTD BS'!K38</f>
        <v/>
      </c>
      <c r="L38" s="4">
        <f>'YTD BS'!L38</f>
        <v/>
      </c>
      <c r="M38" s="4">
        <f>'YTD BS'!M38</f>
        <v/>
      </c>
      <c r="N38" s="4">
        <f>'BALANCE SHEET'!E38</f>
        <v/>
      </c>
      <c r="O38" s="9">
        <f>'BS DRIVERS'!O34</f>
        <v/>
      </c>
      <c r="P38" s="9">
        <f>'BS DRIVERS'!P34</f>
        <v/>
      </c>
      <c r="Q38" s="9">
        <f>'BS DRIVERS'!Q34</f>
        <v/>
      </c>
      <c r="R38" s="9">
        <f>'BS DRIVERS'!R34</f>
        <v/>
      </c>
      <c r="S38" s="9">
        <f>'BS DRIVERS'!S34</f>
        <v/>
      </c>
      <c r="T38" s="9">
        <f>'BS DRIVERS'!T34</f>
        <v/>
      </c>
      <c r="U38" s="9">
        <f>'BS DRIVERS'!U34</f>
        <v/>
      </c>
      <c r="V38" s="9">
        <f>'BS DRIVERS'!V34</f>
        <v/>
      </c>
      <c r="W38" s="9">
        <f>'BS DRIVERS'!W34</f>
        <v/>
      </c>
      <c r="X38" s="9">
        <f>'BS DRIVERS'!X34</f>
        <v/>
      </c>
      <c r="Y38" s="9">
        <f>'BS DRIVERS'!Y34</f>
        <v/>
      </c>
      <c r="Z38" s="9">
        <f>'BS DRIVERS'!Z34</f>
        <v/>
      </c>
      <c r="AA38" s="9">
        <f>'BS DRIVERS'!AA34</f>
        <v/>
      </c>
      <c r="AB38" s="9">
        <f>'BS DRIVERS'!AB34</f>
        <v/>
      </c>
      <c r="AC38" s="9">
        <f>'BS DRIVERS'!AC34</f>
        <v/>
      </c>
      <c r="AD38" s="9">
        <f>'BS DRIVERS'!AD34</f>
        <v/>
      </c>
    </row>
    <row r="39">
      <c r="A39" s="3" t="inlineStr">
        <is>
          <t>Common Stock</t>
        </is>
      </c>
      <c r="B39" s="4">
        <f>'BALANCE SHEET'!B39</f>
        <v/>
      </c>
      <c r="C39" s="4">
        <f>'YTD BS'!C39</f>
        <v/>
      </c>
      <c r="D39" s="4">
        <f>'YTD BS'!D39</f>
        <v/>
      </c>
      <c r="E39" s="4">
        <f>'YTD BS'!E39</f>
        <v/>
      </c>
      <c r="F39" s="4">
        <f>'BALANCE SHEET'!C39</f>
        <v/>
      </c>
      <c r="G39" s="4">
        <f>'YTD BS'!G39</f>
        <v/>
      </c>
      <c r="H39" s="4">
        <f>'YTD BS'!H39</f>
        <v/>
      </c>
      <c r="I39" s="4">
        <f>'YTD BS'!I39</f>
        <v/>
      </c>
      <c r="J39" s="4">
        <f>'BALANCE SHEET'!D39</f>
        <v/>
      </c>
      <c r="K39" s="4">
        <f>'YTD BS'!K39</f>
        <v/>
      </c>
      <c r="L39" s="4">
        <f>'YTD BS'!L39</f>
        <v/>
      </c>
      <c r="M39" s="4">
        <f>'YTD BS'!M39</f>
        <v/>
      </c>
      <c r="N39" s="4">
        <f>'BALANCE SHEET'!E39</f>
        <v/>
      </c>
      <c r="O39" s="9">
        <f>'BS DRIVERS'!O35</f>
        <v/>
      </c>
      <c r="P39" s="9">
        <f>'BS DRIVERS'!P35</f>
        <v/>
      </c>
      <c r="Q39" s="9">
        <f>'BS DRIVERS'!Q35</f>
        <v/>
      </c>
      <c r="R39" s="9">
        <f>'BS DRIVERS'!R35</f>
        <v/>
      </c>
      <c r="S39" s="9">
        <f>'BS DRIVERS'!S35</f>
        <v/>
      </c>
      <c r="T39" s="9">
        <f>'BS DRIVERS'!T35</f>
        <v/>
      </c>
      <c r="U39" s="9">
        <f>'BS DRIVERS'!U35</f>
        <v/>
      </c>
      <c r="V39" s="9">
        <f>'BS DRIVERS'!V35</f>
        <v/>
      </c>
      <c r="W39" s="9">
        <f>'BS DRIVERS'!W35</f>
        <v/>
      </c>
      <c r="X39" s="9">
        <f>'BS DRIVERS'!X35</f>
        <v/>
      </c>
      <c r="Y39" s="9">
        <f>'BS DRIVERS'!Y35</f>
        <v/>
      </c>
      <c r="Z39" s="9">
        <f>'BS DRIVERS'!Z35</f>
        <v/>
      </c>
      <c r="AA39" s="9">
        <f>'BS DRIVERS'!AA35</f>
        <v/>
      </c>
      <c r="AB39" s="9">
        <f>'BS DRIVERS'!AB35</f>
        <v/>
      </c>
      <c r="AC39" s="9">
        <f>'BS DRIVERS'!AC35</f>
        <v/>
      </c>
      <c r="AD39" s="9">
        <f>'BS DRIVERS'!AD35</f>
        <v/>
      </c>
    </row>
    <row r="40">
      <c r="A40" s="3" t="inlineStr">
        <is>
          <t>Treasury Stock</t>
        </is>
      </c>
      <c r="B40" s="4">
        <f>'BALANCE SHEET'!B40</f>
        <v/>
      </c>
      <c r="C40" s="4">
        <f>'YTD BS'!C40</f>
        <v/>
      </c>
      <c r="D40" s="4">
        <f>'YTD BS'!D40</f>
        <v/>
      </c>
      <c r="E40" s="4">
        <f>'YTD BS'!E40</f>
        <v/>
      </c>
      <c r="F40" s="4">
        <f>'BALANCE SHEET'!C40</f>
        <v/>
      </c>
      <c r="G40" s="4">
        <f>'YTD BS'!G40</f>
        <v/>
      </c>
      <c r="H40" s="4">
        <f>'YTD BS'!H40</f>
        <v/>
      </c>
      <c r="I40" s="4">
        <f>'YTD BS'!I40</f>
        <v/>
      </c>
      <c r="J40" s="4">
        <f>'BALANCE SHEET'!D40</f>
        <v/>
      </c>
      <c r="K40" s="4">
        <f>'YTD BS'!K40</f>
        <v/>
      </c>
      <c r="L40" s="4">
        <f>'YTD BS'!L40</f>
        <v/>
      </c>
      <c r="M40" s="4">
        <f>'YTD BS'!M40</f>
        <v/>
      </c>
      <c r="N40" s="4">
        <f>'BALANCE SHEET'!E40</f>
        <v/>
      </c>
      <c r="O40" s="9">
        <f>'BS DRIVERS'!O36</f>
        <v/>
      </c>
      <c r="P40" s="9">
        <f>'BS DRIVERS'!P36</f>
        <v/>
      </c>
      <c r="Q40" s="9">
        <f>'BS DRIVERS'!Q36</f>
        <v/>
      </c>
      <c r="R40" s="9">
        <f>'BS DRIVERS'!R36</f>
        <v/>
      </c>
      <c r="S40" s="9">
        <f>'BS DRIVERS'!S36</f>
        <v/>
      </c>
      <c r="T40" s="9">
        <f>'BS DRIVERS'!T36</f>
        <v/>
      </c>
      <c r="U40" s="9">
        <f>'BS DRIVERS'!U36</f>
        <v/>
      </c>
      <c r="V40" s="9">
        <f>'BS DRIVERS'!V36</f>
        <v/>
      </c>
      <c r="W40" s="9">
        <f>'BS DRIVERS'!W36</f>
        <v/>
      </c>
      <c r="X40" s="9">
        <f>'BS DRIVERS'!X36</f>
        <v/>
      </c>
      <c r="Y40" s="9">
        <f>'BS DRIVERS'!Y36</f>
        <v/>
      </c>
      <c r="Z40" s="9">
        <f>'BS DRIVERS'!Z36</f>
        <v/>
      </c>
      <c r="AA40" s="9">
        <f>'BS DRIVERS'!AA36</f>
        <v/>
      </c>
      <c r="AB40" s="9">
        <f>'BS DRIVERS'!AB36</f>
        <v/>
      </c>
      <c r="AC40" s="9">
        <f>'BS DRIVERS'!AC36</f>
        <v/>
      </c>
      <c r="AD40" s="9">
        <f>'BS DRIVERS'!AD36</f>
        <v/>
      </c>
    </row>
    <row r="41">
      <c r="A41" s="3" t="inlineStr">
        <is>
          <t>Additional Paid-in Capital</t>
        </is>
      </c>
      <c r="B41" s="4">
        <f>'BALANCE SHEET'!B41</f>
        <v/>
      </c>
      <c r="C41" s="4">
        <f>'YTD BS'!C41</f>
        <v/>
      </c>
      <c r="D41" s="4">
        <f>'YTD BS'!D41</f>
        <v/>
      </c>
      <c r="E41" s="4">
        <f>'YTD BS'!E41</f>
        <v/>
      </c>
      <c r="F41" s="4">
        <f>'BALANCE SHEET'!C41</f>
        <v/>
      </c>
      <c r="G41" s="4">
        <f>'YTD BS'!G41</f>
        <v/>
      </c>
      <c r="H41" s="4">
        <f>'YTD BS'!H41</f>
        <v/>
      </c>
      <c r="I41" s="4">
        <f>'YTD BS'!I41</f>
        <v/>
      </c>
      <c r="J41" s="4">
        <f>'BALANCE SHEET'!D41</f>
        <v/>
      </c>
      <c r="K41" s="4">
        <f>'YTD BS'!K41</f>
        <v/>
      </c>
      <c r="L41" s="4">
        <f>'YTD BS'!L41</f>
        <v/>
      </c>
      <c r="M41" s="4">
        <f>'YTD BS'!M41</f>
        <v/>
      </c>
      <c r="N41" s="4">
        <f>'BALANCE SHEET'!E41</f>
        <v/>
      </c>
      <c r="O41" s="9">
        <f>'BS DRIVERS'!O37</f>
        <v/>
      </c>
      <c r="P41" s="9">
        <f>'BS DRIVERS'!P37</f>
        <v/>
      </c>
      <c r="Q41" s="9">
        <f>'BS DRIVERS'!Q37</f>
        <v/>
      </c>
      <c r="R41" s="9">
        <f>'BS DRIVERS'!R37</f>
        <v/>
      </c>
      <c r="S41" s="9">
        <f>'BS DRIVERS'!S37</f>
        <v/>
      </c>
      <c r="T41" s="9">
        <f>'BS DRIVERS'!T37</f>
        <v/>
      </c>
      <c r="U41" s="9">
        <f>'BS DRIVERS'!U37</f>
        <v/>
      </c>
      <c r="V41" s="9">
        <f>'BS DRIVERS'!V37</f>
        <v/>
      </c>
      <c r="W41" s="9">
        <f>'BS DRIVERS'!W37</f>
        <v/>
      </c>
      <c r="X41" s="9">
        <f>'BS DRIVERS'!X37</f>
        <v/>
      </c>
      <c r="Y41" s="9">
        <f>'BS DRIVERS'!Y37</f>
        <v/>
      </c>
      <c r="Z41" s="9">
        <f>'BS DRIVERS'!Z37</f>
        <v/>
      </c>
      <c r="AA41" s="9">
        <f>'BS DRIVERS'!AA37</f>
        <v/>
      </c>
      <c r="AB41" s="9">
        <f>'BS DRIVERS'!AB37</f>
        <v/>
      </c>
      <c r="AC41" s="9">
        <f>'BS DRIVERS'!AC37</f>
        <v/>
      </c>
      <c r="AD41" s="9">
        <f>'BS DRIVERS'!AD37</f>
        <v/>
      </c>
    </row>
    <row r="42">
      <c r="A42" s="3" t="inlineStr">
        <is>
          <t>Accumulated Other Comprehensive Income (Loss)</t>
        </is>
      </c>
      <c r="B42" s="4">
        <f>'BALANCE SHEET'!B42</f>
        <v/>
      </c>
      <c r="C42" s="4">
        <f>'YTD BS'!C42</f>
        <v/>
      </c>
      <c r="D42" s="4">
        <f>'YTD BS'!D42</f>
        <v/>
      </c>
      <c r="E42" s="4">
        <f>'YTD BS'!E42</f>
        <v/>
      </c>
      <c r="F42" s="4">
        <f>'BALANCE SHEET'!C42</f>
        <v/>
      </c>
      <c r="G42" s="4">
        <f>'YTD BS'!G42</f>
        <v/>
      </c>
      <c r="H42" s="4">
        <f>'YTD BS'!H42</f>
        <v/>
      </c>
      <c r="I42" s="4">
        <f>'YTD BS'!I42</f>
        <v/>
      </c>
      <c r="J42" s="4">
        <f>'BALANCE SHEET'!D42</f>
        <v/>
      </c>
      <c r="K42" s="4">
        <f>'YTD BS'!K42</f>
        <v/>
      </c>
      <c r="L42" s="4">
        <f>'YTD BS'!L42</f>
        <v/>
      </c>
      <c r="M42" s="4">
        <f>'YTD BS'!M42</f>
        <v/>
      </c>
      <c r="N42" s="4">
        <f>'BALANCE SHEET'!E42</f>
        <v/>
      </c>
      <c r="O42" s="9">
        <f>'BS DRIVERS'!O38</f>
        <v/>
      </c>
      <c r="P42" s="9">
        <f>'BS DRIVERS'!P38</f>
        <v/>
      </c>
      <c r="Q42" s="9">
        <f>'BS DRIVERS'!Q38</f>
        <v/>
      </c>
      <c r="R42" s="9">
        <f>'BS DRIVERS'!R38</f>
        <v/>
      </c>
      <c r="S42" s="9">
        <f>'BS DRIVERS'!S38</f>
        <v/>
      </c>
      <c r="T42" s="9">
        <f>'BS DRIVERS'!T38</f>
        <v/>
      </c>
      <c r="U42" s="9">
        <f>'BS DRIVERS'!U38</f>
        <v/>
      </c>
      <c r="V42" s="9">
        <f>'BS DRIVERS'!V38</f>
        <v/>
      </c>
      <c r="W42" s="9">
        <f>'BS DRIVERS'!W38</f>
        <v/>
      </c>
      <c r="X42" s="9">
        <f>'BS DRIVERS'!X38</f>
        <v/>
      </c>
      <c r="Y42" s="9">
        <f>'BS DRIVERS'!Y38</f>
        <v/>
      </c>
      <c r="Z42" s="9">
        <f>'BS DRIVERS'!Z38</f>
        <v/>
      </c>
      <c r="AA42" s="9">
        <f>'BS DRIVERS'!AA38</f>
        <v/>
      </c>
      <c r="AB42" s="9">
        <f>'BS DRIVERS'!AB38</f>
        <v/>
      </c>
      <c r="AC42" s="9">
        <f>'BS DRIVERS'!AC38</f>
        <v/>
      </c>
      <c r="AD42" s="9">
        <f>'BS DRIVERS'!AD38</f>
        <v/>
      </c>
    </row>
    <row r="43">
      <c r="A43" s="3" t="inlineStr">
        <is>
          <t>Retained Earnings (Accumulated Deficit)</t>
        </is>
      </c>
      <c r="B43" s="4">
        <f>'BALANCE SHEET'!B43</f>
        <v/>
      </c>
      <c r="C43" s="4">
        <f>'YTD BS'!C43</f>
        <v/>
      </c>
      <c r="D43" s="4">
        <f>'YTD BS'!D43</f>
        <v/>
      </c>
      <c r="E43" s="4">
        <f>'YTD BS'!E43</f>
        <v/>
      </c>
      <c r="F43" s="4">
        <f>'BALANCE SHEET'!C43</f>
        <v/>
      </c>
      <c r="G43" s="4">
        <f>'YTD BS'!G43</f>
        <v/>
      </c>
      <c r="H43" s="4">
        <f>'YTD BS'!H43</f>
        <v/>
      </c>
      <c r="I43" s="4">
        <f>'YTD BS'!I43</f>
        <v/>
      </c>
      <c r="J43" s="4">
        <f>'BALANCE SHEET'!D43</f>
        <v/>
      </c>
      <c r="K43" s="4">
        <f>'YTD BS'!K43</f>
        <v/>
      </c>
      <c r="L43" s="4">
        <f>'YTD BS'!L43</f>
        <v/>
      </c>
      <c r="M43" s="4">
        <f>'YTD BS'!M43</f>
        <v/>
      </c>
      <c r="N43" s="4">
        <f>'BALANCE SHEET'!E43</f>
        <v/>
      </c>
      <c r="O43" s="9">
        <f>'BS DRIVERS'!O39</f>
        <v/>
      </c>
      <c r="P43" s="9">
        <f>'BS DRIVERS'!P39</f>
        <v/>
      </c>
      <c r="Q43" s="9">
        <f>'BS DRIVERS'!Q39</f>
        <v/>
      </c>
      <c r="R43" s="9">
        <f>'BS DRIVERS'!R39</f>
        <v/>
      </c>
      <c r="S43" s="9">
        <f>'BS DRIVERS'!S39</f>
        <v/>
      </c>
      <c r="T43" s="9">
        <f>'BS DRIVERS'!T39</f>
        <v/>
      </c>
      <c r="U43" s="9">
        <f>'BS DRIVERS'!U39</f>
        <v/>
      </c>
      <c r="V43" s="9">
        <f>'BS DRIVERS'!V39</f>
        <v/>
      </c>
      <c r="W43" s="9">
        <f>'BS DRIVERS'!W39</f>
        <v/>
      </c>
      <c r="X43" s="9">
        <f>'BS DRIVERS'!X39</f>
        <v/>
      </c>
      <c r="Y43" s="9">
        <f>'BS DRIVERS'!Y39</f>
        <v/>
      </c>
      <c r="Z43" s="9">
        <f>'BS DRIVERS'!Z39</f>
        <v/>
      </c>
      <c r="AA43" s="9">
        <f>'BS DRIVERS'!AA39</f>
        <v/>
      </c>
      <c r="AB43" s="9">
        <f>'BS DRIVERS'!AB39</f>
        <v/>
      </c>
      <c r="AC43" s="9">
        <f>'BS DRIVERS'!AC39</f>
        <v/>
      </c>
      <c r="AD43" s="9">
        <f>'BS DRIVERS'!AD39</f>
        <v/>
      </c>
    </row>
    <row r="44">
      <c r="A44" s="3" t="inlineStr">
        <is>
          <t>Total Stockholders' Equity</t>
        </is>
      </c>
      <c r="B44" s="6">
        <f>'BALANCE SHEET'!B44</f>
        <v/>
      </c>
      <c r="C44" s="6">
        <f>'YTD BS'!C44</f>
        <v/>
      </c>
      <c r="D44" s="6">
        <f>'YTD BS'!D44</f>
        <v/>
      </c>
      <c r="E44" s="6">
        <f>'YTD BS'!E44</f>
        <v/>
      </c>
      <c r="F44" s="6">
        <f>'BALANCE SHEET'!C44</f>
        <v/>
      </c>
      <c r="G44" s="6">
        <f>'YTD BS'!G44</f>
        <v/>
      </c>
      <c r="H44" s="6">
        <f>'YTD BS'!H44</f>
        <v/>
      </c>
      <c r="I44" s="6">
        <f>'YTD BS'!I44</f>
        <v/>
      </c>
      <c r="J44" s="6">
        <f>'BALANCE SHEET'!D44</f>
        <v/>
      </c>
      <c r="K44" s="6">
        <f>'YTD BS'!K44</f>
        <v/>
      </c>
      <c r="L44" s="6">
        <f>'YTD BS'!L44</f>
        <v/>
      </c>
      <c r="M44" s="6">
        <f>'YTD BS'!M44</f>
        <v/>
      </c>
      <c r="N44" s="6">
        <f>'BALANCE SHEET'!E44</f>
        <v/>
      </c>
      <c r="O44" s="7">
        <f>SUM(O38:O43)</f>
        <v/>
      </c>
      <c r="P44" s="7">
        <f>SUM(P38:P43)</f>
        <v/>
      </c>
      <c r="Q44" s="7">
        <f>SUM(Q38:Q43)</f>
        <v/>
      </c>
      <c r="R44" s="7">
        <f>SUM(R38:R43)</f>
        <v/>
      </c>
      <c r="S44" s="7">
        <f>SUM(S38:S43)</f>
        <v/>
      </c>
      <c r="T44" s="7">
        <f>SUM(T38:T43)</f>
        <v/>
      </c>
      <c r="U44" s="7">
        <f>SUM(U38:U43)</f>
        <v/>
      </c>
      <c r="V44" s="7">
        <f>SUM(V38:V43)</f>
        <v/>
      </c>
      <c r="W44" s="7">
        <f>SUM(W38:W43)</f>
        <v/>
      </c>
      <c r="X44" s="7">
        <f>SUM(X38:X43)</f>
        <v/>
      </c>
      <c r="Y44" s="7">
        <f>SUM(Y38:Y43)</f>
        <v/>
      </c>
      <c r="Z44" s="7">
        <f>SUM(Z38:Z43)</f>
        <v/>
      </c>
      <c r="AA44" s="7">
        <f>SUM(AA38:AA43)</f>
        <v/>
      </c>
      <c r="AB44" s="7">
        <f>SUM(AB38:AB43)</f>
        <v/>
      </c>
      <c r="AC44" s="7">
        <f>SUM(AC38:AC43)</f>
        <v/>
      </c>
      <c r="AD44" s="7">
        <f>SUM(AD38:AD43)</f>
        <v/>
      </c>
    </row>
    <row r="45">
      <c r="A45" s="3" t="inlineStr">
        <is>
          <t>Total Liabilities, Mezzanine &amp; Stockholders' Equity</t>
        </is>
      </c>
      <c r="B45" s="6">
        <f>'BALANCE SHEET'!B45</f>
        <v/>
      </c>
      <c r="C45" s="6">
        <f>'YTD BS'!C45</f>
        <v/>
      </c>
      <c r="D45" s="6">
        <f>'YTD BS'!D45</f>
        <v/>
      </c>
      <c r="E45" s="6">
        <f>'YTD BS'!E45</f>
        <v/>
      </c>
      <c r="F45" s="6">
        <f>'BALANCE SHEET'!C45</f>
        <v/>
      </c>
      <c r="G45" s="6">
        <f>'YTD BS'!G45</f>
        <v/>
      </c>
      <c r="H45" s="6">
        <f>'YTD BS'!H45</f>
        <v/>
      </c>
      <c r="I45" s="6">
        <f>'YTD BS'!I45</f>
        <v/>
      </c>
      <c r="J45" s="6">
        <f>'BALANCE SHEET'!D45</f>
        <v/>
      </c>
      <c r="K45" s="6">
        <f>'YTD BS'!K45</f>
        <v/>
      </c>
      <c r="L45" s="6">
        <f>'YTD BS'!L45</f>
        <v/>
      </c>
      <c r="M45" s="6">
        <f>'YTD BS'!M45</f>
        <v/>
      </c>
      <c r="N45" s="6">
        <f>'BALANCE SHEET'!E45</f>
        <v/>
      </c>
      <c r="O45" s="7">
        <f>O37+O44</f>
        <v/>
      </c>
      <c r="P45" s="7">
        <f>P37+P44</f>
        <v/>
      </c>
      <c r="Q45" s="7">
        <f>Q37+Q44</f>
        <v/>
      </c>
      <c r="R45" s="7">
        <f>R37+R44</f>
        <v/>
      </c>
      <c r="S45" s="7">
        <f>S37+S44</f>
        <v/>
      </c>
      <c r="T45" s="7">
        <f>T37+T44</f>
        <v/>
      </c>
      <c r="U45" s="7">
        <f>U37+U44</f>
        <v/>
      </c>
      <c r="V45" s="7">
        <f>V37+V44</f>
        <v/>
      </c>
      <c r="W45" s="7">
        <f>W37+W44</f>
        <v/>
      </c>
      <c r="X45" s="7">
        <f>X37+X44</f>
        <v/>
      </c>
      <c r="Y45" s="7">
        <f>Y37+Y44</f>
        <v/>
      </c>
      <c r="Z45" s="7">
        <f>Z37+Z44</f>
        <v/>
      </c>
      <c r="AA45" s="7">
        <f>AA37+AA44</f>
        <v/>
      </c>
      <c r="AB45" s="7">
        <f>AB37+AB44</f>
        <v/>
      </c>
      <c r="AC45" s="7">
        <f>AC37+AC44</f>
        <v/>
      </c>
      <c r="AD45" s="7">
        <f>AD37+AD44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9">
        <f>'CF DRIVERS'!R2</f>
        <v/>
      </c>
      <c r="S2" s="9">
        <f>'CF DRIVERS'!S2</f>
        <v/>
      </c>
      <c r="T2" s="9">
        <f>'CF DRIVERS'!T2</f>
        <v/>
      </c>
      <c r="U2" s="9">
        <f>'CF DRIVERS'!U2</f>
        <v/>
      </c>
      <c r="V2" s="9">
        <f>'CF DRIVERS'!V2</f>
        <v/>
      </c>
      <c r="W2" s="9">
        <f>'CF DRIVERS'!W2</f>
        <v/>
      </c>
      <c r="X2" s="9">
        <f>'CF DRIVERS'!X2</f>
        <v/>
      </c>
      <c r="Y2" s="9">
        <f>'CF DRIVERS'!Y2</f>
        <v/>
      </c>
      <c r="Z2" s="9">
        <f>'CF DRIVERS'!Z2</f>
        <v/>
      </c>
      <c r="AA2" s="9">
        <f>'CF DRIVERS'!AA2</f>
        <v/>
      </c>
      <c r="AB2" s="9">
        <f>'CF DRIVERS'!AB2</f>
        <v/>
      </c>
      <c r="AC2" s="9">
        <f>'CF DRIVERS'!AC2</f>
        <v/>
      </c>
      <c r="AD2" s="9">
        <f>'CF DRIVERS'!AD2</f>
        <v/>
      </c>
      <c r="AE2" s="9">
        <f>'CF DRIVERS'!AE2</f>
        <v/>
      </c>
      <c r="AF2" s="9">
        <f>'CF DRIVERS'!AF2</f>
        <v/>
      </c>
      <c r="AG2" s="9">
        <f>'CF DRIVERS'!AG2</f>
        <v/>
      </c>
    </row>
    <row r="3">
      <c r="A3" s="3" t="inlineStr">
        <is>
          <t>Depreciation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R3" s="9">
        <f>'CF DRIVERS'!R3</f>
        <v/>
      </c>
      <c r="S3" s="9">
        <f>'CF DRIVERS'!S3</f>
        <v/>
      </c>
      <c r="T3" s="9">
        <f>'CF DRIVERS'!T3</f>
        <v/>
      </c>
      <c r="U3" s="9">
        <f>'CF DRIVERS'!U3</f>
        <v/>
      </c>
      <c r="V3" s="9">
        <f>'CF DRIVERS'!V3</f>
        <v/>
      </c>
      <c r="W3" s="9">
        <f>'CF DRIVERS'!W3</f>
        <v/>
      </c>
      <c r="X3" s="9">
        <f>'CF DRIVERS'!X3</f>
        <v/>
      </c>
      <c r="Y3" s="9">
        <f>'CF DRIVERS'!Y3</f>
        <v/>
      </c>
      <c r="Z3" s="9">
        <f>'CF DRIVERS'!Z3</f>
        <v/>
      </c>
      <c r="AA3" s="9">
        <f>'CF DRIVERS'!AA3</f>
        <v/>
      </c>
      <c r="AB3" s="9">
        <f>'CF DRIVERS'!AB3</f>
        <v/>
      </c>
      <c r="AC3" s="9">
        <f>'CF DRIVERS'!AC3</f>
        <v/>
      </c>
      <c r="AD3" s="9">
        <f>'CF DRIVERS'!AD3</f>
        <v/>
      </c>
      <c r="AE3" s="9">
        <f>'CF DRIVERS'!AE3</f>
        <v/>
      </c>
      <c r="AF3" s="9">
        <f>'CF DRIVERS'!AF3</f>
        <v/>
      </c>
      <c r="AG3" s="9">
        <f>'CF DRIVERS'!AG3</f>
        <v/>
      </c>
    </row>
    <row r="4">
      <c r="A4" s="3" t="inlineStr">
        <is>
          <t>Amortization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R4" s="9">
        <f>'CF DRIVERS'!R4</f>
        <v/>
      </c>
      <c r="S4" s="9">
        <f>'CF DRIVERS'!S4</f>
        <v/>
      </c>
      <c r="T4" s="9">
        <f>'CF DRIVERS'!T4</f>
        <v/>
      </c>
      <c r="U4" s="9">
        <f>'CF DRIVERS'!U4</f>
        <v/>
      </c>
      <c r="V4" s="9">
        <f>'CF DRIVERS'!V4</f>
        <v/>
      </c>
      <c r="W4" s="9">
        <f>'CF DRIVERS'!W4</f>
        <v/>
      </c>
      <c r="X4" s="9">
        <f>'CF DRIVERS'!X4</f>
        <v/>
      </c>
      <c r="Y4" s="9">
        <f>'CF DRIVERS'!Y4</f>
        <v/>
      </c>
      <c r="Z4" s="9">
        <f>'CF DRIVERS'!Z4</f>
        <v/>
      </c>
      <c r="AA4" s="9">
        <f>'CF DRIVERS'!AA4</f>
        <v/>
      </c>
      <c r="AB4" s="9">
        <f>'CF DRIVERS'!AB4</f>
        <v/>
      </c>
      <c r="AC4" s="9">
        <f>'CF DRIVERS'!AC4</f>
        <v/>
      </c>
      <c r="AD4" s="9">
        <f>'CF DRIVERS'!AD4</f>
        <v/>
      </c>
      <c r="AE4" s="9">
        <f>'CF DRIVERS'!AE4</f>
        <v/>
      </c>
      <c r="AF4" s="9">
        <f>'CF DRIVERS'!AF4</f>
        <v/>
      </c>
      <c r="AG4" s="9">
        <f>'CF DRIVERS'!AG4</f>
        <v/>
      </c>
    </row>
    <row r="5">
      <c r="A5" s="3" t="inlineStr">
        <is>
          <t>Impairment of Intangibles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FLOW'!C4-'YTD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FLOW'!D4-'YTD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FLOW'!E4-'YTD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FLOW'!F4-'YTD CF'!M5</f>
        <v/>
      </c>
      <c r="R5" s="9">
        <f>'CF DRIVERS'!R5</f>
        <v/>
      </c>
      <c r="S5" s="9">
        <f>'CF DRIVERS'!S5</f>
        <v/>
      </c>
      <c r="T5" s="9">
        <f>'CF DRIVERS'!T5</f>
        <v/>
      </c>
      <c r="U5" s="9">
        <f>'CF DRIVERS'!U5</f>
        <v/>
      </c>
      <c r="V5" s="9">
        <f>'CF DRIVERS'!V5</f>
        <v/>
      </c>
      <c r="W5" s="9">
        <f>'CF DRIVERS'!W5</f>
        <v/>
      </c>
      <c r="X5" s="9">
        <f>'CF DRIVERS'!X5</f>
        <v/>
      </c>
      <c r="Y5" s="9">
        <f>'CF DRIVERS'!Y5</f>
        <v/>
      </c>
      <c r="Z5" s="9">
        <f>'CF DRIVERS'!Z5</f>
        <v/>
      </c>
      <c r="AA5" s="9">
        <f>'CF DRIVERS'!AA5</f>
        <v/>
      </c>
      <c r="AB5" s="9">
        <f>'CF DRIVERS'!AB5</f>
        <v/>
      </c>
      <c r="AC5" s="9">
        <f>'CF DRIVERS'!AC5</f>
        <v/>
      </c>
      <c r="AD5" s="9">
        <f>'CF DRIVERS'!AD5</f>
        <v/>
      </c>
      <c r="AE5" s="9">
        <f>'CF DRIVERS'!AE5</f>
        <v/>
      </c>
      <c r="AF5" s="9">
        <f>'CF DRIVERS'!AF5</f>
        <v/>
      </c>
      <c r="AG5" s="9">
        <f>'CF DRIVERS'!AG5</f>
        <v/>
      </c>
    </row>
    <row r="6">
      <c r="A6" s="3" t="inlineStr">
        <is>
          <t>Depreciation &amp; Amortization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FLOW'!C3-'YTD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FLOW'!D3-'YTD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FLOW'!E3-'YTD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FLOW'!F3-'YTD CF'!M6</f>
        <v/>
      </c>
      <c r="R6" s="9">
        <f>'QTR P&amp;L'!R2*'CF DRIVERS'!R6</f>
        <v/>
      </c>
      <c r="S6" s="9">
        <f>'QTR P&amp;L'!S2*'CF DRIVERS'!S6</f>
        <v/>
      </c>
      <c r="T6" s="9">
        <f>'QTR P&amp;L'!T2*'CF DRIVERS'!T6</f>
        <v/>
      </c>
      <c r="U6" s="9">
        <f>'QTR P&amp;L'!U2*'CF DRIVERS'!U6</f>
        <v/>
      </c>
      <c r="V6" s="9">
        <f>'QTR P&amp;L'!V2*'CF DRIVERS'!V6</f>
        <v/>
      </c>
      <c r="W6" s="9">
        <f>'QTR P&amp;L'!W2*'CF DRIVERS'!W6</f>
        <v/>
      </c>
      <c r="X6" s="9">
        <f>'QTR P&amp;L'!X2*'CF DRIVERS'!X6</f>
        <v/>
      </c>
      <c r="Y6" s="9">
        <f>'QTR P&amp;L'!Y2*'CF DRIVERS'!Y6</f>
        <v/>
      </c>
      <c r="Z6" s="9">
        <f>'QTR P&amp;L'!Z2*'CF DRIVERS'!Z6</f>
        <v/>
      </c>
      <c r="AA6" s="9">
        <f>'QTR P&amp;L'!AA2*'CF DRIVERS'!AA6</f>
        <v/>
      </c>
      <c r="AB6" s="9">
        <f>'QTR P&amp;L'!AB2*'CF DRIVERS'!AB6</f>
        <v/>
      </c>
      <c r="AC6" s="9">
        <f>'QTR P&amp;L'!AC2*'CF DRIVERS'!AC6</f>
        <v/>
      </c>
      <c r="AD6" s="9">
        <f>'QTR P&amp;L'!AD2*'CF DRIVERS'!AD6</f>
        <v/>
      </c>
      <c r="AE6" s="9">
        <f>'QTR P&amp;L'!AE2*'CF DRIVERS'!AE6</f>
        <v/>
      </c>
      <c r="AF6" s="9">
        <f>'QTR P&amp;L'!AF2*'CF DRIVERS'!AF6</f>
        <v/>
      </c>
      <c r="AG6" s="9">
        <f>'QTR P&amp;L'!AG2*'CF DRIVERS'!AG6</f>
        <v/>
      </c>
    </row>
    <row r="7">
      <c r="A7" s="3" t="inlineStr">
        <is>
          <t>Allowance for Credit Losses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FLOW'!C5-'YTD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FLOW'!D5-'YTD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FLOW'!E5-'YTD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FLOW'!F5-'YTD CF'!M7</f>
        <v/>
      </c>
      <c r="R7" s="9">
        <f>'CF DRIVERS'!R7</f>
        <v/>
      </c>
      <c r="S7" s="9">
        <f>'CF DRIVERS'!S7</f>
        <v/>
      </c>
      <c r="T7" s="9">
        <f>'CF DRIVERS'!T7</f>
        <v/>
      </c>
      <c r="U7" s="9">
        <f>'CF DRIVERS'!U7</f>
        <v/>
      </c>
      <c r="V7" s="9">
        <f>'CF DRIVERS'!V7</f>
        <v/>
      </c>
      <c r="W7" s="9">
        <f>'CF DRIVERS'!W7</f>
        <v/>
      </c>
      <c r="X7" s="9">
        <f>'CF DRIVERS'!X7</f>
        <v/>
      </c>
      <c r="Y7" s="9">
        <f>'CF DRIVERS'!Y7</f>
        <v/>
      </c>
      <c r="Z7" s="9">
        <f>'CF DRIVERS'!Z7</f>
        <v/>
      </c>
      <c r="AA7" s="9">
        <f>'CF DRIVERS'!AA7</f>
        <v/>
      </c>
      <c r="AB7" s="9">
        <f>'CF DRIVERS'!AB7</f>
        <v/>
      </c>
      <c r="AC7" s="9">
        <f>'CF DRIVERS'!AC7</f>
        <v/>
      </c>
      <c r="AD7" s="9">
        <f>'CF DRIVERS'!AD7</f>
        <v/>
      </c>
      <c r="AE7" s="9">
        <f>'CF DRIVERS'!AE7</f>
        <v/>
      </c>
      <c r="AF7" s="9">
        <f>'CF DRIVERS'!AF7</f>
        <v/>
      </c>
      <c r="AG7" s="9">
        <f>'CF DRIVERS'!AG7</f>
        <v/>
      </c>
    </row>
    <row r="8">
      <c r="A8" s="3" t="inlineStr">
        <is>
          <t>Amortization of Deferred Other Costs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FLOW'!C6-'YTD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FLOW'!D6-'YTD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FLOW'!E6-'YTD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FLOW'!F6-'YTD CF'!M8</f>
        <v/>
      </c>
      <c r="R8" s="9">
        <f>'CF DRIVERS'!R8</f>
        <v/>
      </c>
      <c r="S8" s="9">
        <f>'CF DRIVERS'!S8</f>
        <v/>
      </c>
      <c r="T8" s="9">
        <f>'CF DRIVERS'!T8</f>
        <v/>
      </c>
      <c r="U8" s="9">
        <f>'CF DRIVERS'!U8</f>
        <v/>
      </c>
      <c r="V8" s="9">
        <f>'CF DRIVERS'!V8</f>
        <v/>
      </c>
      <c r="W8" s="9">
        <f>'CF DRIVERS'!W8</f>
        <v/>
      </c>
      <c r="X8" s="9">
        <f>'CF DRIVERS'!X8</f>
        <v/>
      </c>
      <c r="Y8" s="9">
        <f>'CF DRIVERS'!Y8</f>
        <v/>
      </c>
      <c r="Z8" s="9">
        <f>'CF DRIVERS'!Z8</f>
        <v/>
      </c>
      <c r="AA8" s="9">
        <f>'CF DRIVERS'!AA8</f>
        <v/>
      </c>
      <c r="AB8" s="9">
        <f>'CF DRIVERS'!AB8</f>
        <v/>
      </c>
      <c r="AC8" s="9">
        <f>'CF DRIVERS'!AC8</f>
        <v/>
      </c>
      <c r="AD8" s="9">
        <f>'CF DRIVERS'!AD8</f>
        <v/>
      </c>
      <c r="AE8" s="9">
        <f>'CF DRIVERS'!AE8</f>
        <v/>
      </c>
      <c r="AF8" s="9">
        <f>'CF DRIVERS'!AF8</f>
        <v/>
      </c>
      <c r="AG8" s="9">
        <f>'CF DRIVERS'!AG8</f>
        <v/>
      </c>
    </row>
    <row r="9">
      <c r="A9" s="3" t="inlineStr">
        <is>
          <t>Inventory Write-Down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FLOW'!C7-'YTD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FLOW'!D7-'YTD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FLOW'!E7-'YTD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FLOW'!F7-'YTD CF'!M9</f>
        <v/>
      </c>
      <c r="R9" s="9">
        <f>'CF DRIVERS'!R9</f>
        <v/>
      </c>
      <c r="S9" s="9">
        <f>'CF DRIVERS'!S9</f>
        <v/>
      </c>
      <c r="T9" s="9">
        <f>'CF DRIVERS'!T9</f>
        <v/>
      </c>
      <c r="U9" s="9">
        <f>'CF DRIVERS'!U9</f>
        <v/>
      </c>
      <c r="V9" s="9">
        <f>'CF DRIVERS'!V9</f>
        <v/>
      </c>
      <c r="W9" s="9">
        <f>'CF DRIVERS'!W9</f>
        <v/>
      </c>
      <c r="X9" s="9">
        <f>'CF DRIVERS'!X9</f>
        <v/>
      </c>
      <c r="Y9" s="9">
        <f>'CF DRIVERS'!Y9</f>
        <v/>
      </c>
      <c r="Z9" s="9">
        <f>'CF DRIVERS'!Z9</f>
        <v/>
      </c>
      <c r="AA9" s="9">
        <f>'CF DRIVERS'!AA9</f>
        <v/>
      </c>
      <c r="AB9" s="9">
        <f>'CF DRIVERS'!AB9</f>
        <v/>
      </c>
      <c r="AC9" s="9">
        <f>'CF DRIVERS'!AC9</f>
        <v/>
      </c>
      <c r="AD9" s="9">
        <f>'CF DRIVERS'!AD9</f>
        <v/>
      </c>
      <c r="AE9" s="9">
        <f>'CF DRIVERS'!AE9</f>
        <v/>
      </c>
      <c r="AF9" s="9">
        <f>'CF DRIVERS'!AF9</f>
        <v/>
      </c>
      <c r="AG9" s="9">
        <f>'CF DRIVERS'!AG9</f>
        <v/>
      </c>
    </row>
    <row r="10">
      <c r="A10" s="3" t="inlineStr">
        <is>
          <t>Gain (Loss) on Disposal of PP&amp;E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FLOW'!C8-'YTD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FLOW'!D8-'YTD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FLOW'!E8-'YTD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FLOW'!F8-'YTD CF'!M10</f>
        <v/>
      </c>
      <c r="R10" s="9">
        <f>'CF DRIVERS'!R10</f>
        <v/>
      </c>
      <c r="S10" s="9">
        <f>'CF DRIVERS'!S10</f>
        <v/>
      </c>
      <c r="T10" s="9">
        <f>'CF DRIVERS'!T10</f>
        <v/>
      </c>
      <c r="U10" s="9">
        <f>'CF DRIVERS'!U10</f>
        <v/>
      </c>
      <c r="V10" s="9">
        <f>'CF DRIVERS'!V10</f>
        <v/>
      </c>
      <c r="W10" s="9">
        <f>'CF DRIVERS'!W10</f>
        <v/>
      </c>
      <c r="X10" s="9">
        <f>'CF DRIVERS'!X10</f>
        <v/>
      </c>
      <c r="Y10" s="9">
        <f>'CF DRIVERS'!Y10</f>
        <v/>
      </c>
      <c r="Z10" s="9">
        <f>'CF DRIVERS'!Z10</f>
        <v/>
      </c>
      <c r="AA10" s="9">
        <f>'CF DRIVERS'!AA10</f>
        <v/>
      </c>
      <c r="AB10" s="9">
        <f>'CF DRIVERS'!AB10</f>
        <v/>
      </c>
      <c r="AC10" s="9">
        <f>'CF DRIVERS'!AC10</f>
        <v/>
      </c>
      <c r="AD10" s="9">
        <f>'CF DRIVERS'!AD10</f>
        <v/>
      </c>
      <c r="AE10" s="9">
        <f>'CF DRIVERS'!AE10</f>
        <v/>
      </c>
      <c r="AF10" s="9">
        <f>'CF DRIVERS'!AF10</f>
        <v/>
      </c>
      <c r="AG10" s="9">
        <f>'CF DRIVERS'!AG10</f>
        <v/>
      </c>
    </row>
    <row r="11">
      <c r="A11" s="3" t="inlineStr">
        <is>
          <t>Stock-Based Compensation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FLOW'!C9-'YTD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FLOW'!D9-'YTD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FLOW'!E9-'YTD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FLOW'!F9-'YTD CF'!M11</f>
        <v/>
      </c>
      <c r="R11" s="9">
        <f>'QTR P&amp;L'!R2*'CF DRIVERS'!R11</f>
        <v/>
      </c>
      <c r="S11" s="9">
        <f>'QTR P&amp;L'!S2*'CF DRIVERS'!S11</f>
        <v/>
      </c>
      <c r="T11" s="9">
        <f>'QTR P&amp;L'!T2*'CF DRIVERS'!T11</f>
        <v/>
      </c>
      <c r="U11" s="9">
        <f>'QTR P&amp;L'!U2*'CF DRIVERS'!U11</f>
        <v/>
      </c>
      <c r="V11" s="9">
        <f>'QTR P&amp;L'!V2*'CF DRIVERS'!V11</f>
        <v/>
      </c>
      <c r="W11" s="9">
        <f>'QTR P&amp;L'!W2*'CF DRIVERS'!W11</f>
        <v/>
      </c>
      <c r="X11" s="9">
        <f>'QTR P&amp;L'!X2*'CF DRIVERS'!X11</f>
        <v/>
      </c>
      <c r="Y11" s="9">
        <f>'QTR P&amp;L'!Y2*'CF DRIVERS'!Y11</f>
        <v/>
      </c>
      <c r="Z11" s="9">
        <f>'QTR P&amp;L'!Z2*'CF DRIVERS'!Z11</f>
        <v/>
      </c>
      <c r="AA11" s="9">
        <f>'QTR P&amp;L'!AA2*'CF DRIVERS'!AA11</f>
        <v/>
      </c>
      <c r="AB11" s="9">
        <f>'QTR P&amp;L'!AB2*'CF DRIVERS'!AB11</f>
        <v/>
      </c>
      <c r="AC11" s="9">
        <f>'QTR P&amp;L'!AC2*'CF DRIVERS'!AC11</f>
        <v/>
      </c>
      <c r="AD11" s="9">
        <f>'QTR P&amp;L'!AD2*'CF DRIVERS'!AD11</f>
        <v/>
      </c>
      <c r="AE11" s="9">
        <f>'QTR P&amp;L'!AE2*'CF DRIVERS'!AE11</f>
        <v/>
      </c>
      <c r="AF11" s="9">
        <f>'QTR P&amp;L'!AF2*'CF DRIVERS'!AF11</f>
        <v/>
      </c>
      <c r="AG11" s="9">
        <f>'QTR P&amp;L'!AG2*'CF DRIVERS'!AG11</f>
        <v/>
      </c>
    </row>
    <row r="12">
      <c r="A12" s="3" t="inlineStr">
        <is>
          <t>(Benefit) Provision for Deferred Income Taxes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FLOW'!C10-'YTD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FLOW'!D10-'YTD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FLOW'!E10-'YTD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FLOW'!F10-'YTD CF'!M12</f>
        <v/>
      </c>
      <c r="R12" s="9">
        <f>'CF DRIVERS'!R12</f>
        <v/>
      </c>
      <c r="S12" s="9">
        <f>'CF DRIVERS'!S12</f>
        <v/>
      </c>
      <c r="T12" s="9">
        <f>'CF DRIVERS'!T12</f>
        <v/>
      </c>
      <c r="U12" s="9">
        <f>'CF DRIVERS'!U12</f>
        <v/>
      </c>
      <c r="V12" s="9">
        <f>'CF DRIVERS'!V12</f>
        <v/>
      </c>
      <c r="W12" s="9">
        <f>'CF DRIVERS'!W12</f>
        <v/>
      </c>
      <c r="X12" s="9">
        <f>'CF DRIVERS'!X12</f>
        <v/>
      </c>
      <c r="Y12" s="9">
        <f>'CF DRIVERS'!Y12</f>
        <v/>
      </c>
      <c r="Z12" s="9">
        <f>'CF DRIVERS'!Z12</f>
        <v/>
      </c>
      <c r="AA12" s="9">
        <f>'CF DRIVERS'!AA12</f>
        <v/>
      </c>
      <c r="AB12" s="9">
        <f>'CF DRIVERS'!AB12</f>
        <v/>
      </c>
      <c r="AC12" s="9">
        <f>'CF DRIVERS'!AC12</f>
        <v/>
      </c>
      <c r="AD12" s="9">
        <f>'CF DRIVERS'!AD12</f>
        <v/>
      </c>
      <c r="AE12" s="9">
        <f>'CF DRIVERS'!AE12</f>
        <v/>
      </c>
      <c r="AF12" s="9">
        <f>'CF DRIVERS'!AF12</f>
        <v/>
      </c>
      <c r="AG12" s="9">
        <f>'CF DRIVERS'!AG12</f>
        <v/>
      </c>
    </row>
    <row r="13">
      <c r="A13" s="3" t="inlineStr">
        <is>
          <t>Foreign Currency Gain (Loss)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FLOW'!C11-'YTD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FLOW'!D11-'YTD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FLOW'!E11-'YTD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FLOW'!F11-'YTD CF'!M13</f>
        <v/>
      </c>
      <c r="R13" s="9">
        <f>'CF DRIVERS'!R13</f>
        <v/>
      </c>
      <c r="S13" s="9">
        <f>'CF DRIVERS'!S13</f>
        <v/>
      </c>
      <c r="T13" s="9">
        <f>'CF DRIVERS'!T13</f>
        <v/>
      </c>
      <c r="U13" s="9">
        <f>'CF DRIVERS'!U13</f>
        <v/>
      </c>
      <c r="V13" s="9">
        <f>'CF DRIVERS'!V13</f>
        <v/>
      </c>
      <c r="W13" s="9">
        <f>'CF DRIVERS'!W13</f>
        <v/>
      </c>
      <c r="X13" s="9">
        <f>'CF DRIVERS'!X13</f>
        <v/>
      </c>
      <c r="Y13" s="9">
        <f>'CF DRIVERS'!Y13</f>
        <v/>
      </c>
      <c r="Z13" s="9">
        <f>'CF DRIVERS'!Z13</f>
        <v/>
      </c>
      <c r="AA13" s="9">
        <f>'CF DRIVERS'!AA13</f>
        <v/>
      </c>
      <c r="AB13" s="9">
        <f>'CF DRIVERS'!AB13</f>
        <v/>
      </c>
      <c r="AC13" s="9">
        <f>'CF DRIVERS'!AC13</f>
        <v/>
      </c>
      <c r="AD13" s="9">
        <f>'CF DRIVERS'!AD13</f>
        <v/>
      </c>
      <c r="AE13" s="9">
        <f>'CF DRIVERS'!AE13</f>
        <v/>
      </c>
      <c r="AF13" s="9">
        <f>'CF DRIVERS'!AF13</f>
        <v/>
      </c>
      <c r="AG13" s="9">
        <f>'CF DRIVERS'!AG13</f>
        <v/>
      </c>
    </row>
    <row r="14">
      <c r="A14" s="3" t="inlineStr">
        <is>
          <t>Gain (Loss) on Lease Cancellations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FLOW'!C12-'YTD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FLOW'!D12-'YTD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FLOW'!E12-'YTD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FLOW'!F12-'YTD CF'!M14</f>
        <v/>
      </c>
      <c r="R14" s="9">
        <f>'CF DRIVERS'!R14</f>
        <v/>
      </c>
      <c r="S14" s="9">
        <f>'CF DRIVERS'!S14</f>
        <v/>
      </c>
      <c r="T14" s="9">
        <f>'CF DRIVERS'!T14</f>
        <v/>
      </c>
      <c r="U14" s="9">
        <f>'CF DRIVERS'!U14</f>
        <v/>
      </c>
      <c r="V14" s="9">
        <f>'CF DRIVERS'!V14</f>
        <v/>
      </c>
      <c r="W14" s="9">
        <f>'CF DRIVERS'!W14</f>
        <v/>
      </c>
      <c r="X14" s="9">
        <f>'CF DRIVERS'!X14</f>
        <v/>
      </c>
      <c r="Y14" s="9">
        <f>'CF DRIVERS'!Y14</f>
        <v/>
      </c>
      <c r="Z14" s="9">
        <f>'CF DRIVERS'!Z14</f>
        <v/>
      </c>
      <c r="AA14" s="9">
        <f>'CF DRIVERS'!AA14</f>
        <v/>
      </c>
      <c r="AB14" s="9">
        <f>'CF DRIVERS'!AB14</f>
        <v/>
      </c>
      <c r="AC14" s="9">
        <f>'CF DRIVERS'!AC14</f>
        <v/>
      </c>
      <c r="AD14" s="9">
        <f>'CF DRIVERS'!AD14</f>
        <v/>
      </c>
      <c r="AE14" s="9">
        <f>'CF DRIVERS'!AE14</f>
        <v/>
      </c>
      <c r="AF14" s="9">
        <f>'CF DRIVERS'!AF14</f>
        <v/>
      </c>
      <c r="AG14" s="9">
        <f>'CF DRIVERS'!AG14</f>
        <v/>
      </c>
    </row>
    <row r="15">
      <c r="A15" s="3" t="inlineStr">
        <is>
          <t>Change in Fair Value of Contingent Consideration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FLOW'!C13-'YTD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FLOW'!D13-'YTD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FLOW'!E13-'YTD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FLOW'!F13-'YTD CF'!M15</f>
        <v/>
      </c>
      <c r="R15" s="9">
        <f>'CF DRIVERS'!R15</f>
        <v/>
      </c>
      <c r="S15" s="9">
        <f>'CF DRIVERS'!S15</f>
        <v/>
      </c>
      <c r="T15" s="9">
        <f>'CF DRIVERS'!T15</f>
        <v/>
      </c>
      <c r="U15" s="9">
        <f>'CF DRIVERS'!U15</f>
        <v/>
      </c>
      <c r="V15" s="9">
        <f>'CF DRIVERS'!V15</f>
        <v/>
      </c>
      <c r="W15" s="9">
        <f>'CF DRIVERS'!W15</f>
        <v/>
      </c>
      <c r="X15" s="9">
        <f>'CF DRIVERS'!X15</f>
        <v/>
      </c>
      <c r="Y15" s="9">
        <f>'CF DRIVERS'!Y15</f>
        <v/>
      </c>
      <c r="Z15" s="9">
        <f>'CF DRIVERS'!Z15</f>
        <v/>
      </c>
      <c r="AA15" s="9">
        <f>'CF DRIVERS'!AA15</f>
        <v/>
      </c>
      <c r="AB15" s="9">
        <f>'CF DRIVERS'!AB15</f>
        <v/>
      </c>
      <c r="AC15" s="9">
        <f>'CF DRIVERS'!AC15</f>
        <v/>
      </c>
      <c r="AD15" s="9">
        <f>'CF DRIVERS'!AD15</f>
        <v/>
      </c>
      <c r="AE15" s="9">
        <f>'CF DRIVERS'!AE15</f>
        <v/>
      </c>
      <c r="AF15" s="9">
        <f>'CF DRIVERS'!AF15</f>
        <v/>
      </c>
      <c r="AG15" s="9">
        <f>'CF DRIVERS'!AG15</f>
        <v/>
      </c>
    </row>
    <row r="16">
      <c r="A16" s="3" t="inlineStr">
        <is>
          <t>Gain (Loss) on Extinguishment of Debt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FLOW'!C14-'YTD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FLOW'!D14-'YTD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FLOW'!E14-'YTD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FLOW'!F14-'YTD CF'!M16</f>
        <v/>
      </c>
      <c r="R16" s="9">
        <f>'CF DRIVERS'!R16</f>
        <v/>
      </c>
      <c r="S16" s="9">
        <f>'CF DRIVERS'!S16</f>
        <v/>
      </c>
      <c r="T16" s="9">
        <f>'CF DRIVERS'!T16</f>
        <v/>
      </c>
      <c r="U16" s="9">
        <f>'CF DRIVERS'!U16</f>
        <v/>
      </c>
      <c r="V16" s="9">
        <f>'CF DRIVERS'!V16</f>
        <v/>
      </c>
      <c r="W16" s="9">
        <f>'CF DRIVERS'!W16</f>
        <v/>
      </c>
      <c r="X16" s="9">
        <f>'CF DRIVERS'!X16</f>
        <v/>
      </c>
      <c r="Y16" s="9">
        <f>'CF DRIVERS'!Y16</f>
        <v/>
      </c>
      <c r="Z16" s="9">
        <f>'CF DRIVERS'!Z16</f>
        <v/>
      </c>
      <c r="AA16" s="9">
        <f>'CF DRIVERS'!AA16</f>
        <v/>
      </c>
      <c r="AB16" s="9">
        <f>'CF DRIVERS'!AB16</f>
        <v/>
      </c>
      <c r="AC16" s="9">
        <f>'CF DRIVERS'!AC16</f>
        <v/>
      </c>
      <c r="AD16" s="9">
        <f>'CF DRIVERS'!AD16</f>
        <v/>
      </c>
      <c r="AE16" s="9">
        <f>'CF DRIVERS'!AE16</f>
        <v/>
      </c>
      <c r="AF16" s="9">
        <f>'CF DRIVERS'!AF16</f>
        <v/>
      </c>
      <c r="AG16" s="9">
        <f>'CF DRIVERS'!AG16</f>
        <v/>
      </c>
    </row>
    <row r="17">
      <c r="A17" s="3" t="inlineStr">
        <is>
          <t>Other Operating Items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FLOW'!C15-'YTD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FLOW'!D15-'YTD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FLOW'!E15-'YTD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FLOW'!F15-'YTD CF'!M17</f>
        <v/>
      </c>
      <c r="R17" s="9">
        <f>'CF DRIVERS'!R17</f>
        <v/>
      </c>
      <c r="S17" s="9">
        <f>'CF DRIVERS'!S17</f>
        <v/>
      </c>
      <c r="T17" s="9">
        <f>'CF DRIVERS'!T17</f>
        <v/>
      </c>
      <c r="U17" s="9">
        <f>'CF DRIVERS'!U17</f>
        <v/>
      </c>
      <c r="V17" s="9">
        <f>'CF DRIVERS'!V17</f>
        <v/>
      </c>
      <c r="W17" s="9">
        <f>'CF DRIVERS'!W17</f>
        <v/>
      </c>
      <c r="X17" s="9">
        <f>'CF DRIVERS'!X17</f>
        <v/>
      </c>
      <c r="Y17" s="9">
        <f>'CF DRIVERS'!Y17</f>
        <v/>
      </c>
      <c r="Z17" s="9">
        <f>'CF DRIVERS'!Z17</f>
        <v/>
      </c>
      <c r="AA17" s="9">
        <f>'CF DRIVERS'!AA17</f>
        <v/>
      </c>
      <c r="AB17" s="9">
        <f>'CF DRIVERS'!AB17</f>
        <v/>
      </c>
      <c r="AC17" s="9">
        <f>'CF DRIVERS'!AC17</f>
        <v/>
      </c>
      <c r="AD17" s="9">
        <f>'CF DRIVERS'!AD17</f>
        <v/>
      </c>
      <c r="AE17" s="9">
        <f>'CF DRIVERS'!AE17</f>
        <v/>
      </c>
      <c r="AF17" s="9">
        <f>'CF DRIVERS'!AF17</f>
        <v/>
      </c>
      <c r="AG17" s="9">
        <f>'CF DRIVERS'!AG17</f>
        <v/>
      </c>
    </row>
    <row r="18">
      <c r="A18" s="3" t="inlineStr">
        <is>
          <t>Accounts Receivable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FLOW'!C16-'YTD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FLOW'!D16-'YTD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FLOW'!E16-'YTD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FLOW'!F16-'YTD CF'!M18</f>
        <v/>
      </c>
      <c r="R18" s="9">
        <f>'CF DRIVERS'!R18</f>
        <v/>
      </c>
      <c r="S18" s="9">
        <f>'CF DRIVERS'!S18</f>
        <v/>
      </c>
      <c r="T18" s="9">
        <f>'CF DRIVERS'!T18</f>
        <v/>
      </c>
      <c r="U18" s="9">
        <f>'CF DRIVERS'!U18</f>
        <v/>
      </c>
      <c r="V18" s="9">
        <f>'CF DRIVERS'!V18</f>
        <v/>
      </c>
      <c r="W18" s="9">
        <f>'CF DRIVERS'!W18</f>
        <v/>
      </c>
      <c r="X18" s="9">
        <f>'CF DRIVERS'!X18</f>
        <v/>
      </c>
      <c r="Y18" s="9">
        <f>'CF DRIVERS'!Y18</f>
        <v/>
      </c>
      <c r="Z18" s="9">
        <f>'CF DRIVERS'!Z18</f>
        <v/>
      </c>
      <c r="AA18" s="9">
        <f>'CF DRIVERS'!AA18</f>
        <v/>
      </c>
      <c r="AB18" s="9">
        <f>'CF DRIVERS'!AB18</f>
        <v/>
      </c>
      <c r="AC18" s="9">
        <f>'CF DRIVERS'!AC18</f>
        <v/>
      </c>
      <c r="AD18" s="9">
        <f>'CF DRIVERS'!AD18</f>
        <v/>
      </c>
      <c r="AE18" s="9">
        <f>'CF DRIVERS'!AE18</f>
        <v/>
      </c>
      <c r="AF18" s="9">
        <f>'CF DRIVERS'!AF18</f>
        <v/>
      </c>
      <c r="AG18" s="9">
        <f>'CF DRIVERS'!AG18</f>
        <v/>
      </c>
    </row>
    <row r="19">
      <c r="A19" s="3" t="inlineStr">
        <is>
          <t>Note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FLOW'!C17-'YTD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FLOW'!D17-'YTD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FLOW'!E17-'YTD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FLOW'!F17-'YTD CF'!M19</f>
        <v/>
      </c>
      <c r="R19" s="9">
        <f>'CF DRIVERS'!R19</f>
        <v/>
      </c>
      <c r="S19" s="9">
        <f>'CF DRIVERS'!S19</f>
        <v/>
      </c>
      <c r="T19" s="9">
        <f>'CF DRIVERS'!T19</f>
        <v/>
      </c>
      <c r="U19" s="9">
        <f>'CF DRIVERS'!U19</f>
        <v/>
      </c>
      <c r="V19" s="9">
        <f>'CF DRIVERS'!V19</f>
        <v/>
      </c>
      <c r="W19" s="9">
        <f>'CF DRIVERS'!W19</f>
        <v/>
      </c>
      <c r="X19" s="9">
        <f>'CF DRIVERS'!X19</f>
        <v/>
      </c>
      <c r="Y19" s="9">
        <f>'CF DRIVERS'!Y19</f>
        <v/>
      </c>
      <c r="Z19" s="9">
        <f>'CF DRIVERS'!Z19</f>
        <v/>
      </c>
      <c r="AA19" s="9">
        <f>'CF DRIVERS'!AA19</f>
        <v/>
      </c>
      <c r="AB19" s="9">
        <f>'CF DRIVERS'!AB19</f>
        <v/>
      </c>
      <c r="AC19" s="9">
        <f>'CF DRIVERS'!AC19</f>
        <v/>
      </c>
      <c r="AD19" s="9">
        <f>'CF DRIVERS'!AD19</f>
        <v/>
      </c>
      <c r="AE19" s="9">
        <f>'CF DRIVERS'!AE19</f>
        <v/>
      </c>
      <c r="AF19" s="9">
        <f>'CF DRIVERS'!AF19</f>
        <v/>
      </c>
      <c r="AG19" s="9">
        <f>'CF DRIVERS'!AG19</f>
        <v/>
      </c>
    </row>
    <row r="20">
      <c r="A20" s="3" t="inlineStr">
        <is>
          <t>Inventories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FLOW'!C18-'YTD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FLOW'!D18-'YTD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FLOW'!E18-'YTD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FLOW'!F18-'YTD CF'!M20</f>
        <v/>
      </c>
      <c r="R20" s="9">
        <f>'CF DRIVERS'!R20</f>
        <v/>
      </c>
      <c r="S20" s="9">
        <f>'CF DRIVERS'!S20</f>
        <v/>
      </c>
      <c r="T20" s="9">
        <f>'CF DRIVERS'!T20</f>
        <v/>
      </c>
      <c r="U20" s="9">
        <f>'CF DRIVERS'!U20</f>
        <v/>
      </c>
      <c r="V20" s="9">
        <f>'CF DRIVERS'!V20</f>
        <v/>
      </c>
      <c r="W20" s="9">
        <f>'CF DRIVERS'!W20</f>
        <v/>
      </c>
      <c r="X20" s="9">
        <f>'CF DRIVERS'!X20</f>
        <v/>
      </c>
      <c r="Y20" s="9">
        <f>'CF DRIVERS'!Y20</f>
        <v/>
      </c>
      <c r="Z20" s="9">
        <f>'CF DRIVERS'!Z20</f>
        <v/>
      </c>
      <c r="AA20" s="9">
        <f>'CF DRIVERS'!AA20</f>
        <v/>
      </c>
      <c r="AB20" s="9">
        <f>'CF DRIVERS'!AB20</f>
        <v/>
      </c>
      <c r="AC20" s="9">
        <f>'CF DRIVERS'!AC20</f>
        <v/>
      </c>
      <c r="AD20" s="9">
        <f>'CF DRIVERS'!AD20</f>
        <v/>
      </c>
      <c r="AE20" s="9">
        <f>'CF DRIVERS'!AE20</f>
        <v/>
      </c>
      <c r="AF20" s="9">
        <f>'CF DRIVERS'!AF20</f>
        <v/>
      </c>
      <c r="AG20" s="9">
        <f>'CF DRIVERS'!AG20</f>
        <v/>
      </c>
    </row>
    <row r="21">
      <c r="A21" s="3" t="inlineStr">
        <is>
          <t>Prepaid Expenses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FLOW'!C19-'YTD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FLOW'!D19-'YTD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FLOW'!E19-'YTD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FLOW'!F19-'YTD CF'!M21</f>
        <v/>
      </c>
      <c r="R21" s="9">
        <f>'CF DRIVERS'!R21</f>
        <v/>
      </c>
      <c r="S21" s="9">
        <f>'CF DRIVERS'!S21</f>
        <v/>
      </c>
      <c r="T21" s="9">
        <f>'CF DRIVERS'!T21</f>
        <v/>
      </c>
      <c r="U21" s="9">
        <f>'CF DRIVERS'!U21</f>
        <v/>
      </c>
      <c r="V21" s="9">
        <f>'CF DRIVERS'!V21</f>
        <v/>
      </c>
      <c r="W21" s="9">
        <f>'CF DRIVERS'!W21</f>
        <v/>
      </c>
      <c r="X21" s="9">
        <f>'CF DRIVERS'!X21</f>
        <v/>
      </c>
      <c r="Y21" s="9">
        <f>'CF DRIVERS'!Y21</f>
        <v/>
      </c>
      <c r="Z21" s="9">
        <f>'CF DRIVERS'!Z21</f>
        <v/>
      </c>
      <c r="AA21" s="9">
        <f>'CF DRIVERS'!AA21</f>
        <v/>
      </c>
      <c r="AB21" s="9">
        <f>'CF DRIVERS'!AB21</f>
        <v/>
      </c>
      <c r="AC21" s="9">
        <f>'CF DRIVERS'!AC21</f>
        <v/>
      </c>
      <c r="AD21" s="9">
        <f>'CF DRIVERS'!AD21</f>
        <v/>
      </c>
      <c r="AE21" s="9">
        <f>'CF DRIVERS'!AE21</f>
        <v/>
      </c>
      <c r="AF21" s="9">
        <f>'CF DRIVERS'!AF21</f>
        <v/>
      </c>
      <c r="AG21" s="9">
        <f>'CF DRIVERS'!AG21</f>
        <v/>
      </c>
    </row>
    <row r="22">
      <c r="A22" s="3" t="inlineStr">
        <is>
          <t>Change in A/P and Accrued (legacy)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R22" s="9">
        <f>'CF DRIVERS'!R22</f>
        <v/>
      </c>
      <c r="S22" s="9">
        <f>'CF DRIVERS'!S22</f>
        <v/>
      </c>
      <c r="T22" s="9">
        <f>'CF DRIVERS'!T22</f>
        <v/>
      </c>
      <c r="U22" s="9">
        <f>'CF DRIVERS'!U22</f>
        <v/>
      </c>
      <c r="V22" s="9">
        <f>'CF DRIVERS'!V22</f>
        <v/>
      </c>
      <c r="W22" s="9">
        <f>'CF DRIVERS'!W22</f>
        <v/>
      </c>
      <c r="X22" s="9">
        <f>'CF DRIVERS'!X22</f>
        <v/>
      </c>
      <c r="Y22" s="9">
        <f>'CF DRIVERS'!Y22</f>
        <v/>
      </c>
      <c r="Z22" s="9">
        <f>'CF DRIVERS'!Z22</f>
        <v/>
      </c>
      <c r="AA22" s="9">
        <f>'CF DRIVERS'!AA22</f>
        <v/>
      </c>
      <c r="AB22" s="9">
        <f>'CF DRIVERS'!AB22</f>
        <v/>
      </c>
      <c r="AC22" s="9">
        <f>'CF DRIVERS'!AC22</f>
        <v/>
      </c>
      <c r="AD22" s="9">
        <f>'CF DRIVERS'!AD22</f>
        <v/>
      </c>
      <c r="AE22" s="9">
        <f>'CF DRIVERS'!AE22</f>
        <v/>
      </c>
      <c r="AF22" s="9">
        <f>'CF DRIVERS'!AF22</f>
        <v/>
      </c>
      <c r="AG22" s="9">
        <f>'CF DRIVERS'!AG22</f>
        <v/>
      </c>
    </row>
    <row r="23">
      <c r="A23" s="3" t="inlineStr">
        <is>
          <t>Other Non-Current Assets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FLOW'!C20-'YTD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FLOW'!D20-'YTD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FLOW'!E20-'YTD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FLOW'!F20-'YTD CF'!M23</f>
        <v/>
      </c>
      <c r="R23" s="9">
        <f>'CF DRIVERS'!R23</f>
        <v/>
      </c>
      <c r="S23" s="9">
        <f>'CF DRIVERS'!S23</f>
        <v/>
      </c>
      <c r="T23" s="9">
        <f>'CF DRIVERS'!T23</f>
        <v/>
      </c>
      <c r="U23" s="9">
        <f>'CF DRIVERS'!U23</f>
        <v/>
      </c>
      <c r="V23" s="9">
        <f>'CF DRIVERS'!V23</f>
        <v/>
      </c>
      <c r="W23" s="9">
        <f>'CF DRIVERS'!W23</f>
        <v/>
      </c>
      <c r="X23" s="9">
        <f>'CF DRIVERS'!X23</f>
        <v/>
      </c>
      <c r="Y23" s="9">
        <f>'CF DRIVERS'!Y23</f>
        <v/>
      </c>
      <c r="Z23" s="9">
        <f>'CF DRIVERS'!Z23</f>
        <v/>
      </c>
      <c r="AA23" s="9">
        <f>'CF DRIVERS'!AA23</f>
        <v/>
      </c>
      <c r="AB23" s="9">
        <f>'CF DRIVERS'!AB23</f>
        <v/>
      </c>
      <c r="AC23" s="9">
        <f>'CF DRIVERS'!AC23</f>
        <v/>
      </c>
      <c r="AD23" s="9">
        <f>'CF DRIVERS'!AD23</f>
        <v/>
      </c>
      <c r="AE23" s="9">
        <f>'CF DRIVERS'!AE23</f>
        <v/>
      </c>
      <c r="AF23" s="9">
        <f>'CF DRIVERS'!AF23</f>
        <v/>
      </c>
      <c r="AG23" s="9">
        <f>'CF DRIVERS'!AG23</f>
        <v/>
      </c>
    </row>
    <row r="24">
      <c r="A24" s="3" t="inlineStr">
        <is>
          <t>Accounts Payable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FLOW'!C21-'YTD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FLOW'!D21-'YTD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FLOW'!E21-'YTD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FLOW'!F21-'YTD CF'!M24</f>
        <v/>
      </c>
      <c r="R24" s="9">
        <f>'CF DRIVERS'!R24</f>
        <v/>
      </c>
      <c r="S24" s="9">
        <f>'CF DRIVERS'!S24</f>
        <v/>
      </c>
      <c r="T24" s="9">
        <f>'CF DRIVERS'!T24</f>
        <v/>
      </c>
      <c r="U24" s="9">
        <f>'CF DRIVERS'!U24</f>
        <v/>
      </c>
      <c r="V24" s="9">
        <f>'CF DRIVERS'!V24</f>
        <v/>
      </c>
      <c r="W24" s="9">
        <f>'CF DRIVERS'!W24</f>
        <v/>
      </c>
      <c r="X24" s="9">
        <f>'CF DRIVERS'!X24</f>
        <v/>
      </c>
      <c r="Y24" s="9">
        <f>'CF DRIVERS'!Y24</f>
        <v/>
      </c>
      <c r="Z24" s="9">
        <f>'CF DRIVERS'!Z24</f>
        <v/>
      </c>
      <c r="AA24" s="9">
        <f>'CF DRIVERS'!AA24</f>
        <v/>
      </c>
      <c r="AB24" s="9">
        <f>'CF DRIVERS'!AB24</f>
        <v/>
      </c>
      <c r="AC24" s="9">
        <f>'CF DRIVERS'!AC24</f>
        <v/>
      </c>
      <c r="AD24" s="9">
        <f>'CF DRIVERS'!AD24</f>
        <v/>
      </c>
      <c r="AE24" s="9">
        <f>'CF DRIVERS'!AE24</f>
        <v/>
      </c>
      <c r="AF24" s="9">
        <f>'CF DRIVERS'!AF24</f>
        <v/>
      </c>
      <c r="AG24" s="9">
        <f>'CF DRIVERS'!AG24</f>
        <v/>
      </c>
    </row>
    <row r="25">
      <c r="A25" s="3" t="inlineStr">
        <is>
          <t>Accrued Expenses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FLOW'!C22-'YTD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FLOW'!D22-'YTD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FLOW'!E22-'YTD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FLOW'!F22-'YTD CF'!M25</f>
        <v/>
      </c>
      <c r="R25" s="9">
        <f>'CF DRIVERS'!R25</f>
        <v/>
      </c>
      <c r="S25" s="9">
        <f>'CF DRIVERS'!S25</f>
        <v/>
      </c>
      <c r="T25" s="9">
        <f>'CF DRIVERS'!T25</f>
        <v/>
      </c>
      <c r="U25" s="9">
        <f>'CF DRIVERS'!U25</f>
        <v/>
      </c>
      <c r="V25" s="9">
        <f>'CF DRIVERS'!V25</f>
        <v/>
      </c>
      <c r="W25" s="9">
        <f>'CF DRIVERS'!W25</f>
        <v/>
      </c>
      <c r="X25" s="9">
        <f>'CF DRIVERS'!X25</f>
        <v/>
      </c>
      <c r="Y25" s="9">
        <f>'CF DRIVERS'!Y25</f>
        <v/>
      </c>
      <c r="Z25" s="9">
        <f>'CF DRIVERS'!Z25</f>
        <v/>
      </c>
      <c r="AA25" s="9">
        <f>'CF DRIVERS'!AA25</f>
        <v/>
      </c>
      <c r="AB25" s="9">
        <f>'CF DRIVERS'!AB25</f>
        <v/>
      </c>
      <c r="AC25" s="9">
        <f>'CF DRIVERS'!AC25</f>
        <v/>
      </c>
      <c r="AD25" s="9">
        <f>'CF DRIVERS'!AD25</f>
        <v/>
      </c>
      <c r="AE25" s="9">
        <f>'CF DRIVERS'!AE25</f>
        <v/>
      </c>
      <c r="AF25" s="9">
        <f>'CF DRIVERS'!AF25</f>
        <v/>
      </c>
      <c r="AG25" s="9">
        <f>'CF DRIVERS'!AG25</f>
        <v/>
      </c>
    </row>
    <row r="26">
      <c r="A26" s="3" t="inlineStr">
        <is>
          <t>Other Current Liabilities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FLOW'!C23-'YTD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FLOW'!D23-'YTD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FLOW'!E23-'YTD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FLOW'!F23-'YTD CF'!M26</f>
        <v/>
      </c>
      <c r="R26" s="9">
        <f>'CF DRIVERS'!R26</f>
        <v/>
      </c>
      <c r="S26" s="9">
        <f>'CF DRIVERS'!S26</f>
        <v/>
      </c>
      <c r="T26" s="9">
        <f>'CF DRIVERS'!T26</f>
        <v/>
      </c>
      <c r="U26" s="9">
        <f>'CF DRIVERS'!U26</f>
        <v/>
      </c>
      <c r="V26" s="9">
        <f>'CF DRIVERS'!V26</f>
        <v/>
      </c>
      <c r="W26" s="9">
        <f>'CF DRIVERS'!W26</f>
        <v/>
      </c>
      <c r="X26" s="9">
        <f>'CF DRIVERS'!X26</f>
        <v/>
      </c>
      <c r="Y26" s="9">
        <f>'CF DRIVERS'!Y26</f>
        <v/>
      </c>
      <c r="Z26" s="9">
        <f>'CF DRIVERS'!Z26</f>
        <v/>
      </c>
      <c r="AA26" s="9">
        <f>'CF DRIVERS'!AA26</f>
        <v/>
      </c>
      <c r="AB26" s="9">
        <f>'CF DRIVERS'!AB26</f>
        <v/>
      </c>
      <c r="AC26" s="9">
        <f>'CF DRIVERS'!AC26</f>
        <v/>
      </c>
      <c r="AD26" s="9">
        <f>'CF DRIVERS'!AD26</f>
        <v/>
      </c>
      <c r="AE26" s="9">
        <f>'CF DRIVERS'!AE26</f>
        <v/>
      </c>
      <c r="AF26" s="9">
        <f>'CF DRIVERS'!AF26</f>
        <v/>
      </c>
      <c r="AG26" s="9">
        <f>'CF DRIVERS'!AG26</f>
        <v/>
      </c>
    </row>
    <row r="27">
      <c r="A27" s="3" t="inlineStr">
        <is>
          <t>Accrued Promotional Allowance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FLOW'!C24-'YTD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FLOW'!D24-'YTD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FLOW'!E24-'YTD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FLOW'!F24-'YTD CF'!M27</f>
        <v/>
      </c>
      <c r="R27" s="9">
        <f>'CF DRIVERS'!R27</f>
        <v/>
      </c>
      <c r="S27" s="9">
        <f>'CF DRIVERS'!S27</f>
        <v/>
      </c>
      <c r="T27" s="9">
        <f>'CF DRIVERS'!T27</f>
        <v/>
      </c>
      <c r="U27" s="9">
        <f>'CF DRIVERS'!U27</f>
        <v/>
      </c>
      <c r="V27" s="9">
        <f>'CF DRIVERS'!V27</f>
        <v/>
      </c>
      <c r="W27" s="9">
        <f>'CF DRIVERS'!W27</f>
        <v/>
      </c>
      <c r="X27" s="9">
        <f>'CF DRIVERS'!X27</f>
        <v/>
      </c>
      <c r="Y27" s="9">
        <f>'CF DRIVERS'!Y27</f>
        <v/>
      </c>
      <c r="Z27" s="9">
        <f>'CF DRIVERS'!Z27</f>
        <v/>
      </c>
      <c r="AA27" s="9">
        <f>'CF DRIVERS'!AA27</f>
        <v/>
      </c>
      <c r="AB27" s="9">
        <f>'CF DRIVERS'!AB27</f>
        <v/>
      </c>
      <c r="AC27" s="9">
        <f>'CF DRIVERS'!AC27</f>
        <v/>
      </c>
      <c r="AD27" s="9">
        <f>'CF DRIVERS'!AD27</f>
        <v/>
      </c>
      <c r="AE27" s="9">
        <f>'CF DRIVERS'!AE27</f>
        <v/>
      </c>
      <c r="AF27" s="9">
        <f>'CF DRIVERS'!AF27</f>
        <v/>
      </c>
      <c r="AG27" s="9">
        <f>'CF DRIVERS'!AG27</f>
        <v/>
      </c>
    </row>
    <row r="28">
      <c r="A28" s="3" t="inlineStr">
        <is>
          <t>Accrued Distributor Termination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FLOW'!C25-'YTD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FLOW'!D25-'YTD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FLOW'!E25-'YTD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FLOW'!F25-'YTD CF'!M28</f>
        <v/>
      </c>
      <c r="R28" s="9">
        <f>'CF DRIVERS'!R28</f>
        <v/>
      </c>
      <c r="S28" s="9">
        <f>'CF DRIVERS'!S28</f>
        <v/>
      </c>
      <c r="T28" s="9">
        <f>'CF DRIVERS'!T28</f>
        <v/>
      </c>
      <c r="U28" s="9">
        <f>'CF DRIVERS'!U28</f>
        <v/>
      </c>
      <c r="V28" s="9">
        <f>'CF DRIVERS'!V28</f>
        <v/>
      </c>
      <c r="W28" s="9">
        <f>'CF DRIVERS'!W28</f>
        <v/>
      </c>
      <c r="X28" s="9">
        <f>'CF DRIVERS'!X28</f>
        <v/>
      </c>
      <c r="Y28" s="9">
        <f>'CF DRIVERS'!Y28</f>
        <v/>
      </c>
      <c r="Z28" s="9">
        <f>'CF DRIVERS'!Z28</f>
        <v/>
      </c>
      <c r="AA28" s="9">
        <f>'CF DRIVERS'!AA28</f>
        <v/>
      </c>
      <c r="AB28" s="9">
        <f>'CF DRIVERS'!AB28</f>
        <v/>
      </c>
      <c r="AC28" s="9">
        <f>'CF DRIVERS'!AC28</f>
        <v/>
      </c>
      <c r="AD28" s="9">
        <f>'CF DRIVERS'!AD28</f>
        <v/>
      </c>
      <c r="AE28" s="9">
        <f>'CF DRIVERS'!AE28</f>
        <v/>
      </c>
      <c r="AF28" s="9">
        <f>'CF DRIVERS'!AF28</f>
        <v/>
      </c>
      <c r="AG28" s="9">
        <f>'CF DRIVERS'!AG28</f>
        <v/>
      </c>
    </row>
    <row r="29">
      <c r="A29" s="3" t="inlineStr">
        <is>
          <t>ROU &amp; Lease Liability, Net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FLOW'!C26-'YTD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FLOW'!D26-'YTD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FLOW'!E26-'YTD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FLOW'!F26-'YTD CF'!M29</f>
        <v/>
      </c>
      <c r="R29" s="9">
        <f>'CF DRIVERS'!R29</f>
        <v/>
      </c>
      <c r="S29" s="9">
        <f>'CF DRIVERS'!S29</f>
        <v/>
      </c>
      <c r="T29" s="9">
        <f>'CF DRIVERS'!T29</f>
        <v/>
      </c>
      <c r="U29" s="9">
        <f>'CF DRIVERS'!U29</f>
        <v/>
      </c>
      <c r="V29" s="9">
        <f>'CF DRIVERS'!V29</f>
        <v/>
      </c>
      <c r="W29" s="9">
        <f>'CF DRIVERS'!W29</f>
        <v/>
      </c>
      <c r="X29" s="9">
        <f>'CF DRIVERS'!X29</f>
        <v/>
      </c>
      <c r="Y29" s="9">
        <f>'CF DRIVERS'!Y29</f>
        <v/>
      </c>
      <c r="Z29" s="9">
        <f>'CF DRIVERS'!Z29</f>
        <v/>
      </c>
      <c r="AA29" s="9">
        <f>'CF DRIVERS'!AA29</f>
        <v/>
      </c>
      <c r="AB29" s="9">
        <f>'CF DRIVERS'!AB29</f>
        <v/>
      </c>
      <c r="AC29" s="9">
        <f>'CF DRIVERS'!AC29</f>
        <v/>
      </c>
      <c r="AD29" s="9">
        <f>'CF DRIVERS'!AD29</f>
        <v/>
      </c>
      <c r="AE29" s="9">
        <f>'CF DRIVERS'!AE29</f>
        <v/>
      </c>
      <c r="AF29" s="9">
        <f>'CF DRIVERS'!AF29</f>
        <v/>
      </c>
      <c r="AG29" s="9">
        <f>'CF DRIVERS'!AG29</f>
        <v/>
      </c>
    </row>
    <row r="30">
      <c r="A30" s="3" t="inlineStr">
        <is>
          <t>Deferred Revenue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FLOW'!C27-'YTD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FLOW'!D27-'YTD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FLOW'!E27-'YTD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FLOW'!F27-'YTD CF'!M30</f>
        <v/>
      </c>
      <c r="R30" s="9">
        <f>'CF DRIVERS'!R30</f>
        <v/>
      </c>
      <c r="S30" s="9">
        <f>'CF DRIVERS'!S30</f>
        <v/>
      </c>
      <c r="T30" s="9">
        <f>'CF DRIVERS'!T30</f>
        <v/>
      </c>
      <c r="U30" s="9">
        <f>'CF DRIVERS'!U30</f>
        <v/>
      </c>
      <c r="V30" s="9">
        <f>'CF DRIVERS'!V30</f>
        <v/>
      </c>
      <c r="W30" s="9">
        <f>'CF DRIVERS'!W30</f>
        <v/>
      </c>
      <c r="X30" s="9">
        <f>'CF DRIVERS'!X30</f>
        <v/>
      </c>
      <c r="Y30" s="9">
        <f>'CF DRIVERS'!Y30</f>
        <v/>
      </c>
      <c r="Z30" s="9">
        <f>'CF DRIVERS'!Z30</f>
        <v/>
      </c>
      <c r="AA30" s="9">
        <f>'CF DRIVERS'!AA30</f>
        <v/>
      </c>
      <c r="AB30" s="9">
        <f>'CF DRIVERS'!AB30</f>
        <v/>
      </c>
      <c r="AC30" s="9">
        <f>'CF DRIVERS'!AC30</f>
        <v/>
      </c>
      <c r="AD30" s="9">
        <f>'CF DRIVERS'!AD30</f>
        <v/>
      </c>
      <c r="AE30" s="9">
        <f>'CF DRIVERS'!AE30</f>
        <v/>
      </c>
      <c r="AF30" s="9">
        <f>'CF DRIVERS'!AF30</f>
        <v/>
      </c>
      <c r="AG30" s="9">
        <f>'CF DRIVERS'!AG30</f>
        <v/>
      </c>
    </row>
    <row r="31">
      <c r="A31" s="3" t="inlineStr">
        <is>
          <t>Net Change in Other Working Capital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FLOW'!C28-'YTD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FLOW'!D28-'YTD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FLOW'!E28-'YTD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FLOW'!F28-'YTD CF'!M31</f>
        <v/>
      </c>
      <c r="R31" s="9">
        <f>'CF DRIVERS'!R31</f>
        <v/>
      </c>
      <c r="S31" s="9">
        <f>'CF DRIVERS'!S31</f>
        <v/>
      </c>
      <c r="T31" s="9">
        <f>'CF DRIVERS'!T31</f>
        <v/>
      </c>
      <c r="U31" s="9">
        <f>'CF DRIVERS'!U31</f>
        <v/>
      </c>
      <c r="V31" s="9">
        <f>'CF DRIVERS'!V31</f>
        <v/>
      </c>
      <c r="W31" s="9">
        <f>'CF DRIVERS'!W31</f>
        <v/>
      </c>
      <c r="X31" s="9">
        <f>'CF DRIVERS'!X31</f>
        <v/>
      </c>
      <c r="Y31" s="9">
        <f>'CF DRIVERS'!Y31</f>
        <v/>
      </c>
      <c r="Z31" s="9">
        <f>'CF DRIVERS'!Z31</f>
        <v/>
      </c>
      <c r="AA31" s="9">
        <f>'CF DRIVERS'!AA31</f>
        <v/>
      </c>
      <c r="AB31" s="9">
        <f>'CF DRIVERS'!AB31</f>
        <v/>
      </c>
      <c r="AC31" s="9">
        <f>'CF DRIVERS'!AC31</f>
        <v/>
      </c>
      <c r="AD31" s="9">
        <f>'CF DRIVERS'!AD31</f>
        <v/>
      </c>
      <c r="AE31" s="9">
        <f>'CF DRIVERS'!AE31</f>
        <v/>
      </c>
      <c r="AF31" s="9">
        <f>'CF DRIVERS'!AF31</f>
        <v/>
      </c>
      <c r="AG31" s="9">
        <f>'CF DRIVERS'!AG31</f>
        <v/>
      </c>
    </row>
    <row r="32">
      <c r="A32" s="3" t="inlineStr">
        <is>
          <t>Cash Flow from Operations</t>
        </is>
      </c>
      <c r="B32" s="6">
        <f>'YTD CF'!B32</f>
        <v/>
      </c>
      <c r="C32" s="6">
        <f>'YTD CF'!C32-'YTD CF'!B32</f>
        <v/>
      </c>
      <c r="D32" s="6">
        <f>'YTD CF'!D32-'YTD CF'!C32</f>
        <v/>
      </c>
      <c r="E32" s="6">
        <f>'CASH FLOW'!C29-'YTD CF'!D32</f>
        <v/>
      </c>
      <c r="F32" s="6">
        <f>'YTD CF'!E32</f>
        <v/>
      </c>
      <c r="G32" s="6">
        <f>'YTD CF'!F32-'YTD CF'!E32</f>
        <v/>
      </c>
      <c r="H32" s="6">
        <f>'YTD CF'!G32-'YTD CF'!F32</f>
        <v/>
      </c>
      <c r="I32" s="6">
        <f>'CASH FLOW'!D29-'YTD CF'!G32</f>
        <v/>
      </c>
      <c r="J32" s="6">
        <f>'YTD CF'!H32</f>
        <v/>
      </c>
      <c r="K32" s="6">
        <f>'YTD CF'!I32-'YTD CF'!H32</f>
        <v/>
      </c>
      <c r="L32" s="6">
        <f>'YTD CF'!J32-'YTD CF'!I32</f>
        <v/>
      </c>
      <c r="M32" s="6">
        <f>'CASH FLOW'!E29-'YTD CF'!J32</f>
        <v/>
      </c>
      <c r="N32" s="6">
        <f>'YTD CF'!K32</f>
        <v/>
      </c>
      <c r="O32" s="6">
        <f>'YTD CF'!L32-'YTD CF'!K32</f>
        <v/>
      </c>
      <c r="P32" s="6">
        <f>'YTD CF'!M32-'YTD CF'!L32</f>
        <v/>
      </c>
      <c r="Q32" s="6">
        <f>'CASH FLOW'!F29-'YTD CF'!M32</f>
        <v/>
      </c>
      <c r="R32" s="7">
        <f>SUM(R2:R31)</f>
        <v/>
      </c>
      <c r="S32" s="7">
        <f>SUM(S2:S31)</f>
        <v/>
      </c>
      <c r="T32" s="7">
        <f>SUM(T2:T31)</f>
        <v/>
      </c>
      <c r="U32" s="7">
        <f>SUM(U2:U31)</f>
        <v/>
      </c>
      <c r="V32" s="7">
        <f>SUM(V2:V31)</f>
        <v/>
      </c>
      <c r="W32" s="7">
        <f>SUM(W2:W31)</f>
        <v/>
      </c>
      <c r="X32" s="7">
        <f>SUM(X2:X31)</f>
        <v/>
      </c>
      <c r="Y32" s="7">
        <f>SUM(Y2:Y31)</f>
        <v/>
      </c>
      <c r="Z32" s="7">
        <f>SUM(Z2:Z31)</f>
        <v/>
      </c>
      <c r="AA32" s="7">
        <f>SUM(AA2:AA31)</f>
        <v/>
      </c>
      <c r="AB32" s="7">
        <f>SUM(AB2:AB31)</f>
        <v/>
      </c>
      <c r="AC32" s="7">
        <f>SUM(AC2:AC31)</f>
        <v/>
      </c>
      <c r="AD32" s="7">
        <f>SUM(AD2:AD31)</f>
        <v/>
      </c>
      <c r="AE32" s="7">
        <f>SUM(AE2:AE31)</f>
        <v/>
      </c>
      <c r="AF32" s="7">
        <f>SUM(AF2:AF31)</f>
        <v/>
      </c>
      <c r="AG32" s="7">
        <f>SUM(AG2:AG31)</f>
        <v/>
      </c>
    </row>
    <row r="33">
      <c r="A33" s="3" t="inlineStr">
        <is>
          <t>Collections from Note Receivable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FLOW'!C30-'YTD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FLOW'!D30-'YTD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FLOW'!E30-'YTD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FLOW'!F30-'YTD CF'!M33</f>
        <v/>
      </c>
      <c r="R33" s="9">
        <f>'CF DRIVERS'!R32</f>
        <v/>
      </c>
      <c r="S33" s="9">
        <f>'CF DRIVERS'!S32</f>
        <v/>
      </c>
      <c r="T33" s="9">
        <f>'CF DRIVERS'!T32</f>
        <v/>
      </c>
      <c r="U33" s="9">
        <f>'CF DRIVERS'!U32</f>
        <v/>
      </c>
      <c r="V33" s="9">
        <f>'CF DRIVERS'!V32</f>
        <v/>
      </c>
      <c r="W33" s="9">
        <f>'CF DRIVERS'!W32</f>
        <v/>
      </c>
      <c r="X33" s="9">
        <f>'CF DRIVERS'!X32</f>
        <v/>
      </c>
      <c r="Y33" s="9">
        <f>'CF DRIVERS'!Y32</f>
        <v/>
      </c>
      <c r="Z33" s="9">
        <f>'CF DRIVERS'!Z32</f>
        <v/>
      </c>
      <c r="AA33" s="9">
        <f>'CF DRIVERS'!AA32</f>
        <v/>
      </c>
      <c r="AB33" s="9">
        <f>'CF DRIVERS'!AB32</f>
        <v/>
      </c>
      <c r="AC33" s="9">
        <f>'CF DRIVERS'!AC32</f>
        <v/>
      </c>
      <c r="AD33" s="9">
        <f>'CF DRIVERS'!AD32</f>
        <v/>
      </c>
      <c r="AE33" s="9">
        <f>'CF DRIVERS'!AE32</f>
        <v/>
      </c>
      <c r="AF33" s="9">
        <f>'CF DRIVERS'!AF32</f>
        <v/>
      </c>
      <c r="AG33" s="9">
        <f>'CF DRIVERS'!AG32</f>
        <v/>
      </c>
    </row>
    <row r="34">
      <c r="A34" s="3" t="inlineStr">
        <is>
          <t>Purchase of PP&amp;E</t>
        </is>
      </c>
      <c r="B34" s="4">
        <f>'YTD CF'!B34</f>
        <v/>
      </c>
      <c r="C34" s="4">
        <f>'YTD CF'!C34-'YTD CF'!B34</f>
        <v/>
      </c>
      <c r="D34" s="4">
        <f>'YTD CF'!D34-'YTD CF'!C34</f>
        <v/>
      </c>
      <c r="E34" s="4">
        <f>'CASH FLOW'!C31-'YTD CF'!D34</f>
        <v/>
      </c>
      <c r="F34" s="4">
        <f>'YTD CF'!E34</f>
        <v/>
      </c>
      <c r="G34" s="4">
        <f>'YTD CF'!F34-'YTD CF'!E34</f>
        <v/>
      </c>
      <c r="H34" s="4">
        <f>'YTD CF'!G34-'YTD CF'!F34</f>
        <v/>
      </c>
      <c r="I34" s="4">
        <f>'CASH FLOW'!D31-'YTD CF'!G34</f>
        <v/>
      </c>
      <c r="J34" s="4">
        <f>'YTD CF'!H34</f>
        <v/>
      </c>
      <c r="K34" s="4">
        <f>'YTD CF'!I34-'YTD CF'!H34</f>
        <v/>
      </c>
      <c r="L34" s="4">
        <f>'YTD CF'!J34-'YTD CF'!I34</f>
        <v/>
      </c>
      <c r="M34" s="4">
        <f>'CASH FLOW'!E31-'YTD CF'!J34</f>
        <v/>
      </c>
      <c r="N34" s="4">
        <f>'YTD CF'!K34</f>
        <v/>
      </c>
      <c r="O34" s="4">
        <f>'YTD CF'!L34-'YTD CF'!K34</f>
        <v/>
      </c>
      <c r="P34" s="4">
        <f>'YTD CF'!M34-'YTD CF'!L34</f>
        <v/>
      </c>
      <c r="Q34" s="4">
        <f>'CASH FLOW'!F31-'YTD CF'!M34</f>
        <v/>
      </c>
      <c r="R34" s="9">
        <f>'QTR P&amp;L'!R2*'CF DRIVERS'!R33</f>
        <v/>
      </c>
      <c r="S34" s="9">
        <f>'QTR P&amp;L'!S2*'CF DRIVERS'!S33</f>
        <v/>
      </c>
      <c r="T34" s="9">
        <f>'QTR P&amp;L'!T2*'CF DRIVERS'!T33</f>
        <v/>
      </c>
      <c r="U34" s="9">
        <f>'QTR P&amp;L'!U2*'CF DRIVERS'!U33</f>
        <v/>
      </c>
      <c r="V34" s="9">
        <f>'QTR P&amp;L'!V2*'CF DRIVERS'!V33</f>
        <v/>
      </c>
      <c r="W34" s="9">
        <f>'QTR P&amp;L'!W2*'CF DRIVERS'!W33</f>
        <v/>
      </c>
      <c r="X34" s="9">
        <f>'QTR P&amp;L'!X2*'CF DRIVERS'!X33</f>
        <v/>
      </c>
      <c r="Y34" s="9">
        <f>'QTR P&amp;L'!Y2*'CF DRIVERS'!Y33</f>
        <v/>
      </c>
      <c r="Z34" s="9">
        <f>'QTR P&amp;L'!Z2*'CF DRIVERS'!Z33</f>
        <v/>
      </c>
      <c r="AA34" s="9">
        <f>'QTR P&amp;L'!AA2*'CF DRIVERS'!AA33</f>
        <v/>
      </c>
      <c r="AB34" s="9">
        <f>'QTR P&amp;L'!AB2*'CF DRIVERS'!AB33</f>
        <v/>
      </c>
      <c r="AC34" s="9">
        <f>'QTR P&amp;L'!AC2*'CF DRIVERS'!AC33</f>
        <v/>
      </c>
      <c r="AD34" s="9">
        <f>'QTR P&amp;L'!AD2*'CF DRIVERS'!AD33</f>
        <v/>
      </c>
      <c r="AE34" s="9">
        <f>'QTR P&amp;L'!AE2*'CF DRIVERS'!AE33</f>
        <v/>
      </c>
      <c r="AF34" s="9">
        <f>'QTR P&amp;L'!AF2*'CF DRIVERS'!AF33</f>
        <v/>
      </c>
      <c r="AG34" s="9">
        <f>'QTR P&amp;L'!AG2*'CF DRIVERS'!AG33</f>
        <v/>
      </c>
    </row>
    <row r="35">
      <c r="A35" s="3" t="inlineStr">
        <is>
          <t>Purchase of Non-Marketable Equity Securities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FLOW'!C32-'YTD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FLOW'!D32-'YTD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FLOW'!E32-'YTD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FLOW'!F32-'YTD CF'!M35</f>
        <v/>
      </c>
      <c r="R35" s="9">
        <f>'CF DRIVERS'!R34</f>
        <v/>
      </c>
      <c r="S35" s="9">
        <f>'CF DRIVERS'!S34</f>
        <v/>
      </c>
      <c r="T35" s="9">
        <f>'CF DRIVERS'!T34</f>
        <v/>
      </c>
      <c r="U35" s="9">
        <f>'CF DRIVERS'!U34</f>
        <v/>
      </c>
      <c r="V35" s="9">
        <f>'CF DRIVERS'!V34</f>
        <v/>
      </c>
      <c r="W35" s="9">
        <f>'CF DRIVERS'!W34</f>
        <v/>
      </c>
      <c r="X35" s="9">
        <f>'CF DRIVERS'!X34</f>
        <v/>
      </c>
      <c r="Y35" s="9">
        <f>'CF DRIVERS'!Y34</f>
        <v/>
      </c>
      <c r="Z35" s="9">
        <f>'CF DRIVERS'!Z34</f>
        <v/>
      </c>
      <c r="AA35" s="9">
        <f>'CF DRIVERS'!AA34</f>
        <v/>
      </c>
      <c r="AB35" s="9">
        <f>'CF DRIVERS'!AB34</f>
        <v/>
      </c>
      <c r="AC35" s="9">
        <f>'CF DRIVERS'!AC34</f>
        <v/>
      </c>
      <c r="AD35" s="9">
        <f>'CF DRIVERS'!AD34</f>
        <v/>
      </c>
      <c r="AE35" s="9">
        <f>'CF DRIVERS'!AE34</f>
        <v/>
      </c>
      <c r="AF35" s="9">
        <f>'CF DRIVERS'!AF34</f>
        <v/>
      </c>
      <c r="AG35" s="9">
        <f>'CF DRIVERS'!AG34</f>
        <v/>
      </c>
    </row>
    <row r="36">
      <c r="A36" s="3" t="inlineStr">
        <is>
          <t>Acquisition of Big Beverages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FLOW'!C33-'YTD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FLOW'!D33-'YTD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FLOW'!E33-'YTD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FLOW'!F33-'YTD CF'!M36</f>
        <v/>
      </c>
      <c r="R36" s="9">
        <f>'CF DRIVERS'!R35</f>
        <v/>
      </c>
      <c r="S36" s="9">
        <f>'CF DRIVERS'!S35</f>
        <v/>
      </c>
      <c r="T36" s="9">
        <f>'CF DRIVERS'!T35</f>
        <v/>
      </c>
      <c r="U36" s="9">
        <f>'CF DRIVERS'!U35</f>
        <v/>
      </c>
      <c r="V36" s="9">
        <f>'CF DRIVERS'!V35</f>
        <v/>
      </c>
      <c r="W36" s="9">
        <f>'CF DRIVERS'!W35</f>
        <v/>
      </c>
      <c r="X36" s="9">
        <f>'CF DRIVERS'!X35</f>
        <v/>
      </c>
      <c r="Y36" s="9">
        <f>'CF DRIVERS'!Y35</f>
        <v/>
      </c>
      <c r="Z36" s="9">
        <f>'CF DRIVERS'!Z35</f>
        <v/>
      </c>
      <c r="AA36" s="9">
        <f>'CF DRIVERS'!AA35</f>
        <v/>
      </c>
      <c r="AB36" s="9">
        <f>'CF DRIVERS'!AB35</f>
        <v/>
      </c>
      <c r="AC36" s="9">
        <f>'CF DRIVERS'!AC35</f>
        <v/>
      </c>
      <c r="AD36" s="9">
        <f>'CF DRIVERS'!AD35</f>
        <v/>
      </c>
      <c r="AE36" s="9">
        <f>'CF DRIVERS'!AE35</f>
        <v/>
      </c>
      <c r="AF36" s="9">
        <f>'CF DRIVERS'!AF35</f>
        <v/>
      </c>
      <c r="AG36" s="9">
        <f>'CF DRIVERS'!AG35</f>
        <v/>
      </c>
    </row>
    <row r="37">
      <c r="A37" s="3" t="inlineStr">
        <is>
          <t>Acquisitions, Net of Cash Acquired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FLOW'!C34-'YTD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FLOW'!D34-'YTD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FLOW'!E34-'YTD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FLOW'!F34-'YTD CF'!M37</f>
        <v/>
      </c>
      <c r="R37" s="9">
        <f>'CF DRIVERS'!R36</f>
        <v/>
      </c>
      <c r="S37" s="9">
        <f>'CF DRIVERS'!S36</f>
        <v/>
      </c>
      <c r="T37" s="9">
        <f>'CF DRIVERS'!T36</f>
        <v/>
      </c>
      <c r="U37" s="9">
        <f>'CF DRIVERS'!U36</f>
        <v/>
      </c>
      <c r="V37" s="9">
        <f>'CF DRIVERS'!V36</f>
        <v/>
      </c>
      <c r="W37" s="9">
        <f>'CF DRIVERS'!W36</f>
        <v/>
      </c>
      <c r="X37" s="9">
        <f>'CF DRIVERS'!X36</f>
        <v/>
      </c>
      <c r="Y37" s="9">
        <f>'CF DRIVERS'!Y36</f>
        <v/>
      </c>
      <c r="Z37" s="9">
        <f>'CF DRIVERS'!Z36</f>
        <v/>
      </c>
      <c r="AA37" s="9">
        <f>'CF DRIVERS'!AA36</f>
        <v/>
      </c>
      <c r="AB37" s="9">
        <f>'CF DRIVERS'!AB36</f>
        <v/>
      </c>
      <c r="AC37" s="9">
        <f>'CF DRIVERS'!AC36</f>
        <v/>
      </c>
      <c r="AD37" s="9">
        <f>'CF DRIVERS'!AD36</f>
        <v/>
      </c>
      <c r="AE37" s="9">
        <f>'CF DRIVERS'!AE36</f>
        <v/>
      </c>
      <c r="AF37" s="9">
        <f>'CF DRIVERS'!AF36</f>
        <v/>
      </c>
      <c r="AG37" s="9">
        <f>'CF DRIVERS'!AG36</f>
        <v/>
      </c>
    </row>
    <row r="38">
      <c r="A38" s="3" t="inlineStr">
        <is>
          <t>Working Capital Estimate from Pepsi (Rockstar)</t>
        </is>
      </c>
      <c r="R38" s="9">
        <f>'CF DRIVERS'!R37</f>
        <v/>
      </c>
      <c r="S38" s="9">
        <f>'CF DRIVERS'!S37</f>
        <v/>
      </c>
      <c r="T38" s="9">
        <f>'CF DRIVERS'!T37</f>
        <v/>
      </c>
      <c r="U38" s="9">
        <f>'CF DRIVERS'!U37</f>
        <v/>
      </c>
      <c r="V38" s="9">
        <f>'CF DRIVERS'!V37</f>
        <v/>
      </c>
      <c r="W38" s="9">
        <f>'CF DRIVERS'!W37</f>
        <v/>
      </c>
      <c r="X38" s="9">
        <f>'CF DRIVERS'!X37</f>
        <v/>
      </c>
      <c r="Y38" s="9">
        <f>'CF DRIVERS'!Y37</f>
        <v/>
      </c>
      <c r="Z38" s="9">
        <f>'CF DRIVERS'!Z37</f>
        <v/>
      </c>
      <c r="AA38" s="9">
        <f>'CF DRIVERS'!AA37</f>
        <v/>
      </c>
      <c r="AB38" s="9">
        <f>'CF DRIVERS'!AB37</f>
        <v/>
      </c>
      <c r="AC38" s="9">
        <f>'CF DRIVERS'!AC37</f>
        <v/>
      </c>
      <c r="AD38" s="9">
        <f>'CF DRIVERS'!AD37</f>
        <v/>
      </c>
      <c r="AE38" s="9">
        <f>'CF DRIVERS'!AE37</f>
        <v/>
      </c>
      <c r="AF38" s="9">
        <f>'CF DRIVERS'!AF37</f>
        <v/>
      </c>
      <c r="AG38" s="9">
        <f>'CF DRIVERS'!AG37</f>
        <v/>
      </c>
    </row>
    <row r="39">
      <c r="A39" s="3" t="inlineStr">
        <is>
          <t>Cash Flow from Investing</t>
        </is>
      </c>
      <c r="B39" s="6">
        <f>'YTD CF'!B39</f>
        <v/>
      </c>
      <c r="C39" s="6">
        <f>'YTD CF'!C39-'YTD CF'!B39</f>
        <v/>
      </c>
      <c r="D39" s="6">
        <f>'YTD CF'!D39-'YTD CF'!C39</f>
        <v/>
      </c>
      <c r="E39" s="6">
        <f>'CASH FLOW'!C36-'YTD CF'!D39</f>
        <v/>
      </c>
      <c r="F39" s="6">
        <f>'YTD CF'!E39</f>
        <v/>
      </c>
      <c r="G39" s="6">
        <f>'YTD CF'!F39-'YTD CF'!E39</f>
        <v/>
      </c>
      <c r="H39" s="6">
        <f>'YTD CF'!G39-'YTD CF'!F39</f>
        <v/>
      </c>
      <c r="I39" s="6">
        <f>'CASH FLOW'!D36-'YTD CF'!G39</f>
        <v/>
      </c>
      <c r="J39" s="6">
        <f>'YTD CF'!H39</f>
        <v/>
      </c>
      <c r="K39" s="6">
        <f>'YTD CF'!I39-'YTD CF'!H39</f>
        <v/>
      </c>
      <c r="L39" s="6">
        <f>'YTD CF'!J39-'YTD CF'!I39</f>
        <v/>
      </c>
      <c r="M39" s="6">
        <f>'CASH FLOW'!E36-'YTD CF'!J39</f>
        <v/>
      </c>
      <c r="N39" s="6">
        <f>'YTD CF'!K39</f>
        <v/>
      </c>
      <c r="O39" s="6">
        <f>'YTD CF'!L39-'YTD CF'!K39</f>
        <v/>
      </c>
      <c r="P39" s="6">
        <f>'YTD CF'!M39-'YTD CF'!L39</f>
        <v/>
      </c>
      <c r="Q39" s="6">
        <f>'CASH FLOW'!F36-'YTD CF'!M39</f>
        <v/>
      </c>
      <c r="R39" s="7">
        <f>SUM(R33:R38)</f>
        <v/>
      </c>
      <c r="S39" s="7">
        <f>SUM(S33:S38)</f>
        <v/>
      </c>
      <c r="T39" s="7">
        <f>SUM(T33:T38)</f>
        <v/>
      </c>
      <c r="U39" s="7">
        <f>SUM(U33:U38)</f>
        <v/>
      </c>
      <c r="V39" s="7">
        <f>SUM(V33:V38)</f>
        <v/>
      </c>
      <c r="W39" s="7">
        <f>SUM(W33:W38)</f>
        <v/>
      </c>
      <c r="X39" s="7">
        <f>SUM(X33:X38)</f>
        <v/>
      </c>
      <c r="Y39" s="7">
        <f>SUM(Y33:Y38)</f>
        <v/>
      </c>
      <c r="Z39" s="7">
        <f>SUM(Z33:Z38)</f>
        <v/>
      </c>
      <c r="AA39" s="7">
        <f>SUM(AA33:AA38)</f>
        <v/>
      </c>
      <c r="AB39" s="7">
        <f>SUM(AB33:AB38)</f>
        <v/>
      </c>
      <c r="AC39" s="7">
        <f>SUM(AC33:AC38)</f>
        <v/>
      </c>
      <c r="AD39" s="7">
        <f>SUM(AD33:AD38)</f>
        <v/>
      </c>
      <c r="AE39" s="7">
        <f>SUM(AE33:AE38)</f>
        <v/>
      </c>
      <c r="AF39" s="7">
        <f>SUM(AF33:AF38)</f>
        <v/>
      </c>
      <c r="AG39" s="7">
        <f>SUM(AG33:AG38)</f>
        <v/>
      </c>
    </row>
    <row r="40">
      <c r="A40" s="3" t="inlineStr">
        <is>
          <t>Finance Lease Payments</t>
        </is>
      </c>
      <c r="B40" s="4">
        <f>'YTD CF'!B40</f>
        <v/>
      </c>
      <c r="C40" s="4">
        <f>'YTD CF'!C40-'YTD CF'!B40</f>
        <v/>
      </c>
      <c r="D40" s="4">
        <f>'YTD CF'!D40-'YTD CF'!C40</f>
        <v/>
      </c>
      <c r="E40" s="4">
        <f>'CASH FLOW'!C37-'YTD CF'!D40</f>
        <v/>
      </c>
      <c r="F40" s="4">
        <f>'YTD CF'!E40</f>
        <v/>
      </c>
      <c r="G40" s="4">
        <f>'YTD CF'!F40-'YTD CF'!E40</f>
        <v/>
      </c>
      <c r="H40" s="4">
        <f>'YTD CF'!G40-'YTD CF'!F40</f>
        <v/>
      </c>
      <c r="I40" s="4">
        <f>'CASH FLOW'!D37-'YTD CF'!G40</f>
        <v/>
      </c>
      <c r="J40" s="4">
        <f>'YTD CF'!H40</f>
        <v/>
      </c>
      <c r="K40" s="4">
        <f>'YTD CF'!I40-'YTD CF'!H40</f>
        <v/>
      </c>
      <c r="L40" s="4">
        <f>'YTD CF'!J40-'YTD CF'!I40</f>
        <v/>
      </c>
      <c r="M40" s="4">
        <f>'CASH FLOW'!E37-'YTD CF'!J40</f>
        <v/>
      </c>
      <c r="N40" s="4">
        <f>'YTD CF'!K40</f>
        <v/>
      </c>
      <c r="O40" s="4">
        <f>'YTD CF'!L40-'YTD CF'!K40</f>
        <v/>
      </c>
      <c r="P40" s="4">
        <f>'YTD CF'!M40-'YTD CF'!L40</f>
        <v/>
      </c>
      <c r="Q40" s="4">
        <f>'CASH FLOW'!F37-'YTD CF'!M40</f>
        <v/>
      </c>
      <c r="R40" s="9">
        <f>'CF DRIVERS'!R38</f>
        <v/>
      </c>
      <c r="S40" s="9">
        <f>'CF DRIVERS'!S38</f>
        <v/>
      </c>
      <c r="T40" s="9">
        <f>'CF DRIVERS'!T38</f>
        <v/>
      </c>
      <c r="U40" s="9">
        <f>'CF DRIVERS'!U38</f>
        <v/>
      </c>
      <c r="V40" s="9">
        <f>'CF DRIVERS'!V38</f>
        <v/>
      </c>
      <c r="W40" s="9">
        <f>'CF DRIVERS'!W38</f>
        <v/>
      </c>
      <c r="X40" s="9">
        <f>'CF DRIVERS'!X38</f>
        <v/>
      </c>
      <c r="Y40" s="9">
        <f>'CF DRIVERS'!Y38</f>
        <v/>
      </c>
      <c r="Z40" s="9">
        <f>'CF DRIVERS'!Z38</f>
        <v/>
      </c>
      <c r="AA40" s="9">
        <f>'CF DRIVERS'!AA38</f>
        <v/>
      </c>
      <c r="AB40" s="9">
        <f>'CF DRIVERS'!AB38</f>
        <v/>
      </c>
      <c r="AC40" s="9">
        <f>'CF DRIVERS'!AC38</f>
        <v/>
      </c>
      <c r="AD40" s="9">
        <f>'CF DRIVERS'!AD38</f>
        <v/>
      </c>
      <c r="AE40" s="9">
        <f>'CF DRIVERS'!AE38</f>
        <v/>
      </c>
      <c r="AF40" s="9">
        <f>'CF DRIVERS'!AF38</f>
        <v/>
      </c>
      <c r="AG40" s="9">
        <f>'CF DRIVERS'!AG38</f>
        <v/>
      </c>
    </row>
    <row r="41">
      <c r="A41" s="3" t="inlineStr">
        <is>
          <t>Proceeds from Exercise of Stock Options</t>
        </is>
      </c>
      <c r="B41" s="4">
        <f>'YTD CF'!B41</f>
        <v/>
      </c>
      <c r="C41" s="4">
        <f>'YTD CF'!C41-'YTD CF'!B41</f>
        <v/>
      </c>
      <c r="D41" s="4">
        <f>'YTD CF'!D41-'YTD CF'!C41</f>
        <v/>
      </c>
      <c r="E41" s="4">
        <f>'CASH FLOW'!C38-'YTD CF'!D41</f>
        <v/>
      </c>
      <c r="F41" s="4">
        <f>'YTD CF'!E41</f>
        <v/>
      </c>
      <c r="G41" s="4">
        <f>'YTD CF'!F41-'YTD CF'!E41</f>
        <v/>
      </c>
      <c r="H41" s="4">
        <f>'YTD CF'!G41-'YTD CF'!F41</f>
        <v/>
      </c>
      <c r="I41" s="4">
        <f>'CASH FLOW'!D38-'YTD CF'!G41</f>
        <v/>
      </c>
      <c r="J41" s="4">
        <f>'YTD CF'!H41</f>
        <v/>
      </c>
      <c r="K41" s="4">
        <f>'YTD CF'!I41-'YTD CF'!H41</f>
        <v/>
      </c>
      <c r="L41" s="4">
        <f>'YTD CF'!J41-'YTD CF'!I41</f>
        <v/>
      </c>
      <c r="M41" s="4">
        <f>'CASH FLOW'!E38-'YTD CF'!J41</f>
        <v/>
      </c>
      <c r="N41" s="4">
        <f>'YTD CF'!K41</f>
        <v/>
      </c>
      <c r="O41" s="4">
        <f>'YTD CF'!L41-'YTD CF'!K41</f>
        <v/>
      </c>
      <c r="P41" s="4">
        <f>'YTD CF'!M41-'YTD CF'!L41</f>
        <v/>
      </c>
      <c r="Q41" s="4">
        <f>'CASH FLOW'!F38-'YTD CF'!M41</f>
        <v/>
      </c>
      <c r="R41" s="9">
        <f>'CF DRIVERS'!R39</f>
        <v/>
      </c>
      <c r="S41" s="9">
        <f>'CF DRIVERS'!S39</f>
        <v/>
      </c>
      <c r="T41" s="9">
        <f>'CF DRIVERS'!T39</f>
        <v/>
      </c>
      <c r="U41" s="9">
        <f>'CF DRIVERS'!U39</f>
        <v/>
      </c>
      <c r="V41" s="9">
        <f>'CF DRIVERS'!V39</f>
        <v/>
      </c>
      <c r="W41" s="9">
        <f>'CF DRIVERS'!W39</f>
        <v/>
      </c>
      <c r="X41" s="9">
        <f>'CF DRIVERS'!X39</f>
        <v/>
      </c>
      <c r="Y41" s="9">
        <f>'CF DRIVERS'!Y39</f>
        <v/>
      </c>
      <c r="Z41" s="9">
        <f>'CF DRIVERS'!Z39</f>
        <v/>
      </c>
      <c r="AA41" s="9">
        <f>'CF DRIVERS'!AA39</f>
        <v/>
      </c>
      <c r="AB41" s="9">
        <f>'CF DRIVERS'!AB39</f>
        <v/>
      </c>
      <c r="AC41" s="9">
        <f>'CF DRIVERS'!AC39</f>
        <v/>
      </c>
      <c r="AD41" s="9">
        <f>'CF DRIVERS'!AD39</f>
        <v/>
      </c>
      <c r="AE41" s="9">
        <f>'CF DRIVERS'!AE39</f>
        <v/>
      </c>
      <c r="AF41" s="9">
        <f>'CF DRIVERS'!AF39</f>
        <v/>
      </c>
      <c r="AG41" s="9">
        <f>'CF DRIVERS'!AG39</f>
        <v/>
      </c>
    </row>
    <row r="42">
      <c r="A42" s="3" t="inlineStr">
        <is>
          <t>Proceeds from Issuance of Common Stock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FLOW'!C39-'YTD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FLOW'!D39-'YTD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FLOW'!E39-'YTD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FLOW'!F39-'YTD CF'!M42</f>
        <v/>
      </c>
      <c r="R42" s="9">
        <f>'CF DRIVERS'!R40</f>
        <v/>
      </c>
      <c r="S42" s="9">
        <f>'CF DRIVERS'!S40</f>
        <v/>
      </c>
      <c r="T42" s="9">
        <f>'CF DRIVERS'!T40</f>
        <v/>
      </c>
      <c r="U42" s="9">
        <f>'CF DRIVERS'!U40</f>
        <v/>
      </c>
      <c r="V42" s="9">
        <f>'CF DRIVERS'!V40</f>
        <v/>
      </c>
      <c r="W42" s="9">
        <f>'CF DRIVERS'!W40</f>
        <v/>
      </c>
      <c r="X42" s="9">
        <f>'CF DRIVERS'!X40</f>
        <v/>
      </c>
      <c r="Y42" s="9">
        <f>'CF DRIVERS'!Y40</f>
        <v/>
      </c>
      <c r="Z42" s="9">
        <f>'CF DRIVERS'!Z40</f>
        <v/>
      </c>
      <c r="AA42" s="9">
        <f>'CF DRIVERS'!AA40</f>
        <v/>
      </c>
      <c r="AB42" s="9">
        <f>'CF DRIVERS'!AB40</f>
        <v/>
      </c>
      <c r="AC42" s="9">
        <f>'CF DRIVERS'!AC40</f>
        <v/>
      </c>
      <c r="AD42" s="9">
        <f>'CF DRIVERS'!AD40</f>
        <v/>
      </c>
      <c r="AE42" s="9">
        <f>'CF DRIVERS'!AE40</f>
        <v/>
      </c>
      <c r="AF42" s="9">
        <f>'CF DRIVERS'!AF40</f>
        <v/>
      </c>
      <c r="AG42" s="9">
        <f>'CF DRIVERS'!AG40</f>
        <v/>
      </c>
    </row>
    <row r="43">
      <c r="A43" s="3" t="inlineStr">
        <is>
          <t>Proceeds from Issuance of Preferred Stock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FLOW'!C40-'YTD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FLOW'!D40-'YTD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FLOW'!E40-'YTD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FLOW'!F40-'YTD CF'!M43</f>
        <v/>
      </c>
      <c r="R43" s="9">
        <f>'CF DRIVERS'!R41</f>
        <v/>
      </c>
      <c r="S43" s="9">
        <f>'CF DRIVERS'!S41</f>
        <v/>
      </c>
      <c r="T43" s="9">
        <f>'CF DRIVERS'!T41</f>
        <v/>
      </c>
      <c r="U43" s="9">
        <f>'CF DRIVERS'!U41</f>
        <v/>
      </c>
      <c r="V43" s="9">
        <f>'CF DRIVERS'!V41</f>
        <v/>
      </c>
      <c r="W43" s="9">
        <f>'CF DRIVERS'!W41</f>
        <v/>
      </c>
      <c r="X43" s="9">
        <f>'CF DRIVERS'!X41</f>
        <v/>
      </c>
      <c r="Y43" s="9">
        <f>'CF DRIVERS'!Y41</f>
        <v/>
      </c>
      <c r="Z43" s="9">
        <f>'CF DRIVERS'!Z41</f>
        <v/>
      </c>
      <c r="AA43" s="9">
        <f>'CF DRIVERS'!AA41</f>
        <v/>
      </c>
      <c r="AB43" s="9">
        <f>'CF DRIVERS'!AB41</f>
        <v/>
      </c>
      <c r="AC43" s="9">
        <f>'CF DRIVERS'!AC41</f>
        <v/>
      </c>
      <c r="AD43" s="9">
        <f>'CF DRIVERS'!AD41</f>
        <v/>
      </c>
      <c r="AE43" s="9">
        <f>'CF DRIVERS'!AE41</f>
        <v/>
      </c>
      <c r="AF43" s="9">
        <f>'CF DRIVERS'!AF41</f>
        <v/>
      </c>
      <c r="AG43" s="9">
        <f>'CF DRIVERS'!AG41</f>
        <v/>
      </c>
    </row>
    <row r="44">
      <c r="A44" s="3" t="inlineStr">
        <is>
          <t>Preferred Dividends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FLOW'!C41-'YTD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FLOW'!D41-'YTD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FLOW'!E41-'YTD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FLOW'!F41-'YTD CF'!M44</f>
        <v/>
      </c>
      <c r="R44" s="9">
        <f>'CF DRIVERS'!R42</f>
        <v/>
      </c>
      <c r="S44" s="9">
        <f>'CF DRIVERS'!S42</f>
        <v/>
      </c>
      <c r="T44" s="9">
        <f>'CF DRIVERS'!T42</f>
        <v/>
      </c>
      <c r="U44" s="9">
        <f>'CF DRIVERS'!U42</f>
        <v/>
      </c>
      <c r="V44" s="9">
        <f>'CF DRIVERS'!V42</f>
        <v/>
      </c>
      <c r="W44" s="9">
        <f>'CF DRIVERS'!W42</f>
        <v/>
      </c>
      <c r="X44" s="9">
        <f>'CF DRIVERS'!X42</f>
        <v/>
      </c>
      <c r="Y44" s="9">
        <f>'CF DRIVERS'!Y42</f>
        <v/>
      </c>
      <c r="Z44" s="9">
        <f>'CF DRIVERS'!Z42</f>
        <v/>
      </c>
      <c r="AA44" s="9">
        <f>'CF DRIVERS'!AA42</f>
        <v/>
      </c>
      <c r="AB44" s="9">
        <f>'CF DRIVERS'!AB42</f>
        <v/>
      </c>
      <c r="AC44" s="9">
        <f>'CF DRIVERS'!AC42</f>
        <v/>
      </c>
      <c r="AD44" s="9">
        <f>'CF DRIVERS'!AD42</f>
        <v/>
      </c>
      <c r="AE44" s="9">
        <f>'CF DRIVERS'!AE42</f>
        <v/>
      </c>
      <c r="AF44" s="9">
        <f>'CF DRIVERS'!AF42</f>
        <v/>
      </c>
      <c r="AG44" s="9">
        <f>'CF DRIVERS'!AG42</f>
        <v/>
      </c>
    </row>
    <row r="45">
      <c r="A45" s="3" t="inlineStr">
        <is>
          <t>Share Repurchases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FLOW'!C42-'YTD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FLOW'!D42-'YTD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FLOW'!E42-'YTD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FLOW'!F42-'YTD CF'!M45</f>
        <v/>
      </c>
      <c r="R45" s="9">
        <f>'CF DRIVERS'!R43</f>
        <v/>
      </c>
      <c r="S45" s="9">
        <f>'CF DRIVERS'!S43</f>
        <v/>
      </c>
      <c r="T45" s="9">
        <f>'CF DRIVERS'!T43</f>
        <v/>
      </c>
      <c r="U45" s="9">
        <f>'CF DRIVERS'!U43</f>
        <v/>
      </c>
      <c r="V45" s="9">
        <f>'CF DRIVERS'!V43</f>
        <v/>
      </c>
      <c r="W45" s="9">
        <f>'CF DRIVERS'!W43</f>
        <v/>
      </c>
      <c r="X45" s="9">
        <f>'CF DRIVERS'!X43</f>
        <v/>
      </c>
      <c r="Y45" s="9">
        <f>'CF DRIVERS'!Y43</f>
        <v/>
      </c>
      <c r="Z45" s="9">
        <f>'CF DRIVERS'!Z43</f>
        <v/>
      </c>
      <c r="AA45" s="9">
        <f>'CF DRIVERS'!AA43</f>
        <v/>
      </c>
      <c r="AB45" s="9">
        <f>'CF DRIVERS'!AB43</f>
        <v/>
      </c>
      <c r="AC45" s="9">
        <f>'CF DRIVERS'!AC43</f>
        <v/>
      </c>
      <c r="AD45" s="9">
        <f>'CF DRIVERS'!AD43</f>
        <v/>
      </c>
      <c r="AE45" s="9">
        <f>'CF DRIVERS'!AE43</f>
        <v/>
      </c>
      <c r="AF45" s="9">
        <f>'CF DRIVERS'!AF43</f>
        <v/>
      </c>
      <c r="AG45" s="9">
        <f>'CF DRIVERS'!AG43</f>
        <v/>
      </c>
    </row>
    <row r="46">
      <c r="A46" s="3" t="inlineStr">
        <is>
          <t>Proceeds from Issuance of Long-Term Debt</t>
        </is>
      </c>
      <c r="B46" s="4">
        <f>'YTD CF'!B46</f>
        <v/>
      </c>
      <c r="C46" s="4">
        <f>'YTD CF'!C46-'YTD CF'!B46</f>
        <v/>
      </c>
      <c r="D46" s="4">
        <f>'YTD CF'!D46-'YTD CF'!C46</f>
        <v/>
      </c>
      <c r="E46" s="4">
        <f>'CASH FLOW'!C43-'YTD CF'!D46</f>
        <v/>
      </c>
      <c r="F46" s="4">
        <f>'YTD CF'!E46</f>
        <v/>
      </c>
      <c r="G46" s="4">
        <f>'YTD CF'!F46-'YTD CF'!E46</f>
        <v/>
      </c>
      <c r="H46" s="4">
        <f>'YTD CF'!G46-'YTD CF'!F46</f>
        <v/>
      </c>
      <c r="I46" s="4">
        <f>'CASH FLOW'!D43-'YTD CF'!G46</f>
        <v/>
      </c>
      <c r="J46" s="4">
        <f>'YTD CF'!H46</f>
        <v/>
      </c>
      <c r="K46" s="4">
        <f>'YTD CF'!I46-'YTD CF'!H46</f>
        <v/>
      </c>
      <c r="L46" s="4">
        <f>'YTD CF'!J46-'YTD CF'!I46</f>
        <v/>
      </c>
      <c r="M46" s="4">
        <f>'CASH FLOW'!E43-'YTD CF'!J46</f>
        <v/>
      </c>
      <c r="N46" s="4">
        <f>'YTD CF'!K46</f>
        <v/>
      </c>
      <c r="O46" s="4">
        <f>'YTD CF'!L46-'YTD CF'!K46</f>
        <v/>
      </c>
      <c r="P46" s="4">
        <f>'YTD CF'!M46-'YTD CF'!L46</f>
        <v/>
      </c>
      <c r="Q46" s="4">
        <f>'CASH FLOW'!F43-'YTD CF'!M46</f>
        <v/>
      </c>
      <c r="R46" s="9">
        <f>'CF DRIVERS'!R44</f>
        <v/>
      </c>
      <c r="S46" s="9">
        <f>'CF DRIVERS'!S44</f>
        <v/>
      </c>
      <c r="T46" s="9">
        <f>'CF DRIVERS'!T44</f>
        <v/>
      </c>
      <c r="U46" s="9">
        <f>'CF DRIVERS'!U44</f>
        <v/>
      </c>
      <c r="V46" s="9">
        <f>'CF DRIVERS'!V44</f>
        <v/>
      </c>
      <c r="W46" s="9">
        <f>'CF DRIVERS'!W44</f>
        <v/>
      </c>
      <c r="X46" s="9">
        <f>'CF DRIVERS'!X44</f>
        <v/>
      </c>
      <c r="Y46" s="9">
        <f>'CF DRIVERS'!Y44</f>
        <v/>
      </c>
      <c r="Z46" s="9">
        <f>'CF DRIVERS'!Z44</f>
        <v/>
      </c>
      <c r="AA46" s="9">
        <f>'CF DRIVERS'!AA44</f>
        <v/>
      </c>
      <c r="AB46" s="9">
        <f>'CF DRIVERS'!AB44</f>
        <v/>
      </c>
      <c r="AC46" s="9">
        <f>'CF DRIVERS'!AC44</f>
        <v/>
      </c>
      <c r="AD46" s="9">
        <f>'CF DRIVERS'!AD44</f>
        <v/>
      </c>
      <c r="AE46" s="9">
        <f>'CF DRIVERS'!AE44</f>
        <v/>
      </c>
      <c r="AF46" s="9">
        <f>'CF DRIVERS'!AF44</f>
        <v/>
      </c>
      <c r="AG46" s="9">
        <f>'CF DRIVERS'!AG44</f>
        <v/>
      </c>
    </row>
    <row r="47">
      <c r="A47" s="3" t="inlineStr">
        <is>
          <t>Repayments of Long-Term Debt</t>
        </is>
      </c>
      <c r="B47" s="4">
        <f>'YTD CF'!B47</f>
        <v/>
      </c>
      <c r="C47" s="4">
        <f>'YTD CF'!C47-'YTD CF'!B47</f>
        <v/>
      </c>
      <c r="D47" s="4">
        <f>'YTD CF'!D47-'YTD CF'!C47</f>
        <v/>
      </c>
      <c r="E47" s="4">
        <f>'CASH FLOW'!C44-'YTD CF'!D47</f>
        <v/>
      </c>
      <c r="F47" s="4">
        <f>'YTD CF'!E47</f>
        <v/>
      </c>
      <c r="G47" s="4">
        <f>'YTD CF'!F47-'YTD CF'!E47</f>
        <v/>
      </c>
      <c r="H47" s="4">
        <f>'YTD CF'!G47-'YTD CF'!F47</f>
        <v/>
      </c>
      <c r="I47" s="4">
        <f>'CASH FLOW'!D44-'YTD CF'!G47</f>
        <v/>
      </c>
      <c r="J47" s="4">
        <f>'YTD CF'!H47</f>
        <v/>
      </c>
      <c r="K47" s="4">
        <f>'YTD CF'!I47-'YTD CF'!H47</f>
        <v/>
      </c>
      <c r="L47" s="4">
        <f>'YTD CF'!J47-'YTD CF'!I47</f>
        <v/>
      </c>
      <c r="M47" s="4">
        <f>'CASH FLOW'!E44-'YTD CF'!J47</f>
        <v/>
      </c>
      <c r="N47" s="4">
        <f>'YTD CF'!K47</f>
        <v/>
      </c>
      <c r="O47" s="4">
        <f>'YTD CF'!L47-'YTD CF'!K47</f>
        <v/>
      </c>
      <c r="P47" s="4">
        <f>'YTD CF'!M47-'YTD CF'!L47</f>
        <v/>
      </c>
      <c r="Q47" s="4">
        <f>'CASH FLOW'!F44-'YTD CF'!M47</f>
        <v/>
      </c>
      <c r="R47" s="9">
        <f>'CF DRIVERS'!R45</f>
        <v/>
      </c>
      <c r="S47" s="9">
        <f>'CF DRIVERS'!S45</f>
        <v/>
      </c>
      <c r="T47" s="9">
        <f>'CF DRIVERS'!T45</f>
        <v/>
      </c>
      <c r="U47" s="9">
        <f>'CF DRIVERS'!U45</f>
        <v/>
      </c>
      <c r="V47" s="9">
        <f>'CF DRIVERS'!V45</f>
        <v/>
      </c>
      <c r="W47" s="9">
        <f>'CF DRIVERS'!W45</f>
        <v/>
      </c>
      <c r="X47" s="9">
        <f>'CF DRIVERS'!X45</f>
        <v/>
      </c>
      <c r="Y47" s="9">
        <f>'CF DRIVERS'!Y45</f>
        <v/>
      </c>
      <c r="Z47" s="9">
        <f>'CF DRIVERS'!Z45</f>
        <v/>
      </c>
      <c r="AA47" s="9">
        <f>'CF DRIVERS'!AA45</f>
        <v/>
      </c>
      <c r="AB47" s="9">
        <f>'CF DRIVERS'!AB45</f>
        <v/>
      </c>
      <c r="AC47" s="9">
        <f>'CF DRIVERS'!AC45</f>
        <v/>
      </c>
      <c r="AD47" s="9">
        <f>'CF DRIVERS'!AD45</f>
        <v/>
      </c>
      <c r="AE47" s="9">
        <f>'CF DRIVERS'!AE45</f>
        <v/>
      </c>
      <c r="AF47" s="9">
        <f>'CF DRIVERS'!AF45</f>
        <v/>
      </c>
      <c r="AG47" s="9">
        <f>'CF DRIVERS'!AG45</f>
        <v/>
      </c>
    </row>
    <row r="48">
      <c r="A48" s="3" t="inlineStr">
        <is>
          <t>Debt Issuance Fees</t>
        </is>
      </c>
      <c r="B48" s="4">
        <f>'YTD CF'!B48</f>
        <v/>
      </c>
      <c r="C48" s="4">
        <f>'YTD CF'!C48-'YTD CF'!B48</f>
        <v/>
      </c>
      <c r="D48" s="4">
        <f>'YTD CF'!D48-'YTD CF'!C48</f>
        <v/>
      </c>
      <c r="E48" s="4">
        <f>'CASH FLOW'!C45-'YTD CF'!D48</f>
        <v/>
      </c>
      <c r="F48" s="4">
        <f>'YTD CF'!E48</f>
        <v/>
      </c>
      <c r="G48" s="4">
        <f>'YTD CF'!F48-'YTD CF'!E48</f>
        <v/>
      </c>
      <c r="H48" s="4">
        <f>'YTD CF'!G48-'YTD CF'!F48</f>
        <v/>
      </c>
      <c r="I48" s="4">
        <f>'CASH FLOW'!D45-'YTD CF'!G48</f>
        <v/>
      </c>
      <c r="J48" s="4">
        <f>'YTD CF'!H48</f>
        <v/>
      </c>
      <c r="K48" s="4">
        <f>'YTD CF'!I48-'YTD CF'!H48</f>
        <v/>
      </c>
      <c r="L48" s="4">
        <f>'YTD CF'!J48-'YTD CF'!I48</f>
        <v/>
      </c>
      <c r="M48" s="4">
        <f>'CASH FLOW'!E45-'YTD CF'!J48</f>
        <v/>
      </c>
      <c r="N48" s="4">
        <f>'YTD CF'!K48</f>
        <v/>
      </c>
      <c r="O48" s="4">
        <f>'YTD CF'!L48-'YTD CF'!K48</f>
        <v/>
      </c>
      <c r="P48" s="4">
        <f>'YTD CF'!M48-'YTD CF'!L48</f>
        <v/>
      </c>
      <c r="Q48" s="4">
        <f>'CASH FLOW'!F45-'YTD CF'!M48</f>
        <v/>
      </c>
      <c r="R48" s="9">
        <f>'CF DRIVERS'!R46</f>
        <v/>
      </c>
      <c r="S48" s="9">
        <f>'CF DRIVERS'!S46</f>
        <v/>
      </c>
      <c r="T48" s="9">
        <f>'CF DRIVERS'!T46</f>
        <v/>
      </c>
      <c r="U48" s="9">
        <f>'CF DRIVERS'!U46</f>
        <v/>
      </c>
      <c r="V48" s="9">
        <f>'CF DRIVERS'!V46</f>
        <v/>
      </c>
      <c r="W48" s="9">
        <f>'CF DRIVERS'!W46</f>
        <v/>
      </c>
      <c r="X48" s="9">
        <f>'CF DRIVERS'!X46</f>
        <v/>
      </c>
      <c r="Y48" s="9">
        <f>'CF DRIVERS'!Y46</f>
        <v/>
      </c>
      <c r="Z48" s="9">
        <f>'CF DRIVERS'!Z46</f>
        <v/>
      </c>
      <c r="AA48" s="9">
        <f>'CF DRIVERS'!AA46</f>
        <v/>
      </c>
      <c r="AB48" s="9">
        <f>'CF DRIVERS'!AB46</f>
        <v/>
      </c>
      <c r="AC48" s="9">
        <f>'CF DRIVERS'!AC46</f>
        <v/>
      </c>
      <c r="AD48" s="9">
        <f>'CF DRIVERS'!AD46</f>
        <v/>
      </c>
      <c r="AE48" s="9">
        <f>'CF DRIVERS'!AE46</f>
        <v/>
      </c>
      <c r="AF48" s="9">
        <f>'CF DRIVERS'!AF46</f>
        <v/>
      </c>
      <c r="AG48" s="9">
        <f>'CF DRIVERS'!AG46</f>
        <v/>
      </c>
    </row>
    <row r="49">
      <c r="A49" s="3" t="inlineStr">
        <is>
          <t>Other Financing Activities</t>
        </is>
      </c>
      <c r="B49" s="4">
        <f>'YTD CF'!B49</f>
        <v/>
      </c>
      <c r="C49" s="4">
        <f>'YTD CF'!C49-'YTD CF'!B49</f>
        <v/>
      </c>
      <c r="D49" s="4">
        <f>'YTD CF'!D49-'YTD CF'!C49</f>
        <v/>
      </c>
      <c r="E49" s="4">
        <f>'CASH FLOW'!C46-'YTD CF'!D49</f>
        <v/>
      </c>
      <c r="F49" s="4">
        <f>'YTD CF'!E49</f>
        <v/>
      </c>
      <c r="G49" s="4">
        <f>'YTD CF'!F49-'YTD CF'!E49</f>
        <v/>
      </c>
      <c r="H49" s="4">
        <f>'YTD CF'!G49-'YTD CF'!F49</f>
        <v/>
      </c>
      <c r="I49" s="4">
        <f>'CASH FLOW'!D46-'YTD CF'!G49</f>
        <v/>
      </c>
      <c r="J49" s="4">
        <f>'YTD CF'!H49</f>
        <v/>
      </c>
      <c r="K49" s="4">
        <f>'YTD CF'!I49-'YTD CF'!H49</f>
        <v/>
      </c>
      <c r="L49" s="4">
        <f>'YTD CF'!J49-'YTD CF'!I49</f>
        <v/>
      </c>
      <c r="M49" s="4">
        <f>'CASH FLOW'!E46-'YTD CF'!J49</f>
        <v/>
      </c>
      <c r="N49" s="4">
        <f>'YTD CF'!K49</f>
        <v/>
      </c>
      <c r="O49" s="4">
        <f>'YTD CF'!L49-'YTD CF'!K49</f>
        <v/>
      </c>
      <c r="P49" s="4">
        <f>'YTD CF'!M49-'YTD CF'!L49</f>
        <v/>
      </c>
      <c r="Q49" s="4">
        <f>'CASH FLOW'!F46-'YTD CF'!M49</f>
        <v/>
      </c>
      <c r="R49" s="9">
        <f>'CF DRIVERS'!R47</f>
        <v/>
      </c>
      <c r="S49" s="9">
        <f>'CF DRIVERS'!S47</f>
        <v/>
      </c>
      <c r="T49" s="9">
        <f>'CF DRIVERS'!T47</f>
        <v/>
      </c>
      <c r="U49" s="9">
        <f>'CF DRIVERS'!U47</f>
        <v/>
      </c>
      <c r="V49" s="9">
        <f>'CF DRIVERS'!V47</f>
        <v/>
      </c>
      <c r="W49" s="9">
        <f>'CF DRIVERS'!W47</f>
        <v/>
      </c>
      <c r="X49" s="9">
        <f>'CF DRIVERS'!X47</f>
        <v/>
      </c>
      <c r="Y49" s="9">
        <f>'CF DRIVERS'!Y47</f>
        <v/>
      </c>
      <c r="Z49" s="9">
        <f>'CF DRIVERS'!Z47</f>
        <v/>
      </c>
      <c r="AA49" s="9">
        <f>'CF DRIVERS'!AA47</f>
        <v/>
      </c>
      <c r="AB49" s="9">
        <f>'CF DRIVERS'!AB47</f>
        <v/>
      </c>
      <c r="AC49" s="9">
        <f>'CF DRIVERS'!AC47</f>
        <v/>
      </c>
      <c r="AD49" s="9">
        <f>'CF DRIVERS'!AD47</f>
        <v/>
      </c>
      <c r="AE49" s="9">
        <f>'CF DRIVERS'!AE47</f>
        <v/>
      </c>
      <c r="AF49" s="9">
        <f>'CF DRIVERS'!AF47</f>
        <v/>
      </c>
      <c r="AG49" s="9">
        <f>'CF DRIVERS'!AG47</f>
        <v/>
      </c>
    </row>
    <row r="50">
      <c r="A50" s="3" t="inlineStr">
        <is>
          <t>Cash Flow from Financing</t>
        </is>
      </c>
      <c r="B50" s="6">
        <f>'YTD CF'!B50</f>
        <v/>
      </c>
      <c r="C50" s="6">
        <f>'YTD CF'!C50-'YTD CF'!B50</f>
        <v/>
      </c>
      <c r="D50" s="6">
        <f>'YTD CF'!D50-'YTD CF'!C50</f>
        <v/>
      </c>
      <c r="E50" s="6">
        <f>'CASH FLOW'!C47-'YTD CF'!D50</f>
        <v/>
      </c>
      <c r="F50" s="6">
        <f>'YTD CF'!E50</f>
        <v/>
      </c>
      <c r="G50" s="6">
        <f>'YTD CF'!F50-'YTD CF'!E50</f>
        <v/>
      </c>
      <c r="H50" s="6">
        <f>'YTD CF'!G50-'YTD CF'!F50</f>
        <v/>
      </c>
      <c r="I50" s="6">
        <f>'CASH FLOW'!D47-'YTD CF'!G50</f>
        <v/>
      </c>
      <c r="J50" s="6">
        <f>'YTD CF'!H50</f>
        <v/>
      </c>
      <c r="K50" s="6">
        <f>'YTD CF'!I50-'YTD CF'!H50</f>
        <v/>
      </c>
      <c r="L50" s="6">
        <f>'YTD CF'!J50-'YTD CF'!I50</f>
        <v/>
      </c>
      <c r="M50" s="6">
        <f>'CASH FLOW'!E47-'YTD CF'!J50</f>
        <v/>
      </c>
      <c r="N50" s="6">
        <f>'YTD CF'!K50</f>
        <v/>
      </c>
      <c r="O50" s="6">
        <f>'YTD CF'!L50-'YTD CF'!K50</f>
        <v/>
      </c>
      <c r="P50" s="6">
        <f>'YTD CF'!M50-'YTD CF'!L50</f>
        <v/>
      </c>
      <c r="Q50" s="6">
        <f>'CASH FLOW'!F47-'YTD CF'!M50</f>
        <v/>
      </c>
      <c r="R50" s="7">
        <f>SUM(R40:R49)</f>
        <v/>
      </c>
      <c r="S50" s="7">
        <f>SUM(S40:S49)</f>
        <v/>
      </c>
      <c r="T50" s="7">
        <f>SUM(T40:T49)</f>
        <v/>
      </c>
      <c r="U50" s="7">
        <f>SUM(U40:U49)</f>
        <v/>
      </c>
      <c r="V50" s="7">
        <f>SUM(V40:V49)</f>
        <v/>
      </c>
      <c r="W50" s="7">
        <f>SUM(W40:W49)</f>
        <v/>
      </c>
      <c r="X50" s="7">
        <f>SUM(X40:X49)</f>
        <v/>
      </c>
      <c r="Y50" s="7">
        <f>SUM(Y40:Y49)</f>
        <v/>
      </c>
      <c r="Z50" s="7">
        <f>SUM(Z40:Z49)</f>
        <v/>
      </c>
      <c r="AA50" s="7">
        <f>SUM(AA40:AA49)</f>
        <v/>
      </c>
      <c r="AB50" s="7">
        <f>SUM(AB40:AB49)</f>
        <v/>
      </c>
      <c r="AC50" s="7">
        <f>SUM(AC40:AC49)</f>
        <v/>
      </c>
      <c r="AD50" s="7">
        <f>SUM(AD40:AD49)</f>
        <v/>
      </c>
      <c r="AE50" s="7">
        <f>SUM(AE40:AE49)</f>
        <v/>
      </c>
      <c r="AF50" s="7">
        <f>SUM(AF40:AF49)</f>
        <v/>
      </c>
      <c r="AG50" s="7">
        <f>SUM(AG40:AG49)</f>
        <v/>
      </c>
    </row>
    <row r="51">
      <c r="A51" s="3" t="inlineStr">
        <is>
          <t>FX Effect on Cash</t>
        </is>
      </c>
      <c r="B51" s="4">
        <f>'YTD CF'!B51</f>
        <v/>
      </c>
      <c r="C51" s="4">
        <f>'YTD CF'!C51-'YTD CF'!B51</f>
        <v/>
      </c>
      <c r="D51" s="4">
        <f>'YTD CF'!D51-'YTD CF'!C51</f>
        <v/>
      </c>
      <c r="E51" s="4">
        <f>'CASH FLOW'!C48-'YTD CF'!D51</f>
        <v/>
      </c>
      <c r="F51" s="4">
        <f>'YTD CF'!E51</f>
        <v/>
      </c>
      <c r="G51" s="4">
        <f>'YTD CF'!F51-'YTD CF'!E51</f>
        <v/>
      </c>
      <c r="H51" s="4">
        <f>'YTD CF'!G51-'YTD CF'!F51</f>
        <v/>
      </c>
      <c r="I51" s="4">
        <f>'CASH FLOW'!D48-'YTD CF'!G51</f>
        <v/>
      </c>
      <c r="J51" s="4">
        <f>'YTD CF'!H51</f>
        <v/>
      </c>
      <c r="K51" s="4">
        <f>'YTD CF'!I51-'YTD CF'!H51</f>
        <v/>
      </c>
      <c r="L51" s="4">
        <f>'YTD CF'!J51-'YTD CF'!I51</f>
        <v/>
      </c>
      <c r="M51" s="4">
        <f>'CASH FLOW'!E48-'YTD CF'!J51</f>
        <v/>
      </c>
      <c r="N51" s="4">
        <f>'YTD CF'!K51</f>
        <v/>
      </c>
      <c r="O51" s="4">
        <f>'YTD CF'!L51-'YTD CF'!K51</f>
        <v/>
      </c>
      <c r="P51" s="4">
        <f>'YTD CF'!M51-'YTD CF'!L51</f>
        <v/>
      </c>
      <c r="Q51" s="4">
        <f>'CASH FLOW'!F48-'YTD CF'!M51</f>
        <v/>
      </c>
      <c r="R51" s="9">
        <f>'CF DRIVERS'!R48</f>
        <v/>
      </c>
      <c r="S51" s="9">
        <f>'CF DRIVERS'!S48</f>
        <v/>
      </c>
      <c r="T51" s="9">
        <f>'CF DRIVERS'!T48</f>
        <v/>
      </c>
      <c r="U51" s="9">
        <f>'CF DRIVERS'!U48</f>
        <v/>
      </c>
      <c r="V51" s="9">
        <f>'CF DRIVERS'!V48</f>
        <v/>
      </c>
      <c r="W51" s="9">
        <f>'CF DRIVERS'!W48</f>
        <v/>
      </c>
      <c r="X51" s="9">
        <f>'CF DRIVERS'!X48</f>
        <v/>
      </c>
      <c r="Y51" s="9">
        <f>'CF DRIVERS'!Y48</f>
        <v/>
      </c>
      <c r="Z51" s="9">
        <f>'CF DRIVERS'!Z48</f>
        <v/>
      </c>
      <c r="AA51" s="9">
        <f>'CF DRIVERS'!AA48</f>
        <v/>
      </c>
      <c r="AB51" s="9">
        <f>'CF DRIVERS'!AB48</f>
        <v/>
      </c>
      <c r="AC51" s="9">
        <f>'CF DRIVERS'!AC48</f>
        <v/>
      </c>
      <c r="AD51" s="9">
        <f>'CF DRIVERS'!AD48</f>
        <v/>
      </c>
      <c r="AE51" s="9">
        <f>'CF DRIVERS'!AE48</f>
        <v/>
      </c>
      <c r="AF51" s="9">
        <f>'CF DRIVERS'!AF48</f>
        <v/>
      </c>
      <c r="AG51" s="9">
        <f>'CF DRIVERS'!AG48</f>
        <v/>
      </c>
    </row>
    <row r="52">
      <c r="A52" s="3" t="inlineStr">
        <is>
          <t>Net Change in Cash</t>
        </is>
      </c>
      <c r="B52" s="6">
        <f>'YTD CF'!B52</f>
        <v/>
      </c>
      <c r="C52" s="6">
        <f>'YTD CF'!C52-'YTD CF'!B52</f>
        <v/>
      </c>
      <c r="D52" s="6">
        <f>'YTD CF'!D52-'YTD CF'!C52</f>
        <v/>
      </c>
      <c r="E52" s="6">
        <f>'CASH FLOW'!C49-'YTD CF'!D52</f>
        <v/>
      </c>
      <c r="F52" s="6">
        <f>'YTD CF'!E52</f>
        <v/>
      </c>
      <c r="G52" s="6">
        <f>'YTD CF'!F52-'YTD CF'!E52</f>
        <v/>
      </c>
      <c r="H52" s="6">
        <f>'YTD CF'!G52-'YTD CF'!F52</f>
        <v/>
      </c>
      <c r="I52" s="6">
        <f>'CASH FLOW'!D49-'YTD CF'!G52</f>
        <v/>
      </c>
      <c r="J52" s="6">
        <f>'YTD CF'!H52</f>
        <v/>
      </c>
      <c r="K52" s="6">
        <f>'YTD CF'!I52-'YTD CF'!H52</f>
        <v/>
      </c>
      <c r="L52" s="6">
        <f>'YTD CF'!J52-'YTD CF'!I52</f>
        <v/>
      </c>
      <c r="M52" s="6">
        <f>'CASH FLOW'!E49-'YTD CF'!J52</f>
        <v/>
      </c>
      <c r="N52" s="6">
        <f>'YTD CF'!K52</f>
        <v/>
      </c>
      <c r="O52" s="6">
        <f>'YTD CF'!L52-'YTD CF'!K52</f>
        <v/>
      </c>
      <c r="P52" s="6">
        <f>'YTD CF'!M52-'YTD CF'!L52</f>
        <v/>
      </c>
      <c r="Q52" s="6">
        <f>'CASH FLOW'!F49-'YTD CF'!M52</f>
        <v/>
      </c>
      <c r="R52" s="7">
        <f>R32+R39+R50+R51</f>
        <v/>
      </c>
      <c r="S52" s="7">
        <f>S32+S39+S50+S51</f>
        <v/>
      </c>
      <c r="T52" s="7">
        <f>T32+T39+T50+T51</f>
        <v/>
      </c>
      <c r="U52" s="7">
        <f>U32+U39+U50+U51</f>
        <v/>
      </c>
      <c r="V52" s="7">
        <f>V32+V39+V50+V51</f>
        <v/>
      </c>
      <c r="W52" s="7">
        <f>W32+W39+W50+W51</f>
        <v/>
      </c>
      <c r="X52" s="7">
        <f>X32+X39+X50+X51</f>
        <v/>
      </c>
      <c r="Y52" s="7">
        <f>Y32+Y39+Y50+Y51</f>
        <v/>
      </c>
      <c r="Z52" s="7">
        <f>Z32+Z39+Z50+Z51</f>
        <v/>
      </c>
      <c r="AA52" s="7">
        <f>AA32+AA39+AA50+AA51</f>
        <v/>
      </c>
      <c r="AB52" s="7">
        <f>AB32+AB39+AB50+AB51</f>
        <v/>
      </c>
      <c r="AC52" s="7">
        <f>AC32+AC39+AC50+AC51</f>
        <v/>
      </c>
      <c r="AD52" s="7">
        <f>AD32+AD39+AD50+AD51</f>
        <v/>
      </c>
      <c r="AE52" s="7">
        <f>AE32+AE39+AE50+AE51</f>
        <v/>
      </c>
      <c r="AF52" s="7">
        <f>AF32+AF39+AF50+AF51</f>
        <v/>
      </c>
      <c r="AG52" s="7">
        <f>AG32+AG39+AG50+AG51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Sales / Revenue — Growth %</t>
        </is>
      </c>
      <c r="F2" s="10">
        <f>IFERROR('QTR P&amp;L'!F2/'QTR P&amp;L'!B2-1,"")</f>
        <v/>
      </c>
      <c r="G2" s="10">
        <f>IFERROR('QTR P&amp;L'!G2/'QTR P&amp;L'!C2-1,"")</f>
        <v/>
      </c>
      <c r="H2" s="10">
        <f>IFERROR('QTR P&amp;L'!H2/'QTR P&amp;L'!D2-1,"")</f>
        <v/>
      </c>
      <c r="I2" s="10">
        <f>IFERROR('QTR P&amp;L'!I2/'QTR P&amp;L'!E2-1,"")</f>
        <v/>
      </c>
      <c r="J2" s="10">
        <f>IFERROR('QTR P&amp;L'!J2/'QTR P&amp;L'!F2-1,"")</f>
        <v/>
      </c>
      <c r="K2" s="10">
        <f>IFERROR('QTR P&amp;L'!K2/'QTR P&amp;L'!G2-1,"")</f>
        <v/>
      </c>
      <c r="L2" s="10">
        <f>IFERROR('QTR P&amp;L'!L2/'QTR P&amp;L'!H2-1,"")</f>
        <v/>
      </c>
      <c r="M2" s="10">
        <f>IFERROR('QTR P&amp;L'!M2/'QTR P&amp;L'!I2-1,"")</f>
        <v/>
      </c>
      <c r="N2" s="10">
        <f>IFERROR('QTR P&amp;L'!N2/'QTR P&amp;L'!J2-1,"")</f>
        <v/>
      </c>
      <c r="O2" s="10">
        <f>IFERROR('QTR P&amp;L'!O2/'QTR P&amp;L'!K2-1,"")</f>
        <v/>
      </c>
      <c r="P2" s="10">
        <f>IFERROR('QTR P&amp;L'!P2/'QTR P&amp;L'!L2-1,"")</f>
        <v/>
      </c>
      <c r="Q2" s="10">
        <f>IFERROR('QTR P&amp;L'!Q2/'QTR P&amp;L'!M2-1,"")</f>
        <v/>
      </c>
      <c r="R2" s="11">
        <f>Q2</f>
        <v/>
      </c>
      <c r="S2" s="11">
        <f>Q2</f>
        <v/>
      </c>
      <c r="T2" s="11">
        <f>Q2</f>
        <v/>
      </c>
      <c r="U2" s="11">
        <f>Q2</f>
        <v/>
      </c>
      <c r="V2" s="11">
        <f>Q2</f>
        <v/>
      </c>
      <c r="W2" s="11">
        <f>Q2</f>
        <v/>
      </c>
      <c r="X2" s="11">
        <f>Q2</f>
        <v/>
      </c>
      <c r="Y2" s="11">
        <f>Q2</f>
        <v/>
      </c>
      <c r="Z2" s="11">
        <f>Q2</f>
        <v/>
      </c>
      <c r="AA2" s="11">
        <f>Q2</f>
        <v/>
      </c>
      <c r="AB2" s="11">
        <f>Q2</f>
        <v/>
      </c>
      <c r="AC2" s="11">
        <f>Q2</f>
        <v/>
      </c>
      <c r="AD2" s="11">
        <f>Q2</f>
        <v/>
      </c>
      <c r="AE2" s="11">
        <f>Q2</f>
        <v/>
      </c>
      <c r="AF2" s="11">
        <f>Q2</f>
        <v/>
      </c>
      <c r="AG2" s="11">
        <f>Q2</f>
        <v/>
      </c>
    </row>
    <row r="3">
      <c r="A3" s="3" t="inlineStr">
        <is>
          <t>COGS — % of Revenue</t>
        </is>
      </c>
      <c r="B3" s="10">
        <f>IFERROR('QTR P&amp;L'!B3/'QTR P&amp;L'!B2,"")</f>
        <v/>
      </c>
      <c r="C3" s="10">
        <f>IFERROR('QTR P&amp;L'!C3/'QTR P&amp;L'!C2,"")</f>
        <v/>
      </c>
      <c r="D3" s="10">
        <f>IFERROR('QTR P&amp;L'!D3/'QTR P&amp;L'!D2,"")</f>
        <v/>
      </c>
      <c r="E3" s="10">
        <f>IFERROR('QTR P&amp;L'!E3/'QTR P&amp;L'!E2,"")</f>
        <v/>
      </c>
      <c r="F3" s="10">
        <f>IFERROR('QTR P&amp;L'!F3/'QTR P&amp;L'!F2,"")</f>
        <v/>
      </c>
      <c r="G3" s="10">
        <f>IFERROR('QTR P&amp;L'!G3/'QTR P&amp;L'!G2,"")</f>
        <v/>
      </c>
      <c r="H3" s="10">
        <f>IFERROR('QTR P&amp;L'!H3/'QTR P&amp;L'!H2,"")</f>
        <v/>
      </c>
      <c r="I3" s="10">
        <f>IFERROR('QTR P&amp;L'!I3/'QTR P&amp;L'!I2,"")</f>
        <v/>
      </c>
      <c r="J3" s="10">
        <f>IFERROR('QTR P&amp;L'!J3/'QTR P&amp;L'!J2,"")</f>
        <v/>
      </c>
      <c r="K3" s="10">
        <f>IFERROR('QTR P&amp;L'!K3/'QTR P&amp;L'!K2,"")</f>
        <v/>
      </c>
      <c r="L3" s="10">
        <f>IFERROR('QTR P&amp;L'!L3/'QTR P&amp;L'!L2,"")</f>
        <v/>
      </c>
      <c r="M3" s="10">
        <f>IFERROR('QTR P&amp;L'!M3/'QTR P&amp;L'!M2,"")</f>
        <v/>
      </c>
      <c r="N3" s="10">
        <f>IFERROR('QTR P&amp;L'!N3/'QTR P&amp;L'!N2,"")</f>
        <v/>
      </c>
      <c r="O3" s="10">
        <f>IFERROR('QTR P&amp;L'!O3/'QTR P&amp;L'!O2,"")</f>
        <v/>
      </c>
      <c r="P3" s="10">
        <f>IFERROR('QTR P&amp;L'!P3/'QTR P&amp;L'!P2,"")</f>
        <v/>
      </c>
      <c r="Q3" s="10">
        <f>IFERROR('QTR P&amp;L'!Q3/'QTR P&amp;L'!Q2,"")</f>
        <v/>
      </c>
      <c r="R3" s="11">
        <f>Q3</f>
        <v/>
      </c>
      <c r="S3" s="11">
        <f>Q3</f>
        <v/>
      </c>
      <c r="T3" s="11">
        <f>Q3</f>
        <v/>
      </c>
      <c r="U3" s="11">
        <f>Q3</f>
        <v/>
      </c>
      <c r="V3" s="11">
        <f>Q3</f>
        <v/>
      </c>
      <c r="W3" s="11">
        <f>Q3</f>
        <v/>
      </c>
      <c r="X3" s="11">
        <f>Q3</f>
        <v/>
      </c>
      <c r="Y3" s="11">
        <f>Q3</f>
        <v/>
      </c>
      <c r="Z3" s="11">
        <f>Q3</f>
        <v/>
      </c>
      <c r="AA3" s="11">
        <f>Q3</f>
        <v/>
      </c>
      <c r="AB3" s="11">
        <f>Q3</f>
        <v/>
      </c>
      <c r="AC3" s="11">
        <f>Q3</f>
        <v/>
      </c>
      <c r="AD3" s="11">
        <f>Q3</f>
        <v/>
      </c>
      <c r="AE3" s="11">
        <f>Q3</f>
        <v/>
      </c>
      <c r="AF3" s="11">
        <f>Q3</f>
        <v/>
      </c>
      <c r="AG3" s="11">
        <f>Q3</f>
        <v/>
      </c>
    </row>
    <row r="4">
      <c r="A4" s="3" t="inlineStr">
        <is>
          <t>SG&amp;A — % of Revenue</t>
        </is>
      </c>
      <c r="B4" s="10">
        <f>IFERROR('QTR P&amp;L'!B5/'QTR P&amp;L'!B2,"")</f>
        <v/>
      </c>
      <c r="C4" s="10">
        <f>IFERROR('QTR P&amp;L'!C5/'QTR P&amp;L'!C2,"")</f>
        <v/>
      </c>
      <c r="D4" s="10">
        <f>IFERROR('QTR P&amp;L'!D5/'QTR P&amp;L'!D2,"")</f>
        <v/>
      </c>
      <c r="E4" s="10">
        <f>IFERROR('QTR P&amp;L'!E5/'QTR P&amp;L'!E2,"")</f>
        <v/>
      </c>
      <c r="F4" s="10">
        <f>IFERROR('QTR P&amp;L'!F5/'QTR P&amp;L'!F2,"")</f>
        <v/>
      </c>
      <c r="G4" s="10">
        <f>IFERROR('QTR P&amp;L'!G5/'QTR P&amp;L'!G2,"")</f>
        <v/>
      </c>
      <c r="H4" s="10">
        <f>IFERROR('QTR P&amp;L'!H5/'QTR P&amp;L'!H2,"")</f>
        <v/>
      </c>
      <c r="I4" s="10">
        <f>IFERROR('QTR P&amp;L'!I5/'QTR P&amp;L'!I2,"")</f>
        <v/>
      </c>
      <c r="J4" s="10">
        <f>IFERROR('QTR P&amp;L'!J5/'QTR P&amp;L'!J2,"")</f>
        <v/>
      </c>
      <c r="K4" s="10">
        <f>IFERROR('QTR P&amp;L'!K5/'QTR P&amp;L'!K2,"")</f>
        <v/>
      </c>
      <c r="L4" s="10">
        <f>IFERROR('QTR P&amp;L'!L5/'QTR P&amp;L'!L2,"")</f>
        <v/>
      </c>
      <c r="M4" s="10">
        <f>IFERROR('QTR P&amp;L'!M5/'QTR P&amp;L'!M2,"")</f>
        <v/>
      </c>
      <c r="N4" s="10">
        <f>IFERROR('QTR P&amp;L'!N5/'QTR P&amp;L'!N2,"")</f>
        <v/>
      </c>
      <c r="O4" s="10">
        <f>IFERROR('QTR P&amp;L'!O5/'QTR P&amp;L'!O2,"")</f>
        <v/>
      </c>
      <c r="P4" s="10">
        <f>IFERROR('QTR P&amp;L'!P5/'QTR P&amp;L'!P2,"")</f>
        <v/>
      </c>
      <c r="Q4" s="10">
        <f>IFERROR('QTR P&amp;L'!Q5/'QTR P&amp;L'!Q2,"")</f>
        <v/>
      </c>
      <c r="R4" s="11">
        <f>Q4</f>
        <v/>
      </c>
      <c r="S4" s="11">
        <f>Q4</f>
        <v/>
      </c>
      <c r="T4" s="11">
        <f>Q4</f>
        <v/>
      </c>
      <c r="U4" s="11">
        <f>Q4</f>
        <v/>
      </c>
      <c r="V4" s="11">
        <f>Q4</f>
        <v/>
      </c>
      <c r="W4" s="11">
        <f>Q4</f>
        <v/>
      </c>
      <c r="X4" s="11">
        <f>Q4</f>
        <v/>
      </c>
      <c r="Y4" s="11">
        <f>Q4</f>
        <v/>
      </c>
      <c r="Z4" s="11">
        <f>Q4</f>
        <v/>
      </c>
      <c r="AA4" s="11">
        <f>Q4</f>
        <v/>
      </c>
      <c r="AB4" s="11">
        <f>Q4</f>
        <v/>
      </c>
      <c r="AC4" s="11">
        <f>Q4</f>
        <v/>
      </c>
      <c r="AD4" s="11">
        <f>Q4</f>
        <v/>
      </c>
      <c r="AE4" s="11">
        <f>Q4</f>
        <v/>
      </c>
      <c r="AF4" s="11">
        <f>Q4</f>
        <v/>
      </c>
      <c r="AG4" s="11">
        <f>Q4</f>
        <v/>
      </c>
    </row>
    <row r="5">
      <c r="A5" s="3" t="inlineStr">
        <is>
          <t>Distributor Termination Fees</t>
        </is>
      </c>
      <c r="B5" s="4">
        <f>'QTR P&amp;L'!B6</f>
        <v/>
      </c>
      <c r="C5" s="4">
        <f>'QTR P&amp;L'!C6</f>
        <v/>
      </c>
      <c r="D5" s="4">
        <f>'QTR P&amp;L'!D6</f>
        <v/>
      </c>
      <c r="E5" s="4">
        <f>'QTR P&amp;L'!E6</f>
        <v/>
      </c>
      <c r="F5" s="4">
        <f>'QTR P&amp;L'!F6</f>
        <v/>
      </c>
      <c r="G5" s="4">
        <f>'QTR P&amp;L'!G6</f>
        <v/>
      </c>
      <c r="H5" s="4">
        <f>'QTR P&amp;L'!H6</f>
        <v/>
      </c>
      <c r="I5" s="4">
        <f>'QTR P&amp;L'!I6</f>
        <v/>
      </c>
      <c r="J5" s="4">
        <f>'QTR P&amp;L'!J6</f>
        <v/>
      </c>
      <c r="K5" s="4">
        <f>'QTR P&amp;L'!K6</f>
        <v/>
      </c>
      <c r="L5" s="4">
        <f>'QTR P&amp;L'!L6</f>
        <v/>
      </c>
      <c r="M5" s="4">
        <f>'QTR P&amp;L'!M6</f>
        <v/>
      </c>
      <c r="N5" s="4">
        <f>'QTR P&amp;L'!N6</f>
        <v/>
      </c>
      <c r="O5" s="4">
        <f>'QTR P&amp;L'!O6</f>
        <v/>
      </c>
      <c r="P5" s="4">
        <f>'QTR P&amp;L'!P6</f>
        <v/>
      </c>
      <c r="Q5" s="4">
        <f>'QTR P&amp;L'!Q6</f>
        <v/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</row>
    <row r="6">
      <c r="A6" s="3" t="inlineStr">
        <is>
          <t>Interest Income (Expense)</t>
        </is>
      </c>
      <c r="B6" s="4">
        <f>'QTR P&amp;L'!B8</f>
        <v/>
      </c>
      <c r="C6" s="4">
        <f>'QTR P&amp;L'!C8</f>
        <v/>
      </c>
      <c r="D6" s="4">
        <f>'QTR P&amp;L'!D8</f>
        <v/>
      </c>
      <c r="E6" s="4">
        <f>'QTR P&amp;L'!E8</f>
        <v/>
      </c>
      <c r="F6" s="4">
        <f>'QTR P&amp;L'!F8</f>
        <v/>
      </c>
      <c r="G6" s="4">
        <f>'QTR P&amp;L'!G8</f>
        <v/>
      </c>
      <c r="H6" s="4">
        <f>'QTR P&amp;L'!H8</f>
        <v/>
      </c>
      <c r="I6" s="4">
        <f>'QTR P&amp;L'!I8</f>
        <v/>
      </c>
      <c r="J6" s="4">
        <f>'QTR P&amp;L'!J8</f>
        <v/>
      </c>
      <c r="K6" s="4">
        <f>'QTR P&amp;L'!K8</f>
        <v/>
      </c>
      <c r="L6" s="4">
        <f>'QTR P&amp;L'!L8</f>
        <v/>
      </c>
      <c r="M6" s="4">
        <f>'QTR P&amp;L'!M8</f>
        <v/>
      </c>
      <c r="N6" s="4">
        <f>'QTR P&amp;L'!N8</f>
        <v/>
      </c>
      <c r="O6" s="4">
        <f>'QTR P&amp;L'!O8</f>
        <v/>
      </c>
      <c r="P6" s="4">
        <f>'QTR P&amp;L'!P8</f>
        <v/>
      </c>
      <c r="Q6" s="4">
        <f>'QTR P&amp;L'!Q8</f>
        <v/>
      </c>
      <c r="R6" s="12">
        <f>Q6</f>
        <v/>
      </c>
      <c r="S6" s="12">
        <f>Q6</f>
        <v/>
      </c>
      <c r="T6" s="12">
        <f>Q6</f>
        <v/>
      </c>
      <c r="U6" s="12">
        <f>Q6</f>
        <v/>
      </c>
      <c r="V6" s="12">
        <f>Q6</f>
        <v/>
      </c>
      <c r="W6" s="12">
        <f>Q6</f>
        <v/>
      </c>
      <c r="X6" s="12">
        <f>Q6</f>
        <v/>
      </c>
      <c r="Y6" s="12">
        <f>Q6</f>
        <v/>
      </c>
      <c r="Z6" s="12">
        <f>Q6</f>
        <v/>
      </c>
      <c r="AA6" s="12">
        <f>Q6</f>
        <v/>
      </c>
      <c r="AB6" s="12">
        <f>Q6</f>
        <v/>
      </c>
      <c r="AC6" s="12">
        <f>Q6</f>
        <v/>
      </c>
      <c r="AD6" s="12">
        <f>Q6</f>
        <v/>
      </c>
      <c r="AE6" s="12">
        <f>Q6</f>
        <v/>
      </c>
      <c r="AF6" s="12">
        <f>Q6</f>
        <v/>
      </c>
      <c r="AG6" s="12">
        <f>Q6</f>
        <v/>
      </c>
    </row>
    <row r="7">
      <c r="A7" s="3" t="inlineStr">
        <is>
          <t>Foreign Currency Gain (Loss)</t>
        </is>
      </c>
      <c r="B7" s="4">
        <f>'QTR P&amp;L'!B9</f>
        <v/>
      </c>
      <c r="C7" s="4">
        <f>'QTR P&amp;L'!C9</f>
        <v/>
      </c>
      <c r="D7" s="4">
        <f>'QTR P&amp;L'!D9</f>
        <v/>
      </c>
      <c r="E7" s="4">
        <f>'QTR P&amp;L'!E9</f>
        <v/>
      </c>
      <c r="F7" s="4">
        <f>'QTR P&amp;L'!F9</f>
        <v/>
      </c>
      <c r="G7" s="4">
        <f>'QTR P&amp;L'!G9</f>
        <v/>
      </c>
      <c r="H7" s="4">
        <f>'QTR P&amp;L'!H9</f>
        <v/>
      </c>
      <c r="I7" s="4">
        <f>'QTR P&amp;L'!I9</f>
        <v/>
      </c>
      <c r="J7" s="4">
        <f>'QTR P&amp;L'!J9</f>
        <v/>
      </c>
      <c r="K7" s="4">
        <f>'QTR P&amp;L'!K9</f>
        <v/>
      </c>
      <c r="L7" s="4">
        <f>'QTR P&amp;L'!L9</f>
        <v/>
      </c>
      <c r="M7" s="4">
        <f>'QTR P&amp;L'!M9</f>
        <v/>
      </c>
      <c r="N7" s="4">
        <f>'QTR P&amp;L'!N9</f>
        <v/>
      </c>
      <c r="O7" s="4">
        <f>'QTR P&amp;L'!O9</f>
        <v/>
      </c>
      <c r="P7" s="4">
        <f>'QTR P&amp;L'!P9</f>
        <v/>
      </c>
      <c r="Q7" s="4">
        <f>'QTR P&amp;L'!Q9</f>
        <v/>
      </c>
      <c r="R7" s="12">
        <f>Q7</f>
        <v/>
      </c>
      <c r="S7" s="12">
        <f>Q7</f>
        <v/>
      </c>
      <c r="T7" s="12">
        <f>Q7</f>
        <v/>
      </c>
      <c r="U7" s="12">
        <f>Q7</f>
        <v/>
      </c>
      <c r="V7" s="12">
        <f>Q7</f>
        <v/>
      </c>
      <c r="W7" s="12">
        <f>Q7</f>
        <v/>
      </c>
      <c r="X7" s="12">
        <f>Q7</f>
        <v/>
      </c>
      <c r="Y7" s="12">
        <f>Q7</f>
        <v/>
      </c>
      <c r="Z7" s="12">
        <f>Q7</f>
        <v/>
      </c>
      <c r="AA7" s="12">
        <f>Q7</f>
        <v/>
      </c>
      <c r="AB7" s="12">
        <f>Q7</f>
        <v/>
      </c>
      <c r="AC7" s="12">
        <f>Q7</f>
        <v/>
      </c>
      <c r="AD7" s="12">
        <f>Q7</f>
        <v/>
      </c>
      <c r="AE7" s="12">
        <f>Q7</f>
        <v/>
      </c>
      <c r="AF7" s="12">
        <f>Q7</f>
        <v/>
      </c>
      <c r="AG7" s="12">
        <f>Q7</f>
        <v/>
      </c>
    </row>
    <row r="8">
      <c r="A8" s="3" t="inlineStr">
        <is>
          <t>Other Income (Expense)</t>
        </is>
      </c>
      <c r="B8" s="4">
        <f>'QTR P&amp;L'!B10</f>
        <v/>
      </c>
      <c r="C8" s="4">
        <f>'QTR P&amp;L'!C10</f>
        <v/>
      </c>
      <c r="D8" s="4">
        <f>'QTR P&amp;L'!D10</f>
        <v/>
      </c>
      <c r="E8" s="4">
        <f>'QTR P&amp;L'!E10</f>
        <v/>
      </c>
      <c r="F8" s="4">
        <f>'QTR P&amp;L'!F10</f>
        <v/>
      </c>
      <c r="G8" s="4">
        <f>'QTR P&amp;L'!G10</f>
        <v/>
      </c>
      <c r="H8" s="4">
        <f>'QTR P&amp;L'!H10</f>
        <v/>
      </c>
      <c r="I8" s="4">
        <f>'QTR P&amp;L'!I10</f>
        <v/>
      </c>
      <c r="J8" s="4">
        <f>'QTR P&amp;L'!J10</f>
        <v/>
      </c>
      <c r="K8" s="4">
        <f>'QTR P&amp;L'!K10</f>
        <v/>
      </c>
      <c r="L8" s="4">
        <f>'QTR P&amp;L'!L10</f>
        <v/>
      </c>
      <c r="M8" s="4">
        <f>'QTR P&amp;L'!M10</f>
        <v/>
      </c>
      <c r="N8" s="4">
        <f>'QTR P&amp;L'!N10</f>
        <v/>
      </c>
      <c r="O8" s="4">
        <f>'QTR P&amp;L'!O10</f>
        <v/>
      </c>
      <c r="P8" s="4">
        <f>'QTR P&amp;L'!P10</f>
        <v/>
      </c>
      <c r="Q8" s="4">
        <f>'QTR P&amp;L'!Q10</f>
        <v/>
      </c>
      <c r="R8" s="12">
        <f>Q8</f>
        <v/>
      </c>
      <c r="S8" s="12">
        <f>Q8</f>
        <v/>
      </c>
      <c r="T8" s="12">
        <f>Q8</f>
        <v/>
      </c>
      <c r="U8" s="12">
        <f>Q8</f>
        <v/>
      </c>
      <c r="V8" s="12">
        <f>Q8</f>
        <v/>
      </c>
      <c r="W8" s="12">
        <f>Q8</f>
        <v/>
      </c>
      <c r="X8" s="12">
        <f>Q8</f>
        <v/>
      </c>
      <c r="Y8" s="12">
        <f>Q8</f>
        <v/>
      </c>
      <c r="Z8" s="12">
        <f>Q8</f>
        <v/>
      </c>
      <c r="AA8" s="12">
        <f>Q8</f>
        <v/>
      </c>
      <c r="AB8" s="12">
        <f>Q8</f>
        <v/>
      </c>
      <c r="AC8" s="12">
        <f>Q8</f>
        <v/>
      </c>
      <c r="AD8" s="12">
        <f>Q8</f>
        <v/>
      </c>
      <c r="AE8" s="12">
        <f>Q8</f>
        <v/>
      </c>
      <c r="AF8" s="12">
        <f>Q8</f>
        <v/>
      </c>
      <c r="AG8" s="12">
        <f>Q8</f>
        <v/>
      </c>
    </row>
    <row r="9">
      <c r="A9" s="3" t="inlineStr">
        <is>
          <t>Income Tax (Expense) Benefit — Effective Tax Rate %</t>
        </is>
      </c>
      <c r="B9" s="10">
        <f>IFERROR('QTR P&amp;L'!B12/'QTR P&amp;L'!B11,"")</f>
        <v/>
      </c>
      <c r="C9" s="10">
        <f>IFERROR('QTR P&amp;L'!C12/'QTR P&amp;L'!C11,"")</f>
        <v/>
      </c>
      <c r="D9" s="10">
        <f>IFERROR('QTR P&amp;L'!D12/'QTR P&amp;L'!D11,"")</f>
        <v/>
      </c>
      <c r="E9" s="10">
        <f>IFERROR('QTR P&amp;L'!E12/'QTR P&amp;L'!E11,"")</f>
        <v/>
      </c>
      <c r="F9" s="10">
        <f>IFERROR('QTR P&amp;L'!F12/'QTR P&amp;L'!F11,"")</f>
        <v/>
      </c>
      <c r="G9" s="10">
        <f>IFERROR('QTR P&amp;L'!G12/'QTR P&amp;L'!G11,"")</f>
        <v/>
      </c>
      <c r="H9" s="10">
        <f>IFERROR('QTR P&amp;L'!H12/'QTR P&amp;L'!H11,"")</f>
        <v/>
      </c>
      <c r="I9" s="10">
        <f>IFERROR('QTR P&amp;L'!I12/'QTR P&amp;L'!I11,"")</f>
        <v/>
      </c>
      <c r="J9" s="10">
        <f>IFERROR('QTR P&amp;L'!J12/'QTR P&amp;L'!J11,"")</f>
        <v/>
      </c>
      <c r="K9" s="10">
        <f>IFERROR('QTR P&amp;L'!K12/'QTR P&amp;L'!K11,"")</f>
        <v/>
      </c>
      <c r="L9" s="10">
        <f>IFERROR('QTR P&amp;L'!L12/'QTR P&amp;L'!L11,"")</f>
        <v/>
      </c>
      <c r="M9" s="10">
        <f>IFERROR('QTR P&amp;L'!M12/'QTR P&amp;L'!M11,"")</f>
        <v/>
      </c>
      <c r="N9" s="10">
        <f>IFERROR('QTR P&amp;L'!N12/'QTR P&amp;L'!N11,"")</f>
        <v/>
      </c>
      <c r="O9" s="10">
        <f>IFERROR('QTR P&amp;L'!O12/'QTR P&amp;L'!O11,"")</f>
        <v/>
      </c>
      <c r="P9" s="10">
        <f>IFERROR('QTR P&amp;L'!P12/'QTR P&amp;L'!P11,"")</f>
        <v/>
      </c>
      <c r="Q9" s="10">
        <f>IFERROR('QTR P&amp;L'!Q12/'QTR P&amp;L'!Q11,"")</f>
        <v/>
      </c>
      <c r="R9" s="11">
        <f>Q9</f>
        <v/>
      </c>
      <c r="S9" s="11">
        <f>Q9</f>
        <v/>
      </c>
      <c r="T9" s="11">
        <f>Q9</f>
        <v/>
      </c>
      <c r="U9" s="11">
        <f>Q9</f>
        <v/>
      </c>
      <c r="V9" s="11">
        <f>Q9</f>
        <v/>
      </c>
      <c r="W9" s="11">
        <f>Q9</f>
        <v/>
      </c>
      <c r="X9" s="11">
        <f>Q9</f>
        <v/>
      </c>
      <c r="Y9" s="11">
        <f>Q9</f>
        <v/>
      </c>
      <c r="Z9" s="11">
        <f>Q9</f>
        <v/>
      </c>
      <c r="AA9" s="11">
        <f>Q9</f>
        <v/>
      </c>
      <c r="AB9" s="11">
        <f>Q9</f>
        <v/>
      </c>
      <c r="AC9" s="11">
        <f>Q9</f>
        <v/>
      </c>
      <c r="AD9" s="11">
        <f>Q9</f>
        <v/>
      </c>
      <c r="AE9" s="11">
        <f>Q9</f>
        <v/>
      </c>
      <c r="AF9" s="11">
        <f>Q9</f>
        <v/>
      </c>
      <c r="AG9" s="11">
        <f>Q9</f>
        <v/>
      </c>
    </row>
    <row r="10">
      <c r="A10" s="3" t="inlineStr">
        <is>
          <t>Net Income (Loss) Attributable to Common Shareholders — % of Revenue</t>
        </is>
      </c>
      <c r="B10" s="10">
        <f>IFERROR('QTR P&amp;L'!B16/'QTR P&amp;L'!B2,"")</f>
        <v/>
      </c>
      <c r="C10" s="10">
        <f>IFERROR('QTR P&amp;L'!C16/'QTR P&amp;L'!C2,"")</f>
        <v/>
      </c>
      <c r="D10" s="10">
        <f>IFERROR('QTR P&amp;L'!D16/'QTR P&amp;L'!D2,"")</f>
        <v/>
      </c>
      <c r="E10" s="10">
        <f>IFERROR('QTR P&amp;L'!E16/'QTR P&amp;L'!E2,"")</f>
        <v/>
      </c>
      <c r="F10" s="10">
        <f>IFERROR('QTR P&amp;L'!F16/'QTR P&amp;L'!F2,"")</f>
        <v/>
      </c>
      <c r="G10" s="10">
        <f>IFERROR('QTR P&amp;L'!G16/'QTR P&amp;L'!G2,"")</f>
        <v/>
      </c>
      <c r="H10" s="10">
        <f>IFERROR('QTR P&amp;L'!H16/'QTR P&amp;L'!H2,"")</f>
        <v/>
      </c>
      <c r="I10" s="10">
        <f>IFERROR('QTR P&amp;L'!I16/'QTR P&amp;L'!I2,"")</f>
        <v/>
      </c>
      <c r="J10" s="10">
        <f>IFERROR('QTR P&amp;L'!J16/'QTR P&amp;L'!J2,"")</f>
        <v/>
      </c>
      <c r="K10" s="10">
        <f>IFERROR('QTR P&amp;L'!K16/'QTR P&amp;L'!K2,"")</f>
        <v/>
      </c>
      <c r="L10" s="10">
        <f>IFERROR('QTR P&amp;L'!L16/'QTR P&amp;L'!L2,"")</f>
        <v/>
      </c>
      <c r="M10" s="10">
        <f>IFERROR('QTR P&amp;L'!M16/'QTR P&amp;L'!M2,"")</f>
        <v/>
      </c>
      <c r="N10" s="10">
        <f>IFERROR('QTR P&amp;L'!N16/'QTR P&amp;L'!N2,"")</f>
        <v/>
      </c>
      <c r="O10" s="10">
        <f>IFERROR('QTR P&amp;L'!O16/'QTR P&amp;L'!O2,"")</f>
        <v/>
      </c>
      <c r="P10" s="10">
        <f>IFERROR('QTR P&amp;L'!P16/'QTR P&amp;L'!P2,"")</f>
        <v/>
      </c>
      <c r="Q10" s="10">
        <f>IFERROR('QTR P&amp;L'!Q16/'QTR P&amp;L'!Q2,"")</f>
        <v/>
      </c>
      <c r="R10" s="11">
        <f>Q10</f>
        <v/>
      </c>
      <c r="S10" s="11">
        <f>Q10</f>
        <v/>
      </c>
      <c r="T10" s="11">
        <f>Q10</f>
        <v/>
      </c>
      <c r="U10" s="11">
        <f>Q10</f>
        <v/>
      </c>
      <c r="V10" s="11">
        <f>Q10</f>
        <v/>
      </c>
      <c r="W10" s="11">
        <f>Q10</f>
        <v/>
      </c>
      <c r="X10" s="11">
        <f>Q10</f>
        <v/>
      </c>
      <c r="Y10" s="11">
        <f>Q10</f>
        <v/>
      </c>
      <c r="Z10" s="11">
        <f>Q10</f>
        <v/>
      </c>
      <c r="AA10" s="11">
        <f>Q10</f>
        <v/>
      </c>
      <c r="AB10" s="11">
        <f>Q10</f>
        <v/>
      </c>
      <c r="AC10" s="11">
        <f>Q10</f>
        <v/>
      </c>
      <c r="AD10" s="11">
        <f>Q10</f>
        <v/>
      </c>
      <c r="AE10" s="11">
        <f>Q10</f>
        <v/>
      </c>
      <c r="AF10" s="11">
        <f>Q10</f>
        <v/>
      </c>
      <c r="AG10" s="11">
        <f>Q10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Driver</t>
        </is>
      </c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FY2026E</t>
        </is>
      </c>
      <c r="P1" s="2" t="inlineStr">
        <is>
          <t>Q2 FY2026E</t>
        </is>
      </c>
      <c r="Q1" s="2" t="inlineStr">
        <is>
          <t>Q3 FY2026E</t>
        </is>
      </c>
      <c r="R1" s="2" t="inlineStr">
        <is>
          <t>Q4 FY2026E</t>
        </is>
      </c>
      <c r="S1" s="2" t="inlineStr">
        <is>
          <t>Q1 FY2027E</t>
        </is>
      </c>
      <c r="T1" s="2" t="inlineStr">
        <is>
          <t>Q2 FY2027E</t>
        </is>
      </c>
      <c r="U1" s="2" t="inlineStr">
        <is>
          <t>Q3 FY2027E</t>
        </is>
      </c>
      <c r="V1" s="2" t="inlineStr">
        <is>
          <t>Q4 FY2027E</t>
        </is>
      </c>
      <c r="W1" s="2" t="inlineStr">
        <is>
          <t>Q1 FY2028E</t>
        </is>
      </c>
      <c r="X1" s="2" t="inlineStr">
        <is>
          <t>Q2 FY2028E</t>
        </is>
      </c>
      <c r="Y1" s="2" t="inlineStr">
        <is>
          <t>Q3 FY2028E</t>
        </is>
      </c>
      <c r="Z1" s="2" t="inlineStr">
        <is>
          <t>Q4 FY2028E</t>
        </is>
      </c>
      <c r="AA1" s="2" t="inlineStr">
        <is>
          <t>Q1 FY2029E</t>
        </is>
      </c>
      <c r="AB1" s="2" t="inlineStr">
        <is>
          <t>Q2 FY2029E</t>
        </is>
      </c>
      <c r="AC1" s="2" t="inlineStr">
        <is>
          <t>Q3 FY2029E</t>
        </is>
      </c>
      <c r="AD1" s="2" t="inlineStr">
        <is>
          <t>Q4 FY2029E</t>
        </is>
      </c>
    </row>
    <row r="2">
      <c r="A2" s="3" t="inlineStr">
        <is>
          <t>Cash &amp; Cash Equivalents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N2+'QTR CF'!R52</f>
        <v/>
      </c>
      <c r="P2" s="4">
        <f>O2+'QTR CF'!S52</f>
        <v/>
      </c>
      <c r="Q2" s="4">
        <f>P2+'QTR CF'!T52</f>
        <v/>
      </c>
      <c r="R2" s="4">
        <f>Q2+'QTR CF'!U52</f>
        <v/>
      </c>
      <c r="S2" s="4">
        <f>R2+'QTR CF'!V52</f>
        <v/>
      </c>
      <c r="T2" s="4">
        <f>S2+'QTR CF'!W52</f>
        <v/>
      </c>
      <c r="U2" s="4">
        <f>T2+'QTR CF'!X52</f>
        <v/>
      </c>
      <c r="V2" s="4">
        <f>U2+'QTR CF'!Y52</f>
        <v/>
      </c>
      <c r="W2" s="4">
        <f>V2+'QTR CF'!Z52</f>
        <v/>
      </c>
      <c r="X2" s="4">
        <f>W2+'QTR CF'!AA52</f>
        <v/>
      </c>
      <c r="Y2" s="4">
        <f>X2+'QTR CF'!AB52</f>
        <v/>
      </c>
      <c r="Z2" s="4">
        <f>Y2+'QTR CF'!AC52</f>
        <v/>
      </c>
      <c r="AA2" s="4">
        <f>Z2+'QTR CF'!AD52</f>
        <v/>
      </c>
      <c r="AB2" s="4">
        <f>AA2+'QTR CF'!AE52</f>
        <v/>
      </c>
      <c r="AC2" s="4">
        <f>AB2+'QTR CF'!AF52</f>
        <v/>
      </c>
      <c r="AD2" s="4">
        <f>AC2+'QTR CF'!AG52</f>
        <v/>
      </c>
    </row>
    <row r="3">
      <c r="A3" s="3" t="inlineStr">
        <is>
          <t>Restricted Cash</t>
        </is>
      </c>
      <c r="B3" s="4">
        <f>'QTR BS'!B3</f>
        <v/>
      </c>
      <c r="C3" s="4">
        <f>'QTR BS'!C3</f>
        <v/>
      </c>
      <c r="D3" s="4">
        <f>'QTR BS'!D3</f>
        <v/>
      </c>
      <c r="E3" s="4">
        <f>'QTR BS'!E3</f>
        <v/>
      </c>
      <c r="F3" s="4">
        <f>'QTR BS'!F3</f>
        <v/>
      </c>
      <c r="G3" s="4">
        <f>'QTR BS'!G3</f>
        <v/>
      </c>
      <c r="H3" s="4">
        <f>'QTR BS'!H3</f>
        <v/>
      </c>
      <c r="I3" s="4">
        <f>'QTR BS'!I3</f>
        <v/>
      </c>
      <c r="J3" s="4">
        <f>'QTR BS'!J3</f>
        <v/>
      </c>
      <c r="K3" s="4">
        <f>'QTR BS'!K3</f>
        <v/>
      </c>
      <c r="L3" s="4">
        <f>'QTR BS'!L3</f>
        <v/>
      </c>
      <c r="M3" s="4">
        <f>'QTR BS'!M3</f>
        <v/>
      </c>
      <c r="N3" s="4">
        <f>'QTR BS'!N3</f>
        <v/>
      </c>
      <c r="O3" s="12">
        <f>N3</f>
        <v/>
      </c>
      <c r="P3" s="12">
        <f>N3</f>
        <v/>
      </c>
      <c r="Q3" s="12">
        <f>N3</f>
        <v/>
      </c>
      <c r="R3" s="12">
        <f>N3</f>
        <v/>
      </c>
      <c r="S3" s="12">
        <f>N3</f>
        <v/>
      </c>
      <c r="T3" s="12">
        <f>N3</f>
        <v/>
      </c>
      <c r="U3" s="12">
        <f>N3</f>
        <v/>
      </c>
      <c r="V3" s="12">
        <f>N3</f>
        <v/>
      </c>
      <c r="W3" s="12">
        <f>N3</f>
        <v/>
      </c>
      <c r="X3" s="12">
        <f>N3</f>
        <v/>
      </c>
      <c r="Y3" s="12">
        <f>N3</f>
        <v/>
      </c>
      <c r="Z3" s="12">
        <f>N3</f>
        <v/>
      </c>
      <c r="AA3" s="12">
        <f>N3</f>
        <v/>
      </c>
      <c r="AB3" s="12">
        <f>N3</f>
        <v/>
      </c>
      <c r="AC3" s="12">
        <f>N3</f>
        <v/>
      </c>
      <c r="AD3" s="12">
        <f>N3</f>
        <v/>
      </c>
    </row>
    <row r="4">
      <c r="A4" s="3" t="inlineStr">
        <is>
          <t>Accounts Receivable — DSO (days)</t>
        </is>
      </c>
      <c r="B4" s="13">
        <f>IFERROR('QTR BS'!B4/'QTR P&amp;L'!B2*ASSUMPTIONS!$B$2,"")</f>
        <v/>
      </c>
      <c r="C4" s="13">
        <f>IFERROR('QTR BS'!C4/'QTR P&amp;L'!C2*ASSUMPTIONS!$B$2,"")</f>
        <v/>
      </c>
      <c r="D4" s="13">
        <f>IFERROR('QTR BS'!D4/'QTR P&amp;L'!D2*ASSUMPTIONS!$B$2,"")</f>
        <v/>
      </c>
      <c r="E4" s="13">
        <f>IFERROR('QTR BS'!E4/'QTR P&amp;L'!E2*ASSUMPTIONS!$B$2,"")</f>
        <v/>
      </c>
      <c r="F4" s="13">
        <f>IFERROR('QTR BS'!F4/'QTR P&amp;L'!F2*ASSUMPTIONS!$B$2,"")</f>
        <v/>
      </c>
      <c r="G4" s="13">
        <f>IFERROR('QTR BS'!G4/'QTR P&amp;L'!G2*ASSUMPTIONS!$B$2,"")</f>
        <v/>
      </c>
      <c r="H4" s="13">
        <f>IFERROR('QTR BS'!H4/'QTR P&amp;L'!H2*ASSUMPTIONS!$B$2,"")</f>
        <v/>
      </c>
      <c r="I4" s="13">
        <f>IFERROR('QTR BS'!I4/'QTR P&amp;L'!I2*ASSUMPTIONS!$B$2,"")</f>
        <v/>
      </c>
      <c r="J4" s="13">
        <f>IFERROR('QTR BS'!J4/'QTR P&amp;L'!J2*ASSUMPTIONS!$B$2,"")</f>
        <v/>
      </c>
      <c r="K4" s="13">
        <f>IFERROR('QTR BS'!K4/'QTR P&amp;L'!K2*ASSUMPTIONS!$B$2,"")</f>
        <v/>
      </c>
      <c r="L4" s="13">
        <f>IFERROR('QTR BS'!L4/'QTR P&amp;L'!L2*ASSUMPTIONS!$B$2,"")</f>
        <v/>
      </c>
      <c r="M4" s="13">
        <f>IFERROR('QTR BS'!M4/'QTR P&amp;L'!M2*ASSUMPTIONS!$B$2,"")</f>
        <v/>
      </c>
      <c r="N4" s="13">
        <f>IFERROR('QTR BS'!N4/'QTR P&amp;L'!N2*ASSUMPTIONS!$B$2,"")</f>
        <v/>
      </c>
      <c r="O4" s="14">
        <f>N4</f>
        <v/>
      </c>
      <c r="P4" s="14">
        <f>N4</f>
        <v/>
      </c>
      <c r="Q4" s="14">
        <f>N4</f>
        <v/>
      </c>
      <c r="R4" s="14">
        <f>N4</f>
        <v/>
      </c>
      <c r="S4" s="14">
        <f>N4</f>
        <v/>
      </c>
      <c r="T4" s="14">
        <f>N4</f>
        <v/>
      </c>
      <c r="U4" s="14">
        <f>N4</f>
        <v/>
      </c>
      <c r="V4" s="14">
        <f>N4</f>
        <v/>
      </c>
      <c r="W4" s="14">
        <f>N4</f>
        <v/>
      </c>
      <c r="X4" s="14">
        <f>N4</f>
        <v/>
      </c>
      <c r="Y4" s="14">
        <f>N4</f>
        <v/>
      </c>
      <c r="Z4" s="14">
        <f>N4</f>
        <v/>
      </c>
      <c r="AA4" s="14">
        <f>N4</f>
        <v/>
      </c>
      <c r="AB4" s="14">
        <f>N4</f>
        <v/>
      </c>
      <c r="AC4" s="14">
        <f>N4</f>
        <v/>
      </c>
      <c r="AD4" s="14">
        <f>N4</f>
        <v/>
      </c>
    </row>
    <row r="5">
      <c r="A5" s="3" t="inlineStr">
        <is>
          <t>Note Receivable - Current — DSO (days)</t>
        </is>
      </c>
      <c r="B5" s="13">
        <f>IFERROR('QTR BS'!B5/'QTR P&amp;L'!B2*ASSUMPTIONS!$B$2,"")</f>
        <v/>
      </c>
      <c r="C5" s="13">
        <f>IFERROR('QTR BS'!C5/'QTR P&amp;L'!C2*ASSUMPTIONS!$B$2,"")</f>
        <v/>
      </c>
      <c r="D5" s="13">
        <f>IFERROR('QTR BS'!D5/'QTR P&amp;L'!D2*ASSUMPTIONS!$B$2,"")</f>
        <v/>
      </c>
      <c r="E5" s="13">
        <f>IFERROR('QTR BS'!E5/'QTR P&amp;L'!E2*ASSUMPTIONS!$B$2,"")</f>
        <v/>
      </c>
      <c r="F5" s="13">
        <f>IFERROR('QTR BS'!F5/'QTR P&amp;L'!F2*ASSUMPTIONS!$B$2,"")</f>
        <v/>
      </c>
      <c r="G5" s="13">
        <f>IFERROR('QTR BS'!G5/'QTR P&amp;L'!G2*ASSUMPTIONS!$B$2,"")</f>
        <v/>
      </c>
      <c r="H5" s="13">
        <f>IFERROR('QTR BS'!H5/'QTR P&amp;L'!H2*ASSUMPTIONS!$B$2,"")</f>
        <v/>
      </c>
      <c r="I5" s="13">
        <f>IFERROR('QTR BS'!I5/'QTR P&amp;L'!I2*ASSUMPTIONS!$B$2,"")</f>
        <v/>
      </c>
      <c r="J5" s="13">
        <f>IFERROR('QTR BS'!J5/'QTR P&amp;L'!J2*ASSUMPTIONS!$B$2,"")</f>
        <v/>
      </c>
      <c r="K5" s="13">
        <f>IFERROR('QTR BS'!K5/'QTR P&amp;L'!K2*ASSUMPTIONS!$B$2,"")</f>
        <v/>
      </c>
      <c r="L5" s="13">
        <f>IFERROR('QTR BS'!L5/'QTR P&amp;L'!L2*ASSUMPTIONS!$B$2,"")</f>
        <v/>
      </c>
      <c r="M5" s="13">
        <f>IFERROR('QTR BS'!M5/'QTR P&amp;L'!M2*ASSUMPTIONS!$B$2,"")</f>
        <v/>
      </c>
      <c r="N5" s="13">
        <f>IFERROR('QTR BS'!N5/'QTR P&amp;L'!N2*ASSUMPTIONS!$B$2,"")</f>
        <v/>
      </c>
      <c r="O5" s="14">
        <f>N5</f>
        <v/>
      </c>
      <c r="P5" s="14">
        <f>N5</f>
        <v/>
      </c>
      <c r="Q5" s="14">
        <f>N5</f>
        <v/>
      </c>
      <c r="R5" s="14">
        <f>N5</f>
        <v/>
      </c>
      <c r="S5" s="14">
        <f>N5</f>
        <v/>
      </c>
      <c r="T5" s="14">
        <f>N5</f>
        <v/>
      </c>
      <c r="U5" s="14">
        <f>N5</f>
        <v/>
      </c>
      <c r="V5" s="14">
        <f>N5</f>
        <v/>
      </c>
      <c r="W5" s="14">
        <f>N5</f>
        <v/>
      </c>
      <c r="X5" s="14">
        <f>N5</f>
        <v/>
      </c>
      <c r="Y5" s="14">
        <f>N5</f>
        <v/>
      </c>
      <c r="Z5" s="14">
        <f>N5</f>
        <v/>
      </c>
      <c r="AA5" s="14">
        <f>N5</f>
        <v/>
      </c>
      <c r="AB5" s="14">
        <f>N5</f>
        <v/>
      </c>
      <c r="AC5" s="14">
        <f>N5</f>
        <v/>
      </c>
      <c r="AD5" s="14">
        <f>N5</f>
        <v/>
      </c>
    </row>
    <row r="6">
      <c r="A6" s="3" t="inlineStr">
        <is>
          <t>Inventories — DIO (days)</t>
        </is>
      </c>
      <c r="B6" s="13">
        <f>IFERROR('QTR BS'!B6/'QTR P&amp;L'!B3*ASSUMPTIONS!$B$2,"")</f>
        <v/>
      </c>
      <c r="C6" s="13">
        <f>IFERROR('QTR BS'!C6/'QTR P&amp;L'!C3*ASSUMPTIONS!$B$2,"")</f>
        <v/>
      </c>
      <c r="D6" s="13">
        <f>IFERROR('QTR BS'!D6/'QTR P&amp;L'!D3*ASSUMPTIONS!$B$2,"")</f>
        <v/>
      </c>
      <c r="E6" s="13">
        <f>IFERROR('QTR BS'!E6/'QTR P&amp;L'!E3*ASSUMPTIONS!$B$2,"")</f>
        <v/>
      </c>
      <c r="F6" s="13">
        <f>IFERROR('QTR BS'!F6/'QTR P&amp;L'!F3*ASSUMPTIONS!$B$2,"")</f>
        <v/>
      </c>
      <c r="G6" s="13">
        <f>IFERROR('QTR BS'!G6/'QTR P&amp;L'!G3*ASSUMPTIONS!$B$2,"")</f>
        <v/>
      </c>
      <c r="H6" s="13">
        <f>IFERROR('QTR BS'!H6/'QTR P&amp;L'!H3*ASSUMPTIONS!$B$2,"")</f>
        <v/>
      </c>
      <c r="I6" s="13">
        <f>IFERROR('QTR BS'!I6/'QTR P&amp;L'!I3*ASSUMPTIONS!$B$2,"")</f>
        <v/>
      </c>
      <c r="J6" s="13">
        <f>IFERROR('QTR BS'!J6/'QTR P&amp;L'!J3*ASSUMPTIONS!$B$2,"")</f>
        <v/>
      </c>
      <c r="K6" s="13">
        <f>IFERROR('QTR BS'!K6/'QTR P&amp;L'!K3*ASSUMPTIONS!$B$2,"")</f>
        <v/>
      </c>
      <c r="L6" s="13">
        <f>IFERROR('QTR BS'!L6/'QTR P&amp;L'!L3*ASSUMPTIONS!$B$2,"")</f>
        <v/>
      </c>
      <c r="M6" s="13">
        <f>IFERROR('QTR BS'!M6/'QTR P&amp;L'!M3*ASSUMPTIONS!$B$2,"")</f>
        <v/>
      </c>
      <c r="N6" s="13">
        <f>IFERROR('QTR BS'!N6/'QTR P&amp;L'!N3*ASSUMPTIONS!$B$2,"")</f>
        <v/>
      </c>
      <c r="O6" s="14">
        <f>N6</f>
        <v/>
      </c>
      <c r="P6" s="14">
        <f>N6</f>
        <v/>
      </c>
      <c r="Q6" s="14">
        <f>N6</f>
        <v/>
      </c>
      <c r="R6" s="14">
        <f>N6</f>
        <v/>
      </c>
      <c r="S6" s="14">
        <f>N6</f>
        <v/>
      </c>
      <c r="T6" s="14">
        <f>N6</f>
        <v/>
      </c>
      <c r="U6" s="14">
        <f>N6</f>
        <v/>
      </c>
      <c r="V6" s="14">
        <f>N6</f>
        <v/>
      </c>
      <c r="W6" s="14">
        <f>N6</f>
        <v/>
      </c>
      <c r="X6" s="14">
        <f>N6</f>
        <v/>
      </c>
      <c r="Y6" s="14">
        <f>N6</f>
        <v/>
      </c>
      <c r="Z6" s="14">
        <f>N6</f>
        <v/>
      </c>
      <c r="AA6" s="14">
        <f>N6</f>
        <v/>
      </c>
      <c r="AB6" s="14">
        <f>N6</f>
        <v/>
      </c>
      <c r="AC6" s="14">
        <f>N6</f>
        <v/>
      </c>
      <c r="AD6" s="14">
        <f>N6</f>
        <v/>
      </c>
    </row>
    <row r="7">
      <c r="A7" s="3" t="inlineStr">
        <is>
          <t>Prepaid Expenses — % of Revenue</t>
        </is>
      </c>
      <c r="B7" s="10">
        <f>IFERROR('QTR BS'!B7/'QTR P&amp;L'!B2,"")</f>
        <v/>
      </c>
      <c r="C7" s="10">
        <f>IFERROR('QTR BS'!C7/'QTR P&amp;L'!C2,"")</f>
        <v/>
      </c>
      <c r="D7" s="10">
        <f>IFERROR('QTR BS'!D7/'QTR P&amp;L'!D2,"")</f>
        <v/>
      </c>
      <c r="E7" s="10">
        <f>IFERROR('QTR BS'!E7/'QTR P&amp;L'!E2,"")</f>
        <v/>
      </c>
      <c r="F7" s="10">
        <f>IFERROR('QTR BS'!F7/'QTR P&amp;L'!F2,"")</f>
        <v/>
      </c>
      <c r="G7" s="10">
        <f>IFERROR('QTR BS'!G7/'QTR P&amp;L'!G2,"")</f>
        <v/>
      </c>
      <c r="H7" s="10">
        <f>IFERROR('QTR BS'!H7/'QTR P&amp;L'!H2,"")</f>
        <v/>
      </c>
      <c r="I7" s="10">
        <f>IFERROR('QTR BS'!I7/'QTR P&amp;L'!I2,"")</f>
        <v/>
      </c>
      <c r="J7" s="10">
        <f>IFERROR('QTR BS'!J7/'QTR P&amp;L'!J2,"")</f>
        <v/>
      </c>
      <c r="K7" s="10">
        <f>IFERROR('QTR BS'!K7/'QTR P&amp;L'!K2,"")</f>
        <v/>
      </c>
      <c r="L7" s="10">
        <f>IFERROR('QTR BS'!L7/'QTR P&amp;L'!L2,"")</f>
        <v/>
      </c>
      <c r="M7" s="10">
        <f>IFERROR('QTR BS'!M7/'QTR P&amp;L'!M2,"")</f>
        <v/>
      </c>
      <c r="N7" s="10">
        <f>IFERROR('QTR BS'!N7/'QTR P&amp;L'!N2,"")</f>
        <v/>
      </c>
      <c r="O7" s="11">
        <f>N7</f>
        <v/>
      </c>
      <c r="P7" s="11">
        <f>N7</f>
        <v/>
      </c>
      <c r="Q7" s="11">
        <f>N7</f>
        <v/>
      </c>
      <c r="R7" s="11">
        <f>N7</f>
        <v/>
      </c>
      <c r="S7" s="11">
        <f>N7</f>
        <v/>
      </c>
      <c r="T7" s="11">
        <f>N7</f>
        <v/>
      </c>
      <c r="U7" s="11">
        <f>N7</f>
        <v/>
      </c>
      <c r="V7" s="11">
        <f>N7</f>
        <v/>
      </c>
      <c r="W7" s="11">
        <f>N7</f>
        <v/>
      </c>
      <c r="X7" s="11">
        <f>N7</f>
        <v/>
      </c>
      <c r="Y7" s="11">
        <f>N7</f>
        <v/>
      </c>
      <c r="Z7" s="11">
        <f>N7</f>
        <v/>
      </c>
      <c r="AA7" s="11">
        <f>N7</f>
        <v/>
      </c>
      <c r="AB7" s="11">
        <f>N7</f>
        <v/>
      </c>
      <c r="AC7" s="11">
        <f>N7</f>
        <v/>
      </c>
      <c r="AD7" s="11">
        <f>N7</f>
        <v/>
      </c>
    </row>
    <row r="8">
      <c r="A8" s="3" t="inlineStr">
        <is>
          <t>Deferred Other Costs - Current — % of Revenue</t>
        </is>
      </c>
      <c r="B8" s="10">
        <f>IFERROR('QTR BS'!B8/'QTR P&amp;L'!B2,"")</f>
        <v/>
      </c>
      <c r="C8" s="10">
        <f>IFERROR('QTR BS'!C8/'QTR P&amp;L'!C2,"")</f>
        <v/>
      </c>
      <c r="D8" s="10">
        <f>IFERROR('QTR BS'!D8/'QTR P&amp;L'!D2,"")</f>
        <v/>
      </c>
      <c r="E8" s="10">
        <f>IFERROR('QTR BS'!E8/'QTR P&amp;L'!E2,"")</f>
        <v/>
      </c>
      <c r="F8" s="10">
        <f>IFERROR('QTR BS'!F8/'QTR P&amp;L'!F2,"")</f>
        <v/>
      </c>
      <c r="G8" s="10">
        <f>IFERROR('QTR BS'!G8/'QTR P&amp;L'!G2,"")</f>
        <v/>
      </c>
      <c r="H8" s="10">
        <f>IFERROR('QTR BS'!H8/'QTR P&amp;L'!H2,"")</f>
        <v/>
      </c>
      <c r="I8" s="10">
        <f>IFERROR('QTR BS'!I8/'QTR P&amp;L'!I2,"")</f>
        <v/>
      </c>
      <c r="J8" s="10">
        <f>IFERROR('QTR BS'!J8/'QTR P&amp;L'!J2,"")</f>
        <v/>
      </c>
      <c r="K8" s="10">
        <f>IFERROR('QTR BS'!K8/'QTR P&amp;L'!K2,"")</f>
        <v/>
      </c>
      <c r="L8" s="10">
        <f>IFERROR('QTR BS'!L8/'QTR P&amp;L'!L2,"")</f>
        <v/>
      </c>
      <c r="M8" s="10">
        <f>IFERROR('QTR BS'!M8/'QTR P&amp;L'!M2,"")</f>
        <v/>
      </c>
      <c r="N8" s="10">
        <f>IFERROR('QTR BS'!N8/'QTR P&amp;L'!N2,"")</f>
        <v/>
      </c>
      <c r="O8" s="11">
        <f>N8</f>
        <v/>
      </c>
      <c r="P8" s="11">
        <f>N8</f>
        <v/>
      </c>
      <c r="Q8" s="11">
        <f>N8</f>
        <v/>
      </c>
      <c r="R8" s="11">
        <f>N8</f>
        <v/>
      </c>
      <c r="S8" s="11">
        <f>N8</f>
        <v/>
      </c>
      <c r="T8" s="11">
        <f>N8</f>
        <v/>
      </c>
      <c r="U8" s="11">
        <f>N8</f>
        <v/>
      </c>
      <c r="V8" s="11">
        <f>N8</f>
        <v/>
      </c>
      <c r="W8" s="11">
        <f>N8</f>
        <v/>
      </c>
      <c r="X8" s="11">
        <f>N8</f>
        <v/>
      </c>
      <c r="Y8" s="11">
        <f>N8</f>
        <v/>
      </c>
      <c r="Z8" s="11">
        <f>N8</f>
        <v/>
      </c>
      <c r="AA8" s="11">
        <f>N8</f>
        <v/>
      </c>
      <c r="AB8" s="11">
        <f>N8</f>
        <v/>
      </c>
      <c r="AC8" s="11">
        <f>N8</f>
        <v/>
      </c>
      <c r="AD8" s="11">
        <f>N8</f>
        <v/>
      </c>
    </row>
    <row r="9">
      <c r="A9" s="3" t="inlineStr">
        <is>
          <t>Note Receivable - Non-Current — % of Revenue</t>
        </is>
      </c>
      <c r="B9" s="10">
        <f>IFERROR('QTR BS'!B10/'QTR P&amp;L'!B2,"")</f>
        <v/>
      </c>
      <c r="C9" s="10">
        <f>IFERROR('QTR BS'!C10/'QTR P&amp;L'!C2,"")</f>
        <v/>
      </c>
      <c r="D9" s="10">
        <f>IFERROR('QTR BS'!D10/'QTR P&amp;L'!D2,"")</f>
        <v/>
      </c>
      <c r="E9" s="10">
        <f>IFERROR('QTR BS'!E10/'QTR P&amp;L'!E2,"")</f>
        <v/>
      </c>
      <c r="F9" s="10">
        <f>IFERROR('QTR BS'!F10/'QTR P&amp;L'!F2,"")</f>
        <v/>
      </c>
      <c r="G9" s="10">
        <f>IFERROR('QTR BS'!G10/'QTR P&amp;L'!G2,"")</f>
        <v/>
      </c>
      <c r="H9" s="10">
        <f>IFERROR('QTR BS'!H10/'QTR P&amp;L'!H2,"")</f>
        <v/>
      </c>
      <c r="I9" s="10">
        <f>IFERROR('QTR BS'!I10/'QTR P&amp;L'!I2,"")</f>
        <v/>
      </c>
      <c r="J9" s="10">
        <f>IFERROR('QTR BS'!J10/'QTR P&amp;L'!J2,"")</f>
        <v/>
      </c>
      <c r="K9" s="10">
        <f>IFERROR('QTR BS'!K10/'QTR P&amp;L'!K2,"")</f>
        <v/>
      </c>
      <c r="L9" s="10">
        <f>IFERROR('QTR BS'!L10/'QTR P&amp;L'!L2,"")</f>
        <v/>
      </c>
      <c r="M9" s="10">
        <f>IFERROR('QTR BS'!M10/'QTR P&amp;L'!M2,"")</f>
        <v/>
      </c>
      <c r="N9" s="10">
        <f>IFERROR('QTR BS'!N10/'QTR P&amp;L'!N2,"")</f>
        <v/>
      </c>
      <c r="O9" s="11">
        <f>N9</f>
        <v/>
      </c>
      <c r="P9" s="11">
        <f>N9</f>
        <v/>
      </c>
      <c r="Q9" s="11">
        <f>N9</f>
        <v/>
      </c>
      <c r="R9" s="11">
        <f>N9</f>
        <v/>
      </c>
      <c r="S9" s="11">
        <f>N9</f>
        <v/>
      </c>
      <c r="T9" s="11">
        <f>N9</f>
        <v/>
      </c>
      <c r="U9" s="11">
        <f>N9</f>
        <v/>
      </c>
      <c r="V9" s="11">
        <f>N9</f>
        <v/>
      </c>
      <c r="W9" s="11">
        <f>N9</f>
        <v/>
      </c>
      <c r="X9" s="11">
        <f>N9</f>
        <v/>
      </c>
      <c r="Y9" s="11">
        <f>N9</f>
        <v/>
      </c>
      <c r="Z9" s="11">
        <f>N9</f>
        <v/>
      </c>
      <c r="AA9" s="11">
        <f>N9</f>
        <v/>
      </c>
      <c r="AB9" s="11">
        <f>N9</f>
        <v/>
      </c>
      <c r="AC9" s="11">
        <f>N9</f>
        <v/>
      </c>
      <c r="AD9" s="11">
        <f>N9</f>
        <v/>
      </c>
    </row>
    <row r="10">
      <c r="A10" s="3" t="inlineStr">
        <is>
          <t>Net PP&amp;E</t>
        </is>
      </c>
      <c r="B10" s="4">
        <f>'QTR BS'!B11</f>
        <v/>
      </c>
      <c r="C10" s="4">
        <f>'QTR BS'!C11</f>
        <v/>
      </c>
      <c r="D10" s="4">
        <f>'QTR BS'!D11</f>
        <v/>
      </c>
      <c r="E10" s="4">
        <f>'QTR BS'!E11</f>
        <v/>
      </c>
      <c r="F10" s="4">
        <f>'QTR BS'!F11</f>
        <v/>
      </c>
      <c r="G10" s="4">
        <f>'QTR BS'!G11</f>
        <v/>
      </c>
      <c r="H10" s="4">
        <f>'QTR BS'!H11</f>
        <v/>
      </c>
      <c r="I10" s="4">
        <f>'QTR BS'!I11</f>
        <v/>
      </c>
      <c r="J10" s="4">
        <f>'QTR BS'!J11</f>
        <v/>
      </c>
      <c r="K10" s="4">
        <f>'QTR BS'!K11</f>
        <v/>
      </c>
      <c r="L10" s="4">
        <f>'QTR BS'!L11</f>
        <v/>
      </c>
      <c r="M10" s="4">
        <f>'QTR BS'!M11</f>
        <v/>
      </c>
      <c r="N10" s="4">
        <f>'QTR BS'!N11</f>
        <v/>
      </c>
      <c r="O10" s="4">
        <f>N10-'QTR CF'!R34-'QTR CF'!R6</f>
        <v/>
      </c>
      <c r="P10" s="4">
        <f>O10-'QTR CF'!S34-'QTR CF'!S6</f>
        <v/>
      </c>
      <c r="Q10" s="4">
        <f>P10-'QTR CF'!T34-'QTR CF'!T6</f>
        <v/>
      </c>
      <c r="R10" s="4">
        <f>Q10-'QTR CF'!U34-'QTR CF'!U6</f>
        <v/>
      </c>
      <c r="S10" s="4">
        <f>R10-'QTR CF'!V34-'QTR CF'!V6</f>
        <v/>
      </c>
      <c r="T10" s="4">
        <f>S10-'QTR CF'!W34-'QTR CF'!W6</f>
        <v/>
      </c>
      <c r="U10" s="4">
        <f>T10-'QTR CF'!X34-'QTR CF'!X6</f>
        <v/>
      </c>
      <c r="V10" s="4">
        <f>U10-'QTR CF'!Y34-'QTR CF'!Y6</f>
        <v/>
      </c>
      <c r="W10" s="4">
        <f>V10-'QTR CF'!Z34-'QTR CF'!Z6</f>
        <v/>
      </c>
      <c r="X10" s="4">
        <f>W10-'QTR CF'!AA34-'QTR CF'!AA6</f>
        <v/>
      </c>
      <c r="Y10" s="4">
        <f>X10-'QTR CF'!AB34-'QTR CF'!AB6</f>
        <v/>
      </c>
      <c r="Z10" s="4">
        <f>Y10-'QTR CF'!AC34-'QTR CF'!AC6</f>
        <v/>
      </c>
      <c r="AA10" s="4">
        <f>Z10-'QTR CF'!AD34-'QTR CF'!AD6</f>
        <v/>
      </c>
      <c r="AB10" s="4">
        <f>AA10-'QTR CF'!AE34-'QTR CF'!AE6</f>
        <v/>
      </c>
      <c r="AC10" s="4">
        <f>AB10-'QTR CF'!AF34-'QTR CF'!AF6</f>
        <v/>
      </c>
      <c r="AD10" s="4">
        <f>AC10-'QTR CF'!AG34-'QTR CF'!AG6</f>
        <v/>
      </c>
    </row>
    <row r="11">
      <c r="A11" s="3" t="inlineStr">
        <is>
          <t>ROU Assets - Operating - Non-Current — % of Revenue</t>
        </is>
      </c>
      <c r="B11" s="10">
        <f>IFERROR('QTR BS'!B12/'QTR P&amp;L'!B2,"")</f>
        <v/>
      </c>
      <c r="C11" s="10">
        <f>IFERROR('QTR BS'!C12/'QTR P&amp;L'!C2,"")</f>
        <v/>
      </c>
      <c r="D11" s="10">
        <f>IFERROR('QTR BS'!D12/'QTR P&amp;L'!D2,"")</f>
        <v/>
      </c>
      <c r="E11" s="10">
        <f>IFERROR('QTR BS'!E12/'QTR P&amp;L'!E2,"")</f>
        <v/>
      </c>
      <c r="F11" s="10">
        <f>IFERROR('QTR BS'!F12/'QTR P&amp;L'!F2,"")</f>
        <v/>
      </c>
      <c r="G11" s="10">
        <f>IFERROR('QTR BS'!G12/'QTR P&amp;L'!G2,"")</f>
        <v/>
      </c>
      <c r="H11" s="10">
        <f>IFERROR('QTR BS'!H12/'QTR P&amp;L'!H2,"")</f>
        <v/>
      </c>
      <c r="I11" s="10">
        <f>IFERROR('QTR BS'!I12/'QTR P&amp;L'!I2,"")</f>
        <v/>
      </c>
      <c r="J11" s="10">
        <f>IFERROR('QTR BS'!J12/'QTR P&amp;L'!J2,"")</f>
        <v/>
      </c>
      <c r="K11" s="10">
        <f>IFERROR('QTR BS'!K12/'QTR P&amp;L'!K2,"")</f>
        <v/>
      </c>
      <c r="L11" s="10">
        <f>IFERROR('QTR BS'!L12/'QTR P&amp;L'!L2,"")</f>
        <v/>
      </c>
      <c r="M11" s="10">
        <f>IFERROR('QTR BS'!M12/'QTR P&amp;L'!M2,"")</f>
        <v/>
      </c>
      <c r="N11" s="10">
        <f>IFERROR('QTR BS'!N12/'QTR P&amp;L'!N2,"")</f>
        <v/>
      </c>
      <c r="O11" s="11">
        <f>N11</f>
        <v/>
      </c>
      <c r="P11" s="11">
        <f>N11</f>
        <v/>
      </c>
      <c r="Q11" s="11">
        <f>N11</f>
        <v/>
      </c>
      <c r="R11" s="11">
        <f>N11</f>
        <v/>
      </c>
      <c r="S11" s="11">
        <f>N11</f>
        <v/>
      </c>
      <c r="T11" s="11">
        <f>N11</f>
        <v/>
      </c>
      <c r="U11" s="11">
        <f>N11</f>
        <v/>
      </c>
      <c r="V11" s="11">
        <f>N11</f>
        <v/>
      </c>
      <c r="W11" s="11">
        <f>N11</f>
        <v/>
      </c>
      <c r="X11" s="11">
        <f>N11</f>
        <v/>
      </c>
      <c r="Y11" s="11">
        <f>N11</f>
        <v/>
      </c>
      <c r="Z11" s="11">
        <f>N11</f>
        <v/>
      </c>
      <c r="AA11" s="11">
        <f>N11</f>
        <v/>
      </c>
      <c r="AB11" s="11">
        <f>N11</f>
        <v/>
      </c>
      <c r="AC11" s="11">
        <f>N11</f>
        <v/>
      </c>
      <c r="AD11" s="11">
        <f>N11</f>
        <v/>
      </c>
    </row>
    <row r="12">
      <c r="A12" s="3" t="inlineStr">
        <is>
          <t>Intangible Assets</t>
        </is>
      </c>
      <c r="B12" s="4">
        <f>'QTR BS'!B13</f>
        <v/>
      </c>
      <c r="C12" s="4">
        <f>'QTR BS'!C13</f>
        <v/>
      </c>
      <c r="D12" s="4">
        <f>'QTR BS'!D13</f>
        <v/>
      </c>
      <c r="E12" s="4">
        <f>'QTR BS'!E13</f>
        <v/>
      </c>
      <c r="F12" s="4">
        <f>'QTR BS'!F13</f>
        <v/>
      </c>
      <c r="G12" s="4">
        <f>'QTR BS'!G13</f>
        <v/>
      </c>
      <c r="H12" s="4">
        <f>'QTR BS'!H13</f>
        <v/>
      </c>
      <c r="I12" s="4">
        <f>'QTR BS'!I13</f>
        <v/>
      </c>
      <c r="J12" s="4">
        <f>'QTR BS'!J13</f>
        <v/>
      </c>
      <c r="K12" s="4">
        <f>'QTR BS'!K13</f>
        <v/>
      </c>
      <c r="L12" s="4">
        <f>'QTR BS'!L13</f>
        <v/>
      </c>
      <c r="M12" s="4">
        <f>'QTR BS'!M13</f>
        <v/>
      </c>
      <c r="N12" s="4">
        <f>'QTR BS'!N13</f>
        <v/>
      </c>
      <c r="O12" s="12">
        <f>N12</f>
        <v/>
      </c>
      <c r="P12" s="12">
        <f>N12</f>
        <v/>
      </c>
      <c r="Q12" s="12">
        <f>N12</f>
        <v/>
      </c>
      <c r="R12" s="12">
        <f>N12</f>
        <v/>
      </c>
      <c r="S12" s="12">
        <f>N12</f>
        <v/>
      </c>
      <c r="T12" s="12">
        <f>N12</f>
        <v/>
      </c>
      <c r="U12" s="12">
        <f>N12</f>
        <v/>
      </c>
      <c r="V12" s="12">
        <f>N12</f>
        <v/>
      </c>
      <c r="W12" s="12">
        <f>N12</f>
        <v/>
      </c>
      <c r="X12" s="12">
        <f>N12</f>
        <v/>
      </c>
      <c r="Y12" s="12">
        <f>N12</f>
        <v/>
      </c>
      <c r="Z12" s="12">
        <f>N12</f>
        <v/>
      </c>
      <c r="AA12" s="12">
        <f>N12</f>
        <v/>
      </c>
      <c r="AB12" s="12">
        <f>N12</f>
        <v/>
      </c>
      <c r="AC12" s="12">
        <f>N12</f>
        <v/>
      </c>
      <c r="AD12" s="12">
        <f>N12</f>
        <v/>
      </c>
    </row>
    <row r="13">
      <c r="A13" s="3" t="inlineStr">
        <is>
          <t>Goodwill</t>
        </is>
      </c>
      <c r="B13" s="4">
        <f>'QTR BS'!B14</f>
        <v/>
      </c>
      <c r="C13" s="4">
        <f>'QTR BS'!C14</f>
        <v/>
      </c>
      <c r="D13" s="4">
        <f>'QTR BS'!D14</f>
        <v/>
      </c>
      <c r="E13" s="4">
        <f>'QTR BS'!E14</f>
        <v/>
      </c>
      <c r="F13" s="4">
        <f>'QTR BS'!F14</f>
        <v/>
      </c>
      <c r="G13" s="4">
        <f>'QTR BS'!G14</f>
        <v/>
      </c>
      <c r="H13" s="4">
        <f>'QTR BS'!H14</f>
        <v/>
      </c>
      <c r="I13" s="4">
        <f>'QTR BS'!I14</f>
        <v/>
      </c>
      <c r="J13" s="4">
        <f>'QTR BS'!J14</f>
        <v/>
      </c>
      <c r="K13" s="4">
        <f>'QTR BS'!K14</f>
        <v/>
      </c>
      <c r="L13" s="4">
        <f>'QTR BS'!L14</f>
        <v/>
      </c>
      <c r="M13" s="4">
        <f>'QTR BS'!M14</f>
        <v/>
      </c>
      <c r="N13" s="4">
        <f>'QTR BS'!N14</f>
        <v/>
      </c>
      <c r="O13" s="12">
        <f>N13</f>
        <v/>
      </c>
      <c r="P13" s="12">
        <f>N13</f>
        <v/>
      </c>
      <c r="Q13" s="12">
        <f>N13</f>
        <v/>
      </c>
      <c r="R13" s="12">
        <f>N13</f>
        <v/>
      </c>
      <c r="S13" s="12">
        <f>N13</f>
        <v/>
      </c>
      <c r="T13" s="12">
        <f>N13</f>
        <v/>
      </c>
      <c r="U13" s="12">
        <f>N13</f>
        <v/>
      </c>
      <c r="V13" s="12">
        <f>N13</f>
        <v/>
      </c>
      <c r="W13" s="12">
        <f>N13</f>
        <v/>
      </c>
      <c r="X13" s="12">
        <f>N13</f>
        <v/>
      </c>
      <c r="Y13" s="12">
        <f>N13</f>
        <v/>
      </c>
      <c r="Z13" s="12">
        <f>N13</f>
        <v/>
      </c>
      <c r="AA13" s="12">
        <f>N13</f>
        <v/>
      </c>
      <c r="AB13" s="12">
        <f>N13</f>
        <v/>
      </c>
      <c r="AC13" s="12">
        <f>N13</f>
        <v/>
      </c>
      <c r="AD13" s="12">
        <f>N13</f>
        <v/>
      </c>
    </row>
    <row r="14">
      <c r="A14" s="3" t="inlineStr">
        <is>
          <t>Deferred Other Costs - Non-Current — % of Revenue</t>
        </is>
      </c>
      <c r="B14" s="10">
        <f>IFERROR('QTR BS'!B15/'QTR P&amp;L'!B2,"")</f>
        <v/>
      </c>
      <c r="C14" s="10">
        <f>IFERROR('QTR BS'!C15/'QTR P&amp;L'!C2,"")</f>
        <v/>
      </c>
      <c r="D14" s="10">
        <f>IFERROR('QTR BS'!D15/'QTR P&amp;L'!D2,"")</f>
        <v/>
      </c>
      <c r="E14" s="10">
        <f>IFERROR('QTR BS'!E15/'QTR P&amp;L'!E2,"")</f>
        <v/>
      </c>
      <c r="F14" s="10">
        <f>IFERROR('QTR BS'!F15/'QTR P&amp;L'!F2,"")</f>
        <v/>
      </c>
      <c r="G14" s="10">
        <f>IFERROR('QTR BS'!G15/'QTR P&amp;L'!G2,"")</f>
        <v/>
      </c>
      <c r="H14" s="10">
        <f>IFERROR('QTR BS'!H15/'QTR P&amp;L'!H2,"")</f>
        <v/>
      </c>
      <c r="I14" s="10">
        <f>IFERROR('QTR BS'!I15/'QTR P&amp;L'!I2,"")</f>
        <v/>
      </c>
      <c r="J14" s="10">
        <f>IFERROR('QTR BS'!J15/'QTR P&amp;L'!J2,"")</f>
        <v/>
      </c>
      <c r="K14" s="10">
        <f>IFERROR('QTR BS'!K15/'QTR P&amp;L'!K2,"")</f>
        <v/>
      </c>
      <c r="L14" s="10">
        <f>IFERROR('QTR BS'!L15/'QTR P&amp;L'!L2,"")</f>
        <v/>
      </c>
      <c r="M14" s="10">
        <f>IFERROR('QTR BS'!M15/'QTR P&amp;L'!M2,"")</f>
        <v/>
      </c>
      <c r="N14" s="10">
        <f>IFERROR('QTR BS'!N15/'QTR P&amp;L'!N2,"")</f>
        <v/>
      </c>
      <c r="O14" s="11">
        <f>N14</f>
        <v/>
      </c>
      <c r="P14" s="11">
        <f>N14</f>
        <v/>
      </c>
      <c r="Q14" s="11">
        <f>N14</f>
        <v/>
      </c>
      <c r="R14" s="11">
        <f>N14</f>
        <v/>
      </c>
      <c r="S14" s="11">
        <f>N14</f>
        <v/>
      </c>
      <c r="T14" s="11">
        <f>N14</f>
        <v/>
      </c>
      <c r="U14" s="11">
        <f>N14</f>
        <v/>
      </c>
      <c r="V14" s="11">
        <f>N14</f>
        <v/>
      </c>
      <c r="W14" s="11">
        <f>N14</f>
        <v/>
      </c>
      <c r="X14" s="11">
        <f>N14</f>
        <v/>
      </c>
      <c r="Y14" s="11">
        <f>N14</f>
        <v/>
      </c>
      <c r="Z14" s="11">
        <f>N14</f>
        <v/>
      </c>
      <c r="AA14" s="11">
        <f>N14</f>
        <v/>
      </c>
      <c r="AB14" s="11">
        <f>N14</f>
        <v/>
      </c>
      <c r="AC14" s="11">
        <f>N14</f>
        <v/>
      </c>
      <c r="AD14" s="11">
        <f>N14</f>
        <v/>
      </c>
    </row>
    <row r="15">
      <c r="A15" s="3" t="inlineStr">
        <is>
          <t>Deferred Tax Assets</t>
        </is>
      </c>
      <c r="B15" s="4">
        <f>'QTR BS'!B16</f>
        <v/>
      </c>
      <c r="C15" s="4">
        <f>'QTR BS'!C16</f>
        <v/>
      </c>
      <c r="D15" s="4">
        <f>'QTR BS'!D16</f>
        <v/>
      </c>
      <c r="E15" s="4">
        <f>'QTR BS'!E16</f>
        <v/>
      </c>
      <c r="F15" s="4">
        <f>'QTR BS'!F16</f>
        <v/>
      </c>
      <c r="G15" s="4">
        <f>'QTR BS'!G16</f>
        <v/>
      </c>
      <c r="H15" s="4">
        <f>'QTR BS'!H16</f>
        <v/>
      </c>
      <c r="I15" s="4">
        <f>'QTR BS'!I16</f>
        <v/>
      </c>
      <c r="J15" s="4">
        <f>'QTR BS'!J16</f>
        <v/>
      </c>
      <c r="K15" s="4">
        <f>'QTR BS'!K16</f>
        <v/>
      </c>
      <c r="L15" s="4">
        <f>'QTR BS'!L16</f>
        <v/>
      </c>
      <c r="M15" s="4">
        <f>'QTR BS'!M16</f>
        <v/>
      </c>
      <c r="N15" s="4">
        <f>'QTR BS'!N16</f>
        <v/>
      </c>
      <c r="O15" s="4">
        <f>N15-'QTR CF'!R12</f>
        <v/>
      </c>
      <c r="P15" s="4">
        <f>O15-'QTR CF'!S12</f>
        <v/>
      </c>
      <c r="Q15" s="4">
        <f>P15-'QTR CF'!T12</f>
        <v/>
      </c>
      <c r="R15" s="4">
        <f>Q15-'QTR CF'!U12</f>
        <v/>
      </c>
      <c r="S15" s="4">
        <f>R15-'QTR CF'!V12</f>
        <v/>
      </c>
      <c r="T15" s="4">
        <f>S15-'QTR CF'!W12</f>
        <v/>
      </c>
      <c r="U15" s="4">
        <f>T15-'QTR CF'!X12</f>
        <v/>
      </c>
      <c r="V15" s="4">
        <f>U15-'QTR CF'!Y12</f>
        <v/>
      </c>
      <c r="W15" s="4">
        <f>V15-'QTR CF'!Z12</f>
        <v/>
      </c>
      <c r="X15" s="4">
        <f>W15-'QTR CF'!AA12</f>
        <v/>
      </c>
      <c r="Y15" s="4">
        <f>X15-'QTR CF'!AB12</f>
        <v/>
      </c>
      <c r="Z15" s="4">
        <f>Y15-'QTR CF'!AC12</f>
        <v/>
      </c>
      <c r="AA15" s="4">
        <f>Z15-'QTR CF'!AD12</f>
        <v/>
      </c>
      <c r="AB15" s="4">
        <f>AA15-'QTR CF'!AE12</f>
        <v/>
      </c>
      <c r="AC15" s="4">
        <f>AB15-'QTR CF'!AF12</f>
        <v/>
      </c>
      <c r="AD15" s="4">
        <f>AC15-'QTR CF'!AG12</f>
        <v/>
      </c>
    </row>
    <row r="16">
      <c r="A16" s="3" t="inlineStr">
        <is>
          <t>ROU Assets - Finance - Non-Current — % of Revenue</t>
        </is>
      </c>
      <c r="B16" s="10">
        <f>IFERROR('QTR BS'!B17/'QTR P&amp;L'!B2,"")</f>
        <v/>
      </c>
      <c r="C16" s="10">
        <f>IFERROR('QTR BS'!C17/'QTR P&amp;L'!C2,"")</f>
        <v/>
      </c>
      <c r="D16" s="10">
        <f>IFERROR('QTR BS'!D17/'QTR P&amp;L'!D2,"")</f>
        <v/>
      </c>
      <c r="E16" s="10">
        <f>IFERROR('QTR BS'!E17/'QTR P&amp;L'!E2,"")</f>
        <v/>
      </c>
      <c r="F16" s="10">
        <f>IFERROR('QTR BS'!F17/'QTR P&amp;L'!F2,"")</f>
        <v/>
      </c>
      <c r="G16" s="10">
        <f>IFERROR('QTR BS'!G17/'QTR P&amp;L'!G2,"")</f>
        <v/>
      </c>
      <c r="H16" s="10">
        <f>IFERROR('QTR BS'!H17/'QTR P&amp;L'!H2,"")</f>
        <v/>
      </c>
      <c r="I16" s="10">
        <f>IFERROR('QTR BS'!I17/'QTR P&amp;L'!I2,"")</f>
        <v/>
      </c>
      <c r="J16" s="10">
        <f>IFERROR('QTR BS'!J17/'QTR P&amp;L'!J2,"")</f>
        <v/>
      </c>
      <c r="K16" s="10">
        <f>IFERROR('QTR BS'!K17/'QTR P&amp;L'!K2,"")</f>
        <v/>
      </c>
      <c r="L16" s="10">
        <f>IFERROR('QTR BS'!L17/'QTR P&amp;L'!L2,"")</f>
        <v/>
      </c>
      <c r="M16" s="10">
        <f>IFERROR('QTR BS'!M17/'QTR P&amp;L'!M2,"")</f>
        <v/>
      </c>
      <c r="N16" s="10">
        <f>IFERROR('QTR BS'!N17/'QTR P&amp;L'!N2,"")</f>
        <v/>
      </c>
      <c r="O16" s="11">
        <f>N16</f>
        <v/>
      </c>
      <c r="P16" s="11">
        <f>N16</f>
        <v/>
      </c>
      <c r="Q16" s="11">
        <f>N16</f>
        <v/>
      </c>
      <c r="R16" s="11">
        <f>N16</f>
        <v/>
      </c>
      <c r="S16" s="11">
        <f>N16</f>
        <v/>
      </c>
      <c r="T16" s="11">
        <f>N16</f>
        <v/>
      </c>
      <c r="U16" s="11">
        <f>N16</f>
        <v/>
      </c>
      <c r="V16" s="11">
        <f>N16</f>
        <v/>
      </c>
      <c r="W16" s="11">
        <f>N16</f>
        <v/>
      </c>
      <c r="X16" s="11">
        <f>N16</f>
        <v/>
      </c>
      <c r="Y16" s="11">
        <f>N16</f>
        <v/>
      </c>
      <c r="Z16" s="11">
        <f>N16</f>
        <v/>
      </c>
      <c r="AA16" s="11">
        <f>N16</f>
        <v/>
      </c>
      <c r="AB16" s="11">
        <f>N16</f>
        <v/>
      </c>
      <c r="AC16" s="11">
        <f>N16</f>
        <v/>
      </c>
      <c r="AD16" s="11">
        <f>N16</f>
        <v/>
      </c>
    </row>
    <row r="17">
      <c r="A17" s="3" t="inlineStr">
        <is>
          <t>Other Non-Current Assets — % of Revenue</t>
        </is>
      </c>
      <c r="B17" s="10">
        <f>IFERROR('QTR BS'!B18/'QTR P&amp;L'!B2,"")</f>
        <v/>
      </c>
      <c r="C17" s="10">
        <f>IFERROR('QTR BS'!C18/'QTR P&amp;L'!C2,"")</f>
        <v/>
      </c>
      <c r="D17" s="10">
        <f>IFERROR('QTR BS'!D18/'QTR P&amp;L'!D2,"")</f>
        <v/>
      </c>
      <c r="E17" s="10">
        <f>IFERROR('QTR BS'!E18/'QTR P&amp;L'!E2,"")</f>
        <v/>
      </c>
      <c r="F17" s="10">
        <f>IFERROR('QTR BS'!F18/'QTR P&amp;L'!F2,"")</f>
        <v/>
      </c>
      <c r="G17" s="10">
        <f>IFERROR('QTR BS'!G18/'QTR P&amp;L'!G2,"")</f>
        <v/>
      </c>
      <c r="H17" s="10">
        <f>IFERROR('QTR BS'!H18/'QTR P&amp;L'!H2,"")</f>
        <v/>
      </c>
      <c r="I17" s="10">
        <f>IFERROR('QTR BS'!I18/'QTR P&amp;L'!I2,"")</f>
        <v/>
      </c>
      <c r="J17" s="10">
        <f>IFERROR('QTR BS'!J18/'QTR P&amp;L'!J2,"")</f>
        <v/>
      </c>
      <c r="K17" s="10">
        <f>IFERROR('QTR BS'!K18/'QTR P&amp;L'!K2,"")</f>
        <v/>
      </c>
      <c r="L17" s="10">
        <f>IFERROR('QTR BS'!L18/'QTR P&amp;L'!L2,"")</f>
        <v/>
      </c>
      <c r="M17" s="10">
        <f>IFERROR('QTR BS'!M18/'QTR P&amp;L'!M2,"")</f>
        <v/>
      </c>
      <c r="N17" s="10">
        <f>IFERROR('QTR BS'!N18/'QTR P&amp;L'!N2,"")</f>
        <v/>
      </c>
      <c r="O17" s="11">
        <f>N17</f>
        <v/>
      </c>
      <c r="P17" s="11">
        <f>N17</f>
        <v/>
      </c>
      <c r="Q17" s="11">
        <f>N17</f>
        <v/>
      </c>
      <c r="R17" s="11">
        <f>N17</f>
        <v/>
      </c>
      <c r="S17" s="11">
        <f>N17</f>
        <v/>
      </c>
      <c r="T17" s="11">
        <f>N17</f>
        <v/>
      </c>
      <c r="U17" s="11">
        <f>N17</f>
        <v/>
      </c>
      <c r="V17" s="11">
        <f>N17</f>
        <v/>
      </c>
      <c r="W17" s="11">
        <f>N17</f>
        <v/>
      </c>
      <c r="X17" s="11">
        <f>N17</f>
        <v/>
      </c>
      <c r="Y17" s="11">
        <f>N17</f>
        <v/>
      </c>
      <c r="Z17" s="11">
        <f>N17</f>
        <v/>
      </c>
      <c r="AA17" s="11">
        <f>N17</f>
        <v/>
      </c>
      <c r="AB17" s="11">
        <f>N17</f>
        <v/>
      </c>
      <c r="AC17" s="11">
        <f>N17</f>
        <v/>
      </c>
      <c r="AD17" s="11">
        <f>N17</f>
        <v/>
      </c>
    </row>
    <row r="18">
      <c r="A18" s="3" t="inlineStr">
        <is>
          <t>Accounts Payable — DPO (days)</t>
        </is>
      </c>
      <c r="B18" s="13">
        <f>IFERROR('QTR BS'!B20/'QTR P&amp;L'!B3*ASSUMPTIONS!$B$2,"")</f>
        <v/>
      </c>
      <c r="C18" s="13">
        <f>IFERROR('QTR BS'!C20/'QTR P&amp;L'!C3*ASSUMPTIONS!$B$2,"")</f>
        <v/>
      </c>
      <c r="D18" s="13">
        <f>IFERROR('QTR BS'!D20/'QTR P&amp;L'!D3*ASSUMPTIONS!$B$2,"")</f>
        <v/>
      </c>
      <c r="E18" s="13">
        <f>IFERROR('QTR BS'!E20/'QTR P&amp;L'!E3*ASSUMPTIONS!$B$2,"")</f>
        <v/>
      </c>
      <c r="F18" s="13">
        <f>IFERROR('QTR BS'!F20/'QTR P&amp;L'!F3*ASSUMPTIONS!$B$2,"")</f>
        <v/>
      </c>
      <c r="G18" s="13">
        <f>IFERROR('QTR BS'!G20/'QTR P&amp;L'!G3*ASSUMPTIONS!$B$2,"")</f>
        <v/>
      </c>
      <c r="H18" s="13">
        <f>IFERROR('QTR BS'!H20/'QTR P&amp;L'!H3*ASSUMPTIONS!$B$2,"")</f>
        <v/>
      </c>
      <c r="I18" s="13">
        <f>IFERROR('QTR BS'!I20/'QTR P&amp;L'!I3*ASSUMPTIONS!$B$2,"")</f>
        <v/>
      </c>
      <c r="J18" s="13">
        <f>IFERROR('QTR BS'!J20/'QTR P&amp;L'!J3*ASSUMPTIONS!$B$2,"")</f>
        <v/>
      </c>
      <c r="K18" s="13">
        <f>IFERROR('QTR BS'!K20/'QTR P&amp;L'!K3*ASSUMPTIONS!$B$2,"")</f>
        <v/>
      </c>
      <c r="L18" s="13">
        <f>IFERROR('QTR BS'!L20/'QTR P&amp;L'!L3*ASSUMPTIONS!$B$2,"")</f>
        <v/>
      </c>
      <c r="M18" s="13">
        <f>IFERROR('QTR BS'!M20/'QTR P&amp;L'!M3*ASSUMPTIONS!$B$2,"")</f>
        <v/>
      </c>
      <c r="N18" s="13">
        <f>IFERROR('QTR BS'!N20/'QTR P&amp;L'!N3*ASSUMPTIONS!$B$2,"")</f>
        <v/>
      </c>
      <c r="O18" s="14">
        <f>N18</f>
        <v/>
      </c>
      <c r="P18" s="14">
        <f>N18</f>
        <v/>
      </c>
      <c r="Q18" s="14">
        <f>N18</f>
        <v/>
      </c>
      <c r="R18" s="14">
        <f>N18</f>
        <v/>
      </c>
      <c r="S18" s="14">
        <f>N18</f>
        <v/>
      </c>
      <c r="T18" s="14">
        <f>N18</f>
        <v/>
      </c>
      <c r="U18" s="14">
        <f>N18</f>
        <v/>
      </c>
      <c r="V18" s="14">
        <f>N18</f>
        <v/>
      </c>
      <c r="W18" s="14">
        <f>N18</f>
        <v/>
      </c>
      <c r="X18" s="14">
        <f>N18</f>
        <v/>
      </c>
      <c r="Y18" s="14">
        <f>N18</f>
        <v/>
      </c>
      <c r="Z18" s="14">
        <f>N18</f>
        <v/>
      </c>
      <c r="AA18" s="14">
        <f>N18</f>
        <v/>
      </c>
      <c r="AB18" s="14">
        <f>N18</f>
        <v/>
      </c>
      <c r="AC18" s="14">
        <f>N18</f>
        <v/>
      </c>
      <c r="AD18" s="14">
        <f>N18</f>
        <v/>
      </c>
    </row>
    <row r="19">
      <c r="A19" s="3" t="inlineStr">
        <is>
          <t>Accrued Expenses — % of Revenue</t>
        </is>
      </c>
      <c r="B19" s="10">
        <f>IFERROR('QTR BS'!B21/'QTR P&amp;L'!B2,"")</f>
        <v/>
      </c>
      <c r="C19" s="10">
        <f>IFERROR('QTR BS'!C21/'QTR P&amp;L'!C2,"")</f>
        <v/>
      </c>
      <c r="D19" s="10">
        <f>IFERROR('QTR BS'!D21/'QTR P&amp;L'!D2,"")</f>
        <v/>
      </c>
      <c r="E19" s="10">
        <f>IFERROR('QTR BS'!E21/'QTR P&amp;L'!E2,"")</f>
        <v/>
      </c>
      <c r="F19" s="10">
        <f>IFERROR('QTR BS'!F21/'QTR P&amp;L'!F2,"")</f>
        <v/>
      </c>
      <c r="G19" s="10">
        <f>IFERROR('QTR BS'!G21/'QTR P&amp;L'!G2,"")</f>
        <v/>
      </c>
      <c r="H19" s="10">
        <f>IFERROR('QTR BS'!H21/'QTR P&amp;L'!H2,"")</f>
        <v/>
      </c>
      <c r="I19" s="10">
        <f>IFERROR('QTR BS'!I21/'QTR P&amp;L'!I2,"")</f>
        <v/>
      </c>
      <c r="J19" s="10">
        <f>IFERROR('QTR BS'!J21/'QTR P&amp;L'!J2,"")</f>
        <v/>
      </c>
      <c r="K19" s="10">
        <f>IFERROR('QTR BS'!K21/'QTR P&amp;L'!K2,"")</f>
        <v/>
      </c>
      <c r="L19" s="10">
        <f>IFERROR('QTR BS'!L21/'QTR P&amp;L'!L2,"")</f>
        <v/>
      </c>
      <c r="M19" s="10">
        <f>IFERROR('QTR BS'!M21/'QTR P&amp;L'!M2,"")</f>
        <v/>
      </c>
      <c r="N19" s="10">
        <f>IFERROR('QTR BS'!N21/'QTR P&amp;L'!N2,"")</f>
        <v/>
      </c>
      <c r="O19" s="11">
        <f>N19</f>
        <v/>
      </c>
      <c r="P19" s="11">
        <f>N19</f>
        <v/>
      </c>
      <c r="Q19" s="11">
        <f>N19</f>
        <v/>
      </c>
      <c r="R19" s="11">
        <f>N19</f>
        <v/>
      </c>
      <c r="S19" s="11">
        <f>N19</f>
        <v/>
      </c>
      <c r="T19" s="11">
        <f>N19</f>
        <v/>
      </c>
      <c r="U19" s="11">
        <f>N19</f>
        <v/>
      </c>
      <c r="V19" s="11">
        <f>N19</f>
        <v/>
      </c>
      <c r="W19" s="11">
        <f>N19</f>
        <v/>
      </c>
      <c r="X19" s="11">
        <f>N19</f>
        <v/>
      </c>
      <c r="Y19" s="11">
        <f>N19</f>
        <v/>
      </c>
      <c r="Z19" s="11">
        <f>N19</f>
        <v/>
      </c>
      <c r="AA19" s="11">
        <f>N19</f>
        <v/>
      </c>
      <c r="AB19" s="11">
        <f>N19</f>
        <v/>
      </c>
      <c r="AC19" s="11">
        <f>N19</f>
        <v/>
      </c>
      <c r="AD19" s="11">
        <f>N19</f>
        <v/>
      </c>
    </row>
    <row r="20">
      <c r="A20" s="3" t="inlineStr">
        <is>
          <t>Income Taxes Payable — % of Revenue</t>
        </is>
      </c>
      <c r="B20" s="10">
        <f>IFERROR('QTR BS'!B22/'QTR P&amp;L'!B2,"")</f>
        <v/>
      </c>
      <c r="C20" s="10">
        <f>IFERROR('QTR BS'!C22/'QTR P&amp;L'!C2,"")</f>
        <v/>
      </c>
      <c r="D20" s="10">
        <f>IFERROR('QTR BS'!D22/'QTR P&amp;L'!D2,"")</f>
        <v/>
      </c>
      <c r="E20" s="10">
        <f>IFERROR('QTR BS'!E22/'QTR P&amp;L'!E2,"")</f>
        <v/>
      </c>
      <c r="F20" s="10">
        <f>IFERROR('QTR BS'!F22/'QTR P&amp;L'!F2,"")</f>
        <v/>
      </c>
      <c r="G20" s="10">
        <f>IFERROR('QTR BS'!G22/'QTR P&amp;L'!G2,"")</f>
        <v/>
      </c>
      <c r="H20" s="10">
        <f>IFERROR('QTR BS'!H22/'QTR P&amp;L'!H2,"")</f>
        <v/>
      </c>
      <c r="I20" s="10">
        <f>IFERROR('QTR BS'!I22/'QTR P&amp;L'!I2,"")</f>
        <v/>
      </c>
      <c r="J20" s="10">
        <f>IFERROR('QTR BS'!J22/'QTR P&amp;L'!J2,"")</f>
        <v/>
      </c>
      <c r="K20" s="10">
        <f>IFERROR('QTR BS'!K22/'QTR P&amp;L'!K2,"")</f>
        <v/>
      </c>
      <c r="L20" s="10">
        <f>IFERROR('QTR BS'!L22/'QTR P&amp;L'!L2,"")</f>
        <v/>
      </c>
      <c r="M20" s="10">
        <f>IFERROR('QTR BS'!M22/'QTR P&amp;L'!M2,"")</f>
        <v/>
      </c>
      <c r="N20" s="10">
        <f>IFERROR('QTR BS'!N22/'QTR P&amp;L'!N2,"")</f>
        <v/>
      </c>
      <c r="O20" s="11">
        <f>N20</f>
        <v/>
      </c>
      <c r="P20" s="11">
        <f>N20</f>
        <v/>
      </c>
      <c r="Q20" s="11">
        <f>N20</f>
        <v/>
      </c>
      <c r="R20" s="11">
        <f>N20</f>
        <v/>
      </c>
      <c r="S20" s="11">
        <f>N20</f>
        <v/>
      </c>
      <c r="T20" s="11">
        <f>N20</f>
        <v/>
      </c>
      <c r="U20" s="11">
        <f>N20</f>
        <v/>
      </c>
      <c r="V20" s="11">
        <f>N20</f>
        <v/>
      </c>
      <c r="W20" s="11">
        <f>N20</f>
        <v/>
      </c>
      <c r="X20" s="11">
        <f>N20</f>
        <v/>
      </c>
      <c r="Y20" s="11">
        <f>N20</f>
        <v/>
      </c>
      <c r="Z20" s="11">
        <f>N20</f>
        <v/>
      </c>
      <c r="AA20" s="11">
        <f>N20</f>
        <v/>
      </c>
      <c r="AB20" s="11">
        <f>N20</f>
        <v/>
      </c>
      <c r="AC20" s="11">
        <f>N20</f>
        <v/>
      </c>
      <c r="AD20" s="11">
        <f>N20</f>
        <v/>
      </c>
    </row>
    <row r="21">
      <c r="A21" s="3" t="inlineStr">
        <is>
          <t>Accrued Distributor Termination Fees</t>
        </is>
      </c>
      <c r="B21" s="4">
        <f>'QTR BS'!B23</f>
        <v/>
      </c>
      <c r="C21" s="4">
        <f>'QTR BS'!C23</f>
        <v/>
      </c>
      <c r="D21" s="4">
        <f>'QTR BS'!D23</f>
        <v/>
      </c>
      <c r="E21" s="4">
        <f>'QTR BS'!E23</f>
        <v/>
      </c>
      <c r="F21" s="4">
        <f>'QTR BS'!F23</f>
        <v/>
      </c>
      <c r="G21" s="4">
        <f>'QTR BS'!G23</f>
        <v/>
      </c>
      <c r="H21" s="4">
        <f>'QTR BS'!H23</f>
        <v/>
      </c>
      <c r="I21" s="4">
        <f>'QTR BS'!I23</f>
        <v/>
      </c>
      <c r="J21" s="4">
        <f>'QTR BS'!J23</f>
        <v/>
      </c>
      <c r="K21" s="4">
        <f>'QTR BS'!K23</f>
        <v/>
      </c>
      <c r="L21" s="4">
        <f>'QTR BS'!L23</f>
        <v/>
      </c>
      <c r="M21" s="4">
        <f>'QTR BS'!M23</f>
        <v/>
      </c>
      <c r="N21" s="4">
        <f>'QTR BS'!N23</f>
        <v/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  <c r="T21" s="12" t="n">
        <v>0</v>
      </c>
      <c r="U21" s="12" t="n">
        <v>0</v>
      </c>
      <c r="V21" s="12" t="n">
        <v>0</v>
      </c>
      <c r="W21" s="12" t="n">
        <v>0</v>
      </c>
      <c r="X21" s="12" t="n">
        <v>0</v>
      </c>
      <c r="Y21" s="12" t="n">
        <v>0</v>
      </c>
      <c r="Z21" s="12" t="n">
        <v>0</v>
      </c>
      <c r="AA21" s="12" t="n">
        <v>0</v>
      </c>
      <c r="AB21" s="12" t="n">
        <v>0</v>
      </c>
      <c r="AC21" s="12" t="n">
        <v>0</v>
      </c>
      <c r="AD21" s="12" t="n">
        <v>0</v>
      </c>
    </row>
    <row r="22">
      <c r="A22" s="3" t="inlineStr">
        <is>
          <t>Accrued Promotional Allowance — % of Revenue</t>
        </is>
      </c>
      <c r="B22" s="10">
        <f>IFERROR('QTR BS'!B24/'QTR P&amp;L'!B2,"")</f>
        <v/>
      </c>
      <c r="C22" s="10">
        <f>IFERROR('QTR BS'!C24/'QTR P&amp;L'!C2,"")</f>
        <v/>
      </c>
      <c r="D22" s="10">
        <f>IFERROR('QTR BS'!D24/'QTR P&amp;L'!D2,"")</f>
        <v/>
      </c>
      <c r="E22" s="10">
        <f>IFERROR('QTR BS'!E24/'QTR P&amp;L'!E2,"")</f>
        <v/>
      </c>
      <c r="F22" s="10">
        <f>IFERROR('QTR BS'!F24/'QTR P&amp;L'!F2,"")</f>
        <v/>
      </c>
      <c r="G22" s="10">
        <f>IFERROR('QTR BS'!G24/'QTR P&amp;L'!G2,"")</f>
        <v/>
      </c>
      <c r="H22" s="10">
        <f>IFERROR('QTR BS'!H24/'QTR P&amp;L'!H2,"")</f>
        <v/>
      </c>
      <c r="I22" s="10">
        <f>IFERROR('QTR BS'!I24/'QTR P&amp;L'!I2,"")</f>
        <v/>
      </c>
      <c r="J22" s="10">
        <f>IFERROR('QTR BS'!J24/'QTR P&amp;L'!J2,"")</f>
        <v/>
      </c>
      <c r="K22" s="10">
        <f>IFERROR('QTR BS'!K24/'QTR P&amp;L'!K2,"")</f>
        <v/>
      </c>
      <c r="L22" s="10">
        <f>IFERROR('QTR BS'!L24/'QTR P&amp;L'!L2,"")</f>
        <v/>
      </c>
      <c r="M22" s="10">
        <f>IFERROR('QTR BS'!M24/'QTR P&amp;L'!M2,"")</f>
        <v/>
      </c>
      <c r="N22" s="10">
        <f>IFERROR('QTR BS'!N24/'QTR P&amp;L'!N2,"")</f>
        <v/>
      </c>
      <c r="O22" s="11">
        <f>N22</f>
        <v/>
      </c>
      <c r="P22" s="11">
        <f>N22</f>
        <v/>
      </c>
      <c r="Q22" s="11">
        <f>N22</f>
        <v/>
      </c>
      <c r="R22" s="11">
        <f>N22</f>
        <v/>
      </c>
      <c r="S22" s="11">
        <f>N22</f>
        <v/>
      </c>
      <c r="T22" s="11">
        <f>N22</f>
        <v/>
      </c>
      <c r="U22" s="11">
        <f>N22</f>
        <v/>
      </c>
      <c r="V22" s="11">
        <f>N22</f>
        <v/>
      </c>
      <c r="W22" s="11">
        <f>N22</f>
        <v/>
      </c>
      <c r="X22" s="11">
        <f>N22</f>
        <v/>
      </c>
      <c r="Y22" s="11">
        <f>N22</f>
        <v/>
      </c>
      <c r="Z22" s="11">
        <f>N22</f>
        <v/>
      </c>
      <c r="AA22" s="11">
        <f>N22</f>
        <v/>
      </c>
      <c r="AB22" s="11">
        <f>N22</f>
        <v/>
      </c>
      <c r="AC22" s="11">
        <f>N22</f>
        <v/>
      </c>
      <c r="AD22" s="11">
        <f>N22</f>
        <v/>
      </c>
    </row>
    <row r="23">
      <c r="A23" s="3" t="inlineStr">
        <is>
          <t>Lease Liability - Operating - Current — % of Revenue</t>
        </is>
      </c>
      <c r="B23" s="10">
        <f>IFERROR('QTR BS'!B25/'QTR P&amp;L'!B2,"")</f>
        <v/>
      </c>
      <c r="C23" s="10">
        <f>IFERROR('QTR BS'!C25/'QTR P&amp;L'!C2,"")</f>
        <v/>
      </c>
      <c r="D23" s="10">
        <f>IFERROR('QTR BS'!D25/'QTR P&amp;L'!D2,"")</f>
        <v/>
      </c>
      <c r="E23" s="10">
        <f>IFERROR('QTR BS'!E25/'QTR P&amp;L'!E2,"")</f>
        <v/>
      </c>
      <c r="F23" s="10">
        <f>IFERROR('QTR BS'!F25/'QTR P&amp;L'!F2,"")</f>
        <v/>
      </c>
      <c r="G23" s="10">
        <f>IFERROR('QTR BS'!G25/'QTR P&amp;L'!G2,"")</f>
        <v/>
      </c>
      <c r="H23" s="10">
        <f>IFERROR('QTR BS'!H25/'QTR P&amp;L'!H2,"")</f>
        <v/>
      </c>
      <c r="I23" s="10">
        <f>IFERROR('QTR BS'!I25/'QTR P&amp;L'!I2,"")</f>
        <v/>
      </c>
      <c r="J23" s="10">
        <f>IFERROR('QTR BS'!J25/'QTR P&amp;L'!J2,"")</f>
        <v/>
      </c>
      <c r="K23" s="10">
        <f>IFERROR('QTR BS'!K25/'QTR P&amp;L'!K2,"")</f>
        <v/>
      </c>
      <c r="L23" s="10">
        <f>IFERROR('QTR BS'!L25/'QTR P&amp;L'!L2,"")</f>
        <v/>
      </c>
      <c r="M23" s="10">
        <f>IFERROR('QTR BS'!M25/'QTR P&amp;L'!M2,"")</f>
        <v/>
      </c>
      <c r="N23" s="10">
        <f>IFERROR('QTR BS'!N25/'QTR P&amp;L'!N2,"")</f>
        <v/>
      </c>
      <c r="O23" s="11">
        <f>N23</f>
        <v/>
      </c>
      <c r="P23" s="11">
        <f>N23</f>
        <v/>
      </c>
      <c r="Q23" s="11">
        <f>N23</f>
        <v/>
      </c>
      <c r="R23" s="11">
        <f>N23</f>
        <v/>
      </c>
      <c r="S23" s="11">
        <f>N23</f>
        <v/>
      </c>
      <c r="T23" s="11">
        <f>N23</f>
        <v/>
      </c>
      <c r="U23" s="11">
        <f>N23</f>
        <v/>
      </c>
      <c r="V23" s="11">
        <f>N23</f>
        <v/>
      </c>
      <c r="W23" s="11">
        <f>N23</f>
        <v/>
      </c>
      <c r="X23" s="11">
        <f>N23</f>
        <v/>
      </c>
      <c r="Y23" s="11">
        <f>N23</f>
        <v/>
      </c>
      <c r="Z23" s="11">
        <f>N23</f>
        <v/>
      </c>
      <c r="AA23" s="11">
        <f>N23</f>
        <v/>
      </c>
      <c r="AB23" s="11">
        <f>N23</f>
        <v/>
      </c>
      <c r="AC23" s="11">
        <f>N23</f>
        <v/>
      </c>
      <c r="AD23" s="11">
        <f>N23</f>
        <v/>
      </c>
    </row>
    <row r="24">
      <c r="A24" s="3" t="inlineStr">
        <is>
          <t>Lease Liability - Finance - Current — % of Revenue</t>
        </is>
      </c>
      <c r="B24" s="10">
        <f>IFERROR('QTR BS'!B26/'QTR P&amp;L'!B2,"")</f>
        <v/>
      </c>
      <c r="C24" s="10">
        <f>IFERROR('QTR BS'!C26/'QTR P&amp;L'!C2,"")</f>
        <v/>
      </c>
      <c r="D24" s="10">
        <f>IFERROR('QTR BS'!D26/'QTR P&amp;L'!D2,"")</f>
        <v/>
      </c>
      <c r="E24" s="10">
        <f>IFERROR('QTR BS'!E26/'QTR P&amp;L'!E2,"")</f>
        <v/>
      </c>
      <c r="F24" s="10">
        <f>IFERROR('QTR BS'!F26/'QTR P&amp;L'!F2,"")</f>
        <v/>
      </c>
      <c r="G24" s="10">
        <f>IFERROR('QTR BS'!G26/'QTR P&amp;L'!G2,"")</f>
        <v/>
      </c>
      <c r="H24" s="10">
        <f>IFERROR('QTR BS'!H26/'QTR P&amp;L'!H2,"")</f>
        <v/>
      </c>
      <c r="I24" s="10">
        <f>IFERROR('QTR BS'!I26/'QTR P&amp;L'!I2,"")</f>
        <v/>
      </c>
      <c r="J24" s="10">
        <f>IFERROR('QTR BS'!J26/'QTR P&amp;L'!J2,"")</f>
        <v/>
      </c>
      <c r="K24" s="10">
        <f>IFERROR('QTR BS'!K26/'QTR P&amp;L'!K2,"")</f>
        <v/>
      </c>
      <c r="L24" s="10">
        <f>IFERROR('QTR BS'!L26/'QTR P&amp;L'!L2,"")</f>
        <v/>
      </c>
      <c r="M24" s="10">
        <f>IFERROR('QTR BS'!M26/'QTR P&amp;L'!M2,"")</f>
        <v/>
      </c>
      <c r="N24" s="10">
        <f>IFERROR('QTR BS'!N26/'QTR P&amp;L'!N2,"")</f>
        <v/>
      </c>
      <c r="O24" s="11">
        <f>N24</f>
        <v/>
      </c>
      <c r="P24" s="11">
        <f>N24</f>
        <v/>
      </c>
      <c r="Q24" s="11">
        <f>N24</f>
        <v/>
      </c>
      <c r="R24" s="11">
        <f>N24</f>
        <v/>
      </c>
      <c r="S24" s="11">
        <f>N24</f>
        <v/>
      </c>
      <c r="T24" s="11">
        <f>N24</f>
        <v/>
      </c>
      <c r="U24" s="11">
        <f>N24</f>
        <v/>
      </c>
      <c r="V24" s="11">
        <f>N24</f>
        <v/>
      </c>
      <c r="W24" s="11">
        <f>N24</f>
        <v/>
      </c>
      <c r="X24" s="11">
        <f>N24</f>
        <v/>
      </c>
      <c r="Y24" s="11">
        <f>N24</f>
        <v/>
      </c>
      <c r="Z24" s="11">
        <f>N24</f>
        <v/>
      </c>
      <c r="AA24" s="11">
        <f>N24</f>
        <v/>
      </c>
      <c r="AB24" s="11">
        <f>N24</f>
        <v/>
      </c>
      <c r="AC24" s="11">
        <f>N24</f>
        <v/>
      </c>
      <c r="AD24" s="11">
        <f>N24</f>
        <v/>
      </c>
    </row>
    <row r="25">
      <c r="A25" s="3" t="inlineStr">
        <is>
          <t>Contingent Consideration - Current — % of Revenue</t>
        </is>
      </c>
      <c r="B25" s="10">
        <f>IFERROR('QTR BS'!B27/'QTR P&amp;L'!B2,"")</f>
        <v/>
      </c>
      <c r="C25" s="10">
        <f>IFERROR('QTR BS'!C27/'QTR P&amp;L'!C2,"")</f>
        <v/>
      </c>
      <c r="D25" s="10">
        <f>IFERROR('QTR BS'!D27/'QTR P&amp;L'!D2,"")</f>
        <v/>
      </c>
      <c r="E25" s="10">
        <f>IFERROR('QTR BS'!E27/'QTR P&amp;L'!E2,"")</f>
        <v/>
      </c>
      <c r="F25" s="10">
        <f>IFERROR('QTR BS'!F27/'QTR P&amp;L'!F2,"")</f>
        <v/>
      </c>
      <c r="G25" s="10">
        <f>IFERROR('QTR BS'!G27/'QTR P&amp;L'!G2,"")</f>
        <v/>
      </c>
      <c r="H25" s="10">
        <f>IFERROR('QTR BS'!H27/'QTR P&amp;L'!H2,"")</f>
        <v/>
      </c>
      <c r="I25" s="10">
        <f>IFERROR('QTR BS'!I27/'QTR P&amp;L'!I2,"")</f>
        <v/>
      </c>
      <c r="J25" s="10">
        <f>IFERROR('QTR BS'!J27/'QTR P&amp;L'!J2,"")</f>
        <v/>
      </c>
      <c r="K25" s="10">
        <f>IFERROR('QTR BS'!K27/'QTR P&amp;L'!K2,"")</f>
        <v/>
      </c>
      <c r="L25" s="10">
        <f>IFERROR('QTR BS'!L27/'QTR P&amp;L'!L2,"")</f>
        <v/>
      </c>
      <c r="M25" s="10">
        <f>IFERROR('QTR BS'!M27/'QTR P&amp;L'!M2,"")</f>
        <v/>
      </c>
      <c r="N25" s="10">
        <f>IFERROR('QTR BS'!N27/'QTR P&amp;L'!N2,"")</f>
        <v/>
      </c>
      <c r="O25" s="11">
        <f>N25</f>
        <v/>
      </c>
      <c r="P25" s="11">
        <f>N25</f>
        <v/>
      </c>
      <c r="Q25" s="11">
        <f>N25</f>
        <v/>
      </c>
      <c r="R25" s="11">
        <f>N25</f>
        <v/>
      </c>
      <c r="S25" s="11">
        <f>N25</f>
        <v/>
      </c>
      <c r="T25" s="11">
        <f>N25</f>
        <v/>
      </c>
      <c r="U25" s="11">
        <f>N25</f>
        <v/>
      </c>
      <c r="V25" s="11">
        <f>N25</f>
        <v/>
      </c>
      <c r="W25" s="11">
        <f>N25</f>
        <v/>
      </c>
      <c r="X25" s="11">
        <f>N25</f>
        <v/>
      </c>
      <c r="Y25" s="11">
        <f>N25</f>
        <v/>
      </c>
      <c r="Z25" s="11">
        <f>N25</f>
        <v/>
      </c>
      <c r="AA25" s="11">
        <f>N25</f>
        <v/>
      </c>
      <c r="AB25" s="11">
        <f>N25</f>
        <v/>
      </c>
      <c r="AC25" s="11">
        <f>N25</f>
        <v/>
      </c>
      <c r="AD25" s="11">
        <f>N25</f>
        <v/>
      </c>
    </row>
    <row r="26">
      <c r="A26" s="3" t="inlineStr">
        <is>
          <t>Deferred Revenue - Current — % of Revenue</t>
        </is>
      </c>
      <c r="B26" s="10">
        <f>IFERROR('QTR BS'!B28/'QTR P&amp;L'!B2,"")</f>
        <v/>
      </c>
      <c r="C26" s="10">
        <f>IFERROR('QTR BS'!C28/'QTR P&amp;L'!C2,"")</f>
        <v/>
      </c>
      <c r="D26" s="10">
        <f>IFERROR('QTR BS'!D28/'QTR P&amp;L'!D2,"")</f>
        <v/>
      </c>
      <c r="E26" s="10">
        <f>IFERROR('QTR BS'!E28/'QTR P&amp;L'!E2,"")</f>
        <v/>
      </c>
      <c r="F26" s="10">
        <f>IFERROR('QTR BS'!F28/'QTR P&amp;L'!F2,"")</f>
        <v/>
      </c>
      <c r="G26" s="10">
        <f>IFERROR('QTR BS'!G28/'QTR P&amp;L'!G2,"")</f>
        <v/>
      </c>
      <c r="H26" s="10">
        <f>IFERROR('QTR BS'!H28/'QTR P&amp;L'!H2,"")</f>
        <v/>
      </c>
      <c r="I26" s="10">
        <f>IFERROR('QTR BS'!I28/'QTR P&amp;L'!I2,"")</f>
        <v/>
      </c>
      <c r="J26" s="10">
        <f>IFERROR('QTR BS'!J28/'QTR P&amp;L'!J2,"")</f>
        <v/>
      </c>
      <c r="K26" s="10">
        <f>IFERROR('QTR BS'!K28/'QTR P&amp;L'!K2,"")</f>
        <v/>
      </c>
      <c r="L26" s="10">
        <f>IFERROR('QTR BS'!L28/'QTR P&amp;L'!L2,"")</f>
        <v/>
      </c>
      <c r="M26" s="10">
        <f>IFERROR('QTR BS'!M28/'QTR P&amp;L'!M2,"")</f>
        <v/>
      </c>
      <c r="N26" s="10">
        <f>IFERROR('QTR BS'!N28/'QTR P&amp;L'!N2,"")</f>
        <v/>
      </c>
      <c r="O26" s="11">
        <f>N26</f>
        <v/>
      </c>
      <c r="P26" s="11">
        <f>N26</f>
        <v/>
      </c>
      <c r="Q26" s="11">
        <f>N26</f>
        <v/>
      </c>
      <c r="R26" s="11">
        <f>N26</f>
        <v/>
      </c>
      <c r="S26" s="11">
        <f>N26</f>
        <v/>
      </c>
      <c r="T26" s="11">
        <f>N26</f>
        <v/>
      </c>
      <c r="U26" s="11">
        <f>N26</f>
        <v/>
      </c>
      <c r="V26" s="11">
        <f>N26</f>
        <v/>
      </c>
      <c r="W26" s="11">
        <f>N26</f>
        <v/>
      </c>
      <c r="X26" s="11">
        <f>N26</f>
        <v/>
      </c>
      <c r="Y26" s="11">
        <f>N26</f>
        <v/>
      </c>
      <c r="Z26" s="11">
        <f>N26</f>
        <v/>
      </c>
      <c r="AA26" s="11">
        <f>N26</f>
        <v/>
      </c>
      <c r="AB26" s="11">
        <f>N26</f>
        <v/>
      </c>
      <c r="AC26" s="11">
        <f>N26</f>
        <v/>
      </c>
      <c r="AD26" s="11">
        <f>N26</f>
        <v/>
      </c>
    </row>
    <row r="27">
      <c r="A27" s="3" t="inlineStr">
        <is>
          <t>Other Current Liabilities — % of Revenue</t>
        </is>
      </c>
      <c r="B27" s="10">
        <f>IFERROR('QTR BS'!B29/'QTR P&amp;L'!B2,"")</f>
        <v/>
      </c>
      <c r="C27" s="10">
        <f>IFERROR('QTR BS'!C29/'QTR P&amp;L'!C2,"")</f>
        <v/>
      </c>
      <c r="D27" s="10">
        <f>IFERROR('QTR BS'!D29/'QTR P&amp;L'!D2,"")</f>
        <v/>
      </c>
      <c r="E27" s="10">
        <f>IFERROR('QTR BS'!E29/'QTR P&amp;L'!E2,"")</f>
        <v/>
      </c>
      <c r="F27" s="10">
        <f>IFERROR('QTR BS'!F29/'QTR P&amp;L'!F2,"")</f>
        <v/>
      </c>
      <c r="G27" s="10">
        <f>IFERROR('QTR BS'!G29/'QTR P&amp;L'!G2,"")</f>
        <v/>
      </c>
      <c r="H27" s="10">
        <f>IFERROR('QTR BS'!H29/'QTR P&amp;L'!H2,"")</f>
        <v/>
      </c>
      <c r="I27" s="10">
        <f>IFERROR('QTR BS'!I29/'QTR P&amp;L'!I2,"")</f>
        <v/>
      </c>
      <c r="J27" s="10">
        <f>IFERROR('QTR BS'!J29/'QTR P&amp;L'!J2,"")</f>
        <v/>
      </c>
      <c r="K27" s="10">
        <f>IFERROR('QTR BS'!K29/'QTR P&amp;L'!K2,"")</f>
        <v/>
      </c>
      <c r="L27" s="10">
        <f>IFERROR('QTR BS'!L29/'QTR P&amp;L'!L2,"")</f>
        <v/>
      </c>
      <c r="M27" s="10">
        <f>IFERROR('QTR BS'!M29/'QTR P&amp;L'!M2,"")</f>
        <v/>
      </c>
      <c r="N27" s="10">
        <f>IFERROR('QTR BS'!N29/'QTR P&amp;L'!N2,"")</f>
        <v/>
      </c>
      <c r="O27" s="11">
        <f>N27</f>
        <v/>
      </c>
      <c r="P27" s="11">
        <f>N27</f>
        <v/>
      </c>
      <c r="Q27" s="11">
        <f>N27</f>
        <v/>
      </c>
      <c r="R27" s="11">
        <f>N27</f>
        <v/>
      </c>
      <c r="S27" s="11">
        <f>N27</f>
        <v/>
      </c>
      <c r="T27" s="11">
        <f>N27</f>
        <v/>
      </c>
      <c r="U27" s="11">
        <f>N27</f>
        <v/>
      </c>
      <c r="V27" s="11">
        <f>N27</f>
        <v/>
      </c>
      <c r="W27" s="11">
        <f>N27</f>
        <v/>
      </c>
      <c r="X27" s="11">
        <f>N27</f>
        <v/>
      </c>
      <c r="Y27" s="11">
        <f>N27</f>
        <v/>
      </c>
      <c r="Z27" s="11">
        <f>N27</f>
        <v/>
      </c>
      <c r="AA27" s="11">
        <f>N27</f>
        <v/>
      </c>
      <c r="AB27" s="11">
        <f>N27</f>
        <v/>
      </c>
      <c r="AC27" s="11">
        <f>N27</f>
        <v/>
      </c>
      <c r="AD27" s="11">
        <f>N27</f>
        <v/>
      </c>
    </row>
    <row r="28">
      <c r="A28" s="3" t="inlineStr">
        <is>
          <t>Lease Liability - Operating - Non-Current — % of Revenue</t>
        </is>
      </c>
      <c r="B28" s="10">
        <f>IFERROR('QTR BS'!B31/'QTR P&amp;L'!B2,"")</f>
        <v/>
      </c>
      <c r="C28" s="10">
        <f>IFERROR('QTR BS'!C31/'QTR P&amp;L'!C2,"")</f>
        <v/>
      </c>
      <c r="D28" s="10">
        <f>IFERROR('QTR BS'!D31/'QTR P&amp;L'!D2,"")</f>
        <v/>
      </c>
      <c r="E28" s="10">
        <f>IFERROR('QTR BS'!E31/'QTR P&amp;L'!E2,"")</f>
        <v/>
      </c>
      <c r="F28" s="10">
        <f>IFERROR('QTR BS'!F31/'QTR P&amp;L'!F2,"")</f>
        <v/>
      </c>
      <c r="G28" s="10">
        <f>IFERROR('QTR BS'!G31/'QTR P&amp;L'!G2,"")</f>
        <v/>
      </c>
      <c r="H28" s="10">
        <f>IFERROR('QTR BS'!H31/'QTR P&amp;L'!H2,"")</f>
        <v/>
      </c>
      <c r="I28" s="10">
        <f>IFERROR('QTR BS'!I31/'QTR P&amp;L'!I2,"")</f>
        <v/>
      </c>
      <c r="J28" s="10">
        <f>IFERROR('QTR BS'!J31/'QTR P&amp;L'!J2,"")</f>
        <v/>
      </c>
      <c r="K28" s="10">
        <f>IFERROR('QTR BS'!K31/'QTR P&amp;L'!K2,"")</f>
        <v/>
      </c>
      <c r="L28" s="10">
        <f>IFERROR('QTR BS'!L31/'QTR P&amp;L'!L2,"")</f>
        <v/>
      </c>
      <c r="M28" s="10">
        <f>IFERROR('QTR BS'!M31/'QTR P&amp;L'!M2,"")</f>
        <v/>
      </c>
      <c r="N28" s="10">
        <f>IFERROR('QTR BS'!N31/'QTR P&amp;L'!N2,"")</f>
        <v/>
      </c>
      <c r="O28" s="11">
        <f>N28</f>
        <v/>
      </c>
      <c r="P28" s="11">
        <f>N28</f>
        <v/>
      </c>
      <c r="Q28" s="11">
        <f>N28</f>
        <v/>
      </c>
      <c r="R28" s="11">
        <f>N28</f>
        <v/>
      </c>
      <c r="S28" s="11">
        <f>N28</f>
        <v/>
      </c>
      <c r="T28" s="11">
        <f>N28</f>
        <v/>
      </c>
      <c r="U28" s="11">
        <f>N28</f>
        <v/>
      </c>
      <c r="V28" s="11">
        <f>N28</f>
        <v/>
      </c>
      <c r="W28" s="11">
        <f>N28</f>
        <v/>
      </c>
      <c r="X28" s="11">
        <f>N28</f>
        <v/>
      </c>
      <c r="Y28" s="11">
        <f>N28</f>
        <v/>
      </c>
      <c r="Z28" s="11">
        <f>N28</f>
        <v/>
      </c>
      <c r="AA28" s="11">
        <f>N28</f>
        <v/>
      </c>
      <c r="AB28" s="11">
        <f>N28</f>
        <v/>
      </c>
      <c r="AC28" s="11">
        <f>N28</f>
        <v/>
      </c>
      <c r="AD28" s="11">
        <f>N28</f>
        <v/>
      </c>
    </row>
    <row r="29">
      <c r="A29" s="3" t="inlineStr">
        <is>
          <t>Lease Liability - Finance - Non-Current — % of Revenue</t>
        </is>
      </c>
      <c r="B29" s="10">
        <f>IFERROR('QTR BS'!B32/'QTR P&amp;L'!B2,"")</f>
        <v/>
      </c>
      <c r="C29" s="10">
        <f>IFERROR('QTR BS'!C32/'QTR P&amp;L'!C2,"")</f>
        <v/>
      </c>
      <c r="D29" s="10">
        <f>IFERROR('QTR BS'!D32/'QTR P&amp;L'!D2,"")</f>
        <v/>
      </c>
      <c r="E29" s="10">
        <f>IFERROR('QTR BS'!E32/'QTR P&amp;L'!E2,"")</f>
        <v/>
      </c>
      <c r="F29" s="10">
        <f>IFERROR('QTR BS'!F32/'QTR P&amp;L'!F2,"")</f>
        <v/>
      </c>
      <c r="G29" s="10">
        <f>IFERROR('QTR BS'!G32/'QTR P&amp;L'!G2,"")</f>
        <v/>
      </c>
      <c r="H29" s="10">
        <f>IFERROR('QTR BS'!H32/'QTR P&amp;L'!H2,"")</f>
        <v/>
      </c>
      <c r="I29" s="10">
        <f>IFERROR('QTR BS'!I32/'QTR P&amp;L'!I2,"")</f>
        <v/>
      </c>
      <c r="J29" s="10">
        <f>IFERROR('QTR BS'!J32/'QTR P&amp;L'!J2,"")</f>
        <v/>
      </c>
      <c r="K29" s="10">
        <f>IFERROR('QTR BS'!K32/'QTR P&amp;L'!K2,"")</f>
        <v/>
      </c>
      <c r="L29" s="10">
        <f>IFERROR('QTR BS'!L32/'QTR P&amp;L'!L2,"")</f>
        <v/>
      </c>
      <c r="M29" s="10">
        <f>IFERROR('QTR BS'!M32/'QTR P&amp;L'!M2,"")</f>
        <v/>
      </c>
      <c r="N29" s="10">
        <f>IFERROR('QTR BS'!N32/'QTR P&amp;L'!N2,"")</f>
        <v/>
      </c>
      <c r="O29" s="11">
        <f>N29</f>
        <v/>
      </c>
      <c r="P29" s="11">
        <f>N29</f>
        <v/>
      </c>
      <c r="Q29" s="11">
        <f>N29</f>
        <v/>
      </c>
      <c r="R29" s="11">
        <f>N29</f>
        <v/>
      </c>
      <c r="S29" s="11">
        <f>N29</f>
        <v/>
      </c>
      <c r="T29" s="11">
        <f>N29</f>
        <v/>
      </c>
      <c r="U29" s="11">
        <f>N29</f>
        <v/>
      </c>
      <c r="V29" s="11">
        <f>N29</f>
        <v/>
      </c>
      <c r="W29" s="11">
        <f>N29</f>
        <v/>
      </c>
      <c r="X29" s="11">
        <f>N29</f>
        <v/>
      </c>
      <c r="Y29" s="11">
        <f>N29</f>
        <v/>
      </c>
      <c r="Z29" s="11">
        <f>N29</f>
        <v/>
      </c>
      <c r="AA29" s="11">
        <f>N29</f>
        <v/>
      </c>
      <c r="AB29" s="11">
        <f>N29</f>
        <v/>
      </c>
      <c r="AC29" s="11">
        <f>N29</f>
        <v/>
      </c>
      <c r="AD29" s="11">
        <f>N29</f>
        <v/>
      </c>
    </row>
    <row r="30">
      <c r="A30" s="3" t="inlineStr">
        <is>
          <t>Deferred Tax Liability</t>
        </is>
      </c>
      <c r="B30" s="4">
        <f>'QTR BS'!B33</f>
        <v/>
      </c>
      <c r="C30" s="4">
        <f>'QTR BS'!C33</f>
        <v/>
      </c>
      <c r="D30" s="4">
        <f>'QTR BS'!D33</f>
        <v/>
      </c>
      <c r="E30" s="4">
        <f>'QTR BS'!E33</f>
        <v/>
      </c>
      <c r="F30" s="4">
        <f>'QTR BS'!F33</f>
        <v/>
      </c>
      <c r="G30" s="4">
        <f>'QTR BS'!G33</f>
        <v/>
      </c>
      <c r="H30" s="4">
        <f>'QTR BS'!H33</f>
        <v/>
      </c>
      <c r="I30" s="4">
        <f>'QTR BS'!I33</f>
        <v/>
      </c>
      <c r="J30" s="4">
        <f>'QTR BS'!J33</f>
        <v/>
      </c>
      <c r="K30" s="4">
        <f>'QTR BS'!K33</f>
        <v/>
      </c>
      <c r="L30" s="4">
        <f>'QTR BS'!L33</f>
        <v/>
      </c>
      <c r="M30" s="4">
        <f>'QTR BS'!M33</f>
        <v/>
      </c>
      <c r="N30" s="4">
        <f>'QTR BS'!N33</f>
        <v/>
      </c>
      <c r="O30" s="12">
        <f>N30</f>
        <v/>
      </c>
      <c r="P30" s="12">
        <f>N30</f>
        <v/>
      </c>
      <c r="Q30" s="12">
        <f>N30</f>
        <v/>
      </c>
      <c r="R30" s="12">
        <f>N30</f>
        <v/>
      </c>
      <c r="S30" s="12">
        <f>N30</f>
        <v/>
      </c>
      <c r="T30" s="12">
        <f>N30</f>
        <v/>
      </c>
      <c r="U30" s="12">
        <f>N30</f>
        <v/>
      </c>
      <c r="V30" s="12">
        <f>N30</f>
        <v/>
      </c>
      <c r="W30" s="12">
        <f>N30</f>
        <v/>
      </c>
      <c r="X30" s="12">
        <f>N30</f>
        <v/>
      </c>
      <c r="Y30" s="12">
        <f>N30</f>
        <v/>
      </c>
      <c r="Z30" s="12">
        <f>N30</f>
        <v/>
      </c>
      <c r="AA30" s="12">
        <f>N30</f>
        <v/>
      </c>
      <c r="AB30" s="12">
        <f>N30</f>
        <v/>
      </c>
      <c r="AC30" s="12">
        <f>N30</f>
        <v/>
      </c>
      <c r="AD30" s="12">
        <f>N30</f>
        <v/>
      </c>
    </row>
    <row r="31">
      <c r="A31" s="3" t="inlineStr">
        <is>
          <t>Long-Term Debt</t>
        </is>
      </c>
      <c r="B31" s="4">
        <f>'QTR BS'!B34</f>
        <v/>
      </c>
      <c r="C31" s="4">
        <f>'QTR BS'!C34</f>
        <v/>
      </c>
      <c r="D31" s="4">
        <f>'QTR BS'!D34</f>
        <v/>
      </c>
      <c r="E31" s="4">
        <f>'QTR BS'!E34</f>
        <v/>
      </c>
      <c r="F31" s="4">
        <f>'QTR BS'!F34</f>
        <v/>
      </c>
      <c r="G31" s="4">
        <f>'QTR BS'!G34</f>
        <v/>
      </c>
      <c r="H31" s="4">
        <f>'QTR BS'!H34</f>
        <v/>
      </c>
      <c r="I31" s="4">
        <f>'QTR BS'!I34</f>
        <v/>
      </c>
      <c r="J31" s="4">
        <f>'QTR BS'!J34</f>
        <v/>
      </c>
      <c r="K31" s="4">
        <f>'QTR BS'!K34</f>
        <v/>
      </c>
      <c r="L31" s="4">
        <f>'QTR BS'!L34</f>
        <v/>
      </c>
      <c r="M31" s="4">
        <f>'QTR BS'!M34</f>
        <v/>
      </c>
      <c r="N31" s="4">
        <f>'QTR BS'!N34</f>
        <v/>
      </c>
      <c r="O31" s="12">
        <f>N31</f>
        <v/>
      </c>
      <c r="P31" s="12">
        <f>N31</f>
        <v/>
      </c>
      <c r="Q31" s="12">
        <f>N31</f>
        <v/>
      </c>
      <c r="R31" s="12">
        <f>N31</f>
        <v/>
      </c>
      <c r="S31" s="12">
        <f>N31</f>
        <v/>
      </c>
      <c r="T31" s="12">
        <f>N31</f>
        <v/>
      </c>
      <c r="U31" s="12">
        <f>N31</f>
        <v/>
      </c>
      <c r="V31" s="12">
        <f>N31</f>
        <v/>
      </c>
      <c r="W31" s="12">
        <f>N31</f>
        <v/>
      </c>
      <c r="X31" s="12">
        <f>N31</f>
        <v/>
      </c>
      <c r="Y31" s="12">
        <f>N31</f>
        <v/>
      </c>
      <c r="Z31" s="12">
        <f>N31</f>
        <v/>
      </c>
      <c r="AA31" s="12">
        <f>N31</f>
        <v/>
      </c>
      <c r="AB31" s="12">
        <f>N31</f>
        <v/>
      </c>
      <c r="AC31" s="12">
        <f>N31</f>
        <v/>
      </c>
      <c r="AD31" s="12">
        <f>N31</f>
        <v/>
      </c>
    </row>
    <row r="32">
      <c r="A32" s="3" t="inlineStr">
        <is>
          <t>Deferred Revenue - Non-Current — % of Revenue</t>
        </is>
      </c>
      <c r="B32" s="10">
        <f>IFERROR('QTR BS'!B35/'QTR P&amp;L'!B2,"")</f>
        <v/>
      </c>
      <c r="C32" s="10">
        <f>IFERROR('QTR BS'!C35/'QTR P&amp;L'!C2,"")</f>
        <v/>
      </c>
      <c r="D32" s="10">
        <f>IFERROR('QTR BS'!D35/'QTR P&amp;L'!D2,"")</f>
        <v/>
      </c>
      <c r="E32" s="10">
        <f>IFERROR('QTR BS'!E35/'QTR P&amp;L'!E2,"")</f>
        <v/>
      </c>
      <c r="F32" s="10">
        <f>IFERROR('QTR BS'!F35/'QTR P&amp;L'!F2,"")</f>
        <v/>
      </c>
      <c r="G32" s="10">
        <f>IFERROR('QTR BS'!G35/'QTR P&amp;L'!G2,"")</f>
        <v/>
      </c>
      <c r="H32" s="10">
        <f>IFERROR('QTR BS'!H35/'QTR P&amp;L'!H2,"")</f>
        <v/>
      </c>
      <c r="I32" s="10">
        <f>IFERROR('QTR BS'!I35/'QTR P&amp;L'!I2,"")</f>
        <v/>
      </c>
      <c r="J32" s="10">
        <f>IFERROR('QTR BS'!J35/'QTR P&amp;L'!J2,"")</f>
        <v/>
      </c>
      <c r="K32" s="10">
        <f>IFERROR('QTR BS'!K35/'QTR P&amp;L'!K2,"")</f>
        <v/>
      </c>
      <c r="L32" s="10">
        <f>IFERROR('QTR BS'!L35/'QTR P&amp;L'!L2,"")</f>
        <v/>
      </c>
      <c r="M32" s="10">
        <f>IFERROR('QTR BS'!M35/'QTR P&amp;L'!M2,"")</f>
        <v/>
      </c>
      <c r="N32" s="10">
        <f>IFERROR('QTR BS'!N35/'QTR P&amp;L'!N2,"")</f>
        <v/>
      </c>
      <c r="O32" s="11">
        <f>N32</f>
        <v/>
      </c>
      <c r="P32" s="11">
        <f>N32</f>
        <v/>
      </c>
      <c r="Q32" s="11">
        <f>N32</f>
        <v/>
      </c>
      <c r="R32" s="11">
        <f>N32</f>
        <v/>
      </c>
      <c r="S32" s="11">
        <f>N32</f>
        <v/>
      </c>
      <c r="T32" s="11">
        <f>N32</f>
        <v/>
      </c>
      <c r="U32" s="11">
        <f>N32</f>
        <v/>
      </c>
      <c r="V32" s="11">
        <f>N32</f>
        <v/>
      </c>
      <c r="W32" s="11">
        <f>N32</f>
        <v/>
      </c>
      <c r="X32" s="11">
        <f>N32</f>
        <v/>
      </c>
      <c r="Y32" s="11">
        <f>N32</f>
        <v/>
      </c>
      <c r="Z32" s="11">
        <f>N32</f>
        <v/>
      </c>
      <c r="AA32" s="11">
        <f>N32</f>
        <v/>
      </c>
      <c r="AB32" s="11">
        <f>N32</f>
        <v/>
      </c>
      <c r="AC32" s="11">
        <f>N32</f>
        <v/>
      </c>
      <c r="AD32" s="11">
        <f>N32</f>
        <v/>
      </c>
    </row>
    <row r="33">
      <c r="A33" s="3" t="inlineStr">
        <is>
          <t>Other Non-Current Liabilities — % of Revenue</t>
        </is>
      </c>
      <c r="B33" s="10">
        <f>IFERROR('QTR BS'!B36/'QTR P&amp;L'!B2,"")</f>
        <v/>
      </c>
      <c r="C33" s="10">
        <f>IFERROR('QTR BS'!C36/'QTR P&amp;L'!C2,"")</f>
        <v/>
      </c>
      <c r="D33" s="10">
        <f>IFERROR('QTR BS'!D36/'QTR P&amp;L'!D2,"")</f>
        <v/>
      </c>
      <c r="E33" s="10">
        <f>IFERROR('QTR BS'!E36/'QTR P&amp;L'!E2,"")</f>
        <v/>
      </c>
      <c r="F33" s="10">
        <f>IFERROR('QTR BS'!F36/'QTR P&amp;L'!F2,"")</f>
        <v/>
      </c>
      <c r="G33" s="10">
        <f>IFERROR('QTR BS'!G36/'QTR P&amp;L'!G2,"")</f>
        <v/>
      </c>
      <c r="H33" s="10">
        <f>IFERROR('QTR BS'!H36/'QTR P&amp;L'!H2,"")</f>
        <v/>
      </c>
      <c r="I33" s="10">
        <f>IFERROR('QTR BS'!I36/'QTR P&amp;L'!I2,"")</f>
        <v/>
      </c>
      <c r="J33" s="10">
        <f>IFERROR('QTR BS'!J36/'QTR P&amp;L'!J2,"")</f>
        <v/>
      </c>
      <c r="K33" s="10">
        <f>IFERROR('QTR BS'!K36/'QTR P&amp;L'!K2,"")</f>
        <v/>
      </c>
      <c r="L33" s="10">
        <f>IFERROR('QTR BS'!L36/'QTR P&amp;L'!L2,"")</f>
        <v/>
      </c>
      <c r="M33" s="10">
        <f>IFERROR('QTR BS'!M36/'QTR P&amp;L'!M2,"")</f>
        <v/>
      </c>
      <c r="N33" s="10">
        <f>IFERROR('QTR BS'!N36/'QTR P&amp;L'!N2,"")</f>
        <v/>
      </c>
      <c r="O33" s="11">
        <f>N33</f>
        <v/>
      </c>
      <c r="P33" s="11">
        <f>N33</f>
        <v/>
      </c>
      <c r="Q33" s="11">
        <f>N33</f>
        <v/>
      </c>
      <c r="R33" s="11">
        <f>N33</f>
        <v/>
      </c>
      <c r="S33" s="11">
        <f>N33</f>
        <v/>
      </c>
      <c r="T33" s="11">
        <f>N33</f>
        <v/>
      </c>
      <c r="U33" s="11">
        <f>N33</f>
        <v/>
      </c>
      <c r="V33" s="11">
        <f>N33</f>
        <v/>
      </c>
      <c r="W33" s="11">
        <f>N33</f>
        <v/>
      </c>
      <c r="X33" s="11">
        <f>N33</f>
        <v/>
      </c>
      <c r="Y33" s="11">
        <f>N33</f>
        <v/>
      </c>
      <c r="Z33" s="11">
        <f>N33</f>
        <v/>
      </c>
      <c r="AA33" s="11">
        <f>N33</f>
        <v/>
      </c>
      <c r="AB33" s="11">
        <f>N33</f>
        <v/>
      </c>
      <c r="AC33" s="11">
        <f>N33</f>
        <v/>
      </c>
      <c r="AD33" s="11">
        <f>N33</f>
        <v/>
      </c>
    </row>
    <row r="34">
      <c r="A34" s="3" t="inlineStr">
        <is>
          <t>Convertible Preferred Stock</t>
        </is>
      </c>
      <c r="B34" s="4">
        <f>'QTR BS'!B38</f>
        <v/>
      </c>
      <c r="C34" s="4">
        <f>'QTR BS'!C38</f>
        <v/>
      </c>
      <c r="D34" s="4">
        <f>'QTR BS'!D38</f>
        <v/>
      </c>
      <c r="E34" s="4">
        <f>'QTR BS'!E38</f>
        <v/>
      </c>
      <c r="F34" s="4">
        <f>'QTR BS'!F38</f>
        <v/>
      </c>
      <c r="G34" s="4">
        <f>'QTR BS'!G38</f>
        <v/>
      </c>
      <c r="H34" s="4">
        <f>'QTR BS'!H38</f>
        <v/>
      </c>
      <c r="I34" s="4">
        <f>'QTR BS'!I38</f>
        <v/>
      </c>
      <c r="J34" s="4">
        <f>'QTR BS'!J38</f>
        <v/>
      </c>
      <c r="K34" s="4">
        <f>'QTR BS'!K38</f>
        <v/>
      </c>
      <c r="L34" s="4">
        <f>'QTR BS'!L38</f>
        <v/>
      </c>
      <c r="M34" s="4">
        <f>'QTR BS'!M38</f>
        <v/>
      </c>
      <c r="N34" s="4">
        <f>'QTR BS'!N38</f>
        <v/>
      </c>
      <c r="O34" s="12">
        <f>N34</f>
        <v/>
      </c>
      <c r="P34" s="12">
        <f>N34</f>
        <v/>
      </c>
      <c r="Q34" s="12">
        <f>N34</f>
        <v/>
      </c>
      <c r="R34" s="12">
        <f>N34</f>
        <v/>
      </c>
      <c r="S34" s="12">
        <f>N34</f>
        <v/>
      </c>
      <c r="T34" s="12">
        <f>N34</f>
        <v/>
      </c>
      <c r="U34" s="12">
        <f>N34</f>
        <v/>
      </c>
      <c r="V34" s="12">
        <f>N34</f>
        <v/>
      </c>
      <c r="W34" s="12">
        <f>N34</f>
        <v/>
      </c>
      <c r="X34" s="12">
        <f>N34</f>
        <v/>
      </c>
      <c r="Y34" s="12">
        <f>N34</f>
        <v/>
      </c>
      <c r="Z34" s="12">
        <f>N34</f>
        <v/>
      </c>
      <c r="AA34" s="12">
        <f>N34</f>
        <v/>
      </c>
      <c r="AB34" s="12">
        <f>N34</f>
        <v/>
      </c>
      <c r="AC34" s="12">
        <f>N34</f>
        <v/>
      </c>
      <c r="AD34" s="12">
        <f>N34</f>
        <v/>
      </c>
    </row>
    <row r="35">
      <c r="A35" s="3" t="inlineStr">
        <is>
          <t>Common Stock</t>
        </is>
      </c>
      <c r="B35" s="4">
        <f>'QTR BS'!B39</f>
        <v/>
      </c>
      <c r="C35" s="4">
        <f>'QTR BS'!C39</f>
        <v/>
      </c>
      <c r="D35" s="4">
        <f>'QTR BS'!D39</f>
        <v/>
      </c>
      <c r="E35" s="4">
        <f>'QTR BS'!E39</f>
        <v/>
      </c>
      <c r="F35" s="4">
        <f>'QTR BS'!F39</f>
        <v/>
      </c>
      <c r="G35" s="4">
        <f>'QTR BS'!G39</f>
        <v/>
      </c>
      <c r="H35" s="4">
        <f>'QTR BS'!H39</f>
        <v/>
      </c>
      <c r="I35" s="4">
        <f>'QTR BS'!I39</f>
        <v/>
      </c>
      <c r="J35" s="4">
        <f>'QTR BS'!J39</f>
        <v/>
      </c>
      <c r="K35" s="4">
        <f>'QTR BS'!K39</f>
        <v/>
      </c>
      <c r="L35" s="4">
        <f>'QTR BS'!L39</f>
        <v/>
      </c>
      <c r="M35" s="4">
        <f>'QTR BS'!M39</f>
        <v/>
      </c>
      <c r="N35" s="4">
        <f>'QTR BS'!N39</f>
        <v/>
      </c>
      <c r="O35" s="12">
        <f>N35</f>
        <v/>
      </c>
      <c r="P35" s="12">
        <f>N35</f>
        <v/>
      </c>
      <c r="Q35" s="12">
        <f>N35</f>
        <v/>
      </c>
      <c r="R35" s="12">
        <f>N35</f>
        <v/>
      </c>
      <c r="S35" s="12">
        <f>N35</f>
        <v/>
      </c>
      <c r="T35" s="12">
        <f>N35</f>
        <v/>
      </c>
      <c r="U35" s="12">
        <f>N35</f>
        <v/>
      </c>
      <c r="V35" s="12">
        <f>N35</f>
        <v/>
      </c>
      <c r="W35" s="12">
        <f>N35</f>
        <v/>
      </c>
      <c r="X35" s="12">
        <f>N35</f>
        <v/>
      </c>
      <c r="Y35" s="12">
        <f>N35</f>
        <v/>
      </c>
      <c r="Z35" s="12">
        <f>N35</f>
        <v/>
      </c>
      <c r="AA35" s="12">
        <f>N35</f>
        <v/>
      </c>
      <c r="AB35" s="12">
        <f>N35</f>
        <v/>
      </c>
      <c r="AC35" s="12">
        <f>N35</f>
        <v/>
      </c>
      <c r="AD35" s="12">
        <f>N35</f>
        <v/>
      </c>
    </row>
    <row r="36">
      <c r="A36" s="3" t="inlineStr">
        <is>
          <t>Treasury Stock</t>
        </is>
      </c>
      <c r="B36" s="4">
        <f>'QTR BS'!B40</f>
        <v/>
      </c>
      <c r="C36" s="4">
        <f>'QTR BS'!C40</f>
        <v/>
      </c>
      <c r="D36" s="4">
        <f>'QTR BS'!D40</f>
        <v/>
      </c>
      <c r="E36" s="4">
        <f>'QTR BS'!E40</f>
        <v/>
      </c>
      <c r="F36" s="4">
        <f>'QTR BS'!F40</f>
        <v/>
      </c>
      <c r="G36" s="4">
        <f>'QTR BS'!G40</f>
        <v/>
      </c>
      <c r="H36" s="4">
        <f>'QTR BS'!H40</f>
        <v/>
      </c>
      <c r="I36" s="4">
        <f>'QTR BS'!I40</f>
        <v/>
      </c>
      <c r="J36" s="4">
        <f>'QTR BS'!J40</f>
        <v/>
      </c>
      <c r="K36" s="4">
        <f>'QTR BS'!K40</f>
        <v/>
      </c>
      <c r="L36" s="4">
        <f>'QTR BS'!L40</f>
        <v/>
      </c>
      <c r="M36" s="4">
        <f>'QTR BS'!M40</f>
        <v/>
      </c>
      <c r="N36" s="4">
        <f>'QTR BS'!N40</f>
        <v/>
      </c>
      <c r="O36" s="12">
        <f>N36</f>
        <v/>
      </c>
      <c r="P36" s="12">
        <f>N36</f>
        <v/>
      </c>
      <c r="Q36" s="12">
        <f>N36</f>
        <v/>
      </c>
      <c r="R36" s="12">
        <f>N36</f>
        <v/>
      </c>
      <c r="S36" s="12">
        <f>N36</f>
        <v/>
      </c>
      <c r="T36" s="12">
        <f>N36</f>
        <v/>
      </c>
      <c r="U36" s="12">
        <f>N36</f>
        <v/>
      </c>
      <c r="V36" s="12">
        <f>N36</f>
        <v/>
      </c>
      <c r="W36" s="12">
        <f>N36</f>
        <v/>
      </c>
      <c r="X36" s="12">
        <f>N36</f>
        <v/>
      </c>
      <c r="Y36" s="12">
        <f>N36</f>
        <v/>
      </c>
      <c r="Z36" s="12">
        <f>N36</f>
        <v/>
      </c>
      <c r="AA36" s="12">
        <f>N36</f>
        <v/>
      </c>
      <c r="AB36" s="12">
        <f>N36</f>
        <v/>
      </c>
      <c r="AC36" s="12">
        <f>N36</f>
        <v/>
      </c>
      <c r="AD36" s="12">
        <f>N36</f>
        <v/>
      </c>
    </row>
    <row r="37">
      <c r="A37" s="3" t="inlineStr">
        <is>
          <t>Additional Paid-in Capital</t>
        </is>
      </c>
      <c r="B37" s="4">
        <f>'QTR BS'!B41</f>
        <v/>
      </c>
      <c r="C37" s="4">
        <f>'QTR BS'!C41</f>
        <v/>
      </c>
      <c r="D37" s="4">
        <f>'QTR BS'!D41</f>
        <v/>
      </c>
      <c r="E37" s="4">
        <f>'QTR BS'!E41</f>
        <v/>
      </c>
      <c r="F37" s="4">
        <f>'QTR BS'!F41</f>
        <v/>
      </c>
      <c r="G37" s="4">
        <f>'QTR BS'!G41</f>
        <v/>
      </c>
      <c r="H37" s="4">
        <f>'QTR BS'!H41</f>
        <v/>
      </c>
      <c r="I37" s="4">
        <f>'QTR BS'!I41</f>
        <v/>
      </c>
      <c r="J37" s="4">
        <f>'QTR BS'!J41</f>
        <v/>
      </c>
      <c r="K37" s="4">
        <f>'QTR BS'!K41</f>
        <v/>
      </c>
      <c r="L37" s="4">
        <f>'QTR BS'!L41</f>
        <v/>
      </c>
      <c r="M37" s="4">
        <f>'QTR BS'!M41</f>
        <v/>
      </c>
      <c r="N37" s="4">
        <f>'QTR BS'!N41</f>
        <v/>
      </c>
      <c r="O37" s="4">
        <f>N37+'QTR CF'!R11</f>
        <v/>
      </c>
      <c r="P37" s="4">
        <f>O37+'QTR CF'!S11</f>
        <v/>
      </c>
      <c r="Q37" s="4">
        <f>P37+'QTR CF'!T11</f>
        <v/>
      </c>
      <c r="R37" s="4">
        <f>Q37+'QTR CF'!U11</f>
        <v/>
      </c>
      <c r="S37" s="4">
        <f>R37+'QTR CF'!V11</f>
        <v/>
      </c>
      <c r="T37" s="4">
        <f>S37+'QTR CF'!W11</f>
        <v/>
      </c>
      <c r="U37" s="4">
        <f>T37+'QTR CF'!X11</f>
        <v/>
      </c>
      <c r="V37" s="4">
        <f>U37+'QTR CF'!Y11</f>
        <v/>
      </c>
      <c r="W37" s="4">
        <f>V37+'QTR CF'!Z11</f>
        <v/>
      </c>
      <c r="X37" s="4">
        <f>W37+'QTR CF'!AA11</f>
        <v/>
      </c>
      <c r="Y37" s="4">
        <f>X37+'QTR CF'!AB11</f>
        <v/>
      </c>
      <c r="Z37" s="4">
        <f>Y37+'QTR CF'!AC11</f>
        <v/>
      </c>
      <c r="AA37" s="4">
        <f>Z37+'QTR CF'!AD11</f>
        <v/>
      </c>
      <c r="AB37" s="4">
        <f>AA37+'QTR CF'!AE11</f>
        <v/>
      </c>
      <c r="AC37" s="4">
        <f>AB37+'QTR CF'!AF11</f>
        <v/>
      </c>
      <c r="AD37" s="4">
        <f>AC37+'QTR CF'!AG11</f>
        <v/>
      </c>
    </row>
    <row r="38">
      <c r="A38" s="3" t="inlineStr">
        <is>
          <t>Accumulated Other Comprehensive Income (Loss)</t>
        </is>
      </c>
      <c r="B38" s="4">
        <f>'QTR BS'!B42</f>
        <v/>
      </c>
      <c r="C38" s="4">
        <f>'QTR BS'!C42</f>
        <v/>
      </c>
      <c r="D38" s="4">
        <f>'QTR BS'!D42</f>
        <v/>
      </c>
      <c r="E38" s="4">
        <f>'QTR BS'!E42</f>
        <v/>
      </c>
      <c r="F38" s="4">
        <f>'QTR BS'!F42</f>
        <v/>
      </c>
      <c r="G38" s="4">
        <f>'QTR BS'!G42</f>
        <v/>
      </c>
      <c r="H38" s="4">
        <f>'QTR BS'!H42</f>
        <v/>
      </c>
      <c r="I38" s="4">
        <f>'QTR BS'!I42</f>
        <v/>
      </c>
      <c r="J38" s="4">
        <f>'QTR BS'!J42</f>
        <v/>
      </c>
      <c r="K38" s="4">
        <f>'QTR BS'!K42</f>
        <v/>
      </c>
      <c r="L38" s="4">
        <f>'QTR BS'!L42</f>
        <v/>
      </c>
      <c r="M38" s="4">
        <f>'QTR BS'!M42</f>
        <v/>
      </c>
      <c r="N38" s="4">
        <f>'QTR BS'!N42</f>
        <v/>
      </c>
      <c r="O38" s="4">
        <f>N38+'QTR CF'!R51</f>
        <v/>
      </c>
      <c r="P38" s="4">
        <f>O38+'QTR CF'!S51</f>
        <v/>
      </c>
      <c r="Q38" s="4">
        <f>P38+'QTR CF'!T51</f>
        <v/>
      </c>
      <c r="R38" s="4">
        <f>Q38+'QTR CF'!U51</f>
        <v/>
      </c>
      <c r="S38" s="4">
        <f>R38+'QTR CF'!V51</f>
        <v/>
      </c>
      <c r="T38" s="4">
        <f>S38+'QTR CF'!W51</f>
        <v/>
      </c>
      <c r="U38" s="4">
        <f>T38+'QTR CF'!X51</f>
        <v/>
      </c>
      <c r="V38" s="4">
        <f>U38+'QTR CF'!Y51</f>
        <v/>
      </c>
      <c r="W38" s="4">
        <f>V38+'QTR CF'!Z51</f>
        <v/>
      </c>
      <c r="X38" s="4">
        <f>W38+'QTR CF'!AA51</f>
        <v/>
      </c>
      <c r="Y38" s="4">
        <f>X38+'QTR CF'!AB51</f>
        <v/>
      </c>
      <c r="Z38" s="4">
        <f>Y38+'QTR CF'!AC51</f>
        <v/>
      </c>
      <c r="AA38" s="4">
        <f>Z38+'QTR CF'!AD51</f>
        <v/>
      </c>
      <c r="AB38" s="4">
        <f>AA38+'QTR CF'!AE51</f>
        <v/>
      </c>
      <c r="AC38" s="4">
        <f>AB38+'QTR CF'!AF51</f>
        <v/>
      </c>
      <c r="AD38" s="4">
        <f>AC38+'QTR CF'!AG51</f>
        <v/>
      </c>
    </row>
    <row r="39">
      <c r="A39" s="3" t="inlineStr">
        <is>
          <t>Retained Earnings (Accumulated Deficit)</t>
        </is>
      </c>
      <c r="B39" s="4">
        <f>'QTR BS'!B43</f>
        <v/>
      </c>
      <c r="C39" s="4">
        <f>'QTR BS'!C43</f>
        <v/>
      </c>
      <c r="D39" s="4">
        <f>'QTR BS'!D43</f>
        <v/>
      </c>
      <c r="E39" s="4">
        <f>'QTR BS'!E43</f>
        <v/>
      </c>
      <c r="F39" s="4">
        <f>'QTR BS'!F43</f>
        <v/>
      </c>
      <c r="G39" s="4">
        <f>'QTR BS'!G43</f>
        <v/>
      </c>
      <c r="H39" s="4">
        <f>'QTR BS'!H43</f>
        <v/>
      </c>
      <c r="I39" s="4">
        <f>'QTR BS'!I43</f>
        <v/>
      </c>
      <c r="J39" s="4">
        <f>'QTR BS'!J43</f>
        <v/>
      </c>
      <c r="K39" s="4">
        <f>'QTR BS'!K43</f>
        <v/>
      </c>
      <c r="L39" s="4">
        <f>'QTR BS'!L43</f>
        <v/>
      </c>
      <c r="M39" s="4">
        <f>'QTR BS'!M43</f>
        <v/>
      </c>
      <c r="N39" s="4">
        <f>'QTR BS'!N43</f>
        <v/>
      </c>
      <c r="O39" s="4">
        <f>N39+'QTR P&amp;L'!R13+'QTR CF'!R44</f>
        <v/>
      </c>
      <c r="P39" s="4">
        <f>O39+'QTR P&amp;L'!S13+'QTR CF'!S44</f>
        <v/>
      </c>
      <c r="Q39" s="4">
        <f>P39+'QTR P&amp;L'!T13+'QTR CF'!T44</f>
        <v/>
      </c>
      <c r="R39" s="4">
        <f>Q39+'QTR P&amp;L'!U13+'QTR CF'!U44</f>
        <v/>
      </c>
      <c r="S39" s="4">
        <f>R39+'QTR P&amp;L'!V13+'QTR CF'!V44</f>
        <v/>
      </c>
      <c r="T39" s="4">
        <f>S39+'QTR P&amp;L'!W13+'QTR CF'!W44</f>
        <v/>
      </c>
      <c r="U39" s="4">
        <f>T39+'QTR P&amp;L'!X13+'QTR CF'!X44</f>
        <v/>
      </c>
      <c r="V39" s="4">
        <f>U39+'QTR P&amp;L'!Y13+'QTR CF'!Y44</f>
        <v/>
      </c>
      <c r="W39" s="4">
        <f>V39+'QTR P&amp;L'!Z13+'QTR CF'!Z44</f>
        <v/>
      </c>
      <c r="X39" s="4">
        <f>W39+'QTR P&amp;L'!AA13+'QTR CF'!AA44</f>
        <v/>
      </c>
      <c r="Y39" s="4">
        <f>X39+'QTR P&amp;L'!AB13+'QTR CF'!AB44</f>
        <v/>
      </c>
      <c r="Z39" s="4">
        <f>Y39+'QTR P&amp;L'!AC13+'QTR CF'!AC44</f>
        <v/>
      </c>
      <c r="AA39" s="4">
        <f>Z39+'QTR P&amp;L'!AD13+'QTR CF'!AD44</f>
        <v/>
      </c>
      <c r="AB39" s="4">
        <f>AA39+'QTR P&amp;L'!AE13+'QTR CF'!AE44</f>
        <v/>
      </c>
      <c r="AC39" s="4">
        <f>AB39+'QTR P&amp;L'!AF13+'QTR CF'!AF44</f>
        <v/>
      </c>
      <c r="AD39" s="4">
        <f>AC39+'QTR P&amp;L'!AG13+'QTR CF'!AG44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</cols>
  <sheetData>
    <row r="1">
      <c r="A1" s="1" t="inlineStr">
        <is>
          <t>Driver</t>
        </is>
      </c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Q4 FY2022</t>
        </is>
      </c>
      <c r="F1" s="2" t="inlineStr">
        <is>
          <t>Q1 FY2023</t>
        </is>
      </c>
      <c r="G1" s="2" t="inlineStr">
        <is>
          <t>Q2 FY2023</t>
        </is>
      </c>
      <c r="H1" s="2" t="inlineStr">
        <is>
          <t>Q3 FY2023</t>
        </is>
      </c>
      <c r="I1" s="2" t="inlineStr">
        <is>
          <t>Q4 FY2023</t>
        </is>
      </c>
      <c r="J1" s="2" t="inlineStr">
        <is>
          <t>Q1 FY2024</t>
        </is>
      </c>
      <c r="K1" s="2" t="inlineStr">
        <is>
          <t>Q2 FY2024</t>
        </is>
      </c>
      <c r="L1" s="2" t="inlineStr">
        <is>
          <t>Q3 FY2024</t>
        </is>
      </c>
      <c r="M1" s="2" t="inlineStr">
        <is>
          <t>Q4 FY2024</t>
        </is>
      </c>
      <c r="N1" s="2" t="inlineStr">
        <is>
          <t>Q1 FY2025</t>
        </is>
      </c>
      <c r="O1" s="2" t="inlineStr">
        <is>
          <t>Q2 FY2025</t>
        </is>
      </c>
      <c r="P1" s="2" t="inlineStr">
        <is>
          <t>Q3 FY2025</t>
        </is>
      </c>
      <c r="Q1" s="2" t="inlineStr">
        <is>
          <t>Q4 FY2025</t>
        </is>
      </c>
      <c r="R1" s="2" t="inlineStr">
        <is>
          <t>Q1 FY2026E</t>
        </is>
      </c>
      <c r="S1" s="2" t="inlineStr">
        <is>
          <t>Q2 FY2026E</t>
        </is>
      </c>
      <c r="T1" s="2" t="inlineStr">
        <is>
          <t>Q3 FY2026E</t>
        </is>
      </c>
      <c r="U1" s="2" t="inlineStr">
        <is>
          <t>Q4 FY2026E</t>
        </is>
      </c>
      <c r="V1" s="2" t="inlineStr">
        <is>
          <t>Q1 FY2027E</t>
        </is>
      </c>
      <c r="W1" s="2" t="inlineStr">
        <is>
          <t>Q2 FY2027E</t>
        </is>
      </c>
      <c r="X1" s="2" t="inlineStr">
        <is>
          <t>Q3 FY2027E</t>
        </is>
      </c>
      <c r="Y1" s="2" t="inlineStr">
        <is>
          <t>Q4 FY2027E</t>
        </is>
      </c>
      <c r="Z1" s="2" t="inlineStr">
        <is>
          <t>Q1 FY2028E</t>
        </is>
      </c>
      <c r="AA1" s="2" t="inlineStr">
        <is>
          <t>Q2 FY2028E</t>
        </is>
      </c>
      <c r="AB1" s="2" t="inlineStr">
        <is>
          <t>Q3 FY2028E</t>
        </is>
      </c>
      <c r="AC1" s="2" t="inlineStr">
        <is>
          <t>Q4 FY2028E</t>
        </is>
      </c>
      <c r="AD1" s="2" t="inlineStr">
        <is>
          <t>Q1 FY2029E</t>
        </is>
      </c>
      <c r="AE1" s="2" t="inlineStr">
        <is>
          <t>Q2 FY2029E</t>
        </is>
      </c>
      <c r="AF1" s="2" t="inlineStr">
        <is>
          <t>Q3 FY2029E</t>
        </is>
      </c>
      <c r="AG1" s="2" t="inlineStr">
        <is>
          <t>Q4 FY2029E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P&amp;L'!R13</f>
        <v/>
      </c>
      <c r="S2" s="4">
        <f>'QTR P&amp;L'!S13</f>
        <v/>
      </c>
      <c r="T2" s="4">
        <f>'QTR P&amp;L'!T13</f>
        <v/>
      </c>
      <c r="U2" s="4">
        <f>'QTR P&amp;L'!U13</f>
        <v/>
      </c>
      <c r="V2" s="4">
        <f>'QTR P&amp;L'!V13</f>
        <v/>
      </c>
      <c r="W2" s="4">
        <f>'QTR P&amp;L'!W13</f>
        <v/>
      </c>
      <c r="X2" s="4">
        <f>'QTR P&amp;L'!X13</f>
        <v/>
      </c>
      <c r="Y2" s="4">
        <f>'QTR P&amp;L'!Y13</f>
        <v/>
      </c>
      <c r="Z2" s="4">
        <f>'QTR P&amp;L'!Z13</f>
        <v/>
      </c>
      <c r="AA2" s="4">
        <f>'QTR P&amp;L'!AA13</f>
        <v/>
      </c>
      <c r="AB2" s="4">
        <f>'QTR P&amp;L'!AB13</f>
        <v/>
      </c>
      <c r="AC2" s="4">
        <f>'QTR P&amp;L'!AC13</f>
        <v/>
      </c>
      <c r="AD2" s="4">
        <f>'QTR P&amp;L'!AD13</f>
        <v/>
      </c>
      <c r="AE2" s="4">
        <f>'QTR P&amp;L'!AE13</f>
        <v/>
      </c>
      <c r="AF2" s="4">
        <f>'QTR P&amp;L'!AF13</f>
        <v/>
      </c>
      <c r="AG2" s="4">
        <f>'QTR P&amp;L'!AG13</f>
        <v/>
      </c>
    </row>
    <row r="3">
      <c r="A3" s="3" t="inlineStr">
        <is>
          <t>Depreciation</t>
        </is>
      </c>
      <c r="B3" s="4">
        <f>'QTR CF'!B3</f>
        <v/>
      </c>
      <c r="C3" s="4">
        <f>'QTR CF'!C3</f>
        <v/>
      </c>
      <c r="D3" s="4">
        <f>'QTR CF'!D3</f>
        <v/>
      </c>
      <c r="E3" s="4">
        <f>'QTR CF'!E3</f>
        <v/>
      </c>
      <c r="F3" s="4">
        <f>'QTR CF'!F3</f>
        <v/>
      </c>
      <c r="G3" s="4">
        <f>'QTR CF'!G3</f>
        <v/>
      </c>
      <c r="H3" s="4">
        <f>'QTR CF'!H3</f>
        <v/>
      </c>
      <c r="I3" s="4">
        <f>'QTR CF'!I3</f>
        <v/>
      </c>
      <c r="J3" s="4">
        <f>'QTR CF'!J3</f>
        <v/>
      </c>
      <c r="K3" s="4">
        <f>'QTR CF'!K3</f>
        <v/>
      </c>
      <c r="L3" s="4">
        <f>'QTR CF'!L3</f>
        <v/>
      </c>
      <c r="M3" s="4">
        <f>'QTR CF'!M3</f>
        <v/>
      </c>
      <c r="N3" s="4">
        <f>'QTR CF'!N3</f>
        <v/>
      </c>
      <c r="O3" s="4">
        <f>'QTR CF'!O3</f>
        <v/>
      </c>
      <c r="P3" s="4">
        <f>'QTR CF'!P3</f>
        <v/>
      </c>
      <c r="Q3" s="4">
        <f>'QTR CF'!Q3</f>
        <v/>
      </c>
      <c r="R3" s="12" t="n">
        <v>0</v>
      </c>
      <c r="S3" s="12" t="n">
        <v>0</v>
      </c>
      <c r="T3" s="12" t="n">
        <v>0</v>
      </c>
      <c r="U3" s="12" t="n">
        <v>0</v>
      </c>
      <c r="V3" s="12" t="n">
        <v>0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  <c r="AB3" s="12" t="n">
        <v>0</v>
      </c>
      <c r="AC3" s="12" t="n">
        <v>0</v>
      </c>
      <c r="AD3" s="12" t="n">
        <v>0</v>
      </c>
      <c r="AE3" s="12" t="n">
        <v>0</v>
      </c>
      <c r="AF3" s="12" t="n">
        <v>0</v>
      </c>
      <c r="AG3" s="12" t="n">
        <v>0</v>
      </c>
    </row>
    <row r="4">
      <c r="A4" s="3" t="inlineStr">
        <is>
          <t>Amortization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</v>
      </c>
      <c r="AA4" s="12" t="n">
        <v>0</v>
      </c>
      <c r="AB4" s="12" t="n">
        <v>0</v>
      </c>
      <c r="AC4" s="12" t="n">
        <v>0</v>
      </c>
      <c r="AD4" s="12" t="n">
        <v>0</v>
      </c>
      <c r="AE4" s="12" t="n">
        <v>0</v>
      </c>
      <c r="AF4" s="12" t="n">
        <v>0</v>
      </c>
      <c r="AG4" s="12" t="n">
        <v>0</v>
      </c>
    </row>
    <row r="5">
      <c r="A5" s="3" t="inlineStr">
        <is>
          <t>Impairment of Intangibles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12" t="n">
        <v>0</v>
      </c>
      <c r="S5" s="12" t="n">
        <v>0</v>
      </c>
      <c r="T5" s="12" t="n">
        <v>0</v>
      </c>
      <c r="U5" s="12" t="n">
        <v>0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12" t="n">
        <v>0</v>
      </c>
      <c r="AB5" s="12" t="n">
        <v>0</v>
      </c>
      <c r="AC5" s="12" t="n">
        <v>0</v>
      </c>
      <c r="AD5" s="12" t="n">
        <v>0</v>
      </c>
      <c r="AE5" s="12" t="n">
        <v>0</v>
      </c>
      <c r="AF5" s="12" t="n">
        <v>0</v>
      </c>
      <c r="AG5" s="12" t="n">
        <v>0</v>
      </c>
    </row>
    <row r="6">
      <c r="A6" s="3" t="inlineStr">
        <is>
          <t>Depreciation &amp; Amortization — % of Revenue</t>
        </is>
      </c>
      <c r="B6" s="10">
        <f>IFERROR('QTR CF'!B6/'QTR P&amp;L'!B2,"")</f>
        <v/>
      </c>
      <c r="C6" s="10">
        <f>IFERROR('QTR CF'!C6/'QTR P&amp;L'!C2,"")</f>
        <v/>
      </c>
      <c r="D6" s="10">
        <f>IFERROR('QTR CF'!D6/'QTR P&amp;L'!D2,"")</f>
        <v/>
      </c>
      <c r="E6" s="10">
        <f>IFERROR('QTR CF'!E6/'QTR P&amp;L'!E2,"")</f>
        <v/>
      </c>
      <c r="F6" s="10">
        <f>IFERROR('QTR CF'!F6/'QTR P&amp;L'!F2,"")</f>
        <v/>
      </c>
      <c r="G6" s="10">
        <f>IFERROR('QTR CF'!G6/'QTR P&amp;L'!G2,"")</f>
        <v/>
      </c>
      <c r="H6" s="10">
        <f>IFERROR('QTR CF'!H6/'QTR P&amp;L'!H2,"")</f>
        <v/>
      </c>
      <c r="I6" s="10">
        <f>IFERROR('QTR CF'!I6/'QTR P&amp;L'!I2,"")</f>
        <v/>
      </c>
      <c r="J6" s="10">
        <f>IFERROR('QTR CF'!J6/'QTR P&amp;L'!J2,"")</f>
        <v/>
      </c>
      <c r="K6" s="10">
        <f>IFERROR('QTR CF'!K6/'QTR P&amp;L'!K2,"")</f>
        <v/>
      </c>
      <c r="L6" s="10">
        <f>IFERROR('QTR CF'!L6/'QTR P&amp;L'!L2,"")</f>
        <v/>
      </c>
      <c r="M6" s="10">
        <f>IFERROR('QTR CF'!M6/'QTR P&amp;L'!M2,"")</f>
        <v/>
      </c>
      <c r="N6" s="10">
        <f>IFERROR('QTR CF'!N6/'QTR P&amp;L'!N2,"")</f>
        <v/>
      </c>
      <c r="O6" s="10">
        <f>IFERROR('QTR CF'!O6/'QTR P&amp;L'!O2,"")</f>
        <v/>
      </c>
      <c r="P6" s="10">
        <f>IFERROR('QTR CF'!P6/'QTR P&amp;L'!P2,"")</f>
        <v/>
      </c>
      <c r="Q6" s="10">
        <f>IFERROR('QTR CF'!Q6/'QTR P&amp;L'!Q2,"")</f>
        <v/>
      </c>
      <c r="R6" s="11">
        <f>Q6</f>
        <v/>
      </c>
      <c r="S6" s="11">
        <f>Q6</f>
        <v/>
      </c>
      <c r="T6" s="11">
        <f>Q6</f>
        <v/>
      </c>
      <c r="U6" s="11">
        <f>Q6</f>
        <v/>
      </c>
      <c r="V6" s="11">
        <f>Q6</f>
        <v/>
      </c>
      <c r="W6" s="11">
        <f>Q6</f>
        <v/>
      </c>
      <c r="X6" s="11">
        <f>Q6</f>
        <v/>
      </c>
      <c r="Y6" s="11">
        <f>Q6</f>
        <v/>
      </c>
      <c r="Z6" s="11">
        <f>Q6</f>
        <v/>
      </c>
      <c r="AA6" s="11">
        <f>Q6</f>
        <v/>
      </c>
      <c r="AB6" s="11">
        <f>Q6</f>
        <v/>
      </c>
      <c r="AC6" s="11">
        <f>Q6</f>
        <v/>
      </c>
      <c r="AD6" s="11">
        <f>Q6</f>
        <v/>
      </c>
      <c r="AE6" s="11">
        <f>Q6</f>
        <v/>
      </c>
      <c r="AF6" s="11">
        <f>Q6</f>
        <v/>
      </c>
      <c r="AG6" s="11">
        <f>Q6</f>
        <v/>
      </c>
    </row>
    <row r="7">
      <c r="A7" s="3" t="inlineStr">
        <is>
          <t>Allowance for Credit Losses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12" t="n">
        <v>0</v>
      </c>
      <c r="S7" s="12" t="n">
        <v>0</v>
      </c>
      <c r="T7" s="12" t="n">
        <v>0</v>
      </c>
      <c r="U7" s="12" t="n">
        <v>0</v>
      </c>
      <c r="V7" s="12" t="n">
        <v>0</v>
      </c>
      <c r="W7" s="12" t="n">
        <v>0</v>
      </c>
      <c r="X7" s="12" t="n">
        <v>0</v>
      </c>
      <c r="Y7" s="12" t="n">
        <v>0</v>
      </c>
      <c r="Z7" s="12" t="n">
        <v>0</v>
      </c>
      <c r="AA7" s="12" t="n">
        <v>0</v>
      </c>
      <c r="AB7" s="12" t="n">
        <v>0</v>
      </c>
      <c r="AC7" s="12" t="n">
        <v>0</v>
      </c>
      <c r="AD7" s="12" t="n">
        <v>0</v>
      </c>
      <c r="AE7" s="12" t="n">
        <v>0</v>
      </c>
      <c r="AF7" s="12" t="n">
        <v>0</v>
      </c>
      <c r="AG7" s="12" t="n">
        <v>0</v>
      </c>
    </row>
    <row r="8">
      <c r="A8" s="3" t="inlineStr">
        <is>
          <t>Amortization of Deferred Other Costs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</v>
      </c>
      <c r="AA8" s="12" t="n">
        <v>0</v>
      </c>
      <c r="AB8" s="12" t="n">
        <v>0</v>
      </c>
      <c r="AC8" s="12" t="n">
        <v>0</v>
      </c>
      <c r="AD8" s="12" t="n">
        <v>0</v>
      </c>
      <c r="AE8" s="12" t="n">
        <v>0</v>
      </c>
      <c r="AF8" s="12" t="n">
        <v>0</v>
      </c>
      <c r="AG8" s="12" t="n">
        <v>0</v>
      </c>
    </row>
    <row r="9">
      <c r="A9" s="3" t="inlineStr">
        <is>
          <t>Inventory Write-Down</t>
        </is>
      </c>
      <c r="B9" s="4">
        <f>'QTR CF'!B9</f>
        <v/>
      </c>
      <c r="C9" s="4">
        <f>'QTR CF'!C9</f>
        <v/>
      </c>
      <c r="D9" s="4">
        <f>'QTR CF'!D9</f>
        <v/>
      </c>
      <c r="E9" s="4">
        <f>'QTR CF'!E9</f>
        <v/>
      </c>
      <c r="F9" s="4">
        <f>'QTR CF'!F9</f>
        <v/>
      </c>
      <c r="G9" s="4">
        <f>'QTR CF'!G9</f>
        <v/>
      </c>
      <c r="H9" s="4">
        <f>'QTR CF'!H9</f>
        <v/>
      </c>
      <c r="I9" s="4">
        <f>'QTR CF'!I9</f>
        <v/>
      </c>
      <c r="J9" s="4">
        <f>'QTR CF'!J9</f>
        <v/>
      </c>
      <c r="K9" s="4">
        <f>'QTR CF'!K9</f>
        <v/>
      </c>
      <c r="L9" s="4">
        <f>'QTR CF'!L9</f>
        <v/>
      </c>
      <c r="M9" s="4">
        <f>'QTR CF'!M9</f>
        <v/>
      </c>
      <c r="N9" s="4">
        <f>'QTR CF'!N9</f>
        <v/>
      </c>
      <c r="O9" s="4">
        <f>'QTR CF'!O9</f>
        <v/>
      </c>
      <c r="P9" s="4">
        <f>'QTR CF'!P9</f>
        <v/>
      </c>
      <c r="Q9" s="4">
        <f>'QTR CF'!Q9</f>
        <v/>
      </c>
      <c r="R9" s="12" t="n">
        <v>0</v>
      </c>
      <c r="S9" s="12" t="n">
        <v>0</v>
      </c>
      <c r="T9" s="12" t="n">
        <v>0</v>
      </c>
      <c r="U9" s="12" t="n">
        <v>0</v>
      </c>
      <c r="V9" s="12" t="n">
        <v>0</v>
      </c>
      <c r="W9" s="12" t="n">
        <v>0</v>
      </c>
      <c r="X9" s="12" t="n">
        <v>0</v>
      </c>
      <c r="Y9" s="12" t="n">
        <v>0</v>
      </c>
      <c r="Z9" s="12" t="n">
        <v>0</v>
      </c>
      <c r="AA9" s="12" t="n">
        <v>0</v>
      </c>
      <c r="AB9" s="12" t="n">
        <v>0</v>
      </c>
      <c r="AC9" s="12" t="n">
        <v>0</v>
      </c>
      <c r="AD9" s="12" t="n">
        <v>0</v>
      </c>
      <c r="AE9" s="12" t="n">
        <v>0</v>
      </c>
      <c r="AF9" s="12" t="n">
        <v>0</v>
      </c>
      <c r="AG9" s="12" t="n">
        <v>0</v>
      </c>
    </row>
    <row r="10">
      <c r="A10" s="3" t="inlineStr">
        <is>
          <t>Gain (Loss) on Disposal of PP&amp;E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</v>
      </c>
      <c r="AA10" s="12" t="n">
        <v>0</v>
      </c>
      <c r="AB10" s="12" t="n">
        <v>0</v>
      </c>
      <c r="AC10" s="12" t="n">
        <v>0</v>
      </c>
      <c r="AD10" s="12" t="n">
        <v>0</v>
      </c>
      <c r="AE10" s="12" t="n">
        <v>0</v>
      </c>
      <c r="AF10" s="12" t="n">
        <v>0</v>
      </c>
      <c r="AG10" s="12" t="n">
        <v>0</v>
      </c>
    </row>
    <row r="11">
      <c r="A11" s="3" t="inlineStr">
        <is>
          <t>Stock-Based Compensation — % of Revenue</t>
        </is>
      </c>
      <c r="B11" s="10">
        <f>IFERROR('QTR CF'!B11/'QTR P&amp;L'!B2,"")</f>
        <v/>
      </c>
      <c r="C11" s="10">
        <f>IFERROR('QTR CF'!C11/'QTR P&amp;L'!C2,"")</f>
        <v/>
      </c>
      <c r="D11" s="10">
        <f>IFERROR('QTR CF'!D11/'QTR P&amp;L'!D2,"")</f>
        <v/>
      </c>
      <c r="E11" s="10">
        <f>IFERROR('QTR CF'!E11/'QTR P&amp;L'!E2,"")</f>
        <v/>
      </c>
      <c r="F11" s="10">
        <f>IFERROR('QTR CF'!F11/'QTR P&amp;L'!F2,"")</f>
        <v/>
      </c>
      <c r="G11" s="10">
        <f>IFERROR('QTR CF'!G11/'QTR P&amp;L'!G2,"")</f>
        <v/>
      </c>
      <c r="H11" s="10">
        <f>IFERROR('QTR CF'!H11/'QTR P&amp;L'!H2,"")</f>
        <v/>
      </c>
      <c r="I11" s="10">
        <f>IFERROR('QTR CF'!I11/'QTR P&amp;L'!I2,"")</f>
        <v/>
      </c>
      <c r="J11" s="10">
        <f>IFERROR('QTR CF'!J11/'QTR P&amp;L'!J2,"")</f>
        <v/>
      </c>
      <c r="K11" s="10">
        <f>IFERROR('QTR CF'!K11/'QTR P&amp;L'!K2,"")</f>
        <v/>
      </c>
      <c r="L11" s="10">
        <f>IFERROR('QTR CF'!L11/'QTR P&amp;L'!L2,"")</f>
        <v/>
      </c>
      <c r="M11" s="10">
        <f>IFERROR('QTR CF'!M11/'QTR P&amp;L'!M2,"")</f>
        <v/>
      </c>
      <c r="N11" s="10">
        <f>IFERROR('QTR CF'!N11/'QTR P&amp;L'!N2,"")</f>
        <v/>
      </c>
      <c r="O11" s="10">
        <f>IFERROR('QTR CF'!O11/'QTR P&amp;L'!O2,"")</f>
        <v/>
      </c>
      <c r="P11" s="10">
        <f>IFERROR('QTR CF'!P11/'QTR P&amp;L'!P2,"")</f>
        <v/>
      </c>
      <c r="Q11" s="10">
        <f>IFERROR('QTR CF'!Q11/'QTR P&amp;L'!Q2,"")</f>
        <v/>
      </c>
      <c r="R11" s="11">
        <f>Q11</f>
        <v/>
      </c>
      <c r="S11" s="11">
        <f>Q11</f>
        <v/>
      </c>
      <c r="T11" s="11">
        <f>Q11</f>
        <v/>
      </c>
      <c r="U11" s="11">
        <f>Q11</f>
        <v/>
      </c>
      <c r="V11" s="11">
        <f>Q11</f>
        <v/>
      </c>
      <c r="W11" s="11">
        <f>Q11</f>
        <v/>
      </c>
      <c r="X11" s="11">
        <f>Q11</f>
        <v/>
      </c>
      <c r="Y11" s="11">
        <f>Q11</f>
        <v/>
      </c>
      <c r="Z11" s="11">
        <f>Q11</f>
        <v/>
      </c>
      <c r="AA11" s="11">
        <f>Q11</f>
        <v/>
      </c>
      <c r="AB11" s="11">
        <f>Q11</f>
        <v/>
      </c>
      <c r="AC11" s="11">
        <f>Q11</f>
        <v/>
      </c>
      <c r="AD11" s="11">
        <f>Q11</f>
        <v/>
      </c>
      <c r="AE11" s="11">
        <f>Q11</f>
        <v/>
      </c>
      <c r="AF11" s="11">
        <f>Q11</f>
        <v/>
      </c>
      <c r="AG11" s="11">
        <f>Q11</f>
        <v/>
      </c>
    </row>
    <row r="12">
      <c r="A12" s="3" t="inlineStr">
        <is>
          <t>(Benefit) Provision for Deferred Income Taxes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12">
        <f>Q12</f>
        <v/>
      </c>
      <c r="S12" s="12">
        <f>Q12</f>
        <v/>
      </c>
      <c r="T12" s="12">
        <f>Q12</f>
        <v/>
      </c>
      <c r="U12" s="12">
        <f>Q12</f>
        <v/>
      </c>
      <c r="V12" s="12">
        <f>Q12</f>
        <v/>
      </c>
      <c r="W12" s="12">
        <f>Q12</f>
        <v/>
      </c>
      <c r="X12" s="12">
        <f>Q12</f>
        <v/>
      </c>
      <c r="Y12" s="12">
        <f>Q12</f>
        <v/>
      </c>
      <c r="Z12" s="12">
        <f>Q12</f>
        <v/>
      </c>
      <c r="AA12" s="12">
        <f>Q12</f>
        <v/>
      </c>
      <c r="AB12" s="12">
        <f>Q12</f>
        <v/>
      </c>
      <c r="AC12" s="12">
        <f>Q12</f>
        <v/>
      </c>
      <c r="AD12" s="12">
        <f>Q12</f>
        <v/>
      </c>
      <c r="AE12" s="12">
        <f>Q12</f>
        <v/>
      </c>
      <c r="AF12" s="12">
        <f>Q12</f>
        <v/>
      </c>
      <c r="AG12" s="12">
        <f>Q12</f>
        <v/>
      </c>
    </row>
    <row r="13">
      <c r="A13" s="3" t="inlineStr">
        <is>
          <t>Foreign Currency Gain (Loss)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12" t="n">
        <v>0</v>
      </c>
      <c r="S13" s="12" t="n">
        <v>0</v>
      </c>
      <c r="T13" s="12" t="n">
        <v>0</v>
      </c>
      <c r="U13" s="12" t="n">
        <v>0</v>
      </c>
      <c r="V13" s="12" t="n">
        <v>0</v>
      </c>
      <c r="W13" s="12" t="n">
        <v>0</v>
      </c>
      <c r="X13" s="12" t="n">
        <v>0</v>
      </c>
      <c r="Y13" s="12" t="n">
        <v>0</v>
      </c>
      <c r="Z13" s="12" t="n">
        <v>0</v>
      </c>
      <c r="AA13" s="12" t="n">
        <v>0</v>
      </c>
      <c r="AB13" s="12" t="n">
        <v>0</v>
      </c>
      <c r="AC13" s="12" t="n">
        <v>0</v>
      </c>
      <c r="AD13" s="12" t="n">
        <v>0</v>
      </c>
      <c r="AE13" s="12" t="n">
        <v>0</v>
      </c>
      <c r="AF13" s="12" t="n">
        <v>0</v>
      </c>
      <c r="AG13" s="12" t="n">
        <v>0</v>
      </c>
    </row>
    <row r="14">
      <c r="A14" s="3" t="inlineStr">
        <is>
          <t>Gain (Loss) on Lease Cancellations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  <c r="AB14" s="12" t="n">
        <v>0</v>
      </c>
      <c r="AC14" s="12" t="n">
        <v>0</v>
      </c>
      <c r="AD14" s="12" t="n">
        <v>0</v>
      </c>
      <c r="AE14" s="12" t="n">
        <v>0</v>
      </c>
      <c r="AF14" s="12" t="n">
        <v>0</v>
      </c>
      <c r="AG14" s="12" t="n">
        <v>0</v>
      </c>
    </row>
    <row r="15">
      <c r="A15" s="3" t="inlineStr">
        <is>
          <t>Change in Fair Value of Contingent Consideration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12" t="n">
        <v>0</v>
      </c>
      <c r="S15" s="12" t="n">
        <v>0</v>
      </c>
      <c r="T15" s="12" t="n">
        <v>0</v>
      </c>
      <c r="U15" s="12" t="n">
        <v>0</v>
      </c>
      <c r="V15" s="12" t="n">
        <v>0</v>
      </c>
      <c r="W15" s="12" t="n">
        <v>0</v>
      </c>
      <c r="X15" s="12" t="n">
        <v>0</v>
      </c>
      <c r="Y15" s="12" t="n">
        <v>0</v>
      </c>
      <c r="Z15" s="12" t="n">
        <v>0</v>
      </c>
      <c r="AA15" s="12" t="n">
        <v>0</v>
      </c>
      <c r="AB15" s="12" t="n">
        <v>0</v>
      </c>
      <c r="AC15" s="12" t="n">
        <v>0</v>
      </c>
      <c r="AD15" s="12" t="n">
        <v>0</v>
      </c>
      <c r="AE15" s="12" t="n">
        <v>0</v>
      </c>
      <c r="AF15" s="12" t="n">
        <v>0</v>
      </c>
      <c r="AG15" s="12" t="n">
        <v>0</v>
      </c>
    </row>
    <row r="16">
      <c r="A16" s="3" t="inlineStr">
        <is>
          <t>Gain (Loss) on Extinguishment of Debt</t>
        </is>
      </c>
      <c r="B16" s="4">
        <f>'QTR CF'!B16</f>
        <v/>
      </c>
      <c r="C16" s="4">
        <f>'QTR CF'!C16</f>
        <v/>
      </c>
      <c r="D16" s="4">
        <f>'QTR CF'!D16</f>
        <v/>
      </c>
      <c r="E16" s="4">
        <f>'QTR CF'!E16</f>
        <v/>
      </c>
      <c r="F16" s="4">
        <f>'QTR CF'!F16</f>
        <v/>
      </c>
      <c r="G16" s="4">
        <f>'QTR CF'!G16</f>
        <v/>
      </c>
      <c r="H16" s="4">
        <f>'QTR CF'!H16</f>
        <v/>
      </c>
      <c r="I16" s="4">
        <f>'QTR CF'!I16</f>
        <v/>
      </c>
      <c r="J16" s="4">
        <f>'QTR CF'!J16</f>
        <v/>
      </c>
      <c r="K16" s="4">
        <f>'QTR CF'!K16</f>
        <v/>
      </c>
      <c r="L16" s="4">
        <f>'QTR CF'!L16</f>
        <v/>
      </c>
      <c r="M16" s="4">
        <f>'QTR CF'!M16</f>
        <v/>
      </c>
      <c r="N16" s="4">
        <f>'QTR CF'!N16</f>
        <v/>
      </c>
      <c r="O16" s="4">
        <f>'QTR CF'!O16</f>
        <v/>
      </c>
      <c r="P16" s="4">
        <f>'QTR CF'!P16</f>
        <v/>
      </c>
      <c r="Q16" s="4">
        <f>'QTR CF'!Q16</f>
        <v/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</v>
      </c>
      <c r="AA16" s="12" t="n">
        <v>0</v>
      </c>
      <c r="AB16" s="12" t="n">
        <v>0</v>
      </c>
      <c r="AC16" s="12" t="n">
        <v>0</v>
      </c>
      <c r="AD16" s="12" t="n">
        <v>0</v>
      </c>
      <c r="AE16" s="12" t="n">
        <v>0</v>
      </c>
      <c r="AF16" s="12" t="n">
        <v>0</v>
      </c>
      <c r="AG16" s="12" t="n">
        <v>0</v>
      </c>
    </row>
    <row r="17">
      <c r="A17" s="3" t="inlineStr">
        <is>
          <t>Other Operating Items</t>
        </is>
      </c>
      <c r="B17" s="4">
        <f>'QTR CF'!B17</f>
        <v/>
      </c>
      <c r="C17" s="4">
        <f>'QTR CF'!C17</f>
        <v/>
      </c>
      <c r="D17" s="4">
        <f>'QTR CF'!D17</f>
        <v/>
      </c>
      <c r="E17" s="4">
        <f>'QTR CF'!E17</f>
        <v/>
      </c>
      <c r="F17" s="4">
        <f>'QTR CF'!F17</f>
        <v/>
      </c>
      <c r="G17" s="4">
        <f>'QTR CF'!G17</f>
        <v/>
      </c>
      <c r="H17" s="4">
        <f>'QTR CF'!H17</f>
        <v/>
      </c>
      <c r="I17" s="4">
        <f>'QTR CF'!I17</f>
        <v/>
      </c>
      <c r="J17" s="4">
        <f>'QTR CF'!J17</f>
        <v/>
      </c>
      <c r="K17" s="4">
        <f>'QTR CF'!K17</f>
        <v/>
      </c>
      <c r="L17" s="4">
        <f>'QTR CF'!L17</f>
        <v/>
      </c>
      <c r="M17" s="4">
        <f>'QTR CF'!M17</f>
        <v/>
      </c>
      <c r="N17" s="4">
        <f>'QTR CF'!N17</f>
        <v/>
      </c>
      <c r="O17" s="4">
        <f>'QTR CF'!O17</f>
        <v/>
      </c>
      <c r="P17" s="4">
        <f>'QTR CF'!P17</f>
        <v/>
      </c>
      <c r="Q17" s="4">
        <f>'QTR CF'!Q17</f>
        <v/>
      </c>
      <c r="R17" s="4">
        <f>-('QTR BS'!O5-'QTR BS'!N5)-('QTR BS'!O8-'QTR BS'!N8)-('QTR BS'!O10-'QTR BS'!N10)-('QTR BS'!O12-'QTR BS'!N12)-('QTR BS'!O15-'QTR BS'!N15)-('QTR BS'!O17-'QTR BS'!N17)+('QTR BS'!O22-'QTR BS'!N22)+('QTR BS'!O25-'QTR BS'!N25)+('QTR BS'!O26-'QTR BS'!N26)+('QTR BS'!O27-'QTR BS'!N27)+('QTR BS'!O28-'QTR BS'!N28)+('QTR BS'!O31-'QTR BS'!N31)+('QTR BS'!O32-'QTR BS'!N32)+('QTR BS'!O35-'QTR BS'!N35)+('QTR BS'!O36-'QTR BS'!N36)-('QTR BS'!O3-'QTR BS'!N3)-('QTR BS'!O13-'QTR BS'!N13)-('QTR BS'!O14-'QTR BS'!N14)+('QTR BS'!O23-'QTR BS'!N23)+('QTR BS'!O33-'QTR BS'!N33)+('QTR BS'!O34-'QTR BS'!N34)+('QTR BS'!O39-'QTR BS'!N39)+('QTR BS'!O40-'QTR BS'!N40)</f>
        <v/>
      </c>
      <c r="S17" s="4">
        <f>-('QTR BS'!P5-'QTR BS'!O5)-('QTR BS'!P8-'QTR BS'!O8)-('QTR BS'!P10-'QTR BS'!O10)-('QTR BS'!P12-'QTR BS'!O12)-('QTR BS'!P15-'QTR BS'!O15)-('QTR BS'!P17-'QTR BS'!O17)+('QTR BS'!P22-'QTR BS'!O22)+('QTR BS'!P25-'QTR BS'!O25)+('QTR BS'!P26-'QTR BS'!O26)+('QTR BS'!P27-'QTR BS'!O27)+('QTR BS'!P28-'QTR BS'!O28)+('QTR BS'!P31-'QTR BS'!O31)+('QTR BS'!P32-'QTR BS'!O32)+('QTR BS'!P35-'QTR BS'!O35)+('QTR BS'!P36-'QTR BS'!O36)-('QTR BS'!P3-'QTR BS'!O3)-('QTR BS'!P13-'QTR BS'!O13)-('QTR BS'!P14-'QTR BS'!O14)+('QTR BS'!P23-'QTR BS'!O23)+('QTR BS'!P33-'QTR BS'!O33)+('QTR BS'!P34-'QTR BS'!O34)+('QTR BS'!P39-'QTR BS'!O39)+('QTR BS'!P40-'QTR BS'!O40)</f>
        <v/>
      </c>
      <c r="T17" s="4">
        <f>-('QTR BS'!Q5-'QTR BS'!P5)-('QTR BS'!Q8-'QTR BS'!P8)-('QTR BS'!Q10-'QTR BS'!P10)-('QTR BS'!Q12-'QTR BS'!P12)-('QTR BS'!Q15-'QTR BS'!P15)-('QTR BS'!Q17-'QTR BS'!P17)+('QTR BS'!Q22-'QTR BS'!P22)+('QTR BS'!Q25-'QTR BS'!P25)+('QTR BS'!Q26-'QTR BS'!P26)+('QTR BS'!Q27-'QTR BS'!P27)+('QTR BS'!Q28-'QTR BS'!P28)+('QTR BS'!Q31-'QTR BS'!P31)+('QTR BS'!Q32-'QTR BS'!P32)+('QTR BS'!Q35-'QTR BS'!P35)+('QTR BS'!Q36-'QTR BS'!P36)-('QTR BS'!Q3-'QTR BS'!P3)-('QTR BS'!Q13-'QTR BS'!P13)-('QTR BS'!Q14-'QTR BS'!P14)+('QTR BS'!Q23-'QTR BS'!P23)+('QTR BS'!Q33-'QTR BS'!P33)+('QTR BS'!Q34-'QTR BS'!P34)+('QTR BS'!Q39-'QTR BS'!P39)+('QTR BS'!Q40-'QTR BS'!P40)</f>
        <v/>
      </c>
      <c r="U17" s="4">
        <f>-('QTR BS'!R5-'QTR BS'!Q5)-('QTR BS'!R8-'QTR BS'!Q8)-('QTR BS'!R10-'QTR BS'!Q10)-('QTR BS'!R12-'QTR BS'!Q12)-('QTR BS'!R15-'QTR BS'!Q15)-('QTR BS'!R17-'QTR BS'!Q17)+('QTR BS'!R22-'QTR BS'!Q22)+('QTR BS'!R25-'QTR BS'!Q25)+('QTR BS'!R26-'QTR BS'!Q26)+('QTR BS'!R27-'QTR BS'!Q27)+('QTR BS'!R28-'QTR BS'!Q28)+('QTR BS'!R31-'QTR BS'!Q31)+('QTR BS'!R32-'QTR BS'!Q32)+('QTR BS'!R35-'QTR BS'!Q35)+('QTR BS'!R36-'QTR BS'!Q36)-('QTR BS'!R3-'QTR BS'!Q3)-('QTR BS'!R13-'QTR BS'!Q13)-('QTR BS'!R14-'QTR BS'!Q14)+('QTR BS'!R23-'QTR BS'!Q23)+('QTR BS'!R33-'QTR BS'!Q33)+('QTR BS'!R34-'QTR BS'!Q34)+('QTR BS'!R39-'QTR BS'!Q39)+('QTR BS'!R40-'QTR BS'!Q40)</f>
        <v/>
      </c>
      <c r="V17" s="4">
        <f>-('QTR BS'!S5-'QTR BS'!R5)-('QTR BS'!S8-'QTR BS'!R8)-('QTR BS'!S10-'QTR BS'!R10)-('QTR BS'!S12-'QTR BS'!R12)-('QTR BS'!S15-'QTR BS'!R15)-('QTR BS'!S17-'QTR BS'!R17)+('QTR BS'!S22-'QTR BS'!R22)+('QTR BS'!S25-'QTR BS'!R25)+('QTR BS'!S26-'QTR BS'!R26)+('QTR BS'!S27-'QTR BS'!R27)+('QTR BS'!S28-'QTR BS'!R28)+('QTR BS'!S31-'QTR BS'!R31)+('QTR BS'!S32-'QTR BS'!R32)+('QTR BS'!S35-'QTR BS'!R35)+('QTR BS'!S36-'QTR BS'!R36)-('QTR BS'!S3-'QTR BS'!R3)-('QTR BS'!S13-'QTR BS'!R13)-('QTR BS'!S14-'QTR BS'!R14)+('QTR BS'!S23-'QTR BS'!R23)+('QTR BS'!S33-'QTR BS'!R33)+('QTR BS'!S34-'QTR BS'!R34)+('QTR BS'!S39-'QTR BS'!R39)+('QTR BS'!S40-'QTR BS'!R40)</f>
        <v/>
      </c>
      <c r="W17" s="4">
        <f>-('QTR BS'!T5-'QTR BS'!S5)-('QTR BS'!T8-'QTR BS'!S8)-('QTR BS'!T10-'QTR BS'!S10)-('QTR BS'!T12-'QTR BS'!S12)-('QTR BS'!T15-'QTR BS'!S15)-('QTR BS'!T17-'QTR BS'!S17)+('QTR BS'!T22-'QTR BS'!S22)+('QTR BS'!T25-'QTR BS'!S25)+('QTR BS'!T26-'QTR BS'!S26)+('QTR BS'!T27-'QTR BS'!S27)+('QTR BS'!T28-'QTR BS'!S28)+('QTR BS'!T31-'QTR BS'!S31)+('QTR BS'!T32-'QTR BS'!S32)+('QTR BS'!T35-'QTR BS'!S35)+('QTR BS'!T36-'QTR BS'!S36)-('QTR BS'!T3-'QTR BS'!S3)-('QTR BS'!T13-'QTR BS'!S13)-('QTR BS'!T14-'QTR BS'!S14)+('QTR BS'!T23-'QTR BS'!S23)+('QTR BS'!T33-'QTR BS'!S33)+('QTR BS'!T34-'QTR BS'!S34)+('QTR BS'!T39-'QTR BS'!S39)+('QTR BS'!T40-'QTR BS'!S40)</f>
        <v/>
      </c>
      <c r="X17" s="4">
        <f>-('QTR BS'!U5-'QTR BS'!T5)-('QTR BS'!U8-'QTR BS'!T8)-('QTR BS'!U10-'QTR BS'!T10)-('QTR BS'!U12-'QTR BS'!T12)-('QTR BS'!U15-'QTR BS'!T15)-('QTR BS'!U17-'QTR BS'!T17)+('QTR BS'!U22-'QTR BS'!T22)+('QTR BS'!U25-'QTR BS'!T25)+('QTR BS'!U26-'QTR BS'!T26)+('QTR BS'!U27-'QTR BS'!T27)+('QTR BS'!U28-'QTR BS'!T28)+('QTR BS'!U31-'QTR BS'!T31)+('QTR BS'!U32-'QTR BS'!T32)+('QTR BS'!U35-'QTR BS'!T35)+('QTR BS'!U36-'QTR BS'!T36)-('QTR BS'!U3-'QTR BS'!T3)-('QTR BS'!U13-'QTR BS'!T13)-('QTR BS'!U14-'QTR BS'!T14)+('QTR BS'!U23-'QTR BS'!T23)+('QTR BS'!U33-'QTR BS'!T33)+('QTR BS'!U34-'QTR BS'!T34)+('QTR BS'!U39-'QTR BS'!T39)+('QTR BS'!U40-'QTR BS'!T40)</f>
        <v/>
      </c>
      <c r="Y17" s="4">
        <f>-('QTR BS'!V5-'QTR BS'!U5)-('QTR BS'!V8-'QTR BS'!U8)-('QTR BS'!V10-'QTR BS'!U10)-('QTR BS'!V12-'QTR BS'!U12)-('QTR BS'!V15-'QTR BS'!U15)-('QTR BS'!V17-'QTR BS'!U17)+('QTR BS'!V22-'QTR BS'!U22)+('QTR BS'!V25-'QTR BS'!U25)+('QTR BS'!V26-'QTR BS'!U26)+('QTR BS'!V27-'QTR BS'!U27)+('QTR BS'!V28-'QTR BS'!U28)+('QTR BS'!V31-'QTR BS'!U31)+('QTR BS'!V32-'QTR BS'!U32)+('QTR BS'!V35-'QTR BS'!U35)+('QTR BS'!V36-'QTR BS'!U36)-('QTR BS'!V3-'QTR BS'!U3)-('QTR BS'!V13-'QTR BS'!U13)-('QTR BS'!V14-'QTR BS'!U14)+('QTR BS'!V23-'QTR BS'!U23)+('QTR BS'!V33-'QTR BS'!U33)+('QTR BS'!V34-'QTR BS'!U34)+('QTR BS'!V39-'QTR BS'!U39)+('QTR BS'!V40-'QTR BS'!U40)</f>
        <v/>
      </c>
      <c r="Z17" s="4">
        <f>-('QTR BS'!W5-'QTR BS'!V5)-('QTR BS'!W8-'QTR BS'!V8)-('QTR BS'!W10-'QTR BS'!V10)-('QTR BS'!W12-'QTR BS'!V12)-('QTR BS'!W15-'QTR BS'!V15)-('QTR BS'!W17-'QTR BS'!V17)+('QTR BS'!W22-'QTR BS'!V22)+('QTR BS'!W25-'QTR BS'!V25)+('QTR BS'!W26-'QTR BS'!V26)+('QTR BS'!W27-'QTR BS'!V27)+('QTR BS'!W28-'QTR BS'!V28)+('QTR BS'!W31-'QTR BS'!V31)+('QTR BS'!W32-'QTR BS'!V32)+('QTR BS'!W35-'QTR BS'!V35)+('QTR BS'!W36-'QTR BS'!V36)-('QTR BS'!W3-'QTR BS'!V3)-('QTR BS'!W13-'QTR BS'!V13)-('QTR BS'!W14-'QTR BS'!V14)+('QTR BS'!W23-'QTR BS'!V23)+('QTR BS'!W33-'QTR BS'!V33)+('QTR BS'!W34-'QTR BS'!V34)+('QTR BS'!W39-'QTR BS'!V39)+('QTR BS'!W40-'QTR BS'!V40)</f>
        <v/>
      </c>
      <c r="AA17" s="4">
        <f>-('QTR BS'!X5-'QTR BS'!W5)-('QTR BS'!X8-'QTR BS'!W8)-('QTR BS'!X10-'QTR BS'!W10)-('QTR BS'!X12-'QTR BS'!W12)-('QTR BS'!X15-'QTR BS'!W15)-('QTR BS'!X17-'QTR BS'!W17)+('QTR BS'!X22-'QTR BS'!W22)+('QTR BS'!X25-'QTR BS'!W25)+('QTR BS'!X26-'QTR BS'!W26)+('QTR BS'!X27-'QTR BS'!W27)+('QTR BS'!X28-'QTR BS'!W28)+('QTR BS'!X31-'QTR BS'!W31)+('QTR BS'!X32-'QTR BS'!W32)+('QTR BS'!X35-'QTR BS'!W35)+('QTR BS'!X36-'QTR BS'!W36)-('QTR BS'!X3-'QTR BS'!W3)-('QTR BS'!X13-'QTR BS'!W13)-('QTR BS'!X14-'QTR BS'!W14)+('QTR BS'!X23-'QTR BS'!W23)+('QTR BS'!X33-'QTR BS'!W33)+('QTR BS'!X34-'QTR BS'!W34)+('QTR BS'!X39-'QTR BS'!W39)+('QTR BS'!X40-'QTR BS'!W40)</f>
        <v/>
      </c>
      <c r="AB17" s="4">
        <f>-('QTR BS'!Y5-'QTR BS'!X5)-('QTR BS'!Y8-'QTR BS'!X8)-('QTR BS'!Y10-'QTR BS'!X10)-('QTR BS'!Y12-'QTR BS'!X12)-('QTR BS'!Y15-'QTR BS'!X15)-('QTR BS'!Y17-'QTR BS'!X17)+('QTR BS'!Y22-'QTR BS'!X22)+('QTR BS'!Y25-'QTR BS'!X25)+('QTR BS'!Y26-'QTR BS'!X26)+('QTR BS'!Y27-'QTR BS'!X27)+('QTR BS'!Y28-'QTR BS'!X28)+('QTR BS'!Y31-'QTR BS'!X31)+('QTR BS'!Y32-'QTR BS'!X32)+('QTR BS'!Y35-'QTR BS'!X35)+('QTR BS'!Y36-'QTR BS'!X36)-('QTR BS'!Y3-'QTR BS'!X3)-('QTR BS'!Y13-'QTR BS'!X13)-('QTR BS'!Y14-'QTR BS'!X14)+('QTR BS'!Y23-'QTR BS'!X23)+('QTR BS'!Y33-'QTR BS'!X33)+('QTR BS'!Y34-'QTR BS'!X34)+('QTR BS'!Y39-'QTR BS'!X39)+('QTR BS'!Y40-'QTR BS'!X40)</f>
        <v/>
      </c>
      <c r="AC17" s="4">
        <f>-('QTR BS'!Z5-'QTR BS'!Y5)-('QTR BS'!Z8-'QTR BS'!Y8)-('QTR BS'!Z10-'QTR BS'!Y10)-('QTR BS'!Z12-'QTR BS'!Y12)-('QTR BS'!Z15-'QTR BS'!Y15)-('QTR BS'!Z17-'QTR BS'!Y17)+('QTR BS'!Z22-'QTR BS'!Y22)+('QTR BS'!Z25-'QTR BS'!Y25)+('QTR BS'!Z26-'QTR BS'!Y26)+('QTR BS'!Z27-'QTR BS'!Y27)+('QTR BS'!Z28-'QTR BS'!Y28)+('QTR BS'!Z31-'QTR BS'!Y31)+('QTR BS'!Z32-'QTR BS'!Y32)+('QTR BS'!Z35-'QTR BS'!Y35)+('QTR BS'!Z36-'QTR BS'!Y36)-('QTR BS'!Z3-'QTR BS'!Y3)-('QTR BS'!Z13-'QTR BS'!Y13)-('QTR BS'!Z14-'QTR BS'!Y14)+('QTR BS'!Z23-'QTR BS'!Y23)+('QTR BS'!Z33-'QTR BS'!Y33)+('QTR BS'!Z34-'QTR BS'!Y34)+('QTR BS'!Z39-'QTR BS'!Y39)+('QTR BS'!Z40-'QTR BS'!Y40)</f>
        <v/>
      </c>
      <c r="AD17" s="4">
        <f>-('QTR BS'!AA5-'QTR BS'!Z5)-('QTR BS'!AA8-'QTR BS'!Z8)-('QTR BS'!AA10-'QTR BS'!Z10)-('QTR BS'!AA12-'QTR BS'!Z12)-('QTR BS'!AA15-'QTR BS'!Z15)-('QTR BS'!AA17-'QTR BS'!Z17)+('QTR BS'!AA22-'QTR BS'!Z22)+('QTR BS'!AA25-'QTR BS'!Z25)+('QTR BS'!AA26-'QTR BS'!Z26)+('QTR BS'!AA27-'QTR BS'!Z27)+('QTR BS'!AA28-'QTR BS'!Z28)+('QTR BS'!AA31-'QTR BS'!Z31)+('QTR BS'!AA32-'QTR BS'!Z32)+('QTR BS'!AA35-'QTR BS'!Z35)+('QTR BS'!AA36-'QTR BS'!Z36)-('QTR BS'!AA3-'QTR BS'!Z3)-('QTR BS'!AA13-'QTR BS'!Z13)-('QTR BS'!AA14-'QTR BS'!Z14)+('QTR BS'!AA23-'QTR BS'!Z23)+('QTR BS'!AA33-'QTR BS'!Z33)+('QTR BS'!AA34-'QTR BS'!Z34)+('QTR BS'!AA39-'QTR BS'!Z39)+('QTR BS'!AA40-'QTR BS'!Z40)</f>
        <v/>
      </c>
      <c r="AE17" s="4">
        <f>-('QTR BS'!AB5-'QTR BS'!AA5)-('QTR BS'!AB8-'QTR BS'!AA8)-('QTR BS'!AB10-'QTR BS'!AA10)-('QTR BS'!AB12-'QTR BS'!AA12)-('QTR BS'!AB15-'QTR BS'!AA15)-('QTR BS'!AB17-'QTR BS'!AA17)+('QTR BS'!AB22-'QTR BS'!AA22)+('QTR BS'!AB25-'QTR BS'!AA25)+('QTR BS'!AB26-'QTR BS'!AA26)+('QTR BS'!AB27-'QTR BS'!AA27)+('QTR BS'!AB28-'QTR BS'!AA28)+('QTR BS'!AB31-'QTR BS'!AA31)+('QTR BS'!AB32-'QTR BS'!AA32)+('QTR BS'!AB35-'QTR BS'!AA35)+('QTR BS'!AB36-'QTR BS'!AA36)-('QTR BS'!AB3-'QTR BS'!AA3)-('QTR BS'!AB13-'QTR BS'!AA13)-('QTR BS'!AB14-'QTR BS'!AA14)+('QTR BS'!AB23-'QTR BS'!AA23)+('QTR BS'!AB33-'QTR BS'!AA33)+('QTR BS'!AB34-'QTR BS'!AA34)+('QTR BS'!AB39-'QTR BS'!AA39)+('QTR BS'!AB40-'QTR BS'!AA40)</f>
        <v/>
      </c>
      <c r="AF17" s="4">
        <f>-('QTR BS'!AC5-'QTR BS'!AB5)-('QTR BS'!AC8-'QTR BS'!AB8)-('QTR BS'!AC10-'QTR BS'!AB10)-('QTR BS'!AC12-'QTR BS'!AB12)-('QTR BS'!AC15-'QTR BS'!AB15)-('QTR BS'!AC17-'QTR BS'!AB17)+('QTR BS'!AC22-'QTR BS'!AB22)+('QTR BS'!AC25-'QTR BS'!AB25)+('QTR BS'!AC26-'QTR BS'!AB26)+('QTR BS'!AC27-'QTR BS'!AB27)+('QTR BS'!AC28-'QTR BS'!AB28)+('QTR BS'!AC31-'QTR BS'!AB31)+('QTR BS'!AC32-'QTR BS'!AB32)+('QTR BS'!AC35-'QTR BS'!AB35)+('QTR BS'!AC36-'QTR BS'!AB36)-('QTR BS'!AC3-'QTR BS'!AB3)-('QTR BS'!AC13-'QTR BS'!AB13)-('QTR BS'!AC14-'QTR BS'!AB14)+('QTR BS'!AC23-'QTR BS'!AB23)+('QTR BS'!AC33-'QTR BS'!AB33)+('QTR BS'!AC34-'QTR BS'!AB34)+('QTR BS'!AC39-'QTR BS'!AB39)+('QTR BS'!AC40-'QTR BS'!AB40)</f>
        <v/>
      </c>
      <c r="AG17" s="4">
        <f>-('QTR BS'!AD5-'QTR BS'!AC5)-('QTR BS'!AD8-'QTR BS'!AC8)-('QTR BS'!AD10-'QTR BS'!AC10)-('QTR BS'!AD12-'QTR BS'!AC12)-('QTR BS'!AD15-'QTR BS'!AC15)-('QTR BS'!AD17-'QTR BS'!AC17)+('QTR BS'!AD22-'QTR BS'!AC22)+('QTR BS'!AD25-'QTR BS'!AC25)+('QTR BS'!AD26-'QTR BS'!AC26)+('QTR BS'!AD27-'QTR BS'!AC27)+('QTR BS'!AD28-'QTR BS'!AC28)+('QTR BS'!AD31-'QTR BS'!AC31)+('QTR BS'!AD32-'QTR BS'!AC32)+('QTR BS'!AD35-'QTR BS'!AC35)+('QTR BS'!AD36-'QTR BS'!AC36)-('QTR BS'!AD3-'QTR BS'!AC3)-('QTR BS'!AD13-'QTR BS'!AC13)-('QTR BS'!AD14-'QTR BS'!AC14)+('QTR BS'!AD23-'QTR BS'!AC23)+('QTR BS'!AD33-'QTR BS'!AC33)+('QTR BS'!AD34-'QTR BS'!AC34)+('QTR BS'!AD39-'QTR BS'!AC39)+('QTR BS'!AD40-'QTR BS'!AC40)</f>
        <v/>
      </c>
    </row>
    <row r="18">
      <c r="A18" s="3" t="inlineStr">
        <is>
          <t>Accounts Receivable</t>
        </is>
      </c>
      <c r="B18" s="4">
        <f>'QTR CF'!B18</f>
        <v/>
      </c>
      <c r="C18" s="4">
        <f>'QTR CF'!C18</f>
        <v/>
      </c>
      <c r="D18" s="4">
        <f>'QTR CF'!D18</f>
        <v/>
      </c>
      <c r="E18" s="4">
        <f>'QTR CF'!E18</f>
        <v/>
      </c>
      <c r="F18" s="4">
        <f>'QTR CF'!F18</f>
        <v/>
      </c>
      <c r="G18" s="4">
        <f>'QTR CF'!G18</f>
        <v/>
      </c>
      <c r="H18" s="4">
        <f>'QTR CF'!H18</f>
        <v/>
      </c>
      <c r="I18" s="4">
        <f>'QTR CF'!I18</f>
        <v/>
      </c>
      <c r="J18" s="4">
        <f>'QTR CF'!J18</f>
        <v/>
      </c>
      <c r="K18" s="4">
        <f>'QTR CF'!K18</f>
        <v/>
      </c>
      <c r="L18" s="4">
        <f>'QTR CF'!L18</f>
        <v/>
      </c>
      <c r="M18" s="4">
        <f>'QTR CF'!M18</f>
        <v/>
      </c>
      <c r="N18" s="4">
        <f>'QTR CF'!N18</f>
        <v/>
      </c>
      <c r="O18" s="4">
        <f>'QTR CF'!O18</f>
        <v/>
      </c>
      <c r="P18" s="4">
        <f>'QTR CF'!P18</f>
        <v/>
      </c>
      <c r="Q18" s="4">
        <f>'QTR CF'!Q18</f>
        <v/>
      </c>
      <c r="R18" s="4">
        <f>-('QTR BS'!O4-'QTR BS'!N4)</f>
        <v/>
      </c>
      <c r="S18" s="4">
        <f>-('QTR BS'!P4-'QTR BS'!O4)</f>
        <v/>
      </c>
      <c r="T18" s="4">
        <f>-('QTR BS'!Q4-'QTR BS'!P4)</f>
        <v/>
      </c>
      <c r="U18" s="4">
        <f>-('QTR BS'!R4-'QTR BS'!Q4)</f>
        <v/>
      </c>
      <c r="V18" s="4">
        <f>-('QTR BS'!S4-'QTR BS'!R4)</f>
        <v/>
      </c>
      <c r="W18" s="4">
        <f>-('QTR BS'!T4-'QTR BS'!S4)</f>
        <v/>
      </c>
      <c r="X18" s="4">
        <f>-('QTR BS'!U4-'QTR BS'!T4)</f>
        <v/>
      </c>
      <c r="Y18" s="4">
        <f>-('QTR BS'!V4-'QTR BS'!U4)</f>
        <v/>
      </c>
      <c r="Z18" s="4">
        <f>-('QTR BS'!W4-'QTR BS'!V4)</f>
        <v/>
      </c>
      <c r="AA18" s="4">
        <f>-('QTR BS'!X4-'QTR BS'!W4)</f>
        <v/>
      </c>
      <c r="AB18" s="4">
        <f>-('QTR BS'!Y4-'QTR BS'!X4)</f>
        <v/>
      </c>
      <c r="AC18" s="4">
        <f>-('QTR BS'!Z4-'QTR BS'!Y4)</f>
        <v/>
      </c>
      <c r="AD18" s="4">
        <f>-('QTR BS'!AA4-'QTR BS'!Z4)</f>
        <v/>
      </c>
      <c r="AE18" s="4">
        <f>-('QTR BS'!AB4-'QTR BS'!AA4)</f>
        <v/>
      </c>
      <c r="AF18" s="4">
        <f>-('QTR BS'!AC4-'QTR BS'!AB4)</f>
        <v/>
      </c>
      <c r="AG18" s="4">
        <f>-('QTR BS'!AD4-'QTR BS'!AC4)</f>
        <v/>
      </c>
    </row>
    <row r="19">
      <c r="A19" s="3" t="inlineStr">
        <is>
          <t>Note Receivable</t>
        </is>
      </c>
      <c r="B19" s="4">
        <f>'QTR CF'!B19</f>
        <v/>
      </c>
      <c r="C19" s="4">
        <f>'QTR CF'!C19</f>
        <v/>
      </c>
      <c r="D19" s="4">
        <f>'QTR CF'!D19</f>
        <v/>
      </c>
      <c r="E19" s="4">
        <f>'QTR CF'!E19</f>
        <v/>
      </c>
      <c r="F19" s="4">
        <f>'QTR CF'!F19</f>
        <v/>
      </c>
      <c r="G19" s="4">
        <f>'QTR CF'!G19</f>
        <v/>
      </c>
      <c r="H19" s="4">
        <f>'QTR CF'!H19</f>
        <v/>
      </c>
      <c r="I19" s="4">
        <f>'QTR CF'!I19</f>
        <v/>
      </c>
      <c r="J19" s="4">
        <f>'QTR CF'!J19</f>
        <v/>
      </c>
      <c r="K19" s="4">
        <f>'QTR CF'!K19</f>
        <v/>
      </c>
      <c r="L19" s="4">
        <f>'QTR CF'!L19</f>
        <v/>
      </c>
      <c r="M19" s="4">
        <f>'QTR CF'!M19</f>
        <v/>
      </c>
      <c r="N19" s="4">
        <f>'QTR CF'!N19</f>
        <v/>
      </c>
      <c r="O19" s="4">
        <f>'QTR CF'!O19</f>
        <v/>
      </c>
      <c r="P19" s="4">
        <f>'QTR CF'!P19</f>
        <v/>
      </c>
      <c r="Q19" s="4">
        <f>'QTR CF'!Q19</f>
        <v/>
      </c>
      <c r="R19" s="12" t="n">
        <v>0</v>
      </c>
      <c r="S19" s="12" t="n">
        <v>0</v>
      </c>
      <c r="T19" s="12" t="n">
        <v>0</v>
      </c>
      <c r="U19" s="12" t="n">
        <v>0</v>
      </c>
      <c r="V19" s="12" t="n">
        <v>0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  <c r="AB19" s="12" t="n">
        <v>0</v>
      </c>
      <c r="AC19" s="12" t="n">
        <v>0</v>
      </c>
      <c r="AD19" s="12" t="n">
        <v>0</v>
      </c>
      <c r="AE19" s="12" t="n">
        <v>0</v>
      </c>
      <c r="AF19" s="12" t="n">
        <v>0</v>
      </c>
      <c r="AG19" s="12" t="n">
        <v>0</v>
      </c>
    </row>
    <row r="20">
      <c r="A20" s="3" t="inlineStr">
        <is>
          <t>Inventories</t>
        </is>
      </c>
      <c r="B20" s="4">
        <f>'QTR CF'!B20</f>
        <v/>
      </c>
      <c r="C20" s="4">
        <f>'QTR CF'!C20</f>
        <v/>
      </c>
      <c r="D20" s="4">
        <f>'QTR CF'!D20</f>
        <v/>
      </c>
      <c r="E20" s="4">
        <f>'QTR CF'!E20</f>
        <v/>
      </c>
      <c r="F20" s="4">
        <f>'QTR CF'!F20</f>
        <v/>
      </c>
      <c r="G20" s="4">
        <f>'QTR CF'!G20</f>
        <v/>
      </c>
      <c r="H20" s="4">
        <f>'QTR CF'!H20</f>
        <v/>
      </c>
      <c r="I20" s="4">
        <f>'QTR CF'!I20</f>
        <v/>
      </c>
      <c r="J20" s="4">
        <f>'QTR CF'!J20</f>
        <v/>
      </c>
      <c r="K20" s="4">
        <f>'QTR CF'!K20</f>
        <v/>
      </c>
      <c r="L20" s="4">
        <f>'QTR CF'!L20</f>
        <v/>
      </c>
      <c r="M20" s="4">
        <f>'QTR CF'!M20</f>
        <v/>
      </c>
      <c r="N20" s="4">
        <f>'QTR CF'!N20</f>
        <v/>
      </c>
      <c r="O20" s="4">
        <f>'QTR CF'!O20</f>
        <v/>
      </c>
      <c r="P20" s="4">
        <f>'QTR CF'!P20</f>
        <v/>
      </c>
      <c r="Q20" s="4">
        <f>'QTR CF'!Q20</f>
        <v/>
      </c>
      <c r="R20" s="4">
        <f>-('QTR BS'!O6-'QTR BS'!N6)</f>
        <v/>
      </c>
      <c r="S20" s="4">
        <f>-('QTR BS'!P6-'QTR BS'!O6)</f>
        <v/>
      </c>
      <c r="T20" s="4">
        <f>-('QTR BS'!Q6-'QTR BS'!P6)</f>
        <v/>
      </c>
      <c r="U20" s="4">
        <f>-('QTR BS'!R6-'QTR BS'!Q6)</f>
        <v/>
      </c>
      <c r="V20" s="4">
        <f>-('QTR BS'!S6-'QTR BS'!R6)</f>
        <v/>
      </c>
      <c r="W20" s="4">
        <f>-('QTR BS'!T6-'QTR BS'!S6)</f>
        <v/>
      </c>
      <c r="X20" s="4">
        <f>-('QTR BS'!U6-'QTR BS'!T6)</f>
        <v/>
      </c>
      <c r="Y20" s="4">
        <f>-('QTR BS'!V6-'QTR BS'!U6)</f>
        <v/>
      </c>
      <c r="Z20" s="4">
        <f>-('QTR BS'!W6-'QTR BS'!V6)</f>
        <v/>
      </c>
      <c r="AA20" s="4">
        <f>-('QTR BS'!X6-'QTR BS'!W6)</f>
        <v/>
      </c>
      <c r="AB20" s="4">
        <f>-('QTR BS'!Y6-'QTR BS'!X6)</f>
        <v/>
      </c>
      <c r="AC20" s="4">
        <f>-('QTR BS'!Z6-'QTR BS'!Y6)</f>
        <v/>
      </c>
      <c r="AD20" s="4">
        <f>-('QTR BS'!AA6-'QTR BS'!Z6)</f>
        <v/>
      </c>
      <c r="AE20" s="4">
        <f>-('QTR BS'!AB6-'QTR BS'!AA6)</f>
        <v/>
      </c>
      <c r="AF20" s="4">
        <f>-('QTR BS'!AC6-'QTR BS'!AB6)</f>
        <v/>
      </c>
      <c r="AG20" s="4">
        <f>-('QTR BS'!AD6-'QTR BS'!AC6)</f>
        <v/>
      </c>
    </row>
    <row r="21">
      <c r="A21" s="3" t="inlineStr">
        <is>
          <t>Prepaid Expenses</t>
        </is>
      </c>
      <c r="B21" s="4">
        <f>'QTR CF'!B21</f>
        <v/>
      </c>
      <c r="C21" s="4">
        <f>'QTR CF'!C21</f>
        <v/>
      </c>
      <c r="D21" s="4">
        <f>'QTR CF'!D21</f>
        <v/>
      </c>
      <c r="E21" s="4">
        <f>'QTR CF'!E21</f>
        <v/>
      </c>
      <c r="F21" s="4">
        <f>'QTR CF'!F21</f>
        <v/>
      </c>
      <c r="G21" s="4">
        <f>'QTR CF'!G21</f>
        <v/>
      </c>
      <c r="H21" s="4">
        <f>'QTR CF'!H21</f>
        <v/>
      </c>
      <c r="I21" s="4">
        <f>'QTR CF'!I21</f>
        <v/>
      </c>
      <c r="J21" s="4">
        <f>'QTR CF'!J21</f>
        <v/>
      </c>
      <c r="K21" s="4">
        <f>'QTR CF'!K21</f>
        <v/>
      </c>
      <c r="L21" s="4">
        <f>'QTR CF'!L21</f>
        <v/>
      </c>
      <c r="M21" s="4">
        <f>'QTR CF'!M21</f>
        <v/>
      </c>
      <c r="N21" s="4">
        <f>'QTR CF'!N21</f>
        <v/>
      </c>
      <c r="O21" s="4">
        <f>'QTR CF'!O21</f>
        <v/>
      </c>
      <c r="P21" s="4">
        <f>'QTR CF'!P21</f>
        <v/>
      </c>
      <c r="Q21" s="4">
        <f>'QTR CF'!Q21</f>
        <v/>
      </c>
      <c r="R21" s="4">
        <f>-('QTR BS'!O7-'QTR BS'!N7)</f>
        <v/>
      </c>
      <c r="S21" s="4">
        <f>-('QTR BS'!P7-'QTR BS'!O7)</f>
        <v/>
      </c>
      <c r="T21" s="4">
        <f>-('QTR BS'!Q7-'QTR BS'!P7)</f>
        <v/>
      </c>
      <c r="U21" s="4">
        <f>-('QTR BS'!R7-'QTR BS'!Q7)</f>
        <v/>
      </c>
      <c r="V21" s="4">
        <f>-('QTR BS'!S7-'QTR BS'!R7)</f>
        <v/>
      </c>
      <c r="W21" s="4">
        <f>-('QTR BS'!T7-'QTR BS'!S7)</f>
        <v/>
      </c>
      <c r="X21" s="4">
        <f>-('QTR BS'!U7-'QTR BS'!T7)</f>
        <v/>
      </c>
      <c r="Y21" s="4">
        <f>-('QTR BS'!V7-'QTR BS'!U7)</f>
        <v/>
      </c>
      <c r="Z21" s="4">
        <f>-('QTR BS'!W7-'QTR BS'!V7)</f>
        <v/>
      </c>
      <c r="AA21" s="4">
        <f>-('QTR BS'!X7-'QTR BS'!W7)</f>
        <v/>
      </c>
      <c r="AB21" s="4">
        <f>-('QTR BS'!Y7-'QTR BS'!X7)</f>
        <v/>
      </c>
      <c r="AC21" s="4">
        <f>-('QTR BS'!Z7-'QTR BS'!Y7)</f>
        <v/>
      </c>
      <c r="AD21" s="4">
        <f>-('QTR BS'!AA7-'QTR BS'!Z7)</f>
        <v/>
      </c>
      <c r="AE21" s="4">
        <f>-('QTR BS'!AB7-'QTR BS'!AA7)</f>
        <v/>
      </c>
      <c r="AF21" s="4">
        <f>-('QTR BS'!AC7-'QTR BS'!AB7)</f>
        <v/>
      </c>
      <c r="AG21" s="4">
        <f>-('QTR BS'!AD7-'QTR BS'!AC7)</f>
        <v/>
      </c>
    </row>
    <row r="22">
      <c r="A22" s="3" t="inlineStr">
        <is>
          <t>Change in A/P and Accrued (legacy)</t>
        </is>
      </c>
      <c r="B22" s="4">
        <f>'QTR CF'!B22</f>
        <v/>
      </c>
      <c r="C22" s="4">
        <f>'QTR CF'!C22</f>
        <v/>
      </c>
      <c r="D22" s="4">
        <f>'QTR CF'!D22</f>
        <v/>
      </c>
      <c r="E22" s="4">
        <f>'QTR CF'!E22</f>
        <v/>
      </c>
      <c r="F22" s="4">
        <f>'QTR CF'!F22</f>
        <v/>
      </c>
      <c r="G22" s="4">
        <f>'QTR CF'!G22</f>
        <v/>
      </c>
      <c r="H22" s="4">
        <f>'QTR CF'!H22</f>
        <v/>
      </c>
      <c r="I22" s="4">
        <f>'QTR CF'!I22</f>
        <v/>
      </c>
      <c r="J22" s="4">
        <f>'QTR CF'!J22</f>
        <v/>
      </c>
      <c r="K22" s="4">
        <f>'QTR CF'!K22</f>
        <v/>
      </c>
      <c r="L22" s="4">
        <f>'QTR CF'!L22</f>
        <v/>
      </c>
      <c r="M22" s="4">
        <f>'QTR CF'!M22</f>
        <v/>
      </c>
      <c r="N22" s="4">
        <f>'QTR CF'!N22</f>
        <v/>
      </c>
      <c r="O22" s="4">
        <f>'QTR CF'!O22</f>
        <v/>
      </c>
      <c r="P22" s="4">
        <f>'QTR CF'!P22</f>
        <v/>
      </c>
      <c r="Q22" s="4">
        <f>'QTR CF'!Q22</f>
        <v/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</v>
      </c>
      <c r="AB22" s="12" t="n">
        <v>0</v>
      </c>
      <c r="AC22" s="12" t="n">
        <v>0</v>
      </c>
      <c r="AD22" s="12" t="n">
        <v>0</v>
      </c>
      <c r="AE22" s="12" t="n">
        <v>0</v>
      </c>
      <c r="AF22" s="12" t="n">
        <v>0</v>
      </c>
      <c r="AG22" s="12" t="n">
        <v>0</v>
      </c>
    </row>
    <row r="23">
      <c r="A23" s="3" t="inlineStr">
        <is>
          <t>Other Non-Current Assets</t>
        </is>
      </c>
      <c r="B23" s="4">
        <f>'QTR CF'!B23</f>
        <v/>
      </c>
      <c r="C23" s="4">
        <f>'QTR CF'!C23</f>
        <v/>
      </c>
      <c r="D23" s="4">
        <f>'QTR CF'!D23</f>
        <v/>
      </c>
      <c r="E23" s="4">
        <f>'QTR CF'!E23</f>
        <v/>
      </c>
      <c r="F23" s="4">
        <f>'QTR CF'!F23</f>
        <v/>
      </c>
      <c r="G23" s="4">
        <f>'QTR CF'!G23</f>
        <v/>
      </c>
      <c r="H23" s="4">
        <f>'QTR CF'!H23</f>
        <v/>
      </c>
      <c r="I23" s="4">
        <f>'QTR CF'!I23</f>
        <v/>
      </c>
      <c r="J23" s="4">
        <f>'QTR CF'!J23</f>
        <v/>
      </c>
      <c r="K23" s="4">
        <f>'QTR CF'!K23</f>
        <v/>
      </c>
      <c r="L23" s="4">
        <f>'QTR CF'!L23</f>
        <v/>
      </c>
      <c r="M23" s="4">
        <f>'QTR CF'!M23</f>
        <v/>
      </c>
      <c r="N23" s="4">
        <f>'QTR CF'!N23</f>
        <v/>
      </c>
      <c r="O23" s="4">
        <f>'QTR CF'!O23</f>
        <v/>
      </c>
      <c r="P23" s="4">
        <f>'QTR CF'!P23</f>
        <v/>
      </c>
      <c r="Q23" s="4">
        <f>'QTR CF'!Q23</f>
        <v/>
      </c>
      <c r="R23" s="4">
        <f>-('QTR BS'!O18-'QTR BS'!N18)</f>
        <v/>
      </c>
      <c r="S23" s="4">
        <f>-('QTR BS'!P18-'QTR BS'!O18)</f>
        <v/>
      </c>
      <c r="T23" s="4">
        <f>-('QTR BS'!Q18-'QTR BS'!P18)</f>
        <v/>
      </c>
      <c r="U23" s="4">
        <f>-('QTR BS'!R18-'QTR BS'!Q18)</f>
        <v/>
      </c>
      <c r="V23" s="4">
        <f>-('QTR BS'!S18-'QTR BS'!R18)</f>
        <v/>
      </c>
      <c r="W23" s="4">
        <f>-('QTR BS'!T18-'QTR BS'!S18)</f>
        <v/>
      </c>
      <c r="X23" s="4">
        <f>-('QTR BS'!U18-'QTR BS'!T18)</f>
        <v/>
      </c>
      <c r="Y23" s="4">
        <f>-('QTR BS'!V18-'QTR BS'!U18)</f>
        <v/>
      </c>
      <c r="Z23" s="4">
        <f>-('QTR BS'!W18-'QTR BS'!V18)</f>
        <v/>
      </c>
      <c r="AA23" s="4">
        <f>-('QTR BS'!X18-'QTR BS'!W18)</f>
        <v/>
      </c>
      <c r="AB23" s="4">
        <f>-('QTR BS'!Y18-'QTR BS'!X18)</f>
        <v/>
      </c>
      <c r="AC23" s="4">
        <f>-('QTR BS'!Z18-'QTR BS'!Y18)</f>
        <v/>
      </c>
      <c r="AD23" s="4">
        <f>-('QTR BS'!AA18-'QTR BS'!Z18)</f>
        <v/>
      </c>
      <c r="AE23" s="4">
        <f>-('QTR BS'!AB18-'QTR BS'!AA18)</f>
        <v/>
      </c>
      <c r="AF23" s="4">
        <f>-('QTR BS'!AC18-'QTR BS'!AB18)</f>
        <v/>
      </c>
      <c r="AG23" s="4">
        <f>-('QTR BS'!AD18-'QTR BS'!AC18)</f>
        <v/>
      </c>
    </row>
    <row r="24">
      <c r="A24" s="3" t="inlineStr">
        <is>
          <t>Accounts Payable</t>
        </is>
      </c>
      <c r="B24" s="4">
        <f>'QTR CF'!B24</f>
        <v/>
      </c>
      <c r="C24" s="4">
        <f>'QTR CF'!C24</f>
        <v/>
      </c>
      <c r="D24" s="4">
        <f>'QTR CF'!D24</f>
        <v/>
      </c>
      <c r="E24" s="4">
        <f>'QTR CF'!E24</f>
        <v/>
      </c>
      <c r="F24" s="4">
        <f>'QTR CF'!F24</f>
        <v/>
      </c>
      <c r="G24" s="4">
        <f>'QTR CF'!G24</f>
        <v/>
      </c>
      <c r="H24" s="4">
        <f>'QTR CF'!H24</f>
        <v/>
      </c>
      <c r="I24" s="4">
        <f>'QTR CF'!I24</f>
        <v/>
      </c>
      <c r="J24" s="4">
        <f>'QTR CF'!J24</f>
        <v/>
      </c>
      <c r="K24" s="4">
        <f>'QTR CF'!K24</f>
        <v/>
      </c>
      <c r="L24" s="4">
        <f>'QTR CF'!L24</f>
        <v/>
      </c>
      <c r="M24" s="4">
        <f>'QTR CF'!M24</f>
        <v/>
      </c>
      <c r="N24" s="4">
        <f>'QTR CF'!N24</f>
        <v/>
      </c>
      <c r="O24" s="4">
        <f>'QTR CF'!O24</f>
        <v/>
      </c>
      <c r="P24" s="4">
        <f>'QTR CF'!P24</f>
        <v/>
      </c>
      <c r="Q24" s="4">
        <f>'QTR CF'!Q24</f>
        <v/>
      </c>
      <c r="R24" s="4">
        <f>('QTR BS'!O20-'QTR BS'!N20)</f>
        <v/>
      </c>
      <c r="S24" s="4">
        <f>('QTR BS'!P20-'QTR BS'!O20)</f>
        <v/>
      </c>
      <c r="T24" s="4">
        <f>('QTR BS'!Q20-'QTR BS'!P20)</f>
        <v/>
      </c>
      <c r="U24" s="4">
        <f>('QTR BS'!R20-'QTR BS'!Q20)</f>
        <v/>
      </c>
      <c r="V24" s="4">
        <f>('QTR BS'!S20-'QTR BS'!R20)</f>
        <v/>
      </c>
      <c r="W24" s="4">
        <f>('QTR BS'!T20-'QTR BS'!S20)</f>
        <v/>
      </c>
      <c r="X24" s="4">
        <f>('QTR BS'!U20-'QTR BS'!T20)</f>
        <v/>
      </c>
      <c r="Y24" s="4">
        <f>('QTR BS'!V20-'QTR BS'!U20)</f>
        <v/>
      </c>
      <c r="Z24" s="4">
        <f>('QTR BS'!W20-'QTR BS'!V20)</f>
        <v/>
      </c>
      <c r="AA24" s="4">
        <f>('QTR BS'!X20-'QTR BS'!W20)</f>
        <v/>
      </c>
      <c r="AB24" s="4">
        <f>('QTR BS'!Y20-'QTR BS'!X20)</f>
        <v/>
      </c>
      <c r="AC24" s="4">
        <f>('QTR BS'!Z20-'QTR BS'!Y20)</f>
        <v/>
      </c>
      <c r="AD24" s="4">
        <f>('QTR BS'!AA20-'QTR BS'!Z20)</f>
        <v/>
      </c>
      <c r="AE24" s="4">
        <f>('QTR BS'!AB20-'QTR BS'!AA20)</f>
        <v/>
      </c>
      <c r="AF24" s="4">
        <f>('QTR BS'!AC20-'QTR BS'!AB20)</f>
        <v/>
      </c>
      <c r="AG24" s="4">
        <f>('QTR BS'!AD20-'QTR BS'!AC20)</f>
        <v/>
      </c>
    </row>
    <row r="25">
      <c r="A25" s="3" t="inlineStr">
        <is>
          <t>Accrued Expenses</t>
        </is>
      </c>
      <c r="B25" s="4">
        <f>'QTR CF'!B25</f>
        <v/>
      </c>
      <c r="C25" s="4">
        <f>'QTR CF'!C25</f>
        <v/>
      </c>
      <c r="D25" s="4">
        <f>'QTR CF'!D25</f>
        <v/>
      </c>
      <c r="E25" s="4">
        <f>'QTR CF'!E25</f>
        <v/>
      </c>
      <c r="F25" s="4">
        <f>'QTR CF'!F25</f>
        <v/>
      </c>
      <c r="G25" s="4">
        <f>'QTR CF'!G25</f>
        <v/>
      </c>
      <c r="H25" s="4">
        <f>'QTR CF'!H25</f>
        <v/>
      </c>
      <c r="I25" s="4">
        <f>'QTR CF'!I25</f>
        <v/>
      </c>
      <c r="J25" s="4">
        <f>'QTR CF'!J25</f>
        <v/>
      </c>
      <c r="K25" s="4">
        <f>'QTR CF'!K25</f>
        <v/>
      </c>
      <c r="L25" s="4">
        <f>'QTR CF'!L25</f>
        <v/>
      </c>
      <c r="M25" s="4">
        <f>'QTR CF'!M25</f>
        <v/>
      </c>
      <c r="N25" s="4">
        <f>'QTR CF'!N25</f>
        <v/>
      </c>
      <c r="O25" s="4">
        <f>'QTR CF'!O25</f>
        <v/>
      </c>
      <c r="P25" s="4">
        <f>'QTR CF'!P25</f>
        <v/>
      </c>
      <c r="Q25" s="4">
        <f>'QTR CF'!Q25</f>
        <v/>
      </c>
      <c r="R25" s="4">
        <f>('QTR BS'!O21-'QTR BS'!N21)</f>
        <v/>
      </c>
      <c r="S25" s="4">
        <f>('QTR BS'!P21-'QTR BS'!O21)</f>
        <v/>
      </c>
      <c r="T25" s="4">
        <f>('QTR BS'!Q21-'QTR BS'!P21)</f>
        <v/>
      </c>
      <c r="U25" s="4">
        <f>('QTR BS'!R21-'QTR BS'!Q21)</f>
        <v/>
      </c>
      <c r="V25" s="4">
        <f>('QTR BS'!S21-'QTR BS'!R21)</f>
        <v/>
      </c>
      <c r="W25" s="4">
        <f>('QTR BS'!T21-'QTR BS'!S21)</f>
        <v/>
      </c>
      <c r="X25" s="4">
        <f>('QTR BS'!U21-'QTR BS'!T21)</f>
        <v/>
      </c>
      <c r="Y25" s="4">
        <f>('QTR BS'!V21-'QTR BS'!U21)</f>
        <v/>
      </c>
      <c r="Z25" s="4">
        <f>('QTR BS'!W21-'QTR BS'!V21)</f>
        <v/>
      </c>
      <c r="AA25" s="4">
        <f>('QTR BS'!X21-'QTR BS'!W21)</f>
        <v/>
      </c>
      <c r="AB25" s="4">
        <f>('QTR BS'!Y21-'QTR BS'!X21)</f>
        <v/>
      </c>
      <c r="AC25" s="4">
        <f>('QTR BS'!Z21-'QTR BS'!Y21)</f>
        <v/>
      </c>
      <c r="AD25" s="4">
        <f>('QTR BS'!AA21-'QTR BS'!Z21)</f>
        <v/>
      </c>
      <c r="AE25" s="4">
        <f>('QTR BS'!AB21-'QTR BS'!AA21)</f>
        <v/>
      </c>
      <c r="AF25" s="4">
        <f>('QTR BS'!AC21-'QTR BS'!AB21)</f>
        <v/>
      </c>
      <c r="AG25" s="4">
        <f>('QTR BS'!AD21-'QTR BS'!AC21)</f>
        <v/>
      </c>
    </row>
    <row r="26">
      <c r="A26" s="3" t="inlineStr">
        <is>
          <t>Other Current Liabilities</t>
        </is>
      </c>
      <c r="B26" s="4">
        <f>'QTR CF'!B26</f>
        <v/>
      </c>
      <c r="C26" s="4">
        <f>'QTR CF'!C26</f>
        <v/>
      </c>
      <c r="D26" s="4">
        <f>'QTR CF'!D26</f>
        <v/>
      </c>
      <c r="E26" s="4">
        <f>'QTR CF'!E26</f>
        <v/>
      </c>
      <c r="F26" s="4">
        <f>'QTR CF'!F26</f>
        <v/>
      </c>
      <c r="G26" s="4">
        <f>'QTR CF'!G26</f>
        <v/>
      </c>
      <c r="H26" s="4">
        <f>'QTR CF'!H26</f>
        <v/>
      </c>
      <c r="I26" s="4">
        <f>'QTR CF'!I26</f>
        <v/>
      </c>
      <c r="J26" s="4">
        <f>'QTR CF'!J26</f>
        <v/>
      </c>
      <c r="K26" s="4">
        <f>'QTR CF'!K26</f>
        <v/>
      </c>
      <c r="L26" s="4">
        <f>'QTR CF'!L26</f>
        <v/>
      </c>
      <c r="M26" s="4">
        <f>'QTR CF'!M26</f>
        <v/>
      </c>
      <c r="N26" s="4">
        <f>'QTR CF'!N26</f>
        <v/>
      </c>
      <c r="O26" s="4">
        <f>'QTR CF'!O26</f>
        <v/>
      </c>
      <c r="P26" s="4">
        <f>'QTR CF'!P26</f>
        <v/>
      </c>
      <c r="Q26" s="4">
        <f>'QTR CF'!Q26</f>
        <v/>
      </c>
      <c r="R26" s="4">
        <f>('QTR BS'!O29-'QTR BS'!N29)</f>
        <v/>
      </c>
      <c r="S26" s="4">
        <f>('QTR BS'!P29-'QTR BS'!O29)</f>
        <v/>
      </c>
      <c r="T26" s="4">
        <f>('QTR BS'!Q29-'QTR BS'!P29)</f>
        <v/>
      </c>
      <c r="U26" s="4">
        <f>('QTR BS'!R29-'QTR BS'!Q29)</f>
        <v/>
      </c>
      <c r="V26" s="4">
        <f>('QTR BS'!S29-'QTR BS'!R29)</f>
        <v/>
      </c>
      <c r="W26" s="4">
        <f>('QTR BS'!T29-'QTR BS'!S29)</f>
        <v/>
      </c>
      <c r="X26" s="4">
        <f>('QTR BS'!U29-'QTR BS'!T29)</f>
        <v/>
      </c>
      <c r="Y26" s="4">
        <f>('QTR BS'!V29-'QTR BS'!U29)</f>
        <v/>
      </c>
      <c r="Z26" s="4">
        <f>('QTR BS'!W29-'QTR BS'!V29)</f>
        <v/>
      </c>
      <c r="AA26" s="4">
        <f>('QTR BS'!X29-'QTR BS'!W29)</f>
        <v/>
      </c>
      <c r="AB26" s="4">
        <f>('QTR BS'!Y29-'QTR BS'!X29)</f>
        <v/>
      </c>
      <c r="AC26" s="4">
        <f>('QTR BS'!Z29-'QTR BS'!Y29)</f>
        <v/>
      </c>
      <c r="AD26" s="4">
        <f>('QTR BS'!AA29-'QTR BS'!Z29)</f>
        <v/>
      </c>
      <c r="AE26" s="4">
        <f>('QTR BS'!AB29-'QTR BS'!AA29)</f>
        <v/>
      </c>
      <c r="AF26" s="4">
        <f>('QTR BS'!AC29-'QTR BS'!AB29)</f>
        <v/>
      </c>
      <c r="AG26" s="4">
        <f>('QTR BS'!AD29-'QTR BS'!AC29)</f>
        <v/>
      </c>
    </row>
    <row r="27">
      <c r="A27" s="3" t="inlineStr">
        <is>
          <t>Accrued Promotional Allowance</t>
        </is>
      </c>
      <c r="B27" s="4">
        <f>'QTR CF'!B27</f>
        <v/>
      </c>
      <c r="C27" s="4">
        <f>'QTR CF'!C27</f>
        <v/>
      </c>
      <c r="D27" s="4">
        <f>'QTR CF'!D27</f>
        <v/>
      </c>
      <c r="E27" s="4">
        <f>'QTR CF'!E27</f>
        <v/>
      </c>
      <c r="F27" s="4">
        <f>'QTR CF'!F27</f>
        <v/>
      </c>
      <c r="G27" s="4">
        <f>'QTR CF'!G27</f>
        <v/>
      </c>
      <c r="H27" s="4">
        <f>'QTR CF'!H27</f>
        <v/>
      </c>
      <c r="I27" s="4">
        <f>'QTR CF'!I27</f>
        <v/>
      </c>
      <c r="J27" s="4">
        <f>'QTR CF'!J27</f>
        <v/>
      </c>
      <c r="K27" s="4">
        <f>'QTR CF'!K27</f>
        <v/>
      </c>
      <c r="L27" s="4">
        <f>'QTR CF'!L27</f>
        <v/>
      </c>
      <c r="M27" s="4">
        <f>'QTR CF'!M27</f>
        <v/>
      </c>
      <c r="N27" s="4">
        <f>'QTR CF'!N27</f>
        <v/>
      </c>
      <c r="O27" s="4">
        <f>'QTR CF'!O27</f>
        <v/>
      </c>
      <c r="P27" s="4">
        <f>'QTR CF'!P27</f>
        <v/>
      </c>
      <c r="Q27" s="4">
        <f>'QTR CF'!Q27</f>
        <v/>
      </c>
      <c r="R27" s="4">
        <f>('QTR BS'!O24-'QTR BS'!N24)</f>
        <v/>
      </c>
      <c r="S27" s="4">
        <f>('QTR BS'!P24-'QTR BS'!O24)</f>
        <v/>
      </c>
      <c r="T27" s="4">
        <f>('QTR BS'!Q24-'QTR BS'!P24)</f>
        <v/>
      </c>
      <c r="U27" s="4">
        <f>('QTR BS'!R24-'QTR BS'!Q24)</f>
        <v/>
      </c>
      <c r="V27" s="4">
        <f>('QTR BS'!S24-'QTR BS'!R24)</f>
        <v/>
      </c>
      <c r="W27" s="4">
        <f>('QTR BS'!T24-'QTR BS'!S24)</f>
        <v/>
      </c>
      <c r="X27" s="4">
        <f>('QTR BS'!U24-'QTR BS'!T24)</f>
        <v/>
      </c>
      <c r="Y27" s="4">
        <f>('QTR BS'!V24-'QTR BS'!U24)</f>
        <v/>
      </c>
      <c r="Z27" s="4">
        <f>('QTR BS'!W24-'QTR BS'!V24)</f>
        <v/>
      </c>
      <c r="AA27" s="4">
        <f>('QTR BS'!X24-'QTR BS'!W24)</f>
        <v/>
      </c>
      <c r="AB27" s="4">
        <f>('QTR BS'!Y24-'QTR BS'!X24)</f>
        <v/>
      </c>
      <c r="AC27" s="4">
        <f>('QTR BS'!Z24-'QTR BS'!Y24)</f>
        <v/>
      </c>
      <c r="AD27" s="4">
        <f>('QTR BS'!AA24-'QTR BS'!Z24)</f>
        <v/>
      </c>
      <c r="AE27" s="4">
        <f>('QTR BS'!AB24-'QTR BS'!AA24)</f>
        <v/>
      </c>
      <c r="AF27" s="4">
        <f>('QTR BS'!AC24-'QTR BS'!AB24)</f>
        <v/>
      </c>
      <c r="AG27" s="4">
        <f>('QTR BS'!AD24-'QTR BS'!AC24)</f>
        <v/>
      </c>
    </row>
    <row r="28">
      <c r="A28" s="3" t="inlineStr">
        <is>
          <t>Accrued Distributor Termination</t>
        </is>
      </c>
      <c r="B28" s="4">
        <f>'QTR CF'!B28</f>
        <v/>
      </c>
      <c r="C28" s="4">
        <f>'QTR CF'!C28</f>
        <v/>
      </c>
      <c r="D28" s="4">
        <f>'QTR CF'!D28</f>
        <v/>
      </c>
      <c r="E28" s="4">
        <f>'QTR CF'!E28</f>
        <v/>
      </c>
      <c r="F28" s="4">
        <f>'QTR CF'!F28</f>
        <v/>
      </c>
      <c r="G28" s="4">
        <f>'QTR CF'!G28</f>
        <v/>
      </c>
      <c r="H28" s="4">
        <f>'QTR CF'!H28</f>
        <v/>
      </c>
      <c r="I28" s="4">
        <f>'QTR CF'!I28</f>
        <v/>
      </c>
      <c r="J28" s="4">
        <f>'QTR CF'!J28</f>
        <v/>
      </c>
      <c r="K28" s="4">
        <f>'QTR CF'!K28</f>
        <v/>
      </c>
      <c r="L28" s="4">
        <f>'QTR CF'!L28</f>
        <v/>
      </c>
      <c r="M28" s="4">
        <f>'QTR CF'!M28</f>
        <v/>
      </c>
      <c r="N28" s="4">
        <f>'QTR CF'!N28</f>
        <v/>
      </c>
      <c r="O28" s="4">
        <f>'QTR CF'!O28</f>
        <v/>
      </c>
      <c r="P28" s="4">
        <f>'QTR CF'!P28</f>
        <v/>
      </c>
      <c r="Q28" s="4">
        <f>'QTR CF'!Q28</f>
        <v/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</v>
      </c>
      <c r="AA28" s="12" t="n">
        <v>0</v>
      </c>
      <c r="AB28" s="12" t="n">
        <v>0</v>
      </c>
      <c r="AC28" s="12" t="n">
        <v>0</v>
      </c>
      <c r="AD28" s="12" t="n">
        <v>0</v>
      </c>
      <c r="AE28" s="12" t="n">
        <v>0</v>
      </c>
      <c r="AF28" s="12" t="n">
        <v>0</v>
      </c>
      <c r="AG28" s="12" t="n">
        <v>0</v>
      </c>
    </row>
    <row r="29">
      <c r="A29" s="3" t="inlineStr">
        <is>
          <t>ROU &amp; Lease Liability, Net</t>
        </is>
      </c>
      <c r="B29" s="4">
        <f>'QTR CF'!B29</f>
        <v/>
      </c>
      <c r="C29" s="4">
        <f>'QTR CF'!C29</f>
        <v/>
      </c>
      <c r="D29" s="4">
        <f>'QTR CF'!D29</f>
        <v/>
      </c>
      <c r="E29" s="4">
        <f>'QTR CF'!E29</f>
        <v/>
      </c>
      <c r="F29" s="4">
        <f>'QTR CF'!F29</f>
        <v/>
      </c>
      <c r="G29" s="4">
        <f>'QTR CF'!G29</f>
        <v/>
      </c>
      <c r="H29" s="4">
        <f>'QTR CF'!H29</f>
        <v/>
      </c>
      <c r="I29" s="4">
        <f>'QTR CF'!I29</f>
        <v/>
      </c>
      <c r="J29" s="4">
        <f>'QTR CF'!J29</f>
        <v/>
      </c>
      <c r="K29" s="4">
        <f>'QTR CF'!K29</f>
        <v/>
      </c>
      <c r="L29" s="4">
        <f>'QTR CF'!L29</f>
        <v/>
      </c>
      <c r="M29" s="4">
        <f>'QTR CF'!M29</f>
        <v/>
      </c>
      <c r="N29" s="4">
        <f>'QTR CF'!N29</f>
        <v/>
      </c>
      <c r="O29" s="4">
        <f>'QTR CF'!O29</f>
        <v/>
      </c>
      <c r="P29" s="4">
        <f>'QTR CF'!P29</f>
        <v/>
      </c>
      <c r="Q29" s="4">
        <f>'QTR CF'!Q29</f>
        <v/>
      </c>
      <c r="R29" s="12" t="n">
        <v>0</v>
      </c>
      <c r="S29" s="12" t="n">
        <v>0</v>
      </c>
      <c r="T29" s="12" t="n">
        <v>0</v>
      </c>
      <c r="U29" s="12" t="n">
        <v>0</v>
      </c>
      <c r="V29" s="12" t="n">
        <v>0</v>
      </c>
      <c r="W29" s="12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s="12" t="n">
        <v>0</v>
      </c>
      <c r="AC29" s="12" t="n">
        <v>0</v>
      </c>
      <c r="AD29" s="12" t="n">
        <v>0</v>
      </c>
      <c r="AE29" s="12" t="n">
        <v>0</v>
      </c>
      <c r="AF29" s="12" t="n">
        <v>0</v>
      </c>
      <c r="AG29" s="12" t="n">
        <v>0</v>
      </c>
    </row>
    <row r="30">
      <c r="A30" s="3" t="inlineStr">
        <is>
          <t>Deferred Revenue</t>
        </is>
      </c>
      <c r="B30" s="4">
        <f>'QTR CF'!B30</f>
        <v/>
      </c>
      <c r="C30" s="4">
        <f>'QTR CF'!C30</f>
        <v/>
      </c>
      <c r="D30" s="4">
        <f>'QTR CF'!D30</f>
        <v/>
      </c>
      <c r="E30" s="4">
        <f>'QTR CF'!E30</f>
        <v/>
      </c>
      <c r="F30" s="4">
        <f>'QTR CF'!F30</f>
        <v/>
      </c>
      <c r="G30" s="4">
        <f>'QTR CF'!G30</f>
        <v/>
      </c>
      <c r="H30" s="4">
        <f>'QTR CF'!H30</f>
        <v/>
      </c>
      <c r="I30" s="4">
        <f>'QTR CF'!I30</f>
        <v/>
      </c>
      <c r="J30" s="4">
        <f>'QTR CF'!J30</f>
        <v/>
      </c>
      <c r="K30" s="4">
        <f>'QTR CF'!K30</f>
        <v/>
      </c>
      <c r="L30" s="4">
        <f>'QTR CF'!L30</f>
        <v/>
      </c>
      <c r="M30" s="4">
        <f>'QTR CF'!M30</f>
        <v/>
      </c>
      <c r="N30" s="4">
        <f>'QTR CF'!N30</f>
        <v/>
      </c>
      <c r="O30" s="4">
        <f>'QTR CF'!O30</f>
        <v/>
      </c>
      <c r="P30" s="4">
        <f>'QTR CF'!P30</f>
        <v/>
      </c>
      <c r="Q30" s="4">
        <f>'QTR CF'!Q30</f>
        <v/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</v>
      </c>
      <c r="AB30" s="12" t="n">
        <v>0</v>
      </c>
      <c r="AC30" s="12" t="n">
        <v>0</v>
      </c>
      <c r="AD30" s="12" t="n">
        <v>0</v>
      </c>
      <c r="AE30" s="12" t="n">
        <v>0</v>
      </c>
      <c r="AF30" s="12" t="n">
        <v>0</v>
      </c>
      <c r="AG30" s="12" t="n">
        <v>0</v>
      </c>
    </row>
    <row r="31">
      <c r="A31" s="3" t="inlineStr">
        <is>
          <t>Net Change in Other Working Capital</t>
        </is>
      </c>
      <c r="B31" s="4">
        <f>'QTR CF'!B31</f>
        <v/>
      </c>
      <c r="C31" s="4">
        <f>'QTR CF'!C31</f>
        <v/>
      </c>
      <c r="D31" s="4">
        <f>'QTR CF'!D31</f>
        <v/>
      </c>
      <c r="E31" s="4">
        <f>'QTR CF'!E31</f>
        <v/>
      </c>
      <c r="F31" s="4">
        <f>'QTR CF'!F31</f>
        <v/>
      </c>
      <c r="G31" s="4">
        <f>'QTR CF'!G31</f>
        <v/>
      </c>
      <c r="H31" s="4">
        <f>'QTR CF'!H31</f>
        <v/>
      </c>
      <c r="I31" s="4">
        <f>'QTR CF'!I31</f>
        <v/>
      </c>
      <c r="J31" s="4">
        <f>'QTR CF'!J31</f>
        <v/>
      </c>
      <c r="K31" s="4">
        <f>'QTR CF'!K31</f>
        <v/>
      </c>
      <c r="L31" s="4">
        <f>'QTR CF'!L31</f>
        <v/>
      </c>
      <c r="M31" s="4">
        <f>'QTR CF'!M31</f>
        <v/>
      </c>
      <c r="N31" s="4">
        <f>'QTR CF'!N31</f>
        <v/>
      </c>
      <c r="O31" s="4">
        <f>'QTR CF'!O31</f>
        <v/>
      </c>
      <c r="P31" s="4">
        <f>'QTR CF'!P31</f>
        <v/>
      </c>
      <c r="Q31" s="4">
        <f>'QTR CF'!Q31</f>
        <v/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  <c r="AB31" s="12" t="n">
        <v>0</v>
      </c>
      <c r="AC31" s="12" t="n">
        <v>0</v>
      </c>
      <c r="AD31" s="12" t="n">
        <v>0</v>
      </c>
      <c r="AE31" s="12" t="n">
        <v>0</v>
      </c>
      <c r="AF31" s="12" t="n">
        <v>0</v>
      </c>
      <c r="AG31" s="12" t="n">
        <v>0</v>
      </c>
    </row>
    <row r="32">
      <c r="A32" s="3" t="inlineStr">
        <is>
          <t>Collections from Note Receivable</t>
        </is>
      </c>
      <c r="B32" s="4">
        <f>'QTR CF'!B33</f>
        <v/>
      </c>
      <c r="C32" s="4">
        <f>'QTR CF'!C33</f>
        <v/>
      </c>
      <c r="D32" s="4">
        <f>'QTR CF'!D33</f>
        <v/>
      </c>
      <c r="E32" s="4">
        <f>'QTR CF'!E33</f>
        <v/>
      </c>
      <c r="F32" s="4">
        <f>'QTR CF'!F33</f>
        <v/>
      </c>
      <c r="G32" s="4">
        <f>'QTR CF'!G33</f>
        <v/>
      </c>
      <c r="H32" s="4">
        <f>'QTR CF'!H33</f>
        <v/>
      </c>
      <c r="I32" s="4">
        <f>'QTR CF'!I33</f>
        <v/>
      </c>
      <c r="J32" s="4">
        <f>'QTR CF'!J33</f>
        <v/>
      </c>
      <c r="K32" s="4">
        <f>'QTR CF'!K33</f>
        <v/>
      </c>
      <c r="L32" s="4">
        <f>'QTR CF'!L33</f>
        <v/>
      </c>
      <c r="M32" s="4">
        <f>'QTR CF'!M33</f>
        <v/>
      </c>
      <c r="N32" s="4">
        <f>'QTR CF'!N33</f>
        <v/>
      </c>
      <c r="O32" s="4">
        <f>'QTR CF'!O33</f>
        <v/>
      </c>
      <c r="P32" s="4">
        <f>'QTR CF'!P33</f>
        <v/>
      </c>
      <c r="Q32" s="4">
        <f>'QTR CF'!Q33</f>
        <v/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</row>
    <row r="33">
      <c r="A33" s="3" t="inlineStr">
        <is>
          <t>Purchase of PP&amp;E — % of Revenue</t>
        </is>
      </c>
      <c r="B33" s="10">
        <f>IFERROR('QTR CF'!B34/'QTR P&amp;L'!B2,"")</f>
        <v/>
      </c>
      <c r="C33" s="10">
        <f>IFERROR('QTR CF'!C34/'QTR P&amp;L'!C2,"")</f>
        <v/>
      </c>
      <c r="D33" s="10">
        <f>IFERROR('QTR CF'!D34/'QTR P&amp;L'!D2,"")</f>
        <v/>
      </c>
      <c r="E33" s="10">
        <f>IFERROR('QTR CF'!E34/'QTR P&amp;L'!E2,"")</f>
        <v/>
      </c>
      <c r="F33" s="10">
        <f>IFERROR('QTR CF'!F34/'QTR P&amp;L'!F2,"")</f>
        <v/>
      </c>
      <c r="G33" s="10">
        <f>IFERROR('QTR CF'!G34/'QTR P&amp;L'!G2,"")</f>
        <v/>
      </c>
      <c r="H33" s="10">
        <f>IFERROR('QTR CF'!H34/'QTR P&amp;L'!H2,"")</f>
        <v/>
      </c>
      <c r="I33" s="10">
        <f>IFERROR('QTR CF'!I34/'QTR P&amp;L'!I2,"")</f>
        <v/>
      </c>
      <c r="J33" s="10">
        <f>IFERROR('QTR CF'!J34/'QTR P&amp;L'!J2,"")</f>
        <v/>
      </c>
      <c r="K33" s="10">
        <f>IFERROR('QTR CF'!K34/'QTR P&amp;L'!K2,"")</f>
        <v/>
      </c>
      <c r="L33" s="10">
        <f>IFERROR('QTR CF'!L34/'QTR P&amp;L'!L2,"")</f>
        <v/>
      </c>
      <c r="M33" s="10">
        <f>IFERROR('QTR CF'!M34/'QTR P&amp;L'!M2,"")</f>
        <v/>
      </c>
      <c r="N33" s="10">
        <f>IFERROR('QTR CF'!N34/'QTR P&amp;L'!N2,"")</f>
        <v/>
      </c>
      <c r="O33" s="10">
        <f>IFERROR('QTR CF'!O34/'QTR P&amp;L'!O2,"")</f>
        <v/>
      </c>
      <c r="P33" s="10">
        <f>IFERROR('QTR CF'!P34/'QTR P&amp;L'!P2,"")</f>
        <v/>
      </c>
      <c r="Q33" s="10">
        <f>IFERROR('QTR CF'!Q34/'QTR P&amp;L'!Q2,"")</f>
        <v/>
      </c>
      <c r="R33" s="11">
        <f>Q33</f>
        <v/>
      </c>
      <c r="S33" s="11">
        <f>Q33</f>
        <v/>
      </c>
      <c r="T33" s="11">
        <f>Q33</f>
        <v/>
      </c>
      <c r="U33" s="11">
        <f>Q33</f>
        <v/>
      </c>
      <c r="V33" s="11">
        <f>Q33</f>
        <v/>
      </c>
      <c r="W33" s="11">
        <f>Q33</f>
        <v/>
      </c>
      <c r="X33" s="11">
        <f>Q33</f>
        <v/>
      </c>
      <c r="Y33" s="11">
        <f>Q33</f>
        <v/>
      </c>
      <c r="Z33" s="11">
        <f>Q33</f>
        <v/>
      </c>
      <c r="AA33" s="11">
        <f>Q33</f>
        <v/>
      </c>
      <c r="AB33" s="11">
        <f>Q33</f>
        <v/>
      </c>
      <c r="AC33" s="11">
        <f>Q33</f>
        <v/>
      </c>
      <c r="AD33" s="11">
        <f>Q33</f>
        <v/>
      </c>
      <c r="AE33" s="11">
        <f>Q33</f>
        <v/>
      </c>
      <c r="AF33" s="11">
        <f>Q33</f>
        <v/>
      </c>
      <c r="AG33" s="11">
        <f>Q33</f>
        <v/>
      </c>
    </row>
    <row r="34">
      <c r="A34" s="3" t="inlineStr">
        <is>
          <t>Purchase of Non-Marketable Equity Securities</t>
        </is>
      </c>
      <c r="B34" s="4">
        <f>'QTR CF'!B35</f>
        <v/>
      </c>
      <c r="C34" s="4">
        <f>'QTR CF'!C35</f>
        <v/>
      </c>
      <c r="D34" s="4">
        <f>'QTR CF'!D35</f>
        <v/>
      </c>
      <c r="E34" s="4">
        <f>'QTR CF'!E35</f>
        <v/>
      </c>
      <c r="F34" s="4">
        <f>'QTR CF'!F35</f>
        <v/>
      </c>
      <c r="G34" s="4">
        <f>'QTR CF'!G35</f>
        <v/>
      </c>
      <c r="H34" s="4">
        <f>'QTR CF'!H35</f>
        <v/>
      </c>
      <c r="I34" s="4">
        <f>'QTR CF'!I35</f>
        <v/>
      </c>
      <c r="J34" s="4">
        <f>'QTR CF'!J35</f>
        <v/>
      </c>
      <c r="K34" s="4">
        <f>'QTR CF'!K35</f>
        <v/>
      </c>
      <c r="L34" s="4">
        <f>'QTR CF'!L35</f>
        <v/>
      </c>
      <c r="M34" s="4">
        <f>'QTR CF'!M35</f>
        <v/>
      </c>
      <c r="N34" s="4">
        <f>'QTR CF'!N35</f>
        <v/>
      </c>
      <c r="O34" s="4">
        <f>'QTR CF'!O35</f>
        <v/>
      </c>
      <c r="P34" s="4">
        <f>'QTR CF'!P35</f>
        <v/>
      </c>
      <c r="Q34" s="4">
        <f>'QTR CF'!Q35</f>
        <v/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</v>
      </c>
      <c r="AA34" s="12" t="n">
        <v>0</v>
      </c>
      <c r="AB34" s="12" t="n">
        <v>0</v>
      </c>
      <c r="AC34" s="12" t="n">
        <v>0</v>
      </c>
      <c r="AD34" s="12" t="n">
        <v>0</v>
      </c>
      <c r="AE34" s="12" t="n">
        <v>0</v>
      </c>
      <c r="AF34" s="12" t="n">
        <v>0</v>
      </c>
      <c r="AG34" s="12" t="n">
        <v>0</v>
      </c>
    </row>
    <row r="35">
      <c r="A35" s="3" t="inlineStr">
        <is>
          <t>Acquisition of Big Beverages</t>
        </is>
      </c>
      <c r="B35" s="4">
        <f>'QTR CF'!B36</f>
        <v/>
      </c>
      <c r="C35" s="4">
        <f>'QTR CF'!C36</f>
        <v/>
      </c>
      <c r="D35" s="4">
        <f>'QTR CF'!D36</f>
        <v/>
      </c>
      <c r="E35" s="4">
        <f>'QTR CF'!E36</f>
        <v/>
      </c>
      <c r="F35" s="4">
        <f>'QTR CF'!F36</f>
        <v/>
      </c>
      <c r="G35" s="4">
        <f>'QTR CF'!G36</f>
        <v/>
      </c>
      <c r="H35" s="4">
        <f>'QTR CF'!H36</f>
        <v/>
      </c>
      <c r="I35" s="4">
        <f>'QTR CF'!I36</f>
        <v/>
      </c>
      <c r="J35" s="4">
        <f>'QTR CF'!J36</f>
        <v/>
      </c>
      <c r="K35" s="4">
        <f>'QTR CF'!K36</f>
        <v/>
      </c>
      <c r="L35" s="4">
        <f>'QTR CF'!L36</f>
        <v/>
      </c>
      <c r="M35" s="4">
        <f>'QTR CF'!M36</f>
        <v/>
      </c>
      <c r="N35" s="4">
        <f>'QTR CF'!N36</f>
        <v/>
      </c>
      <c r="O35" s="4">
        <f>'QTR CF'!O36</f>
        <v/>
      </c>
      <c r="P35" s="4">
        <f>'QTR CF'!P36</f>
        <v/>
      </c>
      <c r="Q35" s="4">
        <f>'QTR CF'!Q36</f>
        <v/>
      </c>
      <c r="R35" s="12" t="n">
        <v>0</v>
      </c>
      <c r="S35" s="12" t="n">
        <v>0</v>
      </c>
      <c r="T35" s="12" t="n">
        <v>0</v>
      </c>
      <c r="U35" s="12" t="n">
        <v>0</v>
      </c>
      <c r="V35" s="12" t="n">
        <v>0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  <c r="AB35" s="12" t="n">
        <v>0</v>
      </c>
      <c r="AC35" s="12" t="n">
        <v>0</v>
      </c>
      <c r="AD35" s="12" t="n">
        <v>0</v>
      </c>
      <c r="AE35" s="12" t="n">
        <v>0</v>
      </c>
      <c r="AF35" s="12" t="n">
        <v>0</v>
      </c>
      <c r="AG35" s="12" t="n">
        <v>0</v>
      </c>
    </row>
    <row r="36">
      <c r="A36" s="3" t="inlineStr">
        <is>
          <t>Acquisitions, Net of Cash Acquired</t>
        </is>
      </c>
      <c r="B36" s="4">
        <f>'QTR CF'!B37</f>
        <v/>
      </c>
      <c r="C36" s="4">
        <f>'QTR CF'!C37</f>
        <v/>
      </c>
      <c r="D36" s="4">
        <f>'QTR CF'!D37</f>
        <v/>
      </c>
      <c r="E36" s="4">
        <f>'QTR CF'!E37</f>
        <v/>
      </c>
      <c r="F36" s="4">
        <f>'QTR CF'!F37</f>
        <v/>
      </c>
      <c r="G36" s="4">
        <f>'QTR CF'!G37</f>
        <v/>
      </c>
      <c r="H36" s="4">
        <f>'QTR CF'!H37</f>
        <v/>
      </c>
      <c r="I36" s="4">
        <f>'QTR CF'!I37</f>
        <v/>
      </c>
      <c r="J36" s="4">
        <f>'QTR CF'!J37</f>
        <v/>
      </c>
      <c r="K36" s="4">
        <f>'QTR CF'!K37</f>
        <v/>
      </c>
      <c r="L36" s="4">
        <f>'QTR CF'!L37</f>
        <v/>
      </c>
      <c r="M36" s="4">
        <f>'QTR CF'!M37</f>
        <v/>
      </c>
      <c r="N36" s="4">
        <f>'QTR CF'!N37</f>
        <v/>
      </c>
      <c r="O36" s="4">
        <f>'QTR CF'!O37</f>
        <v/>
      </c>
      <c r="P36" s="4">
        <f>'QTR CF'!P37</f>
        <v/>
      </c>
      <c r="Q36" s="4">
        <f>'QTR CF'!Q37</f>
        <v/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</v>
      </c>
      <c r="AA36" s="12" t="n">
        <v>0</v>
      </c>
      <c r="AB36" s="12" t="n">
        <v>0</v>
      </c>
      <c r="AC36" s="12" t="n">
        <v>0</v>
      </c>
      <c r="AD36" s="12" t="n">
        <v>0</v>
      </c>
      <c r="AE36" s="12" t="n">
        <v>0</v>
      </c>
      <c r="AF36" s="12" t="n">
        <v>0</v>
      </c>
      <c r="AG36" s="12" t="n">
        <v>0</v>
      </c>
    </row>
    <row r="37">
      <c r="A37" s="3" t="inlineStr">
        <is>
          <t>Working Capital Estimate from Pepsi (Rockstar)</t>
        </is>
      </c>
      <c r="B37" s="4">
        <f>'QTR CF'!B38</f>
        <v/>
      </c>
      <c r="C37" s="4">
        <f>'QTR CF'!C38</f>
        <v/>
      </c>
      <c r="D37" s="4">
        <f>'QTR CF'!D38</f>
        <v/>
      </c>
      <c r="E37" s="4">
        <f>'QTR CF'!E38</f>
        <v/>
      </c>
      <c r="F37" s="4">
        <f>'QTR CF'!F38</f>
        <v/>
      </c>
      <c r="G37" s="4">
        <f>'QTR CF'!G38</f>
        <v/>
      </c>
      <c r="H37" s="4">
        <f>'QTR CF'!H38</f>
        <v/>
      </c>
      <c r="I37" s="4">
        <f>'QTR CF'!I38</f>
        <v/>
      </c>
      <c r="J37" s="4">
        <f>'QTR CF'!J38</f>
        <v/>
      </c>
      <c r="K37" s="4">
        <f>'QTR CF'!K38</f>
        <v/>
      </c>
      <c r="L37" s="4">
        <f>'QTR CF'!L38</f>
        <v/>
      </c>
      <c r="M37" s="4">
        <f>'QTR CF'!M38</f>
        <v/>
      </c>
      <c r="N37" s="4">
        <f>'QTR CF'!N38</f>
        <v/>
      </c>
      <c r="O37" s="4">
        <f>'QTR CF'!O38</f>
        <v/>
      </c>
      <c r="P37" s="4">
        <f>'QTR CF'!P38</f>
        <v/>
      </c>
      <c r="Q37" s="4">
        <f>'QTR CF'!Q38</f>
        <v/>
      </c>
      <c r="R37" s="12" t="n">
        <v>0</v>
      </c>
      <c r="S37" s="12" t="n">
        <v>0</v>
      </c>
      <c r="T37" s="12" t="n">
        <v>0</v>
      </c>
      <c r="U37" s="12" t="n">
        <v>0</v>
      </c>
      <c r="V37" s="12" t="n">
        <v>0</v>
      </c>
      <c r="W37" s="12" t="n">
        <v>0</v>
      </c>
      <c r="X37" s="12" t="n">
        <v>0</v>
      </c>
      <c r="Y37" s="12" t="n">
        <v>0</v>
      </c>
      <c r="Z37" s="12" t="n">
        <v>0</v>
      </c>
      <c r="AA37" s="12" t="n">
        <v>0</v>
      </c>
      <c r="AB37" s="12" t="n">
        <v>0</v>
      </c>
      <c r="AC37" s="12" t="n">
        <v>0</v>
      </c>
      <c r="AD37" s="12" t="n">
        <v>0</v>
      </c>
      <c r="AE37" s="12" t="n">
        <v>0</v>
      </c>
      <c r="AF37" s="12" t="n">
        <v>0</v>
      </c>
      <c r="AG37" s="12" t="n">
        <v>0</v>
      </c>
    </row>
    <row r="38">
      <c r="A38" s="3" t="inlineStr">
        <is>
          <t>Finance Lease Payments</t>
        </is>
      </c>
      <c r="B38" s="4">
        <f>'QTR CF'!B40</f>
        <v/>
      </c>
      <c r="C38" s="4">
        <f>'QTR CF'!C40</f>
        <v/>
      </c>
      <c r="D38" s="4">
        <f>'QTR CF'!D40</f>
        <v/>
      </c>
      <c r="E38" s="4">
        <f>'QTR CF'!E40</f>
        <v/>
      </c>
      <c r="F38" s="4">
        <f>'QTR CF'!F40</f>
        <v/>
      </c>
      <c r="G38" s="4">
        <f>'QTR CF'!G40</f>
        <v/>
      </c>
      <c r="H38" s="4">
        <f>'QTR CF'!H40</f>
        <v/>
      </c>
      <c r="I38" s="4">
        <f>'QTR CF'!I40</f>
        <v/>
      </c>
      <c r="J38" s="4">
        <f>'QTR CF'!J40</f>
        <v/>
      </c>
      <c r="K38" s="4">
        <f>'QTR CF'!K40</f>
        <v/>
      </c>
      <c r="L38" s="4">
        <f>'QTR CF'!L40</f>
        <v/>
      </c>
      <c r="M38" s="4">
        <f>'QTR CF'!M40</f>
        <v/>
      </c>
      <c r="N38" s="4">
        <f>'QTR CF'!N40</f>
        <v/>
      </c>
      <c r="O38" s="4">
        <f>'QTR CF'!O40</f>
        <v/>
      </c>
      <c r="P38" s="4">
        <f>'QTR CF'!P40</f>
        <v/>
      </c>
      <c r="Q38" s="4">
        <f>'QTR CF'!Q40</f>
        <v/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</row>
    <row r="39">
      <c r="A39" s="3" t="inlineStr">
        <is>
          <t>Proceeds from Exercise of Stock Options</t>
        </is>
      </c>
      <c r="B39" s="4">
        <f>'QTR CF'!B41</f>
        <v/>
      </c>
      <c r="C39" s="4">
        <f>'QTR CF'!C41</f>
        <v/>
      </c>
      <c r="D39" s="4">
        <f>'QTR CF'!D41</f>
        <v/>
      </c>
      <c r="E39" s="4">
        <f>'QTR CF'!E41</f>
        <v/>
      </c>
      <c r="F39" s="4">
        <f>'QTR CF'!F41</f>
        <v/>
      </c>
      <c r="G39" s="4">
        <f>'QTR CF'!G41</f>
        <v/>
      </c>
      <c r="H39" s="4">
        <f>'QTR CF'!H41</f>
        <v/>
      </c>
      <c r="I39" s="4">
        <f>'QTR CF'!I41</f>
        <v/>
      </c>
      <c r="J39" s="4">
        <f>'QTR CF'!J41</f>
        <v/>
      </c>
      <c r="K39" s="4">
        <f>'QTR CF'!K41</f>
        <v/>
      </c>
      <c r="L39" s="4">
        <f>'QTR CF'!L41</f>
        <v/>
      </c>
      <c r="M39" s="4">
        <f>'QTR CF'!M41</f>
        <v/>
      </c>
      <c r="N39" s="4">
        <f>'QTR CF'!N41</f>
        <v/>
      </c>
      <c r="O39" s="4">
        <f>'QTR CF'!O41</f>
        <v/>
      </c>
      <c r="P39" s="4">
        <f>'QTR CF'!P41</f>
        <v/>
      </c>
      <c r="Q39" s="4">
        <f>'QTR CF'!Q41</f>
        <v/>
      </c>
      <c r="R39" s="12" t="n">
        <v>0</v>
      </c>
      <c r="S39" s="12" t="n">
        <v>0</v>
      </c>
      <c r="T39" s="12" t="n">
        <v>0</v>
      </c>
      <c r="U39" s="12" t="n">
        <v>0</v>
      </c>
      <c r="V39" s="12" t="n">
        <v>0</v>
      </c>
      <c r="W39" s="12" t="n">
        <v>0</v>
      </c>
      <c r="X39" s="12" t="n">
        <v>0</v>
      </c>
      <c r="Y39" s="12" t="n">
        <v>0</v>
      </c>
      <c r="Z39" s="12" t="n">
        <v>0</v>
      </c>
      <c r="AA39" s="12" t="n">
        <v>0</v>
      </c>
      <c r="AB39" s="12" t="n">
        <v>0</v>
      </c>
      <c r="AC39" s="12" t="n">
        <v>0</v>
      </c>
      <c r="AD39" s="12" t="n">
        <v>0</v>
      </c>
      <c r="AE39" s="12" t="n">
        <v>0</v>
      </c>
      <c r="AF39" s="12" t="n">
        <v>0</v>
      </c>
      <c r="AG39" s="12" t="n">
        <v>0</v>
      </c>
    </row>
    <row r="40">
      <c r="A40" s="3" t="inlineStr">
        <is>
          <t>Proceeds from Issuance of Common Stock</t>
        </is>
      </c>
      <c r="B40" s="4">
        <f>'QTR CF'!B42</f>
        <v/>
      </c>
      <c r="C40" s="4">
        <f>'QTR CF'!C42</f>
        <v/>
      </c>
      <c r="D40" s="4">
        <f>'QTR CF'!D42</f>
        <v/>
      </c>
      <c r="E40" s="4">
        <f>'QTR CF'!E42</f>
        <v/>
      </c>
      <c r="F40" s="4">
        <f>'QTR CF'!F42</f>
        <v/>
      </c>
      <c r="G40" s="4">
        <f>'QTR CF'!G42</f>
        <v/>
      </c>
      <c r="H40" s="4">
        <f>'QTR CF'!H42</f>
        <v/>
      </c>
      <c r="I40" s="4">
        <f>'QTR CF'!I42</f>
        <v/>
      </c>
      <c r="J40" s="4">
        <f>'QTR CF'!J42</f>
        <v/>
      </c>
      <c r="K40" s="4">
        <f>'QTR CF'!K42</f>
        <v/>
      </c>
      <c r="L40" s="4">
        <f>'QTR CF'!L42</f>
        <v/>
      </c>
      <c r="M40" s="4">
        <f>'QTR CF'!M42</f>
        <v/>
      </c>
      <c r="N40" s="4">
        <f>'QTR CF'!N42</f>
        <v/>
      </c>
      <c r="O40" s="4">
        <f>'QTR CF'!O42</f>
        <v/>
      </c>
      <c r="P40" s="4">
        <f>'QTR CF'!P42</f>
        <v/>
      </c>
      <c r="Q40" s="4">
        <f>'QTR CF'!Q42</f>
        <v/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</v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</row>
    <row r="41">
      <c r="A41" s="3" t="inlineStr">
        <is>
          <t>Proceeds from Issuance of Preferred Stock</t>
        </is>
      </c>
      <c r="B41" s="4">
        <f>'QTR CF'!B43</f>
        <v/>
      </c>
      <c r="C41" s="4">
        <f>'QTR CF'!C43</f>
        <v/>
      </c>
      <c r="D41" s="4">
        <f>'QTR CF'!D43</f>
        <v/>
      </c>
      <c r="E41" s="4">
        <f>'QTR CF'!E43</f>
        <v/>
      </c>
      <c r="F41" s="4">
        <f>'QTR CF'!F43</f>
        <v/>
      </c>
      <c r="G41" s="4">
        <f>'QTR CF'!G43</f>
        <v/>
      </c>
      <c r="H41" s="4">
        <f>'QTR CF'!H43</f>
        <v/>
      </c>
      <c r="I41" s="4">
        <f>'QTR CF'!I43</f>
        <v/>
      </c>
      <c r="J41" s="4">
        <f>'QTR CF'!J43</f>
        <v/>
      </c>
      <c r="K41" s="4">
        <f>'QTR CF'!K43</f>
        <v/>
      </c>
      <c r="L41" s="4">
        <f>'QTR CF'!L43</f>
        <v/>
      </c>
      <c r="M41" s="4">
        <f>'QTR CF'!M43</f>
        <v/>
      </c>
      <c r="N41" s="4">
        <f>'QTR CF'!N43</f>
        <v/>
      </c>
      <c r="O41" s="4">
        <f>'QTR CF'!O43</f>
        <v/>
      </c>
      <c r="P41" s="4">
        <f>'QTR CF'!P43</f>
        <v/>
      </c>
      <c r="Q41" s="4">
        <f>'QTR CF'!Q43</f>
        <v/>
      </c>
      <c r="R41" s="12" t="n">
        <v>0</v>
      </c>
      <c r="S41" s="12" t="n">
        <v>0</v>
      </c>
      <c r="T41" s="12" t="n">
        <v>0</v>
      </c>
      <c r="U41" s="12" t="n">
        <v>0</v>
      </c>
      <c r="V41" s="12" t="n">
        <v>0</v>
      </c>
      <c r="W41" s="12" t="n">
        <v>0</v>
      </c>
      <c r="X41" s="12" t="n">
        <v>0</v>
      </c>
      <c r="Y41" s="12" t="n">
        <v>0</v>
      </c>
      <c r="Z41" s="12" t="n">
        <v>0</v>
      </c>
      <c r="AA41" s="12" t="n">
        <v>0</v>
      </c>
      <c r="AB41" s="12" t="n">
        <v>0</v>
      </c>
      <c r="AC41" s="12" t="n">
        <v>0</v>
      </c>
      <c r="AD41" s="12" t="n">
        <v>0</v>
      </c>
      <c r="AE41" s="12" t="n">
        <v>0</v>
      </c>
      <c r="AF41" s="12" t="n">
        <v>0</v>
      </c>
      <c r="AG41" s="12" t="n">
        <v>0</v>
      </c>
    </row>
    <row r="42">
      <c r="A42" s="3" t="inlineStr">
        <is>
          <t>Preferred Dividends</t>
        </is>
      </c>
      <c r="B42" s="4">
        <f>'QTR CF'!B44</f>
        <v/>
      </c>
      <c r="C42" s="4">
        <f>'QTR CF'!C44</f>
        <v/>
      </c>
      <c r="D42" s="4">
        <f>'QTR CF'!D44</f>
        <v/>
      </c>
      <c r="E42" s="4">
        <f>'QTR CF'!E44</f>
        <v/>
      </c>
      <c r="F42" s="4">
        <f>'QTR CF'!F44</f>
        <v/>
      </c>
      <c r="G42" s="4">
        <f>'QTR CF'!G44</f>
        <v/>
      </c>
      <c r="H42" s="4">
        <f>'QTR CF'!H44</f>
        <v/>
      </c>
      <c r="I42" s="4">
        <f>'QTR CF'!I44</f>
        <v/>
      </c>
      <c r="J42" s="4">
        <f>'QTR CF'!J44</f>
        <v/>
      </c>
      <c r="K42" s="4">
        <f>'QTR CF'!K44</f>
        <v/>
      </c>
      <c r="L42" s="4">
        <f>'QTR CF'!L44</f>
        <v/>
      </c>
      <c r="M42" s="4">
        <f>'QTR CF'!M44</f>
        <v/>
      </c>
      <c r="N42" s="4">
        <f>'QTR CF'!N44</f>
        <v/>
      </c>
      <c r="O42" s="4">
        <f>'QTR CF'!O44</f>
        <v/>
      </c>
      <c r="P42" s="4">
        <f>'QTR CF'!P44</f>
        <v/>
      </c>
      <c r="Q42" s="4">
        <f>'QTR CF'!Q44</f>
        <v/>
      </c>
      <c r="R42" s="12">
        <f>Q42</f>
        <v/>
      </c>
      <c r="S42" s="12">
        <f>Q42</f>
        <v/>
      </c>
      <c r="T42" s="12">
        <f>Q42</f>
        <v/>
      </c>
      <c r="U42" s="12">
        <f>Q42</f>
        <v/>
      </c>
      <c r="V42" s="12">
        <f>Q42</f>
        <v/>
      </c>
      <c r="W42" s="12">
        <f>Q42</f>
        <v/>
      </c>
      <c r="X42" s="12">
        <f>Q42</f>
        <v/>
      </c>
      <c r="Y42" s="12">
        <f>Q42</f>
        <v/>
      </c>
      <c r="Z42" s="12">
        <f>Q42</f>
        <v/>
      </c>
      <c r="AA42" s="12">
        <f>Q42</f>
        <v/>
      </c>
      <c r="AB42" s="12">
        <f>Q42</f>
        <v/>
      </c>
      <c r="AC42" s="12">
        <f>Q42</f>
        <v/>
      </c>
      <c r="AD42" s="12">
        <f>Q42</f>
        <v/>
      </c>
      <c r="AE42" s="12">
        <f>Q42</f>
        <v/>
      </c>
      <c r="AF42" s="12">
        <f>Q42</f>
        <v/>
      </c>
      <c r="AG42" s="12">
        <f>Q42</f>
        <v/>
      </c>
    </row>
    <row r="43">
      <c r="A43" s="3" t="inlineStr">
        <is>
          <t>Share Repurchases</t>
        </is>
      </c>
      <c r="B43" s="4">
        <f>'QTR CF'!B45</f>
        <v/>
      </c>
      <c r="C43" s="4">
        <f>'QTR CF'!C45</f>
        <v/>
      </c>
      <c r="D43" s="4">
        <f>'QTR CF'!D45</f>
        <v/>
      </c>
      <c r="E43" s="4">
        <f>'QTR CF'!E45</f>
        <v/>
      </c>
      <c r="F43" s="4">
        <f>'QTR CF'!F45</f>
        <v/>
      </c>
      <c r="G43" s="4">
        <f>'QTR CF'!G45</f>
        <v/>
      </c>
      <c r="H43" s="4">
        <f>'QTR CF'!H45</f>
        <v/>
      </c>
      <c r="I43" s="4">
        <f>'QTR CF'!I45</f>
        <v/>
      </c>
      <c r="J43" s="4">
        <f>'QTR CF'!J45</f>
        <v/>
      </c>
      <c r="K43" s="4">
        <f>'QTR CF'!K45</f>
        <v/>
      </c>
      <c r="L43" s="4">
        <f>'QTR CF'!L45</f>
        <v/>
      </c>
      <c r="M43" s="4">
        <f>'QTR CF'!M45</f>
        <v/>
      </c>
      <c r="N43" s="4">
        <f>'QTR CF'!N45</f>
        <v/>
      </c>
      <c r="O43" s="4">
        <f>'QTR CF'!O45</f>
        <v/>
      </c>
      <c r="P43" s="4">
        <f>'QTR CF'!P45</f>
        <v/>
      </c>
      <c r="Q43" s="4">
        <f>'QTR CF'!Q45</f>
        <v/>
      </c>
      <c r="R43" s="12" t="n">
        <v>0</v>
      </c>
      <c r="S43" s="12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  <c r="Y43" s="12" t="n">
        <v>0</v>
      </c>
      <c r="Z43" s="12" t="n">
        <v>0</v>
      </c>
      <c r="AA43" s="12" t="n">
        <v>0</v>
      </c>
      <c r="AB43" s="12" t="n">
        <v>0</v>
      </c>
      <c r="AC43" s="12" t="n">
        <v>0</v>
      </c>
      <c r="AD43" s="12" t="n">
        <v>0</v>
      </c>
      <c r="AE43" s="12" t="n">
        <v>0</v>
      </c>
      <c r="AF43" s="12" t="n">
        <v>0</v>
      </c>
      <c r="AG43" s="12" t="n">
        <v>0</v>
      </c>
    </row>
    <row r="44">
      <c r="A44" s="3" t="inlineStr">
        <is>
          <t>Proceeds from Issuance of Long-Term Debt</t>
        </is>
      </c>
      <c r="B44" s="4">
        <f>'QTR CF'!B46</f>
        <v/>
      </c>
      <c r="C44" s="4">
        <f>'QTR CF'!C46</f>
        <v/>
      </c>
      <c r="D44" s="4">
        <f>'QTR CF'!D46</f>
        <v/>
      </c>
      <c r="E44" s="4">
        <f>'QTR CF'!E46</f>
        <v/>
      </c>
      <c r="F44" s="4">
        <f>'QTR CF'!F46</f>
        <v/>
      </c>
      <c r="G44" s="4">
        <f>'QTR CF'!G46</f>
        <v/>
      </c>
      <c r="H44" s="4">
        <f>'QTR CF'!H46</f>
        <v/>
      </c>
      <c r="I44" s="4">
        <f>'QTR CF'!I46</f>
        <v/>
      </c>
      <c r="J44" s="4">
        <f>'QTR CF'!J46</f>
        <v/>
      </c>
      <c r="K44" s="4">
        <f>'QTR CF'!K46</f>
        <v/>
      </c>
      <c r="L44" s="4">
        <f>'QTR CF'!L46</f>
        <v/>
      </c>
      <c r="M44" s="4">
        <f>'QTR CF'!M46</f>
        <v/>
      </c>
      <c r="N44" s="4">
        <f>'QTR CF'!N46</f>
        <v/>
      </c>
      <c r="O44" s="4">
        <f>'QTR CF'!O46</f>
        <v/>
      </c>
      <c r="P44" s="4">
        <f>'QTR CF'!P46</f>
        <v/>
      </c>
      <c r="Q44" s="4">
        <f>'QTR CF'!Q46</f>
        <v/>
      </c>
      <c r="R44" s="12" t="n">
        <v>0</v>
      </c>
      <c r="S44" s="12" t="n">
        <v>0</v>
      </c>
      <c r="T44" s="12" t="n">
        <v>0</v>
      </c>
      <c r="U44" s="12" t="n">
        <v>0</v>
      </c>
      <c r="V44" s="12" t="n">
        <v>0</v>
      </c>
      <c r="W44" s="12" t="n">
        <v>0</v>
      </c>
      <c r="X44" s="12" t="n">
        <v>0</v>
      </c>
      <c r="Y44" s="12" t="n">
        <v>0</v>
      </c>
      <c r="Z44" s="12" t="n">
        <v>0</v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</row>
    <row r="45">
      <c r="A45" s="3" t="inlineStr">
        <is>
          <t>Repayments of Long-Term Debt</t>
        </is>
      </c>
      <c r="B45" s="4">
        <f>'QTR CF'!B47</f>
        <v/>
      </c>
      <c r="C45" s="4">
        <f>'QTR CF'!C47</f>
        <v/>
      </c>
      <c r="D45" s="4">
        <f>'QTR CF'!D47</f>
        <v/>
      </c>
      <c r="E45" s="4">
        <f>'QTR CF'!E47</f>
        <v/>
      </c>
      <c r="F45" s="4">
        <f>'QTR CF'!F47</f>
        <v/>
      </c>
      <c r="G45" s="4">
        <f>'QTR CF'!G47</f>
        <v/>
      </c>
      <c r="H45" s="4">
        <f>'QTR CF'!H47</f>
        <v/>
      </c>
      <c r="I45" s="4">
        <f>'QTR CF'!I47</f>
        <v/>
      </c>
      <c r="J45" s="4">
        <f>'QTR CF'!J47</f>
        <v/>
      </c>
      <c r="K45" s="4">
        <f>'QTR CF'!K47</f>
        <v/>
      </c>
      <c r="L45" s="4">
        <f>'QTR CF'!L47</f>
        <v/>
      </c>
      <c r="M45" s="4">
        <f>'QTR CF'!M47</f>
        <v/>
      </c>
      <c r="N45" s="4">
        <f>'QTR CF'!N47</f>
        <v/>
      </c>
      <c r="O45" s="4">
        <f>'QTR CF'!O47</f>
        <v/>
      </c>
      <c r="P45" s="4">
        <f>'QTR CF'!P47</f>
        <v/>
      </c>
      <c r="Q45" s="4">
        <f>'QTR CF'!Q47</f>
        <v/>
      </c>
      <c r="R45" s="12" t="n">
        <v>0</v>
      </c>
      <c r="S45" s="12" t="n">
        <v>0</v>
      </c>
      <c r="T45" s="12" t="n">
        <v>0</v>
      </c>
      <c r="U45" s="12" t="n">
        <v>0</v>
      </c>
      <c r="V45" s="12" t="n">
        <v>0</v>
      </c>
      <c r="W45" s="12" t="n">
        <v>0</v>
      </c>
      <c r="X45" s="12" t="n">
        <v>0</v>
      </c>
      <c r="Y45" s="12" t="n">
        <v>0</v>
      </c>
      <c r="Z45" s="12" t="n">
        <v>0</v>
      </c>
      <c r="AA45" s="12" t="n">
        <v>0</v>
      </c>
      <c r="AB45" s="12" t="n">
        <v>0</v>
      </c>
      <c r="AC45" s="12" t="n">
        <v>0</v>
      </c>
      <c r="AD45" s="12" t="n">
        <v>0</v>
      </c>
      <c r="AE45" s="12" t="n">
        <v>0</v>
      </c>
      <c r="AF45" s="12" t="n">
        <v>0</v>
      </c>
      <c r="AG45" s="12" t="n">
        <v>0</v>
      </c>
    </row>
    <row r="46">
      <c r="A46" s="3" t="inlineStr">
        <is>
          <t>Debt Issuance Fees</t>
        </is>
      </c>
      <c r="B46" s="4">
        <f>'QTR CF'!B48</f>
        <v/>
      </c>
      <c r="C46" s="4">
        <f>'QTR CF'!C48</f>
        <v/>
      </c>
      <c r="D46" s="4">
        <f>'QTR CF'!D48</f>
        <v/>
      </c>
      <c r="E46" s="4">
        <f>'QTR CF'!E48</f>
        <v/>
      </c>
      <c r="F46" s="4">
        <f>'QTR CF'!F48</f>
        <v/>
      </c>
      <c r="G46" s="4">
        <f>'QTR CF'!G48</f>
        <v/>
      </c>
      <c r="H46" s="4">
        <f>'QTR CF'!H48</f>
        <v/>
      </c>
      <c r="I46" s="4">
        <f>'QTR CF'!I48</f>
        <v/>
      </c>
      <c r="J46" s="4">
        <f>'QTR CF'!J48</f>
        <v/>
      </c>
      <c r="K46" s="4">
        <f>'QTR CF'!K48</f>
        <v/>
      </c>
      <c r="L46" s="4">
        <f>'QTR CF'!L48</f>
        <v/>
      </c>
      <c r="M46" s="4">
        <f>'QTR CF'!M48</f>
        <v/>
      </c>
      <c r="N46" s="4">
        <f>'QTR CF'!N48</f>
        <v/>
      </c>
      <c r="O46" s="4">
        <f>'QTR CF'!O48</f>
        <v/>
      </c>
      <c r="P46" s="4">
        <f>'QTR CF'!P48</f>
        <v/>
      </c>
      <c r="Q46" s="4">
        <f>'QTR CF'!Q48</f>
        <v/>
      </c>
      <c r="R46" s="12" t="n">
        <v>0</v>
      </c>
      <c r="S46" s="12" t="n">
        <v>0</v>
      </c>
      <c r="T46" s="12" t="n">
        <v>0</v>
      </c>
      <c r="U46" s="12" t="n">
        <v>0</v>
      </c>
      <c r="V46" s="12" t="n">
        <v>0</v>
      </c>
      <c r="W46" s="12" t="n">
        <v>0</v>
      </c>
      <c r="X46" s="12" t="n">
        <v>0</v>
      </c>
      <c r="Y46" s="12" t="n">
        <v>0</v>
      </c>
      <c r="Z46" s="12" t="n">
        <v>0</v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</row>
    <row r="47">
      <c r="A47" s="3" t="inlineStr">
        <is>
          <t>Other Financing Activities</t>
        </is>
      </c>
      <c r="B47" s="4">
        <f>'QTR CF'!B49</f>
        <v/>
      </c>
      <c r="C47" s="4">
        <f>'QTR CF'!C49</f>
        <v/>
      </c>
      <c r="D47" s="4">
        <f>'QTR CF'!D49</f>
        <v/>
      </c>
      <c r="E47" s="4">
        <f>'QTR CF'!E49</f>
        <v/>
      </c>
      <c r="F47" s="4">
        <f>'QTR CF'!F49</f>
        <v/>
      </c>
      <c r="G47" s="4">
        <f>'QTR CF'!G49</f>
        <v/>
      </c>
      <c r="H47" s="4">
        <f>'QTR CF'!H49</f>
        <v/>
      </c>
      <c r="I47" s="4">
        <f>'QTR CF'!I49</f>
        <v/>
      </c>
      <c r="J47" s="4">
        <f>'QTR CF'!J49</f>
        <v/>
      </c>
      <c r="K47" s="4">
        <f>'QTR CF'!K49</f>
        <v/>
      </c>
      <c r="L47" s="4">
        <f>'QTR CF'!L49</f>
        <v/>
      </c>
      <c r="M47" s="4">
        <f>'QTR CF'!M49</f>
        <v/>
      </c>
      <c r="N47" s="4">
        <f>'QTR CF'!N49</f>
        <v/>
      </c>
      <c r="O47" s="4">
        <f>'QTR CF'!O49</f>
        <v/>
      </c>
      <c r="P47" s="4">
        <f>'QTR CF'!P49</f>
        <v/>
      </c>
      <c r="Q47" s="4">
        <f>'QTR CF'!Q49</f>
        <v/>
      </c>
      <c r="R47" s="12" t="n">
        <v>0</v>
      </c>
      <c r="S47" s="12" t="n">
        <v>0</v>
      </c>
      <c r="T47" s="12" t="n">
        <v>0</v>
      </c>
      <c r="U47" s="12" t="n">
        <v>0</v>
      </c>
      <c r="V47" s="12" t="n">
        <v>0</v>
      </c>
      <c r="W47" s="12" t="n">
        <v>0</v>
      </c>
      <c r="X47" s="12" t="n">
        <v>0</v>
      </c>
      <c r="Y47" s="12" t="n">
        <v>0</v>
      </c>
      <c r="Z47" s="12" t="n">
        <v>0</v>
      </c>
      <c r="AA47" s="12" t="n">
        <v>0</v>
      </c>
      <c r="AB47" s="12" t="n">
        <v>0</v>
      </c>
      <c r="AC47" s="12" t="n">
        <v>0</v>
      </c>
      <c r="AD47" s="12" t="n">
        <v>0</v>
      </c>
      <c r="AE47" s="12" t="n">
        <v>0</v>
      </c>
      <c r="AF47" s="12" t="n">
        <v>0</v>
      </c>
      <c r="AG47" s="12" t="n">
        <v>0</v>
      </c>
    </row>
    <row r="48">
      <c r="A48" s="3" t="inlineStr">
        <is>
          <t>FX Effect on Cash</t>
        </is>
      </c>
      <c r="B48" s="4">
        <f>'QTR CF'!B51</f>
        <v/>
      </c>
      <c r="C48" s="4">
        <f>'QTR CF'!C51</f>
        <v/>
      </c>
      <c r="D48" s="4">
        <f>'QTR CF'!D51</f>
        <v/>
      </c>
      <c r="E48" s="4">
        <f>'QTR CF'!E51</f>
        <v/>
      </c>
      <c r="F48" s="4">
        <f>'QTR CF'!F51</f>
        <v/>
      </c>
      <c r="G48" s="4">
        <f>'QTR CF'!G51</f>
        <v/>
      </c>
      <c r="H48" s="4">
        <f>'QTR CF'!H51</f>
        <v/>
      </c>
      <c r="I48" s="4">
        <f>'QTR CF'!I51</f>
        <v/>
      </c>
      <c r="J48" s="4">
        <f>'QTR CF'!J51</f>
        <v/>
      </c>
      <c r="K48" s="4">
        <f>'QTR CF'!K51</f>
        <v/>
      </c>
      <c r="L48" s="4">
        <f>'QTR CF'!L51</f>
        <v/>
      </c>
      <c r="M48" s="4">
        <f>'QTR CF'!M51</f>
        <v/>
      </c>
      <c r="N48" s="4">
        <f>'QTR CF'!N51</f>
        <v/>
      </c>
      <c r="O48" s="4">
        <f>'QTR CF'!O51</f>
        <v/>
      </c>
      <c r="P48" s="4">
        <f>'QTR CF'!P51</f>
        <v/>
      </c>
      <c r="Q48" s="4">
        <f>'QTR CF'!Q51</f>
        <v/>
      </c>
      <c r="R48" s="12">
        <f>Q48</f>
        <v/>
      </c>
      <c r="S48" s="12">
        <f>Q48</f>
        <v/>
      </c>
      <c r="T48" s="12">
        <f>Q48</f>
        <v/>
      </c>
      <c r="U48" s="12">
        <f>Q48</f>
        <v/>
      </c>
      <c r="V48" s="12">
        <f>Q48</f>
        <v/>
      </c>
      <c r="W48" s="12">
        <f>Q48</f>
        <v/>
      </c>
      <c r="X48" s="12">
        <f>Q48</f>
        <v/>
      </c>
      <c r="Y48" s="12">
        <f>Q48</f>
        <v/>
      </c>
      <c r="Z48" s="12">
        <f>Q48</f>
        <v/>
      </c>
      <c r="AA48" s="12">
        <f>Q48</f>
        <v/>
      </c>
      <c r="AB48" s="12">
        <f>Q48</f>
        <v/>
      </c>
      <c r="AC48" s="12">
        <f>Q48</f>
        <v/>
      </c>
      <c r="AD48" s="12">
        <f>Q48</f>
        <v/>
      </c>
      <c r="AE48" s="12">
        <f>Q48</f>
        <v/>
      </c>
      <c r="AF48" s="12">
        <f>Q48</f>
        <v/>
      </c>
      <c r="AG48" s="12">
        <f>Q48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2026-04-28T15:42:20Z</dcterms:created>
  <dcterms:modified xmlns:dcterms="http://purl.org/dc/terms/" xmlns:xsi="http://www.w3.org/2001/XMLSchema-instance" xsi:type="dcterms:W3CDTF">2026-04-28T15:42:22Z</dcterms:modified>
</cp:coreProperties>
</file>